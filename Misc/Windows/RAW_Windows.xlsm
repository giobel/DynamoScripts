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\\global\europe\Dublin\Jobs\237000\237976-00\4. Internal\4-02 Drawings\4-02-20 Revit\18 Dynamo\Windows\"/>
    </mc:Choice>
  </mc:AlternateContent>
  <bookViews>
    <workbookView xWindow="0" yWindow="0" windowWidth="19200" windowHeight="12180"/>
  </bookViews>
  <sheets>
    <sheet name="summary" sheetId="1" r:id="rId1"/>
    <sheet name="All floors" sheetId="2" r:id="rId2"/>
    <sheet name="WindowTypeArea" sheetId="3" r:id="rId3"/>
    <sheet name="WINDOWS-NCH-A-BDP-M3-03-00" sheetId="17" r:id="rId4"/>
    <sheet name="WINDOWS-NCH-A-BDP-M3-02-00" sheetId="15" r:id="rId5"/>
    <sheet name="WINDOWS-NCH-A-BDP-M3-01-00" sheetId="13" r:id="rId6"/>
    <sheet name="BespokeWindowsAreas" sheetId="4" r:id="rId7"/>
    <sheet name="WINDOWS-NCH-A-BDP-M3-LG-00" sheetId="9" r:id="rId8"/>
    <sheet name="WINDOWS-NCH-A-OCMA-M3-LG-0" sheetId="19" r:id="rId9"/>
    <sheet name="WINDOWS-NCH-A-OCMA-M3-00-0" sheetId="20" r:id="rId10"/>
    <sheet name="WINDOWS-NCH-A-OCMA-M3-02-0" sheetId="21" r:id="rId11"/>
    <sheet name="WINDOWS-NCH-A-OCMA-M3-01-0" sheetId="22" r:id="rId12"/>
    <sheet name="WINDOWS-NCH-A-BDP-M3-B2-00" sheetId="5" r:id="rId13"/>
    <sheet name="WINDOWS-NCH-A-BDP-M3-B2-00_OLD" sheetId="6" r:id="rId14"/>
    <sheet name="WINDOWS-NCH-A-BDP-M3-B1-00" sheetId="7" r:id="rId15"/>
    <sheet name="WINDOWS-NCH-A-BDP-M3-B1-00_OLD" sheetId="8" r:id="rId16"/>
    <sheet name="WINDOWS-NCH-A-BDP-M3-LG-00_OLD" sheetId="10" r:id="rId17"/>
    <sheet name="WINDOWS-NCH-A-BDP-M3-00-00" sheetId="11" r:id="rId18"/>
    <sheet name="WINDOWS-NCH-A-BDP-M3-00-00_OLD" sheetId="12" r:id="rId19"/>
    <sheet name="WINDOWS-NCH-A-BDP-M3-01-00_OLD" sheetId="14" r:id="rId20"/>
    <sheet name="WINDOWS-NCH-A-BDP-M3-02-00_OLD" sheetId="16" r:id="rId21"/>
    <sheet name="WINDOWS-NCH-A-BDP-M3-03-00_OLD" sheetId="18" r:id="rId22"/>
  </sheets>
  <externalReferences>
    <externalReference r:id="rId23"/>
  </externalReferences>
  <definedNames>
    <definedName name="_xlnm._FilterDatabase" localSheetId="1" hidden="1">'All floors'!$D$17:$P$3371</definedName>
    <definedName name="_xlnm._FilterDatabase" localSheetId="2" hidden="1">WindowTypeArea!$B$1:$D$73</definedName>
    <definedName name="TABS">'All floors'!$A$1:$B$16</definedName>
    <definedName name="Z_2A8AA8A9_D849_43BE_B128_2DCE8081808F_.wvu.FilterData" localSheetId="1" hidden="1">'All floors'!$D$17:$P$3371</definedName>
    <definedName name="Z_2A8AA8A9_D849_43BE_B128_2DCE8081808F_.wvu.FilterData" localSheetId="2" hidden="1">WindowTypeArea!$B$1:$D$73</definedName>
    <definedName name="Z_2A8AA8A9_D849_43BE_B128_2DCE8081808F_.wvu.Rows" localSheetId="1" hidden="1">'All floors'!$1:$15</definedName>
    <definedName name="Z_561E68F6_21E3_461A_ACB1_9392AEDA3331_.wvu.FilterData" localSheetId="1" hidden="1">'All floors'!$D$17:$P$2504</definedName>
    <definedName name="Z_561E68F6_21E3_461A_ACB1_9392AEDA3331_.wvu.FilterData" localSheetId="2" hidden="1">WindowTypeArea!$B$1:$D$73</definedName>
    <definedName name="Z_E07775A8_4E8E_4F0F_ABD4_8C1611285DFF_.wvu.FilterData" localSheetId="1" hidden="1">'All floors'!$D$17:$P$3371</definedName>
    <definedName name="Z_E07775A8_4E8E_4F0F_ABD4_8C1611285DFF_.wvu.FilterData" localSheetId="2" hidden="1">WindowTypeArea!$B$1:$D$73</definedName>
  </definedNames>
  <calcPr calcId="152511" iterate="1"/>
  <customWorkbookViews>
    <customWorkbookView name="Patrick Pease - Personal View" guid="{561E68F6-21E3-461A-ACB1-9392AEDA3331}" mergeInterval="0" personalView="1" maximized="1" xWindow="-8" yWindow="-8" windowWidth="1616" windowHeight="1176" activeSheetId="15"/>
    <customWorkbookView name="Abdeslam Khalfaoui-Chairi - Personal View" guid="{2A8AA8A9-D849-43BE-B128-2DCE8081808F}" mergeInterval="0" personalView="1" maximized="1" xWindow="1672" yWindow="-8" windowWidth="1296" windowHeight="1040" activeSheetId="17"/>
    <customWorkbookView name="Maria Barahona - Personal View" guid="{E07775A8-4E8E-4F0F-ABD4-8C1611285DFF}" mergeInterval="0" personalView="1" maximized="1" xWindow="1912" yWindow="-8" windowWidth="1696" windowHeight="1066" activeSheetId="1"/>
  </customWorkbookViews>
  <pivotCaches>
    <pivotCache cacheId="4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5" i="3" l="1"/>
  <c r="C94" i="3"/>
  <c r="C93" i="3"/>
  <c r="T491" i="1" l="1"/>
  <c r="T593" i="1" l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D303" i="4" l="1"/>
  <c r="C87" i="3" l="1"/>
  <c r="C75" i="3"/>
  <c r="C76" i="3"/>
  <c r="C77" i="3"/>
  <c r="C78" i="3"/>
  <c r="C79" i="3"/>
  <c r="C80" i="3"/>
  <c r="C81" i="3"/>
  <c r="C82" i="3"/>
  <c r="C83" i="3"/>
  <c r="C84" i="3"/>
  <c r="C85" i="3"/>
  <c r="C86" i="3"/>
  <c r="C74" i="3"/>
  <c r="B7" i="2"/>
  <c r="B2" i="2"/>
  <c r="B11" i="2"/>
  <c r="B4" i="2"/>
  <c r="B5" i="2"/>
  <c r="B6" i="2"/>
  <c r="B1" i="2"/>
  <c r="B8" i="2"/>
  <c r="B15" i="2"/>
  <c r="B10" i="2"/>
  <c r="B13" i="2"/>
  <c r="B9" i="2"/>
  <c r="B3" i="2"/>
  <c r="B14" i="2"/>
  <c r="C20" i="2"/>
  <c r="B12" i="2"/>
  <c r="D171" i="4" l="1"/>
  <c r="D172" i="4"/>
  <c r="D173" i="4"/>
  <c r="E173" i="4" s="1"/>
  <c r="D174" i="4"/>
  <c r="D175" i="4"/>
  <c r="D176" i="4"/>
  <c r="E176" i="4" s="1"/>
  <c r="D177" i="4"/>
  <c r="E177" i="4" s="1"/>
  <c r="D178" i="4"/>
  <c r="E178" i="4" s="1"/>
  <c r="D179" i="4"/>
  <c r="D180" i="4"/>
  <c r="D181" i="4"/>
  <c r="D182" i="4"/>
  <c r="D183" i="4"/>
  <c r="D184" i="4"/>
  <c r="E184" i="4" s="1"/>
  <c r="D185" i="4"/>
  <c r="E185" i="4" s="1"/>
  <c r="D186" i="4"/>
  <c r="E186" i="4" s="1"/>
  <c r="D187" i="4"/>
  <c r="D188" i="4"/>
  <c r="D189" i="4"/>
  <c r="D190" i="4"/>
  <c r="D191" i="4"/>
  <c r="D192" i="4"/>
  <c r="E192" i="4" s="1"/>
  <c r="D193" i="4"/>
  <c r="E193" i="4" s="1"/>
  <c r="D194" i="4"/>
  <c r="E194" i="4" s="1"/>
  <c r="D195" i="4"/>
  <c r="D196" i="4"/>
  <c r="D197" i="4"/>
  <c r="D198" i="4"/>
  <c r="D199" i="4"/>
  <c r="E199" i="4" s="1"/>
  <c r="D200" i="4"/>
  <c r="E200" i="4" s="1"/>
  <c r="D201" i="4"/>
  <c r="E201" i="4" s="1"/>
  <c r="D202" i="4"/>
  <c r="E202" i="4" s="1"/>
  <c r="D203" i="4"/>
  <c r="D204" i="4"/>
  <c r="D205" i="4"/>
  <c r="D206" i="4"/>
  <c r="D207" i="4"/>
  <c r="E207" i="4" s="1"/>
  <c r="D208" i="4"/>
  <c r="E208" i="4" s="1"/>
  <c r="D209" i="4"/>
  <c r="E209" i="4" s="1"/>
  <c r="D210" i="4"/>
  <c r="E210" i="4" s="1"/>
  <c r="D211" i="4"/>
  <c r="D212" i="4"/>
  <c r="D213" i="4"/>
  <c r="E213" i="4" s="1"/>
  <c r="D214" i="4"/>
  <c r="D215" i="4"/>
  <c r="D216" i="4"/>
  <c r="E216" i="4" s="1"/>
  <c r="D217" i="4"/>
  <c r="E217" i="4" s="1"/>
  <c r="D218" i="4"/>
  <c r="E218" i="4" s="1"/>
  <c r="D219" i="4"/>
  <c r="D220" i="4"/>
  <c r="D221" i="4"/>
  <c r="E221" i="4" s="1"/>
  <c r="D222" i="4"/>
  <c r="D223" i="4"/>
  <c r="E223" i="4" s="1"/>
  <c r="D224" i="4"/>
  <c r="E224" i="4" s="1"/>
  <c r="D225" i="4"/>
  <c r="E225" i="4" s="1"/>
  <c r="D226" i="4"/>
  <c r="E226" i="4" s="1"/>
  <c r="D227" i="4"/>
  <c r="D228" i="4"/>
  <c r="D229" i="4"/>
  <c r="D230" i="4"/>
  <c r="D231" i="4"/>
  <c r="D232" i="4"/>
  <c r="E232" i="4" s="1"/>
  <c r="D233" i="4"/>
  <c r="E233" i="4" s="1"/>
  <c r="D234" i="4"/>
  <c r="E234" i="4" s="1"/>
  <c r="D235" i="4"/>
  <c r="D236" i="4"/>
  <c r="D237" i="4"/>
  <c r="E237" i="4" s="1"/>
  <c r="D238" i="4"/>
  <c r="D239" i="4"/>
  <c r="D240" i="4"/>
  <c r="E240" i="4" s="1"/>
  <c r="D241" i="4"/>
  <c r="E241" i="4" s="1"/>
  <c r="D242" i="4"/>
  <c r="E242" i="4" s="1"/>
  <c r="D243" i="4"/>
  <c r="D244" i="4"/>
  <c r="D245" i="4"/>
  <c r="D246" i="4"/>
  <c r="D247" i="4"/>
  <c r="D248" i="4"/>
  <c r="E248" i="4" s="1"/>
  <c r="D249" i="4"/>
  <c r="E249" i="4" s="1"/>
  <c r="D250" i="4"/>
  <c r="E250" i="4" s="1"/>
  <c r="D251" i="4"/>
  <c r="D252" i="4"/>
  <c r="D253" i="4"/>
  <c r="D254" i="4"/>
  <c r="D255" i="4"/>
  <c r="D256" i="4"/>
  <c r="E256" i="4" s="1"/>
  <c r="D257" i="4"/>
  <c r="E257" i="4" s="1"/>
  <c r="D258" i="4"/>
  <c r="E258" i="4" s="1"/>
  <c r="D259" i="4"/>
  <c r="D260" i="4"/>
  <c r="D261" i="4"/>
  <c r="D262" i="4"/>
  <c r="D263" i="4"/>
  <c r="E263" i="4" s="1"/>
  <c r="D264" i="4"/>
  <c r="E264" i="4" s="1"/>
  <c r="D265" i="4"/>
  <c r="E265" i="4" s="1"/>
  <c r="D266" i="4"/>
  <c r="E266" i="4" s="1"/>
  <c r="D267" i="4"/>
  <c r="D268" i="4"/>
  <c r="D269" i="4"/>
  <c r="D270" i="4"/>
  <c r="D271" i="4"/>
  <c r="E271" i="4" s="1"/>
  <c r="D272" i="4"/>
  <c r="E272" i="4" s="1"/>
  <c r="D273" i="4"/>
  <c r="E273" i="4" s="1"/>
  <c r="D274" i="4"/>
  <c r="E274" i="4" s="1"/>
  <c r="D275" i="4"/>
  <c r="D276" i="4"/>
  <c r="D277" i="4"/>
  <c r="E277" i="4" s="1"/>
  <c r="D278" i="4"/>
  <c r="D279" i="4"/>
  <c r="D280" i="4"/>
  <c r="E280" i="4" s="1"/>
  <c r="D281" i="4"/>
  <c r="E281" i="4" s="1"/>
  <c r="D282" i="4"/>
  <c r="E282" i="4" s="1"/>
  <c r="D283" i="4"/>
  <c r="D284" i="4"/>
  <c r="D285" i="4"/>
  <c r="E285" i="4" s="1"/>
  <c r="D286" i="4"/>
  <c r="D287" i="4"/>
  <c r="E287" i="4" s="1"/>
  <c r="D288" i="4"/>
  <c r="E288" i="4" s="1"/>
  <c r="D289" i="4"/>
  <c r="E289" i="4" s="1"/>
  <c r="D290" i="4"/>
  <c r="E290" i="4" s="1"/>
  <c r="D291" i="4"/>
  <c r="D292" i="4"/>
  <c r="D293" i="4"/>
  <c r="D294" i="4"/>
  <c r="D295" i="4"/>
  <c r="E295" i="4" s="1"/>
  <c r="D296" i="4"/>
  <c r="E296" i="4" s="1"/>
  <c r="D297" i="4"/>
  <c r="E297" i="4" s="1"/>
  <c r="D298" i="4"/>
  <c r="E298" i="4" s="1"/>
  <c r="D299" i="4"/>
  <c r="D300" i="4"/>
  <c r="E300" i="4" s="1"/>
  <c r="D301" i="4"/>
  <c r="E301" i="4" s="1"/>
  <c r="D302" i="4"/>
  <c r="E303" i="4"/>
  <c r="D304" i="4"/>
  <c r="E304" i="4" s="1"/>
  <c r="D305" i="4"/>
  <c r="E305" i="4" s="1"/>
  <c r="D306" i="4"/>
  <c r="E306" i="4" s="1"/>
  <c r="D170" i="4"/>
  <c r="E302" i="4"/>
  <c r="E299" i="4"/>
  <c r="E294" i="4"/>
  <c r="E293" i="4"/>
  <c r="E292" i="4"/>
  <c r="E291" i="4"/>
  <c r="E286" i="4"/>
  <c r="E284" i="4"/>
  <c r="E283" i="4"/>
  <c r="E279" i="4"/>
  <c r="E278" i="4"/>
  <c r="E276" i="4"/>
  <c r="E275" i="4"/>
  <c r="E270" i="4"/>
  <c r="E269" i="4"/>
  <c r="E268" i="4"/>
  <c r="E267" i="4"/>
  <c r="E262" i="4"/>
  <c r="E261" i="4"/>
  <c r="E260" i="4"/>
  <c r="E259" i="4"/>
  <c r="E255" i="4"/>
  <c r="E254" i="4"/>
  <c r="E253" i="4"/>
  <c r="E252" i="4"/>
  <c r="E251" i="4"/>
  <c r="E247" i="4"/>
  <c r="E246" i="4"/>
  <c r="E245" i="4"/>
  <c r="E244" i="4"/>
  <c r="E243" i="4"/>
  <c r="E239" i="4"/>
  <c r="E238" i="4"/>
  <c r="E236" i="4"/>
  <c r="E235" i="4"/>
  <c r="E231" i="4"/>
  <c r="E230" i="4"/>
  <c r="E229" i="4"/>
  <c r="E228" i="4"/>
  <c r="E227" i="4"/>
  <c r="E222" i="4"/>
  <c r="E220" i="4"/>
  <c r="E219" i="4"/>
  <c r="E215" i="4"/>
  <c r="E214" i="4"/>
  <c r="E212" i="4"/>
  <c r="E211" i="4"/>
  <c r="E206" i="4"/>
  <c r="E205" i="4"/>
  <c r="E204" i="4"/>
  <c r="E203" i="4"/>
  <c r="E198" i="4"/>
  <c r="E197" i="4"/>
  <c r="E196" i="4"/>
  <c r="E195" i="4"/>
  <c r="E191" i="4"/>
  <c r="E190" i="4"/>
  <c r="E189" i="4"/>
  <c r="E188" i="4"/>
  <c r="E187" i="4"/>
  <c r="E183" i="4"/>
  <c r="E182" i="4"/>
  <c r="E181" i="4"/>
  <c r="E180" i="4"/>
  <c r="E179" i="4"/>
  <c r="E175" i="4"/>
  <c r="E174" i="4"/>
  <c r="E172" i="4"/>
  <c r="E171" i="4"/>
  <c r="E170" i="4"/>
  <c r="T29" i="2" l="1"/>
  <c r="T30" i="2" s="1"/>
  <c r="T31" i="2" s="1"/>
  <c r="T32" i="2" s="1"/>
  <c r="T33" i="2" s="1"/>
  <c r="T34" i="2" s="1"/>
  <c r="T35" i="2" s="1"/>
  <c r="T36" i="2" s="1"/>
  <c r="T27" i="2"/>
  <c r="T26" i="2" s="1"/>
  <c r="T25" i="2" s="1"/>
  <c r="T24" i="2" s="1"/>
  <c r="T23" i="2" s="1"/>
  <c r="T22" i="2" s="1"/>
  <c r="T21" i="2" s="1"/>
  <c r="T20" i="2" s="1"/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2" i="4"/>
  <c r="E20" i="2"/>
  <c r="K4" i="2" l="1"/>
  <c r="L4" i="2" s="1"/>
  <c r="K5" i="2"/>
  <c r="L5" i="2" s="1"/>
  <c r="K6" i="2"/>
  <c r="L6" i="2" s="1"/>
  <c r="K7" i="2"/>
  <c r="L7" i="2" s="1"/>
  <c r="K8" i="2"/>
  <c r="L8" i="2" s="1"/>
  <c r="K9" i="2"/>
  <c r="L9" i="2" s="1"/>
  <c r="K10" i="2"/>
  <c r="L10" i="2" s="1"/>
  <c r="K3" i="2"/>
  <c r="L3" i="2" s="1"/>
  <c r="N3" i="2"/>
  <c r="F12" i="2"/>
  <c r="O29" i="2" l="1"/>
  <c r="O30" i="2" s="1"/>
  <c r="O31" i="2" s="1"/>
  <c r="O32" i="2" s="1"/>
  <c r="O33" i="2" s="1"/>
  <c r="O34" i="2" s="1"/>
  <c r="O35" i="2" s="1"/>
  <c r="O36" i="2" s="1"/>
  <c r="O27" i="2"/>
  <c r="O26" i="2" s="1"/>
  <c r="O25" i="2" s="1"/>
  <c r="O24" i="2" s="1"/>
  <c r="O23" i="2" s="1"/>
  <c r="O22" i="2" s="1"/>
  <c r="O21" i="2" s="1"/>
  <c r="O20" i="2" s="1"/>
  <c r="O233" i="2" l="1"/>
  <c r="O234" i="2" s="1"/>
  <c r="O217" i="2" s="1"/>
  <c r="O218" i="2" s="1"/>
  <c r="O225" i="2" s="1"/>
  <c r="O226" i="2" s="1"/>
  <c r="O227" i="2" s="1"/>
  <c r="O228" i="2" s="1"/>
  <c r="O204" i="2"/>
  <c r="O203" i="2" s="1"/>
  <c r="O202" i="2" s="1"/>
  <c r="O201" i="2" s="1"/>
  <c r="O200" i="2" s="1"/>
  <c r="O199" i="2" s="1"/>
  <c r="O198" i="2" s="1"/>
  <c r="O197" i="2" s="1"/>
  <c r="F20" i="2"/>
  <c r="A20" i="2" l="1"/>
  <c r="B20" i="2"/>
  <c r="C21" i="2"/>
  <c r="A21" i="2" l="1"/>
  <c r="B21" i="2"/>
  <c r="M21" i="2"/>
  <c r="C22" i="2"/>
  <c r="B22" i="2" l="1"/>
  <c r="A22" i="2"/>
  <c r="H22" i="2"/>
  <c r="F22" i="2"/>
  <c r="I22" i="2"/>
  <c r="M22" i="2"/>
  <c r="G22" i="2"/>
  <c r="C23" i="2"/>
  <c r="J22" i="2" l="1"/>
  <c r="K22" i="2" s="1"/>
  <c r="A23" i="2"/>
  <c r="B23" i="2"/>
  <c r="I23" i="2"/>
  <c r="G23" i="2"/>
  <c r="H23" i="2"/>
  <c r="M23" i="2"/>
  <c r="F23" i="2"/>
  <c r="C24" i="2"/>
  <c r="J23" i="2" l="1"/>
  <c r="K23" i="2" s="1"/>
  <c r="B24" i="2"/>
  <c r="A24" i="2"/>
  <c r="I24" i="2"/>
  <c r="G24" i="2"/>
  <c r="H24" i="2"/>
  <c r="F24" i="2"/>
  <c r="M24" i="2"/>
  <c r="C25" i="2"/>
  <c r="J24" i="2" l="1"/>
  <c r="K24" i="2" s="1"/>
  <c r="A25" i="2"/>
  <c r="B25" i="2"/>
  <c r="G25" i="2"/>
  <c r="F25" i="2"/>
  <c r="M25" i="2"/>
  <c r="C26" i="2"/>
  <c r="H25" i="2"/>
  <c r="I25" i="2"/>
  <c r="J25" i="2" l="1"/>
  <c r="K25" i="2" s="1"/>
  <c r="B26" i="2"/>
  <c r="A26" i="2"/>
  <c r="C27" i="2"/>
  <c r="G26" i="2"/>
  <c r="M26" i="2"/>
  <c r="I26" i="2"/>
  <c r="F26" i="2"/>
  <c r="H26" i="2"/>
  <c r="J26" i="2" l="1"/>
  <c r="K26" i="2" s="1"/>
  <c r="A27" i="2"/>
  <c r="B27" i="2"/>
  <c r="G27" i="2"/>
  <c r="M27" i="2"/>
  <c r="I27" i="2"/>
  <c r="F27" i="2"/>
  <c r="H27" i="2"/>
  <c r="C28" i="2"/>
  <c r="J27" i="2" l="1"/>
  <c r="K27" i="2" s="1"/>
  <c r="B28" i="2"/>
  <c r="A28" i="2"/>
  <c r="F28" i="2"/>
  <c r="G28" i="2"/>
  <c r="H28" i="2"/>
  <c r="M28" i="2"/>
  <c r="I28" i="2"/>
  <c r="C29" i="2"/>
  <c r="J28" i="2" l="1"/>
  <c r="K28" i="2" s="1"/>
  <c r="A29" i="2"/>
  <c r="B29" i="2"/>
  <c r="I29" i="2"/>
  <c r="M29" i="2"/>
  <c r="G29" i="2"/>
  <c r="H29" i="2"/>
  <c r="F29" i="2"/>
  <c r="C30" i="2"/>
  <c r="J29" i="2" l="1"/>
  <c r="K29" i="2" s="1"/>
  <c r="B30" i="2"/>
  <c r="A30" i="2"/>
  <c r="F30" i="2"/>
  <c r="I30" i="2"/>
  <c r="G30" i="2"/>
  <c r="M30" i="2"/>
  <c r="H30" i="2"/>
  <c r="C31" i="2"/>
  <c r="J30" i="2" l="1"/>
  <c r="K30" i="2" s="1"/>
  <c r="A31" i="2"/>
  <c r="B31" i="2"/>
  <c r="H31" i="2"/>
  <c r="F31" i="2"/>
  <c r="C32" i="2"/>
  <c r="M31" i="2"/>
  <c r="I31" i="2"/>
  <c r="G31" i="2"/>
  <c r="J31" i="2" l="1"/>
  <c r="K31" i="2" s="1"/>
  <c r="B32" i="2"/>
  <c r="A32" i="2"/>
  <c r="I32" i="2"/>
  <c r="F32" i="2"/>
  <c r="M32" i="2"/>
  <c r="G32" i="2"/>
  <c r="H32" i="2"/>
  <c r="C33" i="2"/>
  <c r="J32" i="2" l="1"/>
  <c r="K32" i="2" s="1"/>
  <c r="A33" i="2"/>
  <c r="B33" i="2"/>
  <c r="F33" i="2"/>
  <c r="H33" i="2"/>
  <c r="M33" i="2"/>
  <c r="G33" i="2"/>
  <c r="I33" i="2"/>
  <c r="C34" i="2"/>
  <c r="J33" i="2" l="1"/>
  <c r="K33" i="2" s="1"/>
  <c r="A34" i="2"/>
  <c r="B34" i="2"/>
  <c r="G34" i="2"/>
  <c r="I34" i="2"/>
  <c r="M34" i="2"/>
  <c r="H34" i="2"/>
  <c r="F34" i="2"/>
  <c r="C35" i="2"/>
  <c r="J34" i="2" l="1"/>
  <c r="K34" i="2" s="1"/>
  <c r="A35" i="2"/>
  <c r="B35" i="2"/>
  <c r="G35" i="2"/>
  <c r="F35" i="2"/>
  <c r="M35" i="2"/>
  <c r="H35" i="2"/>
  <c r="I35" i="2"/>
  <c r="C36" i="2"/>
  <c r="J35" i="2" l="1"/>
  <c r="K35" i="2" s="1"/>
  <c r="A36" i="2"/>
  <c r="B36" i="2"/>
  <c r="I36" i="2"/>
  <c r="F36" i="2"/>
  <c r="H36" i="2"/>
  <c r="M36" i="2"/>
  <c r="G36" i="2"/>
  <c r="C37" i="2"/>
  <c r="J36" i="2" l="1"/>
  <c r="K36" i="2" s="1"/>
  <c r="B37" i="2"/>
  <c r="A37" i="2"/>
  <c r="H37" i="2"/>
  <c r="F37" i="2"/>
  <c r="I37" i="2"/>
  <c r="G37" i="2"/>
  <c r="M37" i="2"/>
  <c r="C38" i="2"/>
  <c r="J37" i="2" l="1"/>
  <c r="K37" i="2" s="1"/>
  <c r="B38" i="2"/>
  <c r="A38" i="2"/>
  <c r="G38" i="2"/>
  <c r="M38" i="2"/>
  <c r="F38" i="2"/>
  <c r="I38" i="2"/>
  <c r="H38" i="2"/>
  <c r="C39" i="2"/>
  <c r="J38" i="2" l="1"/>
  <c r="K38" i="2" s="1"/>
  <c r="B39" i="2"/>
  <c r="A39" i="2"/>
  <c r="H39" i="2"/>
  <c r="G39" i="2"/>
  <c r="M39" i="2"/>
  <c r="F39" i="2"/>
  <c r="I39" i="2"/>
  <c r="C40" i="2"/>
  <c r="J39" i="2" l="1"/>
  <c r="K39" i="2" s="1"/>
  <c r="A40" i="2"/>
  <c r="B40" i="2"/>
  <c r="G40" i="2"/>
  <c r="I40" i="2"/>
  <c r="M40" i="2"/>
  <c r="H40" i="2"/>
  <c r="F40" i="2"/>
  <c r="C41" i="2"/>
  <c r="J40" i="2" l="1"/>
  <c r="K40" i="2" s="1"/>
  <c r="B41" i="2"/>
  <c r="A41" i="2"/>
  <c r="G41" i="2"/>
  <c r="M41" i="2"/>
  <c r="I41" i="2"/>
  <c r="H41" i="2"/>
  <c r="F41" i="2"/>
  <c r="C42" i="2"/>
  <c r="J41" i="2" l="1"/>
  <c r="K41" i="2" s="1"/>
  <c r="B42" i="2"/>
  <c r="A42" i="2"/>
  <c r="F42" i="2"/>
  <c r="I42" i="2"/>
  <c r="H42" i="2"/>
  <c r="M42" i="2"/>
  <c r="C43" i="2"/>
  <c r="G42" i="2"/>
  <c r="J42" i="2" l="1"/>
  <c r="K42" i="2" s="1"/>
  <c r="B43" i="2"/>
  <c r="A43" i="2"/>
  <c r="M43" i="2"/>
  <c r="G43" i="2"/>
  <c r="H43" i="2"/>
  <c r="I43" i="2"/>
  <c r="F43" i="2"/>
  <c r="C44" i="2"/>
  <c r="J43" i="2" l="1"/>
  <c r="K43" i="2" s="1"/>
  <c r="A44" i="2"/>
  <c r="B44" i="2"/>
  <c r="F44" i="2"/>
  <c r="H44" i="2"/>
  <c r="I44" i="2"/>
  <c r="M44" i="2"/>
  <c r="G44" i="2"/>
  <c r="C45" i="2"/>
  <c r="J44" i="2" l="1"/>
  <c r="K44" i="2" s="1"/>
  <c r="A45" i="2"/>
  <c r="B45" i="2"/>
  <c r="I45" i="2"/>
  <c r="M45" i="2"/>
  <c r="H45" i="2"/>
  <c r="G45" i="2"/>
  <c r="F45" i="2"/>
  <c r="C46" i="2"/>
  <c r="J45" i="2" l="1"/>
  <c r="K45" i="2" s="1"/>
  <c r="B46" i="2"/>
  <c r="A46" i="2"/>
  <c r="M46" i="2"/>
  <c r="H46" i="2"/>
  <c r="I46" i="2"/>
  <c r="F46" i="2"/>
  <c r="C47" i="2"/>
  <c r="G46" i="2"/>
  <c r="J46" i="2" l="1"/>
  <c r="K46" i="2" s="1"/>
  <c r="B47" i="2"/>
  <c r="A47" i="2"/>
  <c r="G47" i="2"/>
  <c r="I47" i="2"/>
  <c r="F47" i="2"/>
  <c r="M47" i="2"/>
  <c r="H47" i="2"/>
  <c r="C48" i="2"/>
  <c r="J47" i="2" l="1"/>
  <c r="K47" i="2" s="1"/>
  <c r="A48" i="2"/>
  <c r="B48" i="2"/>
  <c r="H48" i="2"/>
  <c r="F48" i="2"/>
  <c r="G48" i="2"/>
  <c r="M48" i="2"/>
  <c r="C49" i="2"/>
  <c r="I48" i="2"/>
  <c r="J48" i="2" l="1"/>
  <c r="K48" i="2" s="1"/>
  <c r="B49" i="2"/>
  <c r="A49" i="2"/>
  <c r="H49" i="2"/>
  <c r="I49" i="2"/>
  <c r="G49" i="2"/>
  <c r="C50" i="2"/>
  <c r="F49" i="2"/>
  <c r="M49" i="2"/>
  <c r="J49" i="2" l="1"/>
  <c r="K49" i="2" s="1"/>
  <c r="B50" i="2"/>
  <c r="A50" i="2"/>
  <c r="I50" i="2"/>
  <c r="G50" i="2"/>
  <c r="F50" i="2"/>
  <c r="M50" i="2"/>
  <c r="H50" i="2"/>
  <c r="C51" i="2"/>
  <c r="J50" i="2" l="1"/>
  <c r="K50" i="2" s="1"/>
  <c r="A51" i="2"/>
  <c r="B51" i="2"/>
  <c r="F51" i="2"/>
  <c r="H51" i="2"/>
  <c r="G51" i="2"/>
  <c r="I51" i="2"/>
  <c r="M51" i="2"/>
  <c r="C52" i="2"/>
  <c r="J51" i="2" l="1"/>
  <c r="K51" i="2" s="1"/>
  <c r="A52" i="2"/>
  <c r="B52" i="2"/>
  <c r="F52" i="2"/>
  <c r="G52" i="2"/>
  <c r="I52" i="2"/>
  <c r="M52" i="2"/>
  <c r="H52" i="2"/>
  <c r="C53" i="2"/>
  <c r="J52" i="2" l="1"/>
  <c r="K52" i="2" s="1"/>
  <c r="A53" i="2"/>
  <c r="B53" i="2"/>
  <c r="G53" i="2"/>
  <c r="M53" i="2"/>
  <c r="I53" i="2"/>
  <c r="H53" i="2"/>
  <c r="C54" i="2"/>
  <c r="F53" i="2"/>
  <c r="J53" i="2" l="1"/>
  <c r="K53" i="2" s="1"/>
  <c r="B54" i="2"/>
  <c r="A54" i="2"/>
  <c r="H54" i="2"/>
  <c r="M54" i="2"/>
  <c r="I54" i="2"/>
  <c r="F54" i="2"/>
  <c r="G54" i="2"/>
  <c r="C55" i="2"/>
  <c r="J54" i="2" l="1"/>
  <c r="K54" i="2" s="1"/>
  <c r="B55" i="2"/>
  <c r="A55" i="2"/>
  <c r="H55" i="2"/>
  <c r="I55" i="2"/>
  <c r="G55" i="2"/>
  <c r="F55" i="2"/>
  <c r="M55" i="2"/>
  <c r="C56" i="2"/>
  <c r="J55" i="2" l="1"/>
  <c r="K55" i="2" s="1"/>
  <c r="A56" i="2"/>
  <c r="B56" i="2"/>
  <c r="F56" i="2"/>
  <c r="M56" i="2"/>
  <c r="H56" i="2"/>
  <c r="G56" i="2"/>
  <c r="C57" i="2"/>
  <c r="I56" i="2"/>
  <c r="J56" i="2" l="1"/>
  <c r="K56" i="2" s="1"/>
  <c r="B57" i="2"/>
  <c r="A57" i="2"/>
  <c r="H57" i="2"/>
  <c r="F57" i="2"/>
  <c r="I57" i="2"/>
  <c r="G57" i="2"/>
  <c r="C58" i="2"/>
  <c r="M57" i="2"/>
  <c r="J57" i="2" l="1"/>
  <c r="K57" i="2" s="1"/>
  <c r="B58" i="2"/>
  <c r="A58" i="2"/>
  <c r="F58" i="2"/>
  <c r="G58" i="2"/>
  <c r="H58" i="2"/>
  <c r="M58" i="2"/>
  <c r="C59" i="2"/>
  <c r="I58" i="2"/>
  <c r="J58" i="2" l="1"/>
  <c r="K58" i="2" s="1"/>
  <c r="A59" i="2"/>
  <c r="B59" i="2"/>
  <c r="H59" i="2"/>
  <c r="I59" i="2"/>
  <c r="G59" i="2"/>
  <c r="F59" i="2"/>
  <c r="M59" i="2"/>
  <c r="C60" i="2"/>
  <c r="J59" i="2" l="1"/>
  <c r="K59" i="2" s="1"/>
  <c r="A60" i="2"/>
  <c r="B60" i="2"/>
  <c r="M60" i="2"/>
  <c r="I60" i="2"/>
  <c r="H60" i="2"/>
  <c r="F60" i="2"/>
  <c r="C61" i="2"/>
  <c r="G60" i="2"/>
  <c r="J60" i="2" l="1"/>
  <c r="K60" i="2" s="1"/>
  <c r="A61" i="2"/>
  <c r="B61" i="2"/>
  <c r="H61" i="2"/>
  <c r="M61" i="2"/>
  <c r="F61" i="2"/>
  <c r="I61" i="2"/>
  <c r="C62" i="2"/>
  <c r="G61" i="2"/>
  <c r="J61" i="2" l="1"/>
  <c r="K61" i="2" s="1"/>
  <c r="B62" i="2"/>
  <c r="A62" i="2"/>
  <c r="M62" i="2"/>
  <c r="I62" i="2"/>
  <c r="H62" i="2"/>
  <c r="F62" i="2"/>
  <c r="G62" i="2"/>
  <c r="C63" i="2"/>
  <c r="J62" i="2" l="1"/>
  <c r="K62" i="2" s="1"/>
  <c r="B63" i="2"/>
  <c r="A63" i="2"/>
  <c r="F63" i="2"/>
  <c r="I63" i="2"/>
  <c r="M63" i="2"/>
  <c r="G63" i="2"/>
  <c r="H63" i="2"/>
  <c r="C64" i="2"/>
  <c r="J63" i="2" l="1"/>
  <c r="K63" i="2" s="1"/>
  <c r="A64" i="2"/>
  <c r="B64" i="2"/>
  <c r="F64" i="2"/>
  <c r="G64" i="2"/>
  <c r="M64" i="2"/>
  <c r="H64" i="2"/>
  <c r="I64" i="2"/>
  <c r="C65" i="2"/>
  <c r="J64" i="2" l="1"/>
  <c r="K64" i="2" s="1"/>
  <c r="A65" i="2"/>
  <c r="B65" i="2"/>
  <c r="I65" i="2"/>
  <c r="G65" i="2"/>
  <c r="H65" i="2"/>
  <c r="M65" i="2"/>
  <c r="F65" i="2"/>
  <c r="C66" i="2"/>
  <c r="J65" i="2" l="1"/>
  <c r="K65" i="2" s="1"/>
  <c r="B66" i="2"/>
  <c r="A66" i="2"/>
  <c r="H66" i="2"/>
  <c r="G66" i="2"/>
  <c r="I66" i="2"/>
  <c r="M66" i="2"/>
  <c r="F66" i="2"/>
  <c r="C67" i="2"/>
  <c r="J66" i="2" l="1"/>
  <c r="K66" i="2" s="1"/>
  <c r="A67" i="2"/>
  <c r="B67" i="2"/>
  <c r="M67" i="2"/>
  <c r="H67" i="2"/>
  <c r="I67" i="2"/>
  <c r="G67" i="2"/>
  <c r="F67" i="2"/>
  <c r="C68" i="2"/>
  <c r="J67" i="2" l="1"/>
  <c r="K67" i="2" s="1"/>
  <c r="A68" i="2"/>
  <c r="B68" i="2"/>
  <c r="F68" i="2"/>
  <c r="M68" i="2"/>
  <c r="I68" i="2"/>
  <c r="H68" i="2"/>
  <c r="G68" i="2"/>
  <c r="C69" i="2"/>
  <c r="J68" i="2" l="1"/>
  <c r="K68" i="2" s="1"/>
  <c r="A69" i="2"/>
  <c r="B69" i="2"/>
  <c r="F69" i="2"/>
  <c r="I69" i="2"/>
  <c r="H69" i="2"/>
  <c r="G69" i="2"/>
  <c r="M69" i="2"/>
  <c r="C70" i="2"/>
  <c r="J69" i="2" l="1"/>
  <c r="K69" i="2" s="1"/>
  <c r="B70" i="2"/>
  <c r="A70" i="2"/>
  <c r="H70" i="2"/>
  <c r="M70" i="2"/>
  <c r="I70" i="2"/>
  <c r="F70" i="2"/>
  <c r="G70" i="2"/>
  <c r="C71" i="2"/>
  <c r="J70" i="2" l="1"/>
  <c r="K70" i="2" s="1"/>
  <c r="B71" i="2"/>
  <c r="A71" i="2"/>
  <c r="I71" i="2"/>
  <c r="M71" i="2"/>
  <c r="G71" i="2"/>
  <c r="F71" i="2"/>
  <c r="H71" i="2"/>
  <c r="C72" i="2"/>
  <c r="J71" i="2" l="1"/>
  <c r="K71" i="2" s="1"/>
  <c r="A72" i="2"/>
  <c r="B72" i="2"/>
  <c r="H72" i="2"/>
  <c r="M72" i="2"/>
  <c r="I72" i="2"/>
  <c r="G72" i="2"/>
  <c r="F72" i="2"/>
  <c r="C73" i="2"/>
  <c r="J72" i="2" l="1"/>
  <c r="K72" i="2" s="1"/>
  <c r="B73" i="2"/>
  <c r="A73" i="2"/>
  <c r="F73" i="2"/>
  <c r="M73" i="2"/>
  <c r="I73" i="2"/>
  <c r="G73" i="2"/>
  <c r="H73" i="2"/>
  <c r="C74" i="2"/>
  <c r="J73" i="2" l="1"/>
  <c r="K73" i="2" s="1"/>
  <c r="B74" i="2"/>
  <c r="A74" i="2"/>
  <c r="I74" i="2"/>
  <c r="H74" i="2"/>
  <c r="M74" i="2"/>
  <c r="G74" i="2"/>
  <c r="F74" i="2"/>
  <c r="C75" i="2"/>
  <c r="J74" i="2" l="1"/>
  <c r="K74" i="2" s="1"/>
  <c r="B75" i="2"/>
  <c r="A75" i="2"/>
  <c r="M75" i="2"/>
  <c r="H75" i="2"/>
  <c r="F75" i="2"/>
  <c r="G75" i="2"/>
  <c r="I75" i="2"/>
  <c r="C76" i="2"/>
  <c r="J75" i="2" l="1"/>
  <c r="K75" i="2" s="1"/>
  <c r="A76" i="2"/>
  <c r="B76" i="2"/>
  <c r="F76" i="2"/>
  <c r="M76" i="2"/>
  <c r="G76" i="2"/>
  <c r="H76" i="2"/>
  <c r="I76" i="2"/>
  <c r="C77" i="2"/>
  <c r="J76" i="2" l="1"/>
  <c r="K76" i="2" s="1"/>
  <c r="A77" i="2"/>
  <c r="B77" i="2"/>
  <c r="I77" i="2"/>
  <c r="G77" i="2"/>
  <c r="F77" i="2"/>
  <c r="H77" i="2"/>
  <c r="M77" i="2"/>
  <c r="C78" i="2"/>
  <c r="J77" i="2" l="1"/>
  <c r="K77" i="2" s="1"/>
  <c r="B78" i="2"/>
  <c r="A78" i="2"/>
  <c r="I78" i="2"/>
  <c r="H78" i="2"/>
  <c r="F78" i="2"/>
  <c r="M78" i="2"/>
  <c r="G78" i="2"/>
  <c r="C79" i="2"/>
  <c r="J78" i="2" l="1"/>
  <c r="K78" i="2" s="1"/>
  <c r="B79" i="2"/>
  <c r="A79" i="2"/>
  <c r="I79" i="2"/>
  <c r="H79" i="2"/>
  <c r="G79" i="2"/>
  <c r="F79" i="2"/>
  <c r="M79" i="2"/>
  <c r="C80" i="2"/>
  <c r="J79" i="2" l="1"/>
  <c r="K79" i="2" s="1"/>
  <c r="A80" i="2"/>
  <c r="B80" i="2"/>
  <c r="F80" i="2"/>
  <c r="M80" i="2"/>
  <c r="I80" i="2"/>
  <c r="G80" i="2"/>
  <c r="H80" i="2"/>
  <c r="C81" i="2"/>
  <c r="J80" i="2" l="1"/>
  <c r="K80" i="2" s="1"/>
  <c r="B81" i="2"/>
  <c r="A81" i="2"/>
  <c r="H81" i="2"/>
  <c r="F81" i="2"/>
  <c r="G81" i="2"/>
  <c r="I81" i="2"/>
  <c r="M81" i="2"/>
  <c r="C82" i="2"/>
  <c r="J81" i="2" l="1"/>
  <c r="K81" i="2" s="1"/>
  <c r="B82" i="2"/>
  <c r="A82" i="2"/>
  <c r="G82" i="2"/>
  <c r="H82" i="2"/>
  <c r="I82" i="2"/>
  <c r="M82" i="2"/>
  <c r="F82" i="2"/>
  <c r="C83" i="2"/>
  <c r="J82" i="2" l="1"/>
  <c r="K82" i="2" s="1"/>
  <c r="B83" i="2"/>
  <c r="A83" i="2"/>
  <c r="M83" i="2"/>
  <c r="G83" i="2"/>
  <c r="I83" i="2"/>
  <c r="H83" i="2"/>
  <c r="F83" i="2"/>
  <c r="C84" i="2"/>
  <c r="J83" i="2" l="1"/>
  <c r="K83" i="2" s="1"/>
  <c r="A84" i="2"/>
  <c r="B84" i="2"/>
  <c r="H84" i="2"/>
  <c r="F84" i="2"/>
  <c r="G84" i="2"/>
  <c r="I84" i="2"/>
  <c r="M84" i="2"/>
  <c r="C85" i="2"/>
  <c r="J84" i="2" l="1"/>
  <c r="K84" i="2" s="1"/>
  <c r="A85" i="2"/>
  <c r="B85" i="2"/>
  <c r="G85" i="2"/>
  <c r="M85" i="2"/>
  <c r="F85" i="2"/>
  <c r="I85" i="2"/>
  <c r="H85" i="2"/>
  <c r="C86" i="2"/>
  <c r="J85" i="2" l="1"/>
  <c r="K85" i="2" s="1"/>
  <c r="B86" i="2"/>
  <c r="A86" i="2"/>
  <c r="M86" i="2"/>
  <c r="F86" i="2"/>
  <c r="G86" i="2"/>
  <c r="I86" i="2"/>
  <c r="H86" i="2"/>
  <c r="C87" i="2"/>
  <c r="J86" i="2" l="1"/>
  <c r="K86" i="2" s="1"/>
  <c r="B87" i="2"/>
  <c r="A87" i="2"/>
  <c r="I87" i="2"/>
  <c r="F87" i="2"/>
  <c r="M87" i="2"/>
  <c r="H87" i="2"/>
  <c r="G87" i="2"/>
  <c r="C88" i="2"/>
  <c r="J87" i="2" l="1"/>
  <c r="K87" i="2" s="1"/>
  <c r="A88" i="2"/>
  <c r="B88" i="2"/>
  <c r="I88" i="2"/>
  <c r="M88" i="2"/>
  <c r="F88" i="2"/>
  <c r="H88" i="2"/>
  <c r="G88" i="2"/>
  <c r="C89" i="2"/>
  <c r="J88" i="2" l="1"/>
  <c r="K88" i="2" s="1"/>
  <c r="B89" i="2"/>
  <c r="A89" i="2"/>
  <c r="I89" i="2"/>
  <c r="M89" i="2"/>
  <c r="F89" i="2"/>
  <c r="G89" i="2"/>
  <c r="H89" i="2"/>
  <c r="C90" i="2"/>
  <c r="J89" i="2" l="1"/>
  <c r="K89" i="2" s="1"/>
  <c r="B90" i="2"/>
  <c r="A90" i="2"/>
  <c r="H90" i="2"/>
  <c r="F90" i="2"/>
  <c r="I90" i="2"/>
  <c r="M90" i="2"/>
  <c r="G90" i="2"/>
  <c r="C91" i="2"/>
  <c r="J90" i="2" l="1"/>
  <c r="K90" i="2" s="1"/>
  <c r="B91" i="2"/>
  <c r="A91" i="2"/>
  <c r="M91" i="2"/>
  <c r="F91" i="2"/>
  <c r="H91" i="2"/>
  <c r="G91" i="2"/>
  <c r="I91" i="2"/>
  <c r="C92" i="2"/>
  <c r="J91" i="2" l="1"/>
  <c r="K91" i="2" s="1"/>
  <c r="A92" i="2"/>
  <c r="B92" i="2"/>
  <c r="G92" i="2"/>
  <c r="F92" i="2"/>
  <c r="M92" i="2"/>
  <c r="I92" i="2"/>
  <c r="H92" i="2"/>
  <c r="C93" i="2"/>
  <c r="J92" i="2" l="1"/>
  <c r="K92" i="2" s="1"/>
  <c r="A93" i="2"/>
  <c r="B93" i="2"/>
  <c r="H93" i="2"/>
  <c r="M93" i="2"/>
  <c r="F93" i="2"/>
  <c r="G93" i="2"/>
  <c r="I93" i="2"/>
  <c r="C94" i="2"/>
  <c r="J93" i="2" l="1"/>
  <c r="K93" i="2" s="1"/>
  <c r="B94" i="2"/>
  <c r="A94" i="2"/>
  <c r="H94" i="2"/>
  <c r="E94" i="2"/>
  <c r="G94" i="2"/>
  <c r="M94" i="2"/>
  <c r="I94" i="2"/>
  <c r="F94" i="2"/>
  <c r="C95" i="2"/>
  <c r="L94" i="2" l="1"/>
  <c r="J94" i="2"/>
  <c r="K94" i="2" s="1"/>
  <c r="B95" i="2"/>
  <c r="A95" i="2"/>
  <c r="M95" i="2"/>
  <c r="H95" i="2"/>
  <c r="E95" i="2"/>
  <c r="G95" i="2"/>
  <c r="I95" i="2"/>
  <c r="F95" i="2"/>
  <c r="C96" i="2"/>
  <c r="L95" i="2" l="1"/>
  <c r="J95" i="2"/>
  <c r="K95" i="2" s="1"/>
  <c r="A96" i="2"/>
  <c r="B96" i="2"/>
  <c r="F96" i="2"/>
  <c r="E96" i="2"/>
  <c r="M96" i="2"/>
  <c r="I96" i="2"/>
  <c r="H96" i="2"/>
  <c r="G96" i="2"/>
  <c r="C97" i="2"/>
  <c r="L96" i="2" l="1"/>
  <c r="J96" i="2"/>
  <c r="K96" i="2" s="1"/>
  <c r="B97" i="2"/>
  <c r="A97" i="2"/>
  <c r="H97" i="2"/>
  <c r="I97" i="2"/>
  <c r="M97" i="2"/>
  <c r="F97" i="2"/>
  <c r="G97" i="2"/>
  <c r="C98" i="2"/>
  <c r="J97" i="2" l="1"/>
  <c r="K97" i="2" s="1"/>
  <c r="B98" i="2"/>
  <c r="A98" i="2"/>
  <c r="M98" i="2"/>
  <c r="F98" i="2"/>
  <c r="I98" i="2"/>
  <c r="H98" i="2"/>
  <c r="G98" i="2"/>
  <c r="C99" i="2"/>
  <c r="J98" i="2" l="1"/>
  <c r="K98" i="2" s="1"/>
  <c r="A99" i="2"/>
  <c r="B99" i="2"/>
  <c r="H99" i="2"/>
  <c r="G99" i="2"/>
  <c r="I99" i="2"/>
  <c r="M99" i="2"/>
  <c r="F99" i="2"/>
  <c r="C100" i="2"/>
  <c r="J99" i="2" l="1"/>
  <c r="K99" i="2" s="1"/>
  <c r="A100" i="2"/>
  <c r="B100" i="2"/>
  <c r="M100" i="2"/>
  <c r="I100" i="2"/>
  <c r="G100" i="2"/>
  <c r="H100" i="2"/>
  <c r="F100" i="2"/>
  <c r="C101" i="2"/>
  <c r="J100" i="2" l="1"/>
  <c r="K100" i="2" s="1"/>
  <c r="A101" i="2"/>
  <c r="B101" i="2"/>
  <c r="I101" i="2"/>
  <c r="F101" i="2"/>
  <c r="G101" i="2"/>
  <c r="H101" i="2"/>
  <c r="M101" i="2"/>
  <c r="C102" i="2"/>
  <c r="J101" i="2" l="1"/>
  <c r="K101" i="2" s="1"/>
  <c r="B102" i="2"/>
  <c r="A102" i="2"/>
  <c r="G102" i="2"/>
  <c r="H102" i="2"/>
  <c r="M102" i="2"/>
  <c r="F102" i="2"/>
  <c r="I102" i="2"/>
  <c r="C103" i="2"/>
  <c r="J102" i="2" l="1"/>
  <c r="K102" i="2" s="1"/>
  <c r="B103" i="2"/>
  <c r="A103" i="2"/>
  <c r="G103" i="2"/>
  <c r="M103" i="2"/>
  <c r="I103" i="2"/>
  <c r="F103" i="2"/>
  <c r="H103" i="2"/>
  <c r="C104" i="2"/>
  <c r="J103" i="2" l="1"/>
  <c r="K103" i="2" s="1"/>
  <c r="A104" i="2"/>
  <c r="B104" i="2"/>
  <c r="F104" i="2"/>
  <c r="I104" i="2"/>
  <c r="G104" i="2"/>
  <c r="H104" i="2"/>
  <c r="M104" i="2"/>
  <c r="C105" i="2"/>
  <c r="J104" i="2" l="1"/>
  <c r="K104" i="2" s="1"/>
  <c r="B105" i="2"/>
  <c r="A105" i="2"/>
  <c r="F105" i="2"/>
  <c r="M105" i="2"/>
  <c r="H105" i="2"/>
  <c r="I105" i="2"/>
  <c r="G105" i="2"/>
  <c r="C106" i="2"/>
  <c r="J105" i="2" l="1"/>
  <c r="K105" i="2" s="1"/>
  <c r="B106" i="2"/>
  <c r="A106" i="2"/>
  <c r="I106" i="2"/>
  <c r="H106" i="2"/>
  <c r="G106" i="2"/>
  <c r="F106" i="2"/>
  <c r="M106" i="2"/>
  <c r="C107" i="2"/>
  <c r="J106" i="2" l="1"/>
  <c r="K106" i="2" s="1"/>
  <c r="A107" i="2"/>
  <c r="B107" i="2"/>
  <c r="F107" i="2"/>
  <c r="I107" i="2"/>
  <c r="G107" i="2"/>
  <c r="H107" i="2"/>
  <c r="M107" i="2"/>
  <c r="C108" i="2"/>
  <c r="J107" i="2" l="1"/>
  <c r="K107" i="2" s="1"/>
  <c r="A108" i="2"/>
  <c r="B108" i="2"/>
  <c r="M108" i="2"/>
  <c r="G108" i="2"/>
  <c r="H108" i="2"/>
  <c r="F108" i="2"/>
  <c r="I108" i="2"/>
  <c r="C109" i="2"/>
  <c r="J108" i="2" l="1"/>
  <c r="K108" i="2" s="1"/>
  <c r="A109" i="2"/>
  <c r="B109" i="2"/>
  <c r="I109" i="2"/>
  <c r="G109" i="2"/>
  <c r="F109" i="2"/>
  <c r="M109" i="2"/>
  <c r="H109" i="2"/>
  <c r="C110" i="2"/>
  <c r="J109" i="2" l="1"/>
  <c r="K109" i="2" s="1"/>
  <c r="B110" i="2"/>
  <c r="A110" i="2"/>
  <c r="H110" i="2"/>
  <c r="M110" i="2"/>
  <c r="G110" i="2"/>
  <c r="I110" i="2"/>
  <c r="F110" i="2"/>
  <c r="C111" i="2"/>
  <c r="J110" i="2" l="1"/>
  <c r="K110" i="2" s="1"/>
  <c r="B111" i="2"/>
  <c r="A111" i="2"/>
  <c r="M111" i="2"/>
  <c r="G111" i="2"/>
  <c r="F111" i="2"/>
  <c r="I111" i="2"/>
  <c r="H111" i="2"/>
  <c r="C112" i="2"/>
  <c r="J111" i="2" l="1"/>
  <c r="K111" i="2" s="1"/>
  <c r="A112" i="2"/>
  <c r="B112" i="2"/>
  <c r="I112" i="2"/>
  <c r="F112" i="2"/>
  <c r="M112" i="2"/>
  <c r="H112" i="2"/>
  <c r="G112" i="2"/>
  <c r="C113" i="2"/>
  <c r="J112" i="2" l="1"/>
  <c r="K112" i="2" s="1"/>
  <c r="B113" i="2"/>
  <c r="A113" i="2"/>
  <c r="F113" i="2"/>
  <c r="G113" i="2"/>
  <c r="H113" i="2"/>
  <c r="M113" i="2"/>
  <c r="I113" i="2"/>
  <c r="C114" i="2"/>
  <c r="J113" i="2" l="1"/>
  <c r="K113" i="2" s="1"/>
  <c r="B114" i="2"/>
  <c r="A114" i="2"/>
  <c r="I114" i="2"/>
  <c r="H114" i="2"/>
  <c r="F114" i="2"/>
  <c r="G114" i="2"/>
  <c r="M114" i="2"/>
  <c r="C115" i="2"/>
  <c r="J114" i="2" l="1"/>
  <c r="K114" i="2" s="1"/>
  <c r="B115" i="2"/>
  <c r="A115" i="2"/>
  <c r="H115" i="2"/>
  <c r="F115" i="2"/>
  <c r="I115" i="2"/>
  <c r="G115" i="2"/>
  <c r="M115" i="2"/>
  <c r="C116" i="2"/>
  <c r="J115" i="2" l="1"/>
  <c r="K115" i="2" s="1"/>
  <c r="A116" i="2"/>
  <c r="B116" i="2"/>
  <c r="F116" i="2"/>
  <c r="H116" i="2"/>
  <c r="M116" i="2"/>
  <c r="I116" i="2"/>
  <c r="G116" i="2"/>
  <c r="C117" i="2"/>
  <c r="J116" i="2" l="1"/>
  <c r="K116" i="2" s="1"/>
  <c r="A117" i="2"/>
  <c r="B117" i="2"/>
  <c r="I117" i="2"/>
  <c r="G117" i="2"/>
  <c r="M117" i="2"/>
  <c r="F117" i="2"/>
  <c r="H117" i="2"/>
  <c r="C118" i="2"/>
  <c r="J117" i="2" l="1"/>
  <c r="K117" i="2" s="1"/>
  <c r="B118" i="2"/>
  <c r="A118" i="2"/>
  <c r="G118" i="2"/>
  <c r="F118" i="2"/>
  <c r="E118" i="2"/>
  <c r="I118" i="2"/>
  <c r="M118" i="2"/>
  <c r="H118" i="2"/>
  <c r="C119" i="2"/>
  <c r="L118" i="2" l="1"/>
  <c r="J118" i="2"/>
  <c r="K118" i="2" s="1"/>
  <c r="B119" i="2"/>
  <c r="A119" i="2"/>
  <c r="G119" i="2"/>
  <c r="F119" i="2"/>
  <c r="H119" i="2"/>
  <c r="E119" i="2"/>
  <c r="I119" i="2"/>
  <c r="M119" i="2"/>
  <c r="C120" i="2"/>
  <c r="L119" i="2" l="1"/>
  <c r="J119" i="2"/>
  <c r="K119" i="2" s="1"/>
  <c r="A120" i="2"/>
  <c r="B120" i="2"/>
  <c r="M120" i="2"/>
  <c r="F120" i="2"/>
  <c r="H120" i="2"/>
  <c r="E120" i="2"/>
  <c r="I120" i="2"/>
  <c r="G120" i="2"/>
  <c r="C121" i="2"/>
  <c r="L120" i="2" l="1"/>
  <c r="J120" i="2"/>
  <c r="K120" i="2" s="1"/>
  <c r="B121" i="2"/>
  <c r="A121" i="2"/>
  <c r="H121" i="2"/>
  <c r="G121" i="2"/>
  <c r="M121" i="2"/>
  <c r="I121" i="2"/>
  <c r="F121" i="2"/>
  <c r="C122" i="2"/>
  <c r="J121" i="2" l="1"/>
  <c r="K121" i="2" s="1"/>
  <c r="B122" i="2"/>
  <c r="A122" i="2"/>
  <c r="M122" i="2"/>
  <c r="G122" i="2"/>
  <c r="H122" i="2"/>
  <c r="I122" i="2"/>
  <c r="F122" i="2"/>
  <c r="C123" i="2"/>
  <c r="J122" i="2" l="1"/>
  <c r="K122" i="2" s="1"/>
  <c r="B123" i="2"/>
  <c r="A123" i="2"/>
  <c r="H123" i="2"/>
  <c r="I123" i="2"/>
  <c r="F123" i="2"/>
  <c r="E123" i="2"/>
  <c r="G123" i="2"/>
  <c r="M123" i="2"/>
  <c r="C124" i="2"/>
  <c r="L123" i="2" l="1"/>
  <c r="J123" i="2"/>
  <c r="K123" i="2" s="1"/>
  <c r="B124" i="2"/>
  <c r="A124" i="2"/>
  <c r="M124" i="2"/>
  <c r="G124" i="2"/>
  <c r="E124" i="2"/>
  <c r="F124" i="2"/>
  <c r="H124" i="2"/>
  <c r="I124" i="2"/>
  <c r="C125" i="2"/>
  <c r="L124" i="2" l="1"/>
  <c r="J124" i="2"/>
  <c r="K124" i="2" s="1"/>
  <c r="B125" i="2"/>
  <c r="A125" i="2"/>
  <c r="H125" i="2"/>
  <c r="I125" i="2"/>
  <c r="F125" i="2"/>
  <c r="G125" i="2"/>
  <c r="E125" i="2"/>
  <c r="M125" i="2"/>
  <c r="C126" i="2"/>
  <c r="L125" i="2" l="1"/>
  <c r="J125" i="2"/>
  <c r="K125" i="2" s="1"/>
  <c r="B126" i="2"/>
  <c r="A126" i="2"/>
  <c r="H126" i="2"/>
  <c r="I126" i="2"/>
  <c r="E126" i="2"/>
  <c r="G126" i="2"/>
  <c r="M126" i="2"/>
  <c r="F126" i="2"/>
  <c r="C127" i="2"/>
  <c r="L126" i="2" l="1"/>
  <c r="J126" i="2"/>
  <c r="K126" i="2" s="1"/>
  <c r="B127" i="2"/>
  <c r="A127" i="2"/>
  <c r="E127" i="2"/>
  <c r="I127" i="2"/>
  <c r="H127" i="2"/>
  <c r="G127" i="2"/>
  <c r="F127" i="2"/>
  <c r="M127" i="2"/>
  <c r="C128" i="2"/>
  <c r="L127" i="2" l="1"/>
  <c r="J127" i="2"/>
  <c r="K127" i="2" s="1"/>
  <c r="B128" i="2"/>
  <c r="A128" i="2"/>
  <c r="I128" i="2"/>
  <c r="H128" i="2"/>
  <c r="G128" i="2"/>
  <c r="E128" i="2"/>
  <c r="M128" i="2"/>
  <c r="F128" i="2"/>
  <c r="C129" i="2"/>
  <c r="L128" i="2" l="1"/>
  <c r="J128" i="2"/>
  <c r="K128" i="2" s="1"/>
  <c r="A129" i="2"/>
  <c r="B129" i="2"/>
  <c r="E129" i="2"/>
  <c r="I129" i="2"/>
  <c r="G129" i="2"/>
  <c r="M129" i="2"/>
  <c r="H129" i="2"/>
  <c r="F129" i="2"/>
  <c r="C130" i="2"/>
  <c r="L129" i="2" l="1"/>
  <c r="J129" i="2"/>
  <c r="K129" i="2" s="1"/>
  <c r="B130" i="2"/>
  <c r="A130" i="2"/>
  <c r="I130" i="2"/>
  <c r="F130" i="2"/>
  <c r="M130" i="2"/>
  <c r="E130" i="2"/>
  <c r="H130" i="2"/>
  <c r="G130" i="2"/>
  <c r="C131" i="2"/>
  <c r="L130" i="2" l="1"/>
  <c r="J130" i="2"/>
  <c r="K130" i="2" s="1"/>
  <c r="B131" i="2"/>
  <c r="A131" i="2"/>
  <c r="E131" i="2"/>
  <c r="G131" i="2"/>
  <c r="F131" i="2"/>
  <c r="I131" i="2"/>
  <c r="H131" i="2"/>
  <c r="M131" i="2"/>
  <c r="C132" i="2"/>
  <c r="L131" i="2" l="1"/>
  <c r="J131" i="2"/>
  <c r="K131" i="2" s="1"/>
  <c r="B132" i="2"/>
  <c r="A132" i="2"/>
  <c r="I132" i="2"/>
  <c r="M132" i="2"/>
  <c r="H132" i="2"/>
  <c r="F132" i="2"/>
  <c r="G132" i="2"/>
  <c r="E132" i="2"/>
  <c r="C133" i="2"/>
  <c r="L132" i="2" l="1"/>
  <c r="D132" i="2"/>
  <c r="J132" i="2"/>
  <c r="K132" i="2" s="1"/>
  <c r="B133" i="2"/>
  <c r="A133" i="2"/>
  <c r="E133" i="2"/>
  <c r="G133" i="2"/>
  <c r="I133" i="2"/>
  <c r="M133" i="2"/>
  <c r="H133" i="2"/>
  <c r="F133" i="2"/>
  <c r="C134" i="2"/>
  <c r="L133" i="2" l="1"/>
  <c r="J133" i="2"/>
  <c r="K133" i="2" s="1"/>
  <c r="D133" i="2"/>
  <c r="B134" i="2"/>
  <c r="A134" i="2"/>
  <c r="H134" i="2"/>
  <c r="I134" i="2"/>
  <c r="M134" i="2"/>
  <c r="F134" i="2"/>
  <c r="E134" i="2"/>
  <c r="G134" i="2"/>
  <c r="C135" i="2"/>
  <c r="L134" i="2" l="1"/>
  <c r="J134" i="2"/>
  <c r="K134" i="2" s="1"/>
  <c r="D134" i="2"/>
  <c r="A135" i="2"/>
  <c r="B135" i="2"/>
  <c r="E135" i="2"/>
  <c r="G135" i="2"/>
  <c r="F135" i="2"/>
  <c r="H135" i="2"/>
  <c r="M135" i="2"/>
  <c r="I135" i="2"/>
  <c r="C136" i="2"/>
  <c r="L135" i="2" l="1"/>
  <c r="J135" i="2"/>
  <c r="K135" i="2" s="1"/>
  <c r="D135" i="2"/>
  <c r="B136" i="2"/>
  <c r="A136" i="2"/>
  <c r="E121" i="2"/>
  <c r="H136" i="2"/>
  <c r="I136" i="2"/>
  <c r="M136" i="2"/>
  <c r="F136" i="2"/>
  <c r="G136" i="2"/>
  <c r="E136" i="2"/>
  <c r="C137" i="2"/>
  <c r="L121" i="2" l="1"/>
  <c r="L136" i="2"/>
  <c r="D136" i="2"/>
  <c r="J136" i="2"/>
  <c r="K136" i="2" s="1"/>
  <c r="B137" i="2"/>
  <c r="A137" i="2"/>
  <c r="F137" i="2"/>
  <c r="E122" i="2"/>
  <c r="M137" i="2"/>
  <c r="C138" i="2"/>
  <c r="E137" i="2"/>
  <c r="G137" i="2"/>
  <c r="H137" i="2"/>
  <c r="I137" i="2"/>
  <c r="L137" i="2" l="1"/>
  <c r="L122" i="2"/>
  <c r="J137" i="2"/>
  <c r="K137" i="2" s="1"/>
  <c r="D137" i="2"/>
  <c r="B138" i="2"/>
  <c r="A138" i="2"/>
  <c r="M138" i="2"/>
  <c r="E138" i="2"/>
  <c r="F138" i="2"/>
  <c r="I138" i="2"/>
  <c r="H138" i="2"/>
  <c r="G138" i="2"/>
  <c r="C139" i="2"/>
  <c r="L138" i="2" l="1"/>
  <c r="D138" i="2"/>
  <c r="J138" i="2"/>
  <c r="K138" i="2" s="1"/>
  <c r="B139" i="2"/>
  <c r="A139" i="2"/>
  <c r="G139" i="2"/>
  <c r="I139" i="2"/>
  <c r="H139" i="2"/>
  <c r="F139" i="2"/>
  <c r="E139" i="2"/>
  <c r="M139" i="2"/>
  <c r="C140" i="2"/>
  <c r="L139" i="2" l="1"/>
  <c r="D139" i="2"/>
  <c r="J139" i="2"/>
  <c r="K139" i="2" s="1"/>
  <c r="B140" i="2"/>
  <c r="A140" i="2"/>
  <c r="I140" i="2"/>
  <c r="M140" i="2"/>
  <c r="H140" i="2"/>
  <c r="E140" i="2"/>
  <c r="G140" i="2"/>
  <c r="E62" i="2"/>
  <c r="F140" i="2"/>
  <c r="C141" i="2"/>
  <c r="L140" i="2" l="1"/>
  <c r="L62" i="2"/>
  <c r="D140" i="2"/>
  <c r="J140" i="2"/>
  <c r="K140" i="2" s="1"/>
  <c r="B141" i="2"/>
  <c r="A141" i="2"/>
  <c r="I141" i="2"/>
  <c r="M141" i="2"/>
  <c r="H141" i="2"/>
  <c r="E63" i="2"/>
  <c r="F141" i="2"/>
  <c r="E141" i="2"/>
  <c r="G141" i="2"/>
  <c r="C142" i="2"/>
  <c r="L141" i="2" l="1"/>
  <c r="L63" i="2"/>
  <c r="J141" i="2"/>
  <c r="K141" i="2" s="1"/>
  <c r="D141" i="2"/>
  <c r="B142" i="2"/>
  <c r="A142" i="2"/>
  <c r="E142" i="2"/>
  <c r="H142" i="2"/>
  <c r="M142" i="2"/>
  <c r="F142" i="2"/>
  <c r="G142" i="2"/>
  <c r="I142" i="2"/>
  <c r="E64" i="2"/>
  <c r="C143" i="2"/>
  <c r="L142" i="2" l="1"/>
  <c r="L64" i="2"/>
  <c r="J142" i="2"/>
  <c r="K142" i="2" s="1"/>
  <c r="D142" i="2"/>
  <c r="B143" i="2"/>
  <c r="A143" i="2"/>
  <c r="D64" i="2"/>
  <c r="H143" i="2"/>
  <c r="I143" i="2"/>
  <c r="E65" i="2"/>
  <c r="E143" i="2"/>
  <c r="M143" i="2"/>
  <c r="F143" i="2"/>
  <c r="C144" i="2"/>
  <c r="G143" i="2"/>
  <c r="L65" i="2" l="1"/>
  <c r="L143" i="2"/>
  <c r="D143" i="2"/>
  <c r="J143" i="2"/>
  <c r="K143" i="2" s="1"/>
  <c r="B144" i="2"/>
  <c r="A144" i="2"/>
  <c r="D65" i="2"/>
  <c r="E144" i="2"/>
  <c r="G144" i="2"/>
  <c r="H144" i="2"/>
  <c r="E49" i="2"/>
  <c r="I144" i="2"/>
  <c r="M144" i="2"/>
  <c r="C145" i="2"/>
  <c r="F144" i="2"/>
  <c r="L144" i="2" l="1"/>
  <c r="L49" i="2"/>
  <c r="D144" i="2"/>
  <c r="J144" i="2"/>
  <c r="K144" i="2" s="1"/>
  <c r="A145" i="2"/>
  <c r="B145" i="2"/>
  <c r="E145" i="2"/>
  <c r="H145" i="2"/>
  <c r="G145" i="2"/>
  <c r="I145" i="2"/>
  <c r="E50" i="2"/>
  <c r="F145" i="2"/>
  <c r="M145" i="2"/>
  <c r="C146" i="2"/>
  <c r="L145" i="2" l="1"/>
  <c r="L50" i="2"/>
  <c r="D145" i="2"/>
  <c r="J145" i="2"/>
  <c r="K145" i="2" s="1"/>
  <c r="B146" i="2"/>
  <c r="A146" i="2"/>
  <c r="I146" i="2"/>
  <c r="H146" i="2"/>
  <c r="G146" i="2"/>
  <c r="E53" i="2"/>
  <c r="E146" i="2"/>
  <c r="F146" i="2"/>
  <c r="M146" i="2"/>
  <c r="C147" i="2"/>
  <c r="L146" i="2" l="1"/>
  <c r="L53" i="2"/>
  <c r="D146" i="2"/>
  <c r="J146" i="2"/>
  <c r="K146" i="2" s="1"/>
  <c r="B147" i="2"/>
  <c r="A147" i="2"/>
  <c r="G147" i="2"/>
  <c r="I147" i="2"/>
  <c r="F147" i="2"/>
  <c r="E147" i="2"/>
  <c r="M147" i="2"/>
  <c r="H147" i="2"/>
  <c r="E54" i="2"/>
  <c r="C148" i="2"/>
  <c r="L54" i="2" l="1"/>
  <c r="L147" i="2"/>
  <c r="J147" i="2"/>
  <c r="K147" i="2" s="1"/>
  <c r="D147" i="2"/>
  <c r="B148" i="2"/>
  <c r="A148" i="2"/>
  <c r="I148" i="2"/>
  <c r="H148" i="2"/>
  <c r="M148" i="2"/>
  <c r="F148" i="2"/>
  <c r="E55" i="2"/>
  <c r="G148" i="2"/>
  <c r="C149" i="2"/>
  <c r="E148" i="2"/>
  <c r="L148" i="2" l="1"/>
  <c r="L55" i="2"/>
  <c r="D148" i="2"/>
  <c r="J148" i="2"/>
  <c r="K148" i="2" s="1"/>
  <c r="A149" i="2"/>
  <c r="B149" i="2"/>
  <c r="H149" i="2"/>
  <c r="G149" i="2"/>
  <c r="I149" i="2"/>
  <c r="E149" i="2"/>
  <c r="F149" i="2"/>
  <c r="M149" i="2"/>
  <c r="E56" i="2"/>
  <c r="C150" i="2"/>
  <c r="L56" i="2" l="1"/>
  <c r="L149" i="2"/>
  <c r="D149" i="2"/>
  <c r="J149" i="2"/>
  <c r="K149" i="2" s="1"/>
  <c r="B150" i="2"/>
  <c r="A150" i="2"/>
  <c r="G150" i="2"/>
  <c r="E150" i="2"/>
  <c r="M150" i="2"/>
  <c r="I150" i="2"/>
  <c r="H150" i="2"/>
  <c r="F150" i="2"/>
  <c r="C151" i="2"/>
  <c r="L150" i="2" l="1"/>
  <c r="J150" i="2"/>
  <c r="K150" i="2" s="1"/>
  <c r="D150" i="2"/>
  <c r="A151" i="2"/>
  <c r="B151" i="2"/>
  <c r="H151" i="2"/>
  <c r="G151" i="2"/>
  <c r="E151" i="2"/>
  <c r="F151" i="2"/>
  <c r="I151" i="2"/>
  <c r="E59" i="2"/>
  <c r="M151" i="2"/>
  <c r="C152" i="2"/>
  <c r="L59" i="2" l="1"/>
  <c r="L151" i="2"/>
  <c r="D151" i="2"/>
  <c r="J151" i="2"/>
  <c r="K151" i="2" s="1"/>
  <c r="B152" i="2"/>
  <c r="A152" i="2"/>
  <c r="I152" i="2"/>
  <c r="E60" i="2"/>
  <c r="H152" i="2"/>
  <c r="G152" i="2"/>
  <c r="C153" i="2"/>
  <c r="E152" i="2"/>
  <c r="F152" i="2"/>
  <c r="M152" i="2"/>
  <c r="L60" i="2" l="1"/>
  <c r="L152" i="2"/>
  <c r="J152" i="2"/>
  <c r="K152" i="2" s="1"/>
  <c r="D152" i="2"/>
  <c r="B153" i="2"/>
  <c r="A153" i="2"/>
  <c r="F153" i="2"/>
  <c r="E61" i="2"/>
  <c r="M153" i="2"/>
  <c r="I153" i="2"/>
  <c r="G153" i="2"/>
  <c r="H153" i="2"/>
  <c r="E153" i="2"/>
  <c r="C154" i="2"/>
  <c r="L153" i="2" l="1"/>
  <c r="L61" i="2"/>
  <c r="D153" i="2"/>
  <c r="J153" i="2"/>
  <c r="K153" i="2" s="1"/>
  <c r="B154" i="2"/>
  <c r="A154" i="2"/>
  <c r="I154" i="2"/>
  <c r="E154" i="2"/>
  <c r="H154" i="2"/>
  <c r="M154" i="2"/>
  <c r="E89" i="2"/>
  <c r="G154" i="2"/>
  <c r="F154" i="2"/>
  <c r="C155" i="2"/>
  <c r="L154" i="2" l="1"/>
  <c r="L89" i="2"/>
  <c r="J154" i="2"/>
  <c r="K154" i="2" s="1"/>
  <c r="D154" i="2"/>
  <c r="B155" i="2"/>
  <c r="A155" i="2"/>
  <c r="I155" i="2"/>
  <c r="F155" i="2"/>
  <c r="E90" i="2"/>
  <c r="E155" i="2"/>
  <c r="G155" i="2"/>
  <c r="H155" i="2"/>
  <c r="M155" i="2"/>
  <c r="C156" i="2"/>
  <c r="L155" i="2" l="1"/>
  <c r="L90" i="2"/>
  <c r="J155" i="2"/>
  <c r="K155" i="2" s="1"/>
  <c r="D155" i="2"/>
  <c r="B156" i="2"/>
  <c r="A156" i="2"/>
  <c r="E156" i="2"/>
  <c r="G156" i="2"/>
  <c r="E40" i="2"/>
  <c r="M156" i="2"/>
  <c r="C157" i="2"/>
  <c r="F156" i="2"/>
  <c r="H156" i="2"/>
  <c r="I156" i="2"/>
  <c r="L156" i="2" l="1"/>
  <c r="L40" i="2"/>
  <c r="D156" i="2"/>
  <c r="J156" i="2"/>
  <c r="K156" i="2" s="1"/>
  <c r="B157" i="2"/>
  <c r="A157" i="2"/>
  <c r="H157" i="2"/>
  <c r="E41" i="2"/>
  <c r="G157" i="2"/>
  <c r="E157" i="2"/>
  <c r="F157" i="2"/>
  <c r="I157" i="2"/>
  <c r="M157" i="2"/>
  <c r="C158" i="2"/>
  <c r="L41" i="2" l="1"/>
  <c r="L157" i="2"/>
  <c r="J157" i="2"/>
  <c r="K157" i="2" s="1"/>
  <c r="D157" i="2"/>
  <c r="B158" i="2"/>
  <c r="A158" i="2"/>
  <c r="I158" i="2"/>
  <c r="M158" i="2"/>
  <c r="H158" i="2"/>
  <c r="E81" i="2"/>
  <c r="G158" i="2"/>
  <c r="E158" i="2"/>
  <c r="F158" i="2"/>
  <c r="C159" i="2"/>
  <c r="L81" i="2" l="1"/>
  <c r="L158" i="2"/>
  <c r="J158" i="2"/>
  <c r="K158" i="2" s="1"/>
  <c r="D158" i="2"/>
  <c r="B159" i="2"/>
  <c r="A159" i="2"/>
  <c r="M159" i="2"/>
  <c r="E159" i="2"/>
  <c r="F159" i="2"/>
  <c r="I159" i="2"/>
  <c r="H159" i="2"/>
  <c r="G159" i="2"/>
  <c r="E82" i="2"/>
  <c r="C160" i="2"/>
  <c r="L82" i="2" l="1"/>
  <c r="L159" i="2"/>
  <c r="J159" i="2"/>
  <c r="K159" i="2" s="1"/>
  <c r="D159" i="2"/>
  <c r="B160" i="2"/>
  <c r="A160" i="2"/>
  <c r="G160" i="2"/>
  <c r="F160" i="2"/>
  <c r="I160" i="2"/>
  <c r="E79" i="2"/>
  <c r="E160" i="2"/>
  <c r="H160" i="2"/>
  <c r="M160" i="2"/>
  <c r="C161" i="2"/>
  <c r="L160" i="2" l="1"/>
  <c r="L79" i="2"/>
  <c r="J160" i="2"/>
  <c r="K160" i="2" s="1"/>
  <c r="D160" i="2"/>
  <c r="A161" i="2"/>
  <c r="B161" i="2"/>
  <c r="E80" i="2"/>
  <c r="I161" i="2"/>
  <c r="G161" i="2"/>
  <c r="H161" i="2"/>
  <c r="M161" i="2"/>
  <c r="E161" i="2"/>
  <c r="F161" i="2"/>
  <c r="C162" i="2"/>
  <c r="L80" i="2" l="1"/>
  <c r="L161" i="2"/>
  <c r="J161" i="2"/>
  <c r="K161" i="2" s="1"/>
  <c r="D161" i="2"/>
  <c r="B162" i="2"/>
  <c r="A162" i="2"/>
  <c r="M162" i="2"/>
  <c r="G162" i="2"/>
  <c r="E162" i="2"/>
  <c r="F162" i="2"/>
  <c r="H162" i="2"/>
  <c r="E77" i="2"/>
  <c r="I162" i="2"/>
  <c r="C163" i="2"/>
  <c r="L162" i="2" l="1"/>
  <c r="L77" i="2"/>
  <c r="D162" i="2"/>
  <c r="J162" i="2"/>
  <c r="K162" i="2" s="1"/>
  <c r="B163" i="2"/>
  <c r="A163" i="2"/>
  <c r="G163" i="2"/>
  <c r="M163" i="2"/>
  <c r="H163" i="2"/>
  <c r="E163" i="2"/>
  <c r="F163" i="2"/>
  <c r="I163" i="2"/>
  <c r="E78" i="2"/>
  <c r="C164" i="2"/>
  <c r="L163" i="2" l="1"/>
  <c r="L78" i="2"/>
  <c r="J163" i="2"/>
  <c r="K163" i="2" s="1"/>
  <c r="D163" i="2"/>
  <c r="B164" i="2"/>
  <c r="A164" i="2"/>
  <c r="M164" i="2"/>
  <c r="E75" i="2"/>
  <c r="G164" i="2"/>
  <c r="F164" i="2"/>
  <c r="I164" i="2"/>
  <c r="E164" i="2"/>
  <c r="H164" i="2"/>
  <c r="C165" i="2"/>
  <c r="L75" i="2" l="1"/>
  <c r="L164" i="2"/>
  <c r="D164" i="2"/>
  <c r="J164" i="2"/>
  <c r="K164" i="2" s="1"/>
  <c r="A165" i="2"/>
  <c r="B165" i="2"/>
  <c r="H165" i="2"/>
  <c r="E165" i="2"/>
  <c r="M165" i="2"/>
  <c r="I165" i="2"/>
  <c r="G165" i="2"/>
  <c r="F165" i="2"/>
  <c r="E76" i="2"/>
  <c r="C166" i="2"/>
  <c r="L76" i="2" l="1"/>
  <c r="L165" i="2"/>
  <c r="J165" i="2"/>
  <c r="K165" i="2" s="1"/>
  <c r="D165" i="2"/>
  <c r="B166" i="2"/>
  <c r="A166" i="2"/>
  <c r="G166" i="2"/>
  <c r="E166" i="2"/>
  <c r="F166" i="2"/>
  <c r="M166" i="2"/>
  <c r="I166" i="2"/>
  <c r="H166" i="2"/>
  <c r="E72" i="2"/>
  <c r="C167" i="2"/>
  <c r="L72" i="2" l="1"/>
  <c r="L166" i="2"/>
  <c r="J166" i="2"/>
  <c r="K166" i="2" s="1"/>
  <c r="D166" i="2"/>
  <c r="A167" i="2"/>
  <c r="B167" i="2"/>
  <c r="M167" i="2"/>
  <c r="E73" i="2"/>
  <c r="E167" i="2"/>
  <c r="G167" i="2"/>
  <c r="I167" i="2"/>
  <c r="H167" i="2"/>
  <c r="F167" i="2"/>
  <c r="C168" i="2"/>
  <c r="L167" i="2" l="1"/>
  <c r="L73" i="2"/>
  <c r="J167" i="2"/>
  <c r="K167" i="2" s="1"/>
  <c r="D167" i="2"/>
  <c r="B168" i="2"/>
  <c r="A168" i="2"/>
  <c r="H168" i="2"/>
  <c r="M168" i="2"/>
  <c r="I168" i="2"/>
  <c r="F168" i="2"/>
  <c r="E74" i="2"/>
  <c r="E168" i="2"/>
  <c r="G168" i="2"/>
  <c r="C169" i="2"/>
  <c r="L168" i="2" l="1"/>
  <c r="L74" i="2"/>
  <c r="J168" i="2"/>
  <c r="K168" i="2" s="1"/>
  <c r="D168" i="2"/>
  <c r="A169" i="2"/>
  <c r="B169" i="2"/>
  <c r="D74" i="2"/>
  <c r="D75" i="2" s="1"/>
  <c r="D76" i="2" s="1"/>
  <c r="D77" i="2" s="1"/>
  <c r="D78" i="2" s="1"/>
  <c r="D79" i="2" s="1"/>
  <c r="D80" i="2" s="1"/>
  <c r="D81" i="2" s="1"/>
  <c r="D82" i="2" s="1"/>
  <c r="M169" i="2"/>
  <c r="F169" i="2"/>
  <c r="G169" i="2"/>
  <c r="E70" i="2"/>
  <c r="E169" i="2"/>
  <c r="H169" i="2"/>
  <c r="I169" i="2"/>
  <c r="C170" i="2"/>
  <c r="L70" i="2" l="1"/>
  <c r="L169" i="2"/>
  <c r="D169" i="2"/>
  <c r="J169" i="2"/>
  <c r="K169" i="2" s="1"/>
  <c r="B170" i="2"/>
  <c r="A170" i="2"/>
  <c r="G170" i="2"/>
  <c r="M170" i="2"/>
  <c r="H170" i="2"/>
  <c r="F170" i="2"/>
  <c r="E170" i="2"/>
  <c r="E71" i="2"/>
  <c r="I170" i="2"/>
  <c r="C171" i="2"/>
  <c r="L170" i="2" l="1"/>
  <c r="L71" i="2"/>
  <c r="J170" i="2"/>
  <c r="K170" i="2" s="1"/>
  <c r="D170" i="2"/>
  <c r="B171" i="2"/>
  <c r="A171" i="2"/>
  <c r="G171" i="2"/>
  <c r="M171" i="2"/>
  <c r="I171" i="2"/>
  <c r="E68" i="2"/>
  <c r="C172" i="2"/>
  <c r="F171" i="2"/>
  <c r="H171" i="2"/>
  <c r="E171" i="2"/>
  <c r="L68" i="2" l="1"/>
  <c r="L171" i="2"/>
  <c r="J171" i="2"/>
  <c r="K171" i="2" s="1"/>
  <c r="D171" i="2"/>
  <c r="B172" i="2"/>
  <c r="A172" i="2"/>
  <c r="E172" i="2"/>
  <c r="G172" i="2"/>
  <c r="F172" i="2"/>
  <c r="H172" i="2"/>
  <c r="E69" i="2"/>
  <c r="M172" i="2"/>
  <c r="I172" i="2"/>
  <c r="C173" i="2"/>
  <c r="L172" i="2" l="1"/>
  <c r="L69" i="2"/>
  <c r="D172" i="2"/>
  <c r="J172" i="2"/>
  <c r="K172" i="2" s="1"/>
  <c r="B173" i="2"/>
  <c r="A173" i="2"/>
  <c r="M173" i="2"/>
  <c r="H173" i="2"/>
  <c r="I173" i="2"/>
  <c r="G173" i="2"/>
  <c r="E66" i="2"/>
  <c r="E173" i="2"/>
  <c r="C174" i="2"/>
  <c r="F173" i="2"/>
  <c r="L66" i="2" l="1"/>
  <c r="L173" i="2"/>
  <c r="J173" i="2"/>
  <c r="K173" i="2" s="1"/>
  <c r="D173" i="2"/>
  <c r="B174" i="2"/>
  <c r="A174" i="2"/>
  <c r="D66" i="2"/>
  <c r="F174" i="2"/>
  <c r="E67" i="2"/>
  <c r="C175" i="2"/>
  <c r="G174" i="2"/>
  <c r="I174" i="2"/>
  <c r="E174" i="2"/>
  <c r="M174" i="2"/>
  <c r="H174" i="2"/>
  <c r="L67" i="2" l="1"/>
  <c r="L174" i="2"/>
  <c r="J174" i="2"/>
  <c r="K174" i="2" s="1"/>
  <c r="D174" i="2"/>
  <c r="B175" i="2"/>
  <c r="A175" i="2"/>
  <c r="D67" i="2"/>
  <c r="D68" i="2" s="1"/>
  <c r="D69" i="2" s="1"/>
  <c r="D70" i="2" s="1"/>
  <c r="D71" i="2" s="1"/>
  <c r="D72" i="2" s="1"/>
  <c r="D73" i="2" s="1"/>
  <c r="F175" i="2"/>
  <c r="E87" i="2"/>
  <c r="M175" i="2"/>
  <c r="C176" i="2"/>
  <c r="H175" i="2"/>
  <c r="E175" i="2"/>
  <c r="G175" i="2"/>
  <c r="I175" i="2"/>
  <c r="L175" i="2" l="1"/>
  <c r="L87" i="2"/>
  <c r="D175" i="2"/>
  <c r="J175" i="2"/>
  <c r="K175" i="2" s="1"/>
  <c r="B176" i="2"/>
  <c r="A176" i="2"/>
  <c r="G176" i="2"/>
  <c r="H176" i="2"/>
  <c r="E88" i="2"/>
  <c r="M176" i="2"/>
  <c r="F176" i="2"/>
  <c r="E176" i="2"/>
  <c r="I176" i="2"/>
  <c r="C177" i="2"/>
  <c r="L176" i="2" l="1"/>
  <c r="L88" i="2"/>
  <c r="D176" i="2"/>
  <c r="J176" i="2"/>
  <c r="K176" i="2" s="1"/>
  <c r="A177" i="2"/>
  <c r="B177" i="2"/>
  <c r="F177" i="2"/>
  <c r="C178" i="2"/>
  <c r="E177" i="2"/>
  <c r="G177" i="2"/>
  <c r="M177" i="2"/>
  <c r="H177" i="2"/>
  <c r="I177" i="2"/>
  <c r="E85" i="2"/>
  <c r="L85" i="2" l="1"/>
  <c r="L177" i="2"/>
  <c r="J177" i="2"/>
  <c r="K177" i="2" s="1"/>
  <c r="D177" i="2"/>
  <c r="B178" i="2"/>
  <c r="A178" i="2"/>
  <c r="I178" i="2"/>
  <c r="C179" i="2"/>
  <c r="E86" i="2"/>
  <c r="F178" i="2"/>
  <c r="H178" i="2"/>
  <c r="M178" i="2"/>
  <c r="G178" i="2"/>
  <c r="E178" i="2"/>
  <c r="L178" i="2" l="1"/>
  <c r="L86" i="2"/>
  <c r="J178" i="2"/>
  <c r="K178" i="2" s="1"/>
  <c r="D178" i="2"/>
  <c r="B179" i="2"/>
  <c r="A179" i="2"/>
  <c r="H179" i="2"/>
  <c r="C180" i="2"/>
  <c r="I179" i="2"/>
  <c r="F179" i="2"/>
  <c r="E179" i="2"/>
  <c r="M179" i="2"/>
  <c r="G179" i="2"/>
  <c r="E83" i="2"/>
  <c r="L83" i="2" l="1"/>
  <c r="L179" i="2"/>
  <c r="D179" i="2"/>
  <c r="J179" i="2"/>
  <c r="K179" i="2" s="1"/>
  <c r="B180" i="2"/>
  <c r="A180" i="2"/>
  <c r="D83" i="2"/>
  <c r="G180" i="2"/>
  <c r="E180" i="2"/>
  <c r="H180" i="2"/>
  <c r="F180" i="2"/>
  <c r="I180" i="2"/>
  <c r="E84" i="2"/>
  <c r="M180" i="2"/>
  <c r="C181" i="2"/>
  <c r="L180" i="2" l="1"/>
  <c r="L84" i="2"/>
  <c r="D180" i="2"/>
  <c r="J180" i="2"/>
  <c r="K180" i="2" s="1"/>
  <c r="A181" i="2"/>
  <c r="B181" i="2"/>
  <c r="D84" i="2"/>
  <c r="D85" i="2" s="1"/>
  <c r="D86" i="2" s="1"/>
  <c r="D87" i="2" s="1"/>
  <c r="D88" i="2" s="1"/>
  <c r="D89" i="2" s="1"/>
  <c r="D90" i="2" s="1"/>
  <c r="G181" i="2"/>
  <c r="E91" i="2"/>
  <c r="I181" i="2"/>
  <c r="F181" i="2"/>
  <c r="C182" i="2"/>
  <c r="H181" i="2"/>
  <c r="M181" i="2"/>
  <c r="E181" i="2"/>
  <c r="L91" i="2" l="1"/>
  <c r="L181" i="2"/>
  <c r="J181" i="2"/>
  <c r="K181" i="2" s="1"/>
  <c r="D181" i="2"/>
  <c r="B182" i="2"/>
  <c r="A182" i="2"/>
  <c r="D91" i="2"/>
  <c r="E92" i="2"/>
  <c r="M182" i="2"/>
  <c r="F182" i="2"/>
  <c r="G182" i="2"/>
  <c r="H182" i="2"/>
  <c r="E182" i="2"/>
  <c r="I182" i="2"/>
  <c r="C183" i="2"/>
  <c r="L182" i="2" l="1"/>
  <c r="L92" i="2"/>
  <c r="D182" i="2"/>
  <c r="J182" i="2"/>
  <c r="K182" i="2" s="1"/>
  <c r="A183" i="2"/>
  <c r="B183" i="2"/>
  <c r="D92" i="2"/>
  <c r="H183" i="2"/>
  <c r="E183" i="2"/>
  <c r="M183" i="2"/>
  <c r="C184" i="2"/>
  <c r="F183" i="2"/>
  <c r="G183" i="2"/>
  <c r="I183" i="2"/>
  <c r="E93" i="2"/>
  <c r="L183" i="2" l="1"/>
  <c r="L93" i="2"/>
  <c r="D183" i="2"/>
  <c r="J183" i="2"/>
  <c r="K183" i="2" s="1"/>
  <c r="B184" i="2"/>
  <c r="A184" i="2"/>
  <c r="D93" i="2"/>
  <c r="D94" i="2" s="1"/>
  <c r="D95" i="2" s="1"/>
  <c r="D96" i="2" s="1"/>
  <c r="H184" i="2"/>
  <c r="E47" i="2"/>
  <c r="I184" i="2"/>
  <c r="C185" i="2"/>
  <c r="G184" i="2"/>
  <c r="E184" i="2"/>
  <c r="F184" i="2"/>
  <c r="M184" i="2"/>
  <c r="L184" i="2" l="1"/>
  <c r="L47" i="2"/>
  <c r="J184" i="2"/>
  <c r="K184" i="2" s="1"/>
  <c r="D184" i="2"/>
  <c r="B185" i="2"/>
  <c r="A185" i="2"/>
  <c r="I185" i="2"/>
  <c r="H185" i="2"/>
  <c r="G185" i="2"/>
  <c r="M185" i="2"/>
  <c r="E48" i="2"/>
  <c r="F185" i="2"/>
  <c r="E185" i="2"/>
  <c r="C186" i="2"/>
  <c r="L185" i="2" l="1"/>
  <c r="L48" i="2"/>
  <c r="J185" i="2"/>
  <c r="K185" i="2" s="1"/>
  <c r="D185" i="2"/>
  <c r="B186" i="2"/>
  <c r="A186" i="2"/>
  <c r="G186" i="2"/>
  <c r="I186" i="2"/>
  <c r="E57" i="2"/>
  <c r="E186" i="2"/>
  <c r="F186" i="2"/>
  <c r="H186" i="2"/>
  <c r="M186" i="2"/>
  <c r="C187" i="2"/>
  <c r="L186" i="2" l="1"/>
  <c r="L57" i="2"/>
  <c r="J186" i="2"/>
  <c r="K186" i="2" s="1"/>
  <c r="D186" i="2"/>
  <c r="B187" i="2"/>
  <c r="A187" i="2"/>
  <c r="E187" i="2"/>
  <c r="E58" i="2"/>
  <c r="H187" i="2"/>
  <c r="M187" i="2"/>
  <c r="I187" i="2"/>
  <c r="F187" i="2"/>
  <c r="G187" i="2"/>
  <c r="C188" i="2"/>
  <c r="L58" i="2" l="1"/>
  <c r="L187" i="2"/>
  <c r="J187" i="2"/>
  <c r="K187" i="2" s="1"/>
  <c r="D187" i="2"/>
  <c r="B188" i="2"/>
  <c r="A188" i="2"/>
  <c r="G188" i="2"/>
  <c r="F188" i="2"/>
  <c r="M188" i="2"/>
  <c r="E188" i="2"/>
  <c r="H188" i="2"/>
  <c r="I188" i="2"/>
  <c r="C189" i="2"/>
  <c r="L188" i="2" l="1"/>
  <c r="D188" i="2"/>
  <c r="J188" i="2"/>
  <c r="K188" i="2" s="1"/>
  <c r="B189" i="2"/>
  <c r="A189" i="2"/>
  <c r="H189" i="2"/>
  <c r="E189" i="2"/>
  <c r="F189" i="2"/>
  <c r="M189" i="2"/>
  <c r="G189" i="2"/>
  <c r="I189" i="2"/>
  <c r="C190" i="2"/>
  <c r="L189" i="2" l="1"/>
  <c r="J189" i="2"/>
  <c r="K189" i="2" s="1"/>
  <c r="D189" i="2"/>
  <c r="B190" i="2"/>
  <c r="A190" i="2"/>
  <c r="F190" i="2"/>
  <c r="M190" i="2"/>
  <c r="H190" i="2"/>
  <c r="G190" i="2"/>
  <c r="I190" i="2"/>
  <c r="E190" i="2"/>
  <c r="C191" i="2"/>
  <c r="L190" i="2" l="1"/>
  <c r="D190" i="2"/>
  <c r="J190" i="2"/>
  <c r="K190" i="2" s="1"/>
  <c r="B191" i="2"/>
  <c r="A191" i="2"/>
  <c r="F191" i="2"/>
  <c r="I191" i="2"/>
  <c r="G191" i="2"/>
  <c r="H191" i="2"/>
  <c r="E191" i="2"/>
  <c r="M191" i="2"/>
  <c r="C192" i="2"/>
  <c r="L191" i="2" l="1"/>
  <c r="J191" i="2"/>
  <c r="K191" i="2" s="1"/>
  <c r="D191" i="2"/>
  <c r="B192" i="2"/>
  <c r="A192" i="2"/>
  <c r="F192" i="2"/>
  <c r="I192" i="2"/>
  <c r="M192" i="2"/>
  <c r="H192" i="2"/>
  <c r="E192" i="2"/>
  <c r="G192" i="2"/>
  <c r="C193" i="2"/>
  <c r="L192" i="2" l="1"/>
  <c r="D192" i="2"/>
  <c r="J192" i="2"/>
  <c r="K192" i="2" s="1"/>
  <c r="A193" i="2"/>
  <c r="B193" i="2"/>
  <c r="G193" i="2"/>
  <c r="F193" i="2"/>
  <c r="H193" i="2"/>
  <c r="E193" i="2"/>
  <c r="M193" i="2"/>
  <c r="I193" i="2"/>
  <c r="C194" i="2"/>
  <c r="L193" i="2" l="1"/>
  <c r="J193" i="2"/>
  <c r="K193" i="2" s="1"/>
  <c r="D193" i="2"/>
  <c r="B194" i="2"/>
  <c r="A194" i="2"/>
  <c r="M194" i="2"/>
  <c r="G194" i="2"/>
  <c r="H194" i="2"/>
  <c r="F194" i="2"/>
  <c r="E194" i="2"/>
  <c r="I194" i="2"/>
  <c r="C195" i="2"/>
  <c r="L194" i="2" l="1"/>
  <c r="J194" i="2"/>
  <c r="K194" i="2" s="1"/>
  <c r="D194" i="2"/>
  <c r="B195" i="2"/>
  <c r="A195" i="2"/>
  <c r="M195" i="2"/>
  <c r="E195" i="2"/>
  <c r="G195" i="2"/>
  <c r="H195" i="2"/>
  <c r="I195" i="2"/>
  <c r="F195" i="2"/>
  <c r="C196" i="2"/>
  <c r="L195" i="2" l="1"/>
  <c r="D195" i="2"/>
  <c r="J195" i="2"/>
  <c r="K195" i="2" s="1"/>
  <c r="B196" i="2"/>
  <c r="A196" i="2"/>
  <c r="E196" i="2"/>
  <c r="G196" i="2"/>
  <c r="H196" i="2"/>
  <c r="F196" i="2"/>
  <c r="I196" i="2"/>
  <c r="M196" i="2"/>
  <c r="C197" i="2"/>
  <c r="L196" i="2" l="1"/>
  <c r="D196" i="2"/>
  <c r="J196" i="2"/>
  <c r="K196" i="2" s="1"/>
  <c r="A197" i="2"/>
  <c r="B197" i="2"/>
  <c r="E197" i="2"/>
  <c r="M197" i="2"/>
  <c r="I197" i="2"/>
  <c r="F197" i="2"/>
  <c r="H197" i="2"/>
  <c r="G197" i="2"/>
  <c r="C198" i="2"/>
  <c r="L197" i="2" l="1"/>
  <c r="J197" i="2"/>
  <c r="K197" i="2" s="1"/>
  <c r="D197" i="2"/>
  <c r="B198" i="2"/>
  <c r="A198" i="2"/>
  <c r="F198" i="2"/>
  <c r="I198" i="2"/>
  <c r="G198" i="2"/>
  <c r="M198" i="2"/>
  <c r="H198" i="2"/>
  <c r="E198" i="2"/>
  <c r="C199" i="2"/>
  <c r="L198" i="2" l="1"/>
  <c r="D198" i="2"/>
  <c r="J198" i="2"/>
  <c r="K198" i="2" s="1"/>
  <c r="A199" i="2"/>
  <c r="B199" i="2"/>
  <c r="I199" i="2"/>
  <c r="E199" i="2"/>
  <c r="M199" i="2"/>
  <c r="G199" i="2"/>
  <c r="H199" i="2"/>
  <c r="F199" i="2"/>
  <c r="C200" i="2"/>
  <c r="L199" i="2" l="1"/>
  <c r="J199" i="2"/>
  <c r="K199" i="2" s="1"/>
  <c r="D199" i="2"/>
  <c r="B200" i="2"/>
  <c r="A200" i="2"/>
  <c r="I200" i="2"/>
  <c r="F200" i="2"/>
  <c r="H200" i="2"/>
  <c r="G200" i="2"/>
  <c r="M200" i="2"/>
  <c r="E200" i="2"/>
  <c r="C201" i="2"/>
  <c r="L200" i="2" l="1"/>
  <c r="D200" i="2"/>
  <c r="J200" i="2"/>
  <c r="K200" i="2" s="1"/>
  <c r="B201" i="2"/>
  <c r="A201" i="2"/>
  <c r="M201" i="2"/>
  <c r="H201" i="2"/>
  <c r="F201" i="2"/>
  <c r="G201" i="2"/>
  <c r="E201" i="2"/>
  <c r="I201" i="2"/>
  <c r="C202" i="2"/>
  <c r="L201" i="2" l="1"/>
  <c r="D201" i="2"/>
  <c r="J201" i="2"/>
  <c r="K201" i="2" s="1"/>
  <c r="B202" i="2"/>
  <c r="A202" i="2"/>
  <c r="M202" i="2"/>
  <c r="E202" i="2"/>
  <c r="H202" i="2"/>
  <c r="I202" i="2"/>
  <c r="F202" i="2"/>
  <c r="G202" i="2"/>
  <c r="C203" i="2"/>
  <c r="L202" i="2" l="1"/>
  <c r="D202" i="2"/>
  <c r="J202" i="2"/>
  <c r="K202" i="2" s="1"/>
  <c r="B203" i="2"/>
  <c r="A203" i="2"/>
  <c r="G203" i="2"/>
  <c r="M203" i="2"/>
  <c r="F203" i="2"/>
  <c r="H203" i="2"/>
  <c r="E203" i="2"/>
  <c r="I203" i="2"/>
  <c r="C204" i="2"/>
  <c r="L203" i="2" l="1"/>
  <c r="J203" i="2"/>
  <c r="K203" i="2" s="1"/>
  <c r="D203" i="2"/>
  <c r="B204" i="2"/>
  <c r="A204" i="2"/>
  <c r="F204" i="2"/>
  <c r="M204" i="2"/>
  <c r="G204" i="2"/>
  <c r="E204" i="2"/>
  <c r="I204" i="2"/>
  <c r="H204" i="2"/>
  <c r="C205" i="2"/>
  <c r="L204" i="2" l="1"/>
  <c r="D204" i="2"/>
  <c r="J204" i="2"/>
  <c r="K204" i="2" s="1"/>
  <c r="B205" i="2"/>
  <c r="A205" i="2"/>
  <c r="G205" i="2"/>
  <c r="I205" i="2"/>
  <c r="F205" i="2"/>
  <c r="M205" i="2"/>
  <c r="H205" i="2"/>
  <c r="C206" i="2"/>
  <c r="J205" i="2" l="1"/>
  <c r="K205" i="2" s="1"/>
  <c r="B206" i="2"/>
  <c r="A206" i="2"/>
  <c r="M206" i="2"/>
  <c r="F206" i="2"/>
  <c r="G206" i="2"/>
  <c r="H206" i="2"/>
  <c r="I206" i="2"/>
  <c r="C207" i="2"/>
  <c r="J206" i="2" l="1"/>
  <c r="K206" i="2" s="1"/>
  <c r="B207" i="2"/>
  <c r="A207" i="2"/>
  <c r="F207" i="2"/>
  <c r="M207" i="2"/>
  <c r="I207" i="2"/>
  <c r="G207" i="2"/>
  <c r="H207" i="2"/>
  <c r="C208" i="2"/>
  <c r="J207" i="2" l="1"/>
  <c r="K207" i="2" s="1"/>
  <c r="B208" i="2"/>
  <c r="A208" i="2"/>
  <c r="I208" i="2"/>
  <c r="H208" i="2"/>
  <c r="G208" i="2"/>
  <c r="F208" i="2"/>
  <c r="M208" i="2"/>
  <c r="C209" i="2"/>
  <c r="J208" i="2" l="1"/>
  <c r="K208" i="2" s="1"/>
  <c r="A209" i="2"/>
  <c r="B209" i="2"/>
  <c r="I209" i="2"/>
  <c r="F209" i="2"/>
  <c r="G209" i="2"/>
  <c r="M209" i="2"/>
  <c r="H209" i="2"/>
  <c r="C210" i="2"/>
  <c r="J209" i="2" l="1"/>
  <c r="K209" i="2" s="1"/>
  <c r="B210" i="2"/>
  <c r="A210" i="2"/>
  <c r="I210" i="2"/>
  <c r="F210" i="2"/>
  <c r="M210" i="2"/>
  <c r="H210" i="2"/>
  <c r="G210" i="2"/>
  <c r="C211" i="2"/>
  <c r="J210" i="2" l="1"/>
  <c r="K210" i="2" s="1"/>
  <c r="B211" i="2"/>
  <c r="A211" i="2"/>
  <c r="I211" i="2"/>
  <c r="H211" i="2"/>
  <c r="M211" i="2"/>
  <c r="G211" i="2"/>
  <c r="F211" i="2"/>
  <c r="C212" i="2"/>
  <c r="J211" i="2" l="1"/>
  <c r="K211" i="2" s="1"/>
  <c r="B212" i="2"/>
  <c r="A212" i="2"/>
  <c r="H212" i="2"/>
  <c r="F212" i="2"/>
  <c r="I212" i="2"/>
  <c r="G212" i="2"/>
  <c r="M212" i="2"/>
  <c r="C213" i="2"/>
  <c r="J212" i="2" l="1"/>
  <c r="K212" i="2" s="1"/>
  <c r="B213" i="2"/>
  <c r="A213" i="2"/>
  <c r="M213" i="2"/>
  <c r="H213" i="2"/>
  <c r="I213" i="2"/>
  <c r="G213" i="2"/>
  <c r="F213" i="2"/>
  <c r="C214" i="2"/>
  <c r="J213" i="2" l="1"/>
  <c r="K213" i="2" s="1"/>
  <c r="B214" i="2"/>
  <c r="A214" i="2"/>
  <c r="F214" i="2"/>
  <c r="I214" i="2"/>
  <c r="H214" i="2"/>
  <c r="M214" i="2"/>
  <c r="G214" i="2"/>
  <c r="C215" i="2"/>
  <c r="J214" i="2" l="1"/>
  <c r="K214" i="2" s="1"/>
  <c r="A215" i="2"/>
  <c r="B215" i="2"/>
  <c r="F215" i="2"/>
  <c r="G215" i="2"/>
  <c r="M215" i="2"/>
  <c r="I215" i="2"/>
  <c r="H215" i="2"/>
  <c r="C216" i="2"/>
  <c r="J215" i="2" l="1"/>
  <c r="K215" i="2" s="1"/>
  <c r="B216" i="2"/>
  <c r="A216" i="2"/>
  <c r="F216" i="2"/>
  <c r="M216" i="2"/>
  <c r="H216" i="2"/>
  <c r="I216" i="2"/>
  <c r="G216" i="2"/>
  <c r="C217" i="2"/>
  <c r="J216" i="2" l="1"/>
  <c r="K216" i="2" s="1"/>
  <c r="B217" i="2"/>
  <c r="A217" i="2"/>
  <c r="M217" i="2"/>
  <c r="G217" i="2"/>
  <c r="H217" i="2"/>
  <c r="E217" i="2"/>
  <c r="F217" i="2"/>
  <c r="I217" i="2"/>
  <c r="C218" i="2"/>
  <c r="L217" i="2" l="1"/>
  <c r="J217" i="2"/>
  <c r="K217" i="2" s="1"/>
  <c r="B218" i="2"/>
  <c r="A218" i="2"/>
  <c r="F218" i="2"/>
  <c r="E218" i="2"/>
  <c r="H218" i="2"/>
  <c r="I218" i="2"/>
  <c r="G218" i="2"/>
  <c r="M218" i="2"/>
  <c r="C219" i="2"/>
  <c r="L218" i="2" l="1"/>
  <c r="J218" i="2"/>
  <c r="K218" i="2" s="1"/>
  <c r="B219" i="2"/>
  <c r="A219" i="2"/>
  <c r="I219" i="2"/>
  <c r="F219" i="2"/>
  <c r="G219" i="2"/>
  <c r="H219" i="2"/>
  <c r="M219" i="2"/>
  <c r="C220" i="2"/>
  <c r="J219" i="2" l="1"/>
  <c r="K219" i="2" s="1"/>
  <c r="B220" i="2"/>
  <c r="A220" i="2"/>
  <c r="F220" i="2"/>
  <c r="H220" i="2"/>
  <c r="I220" i="2"/>
  <c r="M220" i="2"/>
  <c r="G220" i="2"/>
  <c r="C221" i="2"/>
  <c r="J220" i="2" l="1"/>
  <c r="K220" i="2" s="1"/>
  <c r="B221" i="2"/>
  <c r="A221" i="2"/>
  <c r="F221" i="2"/>
  <c r="I221" i="2"/>
  <c r="H221" i="2"/>
  <c r="G221" i="2"/>
  <c r="M221" i="2"/>
  <c r="C222" i="2"/>
  <c r="J221" i="2" l="1"/>
  <c r="K221" i="2" s="1"/>
  <c r="B222" i="2"/>
  <c r="A222" i="2"/>
  <c r="M222" i="2"/>
  <c r="F222" i="2"/>
  <c r="I222" i="2"/>
  <c r="G222" i="2"/>
  <c r="H222" i="2"/>
  <c r="C223" i="2"/>
  <c r="J222" i="2" l="1"/>
  <c r="K222" i="2" s="1"/>
  <c r="B223" i="2"/>
  <c r="A223" i="2"/>
  <c r="I223" i="2"/>
  <c r="F223" i="2"/>
  <c r="H223" i="2"/>
  <c r="M223" i="2"/>
  <c r="G223" i="2"/>
  <c r="E223" i="2"/>
  <c r="C224" i="2"/>
  <c r="L223" i="2" l="1"/>
  <c r="J223" i="2"/>
  <c r="K223" i="2" s="1"/>
  <c r="B224" i="2"/>
  <c r="A224" i="2"/>
  <c r="M224" i="2"/>
  <c r="F224" i="2"/>
  <c r="E224" i="2"/>
  <c r="G224" i="2"/>
  <c r="I224" i="2"/>
  <c r="H224" i="2"/>
  <c r="C225" i="2"/>
  <c r="L224" i="2" l="1"/>
  <c r="J224" i="2"/>
  <c r="K224" i="2" s="1"/>
  <c r="A225" i="2"/>
  <c r="B225" i="2"/>
  <c r="G225" i="2"/>
  <c r="I225" i="2"/>
  <c r="F225" i="2"/>
  <c r="E225" i="2"/>
  <c r="H225" i="2"/>
  <c r="M225" i="2"/>
  <c r="C226" i="2"/>
  <c r="L225" i="2" l="1"/>
  <c r="J225" i="2"/>
  <c r="K225" i="2" s="1"/>
  <c r="B226" i="2"/>
  <c r="A226" i="2"/>
  <c r="M226" i="2"/>
  <c r="H226" i="2"/>
  <c r="F226" i="2"/>
  <c r="E226" i="2"/>
  <c r="G226" i="2"/>
  <c r="I226" i="2"/>
  <c r="C227" i="2"/>
  <c r="L226" i="2" l="1"/>
  <c r="J226" i="2"/>
  <c r="K226" i="2" s="1"/>
  <c r="B227" i="2"/>
  <c r="A227" i="2"/>
  <c r="E227" i="2"/>
  <c r="H227" i="2"/>
  <c r="E27" i="2"/>
  <c r="G227" i="2"/>
  <c r="F227" i="2"/>
  <c r="M227" i="2"/>
  <c r="I227" i="2"/>
  <c r="C228" i="2"/>
  <c r="L227" i="2" l="1"/>
  <c r="L27" i="2"/>
  <c r="J227" i="2"/>
  <c r="K227" i="2" s="1"/>
  <c r="B228" i="2"/>
  <c r="A228" i="2"/>
  <c r="E28" i="2"/>
  <c r="M228" i="2"/>
  <c r="F228" i="2"/>
  <c r="H228" i="2"/>
  <c r="G228" i="2"/>
  <c r="E228" i="2"/>
  <c r="I228" i="2"/>
  <c r="C229" i="2"/>
  <c r="L28" i="2" l="1"/>
  <c r="L228" i="2"/>
  <c r="J228" i="2"/>
  <c r="K228" i="2" s="1"/>
  <c r="B229" i="2"/>
  <c r="A229" i="2"/>
  <c r="E29" i="2"/>
  <c r="E229" i="2"/>
  <c r="G229" i="2"/>
  <c r="H229" i="2"/>
  <c r="M229" i="2"/>
  <c r="F229" i="2"/>
  <c r="I229" i="2"/>
  <c r="C230" i="2"/>
  <c r="L29" i="2" l="1"/>
  <c r="L229" i="2"/>
  <c r="J229" i="2"/>
  <c r="K229" i="2" s="1"/>
  <c r="B230" i="2"/>
  <c r="A230" i="2"/>
  <c r="M230" i="2"/>
  <c r="E230" i="2"/>
  <c r="G230" i="2"/>
  <c r="I230" i="2"/>
  <c r="F230" i="2"/>
  <c r="H230" i="2"/>
  <c r="C231" i="2"/>
  <c r="L230" i="2" l="1"/>
  <c r="J230" i="2"/>
  <c r="K230" i="2" s="1"/>
  <c r="A231" i="2"/>
  <c r="B231" i="2"/>
  <c r="D20" i="2"/>
  <c r="G231" i="2"/>
  <c r="I21" i="2"/>
  <c r="H231" i="2"/>
  <c r="E21" i="2"/>
  <c r="F231" i="2"/>
  <c r="M231" i="2"/>
  <c r="F21" i="2"/>
  <c r="E231" i="2"/>
  <c r="I231" i="2"/>
  <c r="H21" i="2"/>
  <c r="G21" i="2"/>
  <c r="C232" i="2"/>
  <c r="L231" i="2" l="1"/>
  <c r="L21" i="2"/>
  <c r="J231" i="2"/>
  <c r="K231" i="2" s="1"/>
  <c r="B232" i="2"/>
  <c r="A232" i="2"/>
  <c r="J21" i="2"/>
  <c r="K21" i="2" s="1"/>
  <c r="D21" i="2"/>
  <c r="E22" i="2"/>
  <c r="E232" i="2"/>
  <c r="H232" i="2"/>
  <c r="C233" i="2"/>
  <c r="M232" i="2"/>
  <c r="I232" i="2"/>
  <c r="G232" i="2"/>
  <c r="F232" i="2"/>
  <c r="L22" i="2" l="1"/>
  <c r="L232" i="2"/>
  <c r="J232" i="2"/>
  <c r="K232" i="2" s="1"/>
  <c r="B233" i="2"/>
  <c r="A233" i="2"/>
  <c r="I233" i="2"/>
  <c r="M233" i="2"/>
  <c r="H233" i="2"/>
  <c r="E233" i="2"/>
  <c r="F233" i="2"/>
  <c r="G233" i="2"/>
  <c r="C234" i="2"/>
  <c r="L233" i="2" l="1"/>
  <c r="J233" i="2"/>
  <c r="K233" i="2" s="1"/>
  <c r="D233" i="2"/>
  <c r="B234" i="2"/>
  <c r="A234" i="2"/>
  <c r="D22" i="2"/>
  <c r="F234" i="2"/>
  <c r="H234" i="2"/>
  <c r="M234" i="2"/>
  <c r="E25" i="2"/>
  <c r="E234" i="2"/>
  <c r="I234" i="2"/>
  <c r="G234" i="2"/>
  <c r="C235" i="2"/>
  <c r="L25" i="2" l="1"/>
  <c r="L234" i="2"/>
  <c r="D234" i="2"/>
  <c r="J234" i="2"/>
  <c r="K234" i="2" s="1"/>
  <c r="B235" i="2"/>
  <c r="A235" i="2"/>
  <c r="H235" i="2"/>
  <c r="M235" i="2"/>
  <c r="G235" i="2"/>
  <c r="E26" i="2"/>
  <c r="I235" i="2"/>
  <c r="F235" i="2"/>
  <c r="C236" i="2"/>
  <c r="L26" i="2" l="1"/>
  <c r="B236" i="2"/>
  <c r="A236" i="2"/>
  <c r="J235" i="2"/>
  <c r="K235" i="2" s="1"/>
  <c r="I236" i="2"/>
  <c r="F236" i="2"/>
  <c r="G236" i="2"/>
  <c r="M236" i="2"/>
  <c r="H236" i="2"/>
  <c r="C237" i="2"/>
  <c r="B237" i="2" l="1"/>
  <c r="A237" i="2"/>
  <c r="J236" i="2"/>
  <c r="K236" i="2" s="1"/>
  <c r="C238" i="2"/>
  <c r="G237" i="2"/>
  <c r="F237" i="2"/>
  <c r="I237" i="2"/>
  <c r="M237" i="2"/>
  <c r="H237" i="2"/>
  <c r="B238" i="2" l="1"/>
  <c r="A238" i="2"/>
  <c r="J237" i="2"/>
  <c r="K237" i="2" s="1"/>
  <c r="G238" i="2"/>
  <c r="F238" i="2"/>
  <c r="H238" i="2"/>
  <c r="M238" i="2"/>
  <c r="I238" i="2"/>
  <c r="E23" i="2"/>
  <c r="L23" i="2" l="1"/>
  <c r="J238" i="2"/>
  <c r="K238" i="2" s="1"/>
  <c r="D23" i="2"/>
  <c r="C239" i="2"/>
  <c r="E24" i="2"/>
  <c r="L24" i="2" l="1"/>
  <c r="B239" i="2"/>
  <c r="A239" i="2"/>
  <c r="D24" i="2"/>
  <c r="D25" i="2" s="1"/>
  <c r="D26" i="2" s="1"/>
  <c r="D27" i="2" s="1"/>
  <c r="D28" i="2" s="1"/>
  <c r="D29" i="2" s="1"/>
  <c r="H239" i="2"/>
  <c r="I239" i="2"/>
  <c r="F239" i="2"/>
  <c r="G239" i="2"/>
  <c r="M239" i="2"/>
  <c r="C240" i="2"/>
  <c r="J239" i="2" l="1"/>
  <c r="K239" i="2" s="1"/>
  <c r="B240" i="2"/>
  <c r="A240" i="2"/>
  <c r="M240" i="2"/>
  <c r="I240" i="2"/>
  <c r="H240" i="2"/>
  <c r="E240" i="2"/>
  <c r="F240" i="2"/>
  <c r="G240" i="2"/>
  <c r="C241" i="2"/>
  <c r="L240" i="2" l="1"/>
  <c r="J240" i="2"/>
  <c r="K240" i="2" s="1"/>
  <c r="A241" i="2"/>
  <c r="B241" i="2"/>
  <c r="F241" i="2"/>
  <c r="E241" i="2"/>
  <c r="H241" i="2"/>
  <c r="M241" i="2"/>
  <c r="I241" i="2"/>
  <c r="G241" i="2"/>
  <c r="C242" i="2"/>
  <c r="L241" i="2" l="1"/>
  <c r="J241" i="2"/>
  <c r="K241" i="2" s="1"/>
  <c r="B242" i="2"/>
  <c r="A242" i="2"/>
  <c r="E242" i="2"/>
  <c r="H242" i="2"/>
  <c r="M242" i="2"/>
  <c r="F242" i="2"/>
  <c r="I242" i="2"/>
  <c r="G242" i="2"/>
  <c r="C243" i="2"/>
  <c r="L242" i="2" l="1"/>
  <c r="J242" i="2"/>
  <c r="K242" i="2" s="1"/>
  <c r="B243" i="2"/>
  <c r="A243" i="2"/>
  <c r="M243" i="2"/>
  <c r="I243" i="2"/>
  <c r="G243" i="2"/>
  <c r="H243" i="2"/>
  <c r="F243" i="2"/>
  <c r="C244" i="2"/>
  <c r="J243" i="2" l="1"/>
  <c r="K243" i="2" s="1"/>
  <c r="B244" i="2"/>
  <c r="A244" i="2"/>
  <c r="I244" i="2"/>
  <c r="M244" i="2"/>
  <c r="H244" i="2"/>
  <c r="F244" i="2"/>
  <c r="G244" i="2"/>
  <c r="C245" i="2"/>
  <c r="J244" i="2" l="1"/>
  <c r="K244" i="2" s="1"/>
  <c r="B245" i="2"/>
  <c r="A245" i="2"/>
  <c r="F245" i="2"/>
  <c r="H245" i="2"/>
  <c r="I245" i="2"/>
  <c r="G245" i="2"/>
  <c r="M245" i="2"/>
  <c r="C246" i="2"/>
  <c r="J245" i="2" l="1"/>
  <c r="K245" i="2" s="1"/>
  <c r="B246" i="2"/>
  <c r="A246" i="2"/>
  <c r="M246" i="2"/>
  <c r="F246" i="2"/>
  <c r="G246" i="2"/>
  <c r="I246" i="2"/>
  <c r="H246" i="2"/>
  <c r="C247" i="2"/>
  <c r="J246" i="2" l="1"/>
  <c r="K246" i="2" s="1"/>
  <c r="A247" i="2"/>
  <c r="B247" i="2"/>
  <c r="G247" i="2"/>
  <c r="F247" i="2"/>
  <c r="H247" i="2"/>
  <c r="M247" i="2"/>
  <c r="I247" i="2"/>
  <c r="C248" i="2"/>
  <c r="J247" i="2" l="1"/>
  <c r="K247" i="2" s="1"/>
  <c r="B248" i="2"/>
  <c r="A248" i="2"/>
  <c r="H248" i="2"/>
  <c r="I248" i="2"/>
  <c r="G248" i="2"/>
  <c r="M248" i="2"/>
  <c r="F248" i="2"/>
  <c r="C249" i="2"/>
  <c r="J248" i="2" l="1"/>
  <c r="K248" i="2" s="1"/>
  <c r="B249" i="2"/>
  <c r="A249" i="2"/>
  <c r="I249" i="2"/>
  <c r="F249" i="2"/>
  <c r="G249" i="2"/>
  <c r="M249" i="2"/>
  <c r="H249" i="2"/>
  <c r="C250" i="2"/>
  <c r="J249" i="2" l="1"/>
  <c r="K249" i="2" s="1"/>
  <c r="B250" i="2"/>
  <c r="A250" i="2"/>
  <c r="M250" i="2"/>
  <c r="E238" i="2"/>
  <c r="H250" i="2"/>
  <c r="I250" i="2"/>
  <c r="G250" i="2"/>
  <c r="F250" i="2"/>
  <c r="C251" i="2"/>
  <c r="L238" i="2" l="1"/>
  <c r="J250" i="2"/>
  <c r="K250" i="2" s="1"/>
  <c r="A251" i="2"/>
  <c r="B251" i="2"/>
  <c r="G251" i="2"/>
  <c r="I251" i="2"/>
  <c r="E239" i="2"/>
  <c r="F251" i="2"/>
  <c r="M251" i="2"/>
  <c r="H251" i="2"/>
  <c r="C252" i="2"/>
  <c r="L239" i="2" l="1"/>
  <c r="J251" i="2"/>
  <c r="K251" i="2" s="1"/>
  <c r="B252" i="2"/>
  <c r="A252" i="2"/>
  <c r="H252" i="2"/>
  <c r="E235" i="2"/>
  <c r="F252" i="2"/>
  <c r="G252" i="2"/>
  <c r="M252" i="2"/>
  <c r="I252" i="2"/>
  <c r="C253" i="2"/>
  <c r="L235" i="2" l="1"/>
  <c r="J252" i="2"/>
  <c r="K252" i="2" s="1"/>
  <c r="B253" i="2"/>
  <c r="A253" i="2"/>
  <c r="D235" i="2"/>
  <c r="F253" i="2"/>
  <c r="E236" i="2"/>
  <c r="M253" i="2"/>
  <c r="I253" i="2"/>
  <c r="G253" i="2"/>
  <c r="H253" i="2"/>
  <c r="C254" i="2"/>
  <c r="L236" i="2" l="1"/>
  <c r="J253" i="2"/>
  <c r="K253" i="2" s="1"/>
  <c r="B254" i="2"/>
  <c r="A254" i="2"/>
  <c r="D236" i="2"/>
  <c r="I254" i="2"/>
  <c r="H254" i="2"/>
  <c r="F254" i="2"/>
  <c r="M254" i="2"/>
  <c r="E237" i="2"/>
  <c r="G254" i="2"/>
  <c r="C255" i="2"/>
  <c r="L237" i="2" l="1"/>
  <c r="J254" i="2"/>
  <c r="K254" i="2" s="1"/>
  <c r="B255" i="2"/>
  <c r="A255" i="2"/>
  <c r="D237" i="2"/>
  <c r="D238" i="2" s="1"/>
  <c r="D239" i="2" s="1"/>
  <c r="D240" i="2" s="1"/>
  <c r="D241" i="2" s="1"/>
  <c r="D242" i="2" s="1"/>
  <c r="H255" i="2"/>
  <c r="F255" i="2"/>
  <c r="I255" i="2"/>
  <c r="M255" i="2"/>
  <c r="E221" i="2"/>
  <c r="G255" i="2"/>
  <c r="C256" i="2"/>
  <c r="L221" i="2" l="1"/>
  <c r="J255" i="2"/>
  <c r="K255" i="2" s="1"/>
  <c r="B256" i="2"/>
  <c r="A256" i="2"/>
  <c r="F256" i="2"/>
  <c r="M256" i="2"/>
  <c r="H256" i="2"/>
  <c r="E222" i="2"/>
  <c r="I256" i="2"/>
  <c r="G256" i="2"/>
  <c r="C257" i="2"/>
  <c r="L222" i="2" l="1"/>
  <c r="J256" i="2"/>
  <c r="K256" i="2" s="1"/>
  <c r="A257" i="2"/>
  <c r="B257" i="2"/>
  <c r="F257" i="2"/>
  <c r="G257" i="2"/>
  <c r="I257" i="2"/>
  <c r="H257" i="2"/>
  <c r="E116" i="2"/>
  <c r="M257" i="2"/>
  <c r="C258" i="2"/>
  <c r="L116" i="2" l="1"/>
  <c r="J257" i="2"/>
  <c r="K257" i="2" s="1"/>
  <c r="B258" i="2"/>
  <c r="A258" i="2"/>
  <c r="I258" i="2"/>
  <c r="F258" i="2"/>
  <c r="E117" i="2"/>
  <c r="H258" i="2"/>
  <c r="M258" i="2"/>
  <c r="G258" i="2"/>
  <c r="C259" i="2"/>
  <c r="L117" i="2" l="1"/>
  <c r="J258" i="2"/>
  <c r="K258" i="2" s="1"/>
  <c r="B259" i="2"/>
  <c r="A259" i="2"/>
  <c r="E51" i="2"/>
  <c r="I259" i="2"/>
  <c r="G259" i="2"/>
  <c r="M259" i="2"/>
  <c r="F259" i="2"/>
  <c r="H259" i="2"/>
  <c r="C260" i="2"/>
  <c r="L51" i="2" l="1"/>
  <c r="J259" i="2"/>
  <c r="K259" i="2" s="1"/>
  <c r="B260" i="2"/>
  <c r="A260" i="2"/>
  <c r="M260" i="2"/>
  <c r="E260" i="2"/>
  <c r="E52" i="2"/>
  <c r="G260" i="2"/>
  <c r="I260" i="2"/>
  <c r="F260" i="2"/>
  <c r="H260" i="2"/>
  <c r="C261" i="2"/>
  <c r="L260" i="2" l="1"/>
  <c r="L52" i="2"/>
  <c r="J260" i="2"/>
  <c r="K260" i="2" s="1"/>
  <c r="A261" i="2"/>
  <c r="B261" i="2"/>
  <c r="G261" i="2"/>
  <c r="I261" i="2"/>
  <c r="F261" i="2"/>
  <c r="M261" i="2"/>
  <c r="E261" i="2"/>
  <c r="H261" i="2"/>
  <c r="C262" i="2"/>
  <c r="L261" i="2" l="1"/>
  <c r="J261" i="2"/>
  <c r="K261" i="2" s="1"/>
  <c r="B262" i="2"/>
  <c r="A262" i="2"/>
  <c r="E262" i="2"/>
  <c r="H262" i="2"/>
  <c r="G262" i="2"/>
  <c r="F262" i="2"/>
  <c r="I262" i="2"/>
  <c r="M262" i="2"/>
  <c r="C263" i="2"/>
  <c r="L262" i="2" l="1"/>
  <c r="J262" i="2"/>
  <c r="K262" i="2" s="1"/>
  <c r="A263" i="2"/>
  <c r="B263" i="2"/>
  <c r="M263" i="2"/>
  <c r="F263" i="2"/>
  <c r="E263" i="2"/>
  <c r="G263" i="2"/>
  <c r="H263" i="2"/>
  <c r="I263" i="2"/>
  <c r="C264" i="2"/>
  <c r="L263" i="2" l="1"/>
  <c r="J263" i="2"/>
  <c r="K263" i="2" s="1"/>
  <c r="B264" i="2"/>
  <c r="A264" i="2"/>
  <c r="F264" i="2"/>
  <c r="E264" i="2"/>
  <c r="H264" i="2"/>
  <c r="I264" i="2"/>
  <c r="G264" i="2"/>
  <c r="M264" i="2"/>
  <c r="C265" i="2"/>
  <c r="L264" i="2" l="1"/>
  <c r="J264" i="2"/>
  <c r="K264" i="2" s="1"/>
  <c r="B265" i="2"/>
  <c r="A265" i="2"/>
  <c r="E265" i="2"/>
  <c r="M265" i="2"/>
  <c r="G265" i="2"/>
  <c r="H265" i="2"/>
  <c r="I265" i="2"/>
  <c r="F265" i="2"/>
  <c r="C266" i="2"/>
  <c r="L265" i="2" l="1"/>
  <c r="J265" i="2"/>
  <c r="K265" i="2" s="1"/>
  <c r="B266" i="2"/>
  <c r="A266" i="2"/>
  <c r="H266" i="2"/>
  <c r="E266" i="2"/>
  <c r="M266" i="2"/>
  <c r="G266" i="2"/>
  <c r="F266" i="2"/>
  <c r="I266" i="2"/>
  <c r="C267" i="2"/>
  <c r="L266" i="2" l="1"/>
  <c r="J266" i="2"/>
  <c r="K266" i="2" s="1"/>
  <c r="B267" i="2"/>
  <c r="A267" i="2"/>
  <c r="E267" i="2"/>
  <c r="M267" i="2"/>
  <c r="H267" i="2"/>
  <c r="I267" i="2"/>
  <c r="F267" i="2"/>
  <c r="G267" i="2"/>
  <c r="C268" i="2"/>
  <c r="L267" i="2" l="1"/>
  <c r="J267" i="2"/>
  <c r="K267" i="2" s="1"/>
  <c r="B268" i="2"/>
  <c r="A268" i="2"/>
  <c r="G268" i="2"/>
  <c r="E268" i="2"/>
  <c r="I268" i="2"/>
  <c r="E243" i="2"/>
  <c r="F268" i="2"/>
  <c r="H268" i="2"/>
  <c r="M268" i="2"/>
  <c r="C269" i="2"/>
  <c r="L268" i="2" l="1"/>
  <c r="L243" i="2"/>
  <c r="J268" i="2"/>
  <c r="K268" i="2" s="1"/>
  <c r="B269" i="2"/>
  <c r="A269" i="2"/>
  <c r="D243" i="2"/>
  <c r="M269" i="2"/>
  <c r="E244" i="2"/>
  <c r="G269" i="2"/>
  <c r="F269" i="2"/>
  <c r="H269" i="2"/>
  <c r="I269" i="2"/>
  <c r="E269" i="2"/>
  <c r="C270" i="2"/>
  <c r="L244" i="2" l="1"/>
  <c r="L269" i="2"/>
  <c r="J269" i="2"/>
  <c r="K269" i="2" s="1"/>
  <c r="B270" i="2"/>
  <c r="A270" i="2"/>
  <c r="D244" i="2"/>
  <c r="E245" i="2"/>
  <c r="G270" i="2"/>
  <c r="I270" i="2"/>
  <c r="E270" i="2"/>
  <c r="H270" i="2"/>
  <c r="M270" i="2"/>
  <c r="F270" i="2"/>
  <c r="C271" i="2"/>
  <c r="L245" i="2" l="1"/>
  <c r="L270" i="2"/>
  <c r="J270" i="2"/>
  <c r="K270" i="2" s="1"/>
  <c r="A271" i="2"/>
  <c r="B271" i="2"/>
  <c r="D245" i="2"/>
  <c r="I271" i="2"/>
  <c r="G271" i="2"/>
  <c r="E271" i="2"/>
  <c r="C272" i="2"/>
  <c r="E246" i="2"/>
  <c r="F271" i="2"/>
  <c r="H271" i="2"/>
  <c r="M271" i="2"/>
  <c r="L271" i="2" l="1"/>
  <c r="L246" i="2"/>
  <c r="J271" i="2"/>
  <c r="K271" i="2" s="1"/>
  <c r="B272" i="2"/>
  <c r="A272" i="2"/>
  <c r="D246" i="2"/>
  <c r="M272" i="2"/>
  <c r="I272" i="2"/>
  <c r="G272" i="2"/>
  <c r="E272" i="2"/>
  <c r="H272" i="2"/>
  <c r="F272" i="2"/>
  <c r="C273" i="2"/>
  <c r="L272" i="2" l="1"/>
  <c r="J272" i="2"/>
  <c r="K272" i="2" s="1"/>
  <c r="A273" i="2"/>
  <c r="B273" i="2"/>
  <c r="G273" i="2"/>
  <c r="H273" i="2"/>
  <c r="M273" i="2"/>
  <c r="F273" i="2"/>
  <c r="I273" i="2"/>
  <c r="E273" i="2"/>
  <c r="C274" i="2"/>
  <c r="L273" i="2" l="1"/>
  <c r="D273" i="2"/>
  <c r="J273" i="2"/>
  <c r="K273" i="2" s="1"/>
  <c r="B274" i="2"/>
  <c r="A274" i="2"/>
  <c r="G274" i="2"/>
  <c r="F274" i="2"/>
  <c r="H274" i="2"/>
  <c r="E274" i="2"/>
  <c r="M274" i="2"/>
  <c r="I274" i="2"/>
  <c r="C275" i="2"/>
  <c r="L274" i="2" l="1"/>
  <c r="J274" i="2"/>
  <c r="K274" i="2" s="1"/>
  <c r="D274" i="2"/>
  <c r="B275" i="2"/>
  <c r="A275" i="2"/>
  <c r="H275" i="2"/>
  <c r="G275" i="2"/>
  <c r="M275" i="2"/>
  <c r="F275" i="2"/>
  <c r="E275" i="2"/>
  <c r="I275" i="2"/>
  <c r="C276" i="2"/>
  <c r="L275" i="2" l="1"/>
  <c r="J275" i="2"/>
  <c r="K275" i="2" s="1"/>
  <c r="D275" i="2"/>
  <c r="B276" i="2"/>
  <c r="A276" i="2"/>
  <c r="M276" i="2"/>
  <c r="H276" i="2"/>
  <c r="I276" i="2"/>
  <c r="G276" i="2"/>
  <c r="E276" i="2"/>
  <c r="F276" i="2"/>
  <c r="C277" i="2"/>
  <c r="L276" i="2" l="1"/>
  <c r="D276" i="2"/>
  <c r="J276" i="2"/>
  <c r="K276" i="2" s="1"/>
  <c r="B277" i="2"/>
  <c r="A277" i="2"/>
  <c r="F277" i="2"/>
  <c r="H277" i="2"/>
  <c r="M277" i="2"/>
  <c r="I277" i="2"/>
  <c r="E277" i="2"/>
  <c r="G277" i="2"/>
  <c r="C278" i="2"/>
  <c r="L277" i="2" l="1"/>
  <c r="J277" i="2"/>
  <c r="K277" i="2" s="1"/>
  <c r="D277" i="2"/>
  <c r="B278" i="2"/>
  <c r="A278" i="2"/>
  <c r="M278" i="2"/>
  <c r="F278" i="2"/>
  <c r="G278" i="2"/>
  <c r="I278" i="2"/>
  <c r="H278" i="2"/>
  <c r="E278" i="2"/>
  <c r="C279" i="2"/>
  <c r="L278" i="2" l="1"/>
  <c r="D278" i="2"/>
  <c r="J278" i="2"/>
  <c r="K278" i="2" s="1"/>
  <c r="A279" i="2"/>
  <c r="B279" i="2"/>
  <c r="H279" i="2"/>
  <c r="E279" i="2"/>
  <c r="I279" i="2"/>
  <c r="F279" i="2"/>
  <c r="G279" i="2"/>
  <c r="M279" i="2"/>
  <c r="C280" i="2"/>
  <c r="L279" i="2" l="1"/>
  <c r="D279" i="2"/>
  <c r="J279" i="2"/>
  <c r="K279" i="2" s="1"/>
  <c r="B280" i="2"/>
  <c r="A280" i="2"/>
  <c r="I280" i="2"/>
  <c r="M280" i="2"/>
  <c r="G280" i="2"/>
  <c r="H280" i="2"/>
  <c r="F280" i="2"/>
  <c r="E280" i="2"/>
  <c r="C281" i="2"/>
  <c r="L280" i="2" l="1"/>
  <c r="D280" i="2"/>
  <c r="J280" i="2"/>
  <c r="K280" i="2" s="1"/>
  <c r="B281" i="2"/>
  <c r="A281" i="2"/>
  <c r="H281" i="2"/>
  <c r="M281" i="2"/>
  <c r="E281" i="2"/>
  <c r="I281" i="2"/>
  <c r="F281" i="2"/>
  <c r="G281" i="2"/>
  <c r="C282" i="2"/>
  <c r="L281" i="2" l="1"/>
  <c r="D281" i="2"/>
  <c r="J281" i="2"/>
  <c r="K281" i="2" s="1"/>
  <c r="B282" i="2"/>
  <c r="A282" i="2"/>
  <c r="E282" i="2"/>
  <c r="H282" i="2"/>
  <c r="I282" i="2"/>
  <c r="F282" i="2"/>
  <c r="G282" i="2"/>
  <c r="M282" i="2"/>
  <c r="C283" i="2"/>
  <c r="L282" i="2" l="1"/>
  <c r="J282" i="2"/>
  <c r="K282" i="2" s="1"/>
  <c r="D282" i="2"/>
  <c r="B283" i="2"/>
  <c r="A283" i="2"/>
  <c r="M283" i="2"/>
  <c r="E283" i="2"/>
  <c r="H283" i="2"/>
  <c r="I283" i="2"/>
  <c r="F283" i="2"/>
  <c r="G283" i="2"/>
  <c r="C284" i="2"/>
  <c r="L283" i="2" l="1"/>
  <c r="D283" i="2"/>
  <c r="J283" i="2"/>
  <c r="K283" i="2" s="1"/>
  <c r="B284" i="2"/>
  <c r="A284" i="2"/>
  <c r="E284" i="2"/>
  <c r="I284" i="2"/>
  <c r="G284" i="2"/>
  <c r="F284" i="2"/>
  <c r="M284" i="2"/>
  <c r="H284" i="2"/>
  <c r="C285" i="2"/>
  <c r="L284" i="2" l="1"/>
  <c r="J284" i="2"/>
  <c r="K284" i="2" s="1"/>
  <c r="D284" i="2"/>
  <c r="B285" i="2"/>
  <c r="A285" i="2"/>
  <c r="F285" i="2"/>
  <c r="E285" i="2"/>
  <c r="I285" i="2"/>
  <c r="H285" i="2"/>
  <c r="G285" i="2"/>
  <c r="M285" i="2"/>
  <c r="C286" i="2"/>
  <c r="L285" i="2" l="1"/>
  <c r="D285" i="2"/>
  <c r="J285" i="2"/>
  <c r="K285" i="2" s="1"/>
  <c r="B286" i="2"/>
  <c r="A286" i="2"/>
  <c r="M286" i="2"/>
  <c r="I286" i="2"/>
  <c r="F286" i="2"/>
  <c r="E286" i="2"/>
  <c r="G286" i="2"/>
  <c r="H286" i="2"/>
  <c r="C287" i="2"/>
  <c r="L286" i="2" l="1"/>
  <c r="J286" i="2"/>
  <c r="K286" i="2" s="1"/>
  <c r="D286" i="2"/>
  <c r="B287" i="2"/>
  <c r="A287" i="2"/>
  <c r="M287" i="2"/>
  <c r="H287" i="2"/>
  <c r="E287" i="2"/>
  <c r="I287" i="2"/>
  <c r="E30" i="2"/>
  <c r="F287" i="2"/>
  <c r="G287" i="2"/>
  <c r="C288" i="2"/>
  <c r="L30" i="2" l="1"/>
  <c r="L287" i="2"/>
  <c r="D287" i="2"/>
  <c r="J287" i="2"/>
  <c r="K287" i="2" s="1"/>
  <c r="B288" i="2"/>
  <c r="A288" i="2"/>
  <c r="D30" i="2"/>
  <c r="H288" i="2"/>
  <c r="M288" i="2"/>
  <c r="I288" i="2"/>
  <c r="E288" i="2"/>
  <c r="G288" i="2"/>
  <c r="E31" i="2"/>
  <c r="F288" i="2"/>
  <c r="C289" i="2"/>
  <c r="L31" i="2" l="1"/>
  <c r="L288" i="2"/>
  <c r="D288" i="2"/>
  <c r="J288" i="2"/>
  <c r="K288" i="2" s="1"/>
  <c r="A289" i="2"/>
  <c r="B289" i="2"/>
  <c r="D31" i="2"/>
  <c r="E289" i="2"/>
  <c r="H289" i="2"/>
  <c r="G289" i="2"/>
  <c r="I289" i="2"/>
  <c r="M289" i="2"/>
  <c r="F289" i="2"/>
  <c r="C290" i="2"/>
  <c r="E32" i="2"/>
  <c r="L289" i="2" l="1"/>
  <c r="L32" i="2"/>
  <c r="D289" i="2"/>
  <c r="J289" i="2"/>
  <c r="K289" i="2" s="1"/>
  <c r="B290" i="2"/>
  <c r="A290" i="2"/>
  <c r="D32" i="2"/>
  <c r="E33" i="2"/>
  <c r="G290" i="2"/>
  <c r="I290" i="2"/>
  <c r="E290" i="2"/>
  <c r="M290" i="2"/>
  <c r="H290" i="2"/>
  <c r="F290" i="2"/>
  <c r="C291" i="2"/>
  <c r="L290" i="2" l="1"/>
  <c r="L33" i="2"/>
  <c r="J290" i="2"/>
  <c r="K290" i="2" s="1"/>
  <c r="D290" i="2"/>
  <c r="B291" i="2"/>
  <c r="A291" i="2"/>
  <c r="D33" i="2"/>
  <c r="E291" i="2"/>
  <c r="H291" i="2"/>
  <c r="M291" i="2"/>
  <c r="C292" i="2"/>
  <c r="I291" i="2"/>
  <c r="E34" i="2"/>
  <c r="G291" i="2"/>
  <c r="F291" i="2"/>
  <c r="L291" i="2" l="1"/>
  <c r="L34" i="2"/>
  <c r="J291" i="2"/>
  <c r="K291" i="2" s="1"/>
  <c r="D291" i="2"/>
  <c r="B292" i="2"/>
  <c r="A292" i="2"/>
  <c r="D34" i="2"/>
  <c r="E292" i="2"/>
  <c r="G292" i="2"/>
  <c r="E35" i="2"/>
  <c r="C293" i="2"/>
  <c r="H292" i="2"/>
  <c r="M292" i="2"/>
  <c r="F292" i="2"/>
  <c r="I292" i="2"/>
  <c r="L35" i="2" l="1"/>
  <c r="L292" i="2"/>
  <c r="D292" i="2"/>
  <c r="J292" i="2"/>
  <c r="K292" i="2" s="1"/>
  <c r="A293" i="2"/>
  <c r="B293" i="2"/>
  <c r="D35" i="2"/>
  <c r="M293" i="2"/>
  <c r="I293" i="2"/>
  <c r="F293" i="2"/>
  <c r="G293" i="2"/>
  <c r="E36" i="2"/>
  <c r="E293" i="2"/>
  <c r="H293" i="2"/>
  <c r="C294" i="2"/>
  <c r="L36" i="2" l="1"/>
  <c r="L293" i="2"/>
  <c r="J293" i="2"/>
  <c r="K293" i="2" s="1"/>
  <c r="D293" i="2"/>
  <c r="B294" i="2"/>
  <c r="A294" i="2"/>
  <c r="D36" i="2"/>
  <c r="E37" i="2"/>
  <c r="H294" i="2"/>
  <c r="M294" i="2"/>
  <c r="I294" i="2"/>
  <c r="E294" i="2"/>
  <c r="G294" i="2"/>
  <c r="F294" i="2"/>
  <c r="C295" i="2"/>
  <c r="L294" i="2" l="1"/>
  <c r="L37" i="2"/>
  <c r="D294" i="2"/>
  <c r="J294" i="2"/>
  <c r="K294" i="2" s="1"/>
  <c r="A295" i="2"/>
  <c r="B295" i="2"/>
  <c r="D37" i="2"/>
  <c r="M295" i="2"/>
  <c r="G295" i="2"/>
  <c r="E38" i="2"/>
  <c r="F295" i="2"/>
  <c r="I295" i="2"/>
  <c r="C296" i="2"/>
  <c r="H295" i="2"/>
  <c r="E295" i="2"/>
  <c r="L38" i="2" l="1"/>
  <c r="L295" i="2"/>
  <c r="D295" i="2"/>
  <c r="J295" i="2"/>
  <c r="K295" i="2" s="1"/>
  <c r="B296" i="2"/>
  <c r="A296" i="2"/>
  <c r="D38" i="2"/>
  <c r="E39" i="2"/>
  <c r="E296" i="2"/>
  <c r="G296" i="2"/>
  <c r="H296" i="2"/>
  <c r="I296" i="2"/>
  <c r="C297" i="2"/>
  <c r="F296" i="2"/>
  <c r="M296" i="2"/>
  <c r="L296" i="2" l="1"/>
  <c r="L39" i="2"/>
  <c r="J296" i="2"/>
  <c r="K296" i="2" s="1"/>
  <c r="D296" i="2"/>
  <c r="B297" i="2"/>
  <c r="A297" i="2"/>
  <c r="D39" i="2"/>
  <c r="D40" i="2" s="1"/>
  <c r="D41" i="2" s="1"/>
  <c r="I297" i="2"/>
  <c r="M297" i="2"/>
  <c r="F297" i="2"/>
  <c r="H297" i="2"/>
  <c r="G297" i="2"/>
  <c r="E297" i="2"/>
  <c r="C298" i="2"/>
  <c r="L297" i="2" l="1"/>
  <c r="J297" i="2"/>
  <c r="K297" i="2" s="1"/>
  <c r="D297" i="2"/>
  <c r="B298" i="2"/>
  <c r="A298" i="2"/>
  <c r="H298" i="2"/>
  <c r="F298" i="2"/>
  <c r="M298" i="2"/>
  <c r="G298" i="2"/>
  <c r="I298" i="2"/>
  <c r="E298" i="2"/>
  <c r="C299" i="2"/>
  <c r="L298" i="2" l="1"/>
  <c r="D298" i="2"/>
  <c r="J298" i="2"/>
  <c r="K298" i="2" s="1"/>
  <c r="A299" i="2"/>
  <c r="B299" i="2"/>
  <c r="E299" i="2"/>
  <c r="H299" i="2"/>
  <c r="G299" i="2"/>
  <c r="I299" i="2"/>
  <c r="F299" i="2"/>
  <c r="M299" i="2"/>
  <c r="C300" i="2"/>
  <c r="L299" i="2" l="1"/>
  <c r="D299" i="2"/>
  <c r="J299" i="2"/>
  <c r="K299" i="2" s="1"/>
  <c r="B300" i="2"/>
  <c r="A300" i="2"/>
  <c r="H300" i="2"/>
  <c r="M300" i="2"/>
  <c r="E300" i="2"/>
  <c r="G300" i="2"/>
  <c r="I300" i="2"/>
  <c r="F300" i="2"/>
  <c r="C301" i="2"/>
  <c r="L300" i="2" l="1"/>
  <c r="D300" i="2"/>
  <c r="J300" i="2"/>
  <c r="K300" i="2" s="1"/>
  <c r="B301" i="2"/>
  <c r="A301" i="2"/>
  <c r="E301" i="2"/>
  <c r="E205" i="2"/>
  <c r="M301" i="2"/>
  <c r="G301" i="2"/>
  <c r="I301" i="2"/>
  <c r="H301" i="2"/>
  <c r="F301" i="2"/>
  <c r="C302" i="2"/>
  <c r="L205" i="2" l="1"/>
  <c r="L301" i="2"/>
  <c r="D301" i="2"/>
  <c r="J301" i="2"/>
  <c r="K301" i="2" s="1"/>
  <c r="B302" i="2"/>
  <c r="A302" i="2"/>
  <c r="D205" i="2"/>
  <c r="H302" i="2"/>
  <c r="M302" i="2"/>
  <c r="E302" i="2"/>
  <c r="G302" i="2"/>
  <c r="F302" i="2"/>
  <c r="C303" i="2"/>
  <c r="E206" i="2"/>
  <c r="I302" i="2"/>
  <c r="L302" i="2" l="1"/>
  <c r="L206" i="2"/>
  <c r="J302" i="2"/>
  <c r="K302" i="2" s="1"/>
  <c r="D302" i="2"/>
  <c r="A303" i="2"/>
  <c r="B303" i="2"/>
  <c r="D206" i="2"/>
  <c r="E303" i="2"/>
  <c r="I303" i="2"/>
  <c r="H303" i="2"/>
  <c r="C304" i="2"/>
  <c r="G303" i="2"/>
  <c r="F303" i="2"/>
  <c r="M303" i="2"/>
  <c r="E207" i="2"/>
  <c r="L207" i="2" l="1"/>
  <c r="L303" i="2"/>
  <c r="D303" i="2"/>
  <c r="J303" i="2"/>
  <c r="K303" i="2" s="1"/>
  <c r="B304" i="2"/>
  <c r="A304" i="2"/>
  <c r="D207" i="2"/>
  <c r="G304" i="2"/>
  <c r="F304" i="2"/>
  <c r="H304" i="2"/>
  <c r="E304" i="2"/>
  <c r="C305" i="2"/>
  <c r="E208" i="2"/>
  <c r="I304" i="2"/>
  <c r="M304" i="2"/>
  <c r="L304" i="2" l="1"/>
  <c r="L208" i="2"/>
  <c r="D304" i="2"/>
  <c r="J304" i="2"/>
  <c r="K304" i="2" s="1"/>
  <c r="A305" i="2"/>
  <c r="B305" i="2"/>
  <c r="D208" i="2"/>
  <c r="F305" i="2"/>
  <c r="H305" i="2"/>
  <c r="I305" i="2"/>
  <c r="C306" i="2"/>
  <c r="E209" i="2"/>
  <c r="M305" i="2"/>
  <c r="G305" i="2"/>
  <c r="E305" i="2"/>
  <c r="L305" i="2" l="1"/>
  <c r="L209" i="2"/>
  <c r="D305" i="2"/>
  <c r="J305" i="2"/>
  <c r="K305" i="2" s="1"/>
  <c r="B306" i="2"/>
  <c r="A306" i="2"/>
  <c r="D209" i="2"/>
  <c r="H306" i="2"/>
  <c r="F306" i="2"/>
  <c r="M306" i="2"/>
  <c r="C307" i="2"/>
  <c r="E210" i="2"/>
  <c r="G306" i="2"/>
  <c r="I306" i="2"/>
  <c r="E306" i="2"/>
  <c r="L306" i="2" l="1"/>
  <c r="L210" i="2"/>
  <c r="D306" i="2"/>
  <c r="J306" i="2"/>
  <c r="K306" i="2" s="1"/>
  <c r="B307" i="2"/>
  <c r="A307" i="2"/>
  <c r="D210" i="2"/>
  <c r="F307" i="2"/>
  <c r="G307" i="2"/>
  <c r="E307" i="2"/>
  <c r="C308" i="2"/>
  <c r="M307" i="2"/>
  <c r="I307" i="2"/>
  <c r="E211" i="2"/>
  <c r="H307" i="2"/>
  <c r="L211" i="2" l="1"/>
  <c r="L307" i="2"/>
  <c r="D307" i="2"/>
  <c r="J307" i="2"/>
  <c r="K307" i="2" s="1"/>
  <c r="B308" i="2"/>
  <c r="A308" i="2"/>
  <c r="D211" i="2"/>
  <c r="H308" i="2"/>
  <c r="M308" i="2"/>
  <c r="I308" i="2"/>
  <c r="E212" i="2"/>
  <c r="C309" i="2"/>
  <c r="G308" i="2"/>
  <c r="F308" i="2"/>
  <c r="E308" i="2"/>
  <c r="L212" i="2" l="1"/>
  <c r="L308" i="2"/>
  <c r="J308" i="2"/>
  <c r="K308" i="2" s="1"/>
  <c r="D308" i="2"/>
  <c r="B309" i="2"/>
  <c r="A309" i="2"/>
  <c r="D212" i="2"/>
  <c r="I309" i="2"/>
  <c r="E309" i="2"/>
  <c r="G309" i="2"/>
  <c r="C310" i="2"/>
  <c r="F309" i="2"/>
  <c r="M309" i="2"/>
  <c r="E213" i="2"/>
  <c r="H309" i="2"/>
  <c r="L309" i="2" l="1"/>
  <c r="L213" i="2"/>
  <c r="D309" i="2"/>
  <c r="J309" i="2"/>
  <c r="K309" i="2" s="1"/>
  <c r="B310" i="2"/>
  <c r="A310" i="2"/>
  <c r="D213" i="2"/>
  <c r="E310" i="2"/>
  <c r="M310" i="2"/>
  <c r="H310" i="2"/>
  <c r="E214" i="2"/>
  <c r="G310" i="2"/>
  <c r="I310" i="2"/>
  <c r="F310" i="2"/>
  <c r="C311" i="2"/>
  <c r="L310" i="2" l="1"/>
  <c r="L214" i="2"/>
  <c r="J310" i="2"/>
  <c r="K310" i="2" s="1"/>
  <c r="D310" i="2"/>
  <c r="A311" i="2"/>
  <c r="B311" i="2"/>
  <c r="D214" i="2"/>
  <c r="H311" i="2"/>
  <c r="G311" i="2"/>
  <c r="E311" i="2"/>
  <c r="C312" i="2"/>
  <c r="F311" i="2"/>
  <c r="I311" i="2"/>
  <c r="M311" i="2"/>
  <c r="E215" i="2"/>
  <c r="L215" i="2" l="1"/>
  <c r="L311" i="2"/>
  <c r="J311" i="2"/>
  <c r="K311" i="2" s="1"/>
  <c r="D311" i="2"/>
  <c r="B312" i="2"/>
  <c r="A312" i="2"/>
  <c r="D215" i="2"/>
  <c r="M312" i="2"/>
  <c r="E216" i="2"/>
  <c r="G312" i="2"/>
  <c r="C313" i="2"/>
  <c r="I312" i="2"/>
  <c r="E312" i="2"/>
  <c r="F312" i="2"/>
  <c r="H312" i="2"/>
  <c r="L216" i="2" l="1"/>
  <c r="L312" i="2"/>
  <c r="J312" i="2"/>
  <c r="K312" i="2" s="1"/>
  <c r="D312" i="2"/>
  <c r="B313" i="2"/>
  <c r="A313" i="2"/>
  <c r="D216" i="2"/>
  <c r="D217" i="2" s="1"/>
  <c r="D218" i="2" s="1"/>
  <c r="E313" i="2"/>
  <c r="E219" i="2"/>
  <c r="H313" i="2"/>
  <c r="C314" i="2"/>
  <c r="G313" i="2"/>
  <c r="I313" i="2"/>
  <c r="M313" i="2"/>
  <c r="F313" i="2"/>
  <c r="L219" i="2" l="1"/>
  <c r="L313" i="2"/>
  <c r="J313" i="2"/>
  <c r="K313" i="2" s="1"/>
  <c r="D313" i="2"/>
  <c r="B314" i="2"/>
  <c r="A314" i="2"/>
  <c r="D219" i="2"/>
  <c r="F314" i="2"/>
  <c r="G314" i="2"/>
  <c r="I314" i="2"/>
  <c r="C315" i="2"/>
  <c r="H314" i="2"/>
  <c r="M314" i="2"/>
  <c r="E314" i="2"/>
  <c r="E220" i="2"/>
  <c r="L314" i="2" l="1"/>
  <c r="L220" i="2"/>
  <c r="D314" i="2"/>
  <c r="J314" i="2"/>
  <c r="K314" i="2" s="1"/>
  <c r="B315" i="2"/>
  <c r="A315" i="2"/>
  <c r="D220" i="2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E315" i="2"/>
  <c r="G315" i="2"/>
  <c r="I315" i="2"/>
  <c r="C316" i="2"/>
  <c r="M315" i="2"/>
  <c r="F315" i="2"/>
  <c r="E258" i="2"/>
  <c r="H315" i="2"/>
  <c r="L258" i="2" l="1"/>
  <c r="L315" i="2"/>
  <c r="D315" i="2"/>
  <c r="J315" i="2"/>
  <c r="K315" i="2" s="1"/>
  <c r="B316" i="2"/>
  <c r="A316" i="2"/>
  <c r="H316" i="2"/>
  <c r="M316" i="2"/>
  <c r="E316" i="2"/>
  <c r="I316" i="2"/>
  <c r="G316" i="2"/>
  <c r="E259" i="2"/>
  <c r="F316" i="2"/>
  <c r="C317" i="2"/>
  <c r="L316" i="2" l="1"/>
  <c r="L259" i="2"/>
  <c r="J316" i="2"/>
  <c r="K316" i="2" s="1"/>
  <c r="D316" i="2"/>
  <c r="B317" i="2"/>
  <c r="A317" i="2"/>
  <c r="H317" i="2"/>
  <c r="F317" i="2"/>
  <c r="E42" i="2"/>
  <c r="I317" i="2"/>
  <c r="M317" i="2"/>
  <c r="E317" i="2"/>
  <c r="G317" i="2"/>
  <c r="C318" i="2"/>
  <c r="L317" i="2" l="1"/>
  <c r="L42" i="2"/>
  <c r="J317" i="2"/>
  <c r="K317" i="2" s="1"/>
  <c r="D317" i="2"/>
  <c r="B318" i="2"/>
  <c r="A318" i="2"/>
  <c r="D42" i="2"/>
  <c r="F318" i="2"/>
  <c r="C319" i="2"/>
  <c r="H318" i="2"/>
  <c r="I318" i="2"/>
  <c r="G318" i="2"/>
  <c r="E318" i="2"/>
  <c r="M318" i="2"/>
  <c r="E43" i="2"/>
  <c r="L318" i="2" l="1"/>
  <c r="L43" i="2"/>
  <c r="D318" i="2"/>
  <c r="J318" i="2"/>
  <c r="K318" i="2" s="1"/>
  <c r="B319" i="2"/>
  <c r="A319" i="2"/>
  <c r="D43" i="2"/>
  <c r="M319" i="2"/>
  <c r="G319" i="2"/>
  <c r="H319" i="2"/>
  <c r="E44" i="2"/>
  <c r="F319" i="2"/>
  <c r="C320" i="2"/>
  <c r="E319" i="2"/>
  <c r="I319" i="2"/>
  <c r="L319" i="2" l="1"/>
  <c r="L44" i="2"/>
  <c r="J319" i="2"/>
  <c r="K319" i="2" s="1"/>
  <c r="D319" i="2"/>
  <c r="B320" i="2"/>
  <c r="A320" i="2"/>
  <c r="D44" i="2"/>
  <c r="M320" i="2"/>
  <c r="I320" i="2"/>
  <c r="G320" i="2"/>
  <c r="E320" i="2"/>
  <c r="H320" i="2"/>
  <c r="F320" i="2"/>
  <c r="C321" i="2"/>
  <c r="L320" i="2" l="1"/>
  <c r="J320" i="2"/>
  <c r="K320" i="2" s="1"/>
  <c r="D320" i="2"/>
  <c r="A321" i="2"/>
  <c r="B321" i="2"/>
  <c r="I321" i="2"/>
  <c r="M321" i="2"/>
  <c r="F321" i="2"/>
  <c r="G321" i="2"/>
  <c r="H321" i="2"/>
  <c r="E321" i="2"/>
  <c r="C322" i="2"/>
  <c r="L321" i="2" l="1"/>
  <c r="D321" i="2"/>
  <c r="J321" i="2"/>
  <c r="K321" i="2" s="1"/>
  <c r="B322" i="2"/>
  <c r="A322" i="2"/>
  <c r="M322" i="2"/>
  <c r="G322" i="2"/>
  <c r="I322" i="2"/>
  <c r="F322" i="2"/>
  <c r="E322" i="2"/>
  <c r="E114" i="2"/>
  <c r="H322" i="2"/>
  <c r="C323" i="2"/>
  <c r="L322" i="2" l="1"/>
  <c r="L114" i="2"/>
  <c r="D322" i="2"/>
  <c r="J322" i="2"/>
  <c r="K322" i="2" s="1"/>
  <c r="B323" i="2"/>
  <c r="A323" i="2"/>
  <c r="M323" i="2"/>
  <c r="F323" i="2"/>
  <c r="E323" i="2"/>
  <c r="I323" i="2"/>
  <c r="G323" i="2"/>
  <c r="E115" i="2"/>
  <c r="H323" i="2"/>
  <c r="C324" i="2"/>
  <c r="L323" i="2" l="1"/>
  <c r="L115" i="2"/>
  <c r="D323" i="2"/>
  <c r="J323" i="2"/>
  <c r="K323" i="2" s="1"/>
  <c r="B324" i="2"/>
  <c r="A324" i="2"/>
  <c r="E324" i="2"/>
  <c r="M324" i="2"/>
  <c r="H324" i="2"/>
  <c r="C325" i="2"/>
  <c r="F324" i="2"/>
  <c r="I324" i="2"/>
  <c r="G324" i="2"/>
  <c r="E112" i="2"/>
  <c r="L324" i="2" l="1"/>
  <c r="L112" i="2"/>
  <c r="J324" i="2"/>
  <c r="K324" i="2" s="1"/>
  <c r="D324" i="2"/>
  <c r="B325" i="2"/>
  <c r="A325" i="2"/>
  <c r="E325" i="2"/>
  <c r="I325" i="2"/>
  <c r="M325" i="2"/>
  <c r="E113" i="2"/>
  <c r="F325" i="2"/>
  <c r="H325" i="2"/>
  <c r="G325" i="2"/>
  <c r="C326" i="2"/>
  <c r="L325" i="2" l="1"/>
  <c r="L113" i="2"/>
  <c r="J325" i="2"/>
  <c r="K325" i="2" s="1"/>
  <c r="D325" i="2"/>
  <c r="B326" i="2"/>
  <c r="A326" i="2"/>
  <c r="G326" i="2"/>
  <c r="E326" i="2"/>
  <c r="I326" i="2"/>
  <c r="M326" i="2"/>
  <c r="E109" i="2"/>
  <c r="H326" i="2"/>
  <c r="F326" i="2"/>
  <c r="C327" i="2"/>
  <c r="L109" i="2" l="1"/>
  <c r="L326" i="2"/>
  <c r="D326" i="2"/>
  <c r="J326" i="2"/>
  <c r="K326" i="2" s="1"/>
  <c r="A327" i="2"/>
  <c r="B327" i="2"/>
  <c r="F327" i="2"/>
  <c r="M327" i="2"/>
  <c r="E327" i="2"/>
  <c r="G327" i="2"/>
  <c r="E110" i="2"/>
  <c r="I327" i="2"/>
  <c r="H327" i="2"/>
  <c r="C328" i="2"/>
  <c r="L327" i="2" l="1"/>
  <c r="L110" i="2"/>
  <c r="D327" i="2"/>
  <c r="J327" i="2"/>
  <c r="K327" i="2" s="1"/>
  <c r="B328" i="2"/>
  <c r="A328" i="2"/>
  <c r="E111" i="2"/>
  <c r="M328" i="2"/>
  <c r="E328" i="2"/>
  <c r="F328" i="2"/>
  <c r="I328" i="2"/>
  <c r="G328" i="2"/>
  <c r="H328" i="2"/>
  <c r="C329" i="2"/>
  <c r="L328" i="2" l="1"/>
  <c r="L111" i="2"/>
  <c r="J328" i="2"/>
  <c r="K328" i="2" s="1"/>
  <c r="D328" i="2"/>
  <c r="B329" i="2"/>
  <c r="A329" i="2"/>
  <c r="I329" i="2"/>
  <c r="E107" i="2"/>
  <c r="H329" i="2"/>
  <c r="M329" i="2"/>
  <c r="E329" i="2"/>
  <c r="C330" i="2"/>
  <c r="G329" i="2"/>
  <c r="F329" i="2"/>
  <c r="L329" i="2" l="1"/>
  <c r="L107" i="2"/>
  <c r="D329" i="2"/>
  <c r="J329" i="2"/>
  <c r="K329" i="2" s="1"/>
  <c r="B330" i="2"/>
  <c r="A330" i="2"/>
  <c r="H330" i="2"/>
  <c r="M330" i="2"/>
  <c r="G330" i="2"/>
  <c r="C331" i="2"/>
  <c r="I330" i="2"/>
  <c r="E108" i="2"/>
  <c r="F330" i="2"/>
  <c r="E330" i="2"/>
  <c r="L330" i="2" l="1"/>
  <c r="L108" i="2"/>
  <c r="D330" i="2"/>
  <c r="J330" i="2"/>
  <c r="K330" i="2" s="1"/>
  <c r="B331" i="2"/>
  <c r="A331" i="2"/>
  <c r="H331" i="2"/>
  <c r="F331" i="2"/>
  <c r="G331" i="2"/>
  <c r="M331" i="2"/>
  <c r="I331" i="2"/>
  <c r="E104" i="2"/>
  <c r="E331" i="2"/>
  <c r="C332" i="2"/>
  <c r="L331" i="2" l="1"/>
  <c r="L104" i="2"/>
  <c r="D331" i="2"/>
  <c r="J331" i="2"/>
  <c r="K331" i="2" s="1"/>
  <c r="B332" i="2"/>
  <c r="A332" i="2"/>
  <c r="H332" i="2"/>
  <c r="M332" i="2"/>
  <c r="G332" i="2"/>
  <c r="I332" i="2"/>
  <c r="F332" i="2"/>
  <c r="E332" i="2"/>
  <c r="E105" i="2"/>
  <c r="C333" i="2"/>
  <c r="L332" i="2" l="1"/>
  <c r="L105" i="2"/>
  <c r="J332" i="2"/>
  <c r="K332" i="2" s="1"/>
  <c r="D332" i="2"/>
  <c r="B333" i="2"/>
  <c r="A333" i="2"/>
  <c r="I333" i="2"/>
  <c r="E333" i="2"/>
  <c r="M333" i="2"/>
  <c r="G333" i="2"/>
  <c r="F333" i="2"/>
  <c r="H333" i="2"/>
  <c r="E106" i="2"/>
  <c r="C334" i="2"/>
  <c r="L106" i="2" l="1"/>
  <c r="L333" i="2"/>
  <c r="D333" i="2"/>
  <c r="J333" i="2"/>
  <c r="K333" i="2" s="1"/>
  <c r="B334" i="2"/>
  <c r="A334" i="2"/>
  <c r="G334" i="2"/>
  <c r="I334" i="2"/>
  <c r="E102" i="2"/>
  <c r="E334" i="2"/>
  <c r="F334" i="2"/>
  <c r="M334" i="2"/>
  <c r="H334" i="2"/>
  <c r="C335" i="2"/>
  <c r="L334" i="2" l="1"/>
  <c r="L102" i="2"/>
  <c r="J334" i="2"/>
  <c r="K334" i="2" s="1"/>
  <c r="D334" i="2"/>
  <c r="B335" i="2"/>
  <c r="A335" i="2"/>
  <c r="F335" i="2"/>
  <c r="E103" i="2"/>
  <c r="G335" i="2"/>
  <c r="H335" i="2"/>
  <c r="M335" i="2"/>
  <c r="I335" i="2"/>
  <c r="E335" i="2"/>
  <c r="C336" i="2"/>
  <c r="L103" i="2" l="1"/>
  <c r="L335" i="2"/>
  <c r="D335" i="2"/>
  <c r="J335" i="2"/>
  <c r="K335" i="2" s="1"/>
  <c r="B336" i="2"/>
  <c r="A336" i="2"/>
  <c r="H336" i="2"/>
  <c r="G336" i="2"/>
  <c r="F336" i="2"/>
  <c r="I336" i="2"/>
  <c r="M336" i="2"/>
  <c r="E100" i="2"/>
  <c r="E336" i="2"/>
  <c r="C337" i="2"/>
  <c r="L100" i="2" l="1"/>
  <c r="L336" i="2"/>
  <c r="J336" i="2"/>
  <c r="K336" i="2" s="1"/>
  <c r="D336" i="2"/>
  <c r="A337" i="2"/>
  <c r="B337" i="2"/>
  <c r="E101" i="2"/>
  <c r="H337" i="2"/>
  <c r="M337" i="2"/>
  <c r="F337" i="2"/>
  <c r="G337" i="2"/>
  <c r="I337" i="2"/>
  <c r="E337" i="2"/>
  <c r="C338" i="2"/>
  <c r="L101" i="2" l="1"/>
  <c r="L337" i="2"/>
  <c r="J337" i="2"/>
  <c r="K337" i="2" s="1"/>
  <c r="D337" i="2"/>
  <c r="B338" i="2"/>
  <c r="A338" i="2"/>
  <c r="F338" i="2"/>
  <c r="E97" i="2"/>
  <c r="G338" i="2"/>
  <c r="C339" i="2"/>
  <c r="E338" i="2"/>
  <c r="M338" i="2"/>
  <c r="H338" i="2"/>
  <c r="I338" i="2"/>
  <c r="L97" i="2" l="1"/>
  <c r="L338" i="2"/>
  <c r="J338" i="2"/>
  <c r="K338" i="2" s="1"/>
  <c r="D338" i="2"/>
  <c r="B339" i="2"/>
  <c r="A339" i="2"/>
  <c r="D97" i="2"/>
  <c r="E98" i="2"/>
  <c r="H339" i="2"/>
  <c r="M339" i="2"/>
  <c r="I339" i="2"/>
  <c r="C340" i="2"/>
  <c r="G339" i="2"/>
  <c r="E339" i="2"/>
  <c r="F339" i="2"/>
  <c r="L339" i="2" l="1"/>
  <c r="L98" i="2"/>
  <c r="D339" i="2"/>
  <c r="J339" i="2"/>
  <c r="K339" i="2" s="1"/>
  <c r="B340" i="2"/>
  <c r="A340" i="2"/>
  <c r="D98" i="2"/>
  <c r="H340" i="2"/>
  <c r="M340" i="2"/>
  <c r="I340" i="2"/>
  <c r="C341" i="2"/>
  <c r="F340" i="2"/>
  <c r="G340" i="2"/>
  <c r="E340" i="2"/>
  <c r="E99" i="2"/>
  <c r="L340" i="2" l="1"/>
  <c r="L99" i="2"/>
  <c r="J340" i="2"/>
  <c r="K340" i="2" s="1"/>
  <c r="D340" i="2"/>
  <c r="B341" i="2"/>
  <c r="A341" i="2"/>
  <c r="D99" i="2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M341" i="2"/>
  <c r="G341" i="2"/>
  <c r="F341" i="2"/>
  <c r="I341" i="2"/>
  <c r="E45" i="2"/>
  <c r="E341" i="2"/>
  <c r="C342" i="2"/>
  <c r="H341" i="2"/>
  <c r="L45" i="2" l="1"/>
  <c r="L341" i="2"/>
  <c r="J341" i="2"/>
  <c r="K341" i="2" s="1"/>
  <c r="D341" i="2"/>
  <c r="B342" i="2"/>
  <c r="A342" i="2"/>
  <c r="D45" i="2"/>
  <c r="H342" i="2"/>
  <c r="E342" i="2"/>
  <c r="M342" i="2"/>
  <c r="C343" i="2"/>
  <c r="E46" i="2"/>
  <c r="F342" i="2"/>
  <c r="G342" i="2"/>
  <c r="I342" i="2"/>
  <c r="L342" i="2" l="1"/>
  <c r="L46" i="2"/>
  <c r="J342" i="2"/>
  <c r="K342" i="2" s="1"/>
  <c r="D342" i="2"/>
  <c r="A343" i="2"/>
  <c r="B343" i="2"/>
  <c r="E343" i="2"/>
  <c r="H343" i="2"/>
  <c r="F343" i="2"/>
  <c r="M343" i="2"/>
  <c r="I343" i="2"/>
  <c r="G343" i="2"/>
  <c r="C344" i="2"/>
  <c r="L343" i="2" l="1"/>
  <c r="D343" i="2"/>
  <c r="J343" i="2"/>
  <c r="K343" i="2" s="1"/>
  <c r="B344" i="2"/>
  <c r="A344" i="2"/>
  <c r="D46" i="2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I344" i="2"/>
  <c r="E344" i="2"/>
  <c r="G344" i="2"/>
  <c r="E247" i="2"/>
  <c r="H344" i="2"/>
  <c r="F344" i="2"/>
  <c r="M344" i="2"/>
  <c r="L247" i="2" l="1"/>
  <c r="L344" i="2"/>
  <c r="J344" i="2"/>
  <c r="K344" i="2" s="1"/>
  <c r="D344" i="2"/>
  <c r="D247" i="2"/>
  <c r="E248" i="2"/>
  <c r="C345" i="2"/>
  <c r="L248" i="2" l="1"/>
  <c r="B345" i="2"/>
  <c r="A345" i="2"/>
  <c r="D248" i="2"/>
  <c r="I345" i="2"/>
  <c r="F345" i="2"/>
  <c r="C346" i="2"/>
  <c r="H345" i="2"/>
  <c r="E345" i="2"/>
  <c r="E249" i="2"/>
  <c r="G345" i="2"/>
  <c r="M345" i="2"/>
  <c r="L345" i="2" l="1"/>
  <c r="L249" i="2"/>
  <c r="D345" i="2"/>
  <c r="J345" i="2"/>
  <c r="K345" i="2" s="1"/>
  <c r="B346" i="2"/>
  <c r="A346" i="2"/>
  <c r="D249" i="2"/>
  <c r="M346" i="2"/>
  <c r="H346" i="2"/>
  <c r="E250" i="2"/>
  <c r="C347" i="2"/>
  <c r="G346" i="2"/>
  <c r="F346" i="2"/>
  <c r="E346" i="2"/>
  <c r="I346" i="2"/>
  <c r="L250" i="2" l="1"/>
  <c r="L346" i="2"/>
  <c r="D346" i="2"/>
  <c r="J346" i="2"/>
  <c r="K346" i="2" s="1"/>
  <c r="B347" i="2"/>
  <c r="A347" i="2"/>
  <c r="D250" i="2"/>
  <c r="E347" i="2"/>
  <c r="E251" i="2"/>
  <c r="H347" i="2"/>
  <c r="C348" i="2"/>
  <c r="G347" i="2"/>
  <c r="M347" i="2"/>
  <c r="I347" i="2"/>
  <c r="F347" i="2"/>
  <c r="L251" i="2" l="1"/>
  <c r="L347" i="2"/>
  <c r="J347" i="2"/>
  <c r="K347" i="2" s="1"/>
  <c r="D347" i="2"/>
  <c r="B348" i="2"/>
  <c r="A348" i="2"/>
  <c r="D251" i="2"/>
  <c r="F348" i="2"/>
  <c r="M348" i="2"/>
  <c r="H348" i="2"/>
  <c r="C349" i="2"/>
  <c r="I348" i="2"/>
  <c r="E348" i="2"/>
  <c r="E252" i="2"/>
  <c r="G348" i="2"/>
  <c r="L252" i="2" l="1"/>
  <c r="L348" i="2"/>
  <c r="J348" i="2"/>
  <c r="K348" i="2" s="1"/>
  <c r="D348" i="2"/>
  <c r="B349" i="2"/>
  <c r="A349" i="2"/>
  <c r="D252" i="2"/>
  <c r="G349" i="2"/>
  <c r="H349" i="2"/>
  <c r="I349" i="2"/>
  <c r="F349" i="2"/>
  <c r="E253" i="2"/>
  <c r="C350" i="2"/>
  <c r="M349" i="2"/>
  <c r="E349" i="2"/>
  <c r="L253" i="2" l="1"/>
  <c r="L349" i="2"/>
  <c r="D349" i="2"/>
  <c r="J349" i="2"/>
  <c r="K349" i="2" s="1"/>
  <c r="B350" i="2"/>
  <c r="A350" i="2"/>
  <c r="D253" i="2"/>
  <c r="G350" i="2"/>
  <c r="M350" i="2"/>
  <c r="E254" i="2"/>
  <c r="C351" i="2"/>
  <c r="H350" i="2"/>
  <c r="F350" i="2"/>
  <c r="E350" i="2"/>
  <c r="I350" i="2"/>
  <c r="L254" i="2" l="1"/>
  <c r="L350" i="2"/>
  <c r="J350" i="2"/>
  <c r="K350" i="2" s="1"/>
  <c r="D350" i="2"/>
  <c r="B351" i="2"/>
  <c r="A351" i="2"/>
  <c r="D254" i="2"/>
  <c r="I351" i="2"/>
  <c r="F351" i="2"/>
  <c r="H351" i="2"/>
  <c r="C352" i="2"/>
  <c r="M351" i="2"/>
  <c r="E351" i="2"/>
  <c r="E255" i="2"/>
  <c r="G351" i="2"/>
  <c r="L255" i="2" l="1"/>
  <c r="L351" i="2"/>
  <c r="J351" i="2"/>
  <c r="K351" i="2" s="1"/>
  <c r="D351" i="2"/>
  <c r="B352" i="2"/>
  <c r="A352" i="2"/>
  <c r="D255" i="2"/>
  <c r="I352" i="2"/>
  <c r="E256" i="2"/>
  <c r="G352" i="2"/>
  <c r="E352" i="2"/>
  <c r="H352" i="2"/>
  <c r="F352" i="2"/>
  <c r="M352" i="2"/>
  <c r="C353" i="2"/>
  <c r="L256" i="2" l="1"/>
  <c r="L352" i="2"/>
  <c r="D352" i="2"/>
  <c r="J352" i="2"/>
  <c r="K352" i="2" s="1"/>
  <c r="A353" i="2"/>
  <c r="B353" i="2"/>
  <c r="D256" i="2"/>
  <c r="G353" i="2"/>
  <c r="M353" i="2"/>
  <c r="F353" i="2"/>
  <c r="C354" i="2"/>
  <c r="I353" i="2"/>
  <c r="E257" i="2"/>
  <c r="H353" i="2"/>
  <c r="L257" i="2" l="1"/>
  <c r="J353" i="2"/>
  <c r="K353" i="2" s="1"/>
  <c r="B354" i="2"/>
  <c r="A354" i="2"/>
  <c r="D257" i="2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I354" i="2"/>
  <c r="M354" i="2"/>
  <c r="F354" i="2"/>
  <c r="H354" i="2"/>
  <c r="G354" i="2"/>
  <c r="C355" i="2"/>
  <c r="J354" i="2" l="1"/>
  <c r="K354" i="2" s="1"/>
  <c r="B355" i="2"/>
  <c r="A355" i="2"/>
  <c r="F355" i="2"/>
  <c r="M355" i="2"/>
  <c r="G355" i="2"/>
  <c r="I355" i="2"/>
  <c r="H355" i="2"/>
  <c r="C356" i="2"/>
  <c r="J355" i="2" l="1"/>
  <c r="K355" i="2" s="1"/>
  <c r="B356" i="2"/>
  <c r="A356" i="2"/>
  <c r="H356" i="2"/>
  <c r="I356" i="2"/>
  <c r="M356" i="2"/>
  <c r="F356" i="2"/>
  <c r="G356" i="2"/>
  <c r="C357" i="2"/>
  <c r="J356" i="2" l="1"/>
  <c r="K356" i="2" s="1"/>
  <c r="B357" i="2"/>
  <c r="A357" i="2"/>
  <c r="F357" i="2"/>
  <c r="H357" i="2"/>
  <c r="G357" i="2"/>
  <c r="I357" i="2"/>
  <c r="M357" i="2"/>
  <c r="C358" i="2"/>
  <c r="J357" i="2" l="1"/>
  <c r="K357" i="2" s="1"/>
  <c r="B358" i="2"/>
  <c r="A358" i="2"/>
  <c r="F358" i="2"/>
  <c r="M358" i="2"/>
  <c r="G358" i="2"/>
  <c r="H358" i="2"/>
  <c r="I358" i="2"/>
  <c r="C359" i="2"/>
  <c r="J358" i="2" l="1"/>
  <c r="K358" i="2" s="1"/>
  <c r="A359" i="2"/>
  <c r="B359" i="2"/>
  <c r="M359" i="2"/>
  <c r="H359" i="2"/>
  <c r="F359" i="2"/>
  <c r="G359" i="2"/>
  <c r="I359" i="2"/>
  <c r="C360" i="2"/>
  <c r="J359" i="2" l="1"/>
  <c r="K359" i="2" s="1"/>
  <c r="B360" i="2"/>
  <c r="A360" i="2"/>
  <c r="I360" i="2"/>
  <c r="F360" i="2"/>
  <c r="H360" i="2"/>
  <c r="G360" i="2"/>
  <c r="M360" i="2"/>
  <c r="C361" i="2"/>
  <c r="J360" i="2" l="1"/>
  <c r="K360" i="2" s="1"/>
  <c r="B361" i="2"/>
  <c r="A361" i="2"/>
  <c r="M361" i="2"/>
  <c r="H361" i="2"/>
  <c r="F361" i="2"/>
  <c r="I361" i="2"/>
  <c r="G361" i="2"/>
  <c r="C362" i="2"/>
  <c r="J361" i="2" l="1"/>
  <c r="K361" i="2" s="1"/>
  <c r="B362" i="2"/>
  <c r="A362" i="2"/>
  <c r="G362" i="2"/>
  <c r="M362" i="2"/>
  <c r="H362" i="2"/>
  <c r="F362" i="2"/>
  <c r="I362" i="2"/>
  <c r="C363" i="2"/>
  <c r="J362" i="2" l="1"/>
  <c r="K362" i="2" s="1"/>
  <c r="A363" i="2"/>
  <c r="B363" i="2"/>
  <c r="G363" i="2"/>
  <c r="F363" i="2"/>
  <c r="I363" i="2"/>
  <c r="M363" i="2"/>
  <c r="H363" i="2"/>
  <c r="C364" i="2"/>
  <c r="J363" i="2" l="1"/>
  <c r="K363" i="2" s="1"/>
  <c r="B364" i="2"/>
  <c r="A364" i="2"/>
  <c r="F364" i="2"/>
  <c r="G364" i="2"/>
  <c r="I364" i="2"/>
  <c r="H364" i="2"/>
  <c r="M364" i="2"/>
  <c r="C365" i="2"/>
  <c r="J364" i="2" l="1"/>
  <c r="K364" i="2" s="1"/>
  <c r="B365" i="2"/>
  <c r="A365" i="2"/>
  <c r="H365" i="2"/>
  <c r="M365" i="2"/>
  <c r="F365" i="2"/>
  <c r="I365" i="2"/>
  <c r="G365" i="2"/>
  <c r="C366" i="2"/>
  <c r="J365" i="2" l="1"/>
  <c r="K365" i="2" s="1"/>
  <c r="B366" i="2"/>
  <c r="A366" i="2"/>
  <c r="M366" i="2"/>
  <c r="F366" i="2"/>
  <c r="G366" i="2"/>
  <c r="I366" i="2"/>
  <c r="H366" i="2"/>
  <c r="C367" i="2"/>
  <c r="J366" i="2" l="1"/>
  <c r="K366" i="2" s="1"/>
  <c r="B367" i="2"/>
  <c r="A367" i="2"/>
  <c r="I367" i="2"/>
  <c r="G367" i="2"/>
  <c r="M367" i="2"/>
  <c r="H367" i="2"/>
  <c r="F367" i="2"/>
  <c r="C368" i="2"/>
  <c r="J367" i="2" l="1"/>
  <c r="K367" i="2" s="1"/>
  <c r="B368" i="2"/>
  <c r="A368" i="2"/>
  <c r="M368" i="2"/>
  <c r="H368" i="2"/>
  <c r="I368" i="2"/>
  <c r="F368" i="2"/>
  <c r="G368" i="2"/>
  <c r="C369" i="2"/>
  <c r="J368" i="2" l="1"/>
  <c r="K368" i="2" s="1"/>
  <c r="A369" i="2"/>
  <c r="B369" i="2"/>
  <c r="I369" i="2"/>
  <c r="H369" i="2"/>
  <c r="M369" i="2"/>
  <c r="G369" i="2"/>
  <c r="F369" i="2"/>
  <c r="C370" i="2"/>
  <c r="J369" i="2" l="1"/>
  <c r="K369" i="2" s="1"/>
  <c r="B370" i="2"/>
  <c r="A370" i="2"/>
  <c r="F370" i="2"/>
  <c r="H370" i="2"/>
  <c r="I370" i="2"/>
  <c r="M370" i="2"/>
  <c r="G370" i="2"/>
  <c r="C371" i="2"/>
  <c r="J370" i="2" l="1"/>
  <c r="K370" i="2" s="1"/>
  <c r="B371" i="2"/>
  <c r="A371" i="2"/>
  <c r="F371" i="2"/>
  <c r="G371" i="2"/>
  <c r="I371" i="2"/>
  <c r="M371" i="2"/>
  <c r="H371" i="2"/>
  <c r="C372" i="2"/>
  <c r="J371" i="2" l="1"/>
  <c r="K371" i="2" s="1"/>
  <c r="B372" i="2"/>
  <c r="A372" i="2"/>
  <c r="M372" i="2"/>
  <c r="H372" i="2"/>
  <c r="F372" i="2"/>
  <c r="I372" i="2"/>
  <c r="G372" i="2"/>
  <c r="C373" i="2"/>
  <c r="J372" i="2" l="1"/>
  <c r="K372" i="2" s="1"/>
  <c r="B373" i="2"/>
  <c r="A373" i="2"/>
  <c r="H373" i="2"/>
  <c r="I373" i="2"/>
  <c r="M373" i="2"/>
  <c r="F373" i="2"/>
  <c r="G373" i="2"/>
  <c r="C374" i="2"/>
  <c r="J373" i="2" l="1"/>
  <c r="K373" i="2" s="1"/>
  <c r="B374" i="2"/>
  <c r="A374" i="2"/>
  <c r="G374" i="2"/>
  <c r="H374" i="2"/>
  <c r="F374" i="2"/>
  <c r="I374" i="2"/>
  <c r="M374" i="2"/>
  <c r="C375" i="2"/>
  <c r="J374" i="2" l="1"/>
  <c r="K374" i="2" s="1"/>
  <c r="A375" i="2"/>
  <c r="B375" i="2"/>
  <c r="I375" i="2"/>
  <c r="F375" i="2"/>
  <c r="M375" i="2"/>
  <c r="G375" i="2"/>
  <c r="H375" i="2"/>
  <c r="C376" i="2"/>
  <c r="J375" i="2" l="1"/>
  <c r="K375" i="2" s="1"/>
  <c r="B376" i="2"/>
  <c r="A376" i="2"/>
  <c r="I376" i="2"/>
  <c r="M376" i="2"/>
  <c r="F376" i="2"/>
  <c r="G376" i="2"/>
  <c r="H376" i="2"/>
  <c r="C377" i="2"/>
  <c r="J376" i="2" l="1"/>
  <c r="K376" i="2" s="1"/>
  <c r="B377" i="2"/>
  <c r="A377" i="2"/>
  <c r="H377" i="2"/>
  <c r="M377" i="2"/>
  <c r="I377" i="2"/>
  <c r="G377" i="2"/>
  <c r="F377" i="2"/>
  <c r="C378" i="2"/>
  <c r="J377" i="2" l="1"/>
  <c r="K377" i="2" s="1"/>
  <c r="B378" i="2"/>
  <c r="A378" i="2"/>
  <c r="M378" i="2"/>
  <c r="H378" i="2"/>
  <c r="G378" i="2"/>
  <c r="F378" i="2"/>
  <c r="I378" i="2"/>
  <c r="C379" i="2"/>
  <c r="J378" i="2" l="1"/>
  <c r="K378" i="2" s="1"/>
  <c r="B379" i="2"/>
  <c r="A379" i="2"/>
  <c r="H379" i="2"/>
  <c r="F379" i="2"/>
  <c r="G379" i="2"/>
  <c r="I379" i="2"/>
  <c r="M379" i="2"/>
  <c r="C380" i="2"/>
  <c r="J379" i="2" l="1"/>
  <c r="K379" i="2" s="1"/>
  <c r="B380" i="2"/>
  <c r="A380" i="2"/>
  <c r="I380" i="2"/>
  <c r="F380" i="2"/>
  <c r="M380" i="2"/>
  <c r="H380" i="2"/>
  <c r="G380" i="2"/>
  <c r="C381" i="2"/>
  <c r="J380" i="2" l="1"/>
  <c r="K380" i="2" s="1"/>
  <c r="B381" i="2"/>
  <c r="A381" i="2"/>
  <c r="I381" i="2"/>
  <c r="M381" i="2"/>
  <c r="H381" i="2"/>
  <c r="G381" i="2"/>
  <c r="F381" i="2"/>
  <c r="C382" i="2"/>
  <c r="J381" i="2" l="1"/>
  <c r="K381" i="2" s="1"/>
  <c r="B382" i="2"/>
  <c r="A382" i="2"/>
  <c r="G382" i="2"/>
  <c r="F382" i="2"/>
  <c r="M382" i="2"/>
  <c r="H382" i="2"/>
  <c r="I382" i="2"/>
  <c r="C383" i="2"/>
  <c r="J382" i="2" l="1"/>
  <c r="K382" i="2" s="1"/>
  <c r="B383" i="2"/>
  <c r="A383" i="2"/>
  <c r="H383" i="2"/>
  <c r="M383" i="2"/>
  <c r="I383" i="2"/>
  <c r="G383" i="2"/>
  <c r="F383" i="2"/>
  <c r="C384" i="2"/>
  <c r="J383" i="2" l="1"/>
  <c r="K383" i="2" s="1"/>
  <c r="B384" i="2"/>
  <c r="A384" i="2"/>
  <c r="I384" i="2"/>
  <c r="H384" i="2"/>
  <c r="G384" i="2"/>
  <c r="F384" i="2"/>
  <c r="M384" i="2"/>
  <c r="C385" i="2"/>
  <c r="J384" i="2" l="1"/>
  <c r="K384" i="2" s="1"/>
  <c r="A385" i="2"/>
  <c r="B385" i="2"/>
  <c r="H385" i="2"/>
  <c r="I385" i="2"/>
  <c r="M385" i="2"/>
  <c r="F385" i="2"/>
  <c r="G385" i="2"/>
  <c r="C386" i="2"/>
  <c r="J385" i="2" l="1"/>
  <c r="K385" i="2" s="1"/>
  <c r="B386" i="2"/>
  <c r="A386" i="2"/>
  <c r="I386" i="2"/>
  <c r="G386" i="2"/>
  <c r="M386" i="2"/>
  <c r="H386" i="2"/>
  <c r="F386" i="2"/>
  <c r="C387" i="2"/>
  <c r="J386" i="2" l="1"/>
  <c r="K386" i="2" s="1"/>
  <c r="B387" i="2"/>
  <c r="A387" i="2"/>
  <c r="G387" i="2"/>
  <c r="H387" i="2"/>
  <c r="F387" i="2"/>
  <c r="I387" i="2"/>
  <c r="M387" i="2"/>
  <c r="C388" i="2"/>
  <c r="J387" i="2" l="1"/>
  <c r="K387" i="2" s="1"/>
  <c r="B388" i="2"/>
  <c r="A388" i="2"/>
  <c r="I388" i="2"/>
  <c r="G388" i="2"/>
  <c r="H388" i="2"/>
  <c r="F388" i="2"/>
  <c r="M388" i="2"/>
  <c r="C389" i="2"/>
  <c r="J388" i="2" l="1"/>
  <c r="K388" i="2" s="1"/>
  <c r="B389" i="2"/>
  <c r="A389" i="2"/>
  <c r="H389" i="2"/>
  <c r="I389" i="2"/>
  <c r="F389" i="2"/>
  <c r="M389" i="2"/>
  <c r="G389" i="2"/>
  <c r="C390" i="2"/>
  <c r="J389" i="2" l="1"/>
  <c r="K389" i="2" s="1"/>
  <c r="B390" i="2"/>
  <c r="A390" i="2"/>
  <c r="F390" i="2"/>
  <c r="G390" i="2"/>
  <c r="M390" i="2"/>
  <c r="H390" i="2"/>
  <c r="I390" i="2"/>
  <c r="C391" i="2"/>
  <c r="J390" i="2" l="1"/>
  <c r="K390" i="2" s="1"/>
  <c r="A391" i="2"/>
  <c r="B391" i="2"/>
  <c r="G391" i="2"/>
  <c r="F391" i="2"/>
  <c r="I391" i="2"/>
  <c r="H391" i="2"/>
  <c r="M391" i="2"/>
  <c r="C392" i="2"/>
  <c r="J391" i="2" l="1"/>
  <c r="K391" i="2" s="1"/>
  <c r="B392" i="2"/>
  <c r="A392" i="2"/>
  <c r="F392" i="2"/>
  <c r="I392" i="2"/>
  <c r="M392" i="2"/>
  <c r="G392" i="2"/>
  <c r="H392" i="2"/>
  <c r="C393" i="2"/>
  <c r="J392" i="2" l="1"/>
  <c r="K392" i="2" s="1"/>
  <c r="B393" i="2"/>
  <c r="A393" i="2"/>
  <c r="F393" i="2"/>
  <c r="H393" i="2"/>
  <c r="I393" i="2"/>
  <c r="M393" i="2"/>
  <c r="G393" i="2"/>
  <c r="C394" i="2"/>
  <c r="J393" i="2" l="1"/>
  <c r="K393" i="2" s="1"/>
  <c r="B394" i="2"/>
  <c r="A394" i="2"/>
  <c r="I394" i="2"/>
  <c r="H394" i="2"/>
  <c r="G394" i="2"/>
  <c r="F394" i="2"/>
  <c r="M394" i="2"/>
  <c r="C395" i="2"/>
  <c r="J394" i="2" l="1"/>
  <c r="K394" i="2" s="1"/>
  <c r="B395" i="2"/>
  <c r="A395" i="2"/>
  <c r="H395" i="2"/>
  <c r="F395" i="2"/>
  <c r="I395" i="2"/>
  <c r="M395" i="2"/>
  <c r="G395" i="2"/>
  <c r="C396" i="2"/>
  <c r="J395" i="2" l="1"/>
  <c r="K395" i="2" s="1"/>
  <c r="B396" i="2"/>
  <c r="A396" i="2"/>
  <c r="M396" i="2"/>
  <c r="I396" i="2"/>
  <c r="H396" i="2"/>
  <c r="F396" i="2"/>
  <c r="G396" i="2"/>
  <c r="C397" i="2"/>
  <c r="J396" i="2" l="1"/>
  <c r="K396" i="2" s="1"/>
  <c r="B397" i="2"/>
  <c r="A397" i="2"/>
  <c r="H397" i="2"/>
  <c r="M397" i="2"/>
  <c r="I397" i="2"/>
  <c r="F397" i="2"/>
  <c r="G397" i="2"/>
  <c r="C398" i="2"/>
  <c r="J397" i="2" l="1"/>
  <c r="K397" i="2" s="1"/>
  <c r="B398" i="2"/>
  <c r="A398" i="2"/>
  <c r="H398" i="2"/>
  <c r="I398" i="2"/>
  <c r="M398" i="2"/>
  <c r="F398" i="2"/>
  <c r="G398" i="2"/>
  <c r="C399" i="2"/>
  <c r="J398" i="2" l="1"/>
  <c r="K398" i="2" s="1"/>
  <c r="A399" i="2"/>
  <c r="B399" i="2"/>
  <c r="F399" i="2"/>
  <c r="I399" i="2"/>
  <c r="M399" i="2"/>
  <c r="G399" i="2"/>
  <c r="H399" i="2"/>
  <c r="C400" i="2"/>
  <c r="J399" i="2" l="1"/>
  <c r="K399" i="2" s="1"/>
  <c r="B400" i="2"/>
  <c r="A400" i="2"/>
  <c r="G400" i="2"/>
  <c r="I400" i="2"/>
  <c r="M400" i="2"/>
  <c r="H400" i="2"/>
  <c r="F400" i="2"/>
  <c r="C401" i="2"/>
  <c r="J400" i="2" l="1"/>
  <c r="K400" i="2" s="1"/>
  <c r="A401" i="2"/>
  <c r="B401" i="2"/>
  <c r="F401" i="2"/>
  <c r="H401" i="2"/>
  <c r="M401" i="2"/>
  <c r="I401" i="2"/>
  <c r="G401" i="2"/>
  <c r="C402" i="2"/>
  <c r="J401" i="2" l="1"/>
  <c r="K401" i="2" s="1"/>
  <c r="B402" i="2"/>
  <c r="A402" i="2"/>
  <c r="F402" i="2"/>
  <c r="I402" i="2"/>
  <c r="H402" i="2"/>
  <c r="G402" i="2"/>
  <c r="M402" i="2"/>
  <c r="C403" i="2"/>
  <c r="J402" i="2" l="1"/>
  <c r="K402" i="2" s="1"/>
  <c r="B403" i="2"/>
  <c r="A403" i="2"/>
  <c r="M403" i="2"/>
  <c r="H403" i="2"/>
  <c r="F403" i="2"/>
  <c r="G403" i="2"/>
  <c r="I403" i="2"/>
  <c r="C404" i="2"/>
  <c r="J403" i="2" l="1"/>
  <c r="K403" i="2" s="1"/>
  <c r="B404" i="2"/>
  <c r="A404" i="2"/>
  <c r="I404" i="2"/>
  <c r="M404" i="2"/>
  <c r="H404" i="2"/>
  <c r="F404" i="2"/>
  <c r="G404" i="2"/>
  <c r="C405" i="2"/>
  <c r="J404" i="2" l="1"/>
  <c r="K404" i="2" s="1"/>
  <c r="A405" i="2"/>
  <c r="B405" i="2"/>
  <c r="H405" i="2"/>
  <c r="M405" i="2"/>
  <c r="F405" i="2"/>
  <c r="G405" i="2"/>
  <c r="I405" i="2"/>
  <c r="C406" i="2"/>
  <c r="J405" i="2" l="1"/>
  <c r="K405" i="2" s="1"/>
  <c r="B406" i="2"/>
  <c r="A406" i="2"/>
  <c r="G406" i="2"/>
  <c r="F406" i="2"/>
  <c r="H406" i="2"/>
  <c r="I406" i="2"/>
  <c r="M406" i="2"/>
  <c r="C407" i="2"/>
  <c r="J406" i="2" l="1"/>
  <c r="K406" i="2" s="1"/>
  <c r="A407" i="2"/>
  <c r="B407" i="2"/>
  <c r="M407" i="2"/>
  <c r="G407" i="2"/>
  <c r="F407" i="2"/>
  <c r="I407" i="2"/>
  <c r="H407" i="2"/>
  <c r="C408" i="2"/>
  <c r="J407" i="2" l="1"/>
  <c r="K407" i="2" s="1"/>
  <c r="B408" i="2"/>
  <c r="A408" i="2"/>
  <c r="G408" i="2"/>
  <c r="I408" i="2"/>
  <c r="F408" i="2"/>
  <c r="M408" i="2"/>
  <c r="H408" i="2"/>
  <c r="C409" i="2"/>
  <c r="J408" i="2" l="1"/>
  <c r="K408" i="2" s="1"/>
  <c r="B409" i="2"/>
  <c r="A409" i="2"/>
  <c r="G409" i="2"/>
  <c r="H409" i="2"/>
  <c r="F409" i="2"/>
  <c r="I409" i="2"/>
  <c r="M409" i="2"/>
  <c r="C410" i="2"/>
  <c r="J409" i="2" l="1"/>
  <c r="K409" i="2" s="1"/>
  <c r="B410" i="2"/>
  <c r="A410" i="2"/>
  <c r="M410" i="2"/>
  <c r="F410" i="2"/>
  <c r="G410" i="2"/>
  <c r="I410" i="2"/>
  <c r="H410" i="2"/>
  <c r="C411" i="2"/>
  <c r="J410" i="2" l="1"/>
  <c r="K410" i="2" s="1"/>
  <c r="B411" i="2"/>
  <c r="A411" i="2"/>
  <c r="F411" i="2"/>
  <c r="I411" i="2"/>
  <c r="G411" i="2"/>
  <c r="M411" i="2"/>
  <c r="H411" i="2"/>
  <c r="C412" i="2"/>
  <c r="J411" i="2" l="1"/>
  <c r="K411" i="2" s="1"/>
  <c r="B412" i="2"/>
  <c r="A412" i="2"/>
  <c r="I412" i="2"/>
  <c r="F412" i="2"/>
  <c r="M412" i="2"/>
  <c r="H412" i="2"/>
  <c r="G412" i="2"/>
  <c r="C413" i="2"/>
  <c r="J412" i="2" l="1"/>
  <c r="K412" i="2" s="1"/>
  <c r="B413" i="2"/>
  <c r="A413" i="2"/>
  <c r="I413" i="2"/>
  <c r="H413" i="2"/>
  <c r="G413" i="2"/>
  <c r="F413" i="2"/>
  <c r="M413" i="2"/>
  <c r="C414" i="2"/>
  <c r="J413" i="2" l="1"/>
  <c r="K413" i="2" s="1"/>
  <c r="B414" i="2"/>
  <c r="A414" i="2"/>
  <c r="G414" i="2"/>
  <c r="M414" i="2"/>
  <c r="F414" i="2"/>
  <c r="H414" i="2"/>
  <c r="I414" i="2"/>
  <c r="C415" i="2"/>
  <c r="J414" i="2" l="1"/>
  <c r="K414" i="2" s="1"/>
  <c r="B415" i="2"/>
  <c r="A415" i="2"/>
  <c r="M415" i="2"/>
  <c r="I415" i="2"/>
  <c r="F415" i="2"/>
  <c r="H415" i="2"/>
  <c r="G415" i="2"/>
  <c r="C416" i="2"/>
  <c r="J415" i="2" l="1"/>
  <c r="K415" i="2" s="1"/>
  <c r="B416" i="2"/>
  <c r="A416" i="2"/>
  <c r="H416" i="2"/>
  <c r="I416" i="2"/>
  <c r="M416" i="2"/>
  <c r="F416" i="2"/>
  <c r="G416" i="2"/>
  <c r="C417" i="2"/>
  <c r="J416" i="2" l="1"/>
  <c r="K416" i="2" s="1"/>
  <c r="A417" i="2"/>
  <c r="B417" i="2"/>
  <c r="G417" i="2"/>
  <c r="M417" i="2"/>
  <c r="H417" i="2"/>
  <c r="I417" i="2"/>
  <c r="F417" i="2"/>
  <c r="C418" i="2"/>
  <c r="J417" i="2" l="1"/>
  <c r="K417" i="2" s="1"/>
  <c r="B418" i="2"/>
  <c r="A418" i="2"/>
  <c r="I418" i="2"/>
  <c r="F418" i="2"/>
  <c r="H418" i="2"/>
  <c r="M418" i="2"/>
  <c r="G418" i="2"/>
  <c r="C419" i="2"/>
  <c r="J418" i="2" l="1"/>
  <c r="K418" i="2" s="1"/>
  <c r="B419" i="2"/>
  <c r="A419" i="2"/>
  <c r="F419" i="2"/>
  <c r="G419" i="2"/>
  <c r="H419" i="2"/>
  <c r="M419" i="2"/>
  <c r="I419" i="2"/>
  <c r="C420" i="2"/>
  <c r="J419" i="2" l="1"/>
  <c r="K419" i="2" s="1"/>
  <c r="B420" i="2"/>
  <c r="A420" i="2"/>
  <c r="H420" i="2"/>
  <c r="I420" i="2"/>
  <c r="M420" i="2"/>
  <c r="F420" i="2"/>
  <c r="G420" i="2"/>
  <c r="C421" i="2"/>
  <c r="J420" i="2" l="1"/>
  <c r="K420" i="2" s="1"/>
  <c r="A421" i="2"/>
  <c r="B421" i="2"/>
  <c r="H421" i="2"/>
  <c r="G421" i="2"/>
  <c r="I421" i="2"/>
  <c r="F421" i="2"/>
  <c r="M421" i="2"/>
  <c r="C422" i="2"/>
  <c r="J421" i="2" l="1"/>
  <c r="K421" i="2" s="1"/>
  <c r="B422" i="2"/>
  <c r="A422" i="2"/>
  <c r="I422" i="2"/>
  <c r="F422" i="2"/>
  <c r="M422" i="2"/>
  <c r="H422" i="2"/>
  <c r="G422" i="2"/>
  <c r="C423" i="2"/>
  <c r="J422" i="2" l="1"/>
  <c r="K422" i="2" s="1"/>
  <c r="A423" i="2"/>
  <c r="B423" i="2"/>
  <c r="M423" i="2"/>
  <c r="F423" i="2"/>
  <c r="I423" i="2"/>
  <c r="H423" i="2"/>
  <c r="G423" i="2"/>
  <c r="C424" i="2"/>
  <c r="J423" i="2" l="1"/>
  <c r="K423" i="2" s="1"/>
  <c r="B424" i="2"/>
  <c r="A424" i="2"/>
  <c r="G424" i="2"/>
  <c r="F424" i="2"/>
  <c r="H424" i="2"/>
  <c r="M424" i="2"/>
  <c r="I424" i="2"/>
  <c r="C425" i="2"/>
  <c r="J424" i="2" l="1"/>
  <c r="K424" i="2" s="1"/>
  <c r="B425" i="2"/>
  <c r="A425" i="2"/>
  <c r="H425" i="2"/>
  <c r="F425" i="2"/>
  <c r="M425" i="2"/>
  <c r="G425" i="2"/>
  <c r="I425" i="2"/>
  <c r="C426" i="2"/>
  <c r="J425" i="2" l="1"/>
  <c r="K425" i="2" s="1"/>
  <c r="B426" i="2"/>
  <c r="A426" i="2"/>
  <c r="H426" i="2"/>
  <c r="M426" i="2"/>
  <c r="F426" i="2"/>
  <c r="I426" i="2"/>
  <c r="G426" i="2"/>
  <c r="C427" i="2"/>
  <c r="J426" i="2" l="1"/>
  <c r="K426" i="2" s="1"/>
  <c r="A427" i="2"/>
  <c r="B427" i="2"/>
  <c r="H427" i="2"/>
  <c r="I427" i="2"/>
  <c r="F427" i="2"/>
  <c r="M427" i="2"/>
  <c r="G427" i="2"/>
  <c r="C428" i="2"/>
  <c r="J427" i="2" l="1"/>
  <c r="K427" i="2" s="1"/>
  <c r="B428" i="2"/>
  <c r="A428" i="2"/>
  <c r="H428" i="2"/>
  <c r="F428" i="2"/>
  <c r="M428" i="2"/>
  <c r="I428" i="2"/>
  <c r="G428" i="2"/>
  <c r="C429" i="2"/>
  <c r="J428" i="2" l="1"/>
  <c r="K428" i="2" s="1"/>
  <c r="B429" i="2"/>
  <c r="A429" i="2"/>
  <c r="I429" i="2"/>
  <c r="H429" i="2"/>
  <c r="M429" i="2"/>
  <c r="F429" i="2"/>
  <c r="G429" i="2"/>
  <c r="C430" i="2"/>
  <c r="J429" i="2" l="1"/>
  <c r="K429" i="2" s="1"/>
  <c r="B430" i="2"/>
  <c r="A430" i="2"/>
  <c r="F430" i="2"/>
  <c r="G430" i="2"/>
  <c r="I430" i="2"/>
  <c r="M430" i="2"/>
  <c r="H430" i="2"/>
  <c r="C431" i="2"/>
  <c r="J430" i="2" l="1"/>
  <c r="K430" i="2" s="1"/>
  <c r="B431" i="2"/>
  <c r="A431" i="2"/>
  <c r="I431" i="2"/>
  <c r="H431" i="2"/>
  <c r="F431" i="2"/>
  <c r="M431" i="2"/>
  <c r="G431" i="2"/>
  <c r="C432" i="2"/>
  <c r="J431" i="2" l="1"/>
  <c r="K431" i="2" s="1"/>
  <c r="B432" i="2"/>
  <c r="A432" i="2"/>
  <c r="G432" i="2"/>
  <c r="F432" i="2"/>
  <c r="H432" i="2"/>
  <c r="M432" i="2"/>
  <c r="I432" i="2"/>
  <c r="C433" i="2"/>
  <c r="J432" i="2" l="1"/>
  <c r="K432" i="2" s="1"/>
  <c r="A433" i="2"/>
  <c r="B433" i="2"/>
  <c r="H433" i="2"/>
  <c r="I433" i="2"/>
  <c r="G433" i="2"/>
  <c r="M433" i="2"/>
  <c r="F433" i="2"/>
  <c r="C434" i="2"/>
  <c r="J433" i="2" l="1"/>
  <c r="K433" i="2" s="1"/>
  <c r="B434" i="2"/>
  <c r="A434" i="2"/>
  <c r="I434" i="2"/>
  <c r="G434" i="2"/>
  <c r="M434" i="2"/>
  <c r="F434" i="2"/>
  <c r="H434" i="2"/>
  <c r="C435" i="2"/>
  <c r="J434" i="2" l="1"/>
  <c r="K434" i="2" s="1"/>
  <c r="B435" i="2"/>
  <c r="A435" i="2"/>
  <c r="G435" i="2"/>
  <c r="I435" i="2"/>
  <c r="F435" i="2"/>
  <c r="M435" i="2"/>
  <c r="H435" i="2"/>
  <c r="C436" i="2"/>
  <c r="J435" i="2" l="1"/>
  <c r="K435" i="2" s="1"/>
  <c r="B436" i="2"/>
  <c r="A436" i="2"/>
  <c r="M436" i="2"/>
  <c r="F436" i="2"/>
  <c r="G436" i="2"/>
  <c r="H436" i="2"/>
  <c r="I436" i="2"/>
  <c r="C437" i="2"/>
  <c r="J436" i="2" l="1"/>
  <c r="K436" i="2" s="1"/>
  <c r="B437" i="2"/>
  <c r="A437" i="2"/>
  <c r="H437" i="2"/>
  <c r="M437" i="2"/>
  <c r="G437" i="2"/>
  <c r="I437" i="2"/>
  <c r="F437" i="2"/>
  <c r="C438" i="2"/>
  <c r="J437" i="2" l="1"/>
  <c r="K437" i="2" s="1"/>
  <c r="B438" i="2"/>
  <c r="A438" i="2"/>
  <c r="H438" i="2"/>
  <c r="F438" i="2"/>
  <c r="G438" i="2"/>
  <c r="I438" i="2"/>
  <c r="M438" i="2"/>
  <c r="C439" i="2"/>
  <c r="J438" i="2" l="1"/>
  <c r="K438" i="2" s="1"/>
  <c r="A439" i="2"/>
  <c r="B439" i="2"/>
  <c r="G439" i="2"/>
  <c r="I439" i="2"/>
  <c r="M439" i="2"/>
  <c r="F439" i="2"/>
  <c r="H439" i="2"/>
  <c r="C440" i="2"/>
  <c r="J439" i="2" l="1"/>
  <c r="K439" i="2" s="1"/>
  <c r="B440" i="2"/>
  <c r="A440" i="2"/>
  <c r="G440" i="2"/>
  <c r="I440" i="2"/>
  <c r="H440" i="2"/>
  <c r="F440" i="2"/>
  <c r="M440" i="2"/>
  <c r="C441" i="2"/>
  <c r="J440" i="2" l="1"/>
  <c r="K440" i="2" s="1"/>
  <c r="B441" i="2"/>
  <c r="A441" i="2"/>
  <c r="I441" i="2"/>
  <c r="G441" i="2"/>
  <c r="H441" i="2"/>
  <c r="F441" i="2"/>
  <c r="M441" i="2"/>
  <c r="C442" i="2"/>
  <c r="J441" i="2" l="1"/>
  <c r="K441" i="2" s="1"/>
  <c r="B442" i="2"/>
  <c r="A442" i="2"/>
  <c r="M442" i="2"/>
  <c r="F442" i="2"/>
  <c r="H442" i="2"/>
  <c r="G442" i="2"/>
  <c r="I442" i="2"/>
  <c r="C443" i="2"/>
  <c r="J442" i="2" l="1"/>
  <c r="K442" i="2" s="1"/>
  <c r="B443" i="2"/>
  <c r="A443" i="2"/>
  <c r="I443" i="2"/>
  <c r="H443" i="2"/>
  <c r="F443" i="2"/>
  <c r="M443" i="2"/>
  <c r="G443" i="2"/>
  <c r="C444" i="2"/>
  <c r="J443" i="2" l="1"/>
  <c r="K443" i="2" s="1"/>
  <c r="B444" i="2"/>
  <c r="A444" i="2"/>
  <c r="F444" i="2"/>
  <c r="M444" i="2"/>
  <c r="H444" i="2"/>
  <c r="G444" i="2"/>
  <c r="I444" i="2"/>
  <c r="C445" i="2"/>
  <c r="J444" i="2" l="1"/>
  <c r="K444" i="2" s="1"/>
  <c r="B445" i="2"/>
  <c r="A445" i="2"/>
  <c r="M445" i="2"/>
  <c r="F445" i="2"/>
  <c r="I445" i="2"/>
  <c r="H445" i="2"/>
  <c r="G445" i="2"/>
  <c r="C446" i="2"/>
  <c r="J445" i="2" l="1"/>
  <c r="K445" i="2" s="1"/>
  <c r="B446" i="2"/>
  <c r="A446" i="2"/>
  <c r="H446" i="2"/>
  <c r="F446" i="2"/>
  <c r="I446" i="2"/>
  <c r="M446" i="2"/>
  <c r="G446" i="2"/>
  <c r="C447" i="2"/>
  <c r="J446" i="2" l="1"/>
  <c r="K446" i="2" s="1"/>
  <c r="B447" i="2"/>
  <c r="A447" i="2"/>
  <c r="H447" i="2"/>
  <c r="I447" i="2"/>
  <c r="G447" i="2"/>
  <c r="F447" i="2"/>
  <c r="M447" i="2"/>
  <c r="C448" i="2"/>
  <c r="J447" i="2" l="1"/>
  <c r="K447" i="2" s="1"/>
  <c r="B448" i="2"/>
  <c r="A448" i="2"/>
  <c r="F448" i="2"/>
  <c r="M448" i="2"/>
  <c r="I448" i="2"/>
  <c r="H448" i="2"/>
  <c r="G448" i="2"/>
  <c r="C449" i="2"/>
  <c r="J448" i="2" l="1"/>
  <c r="K448" i="2" s="1"/>
  <c r="A449" i="2"/>
  <c r="B449" i="2"/>
  <c r="I449" i="2"/>
  <c r="H449" i="2"/>
  <c r="M449" i="2"/>
  <c r="G449" i="2"/>
  <c r="F449" i="2"/>
  <c r="C450" i="2"/>
  <c r="J449" i="2" l="1"/>
  <c r="K449" i="2" s="1"/>
  <c r="B450" i="2"/>
  <c r="A450" i="2"/>
  <c r="M450" i="2"/>
  <c r="G450" i="2"/>
  <c r="I450" i="2"/>
  <c r="H450" i="2"/>
  <c r="F450" i="2"/>
  <c r="C451" i="2"/>
  <c r="J450" i="2" l="1"/>
  <c r="K450" i="2" s="1"/>
  <c r="B451" i="2"/>
  <c r="A451" i="2"/>
  <c r="F451" i="2"/>
  <c r="G451" i="2"/>
  <c r="I451" i="2"/>
  <c r="M451" i="2"/>
  <c r="H451" i="2"/>
  <c r="C452" i="2"/>
  <c r="J451" i="2" l="1"/>
  <c r="K451" i="2" s="1"/>
  <c r="B452" i="2"/>
  <c r="A452" i="2"/>
  <c r="H452" i="2"/>
  <c r="F452" i="2"/>
  <c r="M452" i="2"/>
  <c r="G452" i="2"/>
  <c r="I452" i="2"/>
  <c r="C453" i="2"/>
  <c r="J452" i="2" l="1"/>
  <c r="K452" i="2" s="1"/>
  <c r="B453" i="2"/>
  <c r="A453" i="2"/>
  <c r="M453" i="2"/>
  <c r="H453" i="2"/>
  <c r="F453" i="2"/>
  <c r="G453" i="2"/>
  <c r="I453" i="2"/>
  <c r="C454" i="2"/>
  <c r="J453" i="2" l="1"/>
  <c r="K453" i="2" s="1"/>
  <c r="B454" i="2"/>
  <c r="A454" i="2"/>
  <c r="F454" i="2"/>
  <c r="I454" i="2"/>
  <c r="G454" i="2"/>
  <c r="M454" i="2"/>
  <c r="H454" i="2"/>
  <c r="C455" i="2"/>
  <c r="J454" i="2" l="1"/>
  <c r="K454" i="2" s="1"/>
  <c r="A455" i="2"/>
  <c r="B455" i="2"/>
  <c r="M455" i="2"/>
  <c r="H455" i="2"/>
  <c r="F455" i="2"/>
  <c r="I455" i="2"/>
  <c r="G455" i="2"/>
  <c r="C456" i="2"/>
  <c r="J455" i="2" l="1"/>
  <c r="K455" i="2" s="1"/>
  <c r="B456" i="2"/>
  <c r="A456" i="2"/>
  <c r="H456" i="2"/>
  <c r="I456" i="2"/>
  <c r="G456" i="2"/>
  <c r="M456" i="2"/>
  <c r="F456" i="2"/>
  <c r="C457" i="2"/>
  <c r="J456" i="2" l="1"/>
  <c r="K456" i="2" s="1"/>
  <c r="B457" i="2"/>
  <c r="A457" i="2"/>
  <c r="G457" i="2"/>
  <c r="F457" i="2"/>
  <c r="I457" i="2"/>
  <c r="H457" i="2"/>
  <c r="M457" i="2"/>
  <c r="C458" i="2"/>
  <c r="J457" i="2" l="1"/>
  <c r="K457" i="2" s="1"/>
  <c r="B458" i="2"/>
  <c r="A458" i="2"/>
  <c r="F458" i="2"/>
  <c r="M458" i="2"/>
  <c r="H458" i="2"/>
  <c r="I458" i="2"/>
  <c r="G458" i="2"/>
  <c r="C459" i="2"/>
  <c r="J458" i="2" l="1"/>
  <c r="K458" i="2" s="1"/>
  <c r="B459" i="2"/>
  <c r="A459" i="2"/>
  <c r="F459" i="2"/>
  <c r="G459" i="2"/>
  <c r="I459" i="2"/>
  <c r="M459" i="2"/>
  <c r="H459" i="2"/>
  <c r="C460" i="2"/>
  <c r="J459" i="2" l="1"/>
  <c r="K459" i="2" s="1"/>
  <c r="B460" i="2"/>
  <c r="A460" i="2"/>
  <c r="I460" i="2"/>
  <c r="G460" i="2"/>
  <c r="F460" i="2"/>
  <c r="M460" i="2"/>
  <c r="H460" i="2"/>
  <c r="C461" i="2"/>
  <c r="J460" i="2" l="1"/>
  <c r="K460" i="2" s="1"/>
  <c r="B461" i="2"/>
  <c r="A461" i="2"/>
  <c r="F461" i="2"/>
  <c r="M461" i="2"/>
  <c r="G461" i="2"/>
  <c r="H461" i="2"/>
  <c r="I461" i="2"/>
  <c r="C462" i="2"/>
  <c r="J461" i="2" l="1"/>
  <c r="K461" i="2" s="1"/>
  <c r="B462" i="2"/>
  <c r="A462" i="2"/>
  <c r="M462" i="2"/>
  <c r="H462" i="2"/>
  <c r="I462" i="2"/>
  <c r="G462" i="2"/>
  <c r="F462" i="2"/>
  <c r="C463" i="2"/>
  <c r="J462" i="2" l="1"/>
  <c r="K462" i="2" s="1"/>
  <c r="B463" i="2"/>
  <c r="A463" i="2"/>
  <c r="H463" i="2"/>
  <c r="F463" i="2"/>
  <c r="I463" i="2"/>
  <c r="G463" i="2"/>
  <c r="M463" i="2"/>
  <c r="C464" i="2"/>
  <c r="J463" i="2" l="1"/>
  <c r="K463" i="2" s="1"/>
  <c r="B464" i="2"/>
  <c r="A464" i="2"/>
  <c r="M464" i="2"/>
  <c r="G464" i="2"/>
  <c r="H464" i="2"/>
  <c r="I464" i="2"/>
  <c r="F464" i="2"/>
  <c r="C465" i="2"/>
  <c r="J464" i="2" l="1"/>
  <c r="K464" i="2" s="1"/>
  <c r="A465" i="2"/>
  <c r="B465" i="2"/>
  <c r="H465" i="2"/>
  <c r="M465" i="2"/>
  <c r="G465" i="2"/>
  <c r="I465" i="2"/>
  <c r="F465" i="2"/>
  <c r="C466" i="2"/>
  <c r="J465" i="2" l="1"/>
  <c r="K465" i="2" s="1"/>
  <c r="B466" i="2"/>
  <c r="A466" i="2"/>
  <c r="H466" i="2"/>
  <c r="F466" i="2"/>
  <c r="G466" i="2"/>
  <c r="M466" i="2"/>
  <c r="I466" i="2"/>
  <c r="C467" i="2"/>
  <c r="J466" i="2" l="1"/>
  <c r="K466" i="2" s="1"/>
  <c r="B467" i="2"/>
  <c r="A467" i="2"/>
  <c r="G467" i="2"/>
  <c r="H467" i="2"/>
  <c r="M467" i="2"/>
  <c r="F467" i="2"/>
  <c r="I467" i="2"/>
  <c r="C468" i="2"/>
  <c r="J467" i="2" l="1"/>
  <c r="K467" i="2" s="1"/>
  <c r="B468" i="2"/>
  <c r="A468" i="2"/>
  <c r="H468" i="2"/>
  <c r="F468" i="2"/>
  <c r="G468" i="2"/>
  <c r="I468" i="2"/>
  <c r="M468" i="2"/>
  <c r="C469" i="2"/>
  <c r="J468" i="2" l="1"/>
  <c r="K468" i="2" s="1"/>
  <c r="A469" i="2"/>
  <c r="B469" i="2"/>
  <c r="G469" i="2"/>
  <c r="H469" i="2"/>
  <c r="F469" i="2"/>
  <c r="M469" i="2"/>
  <c r="I469" i="2"/>
  <c r="C470" i="2"/>
  <c r="J469" i="2" l="1"/>
  <c r="K469" i="2" s="1"/>
  <c r="B470" i="2"/>
  <c r="A470" i="2"/>
  <c r="I470" i="2"/>
  <c r="G470" i="2"/>
  <c r="F470" i="2"/>
  <c r="H470" i="2"/>
  <c r="M470" i="2"/>
  <c r="C471" i="2"/>
  <c r="J470" i="2" l="1"/>
  <c r="K470" i="2" s="1"/>
  <c r="A471" i="2"/>
  <c r="B471" i="2"/>
  <c r="M471" i="2"/>
  <c r="G471" i="2"/>
  <c r="I471" i="2"/>
  <c r="H471" i="2"/>
  <c r="F471" i="2"/>
  <c r="C472" i="2"/>
  <c r="J471" i="2" l="1"/>
  <c r="K471" i="2" s="1"/>
  <c r="B472" i="2"/>
  <c r="A472" i="2"/>
  <c r="F472" i="2"/>
  <c r="G472" i="2"/>
  <c r="M472" i="2"/>
  <c r="I472" i="2"/>
  <c r="H472" i="2"/>
  <c r="C473" i="2"/>
  <c r="J472" i="2" l="1"/>
  <c r="K472" i="2" s="1"/>
  <c r="B473" i="2"/>
  <c r="A473" i="2"/>
  <c r="M473" i="2"/>
  <c r="H473" i="2"/>
  <c r="G473" i="2"/>
  <c r="F473" i="2"/>
  <c r="I473" i="2"/>
  <c r="C474" i="2"/>
  <c r="J473" i="2" l="1"/>
  <c r="K473" i="2" s="1"/>
  <c r="B474" i="2"/>
  <c r="A474" i="2"/>
  <c r="I474" i="2"/>
  <c r="G474" i="2"/>
  <c r="M474" i="2"/>
  <c r="F474" i="2"/>
  <c r="H474" i="2"/>
  <c r="C475" i="2"/>
  <c r="J474" i="2" l="1"/>
  <c r="K474" i="2" s="1"/>
  <c r="B475" i="2"/>
  <c r="A475" i="2"/>
  <c r="G475" i="2"/>
  <c r="F475" i="2"/>
  <c r="I475" i="2"/>
  <c r="M475" i="2"/>
  <c r="H475" i="2"/>
  <c r="C476" i="2"/>
  <c r="J475" i="2" l="1"/>
  <c r="K475" i="2" s="1"/>
  <c r="B476" i="2"/>
  <c r="A476" i="2"/>
  <c r="H476" i="2"/>
  <c r="F476" i="2"/>
  <c r="I476" i="2"/>
  <c r="M476" i="2"/>
  <c r="G476" i="2"/>
  <c r="C477" i="2"/>
  <c r="J476" i="2" l="1"/>
  <c r="K476" i="2" s="1"/>
  <c r="B477" i="2"/>
  <c r="A477" i="2"/>
  <c r="I477" i="2"/>
  <c r="H477" i="2"/>
  <c r="M477" i="2"/>
  <c r="G477" i="2"/>
  <c r="F477" i="2"/>
  <c r="C478" i="2"/>
  <c r="J477" i="2" l="1"/>
  <c r="K477" i="2" s="1"/>
  <c r="B478" i="2"/>
  <c r="A478" i="2"/>
  <c r="M478" i="2"/>
  <c r="F478" i="2"/>
  <c r="H478" i="2"/>
  <c r="I478" i="2"/>
  <c r="G478" i="2"/>
  <c r="C479" i="2"/>
  <c r="J478" i="2" l="1"/>
  <c r="K478" i="2" s="1"/>
  <c r="B479" i="2"/>
  <c r="A479" i="2"/>
  <c r="I479" i="2"/>
  <c r="H479" i="2"/>
  <c r="F479" i="2"/>
  <c r="G479" i="2"/>
  <c r="M479" i="2"/>
  <c r="C480" i="2"/>
  <c r="J479" i="2" l="1"/>
  <c r="K479" i="2" s="1"/>
  <c r="B480" i="2"/>
  <c r="A480" i="2"/>
  <c r="H480" i="2"/>
  <c r="I480" i="2"/>
  <c r="F480" i="2"/>
  <c r="G480" i="2"/>
  <c r="M480" i="2"/>
  <c r="C481" i="2"/>
  <c r="J480" i="2" l="1"/>
  <c r="K480" i="2" s="1"/>
  <c r="A481" i="2"/>
  <c r="B481" i="2"/>
  <c r="F481" i="2"/>
  <c r="G481" i="2"/>
  <c r="M481" i="2"/>
  <c r="I481" i="2"/>
  <c r="H481" i="2"/>
  <c r="C482" i="2"/>
  <c r="J481" i="2" l="1"/>
  <c r="K481" i="2" s="1"/>
  <c r="B482" i="2"/>
  <c r="A482" i="2"/>
  <c r="G482" i="2"/>
  <c r="I482" i="2"/>
  <c r="M482" i="2"/>
  <c r="F482" i="2"/>
  <c r="H482" i="2"/>
  <c r="C483" i="2"/>
  <c r="J482" i="2" l="1"/>
  <c r="K482" i="2" s="1"/>
  <c r="B483" i="2"/>
  <c r="A483" i="2"/>
  <c r="F483" i="2"/>
  <c r="I483" i="2"/>
  <c r="M483" i="2"/>
  <c r="H483" i="2"/>
  <c r="G483" i="2"/>
  <c r="C484" i="2"/>
  <c r="J483" i="2" l="1"/>
  <c r="K483" i="2" s="1"/>
  <c r="B484" i="2"/>
  <c r="A484" i="2"/>
  <c r="H484" i="2"/>
  <c r="I484" i="2"/>
  <c r="M484" i="2"/>
  <c r="G484" i="2"/>
  <c r="F484" i="2"/>
  <c r="C485" i="2"/>
  <c r="J484" i="2" l="1"/>
  <c r="K484" i="2" s="1"/>
  <c r="B485" i="2"/>
  <c r="A485" i="2"/>
  <c r="I485" i="2"/>
  <c r="F485" i="2"/>
  <c r="G485" i="2"/>
  <c r="M485" i="2"/>
  <c r="H485" i="2"/>
  <c r="C486" i="2"/>
  <c r="J485" i="2" l="1"/>
  <c r="K485" i="2" s="1"/>
  <c r="B486" i="2"/>
  <c r="A486" i="2"/>
  <c r="H486" i="2"/>
  <c r="I486" i="2"/>
  <c r="M486" i="2"/>
  <c r="F486" i="2"/>
  <c r="G486" i="2"/>
  <c r="C487" i="2"/>
  <c r="J486" i="2" l="1"/>
  <c r="K486" i="2" s="1"/>
  <c r="A487" i="2"/>
  <c r="B487" i="2"/>
  <c r="M487" i="2"/>
  <c r="G487" i="2"/>
  <c r="F487" i="2"/>
  <c r="I487" i="2"/>
  <c r="H487" i="2"/>
  <c r="C488" i="2"/>
  <c r="J487" i="2" l="1"/>
  <c r="K487" i="2" s="1"/>
  <c r="B488" i="2"/>
  <c r="A488" i="2"/>
  <c r="G488" i="2"/>
  <c r="H488" i="2"/>
  <c r="F488" i="2"/>
  <c r="I488" i="2"/>
  <c r="M488" i="2"/>
  <c r="C489" i="2"/>
  <c r="J488" i="2" l="1"/>
  <c r="K488" i="2" s="1"/>
  <c r="A489" i="2"/>
  <c r="B489" i="2"/>
  <c r="F489" i="2"/>
  <c r="G489" i="2"/>
  <c r="H489" i="2"/>
  <c r="I489" i="2"/>
  <c r="M489" i="2"/>
  <c r="C490" i="2"/>
  <c r="J489" i="2" l="1"/>
  <c r="K489" i="2" s="1"/>
  <c r="B490" i="2"/>
  <c r="A490" i="2"/>
  <c r="H490" i="2"/>
  <c r="G490" i="2"/>
  <c r="M490" i="2"/>
  <c r="I490" i="2"/>
  <c r="F490" i="2"/>
  <c r="C491" i="2"/>
  <c r="J490" i="2" l="1"/>
  <c r="K490" i="2" s="1"/>
  <c r="A491" i="2"/>
  <c r="B491" i="2"/>
  <c r="G491" i="2"/>
  <c r="I491" i="2"/>
  <c r="F491" i="2"/>
  <c r="H491" i="2"/>
  <c r="M491" i="2"/>
  <c r="C492" i="2"/>
  <c r="J491" i="2" l="1"/>
  <c r="K491" i="2" s="1"/>
  <c r="B492" i="2"/>
  <c r="A492" i="2"/>
  <c r="I492" i="2"/>
  <c r="G492" i="2"/>
  <c r="H492" i="2"/>
  <c r="F492" i="2"/>
  <c r="M492" i="2"/>
  <c r="C493" i="2"/>
  <c r="J492" i="2" l="1"/>
  <c r="K492" i="2" s="1"/>
  <c r="B493" i="2"/>
  <c r="A493" i="2"/>
  <c r="G493" i="2"/>
  <c r="F493" i="2"/>
  <c r="H493" i="2"/>
  <c r="M493" i="2"/>
  <c r="I493" i="2"/>
  <c r="C494" i="2"/>
  <c r="J493" i="2" l="1"/>
  <c r="K493" i="2" s="1"/>
  <c r="B494" i="2"/>
  <c r="A494" i="2"/>
  <c r="I494" i="2"/>
  <c r="G494" i="2"/>
  <c r="M494" i="2"/>
  <c r="F494" i="2"/>
  <c r="H494" i="2"/>
  <c r="C495" i="2"/>
  <c r="J494" i="2" l="1"/>
  <c r="K494" i="2" s="1"/>
  <c r="B495" i="2"/>
  <c r="A495" i="2"/>
  <c r="G495" i="2"/>
  <c r="I495" i="2"/>
  <c r="H495" i="2"/>
  <c r="M495" i="2"/>
  <c r="F495" i="2"/>
  <c r="C496" i="2"/>
  <c r="J495" i="2" l="1"/>
  <c r="K495" i="2" s="1"/>
  <c r="B496" i="2"/>
  <c r="A496" i="2"/>
  <c r="H496" i="2"/>
  <c r="M496" i="2"/>
  <c r="F496" i="2"/>
  <c r="I496" i="2"/>
  <c r="G496" i="2"/>
  <c r="C497" i="2"/>
  <c r="J496" i="2" l="1"/>
  <c r="K496" i="2" s="1"/>
  <c r="A497" i="2"/>
  <c r="B497" i="2"/>
  <c r="H497" i="2"/>
  <c r="G497" i="2"/>
  <c r="M497" i="2"/>
  <c r="F497" i="2"/>
  <c r="I497" i="2"/>
  <c r="C498" i="2"/>
  <c r="J497" i="2" l="1"/>
  <c r="K497" i="2" s="1"/>
  <c r="B498" i="2"/>
  <c r="A498" i="2"/>
  <c r="M498" i="2"/>
  <c r="H498" i="2"/>
  <c r="G498" i="2"/>
  <c r="F498" i="2"/>
  <c r="I498" i="2"/>
  <c r="C499" i="2"/>
  <c r="J498" i="2" l="1"/>
  <c r="K498" i="2" s="1"/>
  <c r="B499" i="2"/>
  <c r="A499" i="2"/>
  <c r="H499" i="2"/>
  <c r="F499" i="2"/>
  <c r="G499" i="2"/>
  <c r="M499" i="2"/>
  <c r="I499" i="2"/>
  <c r="C500" i="2"/>
  <c r="J499" i="2" l="1"/>
  <c r="K499" i="2" s="1"/>
  <c r="B500" i="2"/>
  <c r="A500" i="2"/>
  <c r="F500" i="2"/>
  <c r="G500" i="2"/>
  <c r="I500" i="2"/>
  <c r="H500" i="2"/>
  <c r="M500" i="2"/>
  <c r="C501" i="2"/>
  <c r="J500" i="2" l="1"/>
  <c r="K500" i="2" s="1"/>
  <c r="A501" i="2"/>
  <c r="B501" i="2"/>
  <c r="M501" i="2"/>
  <c r="F501" i="2"/>
  <c r="G501" i="2"/>
  <c r="H501" i="2"/>
  <c r="I501" i="2"/>
  <c r="C502" i="2"/>
  <c r="J501" i="2" l="1"/>
  <c r="K501" i="2" s="1"/>
  <c r="B502" i="2"/>
  <c r="A502" i="2"/>
  <c r="G502" i="2"/>
  <c r="H502" i="2"/>
  <c r="M502" i="2"/>
  <c r="I502" i="2"/>
  <c r="F502" i="2"/>
  <c r="C503" i="2"/>
  <c r="J502" i="2" l="1"/>
  <c r="K502" i="2" s="1"/>
  <c r="A503" i="2"/>
  <c r="B503" i="2"/>
  <c r="I503" i="2"/>
  <c r="F503" i="2"/>
  <c r="M503" i="2"/>
  <c r="H503" i="2"/>
  <c r="G503" i="2"/>
  <c r="C504" i="2"/>
  <c r="J503" i="2" l="1"/>
  <c r="K503" i="2" s="1"/>
  <c r="B504" i="2"/>
  <c r="A504" i="2"/>
  <c r="G504" i="2"/>
  <c r="H504" i="2"/>
  <c r="I504" i="2"/>
  <c r="F504" i="2"/>
  <c r="M504" i="2"/>
  <c r="C505" i="2"/>
  <c r="J504" i="2" l="1"/>
  <c r="K504" i="2" s="1"/>
  <c r="B505" i="2"/>
  <c r="A505" i="2"/>
  <c r="M505" i="2"/>
  <c r="I505" i="2"/>
  <c r="H505" i="2"/>
  <c r="G505" i="2"/>
  <c r="F505" i="2"/>
  <c r="C506" i="2"/>
  <c r="J505" i="2" l="1"/>
  <c r="K505" i="2" s="1"/>
  <c r="B506" i="2"/>
  <c r="A506" i="2"/>
  <c r="H506" i="2"/>
  <c r="I506" i="2"/>
  <c r="F506" i="2"/>
  <c r="M506" i="2"/>
  <c r="G506" i="2"/>
  <c r="C507" i="2"/>
  <c r="J506" i="2" l="1"/>
  <c r="K506" i="2" s="1"/>
  <c r="B507" i="2"/>
  <c r="A507" i="2"/>
  <c r="H507" i="2"/>
  <c r="I507" i="2"/>
  <c r="M507" i="2"/>
  <c r="G507" i="2"/>
  <c r="F507" i="2"/>
  <c r="C508" i="2"/>
  <c r="J507" i="2" l="1"/>
  <c r="K507" i="2" s="1"/>
  <c r="B508" i="2"/>
  <c r="A508" i="2"/>
  <c r="M508" i="2"/>
  <c r="F508" i="2"/>
  <c r="I508" i="2"/>
  <c r="H508" i="2"/>
  <c r="G508" i="2"/>
  <c r="C509" i="2"/>
  <c r="J508" i="2" l="1"/>
  <c r="K508" i="2" s="1"/>
  <c r="B509" i="2"/>
  <c r="A509" i="2"/>
  <c r="I509" i="2"/>
  <c r="G509" i="2"/>
  <c r="M509" i="2"/>
  <c r="F509" i="2"/>
  <c r="H509" i="2"/>
  <c r="C510" i="2"/>
  <c r="J509" i="2" l="1"/>
  <c r="K509" i="2" s="1"/>
  <c r="B510" i="2"/>
  <c r="A510" i="2"/>
  <c r="H510" i="2"/>
  <c r="F510" i="2"/>
  <c r="G510" i="2"/>
  <c r="I510" i="2"/>
  <c r="M510" i="2"/>
  <c r="C511" i="2"/>
  <c r="J510" i="2" l="1"/>
  <c r="K510" i="2" s="1"/>
  <c r="B511" i="2"/>
  <c r="A511" i="2"/>
  <c r="M511" i="2"/>
  <c r="H511" i="2"/>
  <c r="I511" i="2"/>
  <c r="F511" i="2"/>
  <c r="G511" i="2"/>
  <c r="C512" i="2"/>
  <c r="J511" i="2" l="1"/>
  <c r="K511" i="2" s="1"/>
  <c r="B512" i="2"/>
  <c r="A512" i="2"/>
  <c r="H512" i="2"/>
  <c r="G512" i="2"/>
  <c r="M512" i="2"/>
  <c r="F512" i="2"/>
  <c r="I512" i="2"/>
  <c r="C513" i="2"/>
  <c r="J512" i="2" l="1"/>
  <c r="K512" i="2" s="1"/>
  <c r="A513" i="2"/>
  <c r="B513" i="2"/>
  <c r="G513" i="2"/>
  <c r="M513" i="2"/>
  <c r="I513" i="2"/>
  <c r="H513" i="2"/>
  <c r="F513" i="2"/>
  <c r="C514" i="2"/>
  <c r="J513" i="2" l="1"/>
  <c r="K513" i="2" s="1"/>
  <c r="B514" i="2"/>
  <c r="A514" i="2"/>
  <c r="F514" i="2"/>
  <c r="H514" i="2"/>
  <c r="M514" i="2"/>
  <c r="G514" i="2"/>
  <c r="I514" i="2"/>
  <c r="C515" i="2"/>
  <c r="J514" i="2" l="1"/>
  <c r="K514" i="2" s="1"/>
  <c r="B515" i="2"/>
  <c r="A515" i="2"/>
  <c r="G515" i="2"/>
  <c r="F515" i="2"/>
  <c r="H515" i="2"/>
  <c r="I515" i="2"/>
  <c r="M515" i="2"/>
  <c r="C516" i="2"/>
  <c r="J515" i="2" l="1"/>
  <c r="K515" i="2" s="1"/>
  <c r="B516" i="2"/>
  <c r="A516" i="2"/>
  <c r="F516" i="2"/>
  <c r="M516" i="2"/>
  <c r="I516" i="2"/>
  <c r="G516" i="2"/>
  <c r="H516" i="2"/>
  <c r="C517" i="2"/>
  <c r="J516" i="2" l="1"/>
  <c r="K516" i="2" s="1"/>
  <c r="B517" i="2"/>
  <c r="A517" i="2"/>
  <c r="H517" i="2"/>
  <c r="F517" i="2"/>
  <c r="G517" i="2"/>
  <c r="M517" i="2"/>
  <c r="I517" i="2"/>
  <c r="C518" i="2"/>
  <c r="J517" i="2" l="1"/>
  <c r="K517" i="2" s="1"/>
  <c r="B518" i="2"/>
  <c r="A518" i="2"/>
  <c r="H518" i="2"/>
  <c r="I518" i="2"/>
  <c r="G518" i="2"/>
  <c r="M518" i="2"/>
  <c r="F518" i="2"/>
  <c r="C519" i="2"/>
  <c r="J518" i="2" l="1"/>
  <c r="K518" i="2" s="1"/>
  <c r="A519" i="2"/>
  <c r="B519" i="2"/>
  <c r="M519" i="2"/>
  <c r="I519" i="2"/>
  <c r="G519" i="2"/>
  <c r="F519" i="2"/>
  <c r="H519" i="2"/>
  <c r="C520" i="2"/>
  <c r="J519" i="2" l="1"/>
  <c r="K519" i="2" s="1"/>
  <c r="B520" i="2"/>
  <c r="A520" i="2"/>
  <c r="H520" i="2"/>
  <c r="G520" i="2"/>
  <c r="F520" i="2"/>
  <c r="M520" i="2"/>
  <c r="I520" i="2"/>
  <c r="C521" i="2"/>
  <c r="J520" i="2" l="1"/>
  <c r="K520" i="2" s="1"/>
  <c r="B521" i="2"/>
  <c r="A521" i="2"/>
  <c r="H521" i="2"/>
  <c r="M521" i="2"/>
  <c r="G521" i="2"/>
  <c r="I521" i="2"/>
  <c r="F521" i="2"/>
  <c r="C522" i="2"/>
  <c r="J521" i="2" l="1"/>
  <c r="K521" i="2" s="1"/>
  <c r="B522" i="2"/>
  <c r="A522" i="2"/>
  <c r="M522" i="2"/>
  <c r="H522" i="2"/>
  <c r="F522" i="2"/>
  <c r="I522" i="2"/>
  <c r="G522" i="2"/>
  <c r="C523" i="2"/>
  <c r="J522" i="2" l="1"/>
  <c r="K522" i="2" s="1"/>
  <c r="A523" i="2"/>
  <c r="B523" i="2"/>
  <c r="H523" i="2"/>
  <c r="M523" i="2"/>
  <c r="I523" i="2"/>
  <c r="F523" i="2"/>
  <c r="G523" i="2"/>
  <c r="C524" i="2"/>
  <c r="J523" i="2" l="1"/>
  <c r="K523" i="2" s="1"/>
  <c r="B524" i="2"/>
  <c r="A524" i="2"/>
  <c r="I524" i="2"/>
  <c r="G524" i="2"/>
  <c r="M524" i="2"/>
  <c r="F524" i="2"/>
  <c r="H524" i="2"/>
  <c r="C525" i="2"/>
  <c r="J524" i="2" l="1"/>
  <c r="K524" i="2" s="1"/>
  <c r="B525" i="2"/>
  <c r="A525" i="2"/>
  <c r="G525" i="2"/>
  <c r="F525" i="2"/>
  <c r="I525" i="2"/>
  <c r="H525" i="2"/>
  <c r="M525" i="2"/>
  <c r="C526" i="2"/>
  <c r="J525" i="2" l="1"/>
  <c r="K525" i="2" s="1"/>
  <c r="B526" i="2"/>
  <c r="A526" i="2"/>
  <c r="I526" i="2"/>
  <c r="G526" i="2"/>
  <c r="H526" i="2"/>
  <c r="M526" i="2"/>
  <c r="F526" i="2"/>
  <c r="C527" i="2"/>
  <c r="J526" i="2" l="1"/>
  <c r="K526" i="2" s="1"/>
  <c r="B527" i="2"/>
  <c r="A527" i="2"/>
  <c r="G527" i="2"/>
  <c r="M527" i="2"/>
  <c r="I527" i="2"/>
  <c r="H527" i="2"/>
  <c r="F527" i="2"/>
  <c r="C528" i="2"/>
  <c r="J527" i="2" l="1"/>
  <c r="K527" i="2" s="1"/>
  <c r="B528" i="2"/>
  <c r="A528" i="2"/>
  <c r="M528" i="2"/>
  <c r="F528" i="2"/>
  <c r="I528" i="2"/>
  <c r="H528" i="2"/>
  <c r="G528" i="2"/>
  <c r="C529" i="2"/>
  <c r="J528" i="2" l="1"/>
  <c r="K528" i="2" s="1"/>
  <c r="A529" i="2"/>
  <c r="B529" i="2"/>
  <c r="I529" i="2"/>
  <c r="M529" i="2"/>
  <c r="G529" i="2"/>
  <c r="H529" i="2"/>
  <c r="F529" i="2"/>
  <c r="C530" i="2"/>
  <c r="J529" i="2" l="1"/>
  <c r="K529" i="2" s="1"/>
  <c r="B530" i="2"/>
  <c r="A530" i="2"/>
  <c r="G530" i="2"/>
  <c r="F530" i="2"/>
  <c r="H530" i="2"/>
  <c r="M530" i="2"/>
  <c r="I530" i="2"/>
  <c r="C531" i="2"/>
  <c r="J530" i="2" l="1"/>
  <c r="K530" i="2" s="1"/>
  <c r="B531" i="2"/>
  <c r="A531" i="2"/>
  <c r="F531" i="2"/>
  <c r="G531" i="2"/>
  <c r="I531" i="2"/>
  <c r="H531" i="2"/>
  <c r="M531" i="2"/>
  <c r="C532" i="2"/>
  <c r="J531" i="2" l="1"/>
  <c r="K531" i="2" s="1"/>
  <c r="B532" i="2"/>
  <c r="A532" i="2"/>
  <c r="H532" i="2"/>
  <c r="F532" i="2"/>
  <c r="M532" i="2"/>
  <c r="I532" i="2"/>
  <c r="G532" i="2"/>
  <c r="C533" i="2"/>
  <c r="J532" i="2" l="1"/>
  <c r="K532" i="2" s="1"/>
  <c r="B533" i="2"/>
  <c r="A533" i="2"/>
  <c r="H533" i="2"/>
  <c r="F533" i="2"/>
  <c r="M533" i="2"/>
  <c r="I533" i="2"/>
  <c r="G533" i="2"/>
  <c r="C534" i="2"/>
  <c r="J533" i="2" l="1"/>
  <c r="K533" i="2" s="1"/>
  <c r="B534" i="2"/>
  <c r="A534" i="2"/>
  <c r="G534" i="2"/>
  <c r="F534" i="2"/>
  <c r="H534" i="2"/>
  <c r="M534" i="2"/>
  <c r="I534" i="2"/>
  <c r="C535" i="2"/>
  <c r="J534" i="2" l="1"/>
  <c r="K534" i="2" s="1"/>
  <c r="A535" i="2"/>
  <c r="B535" i="2"/>
  <c r="F535" i="2"/>
  <c r="G535" i="2"/>
  <c r="I535" i="2"/>
  <c r="H535" i="2"/>
  <c r="M535" i="2"/>
  <c r="C536" i="2"/>
  <c r="J535" i="2" l="1"/>
  <c r="K535" i="2" s="1"/>
  <c r="B536" i="2"/>
  <c r="A536" i="2"/>
  <c r="I536" i="2"/>
  <c r="H536" i="2"/>
  <c r="F536" i="2"/>
  <c r="G536" i="2"/>
  <c r="M536" i="2"/>
  <c r="C537" i="2"/>
  <c r="J536" i="2" l="1"/>
  <c r="K536" i="2" s="1"/>
  <c r="B537" i="2"/>
  <c r="A537" i="2"/>
  <c r="G537" i="2"/>
  <c r="H537" i="2"/>
  <c r="F537" i="2"/>
  <c r="I537" i="2"/>
  <c r="M537" i="2"/>
  <c r="C538" i="2"/>
  <c r="J537" i="2" l="1"/>
  <c r="K537" i="2" s="1"/>
  <c r="B538" i="2"/>
  <c r="A538" i="2"/>
  <c r="M538" i="2"/>
  <c r="F538" i="2"/>
  <c r="G538" i="2"/>
  <c r="H538" i="2"/>
  <c r="I538" i="2"/>
  <c r="C539" i="2"/>
  <c r="J538" i="2" l="1"/>
  <c r="K538" i="2" s="1"/>
  <c r="B539" i="2"/>
  <c r="A539" i="2"/>
  <c r="H539" i="2"/>
  <c r="I539" i="2"/>
  <c r="M539" i="2"/>
  <c r="G539" i="2"/>
  <c r="F539" i="2"/>
  <c r="C540" i="2"/>
  <c r="J539" i="2" l="1"/>
  <c r="K539" i="2" s="1"/>
  <c r="B540" i="2"/>
  <c r="A540" i="2"/>
  <c r="I540" i="2"/>
  <c r="F540" i="2"/>
  <c r="H540" i="2"/>
  <c r="G540" i="2"/>
  <c r="M540" i="2"/>
  <c r="C541" i="2"/>
  <c r="J540" i="2" l="1"/>
  <c r="K540" i="2" s="1"/>
  <c r="B541" i="2"/>
  <c r="A541" i="2"/>
  <c r="F541" i="2"/>
  <c r="M541" i="2"/>
  <c r="G541" i="2"/>
  <c r="H541" i="2"/>
  <c r="I541" i="2"/>
  <c r="C542" i="2"/>
  <c r="J541" i="2" l="1"/>
  <c r="K541" i="2" s="1"/>
  <c r="B542" i="2"/>
  <c r="A542" i="2"/>
  <c r="M542" i="2"/>
  <c r="H542" i="2"/>
  <c r="G542" i="2"/>
  <c r="I542" i="2"/>
  <c r="F542" i="2"/>
  <c r="C543" i="2"/>
  <c r="J542" i="2" l="1"/>
  <c r="K542" i="2" s="1"/>
  <c r="B543" i="2"/>
  <c r="A543" i="2"/>
  <c r="H543" i="2"/>
  <c r="F543" i="2"/>
  <c r="I543" i="2"/>
  <c r="M543" i="2"/>
  <c r="G543" i="2"/>
  <c r="C544" i="2"/>
  <c r="J543" i="2" l="1"/>
  <c r="K543" i="2" s="1"/>
  <c r="B544" i="2"/>
  <c r="A544" i="2"/>
  <c r="G544" i="2"/>
  <c r="I544" i="2"/>
  <c r="M544" i="2"/>
  <c r="H544" i="2"/>
  <c r="F544" i="2"/>
  <c r="C545" i="2"/>
  <c r="J544" i="2" l="1"/>
  <c r="K544" i="2" s="1"/>
  <c r="A545" i="2"/>
  <c r="B545" i="2"/>
  <c r="H545" i="2"/>
  <c r="F545" i="2"/>
  <c r="M545" i="2"/>
  <c r="G545" i="2"/>
  <c r="I545" i="2"/>
  <c r="C546" i="2"/>
  <c r="J545" i="2" l="1"/>
  <c r="K545" i="2" s="1"/>
  <c r="B546" i="2"/>
  <c r="A546" i="2"/>
  <c r="F546" i="2"/>
  <c r="H546" i="2"/>
  <c r="M546" i="2"/>
  <c r="I546" i="2"/>
  <c r="G546" i="2"/>
  <c r="C547" i="2"/>
  <c r="J546" i="2" l="1"/>
  <c r="K546" i="2" s="1"/>
  <c r="B547" i="2"/>
  <c r="A547" i="2"/>
  <c r="F547" i="2"/>
  <c r="G547" i="2"/>
  <c r="H547" i="2"/>
  <c r="M547" i="2"/>
  <c r="I547" i="2"/>
  <c r="C548" i="2"/>
  <c r="J547" i="2" l="1"/>
  <c r="K547" i="2" s="1"/>
  <c r="B548" i="2"/>
  <c r="A548" i="2"/>
  <c r="F548" i="2"/>
  <c r="M548" i="2"/>
  <c r="G548" i="2"/>
  <c r="H548" i="2"/>
  <c r="I548" i="2"/>
  <c r="C549" i="2"/>
  <c r="J548" i="2" l="1"/>
  <c r="K548" i="2" s="1"/>
  <c r="B549" i="2"/>
  <c r="A549" i="2"/>
  <c r="G549" i="2"/>
  <c r="H549" i="2"/>
  <c r="I549" i="2"/>
  <c r="F549" i="2"/>
  <c r="M549" i="2"/>
  <c r="C550" i="2"/>
  <c r="J549" i="2" l="1"/>
  <c r="K549" i="2" s="1"/>
  <c r="B550" i="2"/>
  <c r="A550" i="2"/>
  <c r="G550" i="2"/>
  <c r="I550" i="2"/>
  <c r="F550" i="2"/>
  <c r="H550" i="2"/>
  <c r="M550" i="2"/>
  <c r="C551" i="2"/>
  <c r="J550" i="2" l="1"/>
  <c r="K550" i="2" s="1"/>
  <c r="A551" i="2"/>
  <c r="B551" i="2"/>
  <c r="F551" i="2"/>
  <c r="M551" i="2"/>
  <c r="H551" i="2"/>
  <c r="I551" i="2"/>
  <c r="G551" i="2"/>
  <c r="C552" i="2"/>
  <c r="J551" i="2" l="1"/>
  <c r="K551" i="2" s="1"/>
  <c r="B552" i="2"/>
  <c r="A552" i="2"/>
  <c r="H552" i="2"/>
  <c r="I552" i="2"/>
  <c r="F552" i="2"/>
  <c r="M552" i="2"/>
  <c r="G552" i="2"/>
  <c r="C553" i="2"/>
  <c r="J552" i="2" l="1"/>
  <c r="K552" i="2" s="1"/>
  <c r="B553" i="2"/>
  <c r="A553" i="2"/>
  <c r="F553" i="2"/>
  <c r="G553" i="2"/>
  <c r="M553" i="2"/>
  <c r="H553" i="2"/>
  <c r="I553" i="2"/>
  <c r="C554" i="2"/>
  <c r="J553" i="2" l="1"/>
  <c r="K553" i="2" s="1"/>
  <c r="B554" i="2"/>
  <c r="A554" i="2"/>
  <c r="F554" i="2"/>
  <c r="M554" i="2"/>
  <c r="H554" i="2"/>
  <c r="I554" i="2"/>
  <c r="G554" i="2"/>
  <c r="C555" i="2"/>
  <c r="J554" i="2" l="1"/>
  <c r="K554" i="2" s="1"/>
  <c r="B555" i="2"/>
  <c r="A555" i="2"/>
  <c r="F555" i="2"/>
  <c r="M555" i="2"/>
  <c r="H555" i="2"/>
  <c r="I555" i="2"/>
  <c r="G555" i="2"/>
  <c r="C556" i="2"/>
  <c r="J555" i="2" l="1"/>
  <c r="K555" i="2" s="1"/>
  <c r="B556" i="2"/>
  <c r="A556" i="2"/>
  <c r="I556" i="2"/>
  <c r="F556" i="2"/>
  <c r="G556" i="2"/>
  <c r="M556" i="2"/>
  <c r="H556" i="2"/>
  <c r="C557" i="2"/>
  <c r="J556" i="2" l="1"/>
  <c r="K556" i="2" s="1"/>
  <c r="B557" i="2"/>
  <c r="A557" i="2"/>
  <c r="F557" i="2"/>
  <c r="M557" i="2"/>
  <c r="I557" i="2"/>
  <c r="H557" i="2"/>
  <c r="G557" i="2"/>
  <c r="C558" i="2"/>
  <c r="J557" i="2" l="1"/>
  <c r="K557" i="2" s="1"/>
  <c r="B558" i="2"/>
  <c r="A558" i="2"/>
  <c r="H558" i="2"/>
  <c r="I558" i="2"/>
  <c r="M558" i="2"/>
  <c r="F558" i="2"/>
  <c r="G558" i="2"/>
  <c r="C559" i="2"/>
  <c r="J558" i="2" l="1"/>
  <c r="K558" i="2" s="1"/>
  <c r="B559" i="2"/>
  <c r="A559" i="2"/>
  <c r="H559" i="2"/>
  <c r="M559" i="2"/>
  <c r="F559" i="2"/>
  <c r="I559" i="2"/>
  <c r="G559" i="2"/>
  <c r="C560" i="2"/>
  <c r="J559" i="2" l="1"/>
  <c r="K559" i="2" s="1"/>
  <c r="B560" i="2"/>
  <c r="A560" i="2"/>
  <c r="G560" i="2"/>
  <c r="I560" i="2"/>
  <c r="M560" i="2"/>
  <c r="F560" i="2"/>
  <c r="H560" i="2"/>
  <c r="C561" i="2"/>
  <c r="J560" i="2" l="1"/>
  <c r="K560" i="2" s="1"/>
  <c r="A561" i="2"/>
  <c r="B561" i="2"/>
  <c r="M561" i="2"/>
  <c r="F561" i="2"/>
  <c r="H561" i="2"/>
  <c r="G561" i="2"/>
  <c r="I561" i="2"/>
  <c r="C562" i="2"/>
  <c r="J561" i="2" l="1"/>
  <c r="K561" i="2" s="1"/>
  <c r="B562" i="2"/>
  <c r="A562" i="2"/>
  <c r="F562" i="2"/>
  <c r="M562" i="2"/>
  <c r="I562" i="2"/>
  <c r="G562" i="2"/>
  <c r="H562" i="2"/>
  <c r="C563" i="2"/>
  <c r="J562" i="2" l="1"/>
  <c r="K562" i="2" s="1"/>
  <c r="B563" i="2"/>
  <c r="A563" i="2"/>
  <c r="F563" i="2"/>
  <c r="M563" i="2"/>
  <c r="I563" i="2"/>
  <c r="G563" i="2"/>
  <c r="H563" i="2"/>
  <c r="C564" i="2"/>
  <c r="J563" i="2" l="1"/>
  <c r="K563" i="2" s="1"/>
  <c r="B564" i="2"/>
  <c r="A564" i="2"/>
  <c r="F564" i="2"/>
  <c r="H564" i="2"/>
  <c r="M564" i="2"/>
  <c r="G564" i="2"/>
  <c r="I564" i="2"/>
  <c r="C565" i="2"/>
  <c r="J564" i="2" l="1"/>
  <c r="K564" i="2" s="1"/>
  <c r="B565" i="2"/>
  <c r="A565" i="2"/>
  <c r="I565" i="2"/>
  <c r="G565" i="2"/>
  <c r="M565" i="2"/>
  <c r="F565" i="2"/>
  <c r="H565" i="2"/>
  <c r="C566" i="2"/>
  <c r="J565" i="2" l="1"/>
  <c r="K565" i="2" s="1"/>
  <c r="B566" i="2"/>
  <c r="A566" i="2"/>
  <c r="G566" i="2"/>
  <c r="M566" i="2"/>
  <c r="I566" i="2"/>
  <c r="H566" i="2"/>
  <c r="F566" i="2"/>
  <c r="C567" i="2"/>
  <c r="J566" i="2" l="1"/>
  <c r="K566" i="2" s="1"/>
  <c r="A567" i="2"/>
  <c r="B567" i="2"/>
  <c r="G567" i="2"/>
  <c r="F567" i="2"/>
  <c r="H567" i="2"/>
  <c r="I567" i="2"/>
  <c r="M567" i="2"/>
  <c r="C568" i="2"/>
  <c r="J567" i="2" l="1"/>
  <c r="K567" i="2" s="1"/>
  <c r="B568" i="2"/>
  <c r="A568" i="2"/>
  <c r="H568" i="2"/>
  <c r="I568" i="2"/>
  <c r="M568" i="2"/>
  <c r="F568" i="2"/>
  <c r="G568" i="2"/>
  <c r="C569" i="2"/>
  <c r="J568" i="2" l="1"/>
  <c r="K568" i="2" s="1"/>
  <c r="B569" i="2"/>
  <c r="A569" i="2"/>
  <c r="I569" i="2"/>
  <c r="H569" i="2"/>
  <c r="F569" i="2"/>
  <c r="M569" i="2"/>
  <c r="G569" i="2"/>
  <c r="C570" i="2"/>
  <c r="J569" i="2" l="1"/>
  <c r="K569" i="2" s="1"/>
  <c r="B570" i="2"/>
  <c r="A570" i="2"/>
  <c r="H570" i="2"/>
  <c r="M570" i="2"/>
  <c r="G570" i="2"/>
  <c r="F570" i="2"/>
  <c r="I570" i="2"/>
  <c r="C571" i="2"/>
  <c r="J570" i="2" l="1"/>
  <c r="K570" i="2" s="1"/>
  <c r="A571" i="2"/>
  <c r="B571" i="2"/>
  <c r="G571" i="2"/>
  <c r="H571" i="2"/>
  <c r="I571" i="2"/>
  <c r="M571" i="2"/>
  <c r="F571" i="2"/>
  <c r="C572" i="2"/>
  <c r="J571" i="2" l="1"/>
  <c r="K571" i="2" s="1"/>
  <c r="B572" i="2"/>
  <c r="A572" i="2"/>
  <c r="I572" i="2"/>
  <c r="G572" i="2"/>
  <c r="F572" i="2"/>
  <c r="H572" i="2"/>
  <c r="M572" i="2"/>
  <c r="C573" i="2"/>
  <c r="J572" i="2" l="1"/>
  <c r="K572" i="2" s="1"/>
  <c r="B573" i="2"/>
  <c r="A573" i="2"/>
  <c r="H573" i="2"/>
  <c r="F573" i="2"/>
  <c r="G573" i="2"/>
  <c r="M573" i="2"/>
  <c r="I573" i="2"/>
  <c r="C574" i="2"/>
  <c r="J573" i="2" l="1"/>
  <c r="K573" i="2" s="1"/>
  <c r="B574" i="2"/>
  <c r="A574" i="2"/>
  <c r="I574" i="2"/>
  <c r="F574" i="2"/>
  <c r="M574" i="2"/>
  <c r="G574" i="2"/>
  <c r="H574" i="2"/>
  <c r="C575" i="2"/>
  <c r="J574" i="2" l="1"/>
  <c r="K574" i="2" s="1"/>
  <c r="B575" i="2"/>
  <c r="A575" i="2"/>
  <c r="M575" i="2"/>
  <c r="G575" i="2"/>
  <c r="F575" i="2"/>
  <c r="H575" i="2"/>
  <c r="I575" i="2"/>
  <c r="C576" i="2"/>
  <c r="J575" i="2" l="1"/>
  <c r="K575" i="2" s="1"/>
  <c r="B576" i="2"/>
  <c r="A576" i="2"/>
  <c r="I576" i="2"/>
  <c r="G576" i="2"/>
  <c r="M576" i="2"/>
  <c r="F576" i="2"/>
  <c r="H576" i="2"/>
  <c r="C577" i="2"/>
  <c r="J576" i="2" l="1"/>
  <c r="K576" i="2" s="1"/>
  <c r="A577" i="2"/>
  <c r="B577" i="2"/>
  <c r="H577" i="2"/>
  <c r="M577" i="2"/>
  <c r="G577" i="2"/>
  <c r="I577" i="2"/>
  <c r="F577" i="2"/>
  <c r="C578" i="2"/>
  <c r="J577" i="2" l="1"/>
  <c r="K577" i="2" s="1"/>
  <c r="B578" i="2"/>
  <c r="A578" i="2"/>
  <c r="I578" i="2"/>
  <c r="M578" i="2"/>
  <c r="F578" i="2"/>
  <c r="G578" i="2"/>
  <c r="H578" i="2"/>
  <c r="C579" i="2"/>
  <c r="J578" i="2" l="1"/>
  <c r="K578" i="2" s="1"/>
  <c r="B579" i="2"/>
  <c r="A579" i="2"/>
  <c r="F579" i="2"/>
  <c r="M579" i="2"/>
  <c r="H579" i="2"/>
  <c r="I579" i="2"/>
  <c r="G579" i="2"/>
  <c r="C580" i="2"/>
  <c r="J579" i="2" l="1"/>
  <c r="K579" i="2" s="1"/>
  <c r="B580" i="2"/>
  <c r="A580" i="2"/>
  <c r="G580" i="2"/>
  <c r="M580" i="2"/>
  <c r="I580" i="2"/>
  <c r="F580" i="2"/>
  <c r="H580" i="2"/>
  <c r="C581" i="2"/>
  <c r="J580" i="2" l="1"/>
  <c r="K580" i="2" s="1"/>
  <c r="A581" i="2"/>
  <c r="B581" i="2"/>
  <c r="I581" i="2"/>
  <c r="M581" i="2"/>
  <c r="F581" i="2"/>
  <c r="G581" i="2"/>
  <c r="H581" i="2"/>
  <c r="C582" i="2"/>
  <c r="J581" i="2" l="1"/>
  <c r="K581" i="2" s="1"/>
  <c r="B582" i="2"/>
  <c r="A582" i="2"/>
  <c r="F582" i="2"/>
  <c r="H582" i="2"/>
  <c r="M582" i="2"/>
  <c r="G582" i="2"/>
  <c r="I582" i="2"/>
  <c r="C583" i="2"/>
  <c r="J582" i="2" l="1"/>
  <c r="K582" i="2" s="1"/>
  <c r="A583" i="2"/>
  <c r="B583" i="2"/>
  <c r="G583" i="2"/>
  <c r="I583" i="2"/>
  <c r="F583" i="2"/>
  <c r="M583" i="2"/>
  <c r="H583" i="2"/>
  <c r="C584" i="2"/>
  <c r="J583" i="2" l="1"/>
  <c r="K583" i="2" s="1"/>
  <c r="B584" i="2"/>
  <c r="A584" i="2"/>
  <c r="I584" i="2"/>
  <c r="M584" i="2"/>
  <c r="H584" i="2"/>
  <c r="F584" i="2"/>
  <c r="G584" i="2"/>
  <c r="C585" i="2"/>
  <c r="J584" i="2" l="1"/>
  <c r="K584" i="2" s="1"/>
  <c r="A585" i="2"/>
  <c r="B585" i="2"/>
  <c r="M585" i="2"/>
  <c r="G585" i="2"/>
  <c r="I585" i="2"/>
  <c r="H585" i="2"/>
  <c r="F585" i="2"/>
  <c r="C586" i="2"/>
  <c r="J585" i="2" l="1"/>
  <c r="K585" i="2" s="1"/>
  <c r="B586" i="2"/>
  <c r="A586" i="2"/>
  <c r="F586" i="2"/>
  <c r="H586" i="2"/>
  <c r="M586" i="2"/>
  <c r="G586" i="2"/>
  <c r="I586" i="2"/>
  <c r="C587" i="2"/>
  <c r="J586" i="2" l="1"/>
  <c r="K586" i="2" s="1"/>
  <c r="B587" i="2"/>
  <c r="A587" i="2"/>
  <c r="G587" i="2"/>
  <c r="H587" i="2"/>
  <c r="M587" i="2"/>
  <c r="I587" i="2"/>
  <c r="F587" i="2"/>
  <c r="C588" i="2"/>
  <c r="J587" i="2" l="1"/>
  <c r="K587" i="2" s="1"/>
  <c r="B588" i="2"/>
  <c r="A588" i="2"/>
  <c r="I588" i="2"/>
  <c r="H588" i="2"/>
  <c r="G588" i="2"/>
  <c r="M588" i="2"/>
  <c r="F588" i="2"/>
  <c r="C589" i="2"/>
  <c r="J588" i="2" l="1"/>
  <c r="K588" i="2" s="1"/>
  <c r="B589" i="2"/>
  <c r="A589" i="2"/>
  <c r="G589" i="2"/>
  <c r="M589" i="2"/>
  <c r="H589" i="2"/>
  <c r="F589" i="2"/>
  <c r="I589" i="2"/>
  <c r="C590" i="2"/>
  <c r="J589" i="2" l="1"/>
  <c r="K589" i="2" s="1"/>
  <c r="B590" i="2"/>
  <c r="A590" i="2"/>
  <c r="H590" i="2"/>
  <c r="M590" i="2"/>
  <c r="G590" i="2"/>
  <c r="F590" i="2"/>
  <c r="I590" i="2"/>
  <c r="C591" i="2"/>
  <c r="J590" i="2" l="1"/>
  <c r="K590" i="2" s="1"/>
  <c r="A591" i="2"/>
  <c r="B591" i="2"/>
  <c r="G591" i="2"/>
  <c r="M591" i="2"/>
  <c r="I591" i="2"/>
  <c r="H591" i="2"/>
  <c r="F591" i="2"/>
  <c r="C592" i="2"/>
  <c r="J591" i="2" l="1"/>
  <c r="K591" i="2" s="1"/>
  <c r="B592" i="2"/>
  <c r="A592" i="2"/>
  <c r="F592" i="2"/>
  <c r="H592" i="2"/>
  <c r="G592" i="2"/>
  <c r="M592" i="2"/>
  <c r="I592" i="2"/>
  <c r="C593" i="2"/>
  <c r="J592" i="2" l="1"/>
  <c r="K592" i="2" s="1"/>
  <c r="A593" i="2"/>
  <c r="B593" i="2"/>
  <c r="H593" i="2"/>
  <c r="G593" i="2"/>
  <c r="M593" i="2"/>
  <c r="I593" i="2"/>
  <c r="F593" i="2"/>
  <c r="C594" i="2"/>
  <c r="J593" i="2" l="1"/>
  <c r="K593" i="2" s="1"/>
  <c r="B594" i="2"/>
  <c r="A594" i="2"/>
  <c r="H594" i="2"/>
  <c r="I594" i="2"/>
  <c r="M594" i="2"/>
  <c r="F594" i="2"/>
  <c r="G594" i="2"/>
  <c r="C595" i="2"/>
  <c r="J594" i="2" l="1"/>
  <c r="K594" i="2" s="1"/>
  <c r="B595" i="2"/>
  <c r="A595" i="2"/>
  <c r="H595" i="2"/>
  <c r="G595" i="2"/>
  <c r="M595" i="2"/>
  <c r="F595" i="2"/>
  <c r="I595" i="2"/>
  <c r="C596" i="2"/>
  <c r="J595" i="2" l="1"/>
  <c r="K595" i="2" s="1"/>
  <c r="B596" i="2"/>
  <c r="A596" i="2"/>
  <c r="H596" i="2"/>
  <c r="F596" i="2"/>
  <c r="I596" i="2"/>
  <c r="G596" i="2"/>
  <c r="M596" i="2"/>
  <c r="C597" i="2"/>
  <c r="J596" i="2" l="1"/>
  <c r="K596" i="2" s="1"/>
  <c r="A597" i="2"/>
  <c r="B597" i="2"/>
  <c r="M597" i="2"/>
  <c r="F597" i="2"/>
  <c r="H597" i="2"/>
  <c r="G597" i="2"/>
  <c r="I597" i="2"/>
  <c r="C598" i="2"/>
  <c r="J597" i="2" l="1"/>
  <c r="K597" i="2" s="1"/>
  <c r="B598" i="2"/>
  <c r="A598" i="2"/>
  <c r="I598" i="2"/>
  <c r="G598" i="2"/>
  <c r="M598" i="2"/>
  <c r="H598" i="2"/>
  <c r="F598" i="2"/>
  <c r="C599" i="2"/>
  <c r="J598" i="2" l="1"/>
  <c r="K598" i="2" s="1"/>
  <c r="A599" i="2"/>
  <c r="B599" i="2"/>
  <c r="I599" i="2"/>
  <c r="M599" i="2"/>
  <c r="H599" i="2"/>
  <c r="F599" i="2"/>
  <c r="G599" i="2"/>
  <c r="C600" i="2"/>
  <c r="J599" i="2" l="1"/>
  <c r="K599" i="2" s="1"/>
  <c r="B600" i="2"/>
  <c r="A600" i="2"/>
  <c r="M600" i="2"/>
  <c r="F600" i="2"/>
  <c r="H600" i="2"/>
  <c r="I600" i="2"/>
  <c r="G600" i="2"/>
  <c r="C601" i="2"/>
  <c r="J600" i="2" l="1"/>
  <c r="K600" i="2" s="1"/>
  <c r="B601" i="2"/>
  <c r="A601" i="2"/>
  <c r="H601" i="2"/>
  <c r="M601" i="2"/>
  <c r="I601" i="2"/>
  <c r="F601" i="2"/>
  <c r="G601" i="2"/>
  <c r="C602" i="2"/>
  <c r="J601" i="2" l="1"/>
  <c r="K601" i="2" s="1"/>
  <c r="B602" i="2"/>
  <c r="A602" i="2"/>
  <c r="G602" i="2"/>
  <c r="F602" i="2"/>
  <c r="H602" i="2"/>
  <c r="M602" i="2"/>
  <c r="I602" i="2"/>
  <c r="C603" i="2"/>
  <c r="J602" i="2" l="1"/>
  <c r="K602" i="2" s="1"/>
  <c r="B603" i="2"/>
  <c r="A603" i="2"/>
  <c r="H603" i="2"/>
  <c r="F603" i="2"/>
  <c r="G603" i="2"/>
  <c r="I603" i="2"/>
  <c r="M603" i="2"/>
  <c r="C604" i="2"/>
  <c r="J603" i="2" l="1"/>
  <c r="K603" i="2" s="1"/>
  <c r="B604" i="2"/>
  <c r="A604" i="2"/>
  <c r="H604" i="2"/>
  <c r="M604" i="2"/>
  <c r="I604" i="2"/>
  <c r="G604" i="2"/>
  <c r="F604" i="2"/>
  <c r="C605" i="2"/>
  <c r="J604" i="2" l="1"/>
  <c r="K604" i="2" s="1"/>
  <c r="B605" i="2"/>
  <c r="A605" i="2"/>
  <c r="I605" i="2"/>
  <c r="M605" i="2"/>
  <c r="H605" i="2"/>
  <c r="G605" i="2"/>
  <c r="F605" i="2"/>
  <c r="C606" i="2"/>
  <c r="J605" i="2" l="1"/>
  <c r="K605" i="2" s="1"/>
  <c r="B606" i="2"/>
  <c r="A606" i="2"/>
  <c r="I606" i="2"/>
  <c r="H606" i="2"/>
  <c r="M606" i="2"/>
  <c r="F606" i="2"/>
  <c r="G606" i="2"/>
  <c r="C607" i="2"/>
  <c r="J606" i="2" l="1"/>
  <c r="K606" i="2" s="1"/>
  <c r="B607" i="2"/>
  <c r="A607" i="2"/>
  <c r="H607" i="2"/>
  <c r="M607" i="2"/>
  <c r="F607" i="2"/>
  <c r="G607" i="2"/>
  <c r="I607" i="2"/>
  <c r="C608" i="2"/>
  <c r="J607" i="2" l="1"/>
  <c r="K607" i="2" s="1"/>
  <c r="B608" i="2"/>
  <c r="A608" i="2"/>
  <c r="G608" i="2"/>
  <c r="F608" i="2"/>
  <c r="M608" i="2"/>
  <c r="I608" i="2"/>
  <c r="H608" i="2"/>
  <c r="C609" i="2"/>
  <c r="J608" i="2" l="1"/>
  <c r="K608" i="2" s="1"/>
  <c r="A609" i="2"/>
  <c r="B609" i="2"/>
  <c r="M609" i="2"/>
  <c r="H609" i="2"/>
  <c r="G609" i="2"/>
  <c r="F609" i="2"/>
  <c r="I609" i="2"/>
  <c r="C610" i="2"/>
  <c r="J609" i="2" l="1"/>
  <c r="K609" i="2" s="1"/>
  <c r="B610" i="2"/>
  <c r="A610" i="2"/>
  <c r="M610" i="2"/>
  <c r="H610" i="2"/>
  <c r="G610" i="2"/>
  <c r="I610" i="2"/>
  <c r="F610" i="2"/>
  <c r="C611" i="2"/>
  <c r="J610" i="2" l="1"/>
  <c r="K610" i="2" s="1"/>
  <c r="B611" i="2"/>
  <c r="A611" i="2"/>
  <c r="I611" i="2"/>
  <c r="F611" i="2"/>
  <c r="H611" i="2"/>
  <c r="M611" i="2"/>
  <c r="G611" i="2"/>
  <c r="C612" i="2"/>
  <c r="J611" i="2" l="1"/>
  <c r="K611" i="2" s="1"/>
  <c r="B612" i="2"/>
  <c r="A612" i="2"/>
  <c r="H612" i="2"/>
  <c r="F612" i="2"/>
  <c r="G612" i="2"/>
  <c r="M612" i="2"/>
  <c r="I612" i="2"/>
  <c r="C613" i="2"/>
  <c r="J612" i="2" l="1"/>
  <c r="K612" i="2" s="1"/>
  <c r="B613" i="2"/>
  <c r="A613" i="2"/>
  <c r="F613" i="2"/>
  <c r="H613" i="2"/>
  <c r="I613" i="2"/>
  <c r="M613" i="2"/>
  <c r="G613" i="2"/>
  <c r="C614" i="2"/>
  <c r="J613" i="2" l="1"/>
  <c r="K613" i="2" s="1"/>
  <c r="B614" i="2"/>
  <c r="A614" i="2"/>
  <c r="F614" i="2"/>
  <c r="M614" i="2"/>
  <c r="G614" i="2"/>
  <c r="H614" i="2"/>
  <c r="I614" i="2"/>
  <c r="C615" i="2"/>
  <c r="J614" i="2" l="1"/>
  <c r="K614" i="2" s="1"/>
  <c r="A615" i="2"/>
  <c r="B615" i="2"/>
  <c r="F615" i="2"/>
  <c r="I615" i="2"/>
  <c r="M615" i="2"/>
  <c r="G615" i="2"/>
  <c r="H615" i="2"/>
  <c r="C616" i="2"/>
  <c r="J615" i="2" l="1"/>
  <c r="K615" i="2" s="1"/>
  <c r="B616" i="2"/>
  <c r="A616" i="2"/>
  <c r="G616" i="2"/>
  <c r="H616" i="2"/>
  <c r="I616" i="2"/>
  <c r="F616" i="2"/>
  <c r="M616" i="2"/>
  <c r="C617" i="2"/>
  <c r="J616" i="2" l="1"/>
  <c r="K616" i="2" s="1"/>
  <c r="B617" i="2"/>
  <c r="A617" i="2"/>
  <c r="H617" i="2"/>
  <c r="F617" i="2"/>
  <c r="G617" i="2"/>
  <c r="I617" i="2"/>
  <c r="M617" i="2"/>
  <c r="C618" i="2"/>
  <c r="J617" i="2" l="1"/>
  <c r="K617" i="2" s="1"/>
  <c r="B618" i="2"/>
  <c r="A618" i="2"/>
  <c r="F618" i="2"/>
  <c r="G618" i="2"/>
  <c r="M618" i="2"/>
  <c r="H618" i="2"/>
  <c r="I618" i="2"/>
  <c r="C619" i="2"/>
  <c r="J618" i="2" l="1"/>
  <c r="K618" i="2" s="1"/>
  <c r="B619" i="2"/>
  <c r="A619" i="2"/>
  <c r="G619" i="2"/>
  <c r="I619" i="2"/>
  <c r="F619" i="2"/>
  <c r="M619" i="2"/>
  <c r="H619" i="2"/>
  <c r="C620" i="2"/>
  <c r="J619" i="2" l="1"/>
  <c r="K619" i="2" s="1"/>
  <c r="B620" i="2"/>
  <c r="A620" i="2"/>
  <c r="I620" i="2"/>
  <c r="F620" i="2"/>
  <c r="G620" i="2"/>
  <c r="H620" i="2"/>
  <c r="M620" i="2"/>
  <c r="C621" i="2"/>
  <c r="J620" i="2" l="1"/>
  <c r="K620" i="2" s="1"/>
  <c r="B621" i="2"/>
  <c r="A621" i="2"/>
  <c r="I621" i="2"/>
  <c r="F621" i="2"/>
  <c r="H621" i="2"/>
  <c r="G621" i="2"/>
  <c r="M621" i="2"/>
  <c r="C622" i="2"/>
  <c r="J621" i="2" l="1"/>
  <c r="K621" i="2" s="1"/>
  <c r="B622" i="2"/>
  <c r="A622" i="2"/>
  <c r="I622" i="2"/>
  <c r="H622" i="2"/>
  <c r="G622" i="2"/>
  <c r="F622" i="2"/>
  <c r="M622" i="2"/>
  <c r="C623" i="2"/>
  <c r="J622" i="2" l="1"/>
  <c r="K622" i="2" s="1"/>
  <c r="B623" i="2"/>
  <c r="A623" i="2"/>
  <c r="G623" i="2"/>
  <c r="I623" i="2"/>
  <c r="M623" i="2"/>
  <c r="H623" i="2"/>
  <c r="F623" i="2"/>
  <c r="C624" i="2"/>
  <c r="J623" i="2" l="1"/>
  <c r="K623" i="2" s="1"/>
  <c r="B624" i="2"/>
  <c r="A624" i="2"/>
  <c r="G624" i="2"/>
  <c r="I624" i="2"/>
  <c r="H624" i="2"/>
  <c r="F624" i="2"/>
  <c r="M624" i="2"/>
  <c r="C625" i="2"/>
  <c r="J624" i="2" l="1"/>
  <c r="K624" i="2" s="1"/>
  <c r="A625" i="2"/>
  <c r="B625" i="2"/>
  <c r="G625" i="2"/>
  <c r="H625" i="2"/>
  <c r="I625" i="2"/>
  <c r="M625" i="2"/>
  <c r="F625" i="2"/>
  <c r="C626" i="2"/>
  <c r="J625" i="2" l="1"/>
  <c r="K625" i="2" s="1"/>
  <c r="B626" i="2"/>
  <c r="A626" i="2"/>
  <c r="H626" i="2"/>
  <c r="M626" i="2"/>
  <c r="F626" i="2"/>
  <c r="I626" i="2"/>
  <c r="G626" i="2"/>
  <c r="C627" i="2"/>
  <c r="J626" i="2" l="1"/>
  <c r="K626" i="2" s="1"/>
  <c r="B627" i="2"/>
  <c r="A627" i="2"/>
  <c r="G627" i="2"/>
  <c r="F627" i="2"/>
  <c r="M627" i="2"/>
  <c r="I627" i="2"/>
  <c r="H627" i="2"/>
  <c r="C628" i="2"/>
  <c r="J627" i="2" l="1"/>
  <c r="K627" i="2" s="1"/>
  <c r="B628" i="2"/>
  <c r="A628" i="2"/>
  <c r="G628" i="2"/>
  <c r="F628" i="2"/>
  <c r="I628" i="2"/>
  <c r="H628" i="2"/>
  <c r="M628" i="2"/>
  <c r="C629" i="2"/>
  <c r="J628" i="2" l="1"/>
  <c r="K628" i="2" s="1"/>
  <c r="B629" i="2"/>
  <c r="A629" i="2"/>
  <c r="H629" i="2"/>
  <c r="G629" i="2"/>
  <c r="I629" i="2"/>
  <c r="F629" i="2"/>
  <c r="M629" i="2"/>
  <c r="C630" i="2"/>
  <c r="J629" i="2" l="1"/>
  <c r="K629" i="2" s="1"/>
  <c r="B630" i="2"/>
  <c r="A630" i="2"/>
  <c r="M630" i="2"/>
  <c r="I630" i="2"/>
  <c r="H630" i="2"/>
  <c r="G630" i="2"/>
  <c r="F630" i="2"/>
  <c r="C631" i="2"/>
  <c r="J630" i="2" l="1"/>
  <c r="K630" i="2" s="1"/>
  <c r="A631" i="2"/>
  <c r="B631" i="2"/>
  <c r="F631" i="2"/>
  <c r="I631" i="2"/>
  <c r="H631" i="2"/>
  <c r="M631" i="2"/>
  <c r="G631" i="2"/>
  <c r="C632" i="2"/>
  <c r="J631" i="2" l="1"/>
  <c r="K631" i="2" s="1"/>
  <c r="B632" i="2"/>
  <c r="A632" i="2"/>
  <c r="M632" i="2"/>
  <c r="H632" i="2"/>
  <c r="F632" i="2"/>
  <c r="I632" i="2"/>
  <c r="G632" i="2"/>
  <c r="C633" i="2"/>
  <c r="J632" i="2" l="1"/>
  <c r="K632" i="2" s="1"/>
  <c r="B633" i="2"/>
  <c r="A633" i="2"/>
  <c r="H633" i="2"/>
  <c r="F633" i="2"/>
  <c r="G633" i="2"/>
  <c r="I633" i="2"/>
  <c r="M633" i="2"/>
  <c r="C634" i="2"/>
  <c r="J633" i="2" l="1"/>
  <c r="K633" i="2" s="1"/>
  <c r="B634" i="2"/>
  <c r="A634" i="2"/>
  <c r="G634" i="2"/>
  <c r="M634" i="2"/>
  <c r="F634" i="2"/>
  <c r="I634" i="2"/>
  <c r="H634" i="2"/>
  <c r="C635" i="2"/>
  <c r="J634" i="2" l="1"/>
  <c r="K634" i="2" s="1"/>
  <c r="B635" i="2"/>
  <c r="A635" i="2"/>
  <c r="G635" i="2"/>
  <c r="H635" i="2"/>
  <c r="M635" i="2"/>
  <c r="F635" i="2"/>
  <c r="I635" i="2"/>
  <c r="C636" i="2"/>
  <c r="J635" i="2" l="1"/>
  <c r="K635" i="2" s="1"/>
  <c r="B636" i="2"/>
  <c r="A636" i="2"/>
  <c r="I636" i="2"/>
  <c r="F636" i="2"/>
  <c r="M636" i="2"/>
  <c r="G636" i="2"/>
  <c r="H636" i="2"/>
  <c r="C637" i="2"/>
  <c r="J636" i="2" l="1"/>
  <c r="K636" i="2" s="1"/>
  <c r="B637" i="2"/>
  <c r="A637" i="2"/>
  <c r="F637" i="2"/>
  <c r="M637" i="2"/>
  <c r="G637" i="2"/>
  <c r="H637" i="2"/>
  <c r="I637" i="2"/>
  <c r="C638" i="2"/>
  <c r="J637" i="2" l="1"/>
  <c r="K637" i="2" s="1"/>
  <c r="B638" i="2"/>
  <c r="A638" i="2"/>
  <c r="H638" i="2"/>
  <c r="M638" i="2"/>
  <c r="F638" i="2"/>
  <c r="G638" i="2"/>
  <c r="I638" i="2"/>
  <c r="C639" i="2"/>
  <c r="J638" i="2" l="1"/>
  <c r="K638" i="2" s="1"/>
  <c r="B639" i="2"/>
  <c r="A639" i="2"/>
  <c r="H639" i="2"/>
  <c r="M639" i="2"/>
  <c r="I639" i="2"/>
  <c r="G639" i="2"/>
  <c r="F639" i="2"/>
  <c r="C640" i="2"/>
  <c r="J639" i="2" l="1"/>
  <c r="K639" i="2" s="1"/>
  <c r="B640" i="2"/>
  <c r="A640" i="2"/>
  <c r="M640" i="2"/>
  <c r="I640" i="2"/>
  <c r="G640" i="2"/>
  <c r="H640" i="2"/>
  <c r="F640" i="2"/>
  <c r="C641" i="2"/>
  <c r="J640" i="2" l="1"/>
  <c r="K640" i="2" s="1"/>
  <c r="A641" i="2"/>
  <c r="B641" i="2"/>
  <c r="H641" i="2"/>
  <c r="I641" i="2"/>
  <c r="G641" i="2"/>
  <c r="F641" i="2"/>
  <c r="M641" i="2"/>
  <c r="C642" i="2"/>
  <c r="J641" i="2" l="1"/>
  <c r="K641" i="2" s="1"/>
  <c r="B642" i="2"/>
  <c r="A642" i="2"/>
  <c r="G642" i="2"/>
  <c r="M642" i="2"/>
  <c r="F642" i="2"/>
  <c r="H642" i="2"/>
  <c r="I642" i="2"/>
  <c r="C643" i="2"/>
  <c r="J642" i="2" l="1"/>
  <c r="K642" i="2" s="1"/>
  <c r="B643" i="2"/>
  <c r="A643" i="2"/>
  <c r="H643" i="2"/>
  <c r="M643" i="2"/>
  <c r="F643" i="2"/>
  <c r="I643" i="2"/>
  <c r="G643" i="2"/>
  <c r="C644" i="2"/>
  <c r="J643" i="2" l="1"/>
  <c r="K643" i="2" s="1"/>
  <c r="B644" i="2"/>
  <c r="A644" i="2"/>
  <c r="F644" i="2"/>
  <c r="G644" i="2"/>
  <c r="I644" i="2"/>
  <c r="H644" i="2"/>
  <c r="M644" i="2"/>
  <c r="C645" i="2"/>
  <c r="J644" i="2" l="1"/>
  <c r="K644" i="2" s="1"/>
  <c r="A645" i="2"/>
  <c r="B645" i="2"/>
  <c r="H645" i="2"/>
  <c r="G645" i="2"/>
  <c r="F645" i="2"/>
  <c r="I645" i="2"/>
  <c r="M645" i="2"/>
  <c r="C646" i="2"/>
  <c r="J645" i="2" l="1"/>
  <c r="K645" i="2" s="1"/>
  <c r="B646" i="2"/>
  <c r="A646" i="2"/>
  <c r="I646" i="2"/>
  <c r="F646" i="2"/>
  <c r="H646" i="2"/>
  <c r="M646" i="2"/>
  <c r="G646" i="2"/>
  <c r="C647" i="2"/>
  <c r="J646" i="2" l="1"/>
  <c r="K646" i="2" s="1"/>
  <c r="A647" i="2"/>
  <c r="B647" i="2"/>
  <c r="F647" i="2"/>
  <c r="H647" i="2"/>
  <c r="M647" i="2"/>
  <c r="G647" i="2"/>
  <c r="I647" i="2"/>
  <c r="C648" i="2"/>
  <c r="J647" i="2" l="1"/>
  <c r="K647" i="2" s="1"/>
  <c r="B648" i="2"/>
  <c r="A648" i="2"/>
  <c r="F648" i="2"/>
  <c r="H648" i="2"/>
  <c r="G648" i="2"/>
  <c r="M648" i="2"/>
  <c r="I648" i="2"/>
  <c r="C649" i="2"/>
  <c r="J648" i="2" l="1"/>
  <c r="K648" i="2" s="1"/>
  <c r="B649" i="2"/>
  <c r="A649" i="2"/>
  <c r="M649" i="2"/>
  <c r="I649" i="2"/>
  <c r="H649" i="2"/>
  <c r="F649" i="2"/>
  <c r="G649" i="2"/>
  <c r="C650" i="2"/>
  <c r="J649" i="2" l="1"/>
  <c r="K649" i="2" s="1"/>
  <c r="B650" i="2"/>
  <c r="A650" i="2"/>
  <c r="M650" i="2"/>
  <c r="H650" i="2"/>
  <c r="G650" i="2"/>
  <c r="F650" i="2"/>
  <c r="I650" i="2"/>
  <c r="C651" i="2"/>
  <c r="J650" i="2" l="1"/>
  <c r="K650" i="2" s="1"/>
  <c r="A651" i="2"/>
  <c r="B651" i="2"/>
  <c r="I651" i="2"/>
  <c r="G651" i="2"/>
  <c r="F651" i="2"/>
  <c r="H651" i="2"/>
  <c r="M651" i="2"/>
  <c r="C652" i="2"/>
  <c r="J651" i="2" l="1"/>
  <c r="K651" i="2" s="1"/>
  <c r="B652" i="2"/>
  <c r="A652" i="2"/>
  <c r="M652" i="2"/>
  <c r="G652" i="2"/>
  <c r="H652" i="2"/>
  <c r="F652" i="2"/>
  <c r="I652" i="2"/>
  <c r="C653" i="2"/>
  <c r="J652" i="2" l="1"/>
  <c r="K652" i="2" s="1"/>
  <c r="B653" i="2"/>
  <c r="A653" i="2"/>
  <c r="H653" i="2"/>
  <c r="I653" i="2"/>
  <c r="F653" i="2"/>
  <c r="M653" i="2"/>
  <c r="G653" i="2"/>
  <c r="C654" i="2"/>
  <c r="J653" i="2" l="1"/>
  <c r="K653" i="2" s="1"/>
  <c r="B654" i="2"/>
  <c r="A654" i="2"/>
  <c r="F654" i="2"/>
  <c r="G654" i="2"/>
  <c r="M654" i="2"/>
  <c r="I654" i="2"/>
  <c r="H654" i="2"/>
  <c r="C655" i="2"/>
  <c r="J654" i="2" l="1"/>
  <c r="K654" i="2" s="1"/>
  <c r="B655" i="2"/>
  <c r="A655" i="2"/>
  <c r="M655" i="2"/>
  <c r="G655" i="2"/>
  <c r="I655" i="2"/>
  <c r="F655" i="2"/>
  <c r="H655" i="2"/>
  <c r="C656" i="2"/>
  <c r="J655" i="2" l="1"/>
  <c r="K655" i="2" s="1"/>
  <c r="B656" i="2"/>
  <c r="A656" i="2"/>
  <c r="H656" i="2"/>
  <c r="F656" i="2"/>
  <c r="M656" i="2"/>
  <c r="G656" i="2"/>
  <c r="I656" i="2"/>
  <c r="C657" i="2"/>
  <c r="J656" i="2" l="1"/>
  <c r="K656" i="2" s="1"/>
  <c r="A657" i="2"/>
  <c r="B657" i="2"/>
  <c r="G657" i="2"/>
  <c r="H657" i="2"/>
  <c r="F657" i="2"/>
  <c r="I657" i="2"/>
  <c r="M657" i="2"/>
  <c r="C658" i="2"/>
  <c r="J657" i="2" l="1"/>
  <c r="K657" i="2" s="1"/>
  <c r="B658" i="2"/>
  <c r="A658" i="2"/>
  <c r="G658" i="2"/>
  <c r="M658" i="2"/>
  <c r="H658" i="2"/>
  <c r="I658" i="2"/>
  <c r="F658" i="2"/>
  <c r="C659" i="2"/>
  <c r="J658" i="2" l="1"/>
  <c r="K658" i="2" s="1"/>
  <c r="B659" i="2"/>
  <c r="A659" i="2"/>
  <c r="H659" i="2"/>
  <c r="I659" i="2"/>
  <c r="F659" i="2"/>
  <c r="G659" i="2"/>
  <c r="M659" i="2"/>
  <c r="C660" i="2"/>
  <c r="J659" i="2" l="1"/>
  <c r="K659" i="2" s="1"/>
  <c r="B660" i="2"/>
  <c r="A660" i="2"/>
  <c r="H660" i="2"/>
  <c r="G660" i="2"/>
  <c r="M660" i="2"/>
  <c r="I660" i="2"/>
  <c r="F660" i="2"/>
  <c r="C661" i="2"/>
  <c r="J660" i="2" l="1"/>
  <c r="K660" i="2" s="1"/>
  <c r="B661" i="2"/>
  <c r="A661" i="2"/>
  <c r="F661" i="2"/>
  <c r="I661" i="2"/>
  <c r="H661" i="2"/>
  <c r="M661" i="2"/>
  <c r="G661" i="2"/>
  <c r="C662" i="2"/>
  <c r="J661" i="2" l="1"/>
  <c r="K661" i="2" s="1"/>
  <c r="B662" i="2"/>
  <c r="A662" i="2"/>
  <c r="G662" i="2"/>
  <c r="I662" i="2"/>
  <c r="F662" i="2"/>
  <c r="M662" i="2"/>
  <c r="H662" i="2"/>
  <c r="C663" i="2"/>
  <c r="J662" i="2" l="1"/>
  <c r="K662" i="2" s="1"/>
  <c r="A663" i="2"/>
  <c r="B663" i="2"/>
  <c r="M663" i="2"/>
  <c r="G663" i="2"/>
  <c r="I663" i="2"/>
  <c r="H663" i="2"/>
  <c r="F663" i="2"/>
  <c r="C664" i="2"/>
  <c r="J663" i="2" l="1"/>
  <c r="K663" i="2" s="1"/>
  <c r="B664" i="2"/>
  <c r="A664" i="2"/>
  <c r="F664" i="2"/>
  <c r="H664" i="2"/>
  <c r="G664" i="2"/>
  <c r="I664" i="2"/>
  <c r="M664" i="2"/>
  <c r="C665" i="2"/>
  <c r="J664" i="2" l="1"/>
  <c r="K664" i="2" s="1"/>
  <c r="B665" i="2"/>
  <c r="A665" i="2"/>
  <c r="G665" i="2"/>
  <c r="H665" i="2"/>
  <c r="I665" i="2"/>
  <c r="M665" i="2"/>
  <c r="F665" i="2"/>
  <c r="C666" i="2"/>
  <c r="J665" i="2" l="1"/>
  <c r="K665" i="2" s="1"/>
  <c r="B666" i="2"/>
  <c r="A666" i="2"/>
  <c r="H666" i="2"/>
  <c r="F666" i="2"/>
  <c r="I666" i="2"/>
  <c r="G666" i="2"/>
  <c r="M666" i="2"/>
  <c r="C667" i="2"/>
  <c r="J666" i="2" l="1"/>
  <c r="K666" i="2" s="1"/>
  <c r="B667" i="2"/>
  <c r="A667" i="2"/>
  <c r="I667" i="2"/>
  <c r="G667" i="2"/>
  <c r="M667" i="2"/>
  <c r="H667" i="2"/>
  <c r="F667" i="2"/>
  <c r="C668" i="2"/>
  <c r="J667" i="2" l="1"/>
  <c r="K667" i="2" s="1"/>
  <c r="B668" i="2"/>
  <c r="A668" i="2"/>
  <c r="M668" i="2"/>
  <c r="I668" i="2"/>
  <c r="G668" i="2"/>
  <c r="F668" i="2"/>
  <c r="H668" i="2"/>
  <c r="C669" i="2"/>
  <c r="J668" i="2" l="1"/>
  <c r="K668" i="2" s="1"/>
  <c r="B669" i="2"/>
  <c r="A669" i="2"/>
  <c r="M669" i="2"/>
  <c r="H669" i="2"/>
  <c r="I669" i="2"/>
  <c r="F669" i="2"/>
  <c r="G669" i="2"/>
  <c r="C670" i="2"/>
  <c r="J669" i="2" l="1"/>
  <c r="K669" i="2" s="1"/>
  <c r="B670" i="2"/>
  <c r="A670" i="2"/>
  <c r="M670" i="2"/>
  <c r="I670" i="2"/>
  <c r="G670" i="2"/>
  <c r="F670" i="2"/>
  <c r="H670" i="2"/>
  <c r="C671" i="2"/>
  <c r="J670" i="2" l="1"/>
  <c r="K670" i="2" s="1"/>
  <c r="B671" i="2"/>
  <c r="A671" i="2"/>
  <c r="M671" i="2"/>
  <c r="I671" i="2"/>
  <c r="F671" i="2"/>
  <c r="H671" i="2"/>
  <c r="G671" i="2"/>
  <c r="C672" i="2"/>
  <c r="J671" i="2" l="1"/>
  <c r="K671" i="2" s="1"/>
  <c r="B672" i="2"/>
  <c r="A672" i="2"/>
  <c r="H672" i="2"/>
  <c r="F672" i="2"/>
  <c r="M672" i="2"/>
  <c r="E672" i="2"/>
  <c r="G672" i="2"/>
  <c r="I672" i="2"/>
  <c r="C673" i="2"/>
  <c r="L672" i="2" l="1"/>
  <c r="J672" i="2"/>
  <c r="K672" i="2" s="1"/>
  <c r="A673" i="2"/>
  <c r="B673" i="2"/>
  <c r="I673" i="2"/>
  <c r="E673" i="2"/>
  <c r="F673" i="2"/>
  <c r="M673" i="2"/>
  <c r="G673" i="2"/>
  <c r="H673" i="2"/>
  <c r="C674" i="2"/>
  <c r="L673" i="2" l="1"/>
  <c r="J673" i="2"/>
  <c r="K673" i="2" s="1"/>
  <c r="B674" i="2"/>
  <c r="A674" i="2"/>
  <c r="H674" i="2"/>
  <c r="E674" i="2"/>
  <c r="M674" i="2"/>
  <c r="G674" i="2"/>
  <c r="F674" i="2"/>
  <c r="I674" i="2"/>
  <c r="C675" i="2"/>
  <c r="L674" i="2" l="1"/>
  <c r="J674" i="2"/>
  <c r="K674" i="2" s="1"/>
  <c r="B675" i="2"/>
  <c r="A675" i="2"/>
  <c r="G675" i="2"/>
  <c r="I675" i="2"/>
  <c r="H675" i="2"/>
  <c r="E675" i="2"/>
  <c r="M675" i="2"/>
  <c r="F675" i="2"/>
  <c r="C676" i="2"/>
  <c r="L675" i="2" l="1"/>
  <c r="J675" i="2"/>
  <c r="K675" i="2" s="1"/>
  <c r="B676" i="2"/>
  <c r="A676" i="2"/>
  <c r="E676" i="2"/>
  <c r="M676" i="2"/>
  <c r="G676" i="2"/>
  <c r="H676" i="2"/>
  <c r="I676" i="2"/>
  <c r="F676" i="2"/>
  <c r="C677" i="2"/>
  <c r="L676" i="2" l="1"/>
  <c r="J676" i="2"/>
  <c r="K676" i="2" s="1"/>
  <c r="B677" i="2"/>
  <c r="A677" i="2"/>
  <c r="G677" i="2"/>
  <c r="F677" i="2"/>
  <c r="M677" i="2"/>
  <c r="I677" i="2"/>
  <c r="H677" i="2"/>
  <c r="E677" i="2"/>
  <c r="C678" i="2"/>
  <c r="L677" i="2" l="1"/>
  <c r="J677" i="2"/>
  <c r="K677" i="2" s="1"/>
  <c r="B678" i="2"/>
  <c r="A678" i="2"/>
  <c r="G678" i="2"/>
  <c r="F678" i="2"/>
  <c r="H678" i="2"/>
  <c r="E678" i="2"/>
  <c r="I678" i="2"/>
  <c r="M678" i="2"/>
  <c r="C679" i="2"/>
  <c r="L678" i="2" l="1"/>
  <c r="J678" i="2"/>
  <c r="K678" i="2" s="1"/>
  <c r="A679" i="2"/>
  <c r="B679" i="2"/>
  <c r="E679" i="2"/>
  <c r="M679" i="2"/>
  <c r="F679" i="2"/>
  <c r="I679" i="2"/>
  <c r="H679" i="2"/>
  <c r="G679" i="2"/>
  <c r="C680" i="2"/>
  <c r="L679" i="2" l="1"/>
  <c r="J679" i="2"/>
  <c r="K679" i="2" s="1"/>
  <c r="B680" i="2"/>
  <c r="A680" i="2"/>
  <c r="F680" i="2"/>
  <c r="M680" i="2"/>
  <c r="H680" i="2"/>
  <c r="I680" i="2"/>
  <c r="E680" i="2"/>
  <c r="G680" i="2"/>
  <c r="C681" i="2"/>
  <c r="L680" i="2" l="1"/>
  <c r="J680" i="2"/>
  <c r="K680" i="2" s="1"/>
  <c r="B681" i="2"/>
  <c r="A681" i="2"/>
  <c r="H681" i="2"/>
  <c r="G681" i="2"/>
  <c r="I681" i="2"/>
  <c r="M681" i="2"/>
  <c r="E681" i="2"/>
  <c r="F681" i="2"/>
  <c r="C682" i="2"/>
  <c r="L681" i="2" l="1"/>
  <c r="J681" i="2"/>
  <c r="K681" i="2" s="1"/>
  <c r="B682" i="2"/>
  <c r="A682" i="2"/>
  <c r="G682" i="2"/>
  <c r="I682" i="2"/>
  <c r="H682" i="2"/>
  <c r="M682" i="2"/>
  <c r="F682" i="2"/>
  <c r="E682" i="2"/>
  <c r="C683" i="2"/>
  <c r="L682" i="2" l="1"/>
  <c r="J682" i="2"/>
  <c r="K682" i="2" s="1"/>
  <c r="B683" i="2"/>
  <c r="A683" i="2"/>
  <c r="H683" i="2"/>
  <c r="E683" i="2"/>
  <c r="F683" i="2"/>
  <c r="M683" i="2"/>
  <c r="I683" i="2"/>
  <c r="G683" i="2"/>
  <c r="C684" i="2"/>
  <c r="L683" i="2" l="1"/>
  <c r="J683" i="2"/>
  <c r="K683" i="2" s="1"/>
  <c r="B684" i="2"/>
  <c r="A684" i="2"/>
  <c r="M684" i="2"/>
  <c r="I684" i="2"/>
  <c r="E684" i="2"/>
  <c r="F684" i="2"/>
  <c r="H684" i="2"/>
  <c r="G684" i="2"/>
  <c r="C685" i="2"/>
  <c r="L684" i="2" l="1"/>
  <c r="J684" i="2"/>
  <c r="K684" i="2" s="1"/>
  <c r="B685" i="2"/>
  <c r="A685" i="2"/>
  <c r="F685" i="2"/>
  <c r="G685" i="2"/>
  <c r="I685" i="2"/>
  <c r="H685" i="2"/>
  <c r="E685" i="2"/>
  <c r="M685" i="2"/>
  <c r="C686" i="2"/>
  <c r="L685" i="2" l="1"/>
  <c r="J685" i="2"/>
  <c r="K685" i="2" s="1"/>
  <c r="B686" i="2"/>
  <c r="A686" i="2"/>
  <c r="I686" i="2"/>
  <c r="H686" i="2"/>
  <c r="M686" i="2"/>
  <c r="E686" i="2"/>
  <c r="F686" i="2"/>
  <c r="G686" i="2"/>
  <c r="C687" i="2"/>
  <c r="L686" i="2" l="1"/>
  <c r="J686" i="2"/>
  <c r="K686" i="2" s="1"/>
  <c r="B687" i="2"/>
  <c r="A687" i="2"/>
  <c r="G687" i="2"/>
  <c r="I687" i="2"/>
  <c r="H687" i="2"/>
  <c r="F687" i="2"/>
  <c r="E687" i="2"/>
  <c r="M687" i="2"/>
  <c r="C688" i="2"/>
  <c r="L687" i="2" l="1"/>
  <c r="J687" i="2"/>
  <c r="K687" i="2" s="1"/>
  <c r="B688" i="2"/>
  <c r="A688" i="2"/>
  <c r="E688" i="2"/>
  <c r="M688" i="2"/>
  <c r="F688" i="2"/>
  <c r="H688" i="2"/>
  <c r="G688" i="2"/>
  <c r="I688" i="2"/>
  <c r="C689" i="2"/>
  <c r="L688" i="2" l="1"/>
  <c r="J688" i="2"/>
  <c r="K688" i="2" s="1"/>
  <c r="A689" i="2"/>
  <c r="B689" i="2"/>
  <c r="H689" i="2"/>
  <c r="G689" i="2"/>
  <c r="I689" i="2"/>
  <c r="E689" i="2"/>
  <c r="F689" i="2"/>
  <c r="M689" i="2"/>
  <c r="C690" i="2"/>
  <c r="L689" i="2" l="1"/>
  <c r="J689" i="2"/>
  <c r="K689" i="2" s="1"/>
  <c r="B690" i="2"/>
  <c r="A690" i="2"/>
  <c r="G690" i="2"/>
  <c r="I690" i="2"/>
  <c r="M690" i="2"/>
  <c r="E690" i="2"/>
  <c r="H690" i="2"/>
  <c r="F690" i="2"/>
  <c r="C691" i="2"/>
  <c r="L690" i="2" l="1"/>
  <c r="J690" i="2"/>
  <c r="K690" i="2" s="1"/>
  <c r="B691" i="2"/>
  <c r="A691" i="2"/>
  <c r="I691" i="2"/>
  <c r="E691" i="2"/>
  <c r="G691" i="2"/>
  <c r="M691" i="2"/>
  <c r="F691" i="2"/>
  <c r="H691" i="2"/>
  <c r="C692" i="2"/>
  <c r="L691" i="2" l="1"/>
  <c r="J691" i="2"/>
  <c r="K691" i="2" s="1"/>
  <c r="B692" i="2"/>
  <c r="A692" i="2"/>
  <c r="H692" i="2"/>
  <c r="G692" i="2"/>
  <c r="M692" i="2"/>
  <c r="I692" i="2"/>
  <c r="F692" i="2"/>
  <c r="E692" i="2"/>
  <c r="C693" i="2"/>
  <c r="L692" i="2" l="1"/>
  <c r="J692" i="2"/>
  <c r="K692" i="2" s="1"/>
  <c r="A693" i="2"/>
  <c r="B693" i="2"/>
  <c r="G693" i="2"/>
  <c r="I693" i="2"/>
  <c r="F693" i="2"/>
  <c r="H693" i="2"/>
  <c r="E693" i="2"/>
  <c r="M693" i="2"/>
  <c r="C694" i="2"/>
  <c r="L693" i="2" l="1"/>
  <c r="J693" i="2"/>
  <c r="K693" i="2" s="1"/>
  <c r="B694" i="2"/>
  <c r="A694" i="2"/>
  <c r="I694" i="2"/>
  <c r="E694" i="2"/>
  <c r="M694" i="2"/>
  <c r="G694" i="2"/>
  <c r="H694" i="2"/>
  <c r="F694" i="2"/>
  <c r="C695" i="2"/>
  <c r="L694" i="2" l="1"/>
  <c r="J694" i="2"/>
  <c r="K694" i="2" s="1"/>
  <c r="A695" i="2"/>
  <c r="B695" i="2"/>
  <c r="F695" i="2"/>
  <c r="G695" i="2"/>
  <c r="M695" i="2"/>
  <c r="I695" i="2"/>
  <c r="H695" i="2"/>
  <c r="E695" i="2"/>
  <c r="C696" i="2"/>
  <c r="L695" i="2" l="1"/>
  <c r="J695" i="2"/>
  <c r="K695" i="2" s="1"/>
  <c r="B696" i="2"/>
  <c r="A696" i="2"/>
  <c r="F696" i="2"/>
  <c r="E696" i="2"/>
  <c r="H696" i="2"/>
  <c r="I696" i="2"/>
  <c r="G696" i="2"/>
  <c r="M696" i="2"/>
  <c r="C697" i="2"/>
  <c r="L696" i="2" l="1"/>
  <c r="J696" i="2"/>
  <c r="K696" i="2" s="1"/>
  <c r="B697" i="2"/>
  <c r="A697" i="2"/>
  <c r="F697" i="2"/>
  <c r="I697" i="2"/>
  <c r="M697" i="2"/>
  <c r="G697" i="2"/>
  <c r="H697" i="2"/>
  <c r="C698" i="2"/>
  <c r="J697" i="2" l="1"/>
  <c r="K697" i="2" s="1"/>
  <c r="B698" i="2"/>
  <c r="A698" i="2"/>
  <c r="F698" i="2"/>
  <c r="G698" i="2"/>
  <c r="M698" i="2"/>
  <c r="I698" i="2"/>
  <c r="H698" i="2"/>
  <c r="C699" i="2"/>
  <c r="J698" i="2" l="1"/>
  <c r="K698" i="2" s="1"/>
  <c r="B699" i="2"/>
  <c r="A699" i="2"/>
  <c r="M699" i="2"/>
  <c r="I699" i="2"/>
  <c r="H699" i="2"/>
  <c r="F699" i="2"/>
  <c r="G699" i="2"/>
  <c r="C700" i="2"/>
  <c r="J699" i="2" l="1"/>
  <c r="K699" i="2" s="1"/>
  <c r="B700" i="2"/>
  <c r="A700" i="2"/>
  <c r="H700" i="2"/>
  <c r="M700" i="2"/>
  <c r="G700" i="2"/>
  <c r="I700" i="2"/>
  <c r="F700" i="2"/>
  <c r="C701" i="2"/>
  <c r="J700" i="2" l="1"/>
  <c r="K700" i="2" s="1"/>
  <c r="B701" i="2"/>
  <c r="A701" i="2"/>
  <c r="H701" i="2"/>
  <c r="M701" i="2"/>
  <c r="F701" i="2"/>
  <c r="I701" i="2"/>
  <c r="G701" i="2"/>
  <c r="C702" i="2"/>
  <c r="J701" i="2" l="1"/>
  <c r="K701" i="2" s="1"/>
  <c r="B702" i="2"/>
  <c r="A702" i="2"/>
  <c r="I702" i="2"/>
  <c r="F702" i="2"/>
  <c r="G702" i="2"/>
  <c r="H702" i="2"/>
  <c r="M702" i="2"/>
  <c r="C703" i="2"/>
  <c r="J702" i="2" l="1"/>
  <c r="K702" i="2" s="1"/>
  <c r="B703" i="2"/>
  <c r="A703" i="2"/>
  <c r="I703" i="2"/>
  <c r="H703" i="2"/>
  <c r="G703" i="2"/>
  <c r="M703" i="2"/>
  <c r="F703" i="2"/>
  <c r="C704" i="2"/>
  <c r="J703" i="2" l="1"/>
  <c r="K703" i="2" s="1"/>
  <c r="B704" i="2"/>
  <c r="A704" i="2"/>
  <c r="G704" i="2"/>
  <c r="M704" i="2"/>
  <c r="I704" i="2"/>
  <c r="F704" i="2"/>
  <c r="H704" i="2"/>
  <c r="C705" i="2"/>
  <c r="J704" i="2" l="1"/>
  <c r="K704" i="2" s="1"/>
  <c r="A705" i="2"/>
  <c r="B705" i="2"/>
  <c r="H705" i="2"/>
  <c r="G705" i="2"/>
  <c r="M705" i="2"/>
  <c r="F705" i="2"/>
  <c r="I705" i="2"/>
  <c r="C706" i="2"/>
  <c r="J705" i="2" l="1"/>
  <c r="K705" i="2" s="1"/>
  <c r="B706" i="2"/>
  <c r="A706" i="2"/>
  <c r="H706" i="2"/>
  <c r="G706" i="2"/>
  <c r="I706" i="2"/>
  <c r="F706" i="2"/>
  <c r="M706" i="2"/>
  <c r="C707" i="2"/>
  <c r="J706" i="2" l="1"/>
  <c r="K706" i="2" s="1"/>
  <c r="B707" i="2"/>
  <c r="A707" i="2"/>
  <c r="M707" i="2"/>
  <c r="I707" i="2"/>
  <c r="H707" i="2"/>
  <c r="G707" i="2"/>
  <c r="F707" i="2"/>
  <c r="C708" i="2"/>
  <c r="J707" i="2" l="1"/>
  <c r="K707" i="2" s="1"/>
  <c r="B708" i="2"/>
  <c r="A708" i="2"/>
  <c r="F708" i="2"/>
  <c r="I708" i="2"/>
  <c r="G708" i="2"/>
  <c r="M708" i="2"/>
  <c r="H708" i="2"/>
  <c r="C709" i="2"/>
  <c r="J708" i="2" l="1"/>
  <c r="K708" i="2" s="1"/>
  <c r="B709" i="2"/>
  <c r="A709" i="2"/>
  <c r="F709" i="2"/>
  <c r="E709" i="2"/>
  <c r="I709" i="2"/>
  <c r="G709" i="2"/>
  <c r="H709" i="2"/>
  <c r="M709" i="2"/>
  <c r="C710" i="2"/>
  <c r="L709" i="2" l="1"/>
  <c r="J709" i="2"/>
  <c r="K709" i="2" s="1"/>
  <c r="B710" i="2"/>
  <c r="A710" i="2"/>
  <c r="G710" i="2"/>
  <c r="M710" i="2"/>
  <c r="F710" i="2"/>
  <c r="H710" i="2"/>
  <c r="I710" i="2"/>
  <c r="E710" i="2"/>
  <c r="C711" i="2"/>
  <c r="L710" i="2" l="1"/>
  <c r="J710" i="2"/>
  <c r="K710" i="2" s="1"/>
  <c r="A711" i="2"/>
  <c r="B711" i="2"/>
  <c r="I711" i="2"/>
  <c r="E711" i="2"/>
  <c r="G711" i="2"/>
  <c r="F711" i="2"/>
  <c r="M711" i="2"/>
  <c r="H711" i="2"/>
  <c r="C712" i="2"/>
  <c r="L711" i="2" l="1"/>
  <c r="J711" i="2"/>
  <c r="K711" i="2" s="1"/>
  <c r="B712" i="2"/>
  <c r="A712" i="2"/>
  <c r="M712" i="2"/>
  <c r="F712" i="2"/>
  <c r="E712" i="2"/>
  <c r="I712" i="2"/>
  <c r="G712" i="2"/>
  <c r="H712" i="2"/>
  <c r="C713" i="2"/>
  <c r="L712" i="2" l="1"/>
  <c r="J712" i="2"/>
  <c r="K712" i="2" s="1"/>
  <c r="B713" i="2"/>
  <c r="A713" i="2"/>
  <c r="I713" i="2"/>
  <c r="G713" i="2"/>
  <c r="F713" i="2"/>
  <c r="E713" i="2"/>
  <c r="M713" i="2"/>
  <c r="H713" i="2"/>
  <c r="C714" i="2"/>
  <c r="L713" i="2" l="1"/>
  <c r="J713" i="2"/>
  <c r="K713" i="2" s="1"/>
  <c r="B714" i="2"/>
  <c r="A714" i="2"/>
  <c r="F714" i="2"/>
  <c r="I714" i="2"/>
  <c r="G714" i="2"/>
  <c r="M714" i="2"/>
  <c r="H714" i="2"/>
  <c r="E714" i="2"/>
  <c r="C715" i="2"/>
  <c r="L714" i="2" l="1"/>
  <c r="J714" i="2"/>
  <c r="K714" i="2" s="1"/>
  <c r="B715" i="2"/>
  <c r="A715" i="2"/>
  <c r="H715" i="2"/>
  <c r="M715" i="2"/>
  <c r="G715" i="2"/>
  <c r="F715" i="2"/>
  <c r="E715" i="2"/>
  <c r="I715" i="2"/>
  <c r="C716" i="2"/>
  <c r="L715" i="2" l="1"/>
  <c r="J715" i="2"/>
  <c r="K715" i="2" s="1"/>
  <c r="B716" i="2"/>
  <c r="A716" i="2"/>
  <c r="H716" i="2"/>
  <c r="F716" i="2"/>
  <c r="I716" i="2"/>
  <c r="E716" i="2"/>
  <c r="M716" i="2"/>
  <c r="G716" i="2"/>
  <c r="C717" i="2"/>
  <c r="L716" i="2" l="1"/>
  <c r="J716" i="2"/>
  <c r="K716" i="2" s="1"/>
  <c r="B717" i="2"/>
  <c r="A717" i="2"/>
  <c r="H717" i="2"/>
  <c r="E717" i="2"/>
  <c r="M717" i="2"/>
  <c r="F717" i="2"/>
  <c r="I717" i="2"/>
  <c r="G717" i="2"/>
  <c r="C718" i="2"/>
  <c r="L717" i="2" l="1"/>
  <c r="J717" i="2"/>
  <c r="K717" i="2" s="1"/>
  <c r="B718" i="2"/>
  <c r="A718" i="2"/>
  <c r="I718" i="2"/>
  <c r="M718" i="2"/>
  <c r="E718" i="2"/>
  <c r="F718" i="2"/>
  <c r="H718" i="2"/>
  <c r="G718" i="2"/>
  <c r="C719" i="2"/>
  <c r="L718" i="2" l="1"/>
  <c r="J718" i="2"/>
  <c r="K718" i="2" s="1"/>
  <c r="B719" i="2"/>
  <c r="A719" i="2"/>
  <c r="H719" i="2"/>
  <c r="F719" i="2"/>
  <c r="I719" i="2"/>
  <c r="E719" i="2"/>
  <c r="G719" i="2"/>
  <c r="M719" i="2"/>
  <c r="C720" i="2"/>
  <c r="L719" i="2" l="1"/>
  <c r="J719" i="2"/>
  <c r="K719" i="2" s="1"/>
  <c r="B720" i="2"/>
  <c r="A720" i="2"/>
  <c r="F720" i="2"/>
  <c r="M720" i="2"/>
  <c r="G720" i="2"/>
  <c r="E720" i="2"/>
  <c r="I720" i="2"/>
  <c r="H720" i="2"/>
  <c r="C721" i="2"/>
  <c r="L720" i="2" l="1"/>
  <c r="J720" i="2"/>
  <c r="K720" i="2" s="1"/>
  <c r="A721" i="2"/>
  <c r="B721" i="2"/>
  <c r="H721" i="2"/>
  <c r="E721" i="2"/>
  <c r="M721" i="2"/>
  <c r="F721" i="2"/>
  <c r="I721" i="2"/>
  <c r="G721" i="2"/>
  <c r="C722" i="2"/>
  <c r="L721" i="2" l="1"/>
  <c r="J721" i="2"/>
  <c r="K721" i="2" s="1"/>
  <c r="B722" i="2"/>
  <c r="A722" i="2"/>
  <c r="H722" i="2"/>
  <c r="F722" i="2"/>
  <c r="E722" i="2"/>
  <c r="M722" i="2"/>
  <c r="I722" i="2"/>
  <c r="G722" i="2"/>
  <c r="C723" i="2"/>
  <c r="L722" i="2" l="1"/>
  <c r="J722" i="2"/>
  <c r="K722" i="2" s="1"/>
  <c r="B723" i="2"/>
  <c r="A723" i="2"/>
  <c r="E723" i="2"/>
  <c r="M723" i="2"/>
  <c r="G723" i="2"/>
  <c r="F723" i="2"/>
  <c r="H723" i="2"/>
  <c r="I723" i="2"/>
  <c r="C724" i="2"/>
  <c r="L723" i="2" l="1"/>
  <c r="J723" i="2"/>
  <c r="K723" i="2" s="1"/>
  <c r="B724" i="2"/>
  <c r="A724" i="2"/>
  <c r="F724" i="2"/>
  <c r="I724" i="2"/>
  <c r="G724" i="2"/>
  <c r="H724" i="2"/>
  <c r="E724" i="2"/>
  <c r="M724" i="2"/>
  <c r="C725" i="2"/>
  <c r="L724" i="2" l="1"/>
  <c r="J724" i="2"/>
  <c r="K724" i="2" s="1"/>
  <c r="B725" i="2"/>
  <c r="A725" i="2"/>
  <c r="I725" i="2"/>
  <c r="H725" i="2"/>
  <c r="F725" i="2"/>
  <c r="M725" i="2"/>
  <c r="E725" i="2"/>
  <c r="G725" i="2"/>
  <c r="C726" i="2"/>
  <c r="L725" i="2" l="1"/>
  <c r="J725" i="2"/>
  <c r="K725" i="2" s="1"/>
  <c r="B726" i="2"/>
  <c r="A726" i="2"/>
  <c r="F726" i="2"/>
  <c r="M726" i="2"/>
  <c r="E726" i="2"/>
  <c r="I726" i="2"/>
  <c r="G726" i="2"/>
  <c r="H726" i="2"/>
  <c r="C727" i="2"/>
  <c r="L726" i="2" l="1"/>
  <c r="J726" i="2"/>
  <c r="K726" i="2" s="1"/>
  <c r="A727" i="2"/>
  <c r="B727" i="2"/>
  <c r="G727" i="2"/>
  <c r="H727" i="2"/>
  <c r="M727" i="2"/>
  <c r="F727" i="2"/>
  <c r="I727" i="2"/>
  <c r="C728" i="2"/>
  <c r="J727" i="2" l="1"/>
  <c r="K727" i="2" s="1"/>
  <c r="B728" i="2"/>
  <c r="A728" i="2"/>
  <c r="G728" i="2"/>
  <c r="M728" i="2"/>
  <c r="H728" i="2"/>
  <c r="I728" i="2"/>
  <c r="F728" i="2"/>
  <c r="C729" i="2"/>
  <c r="J728" i="2" l="1"/>
  <c r="K728" i="2" s="1"/>
  <c r="B729" i="2"/>
  <c r="A729" i="2"/>
  <c r="F729" i="2"/>
  <c r="I729" i="2"/>
  <c r="M729" i="2"/>
  <c r="H729" i="2"/>
  <c r="G729" i="2"/>
  <c r="C730" i="2"/>
  <c r="J729" i="2" l="1"/>
  <c r="K729" i="2" s="1"/>
  <c r="B730" i="2"/>
  <c r="A730" i="2"/>
  <c r="G730" i="2"/>
  <c r="M730" i="2"/>
  <c r="H730" i="2"/>
  <c r="F730" i="2"/>
  <c r="I730" i="2"/>
  <c r="C731" i="2"/>
  <c r="J730" i="2" l="1"/>
  <c r="K730" i="2" s="1"/>
  <c r="A731" i="2"/>
  <c r="B731" i="2"/>
  <c r="G731" i="2"/>
  <c r="I731" i="2"/>
  <c r="H731" i="2"/>
  <c r="M731" i="2"/>
  <c r="F731" i="2"/>
  <c r="C732" i="2"/>
  <c r="J731" i="2" l="1"/>
  <c r="K731" i="2" s="1"/>
  <c r="B732" i="2"/>
  <c r="A732" i="2"/>
  <c r="I732" i="2"/>
  <c r="G732" i="2"/>
  <c r="H732" i="2"/>
  <c r="M732" i="2"/>
  <c r="F732" i="2"/>
  <c r="C733" i="2"/>
  <c r="J732" i="2" l="1"/>
  <c r="K732" i="2" s="1"/>
  <c r="B733" i="2"/>
  <c r="A733" i="2"/>
  <c r="M733" i="2"/>
  <c r="F733" i="2"/>
  <c r="G733" i="2"/>
  <c r="H733" i="2"/>
  <c r="I733" i="2"/>
  <c r="C734" i="2"/>
  <c r="J733" i="2" l="1"/>
  <c r="K733" i="2" s="1"/>
  <c r="B734" i="2"/>
  <c r="A734" i="2"/>
  <c r="F734" i="2"/>
  <c r="I734" i="2"/>
  <c r="M734" i="2"/>
  <c r="H734" i="2"/>
  <c r="G734" i="2"/>
  <c r="C735" i="2"/>
  <c r="J734" i="2" l="1"/>
  <c r="K734" i="2" s="1"/>
  <c r="B735" i="2"/>
  <c r="A735" i="2"/>
  <c r="G735" i="2"/>
  <c r="M735" i="2"/>
  <c r="F735" i="2"/>
  <c r="I735" i="2"/>
  <c r="H735" i="2"/>
  <c r="C736" i="2"/>
  <c r="J735" i="2" l="1"/>
  <c r="K735" i="2" s="1"/>
  <c r="B736" i="2"/>
  <c r="A736" i="2"/>
  <c r="F736" i="2"/>
  <c r="I736" i="2"/>
  <c r="H736" i="2"/>
  <c r="G736" i="2"/>
  <c r="M736" i="2"/>
  <c r="C737" i="2"/>
  <c r="J736" i="2" l="1"/>
  <c r="K736" i="2" s="1"/>
  <c r="A737" i="2"/>
  <c r="B737" i="2"/>
  <c r="F737" i="2"/>
  <c r="M737" i="2"/>
  <c r="I737" i="2"/>
  <c r="G737" i="2"/>
  <c r="H737" i="2"/>
  <c r="C738" i="2"/>
  <c r="J737" i="2" l="1"/>
  <c r="K737" i="2" s="1"/>
  <c r="B738" i="2"/>
  <c r="A738" i="2"/>
  <c r="F738" i="2"/>
  <c r="M738" i="2"/>
  <c r="G738" i="2"/>
  <c r="I738" i="2"/>
  <c r="H738" i="2"/>
  <c r="C739" i="2"/>
  <c r="J738" i="2" l="1"/>
  <c r="K738" i="2" s="1"/>
  <c r="B739" i="2"/>
  <c r="A739" i="2"/>
  <c r="I739" i="2"/>
  <c r="G739" i="2"/>
  <c r="H739" i="2"/>
  <c r="F739" i="2"/>
  <c r="M739" i="2"/>
  <c r="C740" i="2"/>
  <c r="J739" i="2" l="1"/>
  <c r="K739" i="2" s="1"/>
  <c r="B740" i="2"/>
  <c r="A740" i="2"/>
  <c r="F740" i="2"/>
  <c r="H740" i="2"/>
  <c r="I740" i="2"/>
  <c r="G740" i="2"/>
  <c r="M740" i="2"/>
  <c r="C741" i="2"/>
  <c r="J740" i="2" l="1"/>
  <c r="K740" i="2" s="1"/>
  <c r="B741" i="2"/>
  <c r="A741" i="2"/>
  <c r="I741" i="2"/>
  <c r="F741" i="2"/>
  <c r="G741" i="2"/>
  <c r="H741" i="2"/>
  <c r="M741" i="2"/>
  <c r="C742" i="2"/>
  <c r="J741" i="2" l="1"/>
  <c r="K741" i="2" s="1"/>
  <c r="B742" i="2"/>
  <c r="A742" i="2"/>
  <c r="I742" i="2"/>
  <c r="G742" i="2"/>
  <c r="F742" i="2"/>
  <c r="H742" i="2"/>
  <c r="M742" i="2"/>
  <c r="C743" i="2"/>
  <c r="J742" i="2" l="1"/>
  <c r="K742" i="2" s="1"/>
  <c r="A743" i="2"/>
  <c r="B743" i="2"/>
  <c r="M743" i="2"/>
  <c r="I743" i="2"/>
  <c r="H743" i="2"/>
  <c r="F743" i="2"/>
  <c r="G743" i="2"/>
  <c r="C744" i="2"/>
  <c r="J743" i="2" l="1"/>
  <c r="K743" i="2" s="1"/>
  <c r="B744" i="2"/>
  <c r="A744" i="2"/>
  <c r="G744" i="2"/>
  <c r="F744" i="2"/>
  <c r="H744" i="2"/>
  <c r="M744" i="2"/>
  <c r="I744" i="2"/>
  <c r="C745" i="2"/>
  <c r="J744" i="2" l="1"/>
  <c r="K744" i="2" s="1"/>
  <c r="B745" i="2"/>
  <c r="A745" i="2"/>
  <c r="I745" i="2"/>
  <c r="H745" i="2"/>
  <c r="G745" i="2"/>
  <c r="M745" i="2"/>
  <c r="F745" i="2"/>
  <c r="C746" i="2"/>
  <c r="J745" i="2" l="1"/>
  <c r="K745" i="2" s="1"/>
  <c r="B746" i="2"/>
  <c r="A746" i="2"/>
  <c r="I746" i="2"/>
  <c r="H746" i="2"/>
  <c r="F746" i="2"/>
  <c r="G746" i="2"/>
  <c r="M746" i="2"/>
  <c r="C747" i="2"/>
  <c r="J746" i="2" l="1"/>
  <c r="K746" i="2" s="1"/>
  <c r="A747" i="2"/>
  <c r="B747" i="2"/>
  <c r="G747" i="2"/>
  <c r="M747" i="2"/>
  <c r="I747" i="2"/>
  <c r="F747" i="2"/>
  <c r="H747" i="2"/>
  <c r="C748" i="2"/>
  <c r="J747" i="2" l="1"/>
  <c r="K747" i="2" s="1"/>
  <c r="B748" i="2"/>
  <c r="A748" i="2"/>
  <c r="M748" i="2"/>
  <c r="I748" i="2"/>
  <c r="G748" i="2"/>
  <c r="F748" i="2"/>
  <c r="H748" i="2"/>
  <c r="C749" i="2"/>
  <c r="J748" i="2" l="1"/>
  <c r="K748" i="2" s="1"/>
  <c r="B749" i="2"/>
  <c r="A749" i="2"/>
  <c r="F749" i="2"/>
  <c r="H749" i="2"/>
  <c r="I749" i="2"/>
  <c r="G749" i="2"/>
  <c r="M749" i="2"/>
  <c r="C750" i="2"/>
  <c r="J749" i="2" l="1"/>
  <c r="K749" i="2" s="1"/>
  <c r="B750" i="2"/>
  <c r="A750" i="2"/>
  <c r="M750" i="2"/>
  <c r="I750" i="2"/>
  <c r="G750" i="2"/>
  <c r="H750" i="2"/>
  <c r="F750" i="2"/>
  <c r="C751" i="2"/>
  <c r="J750" i="2" l="1"/>
  <c r="K750" i="2" s="1"/>
  <c r="B751" i="2"/>
  <c r="A751" i="2"/>
  <c r="M751" i="2"/>
  <c r="I751" i="2"/>
  <c r="F751" i="2"/>
  <c r="G751" i="2"/>
  <c r="H751" i="2"/>
  <c r="C752" i="2"/>
  <c r="J751" i="2" l="1"/>
  <c r="K751" i="2" s="1"/>
  <c r="B752" i="2"/>
  <c r="A752" i="2"/>
  <c r="E752" i="2"/>
  <c r="C753" i="2"/>
  <c r="H752" i="2"/>
  <c r="M752" i="2"/>
  <c r="F752" i="2"/>
  <c r="G752" i="2"/>
  <c r="I752" i="2"/>
  <c r="L752" i="2" l="1"/>
  <c r="J752" i="2"/>
  <c r="K752" i="2" s="1"/>
  <c r="A753" i="2"/>
  <c r="B753" i="2"/>
  <c r="M753" i="2"/>
  <c r="I753" i="2"/>
  <c r="H753" i="2"/>
  <c r="F753" i="2"/>
  <c r="G753" i="2"/>
  <c r="E753" i="2"/>
  <c r="C754" i="2"/>
  <c r="L753" i="2" l="1"/>
  <c r="J753" i="2"/>
  <c r="K753" i="2" s="1"/>
  <c r="B754" i="2"/>
  <c r="A754" i="2"/>
  <c r="F754" i="2"/>
  <c r="H754" i="2"/>
  <c r="I754" i="2"/>
  <c r="G754" i="2"/>
  <c r="E754" i="2"/>
  <c r="M754" i="2"/>
  <c r="C755" i="2"/>
  <c r="L754" i="2" l="1"/>
  <c r="J754" i="2"/>
  <c r="K754" i="2" s="1"/>
  <c r="B755" i="2"/>
  <c r="A755" i="2"/>
  <c r="E755" i="2"/>
  <c r="G755" i="2"/>
  <c r="M755" i="2"/>
  <c r="F755" i="2"/>
  <c r="I755" i="2"/>
  <c r="H755" i="2"/>
  <c r="C756" i="2"/>
  <c r="L755" i="2" l="1"/>
  <c r="J755" i="2"/>
  <c r="K755" i="2" s="1"/>
  <c r="B756" i="2"/>
  <c r="A756" i="2"/>
  <c r="H756" i="2"/>
  <c r="E756" i="2"/>
  <c r="M756" i="2"/>
  <c r="G756" i="2"/>
  <c r="I756" i="2"/>
  <c r="F756" i="2"/>
  <c r="C757" i="2"/>
  <c r="L756" i="2" l="1"/>
  <c r="J756" i="2"/>
  <c r="K756" i="2" s="1"/>
  <c r="B757" i="2"/>
  <c r="A757" i="2"/>
  <c r="F757" i="2"/>
  <c r="I757" i="2"/>
  <c r="M757" i="2"/>
  <c r="H757" i="2"/>
  <c r="G757" i="2"/>
  <c r="E757" i="2"/>
  <c r="C758" i="2"/>
  <c r="L757" i="2" l="1"/>
  <c r="J757" i="2"/>
  <c r="K757" i="2" s="1"/>
  <c r="B758" i="2"/>
  <c r="A758" i="2"/>
  <c r="H758" i="2"/>
  <c r="M758" i="2"/>
  <c r="I758" i="2"/>
  <c r="E758" i="2"/>
  <c r="G758" i="2"/>
  <c r="F758" i="2"/>
  <c r="C759" i="2"/>
  <c r="L758" i="2" l="1"/>
  <c r="J758" i="2"/>
  <c r="K758" i="2" s="1"/>
  <c r="A759" i="2"/>
  <c r="B759" i="2"/>
  <c r="G759" i="2"/>
  <c r="I759" i="2"/>
  <c r="E759" i="2"/>
  <c r="H759" i="2"/>
  <c r="F759" i="2"/>
  <c r="M759" i="2"/>
  <c r="C760" i="2"/>
  <c r="L759" i="2" l="1"/>
  <c r="J759" i="2"/>
  <c r="K759" i="2" s="1"/>
  <c r="B760" i="2"/>
  <c r="A760" i="2"/>
  <c r="H760" i="2"/>
  <c r="I760" i="2"/>
  <c r="E760" i="2"/>
  <c r="F760" i="2"/>
  <c r="G760" i="2"/>
  <c r="M760" i="2"/>
  <c r="C761" i="2"/>
  <c r="L760" i="2" l="1"/>
  <c r="J760" i="2"/>
  <c r="K760" i="2" s="1"/>
  <c r="B761" i="2"/>
  <c r="A761" i="2"/>
  <c r="F761" i="2"/>
  <c r="H761" i="2"/>
  <c r="E761" i="2"/>
  <c r="M761" i="2"/>
  <c r="I761" i="2"/>
  <c r="G761" i="2"/>
  <c r="C762" i="2"/>
  <c r="L761" i="2" l="1"/>
  <c r="J761" i="2"/>
  <c r="K761" i="2" s="1"/>
  <c r="B762" i="2"/>
  <c r="A762" i="2"/>
  <c r="M762" i="2"/>
  <c r="I762" i="2"/>
  <c r="F762" i="2"/>
  <c r="E762" i="2"/>
  <c r="G762" i="2"/>
  <c r="H762" i="2"/>
  <c r="C763" i="2"/>
  <c r="L762" i="2" l="1"/>
  <c r="J762" i="2"/>
  <c r="K762" i="2" s="1"/>
  <c r="B763" i="2"/>
  <c r="A763" i="2"/>
  <c r="H763" i="2"/>
  <c r="G763" i="2"/>
  <c r="F763" i="2"/>
  <c r="I763" i="2"/>
  <c r="E763" i="2"/>
  <c r="M763" i="2"/>
  <c r="C764" i="2"/>
  <c r="L763" i="2" l="1"/>
  <c r="J763" i="2"/>
  <c r="K763" i="2" s="1"/>
  <c r="B764" i="2"/>
  <c r="A764" i="2"/>
  <c r="H764" i="2"/>
  <c r="I764" i="2"/>
  <c r="E764" i="2"/>
  <c r="M764" i="2"/>
  <c r="F764" i="2"/>
  <c r="G764" i="2"/>
  <c r="C765" i="2"/>
  <c r="L764" i="2" l="1"/>
  <c r="J764" i="2"/>
  <c r="K764" i="2" s="1"/>
  <c r="B765" i="2"/>
  <c r="A765" i="2"/>
  <c r="I765" i="2"/>
  <c r="G765" i="2"/>
  <c r="F765" i="2"/>
  <c r="E765" i="2"/>
  <c r="H765" i="2"/>
  <c r="M765" i="2"/>
  <c r="C766" i="2"/>
  <c r="L765" i="2" l="1"/>
  <c r="J765" i="2"/>
  <c r="K765" i="2" s="1"/>
  <c r="B766" i="2"/>
  <c r="A766" i="2"/>
  <c r="F766" i="2"/>
  <c r="G766" i="2"/>
  <c r="I766" i="2"/>
  <c r="H766" i="2"/>
  <c r="M766" i="2"/>
  <c r="C767" i="2"/>
  <c r="J766" i="2" l="1"/>
  <c r="K766" i="2" s="1"/>
  <c r="B767" i="2"/>
  <c r="A767" i="2"/>
  <c r="G767" i="2"/>
  <c r="M767" i="2"/>
  <c r="H767" i="2"/>
  <c r="F767" i="2"/>
  <c r="I767" i="2"/>
  <c r="C768" i="2"/>
  <c r="J767" i="2" l="1"/>
  <c r="K767" i="2" s="1"/>
  <c r="B768" i="2"/>
  <c r="A768" i="2"/>
  <c r="G768" i="2"/>
  <c r="M768" i="2"/>
  <c r="H768" i="2"/>
  <c r="I768" i="2"/>
  <c r="F768" i="2"/>
  <c r="C769" i="2"/>
  <c r="J768" i="2" l="1"/>
  <c r="K768" i="2" s="1"/>
  <c r="A769" i="2"/>
  <c r="B769" i="2"/>
  <c r="G769" i="2"/>
  <c r="F769" i="2"/>
  <c r="M769" i="2"/>
  <c r="I769" i="2"/>
  <c r="H769" i="2"/>
  <c r="C770" i="2"/>
  <c r="J769" i="2" l="1"/>
  <c r="K769" i="2" s="1"/>
  <c r="B770" i="2"/>
  <c r="A770" i="2"/>
  <c r="I770" i="2"/>
  <c r="E770" i="2"/>
  <c r="H770" i="2"/>
  <c r="M770" i="2"/>
  <c r="G770" i="2"/>
  <c r="F770" i="2"/>
  <c r="C771" i="2"/>
  <c r="L770" i="2" l="1"/>
  <c r="J770" i="2"/>
  <c r="K770" i="2" s="1"/>
  <c r="B771" i="2"/>
  <c r="A771" i="2"/>
  <c r="F771" i="2"/>
  <c r="E771" i="2"/>
  <c r="I771" i="2"/>
  <c r="M771" i="2"/>
  <c r="G771" i="2"/>
  <c r="H771" i="2"/>
  <c r="C772" i="2"/>
  <c r="L771" i="2" l="1"/>
  <c r="J771" i="2"/>
  <c r="K771" i="2" s="1"/>
  <c r="B772" i="2"/>
  <c r="A772" i="2"/>
  <c r="H772" i="2"/>
  <c r="E772" i="2"/>
  <c r="F772" i="2"/>
  <c r="I772" i="2"/>
  <c r="M772" i="2"/>
  <c r="G772" i="2"/>
  <c r="C773" i="2"/>
  <c r="L772" i="2" l="1"/>
  <c r="J772" i="2"/>
  <c r="K772" i="2" s="1"/>
  <c r="B773" i="2"/>
  <c r="A773" i="2"/>
  <c r="E773" i="2"/>
  <c r="I773" i="2"/>
  <c r="M773" i="2"/>
  <c r="H773" i="2"/>
  <c r="G773" i="2"/>
  <c r="F773" i="2"/>
  <c r="C774" i="2"/>
  <c r="L773" i="2" l="1"/>
  <c r="J773" i="2"/>
  <c r="K773" i="2" s="1"/>
  <c r="B774" i="2"/>
  <c r="A774" i="2"/>
  <c r="H774" i="2"/>
  <c r="I774" i="2"/>
  <c r="G774" i="2"/>
  <c r="F774" i="2"/>
  <c r="M774" i="2"/>
  <c r="E774" i="2"/>
  <c r="C775" i="2"/>
  <c r="L774" i="2" l="1"/>
  <c r="J774" i="2"/>
  <c r="K774" i="2" s="1"/>
  <c r="A775" i="2"/>
  <c r="B775" i="2"/>
  <c r="F775" i="2"/>
  <c r="G775" i="2"/>
  <c r="E775" i="2"/>
  <c r="H775" i="2"/>
  <c r="I775" i="2"/>
  <c r="M775" i="2"/>
  <c r="C776" i="2"/>
  <c r="L775" i="2" l="1"/>
  <c r="J775" i="2"/>
  <c r="K775" i="2" s="1"/>
  <c r="B776" i="2"/>
  <c r="A776" i="2"/>
  <c r="G776" i="2"/>
  <c r="M776" i="2"/>
  <c r="I776" i="2"/>
  <c r="H776" i="2"/>
  <c r="E776" i="2"/>
  <c r="F776" i="2"/>
  <c r="C777" i="2"/>
  <c r="L776" i="2" l="1"/>
  <c r="J776" i="2"/>
  <c r="K776" i="2" s="1"/>
  <c r="B777" i="2"/>
  <c r="A777" i="2"/>
  <c r="H777" i="2"/>
  <c r="M777" i="2"/>
  <c r="G777" i="2"/>
  <c r="F777" i="2"/>
  <c r="I777" i="2"/>
  <c r="E777" i="2"/>
  <c r="C778" i="2"/>
  <c r="L777" i="2" l="1"/>
  <c r="J777" i="2"/>
  <c r="K777" i="2" s="1"/>
  <c r="B778" i="2"/>
  <c r="A778" i="2"/>
  <c r="M778" i="2"/>
  <c r="I778" i="2"/>
  <c r="H778" i="2"/>
  <c r="F778" i="2"/>
  <c r="E778" i="2"/>
  <c r="G778" i="2"/>
  <c r="C779" i="2"/>
  <c r="L778" i="2" l="1"/>
  <c r="J778" i="2"/>
  <c r="K778" i="2" s="1"/>
  <c r="B779" i="2"/>
  <c r="A779" i="2"/>
  <c r="H779" i="2"/>
  <c r="I779" i="2"/>
  <c r="E779" i="2"/>
  <c r="M779" i="2"/>
  <c r="F779" i="2"/>
  <c r="G779" i="2"/>
  <c r="C780" i="2"/>
  <c r="L779" i="2" l="1"/>
  <c r="J779" i="2"/>
  <c r="K779" i="2" s="1"/>
  <c r="B780" i="2"/>
  <c r="A780" i="2"/>
  <c r="F780" i="2"/>
  <c r="E780" i="2"/>
  <c r="M780" i="2"/>
  <c r="G780" i="2"/>
  <c r="I780" i="2"/>
  <c r="H780" i="2"/>
  <c r="C781" i="2"/>
  <c r="L780" i="2" l="1"/>
  <c r="J780" i="2"/>
  <c r="K780" i="2" s="1"/>
  <c r="B781" i="2"/>
  <c r="A781" i="2"/>
  <c r="M781" i="2"/>
  <c r="F781" i="2"/>
  <c r="G781" i="2"/>
  <c r="E781" i="2"/>
  <c r="H781" i="2"/>
  <c r="I781" i="2"/>
  <c r="C782" i="2"/>
  <c r="L781" i="2" l="1"/>
  <c r="J781" i="2"/>
  <c r="K781" i="2" s="1"/>
  <c r="B782" i="2"/>
  <c r="A782" i="2"/>
  <c r="F782" i="2"/>
  <c r="E782" i="2"/>
  <c r="G782" i="2"/>
  <c r="M782" i="2"/>
  <c r="I782" i="2"/>
  <c r="H782" i="2"/>
  <c r="C783" i="2"/>
  <c r="L782" i="2" l="1"/>
  <c r="J782" i="2"/>
  <c r="K782" i="2" s="1"/>
  <c r="B783" i="2"/>
  <c r="A783" i="2"/>
  <c r="I783" i="2"/>
  <c r="M783" i="2"/>
  <c r="E783" i="2"/>
  <c r="G783" i="2"/>
  <c r="F783" i="2"/>
  <c r="H783" i="2"/>
  <c r="C784" i="2"/>
  <c r="L783" i="2" l="1"/>
  <c r="J783" i="2"/>
  <c r="K783" i="2" s="1"/>
  <c r="B784" i="2"/>
  <c r="A784" i="2"/>
  <c r="E784" i="2"/>
  <c r="I784" i="2"/>
  <c r="F784" i="2"/>
  <c r="G784" i="2"/>
  <c r="H784" i="2"/>
  <c r="M784" i="2"/>
  <c r="C785" i="2"/>
  <c r="L784" i="2" l="1"/>
  <c r="J784" i="2"/>
  <c r="K784" i="2" s="1"/>
  <c r="A785" i="2"/>
  <c r="B785" i="2"/>
  <c r="I785" i="2"/>
  <c r="G785" i="2"/>
  <c r="M785" i="2"/>
  <c r="F785" i="2"/>
  <c r="E785" i="2"/>
  <c r="H785" i="2"/>
  <c r="C786" i="2"/>
  <c r="L785" i="2" l="1"/>
  <c r="J785" i="2"/>
  <c r="K785" i="2" s="1"/>
  <c r="B786" i="2"/>
  <c r="A786" i="2"/>
  <c r="G786" i="2"/>
  <c r="E786" i="2"/>
  <c r="I786" i="2"/>
  <c r="H786" i="2"/>
  <c r="F786" i="2"/>
  <c r="M786" i="2"/>
  <c r="C787" i="2"/>
  <c r="L786" i="2" l="1"/>
  <c r="J786" i="2"/>
  <c r="K786" i="2" s="1"/>
  <c r="B787" i="2"/>
  <c r="A787" i="2"/>
  <c r="E787" i="2"/>
  <c r="M787" i="2"/>
  <c r="H787" i="2"/>
  <c r="F787" i="2"/>
  <c r="G787" i="2"/>
  <c r="I787" i="2"/>
  <c r="C788" i="2"/>
  <c r="L787" i="2" l="1"/>
  <c r="J787" i="2"/>
  <c r="K787" i="2" s="1"/>
  <c r="B788" i="2"/>
  <c r="A788" i="2"/>
  <c r="G788" i="2"/>
  <c r="I788" i="2"/>
  <c r="F788" i="2"/>
  <c r="M788" i="2"/>
  <c r="H788" i="2"/>
  <c r="E788" i="2"/>
  <c r="C789" i="2"/>
  <c r="L788" i="2" l="1"/>
  <c r="J788" i="2"/>
  <c r="K788" i="2" s="1"/>
  <c r="B789" i="2"/>
  <c r="A789" i="2"/>
  <c r="G789" i="2"/>
  <c r="M789" i="2"/>
  <c r="E789" i="2"/>
  <c r="I789" i="2"/>
  <c r="F789" i="2"/>
  <c r="H789" i="2"/>
  <c r="C790" i="2"/>
  <c r="L789" i="2" l="1"/>
  <c r="J789" i="2"/>
  <c r="K789" i="2" s="1"/>
  <c r="B790" i="2"/>
  <c r="A790" i="2"/>
  <c r="I790" i="2"/>
  <c r="H790" i="2"/>
  <c r="E790" i="2"/>
  <c r="F790" i="2"/>
  <c r="M790" i="2"/>
  <c r="G790" i="2"/>
  <c r="C791" i="2"/>
  <c r="L790" i="2" l="1"/>
  <c r="J790" i="2"/>
  <c r="K790" i="2" s="1"/>
  <c r="A791" i="2"/>
  <c r="B791" i="2"/>
  <c r="M791" i="2"/>
  <c r="G791" i="2"/>
  <c r="E791" i="2"/>
  <c r="I791" i="2"/>
  <c r="F791" i="2"/>
  <c r="H791" i="2"/>
  <c r="C792" i="2"/>
  <c r="L791" i="2" l="1"/>
  <c r="J791" i="2"/>
  <c r="K791" i="2" s="1"/>
  <c r="B792" i="2"/>
  <c r="A792" i="2"/>
  <c r="H792" i="2"/>
  <c r="I792" i="2"/>
  <c r="F792" i="2"/>
  <c r="M792" i="2"/>
  <c r="E792" i="2"/>
  <c r="G792" i="2"/>
  <c r="C793" i="2"/>
  <c r="L792" i="2" l="1"/>
  <c r="J792" i="2"/>
  <c r="K792" i="2" s="1"/>
  <c r="B793" i="2"/>
  <c r="A793" i="2"/>
  <c r="E793" i="2"/>
  <c r="I793" i="2"/>
  <c r="G793" i="2"/>
  <c r="F793" i="2"/>
  <c r="H793" i="2"/>
  <c r="M793" i="2"/>
  <c r="C794" i="2"/>
  <c r="L793" i="2" l="1"/>
  <c r="J793" i="2"/>
  <c r="K793" i="2" s="1"/>
  <c r="B794" i="2"/>
  <c r="A794" i="2"/>
  <c r="H794" i="2"/>
  <c r="E794" i="2"/>
  <c r="G794" i="2"/>
  <c r="M794" i="2"/>
  <c r="F794" i="2"/>
  <c r="I794" i="2"/>
  <c r="C795" i="2"/>
  <c r="L794" i="2" l="1"/>
  <c r="J794" i="2"/>
  <c r="K794" i="2" s="1"/>
  <c r="B795" i="2"/>
  <c r="A795" i="2"/>
  <c r="H795" i="2"/>
  <c r="F795" i="2"/>
  <c r="I795" i="2"/>
  <c r="E795" i="2"/>
  <c r="M795" i="2"/>
  <c r="G795" i="2"/>
  <c r="C796" i="2"/>
  <c r="L795" i="2" l="1"/>
  <c r="J795" i="2"/>
  <c r="K795" i="2" s="1"/>
  <c r="B796" i="2"/>
  <c r="A796" i="2"/>
  <c r="M796" i="2"/>
  <c r="H796" i="2"/>
  <c r="G796" i="2"/>
  <c r="E796" i="2"/>
  <c r="I796" i="2"/>
  <c r="F796" i="2"/>
  <c r="C797" i="2"/>
  <c r="L796" i="2" l="1"/>
  <c r="J796" i="2"/>
  <c r="K796" i="2" s="1"/>
  <c r="B797" i="2"/>
  <c r="A797" i="2"/>
  <c r="I797" i="2"/>
  <c r="H797" i="2"/>
  <c r="E747" i="2"/>
  <c r="F797" i="2"/>
  <c r="G797" i="2"/>
  <c r="E797" i="2"/>
  <c r="M797" i="2"/>
  <c r="C798" i="2"/>
  <c r="L747" i="2" l="1"/>
  <c r="L797" i="2"/>
  <c r="J797" i="2"/>
  <c r="K797" i="2" s="1"/>
  <c r="B798" i="2"/>
  <c r="A798" i="2"/>
  <c r="I798" i="2"/>
  <c r="E798" i="2"/>
  <c r="H798" i="2"/>
  <c r="F798" i="2"/>
  <c r="E748" i="2"/>
  <c r="M798" i="2"/>
  <c r="G798" i="2"/>
  <c r="C799" i="2"/>
  <c r="L748" i="2" l="1"/>
  <c r="L798" i="2"/>
  <c r="J798" i="2"/>
  <c r="K798" i="2" s="1"/>
  <c r="B799" i="2"/>
  <c r="A799" i="2"/>
  <c r="H799" i="2"/>
  <c r="I799" i="2"/>
  <c r="E749" i="2"/>
  <c r="M799" i="2"/>
  <c r="E799" i="2"/>
  <c r="F799" i="2"/>
  <c r="G799" i="2"/>
  <c r="C800" i="2"/>
  <c r="L799" i="2" l="1"/>
  <c r="L749" i="2"/>
  <c r="J799" i="2"/>
  <c r="K799" i="2" s="1"/>
  <c r="B800" i="2"/>
  <c r="A800" i="2"/>
  <c r="M800" i="2"/>
  <c r="G800" i="2"/>
  <c r="I800" i="2"/>
  <c r="E800" i="2"/>
  <c r="F800" i="2"/>
  <c r="H800" i="2"/>
  <c r="E750" i="2"/>
  <c r="C801" i="2"/>
  <c r="L800" i="2" l="1"/>
  <c r="L750" i="2"/>
  <c r="J800" i="2"/>
  <c r="K800" i="2" s="1"/>
  <c r="A801" i="2"/>
  <c r="B801" i="2"/>
  <c r="E801" i="2"/>
  <c r="G801" i="2"/>
  <c r="E751" i="2"/>
  <c r="F801" i="2"/>
  <c r="I801" i="2"/>
  <c r="H801" i="2"/>
  <c r="M801" i="2"/>
  <c r="C802" i="2"/>
  <c r="L801" i="2" l="1"/>
  <c r="L751" i="2"/>
  <c r="J801" i="2"/>
  <c r="K801" i="2" s="1"/>
  <c r="B802" i="2"/>
  <c r="A802" i="2"/>
  <c r="H802" i="2"/>
  <c r="M802" i="2"/>
  <c r="E802" i="2"/>
  <c r="G802" i="2"/>
  <c r="F802" i="2"/>
  <c r="E738" i="2"/>
  <c r="I802" i="2"/>
  <c r="C803" i="2"/>
  <c r="L802" i="2" l="1"/>
  <c r="L738" i="2"/>
  <c r="J802" i="2"/>
  <c r="K802" i="2" s="1"/>
  <c r="B803" i="2"/>
  <c r="A803" i="2"/>
  <c r="I803" i="2"/>
  <c r="E803" i="2"/>
  <c r="E739" i="2"/>
  <c r="G803" i="2"/>
  <c r="F803" i="2"/>
  <c r="M803" i="2"/>
  <c r="H803" i="2"/>
  <c r="C804" i="2"/>
  <c r="L803" i="2" l="1"/>
  <c r="L739" i="2"/>
  <c r="J803" i="2"/>
  <c r="K803" i="2" s="1"/>
  <c r="B804" i="2"/>
  <c r="A804" i="2"/>
  <c r="F804" i="2"/>
  <c r="G804" i="2"/>
  <c r="I804" i="2"/>
  <c r="E804" i="2"/>
  <c r="H804" i="2"/>
  <c r="M804" i="2"/>
  <c r="E740" i="2"/>
  <c r="C805" i="2"/>
  <c r="L804" i="2" l="1"/>
  <c r="L740" i="2"/>
  <c r="D804" i="2"/>
  <c r="J804" i="2"/>
  <c r="K804" i="2" s="1"/>
  <c r="B805" i="2"/>
  <c r="A805" i="2"/>
  <c r="M805" i="2"/>
  <c r="G805" i="2"/>
  <c r="F805" i="2"/>
  <c r="H805" i="2"/>
  <c r="E805" i="2"/>
  <c r="E741" i="2"/>
  <c r="C806" i="2"/>
  <c r="I805" i="2"/>
  <c r="L805" i="2" l="1"/>
  <c r="L741" i="2"/>
  <c r="J805" i="2"/>
  <c r="K805" i="2" s="1"/>
  <c r="D805" i="2"/>
  <c r="B806" i="2"/>
  <c r="A806" i="2"/>
  <c r="G806" i="2"/>
  <c r="M806" i="2"/>
  <c r="F806" i="2"/>
  <c r="I806" i="2"/>
  <c r="E806" i="2"/>
  <c r="E742" i="2"/>
  <c r="H806" i="2"/>
  <c r="C807" i="2"/>
  <c r="L806" i="2" l="1"/>
  <c r="L742" i="2"/>
  <c r="J806" i="2"/>
  <c r="K806" i="2" s="1"/>
  <c r="D806" i="2"/>
  <c r="A807" i="2"/>
  <c r="B807" i="2"/>
  <c r="M807" i="2"/>
  <c r="G807" i="2"/>
  <c r="E743" i="2"/>
  <c r="E807" i="2"/>
  <c r="F807" i="2"/>
  <c r="H807" i="2"/>
  <c r="I807" i="2"/>
  <c r="C808" i="2"/>
  <c r="L743" i="2" l="1"/>
  <c r="L807" i="2"/>
  <c r="J807" i="2"/>
  <c r="K807" i="2" s="1"/>
  <c r="D807" i="2"/>
  <c r="B808" i="2"/>
  <c r="A808" i="2"/>
  <c r="E808" i="2"/>
  <c r="M808" i="2"/>
  <c r="I808" i="2"/>
  <c r="H808" i="2"/>
  <c r="G808" i="2"/>
  <c r="E744" i="2"/>
  <c r="F808" i="2"/>
  <c r="C809" i="2"/>
  <c r="L808" i="2" l="1"/>
  <c r="L744" i="2"/>
  <c r="D808" i="2"/>
  <c r="J808" i="2"/>
  <c r="K808" i="2" s="1"/>
  <c r="B809" i="2"/>
  <c r="A809" i="2"/>
  <c r="E745" i="2"/>
  <c r="M809" i="2"/>
  <c r="C810" i="2"/>
  <c r="G809" i="2"/>
  <c r="H809" i="2"/>
  <c r="E809" i="2"/>
  <c r="F809" i="2"/>
  <c r="I809" i="2"/>
  <c r="L809" i="2" l="1"/>
  <c r="L745" i="2"/>
  <c r="D809" i="2"/>
  <c r="J809" i="2"/>
  <c r="K809" i="2" s="1"/>
  <c r="B810" i="2"/>
  <c r="A810" i="2"/>
  <c r="M810" i="2"/>
  <c r="I810" i="2"/>
  <c r="F810" i="2"/>
  <c r="E746" i="2"/>
  <c r="H810" i="2"/>
  <c r="E810" i="2"/>
  <c r="G810" i="2"/>
  <c r="C811" i="2"/>
  <c r="L746" i="2" l="1"/>
  <c r="L810" i="2"/>
  <c r="D810" i="2"/>
  <c r="J810" i="2"/>
  <c r="K810" i="2" s="1"/>
  <c r="A811" i="2"/>
  <c r="B811" i="2"/>
  <c r="E727" i="2"/>
  <c r="M811" i="2"/>
  <c r="G811" i="2"/>
  <c r="F811" i="2"/>
  <c r="H811" i="2"/>
  <c r="E811" i="2"/>
  <c r="I811" i="2"/>
  <c r="C812" i="2"/>
  <c r="L811" i="2" l="1"/>
  <c r="L727" i="2"/>
  <c r="J811" i="2"/>
  <c r="K811" i="2" s="1"/>
  <c r="D811" i="2"/>
  <c r="B812" i="2"/>
  <c r="A812" i="2"/>
  <c r="M812" i="2"/>
  <c r="E812" i="2"/>
  <c r="G812" i="2"/>
  <c r="E728" i="2"/>
  <c r="C813" i="2"/>
  <c r="F812" i="2"/>
  <c r="H812" i="2"/>
  <c r="I812" i="2"/>
  <c r="L728" i="2" l="1"/>
  <c r="L812" i="2"/>
  <c r="D812" i="2"/>
  <c r="J812" i="2"/>
  <c r="K812" i="2" s="1"/>
  <c r="B813" i="2"/>
  <c r="A813" i="2"/>
  <c r="M813" i="2"/>
  <c r="G813" i="2"/>
  <c r="F813" i="2"/>
  <c r="E813" i="2"/>
  <c r="I813" i="2"/>
  <c r="E729" i="2"/>
  <c r="H813" i="2"/>
  <c r="C814" i="2"/>
  <c r="L729" i="2" l="1"/>
  <c r="L813" i="2"/>
  <c r="D813" i="2"/>
  <c r="J813" i="2"/>
  <c r="K813" i="2" s="1"/>
  <c r="B814" i="2"/>
  <c r="A814" i="2"/>
  <c r="H814" i="2"/>
  <c r="F814" i="2"/>
  <c r="I814" i="2"/>
  <c r="M814" i="2"/>
  <c r="G814" i="2"/>
  <c r="E730" i="2"/>
  <c r="E814" i="2"/>
  <c r="C815" i="2"/>
  <c r="L730" i="2" l="1"/>
  <c r="L814" i="2"/>
  <c r="J814" i="2"/>
  <c r="K814" i="2" s="1"/>
  <c r="D814" i="2"/>
  <c r="B815" i="2"/>
  <c r="A815" i="2"/>
  <c r="I815" i="2"/>
  <c r="F815" i="2"/>
  <c r="M815" i="2"/>
  <c r="E731" i="2"/>
  <c r="E815" i="2"/>
  <c r="G815" i="2"/>
  <c r="H815" i="2"/>
  <c r="C816" i="2"/>
  <c r="L731" i="2" l="1"/>
  <c r="L815" i="2"/>
  <c r="D815" i="2"/>
  <c r="J815" i="2"/>
  <c r="K815" i="2" s="1"/>
  <c r="B816" i="2"/>
  <c r="A816" i="2"/>
  <c r="G816" i="2"/>
  <c r="I816" i="2"/>
  <c r="M816" i="2"/>
  <c r="E732" i="2"/>
  <c r="E816" i="2"/>
  <c r="F816" i="2"/>
  <c r="H816" i="2"/>
  <c r="C817" i="2"/>
  <c r="L732" i="2" l="1"/>
  <c r="L816" i="2"/>
  <c r="D816" i="2"/>
  <c r="J816" i="2"/>
  <c r="K816" i="2" s="1"/>
  <c r="A817" i="2"/>
  <c r="B817" i="2"/>
  <c r="G817" i="2"/>
  <c r="M817" i="2"/>
  <c r="F817" i="2"/>
  <c r="I817" i="2"/>
  <c r="H817" i="2"/>
  <c r="E733" i="2"/>
  <c r="E817" i="2"/>
  <c r="C818" i="2"/>
  <c r="L733" i="2" l="1"/>
  <c r="L817" i="2"/>
  <c r="D817" i="2"/>
  <c r="J817" i="2"/>
  <c r="K817" i="2" s="1"/>
  <c r="B818" i="2"/>
  <c r="A818" i="2"/>
  <c r="D733" i="2"/>
  <c r="M818" i="2"/>
  <c r="I818" i="2"/>
  <c r="E734" i="2"/>
  <c r="F818" i="2"/>
  <c r="E818" i="2"/>
  <c r="C819" i="2"/>
  <c r="H818" i="2"/>
  <c r="G818" i="2"/>
  <c r="L734" i="2" l="1"/>
  <c r="L818" i="2"/>
  <c r="J818" i="2"/>
  <c r="K818" i="2" s="1"/>
  <c r="D818" i="2"/>
  <c r="B819" i="2"/>
  <c r="A819" i="2"/>
  <c r="D734" i="2"/>
  <c r="E735" i="2"/>
  <c r="E819" i="2"/>
  <c r="G819" i="2"/>
  <c r="F819" i="2"/>
  <c r="M819" i="2"/>
  <c r="H819" i="2"/>
  <c r="I819" i="2"/>
  <c r="C820" i="2"/>
  <c r="L819" i="2" l="1"/>
  <c r="L735" i="2"/>
  <c r="D819" i="2"/>
  <c r="J819" i="2"/>
  <c r="K819" i="2" s="1"/>
  <c r="B820" i="2"/>
  <c r="A820" i="2"/>
  <c r="D735" i="2"/>
  <c r="I820" i="2"/>
  <c r="H820" i="2"/>
  <c r="E820" i="2"/>
  <c r="C821" i="2"/>
  <c r="E736" i="2"/>
  <c r="F820" i="2"/>
  <c r="G820" i="2"/>
  <c r="M820" i="2"/>
  <c r="L820" i="2" l="1"/>
  <c r="L736" i="2"/>
  <c r="D820" i="2"/>
  <c r="J820" i="2"/>
  <c r="K820" i="2" s="1"/>
  <c r="B821" i="2"/>
  <c r="A821" i="2"/>
  <c r="D736" i="2"/>
  <c r="E737" i="2"/>
  <c r="E821" i="2"/>
  <c r="G821" i="2"/>
  <c r="C822" i="2"/>
  <c r="M821" i="2"/>
  <c r="F821" i="2"/>
  <c r="I821" i="2"/>
  <c r="H821" i="2"/>
  <c r="L737" i="2" l="1"/>
  <c r="L821" i="2"/>
  <c r="J821" i="2"/>
  <c r="K821" i="2" s="1"/>
  <c r="D821" i="2"/>
  <c r="B822" i="2"/>
  <c r="A822" i="2"/>
  <c r="D737" i="2"/>
  <c r="D738" i="2" s="1"/>
  <c r="D739" i="2" s="1"/>
  <c r="D740" i="2" s="1"/>
  <c r="D741" i="2" s="1"/>
  <c r="D742" i="2" s="1"/>
  <c r="D743" i="2" s="1"/>
  <c r="D744" i="2" s="1"/>
  <c r="D745" i="2" s="1"/>
  <c r="D746" i="2" s="1"/>
  <c r="D747" i="2" s="1"/>
  <c r="D748" i="2" s="1"/>
  <c r="D749" i="2" s="1"/>
  <c r="D750" i="2" s="1"/>
  <c r="D751" i="2" s="1"/>
  <c r="D752" i="2" s="1"/>
  <c r="D753" i="2" s="1"/>
  <c r="D754" i="2" s="1"/>
  <c r="D755" i="2" s="1"/>
  <c r="D756" i="2" s="1"/>
  <c r="D757" i="2" s="1"/>
  <c r="D758" i="2" s="1"/>
  <c r="D759" i="2" s="1"/>
  <c r="D760" i="2" s="1"/>
  <c r="D761" i="2" s="1"/>
  <c r="D762" i="2" s="1"/>
  <c r="D763" i="2" s="1"/>
  <c r="D764" i="2" s="1"/>
  <c r="D765" i="2" s="1"/>
  <c r="G822" i="2"/>
  <c r="M822" i="2"/>
  <c r="I822" i="2"/>
  <c r="H822" i="2"/>
  <c r="F822" i="2"/>
  <c r="E822" i="2"/>
  <c r="C823" i="2"/>
  <c r="L822" i="2" l="1"/>
  <c r="D822" i="2"/>
  <c r="J822" i="2"/>
  <c r="K822" i="2" s="1"/>
  <c r="A823" i="2"/>
  <c r="B823" i="2"/>
  <c r="G823" i="2"/>
  <c r="I823" i="2"/>
  <c r="F823" i="2"/>
  <c r="H823" i="2"/>
  <c r="E823" i="2"/>
  <c r="M823" i="2"/>
  <c r="C824" i="2"/>
  <c r="L823" i="2" l="1"/>
  <c r="D823" i="2"/>
  <c r="J823" i="2"/>
  <c r="K823" i="2" s="1"/>
  <c r="B824" i="2"/>
  <c r="A824" i="2"/>
  <c r="G824" i="2"/>
  <c r="I824" i="2"/>
  <c r="M824" i="2"/>
  <c r="F824" i="2"/>
  <c r="E824" i="2"/>
  <c r="H824" i="2"/>
  <c r="C825" i="2"/>
  <c r="L824" i="2" l="1"/>
  <c r="J824" i="2"/>
  <c r="K824" i="2" s="1"/>
  <c r="D824" i="2"/>
  <c r="B825" i="2"/>
  <c r="A825" i="2"/>
  <c r="I825" i="2"/>
  <c r="H825" i="2"/>
  <c r="F825" i="2"/>
  <c r="E825" i="2"/>
  <c r="G825" i="2"/>
  <c r="M825" i="2"/>
  <c r="C826" i="2"/>
  <c r="L825" i="2" l="1"/>
  <c r="D825" i="2"/>
  <c r="J825" i="2"/>
  <c r="K825" i="2" s="1"/>
  <c r="B826" i="2"/>
  <c r="A826" i="2"/>
  <c r="G826" i="2"/>
  <c r="H826" i="2"/>
  <c r="E826" i="2"/>
  <c r="M826" i="2"/>
  <c r="I826" i="2"/>
  <c r="F826" i="2"/>
  <c r="C827" i="2"/>
  <c r="L826" i="2" l="1"/>
  <c r="D826" i="2"/>
  <c r="J826" i="2"/>
  <c r="K826" i="2" s="1"/>
  <c r="B827" i="2"/>
  <c r="A827" i="2"/>
  <c r="H827" i="2"/>
  <c r="G827" i="2"/>
  <c r="F827" i="2"/>
  <c r="I827" i="2"/>
  <c r="M827" i="2"/>
  <c r="E827" i="2"/>
  <c r="C828" i="2"/>
  <c r="L827" i="2" l="1"/>
  <c r="J827" i="2"/>
  <c r="K827" i="2" s="1"/>
  <c r="D827" i="2"/>
  <c r="B828" i="2"/>
  <c r="A828" i="2"/>
  <c r="G828" i="2"/>
  <c r="F828" i="2"/>
  <c r="M828" i="2"/>
  <c r="I828" i="2"/>
  <c r="E828" i="2"/>
  <c r="H828" i="2"/>
  <c r="C829" i="2"/>
  <c r="L828" i="2" l="1"/>
  <c r="J828" i="2"/>
  <c r="K828" i="2" s="1"/>
  <c r="D828" i="2"/>
  <c r="B829" i="2"/>
  <c r="A829" i="2"/>
  <c r="E829" i="2"/>
  <c r="I829" i="2"/>
  <c r="F829" i="2"/>
  <c r="M829" i="2"/>
  <c r="G829" i="2"/>
  <c r="H829" i="2"/>
  <c r="C830" i="2"/>
  <c r="L829" i="2" l="1"/>
  <c r="D829" i="2"/>
  <c r="J829" i="2"/>
  <c r="K829" i="2" s="1"/>
  <c r="B830" i="2"/>
  <c r="A830" i="2"/>
  <c r="E830" i="2"/>
  <c r="H830" i="2"/>
  <c r="G830" i="2"/>
  <c r="I830" i="2"/>
  <c r="M830" i="2"/>
  <c r="F830" i="2"/>
  <c r="C831" i="2"/>
  <c r="L830" i="2" l="1"/>
  <c r="J830" i="2"/>
  <c r="K830" i="2" s="1"/>
  <c r="D830" i="2"/>
  <c r="B831" i="2"/>
  <c r="A831" i="2"/>
  <c r="G831" i="2"/>
  <c r="H831" i="2"/>
  <c r="I831" i="2"/>
  <c r="M831" i="2"/>
  <c r="E831" i="2"/>
  <c r="F831" i="2"/>
  <c r="C832" i="2"/>
  <c r="L831" i="2" l="1"/>
  <c r="J831" i="2"/>
  <c r="K831" i="2" s="1"/>
  <c r="D831" i="2"/>
  <c r="B832" i="2"/>
  <c r="A832" i="2"/>
  <c r="H832" i="2"/>
  <c r="G832" i="2"/>
  <c r="F832" i="2"/>
  <c r="M832" i="2"/>
  <c r="I832" i="2"/>
  <c r="C833" i="2"/>
  <c r="J832" i="2" l="1"/>
  <c r="K832" i="2" s="1"/>
  <c r="A833" i="2"/>
  <c r="B833" i="2"/>
  <c r="I833" i="2"/>
  <c r="M833" i="2"/>
  <c r="H833" i="2"/>
  <c r="G833" i="2"/>
  <c r="F833" i="2"/>
  <c r="C834" i="2"/>
  <c r="J833" i="2" l="1"/>
  <c r="K833" i="2" s="1"/>
  <c r="B834" i="2"/>
  <c r="A834" i="2"/>
  <c r="H834" i="2"/>
  <c r="F834" i="2"/>
  <c r="G834" i="2"/>
  <c r="I834" i="2"/>
  <c r="M834" i="2"/>
  <c r="C835" i="2"/>
  <c r="J834" i="2" l="1"/>
  <c r="K834" i="2" s="1"/>
  <c r="B835" i="2"/>
  <c r="A835" i="2"/>
  <c r="G835" i="2"/>
  <c r="M835" i="2"/>
  <c r="H835" i="2"/>
  <c r="F835" i="2"/>
  <c r="I835" i="2"/>
  <c r="C836" i="2"/>
  <c r="J835" i="2" l="1"/>
  <c r="K835" i="2" s="1"/>
  <c r="B836" i="2"/>
  <c r="A836" i="2"/>
  <c r="F836" i="2"/>
  <c r="E836" i="2"/>
  <c r="G836" i="2"/>
  <c r="H836" i="2"/>
  <c r="M836" i="2"/>
  <c r="I836" i="2"/>
  <c r="C837" i="2"/>
  <c r="L836" i="2" l="1"/>
  <c r="J836" i="2"/>
  <c r="K836" i="2" s="1"/>
  <c r="B837" i="2"/>
  <c r="A837" i="2"/>
  <c r="E837" i="2"/>
  <c r="G837" i="2"/>
  <c r="M837" i="2"/>
  <c r="F837" i="2"/>
  <c r="I837" i="2"/>
  <c r="H837" i="2"/>
  <c r="C838" i="2"/>
  <c r="L837" i="2" l="1"/>
  <c r="J837" i="2"/>
  <c r="K837" i="2" s="1"/>
  <c r="B838" i="2"/>
  <c r="A838" i="2"/>
  <c r="H838" i="2"/>
  <c r="I838" i="2"/>
  <c r="M838" i="2"/>
  <c r="E838" i="2"/>
  <c r="F838" i="2"/>
  <c r="G838" i="2"/>
  <c r="C839" i="2"/>
  <c r="L838" i="2" l="1"/>
  <c r="J838" i="2"/>
  <c r="K838" i="2" s="1"/>
  <c r="A839" i="2"/>
  <c r="B839" i="2"/>
  <c r="M839" i="2"/>
  <c r="G839" i="2"/>
  <c r="H839" i="2"/>
  <c r="I839" i="2"/>
  <c r="E839" i="2"/>
  <c r="F839" i="2"/>
  <c r="C840" i="2"/>
  <c r="L839" i="2" l="1"/>
  <c r="J839" i="2"/>
  <c r="K839" i="2" s="1"/>
  <c r="B840" i="2"/>
  <c r="A840" i="2"/>
  <c r="F840" i="2"/>
  <c r="H840" i="2"/>
  <c r="I840" i="2"/>
  <c r="M840" i="2"/>
  <c r="G840" i="2"/>
  <c r="E840" i="2"/>
  <c r="C841" i="2"/>
  <c r="L840" i="2" l="1"/>
  <c r="J840" i="2"/>
  <c r="K840" i="2" s="1"/>
  <c r="B841" i="2"/>
  <c r="A841" i="2"/>
  <c r="I841" i="2"/>
  <c r="G841" i="2"/>
  <c r="M841" i="2"/>
  <c r="E841" i="2"/>
  <c r="F841" i="2"/>
  <c r="H841" i="2"/>
  <c r="C842" i="2"/>
  <c r="L841" i="2" l="1"/>
  <c r="J841" i="2"/>
  <c r="K841" i="2" s="1"/>
  <c r="B842" i="2"/>
  <c r="A842" i="2"/>
  <c r="H842" i="2"/>
  <c r="F842" i="2"/>
  <c r="I842" i="2"/>
  <c r="G842" i="2"/>
  <c r="E842" i="2"/>
  <c r="M842" i="2"/>
  <c r="C843" i="2"/>
  <c r="L842" i="2" l="1"/>
  <c r="J842" i="2"/>
  <c r="K842" i="2" s="1"/>
  <c r="B843" i="2"/>
  <c r="A843" i="2"/>
  <c r="H843" i="2"/>
  <c r="F843" i="2"/>
  <c r="I843" i="2"/>
  <c r="E843" i="2"/>
  <c r="M843" i="2"/>
  <c r="G843" i="2"/>
  <c r="C844" i="2"/>
  <c r="L843" i="2" l="1"/>
  <c r="J843" i="2"/>
  <c r="K843" i="2" s="1"/>
  <c r="B844" i="2"/>
  <c r="A844" i="2"/>
  <c r="I844" i="2"/>
  <c r="H844" i="2"/>
  <c r="F844" i="2"/>
  <c r="M844" i="2"/>
  <c r="G844" i="2"/>
  <c r="E844" i="2"/>
  <c r="C845" i="2"/>
  <c r="L844" i="2" l="1"/>
  <c r="J844" i="2"/>
  <c r="K844" i="2" s="1"/>
  <c r="B845" i="2"/>
  <c r="A845" i="2"/>
  <c r="M845" i="2"/>
  <c r="E845" i="2"/>
  <c r="G845" i="2"/>
  <c r="H845" i="2"/>
  <c r="I845" i="2"/>
  <c r="F845" i="2"/>
  <c r="C846" i="2"/>
  <c r="L845" i="2" l="1"/>
  <c r="J845" i="2"/>
  <c r="K845" i="2" s="1"/>
  <c r="B846" i="2"/>
  <c r="A846" i="2"/>
  <c r="H846" i="2"/>
  <c r="G846" i="2"/>
  <c r="E846" i="2"/>
  <c r="M846" i="2"/>
  <c r="F846" i="2"/>
  <c r="I846" i="2"/>
  <c r="C847" i="2"/>
  <c r="L846" i="2" l="1"/>
  <c r="J846" i="2"/>
  <c r="K846" i="2" s="1"/>
  <c r="B847" i="2"/>
  <c r="A847" i="2"/>
  <c r="F847" i="2"/>
  <c r="I847" i="2"/>
  <c r="G847" i="2"/>
  <c r="M847" i="2"/>
  <c r="E847" i="2"/>
  <c r="H847" i="2"/>
  <c r="C848" i="2"/>
  <c r="L847" i="2" l="1"/>
  <c r="J847" i="2"/>
  <c r="K847" i="2" s="1"/>
  <c r="B848" i="2"/>
  <c r="A848" i="2"/>
  <c r="I848" i="2"/>
  <c r="G848" i="2"/>
  <c r="M848" i="2"/>
  <c r="F848" i="2"/>
  <c r="E848" i="2"/>
  <c r="H848" i="2"/>
  <c r="C849" i="2"/>
  <c r="L848" i="2" l="1"/>
  <c r="J848" i="2"/>
  <c r="K848" i="2" s="1"/>
  <c r="A849" i="2"/>
  <c r="B849" i="2"/>
  <c r="E849" i="2"/>
  <c r="H849" i="2"/>
  <c r="G849" i="2"/>
  <c r="I849" i="2"/>
  <c r="F849" i="2"/>
  <c r="M849" i="2"/>
  <c r="C850" i="2"/>
  <c r="L849" i="2" l="1"/>
  <c r="J849" i="2"/>
  <c r="K849" i="2" s="1"/>
  <c r="B850" i="2"/>
  <c r="A850" i="2"/>
  <c r="E697" i="2"/>
  <c r="M850" i="2"/>
  <c r="F850" i="2"/>
  <c r="G850" i="2"/>
  <c r="E850" i="2"/>
  <c r="H850" i="2"/>
  <c r="I850" i="2"/>
  <c r="C851" i="2"/>
  <c r="L850" i="2" l="1"/>
  <c r="L697" i="2"/>
  <c r="J850" i="2"/>
  <c r="K850" i="2" s="1"/>
  <c r="B851" i="2"/>
  <c r="A851" i="2"/>
  <c r="M851" i="2"/>
  <c r="E698" i="2"/>
  <c r="E851" i="2"/>
  <c r="I851" i="2"/>
  <c r="H851" i="2"/>
  <c r="F851" i="2"/>
  <c r="G851" i="2"/>
  <c r="C852" i="2"/>
  <c r="L851" i="2" l="1"/>
  <c r="L698" i="2"/>
  <c r="J851" i="2"/>
  <c r="K851" i="2" s="1"/>
  <c r="B852" i="2"/>
  <c r="A852" i="2"/>
  <c r="I852" i="2"/>
  <c r="F852" i="2"/>
  <c r="G852" i="2"/>
  <c r="E852" i="2"/>
  <c r="M852" i="2"/>
  <c r="E699" i="2"/>
  <c r="H852" i="2"/>
  <c r="C853" i="2"/>
  <c r="L699" i="2" l="1"/>
  <c r="L852" i="2"/>
  <c r="J852" i="2"/>
  <c r="K852" i="2" s="1"/>
  <c r="B853" i="2"/>
  <c r="A853" i="2"/>
  <c r="I853" i="2"/>
  <c r="E700" i="2"/>
  <c r="H853" i="2"/>
  <c r="F853" i="2"/>
  <c r="E853" i="2"/>
  <c r="G853" i="2"/>
  <c r="M853" i="2"/>
  <c r="C854" i="2"/>
  <c r="L700" i="2" l="1"/>
  <c r="L853" i="2"/>
  <c r="J853" i="2"/>
  <c r="K853" i="2" s="1"/>
  <c r="B854" i="2"/>
  <c r="A854" i="2"/>
  <c r="G854" i="2"/>
  <c r="E701" i="2"/>
  <c r="I854" i="2"/>
  <c r="H854" i="2"/>
  <c r="M854" i="2"/>
  <c r="E854" i="2"/>
  <c r="F854" i="2"/>
  <c r="C855" i="2"/>
  <c r="L701" i="2" l="1"/>
  <c r="L854" i="2"/>
  <c r="J854" i="2"/>
  <c r="K854" i="2" s="1"/>
  <c r="A855" i="2"/>
  <c r="B855" i="2"/>
  <c r="H855" i="2"/>
  <c r="E855" i="2"/>
  <c r="M855" i="2"/>
  <c r="F855" i="2"/>
  <c r="G855" i="2"/>
  <c r="I855" i="2"/>
  <c r="E702" i="2"/>
  <c r="C856" i="2"/>
  <c r="L702" i="2" l="1"/>
  <c r="L855" i="2"/>
  <c r="J855" i="2"/>
  <c r="K855" i="2" s="1"/>
  <c r="B856" i="2"/>
  <c r="A856" i="2"/>
  <c r="F856" i="2"/>
  <c r="E703" i="2"/>
  <c r="H856" i="2"/>
  <c r="E856" i="2"/>
  <c r="M856" i="2"/>
  <c r="G856" i="2"/>
  <c r="I856" i="2"/>
  <c r="C857" i="2"/>
  <c r="L703" i="2" l="1"/>
  <c r="L856" i="2"/>
  <c r="J856" i="2"/>
  <c r="K856" i="2" s="1"/>
  <c r="B857" i="2"/>
  <c r="A857" i="2"/>
  <c r="I857" i="2"/>
  <c r="H857" i="2"/>
  <c r="G857" i="2"/>
  <c r="E857" i="2"/>
  <c r="M857" i="2"/>
  <c r="F857" i="2"/>
  <c r="C858" i="2"/>
  <c r="L857" i="2" l="1"/>
  <c r="J857" i="2"/>
  <c r="K857" i="2" s="1"/>
  <c r="B858" i="2"/>
  <c r="A858" i="2"/>
  <c r="H858" i="2"/>
  <c r="G858" i="2"/>
  <c r="M858" i="2"/>
  <c r="F858" i="2"/>
  <c r="E858" i="2"/>
  <c r="I858" i="2"/>
  <c r="C859" i="2"/>
  <c r="L858" i="2" l="1"/>
  <c r="J858" i="2"/>
  <c r="K858" i="2" s="1"/>
  <c r="B859" i="2"/>
  <c r="A859" i="2"/>
  <c r="M859" i="2"/>
  <c r="I859" i="2"/>
  <c r="E859" i="2"/>
  <c r="H859" i="2"/>
  <c r="F859" i="2"/>
  <c r="G859" i="2"/>
  <c r="C860" i="2"/>
  <c r="L859" i="2" l="1"/>
  <c r="J859" i="2"/>
  <c r="K859" i="2" s="1"/>
  <c r="B860" i="2"/>
  <c r="A860" i="2"/>
  <c r="G860" i="2"/>
  <c r="E860" i="2"/>
  <c r="F860" i="2"/>
  <c r="I860" i="2"/>
  <c r="H860" i="2"/>
  <c r="M860" i="2"/>
  <c r="C861" i="2"/>
  <c r="L860" i="2" l="1"/>
  <c r="J860" i="2"/>
  <c r="K860" i="2" s="1"/>
  <c r="B861" i="2"/>
  <c r="A861" i="2"/>
  <c r="G861" i="2"/>
  <c r="M861" i="2"/>
  <c r="H861" i="2"/>
  <c r="I861" i="2"/>
  <c r="F861" i="2"/>
  <c r="E861" i="2"/>
  <c r="C862" i="2"/>
  <c r="L861" i="2" l="1"/>
  <c r="J861" i="2"/>
  <c r="K861" i="2" s="1"/>
  <c r="B862" i="2"/>
  <c r="A862" i="2"/>
  <c r="G862" i="2"/>
  <c r="H862" i="2"/>
  <c r="I862" i="2"/>
  <c r="F862" i="2"/>
  <c r="E862" i="2"/>
  <c r="M862" i="2"/>
  <c r="C863" i="2"/>
  <c r="L862" i="2" l="1"/>
  <c r="J862" i="2"/>
  <c r="K862" i="2" s="1"/>
  <c r="B863" i="2"/>
  <c r="A863" i="2"/>
  <c r="E863" i="2"/>
  <c r="F863" i="2"/>
  <c r="G863" i="2"/>
  <c r="M863" i="2"/>
  <c r="I863" i="2"/>
  <c r="H863" i="2"/>
  <c r="C864" i="2"/>
  <c r="L863" i="2" l="1"/>
  <c r="J863" i="2"/>
  <c r="K863" i="2" s="1"/>
  <c r="B864" i="2"/>
  <c r="A864" i="2"/>
  <c r="E864" i="2"/>
  <c r="H864" i="2"/>
  <c r="G864" i="2"/>
  <c r="I864" i="2"/>
  <c r="F864" i="2"/>
  <c r="M864" i="2"/>
  <c r="C865" i="2"/>
  <c r="L864" i="2" l="1"/>
  <c r="J864" i="2"/>
  <c r="K864" i="2" s="1"/>
  <c r="A865" i="2"/>
  <c r="B865" i="2"/>
  <c r="M865" i="2"/>
  <c r="E865" i="2"/>
  <c r="H865" i="2"/>
  <c r="F865" i="2"/>
  <c r="I865" i="2"/>
  <c r="G865" i="2"/>
  <c r="C866" i="2"/>
  <c r="L865" i="2" l="1"/>
  <c r="J865" i="2"/>
  <c r="K865" i="2" s="1"/>
  <c r="B866" i="2"/>
  <c r="A866" i="2"/>
  <c r="E866" i="2"/>
  <c r="F866" i="2"/>
  <c r="G866" i="2"/>
  <c r="I866" i="2"/>
  <c r="M866" i="2"/>
  <c r="H866" i="2"/>
  <c r="C867" i="2"/>
  <c r="L866" i="2" l="1"/>
  <c r="J866" i="2"/>
  <c r="K866" i="2" s="1"/>
  <c r="B867" i="2"/>
  <c r="A867" i="2"/>
  <c r="F867" i="2"/>
  <c r="G867" i="2"/>
  <c r="E867" i="2"/>
  <c r="I867" i="2"/>
  <c r="M867" i="2"/>
  <c r="H867" i="2"/>
  <c r="C868" i="2"/>
  <c r="L867" i="2" l="1"/>
  <c r="J867" i="2"/>
  <c r="K867" i="2" s="1"/>
  <c r="B868" i="2"/>
  <c r="A868" i="2"/>
  <c r="H868" i="2"/>
  <c r="F868" i="2"/>
  <c r="I868" i="2"/>
  <c r="M868" i="2"/>
  <c r="E868" i="2"/>
  <c r="G868" i="2"/>
  <c r="C869" i="2"/>
  <c r="L868" i="2" l="1"/>
  <c r="J868" i="2"/>
  <c r="K868" i="2" s="1"/>
  <c r="B869" i="2"/>
  <c r="A869" i="2"/>
  <c r="E869" i="2"/>
  <c r="I869" i="2"/>
  <c r="F869" i="2"/>
  <c r="G869" i="2"/>
  <c r="H869" i="2"/>
  <c r="M869" i="2"/>
  <c r="C870" i="2"/>
  <c r="L869" i="2" l="1"/>
  <c r="J869" i="2"/>
  <c r="K869" i="2" s="1"/>
  <c r="B870" i="2"/>
  <c r="A870" i="2"/>
  <c r="E870" i="2"/>
  <c r="I870" i="2"/>
  <c r="F870" i="2"/>
  <c r="H870" i="2"/>
  <c r="M870" i="2"/>
  <c r="G870" i="2"/>
  <c r="C871" i="2"/>
  <c r="L870" i="2" l="1"/>
  <c r="J870" i="2"/>
  <c r="K870" i="2" s="1"/>
  <c r="A871" i="2"/>
  <c r="B871" i="2"/>
  <c r="I871" i="2"/>
  <c r="H871" i="2"/>
  <c r="F871" i="2"/>
  <c r="E871" i="2"/>
  <c r="M871" i="2"/>
  <c r="G871" i="2"/>
  <c r="C872" i="2"/>
  <c r="L871" i="2" l="1"/>
  <c r="J871" i="2"/>
  <c r="K871" i="2" s="1"/>
  <c r="B872" i="2"/>
  <c r="A872" i="2"/>
  <c r="E872" i="2"/>
  <c r="G872" i="2"/>
  <c r="H872" i="2"/>
  <c r="I872" i="2"/>
  <c r="M872" i="2"/>
  <c r="F872" i="2"/>
  <c r="C873" i="2"/>
  <c r="L872" i="2" l="1"/>
  <c r="J872" i="2"/>
  <c r="K872" i="2" s="1"/>
  <c r="B873" i="2"/>
  <c r="A873" i="2"/>
  <c r="E873" i="2"/>
  <c r="M873" i="2"/>
  <c r="F873" i="2"/>
  <c r="G873" i="2"/>
  <c r="I873" i="2"/>
  <c r="H873" i="2"/>
  <c r="C874" i="2"/>
  <c r="L873" i="2" l="1"/>
  <c r="J873" i="2"/>
  <c r="K873" i="2" s="1"/>
  <c r="B874" i="2"/>
  <c r="A874" i="2"/>
  <c r="G874" i="2"/>
  <c r="F874" i="2"/>
  <c r="H874" i="2"/>
  <c r="E874" i="2"/>
  <c r="I874" i="2"/>
  <c r="M874" i="2"/>
  <c r="C875" i="2"/>
  <c r="L874" i="2" l="1"/>
  <c r="J874" i="2"/>
  <c r="K874" i="2" s="1"/>
  <c r="B875" i="2"/>
  <c r="A875" i="2"/>
  <c r="G875" i="2"/>
  <c r="E875" i="2"/>
  <c r="H875" i="2"/>
  <c r="I875" i="2"/>
  <c r="M875" i="2"/>
  <c r="F875" i="2"/>
  <c r="C876" i="2"/>
  <c r="L875" i="2" l="1"/>
  <c r="J875" i="2"/>
  <c r="K875" i="2" s="1"/>
  <c r="B876" i="2"/>
  <c r="A876" i="2"/>
  <c r="M876" i="2"/>
  <c r="E876" i="2"/>
  <c r="F876" i="2"/>
  <c r="I876" i="2"/>
  <c r="H876" i="2"/>
  <c r="G876" i="2"/>
  <c r="C877" i="2"/>
  <c r="L876" i="2" l="1"/>
  <c r="J876" i="2"/>
  <c r="K876" i="2" s="1"/>
  <c r="B877" i="2"/>
  <c r="A877" i="2"/>
  <c r="E877" i="2"/>
  <c r="I877" i="2"/>
  <c r="G877" i="2"/>
  <c r="F877" i="2"/>
  <c r="H877" i="2"/>
  <c r="M877" i="2"/>
  <c r="C878" i="2"/>
  <c r="L877" i="2" l="1"/>
  <c r="J877" i="2"/>
  <c r="K877" i="2" s="1"/>
  <c r="B878" i="2"/>
  <c r="A878" i="2"/>
  <c r="F878" i="2"/>
  <c r="H878" i="2"/>
  <c r="E878" i="2"/>
  <c r="G878" i="2"/>
  <c r="M878" i="2"/>
  <c r="I878" i="2"/>
  <c r="C879" i="2"/>
  <c r="L878" i="2" l="1"/>
  <c r="J878" i="2"/>
  <c r="K878" i="2" s="1"/>
  <c r="B879" i="2"/>
  <c r="A879" i="2"/>
  <c r="F879" i="2"/>
  <c r="M879" i="2"/>
  <c r="I879" i="2"/>
  <c r="G879" i="2"/>
  <c r="E879" i="2"/>
  <c r="H879" i="2"/>
  <c r="C880" i="2"/>
  <c r="L879" i="2" l="1"/>
  <c r="J879" i="2"/>
  <c r="K879" i="2" s="1"/>
  <c r="B880" i="2"/>
  <c r="A880" i="2"/>
  <c r="G880" i="2"/>
  <c r="M880" i="2"/>
  <c r="E880" i="2"/>
  <c r="I880" i="2"/>
  <c r="F880" i="2"/>
  <c r="H880" i="2"/>
  <c r="C881" i="2"/>
  <c r="L880" i="2" l="1"/>
  <c r="J880" i="2"/>
  <c r="K880" i="2" s="1"/>
  <c r="A881" i="2"/>
  <c r="B881" i="2"/>
  <c r="M881" i="2"/>
  <c r="G881" i="2"/>
  <c r="F881" i="2"/>
  <c r="H881" i="2"/>
  <c r="I881" i="2"/>
  <c r="E881" i="2"/>
  <c r="C882" i="2"/>
  <c r="L881" i="2" l="1"/>
  <c r="J881" i="2"/>
  <c r="K881" i="2" s="1"/>
  <c r="B882" i="2"/>
  <c r="A882" i="2"/>
  <c r="M882" i="2"/>
  <c r="E882" i="2"/>
  <c r="F882" i="2"/>
  <c r="G882" i="2"/>
  <c r="H882" i="2"/>
  <c r="I882" i="2"/>
  <c r="C883" i="2"/>
  <c r="L882" i="2" l="1"/>
  <c r="J882" i="2"/>
  <c r="K882" i="2" s="1"/>
  <c r="B883" i="2"/>
  <c r="A883" i="2"/>
  <c r="I883" i="2"/>
  <c r="M883" i="2"/>
  <c r="G883" i="2"/>
  <c r="H883" i="2"/>
  <c r="E883" i="2"/>
  <c r="F883" i="2"/>
  <c r="C884" i="2"/>
  <c r="L883" i="2" l="1"/>
  <c r="J883" i="2"/>
  <c r="K883" i="2" s="1"/>
  <c r="B884" i="2"/>
  <c r="A884" i="2"/>
  <c r="F884" i="2"/>
  <c r="E884" i="2"/>
  <c r="M884" i="2"/>
  <c r="G884" i="2"/>
  <c r="H884" i="2"/>
  <c r="I884" i="2"/>
  <c r="C885" i="2"/>
  <c r="L884" i="2" l="1"/>
  <c r="J884" i="2"/>
  <c r="K884" i="2" s="1"/>
  <c r="A885" i="2"/>
  <c r="B885" i="2"/>
  <c r="F885" i="2"/>
  <c r="M885" i="2"/>
  <c r="E885" i="2"/>
  <c r="G885" i="2"/>
  <c r="H885" i="2"/>
  <c r="I885" i="2"/>
  <c r="C886" i="2"/>
  <c r="L885" i="2" l="1"/>
  <c r="J885" i="2"/>
  <c r="K885" i="2" s="1"/>
  <c r="B886" i="2"/>
  <c r="A886" i="2"/>
  <c r="I886" i="2"/>
  <c r="E886" i="2"/>
  <c r="M886" i="2"/>
  <c r="F886" i="2"/>
  <c r="H886" i="2"/>
  <c r="G886" i="2"/>
  <c r="C887" i="2"/>
  <c r="L886" i="2" l="1"/>
  <c r="J886" i="2"/>
  <c r="K886" i="2" s="1"/>
  <c r="A887" i="2"/>
  <c r="B887" i="2"/>
  <c r="G887" i="2"/>
  <c r="F887" i="2"/>
  <c r="M887" i="2"/>
  <c r="E887" i="2"/>
  <c r="H887" i="2"/>
  <c r="I887" i="2"/>
  <c r="C888" i="2"/>
  <c r="L887" i="2" l="1"/>
  <c r="J887" i="2"/>
  <c r="K887" i="2" s="1"/>
  <c r="B888" i="2"/>
  <c r="A888" i="2"/>
  <c r="M888" i="2"/>
  <c r="E888" i="2"/>
  <c r="E768" i="2"/>
  <c r="G888" i="2"/>
  <c r="I888" i="2"/>
  <c r="H888" i="2"/>
  <c r="F888" i="2"/>
  <c r="C889" i="2"/>
  <c r="L888" i="2" l="1"/>
  <c r="L768" i="2"/>
  <c r="J888" i="2"/>
  <c r="K888" i="2" s="1"/>
  <c r="B889" i="2"/>
  <c r="A889" i="2"/>
  <c r="G889" i="2"/>
  <c r="M889" i="2"/>
  <c r="H889" i="2"/>
  <c r="I889" i="2"/>
  <c r="F889" i="2"/>
  <c r="E769" i="2"/>
  <c r="E889" i="2"/>
  <c r="C890" i="2"/>
  <c r="L769" i="2" l="1"/>
  <c r="L889" i="2"/>
  <c r="J889" i="2"/>
  <c r="K889" i="2" s="1"/>
  <c r="B890" i="2"/>
  <c r="A890" i="2"/>
  <c r="E890" i="2"/>
  <c r="M890" i="2"/>
  <c r="E766" i="2"/>
  <c r="I890" i="2"/>
  <c r="G890" i="2"/>
  <c r="F890" i="2"/>
  <c r="H890" i="2"/>
  <c r="C891" i="2"/>
  <c r="L766" i="2" l="1"/>
  <c r="L890" i="2"/>
  <c r="J890" i="2"/>
  <c r="K890" i="2" s="1"/>
  <c r="B891" i="2"/>
  <c r="A891" i="2"/>
  <c r="D766" i="2"/>
  <c r="E767" i="2"/>
  <c r="G891" i="2"/>
  <c r="M891" i="2"/>
  <c r="C892" i="2"/>
  <c r="I891" i="2"/>
  <c r="F891" i="2"/>
  <c r="E891" i="2"/>
  <c r="H891" i="2"/>
  <c r="L891" i="2" l="1"/>
  <c r="L767" i="2"/>
  <c r="J891" i="2"/>
  <c r="K891" i="2" s="1"/>
  <c r="B892" i="2"/>
  <c r="A892" i="2"/>
  <c r="D767" i="2"/>
  <c r="D768" i="2" s="1"/>
  <c r="D769" i="2" s="1"/>
  <c r="D770" i="2" s="1"/>
  <c r="D771" i="2" s="1"/>
  <c r="D772" i="2" s="1"/>
  <c r="D773" i="2" s="1"/>
  <c r="D774" i="2" s="1"/>
  <c r="D775" i="2" s="1"/>
  <c r="D776" i="2" s="1"/>
  <c r="D777" i="2" s="1"/>
  <c r="D778" i="2" s="1"/>
  <c r="D779" i="2" s="1"/>
  <c r="D780" i="2" s="1"/>
  <c r="D781" i="2" s="1"/>
  <c r="D782" i="2" s="1"/>
  <c r="D783" i="2" s="1"/>
  <c r="D784" i="2" s="1"/>
  <c r="D785" i="2" s="1"/>
  <c r="D786" i="2" s="1"/>
  <c r="D787" i="2" s="1"/>
  <c r="D788" i="2" s="1"/>
  <c r="D789" i="2" s="1"/>
  <c r="D790" i="2" s="1"/>
  <c r="D791" i="2" s="1"/>
  <c r="D792" i="2" s="1"/>
  <c r="D793" i="2" s="1"/>
  <c r="D794" i="2" s="1"/>
  <c r="D795" i="2" s="1"/>
  <c r="D796" i="2" s="1"/>
  <c r="D797" i="2" s="1"/>
  <c r="D798" i="2" s="1"/>
  <c r="D799" i="2" s="1"/>
  <c r="D800" i="2" s="1"/>
  <c r="D801" i="2" s="1"/>
  <c r="D802" i="2" s="1"/>
  <c r="D803" i="2" s="1"/>
  <c r="I892" i="2"/>
  <c r="G892" i="2"/>
  <c r="C893" i="2"/>
  <c r="E892" i="2"/>
  <c r="M892" i="2"/>
  <c r="H892" i="2"/>
  <c r="F892" i="2"/>
  <c r="L892" i="2" l="1"/>
  <c r="J892" i="2"/>
  <c r="K892" i="2" s="1"/>
  <c r="B893" i="2"/>
  <c r="A893" i="2"/>
  <c r="H893" i="2"/>
  <c r="I893" i="2"/>
  <c r="G893" i="2"/>
  <c r="E893" i="2"/>
  <c r="M893" i="2"/>
  <c r="F893" i="2"/>
  <c r="C894" i="2"/>
  <c r="L893" i="2" l="1"/>
  <c r="J893" i="2"/>
  <c r="K893" i="2" s="1"/>
  <c r="B894" i="2"/>
  <c r="A894" i="2"/>
  <c r="E894" i="2"/>
  <c r="G894" i="2"/>
  <c r="F894" i="2"/>
  <c r="I894" i="2"/>
  <c r="H894" i="2"/>
  <c r="M894" i="2"/>
  <c r="C895" i="2"/>
  <c r="L894" i="2" l="1"/>
  <c r="J894" i="2"/>
  <c r="K894" i="2" s="1"/>
  <c r="B895" i="2"/>
  <c r="A895" i="2"/>
  <c r="H895" i="2"/>
  <c r="G895" i="2"/>
  <c r="F895" i="2"/>
  <c r="M895" i="2"/>
  <c r="I895" i="2"/>
  <c r="E895" i="2"/>
  <c r="C896" i="2"/>
  <c r="L895" i="2" l="1"/>
  <c r="J895" i="2"/>
  <c r="K895" i="2" s="1"/>
  <c r="B896" i="2"/>
  <c r="A896" i="2"/>
  <c r="M896" i="2"/>
  <c r="G896" i="2"/>
  <c r="E896" i="2"/>
  <c r="F896" i="2"/>
  <c r="I896" i="2"/>
  <c r="H896" i="2"/>
  <c r="C897" i="2"/>
  <c r="L896" i="2" l="1"/>
  <c r="J896" i="2"/>
  <c r="K896" i="2" s="1"/>
  <c r="A897" i="2"/>
  <c r="B897" i="2"/>
  <c r="F897" i="2"/>
  <c r="E897" i="2"/>
  <c r="M897" i="2"/>
  <c r="G897" i="2"/>
  <c r="I897" i="2"/>
  <c r="H897" i="2"/>
  <c r="C898" i="2"/>
  <c r="L897" i="2" l="1"/>
  <c r="J897" i="2"/>
  <c r="K897" i="2" s="1"/>
  <c r="B898" i="2"/>
  <c r="A898" i="2"/>
  <c r="M898" i="2"/>
  <c r="E898" i="2"/>
  <c r="I898" i="2"/>
  <c r="H898" i="2"/>
  <c r="F898" i="2"/>
  <c r="G898" i="2"/>
  <c r="C899" i="2"/>
  <c r="L898" i="2" l="1"/>
  <c r="J898" i="2"/>
  <c r="K898" i="2" s="1"/>
  <c r="B899" i="2"/>
  <c r="A899" i="2"/>
  <c r="F899" i="2"/>
  <c r="H899" i="2"/>
  <c r="G899" i="2"/>
  <c r="M899" i="2"/>
  <c r="I899" i="2"/>
  <c r="E899" i="2"/>
  <c r="C900" i="2"/>
  <c r="L899" i="2" l="1"/>
  <c r="J899" i="2"/>
  <c r="K899" i="2" s="1"/>
  <c r="B900" i="2"/>
  <c r="A900" i="2"/>
  <c r="I900" i="2"/>
  <c r="M900" i="2"/>
  <c r="E900" i="2"/>
  <c r="H900" i="2"/>
  <c r="F900" i="2"/>
  <c r="G900" i="2"/>
  <c r="C901" i="2"/>
  <c r="L900" i="2" l="1"/>
  <c r="J900" i="2"/>
  <c r="K900" i="2" s="1"/>
  <c r="A901" i="2"/>
  <c r="B901" i="2"/>
  <c r="M901" i="2"/>
  <c r="H901" i="2"/>
  <c r="E901" i="2"/>
  <c r="I901" i="2"/>
  <c r="F901" i="2"/>
  <c r="G901" i="2"/>
  <c r="C902" i="2"/>
  <c r="L901" i="2" l="1"/>
  <c r="J901" i="2"/>
  <c r="K901" i="2" s="1"/>
  <c r="B902" i="2"/>
  <c r="A902" i="2"/>
  <c r="G902" i="2"/>
  <c r="F902" i="2"/>
  <c r="H902" i="2"/>
  <c r="I902" i="2"/>
  <c r="M902" i="2"/>
  <c r="E902" i="2"/>
  <c r="C903" i="2"/>
  <c r="L902" i="2" l="1"/>
  <c r="J902" i="2"/>
  <c r="K902" i="2" s="1"/>
  <c r="A903" i="2"/>
  <c r="B903" i="2"/>
  <c r="H903" i="2"/>
  <c r="G903" i="2"/>
  <c r="I903" i="2"/>
  <c r="M903" i="2"/>
  <c r="F903" i="2"/>
  <c r="E903" i="2"/>
  <c r="C904" i="2"/>
  <c r="L903" i="2" l="1"/>
  <c r="J903" i="2"/>
  <c r="K903" i="2" s="1"/>
  <c r="B904" i="2"/>
  <c r="A904" i="2"/>
  <c r="F904" i="2"/>
  <c r="I904" i="2"/>
  <c r="E904" i="2"/>
  <c r="M904" i="2"/>
  <c r="G904" i="2"/>
  <c r="H904" i="2"/>
  <c r="C905" i="2"/>
  <c r="L904" i="2" l="1"/>
  <c r="J904" i="2"/>
  <c r="K904" i="2" s="1"/>
  <c r="A905" i="2"/>
  <c r="B905" i="2"/>
  <c r="M905" i="2"/>
  <c r="G905" i="2"/>
  <c r="H905" i="2"/>
  <c r="E905" i="2"/>
  <c r="F905" i="2"/>
  <c r="I905" i="2"/>
  <c r="C906" i="2"/>
  <c r="L905" i="2" l="1"/>
  <c r="J905" i="2"/>
  <c r="K905" i="2" s="1"/>
  <c r="B906" i="2"/>
  <c r="A906" i="2"/>
  <c r="H906" i="2"/>
  <c r="F906" i="2"/>
  <c r="G906" i="2"/>
  <c r="E906" i="2"/>
  <c r="I906" i="2"/>
  <c r="M906" i="2"/>
  <c r="C907" i="2"/>
  <c r="L906" i="2" l="1"/>
  <c r="J906" i="2"/>
  <c r="K906" i="2" s="1"/>
  <c r="B907" i="2"/>
  <c r="A907" i="2"/>
  <c r="M907" i="2"/>
  <c r="H907" i="2"/>
  <c r="I907" i="2"/>
  <c r="G907" i="2"/>
  <c r="E907" i="2"/>
  <c r="F907" i="2"/>
  <c r="C908" i="2"/>
  <c r="L907" i="2" l="1"/>
  <c r="J907" i="2"/>
  <c r="K907" i="2" s="1"/>
  <c r="B908" i="2"/>
  <c r="A908" i="2"/>
  <c r="H908" i="2"/>
  <c r="I908" i="2"/>
  <c r="M908" i="2"/>
  <c r="F908" i="2"/>
  <c r="G908" i="2"/>
  <c r="E908" i="2"/>
  <c r="C909" i="2"/>
  <c r="L908" i="2" l="1"/>
  <c r="J908" i="2"/>
  <c r="K908" i="2" s="1"/>
  <c r="B909" i="2"/>
  <c r="A909" i="2"/>
  <c r="E909" i="2"/>
  <c r="H909" i="2"/>
  <c r="I909" i="2"/>
  <c r="F909" i="2"/>
  <c r="M909" i="2"/>
  <c r="G909" i="2"/>
  <c r="C910" i="2"/>
  <c r="L909" i="2" l="1"/>
  <c r="J909" i="2"/>
  <c r="K909" i="2" s="1"/>
  <c r="B910" i="2"/>
  <c r="A910" i="2"/>
  <c r="G910" i="2"/>
  <c r="I910" i="2"/>
  <c r="M910" i="2"/>
  <c r="F910" i="2"/>
  <c r="H910" i="2"/>
  <c r="E910" i="2"/>
  <c r="C911" i="2"/>
  <c r="L910" i="2" l="1"/>
  <c r="J910" i="2"/>
  <c r="K910" i="2" s="1"/>
  <c r="A911" i="2"/>
  <c r="B911" i="2"/>
  <c r="F911" i="2"/>
  <c r="G911" i="2"/>
  <c r="M911" i="2"/>
  <c r="H911" i="2"/>
  <c r="E911" i="2"/>
  <c r="I911" i="2"/>
  <c r="C912" i="2"/>
  <c r="L911" i="2" l="1"/>
  <c r="J911" i="2"/>
  <c r="K911" i="2" s="1"/>
  <c r="A912" i="2"/>
  <c r="B912" i="2"/>
  <c r="M912" i="2"/>
  <c r="G912" i="2"/>
  <c r="H912" i="2"/>
  <c r="E912" i="2"/>
  <c r="F912" i="2"/>
  <c r="I912" i="2"/>
  <c r="C913" i="2"/>
  <c r="L912" i="2" l="1"/>
  <c r="J912" i="2"/>
  <c r="K912" i="2" s="1"/>
  <c r="B913" i="2"/>
  <c r="A913" i="2"/>
  <c r="F913" i="2"/>
  <c r="G913" i="2"/>
  <c r="E913" i="2"/>
  <c r="M913" i="2"/>
  <c r="H913" i="2"/>
  <c r="I913" i="2"/>
  <c r="C914" i="2"/>
  <c r="L913" i="2" l="1"/>
  <c r="J913" i="2"/>
  <c r="K913" i="2" s="1"/>
  <c r="B914" i="2"/>
  <c r="A914" i="2"/>
  <c r="G914" i="2"/>
  <c r="M914" i="2"/>
  <c r="E914" i="2"/>
  <c r="I914" i="2"/>
  <c r="F914" i="2"/>
  <c r="H914" i="2"/>
  <c r="C915" i="2"/>
  <c r="L914" i="2" l="1"/>
  <c r="J914" i="2"/>
  <c r="K914" i="2" s="1"/>
  <c r="A915" i="2"/>
  <c r="B915" i="2"/>
  <c r="H915" i="2"/>
  <c r="M915" i="2"/>
  <c r="E915" i="2"/>
  <c r="F915" i="2"/>
  <c r="G915" i="2"/>
  <c r="I915" i="2"/>
  <c r="C916" i="2"/>
  <c r="L915" i="2" l="1"/>
  <c r="J915" i="2"/>
  <c r="K915" i="2" s="1"/>
  <c r="B916" i="2"/>
  <c r="A916" i="2"/>
  <c r="M916" i="2"/>
  <c r="E916" i="2"/>
  <c r="F916" i="2"/>
  <c r="I916" i="2"/>
  <c r="H916" i="2"/>
  <c r="G916" i="2"/>
  <c r="C917" i="2"/>
  <c r="L916" i="2" l="1"/>
  <c r="J916" i="2"/>
  <c r="K916" i="2" s="1"/>
  <c r="B917" i="2"/>
  <c r="A917" i="2"/>
  <c r="I917" i="2"/>
  <c r="F917" i="2"/>
  <c r="H917" i="2"/>
  <c r="E917" i="2"/>
  <c r="M917" i="2"/>
  <c r="G917" i="2"/>
  <c r="C918" i="2"/>
  <c r="L917" i="2" l="1"/>
  <c r="J917" i="2"/>
  <c r="K917" i="2" s="1"/>
  <c r="B918" i="2"/>
  <c r="A918" i="2"/>
  <c r="G918" i="2"/>
  <c r="E918" i="2"/>
  <c r="M918" i="2"/>
  <c r="F918" i="2"/>
  <c r="I918" i="2"/>
  <c r="H918" i="2"/>
  <c r="C919" i="2"/>
  <c r="L918" i="2" l="1"/>
  <c r="J918" i="2"/>
  <c r="K918" i="2" s="1"/>
  <c r="A919" i="2"/>
  <c r="B919" i="2"/>
  <c r="I919" i="2"/>
  <c r="G919" i="2"/>
  <c r="E919" i="2"/>
  <c r="H919" i="2"/>
  <c r="F919" i="2"/>
  <c r="M919" i="2"/>
  <c r="C920" i="2"/>
  <c r="L919" i="2" l="1"/>
  <c r="J919" i="2"/>
  <c r="K919" i="2" s="1"/>
  <c r="B920" i="2"/>
  <c r="A920" i="2"/>
  <c r="F920" i="2"/>
  <c r="H920" i="2"/>
  <c r="I920" i="2"/>
  <c r="M920" i="2"/>
  <c r="E920" i="2"/>
  <c r="G920" i="2"/>
  <c r="C921" i="2"/>
  <c r="L920" i="2" l="1"/>
  <c r="J920" i="2"/>
  <c r="K920" i="2" s="1"/>
  <c r="A921" i="2"/>
  <c r="B921" i="2"/>
  <c r="G921" i="2"/>
  <c r="I921" i="2"/>
  <c r="E921" i="2"/>
  <c r="H921" i="2"/>
  <c r="F921" i="2"/>
  <c r="M921" i="2"/>
  <c r="C922" i="2"/>
  <c r="L921" i="2" l="1"/>
  <c r="J921" i="2"/>
  <c r="K921" i="2" s="1"/>
  <c r="B922" i="2"/>
  <c r="A922" i="2"/>
  <c r="M922" i="2"/>
  <c r="I922" i="2"/>
  <c r="E922" i="2"/>
  <c r="H922" i="2"/>
  <c r="G922" i="2"/>
  <c r="F922" i="2"/>
  <c r="C923" i="2"/>
  <c r="L922" i="2" l="1"/>
  <c r="J922" i="2"/>
  <c r="K922" i="2" s="1"/>
  <c r="B923" i="2"/>
  <c r="A923" i="2"/>
  <c r="F923" i="2"/>
  <c r="I923" i="2"/>
  <c r="G923" i="2"/>
  <c r="H923" i="2"/>
  <c r="E923" i="2"/>
  <c r="M923" i="2"/>
  <c r="C924" i="2"/>
  <c r="L923" i="2" l="1"/>
  <c r="J923" i="2"/>
  <c r="K923" i="2" s="1"/>
  <c r="D923" i="2"/>
  <c r="B924" i="2"/>
  <c r="A924" i="2"/>
  <c r="G924" i="2"/>
  <c r="E924" i="2"/>
  <c r="I924" i="2"/>
  <c r="F924" i="2"/>
  <c r="H924" i="2"/>
  <c r="M924" i="2"/>
  <c r="C925" i="2"/>
  <c r="L924" i="2" l="1"/>
  <c r="J924" i="2"/>
  <c r="K924" i="2" s="1"/>
  <c r="D924" i="2"/>
  <c r="B925" i="2"/>
  <c r="A925" i="2"/>
  <c r="M925" i="2"/>
  <c r="I925" i="2"/>
  <c r="E925" i="2"/>
  <c r="F925" i="2"/>
  <c r="H925" i="2"/>
  <c r="G925" i="2"/>
  <c r="C926" i="2"/>
  <c r="L925" i="2" l="1"/>
  <c r="D925" i="2"/>
  <c r="J925" i="2"/>
  <c r="K925" i="2" s="1"/>
  <c r="B926" i="2"/>
  <c r="A926" i="2"/>
  <c r="I926" i="2"/>
  <c r="M926" i="2"/>
  <c r="F926" i="2"/>
  <c r="G926" i="2"/>
  <c r="H926" i="2"/>
  <c r="E926" i="2"/>
  <c r="C927" i="2"/>
  <c r="L926" i="2" l="1"/>
  <c r="J926" i="2"/>
  <c r="K926" i="2" s="1"/>
  <c r="D926" i="2"/>
  <c r="B927" i="2"/>
  <c r="A927" i="2"/>
  <c r="I927" i="2"/>
  <c r="G927" i="2"/>
  <c r="M927" i="2"/>
  <c r="H927" i="2"/>
  <c r="F927" i="2"/>
  <c r="E927" i="2"/>
  <c r="C928" i="2"/>
  <c r="L927" i="2" l="1"/>
  <c r="D927" i="2"/>
  <c r="J927" i="2"/>
  <c r="K927" i="2" s="1"/>
  <c r="A928" i="2"/>
  <c r="B928" i="2"/>
  <c r="H928" i="2"/>
  <c r="E928" i="2"/>
  <c r="I928" i="2"/>
  <c r="F928" i="2"/>
  <c r="G928" i="2"/>
  <c r="M928" i="2"/>
  <c r="C929" i="2"/>
  <c r="L928" i="2" l="1"/>
  <c r="J928" i="2"/>
  <c r="K928" i="2" s="1"/>
  <c r="D928" i="2"/>
  <c r="A929" i="2"/>
  <c r="B929" i="2"/>
  <c r="H929" i="2"/>
  <c r="M929" i="2"/>
  <c r="F929" i="2"/>
  <c r="E929" i="2"/>
  <c r="I929" i="2"/>
  <c r="G929" i="2"/>
  <c r="C930" i="2"/>
  <c r="L929" i="2" l="1"/>
  <c r="D929" i="2"/>
  <c r="J929" i="2"/>
  <c r="K929" i="2" s="1"/>
  <c r="B930" i="2"/>
  <c r="A930" i="2"/>
  <c r="M930" i="2"/>
  <c r="G930" i="2"/>
  <c r="E930" i="2"/>
  <c r="H930" i="2"/>
  <c r="I930" i="2"/>
  <c r="F930" i="2"/>
  <c r="C931" i="2"/>
  <c r="L930" i="2" l="1"/>
  <c r="D930" i="2"/>
  <c r="J930" i="2"/>
  <c r="K930" i="2" s="1"/>
  <c r="B931" i="2"/>
  <c r="A931" i="2"/>
  <c r="I931" i="2"/>
  <c r="H931" i="2"/>
  <c r="E931" i="2"/>
  <c r="F931" i="2"/>
  <c r="G931" i="2"/>
  <c r="M931" i="2"/>
  <c r="C932" i="2"/>
  <c r="L931" i="2" l="1"/>
  <c r="D931" i="2"/>
  <c r="J931" i="2"/>
  <c r="K931" i="2" s="1"/>
  <c r="B932" i="2"/>
  <c r="A932" i="2"/>
  <c r="I932" i="2"/>
  <c r="M932" i="2"/>
  <c r="F932" i="2"/>
  <c r="H932" i="2"/>
  <c r="G932" i="2"/>
  <c r="E932" i="2"/>
  <c r="C933" i="2"/>
  <c r="L932" i="2" l="1"/>
  <c r="D932" i="2"/>
  <c r="J932" i="2"/>
  <c r="K932" i="2" s="1"/>
  <c r="A933" i="2"/>
  <c r="B933" i="2"/>
  <c r="M933" i="2"/>
  <c r="G933" i="2"/>
  <c r="F933" i="2"/>
  <c r="I933" i="2"/>
  <c r="H933" i="2"/>
  <c r="E933" i="2"/>
  <c r="C934" i="2"/>
  <c r="L933" i="2" l="1"/>
  <c r="D933" i="2"/>
  <c r="J933" i="2"/>
  <c r="K933" i="2" s="1"/>
  <c r="B934" i="2"/>
  <c r="A934" i="2"/>
  <c r="E934" i="2"/>
  <c r="H934" i="2"/>
  <c r="G934" i="2"/>
  <c r="M934" i="2"/>
  <c r="I934" i="2"/>
  <c r="F934" i="2"/>
  <c r="C935" i="2"/>
  <c r="L934" i="2" l="1"/>
  <c r="J934" i="2"/>
  <c r="K934" i="2" s="1"/>
  <c r="D934" i="2"/>
  <c r="A935" i="2"/>
  <c r="B935" i="2"/>
  <c r="E935" i="2"/>
  <c r="I935" i="2"/>
  <c r="G935" i="2"/>
  <c r="M935" i="2"/>
  <c r="F935" i="2"/>
  <c r="H935" i="2"/>
  <c r="C936" i="2"/>
  <c r="L935" i="2" l="1"/>
  <c r="D935" i="2"/>
  <c r="J935" i="2"/>
  <c r="K935" i="2" s="1"/>
  <c r="B936" i="2"/>
  <c r="A936" i="2"/>
  <c r="M936" i="2"/>
  <c r="I936" i="2"/>
  <c r="G936" i="2"/>
  <c r="E936" i="2"/>
  <c r="H936" i="2"/>
  <c r="F936" i="2"/>
  <c r="C937" i="2"/>
  <c r="L936" i="2" l="1"/>
  <c r="D936" i="2"/>
  <c r="J936" i="2"/>
  <c r="K936" i="2" s="1"/>
  <c r="A937" i="2"/>
  <c r="B937" i="2"/>
  <c r="G937" i="2"/>
  <c r="I937" i="2"/>
  <c r="M937" i="2"/>
  <c r="F937" i="2"/>
  <c r="E937" i="2"/>
  <c r="H937" i="2"/>
  <c r="C938" i="2"/>
  <c r="L937" i="2" l="1"/>
  <c r="D937" i="2"/>
  <c r="J937" i="2"/>
  <c r="K937" i="2" s="1"/>
  <c r="B938" i="2"/>
  <c r="A938" i="2"/>
  <c r="M938" i="2"/>
  <c r="E938" i="2"/>
  <c r="H938" i="2"/>
  <c r="F938" i="2"/>
  <c r="G938" i="2"/>
  <c r="I938" i="2"/>
  <c r="C939" i="2"/>
  <c r="L938" i="2" l="1"/>
  <c r="D938" i="2"/>
  <c r="J938" i="2"/>
  <c r="K938" i="2" s="1"/>
  <c r="B939" i="2"/>
  <c r="A939" i="2"/>
  <c r="G939" i="2"/>
  <c r="H939" i="2"/>
  <c r="M939" i="2"/>
  <c r="F939" i="2"/>
  <c r="E939" i="2"/>
  <c r="I939" i="2"/>
  <c r="C940" i="2"/>
  <c r="L939" i="2" l="1"/>
  <c r="D939" i="2"/>
  <c r="J939" i="2"/>
  <c r="K939" i="2" s="1"/>
  <c r="A940" i="2"/>
  <c r="B940" i="2"/>
  <c r="H940" i="2"/>
  <c r="I940" i="2"/>
  <c r="M940" i="2"/>
  <c r="G940" i="2"/>
  <c r="F940" i="2"/>
  <c r="E940" i="2"/>
  <c r="C941" i="2"/>
  <c r="L940" i="2" l="1"/>
  <c r="J940" i="2"/>
  <c r="K940" i="2" s="1"/>
  <c r="D940" i="2"/>
  <c r="B941" i="2"/>
  <c r="A941" i="2"/>
  <c r="I941" i="2"/>
  <c r="M941" i="2"/>
  <c r="E941" i="2"/>
  <c r="G941" i="2"/>
  <c r="H941" i="2"/>
  <c r="F941" i="2"/>
  <c r="C942" i="2"/>
  <c r="L941" i="2" l="1"/>
  <c r="D941" i="2"/>
  <c r="J941" i="2"/>
  <c r="K941" i="2" s="1"/>
  <c r="B942" i="2"/>
  <c r="A942" i="2"/>
  <c r="I942" i="2"/>
  <c r="M942" i="2"/>
  <c r="H942" i="2"/>
  <c r="E942" i="2"/>
  <c r="F942" i="2"/>
  <c r="G942" i="2"/>
  <c r="C943" i="2"/>
  <c r="L942" i="2" l="1"/>
  <c r="D942" i="2"/>
  <c r="J942" i="2"/>
  <c r="K942" i="2" s="1"/>
  <c r="B943" i="2"/>
  <c r="A943" i="2"/>
  <c r="I943" i="2"/>
  <c r="E943" i="2"/>
  <c r="F943" i="2"/>
  <c r="H943" i="2"/>
  <c r="M943" i="2"/>
  <c r="G943" i="2"/>
  <c r="C944" i="2"/>
  <c r="L943" i="2" l="1"/>
  <c r="J943" i="2"/>
  <c r="K943" i="2" s="1"/>
  <c r="D943" i="2"/>
  <c r="A944" i="2"/>
  <c r="B944" i="2"/>
  <c r="H944" i="2"/>
  <c r="M944" i="2"/>
  <c r="G944" i="2"/>
  <c r="F944" i="2"/>
  <c r="E944" i="2"/>
  <c r="I944" i="2"/>
  <c r="C945" i="2"/>
  <c r="L944" i="2" l="1"/>
  <c r="D944" i="2"/>
  <c r="J944" i="2"/>
  <c r="K944" i="2" s="1"/>
  <c r="B945" i="2"/>
  <c r="A945" i="2"/>
  <c r="I945" i="2"/>
  <c r="G945" i="2"/>
  <c r="F945" i="2"/>
  <c r="E945" i="2"/>
  <c r="M945" i="2"/>
  <c r="H945" i="2"/>
  <c r="C946" i="2"/>
  <c r="L945" i="2" l="1"/>
  <c r="D945" i="2"/>
  <c r="J945" i="2"/>
  <c r="K945" i="2" s="1"/>
  <c r="B946" i="2"/>
  <c r="A946" i="2"/>
  <c r="F946" i="2"/>
  <c r="G946" i="2"/>
  <c r="H946" i="2"/>
  <c r="E946" i="2"/>
  <c r="M946" i="2"/>
  <c r="I946" i="2"/>
  <c r="C947" i="2"/>
  <c r="L946" i="2" l="1"/>
  <c r="J946" i="2"/>
  <c r="K946" i="2" s="1"/>
  <c r="D946" i="2"/>
  <c r="B947" i="2"/>
  <c r="A947" i="2"/>
  <c r="E947" i="2"/>
  <c r="H947" i="2"/>
  <c r="I947" i="2"/>
  <c r="F947" i="2"/>
  <c r="G947" i="2"/>
  <c r="M947" i="2"/>
  <c r="C948" i="2"/>
  <c r="L947" i="2" l="1"/>
  <c r="D947" i="2"/>
  <c r="J947" i="2"/>
  <c r="K947" i="2" s="1"/>
  <c r="B948" i="2"/>
  <c r="A948" i="2"/>
  <c r="F948" i="2"/>
  <c r="G948" i="2"/>
  <c r="E948" i="2"/>
  <c r="I948" i="2"/>
  <c r="M948" i="2"/>
  <c r="H948" i="2"/>
  <c r="C949" i="2"/>
  <c r="L948" i="2" l="1"/>
  <c r="J948" i="2"/>
  <c r="K948" i="2" s="1"/>
  <c r="D948" i="2"/>
  <c r="B949" i="2"/>
  <c r="A949" i="2"/>
  <c r="H949" i="2"/>
  <c r="M949" i="2"/>
  <c r="I949" i="2"/>
  <c r="F949" i="2"/>
  <c r="E949" i="2"/>
  <c r="G949" i="2"/>
  <c r="C950" i="2"/>
  <c r="L949" i="2" l="1"/>
  <c r="J949" i="2"/>
  <c r="K949" i="2" s="1"/>
  <c r="D949" i="2"/>
  <c r="B950" i="2"/>
  <c r="A950" i="2"/>
  <c r="F950" i="2"/>
  <c r="I950" i="2"/>
  <c r="M950" i="2"/>
  <c r="G950" i="2"/>
  <c r="E950" i="2"/>
  <c r="H950" i="2"/>
  <c r="C951" i="2"/>
  <c r="L950" i="2" l="1"/>
  <c r="J950" i="2"/>
  <c r="K950" i="2" s="1"/>
  <c r="D950" i="2"/>
  <c r="A951" i="2"/>
  <c r="B951" i="2"/>
  <c r="H951" i="2"/>
  <c r="F951" i="2"/>
  <c r="M951" i="2"/>
  <c r="G951" i="2"/>
  <c r="I951" i="2"/>
  <c r="E951" i="2"/>
  <c r="C952" i="2"/>
  <c r="L951" i="2" l="1"/>
  <c r="D951" i="2"/>
  <c r="J951" i="2"/>
  <c r="K951" i="2" s="1"/>
  <c r="B952" i="2"/>
  <c r="A952" i="2"/>
  <c r="I952" i="2"/>
  <c r="G952" i="2"/>
  <c r="M952" i="2"/>
  <c r="H952" i="2"/>
  <c r="F952" i="2"/>
  <c r="E952" i="2"/>
  <c r="C953" i="2"/>
  <c r="L952" i="2" l="1"/>
  <c r="J952" i="2"/>
  <c r="K952" i="2" s="1"/>
  <c r="D952" i="2"/>
  <c r="A953" i="2"/>
  <c r="B953" i="2"/>
  <c r="H953" i="2"/>
  <c r="I953" i="2"/>
  <c r="G953" i="2"/>
  <c r="M953" i="2"/>
  <c r="E953" i="2"/>
  <c r="F953" i="2"/>
  <c r="C954" i="2"/>
  <c r="L953" i="2" l="1"/>
  <c r="J953" i="2"/>
  <c r="K953" i="2" s="1"/>
  <c r="D953" i="2"/>
  <c r="B954" i="2"/>
  <c r="A954" i="2"/>
  <c r="E954" i="2"/>
  <c r="I954" i="2"/>
  <c r="F954" i="2"/>
  <c r="G954" i="2"/>
  <c r="M954" i="2"/>
  <c r="H954" i="2"/>
  <c r="C955" i="2"/>
  <c r="L954" i="2" l="1"/>
  <c r="J954" i="2"/>
  <c r="K954" i="2" s="1"/>
  <c r="D954" i="2"/>
  <c r="B955" i="2"/>
  <c r="A955" i="2"/>
  <c r="M955" i="2"/>
  <c r="F955" i="2"/>
  <c r="H955" i="2"/>
  <c r="G955" i="2"/>
  <c r="I955" i="2"/>
  <c r="E955" i="2"/>
  <c r="C956" i="2"/>
  <c r="L955" i="2" l="1"/>
  <c r="D955" i="2"/>
  <c r="J955" i="2"/>
  <c r="K955" i="2" s="1"/>
  <c r="A956" i="2"/>
  <c r="B956" i="2"/>
  <c r="H956" i="2"/>
  <c r="M956" i="2"/>
  <c r="I956" i="2"/>
  <c r="F956" i="2"/>
  <c r="E956" i="2"/>
  <c r="G956" i="2"/>
  <c r="C957" i="2"/>
  <c r="L956" i="2" l="1"/>
  <c r="J956" i="2"/>
  <c r="K956" i="2" s="1"/>
  <c r="D956" i="2"/>
  <c r="A957" i="2"/>
  <c r="B957" i="2"/>
  <c r="G957" i="2"/>
  <c r="E957" i="2"/>
  <c r="I957" i="2"/>
  <c r="H957" i="2"/>
  <c r="F957" i="2"/>
  <c r="M957" i="2"/>
  <c r="C958" i="2"/>
  <c r="L957" i="2" l="1"/>
  <c r="J957" i="2"/>
  <c r="K957" i="2" s="1"/>
  <c r="D957" i="2"/>
  <c r="B958" i="2"/>
  <c r="A958" i="2"/>
  <c r="I958" i="2"/>
  <c r="F958" i="2"/>
  <c r="H958" i="2"/>
  <c r="M958" i="2"/>
  <c r="G958" i="2"/>
  <c r="E958" i="2"/>
  <c r="C959" i="2"/>
  <c r="L958" i="2" l="1"/>
  <c r="J958" i="2"/>
  <c r="K958" i="2" s="1"/>
  <c r="D958" i="2"/>
  <c r="A959" i="2"/>
  <c r="B959" i="2"/>
  <c r="H959" i="2"/>
  <c r="G959" i="2"/>
  <c r="M959" i="2"/>
  <c r="E959" i="2"/>
  <c r="I959" i="2"/>
  <c r="F959" i="2"/>
  <c r="C960" i="2"/>
  <c r="L959" i="2" l="1"/>
  <c r="J959" i="2"/>
  <c r="K959" i="2" s="1"/>
  <c r="D959" i="2"/>
  <c r="B960" i="2"/>
  <c r="A960" i="2"/>
  <c r="I960" i="2"/>
  <c r="G960" i="2"/>
  <c r="F960" i="2"/>
  <c r="H960" i="2"/>
  <c r="E960" i="2"/>
  <c r="M960" i="2"/>
  <c r="C961" i="2"/>
  <c r="L960" i="2" l="1"/>
  <c r="D960" i="2"/>
  <c r="J960" i="2"/>
  <c r="K960" i="2" s="1"/>
  <c r="A961" i="2"/>
  <c r="B961" i="2"/>
  <c r="G961" i="2"/>
  <c r="M961" i="2"/>
  <c r="E961" i="2"/>
  <c r="H961" i="2"/>
  <c r="F961" i="2"/>
  <c r="I961" i="2"/>
  <c r="C962" i="2"/>
  <c r="L961" i="2" l="1"/>
  <c r="D961" i="2"/>
  <c r="J961" i="2"/>
  <c r="K961" i="2" s="1"/>
  <c r="B962" i="2"/>
  <c r="A962" i="2"/>
  <c r="I962" i="2"/>
  <c r="E962" i="2"/>
  <c r="F962" i="2"/>
  <c r="M962" i="2"/>
  <c r="G962" i="2"/>
  <c r="H962" i="2"/>
  <c r="C963" i="2"/>
  <c r="L962" i="2" l="1"/>
  <c r="D962" i="2"/>
  <c r="J962" i="2"/>
  <c r="K962" i="2" s="1"/>
  <c r="B963" i="2"/>
  <c r="A963" i="2"/>
  <c r="E963" i="2"/>
  <c r="H963" i="2"/>
  <c r="F963" i="2"/>
  <c r="I963" i="2"/>
  <c r="G963" i="2"/>
  <c r="M963" i="2"/>
  <c r="C964" i="2"/>
  <c r="L963" i="2" l="1"/>
  <c r="J963" i="2"/>
  <c r="K963" i="2" s="1"/>
  <c r="D963" i="2"/>
  <c r="A964" i="2"/>
  <c r="B964" i="2"/>
  <c r="H964" i="2"/>
  <c r="I964" i="2"/>
  <c r="M964" i="2"/>
  <c r="G964" i="2"/>
  <c r="F964" i="2"/>
  <c r="E964" i="2"/>
  <c r="C965" i="2"/>
  <c r="L964" i="2" l="1"/>
  <c r="D964" i="2"/>
  <c r="J964" i="2"/>
  <c r="K964" i="2" s="1"/>
  <c r="A965" i="2"/>
  <c r="B965" i="2"/>
  <c r="H965" i="2"/>
  <c r="I965" i="2"/>
  <c r="F965" i="2"/>
  <c r="M965" i="2"/>
  <c r="E965" i="2"/>
  <c r="G965" i="2"/>
  <c r="C966" i="2"/>
  <c r="L965" i="2" l="1"/>
  <c r="D965" i="2"/>
  <c r="J965" i="2"/>
  <c r="K965" i="2" s="1"/>
  <c r="B966" i="2"/>
  <c r="A966" i="2"/>
  <c r="G966" i="2"/>
  <c r="I966" i="2"/>
  <c r="E966" i="2"/>
  <c r="M966" i="2"/>
  <c r="F966" i="2"/>
  <c r="H966" i="2"/>
  <c r="C967" i="2"/>
  <c r="L966" i="2" l="1"/>
  <c r="D966" i="2"/>
  <c r="J966" i="2"/>
  <c r="K966" i="2" s="1"/>
  <c r="A967" i="2"/>
  <c r="B967" i="2"/>
  <c r="G967" i="2"/>
  <c r="F967" i="2"/>
  <c r="E967" i="2"/>
  <c r="H967" i="2"/>
  <c r="M967" i="2"/>
  <c r="I967" i="2"/>
  <c r="C968" i="2"/>
  <c r="L967" i="2" l="1"/>
  <c r="D967" i="2"/>
  <c r="J967" i="2"/>
  <c r="K967" i="2" s="1"/>
  <c r="A968" i="2"/>
  <c r="B968" i="2"/>
  <c r="M968" i="2"/>
  <c r="H968" i="2"/>
  <c r="E968" i="2"/>
  <c r="F968" i="2"/>
  <c r="I968" i="2"/>
  <c r="G968" i="2"/>
  <c r="C969" i="2"/>
  <c r="L968" i="2" l="1"/>
  <c r="D968" i="2"/>
  <c r="J968" i="2"/>
  <c r="K968" i="2" s="1"/>
  <c r="A969" i="2"/>
  <c r="B969" i="2"/>
  <c r="I969" i="2"/>
  <c r="G969" i="2"/>
  <c r="H969" i="2"/>
  <c r="E969" i="2"/>
  <c r="F969" i="2"/>
  <c r="M969" i="2"/>
  <c r="C970" i="2"/>
  <c r="L969" i="2" l="1"/>
  <c r="J969" i="2"/>
  <c r="K969" i="2" s="1"/>
  <c r="D969" i="2"/>
  <c r="B970" i="2"/>
  <c r="A970" i="2"/>
  <c r="H970" i="2"/>
  <c r="I970" i="2"/>
  <c r="E970" i="2"/>
  <c r="G970" i="2"/>
  <c r="F970" i="2"/>
  <c r="M970" i="2"/>
  <c r="C971" i="2"/>
  <c r="L970" i="2" l="1"/>
  <c r="D970" i="2"/>
  <c r="J970" i="2"/>
  <c r="K970" i="2" s="1"/>
  <c r="B971" i="2"/>
  <c r="A971" i="2"/>
  <c r="F971" i="2"/>
  <c r="H971" i="2"/>
  <c r="I971" i="2"/>
  <c r="G971" i="2"/>
  <c r="E971" i="2"/>
  <c r="M971" i="2"/>
  <c r="C972" i="2"/>
  <c r="L971" i="2" l="1"/>
  <c r="D971" i="2"/>
  <c r="J971" i="2"/>
  <c r="K971" i="2" s="1"/>
  <c r="A972" i="2"/>
  <c r="B972" i="2"/>
  <c r="G972" i="2"/>
  <c r="F972" i="2"/>
  <c r="H972" i="2"/>
  <c r="E972" i="2"/>
  <c r="I972" i="2"/>
  <c r="M972" i="2"/>
  <c r="C973" i="2"/>
  <c r="L972" i="2" l="1"/>
  <c r="J972" i="2"/>
  <c r="K972" i="2" s="1"/>
  <c r="D972" i="2"/>
  <c r="A973" i="2"/>
  <c r="B973" i="2"/>
  <c r="I973" i="2"/>
  <c r="H973" i="2"/>
  <c r="G973" i="2"/>
  <c r="F973" i="2"/>
  <c r="E973" i="2"/>
  <c r="M973" i="2"/>
  <c r="C974" i="2"/>
  <c r="L973" i="2" l="1"/>
  <c r="J973" i="2"/>
  <c r="K973" i="2" s="1"/>
  <c r="D973" i="2"/>
  <c r="B974" i="2"/>
  <c r="A974" i="2"/>
  <c r="E974" i="2"/>
  <c r="M974" i="2"/>
  <c r="G974" i="2"/>
  <c r="H974" i="2"/>
  <c r="F974" i="2"/>
  <c r="I974" i="2"/>
  <c r="C975" i="2"/>
  <c r="L974" i="2" l="1"/>
  <c r="J974" i="2"/>
  <c r="K974" i="2" s="1"/>
  <c r="D974" i="2"/>
  <c r="A975" i="2"/>
  <c r="B975" i="2"/>
  <c r="H975" i="2"/>
  <c r="M975" i="2"/>
  <c r="I975" i="2"/>
  <c r="E975" i="2"/>
  <c r="G975" i="2"/>
  <c r="F975" i="2"/>
  <c r="C976" i="2"/>
  <c r="L975" i="2" l="1"/>
  <c r="D975" i="2"/>
  <c r="J975" i="2"/>
  <c r="K975" i="2" s="1"/>
  <c r="B976" i="2"/>
  <c r="A976" i="2"/>
  <c r="G976" i="2"/>
  <c r="F976" i="2"/>
  <c r="E976" i="2"/>
  <c r="I976" i="2"/>
  <c r="M976" i="2"/>
  <c r="H976" i="2"/>
  <c r="C977" i="2"/>
  <c r="L976" i="2" l="1"/>
  <c r="J976" i="2"/>
  <c r="K976" i="2" s="1"/>
  <c r="D976" i="2"/>
  <c r="A977" i="2"/>
  <c r="B977" i="2"/>
  <c r="I977" i="2"/>
  <c r="G977" i="2"/>
  <c r="M977" i="2"/>
  <c r="E977" i="2"/>
  <c r="F977" i="2"/>
  <c r="H977" i="2"/>
  <c r="C978" i="2"/>
  <c r="L977" i="2" l="1"/>
  <c r="J977" i="2"/>
  <c r="K977" i="2" s="1"/>
  <c r="D977" i="2"/>
  <c r="B978" i="2"/>
  <c r="A978" i="2"/>
  <c r="E978" i="2"/>
  <c r="M978" i="2"/>
  <c r="G978" i="2"/>
  <c r="H978" i="2"/>
  <c r="F978" i="2"/>
  <c r="I978" i="2"/>
  <c r="C979" i="2"/>
  <c r="L978" i="2" l="1"/>
  <c r="D978" i="2"/>
  <c r="J978" i="2"/>
  <c r="K978" i="2" s="1"/>
  <c r="B979" i="2"/>
  <c r="A979" i="2"/>
  <c r="M979" i="2"/>
  <c r="H979" i="2"/>
  <c r="I979" i="2"/>
  <c r="F979" i="2"/>
  <c r="E979" i="2"/>
  <c r="G979" i="2"/>
  <c r="C980" i="2"/>
  <c r="L979" i="2" l="1"/>
  <c r="D979" i="2"/>
  <c r="J979" i="2"/>
  <c r="K979" i="2" s="1"/>
  <c r="A980" i="2"/>
  <c r="B980" i="2"/>
  <c r="M980" i="2"/>
  <c r="G980" i="2"/>
  <c r="H980" i="2"/>
  <c r="I980" i="2"/>
  <c r="E980" i="2"/>
  <c r="F980" i="2"/>
  <c r="C981" i="2"/>
  <c r="L980" i="2" l="1"/>
  <c r="D980" i="2"/>
  <c r="J980" i="2"/>
  <c r="K980" i="2" s="1"/>
  <c r="A981" i="2"/>
  <c r="B981" i="2"/>
  <c r="E981" i="2"/>
  <c r="G981" i="2"/>
  <c r="I981" i="2"/>
  <c r="H981" i="2"/>
  <c r="F981" i="2"/>
  <c r="M981" i="2"/>
  <c r="C982" i="2"/>
  <c r="L981" i="2" l="1"/>
  <c r="D981" i="2"/>
  <c r="J981" i="2"/>
  <c r="K981" i="2" s="1"/>
  <c r="B982" i="2"/>
  <c r="A982" i="2"/>
  <c r="I982" i="2"/>
  <c r="E982" i="2"/>
  <c r="M982" i="2"/>
  <c r="H982" i="2"/>
  <c r="F982" i="2"/>
  <c r="G982" i="2"/>
  <c r="C983" i="2"/>
  <c r="L982" i="2" l="1"/>
  <c r="J982" i="2"/>
  <c r="K982" i="2" s="1"/>
  <c r="D982" i="2"/>
  <c r="A983" i="2"/>
  <c r="B983" i="2"/>
  <c r="E983" i="2"/>
  <c r="I983" i="2"/>
  <c r="G983" i="2"/>
  <c r="H983" i="2"/>
  <c r="M983" i="2"/>
  <c r="F983" i="2"/>
  <c r="C984" i="2"/>
  <c r="L983" i="2" l="1"/>
  <c r="D983" i="2"/>
  <c r="J983" i="2"/>
  <c r="K983" i="2" s="1"/>
  <c r="B984" i="2"/>
  <c r="A984" i="2"/>
  <c r="E984" i="2"/>
  <c r="M984" i="2"/>
  <c r="H984" i="2"/>
  <c r="G984" i="2"/>
  <c r="F984" i="2"/>
  <c r="I984" i="2"/>
  <c r="C985" i="2"/>
  <c r="L984" i="2" l="1"/>
  <c r="J984" i="2"/>
  <c r="K984" i="2" s="1"/>
  <c r="D984" i="2"/>
  <c r="A985" i="2"/>
  <c r="B985" i="2"/>
  <c r="M985" i="2"/>
  <c r="I985" i="2"/>
  <c r="E985" i="2"/>
  <c r="G985" i="2"/>
  <c r="H985" i="2"/>
  <c r="E834" i="2"/>
  <c r="F985" i="2"/>
  <c r="C986" i="2"/>
  <c r="L985" i="2" l="1"/>
  <c r="L834" i="2"/>
  <c r="J985" i="2"/>
  <c r="K985" i="2" s="1"/>
  <c r="D985" i="2"/>
  <c r="B986" i="2"/>
  <c r="A986" i="2"/>
  <c r="E835" i="2"/>
  <c r="M986" i="2"/>
  <c r="I986" i="2"/>
  <c r="F986" i="2"/>
  <c r="G986" i="2"/>
  <c r="H986" i="2"/>
  <c r="C987" i="2"/>
  <c r="L835" i="2" l="1"/>
  <c r="J986" i="2"/>
  <c r="K986" i="2" s="1"/>
  <c r="B987" i="2"/>
  <c r="A987" i="2"/>
  <c r="H987" i="2"/>
  <c r="F987" i="2"/>
  <c r="G987" i="2"/>
  <c r="E832" i="2"/>
  <c r="I987" i="2"/>
  <c r="M987" i="2"/>
  <c r="C988" i="2"/>
  <c r="L832" i="2" l="1"/>
  <c r="J987" i="2"/>
  <c r="K987" i="2" s="1"/>
  <c r="A988" i="2"/>
  <c r="B988" i="2"/>
  <c r="D832" i="2"/>
  <c r="F988" i="2"/>
  <c r="G988" i="2"/>
  <c r="M988" i="2"/>
  <c r="I988" i="2"/>
  <c r="H988" i="2"/>
  <c r="E833" i="2"/>
  <c r="C989" i="2"/>
  <c r="L833" i="2" l="1"/>
  <c r="J988" i="2"/>
  <c r="K988" i="2" s="1"/>
  <c r="A989" i="2"/>
  <c r="B989" i="2"/>
  <c r="D833" i="2"/>
  <c r="D834" i="2" s="1"/>
  <c r="D835" i="2" s="1"/>
  <c r="D836" i="2" s="1"/>
  <c r="D837" i="2" s="1"/>
  <c r="D838" i="2" s="1"/>
  <c r="D839" i="2" s="1"/>
  <c r="D840" i="2" s="1"/>
  <c r="D841" i="2" s="1"/>
  <c r="D842" i="2" s="1"/>
  <c r="D843" i="2" s="1"/>
  <c r="D844" i="2" s="1"/>
  <c r="D845" i="2" s="1"/>
  <c r="D846" i="2" s="1"/>
  <c r="D847" i="2" s="1"/>
  <c r="D848" i="2" s="1"/>
  <c r="D849" i="2" s="1"/>
  <c r="D850" i="2" s="1"/>
  <c r="D851" i="2" s="1"/>
  <c r="D852" i="2" s="1"/>
  <c r="D853" i="2" s="1"/>
  <c r="D854" i="2" s="1"/>
  <c r="D855" i="2" s="1"/>
  <c r="D856" i="2" s="1"/>
  <c r="D857" i="2" s="1"/>
  <c r="D858" i="2" s="1"/>
  <c r="D859" i="2" s="1"/>
  <c r="D860" i="2" s="1"/>
  <c r="D861" i="2" s="1"/>
  <c r="D862" i="2" s="1"/>
  <c r="D863" i="2" s="1"/>
  <c r="D864" i="2" s="1"/>
  <c r="D865" i="2" s="1"/>
  <c r="D866" i="2" s="1"/>
  <c r="D867" i="2" s="1"/>
  <c r="D868" i="2" s="1"/>
  <c r="D869" i="2" s="1"/>
  <c r="D870" i="2" s="1"/>
  <c r="D871" i="2" s="1"/>
  <c r="D872" i="2" s="1"/>
  <c r="D873" i="2" s="1"/>
  <c r="D874" i="2" s="1"/>
  <c r="D875" i="2" s="1"/>
  <c r="D876" i="2" s="1"/>
  <c r="D877" i="2" s="1"/>
  <c r="D878" i="2" s="1"/>
  <c r="D879" i="2" s="1"/>
  <c r="D880" i="2" s="1"/>
  <c r="D881" i="2" s="1"/>
  <c r="D882" i="2" s="1"/>
  <c r="D883" i="2" s="1"/>
  <c r="D884" i="2" s="1"/>
  <c r="D885" i="2" s="1"/>
  <c r="D886" i="2" s="1"/>
  <c r="D887" i="2" s="1"/>
  <c r="D888" i="2" s="1"/>
  <c r="D889" i="2" s="1"/>
  <c r="D890" i="2" s="1"/>
  <c r="D891" i="2" s="1"/>
  <c r="D892" i="2" s="1"/>
  <c r="D893" i="2" s="1"/>
  <c r="D894" i="2" s="1"/>
  <c r="D895" i="2" s="1"/>
  <c r="D896" i="2" s="1"/>
  <c r="D897" i="2" s="1"/>
  <c r="D898" i="2" s="1"/>
  <c r="D899" i="2" s="1"/>
  <c r="D900" i="2" s="1"/>
  <c r="D901" i="2" s="1"/>
  <c r="D902" i="2" s="1"/>
  <c r="D903" i="2" s="1"/>
  <c r="D904" i="2" s="1"/>
  <c r="D905" i="2" s="1"/>
  <c r="D906" i="2" s="1"/>
  <c r="D907" i="2" s="1"/>
  <c r="D908" i="2" s="1"/>
  <c r="D909" i="2" s="1"/>
  <c r="D910" i="2" s="1"/>
  <c r="D911" i="2" s="1"/>
  <c r="D912" i="2" s="1"/>
  <c r="D913" i="2" s="1"/>
  <c r="D914" i="2" s="1"/>
  <c r="D915" i="2" s="1"/>
  <c r="D916" i="2" s="1"/>
  <c r="D917" i="2" s="1"/>
  <c r="D918" i="2" s="1"/>
  <c r="D919" i="2" s="1"/>
  <c r="D920" i="2" s="1"/>
  <c r="D921" i="2" s="1"/>
  <c r="D922" i="2" s="1"/>
  <c r="E707" i="2"/>
  <c r="F989" i="2"/>
  <c r="M989" i="2"/>
  <c r="I989" i="2"/>
  <c r="G989" i="2"/>
  <c r="H989" i="2"/>
  <c r="C990" i="2"/>
  <c r="L707" i="2" l="1"/>
  <c r="J989" i="2"/>
  <c r="K989" i="2" s="1"/>
  <c r="B990" i="2"/>
  <c r="A990" i="2"/>
  <c r="F990" i="2"/>
  <c r="M990" i="2"/>
  <c r="I990" i="2"/>
  <c r="H990" i="2"/>
  <c r="E708" i="2"/>
  <c r="G990" i="2"/>
  <c r="C991" i="2"/>
  <c r="L708" i="2" l="1"/>
  <c r="J990" i="2"/>
  <c r="K990" i="2" s="1"/>
  <c r="A991" i="2"/>
  <c r="B991" i="2"/>
  <c r="I991" i="2"/>
  <c r="E991" i="2"/>
  <c r="F991" i="2"/>
  <c r="H991" i="2"/>
  <c r="G991" i="2"/>
  <c r="M991" i="2"/>
  <c r="C992" i="2"/>
  <c r="L991" i="2" l="1"/>
  <c r="J991" i="2"/>
  <c r="K991" i="2" s="1"/>
  <c r="B992" i="2"/>
  <c r="A992" i="2"/>
  <c r="F992" i="2"/>
  <c r="E992" i="2"/>
  <c r="M992" i="2"/>
  <c r="G992" i="2"/>
  <c r="I992" i="2"/>
  <c r="H992" i="2"/>
  <c r="C993" i="2"/>
  <c r="L992" i="2" l="1"/>
  <c r="J992" i="2"/>
  <c r="K992" i="2" s="1"/>
  <c r="A993" i="2"/>
  <c r="B993" i="2"/>
  <c r="H993" i="2"/>
  <c r="I993" i="2"/>
  <c r="E993" i="2"/>
  <c r="F993" i="2"/>
  <c r="M993" i="2"/>
  <c r="G993" i="2"/>
  <c r="C994" i="2"/>
  <c r="L993" i="2" l="1"/>
  <c r="J993" i="2"/>
  <c r="K993" i="2" s="1"/>
  <c r="B994" i="2"/>
  <c r="A994" i="2"/>
  <c r="I994" i="2"/>
  <c r="E994" i="2"/>
  <c r="F994" i="2"/>
  <c r="M994" i="2"/>
  <c r="H994" i="2"/>
  <c r="G994" i="2"/>
  <c r="C995" i="2"/>
  <c r="L994" i="2" l="1"/>
  <c r="J994" i="2"/>
  <c r="K994" i="2" s="1"/>
  <c r="A995" i="2"/>
  <c r="B995" i="2"/>
  <c r="I995" i="2"/>
  <c r="E995" i="2"/>
  <c r="M995" i="2"/>
  <c r="E986" i="2"/>
  <c r="G995" i="2"/>
  <c r="H995" i="2"/>
  <c r="F995" i="2"/>
  <c r="C996" i="2"/>
  <c r="L986" i="2" l="1"/>
  <c r="L995" i="2"/>
  <c r="J995" i="2"/>
  <c r="K995" i="2" s="1"/>
  <c r="B996" i="2"/>
  <c r="A996" i="2"/>
  <c r="D986" i="2"/>
  <c r="H996" i="2"/>
  <c r="M996" i="2"/>
  <c r="G996" i="2"/>
  <c r="E996" i="2"/>
  <c r="F996" i="2"/>
  <c r="E987" i="2"/>
  <c r="I996" i="2"/>
  <c r="C997" i="2"/>
  <c r="L996" i="2" l="1"/>
  <c r="L987" i="2"/>
  <c r="J996" i="2"/>
  <c r="K996" i="2" s="1"/>
  <c r="A997" i="2"/>
  <c r="B997" i="2"/>
  <c r="D987" i="2"/>
  <c r="E997" i="2"/>
  <c r="F997" i="2"/>
  <c r="H997" i="2"/>
  <c r="E988" i="2"/>
  <c r="M997" i="2"/>
  <c r="I997" i="2"/>
  <c r="G997" i="2"/>
  <c r="C998" i="2"/>
  <c r="L988" i="2" l="1"/>
  <c r="L997" i="2"/>
  <c r="J997" i="2"/>
  <c r="K997" i="2" s="1"/>
  <c r="B998" i="2"/>
  <c r="A998" i="2"/>
  <c r="D988" i="2"/>
  <c r="H998" i="2"/>
  <c r="E989" i="2"/>
  <c r="E998" i="2"/>
  <c r="F998" i="2"/>
  <c r="C999" i="2"/>
  <c r="I998" i="2"/>
  <c r="G998" i="2"/>
  <c r="M998" i="2"/>
  <c r="L989" i="2" l="1"/>
  <c r="L998" i="2"/>
  <c r="J998" i="2"/>
  <c r="K998" i="2" s="1"/>
  <c r="A999" i="2"/>
  <c r="B999" i="2"/>
  <c r="D989" i="2"/>
  <c r="E990" i="2"/>
  <c r="M999" i="2"/>
  <c r="C1000" i="2"/>
  <c r="I999" i="2"/>
  <c r="G999" i="2"/>
  <c r="H999" i="2"/>
  <c r="E999" i="2"/>
  <c r="F999" i="2"/>
  <c r="L999" i="2" l="1"/>
  <c r="L990" i="2"/>
  <c r="J999" i="2"/>
  <c r="K999" i="2" s="1"/>
  <c r="B1000" i="2"/>
  <c r="A1000" i="2"/>
  <c r="D990" i="2"/>
  <c r="D991" i="2" s="1"/>
  <c r="D992" i="2" s="1"/>
  <c r="D993" i="2" s="1"/>
  <c r="D994" i="2" s="1"/>
  <c r="D995" i="2" s="1"/>
  <c r="D996" i="2" s="1"/>
  <c r="D997" i="2" s="1"/>
  <c r="D998" i="2" s="1"/>
  <c r="D999" i="2" s="1"/>
  <c r="G1000" i="2"/>
  <c r="E1000" i="2"/>
  <c r="I1000" i="2"/>
  <c r="C1001" i="2"/>
  <c r="E704" i="2"/>
  <c r="M1000" i="2"/>
  <c r="F1000" i="2"/>
  <c r="H1000" i="2"/>
  <c r="L1000" i="2" l="1"/>
  <c r="L704" i="2"/>
  <c r="D1000" i="2"/>
  <c r="J1000" i="2"/>
  <c r="K1000" i="2" s="1"/>
  <c r="A1001" i="2"/>
  <c r="B1001" i="2"/>
  <c r="E705" i="2"/>
  <c r="M1001" i="2"/>
  <c r="G1001" i="2"/>
  <c r="I1001" i="2"/>
  <c r="H1001" i="2"/>
  <c r="F1001" i="2"/>
  <c r="E1001" i="2"/>
  <c r="C1002" i="2"/>
  <c r="L1001" i="2" l="1"/>
  <c r="L705" i="2"/>
  <c r="D1001" i="2"/>
  <c r="J1001" i="2"/>
  <c r="K1001" i="2" s="1"/>
  <c r="B1002" i="2"/>
  <c r="A1002" i="2"/>
  <c r="F1002" i="2"/>
  <c r="G1002" i="2"/>
  <c r="M1002" i="2"/>
  <c r="I1002" i="2"/>
  <c r="E706" i="2"/>
  <c r="H1002" i="2"/>
  <c r="E1002" i="2"/>
  <c r="C1003" i="2"/>
  <c r="L706" i="2" l="1"/>
  <c r="L1002" i="2"/>
  <c r="D1002" i="2"/>
  <c r="J1002" i="2"/>
  <c r="K1002" i="2" s="1"/>
  <c r="A1003" i="2"/>
  <c r="B1003" i="2"/>
  <c r="D706" i="2"/>
  <c r="D707" i="2" s="1"/>
  <c r="D708" i="2" s="1"/>
  <c r="D709" i="2" s="1"/>
  <c r="D710" i="2" s="1"/>
  <c r="D711" i="2" s="1"/>
  <c r="D712" i="2" s="1"/>
  <c r="D713" i="2" s="1"/>
  <c r="D714" i="2" s="1"/>
  <c r="D715" i="2" s="1"/>
  <c r="D716" i="2" s="1"/>
  <c r="D717" i="2" s="1"/>
  <c r="D718" i="2" s="1"/>
  <c r="D719" i="2" s="1"/>
  <c r="D720" i="2" s="1"/>
  <c r="D721" i="2" s="1"/>
  <c r="D722" i="2" s="1"/>
  <c r="D723" i="2" s="1"/>
  <c r="D724" i="2" s="1"/>
  <c r="D725" i="2" s="1"/>
  <c r="D726" i="2" s="1"/>
  <c r="D727" i="2" s="1"/>
  <c r="D728" i="2" s="1"/>
  <c r="D729" i="2" s="1"/>
  <c r="D730" i="2" s="1"/>
  <c r="D731" i="2" s="1"/>
  <c r="D732" i="2" s="1"/>
  <c r="M1003" i="2"/>
  <c r="H1003" i="2"/>
  <c r="E1003" i="2"/>
  <c r="I1003" i="2"/>
  <c r="F1003" i="2"/>
  <c r="G1003" i="2"/>
  <c r="C1004" i="2"/>
  <c r="L1003" i="2" l="1"/>
  <c r="D1003" i="2"/>
  <c r="J1003" i="2"/>
  <c r="K1003" i="2" s="1"/>
  <c r="A1004" i="2"/>
  <c r="B1004" i="2"/>
  <c r="E1004" i="2"/>
  <c r="F1004" i="2"/>
  <c r="G1004" i="2"/>
  <c r="H1004" i="2"/>
  <c r="I1004" i="2"/>
  <c r="M1004" i="2"/>
  <c r="E667" i="2"/>
  <c r="C1005" i="2"/>
  <c r="L667" i="2" l="1"/>
  <c r="L1004" i="2"/>
  <c r="D1004" i="2"/>
  <c r="J1004" i="2"/>
  <c r="K1004" i="2" s="1"/>
  <c r="A1005" i="2"/>
  <c r="B1005" i="2"/>
  <c r="E1005" i="2"/>
  <c r="E668" i="2"/>
  <c r="F1005" i="2"/>
  <c r="G1005" i="2"/>
  <c r="M1005" i="2"/>
  <c r="I1005" i="2"/>
  <c r="H1005" i="2"/>
  <c r="C1006" i="2"/>
  <c r="L668" i="2" l="1"/>
  <c r="L1005" i="2"/>
  <c r="J1005" i="2"/>
  <c r="K1005" i="2" s="1"/>
  <c r="D1005" i="2"/>
  <c r="B1006" i="2"/>
  <c r="A1006" i="2"/>
  <c r="E1006" i="2"/>
  <c r="F1006" i="2"/>
  <c r="H1006" i="2"/>
  <c r="E669" i="2"/>
  <c r="M1006" i="2"/>
  <c r="I1006" i="2"/>
  <c r="G1006" i="2"/>
  <c r="C1007" i="2"/>
  <c r="L1006" i="2" l="1"/>
  <c r="L669" i="2"/>
  <c r="D1006" i="2"/>
  <c r="J1006" i="2"/>
  <c r="K1006" i="2" s="1"/>
  <c r="A1007" i="2"/>
  <c r="B1007" i="2"/>
  <c r="M1007" i="2"/>
  <c r="G1007" i="2"/>
  <c r="H1007" i="2"/>
  <c r="C1008" i="2"/>
  <c r="E1007" i="2"/>
  <c r="I1007" i="2"/>
  <c r="E624" i="2"/>
  <c r="F1007" i="2"/>
  <c r="L1007" i="2" l="1"/>
  <c r="L624" i="2"/>
  <c r="J1007" i="2"/>
  <c r="K1007" i="2" s="1"/>
  <c r="D1007" i="2"/>
  <c r="B1008" i="2"/>
  <c r="A1008" i="2"/>
  <c r="I1008" i="2"/>
  <c r="H1008" i="2"/>
  <c r="M1008" i="2"/>
  <c r="F1008" i="2"/>
  <c r="E1008" i="2"/>
  <c r="E625" i="2"/>
  <c r="G1008" i="2"/>
  <c r="C1009" i="2"/>
  <c r="L1008" i="2" l="1"/>
  <c r="L625" i="2"/>
  <c r="D1008" i="2"/>
  <c r="J1008" i="2"/>
  <c r="K1008" i="2" s="1"/>
  <c r="A1009" i="2"/>
  <c r="B1009" i="2"/>
  <c r="F1009" i="2"/>
  <c r="G1009" i="2"/>
  <c r="I1009" i="2"/>
  <c r="E641" i="2"/>
  <c r="E1009" i="2"/>
  <c r="M1009" i="2"/>
  <c r="H1009" i="2"/>
  <c r="C1010" i="2"/>
  <c r="L1009" i="2" l="1"/>
  <c r="L641" i="2"/>
  <c r="J1009" i="2"/>
  <c r="K1009" i="2" s="1"/>
  <c r="D1009" i="2"/>
  <c r="B1010" i="2"/>
  <c r="A1010" i="2"/>
  <c r="F1010" i="2"/>
  <c r="H1010" i="2"/>
  <c r="M1010" i="2"/>
  <c r="I1010" i="2"/>
  <c r="E1010" i="2"/>
  <c r="E642" i="2"/>
  <c r="G1010" i="2"/>
  <c r="C1011" i="2"/>
  <c r="L642" i="2" l="1"/>
  <c r="L1010" i="2"/>
  <c r="J1010" i="2"/>
  <c r="K1010" i="2" s="1"/>
  <c r="D1010" i="2"/>
  <c r="A1011" i="2"/>
  <c r="B1011" i="2"/>
  <c r="E1011" i="2"/>
  <c r="M1011" i="2"/>
  <c r="H1011" i="2"/>
  <c r="F1011" i="2"/>
  <c r="G1011" i="2"/>
  <c r="E643" i="2"/>
  <c r="I1011" i="2"/>
  <c r="C1012" i="2"/>
  <c r="L643" i="2" l="1"/>
  <c r="L1011" i="2"/>
  <c r="J1011" i="2"/>
  <c r="K1011" i="2" s="1"/>
  <c r="D1011" i="2"/>
  <c r="B1012" i="2"/>
  <c r="A1012" i="2"/>
  <c r="F1012" i="2"/>
  <c r="H1012" i="2"/>
  <c r="E1012" i="2"/>
  <c r="M1012" i="2"/>
  <c r="G1012" i="2"/>
  <c r="I1012" i="2"/>
  <c r="E626" i="2"/>
  <c r="C1013" i="2"/>
  <c r="L626" i="2" l="1"/>
  <c r="L1012" i="2"/>
  <c r="J1012" i="2"/>
  <c r="K1012" i="2" s="1"/>
  <c r="D1012" i="2"/>
  <c r="A1013" i="2"/>
  <c r="B1013" i="2"/>
  <c r="M1013" i="2"/>
  <c r="E627" i="2"/>
  <c r="H1013" i="2"/>
  <c r="I1013" i="2"/>
  <c r="F1013" i="2"/>
  <c r="G1013" i="2"/>
  <c r="E1013" i="2"/>
  <c r="C1014" i="2"/>
  <c r="L627" i="2" l="1"/>
  <c r="L1013" i="2"/>
  <c r="D1013" i="2"/>
  <c r="J1013" i="2"/>
  <c r="K1013" i="2" s="1"/>
  <c r="B1014" i="2"/>
  <c r="A1014" i="2"/>
  <c r="E628" i="2"/>
  <c r="F1014" i="2"/>
  <c r="E1014" i="2"/>
  <c r="C1015" i="2"/>
  <c r="G1014" i="2"/>
  <c r="H1014" i="2"/>
  <c r="I1014" i="2"/>
  <c r="M1014" i="2"/>
  <c r="L628" i="2" l="1"/>
  <c r="L1014" i="2"/>
  <c r="D1014" i="2"/>
  <c r="J1014" i="2"/>
  <c r="K1014" i="2" s="1"/>
  <c r="A1015" i="2"/>
  <c r="B1015" i="2"/>
  <c r="M1015" i="2"/>
  <c r="E664" i="2"/>
  <c r="I1015" i="2"/>
  <c r="F1015" i="2"/>
  <c r="G1015" i="2"/>
  <c r="H1015" i="2"/>
  <c r="E1015" i="2"/>
  <c r="C1016" i="2"/>
  <c r="L664" i="2" l="1"/>
  <c r="L1015" i="2"/>
  <c r="J1015" i="2"/>
  <c r="K1015" i="2" s="1"/>
  <c r="D1015" i="2"/>
  <c r="B1016" i="2"/>
  <c r="A1016" i="2"/>
  <c r="H1016" i="2"/>
  <c r="E665" i="2"/>
  <c r="M1016" i="2"/>
  <c r="F1016" i="2"/>
  <c r="E1016" i="2"/>
  <c r="G1016" i="2"/>
  <c r="I1016" i="2"/>
  <c r="C1017" i="2"/>
  <c r="L1016" i="2" l="1"/>
  <c r="L665" i="2"/>
  <c r="D1016" i="2"/>
  <c r="J1016" i="2"/>
  <c r="K1016" i="2" s="1"/>
  <c r="A1017" i="2"/>
  <c r="B1017" i="2"/>
  <c r="E1017" i="2"/>
  <c r="I1017" i="2"/>
  <c r="G1017" i="2"/>
  <c r="E666" i="2"/>
  <c r="M1017" i="2"/>
  <c r="F1017" i="2"/>
  <c r="H1017" i="2"/>
  <c r="C1018" i="2"/>
  <c r="L1017" i="2" l="1"/>
  <c r="L666" i="2"/>
  <c r="D1017" i="2"/>
  <c r="J1017" i="2"/>
  <c r="K1017" i="2" s="1"/>
  <c r="B1018" i="2"/>
  <c r="A1018" i="2"/>
  <c r="G1018" i="2"/>
  <c r="F1018" i="2"/>
  <c r="M1018" i="2"/>
  <c r="H1018" i="2"/>
  <c r="I1018" i="2"/>
  <c r="E661" i="2"/>
  <c r="E1018" i="2"/>
  <c r="C1019" i="2"/>
  <c r="L661" i="2" l="1"/>
  <c r="L1018" i="2"/>
  <c r="J1018" i="2"/>
  <c r="K1018" i="2" s="1"/>
  <c r="D1018" i="2"/>
  <c r="A1019" i="2"/>
  <c r="B1019" i="2"/>
  <c r="M1019" i="2"/>
  <c r="E1019" i="2"/>
  <c r="H1019" i="2"/>
  <c r="G1019" i="2"/>
  <c r="E662" i="2"/>
  <c r="I1019" i="2"/>
  <c r="F1019" i="2"/>
  <c r="C1020" i="2"/>
  <c r="L1019" i="2" l="1"/>
  <c r="L662" i="2"/>
  <c r="J1019" i="2"/>
  <c r="K1019" i="2" s="1"/>
  <c r="D1019" i="2"/>
  <c r="A1020" i="2"/>
  <c r="B1020" i="2"/>
  <c r="E663" i="2"/>
  <c r="F1020" i="2"/>
  <c r="E1020" i="2"/>
  <c r="M1020" i="2"/>
  <c r="H1020" i="2"/>
  <c r="I1020" i="2"/>
  <c r="G1020" i="2"/>
  <c r="C1021" i="2"/>
  <c r="L663" i="2" l="1"/>
  <c r="L1020" i="2"/>
  <c r="J1020" i="2"/>
  <c r="K1020" i="2" s="1"/>
  <c r="D1020" i="2"/>
  <c r="A1021" i="2"/>
  <c r="B1021" i="2"/>
  <c r="G1021" i="2"/>
  <c r="E1021" i="2"/>
  <c r="M1021" i="2"/>
  <c r="I1021" i="2"/>
  <c r="H1021" i="2"/>
  <c r="E658" i="2"/>
  <c r="F1021" i="2"/>
  <c r="C1022" i="2"/>
  <c r="L1021" i="2" l="1"/>
  <c r="L658" i="2"/>
  <c r="D1021" i="2"/>
  <c r="J1021" i="2"/>
  <c r="K1021" i="2" s="1"/>
  <c r="B1022" i="2"/>
  <c r="A1022" i="2"/>
  <c r="G1022" i="2"/>
  <c r="M1022" i="2"/>
  <c r="H1022" i="2"/>
  <c r="C1023" i="2"/>
  <c r="E659" i="2"/>
  <c r="F1022" i="2"/>
  <c r="E1022" i="2"/>
  <c r="I1022" i="2"/>
  <c r="L1022" i="2" l="1"/>
  <c r="L659" i="2"/>
  <c r="D1022" i="2"/>
  <c r="J1022" i="2"/>
  <c r="K1022" i="2" s="1"/>
  <c r="A1023" i="2"/>
  <c r="B1023" i="2"/>
  <c r="G1023" i="2"/>
  <c r="M1023" i="2"/>
  <c r="H1023" i="2"/>
  <c r="F1023" i="2"/>
  <c r="E660" i="2"/>
  <c r="I1023" i="2"/>
  <c r="E1023" i="2"/>
  <c r="C1024" i="2"/>
  <c r="L1023" i="2" l="1"/>
  <c r="L660" i="2"/>
  <c r="D1023" i="2"/>
  <c r="J1023" i="2"/>
  <c r="K1023" i="2" s="1"/>
  <c r="B1024" i="2"/>
  <c r="A1024" i="2"/>
  <c r="F1024" i="2"/>
  <c r="H1024" i="2"/>
  <c r="G1024" i="2"/>
  <c r="M1024" i="2"/>
  <c r="E655" i="2"/>
  <c r="E1024" i="2"/>
  <c r="I1024" i="2"/>
  <c r="C1025" i="2"/>
  <c r="L655" i="2" l="1"/>
  <c r="L1024" i="2"/>
  <c r="J1024" i="2"/>
  <c r="K1024" i="2" s="1"/>
  <c r="D1024" i="2"/>
  <c r="A1025" i="2"/>
  <c r="B1025" i="2"/>
  <c r="H1025" i="2"/>
  <c r="M1025" i="2"/>
  <c r="E656" i="2"/>
  <c r="C1026" i="2"/>
  <c r="F1025" i="2"/>
  <c r="G1025" i="2"/>
  <c r="I1025" i="2"/>
  <c r="E1025" i="2"/>
  <c r="L656" i="2" l="1"/>
  <c r="L1025" i="2"/>
  <c r="D1025" i="2"/>
  <c r="J1025" i="2"/>
  <c r="K1025" i="2" s="1"/>
  <c r="B1026" i="2"/>
  <c r="A1026" i="2"/>
  <c r="E1026" i="2"/>
  <c r="M1026" i="2"/>
  <c r="G1026" i="2"/>
  <c r="I1026" i="2"/>
  <c r="E657" i="2"/>
  <c r="H1026" i="2"/>
  <c r="F1026" i="2"/>
  <c r="C1027" i="2"/>
  <c r="L1026" i="2" l="1"/>
  <c r="L657" i="2"/>
  <c r="J1026" i="2"/>
  <c r="K1026" i="2" s="1"/>
  <c r="D1026" i="2"/>
  <c r="A1027" i="2"/>
  <c r="B1027" i="2"/>
  <c r="M1027" i="2"/>
  <c r="E1027" i="2"/>
  <c r="F1027" i="2"/>
  <c r="H1027" i="2"/>
  <c r="G1027" i="2"/>
  <c r="E653" i="2"/>
  <c r="I1027" i="2"/>
  <c r="C1028" i="2"/>
  <c r="L1027" i="2" l="1"/>
  <c r="L653" i="2"/>
  <c r="D1027" i="2"/>
  <c r="J1027" i="2"/>
  <c r="K1027" i="2" s="1"/>
  <c r="B1028" i="2"/>
  <c r="A1028" i="2"/>
  <c r="G1028" i="2"/>
  <c r="M1028" i="2"/>
  <c r="E1028" i="2"/>
  <c r="F1028" i="2"/>
  <c r="I1028" i="2"/>
  <c r="H1028" i="2"/>
  <c r="E654" i="2"/>
  <c r="C1029" i="2"/>
  <c r="L1028" i="2" l="1"/>
  <c r="L654" i="2"/>
  <c r="D1028" i="2"/>
  <c r="J1028" i="2"/>
  <c r="K1028" i="2" s="1"/>
  <c r="A1029" i="2"/>
  <c r="B1029" i="2"/>
  <c r="H1029" i="2"/>
  <c r="E650" i="2"/>
  <c r="M1029" i="2"/>
  <c r="G1029" i="2"/>
  <c r="E1029" i="2"/>
  <c r="F1029" i="2"/>
  <c r="I1029" i="2"/>
  <c r="C1030" i="2"/>
  <c r="L1029" i="2" l="1"/>
  <c r="L650" i="2"/>
  <c r="J1029" i="2"/>
  <c r="K1029" i="2" s="1"/>
  <c r="D1029" i="2"/>
  <c r="B1030" i="2"/>
  <c r="A1030" i="2"/>
  <c r="G1030" i="2"/>
  <c r="E1030" i="2"/>
  <c r="H1030" i="2"/>
  <c r="M1030" i="2"/>
  <c r="E651" i="2"/>
  <c r="F1030" i="2"/>
  <c r="I1030" i="2"/>
  <c r="C1031" i="2"/>
  <c r="L1030" i="2" l="1"/>
  <c r="L651" i="2"/>
  <c r="D1030" i="2"/>
  <c r="J1030" i="2"/>
  <c r="K1030" i="2" s="1"/>
  <c r="A1031" i="2"/>
  <c r="B1031" i="2"/>
  <c r="I1031" i="2"/>
  <c r="E652" i="2"/>
  <c r="G1031" i="2"/>
  <c r="E1031" i="2"/>
  <c r="H1031" i="2"/>
  <c r="F1031" i="2"/>
  <c r="M1031" i="2"/>
  <c r="C1032" i="2"/>
  <c r="L652" i="2" l="1"/>
  <c r="L1031" i="2"/>
  <c r="D1031" i="2"/>
  <c r="J1031" i="2"/>
  <c r="K1031" i="2" s="1"/>
  <c r="B1032" i="2"/>
  <c r="A1032" i="2"/>
  <c r="M1032" i="2"/>
  <c r="H1032" i="2"/>
  <c r="I1032" i="2"/>
  <c r="E647" i="2"/>
  <c r="G1032" i="2"/>
  <c r="E1032" i="2"/>
  <c r="F1032" i="2"/>
  <c r="C1033" i="2"/>
  <c r="L647" i="2" l="1"/>
  <c r="L1032" i="2"/>
  <c r="J1032" i="2"/>
  <c r="K1032" i="2" s="1"/>
  <c r="D1032" i="2"/>
  <c r="A1033" i="2"/>
  <c r="B1033" i="2"/>
  <c r="M1033" i="2"/>
  <c r="F1033" i="2"/>
  <c r="E648" i="2"/>
  <c r="H1033" i="2"/>
  <c r="I1033" i="2"/>
  <c r="G1033" i="2"/>
  <c r="E1033" i="2"/>
  <c r="C1034" i="2"/>
  <c r="L1033" i="2" l="1"/>
  <c r="L648" i="2"/>
  <c r="D1033" i="2"/>
  <c r="J1033" i="2"/>
  <c r="K1033" i="2" s="1"/>
  <c r="B1034" i="2"/>
  <c r="A1034" i="2"/>
  <c r="E649" i="2"/>
  <c r="H1034" i="2"/>
  <c r="I1034" i="2"/>
  <c r="E1034" i="2"/>
  <c r="F1034" i="2"/>
  <c r="M1034" i="2"/>
  <c r="G1034" i="2"/>
  <c r="C1035" i="2"/>
  <c r="L649" i="2" l="1"/>
  <c r="L1034" i="2"/>
  <c r="D1034" i="2"/>
  <c r="J1034" i="2"/>
  <c r="K1034" i="2" s="1"/>
  <c r="A1035" i="2"/>
  <c r="B1035" i="2"/>
  <c r="H1035" i="2"/>
  <c r="F1035" i="2"/>
  <c r="I1035" i="2"/>
  <c r="M1035" i="2"/>
  <c r="E644" i="2"/>
  <c r="G1035" i="2"/>
  <c r="E1035" i="2"/>
  <c r="C1036" i="2"/>
  <c r="L644" i="2" l="1"/>
  <c r="L1035" i="2"/>
  <c r="J1035" i="2"/>
  <c r="K1035" i="2" s="1"/>
  <c r="D1035" i="2"/>
  <c r="A1036" i="2"/>
  <c r="B1036" i="2"/>
  <c r="G1036" i="2"/>
  <c r="H1036" i="2"/>
  <c r="F1036" i="2"/>
  <c r="M1036" i="2"/>
  <c r="I1036" i="2"/>
  <c r="E645" i="2"/>
  <c r="E1036" i="2"/>
  <c r="C1037" i="2"/>
  <c r="L1036" i="2" l="1"/>
  <c r="L645" i="2"/>
  <c r="J1036" i="2"/>
  <c r="K1036" i="2" s="1"/>
  <c r="D1036" i="2"/>
  <c r="A1037" i="2"/>
  <c r="B1037" i="2"/>
  <c r="M1037" i="2"/>
  <c r="G1037" i="2"/>
  <c r="E1037" i="2"/>
  <c r="I1037" i="2"/>
  <c r="F1037" i="2"/>
  <c r="H1037" i="2"/>
  <c r="E646" i="2"/>
  <c r="C1038" i="2"/>
  <c r="L646" i="2" l="1"/>
  <c r="L1037" i="2"/>
  <c r="J1037" i="2"/>
  <c r="K1037" i="2" s="1"/>
  <c r="D1037" i="2"/>
  <c r="B1038" i="2"/>
  <c r="A1038" i="2"/>
  <c r="G1038" i="2"/>
  <c r="E638" i="2"/>
  <c r="H1038" i="2"/>
  <c r="I1038" i="2"/>
  <c r="E1038" i="2"/>
  <c r="M1038" i="2"/>
  <c r="F1038" i="2"/>
  <c r="C1039" i="2"/>
  <c r="L638" i="2" l="1"/>
  <c r="L1038" i="2"/>
  <c r="D1038" i="2"/>
  <c r="J1038" i="2"/>
  <c r="K1038" i="2" s="1"/>
  <c r="A1039" i="2"/>
  <c r="B1039" i="2"/>
  <c r="F1039" i="2"/>
  <c r="I1039" i="2"/>
  <c r="H1039" i="2"/>
  <c r="E639" i="2"/>
  <c r="G1039" i="2"/>
  <c r="E1039" i="2"/>
  <c r="M1039" i="2"/>
  <c r="C1040" i="2"/>
  <c r="L1039" i="2" l="1"/>
  <c r="L639" i="2"/>
  <c r="D1039" i="2"/>
  <c r="J1039" i="2"/>
  <c r="K1039" i="2" s="1"/>
  <c r="B1040" i="2"/>
  <c r="A1040" i="2"/>
  <c r="E640" i="2"/>
  <c r="M1040" i="2"/>
  <c r="I1040" i="2"/>
  <c r="G1040" i="2"/>
  <c r="E1040" i="2"/>
  <c r="F1040" i="2"/>
  <c r="H1040" i="2"/>
  <c r="C1041" i="2"/>
  <c r="L1040" i="2" l="1"/>
  <c r="L640" i="2"/>
  <c r="D1040" i="2"/>
  <c r="J1040" i="2"/>
  <c r="K1040" i="2" s="1"/>
  <c r="A1041" i="2"/>
  <c r="B1041" i="2"/>
  <c r="G1041" i="2"/>
  <c r="I1041" i="2"/>
  <c r="F1041" i="2"/>
  <c r="C1042" i="2"/>
  <c r="M1041" i="2"/>
  <c r="E636" i="2"/>
  <c r="H1041" i="2"/>
  <c r="E1041" i="2"/>
  <c r="L636" i="2" l="1"/>
  <c r="L1041" i="2"/>
  <c r="J1041" i="2"/>
  <c r="K1041" i="2" s="1"/>
  <c r="D1041" i="2"/>
  <c r="B1042" i="2"/>
  <c r="A1042" i="2"/>
  <c r="M1042" i="2"/>
  <c r="H1042" i="2"/>
  <c r="E1042" i="2"/>
  <c r="G1042" i="2"/>
  <c r="E637" i="2"/>
  <c r="I1042" i="2"/>
  <c r="F1042" i="2"/>
  <c r="C1043" i="2"/>
  <c r="L637" i="2" l="1"/>
  <c r="L1042" i="2"/>
  <c r="D1042" i="2"/>
  <c r="J1042" i="2"/>
  <c r="K1042" i="2" s="1"/>
  <c r="A1043" i="2"/>
  <c r="B1043" i="2"/>
  <c r="E634" i="2"/>
  <c r="M1043" i="2"/>
  <c r="I1043" i="2"/>
  <c r="C1044" i="2"/>
  <c r="H1043" i="2"/>
  <c r="G1043" i="2"/>
  <c r="E1043" i="2"/>
  <c r="F1043" i="2"/>
  <c r="L1043" i="2" l="1"/>
  <c r="L634" i="2"/>
  <c r="D1043" i="2"/>
  <c r="J1043" i="2"/>
  <c r="K1043" i="2" s="1"/>
  <c r="B1044" i="2"/>
  <c r="A1044" i="2"/>
  <c r="E635" i="2"/>
  <c r="F1044" i="2"/>
  <c r="M1044" i="2"/>
  <c r="I1044" i="2"/>
  <c r="H1044" i="2"/>
  <c r="G1044" i="2"/>
  <c r="E1044" i="2"/>
  <c r="C1045" i="2"/>
  <c r="L1044" i="2" l="1"/>
  <c r="L635" i="2"/>
  <c r="J1044" i="2"/>
  <c r="K1044" i="2" s="1"/>
  <c r="D1044" i="2"/>
  <c r="A1045" i="2"/>
  <c r="B1045" i="2"/>
  <c r="I1045" i="2"/>
  <c r="H1045" i="2"/>
  <c r="G1045" i="2"/>
  <c r="F1045" i="2"/>
  <c r="E1045" i="2"/>
  <c r="E631" i="2"/>
  <c r="M1045" i="2"/>
  <c r="C1046" i="2"/>
  <c r="L631" i="2" l="1"/>
  <c r="L1045" i="2"/>
  <c r="D1045" i="2"/>
  <c r="J1045" i="2"/>
  <c r="K1045" i="2" s="1"/>
  <c r="B1046" i="2"/>
  <c r="A1046" i="2"/>
  <c r="M1046" i="2"/>
  <c r="E632" i="2"/>
  <c r="G1046" i="2"/>
  <c r="I1046" i="2"/>
  <c r="E1046" i="2"/>
  <c r="H1046" i="2"/>
  <c r="F1046" i="2"/>
  <c r="C1047" i="2"/>
  <c r="L632" i="2" l="1"/>
  <c r="L1046" i="2"/>
  <c r="J1046" i="2"/>
  <c r="K1046" i="2" s="1"/>
  <c r="D1046" i="2"/>
  <c r="A1047" i="2"/>
  <c r="B1047" i="2"/>
  <c r="H1047" i="2"/>
  <c r="E633" i="2"/>
  <c r="M1047" i="2"/>
  <c r="C1048" i="2"/>
  <c r="E1047" i="2"/>
  <c r="G1047" i="2"/>
  <c r="I1047" i="2"/>
  <c r="F1047" i="2"/>
  <c r="L1047" i="2" l="1"/>
  <c r="L633" i="2"/>
  <c r="J1047" i="2"/>
  <c r="K1047" i="2" s="1"/>
  <c r="D1047" i="2"/>
  <c r="B1048" i="2"/>
  <c r="A1048" i="2"/>
  <c r="I1048" i="2"/>
  <c r="M1048" i="2"/>
  <c r="E1048" i="2"/>
  <c r="H1048" i="2"/>
  <c r="G1048" i="2"/>
  <c r="E629" i="2"/>
  <c r="F1048" i="2"/>
  <c r="C1049" i="2"/>
  <c r="L1048" i="2" l="1"/>
  <c r="L629" i="2"/>
  <c r="D1048" i="2"/>
  <c r="J1048" i="2"/>
  <c r="K1048" i="2" s="1"/>
  <c r="A1049" i="2"/>
  <c r="B1049" i="2"/>
  <c r="E1049" i="2"/>
  <c r="F1049" i="2"/>
  <c r="G1049" i="2"/>
  <c r="H1049" i="2"/>
  <c r="I1049" i="2"/>
  <c r="M1049" i="2"/>
  <c r="E630" i="2"/>
  <c r="C1050" i="2"/>
  <c r="L1049" i="2" l="1"/>
  <c r="L630" i="2"/>
  <c r="J1049" i="2"/>
  <c r="K1049" i="2" s="1"/>
  <c r="D1049" i="2"/>
  <c r="B1050" i="2"/>
  <c r="A1050" i="2"/>
  <c r="M1050" i="2"/>
  <c r="H1050" i="2"/>
  <c r="F1050" i="2"/>
  <c r="C1051" i="2"/>
  <c r="G1050" i="2"/>
  <c r="I1050" i="2"/>
  <c r="E1050" i="2"/>
  <c r="E610" i="2"/>
  <c r="L1050" i="2" l="1"/>
  <c r="L610" i="2"/>
  <c r="J1050" i="2"/>
  <c r="K1050" i="2" s="1"/>
  <c r="D1050" i="2"/>
  <c r="A1051" i="2"/>
  <c r="B1051" i="2"/>
  <c r="I1051" i="2"/>
  <c r="E1051" i="2"/>
  <c r="E611" i="2"/>
  <c r="H1051" i="2"/>
  <c r="M1051" i="2"/>
  <c r="G1051" i="2"/>
  <c r="F1051" i="2"/>
  <c r="C1052" i="2"/>
  <c r="L611" i="2" l="1"/>
  <c r="L1051" i="2"/>
  <c r="D1051" i="2"/>
  <c r="J1051" i="2"/>
  <c r="K1051" i="2" s="1"/>
  <c r="A1052" i="2"/>
  <c r="B1052" i="2"/>
  <c r="I1052" i="2"/>
  <c r="F1052" i="2"/>
  <c r="M1052" i="2"/>
  <c r="E539" i="2"/>
  <c r="E1052" i="2"/>
  <c r="G1052" i="2"/>
  <c r="H1052" i="2"/>
  <c r="C1053" i="2"/>
  <c r="L539" i="2" l="1"/>
  <c r="L1052" i="2"/>
  <c r="J1052" i="2"/>
  <c r="K1052" i="2" s="1"/>
  <c r="D1052" i="2"/>
  <c r="A1053" i="2"/>
  <c r="B1053" i="2"/>
  <c r="F1053" i="2"/>
  <c r="H1053" i="2"/>
  <c r="E1053" i="2"/>
  <c r="G1053" i="2"/>
  <c r="I1053" i="2"/>
  <c r="E540" i="2"/>
  <c r="M1053" i="2"/>
  <c r="C1054" i="2"/>
  <c r="L1053" i="2" l="1"/>
  <c r="L540" i="2"/>
  <c r="D1053" i="2"/>
  <c r="J1053" i="2"/>
  <c r="K1053" i="2" s="1"/>
  <c r="B1054" i="2"/>
  <c r="A1054" i="2"/>
  <c r="I1054" i="2"/>
  <c r="M1054" i="2"/>
  <c r="H1054" i="2"/>
  <c r="E537" i="2"/>
  <c r="G1054" i="2"/>
  <c r="E1054" i="2"/>
  <c r="F1054" i="2"/>
  <c r="C1055" i="2"/>
  <c r="L1054" i="2" l="1"/>
  <c r="L537" i="2"/>
  <c r="J1054" i="2"/>
  <c r="K1054" i="2" s="1"/>
  <c r="D1054" i="2"/>
  <c r="A1055" i="2"/>
  <c r="B1055" i="2"/>
  <c r="E1055" i="2"/>
  <c r="E538" i="2"/>
  <c r="M1055" i="2"/>
  <c r="H1055" i="2"/>
  <c r="F1055" i="2"/>
  <c r="I1055" i="2"/>
  <c r="G1055" i="2"/>
  <c r="C1056" i="2"/>
  <c r="L1055" i="2" l="1"/>
  <c r="L538" i="2"/>
  <c r="D1055" i="2"/>
  <c r="J1055" i="2"/>
  <c r="K1055" i="2" s="1"/>
  <c r="A1056" i="2"/>
  <c r="B1056" i="2"/>
  <c r="H1056" i="2"/>
  <c r="E1056" i="2"/>
  <c r="M1056" i="2"/>
  <c r="G1056" i="2"/>
  <c r="E616" i="2"/>
  <c r="F1056" i="2"/>
  <c r="I1056" i="2"/>
  <c r="C1057" i="2"/>
  <c r="L616" i="2" l="1"/>
  <c r="L1056" i="2"/>
  <c r="D1056" i="2"/>
  <c r="J1056" i="2"/>
  <c r="K1056" i="2" s="1"/>
  <c r="A1057" i="2"/>
  <c r="B1057" i="2"/>
  <c r="H1057" i="2"/>
  <c r="F1057" i="2"/>
  <c r="I1057" i="2"/>
  <c r="G1057" i="2"/>
  <c r="E617" i="2"/>
  <c r="M1057" i="2"/>
  <c r="C1058" i="2"/>
  <c r="E1057" i="2"/>
  <c r="L1057" i="2" l="1"/>
  <c r="L617" i="2"/>
  <c r="J1057" i="2"/>
  <c r="K1057" i="2" s="1"/>
  <c r="D1057" i="2"/>
  <c r="B1058" i="2"/>
  <c r="A1058" i="2"/>
  <c r="G1058" i="2"/>
  <c r="E1058" i="2"/>
  <c r="F1058" i="2"/>
  <c r="E614" i="2"/>
  <c r="H1058" i="2"/>
  <c r="M1058" i="2"/>
  <c r="I1058" i="2"/>
  <c r="C1059" i="2"/>
  <c r="L614" i="2" l="1"/>
  <c r="L1058" i="2"/>
  <c r="D1058" i="2"/>
  <c r="J1058" i="2"/>
  <c r="K1058" i="2" s="1"/>
  <c r="A1059" i="2"/>
  <c r="B1059" i="2"/>
  <c r="H1059" i="2"/>
  <c r="I1059" i="2"/>
  <c r="G1059" i="2"/>
  <c r="E615" i="2"/>
  <c r="M1059" i="2"/>
  <c r="E1059" i="2"/>
  <c r="F1059" i="2"/>
  <c r="C1060" i="2"/>
  <c r="L1059" i="2" l="1"/>
  <c r="L615" i="2"/>
  <c r="J1059" i="2"/>
  <c r="K1059" i="2" s="1"/>
  <c r="D1059" i="2"/>
  <c r="B1060" i="2"/>
  <c r="A1060" i="2"/>
  <c r="M1060" i="2"/>
  <c r="E608" i="2"/>
  <c r="E1060" i="2"/>
  <c r="F1060" i="2"/>
  <c r="H1060" i="2"/>
  <c r="G1060" i="2"/>
  <c r="I1060" i="2"/>
  <c r="C1061" i="2"/>
  <c r="L608" i="2" l="1"/>
  <c r="L1060" i="2"/>
  <c r="D1060" i="2"/>
  <c r="J1060" i="2"/>
  <c r="K1060" i="2" s="1"/>
  <c r="A1061" i="2"/>
  <c r="B1061" i="2"/>
  <c r="E609" i="2"/>
  <c r="E1061" i="2"/>
  <c r="M1061" i="2"/>
  <c r="G1061" i="2"/>
  <c r="H1061" i="2"/>
  <c r="I1061" i="2"/>
  <c r="F1061" i="2"/>
  <c r="C1062" i="2"/>
  <c r="L1061" i="2" l="1"/>
  <c r="L609" i="2"/>
  <c r="D1061" i="2"/>
  <c r="J1061" i="2"/>
  <c r="K1061" i="2" s="1"/>
  <c r="B1062" i="2"/>
  <c r="A1062" i="2"/>
  <c r="M1062" i="2"/>
  <c r="I1062" i="2"/>
  <c r="E605" i="2"/>
  <c r="G1062" i="2"/>
  <c r="E1062" i="2"/>
  <c r="H1062" i="2"/>
  <c r="F1062" i="2"/>
  <c r="C1063" i="2"/>
  <c r="L1062" i="2" l="1"/>
  <c r="L605" i="2"/>
  <c r="D1062" i="2"/>
  <c r="J1062" i="2"/>
  <c r="K1062" i="2" s="1"/>
  <c r="A1063" i="2"/>
  <c r="B1063" i="2"/>
  <c r="E606" i="2"/>
  <c r="I1063" i="2"/>
  <c r="E1063" i="2"/>
  <c r="H1063" i="2"/>
  <c r="F1063" i="2"/>
  <c r="M1063" i="2"/>
  <c r="G1063" i="2"/>
  <c r="C1064" i="2"/>
  <c r="L606" i="2" l="1"/>
  <c r="L1063" i="2"/>
  <c r="J1063" i="2"/>
  <c r="K1063" i="2" s="1"/>
  <c r="D1063" i="2"/>
  <c r="B1064" i="2"/>
  <c r="A1064" i="2"/>
  <c r="E607" i="2"/>
  <c r="F1064" i="2"/>
  <c r="M1064" i="2"/>
  <c r="H1064" i="2"/>
  <c r="E1064" i="2"/>
  <c r="G1064" i="2"/>
  <c r="I1064" i="2"/>
  <c r="C1065" i="2"/>
  <c r="L1064" i="2" l="1"/>
  <c r="L607" i="2"/>
  <c r="D1064" i="2"/>
  <c r="J1064" i="2"/>
  <c r="K1064" i="2" s="1"/>
  <c r="A1065" i="2"/>
  <c r="B1065" i="2"/>
  <c r="G1065" i="2"/>
  <c r="H1065" i="2"/>
  <c r="E1065" i="2"/>
  <c r="M1065" i="2"/>
  <c r="I1065" i="2"/>
  <c r="E603" i="2"/>
  <c r="F1065" i="2"/>
  <c r="C1066" i="2"/>
  <c r="L1065" i="2" l="1"/>
  <c r="L603" i="2"/>
  <c r="D1065" i="2"/>
  <c r="J1065" i="2"/>
  <c r="K1065" i="2" s="1"/>
  <c r="B1066" i="2"/>
  <c r="A1066" i="2"/>
  <c r="E1066" i="2"/>
  <c r="G1066" i="2"/>
  <c r="I1066" i="2"/>
  <c r="M1066" i="2"/>
  <c r="F1066" i="2"/>
  <c r="H1066" i="2"/>
  <c r="E604" i="2"/>
  <c r="C1067" i="2"/>
  <c r="L604" i="2" l="1"/>
  <c r="L1066" i="2"/>
  <c r="D1066" i="2"/>
  <c r="J1066" i="2"/>
  <c r="K1066" i="2" s="1"/>
  <c r="A1067" i="2"/>
  <c r="B1067" i="2"/>
  <c r="M1067" i="2"/>
  <c r="H1067" i="2"/>
  <c r="E600" i="2"/>
  <c r="G1067" i="2"/>
  <c r="I1067" i="2"/>
  <c r="F1067" i="2"/>
  <c r="E1067" i="2"/>
  <c r="C1068" i="2"/>
  <c r="L600" i="2" l="1"/>
  <c r="L1067" i="2"/>
  <c r="D1067" i="2"/>
  <c r="J1067" i="2"/>
  <c r="K1067" i="2" s="1"/>
  <c r="A1068" i="2"/>
  <c r="B1068" i="2"/>
  <c r="F1068" i="2"/>
  <c r="H1068" i="2"/>
  <c r="G1068" i="2"/>
  <c r="M1068" i="2"/>
  <c r="E601" i="2"/>
  <c r="I1068" i="2"/>
  <c r="E1068" i="2"/>
  <c r="C1069" i="2"/>
  <c r="L601" i="2" l="1"/>
  <c r="L1068" i="2"/>
  <c r="D1068" i="2"/>
  <c r="J1068" i="2"/>
  <c r="K1068" i="2" s="1"/>
  <c r="A1069" i="2"/>
  <c r="B1069" i="2"/>
  <c r="F1069" i="2"/>
  <c r="E1069" i="2"/>
  <c r="G1069" i="2"/>
  <c r="M1069" i="2"/>
  <c r="I1069" i="2"/>
  <c r="E602" i="2"/>
  <c r="H1069" i="2"/>
  <c r="C1070" i="2"/>
  <c r="L1069" i="2" l="1"/>
  <c r="L602" i="2"/>
  <c r="J1069" i="2"/>
  <c r="K1069" i="2" s="1"/>
  <c r="D1069" i="2"/>
  <c r="B1070" i="2"/>
  <c r="A1070" i="2"/>
  <c r="G1070" i="2"/>
  <c r="F1070" i="2"/>
  <c r="M1070" i="2"/>
  <c r="H1070" i="2"/>
  <c r="E1070" i="2"/>
  <c r="E597" i="2"/>
  <c r="I1070" i="2"/>
  <c r="C1071" i="2"/>
  <c r="L597" i="2" l="1"/>
  <c r="L1070" i="2"/>
  <c r="J1070" i="2"/>
  <c r="K1070" i="2" s="1"/>
  <c r="D1070" i="2"/>
  <c r="A1071" i="2"/>
  <c r="B1071" i="2"/>
  <c r="E598" i="2"/>
  <c r="G1071" i="2"/>
  <c r="I1071" i="2"/>
  <c r="M1071" i="2"/>
  <c r="H1071" i="2"/>
  <c r="E1071" i="2"/>
  <c r="F1071" i="2"/>
  <c r="C1072" i="2"/>
  <c r="L1071" i="2" l="1"/>
  <c r="L598" i="2"/>
  <c r="J1071" i="2"/>
  <c r="K1071" i="2" s="1"/>
  <c r="D1071" i="2"/>
  <c r="A1072" i="2"/>
  <c r="B1072" i="2"/>
  <c r="I1072" i="2"/>
  <c r="H1072" i="2"/>
  <c r="M1072" i="2"/>
  <c r="E599" i="2"/>
  <c r="F1072" i="2"/>
  <c r="E1072" i="2"/>
  <c r="G1072" i="2"/>
  <c r="C1073" i="2"/>
  <c r="L599" i="2" l="1"/>
  <c r="L1072" i="2"/>
  <c r="J1072" i="2"/>
  <c r="K1072" i="2" s="1"/>
  <c r="D1072" i="2"/>
  <c r="A1073" i="2"/>
  <c r="B1073" i="2"/>
  <c r="F1073" i="2"/>
  <c r="E594" i="2"/>
  <c r="H1073" i="2"/>
  <c r="I1073" i="2"/>
  <c r="G1073" i="2"/>
  <c r="M1073" i="2"/>
  <c r="E1073" i="2"/>
  <c r="C1074" i="2"/>
  <c r="L594" i="2" l="1"/>
  <c r="L1073" i="2"/>
  <c r="D1073" i="2"/>
  <c r="J1073" i="2"/>
  <c r="K1073" i="2" s="1"/>
  <c r="B1074" i="2"/>
  <c r="A1074" i="2"/>
  <c r="E595" i="2"/>
  <c r="E1074" i="2"/>
  <c r="I1074" i="2"/>
  <c r="H1074" i="2"/>
  <c r="M1074" i="2"/>
  <c r="F1074" i="2"/>
  <c r="G1074" i="2"/>
  <c r="C1075" i="2"/>
  <c r="L595" i="2" l="1"/>
  <c r="L1074" i="2"/>
  <c r="J1074" i="2"/>
  <c r="K1074" i="2" s="1"/>
  <c r="D1074" i="2"/>
  <c r="A1075" i="2"/>
  <c r="B1075" i="2"/>
  <c r="E1075" i="2"/>
  <c r="I1075" i="2"/>
  <c r="H1075" i="2"/>
  <c r="G1075" i="2"/>
  <c r="F1075" i="2"/>
  <c r="E596" i="2"/>
  <c r="M1075" i="2"/>
  <c r="C1076" i="2"/>
  <c r="L1075" i="2" l="1"/>
  <c r="L596" i="2"/>
  <c r="J1075" i="2"/>
  <c r="K1075" i="2" s="1"/>
  <c r="D1075" i="2"/>
  <c r="B1076" i="2"/>
  <c r="A1076" i="2"/>
  <c r="I1076" i="2"/>
  <c r="G1076" i="2"/>
  <c r="E591" i="2"/>
  <c r="E1076" i="2"/>
  <c r="M1076" i="2"/>
  <c r="F1076" i="2"/>
  <c r="H1076" i="2"/>
  <c r="C1077" i="2"/>
  <c r="L1076" i="2" l="1"/>
  <c r="L591" i="2"/>
  <c r="J1076" i="2"/>
  <c r="K1076" i="2" s="1"/>
  <c r="D1076" i="2"/>
  <c r="A1077" i="2"/>
  <c r="B1077" i="2"/>
  <c r="F1077" i="2"/>
  <c r="M1077" i="2"/>
  <c r="E592" i="2"/>
  <c r="H1077" i="2"/>
  <c r="E1077" i="2"/>
  <c r="I1077" i="2"/>
  <c r="G1077" i="2"/>
  <c r="C1078" i="2"/>
  <c r="L1077" i="2" l="1"/>
  <c r="L592" i="2"/>
  <c r="D1077" i="2"/>
  <c r="J1077" i="2"/>
  <c r="K1077" i="2" s="1"/>
  <c r="B1078" i="2"/>
  <c r="A1078" i="2"/>
  <c r="I1078" i="2"/>
  <c r="G1078" i="2"/>
  <c r="E593" i="2"/>
  <c r="C1079" i="2"/>
  <c r="F1078" i="2"/>
  <c r="H1078" i="2"/>
  <c r="M1078" i="2"/>
  <c r="E1078" i="2"/>
  <c r="L593" i="2" l="1"/>
  <c r="L1078" i="2"/>
  <c r="D1078" i="2"/>
  <c r="J1078" i="2"/>
  <c r="K1078" i="2" s="1"/>
  <c r="A1079" i="2"/>
  <c r="B1079" i="2"/>
  <c r="M1079" i="2"/>
  <c r="G1079" i="2"/>
  <c r="I1079" i="2"/>
  <c r="E588" i="2"/>
  <c r="E1079" i="2"/>
  <c r="F1079" i="2"/>
  <c r="H1079" i="2"/>
  <c r="C1080" i="2"/>
  <c r="L1079" i="2" l="1"/>
  <c r="L588" i="2"/>
  <c r="J1079" i="2"/>
  <c r="K1079" i="2" s="1"/>
  <c r="D1079" i="2"/>
  <c r="B1080" i="2"/>
  <c r="A1080" i="2"/>
  <c r="E1080" i="2"/>
  <c r="I1080" i="2"/>
  <c r="H1080" i="2"/>
  <c r="M1080" i="2"/>
  <c r="F1080" i="2"/>
  <c r="E589" i="2"/>
  <c r="G1080" i="2"/>
  <c r="C1081" i="2"/>
  <c r="L589" i="2" l="1"/>
  <c r="L1080" i="2"/>
  <c r="J1080" i="2"/>
  <c r="K1080" i="2" s="1"/>
  <c r="D1080" i="2"/>
  <c r="A1081" i="2"/>
  <c r="B1081" i="2"/>
  <c r="I1081" i="2"/>
  <c r="M1081" i="2"/>
  <c r="H1081" i="2"/>
  <c r="E1081" i="2"/>
  <c r="F1081" i="2"/>
  <c r="E590" i="2"/>
  <c r="G1081" i="2"/>
  <c r="C1082" i="2"/>
  <c r="L1081" i="2" l="1"/>
  <c r="L590" i="2"/>
  <c r="J1081" i="2"/>
  <c r="K1081" i="2" s="1"/>
  <c r="D1081" i="2"/>
  <c r="B1082" i="2"/>
  <c r="A1082" i="2"/>
  <c r="F1082" i="2"/>
  <c r="G1082" i="2"/>
  <c r="M1082" i="2"/>
  <c r="E585" i="2"/>
  <c r="I1082" i="2"/>
  <c r="E1082" i="2"/>
  <c r="H1082" i="2"/>
  <c r="C1083" i="2"/>
  <c r="L1082" i="2" l="1"/>
  <c r="L585" i="2"/>
  <c r="J1082" i="2"/>
  <c r="K1082" i="2" s="1"/>
  <c r="D1082" i="2"/>
  <c r="A1083" i="2"/>
  <c r="B1083" i="2"/>
  <c r="F1083" i="2"/>
  <c r="I1083" i="2"/>
  <c r="H1083" i="2"/>
  <c r="M1083" i="2"/>
  <c r="E586" i="2"/>
  <c r="E1083" i="2"/>
  <c r="G1083" i="2"/>
  <c r="C1084" i="2"/>
  <c r="L586" i="2" l="1"/>
  <c r="L1083" i="2"/>
  <c r="J1083" i="2"/>
  <c r="K1083" i="2" s="1"/>
  <c r="D1083" i="2"/>
  <c r="A1084" i="2"/>
  <c r="B1084" i="2"/>
  <c r="I1084" i="2"/>
  <c r="H1084" i="2"/>
  <c r="F1084" i="2"/>
  <c r="E587" i="2"/>
  <c r="E1084" i="2"/>
  <c r="M1084" i="2"/>
  <c r="G1084" i="2"/>
  <c r="C1085" i="2"/>
  <c r="L1084" i="2" l="1"/>
  <c r="L587" i="2"/>
  <c r="D1084" i="2"/>
  <c r="J1084" i="2"/>
  <c r="K1084" i="2" s="1"/>
  <c r="A1085" i="2"/>
  <c r="B1085" i="2"/>
  <c r="E1085" i="2"/>
  <c r="M1085" i="2"/>
  <c r="H1085" i="2"/>
  <c r="E582" i="2"/>
  <c r="G1085" i="2"/>
  <c r="F1085" i="2"/>
  <c r="I1085" i="2"/>
  <c r="C1086" i="2"/>
  <c r="L1085" i="2" l="1"/>
  <c r="L582" i="2"/>
  <c r="D1085" i="2"/>
  <c r="J1085" i="2"/>
  <c r="K1085" i="2" s="1"/>
  <c r="B1086" i="2"/>
  <c r="A1086" i="2"/>
  <c r="E583" i="2"/>
  <c r="F1086" i="2"/>
  <c r="H1086" i="2"/>
  <c r="M1086" i="2"/>
  <c r="E1086" i="2"/>
  <c r="I1086" i="2"/>
  <c r="G1086" i="2"/>
  <c r="C1087" i="2"/>
  <c r="L583" i="2" l="1"/>
  <c r="L1086" i="2"/>
  <c r="J1086" i="2"/>
  <c r="K1086" i="2" s="1"/>
  <c r="D1086" i="2"/>
  <c r="A1087" i="2"/>
  <c r="B1087" i="2"/>
  <c r="I1087" i="2"/>
  <c r="F1087" i="2"/>
  <c r="H1087" i="2"/>
  <c r="G1087" i="2"/>
  <c r="E1087" i="2"/>
  <c r="M1087" i="2"/>
  <c r="E584" i="2"/>
  <c r="C1088" i="2"/>
  <c r="L1087" i="2" l="1"/>
  <c r="L584" i="2"/>
  <c r="D1087" i="2"/>
  <c r="J1087" i="2"/>
  <c r="K1087" i="2" s="1"/>
  <c r="B1088" i="2"/>
  <c r="A1088" i="2"/>
  <c r="G1088" i="2"/>
  <c r="E1088" i="2"/>
  <c r="F1088" i="2"/>
  <c r="M1088" i="2"/>
  <c r="H1088" i="2"/>
  <c r="C1089" i="2"/>
  <c r="I1088" i="2"/>
  <c r="E579" i="2"/>
  <c r="L1088" i="2" l="1"/>
  <c r="L579" i="2"/>
  <c r="J1088" i="2"/>
  <c r="K1088" i="2" s="1"/>
  <c r="D1088" i="2"/>
  <c r="A1089" i="2"/>
  <c r="B1089" i="2"/>
  <c r="H1089" i="2"/>
  <c r="I1089" i="2"/>
  <c r="F1089" i="2"/>
  <c r="E1089" i="2"/>
  <c r="G1089" i="2"/>
  <c r="E580" i="2"/>
  <c r="M1089" i="2"/>
  <c r="C1090" i="2"/>
  <c r="L580" i="2" l="1"/>
  <c r="L1089" i="2"/>
  <c r="D1089" i="2"/>
  <c r="J1089" i="2"/>
  <c r="K1089" i="2" s="1"/>
  <c r="B1090" i="2"/>
  <c r="A1090" i="2"/>
  <c r="F1090" i="2"/>
  <c r="E581" i="2"/>
  <c r="M1090" i="2"/>
  <c r="E1090" i="2"/>
  <c r="H1090" i="2"/>
  <c r="I1090" i="2"/>
  <c r="G1090" i="2"/>
  <c r="C1091" i="2"/>
  <c r="L1090" i="2" l="1"/>
  <c r="L581" i="2"/>
  <c r="J1090" i="2"/>
  <c r="K1090" i="2" s="1"/>
  <c r="D1090" i="2"/>
  <c r="A1091" i="2"/>
  <c r="B1091" i="2"/>
  <c r="G1091" i="2"/>
  <c r="H1091" i="2"/>
  <c r="F1091" i="2"/>
  <c r="I1091" i="2"/>
  <c r="E1091" i="2"/>
  <c r="E576" i="2"/>
  <c r="M1091" i="2"/>
  <c r="C1092" i="2"/>
  <c r="L576" i="2" l="1"/>
  <c r="L1091" i="2"/>
  <c r="D1091" i="2"/>
  <c r="J1091" i="2"/>
  <c r="K1091" i="2" s="1"/>
  <c r="A1092" i="2"/>
  <c r="B1092" i="2"/>
  <c r="E1092" i="2"/>
  <c r="I1092" i="2"/>
  <c r="F1092" i="2"/>
  <c r="G1092" i="2"/>
  <c r="H1092" i="2"/>
  <c r="E577" i="2"/>
  <c r="M1092" i="2"/>
  <c r="C1093" i="2"/>
  <c r="L1092" i="2" l="1"/>
  <c r="L577" i="2"/>
  <c r="D1092" i="2"/>
  <c r="J1092" i="2"/>
  <c r="K1092" i="2" s="1"/>
  <c r="A1093" i="2"/>
  <c r="B1093" i="2"/>
  <c r="E578" i="2"/>
  <c r="I1093" i="2"/>
  <c r="E1093" i="2"/>
  <c r="G1093" i="2"/>
  <c r="H1093" i="2"/>
  <c r="M1093" i="2"/>
  <c r="F1093" i="2"/>
  <c r="C1094" i="2"/>
  <c r="L578" i="2" l="1"/>
  <c r="L1093" i="2"/>
  <c r="J1093" i="2"/>
  <c r="K1093" i="2" s="1"/>
  <c r="D1093" i="2"/>
  <c r="B1094" i="2"/>
  <c r="A1094" i="2"/>
  <c r="M1094" i="2"/>
  <c r="G1094" i="2"/>
  <c r="H1094" i="2"/>
  <c r="I1094" i="2"/>
  <c r="F1094" i="2"/>
  <c r="E1094" i="2"/>
  <c r="E573" i="2"/>
  <c r="C1095" i="2"/>
  <c r="L573" i="2" l="1"/>
  <c r="L1094" i="2"/>
  <c r="J1094" i="2"/>
  <c r="K1094" i="2" s="1"/>
  <c r="D1094" i="2"/>
  <c r="A1095" i="2"/>
  <c r="B1095" i="2"/>
  <c r="G1095" i="2"/>
  <c r="F1095" i="2"/>
  <c r="H1095" i="2"/>
  <c r="I1095" i="2"/>
  <c r="E574" i="2"/>
  <c r="M1095" i="2"/>
  <c r="E1095" i="2"/>
  <c r="C1096" i="2"/>
  <c r="L1095" i="2" l="1"/>
  <c r="L574" i="2"/>
  <c r="J1095" i="2"/>
  <c r="K1095" i="2" s="1"/>
  <c r="D1095" i="2"/>
  <c r="B1096" i="2"/>
  <c r="A1096" i="2"/>
  <c r="F1096" i="2"/>
  <c r="E1096" i="2"/>
  <c r="H1096" i="2"/>
  <c r="G1096" i="2"/>
  <c r="I1096" i="2"/>
  <c r="M1096" i="2"/>
  <c r="E575" i="2"/>
  <c r="C1097" i="2"/>
  <c r="L575" i="2" l="1"/>
  <c r="L1096" i="2"/>
  <c r="J1096" i="2"/>
  <c r="K1096" i="2" s="1"/>
  <c r="D1096" i="2"/>
  <c r="A1097" i="2"/>
  <c r="B1097" i="2"/>
  <c r="E1097" i="2"/>
  <c r="H1097" i="2"/>
  <c r="M1097" i="2"/>
  <c r="G1097" i="2"/>
  <c r="F1097" i="2"/>
  <c r="I1097" i="2"/>
  <c r="E570" i="2"/>
  <c r="C1098" i="2"/>
  <c r="L570" i="2" l="1"/>
  <c r="L1097" i="2"/>
  <c r="J1097" i="2"/>
  <c r="K1097" i="2" s="1"/>
  <c r="D1097" i="2"/>
  <c r="B1098" i="2"/>
  <c r="A1098" i="2"/>
  <c r="H1098" i="2"/>
  <c r="G1098" i="2"/>
  <c r="I1098" i="2"/>
  <c r="E571" i="2"/>
  <c r="F1098" i="2"/>
  <c r="M1098" i="2"/>
  <c r="E1098" i="2"/>
  <c r="C1099" i="2"/>
  <c r="L1098" i="2" l="1"/>
  <c r="L571" i="2"/>
  <c r="J1098" i="2"/>
  <c r="K1098" i="2" s="1"/>
  <c r="D1098" i="2"/>
  <c r="A1099" i="2"/>
  <c r="B1099" i="2"/>
  <c r="I1099" i="2"/>
  <c r="M1099" i="2"/>
  <c r="H1099" i="2"/>
  <c r="G1099" i="2"/>
  <c r="E1099" i="2"/>
  <c r="E572" i="2"/>
  <c r="F1099" i="2"/>
  <c r="C1100" i="2"/>
  <c r="L1099" i="2" l="1"/>
  <c r="L572" i="2"/>
  <c r="J1099" i="2"/>
  <c r="K1099" i="2" s="1"/>
  <c r="D1099" i="2"/>
  <c r="A1100" i="2"/>
  <c r="B1100" i="2"/>
  <c r="F1100" i="2"/>
  <c r="E567" i="2"/>
  <c r="I1100" i="2"/>
  <c r="E1100" i="2"/>
  <c r="G1100" i="2"/>
  <c r="H1100" i="2"/>
  <c r="M1100" i="2"/>
  <c r="C1101" i="2"/>
  <c r="L567" i="2" l="1"/>
  <c r="L1100" i="2"/>
  <c r="J1100" i="2"/>
  <c r="K1100" i="2" s="1"/>
  <c r="D1100" i="2"/>
  <c r="A1101" i="2"/>
  <c r="B1101" i="2"/>
  <c r="M1101" i="2"/>
  <c r="F1101" i="2"/>
  <c r="E568" i="2"/>
  <c r="I1101" i="2"/>
  <c r="G1101" i="2"/>
  <c r="E1101" i="2"/>
  <c r="H1101" i="2"/>
  <c r="C1102" i="2"/>
  <c r="L1101" i="2" l="1"/>
  <c r="L568" i="2"/>
  <c r="D1101" i="2"/>
  <c r="J1101" i="2"/>
  <c r="K1101" i="2" s="1"/>
  <c r="B1102" i="2"/>
  <c r="A1102" i="2"/>
  <c r="G1102" i="2"/>
  <c r="H1102" i="2"/>
  <c r="I1102" i="2"/>
  <c r="C1103" i="2"/>
  <c r="E1102" i="2"/>
  <c r="F1102" i="2"/>
  <c r="M1102" i="2"/>
  <c r="E569" i="2"/>
  <c r="L569" i="2" l="1"/>
  <c r="L1102" i="2"/>
  <c r="J1102" i="2"/>
  <c r="K1102" i="2" s="1"/>
  <c r="D1102" i="2"/>
  <c r="A1103" i="2"/>
  <c r="B1103" i="2"/>
  <c r="E1103" i="2"/>
  <c r="H1103" i="2"/>
  <c r="G1103" i="2"/>
  <c r="E565" i="2"/>
  <c r="I1103" i="2"/>
  <c r="M1103" i="2"/>
  <c r="F1103" i="2"/>
  <c r="C1104" i="2"/>
  <c r="L565" i="2" l="1"/>
  <c r="L1103" i="2"/>
  <c r="D1103" i="2"/>
  <c r="J1103" i="2"/>
  <c r="K1103" i="2" s="1"/>
  <c r="B1104" i="2"/>
  <c r="A1104" i="2"/>
  <c r="H1104" i="2"/>
  <c r="G1104" i="2"/>
  <c r="I1104" i="2"/>
  <c r="F1104" i="2"/>
  <c r="E1104" i="2"/>
  <c r="M1104" i="2"/>
  <c r="E566" i="2"/>
  <c r="C1105" i="2"/>
  <c r="L1104" i="2" l="1"/>
  <c r="L566" i="2"/>
  <c r="J1104" i="2"/>
  <c r="K1104" i="2" s="1"/>
  <c r="D1104" i="2"/>
  <c r="A1105" i="2"/>
  <c r="B1105" i="2"/>
  <c r="E562" i="2"/>
  <c r="G1105" i="2"/>
  <c r="M1105" i="2"/>
  <c r="C1106" i="2"/>
  <c r="H1105" i="2"/>
  <c r="E1105" i="2"/>
  <c r="F1105" i="2"/>
  <c r="I1105" i="2"/>
  <c r="L1105" i="2" l="1"/>
  <c r="L562" i="2"/>
  <c r="J1105" i="2"/>
  <c r="K1105" i="2" s="1"/>
  <c r="D1105" i="2"/>
  <c r="B1106" i="2"/>
  <c r="A1106" i="2"/>
  <c r="G1106" i="2"/>
  <c r="E563" i="2"/>
  <c r="M1106" i="2"/>
  <c r="I1106" i="2"/>
  <c r="H1106" i="2"/>
  <c r="F1106" i="2"/>
  <c r="E1106" i="2"/>
  <c r="C1107" i="2"/>
  <c r="L1106" i="2" l="1"/>
  <c r="L563" i="2"/>
  <c r="D1106" i="2"/>
  <c r="J1106" i="2"/>
  <c r="K1106" i="2" s="1"/>
  <c r="A1107" i="2"/>
  <c r="B1107" i="2"/>
  <c r="E564" i="2"/>
  <c r="G1107" i="2"/>
  <c r="H1107" i="2"/>
  <c r="C1108" i="2"/>
  <c r="M1107" i="2"/>
  <c r="E1107" i="2"/>
  <c r="I1107" i="2"/>
  <c r="F1107" i="2"/>
  <c r="L564" i="2" l="1"/>
  <c r="L1107" i="2"/>
  <c r="D1107" i="2"/>
  <c r="J1107" i="2"/>
  <c r="K1107" i="2" s="1"/>
  <c r="B1108" i="2"/>
  <c r="A1108" i="2"/>
  <c r="E559" i="2"/>
  <c r="I1108" i="2"/>
  <c r="G1108" i="2"/>
  <c r="E1108" i="2"/>
  <c r="H1108" i="2"/>
  <c r="F1108" i="2"/>
  <c r="M1108" i="2"/>
  <c r="C1109" i="2"/>
  <c r="L559" i="2" l="1"/>
  <c r="L1108" i="2"/>
  <c r="J1108" i="2"/>
  <c r="K1108" i="2" s="1"/>
  <c r="D1108" i="2"/>
  <c r="A1109" i="2"/>
  <c r="B1109" i="2"/>
  <c r="G1109" i="2"/>
  <c r="M1109" i="2"/>
  <c r="E1109" i="2"/>
  <c r="I1109" i="2"/>
  <c r="H1109" i="2"/>
  <c r="F1109" i="2"/>
  <c r="E560" i="2"/>
  <c r="C1110" i="2"/>
  <c r="L1109" i="2" l="1"/>
  <c r="L560" i="2"/>
  <c r="J1109" i="2"/>
  <c r="K1109" i="2" s="1"/>
  <c r="D1109" i="2"/>
  <c r="B1110" i="2"/>
  <c r="A1110" i="2"/>
  <c r="E561" i="2"/>
  <c r="G1110" i="2"/>
  <c r="I1110" i="2"/>
  <c r="M1110" i="2"/>
  <c r="F1110" i="2"/>
  <c r="C1111" i="2"/>
  <c r="E1110" i="2"/>
  <c r="H1110" i="2"/>
  <c r="L1110" i="2" l="1"/>
  <c r="L561" i="2"/>
  <c r="D1110" i="2"/>
  <c r="J1110" i="2"/>
  <c r="K1110" i="2" s="1"/>
  <c r="A1111" i="2"/>
  <c r="B1111" i="2"/>
  <c r="M1111" i="2"/>
  <c r="G1111" i="2"/>
  <c r="F1111" i="2"/>
  <c r="H1111" i="2"/>
  <c r="E556" i="2"/>
  <c r="E1111" i="2"/>
  <c r="I1111" i="2"/>
  <c r="C1112" i="2"/>
  <c r="L556" i="2" l="1"/>
  <c r="L1111" i="2"/>
  <c r="J1111" i="2"/>
  <c r="K1111" i="2" s="1"/>
  <c r="D1111" i="2"/>
  <c r="B1112" i="2"/>
  <c r="A1112" i="2"/>
  <c r="F1112" i="2"/>
  <c r="C1113" i="2"/>
  <c r="E557" i="2"/>
  <c r="I1112" i="2"/>
  <c r="M1112" i="2"/>
  <c r="G1112" i="2"/>
  <c r="H1112" i="2"/>
  <c r="E1112" i="2"/>
  <c r="L1112" i="2" l="1"/>
  <c r="L557" i="2"/>
  <c r="D1112" i="2"/>
  <c r="J1112" i="2"/>
  <c r="K1112" i="2" s="1"/>
  <c r="A1113" i="2"/>
  <c r="B1113" i="2"/>
  <c r="I1113" i="2"/>
  <c r="H1113" i="2"/>
  <c r="F1113" i="2"/>
  <c r="G1113" i="2"/>
  <c r="M1113" i="2"/>
  <c r="E1113" i="2"/>
  <c r="E558" i="2"/>
  <c r="C1114" i="2"/>
  <c r="L1113" i="2" l="1"/>
  <c r="L558" i="2"/>
  <c r="J1113" i="2"/>
  <c r="K1113" i="2" s="1"/>
  <c r="D1113" i="2"/>
  <c r="B1114" i="2"/>
  <c r="A1114" i="2"/>
  <c r="G1114" i="2"/>
  <c r="M1114" i="2"/>
  <c r="E1114" i="2"/>
  <c r="I1114" i="2"/>
  <c r="E553" i="2"/>
  <c r="H1114" i="2"/>
  <c r="F1114" i="2"/>
  <c r="C1115" i="2"/>
  <c r="L553" i="2" l="1"/>
  <c r="L1114" i="2"/>
  <c r="D1114" i="2"/>
  <c r="J1114" i="2"/>
  <c r="K1114" i="2" s="1"/>
  <c r="A1115" i="2"/>
  <c r="B1115" i="2"/>
  <c r="H1115" i="2"/>
  <c r="G1115" i="2"/>
  <c r="I1115" i="2"/>
  <c r="E554" i="2"/>
  <c r="E1115" i="2"/>
  <c r="F1115" i="2"/>
  <c r="M1115" i="2"/>
  <c r="C1116" i="2"/>
  <c r="L554" i="2" l="1"/>
  <c r="L1115" i="2"/>
  <c r="J1115" i="2"/>
  <c r="K1115" i="2" s="1"/>
  <c r="D1115" i="2"/>
  <c r="A1116" i="2"/>
  <c r="B1116" i="2"/>
  <c r="G1116" i="2"/>
  <c r="M1116" i="2"/>
  <c r="E555" i="2"/>
  <c r="E1116" i="2"/>
  <c r="I1116" i="2"/>
  <c r="H1116" i="2"/>
  <c r="F1116" i="2"/>
  <c r="C1117" i="2"/>
  <c r="L555" i="2" l="1"/>
  <c r="L1116" i="2"/>
  <c r="D1116" i="2"/>
  <c r="J1116" i="2"/>
  <c r="K1116" i="2" s="1"/>
  <c r="A1117" i="2"/>
  <c r="B1117" i="2"/>
  <c r="F1117" i="2"/>
  <c r="E550" i="2"/>
  <c r="I1117" i="2"/>
  <c r="H1117" i="2"/>
  <c r="E1117" i="2"/>
  <c r="M1117" i="2"/>
  <c r="G1117" i="2"/>
  <c r="C1118" i="2"/>
  <c r="L550" i="2" l="1"/>
  <c r="L1117" i="2"/>
  <c r="D1117" i="2"/>
  <c r="J1117" i="2"/>
  <c r="K1117" i="2" s="1"/>
  <c r="B1118" i="2"/>
  <c r="A1118" i="2"/>
  <c r="E551" i="2"/>
  <c r="E1118" i="2"/>
  <c r="G1118" i="2"/>
  <c r="I1118" i="2"/>
  <c r="M1118" i="2"/>
  <c r="F1118" i="2"/>
  <c r="H1118" i="2"/>
  <c r="C1119" i="2"/>
  <c r="L551" i="2" l="1"/>
  <c r="L1118" i="2"/>
  <c r="J1118" i="2"/>
  <c r="K1118" i="2" s="1"/>
  <c r="D1118" i="2"/>
  <c r="A1119" i="2"/>
  <c r="B1119" i="2"/>
  <c r="E552" i="2"/>
  <c r="E1119" i="2"/>
  <c r="I1119" i="2"/>
  <c r="F1119" i="2"/>
  <c r="M1119" i="2"/>
  <c r="H1119" i="2"/>
  <c r="G1119" i="2"/>
  <c r="C1120" i="2"/>
  <c r="L552" i="2" l="1"/>
  <c r="L1119" i="2"/>
  <c r="D1119" i="2"/>
  <c r="J1119" i="2"/>
  <c r="K1119" i="2" s="1"/>
  <c r="B1120" i="2"/>
  <c r="A1120" i="2"/>
  <c r="E547" i="2"/>
  <c r="H1120" i="2"/>
  <c r="E1120" i="2"/>
  <c r="I1120" i="2"/>
  <c r="M1120" i="2"/>
  <c r="G1120" i="2"/>
  <c r="F1120" i="2"/>
  <c r="C1121" i="2"/>
  <c r="L547" i="2" l="1"/>
  <c r="L1120" i="2"/>
  <c r="D1120" i="2"/>
  <c r="J1120" i="2"/>
  <c r="K1120" i="2" s="1"/>
  <c r="A1121" i="2"/>
  <c r="B1121" i="2"/>
  <c r="H1121" i="2"/>
  <c r="E548" i="2"/>
  <c r="E1121" i="2"/>
  <c r="F1121" i="2"/>
  <c r="G1121" i="2"/>
  <c r="I1121" i="2"/>
  <c r="M1121" i="2"/>
  <c r="C1122" i="2"/>
  <c r="L548" i="2" l="1"/>
  <c r="L1121" i="2"/>
  <c r="J1121" i="2"/>
  <c r="K1121" i="2" s="1"/>
  <c r="D1121" i="2"/>
  <c r="B1122" i="2"/>
  <c r="A1122" i="2"/>
  <c r="G1122" i="2"/>
  <c r="E549" i="2"/>
  <c r="M1122" i="2"/>
  <c r="F1122" i="2"/>
  <c r="H1122" i="2"/>
  <c r="E1122" i="2"/>
  <c r="I1122" i="2"/>
  <c r="C1123" i="2"/>
  <c r="L1122" i="2" l="1"/>
  <c r="L549" i="2"/>
  <c r="J1122" i="2"/>
  <c r="K1122" i="2" s="1"/>
  <c r="D1122" i="2"/>
  <c r="A1123" i="2"/>
  <c r="B1123" i="2"/>
  <c r="F1123" i="2"/>
  <c r="G1123" i="2"/>
  <c r="I1123" i="2"/>
  <c r="E1123" i="2"/>
  <c r="M1123" i="2"/>
  <c r="E544" i="2"/>
  <c r="H1123" i="2"/>
  <c r="C1124" i="2"/>
  <c r="L544" i="2" l="1"/>
  <c r="L1123" i="2"/>
  <c r="J1123" i="2"/>
  <c r="K1123" i="2" s="1"/>
  <c r="D1123" i="2"/>
  <c r="B1124" i="2"/>
  <c r="A1124" i="2"/>
  <c r="H1124" i="2"/>
  <c r="E1124" i="2"/>
  <c r="I1124" i="2"/>
  <c r="F1124" i="2"/>
  <c r="M1124" i="2"/>
  <c r="G1124" i="2"/>
  <c r="E545" i="2"/>
  <c r="C1125" i="2"/>
  <c r="L545" i="2" l="1"/>
  <c r="L1124" i="2"/>
  <c r="D1124" i="2"/>
  <c r="J1124" i="2"/>
  <c r="K1124" i="2" s="1"/>
  <c r="A1125" i="2"/>
  <c r="B1125" i="2"/>
  <c r="G1125" i="2"/>
  <c r="M1125" i="2"/>
  <c r="E546" i="2"/>
  <c r="E1125" i="2"/>
  <c r="F1125" i="2"/>
  <c r="H1125" i="2"/>
  <c r="I1125" i="2"/>
  <c r="C1126" i="2"/>
  <c r="L546" i="2" l="1"/>
  <c r="L1125" i="2"/>
  <c r="J1125" i="2"/>
  <c r="K1125" i="2" s="1"/>
  <c r="D1125" i="2"/>
  <c r="B1126" i="2"/>
  <c r="A1126" i="2"/>
  <c r="H1126" i="2"/>
  <c r="E1126" i="2"/>
  <c r="M1126" i="2"/>
  <c r="C1127" i="2"/>
  <c r="E541" i="2"/>
  <c r="I1126" i="2"/>
  <c r="F1126" i="2"/>
  <c r="G1126" i="2"/>
  <c r="L1126" i="2" l="1"/>
  <c r="L541" i="2"/>
  <c r="D1126" i="2"/>
  <c r="J1126" i="2"/>
  <c r="K1126" i="2" s="1"/>
  <c r="A1127" i="2"/>
  <c r="B1127" i="2"/>
  <c r="E542" i="2"/>
  <c r="M1127" i="2"/>
  <c r="H1127" i="2"/>
  <c r="E1127" i="2"/>
  <c r="F1127" i="2"/>
  <c r="G1127" i="2"/>
  <c r="I1127" i="2"/>
  <c r="C1128" i="2"/>
  <c r="L1127" i="2" l="1"/>
  <c r="L542" i="2"/>
  <c r="D1127" i="2"/>
  <c r="J1127" i="2"/>
  <c r="K1127" i="2" s="1"/>
  <c r="B1128" i="2"/>
  <c r="A1128" i="2"/>
  <c r="E1128" i="2"/>
  <c r="F1128" i="2"/>
  <c r="E543" i="2"/>
  <c r="M1128" i="2"/>
  <c r="G1128" i="2"/>
  <c r="H1128" i="2"/>
  <c r="I1128" i="2"/>
  <c r="C1129" i="2"/>
  <c r="L1128" i="2" l="1"/>
  <c r="L543" i="2"/>
  <c r="J1128" i="2"/>
  <c r="K1128" i="2" s="1"/>
  <c r="D1128" i="2"/>
  <c r="A1129" i="2"/>
  <c r="B1129" i="2"/>
  <c r="I1129" i="2"/>
  <c r="F1129" i="2"/>
  <c r="H1129" i="2"/>
  <c r="E440" i="2"/>
  <c r="G1129" i="2"/>
  <c r="M1129" i="2"/>
  <c r="E1129" i="2"/>
  <c r="C1130" i="2"/>
  <c r="L1129" i="2" l="1"/>
  <c r="L440" i="2"/>
  <c r="J1129" i="2"/>
  <c r="K1129" i="2" s="1"/>
  <c r="D1129" i="2"/>
  <c r="B1130" i="2"/>
  <c r="A1130" i="2"/>
  <c r="E441" i="2"/>
  <c r="G1130" i="2"/>
  <c r="F1130" i="2"/>
  <c r="M1130" i="2"/>
  <c r="E1130" i="2"/>
  <c r="I1130" i="2"/>
  <c r="H1130" i="2"/>
  <c r="C1131" i="2"/>
  <c r="L1130" i="2" l="1"/>
  <c r="L441" i="2"/>
  <c r="J1130" i="2"/>
  <c r="K1130" i="2" s="1"/>
  <c r="D1130" i="2"/>
  <c r="A1131" i="2"/>
  <c r="B1131" i="2"/>
  <c r="G1131" i="2"/>
  <c r="E1131" i="2"/>
  <c r="M1131" i="2"/>
  <c r="I1131" i="2"/>
  <c r="E442" i="2"/>
  <c r="H1131" i="2"/>
  <c r="F1131" i="2"/>
  <c r="C1132" i="2"/>
  <c r="L442" i="2" l="1"/>
  <c r="L1131" i="2"/>
  <c r="J1131" i="2"/>
  <c r="K1131" i="2" s="1"/>
  <c r="D1131" i="2"/>
  <c r="A1132" i="2"/>
  <c r="B1132" i="2"/>
  <c r="G1132" i="2"/>
  <c r="M1132" i="2"/>
  <c r="H1132" i="2"/>
  <c r="I1132" i="2"/>
  <c r="E443" i="2"/>
  <c r="E1132" i="2"/>
  <c r="F1132" i="2"/>
  <c r="C1133" i="2"/>
  <c r="L443" i="2" l="1"/>
  <c r="L1132" i="2"/>
  <c r="D1132" i="2"/>
  <c r="J1132" i="2"/>
  <c r="K1132" i="2" s="1"/>
  <c r="A1133" i="2"/>
  <c r="B1133" i="2"/>
  <c r="M1133" i="2"/>
  <c r="E1133" i="2"/>
  <c r="H1133" i="2"/>
  <c r="G1133" i="2"/>
  <c r="I1133" i="2"/>
  <c r="F1133" i="2"/>
  <c r="E444" i="2"/>
  <c r="C1134" i="2"/>
  <c r="L444" i="2" l="1"/>
  <c r="L1133" i="2"/>
  <c r="D1133" i="2"/>
  <c r="J1133" i="2"/>
  <c r="K1133" i="2" s="1"/>
  <c r="B1134" i="2"/>
  <c r="A1134" i="2"/>
  <c r="E1134" i="2"/>
  <c r="H1134" i="2"/>
  <c r="M1134" i="2"/>
  <c r="G1134" i="2"/>
  <c r="I1134" i="2"/>
  <c r="F1134" i="2"/>
  <c r="E445" i="2"/>
  <c r="C1135" i="2"/>
  <c r="L445" i="2" l="1"/>
  <c r="L1134" i="2"/>
  <c r="J1134" i="2"/>
  <c r="K1134" i="2" s="1"/>
  <c r="D1134" i="2"/>
  <c r="A1135" i="2"/>
  <c r="B1135" i="2"/>
  <c r="E1135" i="2"/>
  <c r="E467" i="2"/>
  <c r="M1135" i="2"/>
  <c r="G1135" i="2"/>
  <c r="F1135" i="2"/>
  <c r="I1135" i="2"/>
  <c r="H1135" i="2"/>
  <c r="C1136" i="2"/>
  <c r="L1135" i="2" l="1"/>
  <c r="L467" i="2"/>
  <c r="J1135" i="2"/>
  <c r="K1135" i="2" s="1"/>
  <c r="D1135" i="2"/>
  <c r="B1136" i="2"/>
  <c r="A1136" i="2"/>
  <c r="E468" i="2"/>
  <c r="H1136" i="2"/>
  <c r="M1136" i="2"/>
  <c r="G1136" i="2"/>
  <c r="E1136" i="2"/>
  <c r="F1136" i="2"/>
  <c r="I1136" i="2"/>
  <c r="C1137" i="2"/>
  <c r="L468" i="2" l="1"/>
  <c r="L1136" i="2"/>
  <c r="J1136" i="2"/>
  <c r="K1136" i="2" s="1"/>
  <c r="D1136" i="2"/>
  <c r="A1137" i="2"/>
  <c r="B1137" i="2"/>
  <c r="I1137" i="2"/>
  <c r="H1137" i="2"/>
  <c r="G1137" i="2"/>
  <c r="E438" i="2"/>
  <c r="F1137" i="2"/>
  <c r="M1137" i="2"/>
  <c r="E1137" i="2"/>
  <c r="C1138" i="2"/>
  <c r="L1137" i="2" l="1"/>
  <c r="L438" i="2"/>
  <c r="D1137" i="2"/>
  <c r="J1137" i="2"/>
  <c r="K1137" i="2" s="1"/>
  <c r="B1138" i="2"/>
  <c r="A1138" i="2"/>
  <c r="E1138" i="2"/>
  <c r="H1138" i="2"/>
  <c r="M1138" i="2"/>
  <c r="C1139" i="2"/>
  <c r="F1138" i="2"/>
  <c r="I1138" i="2"/>
  <c r="G1138" i="2"/>
  <c r="E439" i="2"/>
  <c r="L1138" i="2" l="1"/>
  <c r="L439" i="2"/>
  <c r="D1138" i="2"/>
  <c r="J1138" i="2"/>
  <c r="K1138" i="2" s="1"/>
  <c r="A1139" i="2"/>
  <c r="B1139" i="2"/>
  <c r="F1139" i="2"/>
  <c r="E1139" i="2"/>
  <c r="H1139" i="2"/>
  <c r="G1139" i="2"/>
  <c r="I1139" i="2"/>
  <c r="M1139" i="2"/>
  <c r="E455" i="2"/>
  <c r="C1140" i="2"/>
  <c r="L455" i="2" l="1"/>
  <c r="L1139" i="2"/>
  <c r="D1139" i="2"/>
  <c r="J1139" i="2"/>
  <c r="K1139" i="2" s="1"/>
  <c r="B1140" i="2"/>
  <c r="A1140" i="2"/>
  <c r="E1140" i="2"/>
  <c r="I1140" i="2"/>
  <c r="H1140" i="2"/>
  <c r="F1140" i="2"/>
  <c r="E456" i="2"/>
  <c r="G1140" i="2"/>
  <c r="M1140" i="2"/>
  <c r="C1141" i="2"/>
  <c r="L1140" i="2" l="1"/>
  <c r="L456" i="2"/>
  <c r="J1140" i="2"/>
  <c r="K1140" i="2" s="1"/>
  <c r="D1140" i="2"/>
  <c r="A1141" i="2"/>
  <c r="B1141" i="2"/>
  <c r="E1141" i="2"/>
  <c r="G1141" i="2"/>
  <c r="M1141" i="2"/>
  <c r="I1141" i="2"/>
  <c r="E465" i="2"/>
  <c r="F1141" i="2"/>
  <c r="H1141" i="2"/>
  <c r="C1142" i="2"/>
  <c r="L465" i="2" l="1"/>
  <c r="L1141" i="2"/>
  <c r="D1141" i="2"/>
  <c r="J1141" i="2"/>
  <c r="K1141" i="2" s="1"/>
  <c r="B1142" i="2"/>
  <c r="A1142" i="2"/>
  <c r="E466" i="2"/>
  <c r="I1142" i="2"/>
  <c r="E1142" i="2"/>
  <c r="C1143" i="2"/>
  <c r="F1142" i="2"/>
  <c r="G1142" i="2"/>
  <c r="H1142" i="2"/>
  <c r="M1142" i="2"/>
  <c r="L466" i="2" l="1"/>
  <c r="L1142" i="2"/>
  <c r="D1142" i="2"/>
  <c r="J1142" i="2"/>
  <c r="K1142" i="2" s="1"/>
  <c r="A1143" i="2"/>
  <c r="B1143" i="2"/>
  <c r="I1143" i="2"/>
  <c r="G1143" i="2"/>
  <c r="E1143" i="2"/>
  <c r="E463" i="2"/>
  <c r="M1143" i="2"/>
  <c r="H1143" i="2"/>
  <c r="F1143" i="2"/>
  <c r="C1144" i="2"/>
  <c r="L1143" i="2" l="1"/>
  <c r="L463" i="2"/>
  <c r="D1143" i="2"/>
  <c r="J1143" i="2"/>
  <c r="K1143" i="2" s="1"/>
  <c r="B1144" i="2"/>
  <c r="A1144" i="2"/>
  <c r="F1144" i="2"/>
  <c r="H1144" i="2"/>
  <c r="E464" i="2"/>
  <c r="M1144" i="2"/>
  <c r="G1144" i="2"/>
  <c r="I1144" i="2"/>
  <c r="E1144" i="2"/>
  <c r="C1145" i="2"/>
  <c r="L464" i="2" l="1"/>
  <c r="L1144" i="2"/>
  <c r="D1144" i="2"/>
  <c r="J1144" i="2"/>
  <c r="K1144" i="2" s="1"/>
  <c r="A1145" i="2"/>
  <c r="B1145" i="2"/>
  <c r="F1145" i="2"/>
  <c r="E461" i="2"/>
  <c r="I1145" i="2"/>
  <c r="M1145" i="2"/>
  <c r="G1145" i="2"/>
  <c r="E1145" i="2"/>
  <c r="H1145" i="2"/>
  <c r="C1146" i="2"/>
  <c r="L1145" i="2" l="1"/>
  <c r="L461" i="2"/>
  <c r="D1145" i="2"/>
  <c r="J1145" i="2"/>
  <c r="K1145" i="2" s="1"/>
  <c r="B1146" i="2"/>
  <c r="A1146" i="2"/>
  <c r="H1146" i="2"/>
  <c r="F1146" i="2"/>
  <c r="M1146" i="2"/>
  <c r="E1146" i="2"/>
  <c r="I1146" i="2"/>
  <c r="G1146" i="2"/>
  <c r="E462" i="2"/>
  <c r="C1147" i="2"/>
  <c r="L462" i="2" l="1"/>
  <c r="L1146" i="2"/>
  <c r="D1146" i="2"/>
  <c r="J1146" i="2"/>
  <c r="K1146" i="2" s="1"/>
  <c r="A1147" i="2"/>
  <c r="B1147" i="2"/>
  <c r="E459" i="2"/>
  <c r="G1147" i="2"/>
  <c r="I1147" i="2"/>
  <c r="H1147" i="2"/>
  <c r="F1147" i="2"/>
  <c r="E1147" i="2"/>
  <c r="M1147" i="2"/>
  <c r="C1148" i="2"/>
  <c r="L459" i="2" l="1"/>
  <c r="L1147" i="2"/>
  <c r="D1147" i="2"/>
  <c r="J1147" i="2"/>
  <c r="K1147" i="2" s="1"/>
  <c r="A1148" i="2"/>
  <c r="B1148" i="2"/>
  <c r="G1148" i="2"/>
  <c r="F1148" i="2"/>
  <c r="E460" i="2"/>
  <c r="I1148" i="2"/>
  <c r="E1148" i="2"/>
  <c r="M1148" i="2"/>
  <c r="H1148" i="2"/>
  <c r="C1149" i="2"/>
  <c r="L1148" i="2" l="1"/>
  <c r="L460" i="2"/>
  <c r="D1148" i="2"/>
  <c r="J1148" i="2"/>
  <c r="K1148" i="2" s="1"/>
  <c r="A1149" i="2"/>
  <c r="B1149" i="2"/>
  <c r="F1149" i="2"/>
  <c r="E1149" i="2"/>
  <c r="M1149" i="2"/>
  <c r="H1149" i="2"/>
  <c r="G1149" i="2"/>
  <c r="E457" i="2"/>
  <c r="I1149" i="2"/>
  <c r="C1150" i="2"/>
  <c r="L457" i="2" l="1"/>
  <c r="L1149" i="2"/>
  <c r="D1149" i="2"/>
  <c r="J1149" i="2"/>
  <c r="K1149" i="2" s="1"/>
  <c r="B1150" i="2"/>
  <c r="A1150" i="2"/>
  <c r="I1150" i="2"/>
  <c r="M1150" i="2"/>
  <c r="G1150" i="2"/>
  <c r="E458" i="2"/>
  <c r="E1150" i="2"/>
  <c r="H1150" i="2"/>
  <c r="F1150" i="2"/>
  <c r="C1151" i="2"/>
  <c r="L1150" i="2" l="1"/>
  <c r="L458" i="2"/>
  <c r="J1150" i="2"/>
  <c r="K1150" i="2" s="1"/>
  <c r="D1150" i="2"/>
  <c r="A1151" i="2"/>
  <c r="B1151" i="2"/>
  <c r="E453" i="2"/>
  <c r="G1151" i="2"/>
  <c r="M1151" i="2"/>
  <c r="H1151" i="2"/>
  <c r="E1151" i="2"/>
  <c r="F1151" i="2"/>
  <c r="I1151" i="2"/>
  <c r="C1152" i="2"/>
  <c r="L1151" i="2" l="1"/>
  <c r="L453" i="2"/>
  <c r="J1151" i="2"/>
  <c r="K1151" i="2" s="1"/>
  <c r="D1151" i="2"/>
  <c r="B1152" i="2"/>
  <c r="A1152" i="2"/>
  <c r="H1152" i="2"/>
  <c r="I1152" i="2"/>
  <c r="E454" i="2"/>
  <c r="G1152" i="2"/>
  <c r="E1152" i="2"/>
  <c r="F1152" i="2"/>
  <c r="M1152" i="2"/>
  <c r="C1153" i="2"/>
  <c r="L1152" i="2" l="1"/>
  <c r="L454" i="2"/>
  <c r="J1152" i="2"/>
  <c r="K1152" i="2" s="1"/>
  <c r="D1152" i="2"/>
  <c r="A1153" i="2"/>
  <c r="B1153" i="2"/>
  <c r="E451" i="2"/>
  <c r="F1153" i="2"/>
  <c r="H1153" i="2"/>
  <c r="G1153" i="2"/>
  <c r="E1153" i="2"/>
  <c r="I1153" i="2"/>
  <c r="M1153" i="2"/>
  <c r="C1154" i="2"/>
  <c r="L1153" i="2" l="1"/>
  <c r="L451" i="2"/>
  <c r="D1153" i="2"/>
  <c r="J1153" i="2"/>
  <c r="K1153" i="2" s="1"/>
  <c r="B1154" i="2"/>
  <c r="A1154" i="2"/>
  <c r="I1154" i="2"/>
  <c r="M1154" i="2"/>
  <c r="G1154" i="2"/>
  <c r="H1154" i="2"/>
  <c r="E1154" i="2"/>
  <c r="F1154" i="2"/>
  <c r="E452" i="2"/>
  <c r="C1155" i="2"/>
  <c r="L452" i="2" l="1"/>
  <c r="L1154" i="2"/>
  <c r="D1154" i="2"/>
  <c r="J1154" i="2"/>
  <c r="K1154" i="2" s="1"/>
  <c r="A1155" i="2"/>
  <c r="B1155" i="2"/>
  <c r="I1155" i="2"/>
  <c r="G1155" i="2"/>
  <c r="F1155" i="2"/>
  <c r="E1155" i="2"/>
  <c r="E449" i="2"/>
  <c r="M1155" i="2"/>
  <c r="H1155" i="2"/>
  <c r="C1156" i="2"/>
  <c r="L1155" i="2" l="1"/>
  <c r="L449" i="2"/>
  <c r="J1155" i="2"/>
  <c r="K1155" i="2" s="1"/>
  <c r="D1155" i="2"/>
  <c r="B1156" i="2"/>
  <c r="A1156" i="2"/>
  <c r="I1156" i="2"/>
  <c r="M1156" i="2"/>
  <c r="F1156" i="2"/>
  <c r="E1156" i="2"/>
  <c r="H1156" i="2"/>
  <c r="E450" i="2"/>
  <c r="G1156" i="2"/>
  <c r="C1157" i="2"/>
  <c r="L1156" i="2" l="1"/>
  <c r="L450" i="2"/>
  <c r="D1156" i="2"/>
  <c r="J1156" i="2"/>
  <c r="K1156" i="2" s="1"/>
  <c r="A1157" i="2"/>
  <c r="B1157" i="2"/>
  <c r="E446" i="2"/>
  <c r="G1157" i="2"/>
  <c r="E1157" i="2"/>
  <c r="I1157" i="2"/>
  <c r="M1157" i="2"/>
  <c r="F1157" i="2"/>
  <c r="H1157" i="2"/>
  <c r="C1158" i="2"/>
  <c r="L1157" i="2" l="1"/>
  <c r="L446" i="2"/>
  <c r="D1157" i="2"/>
  <c r="J1157" i="2"/>
  <c r="K1157" i="2" s="1"/>
  <c r="B1158" i="2"/>
  <c r="A1158" i="2"/>
  <c r="F1158" i="2"/>
  <c r="M1158" i="2"/>
  <c r="E447" i="2"/>
  <c r="I1158" i="2"/>
  <c r="G1158" i="2"/>
  <c r="H1158" i="2"/>
  <c r="E1158" i="2"/>
  <c r="C1159" i="2"/>
  <c r="L447" i="2" l="1"/>
  <c r="L1158" i="2"/>
  <c r="J1158" i="2"/>
  <c r="K1158" i="2" s="1"/>
  <c r="D1158" i="2"/>
  <c r="A1159" i="2"/>
  <c r="B1159" i="2"/>
  <c r="E448" i="2"/>
  <c r="H1159" i="2"/>
  <c r="I1159" i="2"/>
  <c r="E1159" i="2"/>
  <c r="M1159" i="2"/>
  <c r="C1160" i="2"/>
  <c r="G1159" i="2"/>
  <c r="F1159" i="2"/>
  <c r="L1159" i="2" l="1"/>
  <c r="L448" i="2"/>
  <c r="D1159" i="2"/>
  <c r="J1159" i="2"/>
  <c r="K1159" i="2" s="1"/>
  <c r="B1160" i="2"/>
  <c r="A1160" i="2"/>
  <c r="F1160" i="2"/>
  <c r="H1160" i="2"/>
  <c r="E425" i="2"/>
  <c r="G1160" i="2"/>
  <c r="M1160" i="2"/>
  <c r="E1160" i="2"/>
  <c r="I1160" i="2"/>
  <c r="C1161" i="2"/>
  <c r="L425" i="2" l="1"/>
  <c r="L1160" i="2"/>
  <c r="D1160" i="2"/>
  <c r="J1160" i="2"/>
  <c r="K1160" i="2" s="1"/>
  <c r="A1161" i="2"/>
  <c r="B1161" i="2"/>
  <c r="G1161" i="2"/>
  <c r="M1161" i="2"/>
  <c r="E1161" i="2"/>
  <c r="E426" i="2"/>
  <c r="F1161" i="2"/>
  <c r="H1161" i="2"/>
  <c r="I1161" i="2"/>
  <c r="C1162" i="2"/>
  <c r="L1161" i="2" l="1"/>
  <c r="L426" i="2"/>
  <c r="D1161" i="2"/>
  <c r="J1161" i="2"/>
  <c r="K1161" i="2" s="1"/>
  <c r="B1162" i="2"/>
  <c r="A1162" i="2"/>
  <c r="I1162" i="2"/>
  <c r="H1162" i="2"/>
  <c r="F1162" i="2"/>
  <c r="M1162" i="2"/>
  <c r="G1162" i="2"/>
  <c r="E427" i="2"/>
  <c r="E1162" i="2"/>
  <c r="C1163" i="2"/>
  <c r="L1162" i="2" l="1"/>
  <c r="L427" i="2"/>
  <c r="J1162" i="2"/>
  <c r="K1162" i="2" s="1"/>
  <c r="D1162" i="2"/>
  <c r="A1163" i="2"/>
  <c r="B1163" i="2"/>
  <c r="G1163" i="2"/>
  <c r="M1163" i="2"/>
  <c r="E428" i="2"/>
  <c r="I1163" i="2"/>
  <c r="E1163" i="2"/>
  <c r="F1163" i="2"/>
  <c r="H1163" i="2"/>
  <c r="C1164" i="2"/>
  <c r="L428" i="2" l="1"/>
  <c r="L1163" i="2"/>
  <c r="D1163" i="2"/>
  <c r="J1163" i="2"/>
  <c r="K1163" i="2" s="1"/>
  <c r="A1164" i="2"/>
  <c r="B1164" i="2"/>
  <c r="E1164" i="2"/>
  <c r="H1164" i="2"/>
  <c r="G1164" i="2"/>
  <c r="M1164" i="2"/>
  <c r="E429" i="2"/>
  <c r="F1164" i="2"/>
  <c r="I1164" i="2"/>
  <c r="C1165" i="2"/>
  <c r="L1164" i="2" l="1"/>
  <c r="L429" i="2"/>
  <c r="D1164" i="2"/>
  <c r="J1164" i="2"/>
  <c r="K1164" i="2" s="1"/>
  <c r="A1165" i="2"/>
  <c r="B1165" i="2"/>
  <c r="I1165" i="2"/>
  <c r="E1165" i="2"/>
  <c r="E430" i="2"/>
  <c r="G1165" i="2"/>
  <c r="M1165" i="2"/>
  <c r="F1165" i="2"/>
  <c r="C1166" i="2"/>
  <c r="H1165" i="2"/>
  <c r="L430" i="2" l="1"/>
  <c r="L1165" i="2"/>
  <c r="J1165" i="2"/>
  <c r="K1165" i="2" s="1"/>
  <c r="D1165" i="2"/>
  <c r="B1166" i="2"/>
  <c r="A1166" i="2"/>
  <c r="H1166" i="2"/>
  <c r="E431" i="2"/>
  <c r="M1166" i="2"/>
  <c r="F1166" i="2"/>
  <c r="E1166" i="2"/>
  <c r="G1166" i="2"/>
  <c r="I1166" i="2"/>
  <c r="C1167" i="2"/>
  <c r="L1166" i="2" l="1"/>
  <c r="L431" i="2"/>
  <c r="J1166" i="2"/>
  <c r="K1166" i="2" s="1"/>
  <c r="D1166" i="2"/>
  <c r="A1167" i="2"/>
  <c r="B1167" i="2"/>
  <c r="H1167" i="2"/>
  <c r="G1167" i="2"/>
  <c r="M1167" i="2"/>
  <c r="E432" i="2"/>
  <c r="F1167" i="2"/>
  <c r="I1167" i="2"/>
  <c r="E1167" i="2"/>
  <c r="C1168" i="2"/>
  <c r="L432" i="2" l="1"/>
  <c r="L1167" i="2"/>
  <c r="J1167" i="2"/>
  <c r="K1167" i="2" s="1"/>
  <c r="D1167" i="2"/>
  <c r="B1168" i="2"/>
  <c r="A1168" i="2"/>
  <c r="M1168" i="2"/>
  <c r="E1168" i="2"/>
  <c r="F1168" i="2"/>
  <c r="E433" i="2"/>
  <c r="G1168" i="2"/>
  <c r="I1168" i="2"/>
  <c r="H1168" i="2"/>
  <c r="C1169" i="2"/>
  <c r="L1168" i="2" l="1"/>
  <c r="L433" i="2"/>
  <c r="D1168" i="2"/>
  <c r="J1168" i="2"/>
  <c r="K1168" i="2" s="1"/>
  <c r="A1169" i="2"/>
  <c r="B1169" i="2"/>
  <c r="H1169" i="2"/>
  <c r="I1169" i="2"/>
  <c r="E388" i="2"/>
  <c r="F1169" i="2"/>
  <c r="M1169" i="2"/>
  <c r="E1169" i="2"/>
  <c r="G1169" i="2"/>
  <c r="C1170" i="2"/>
  <c r="L388" i="2" l="1"/>
  <c r="L1169" i="2"/>
  <c r="D1169" i="2"/>
  <c r="J1169" i="2"/>
  <c r="K1169" i="2" s="1"/>
  <c r="B1170" i="2"/>
  <c r="A1170" i="2"/>
  <c r="G1170" i="2"/>
  <c r="M1170" i="2"/>
  <c r="E389" i="2"/>
  <c r="H1170" i="2"/>
  <c r="I1170" i="2"/>
  <c r="F1170" i="2"/>
  <c r="E1170" i="2"/>
  <c r="C1171" i="2"/>
  <c r="L1170" i="2" l="1"/>
  <c r="L389" i="2"/>
  <c r="D1170" i="2"/>
  <c r="J1170" i="2"/>
  <c r="K1170" i="2" s="1"/>
  <c r="A1171" i="2"/>
  <c r="B1171" i="2"/>
  <c r="E390" i="2"/>
  <c r="H1171" i="2"/>
  <c r="F1171" i="2"/>
  <c r="M1171" i="2"/>
  <c r="G1171" i="2"/>
  <c r="I1171" i="2"/>
  <c r="E1171" i="2"/>
  <c r="C1172" i="2"/>
  <c r="L390" i="2" l="1"/>
  <c r="L1171" i="2"/>
  <c r="J1171" i="2"/>
  <c r="K1171" i="2" s="1"/>
  <c r="D1171" i="2"/>
  <c r="B1172" i="2"/>
  <c r="A1172" i="2"/>
  <c r="E1172" i="2"/>
  <c r="H1172" i="2"/>
  <c r="E384" i="2"/>
  <c r="I1172" i="2"/>
  <c r="G1172" i="2"/>
  <c r="M1172" i="2"/>
  <c r="F1172" i="2"/>
  <c r="C1173" i="2"/>
  <c r="L1172" i="2" l="1"/>
  <c r="L384" i="2"/>
  <c r="J1172" i="2"/>
  <c r="K1172" i="2" s="1"/>
  <c r="D1172" i="2"/>
  <c r="A1173" i="2"/>
  <c r="B1173" i="2"/>
  <c r="E385" i="2"/>
  <c r="H1173" i="2"/>
  <c r="I1173" i="2"/>
  <c r="G1173" i="2"/>
  <c r="M1173" i="2"/>
  <c r="F1173" i="2"/>
  <c r="C1174" i="2"/>
  <c r="E1173" i="2"/>
  <c r="L385" i="2" l="1"/>
  <c r="L1173" i="2"/>
  <c r="J1173" i="2"/>
  <c r="K1173" i="2" s="1"/>
  <c r="D1173" i="2"/>
  <c r="B1174" i="2"/>
  <c r="A1174" i="2"/>
  <c r="H1174" i="2"/>
  <c r="E386" i="2"/>
  <c r="F1174" i="2"/>
  <c r="M1174" i="2"/>
  <c r="E1174" i="2"/>
  <c r="I1174" i="2"/>
  <c r="G1174" i="2"/>
  <c r="C1175" i="2"/>
  <c r="L386" i="2" l="1"/>
  <c r="L1174" i="2"/>
  <c r="D1174" i="2"/>
  <c r="J1174" i="2"/>
  <c r="K1174" i="2" s="1"/>
  <c r="A1175" i="2"/>
  <c r="B1175" i="2"/>
  <c r="I1175" i="2"/>
  <c r="E387" i="2"/>
  <c r="M1175" i="2"/>
  <c r="H1175" i="2"/>
  <c r="E1175" i="2"/>
  <c r="F1175" i="2"/>
  <c r="G1175" i="2"/>
  <c r="C1176" i="2"/>
  <c r="L1175" i="2" l="1"/>
  <c r="L387" i="2"/>
  <c r="J1175" i="2"/>
  <c r="K1175" i="2" s="1"/>
  <c r="D1175" i="2"/>
  <c r="B1176" i="2"/>
  <c r="A1176" i="2"/>
  <c r="G1176" i="2"/>
  <c r="F1176" i="2"/>
  <c r="E397" i="2"/>
  <c r="M1176" i="2"/>
  <c r="I1176" i="2"/>
  <c r="H1176" i="2"/>
  <c r="E1176" i="2"/>
  <c r="C1177" i="2"/>
  <c r="L1176" i="2" l="1"/>
  <c r="L397" i="2"/>
  <c r="J1176" i="2"/>
  <c r="K1176" i="2" s="1"/>
  <c r="D1176" i="2"/>
  <c r="A1177" i="2"/>
  <c r="B1177" i="2"/>
  <c r="H1177" i="2"/>
  <c r="E398" i="2"/>
  <c r="G1177" i="2"/>
  <c r="E1177" i="2"/>
  <c r="I1177" i="2"/>
  <c r="M1177" i="2"/>
  <c r="F1177" i="2"/>
  <c r="C1178" i="2"/>
  <c r="L1177" i="2" l="1"/>
  <c r="L398" i="2"/>
  <c r="J1177" i="2"/>
  <c r="K1177" i="2" s="1"/>
  <c r="D1177" i="2"/>
  <c r="B1178" i="2"/>
  <c r="A1178" i="2"/>
  <c r="G1178" i="2"/>
  <c r="E1178" i="2"/>
  <c r="F1178" i="2"/>
  <c r="I1178" i="2"/>
  <c r="E382" i="2"/>
  <c r="M1178" i="2"/>
  <c r="H1178" i="2"/>
  <c r="C1179" i="2"/>
  <c r="L1178" i="2" l="1"/>
  <c r="L382" i="2"/>
  <c r="J1178" i="2"/>
  <c r="K1178" i="2" s="1"/>
  <c r="D1178" i="2"/>
  <c r="A1179" i="2"/>
  <c r="B1179" i="2"/>
  <c r="H1179" i="2"/>
  <c r="F1179" i="2"/>
  <c r="E383" i="2"/>
  <c r="E1179" i="2"/>
  <c r="G1179" i="2"/>
  <c r="M1179" i="2"/>
  <c r="I1179" i="2"/>
  <c r="C1180" i="2"/>
  <c r="L1179" i="2" l="1"/>
  <c r="L383" i="2"/>
  <c r="D1179" i="2"/>
  <c r="J1179" i="2"/>
  <c r="K1179" i="2" s="1"/>
  <c r="A1180" i="2"/>
  <c r="B1180" i="2"/>
  <c r="F1180" i="2"/>
  <c r="E395" i="2"/>
  <c r="G1180" i="2"/>
  <c r="E1180" i="2"/>
  <c r="H1180" i="2"/>
  <c r="M1180" i="2"/>
  <c r="I1180" i="2"/>
  <c r="C1181" i="2"/>
  <c r="L395" i="2" l="1"/>
  <c r="L1180" i="2"/>
  <c r="D1180" i="2"/>
  <c r="J1180" i="2"/>
  <c r="K1180" i="2" s="1"/>
  <c r="A1181" i="2"/>
  <c r="B1181" i="2"/>
  <c r="I1181" i="2"/>
  <c r="F1181" i="2"/>
  <c r="E396" i="2"/>
  <c r="G1181" i="2"/>
  <c r="E1181" i="2"/>
  <c r="M1181" i="2"/>
  <c r="H1181" i="2"/>
  <c r="C1182" i="2"/>
  <c r="L396" i="2" l="1"/>
  <c r="L1181" i="2"/>
  <c r="J1181" i="2"/>
  <c r="K1181" i="2" s="1"/>
  <c r="D1181" i="2"/>
  <c r="B1182" i="2"/>
  <c r="A1182" i="2"/>
  <c r="E1182" i="2"/>
  <c r="F1182" i="2"/>
  <c r="G1182" i="2"/>
  <c r="M1182" i="2"/>
  <c r="H1182" i="2"/>
  <c r="I1182" i="2"/>
  <c r="E393" i="2"/>
  <c r="C1183" i="2"/>
  <c r="L393" i="2" l="1"/>
  <c r="L1182" i="2"/>
  <c r="J1182" i="2"/>
  <c r="K1182" i="2" s="1"/>
  <c r="D1182" i="2"/>
  <c r="A1183" i="2"/>
  <c r="B1183" i="2"/>
  <c r="F1183" i="2"/>
  <c r="I1183" i="2"/>
  <c r="H1183" i="2"/>
  <c r="G1183" i="2"/>
  <c r="E1183" i="2"/>
  <c r="E394" i="2"/>
  <c r="M1183" i="2"/>
  <c r="C1184" i="2"/>
  <c r="L394" i="2" l="1"/>
  <c r="L1183" i="2"/>
  <c r="J1183" i="2"/>
  <c r="K1183" i="2" s="1"/>
  <c r="D1183" i="2"/>
  <c r="A1184" i="2"/>
  <c r="B1184" i="2"/>
  <c r="H1184" i="2"/>
  <c r="M1184" i="2"/>
  <c r="E391" i="2"/>
  <c r="G1184" i="2"/>
  <c r="F1184" i="2"/>
  <c r="I1184" i="2"/>
  <c r="E1184" i="2"/>
  <c r="C1185" i="2"/>
  <c r="L391" i="2" l="1"/>
  <c r="L1184" i="2"/>
  <c r="D1184" i="2"/>
  <c r="J1184" i="2"/>
  <c r="K1184" i="2" s="1"/>
  <c r="A1185" i="2"/>
  <c r="B1185" i="2"/>
  <c r="E1185" i="2"/>
  <c r="I1185" i="2"/>
  <c r="M1185" i="2"/>
  <c r="H1185" i="2"/>
  <c r="E392" i="2"/>
  <c r="G1185" i="2"/>
  <c r="C1186" i="2"/>
  <c r="F1185" i="2"/>
  <c r="L1185" i="2" l="1"/>
  <c r="L392" i="2"/>
  <c r="J1185" i="2"/>
  <c r="K1185" i="2" s="1"/>
  <c r="D1185" i="2"/>
  <c r="B1186" i="2"/>
  <c r="A1186" i="2"/>
  <c r="H1186" i="2"/>
  <c r="E497" i="2"/>
  <c r="F1186" i="2"/>
  <c r="I1186" i="2"/>
  <c r="M1186" i="2"/>
  <c r="C1187" i="2"/>
  <c r="E1186" i="2"/>
  <c r="G1186" i="2"/>
  <c r="L497" i="2" l="1"/>
  <c r="L1186" i="2"/>
  <c r="D1186" i="2"/>
  <c r="J1186" i="2"/>
  <c r="K1186" i="2" s="1"/>
  <c r="A1187" i="2"/>
  <c r="B1187" i="2"/>
  <c r="H1187" i="2"/>
  <c r="M1187" i="2"/>
  <c r="G1187" i="2"/>
  <c r="I1187" i="2"/>
  <c r="E498" i="2"/>
  <c r="F1187" i="2"/>
  <c r="E1187" i="2"/>
  <c r="C1188" i="2"/>
  <c r="L1187" i="2" l="1"/>
  <c r="L498" i="2"/>
  <c r="J1187" i="2"/>
  <c r="K1187" i="2" s="1"/>
  <c r="D1187" i="2"/>
  <c r="B1188" i="2"/>
  <c r="A1188" i="2"/>
  <c r="G1188" i="2"/>
  <c r="H1188" i="2"/>
  <c r="I1188" i="2"/>
  <c r="E1188" i="2"/>
  <c r="E499" i="2"/>
  <c r="F1188" i="2"/>
  <c r="M1188" i="2"/>
  <c r="C1189" i="2"/>
  <c r="L1188" i="2" l="1"/>
  <c r="L499" i="2"/>
  <c r="J1188" i="2"/>
  <c r="K1188" i="2" s="1"/>
  <c r="D1188" i="2"/>
  <c r="A1189" i="2"/>
  <c r="B1189" i="2"/>
  <c r="G1189" i="2"/>
  <c r="F1189" i="2"/>
  <c r="M1189" i="2"/>
  <c r="E1189" i="2"/>
  <c r="I1189" i="2"/>
  <c r="E507" i="2"/>
  <c r="H1189" i="2"/>
  <c r="C1190" i="2"/>
  <c r="L507" i="2" l="1"/>
  <c r="L1189" i="2"/>
  <c r="D1189" i="2"/>
  <c r="J1189" i="2"/>
  <c r="K1189" i="2" s="1"/>
  <c r="B1190" i="2"/>
  <c r="A1190" i="2"/>
  <c r="H1190" i="2"/>
  <c r="I1190" i="2"/>
  <c r="E508" i="2"/>
  <c r="F1190" i="2"/>
  <c r="M1190" i="2"/>
  <c r="E1190" i="2"/>
  <c r="G1190" i="2"/>
  <c r="C1191" i="2"/>
  <c r="L1190" i="2" l="1"/>
  <c r="L508" i="2"/>
  <c r="J1190" i="2"/>
  <c r="K1190" i="2" s="1"/>
  <c r="D1190" i="2"/>
  <c r="A1191" i="2"/>
  <c r="B1191" i="2"/>
  <c r="E502" i="2"/>
  <c r="H1191" i="2"/>
  <c r="F1191" i="2"/>
  <c r="E1191" i="2"/>
  <c r="G1191" i="2"/>
  <c r="M1191" i="2"/>
  <c r="I1191" i="2"/>
  <c r="C1192" i="2"/>
  <c r="L502" i="2" l="1"/>
  <c r="L1191" i="2"/>
  <c r="D1191" i="2"/>
  <c r="J1191" i="2"/>
  <c r="K1191" i="2" s="1"/>
  <c r="B1192" i="2"/>
  <c r="A1192" i="2"/>
  <c r="H1192" i="2"/>
  <c r="G1192" i="2"/>
  <c r="E1192" i="2"/>
  <c r="M1192" i="2"/>
  <c r="F1192" i="2"/>
  <c r="I1192" i="2"/>
  <c r="E503" i="2"/>
  <c r="C1193" i="2"/>
  <c r="L503" i="2" l="1"/>
  <c r="L1192" i="2"/>
  <c r="D1192" i="2"/>
  <c r="J1192" i="2"/>
  <c r="K1192" i="2" s="1"/>
  <c r="A1193" i="2"/>
  <c r="B1193" i="2"/>
  <c r="E504" i="2"/>
  <c r="E1193" i="2"/>
  <c r="G1193" i="2"/>
  <c r="I1193" i="2"/>
  <c r="H1193" i="2"/>
  <c r="F1193" i="2"/>
  <c r="M1193" i="2"/>
  <c r="C1194" i="2"/>
  <c r="L1193" i="2" l="1"/>
  <c r="L504" i="2"/>
  <c r="D1193" i="2"/>
  <c r="J1193" i="2"/>
  <c r="K1193" i="2" s="1"/>
  <c r="B1194" i="2"/>
  <c r="A1194" i="2"/>
  <c r="E1194" i="2"/>
  <c r="F1194" i="2"/>
  <c r="G1194" i="2"/>
  <c r="H1194" i="2"/>
  <c r="M1194" i="2"/>
  <c r="E505" i="2"/>
  <c r="I1194" i="2"/>
  <c r="C1195" i="2"/>
  <c r="L505" i="2" l="1"/>
  <c r="L1194" i="2"/>
  <c r="D1194" i="2"/>
  <c r="J1194" i="2"/>
  <c r="K1194" i="2" s="1"/>
  <c r="A1195" i="2"/>
  <c r="B1195" i="2"/>
  <c r="F1195" i="2"/>
  <c r="H1195" i="2"/>
  <c r="E1195" i="2"/>
  <c r="M1195" i="2"/>
  <c r="G1195" i="2"/>
  <c r="I1195" i="2"/>
  <c r="E506" i="2"/>
  <c r="C1196" i="2"/>
  <c r="L506" i="2" l="1"/>
  <c r="L1195" i="2"/>
  <c r="J1195" i="2"/>
  <c r="K1195" i="2" s="1"/>
  <c r="D1195" i="2"/>
  <c r="A1196" i="2"/>
  <c r="B1196" i="2"/>
  <c r="I1196" i="2"/>
  <c r="E1196" i="2"/>
  <c r="G1196" i="2"/>
  <c r="M1196" i="2"/>
  <c r="F1196" i="2"/>
  <c r="H1196" i="2"/>
  <c r="E491" i="2"/>
  <c r="C1197" i="2"/>
  <c r="L491" i="2" l="1"/>
  <c r="L1196" i="2"/>
  <c r="J1196" i="2"/>
  <c r="K1196" i="2" s="1"/>
  <c r="D1196" i="2"/>
  <c r="A1197" i="2"/>
  <c r="B1197" i="2"/>
  <c r="M1197" i="2"/>
  <c r="H1197" i="2"/>
  <c r="G1197" i="2"/>
  <c r="F1197" i="2"/>
  <c r="E1197" i="2"/>
  <c r="E492" i="2"/>
  <c r="I1197" i="2"/>
  <c r="C1198" i="2"/>
  <c r="L1197" i="2" l="1"/>
  <c r="L492" i="2"/>
  <c r="J1197" i="2"/>
  <c r="K1197" i="2" s="1"/>
  <c r="D1197" i="2"/>
  <c r="B1198" i="2"/>
  <c r="A1198" i="2"/>
  <c r="M1198" i="2"/>
  <c r="G1198" i="2"/>
  <c r="E493" i="2"/>
  <c r="I1198" i="2"/>
  <c r="F1198" i="2"/>
  <c r="E1198" i="2"/>
  <c r="H1198" i="2"/>
  <c r="C1199" i="2"/>
  <c r="L1198" i="2" l="1"/>
  <c r="L493" i="2"/>
  <c r="J1198" i="2"/>
  <c r="K1198" i="2" s="1"/>
  <c r="D1198" i="2"/>
  <c r="A1199" i="2"/>
  <c r="B1199" i="2"/>
  <c r="E494" i="2"/>
  <c r="E1199" i="2"/>
  <c r="F1199" i="2"/>
  <c r="G1199" i="2"/>
  <c r="H1199" i="2"/>
  <c r="I1199" i="2"/>
  <c r="M1199" i="2"/>
  <c r="C1200" i="2"/>
  <c r="L494" i="2" l="1"/>
  <c r="L1199" i="2"/>
  <c r="J1199" i="2"/>
  <c r="K1199" i="2" s="1"/>
  <c r="D1199" i="2"/>
  <c r="A1200" i="2"/>
  <c r="B1200" i="2"/>
  <c r="M1200" i="2"/>
  <c r="F1200" i="2"/>
  <c r="G1200" i="2"/>
  <c r="E1200" i="2"/>
  <c r="I1200" i="2"/>
  <c r="H1200" i="2"/>
  <c r="E495" i="2"/>
  <c r="C1201" i="2"/>
  <c r="L495" i="2" l="1"/>
  <c r="L1200" i="2"/>
  <c r="D1200" i="2"/>
  <c r="J1200" i="2"/>
  <c r="K1200" i="2" s="1"/>
  <c r="A1201" i="2"/>
  <c r="B1201" i="2"/>
  <c r="E496" i="2"/>
  <c r="M1201" i="2"/>
  <c r="I1201" i="2"/>
  <c r="C1202" i="2"/>
  <c r="G1201" i="2"/>
  <c r="H1201" i="2"/>
  <c r="F1201" i="2"/>
  <c r="E1201" i="2"/>
  <c r="L1201" i="2" l="1"/>
  <c r="L496" i="2"/>
  <c r="D1201" i="2"/>
  <c r="J1201" i="2"/>
  <c r="K1201" i="2" s="1"/>
  <c r="B1202" i="2"/>
  <c r="A1202" i="2"/>
  <c r="G1202" i="2"/>
  <c r="I1202" i="2"/>
  <c r="H1202" i="2"/>
  <c r="M1202" i="2"/>
  <c r="E1202" i="2"/>
  <c r="E500" i="2"/>
  <c r="F1202" i="2"/>
  <c r="C1203" i="2"/>
  <c r="L1202" i="2" l="1"/>
  <c r="L500" i="2"/>
  <c r="J1202" i="2"/>
  <c r="K1202" i="2" s="1"/>
  <c r="D1202" i="2"/>
  <c r="A1203" i="2"/>
  <c r="B1203" i="2"/>
  <c r="H1203" i="2"/>
  <c r="I1203" i="2"/>
  <c r="G1203" i="2"/>
  <c r="E1203" i="2"/>
  <c r="M1203" i="2"/>
  <c r="F1203" i="2"/>
  <c r="E501" i="2"/>
  <c r="C1204" i="2"/>
  <c r="L501" i="2" l="1"/>
  <c r="L1203" i="2"/>
  <c r="D1203" i="2"/>
  <c r="J1203" i="2"/>
  <c r="K1203" i="2" s="1"/>
  <c r="B1204" i="2"/>
  <c r="A1204" i="2"/>
  <c r="F1204" i="2"/>
  <c r="E514" i="2"/>
  <c r="H1204" i="2"/>
  <c r="I1204" i="2"/>
  <c r="G1204" i="2"/>
  <c r="E1204" i="2"/>
  <c r="M1204" i="2"/>
  <c r="C1205" i="2"/>
  <c r="L1204" i="2" l="1"/>
  <c r="L514" i="2"/>
  <c r="D1204" i="2"/>
  <c r="J1204" i="2"/>
  <c r="K1204" i="2" s="1"/>
  <c r="A1205" i="2"/>
  <c r="B1205" i="2"/>
  <c r="G1205" i="2"/>
  <c r="M1205" i="2"/>
  <c r="I1205" i="2"/>
  <c r="E515" i="2"/>
  <c r="H1205" i="2"/>
  <c r="F1205" i="2"/>
  <c r="E1205" i="2"/>
  <c r="C1206" i="2"/>
  <c r="L1205" i="2" l="1"/>
  <c r="L515" i="2"/>
  <c r="J1205" i="2"/>
  <c r="K1205" i="2" s="1"/>
  <c r="D1205" i="2"/>
  <c r="B1206" i="2"/>
  <c r="A1206" i="2"/>
  <c r="E511" i="2"/>
  <c r="E1206" i="2"/>
  <c r="I1206" i="2"/>
  <c r="G1206" i="2"/>
  <c r="H1206" i="2"/>
  <c r="F1206" i="2"/>
  <c r="M1206" i="2"/>
  <c r="C1207" i="2"/>
  <c r="L1206" i="2" l="1"/>
  <c r="L511" i="2"/>
  <c r="D1206" i="2"/>
  <c r="J1206" i="2"/>
  <c r="K1206" i="2" s="1"/>
  <c r="A1207" i="2"/>
  <c r="B1207" i="2"/>
  <c r="E1207" i="2"/>
  <c r="G1207" i="2"/>
  <c r="I1207" i="2"/>
  <c r="H1207" i="2"/>
  <c r="M1207" i="2"/>
  <c r="F1207" i="2"/>
  <c r="E512" i="2"/>
  <c r="C1208" i="2"/>
  <c r="L512" i="2" l="1"/>
  <c r="L1207" i="2"/>
  <c r="D1207" i="2"/>
  <c r="J1207" i="2"/>
  <c r="K1207" i="2" s="1"/>
  <c r="B1208" i="2"/>
  <c r="A1208" i="2"/>
  <c r="E1208" i="2"/>
  <c r="I1208" i="2"/>
  <c r="H1208" i="2"/>
  <c r="G1208" i="2"/>
  <c r="F1208" i="2"/>
  <c r="E513" i="2"/>
  <c r="M1208" i="2"/>
  <c r="C1209" i="2"/>
  <c r="L1208" i="2" l="1"/>
  <c r="L513" i="2"/>
  <c r="D1208" i="2"/>
  <c r="J1208" i="2"/>
  <c r="K1208" i="2" s="1"/>
  <c r="A1209" i="2"/>
  <c r="B1209" i="2"/>
  <c r="E509" i="2"/>
  <c r="H1209" i="2"/>
  <c r="G1209" i="2"/>
  <c r="M1209" i="2"/>
  <c r="F1209" i="2"/>
  <c r="I1209" i="2"/>
  <c r="E1209" i="2"/>
  <c r="C1210" i="2"/>
  <c r="L509" i="2" l="1"/>
  <c r="L1209" i="2"/>
  <c r="J1209" i="2"/>
  <c r="K1209" i="2" s="1"/>
  <c r="D1209" i="2"/>
  <c r="B1210" i="2"/>
  <c r="A1210" i="2"/>
  <c r="E1210" i="2"/>
  <c r="F1210" i="2"/>
  <c r="H1210" i="2"/>
  <c r="I1210" i="2"/>
  <c r="E510" i="2"/>
  <c r="M1210" i="2"/>
  <c r="G1210" i="2"/>
  <c r="C1211" i="2"/>
  <c r="L1210" i="2" l="1"/>
  <c r="L510" i="2"/>
  <c r="D1210" i="2"/>
  <c r="J1210" i="2"/>
  <c r="K1210" i="2" s="1"/>
  <c r="A1211" i="2"/>
  <c r="B1211" i="2"/>
  <c r="G1211" i="2"/>
  <c r="M1211" i="2"/>
  <c r="H1211" i="2"/>
  <c r="E404" i="2"/>
  <c r="E1211" i="2"/>
  <c r="F1211" i="2"/>
  <c r="I1211" i="2"/>
  <c r="C1212" i="2"/>
  <c r="L1211" i="2" l="1"/>
  <c r="L404" i="2"/>
  <c r="D1211" i="2"/>
  <c r="J1211" i="2"/>
  <c r="K1211" i="2" s="1"/>
  <c r="A1212" i="2"/>
  <c r="B1212" i="2"/>
  <c r="E405" i="2"/>
  <c r="H1212" i="2"/>
  <c r="I1212" i="2"/>
  <c r="F1212" i="2"/>
  <c r="M1212" i="2"/>
  <c r="G1212" i="2"/>
  <c r="E1212" i="2"/>
  <c r="C1213" i="2"/>
  <c r="L405" i="2" l="1"/>
  <c r="L1212" i="2"/>
  <c r="D1212" i="2"/>
  <c r="J1212" i="2"/>
  <c r="K1212" i="2" s="1"/>
  <c r="A1213" i="2"/>
  <c r="B1213" i="2"/>
  <c r="M1213" i="2"/>
  <c r="E402" i="2"/>
  <c r="F1213" i="2"/>
  <c r="C1214" i="2"/>
  <c r="E1213" i="2"/>
  <c r="G1213" i="2"/>
  <c r="I1213" i="2"/>
  <c r="H1213" i="2"/>
  <c r="L402" i="2" l="1"/>
  <c r="L1213" i="2"/>
  <c r="D1213" i="2"/>
  <c r="J1213" i="2"/>
  <c r="K1213" i="2" s="1"/>
  <c r="B1214" i="2"/>
  <c r="A1214" i="2"/>
  <c r="E403" i="2"/>
  <c r="H1214" i="2"/>
  <c r="I1214" i="2"/>
  <c r="F1214" i="2"/>
  <c r="M1214" i="2"/>
  <c r="E1214" i="2"/>
  <c r="G1214" i="2"/>
  <c r="C1215" i="2"/>
  <c r="L403" i="2" l="1"/>
  <c r="L1214" i="2"/>
  <c r="D1214" i="2"/>
  <c r="J1214" i="2"/>
  <c r="K1214" i="2" s="1"/>
  <c r="A1215" i="2"/>
  <c r="B1215" i="2"/>
  <c r="I1215" i="2"/>
  <c r="E1215" i="2"/>
  <c r="H1215" i="2"/>
  <c r="G1215" i="2"/>
  <c r="E406" i="2"/>
  <c r="M1215" i="2"/>
  <c r="F1215" i="2"/>
  <c r="C1216" i="2"/>
  <c r="L406" i="2" l="1"/>
  <c r="L1215" i="2"/>
  <c r="D1215" i="2"/>
  <c r="J1215" i="2"/>
  <c r="K1215" i="2" s="1"/>
  <c r="B1216" i="2"/>
  <c r="A1216" i="2"/>
  <c r="H1216" i="2"/>
  <c r="M1216" i="2"/>
  <c r="G1216" i="2"/>
  <c r="E407" i="2"/>
  <c r="E1216" i="2"/>
  <c r="F1216" i="2"/>
  <c r="I1216" i="2"/>
  <c r="C1217" i="2"/>
  <c r="L1216" i="2" l="1"/>
  <c r="L407" i="2"/>
  <c r="J1216" i="2"/>
  <c r="K1216" i="2" s="1"/>
  <c r="D1216" i="2"/>
  <c r="A1217" i="2"/>
  <c r="B1217" i="2"/>
  <c r="F1217" i="2"/>
  <c r="I1217" i="2"/>
  <c r="E423" i="2"/>
  <c r="M1217" i="2"/>
  <c r="H1217" i="2"/>
  <c r="E1217" i="2"/>
  <c r="C1218" i="2"/>
  <c r="G1217" i="2"/>
  <c r="L423" i="2" l="1"/>
  <c r="L1217" i="2"/>
  <c r="D1217" i="2"/>
  <c r="J1217" i="2"/>
  <c r="K1217" i="2" s="1"/>
  <c r="B1218" i="2"/>
  <c r="A1218" i="2"/>
  <c r="G1218" i="2"/>
  <c r="I1218" i="2"/>
  <c r="F1218" i="2"/>
  <c r="H1218" i="2"/>
  <c r="M1218" i="2"/>
  <c r="E424" i="2"/>
  <c r="E1218" i="2"/>
  <c r="C1219" i="2"/>
  <c r="L424" i="2" l="1"/>
  <c r="L1218" i="2"/>
  <c r="D1218" i="2"/>
  <c r="J1218" i="2"/>
  <c r="K1218" i="2" s="1"/>
  <c r="A1219" i="2"/>
  <c r="B1219" i="2"/>
  <c r="H1219" i="2"/>
  <c r="G1219" i="2"/>
  <c r="E1219" i="2"/>
  <c r="I1219" i="2"/>
  <c r="M1219" i="2"/>
  <c r="F1219" i="2"/>
  <c r="E399" i="2"/>
  <c r="C1220" i="2"/>
  <c r="L399" i="2" l="1"/>
  <c r="L1219" i="2"/>
  <c r="J1219" i="2"/>
  <c r="K1219" i="2" s="1"/>
  <c r="D1219" i="2"/>
  <c r="A1220" i="2"/>
  <c r="B1220" i="2"/>
  <c r="E1220" i="2"/>
  <c r="H1220" i="2"/>
  <c r="E400" i="2"/>
  <c r="I1220" i="2"/>
  <c r="M1220" i="2"/>
  <c r="F1220" i="2"/>
  <c r="G1220" i="2"/>
  <c r="C1221" i="2"/>
  <c r="L1220" i="2" l="1"/>
  <c r="L400" i="2"/>
  <c r="J1220" i="2"/>
  <c r="K1220" i="2" s="1"/>
  <c r="D1220" i="2"/>
  <c r="A1221" i="2"/>
  <c r="B1221" i="2"/>
  <c r="I1221" i="2"/>
  <c r="E1221" i="2"/>
  <c r="G1221" i="2"/>
  <c r="E401" i="2"/>
  <c r="F1221" i="2"/>
  <c r="M1221" i="2"/>
  <c r="H1221" i="2"/>
  <c r="C1222" i="2"/>
  <c r="L401" i="2" l="1"/>
  <c r="L1221" i="2"/>
  <c r="J1221" i="2"/>
  <c r="K1221" i="2" s="1"/>
  <c r="D1221" i="2"/>
  <c r="B1222" i="2"/>
  <c r="A1222" i="2"/>
  <c r="H1222" i="2"/>
  <c r="I1222" i="2"/>
  <c r="E408" i="2"/>
  <c r="G1222" i="2"/>
  <c r="F1222" i="2"/>
  <c r="E1222" i="2"/>
  <c r="M1222" i="2"/>
  <c r="C1223" i="2"/>
  <c r="L1222" i="2" l="1"/>
  <c r="L408" i="2"/>
  <c r="J1222" i="2"/>
  <c r="K1222" i="2" s="1"/>
  <c r="D1222" i="2"/>
  <c r="A1223" i="2"/>
  <c r="B1223" i="2"/>
  <c r="F1223" i="2"/>
  <c r="H1223" i="2"/>
  <c r="E409" i="2"/>
  <c r="E1223" i="2"/>
  <c r="M1223" i="2"/>
  <c r="G1223" i="2"/>
  <c r="I1223" i="2"/>
  <c r="C1224" i="2"/>
  <c r="L1223" i="2" l="1"/>
  <c r="L409" i="2"/>
  <c r="D1223" i="2"/>
  <c r="J1223" i="2"/>
  <c r="K1223" i="2" s="1"/>
  <c r="B1224" i="2"/>
  <c r="A1224" i="2"/>
  <c r="I1224" i="2"/>
  <c r="E421" i="2"/>
  <c r="H1224" i="2"/>
  <c r="M1224" i="2"/>
  <c r="F1224" i="2"/>
  <c r="G1224" i="2"/>
  <c r="E1224" i="2"/>
  <c r="C1225" i="2"/>
  <c r="L421" i="2" l="1"/>
  <c r="L1224" i="2"/>
  <c r="J1224" i="2"/>
  <c r="K1224" i="2" s="1"/>
  <c r="D1224" i="2"/>
  <c r="A1225" i="2"/>
  <c r="B1225" i="2"/>
  <c r="F1225" i="2"/>
  <c r="E1225" i="2"/>
  <c r="E422" i="2"/>
  <c r="H1225" i="2"/>
  <c r="M1225" i="2"/>
  <c r="I1225" i="2"/>
  <c r="G1225" i="2"/>
  <c r="C1226" i="2"/>
  <c r="L1225" i="2" l="1"/>
  <c r="L422" i="2"/>
  <c r="J1225" i="2"/>
  <c r="K1225" i="2" s="1"/>
  <c r="D1225" i="2"/>
  <c r="B1226" i="2"/>
  <c r="A1226" i="2"/>
  <c r="F1226" i="2"/>
  <c r="I1226" i="2"/>
  <c r="E1226" i="2"/>
  <c r="G1226" i="2"/>
  <c r="M1226" i="2"/>
  <c r="E419" i="2"/>
  <c r="H1226" i="2"/>
  <c r="C1227" i="2"/>
  <c r="L419" i="2" l="1"/>
  <c r="L1226" i="2"/>
  <c r="J1226" i="2"/>
  <c r="K1226" i="2" s="1"/>
  <c r="D1226" i="2"/>
  <c r="A1227" i="2"/>
  <c r="B1227" i="2"/>
  <c r="H1227" i="2"/>
  <c r="E1227" i="2"/>
  <c r="G1227" i="2"/>
  <c r="M1227" i="2"/>
  <c r="F1227" i="2"/>
  <c r="E420" i="2"/>
  <c r="I1227" i="2"/>
  <c r="C1228" i="2"/>
  <c r="L1227" i="2" l="1"/>
  <c r="L420" i="2"/>
  <c r="D1227" i="2"/>
  <c r="J1227" i="2"/>
  <c r="K1227" i="2" s="1"/>
  <c r="A1228" i="2"/>
  <c r="B1228" i="2"/>
  <c r="E417" i="2"/>
  <c r="G1228" i="2"/>
  <c r="E1228" i="2"/>
  <c r="M1228" i="2"/>
  <c r="H1228" i="2"/>
  <c r="F1228" i="2"/>
  <c r="I1228" i="2"/>
  <c r="C1229" i="2"/>
  <c r="L417" i="2" l="1"/>
  <c r="L1228" i="2"/>
  <c r="D1228" i="2"/>
  <c r="J1228" i="2"/>
  <c r="K1228" i="2" s="1"/>
  <c r="A1229" i="2"/>
  <c r="B1229" i="2"/>
  <c r="E1229" i="2"/>
  <c r="E418" i="2"/>
  <c r="F1229" i="2"/>
  <c r="G1229" i="2"/>
  <c r="M1229" i="2"/>
  <c r="I1229" i="2"/>
  <c r="H1229" i="2"/>
  <c r="C1230" i="2"/>
  <c r="L418" i="2" l="1"/>
  <c r="L1229" i="2"/>
  <c r="D1229" i="2"/>
  <c r="J1229" i="2"/>
  <c r="K1229" i="2" s="1"/>
  <c r="B1230" i="2"/>
  <c r="A1230" i="2"/>
  <c r="M1230" i="2"/>
  <c r="E415" i="2"/>
  <c r="H1230" i="2"/>
  <c r="F1230" i="2"/>
  <c r="I1230" i="2"/>
  <c r="E1230" i="2"/>
  <c r="G1230" i="2"/>
  <c r="C1231" i="2"/>
  <c r="L415" i="2" l="1"/>
  <c r="L1230" i="2"/>
  <c r="J1230" i="2"/>
  <c r="K1230" i="2" s="1"/>
  <c r="D1230" i="2"/>
  <c r="A1231" i="2"/>
  <c r="B1231" i="2"/>
  <c r="M1231" i="2"/>
  <c r="F1231" i="2"/>
  <c r="H1231" i="2"/>
  <c r="G1231" i="2"/>
  <c r="E1231" i="2"/>
  <c r="E416" i="2"/>
  <c r="I1231" i="2"/>
  <c r="C1232" i="2"/>
  <c r="L416" i="2" l="1"/>
  <c r="L1231" i="2"/>
  <c r="D1231" i="2"/>
  <c r="J1231" i="2"/>
  <c r="K1231" i="2" s="1"/>
  <c r="B1232" i="2"/>
  <c r="A1232" i="2"/>
  <c r="I1232" i="2"/>
  <c r="E1232" i="2"/>
  <c r="F1232" i="2"/>
  <c r="M1232" i="2"/>
  <c r="H1232" i="2"/>
  <c r="G1232" i="2"/>
  <c r="C1233" i="2"/>
  <c r="L1232" i="2" l="1"/>
  <c r="J1232" i="2"/>
  <c r="K1232" i="2" s="1"/>
  <c r="D1232" i="2"/>
  <c r="A1233" i="2"/>
  <c r="B1233" i="2"/>
  <c r="I1233" i="2"/>
  <c r="E1233" i="2"/>
  <c r="E413" i="2"/>
  <c r="G1233" i="2"/>
  <c r="F1233" i="2"/>
  <c r="M1233" i="2"/>
  <c r="H1233" i="2"/>
  <c r="C1234" i="2"/>
  <c r="L413" i="2" l="1"/>
  <c r="L1233" i="2"/>
  <c r="D1233" i="2"/>
  <c r="J1233" i="2"/>
  <c r="K1233" i="2" s="1"/>
  <c r="B1234" i="2"/>
  <c r="A1234" i="2"/>
  <c r="H1234" i="2"/>
  <c r="I1234" i="2"/>
  <c r="E1234" i="2"/>
  <c r="M1234" i="2"/>
  <c r="F1234" i="2"/>
  <c r="G1234" i="2"/>
  <c r="E414" i="2"/>
  <c r="C1235" i="2"/>
  <c r="L414" i="2" l="1"/>
  <c r="L1234" i="2"/>
  <c r="A1235" i="2"/>
  <c r="B1235" i="2"/>
  <c r="J1234" i="2"/>
  <c r="K1234" i="2" s="1"/>
  <c r="D1234" i="2"/>
  <c r="G1235" i="2"/>
  <c r="E1235" i="2"/>
  <c r="M1235" i="2"/>
  <c r="E410" i="2"/>
  <c r="H1235" i="2"/>
  <c r="F1235" i="2"/>
  <c r="I1235" i="2"/>
  <c r="L410" i="2" l="1"/>
  <c r="L1235" i="2"/>
  <c r="J1235" i="2"/>
  <c r="K1235" i="2" s="1"/>
  <c r="D1235" i="2"/>
  <c r="E411" i="2"/>
  <c r="C1236" i="2"/>
  <c r="L411" i="2" l="1"/>
  <c r="B1236" i="2"/>
  <c r="A1236" i="2"/>
  <c r="E1236" i="2"/>
  <c r="H1236" i="2"/>
  <c r="G1236" i="2"/>
  <c r="I1236" i="2"/>
  <c r="M1236" i="2"/>
  <c r="E412" i="2"/>
  <c r="F1236" i="2"/>
  <c r="C1237" i="2"/>
  <c r="L412" i="2" l="1"/>
  <c r="L1236" i="2"/>
  <c r="D1236" i="2"/>
  <c r="J1236" i="2"/>
  <c r="K1236" i="2" s="1"/>
  <c r="A1237" i="2"/>
  <c r="B1237" i="2"/>
  <c r="I1237" i="2"/>
  <c r="H1237" i="2"/>
  <c r="E1237" i="2"/>
  <c r="G1237" i="2"/>
  <c r="F1237" i="2"/>
  <c r="M1237" i="2"/>
  <c r="C1238" i="2"/>
  <c r="E670" i="2"/>
  <c r="L1237" i="2" l="1"/>
  <c r="L670" i="2"/>
  <c r="J1237" i="2"/>
  <c r="K1237" i="2" s="1"/>
  <c r="D1237" i="2"/>
  <c r="B1238" i="2"/>
  <c r="A1238" i="2"/>
  <c r="M1238" i="2"/>
  <c r="E1238" i="2"/>
  <c r="F1238" i="2"/>
  <c r="G1238" i="2"/>
  <c r="I1238" i="2"/>
  <c r="H1238" i="2"/>
  <c r="E671" i="2"/>
  <c r="C1239" i="2"/>
  <c r="L1238" i="2" l="1"/>
  <c r="L671" i="2"/>
  <c r="D1238" i="2"/>
  <c r="J1238" i="2"/>
  <c r="K1238" i="2" s="1"/>
  <c r="A1239" i="2"/>
  <c r="B1239" i="2"/>
  <c r="E1239" i="2"/>
  <c r="I1239" i="2"/>
  <c r="E473" i="2"/>
  <c r="G1239" i="2"/>
  <c r="H1239" i="2"/>
  <c r="M1239" i="2"/>
  <c r="F1239" i="2"/>
  <c r="C1240" i="2"/>
  <c r="L473" i="2" l="1"/>
  <c r="L1239" i="2"/>
  <c r="J1239" i="2"/>
  <c r="K1239" i="2" s="1"/>
  <c r="D1239" i="2"/>
  <c r="B1240" i="2"/>
  <c r="A1240" i="2"/>
  <c r="E474" i="2"/>
  <c r="E1240" i="2"/>
  <c r="M1240" i="2"/>
  <c r="H1240" i="2"/>
  <c r="I1240" i="2"/>
  <c r="G1240" i="2"/>
  <c r="F1240" i="2"/>
  <c r="C1241" i="2"/>
  <c r="L474" i="2" l="1"/>
  <c r="L1240" i="2"/>
  <c r="J1240" i="2"/>
  <c r="K1240" i="2" s="1"/>
  <c r="D1240" i="2"/>
  <c r="B1241" i="2"/>
  <c r="A1241" i="2"/>
  <c r="E1241" i="2"/>
  <c r="I1241" i="2"/>
  <c r="E475" i="2"/>
  <c r="F1241" i="2"/>
  <c r="C1242" i="2"/>
  <c r="H1241" i="2"/>
  <c r="G1241" i="2"/>
  <c r="M1241" i="2"/>
  <c r="L475" i="2" l="1"/>
  <c r="L1241" i="2"/>
  <c r="J1241" i="2"/>
  <c r="K1241" i="2" s="1"/>
  <c r="D1241" i="2"/>
  <c r="A1242" i="2"/>
  <c r="B1242" i="2"/>
  <c r="M1242" i="2"/>
  <c r="I1242" i="2"/>
  <c r="E1242" i="2"/>
  <c r="C1243" i="2"/>
  <c r="G1242" i="2"/>
  <c r="E476" i="2"/>
  <c r="H1242" i="2"/>
  <c r="F1242" i="2"/>
  <c r="L1242" i="2" l="1"/>
  <c r="L476" i="2"/>
  <c r="D1242" i="2"/>
  <c r="J1242" i="2"/>
  <c r="K1242" i="2" s="1"/>
  <c r="A1243" i="2"/>
  <c r="B1243" i="2"/>
  <c r="G1243" i="2"/>
  <c r="F1243" i="2"/>
  <c r="M1243" i="2"/>
  <c r="E1243" i="2"/>
  <c r="H1243" i="2"/>
  <c r="E434" i="2"/>
  <c r="I1243" i="2"/>
  <c r="C1244" i="2"/>
  <c r="L434" i="2" l="1"/>
  <c r="L1243" i="2"/>
  <c r="D1243" i="2"/>
  <c r="J1243" i="2"/>
  <c r="K1243" i="2" s="1"/>
  <c r="B1244" i="2"/>
  <c r="A1244" i="2"/>
  <c r="F1244" i="2"/>
  <c r="I1244" i="2"/>
  <c r="H1244" i="2"/>
  <c r="M1244" i="2"/>
  <c r="E1244" i="2"/>
  <c r="G1244" i="2"/>
  <c r="E435" i="2"/>
  <c r="C1245" i="2"/>
  <c r="L435" i="2" l="1"/>
  <c r="L1244" i="2"/>
  <c r="J1244" i="2"/>
  <c r="K1244" i="2" s="1"/>
  <c r="D1244" i="2"/>
  <c r="B1245" i="2"/>
  <c r="A1245" i="2"/>
  <c r="G1245" i="2"/>
  <c r="E436" i="2"/>
  <c r="H1245" i="2"/>
  <c r="I1245" i="2"/>
  <c r="E1245" i="2"/>
  <c r="M1245" i="2"/>
  <c r="F1245" i="2"/>
  <c r="C1246" i="2"/>
  <c r="L436" i="2" l="1"/>
  <c r="L1245" i="2"/>
  <c r="D1245" i="2"/>
  <c r="J1245" i="2"/>
  <c r="K1245" i="2" s="1"/>
  <c r="A1246" i="2"/>
  <c r="B1246" i="2"/>
  <c r="M1246" i="2"/>
  <c r="F1246" i="2"/>
  <c r="E1246" i="2"/>
  <c r="E437" i="2"/>
  <c r="H1246" i="2"/>
  <c r="G1246" i="2"/>
  <c r="I1246" i="2"/>
  <c r="C1247" i="2"/>
  <c r="L1246" i="2" l="1"/>
  <c r="L437" i="2"/>
  <c r="D1246" i="2"/>
  <c r="J1246" i="2"/>
  <c r="K1246" i="2" s="1"/>
  <c r="A1247" i="2"/>
  <c r="B1247" i="2"/>
  <c r="M1247" i="2"/>
  <c r="F1247" i="2"/>
  <c r="E1247" i="2"/>
  <c r="E620" i="2"/>
  <c r="I1247" i="2"/>
  <c r="G1247" i="2"/>
  <c r="H1247" i="2"/>
  <c r="C1248" i="2"/>
  <c r="L620" i="2" l="1"/>
  <c r="L1247" i="2"/>
  <c r="D1247" i="2"/>
  <c r="J1247" i="2"/>
  <c r="K1247" i="2" s="1"/>
  <c r="A1248" i="2"/>
  <c r="B1248" i="2"/>
  <c r="F1248" i="2"/>
  <c r="I1248" i="2"/>
  <c r="H1248" i="2"/>
  <c r="M1248" i="2"/>
  <c r="E621" i="2"/>
  <c r="E1248" i="2"/>
  <c r="G1248" i="2"/>
  <c r="C1249" i="2"/>
  <c r="L621" i="2" l="1"/>
  <c r="L1248" i="2"/>
  <c r="D1248" i="2"/>
  <c r="J1248" i="2"/>
  <c r="K1248" i="2" s="1"/>
  <c r="B1249" i="2"/>
  <c r="A1249" i="2"/>
  <c r="E1249" i="2"/>
  <c r="E622" i="2"/>
  <c r="F1249" i="2"/>
  <c r="I1249" i="2"/>
  <c r="H1249" i="2"/>
  <c r="M1249" i="2"/>
  <c r="G1249" i="2"/>
  <c r="C1250" i="2"/>
  <c r="L1249" i="2" l="1"/>
  <c r="L622" i="2"/>
  <c r="J1249" i="2"/>
  <c r="K1249" i="2" s="1"/>
  <c r="D1249" i="2"/>
  <c r="A1250" i="2"/>
  <c r="B1250" i="2"/>
  <c r="E623" i="2"/>
  <c r="M1250" i="2"/>
  <c r="H1250" i="2"/>
  <c r="I1250" i="2"/>
  <c r="G1250" i="2"/>
  <c r="E1250" i="2"/>
  <c r="F1250" i="2"/>
  <c r="C1251" i="2"/>
  <c r="L1250" i="2" l="1"/>
  <c r="L623" i="2"/>
  <c r="D1250" i="2"/>
  <c r="J1250" i="2"/>
  <c r="K1250" i="2" s="1"/>
  <c r="A1251" i="2"/>
  <c r="B1251" i="2"/>
  <c r="G1251" i="2"/>
  <c r="E519" i="2"/>
  <c r="M1251" i="2"/>
  <c r="E1251" i="2"/>
  <c r="H1251" i="2"/>
  <c r="F1251" i="2"/>
  <c r="I1251" i="2"/>
  <c r="C1252" i="2"/>
  <c r="L519" i="2" l="1"/>
  <c r="L1251" i="2"/>
  <c r="D1251" i="2"/>
  <c r="J1251" i="2"/>
  <c r="K1251" i="2" s="1"/>
  <c r="B1252" i="2"/>
  <c r="A1252" i="2"/>
  <c r="E1252" i="2"/>
  <c r="I1252" i="2"/>
  <c r="E520" i="2"/>
  <c r="M1252" i="2"/>
  <c r="F1252" i="2"/>
  <c r="H1252" i="2"/>
  <c r="G1252" i="2"/>
  <c r="C1253" i="2"/>
  <c r="L1252" i="2" l="1"/>
  <c r="L520" i="2"/>
  <c r="D1252" i="2"/>
  <c r="J1252" i="2"/>
  <c r="K1252" i="2" s="1"/>
  <c r="B1253" i="2"/>
  <c r="A1253" i="2"/>
  <c r="I1253" i="2"/>
  <c r="E1253" i="2"/>
  <c r="G1253" i="2"/>
  <c r="E521" i="2"/>
  <c r="M1253" i="2"/>
  <c r="F1253" i="2"/>
  <c r="H1253" i="2"/>
  <c r="C1254" i="2"/>
  <c r="L1253" i="2" l="1"/>
  <c r="L521" i="2"/>
  <c r="D1253" i="2"/>
  <c r="J1253" i="2"/>
  <c r="K1253" i="2" s="1"/>
  <c r="B1254" i="2"/>
  <c r="A1254" i="2"/>
  <c r="E522" i="2"/>
  <c r="E1254" i="2"/>
  <c r="F1254" i="2"/>
  <c r="H1254" i="2"/>
  <c r="G1254" i="2"/>
  <c r="M1254" i="2"/>
  <c r="I1254" i="2"/>
  <c r="C1255" i="2"/>
  <c r="L522" i="2" l="1"/>
  <c r="L1254" i="2"/>
  <c r="J1254" i="2"/>
  <c r="K1254" i="2" s="1"/>
  <c r="D1254" i="2"/>
  <c r="A1255" i="2"/>
  <c r="B1255" i="2"/>
  <c r="G1255" i="2"/>
  <c r="E523" i="2"/>
  <c r="E1255" i="2"/>
  <c r="M1255" i="2"/>
  <c r="F1255" i="2"/>
  <c r="H1255" i="2"/>
  <c r="I1255" i="2"/>
  <c r="C1256" i="2"/>
  <c r="L523" i="2" l="1"/>
  <c r="L1255" i="2"/>
  <c r="D1255" i="2"/>
  <c r="J1255" i="2"/>
  <c r="K1255" i="2" s="1"/>
  <c r="A1256" i="2"/>
  <c r="B1256" i="2"/>
  <c r="H1256" i="2"/>
  <c r="G1256" i="2"/>
  <c r="E524" i="2"/>
  <c r="M1256" i="2"/>
  <c r="E1256" i="2"/>
  <c r="F1256" i="2"/>
  <c r="I1256" i="2"/>
  <c r="C1257" i="2"/>
  <c r="L1256" i="2" l="1"/>
  <c r="L524" i="2"/>
  <c r="J1256" i="2"/>
  <c r="K1256" i="2" s="1"/>
  <c r="D1256" i="2"/>
  <c r="B1257" i="2"/>
  <c r="A1257" i="2"/>
  <c r="F1257" i="2"/>
  <c r="E525" i="2"/>
  <c r="G1257" i="2"/>
  <c r="E1257" i="2"/>
  <c r="H1257" i="2"/>
  <c r="I1257" i="2"/>
  <c r="M1257" i="2"/>
  <c r="C1258" i="2"/>
  <c r="L525" i="2" l="1"/>
  <c r="L1257" i="2"/>
  <c r="D1257" i="2"/>
  <c r="J1257" i="2"/>
  <c r="K1257" i="2" s="1"/>
  <c r="A1258" i="2"/>
  <c r="B1258" i="2"/>
  <c r="G1258" i="2"/>
  <c r="E1258" i="2"/>
  <c r="H1258" i="2"/>
  <c r="F1258" i="2"/>
  <c r="E526" i="2"/>
  <c r="I1258" i="2"/>
  <c r="M1258" i="2"/>
  <c r="C1259" i="2"/>
  <c r="L1258" i="2" l="1"/>
  <c r="L526" i="2"/>
  <c r="J1258" i="2"/>
  <c r="K1258" i="2" s="1"/>
  <c r="D1258" i="2"/>
  <c r="A1259" i="2"/>
  <c r="B1259" i="2"/>
  <c r="E527" i="2"/>
  <c r="I1259" i="2"/>
  <c r="M1259" i="2"/>
  <c r="C1260" i="2"/>
  <c r="E1259" i="2"/>
  <c r="G1259" i="2"/>
  <c r="F1259" i="2"/>
  <c r="H1259" i="2"/>
  <c r="L1259" i="2" l="1"/>
  <c r="L527" i="2"/>
  <c r="D1259" i="2"/>
  <c r="J1259" i="2"/>
  <c r="K1259" i="2" s="1"/>
  <c r="B1260" i="2"/>
  <c r="A1260" i="2"/>
  <c r="E1260" i="2"/>
  <c r="I1260" i="2"/>
  <c r="G1260" i="2"/>
  <c r="E528" i="2"/>
  <c r="F1260" i="2"/>
  <c r="M1260" i="2"/>
  <c r="H1260" i="2"/>
  <c r="C1261" i="2"/>
  <c r="L528" i="2" l="1"/>
  <c r="L1260" i="2"/>
  <c r="D1260" i="2"/>
  <c r="J1260" i="2"/>
  <c r="K1260" i="2" s="1"/>
  <c r="B1261" i="2"/>
  <c r="A1261" i="2"/>
  <c r="H1261" i="2"/>
  <c r="M1261" i="2"/>
  <c r="E1261" i="2"/>
  <c r="C1262" i="2"/>
  <c r="E516" i="2"/>
  <c r="F1261" i="2"/>
  <c r="G1261" i="2"/>
  <c r="I1261" i="2"/>
  <c r="L1261" i="2" l="1"/>
  <c r="L516" i="2"/>
  <c r="D1261" i="2"/>
  <c r="J1261" i="2"/>
  <c r="K1261" i="2" s="1"/>
  <c r="B1262" i="2"/>
  <c r="A1262" i="2"/>
  <c r="E1262" i="2"/>
  <c r="E517" i="2"/>
  <c r="H1262" i="2"/>
  <c r="I1262" i="2"/>
  <c r="G1262" i="2"/>
  <c r="F1262" i="2"/>
  <c r="M1262" i="2"/>
  <c r="C1263" i="2"/>
  <c r="L517" i="2" l="1"/>
  <c r="L1262" i="2"/>
  <c r="J1262" i="2"/>
  <c r="K1262" i="2" s="1"/>
  <c r="D1262" i="2"/>
  <c r="A1263" i="2"/>
  <c r="B1263" i="2"/>
  <c r="E1263" i="2"/>
  <c r="G1263" i="2"/>
  <c r="M1263" i="2"/>
  <c r="E518" i="2"/>
  <c r="F1263" i="2"/>
  <c r="I1263" i="2"/>
  <c r="H1263" i="2"/>
  <c r="C1264" i="2"/>
  <c r="L1263" i="2" l="1"/>
  <c r="L518" i="2"/>
  <c r="J1263" i="2"/>
  <c r="K1263" i="2" s="1"/>
  <c r="D1263" i="2"/>
  <c r="A1264" i="2"/>
  <c r="B1264" i="2"/>
  <c r="E1264" i="2"/>
  <c r="F1264" i="2"/>
  <c r="E535" i="2"/>
  <c r="M1264" i="2"/>
  <c r="I1264" i="2"/>
  <c r="G1264" i="2"/>
  <c r="H1264" i="2"/>
  <c r="C1265" i="2"/>
  <c r="L1264" i="2" l="1"/>
  <c r="L535" i="2"/>
  <c r="J1264" i="2"/>
  <c r="K1264" i="2" s="1"/>
  <c r="D1264" i="2"/>
  <c r="B1265" i="2"/>
  <c r="A1265" i="2"/>
  <c r="G1265" i="2"/>
  <c r="M1265" i="2"/>
  <c r="I1265" i="2"/>
  <c r="E536" i="2"/>
  <c r="F1265" i="2"/>
  <c r="E1265" i="2"/>
  <c r="H1265" i="2"/>
  <c r="C1266" i="2"/>
  <c r="L1265" i="2" l="1"/>
  <c r="L536" i="2"/>
  <c r="J1265" i="2"/>
  <c r="K1265" i="2" s="1"/>
  <c r="D1265" i="2"/>
  <c r="A1266" i="2"/>
  <c r="B1266" i="2"/>
  <c r="M1266" i="2"/>
  <c r="I1266" i="2"/>
  <c r="H1266" i="2"/>
  <c r="E482" i="2"/>
  <c r="E1266" i="2"/>
  <c r="G1266" i="2"/>
  <c r="C1267" i="2"/>
  <c r="F1266" i="2"/>
  <c r="L482" i="2" l="1"/>
  <c r="L1266" i="2"/>
  <c r="J1266" i="2"/>
  <c r="K1266" i="2" s="1"/>
  <c r="D1266" i="2"/>
  <c r="B1267" i="2"/>
  <c r="A1267" i="2"/>
  <c r="G1267" i="2"/>
  <c r="E1267" i="2"/>
  <c r="I1267" i="2"/>
  <c r="C1268" i="2"/>
  <c r="E483" i="2"/>
  <c r="H1267" i="2"/>
  <c r="F1267" i="2"/>
  <c r="M1267" i="2"/>
  <c r="L1267" i="2" l="1"/>
  <c r="L483" i="2"/>
  <c r="J1267" i="2"/>
  <c r="K1267" i="2" s="1"/>
  <c r="D1267" i="2"/>
  <c r="A1268" i="2"/>
  <c r="B1268" i="2"/>
  <c r="F1268" i="2"/>
  <c r="M1268" i="2"/>
  <c r="E1268" i="2"/>
  <c r="E484" i="2"/>
  <c r="I1268" i="2"/>
  <c r="H1268" i="2"/>
  <c r="G1268" i="2"/>
  <c r="C1269" i="2"/>
  <c r="L484" i="2" l="1"/>
  <c r="L1268" i="2"/>
  <c r="J1268" i="2"/>
  <c r="K1268" i="2" s="1"/>
  <c r="D1268" i="2"/>
  <c r="B1269" i="2"/>
  <c r="A1269" i="2"/>
  <c r="G1269" i="2"/>
  <c r="E485" i="2"/>
  <c r="H1269" i="2"/>
  <c r="M1269" i="2"/>
  <c r="F1269" i="2"/>
  <c r="I1269" i="2"/>
  <c r="E1269" i="2"/>
  <c r="C1270" i="2"/>
  <c r="L485" i="2" l="1"/>
  <c r="L1269" i="2"/>
  <c r="D1269" i="2"/>
  <c r="J1269" i="2"/>
  <c r="K1269" i="2" s="1"/>
  <c r="B1270" i="2"/>
  <c r="A1270" i="2"/>
  <c r="H1270" i="2"/>
  <c r="M1270" i="2"/>
  <c r="E1270" i="2"/>
  <c r="E486" i="2"/>
  <c r="I1270" i="2"/>
  <c r="G1270" i="2"/>
  <c r="F1270" i="2"/>
  <c r="C1271" i="2"/>
  <c r="L1270" i="2" l="1"/>
  <c r="L486" i="2"/>
  <c r="D1270" i="2"/>
  <c r="J1270" i="2"/>
  <c r="K1270" i="2" s="1"/>
  <c r="B1271" i="2"/>
  <c r="A1271" i="2"/>
  <c r="G1271" i="2"/>
  <c r="F1271" i="2"/>
  <c r="M1271" i="2"/>
  <c r="E1271" i="2"/>
  <c r="I1271" i="2"/>
  <c r="H1271" i="2"/>
  <c r="C1272" i="2"/>
  <c r="L1271" i="2" l="1"/>
  <c r="D1271" i="2"/>
  <c r="J1271" i="2"/>
  <c r="K1271" i="2" s="1"/>
  <c r="B1272" i="2"/>
  <c r="A1272" i="2"/>
  <c r="I1272" i="2"/>
  <c r="E1272" i="2"/>
  <c r="H1272" i="2"/>
  <c r="F1272" i="2"/>
  <c r="M1272" i="2"/>
  <c r="E487" i="2"/>
  <c r="G1272" i="2"/>
  <c r="C1273" i="2"/>
  <c r="L487" i="2" l="1"/>
  <c r="L1272" i="2"/>
  <c r="D1272" i="2"/>
  <c r="J1272" i="2"/>
  <c r="K1272" i="2" s="1"/>
  <c r="B1273" i="2"/>
  <c r="A1273" i="2"/>
  <c r="I1273" i="2"/>
  <c r="H1273" i="2"/>
  <c r="G1273" i="2"/>
  <c r="E488" i="2"/>
  <c r="M1273" i="2"/>
  <c r="E1273" i="2"/>
  <c r="F1273" i="2"/>
  <c r="L1273" i="2" l="1"/>
  <c r="L488" i="2"/>
  <c r="J1273" i="2"/>
  <c r="K1273" i="2" s="1"/>
  <c r="D1273" i="2"/>
  <c r="C1274" i="2"/>
  <c r="E489" i="2"/>
  <c r="L489" i="2" l="1"/>
  <c r="B1274" i="2"/>
  <c r="A1274" i="2"/>
  <c r="E1274" i="2"/>
  <c r="E490" i="2"/>
  <c r="F1274" i="2"/>
  <c r="H1274" i="2"/>
  <c r="G1274" i="2"/>
  <c r="M1274" i="2"/>
  <c r="I1274" i="2"/>
  <c r="C1275" i="2"/>
  <c r="L1274" i="2" l="1"/>
  <c r="L490" i="2"/>
  <c r="J1274" i="2"/>
  <c r="K1274" i="2" s="1"/>
  <c r="D1274" i="2"/>
  <c r="B1275" i="2"/>
  <c r="A1275" i="2"/>
  <c r="M1275" i="2"/>
  <c r="G1275" i="2"/>
  <c r="E1275" i="2"/>
  <c r="I1275" i="2"/>
  <c r="E618" i="2"/>
  <c r="H1275" i="2"/>
  <c r="F1275" i="2"/>
  <c r="C1276" i="2"/>
  <c r="L618" i="2" l="1"/>
  <c r="L1275" i="2"/>
  <c r="J1275" i="2"/>
  <c r="K1275" i="2" s="1"/>
  <c r="D1275" i="2"/>
  <c r="A1276" i="2"/>
  <c r="B1276" i="2"/>
  <c r="M1276" i="2"/>
  <c r="G1276" i="2"/>
  <c r="E1276" i="2"/>
  <c r="I1276" i="2"/>
  <c r="H1276" i="2"/>
  <c r="F1276" i="2"/>
  <c r="C1277" i="2"/>
  <c r="L1276" i="2" l="1"/>
  <c r="J1276" i="2"/>
  <c r="K1276" i="2" s="1"/>
  <c r="D1276" i="2"/>
  <c r="B1277" i="2"/>
  <c r="A1277" i="2"/>
  <c r="F1277" i="2"/>
  <c r="I1277" i="2"/>
  <c r="E619" i="2"/>
  <c r="E1277" i="2"/>
  <c r="M1277" i="2"/>
  <c r="H1277" i="2"/>
  <c r="G1277" i="2"/>
  <c r="C1278" i="2"/>
  <c r="L1277" i="2" l="1"/>
  <c r="L619" i="2"/>
  <c r="J1277" i="2"/>
  <c r="K1277" i="2" s="1"/>
  <c r="D1277" i="2"/>
  <c r="B1278" i="2"/>
  <c r="A1278" i="2"/>
  <c r="F1278" i="2"/>
  <c r="M1278" i="2"/>
  <c r="E1278" i="2"/>
  <c r="G1278" i="2"/>
  <c r="I1278" i="2"/>
  <c r="H1278" i="2"/>
  <c r="E477" i="2"/>
  <c r="C1279" i="2"/>
  <c r="L477" i="2" l="1"/>
  <c r="L1278" i="2"/>
  <c r="J1278" i="2"/>
  <c r="K1278" i="2" s="1"/>
  <c r="D1278" i="2"/>
  <c r="B1279" i="2"/>
  <c r="A1279" i="2"/>
  <c r="M1279" i="2"/>
  <c r="G1279" i="2"/>
  <c r="H1279" i="2"/>
  <c r="E1279" i="2"/>
  <c r="I1279" i="2"/>
  <c r="E478" i="2"/>
  <c r="F1279" i="2"/>
  <c r="C1280" i="2"/>
  <c r="L1279" i="2" l="1"/>
  <c r="L478" i="2"/>
  <c r="B1280" i="2"/>
  <c r="A1280" i="2"/>
  <c r="J1279" i="2"/>
  <c r="K1279" i="2" s="1"/>
  <c r="D1279" i="2"/>
  <c r="H1280" i="2"/>
  <c r="G1280" i="2"/>
  <c r="F1280" i="2"/>
  <c r="M1280" i="2"/>
  <c r="I1280" i="2"/>
  <c r="E1280" i="2"/>
  <c r="E479" i="2"/>
  <c r="L479" i="2" l="1"/>
  <c r="L1280" i="2"/>
  <c r="J1280" i="2"/>
  <c r="K1280" i="2" s="1"/>
  <c r="D1280" i="2"/>
  <c r="E480" i="2"/>
  <c r="C1281" i="2"/>
  <c r="L480" i="2" l="1"/>
  <c r="B1281" i="2"/>
  <c r="A1281" i="2"/>
  <c r="F1281" i="2"/>
  <c r="G1281" i="2"/>
  <c r="M1281" i="2"/>
  <c r="I1281" i="2"/>
  <c r="H1281" i="2"/>
  <c r="E1281" i="2"/>
  <c r="E481" i="2"/>
  <c r="C1282" i="2"/>
  <c r="L481" i="2" l="1"/>
  <c r="L1281" i="2"/>
  <c r="D1281" i="2"/>
  <c r="J1281" i="2"/>
  <c r="K1281" i="2" s="1"/>
  <c r="A1282" i="2"/>
  <c r="B1282" i="2"/>
  <c r="E469" i="2"/>
  <c r="H1282" i="2"/>
  <c r="F1282" i="2"/>
  <c r="I1282" i="2"/>
  <c r="G1282" i="2"/>
  <c r="M1282" i="2"/>
  <c r="E1282" i="2"/>
  <c r="C1283" i="2"/>
  <c r="L1282" i="2" l="1"/>
  <c r="L469" i="2"/>
  <c r="J1282" i="2"/>
  <c r="K1282" i="2" s="1"/>
  <c r="D1282" i="2"/>
  <c r="B1283" i="2"/>
  <c r="A1283" i="2"/>
  <c r="M1283" i="2"/>
  <c r="E1283" i="2"/>
  <c r="I1283" i="2"/>
  <c r="F1283" i="2"/>
  <c r="G1283" i="2"/>
  <c r="E470" i="2"/>
  <c r="H1283" i="2"/>
  <c r="C1284" i="2"/>
  <c r="L470" i="2" l="1"/>
  <c r="L1283" i="2"/>
  <c r="J1283" i="2"/>
  <c r="K1283" i="2" s="1"/>
  <c r="D1283" i="2"/>
  <c r="B1284" i="2"/>
  <c r="A1284" i="2"/>
  <c r="M1284" i="2"/>
  <c r="E1284" i="2"/>
  <c r="F1284" i="2"/>
  <c r="I1284" i="2"/>
  <c r="G1284" i="2"/>
  <c r="H1284" i="2"/>
  <c r="E471" i="2"/>
  <c r="C1285" i="2"/>
  <c r="L471" i="2" l="1"/>
  <c r="L1284" i="2"/>
  <c r="D1284" i="2"/>
  <c r="J1284" i="2"/>
  <c r="K1284" i="2" s="1"/>
  <c r="B1285" i="2"/>
  <c r="A1285" i="2"/>
  <c r="I1285" i="2"/>
  <c r="H1285" i="2"/>
  <c r="G1285" i="2"/>
  <c r="M1285" i="2"/>
  <c r="E1285" i="2"/>
  <c r="E472" i="2"/>
  <c r="F1285" i="2"/>
  <c r="C1286" i="2"/>
  <c r="L472" i="2" l="1"/>
  <c r="L1285" i="2"/>
  <c r="D1285" i="2"/>
  <c r="J1285" i="2"/>
  <c r="K1285" i="2" s="1"/>
  <c r="A1286" i="2"/>
  <c r="B1286" i="2"/>
  <c r="E1286" i="2"/>
  <c r="H1286" i="2"/>
  <c r="G1286" i="2"/>
  <c r="E529" i="2"/>
  <c r="I1286" i="2"/>
  <c r="F1286" i="2"/>
  <c r="M1286" i="2"/>
  <c r="C1287" i="2"/>
  <c r="L529" i="2" l="1"/>
  <c r="L1286" i="2"/>
  <c r="D1286" i="2"/>
  <c r="J1286" i="2"/>
  <c r="K1286" i="2" s="1"/>
  <c r="B1287" i="2"/>
  <c r="A1287" i="2"/>
  <c r="E1287" i="2"/>
  <c r="F1287" i="2"/>
  <c r="E530" i="2"/>
  <c r="I1287" i="2"/>
  <c r="H1287" i="2"/>
  <c r="M1287" i="2"/>
  <c r="G1287" i="2"/>
  <c r="C1288" i="2"/>
  <c r="L1287" i="2" l="1"/>
  <c r="L530" i="2"/>
  <c r="J1287" i="2"/>
  <c r="K1287" i="2" s="1"/>
  <c r="D1287" i="2"/>
  <c r="B1288" i="2"/>
  <c r="A1288" i="2"/>
  <c r="F1288" i="2"/>
  <c r="M1288" i="2"/>
  <c r="E1288" i="2"/>
  <c r="H1288" i="2"/>
  <c r="E533" i="2"/>
  <c r="I1288" i="2"/>
  <c r="G1288" i="2"/>
  <c r="C1289" i="2"/>
  <c r="L533" i="2" l="1"/>
  <c r="L1288" i="2"/>
  <c r="D1288" i="2"/>
  <c r="J1288" i="2"/>
  <c r="K1288" i="2" s="1"/>
  <c r="B1289" i="2"/>
  <c r="A1289" i="2"/>
  <c r="F1289" i="2"/>
  <c r="I1289" i="2"/>
  <c r="H1289" i="2"/>
  <c r="E1289" i="2"/>
  <c r="E534" i="2"/>
  <c r="G1289" i="2"/>
  <c r="M1289" i="2"/>
  <c r="C1290" i="2"/>
  <c r="L1289" i="2" l="1"/>
  <c r="L534" i="2"/>
  <c r="J1289" i="2"/>
  <c r="K1289" i="2" s="1"/>
  <c r="D1289" i="2"/>
  <c r="B1290" i="2"/>
  <c r="A1290" i="2"/>
  <c r="M1290" i="2"/>
  <c r="F1290" i="2"/>
  <c r="E1290" i="2"/>
  <c r="I1290" i="2"/>
  <c r="E531" i="2"/>
  <c r="G1290" i="2"/>
  <c r="C1291" i="2"/>
  <c r="H1290" i="2"/>
  <c r="L531" i="2" l="1"/>
  <c r="L1290" i="2"/>
  <c r="D1290" i="2"/>
  <c r="J1290" i="2"/>
  <c r="K1290" i="2" s="1"/>
  <c r="B1291" i="2"/>
  <c r="A1291" i="2"/>
  <c r="E532" i="2"/>
  <c r="E1291" i="2"/>
  <c r="M1291" i="2"/>
  <c r="F1291" i="2"/>
  <c r="H1291" i="2"/>
  <c r="G1291" i="2"/>
  <c r="C1292" i="2"/>
  <c r="I1291" i="2"/>
  <c r="L1291" i="2" l="1"/>
  <c r="L532" i="2"/>
  <c r="D1291" i="2"/>
  <c r="J1291" i="2"/>
  <c r="K1291" i="2" s="1"/>
  <c r="A1292" i="2"/>
  <c r="B1292" i="2"/>
  <c r="F1292" i="2"/>
  <c r="E1292" i="2"/>
  <c r="M1292" i="2"/>
  <c r="H1292" i="2"/>
  <c r="E612" i="2"/>
  <c r="G1292" i="2"/>
  <c r="I1292" i="2"/>
  <c r="C1293" i="2"/>
  <c r="L612" i="2" l="1"/>
  <c r="L1292" i="2"/>
  <c r="D1292" i="2"/>
  <c r="J1292" i="2"/>
  <c r="K1292" i="2" s="1"/>
  <c r="B1293" i="2"/>
  <c r="A1293" i="2"/>
  <c r="I1293" i="2"/>
  <c r="M1293" i="2"/>
  <c r="F1293" i="2"/>
  <c r="E613" i="2"/>
  <c r="E1293" i="2"/>
  <c r="H1293" i="2"/>
  <c r="G1293" i="2"/>
  <c r="C1294" i="2"/>
  <c r="L1293" i="2" l="1"/>
  <c r="L613" i="2"/>
  <c r="J1293" i="2"/>
  <c r="K1293" i="2" s="1"/>
  <c r="D1293" i="2"/>
  <c r="B1294" i="2"/>
  <c r="A1294" i="2"/>
  <c r="G1294" i="2"/>
  <c r="I1294" i="2"/>
  <c r="M1294" i="2"/>
  <c r="F1294" i="2"/>
  <c r="H1294" i="2"/>
  <c r="E1294" i="2"/>
  <c r="C1295" i="2"/>
  <c r="L1294" i="2" l="1"/>
  <c r="J1294" i="2"/>
  <c r="K1294" i="2" s="1"/>
  <c r="D1294" i="2"/>
  <c r="B1295" i="2"/>
  <c r="A1295" i="2"/>
  <c r="I1295" i="2"/>
  <c r="E380" i="2"/>
  <c r="M1295" i="2"/>
  <c r="E1295" i="2"/>
  <c r="H1295" i="2"/>
  <c r="F1295" i="2"/>
  <c r="G1295" i="2"/>
  <c r="C1296" i="2"/>
  <c r="L1295" i="2" l="1"/>
  <c r="L380" i="2"/>
  <c r="J1295" i="2"/>
  <c r="K1295" i="2" s="1"/>
  <c r="D1295" i="2"/>
  <c r="A1296" i="2"/>
  <c r="B1296" i="2"/>
  <c r="H1296" i="2"/>
  <c r="E381" i="2"/>
  <c r="F1296" i="2"/>
  <c r="E1296" i="2"/>
  <c r="M1296" i="2"/>
  <c r="I1296" i="2"/>
  <c r="G1296" i="2"/>
  <c r="C1297" i="2"/>
  <c r="L381" i="2" l="1"/>
  <c r="L1296" i="2"/>
  <c r="D1296" i="2"/>
  <c r="J1296" i="2"/>
  <c r="K1296" i="2" s="1"/>
  <c r="B1297" i="2"/>
  <c r="A1297" i="2"/>
  <c r="H1297" i="2"/>
  <c r="E1297" i="2"/>
  <c r="I1297" i="2"/>
  <c r="G1297" i="2"/>
  <c r="F1297" i="2"/>
  <c r="M1297" i="2"/>
  <c r="E353" i="2"/>
  <c r="C1298" i="2"/>
  <c r="L353" i="2" l="1"/>
  <c r="L1297" i="2"/>
  <c r="D1297" i="2"/>
  <c r="J1297" i="2"/>
  <c r="K1297" i="2" s="1"/>
  <c r="A1298" i="2"/>
  <c r="B1298" i="2"/>
  <c r="D353" i="2"/>
  <c r="E1298" i="2"/>
  <c r="E354" i="2"/>
  <c r="F1298" i="2"/>
  <c r="H1298" i="2"/>
  <c r="I1298" i="2"/>
  <c r="C1299" i="2"/>
  <c r="M1298" i="2"/>
  <c r="G1298" i="2"/>
  <c r="L354" i="2" l="1"/>
  <c r="L1298" i="2"/>
  <c r="D1298" i="2"/>
  <c r="J1298" i="2"/>
  <c r="K1298" i="2" s="1"/>
  <c r="B1299" i="2"/>
  <c r="A1299" i="2"/>
  <c r="D354" i="2"/>
  <c r="G1299" i="2"/>
  <c r="I1299" i="2"/>
  <c r="E378" i="2"/>
  <c r="C1300" i="2"/>
  <c r="H1299" i="2"/>
  <c r="M1299" i="2"/>
  <c r="E1299" i="2"/>
  <c r="F1299" i="2"/>
  <c r="L378" i="2" l="1"/>
  <c r="L1299" i="2"/>
  <c r="J1299" i="2"/>
  <c r="K1299" i="2" s="1"/>
  <c r="D1299" i="2"/>
  <c r="B1300" i="2"/>
  <c r="A1300" i="2"/>
  <c r="E379" i="2"/>
  <c r="G1300" i="2"/>
  <c r="F1300" i="2"/>
  <c r="I1300" i="2"/>
  <c r="E1300" i="2"/>
  <c r="M1300" i="2"/>
  <c r="H1300" i="2"/>
  <c r="C1301" i="2"/>
  <c r="L379" i="2" l="1"/>
  <c r="L1300" i="2"/>
  <c r="D1300" i="2"/>
  <c r="J1300" i="2"/>
  <c r="K1300" i="2" s="1"/>
  <c r="B1301" i="2"/>
  <c r="A1301" i="2"/>
  <c r="F1301" i="2"/>
  <c r="H1301" i="2"/>
  <c r="G1301" i="2"/>
  <c r="I1301" i="2"/>
  <c r="E1301" i="2"/>
  <c r="E376" i="2"/>
  <c r="M1301" i="2"/>
  <c r="C1302" i="2"/>
  <c r="L1301" i="2" l="1"/>
  <c r="L376" i="2"/>
  <c r="D1301" i="2"/>
  <c r="J1301" i="2"/>
  <c r="K1301" i="2" s="1"/>
  <c r="B1302" i="2"/>
  <c r="A1302" i="2"/>
  <c r="E377" i="2"/>
  <c r="G1302" i="2"/>
  <c r="E1302" i="2"/>
  <c r="H1302" i="2"/>
  <c r="M1302" i="2"/>
  <c r="I1302" i="2"/>
  <c r="F1302" i="2"/>
  <c r="C1303" i="2"/>
  <c r="L1302" i="2" l="1"/>
  <c r="L377" i="2"/>
  <c r="J1302" i="2"/>
  <c r="K1302" i="2" s="1"/>
  <c r="D1302" i="2"/>
  <c r="B1303" i="2"/>
  <c r="A1303" i="2"/>
  <c r="G1303" i="2"/>
  <c r="F1303" i="2"/>
  <c r="M1303" i="2"/>
  <c r="H1303" i="2"/>
  <c r="E374" i="2"/>
  <c r="E1303" i="2"/>
  <c r="I1303" i="2"/>
  <c r="C1304" i="2"/>
  <c r="L1303" i="2" l="1"/>
  <c r="L374" i="2"/>
  <c r="J1303" i="2"/>
  <c r="K1303" i="2" s="1"/>
  <c r="D1303" i="2"/>
  <c r="B1304" i="2"/>
  <c r="A1304" i="2"/>
  <c r="M1304" i="2"/>
  <c r="F1304" i="2"/>
  <c r="I1304" i="2"/>
  <c r="H1304" i="2"/>
  <c r="E375" i="2"/>
  <c r="G1304" i="2"/>
  <c r="E1304" i="2"/>
  <c r="C1305" i="2"/>
  <c r="L375" i="2" l="1"/>
  <c r="L1304" i="2"/>
  <c r="D1304" i="2"/>
  <c r="J1304" i="2"/>
  <c r="K1304" i="2" s="1"/>
  <c r="B1305" i="2"/>
  <c r="A1305" i="2"/>
  <c r="H1305" i="2"/>
  <c r="F1305" i="2"/>
  <c r="I1305" i="2"/>
  <c r="E372" i="2"/>
  <c r="E1305" i="2"/>
  <c r="M1305" i="2"/>
  <c r="G1305" i="2"/>
  <c r="C1306" i="2"/>
  <c r="L1305" i="2" l="1"/>
  <c r="L372" i="2"/>
  <c r="J1305" i="2"/>
  <c r="K1305" i="2" s="1"/>
  <c r="D1305" i="2"/>
  <c r="B1306" i="2"/>
  <c r="A1306" i="2"/>
  <c r="E373" i="2"/>
  <c r="I1306" i="2"/>
  <c r="H1306" i="2"/>
  <c r="E1306" i="2"/>
  <c r="M1306" i="2"/>
  <c r="G1306" i="2"/>
  <c r="C1307" i="2"/>
  <c r="F1306" i="2"/>
  <c r="L1306" i="2" l="1"/>
  <c r="L373" i="2"/>
  <c r="D1306" i="2"/>
  <c r="J1306" i="2"/>
  <c r="K1306" i="2" s="1"/>
  <c r="B1307" i="2"/>
  <c r="A1307" i="2"/>
  <c r="F1307" i="2"/>
  <c r="G1307" i="2"/>
  <c r="H1307" i="2"/>
  <c r="I1307" i="2"/>
  <c r="E370" i="2"/>
  <c r="E1307" i="2"/>
  <c r="C1308" i="2"/>
  <c r="M1307" i="2"/>
  <c r="L1307" i="2" l="1"/>
  <c r="L370" i="2"/>
  <c r="D1307" i="2"/>
  <c r="J1307" i="2"/>
  <c r="K1307" i="2" s="1"/>
  <c r="A1308" i="2"/>
  <c r="B1308" i="2"/>
  <c r="E1308" i="2"/>
  <c r="G1308" i="2"/>
  <c r="M1308" i="2"/>
  <c r="E371" i="2"/>
  <c r="F1308" i="2"/>
  <c r="H1308" i="2"/>
  <c r="I1308" i="2"/>
  <c r="C1309" i="2"/>
  <c r="L371" i="2" l="1"/>
  <c r="L1308" i="2"/>
  <c r="J1308" i="2"/>
  <c r="K1308" i="2" s="1"/>
  <c r="D1308" i="2"/>
  <c r="B1309" i="2"/>
  <c r="A1309" i="2"/>
  <c r="M1309" i="2"/>
  <c r="G1309" i="2"/>
  <c r="F1309" i="2"/>
  <c r="I1309" i="2"/>
  <c r="E1309" i="2"/>
  <c r="E368" i="2"/>
  <c r="H1309" i="2"/>
  <c r="C1310" i="2"/>
  <c r="L1309" i="2" l="1"/>
  <c r="L368" i="2"/>
  <c r="J1309" i="2"/>
  <c r="K1309" i="2" s="1"/>
  <c r="D1309" i="2"/>
  <c r="B1310" i="2"/>
  <c r="A1310" i="2"/>
  <c r="E369" i="2"/>
  <c r="F1310" i="2"/>
  <c r="M1310" i="2"/>
  <c r="G1310" i="2"/>
  <c r="E1310" i="2"/>
  <c r="I1310" i="2"/>
  <c r="H1310" i="2"/>
  <c r="C1311" i="2"/>
  <c r="L369" i="2" l="1"/>
  <c r="L1310" i="2"/>
  <c r="J1310" i="2"/>
  <c r="K1310" i="2" s="1"/>
  <c r="D1310" i="2"/>
  <c r="B1311" i="2"/>
  <c r="A1311" i="2"/>
  <c r="E366" i="2"/>
  <c r="M1311" i="2"/>
  <c r="E1311" i="2"/>
  <c r="G1311" i="2"/>
  <c r="F1311" i="2"/>
  <c r="I1311" i="2"/>
  <c r="H1311" i="2"/>
  <c r="C1312" i="2"/>
  <c r="L1311" i="2" l="1"/>
  <c r="L366" i="2"/>
  <c r="D1311" i="2"/>
  <c r="J1311" i="2"/>
  <c r="K1311" i="2" s="1"/>
  <c r="B1312" i="2"/>
  <c r="A1312" i="2"/>
  <c r="M1312" i="2"/>
  <c r="E1312" i="2"/>
  <c r="F1312" i="2"/>
  <c r="I1312" i="2"/>
  <c r="G1312" i="2"/>
  <c r="E367" i="2"/>
  <c r="H1312" i="2"/>
  <c r="C1313" i="2"/>
  <c r="L367" i="2" l="1"/>
  <c r="L1312" i="2"/>
  <c r="J1312" i="2"/>
  <c r="K1312" i="2" s="1"/>
  <c r="D1312" i="2"/>
  <c r="B1313" i="2"/>
  <c r="A1313" i="2"/>
  <c r="I1313" i="2"/>
  <c r="E364" i="2"/>
  <c r="E1313" i="2"/>
  <c r="M1313" i="2"/>
  <c r="F1313" i="2"/>
  <c r="H1313" i="2"/>
  <c r="G1313" i="2"/>
  <c r="C1314" i="2"/>
  <c r="L364" i="2" l="1"/>
  <c r="L1313" i="2"/>
  <c r="D1313" i="2"/>
  <c r="J1313" i="2"/>
  <c r="K1313" i="2" s="1"/>
  <c r="A1314" i="2"/>
  <c r="B1314" i="2"/>
  <c r="G1314" i="2"/>
  <c r="E365" i="2"/>
  <c r="M1314" i="2"/>
  <c r="C1315" i="2"/>
  <c r="E1314" i="2"/>
  <c r="H1314" i="2"/>
  <c r="I1314" i="2"/>
  <c r="F1314" i="2"/>
  <c r="L1314" i="2" l="1"/>
  <c r="L365" i="2"/>
  <c r="J1314" i="2"/>
  <c r="K1314" i="2" s="1"/>
  <c r="D1314" i="2"/>
  <c r="B1315" i="2"/>
  <c r="A1315" i="2"/>
  <c r="F1315" i="2"/>
  <c r="G1315" i="2"/>
  <c r="I1315" i="2"/>
  <c r="E361" i="2"/>
  <c r="H1315" i="2"/>
  <c r="E1315" i="2"/>
  <c r="M1315" i="2"/>
  <c r="C1316" i="2"/>
  <c r="L1315" i="2" l="1"/>
  <c r="L361" i="2"/>
  <c r="J1315" i="2"/>
  <c r="K1315" i="2" s="1"/>
  <c r="D1315" i="2"/>
  <c r="B1316" i="2"/>
  <c r="A1316" i="2"/>
  <c r="I1316" i="2"/>
  <c r="E362" i="2"/>
  <c r="H1316" i="2"/>
  <c r="G1316" i="2"/>
  <c r="E1316" i="2"/>
  <c r="M1316" i="2"/>
  <c r="F1316" i="2"/>
  <c r="C1317" i="2"/>
  <c r="L362" i="2" l="1"/>
  <c r="L1316" i="2"/>
  <c r="D1316" i="2"/>
  <c r="J1316" i="2"/>
  <c r="K1316" i="2" s="1"/>
  <c r="B1317" i="2"/>
  <c r="A1317" i="2"/>
  <c r="E1317" i="2"/>
  <c r="H1317" i="2"/>
  <c r="F1317" i="2"/>
  <c r="E363" i="2"/>
  <c r="M1317" i="2"/>
  <c r="G1317" i="2"/>
  <c r="I1317" i="2"/>
  <c r="C1318" i="2"/>
  <c r="L363" i="2" l="1"/>
  <c r="L1317" i="2"/>
  <c r="J1317" i="2"/>
  <c r="K1317" i="2" s="1"/>
  <c r="D1317" i="2"/>
  <c r="B1318" i="2"/>
  <c r="A1318" i="2"/>
  <c r="H1318" i="2"/>
  <c r="E359" i="2"/>
  <c r="I1318" i="2"/>
  <c r="G1318" i="2"/>
  <c r="M1318" i="2"/>
  <c r="E1318" i="2"/>
  <c r="F1318" i="2"/>
  <c r="C1319" i="2"/>
  <c r="L359" i="2" l="1"/>
  <c r="L1318" i="2"/>
  <c r="J1318" i="2"/>
  <c r="K1318" i="2" s="1"/>
  <c r="D1318" i="2"/>
  <c r="B1319" i="2"/>
  <c r="A1319" i="2"/>
  <c r="G1319" i="2"/>
  <c r="E360" i="2"/>
  <c r="H1319" i="2"/>
  <c r="I1319" i="2"/>
  <c r="M1319" i="2"/>
  <c r="E1319" i="2"/>
  <c r="F1319" i="2"/>
  <c r="C1320" i="2"/>
  <c r="L360" i="2" l="1"/>
  <c r="L1319" i="2"/>
  <c r="J1319" i="2"/>
  <c r="K1319" i="2" s="1"/>
  <c r="D1319" i="2"/>
  <c r="B1320" i="2"/>
  <c r="A1320" i="2"/>
  <c r="G1320" i="2"/>
  <c r="F1320" i="2"/>
  <c r="M1320" i="2"/>
  <c r="H1320" i="2"/>
  <c r="E1320" i="2"/>
  <c r="E356" i="2"/>
  <c r="I1320" i="2"/>
  <c r="C1321" i="2"/>
  <c r="L356" i="2" l="1"/>
  <c r="L1320" i="2"/>
  <c r="D1320" i="2"/>
  <c r="J1320" i="2"/>
  <c r="K1320" i="2" s="1"/>
  <c r="B1321" i="2"/>
  <c r="A1321" i="2"/>
  <c r="F1321" i="2"/>
  <c r="H1321" i="2"/>
  <c r="G1321" i="2"/>
  <c r="I1321" i="2"/>
  <c r="E1321" i="2"/>
  <c r="E357" i="2"/>
  <c r="M1321" i="2"/>
  <c r="C1322" i="2"/>
  <c r="L357" i="2" l="1"/>
  <c r="L1321" i="2"/>
  <c r="J1321" i="2"/>
  <c r="K1321" i="2" s="1"/>
  <c r="D1321" i="2"/>
  <c r="B1322" i="2"/>
  <c r="A1322" i="2"/>
  <c r="E355" i="2"/>
  <c r="I1322" i="2"/>
  <c r="M1322" i="2"/>
  <c r="E358" i="2"/>
  <c r="E1322" i="2"/>
  <c r="H1322" i="2"/>
  <c r="F1322" i="2"/>
  <c r="G1322" i="2"/>
  <c r="C1323" i="2"/>
  <c r="L1322" i="2" l="1"/>
  <c r="L355" i="2"/>
  <c r="L358" i="2"/>
  <c r="D1322" i="2"/>
  <c r="J1322" i="2"/>
  <c r="K1322" i="2" s="1"/>
  <c r="B1323" i="2"/>
  <c r="A1323" i="2"/>
  <c r="D355" i="2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D376" i="2" s="1"/>
  <c r="D377" i="2" s="1"/>
  <c r="D378" i="2" s="1"/>
  <c r="D379" i="2" s="1"/>
  <c r="D380" i="2" s="1"/>
  <c r="D381" i="2" s="1"/>
  <c r="D382" i="2" s="1"/>
  <c r="D383" i="2" s="1"/>
  <c r="D384" i="2" s="1"/>
  <c r="D385" i="2" s="1"/>
  <c r="D386" i="2" s="1"/>
  <c r="D387" i="2" s="1"/>
  <c r="D388" i="2" s="1"/>
  <c r="D389" i="2" s="1"/>
  <c r="D390" i="2" s="1"/>
  <c r="D391" i="2" s="1"/>
  <c r="D392" i="2" s="1"/>
  <c r="D393" i="2" s="1"/>
  <c r="D394" i="2" s="1"/>
  <c r="D395" i="2" s="1"/>
  <c r="D396" i="2" s="1"/>
  <c r="D397" i="2" s="1"/>
  <c r="D398" i="2" s="1"/>
  <c r="D399" i="2" s="1"/>
  <c r="D400" i="2" s="1"/>
  <c r="D401" i="2" s="1"/>
  <c r="D402" i="2" s="1"/>
  <c r="D403" i="2" s="1"/>
  <c r="D404" i="2" s="1"/>
  <c r="D405" i="2" s="1"/>
  <c r="D406" i="2" s="1"/>
  <c r="D407" i="2" s="1"/>
  <c r="D408" i="2" s="1"/>
  <c r="D409" i="2" s="1"/>
  <c r="D410" i="2" s="1"/>
  <c r="D411" i="2" s="1"/>
  <c r="D412" i="2" s="1"/>
  <c r="D413" i="2" s="1"/>
  <c r="D414" i="2" s="1"/>
  <c r="D415" i="2" s="1"/>
  <c r="D416" i="2" s="1"/>
  <c r="D417" i="2" s="1"/>
  <c r="D418" i="2" s="1"/>
  <c r="D419" i="2" s="1"/>
  <c r="D420" i="2" s="1"/>
  <c r="D421" i="2" s="1"/>
  <c r="D422" i="2" s="1"/>
  <c r="D423" i="2" s="1"/>
  <c r="D424" i="2" s="1"/>
  <c r="D425" i="2" s="1"/>
  <c r="D426" i="2" s="1"/>
  <c r="D427" i="2" s="1"/>
  <c r="D428" i="2" s="1"/>
  <c r="D429" i="2" s="1"/>
  <c r="D430" i="2" s="1"/>
  <c r="D431" i="2" s="1"/>
  <c r="D432" i="2" s="1"/>
  <c r="D433" i="2" s="1"/>
  <c r="D434" i="2" s="1"/>
  <c r="D435" i="2" s="1"/>
  <c r="D436" i="2" s="1"/>
  <c r="D437" i="2" s="1"/>
  <c r="D438" i="2" s="1"/>
  <c r="D439" i="2" s="1"/>
  <c r="D440" i="2" s="1"/>
  <c r="D441" i="2" s="1"/>
  <c r="D442" i="2" s="1"/>
  <c r="D443" i="2" s="1"/>
  <c r="D444" i="2" s="1"/>
  <c r="D445" i="2" s="1"/>
  <c r="D446" i="2" s="1"/>
  <c r="D447" i="2" s="1"/>
  <c r="D448" i="2" s="1"/>
  <c r="D449" i="2" s="1"/>
  <c r="D450" i="2" s="1"/>
  <c r="D451" i="2" s="1"/>
  <c r="D452" i="2" s="1"/>
  <c r="D453" i="2" s="1"/>
  <c r="D454" i="2" s="1"/>
  <c r="D455" i="2" s="1"/>
  <c r="D456" i="2" s="1"/>
  <c r="D457" i="2" s="1"/>
  <c r="D458" i="2" s="1"/>
  <c r="D459" i="2" s="1"/>
  <c r="D460" i="2" s="1"/>
  <c r="D461" i="2" s="1"/>
  <c r="D462" i="2" s="1"/>
  <c r="D463" i="2" s="1"/>
  <c r="D464" i="2" s="1"/>
  <c r="D465" i="2" s="1"/>
  <c r="D466" i="2" s="1"/>
  <c r="D467" i="2" s="1"/>
  <c r="D468" i="2" s="1"/>
  <c r="D469" i="2" s="1"/>
  <c r="D470" i="2" s="1"/>
  <c r="D471" i="2" s="1"/>
  <c r="D472" i="2" s="1"/>
  <c r="D473" i="2" s="1"/>
  <c r="D474" i="2" s="1"/>
  <c r="D475" i="2" s="1"/>
  <c r="D476" i="2" s="1"/>
  <c r="D477" i="2" s="1"/>
  <c r="D478" i="2" s="1"/>
  <c r="D479" i="2" s="1"/>
  <c r="D480" i="2" s="1"/>
  <c r="D481" i="2" s="1"/>
  <c r="D482" i="2" s="1"/>
  <c r="D483" i="2" s="1"/>
  <c r="D484" i="2" s="1"/>
  <c r="D485" i="2" s="1"/>
  <c r="D486" i="2" s="1"/>
  <c r="D487" i="2" s="1"/>
  <c r="D488" i="2" s="1"/>
  <c r="D489" i="2" s="1"/>
  <c r="D490" i="2" s="1"/>
  <c r="D491" i="2" s="1"/>
  <c r="D492" i="2" s="1"/>
  <c r="D493" i="2" s="1"/>
  <c r="D494" i="2" s="1"/>
  <c r="D495" i="2" s="1"/>
  <c r="D496" i="2" s="1"/>
  <c r="D497" i="2" s="1"/>
  <c r="D498" i="2" s="1"/>
  <c r="D499" i="2" s="1"/>
  <c r="D500" i="2" s="1"/>
  <c r="D501" i="2" s="1"/>
  <c r="D502" i="2" s="1"/>
  <c r="D503" i="2" s="1"/>
  <c r="D504" i="2" s="1"/>
  <c r="D505" i="2" s="1"/>
  <c r="D506" i="2" s="1"/>
  <c r="D507" i="2" s="1"/>
  <c r="D508" i="2" s="1"/>
  <c r="D509" i="2" s="1"/>
  <c r="D510" i="2" s="1"/>
  <c r="D511" i="2" s="1"/>
  <c r="D512" i="2" s="1"/>
  <c r="D513" i="2" s="1"/>
  <c r="D514" i="2" s="1"/>
  <c r="D515" i="2" s="1"/>
  <c r="D516" i="2" s="1"/>
  <c r="D517" i="2" s="1"/>
  <c r="D518" i="2" s="1"/>
  <c r="D519" i="2" s="1"/>
  <c r="D520" i="2" s="1"/>
  <c r="D521" i="2" s="1"/>
  <c r="D522" i="2" s="1"/>
  <c r="D523" i="2" s="1"/>
  <c r="D524" i="2" s="1"/>
  <c r="D525" i="2" s="1"/>
  <c r="D526" i="2" s="1"/>
  <c r="D527" i="2" s="1"/>
  <c r="D528" i="2" s="1"/>
  <c r="D529" i="2" s="1"/>
  <c r="D530" i="2" s="1"/>
  <c r="D531" i="2" s="1"/>
  <c r="D532" i="2" s="1"/>
  <c r="D533" i="2" s="1"/>
  <c r="D534" i="2" s="1"/>
  <c r="D535" i="2" s="1"/>
  <c r="D536" i="2" s="1"/>
  <c r="D537" i="2" s="1"/>
  <c r="D538" i="2" s="1"/>
  <c r="D539" i="2" s="1"/>
  <c r="D540" i="2" s="1"/>
  <c r="D541" i="2" s="1"/>
  <c r="D542" i="2" s="1"/>
  <c r="D543" i="2" s="1"/>
  <c r="D544" i="2" s="1"/>
  <c r="D545" i="2" s="1"/>
  <c r="D546" i="2" s="1"/>
  <c r="D547" i="2" s="1"/>
  <c r="D548" i="2" s="1"/>
  <c r="D549" i="2" s="1"/>
  <c r="D550" i="2" s="1"/>
  <c r="D551" i="2" s="1"/>
  <c r="D552" i="2" s="1"/>
  <c r="D553" i="2" s="1"/>
  <c r="D554" i="2" s="1"/>
  <c r="D555" i="2" s="1"/>
  <c r="D556" i="2" s="1"/>
  <c r="D557" i="2" s="1"/>
  <c r="D558" i="2" s="1"/>
  <c r="D559" i="2" s="1"/>
  <c r="D560" i="2" s="1"/>
  <c r="D561" i="2" s="1"/>
  <c r="D562" i="2" s="1"/>
  <c r="D563" i="2" s="1"/>
  <c r="D564" i="2" s="1"/>
  <c r="D565" i="2" s="1"/>
  <c r="D566" i="2" s="1"/>
  <c r="D567" i="2" s="1"/>
  <c r="D568" i="2" s="1"/>
  <c r="D569" i="2" s="1"/>
  <c r="D570" i="2" s="1"/>
  <c r="D571" i="2" s="1"/>
  <c r="D572" i="2" s="1"/>
  <c r="D573" i="2" s="1"/>
  <c r="D574" i="2" s="1"/>
  <c r="D575" i="2" s="1"/>
  <c r="D576" i="2" s="1"/>
  <c r="D577" i="2" s="1"/>
  <c r="D578" i="2" s="1"/>
  <c r="D579" i="2" s="1"/>
  <c r="D580" i="2" s="1"/>
  <c r="D581" i="2" s="1"/>
  <c r="D582" i="2" s="1"/>
  <c r="D583" i="2" s="1"/>
  <c r="D584" i="2" s="1"/>
  <c r="D585" i="2" s="1"/>
  <c r="D586" i="2" s="1"/>
  <c r="D587" i="2" s="1"/>
  <c r="D588" i="2" s="1"/>
  <c r="D589" i="2" s="1"/>
  <c r="D590" i="2" s="1"/>
  <c r="D591" i="2" s="1"/>
  <c r="D592" i="2" s="1"/>
  <c r="D593" i="2" s="1"/>
  <c r="D594" i="2" s="1"/>
  <c r="D595" i="2" s="1"/>
  <c r="D596" i="2" s="1"/>
  <c r="D597" i="2" s="1"/>
  <c r="D598" i="2" s="1"/>
  <c r="D599" i="2" s="1"/>
  <c r="D600" i="2" s="1"/>
  <c r="D601" i="2" s="1"/>
  <c r="D602" i="2" s="1"/>
  <c r="D603" i="2" s="1"/>
  <c r="D604" i="2" s="1"/>
  <c r="D605" i="2" s="1"/>
  <c r="D606" i="2" s="1"/>
  <c r="D607" i="2" s="1"/>
  <c r="D608" i="2" s="1"/>
  <c r="D609" i="2" s="1"/>
  <c r="D610" i="2" s="1"/>
  <c r="D611" i="2" s="1"/>
  <c r="D612" i="2" s="1"/>
  <c r="D613" i="2" s="1"/>
  <c r="D614" i="2" s="1"/>
  <c r="D615" i="2" s="1"/>
  <c r="D616" i="2" s="1"/>
  <c r="D617" i="2" s="1"/>
  <c r="D618" i="2" s="1"/>
  <c r="D619" i="2" s="1"/>
  <c r="D620" i="2" s="1"/>
  <c r="D621" i="2" s="1"/>
  <c r="D622" i="2" s="1"/>
  <c r="D623" i="2" s="1"/>
  <c r="D624" i="2" s="1"/>
  <c r="D625" i="2" s="1"/>
  <c r="D626" i="2" s="1"/>
  <c r="D627" i="2" s="1"/>
  <c r="D628" i="2" s="1"/>
  <c r="D629" i="2" s="1"/>
  <c r="D630" i="2" s="1"/>
  <c r="D631" i="2" s="1"/>
  <c r="D632" i="2" s="1"/>
  <c r="D633" i="2" s="1"/>
  <c r="D634" i="2" s="1"/>
  <c r="D635" i="2" s="1"/>
  <c r="D636" i="2" s="1"/>
  <c r="D637" i="2" s="1"/>
  <c r="D638" i="2" s="1"/>
  <c r="D639" i="2" s="1"/>
  <c r="D640" i="2" s="1"/>
  <c r="D641" i="2" s="1"/>
  <c r="D642" i="2" s="1"/>
  <c r="D643" i="2" s="1"/>
  <c r="D644" i="2" s="1"/>
  <c r="D645" i="2" s="1"/>
  <c r="D646" i="2" s="1"/>
  <c r="D647" i="2" s="1"/>
  <c r="D648" i="2" s="1"/>
  <c r="D649" i="2" s="1"/>
  <c r="D650" i="2" s="1"/>
  <c r="D651" i="2" s="1"/>
  <c r="D652" i="2" s="1"/>
  <c r="D653" i="2" s="1"/>
  <c r="D654" i="2" s="1"/>
  <c r="D655" i="2" s="1"/>
  <c r="D656" i="2" s="1"/>
  <c r="D657" i="2" s="1"/>
  <c r="D658" i="2" s="1"/>
  <c r="D659" i="2" s="1"/>
  <c r="D660" i="2" s="1"/>
  <c r="D661" i="2" s="1"/>
  <c r="D662" i="2" s="1"/>
  <c r="D663" i="2" s="1"/>
  <c r="D664" i="2" s="1"/>
  <c r="D665" i="2" s="1"/>
  <c r="D666" i="2" s="1"/>
  <c r="D667" i="2" s="1"/>
  <c r="D668" i="2" s="1"/>
  <c r="D669" i="2" s="1"/>
  <c r="D670" i="2" s="1"/>
  <c r="D671" i="2" s="1"/>
  <c r="D672" i="2" s="1"/>
  <c r="D673" i="2" s="1"/>
  <c r="D674" i="2" s="1"/>
  <c r="D675" i="2" s="1"/>
  <c r="D676" i="2" s="1"/>
  <c r="D677" i="2" s="1"/>
  <c r="D678" i="2" s="1"/>
  <c r="D679" i="2" s="1"/>
  <c r="D680" i="2" s="1"/>
  <c r="D681" i="2" s="1"/>
  <c r="D682" i="2" s="1"/>
  <c r="D683" i="2" s="1"/>
  <c r="D684" i="2" s="1"/>
  <c r="D685" i="2" s="1"/>
  <c r="D686" i="2" s="1"/>
  <c r="D687" i="2" s="1"/>
  <c r="D688" i="2" s="1"/>
  <c r="D689" i="2" s="1"/>
  <c r="D690" i="2" s="1"/>
  <c r="D691" i="2" s="1"/>
  <c r="D692" i="2" s="1"/>
  <c r="D693" i="2" s="1"/>
  <c r="D694" i="2" s="1"/>
  <c r="D695" i="2" s="1"/>
  <c r="D696" i="2" s="1"/>
  <c r="D697" i="2" s="1"/>
  <c r="D698" i="2" s="1"/>
  <c r="D699" i="2" s="1"/>
  <c r="D700" i="2" s="1"/>
  <c r="D701" i="2" s="1"/>
  <c r="D702" i="2" s="1"/>
  <c r="D703" i="2" s="1"/>
  <c r="D704" i="2" s="1"/>
  <c r="D705" i="2" s="1"/>
  <c r="E1323" i="2"/>
  <c r="G1323" i="2"/>
  <c r="F1323" i="2"/>
  <c r="I1323" i="2"/>
  <c r="H1323" i="2"/>
  <c r="M1323" i="2"/>
  <c r="C1324" i="2"/>
  <c r="L1323" i="2" l="1"/>
  <c r="J1323" i="2"/>
  <c r="K1323" i="2" s="1"/>
  <c r="D1323" i="2"/>
  <c r="A1324" i="2"/>
  <c r="B1324" i="2"/>
  <c r="G1324" i="2"/>
  <c r="E1324" i="2"/>
  <c r="I1324" i="2"/>
  <c r="F1324" i="2"/>
  <c r="H1324" i="2"/>
  <c r="M1324" i="2"/>
  <c r="C1325" i="2"/>
  <c r="L1324" i="2" l="1"/>
  <c r="J1324" i="2"/>
  <c r="K1324" i="2" s="1"/>
  <c r="D1324" i="2"/>
  <c r="B1325" i="2"/>
  <c r="A1325" i="2"/>
  <c r="H1325" i="2"/>
  <c r="I1325" i="2"/>
  <c r="E1325" i="2"/>
  <c r="F1325" i="2"/>
  <c r="G1325" i="2"/>
  <c r="M1325" i="2"/>
  <c r="C1326" i="2"/>
  <c r="L1325" i="2" l="1"/>
  <c r="J1325" i="2"/>
  <c r="K1325" i="2" s="1"/>
  <c r="D1325" i="2"/>
  <c r="B1326" i="2"/>
  <c r="A1326" i="2"/>
  <c r="H1326" i="2"/>
  <c r="M1326" i="2"/>
  <c r="G1326" i="2"/>
  <c r="F1326" i="2"/>
  <c r="I1326" i="2"/>
  <c r="E1326" i="2"/>
  <c r="C1327" i="2"/>
  <c r="L1326" i="2" l="1"/>
  <c r="J1326" i="2"/>
  <c r="K1326" i="2" s="1"/>
  <c r="D1326" i="2"/>
  <c r="B1327" i="2"/>
  <c r="A1327" i="2"/>
  <c r="I1327" i="2"/>
  <c r="G1327" i="2"/>
  <c r="M1327" i="2"/>
  <c r="H1327" i="2"/>
  <c r="E1327" i="2"/>
  <c r="F1327" i="2"/>
  <c r="C1328" i="2"/>
  <c r="L1327" i="2" l="1"/>
  <c r="D1327" i="2"/>
  <c r="J1327" i="2"/>
  <c r="K1327" i="2" s="1"/>
  <c r="B1328" i="2"/>
  <c r="A1328" i="2"/>
  <c r="G1328" i="2"/>
  <c r="H1328" i="2"/>
  <c r="F1328" i="2"/>
  <c r="I1328" i="2"/>
  <c r="M1328" i="2"/>
  <c r="E1328" i="2"/>
  <c r="C1329" i="2"/>
  <c r="L1328" i="2" l="1"/>
  <c r="D1328" i="2"/>
  <c r="J1328" i="2"/>
  <c r="K1328" i="2" s="1"/>
  <c r="B1329" i="2"/>
  <c r="A1329" i="2"/>
  <c r="F1329" i="2"/>
  <c r="H1329" i="2"/>
  <c r="I1329" i="2"/>
  <c r="G1329" i="2"/>
  <c r="M1329" i="2"/>
  <c r="E1329" i="2"/>
  <c r="C1330" i="2"/>
  <c r="L1329" i="2" l="1"/>
  <c r="D1329" i="2"/>
  <c r="J1329" i="2"/>
  <c r="K1329" i="2" s="1"/>
  <c r="A1330" i="2"/>
  <c r="B1330" i="2"/>
  <c r="H1330" i="2"/>
  <c r="F1330" i="2"/>
  <c r="M1330" i="2"/>
  <c r="E1330" i="2"/>
  <c r="G1330" i="2"/>
  <c r="I1330" i="2"/>
  <c r="C1331" i="2"/>
  <c r="L1330" i="2" l="1"/>
  <c r="J1330" i="2"/>
  <c r="K1330" i="2" s="1"/>
  <c r="D1330" i="2"/>
  <c r="B1331" i="2"/>
  <c r="A1331" i="2"/>
  <c r="G1331" i="2"/>
  <c r="H1331" i="2"/>
  <c r="F1331" i="2"/>
  <c r="I1331" i="2"/>
  <c r="M1331" i="2"/>
  <c r="E1331" i="2"/>
  <c r="C1332" i="2"/>
  <c r="L1331" i="2" l="1"/>
  <c r="D1331" i="2"/>
  <c r="J1331" i="2"/>
  <c r="K1331" i="2" s="1"/>
  <c r="B1332" i="2"/>
  <c r="A1332" i="2"/>
  <c r="I1332" i="2"/>
  <c r="M1332" i="2"/>
  <c r="H1332" i="2"/>
  <c r="G1332" i="2"/>
  <c r="F1332" i="2"/>
  <c r="E1332" i="2"/>
  <c r="C1333" i="2"/>
  <c r="L1332" i="2" l="1"/>
  <c r="J1332" i="2"/>
  <c r="K1332" i="2" s="1"/>
  <c r="D1332" i="2"/>
  <c r="B1333" i="2"/>
  <c r="A1333" i="2"/>
  <c r="H1333" i="2"/>
  <c r="E1333" i="2"/>
  <c r="I1333" i="2"/>
  <c r="F1333" i="2"/>
  <c r="M1333" i="2"/>
  <c r="G1333" i="2"/>
  <c r="C1334" i="2"/>
  <c r="L1333" i="2" l="1"/>
  <c r="D1333" i="2"/>
  <c r="J1333" i="2"/>
  <c r="K1333" i="2" s="1"/>
  <c r="A1334" i="2"/>
  <c r="B1334" i="2"/>
  <c r="G1334" i="2"/>
  <c r="M1334" i="2"/>
  <c r="F1334" i="2"/>
  <c r="I1334" i="2"/>
  <c r="H1334" i="2"/>
  <c r="E1334" i="2"/>
  <c r="C1335" i="2"/>
  <c r="L1334" i="2" l="1"/>
  <c r="J1334" i="2"/>
  <c r="K1334" i="2" s="1"/>
  <c r="D1334" i="2"/>
  <c r="B1335" i="2"/>
  <c r="A1335" i="2"/>
  <c r="I1335" i="2"/>
  <c r="H1335" i="2"/>
  <c r="G1335" i="2"/>
  <c r="E1335" i="2"/>
  <c r="F1335" i="2"/>
  <c r="M1335" i="2"/>
  <c r="C1336" i="2"/>
  <c r="L1335" i="2" l="1"/>
  <c r="D1335" i="2"/>
  <c r="J1335" i="2"/>
  <c r="K1335" i="2" s="1"/>
  <c r="B1336" i="2"/>
  <c r="A1336" i="2"/>
  <c r="E1336" i="2"/>
  <c r="M1336" i="2"/>
  <c r="I1336" i="2"/>
  <c r="F1336" i="2"/>
  <c r="H1336" i="2"/>
  <c r="G1336" i="2"/>
  <c r="C1337" i="2"/>
  <c r="L1336" i="2" l="1"/>
  <c r="D1336" i="2"/>
  <c r="J1336" i="2"/>
  <c r="K1336" i="2" s="1"/>
  <c r="B1337" i="2"/>
  <c r="A1337" i="2"/>
  <c r="G1337" i="2"/>
  <c r="H1337" i="2"/>
  <c r="E1337" i="2"/>
  <c r="I1337" i="2"/>
  <c r="F1337" i="2"/>
  <c r="M1337" i="2"/>
  <c r="C1338" i="2"/>
  <c r="L1337" i="2" l="1"/>
  <c r="D1337" i="2"/>
  <c r="J1337" i="2"/>
  <c r="K1337" i="2" s="1"/>
  <c r="B1338" i="2"/>
  <c r="A1338" i="2"/>
  <c r="E1338" i="2"/>
  <c r="F1338" i="2"/>
  <c r="M1338" i="2"/>
  <c r="H1338" i="2"/>
  <c r="G1338" i="2"/>
  <c r="I1338" i="2"/>
  <c r="C1339" i="2"/>
  <c r="L1338" i="2" l="1"/>
  <c r="J1338" i="2"/>
  <c r="K1338" i="2" s="1"/>
  <c r="D1338" i="2"/>
  <c r="B1339" i="2"/>
  <c r="A1339" i="2"/>
  <c r="G1339" i="2"/>
  <c r="F1339" i="2"/>
  <c r="M1339" i="2"/>
  <c r="I1339" i="2"/>
  <c r="H1339" i="2"/>
  <c r="E1339" i="2"/>
  <c r="C1340" i="2"/>
  <c r="L1339" i="2" l="1"/>
  <c r="J1339" i="2"/>
  <c r="K1339" i="2" s="1"/>
  <c r="D1339" i="2"/>
  <c r="A1340" i="2"/>
  <c r="B1340" i="2"/>
  <c r="E1340" i="2"/>
  <c r="M1340" i="2"/>
  <c r="F1340" i="2"/>
  <c r="H1340" i="2"/>
  <c r="G1340" i="2"/>
  <c r="I1340" i="2"/>
  <c r="C1341" i="2"/>
  <c r="L1340" i="2" l="1"/>
  <c r="J1340" i="2"/>
  <c r="K1340" i="2" s="1"/>
  <c r="D1340" i="2"/>
  <c r="B1341" i="2"/>
  <c r="A1341" i="2"/>
  <c r="F1341" i="2"/>
  <c r="M1341" i="2"/>
  <c r="I1341" i="2"/>
  <c r="H1341" i="2"/>
  <c r="G1341" i="2"/>
  <c r="E1341" i="2"/>
  <c r="C1342" i="2"/>
  <c r="L1341" i="2" l="1"/>
  <c r="J1341" i="2"/>
  <c r="K1341" i="2" s="1"/>
  <c r="D1341" i="2"/>
  <c r="B1342" i="2"/>
  <c r="A1342" i="2"/>
  <c r="F1342" i="2"/>
  <c r="I1342" i="2"/>
  <c r="G1342" i="2"/>
  <c r="M1342" i="2"/>
  <c r="E1342" i="2"/>
  <c r="H1342" i="2"/>
  <c r="C1343" i="2"/>
  <c r="L1342" i="2" l="1"/>
  <c r="D1342" i="2"/>
  <c r="J1342" i="2"/>
  <c r="K1342" i="2" s="1"/>
  <c r="B1343" i="2"/>
  <c r="A1343" i="2"/>
  <c r="H1343" i="2"/>
  <c r="F1343" i="2"/>
  <c r="E1343" i="2"/>
  <c r="G1343" i="2"/>
  <c r="M1343" i="2"/>
  <c r="I1343" i="2"/>
  <c r="C1344" i="2"/>
  <c r="L1343" i="2" l="1"/>
  <c r="D1343" i="2"/>
  <c r="J1343" i="2"/>
  <c r="K1343" i="2" s="1"/>
  <c r="B1344" i="2"/>
  <c r="A1344" i="2"/>
  <c r="G1344" i="2"/>
  <c r="H1344" i="2"/>
  <c r="I1344" i="2"/>
  <c r="E1344" i="2"/>
  <c r="F1344" i="2"/>
  <c r="M1344" i="2"/>
  <c r="C1345" i="2"/>
  <c r="L1344" i="2" l="1"/>
  <c r="J1344" i="2"/>
  <c r="K1344" i="2" s="1"/>
  <c r="D1344" i="2"/>
  <c r="B1345" i="2"/>
  <c r="A1345" i="2"/>
  <c r="I1345" i="2"/>
  <c r="E1345" i="2"/>
  <c r="H1345" i="2"/>
  <c r="G1345" i="2"/>
  <c r="F1345" i="2"/>
  <c r="M1345" i="2"/>
  <c r="C1346" i="2"/>
  <c r="L1345" i="2" l="1"/>
  <c r="J1345" i="2"/>
  <c r="K1345" i="2" s="1"/>
  <c r="D1345" i="2"/>
  <c r="A1346" i="2"/>
  <c r="B1346" i="2"/>
  <c r="H1346" i="2"/>
  <c r="I1346" i="2"/>
  <c r="E1346" i="2"/>
  <c r="M1346" i="2"/>
  <c r="F1346" i="2"/>
  <c r="G1346" i="2"/>
  <c r="C1347" i="2"/>
  <c r="L1346" i="2" l="1"/>
  <c r="D1346" i="2"/>
  <c r="J1346" i="2"/>
  <c r="K1346" i="2" s="1"/>
  <c r="B1347" i="2"/>
  <c r="A1347" i="2"/>
  <c r="G1347" i="2"/>
  <c r="M1347" i="2"/>
  <c r="I1347" i="2"/>
  <c r="E1347" i="2"/>
  <c r="H1347" i="2"/>
  <c r="F1347" i="2"/>
  <c r="C1348" i="2"/>
  <c r="L1347" i="2" l="1"/>
  <c r="J1347" i="2"/>
  <c r="K1347" i="2" s="1"/>
  <c r="D1347" i="2"/>
  <c r="B1348" i="2"/>
  <c r="A1348" i="2"/>
  <c r="E1348" i="2"/>
  <c r="M1348" i="2"/>
  <c r="G1348" i="2"/>
  <c r="H1348" i="2"/>
  <c r="I1348" i="2"/>
  <c r="F1348" i="2"/>
  <c r="C1349" i="2"/>
  <c r="L1348" i="2" l="1"/>
  <c r="J1348" i="2"/>
  <c r="K1348" i="2" s="1"/>
  <c r="D1348" i="2"/>
  <c r="B1349" i="2"/>
  <c r="A1349" i="2"/>
  <c r="G1349" i="2"/>
  <c r="E1349" i="2"/>
  <c r="H1349" i="2"/>
  <c r="M1349" i="2"/>
  <c r="F1349" i="2"/>
  <c r="I1349" i="2"/>
  <c r="C1350" i="2"/>
  <c r="L1349" i="2" l="1"/>
  <c r="D1349" i="2"/>
  <c r="J1349" i="2"/>
  <c r="K1349" i="2" s="1"/>
  <c r="A1350" i="2"/>
  <c r="B1350" i="2"/>
  <c r="E1350" i="2"/>
  <c r="F1350" i="2"/>
  <c r="I1350" i="2"/>
  <c r="G1350" i="2"/>
  <c r="H1350" i="2"/>
  <c r="M1350" i="2"/>
  <c r="C1351" i="2"/>
  <c r="L1350" i="2" l="1"/>
  <c r="J1350" i="2"/>
  <c r="K1350" i="2" s="1"/>
  <c r="D1350" i="2"/>
  <c r="B1351" i="2"/>
  <c r="A1351" i="2"/>
  <c r="I1351" i="2"/>
  <c r="H1351" i="2"/>
  <c r="M1351" i="2"/>
  <c r="G1351" i="2"/>
  <c r="E1351" i="2"/>
  <c r="F1351" i="2"/>
  <c r="C1352" i="2"/>
  <c r="L1351" i="2" l="1"/>
  <c r="J1351" i="2"/>
  <c r="K1351" i="2" s="1"/>
  <c r="D1351" i="2"/>
  <c r="B1352" i="2"/>
  <c r="A1352" i="2"/>
  <c r="F1352" i="2"/>
  <c r="H1352" i="2"/>
  <c r="E1352" i="2"/>
  <c r="M1352" i="2"/>
  <c r="I1352" i="2"/>
  <c r="G1352" i="2"/>
  <c r="C1353" i="2"/>
  <c r="L1352" i="2" l="1"/>
  <c r="J1352" i="2"/>
  <c r="K1352" i="2" s="1"/>
  <c r="D1352" i="2"/>
  <c r="B1353" i="2"/>
  <c r="A1353" i="2"/>
  <c r="H1353" i="2"/>
  <c r="M1353" i="2"/>
  <c r="G1353" i="2"/>
  <c r="F1353" i="2"/>
  <c r="E1353" i="2"/>
  <c r="I1353" i="2"/>
  <c r="C1354" i="2"/>
  <c r="L1353" i="2" l="1"/>
  <c r="D1353" i="2"/>
  <c r="J1353" i="2"/>
  <c r="K1353" i="2" s="1"/>
  <c r="B1354" i="2"/>
  <c r="A1354" i="2"/>
  <c r="I1354" i="2"/>
  <c r="G1354" i="2"/>
  <c r="H1354" i="2"/>
  <c r="F1354" i="2"/>
  <c r="E1354" i="2"/>
  <c r="M1354" i="2"/>
  <c r="C1355" i="2"/>
  <c r="L1354" i="2" l="1"/>
  <c r="J1354" i="2"/>
  <c r="K1354" i="2" s="1"/>
  <c r="D1354" i="2"/>
  <c r="B1355" i="2"/>
  <c r="A1355" i="2"/>
  <c r="M1355" i="2"/>
  <c r="G1355" i="2"/>
  <c r="I1355" i="2"/>
  <c r="F1355" i="2"/>
  <c r="E1355" i="2"/>
  <c r="H1355" i="2"/>
  <c r="C1356" i="2"/>
  <c r="L1355" i="2" l="1"/>
  <c r="D1355" i="2"/>
  <c r="J1355" i="2"/>
  <c r="K1355" i="2" s="1"/>
  <c r="A1356" i="2"/>
  <c r="B1356" i="2"/>
  <c r="M1356" i="2"/>
  <c r="I1356" i="2"/>
  <c r="H1356" i="2"/>
  <c r="E1356" i="2"/>
  <c r="G1356" i="2"/>
  <c r="F1356" i="2"/>
  <c r="C1357" i="2"/>
  <c r="L1356" i="2" l="1"/>
  <c r="J1356" i="2"/>
  <c r="K1356" i="2" s="1"/>
  <c r="D1356" i="2"/>
  <c r="B1357" i="2"/>
  <c r="A1357" i="2"/>
  <c r="M1357" i="2"/>
  <c r="F1357" i="2"/>
  <c r="E1357" i="2"/>
  <c r="G1357" i="2"/>
  <c r="I1357" i="2"/>
  <c r="H1357" i="2"/>
  <c r="C1358" i="2"/>
  <c r="L1357" i="2" l="1"/>
  <c r="D1357" i="2"/>
  <c r="J1357" i="2"/>
  <c r="K1357" i="2" s="1"/>
  <c r="B1358" i="2"/>
  <c r="A1358" i="2"/>
  <c r="M1358" i="2"/>
  <c r="E1358" i="2"/>
  <c r="I1358" i="2"/>
  <c r="H1358" i="2"/>
  <c r="F1358" i="2"/>
  <c r="G1358" i="2"/>
  <c r="C1359" i="2"/>
  <c r="L1358" i="2" l="1"/>
  <c r="D1358" i="2"/>
  <c r="J1358" i="2"/>
  <c r="K1358" i="2" s="1"/>
  <c r="B1359" i="2"/>
  <c r="A1359" i="2"/>
  <c r="E1359" i="2"/>
  <c r="F1359" i="2"/>
  <c r="H1359" i="2"/>
  <c r="M1359" i="2"/>
  <c r="G1359" i="2"/>
  <c r="I1359" i="2"/>
  <c r="C1360" i="2"/>
  <c r="L1359" i="2" l="1"/>
  <c r="D1359" i="2"/>
  <c r="J1359" i="2"/>
  <c r="K1359" i="2" s="1"/>
  <c r="A1360" i="2"/>
  <c r="B1360" i="2"/>
  <c r="I1360" i="2"/>
  <c r="G1360" i="2"/>
  <c r="M1360" i="2"/>
  <c r="E1360" i="2"/>
  <c r="H1360" i="2"/>
  <c r="F1360" i="2"/>
  <c r="C1361" i="2"/>
  <c r="L1360" i="2" l="1"/>
  <c r="J1360" i="2"/>
  <c r="K1360" i="2" s="1"/>
  <c r="D1360" i="2"/>
  <c r="B1361" i="2"/>
  <c r="A1361" i="2"/>
  <c r="M1361" i="2"/>
  <c r="H1361" i="2"/>
  <c r="F1361" i="2"/>
  <c r="G1361" i="2"/>
  <c r="I1361" i="2"/>
  <c r="E1361" i="2"/>
  <c r="C1362" i="2"/>
  <c r="L1361" i="2" l="1"/>
  <c r="J1361" i="2"/>
  <c r="K1361" i="2" s="1"/>
  <c r="D1361" i="2"/>
  <c r="A1362" i="2"/>
  <c r="B1362" i="2"/>
  <c r="M1362" i="2"/>
  <c r="G1362" i="2"/>
  <c r="E1362" i="2"/>
  <c r="I1362" i="2"/>
  <c r="F1362" i="2"/>
  <c r="H1362" i="2"/>
  <c r="C1363" i="2"/>
  <c r="L1362" i="2" l="1"/>
  <c r="D1362" i="2"/>
  <c r="J1362" i="2"/>
  <c r="K1362" i="2" s="1"/>
  <c r="B1363" i="2"/>
  <c r="A1363" i="2"/>
  <c r="E1363" i="2"/>
  <c r="M1363" i="2"/>
  <c r="F1363" i="2"/>
  <c r="G1363" i="2"/>
  <c r="I1363" i="2"/>
  <c r="H1363" i="2"/>
  <c r="C1364" i="2"/>
  <c r="L1363" i="2" l="1"/>
  <c r="D1363" i="2"/>
  <c r="J1363" i="2"/>
  <c r="K1363" i="2" s="1"/>
  <c r="B1364" i="2"/>
  <c r="A1364" i="2"/>
  <c r="G1364" i="2"/>
  <c r="M1364" i="2"/>
  <c r="H1364" i="2"/>
  <c r="F1364" i="2"/>
  <c r="I1364" i="2"/>
  <c r="E1364" i="2"/>
  <c r="C1365" i="2"/>
  <c r="L1364" i="2" l="1"/>
  <c r="D1364" i="2"/>
  <c r="J1364" i="2"/>
  <c r="K1364" i="2" s="1"/>
  <c r="B1365" i="2"/>
  <c r="A1365" i="2"/>
  <c r="F1365" i="2"/>
  <c r="M1365" i="2"/>
  <c r="E1365" i="2"/>
  <c r="H1365" i="2"/>
  <c r="G1365" i="2"/>
  <c r="I1365" i="2"/>
  <c r="C1366" i="2"/>
  <c r="L1365" i="2" l="1"/>
  <c r="D1365" i="2"/>
  <c r="J1365" i="2"/>
  <c r="K1365" i="2" s="1"/>
  <c r="B1366" i="2"/>
  <c r="A1366" i="2"/>
  <c r="G1366" i="2"/>
  <c r="M1366" i="2"/>
  <c r="E1366" i="2"/>
  <c r="F1366" i="2"/>
  <c r="H1366" i="2"/>
  <c r="I1366" i="2"/>
  <c r="C1367" i="2"/>
  <c r="L1366" i="2" l="1"/>
  <c r="D1366" i="2"/>
  <c r="J1366" i="2"/>
  <c r="K1366" i="2" s="1"/>
  <c r="B1367" i="2"/>
  <c r="A1367" i="2"/>
  <c r="I1367" i="2"/>
  <c r="H1367" i="2"/>
  <c r="F1367" i="2"/>
  <c r="E1367" i="2"/>
  <c r="G1367" i="2"/>
  <c r="M1367" i="2"/>
  <c r="C1368" i="2"/>
  <c r="L1367" i="2" l="1"/>
  <c r="D1367" i="2"/>
  <c r="J1367" i="2"/>
  <c r="K1367" i="2" s="1"/>
  <c r="B1368" i="2"/>
  <c r="A1368" i="2"/>
  <c r="H1368" i="2"/>
  <c r="M1368" i="2"/>
  <c r="E1368" i="2"/>
  <c r="F1368" i="2"/>
  <c r="G1368" i="2"/>
  <c r="I1368" i="2"/>
  <c r="C1369" i="2"/>
  <c r="L1368" i="2" l="1"/>
  <c r="D1368" i="2"/>
  <c r="J1368" i="2"/>
  <c r="K1368" i="2" s="1"/>
  <c r="B1369" i="2"/>
  <c r="A1369" i="2"/>
  <c r="M1369" i="2"/>
  <c r="G1369" i="2"/>
  <c r="E1369" i="2"/>
  <c r="I1369" i="2"/>
  <c r="F1369" i="2"/>
  <c r="H1369" i="2"/>
  <c r="C1370" i="2"/>
  <c r="L1369" i="2" l="1"/>
  <c r="D1369" i="2"/>
  <c r="J1369" i="2"/>
  <c r="K1369" i="2" s="1"/>
  <c r="A1370" i="2"/>
  <c r="B1370" i="2"/>
  <c r="H1370" i="2"/>
  <c r="E1370" i="2"/>
  <c r="F1370" i="2"/>
  <c r="G1370" i="2"/>
  <c r="I1370" i="2"/>
  <c r="M1370" i="2"/>
  <c r="C1371" i="2"/>
  <c r="L1370" i="2" l="1"/>
  <c r="J1370" i="2"/>
  <c r="K1370" i="2" s="1"/>
  <c r="D1370" i="2"/>
  <c r="B1371" i="2"/>
  <c r="A1371" i="2"/>
  <c r="G1371" i="2"/>
  <c r="H1371" i="2"/>
  <c r="M1371" i="2"/>
  <c r="E1371" i="2"/>
  <c r="F1371" i="2"/>
  <c r="I1371" i="2"/>
  <c r="C1372" i="2"/>
  <c r="L1371" i="2" l="1"/>
  <c r="J1371" i="2"/>
  <c r="K1371" i="2" s="1"/>
  <c r="D1371" i="2"/>
  <c r="A1372" i="2"/>
  <c r="B1372" i="2"/>
  <c r="I1372" i="2"/>
  <c r="E1372" i="2"/>
  <c r="H1372" i="2"/>
  <c r="G1372" i="2"/>
  <c r="F1372" i="2"/>
  <c r="M1372" i="2"/>
  <c r="C1373" i="2"/>
  <c r="L1372" i="2" l="1"/>
  <c r="D1372" i="2"/>
  <c r="J1372" i="2"/>
  <c r="K1372" i="2" s="1"/>
  <c r="B1373" i="2"/>
  <c r="A1373" i="2"/>
  <c r="E1373" i="2"/>
  <c r="M1373" i="2"/>
  <c r="I1373" i="2"/>
  <c r="G1373" i="2"/>
  <c r="H1373" i="2"/>
  <c r="F1373" i="2"/>
  <c r="C1374" i="2"/>
  <c r="L1373" i="2" l="1"/>
  <c r="J1373" i="2"/>
  <c r="K1373" i="2" s="1"/>
  <c r="D1373" i="2"/>
  <c r="B1374" i="2"/>
  <c r="A1374" i="2"/>
  <c r="H1374" i="2"/>
  <c r="M1374" i="2"/>
  <c r="I1374" i="2"/>
  <c r="F1374" i="2"/>
  <c r="E1374" i="2"/>
  <c r="G1374" i="2"/>
  <c r="C1375" i="2"/>
  <c r="L1374" i="2" l="1"/>
  <c r="J1374" i="2"/>
  <c r="K1374" i="2" s="1"/>
  <c r="D1374" i="2"/>
  <c r="B1375" i="2"/>
  <c r="A1375" i="2"/>
  <c r="G1375" i="2"/>
  <c r="H1375" i="2"/>
  <c r="M1375" i="2"/>
  <c r="F1375" i="2"/>
  <c r="I1375" i="2"/>
  <c r="E1375" i="2"/>
  <c r="C1376" i="2"/>
  <c r="L1375" i="2" l="1"/>
  <c r="D1375" i="2"/>
  <c r="J1375" i="2"/>
  <c r="K1375" i="2" s="1"/>
  <c r="A1376" i="2"/>
  <c r="B1376" i="2"/>
  <c r="M1376" i="2"/>
  <c r="F1376" i="2"/>
  <c r="G1376" i="2"/>
  <c r="H1376" i="2"/>
  <c r="E1376" i="2"/>
  <c r="I1376" i="2"/>
  <c r="C1377" i="2"/>
  <c r="L1376" i="2" l="1"/>
  <c r="D1376" i="2"/>
  <c r="J1376" i="2"/>
  <c r="K1376" i="2" s="1"/>
  <c r="B1377" i="2"/>
  <c r="A1377" i="2"/>
  <c r="M1377" i="2"/>
  <c r="E1377" i="2"/>
  <c r="G1377" i="2"/>
  <c r="F1377" i="2"/>
  <c r="I1377" i="2"/>
  <c r="H1377" i="2"/>
  <c r="C1378" i="2"/>
  <c r="L1377" i="2" l="1"/>
  <c r="J1377" i="2"/>
  <c r="K1377" i="2" s="1"/>
  <c r="D1377" i="2"/>
  <c r="A1378" i="2"/>
  <c r="B1378" i="2"/>
  <c r="I1378" i="2"/>
  <c r="M1378" i="2"/>
  <c r="H1378" i="2"/>
  <c r="G1378" i="2"/>
  <c r="E1378" i="2"/>
  <c r="F1378" i="2"/>
  <c r="C1379" i="2"/>
  <c r="L1378" i="2" l="1"/>
  <c r="D1378" i="2"/>
  <c r="J1378" i="2"/>
  <c r="K1378" i="2" s="1"/>
  <c r="B1379" i="2"/>
  <c r="A1379" i="2"/>
  <c r="G1379" i="2"/>
  <c r="F1379" i="2"/>
  <c r="I1379" i="2"/>
  <c r="M1379" i="2"/>
  <c r="E1379" i="2"/>
  <c r="H1379" i="2"/>
  <c r="C1380" i="2"/>
  <c r="L1379" i="2" l="1"/>
  <c r="D1379" i="2"/>
  <c r="J1379" i="2"/>
  <c r="K1379" i="2" s="1"/>
  <c r="B1380" i="2"/>
  <c r="A1380" i="2"/>
  <c r="M1380" i="2"/>
  <c r="G1380" i="2"/>
  <c r="E1380" i="2"/>
  <c r="F1380" i="2"/>
  <c r="H1380" i="2"/>
  <c r="I1380" i="2"/>
  <c r="C1381" i="2"/>
  <c r="L1380" i="2" l="1"/>
  <c r="D1380" i="2"/>
  <c r="J1380" i="2"/>
  <c r="K1380" i="2" s="1"/>
  <c r="B1381" i="2"/>
  <c r="A1381" i="2"/>
  <c r="E1381" i="2"/>
  <c r="G1381" i="2"/>
  <c r="I1381" i="2"/>
  <c r="M1381" i="2"/>
  <c r="F1381" i="2"/>
  <c r="H1381" i="2"/>
  <c r="C1382" i="2"/>
  <c r="L1381" i="2" l="1"/>
  <c r="D1381" i="2"/>
  <c r="J1381" i="2"/>
  <c r="K1381" i="2" s="1"/>
  <c r="B1382" i="2"/>
  <c r="A1382" i="2"/>
  <c r="I1382" i="2"/>
  <c r="M1382" i="2"/>
  <c r="H1382" i="2"/>
  <c r="F1382" i="2"/>
  <c r="E1382" i="2"/>
  <c r="G1382" i="2"/>
  <c r="C1383" i="2"/>
  <c r="L1382" i="2" l="1"/>
  <c r="D1382" i="2"/>
  <c r="J1382" i="2"/>
  <c r="K1382" i="2" s="1"/>
  <c r="B1383" i="2"/>
  <c r="A1383" i="2"/>
  <c r="M1383" i="2"/>
  <c r="G1383" i="2"/>
  <c r="H1383" i="2"/>
  <c r="F1383" i="2"/>
  <c r="E1383" i="2"/>
  <c r="I1383" i="2"/>
  <c r="C1384" i="2"/>
  <c r="L1383" i="2" l="1"/>
  <c r="D1383" i="2"/>
  <c r="J1383" i="2"/>
  <c r="K1383" i="2" s="1"/>
  <c r="B1384" i="2"/>
  <c r="A1384" i="2"/>
  <c r="I1384" i="2"/>
  <c r="M1384" i="2"/>
  <c r="G1384" i="2"/>
  <c r="E1384" i="2"/>
  <c r="F1384" i="2"/>
  <c r="H1384" i="2"/>
  <c r="C1385" i="2"/>
  <c r="L1384" i="2" l="1"/>
  <c r="D1384" i="2"/>
  <c r="J1384" i="2"/>
  <c r="K1384" i="2" s="1"/>
  <c r="B1385" i="2"/>
  <c r="A1385" i="2"/>
  <c r="M1385" i="2"/>
  <c r="E1385" i="2"/>
  <c r="F1385" i="2"/>
  <c r="I1385" i="2"/>
  <c r="H1385" i="2"/>
  <c r="G1385" i="2"/>
  <c r="C1386" i="2"/>
  <c r="L1385" i="2" l="1"/>
  <c r="D1385" i="2"/>
  <c r="J1385" i="2"/>
  <c r="K1385" i="2" s="1"/>
  <c r="B1386" i="2"/>
  <c r="A1386" i="2"/>
  <c r="I1386" i="2"/>
  <c r="M1386" i="2"/>
  <c r="H1386" i="2"/>
  <c r="E1386" i="2"/>
  <c r="G1386" i="2"/>
  <c r="F1386" i="2"/>
  <c r="C1387" i="2"/>
  <c r="L1386" i="2" l="1"/>
  <c r="D1386" i="2"/>
  <c r="J1386" i="2"/>
  <c r="K1386" i="2" s="1"/>
  <c r="B1387" i="2"/>
  <c r="A1387" i="2"/>
  <c r="M1387" i="2"/>
  <c r="I1387" i="2"/>
  <c r="F1387" i="2"/>
  <c r="G1387" i="2"/>
  <c r="E1387" i="2"/>
  <c r="H1387" i="2"/>
  <c r="C1388" i="2"/>
  <c r="L1387" i="2" l="1"/>
  <c r="D1387" i="2"/>
  <c r="J1387" i="2"/>
  <c r="K1387" i="2" s="1"/>
  <c r="A1388" i="2"/>
  <c r="B1388" i="2"/>
  <c r="E1388" i="2"/>
  <c r="M1388" i="2"/>
  <c r="H1388" i="2"/>
  <c r="G1388" i="2"/>
  <c r="I1388" i="2"/>
  <c r="F1388" i="2"/>
  <c r="C1389" i="2"/>
  <c r="L1388" i="2" l="1"/>
  <c r="J1388" i="2"/>
  <c r="K1388" i="2" s="1"/>
  <c r="D1388" i="2"/>
  <c r="B1389" i="2"/>
  <c r="A1389" i="2"/>
  <c r="H1389" i="2"/>
  <c r="G1389" i="2"/>
  <c r="M1389" i="2"/>
  <c r="E1389" i="2"/>
  <c r="I1389" i="2"/>
  <c r="F1389" i="2"/>
  <c r="C1390" i="2"/>
  <c r="L1389" i="2" l="1"/>
  <c r="D1389" i="2"/>
  <c r="J1389" i="2"/>
  <c r="K1389" i="2" s="1"/>
  <c r="B1390" i="2"/>
  <c r="A1390" i="2"/>
  <c r="H1390" i="2"/>
  <c r="F1390" i="2"/>
  <c r="G1390" i="2"/>
  <c r="E1390" i="2"/>
  <c r="M1390" i="2"/>
  <c r="I1390" i="2"/>
  <c r="C1391" i="2"/>
  <c r="L1390" i="2" l="1"/>
  <c r="J1390" i="2"/>
  <c r="K1390" i="2" s="1"/>
  <c r="D1390" i="2"/>
  <c r="B1391" i="2"/>
  <c r="A1391" i="2"/>
  <c r="E1391" i="2"/>
  <c r="M1391" i="2"/>
  <c r="G1391" i="2"/>
  <c r="H1391" i="2"/>
  <c r="I1391" i="2"/>
  <c r="F1391" i="2"/>
  <c r="C1392" i="2"/>
  <c r="L1391" i="2" l="1"/>
  <c r="J1391" i="2"/>
  <c r="K1391" i="2" s="1"/>
  <c r="D1391" i="2"/>
  <c r="A1392" i="2"/>
  <c r="B1392" i="2"/>
  <c r="M1392" i="2"/>
  <c r="F1392" i="2"/>
  <c r="I1392" i="2"/>
  <c r="E1392" i="2"/>
  <c r="H1392" i="2"/>
  <c r="G1392" i="2"/>
  <c r="C1393" i="2"/>
  <c r="L1392" i="2" l="1"/>
  <c r="D1392" i="2"/>
  <c r="J1392" i="2"/>
  <c r="K1392" i="2" s="1"/>
  <c r="B1393" i="2"/>
  <c r="A1393" i="2"/>
  <c r="I1393" i="2"/>
  <c r="G1393" i="2"/>
  <c r="H1393" i="2"/>
  <c r="F1393" i="2"/>
  <c r="M1393" i="2"/>
  <c r="E1393" i="2"/>
  <c r="C1394" i="2"/>
  <c r="L1393" i="2" l="1"/>
  <c r="J1393" i="2"/>
  <c r="K1393" i="2" s="1"/>
  <c r="D1393" i="2"/>
  <c r="A1394" i="2"/>
  <c r="B1394" i="2"/>
  <c r="I1394" i="2"/>
  <c r="E1394" i="2"/>
  <c r="G1394" i="2"/>
  <c r="F1394" i="2"/>
  <c r="M1394" i="2"/>
  <c r="H1394" i="2"/>
  <c r="C1395" i="2"/>
  <c r="L1394" i="2" l="1"/>
  <c r="D1394" i="2"/>
  <c r="J1394" i="2"/>
  <c r="K1394" i="2" s="1"/>
  <c r="B1395" i="2"/>
  <c r="A1395" i="2"/>
  <c r="E1395" i="2"/>
  <c r="G1395" i="2"/>
  <c r="F1395" i="2"/>
  <c r="I1395" i="2"/>
  <c r="H1395" i="2"/>
  <c r="M1395" i="2"/>
  <c r="C1396" i="2"/>
  <c r="L1395" i="2" l="1"/>
  <c r="D1395" i="2"/>
  <c r="J1395" i="2"/>
  <c r="K1395" i="2" s="1"/>
  <c r="A1396" i="2"/>
  <c r="B1396" i="2"/>
  <c r="M1396" i="2"/>
  <c r="H1396" i="2"/>
  <c r="F1396" i="2"/>
  <c r="G1396" i="2"/>
  <c r="E1396" i="2"/>
  <c r="I1396" i="2"/>
  <c r="C1397" i="2"/>
  <c r="L1396" i="2" l="1"/>
  <c r="D1396" i="2"/>
  <c r="J1396" i="2"/>
  <c r="K1396" i="2" s="1"/>
  <c r="B1397" i="2"/>
  <c r="A1397" i="2"/>
  <c r="I1397" i="2"/>
  <c r="F1397" i="2"/>
  <c r="E1397" i="2"/>
  <c r="G1397" i="2"/>
  <c r="M1397" i="2"/>
  <c r="H1397" i="2"/>
  <c r="C1398" i="2"/>
  <c r="L1397" i="2" l="1"/>
  <c r="D1397" i="2"/>
  <c r="J1397" i="2"/>
  <c r="K1397" i="2" s="1"/>
  <c r="B1398" i="2"/>
  <c r="A1398" i="2"/>
  <c r="M1398" i="2"/>
  <c r="I1398" i="2"/>
  <c r="F1398" i="2"/>
  <c r="E1398" i="2"/>
  <c r="G1398" i="2"/>
  <c r="H1398" i="2"/>
  <c r="C1399" i="2"/>
  <c r="L1398" i="2" l="1"/>
  <c r="D1398" i="2"/>
  <c r="J1398" i="2"/>
  <c r="K1398" i="2" s="1"/>
  <c r="B1399" i="2"/>
  <c r="A1399" i="2"/>
  <c r="I1399" i="2"/>
  <c r="M1399" i="2"/>
  <c r="E1399" i="2"/>
  <c r="G1399" i="2"/>
  <c r="H1399" i="2"/>
  <c r="F1399" i="2"/>
  <c r="C1400" i="2"/>
  <c r="L1399" i="2" l="1"/>
  <c r="J1399" i="2"/>
  <c r="K1399" i="2" s="1"/>
  <c r="D1399" i="2"/>
  <c r="B1400" i="2"/>
  <c r="A1400" i="2"/>
  <c r="H1400" i="2"/>
  <c r="F1400" i="2"/>
  <c r="G1400" i="2"/>
  <c r="M1400" i="2"/>
  <c r="I1400" i="2"/>
  <c r="E1400" i="2"/>
  <c r="C1401" i="2"/>
  <c r="L1400" i="2" l="1"/>
  <c r="J1400" i="2"/>
  <c r="K1400" i="2" s="1"/>
  <c r="D1400" i="2"/>
  <c r="B1401" i="2"/>
  <c r="A1401" i="2"/>
  <c r="H1401" i="2"/>
  <c r="I1401" i="2"/>
  <c r="F1401" i="2"/>
  <c r="M1401" i="2"/>
  <c r="E1401" i="2"/>
  <c r="G1401" i="2"/>
  <c r="C1402" i="2"/>
  <c r="L1401" i="2" l="1"/>
  <c r="D1401" i="2"/>
  <c r="J1401" i="2"/>
  <c r="K1401" i="2" s="1"/>
  <c r="B1402" i="2"/>
  <c r="A1402" i="2"/>
  <c r="F1402" i="2"/>
  <c r="I1402" i="2"/>
  <c r="G1402" i="2"/>
  <c r="M1402" i="2"/>
  <c r="E1402" i="2"/>
  <c r="H1402" i="2"/>
  <c r="C1403" i="2"/>
  <c r="L1402" i="2" l="1"/>
  <c r="D1402" i="2"/>
  <c r="J1402" i="2"/>
  <c r="K1402" i="2" s="1"/>
  <c r="B1403" i="2"/>
  <c r="A1403" i="2"/>
  <c r="H1403" i="2"/>
  <c r="F1403" i="2"/>
  <c r="I1403" i="2"/>
  <c r="M1403" i="2"/>
  <c r="G1403" i="2"/>
  <c r="E1403" i="2"/>
  <c r="C1404" i="2"/>
  <c r="L1403" i="2" l="1"/>
  <c r="D1403" i="2"/>
  <c r="J1403" i="2"/>
  <c r="K1403" i="2" s="1"/>
  <c r="A1404" i="2"/>
  <c r="B1404" i="2"/>
  <c r="I1404" i="2"/>
  <c r="F1404" i="2"/>
  <c r="M1404" i="2"/>
  <c r="E1404" i="2"/>
  <c r="G1404" i="2"/>
  <c r="H1404" i="2"/>
  <c r="C1405" i="2"/>
  <c r="L1404" i="2" l="1"/>
  <c r="D1404" i="2"/>
  <c r="J1404" i="2"/>
  <c r="K1404" i="2" s="1"/>
  <c r="B1405" i="2"/>
  <c r="A1405" i="2"/>
  <c r="M1405" i="2"/>
  <c r="E1405" i="2"/>
  <c r="F1405" i="2"/>
  <c r="H1405" i="2"/>
  <c r="I1405" i="2"/>
  <c r="G1405" i="2"/>
  <c r="C1406" i="2"/>
  <c r="L1405" i="2" l="1"/>
  <c r="D1405" i="2"/>
  <c r="J1405" i="2"/>
  <c r="K1405" i="2" s="1"/>
  <c r="B1406" i="2"/>
  <c r="A1406" i="2"/>
  <c r="H1406" i="2"/>
  <c r="I1406" i="2"/>
  <c r="F1406" i="2"/>
  <c r="M1406" i="2"/>
  <c r="E1406" i="2"/>
  <c r="G1406" i="2"/>
  <c r="C1407" i="2"/>
  <c r="L1406" i="2" l="1"/>
  <c r="D1406" i="2"/>
  <c r="J1406" i="2"/>
  <c r="K1406" i="2" s="1"/>
  <c r="B1407" i="2"/>
  <c r="A1407" i="2"/>
  <c r="G1407" i="2"/>
  <c r="M1407" i="2"/>
  <c r="I1407" i="2"/>
  <c r="E1407" i="2"/>
  <c r="H1407" i="2"/>
  <c r="F1407" i="2"/>
  <c r="C1408" i="2"/>
  <c r="L1407" i="2" l="1"/>
  <c r="D1407" i="2"/>
  <c r="J1407" i="2"/>
  <c r="K1407" i="2" s="1"/>
  <c r="B1408" i="2"/>
  <c r="A1408" i="2"/>
  <c r="M1408" i="2"/>
  <c r="H1408" i="2"/>
  <c r="E1408" i="2"/>
  <c r="F1408" i="2"/>
  <c r="I1408" i="2"/>
  <c r="G1408" i="2"/>
  <c r="C1409" i="2"/>
  <c r="L1408" i="2" l="1"/>
  <c r="J1408" i="2"/>
  <c r="K1408" i="2" s="1"/>
  <c r="D1408" i="2"/>
  <c r="B1409" i="2"/>
  <c r="A1409" i="2"/>
  <c r="F1409" i="2"/>
  <c r="M1409" i="2"/>
  <c r="G1409" i="2"/>
  <c r="H1409" i="2"/>
  <c r="E1409" i="2"/>
  <c r="I1409" i="2"/>
  <c r="C1410" i="2"/>
  <c r="L1409" i="2" l="1"/>
  <c r="D1409" i="2"/>
  <c r="J1409" i="2"/>
  <c r="K1409" i="2" s="1"/>
  <c r="A1410" i="2"/>
  <c r="B1410" i="2"/>
  <c r="E1410" i="2"/>
  <c r="H1410" i="2"/>
  <c r="I1410" i="2"/>
  <c r="G1410" i="2"/>
  <c r="M1410" i="2"/>
  <c r="F1410" i="2"/>
  <c r="C1411" i="2"/>
  <c r="L1410" i="2" l="1"/>
  <c r="J1410" i="2"/>
  <c r="K1410" i="2" s="1"/>
  <c r="D1410" i="2"/>
  <c r="B1411" i="2"/>
  <c r="A1411" i="2"/>
  <c r="E1411" i="2"/>
  <c r="G1411" i="2"/>
  <c r="H1411" i="2"/>
  <c r="I1411" i="2"/>
  <c r="F1411" i="2"/>
  <c r="M1411" i="2"/>
  <c r="C1412" i="2"/>
  <c r="L1411" i="2" l="1"/>
  <c r="J1411" i="2"/>
  <c r="K1411" i="2" s="1"/>
  <c r="D1411" i="2"/>
  <c r="B1412" i="2"/>
  <c r="A1412" i="2"/>
  <c r="M1412" i="2"/>
  <c r="E1412" i="2"/>
  <c r="H1412" i="2"/>
  <c r="F1412" i="2"/>
  <c r="I1412" i="2"/>
  <c r="G1412" i="2"/>
  <c r="C1413" i="2"/>
  <c r="L1412" i="2" l="1"/>
  <c r="J1412" i="2"/>
  <c r="K1412" i="2" s="1"/>
  <c r="D1412" i="2"/>
  <c r="B1413" i="2"/>
  <c r="A1413" i="2"/>
  <c r="M1413" i="2"/>
  <c r="G1413" i="2"/>
  <c r="E1413" i="2"/>
  <c r="F1413" i="2"/>
  <c r="I1413" i="2"/>
  <c r="H1413" i="2"/>
  <c r="C1414" i="2"/>
  <c r="L1413" i="2" l="1"/>
  <c r="D1413" i="2"/>
  <c r="J1413" i="2"/>
  <c r="K1413" i="2" s="1"/>
  <c r="B1414" i="2"/>
  <c r="A1414" i="2"/>
  <c r="E1414" i="2"/>
  <c r="G1414" i="2"/>
  <c r="F1414" i="2"/>
  <c r="I1414" i="2"/>
  <c r="M1414" i="2"/>
  <c r="H1414" i="2"/>
  <c r="C1415" i="2"/>
  <c r="L1414" i="2" l="1"/>
  <c r="J1414" i="2"/>
  <c r="K1414" i="2" s="1"/>
  <c r="D1414" i="2"/>
  <c r="B1415" i="2"/>
  <c r="A1415" i="2"/>
  <c r="E1415" i="2"/>
  <c r="F1415" i="2"/>
  <c r="H1415" i="2"/>
  <c r="I1415" i="2"/>
  <c r="G1415" i="2"/>
  <c r="M1415" i="2"/>
  <c r="C1416" i="2"/>
  <c r="L1415" i="2" l="1"/>
  <c r="J1415" i="2"/>
  <c r="K1415" i="2" s="1"/>
  <c r="D1415" i="2"/>
  <c r="B1416" i="2"/>
  <c r="A1416" i="2"/>
  <c r="I1416" i="2"/>
  <c r="M1416" i="2"/>
  <c r="H1416" i="2"/>
  <c r="F1416" i="2"/>
  <c r="G1416" i="2"/>
  <c r="E1416" i="2"/>
  <c r="C1417" i="2"/>
  <c r="L1416" i="2" l="1"/>
  <c r="J1416" i="2"/>
  <c r="K1416" i="2" s="1"/>
  <c r="D1416" i="2"/>
  <c r="B1417" i="2"/>
  <c r="A1417" i="2"/>
  <c r="I1417" i="2"/>
  <c r="M1417" i="2"/>
  <c r="E1417" i="2"/>
  <c r="F1417" i="2"/>
  <c r="H1417" i="2"/>
  <c r="G1417" i="2"/>
  <c r="C1418" i="2"/>
  <c r="L1417" i="2" l="1"/>
  <c r="J1417" i="2"/>
  <c r="K1417" i="2" s="1"/>
  <c r="D1417" i="2"/>
  <c r="B1418" i="2"/>
  <c r="A1418" i="2"/>
  <c r="M1418" i="2"/>
  <c r="G1418" i="2"/>
  <c r="I1418" i="2"/>
  <c r="H1418" i="2"/>
  <c r="F1418" i="2"/>
  <c r="E1418" i="2"/>
  <c r="C1419" i="2"/>
  <c r="L1418" i="2" l="1"/>
  <c r="D1418" i="2"/>
  <c r="J1418" i="2"/>
  <c r="K1418" i="2" s="1"/>
  <c r="B1419" i="2"/>
  <c r="A1419" i="2"/>
  <c r="F1419" i="2"/>
  <c r="E1419" i="2"/>
  <c r="I1419" i="2"/>
  <c r="G1419" i="2"/>
  <c r="M1419" i="2"/>
  <c r="H1419" i="2"/>
  <c r="C1420" i="2"/>
  <c r="L1419" i="2" l="1"/>
  <c r="J1419" i="2"/>
  <c r="K1419" i="2" s="1"/>
  <c r="D1419" i="2"/>
  <c r="A1420" i="2"/>
  <c r="B1420" i="2"/>
  <c r="F1420" i="2"/>
  <c r="M1420" i="2"/>
  <c r="G1420" i="2"/>
  <c r="H1420" i="2"/>
  <c r="I1420" i="2"/>
  <c r="E1420" i="2"/>
  <c r="C1421" i="2"/>
  <c r="L1420" i="2" l="1"/>
  <c r="J1420" i="2"/>
  <c r="K1420" i="2" s="1"/>
  <c r="D1420" i="2"/>
  <c r="B1421" i="2"/>
  <c r="A1421" i="2"/>
  <c r="H1421" i="2"/>
  <c r="G1421" i="2"/>
  <c r="E1421" i="2"/>
  <c r="M1421" i="2"/>
  <c r="F1421" i="2"/>
  <c r="I1421" i="2"/>
  <c r="C1422" i="2"/>
  <c r="L1421" i="2" l="1"/>
  <c r="D1421" i="2"/>
  <c r="J1421" i="2"/>
  <c r="K1421" i="2" s="1"/>
  <c r="B1422" i="2"/>
  <c r="A1422" i="2"/>
  <c r="H1422" i="2"/>
  <c r="I1422" i="2"/>
  <c r="F1422" i="2"/>
  <c r="G1422" i="2"/>
  <c r="E1422" i="2"/>
  <c r="M1422" i="2"/>
  <c r="C1423" i="2"/>
  <c r="L1422" i="2" l="1"/>
  <c r="J1422" i="2"/>
  <c r="K1422" i="2" s="1"/>
  <c r="D1422" i="2"/>
  <c r="B1423" i="2"/>
  <c r="A1423" i="2"/>
  <c r="F1423" i="2"/>
  <c r="M1423" i="2"/>
  <c r="E1423" i="2"/>
  <c r="I1423" i="2"/>
  <c r="G1423" i="2"/>
  <c r="H1423" i="2"/>
  <c r="C1424" i="2"/>
  <c r="L1423" i="2" l="1"/>
  <c r="J1423" i="2"/>
  <c r="K1423" i="2" s="1"/>
  <c r="D1423" i="2"/>
  <c r="B1424" i="2"/>
  <c r="A1424" i="2"/>
  <c r="G1424" i="2"/>
  <c r="I1424" i="2"/>
  <c r="F1424" i="2"/>
  <c r="M1424" i="2"/>
  <c r="E1424" i="2"/>
  <c r="H1424" i="2"/>
  <c r="C1425" i="2"/>
  <c r="L1424" i="2" l="1"/>
  <c r="D1424" i="2"/>
  <c r="J1424" i="2"/>
  <c r="K1424" i="2" s="1"/>
  <c r="B1425" i="2"/>
  <c r="A1425" i="2"/>
  <c r="I1425" i="2"/>
  <c r="M1425" i="2"/>
  <c r="H1425" i="2"/>
  <c r="E1425" i="2"/>
  <c r="F1425" i="2"/>
  <c r="G1425" i="2"/>
  <c r="C1426" i="2"/>
  <c r="L1425" i="2" l="1"/>
  <c r="D1425" i="2"/>
  <c r="J1425" i="2"/>
  <c r="K1425" i="2" s="1"/>
  <c r="A1426" i="2"/>
  <c r="B1426" i="2"/>
  <c r="M1426" i="2"/>
  <c r="I1426" i="2"/>
  <c r="E1426" i="2"/>
  <c r="H1426" i="2"/>
  <c r="F1426" i="2"/>
  <c r="G1426" i="2"/>
  <c r="C1427" i="2"/>
  <c r="L1426" i="2" l="1"/>
  <c r="J1426" i="2"/>
  <c r="K1426" i="2" s="1"/>
  <c r="D1426" i="2"/>
  <c r="B1427" i="2"/>
  <c r="A1427" i="2"/>
  <c r="F1427" i="2"/>
  <c r="I1427" i="2"/>
  <c r="H1427" i="2"/>
  <c r="E1427" i="2"/>
  <c r="M1427" i="2"/>
  <c r="G1427" i="2"/>
  <c r="C1428" i="2"/>
  <c r="L1427" i="2" l="1"/>
  <c r="D1427" i="2"/>
  <c r="J1427" i="2"/>
  <c r="K1427" i="2" s="1"/>
  <c r="A1428" i="2"/>
  <c r="B1428" i="2"/>
  <c r="G1428" i="2"/>
  <c r="F1428" i="2"/>
  <c r="H1428" i="2"/>
  <c r="I1428" i="2"/>
  <c r="M1428" i="2"/>
  <c r="E1428" i="2"/>
  <c r="C1429" i="2"/>
  <c r="L1428" i="2" l="1"/>
  <c r="D1428" i="2"/>
  <c r="J1428" i="2"/>
  <c r="K1428" i="2" s="1"/>
  <c r="B1429" i="2"/>
  <c r="A1429" i="2"/>
  <c r="F1429" i="2"/>
  <c r="M1429" i="2"/>
  <c r="I1429" i="2"/>
  <c r="H1429" i="2"/>
  <c r="E1429" i="2"/>
  <c r="G1429" i="2"/>
  <c r="C1430" i="2"/>
  <c r="L1429" i="2" l="1"/>
  <c r="D1429" i="2"/>
  <c r="J1429" i="2"/>
  <c r="K1429" i="2" s="1"/>
  <c r="B1430" i="2"/>
  <c r="A1430" i="2"/>
  <c r="F1430" i="2"/>
  <c r="E1430" i="2"/>
  <c r="H1430" i="2"/>
  <c r="M1430" i="2"/>
  <c r="G1430" i="2"/>
  <c r="I1430" i="2"/>
  <c r="C1431" i="2"/>
  <c r="L1430" i="2" l="1"/>
  <c r="J1430" i="2"/>
  <c r="K1430" i="2" s="1"/>
  <c r="D1430" i="2"/>
  <c r="B1431" i="2"/>
  <c r="A1431" i="2"/>
  <c r="H1431" i="2"/>
  <c r="I1431" i="2"/>
  <c r="E1431" i="2"/>
  <c r="M1431" i="2"/>
  <c r="F1431" i="2"/>
  <c r="G1431" i="2"/>
  <c r="C1432" i="2"/>
  <c r="L1431" i="2" l="1"/>
  <c r="D1431" i="2"/>
  <c r="J1431" i="2"/>
  <c r="K1431" i="2" s="1"/>
  <c r="B1432" i="2"/>
  <c r="A1432" i="2"/>
  <c r="M1432" i="2"/>
  <c r="E1432" i="2"/>
  <c r="H1432" i="2"/>
  <c r="F1432" i="2"/>
  <c r="G1432" i="2"/>
  <c r="I1432" i="2"/>
  <c r="C1433" i="2"/>
  <c r="L1432" i="2" l="1"/>
  <c r="D1432" i="2"/>
  <c r="J1432" i="2"/>
  <c r="K1432" i="2" s="1"/>
  <c r="B1433" i="2"/>
  <c r="A1433" i="2"/>
  <c r="E1433" i="2"/>
  <c r="M1433" i="2"/>
  <c r="F1433" i="2"/>
  <c r="G1433" i="2"/>
  <c r="I1433" i="2"/>
  <c r="H1433" i="2"/>
  <c r="C1434" i="2"/>
  <c r="L1433" i="2" l="1"/>
  <c r="J1433" i="2"/>
  <c r="K1433" i="2" s="1"/>
  <c r="D1433" i="2"/>
  <c r="B1434" i="2"/>
  <c r="A1434" i="2"/>
  <c r="G1434" i="2"/>
  <c r="M1434" i="2"/>
  <c r="I1434" i="2"/>
  <c r="H1434" i="2"/>
  <c r="F1434" i="2"/>
  <c r="E1434" i="2"/>
  <c r="C1435" i="2"/>
  <c r="L1434" i="2" l="1"/>
  <c r="D1434" i="2"/>
  <c r="J1434" i="2"/>
  <c r="K1434" i="2" s="1"/>
  <c r="B1435" i="2"/>
  <c r="A1435" i="2"/>
  <c r="M1435" i="2"/>
  <c r="H1435" i="2"/>
  <c r="G1435" i="2"/>
  <c r="E1435" i="2"/>
  <c r="F1435" i="2"/>
  <c r="I1435" i="2"/>
  <c r="C1436" i="2"/>
  <c r="L1435" i="2" l="1"/>
  <c r="J1435" i="2"/>
  <c r="K1435" i="2" s="1"/>
  <c r="D1435" i="2"/>
  <c r="A1436" i="2"/>
  <c r="B1436" i="2"/>
  <c r="H1436" i="2"/>
  <c r="I1436" i="2"/>
  <c r="M1436" i="2"/>
  <c r="F1436" i="2"/>
  <c r="G1436" i="2"/>
  <c r="E1436" i="2"/>
  <c r="C1437" i="2"/>
  <c r="L1436" i="2" l="1"/>
  <c r="J1436" i="2"/>
  <c r="K1436" i="2" s="1"/>
  <c r="D1436" i="2"/>
  <c r="B1437" i="2"/>
  <c r="A1437" i="2"/>
  <c r="F1437" i="2"/>
  <c r="G1437" i="2"/>
  <c r="M1437" i="2"/>
  <c r="E1437" i="2"/>
  <c r="H1437" i="2"/>
  <c r="I1437" i="2"/>
  <c r="C1438" i="2"/>
  <c r="L1437" i="2" l="1"/>
  <c r="J1437" i="2"/>
  <c r="K1437" i="2" s="1"/>
  <c r="D1437" i="2"/>
  <c r="B1438" i="2"/>
  <c r="A1438" i="2"/>
  <c r="G1438" i="2"/>
  <c r="M1438" i="2"/>
  <c r="E1438" i="2"/>
  <c r="F1438" i="2"/>
  <c r="I1438" i="2"/>
  <c r="H1438" i="2"/>
  <c r="C1439" i="2"/>
  <c r="L1438" i="2" l="1"/>
  <c r="D1438" i="2"/>
  <c r="J1438" i="2"/>
  <c r="K1438" i="2" s="1"/>
  <c r="B1439" i="2"/>
  <c r="A1439" i="2"/>
  <c r="F1439" i="2"/>
  <c r="M1439" i="2"/>
  <c r="I1439" i="2"/>
  <c r="E1439" i="2"/>
  <c r="G1439" i="2"/>
  <c r="H1439" i="2"/>
  <c r="C1440" i="2"/>
  <c r="L1439" i="2" l="1"/>
  <c r="D1439" i="2"/>
  <c r="J1439" i="2"/>
  <c r="K1439" i="2" s="1"/>
  <c r="B1440" i="2"/>
  <c r="A1440" i="2"/>
  <c r="E1440" i="2"/>
  <c r="F1440" i="2"/>
  <c r="G1440" i="2"/>
  <c r="H1440" i="2"/>
  <c r="I1440" i="2"/>
  <c r="M1440" i="2"/>
  <c r="C1441" i="2"/>
  <c r="L1440" i="2" l="1"/>
  <c r="J1440" i="2"/>
  <c r="K1440" i="2" s="1"/>
  <c r="D1440" i="2"/>
  <c r="B1441" i="2"/>
  <c r="A1441" i="2"/>
  <c r="G1441" i="2"/>
  <c r="F1441" i="2"/>
  <c r="I1441" i="2"/>
  <c r="M1441" i="2"/>
  <c r="E1441" i="2"/>
  <c r="H1441" i="2"/>
  <c r="C1442" i="2"/>
  <c r="L1441" i="2" l="1"/>
  <c r="D1441" i="2"/>
  <c r="J1441" i="2"/>
  <c r="K1441" i="2" s="1"/>
  <c r="A1442" i="2"/>
  <c r="B1442" i="2"/>
  <c r="I1442" i="2"/>
  <c r="H1442" i="2"/>
  <c r="E1442" i="2"/>
  <c r="M1442" i="2"/>
  <c r="F1442" i="2"/>
  <c r="G1442" i="2"/>
  <c r="C1443" i="2"/>
  <c r="L1442" i="2" l="1"/>
  <c r="D1442" i="2"/>
  <c r="J1442" i="2"/>
  <c r="K1442" i="2" s="1"/>
  <c r="B1443" i="2"/>
  <c r="A1443" i="2"/>
  <c r="H1443" i="2"/>
  <c r="F1443" i="2"/>
  <c r="I1443" i="2"/>
  <c r="G1443" i="2"/>
  <c r="E1443" i="2"/>
  <c r="M1443" i="2"/>
  <c r="C1444" i="2"/>
  <c r="L1443" i="2" l="1"/>
  <c r="D1443" i="2"/>
  <c r="J1443" i="2"/>
  <c r="K1443" i="2" s="1"/>
  <c r="B1444" i="2"/>
  <c r="A1444" i="2"/>
  <c r="H1444" i="2"/>
  <c r="I1444" i="2"/>
  <c r="F1444" i="2"/>
  <c r="M1444" i="2"/>
  <c r="E1444" i="2"/>
  <c r="G1444" i="2"/>
  <c r="C1445" i="2"/>
  <c r="L1444" i="2" l="1"/>
  <c r="J1444" i="2"/>
  <c r="K1444" i="2" s="1"/>
  <c r="D1444" i="2"/>
  <c r="B1445" i="2"/>
  <c r="A1445" i="2"/>
  <c r="M1445" i="2"/>
  <c r="I1445" i="2"/>
  <c r="H1445" i="2"/>
  <c r="E1445" i="2"/>
  <c r="G1445" i="2"/>
  <c r="F1445" i="2"/>
  <c r="C1446" i="2"/>
  <c r="L1445" i="2" l="1"/>
  <c r="J1445" i="2"/>
  <c r="K1445" i="2" s="1"/>
  <c r="D1445" i="2"/>
  <c r="B1446" i="2"/>
  <c r="A1446" i="2"/>
  <c r="H1446" i="2"/>
  <c r="G1446" i="2"/>
  <c r="F1446" i="2"/>
  <c r="E1446" i="2"/>
  <c r="M1446" i="2"/>
  <c r="I1446" i="2"/>
  <c r="C1447" i="2"/>
  <c r="L1446" i="2" l="1"/>
  <c r="D1446" i="2"/>
  <c r="J1446" i="2"/>
  <c r="K1446" i="2" s="1"/>
  <c r="B1447" i="2"/>
  <c r="A1447" i="2"/>
  <c r="G1447" i="2"/>
  <c r="I1447" i="2"/>
  <c r="H1447" i="2"/>
  <c r="E1447" i="2"/>
  <c r="F1447" i="2"/>
  <c r="M1447" i="2"/>
  <c r="C1448" i="2"/>
  <c r="L1447" i="2" l="1"/>
  <c r="J1447" i="2"/>
  <c r="K1447" i="2" s="1"/>
  <c r="D1447" i="2"/>
  <c r="B1448" i="2"/>
  <c r="A1448" i="2"/>
  <c r="I1448" i="2"/>
  <c r="M1448" i="2"/>
  <c r="G1448" i="2"/>
  <c r="F1448" i="2"/>
  <c r="H1448" i="2"/>
  <c r="E1448" i="2"/>
  <c r="C1449" i="2"/>
  <c r="L1448" i="2" l="1"/>
  <c r="D1448" i="2"/>
  <c r="J1448" i="2"/>
  <c r="K1448" i="2" s="1"/>
  <c r="B1449" i="2"/>
  <c r="A1449" i="2"/>
  <c r="G1449" i="2"/>
  <c r="M1449" i="2"/>
  <c r="I1449" i="2"/>
  <c r="F1449" i="2"/>
  <c r="H1449" i="2"/>
  <c r="E1449" i="2"/>
  <c r="C1450" i="2"/>
  <c r="L1449" i="2" l="1"/>
  <c r="J1449" i="2"/>
  <c r="K1449" i="2" s="1"/>
  <c r="D1449" i="2"/>
  <c r="B1450" i="2"/>
  <c r="A1450" i="2"/>
  <c r="E1450" i="2"/>
  <c r="G1450" i="2"/>
  <c r="F1450" i="2"/>
  <c r="M1450" i="2"/>
  <c r="H1450" i="2"/>
  <c r="I1450" i="2"/>
  <c r="C1451" i="2"/>
  <c r="L1450" i="2" l="1"/>
  <c r="J1450" i="2"/>
  <c r="K1450" i="2" s="1"/>
  <c r="D1450" i="2"/>
  <c r="B1451" i="2"/>
  <c r="A1451" i="2"/>
  <c r="H1451" i="2"/>
  <c r="F1451" i="2"/>
  <c r="M1451" i="2"/>
  <c r="I1451" i="2"/>
  <c r="G1451" i="2"/>
  <c r="E1451" i="2"/>
  <c r="C1452" i="2"/>
  <c r="L1451" i="2" l="1"/>
  <c r="D1451" i="2"/>
  <c r="J1451" i="2"/>
  <c r="K1451" i="2" s="1"/>
  <c r="A1452" i="2"/>
  <c r="B1452" i="2"/>
  <c r="I1452" i="2"/>
  <c r="M1452" i="2"/>
  <c r="E1452" i="2"/>
  <c r="G1452" i="2"/>
  <c r="F1452" i="2"/>
  <c r="H1452" i="2"/>
  <c r="C1453" i="2"/>
  <c r="L1452" i="2" l="1"/>
  <c r="J1452" i="2"/>
  <c r="K1452" i="2" s="1"/>
  <c r="D1452" i="2"/>
  <c r="B1453" i="2"/>
  <c r="A1453" i="2"/>
  <c r="H1453" i="2"/>
  <c r="G1453" i="2"/>
  <c r="I1453" i="2"/>
  <c r="M1453" i="2"/>
  <c r="E1453" i="2"/>
  <c r="F1453" i="2"/>
  <c r="C1454" i="2"/>
  <c r="L1453" i="2" l="1"/>
  <c r="J1453" i="2"/>
  <c r="K1453" i="2" s="1"/>
  <c r="D1453" i="2"/>
  <c r="B1454" i="2"/>
  <c r="A1454" i="2"/>
  <c r="G1454" i="2"/>
  <c r="E1454" i="2"/>
  <c r="M1454" i="2"/>
  <c r="H1454" i="2"/>
  <c r="F1454" i="2"/>
  <c r="I1454" i="2"/>
  <c r="C1455" i="2"/>
  <c r="L1454" i="2" l="1"/>
  <c r="J1454" i="2"/>
  <c r="K1454" i="2" s="1"/>
  <c r="D1454" i="2"/>
  <c r="B1455" i="2"/>
  <c r="A1455" i="2"/>
  <c r="H1455" i="2"/>
  <c r="I1455" i="2"/>
  <c r="F1455" i="2"/>
  <c r="M1455" i="2"/>
  <c r="G1455" i="2"/>
  <c r="E1455" i="2"/>
  <c r="C1456" i="2"/>
  <c r="L1455" i="2" l="1"/>
  <c r="J1455" i="2"/>
  <c r="K1455" i="2" s="1"/>
  <c r="D1455" i="2"/>
  <c r="B1456" i="2"/>
  <c r="A1456" i="2"/>
  <c r="E1456" i="2"/>
  <c r="M1456" i="2"/>
  <c r="H1456" i="2"/>
  <c r="I1456" i="2"/>
  <c r="G1456" i="2"/>
  <c r="F1456" i="2"/>
  <c r="C1457" i="2"/>
  <c r="L1456" i="2" l="1"/>
  <c r="J1456" i="2"/>
  <c r="K1456" i="2" s="1"/>
  <c r="D1456" i="2"/>
  <c r="B1457" i="2"/>
  <c r="A1457" i="2"/>
  <c r="I1457" i="2"/>
  <c r="E1457" i="2"/>
  <c r="H1457" i="2"/>
  <c r="F1457" i="2"/>
  <c r="M1457" i="2"/>
  <c r="G1457" i="2"/>
  <c r="C1458" i="2"/>
  <c r="L1457" i="2" l="1"/>
  <c r="D1457" i="2"/>
  <c r="J1457" i="2"/>
  <c r="K1457" i="2" s="1"/>
  <c r="A1458" i="2"/>
  <c r="B1458" i="2"/>
  <c r="G1458" i="2"/>
  <c r="I1458" i="2"/>
  <c r="E1458" i="2"/>
  <c r="M1458" i="2"/>
  <c r="F1458" i="2"/>
  <c r="H1458" i="2"/>
  <c r="C1459" i="2"/>
  <c r="L1458" i="2" l="1"/>
  <c r="D1458" i="2"/>
  <c r="J1458" i="2"/>
  <c r="K1458" i="2" s="1"/>
  <c r="B1459" i="2"/>
  <c r="A1459" i="2"/>
  <c r="M1459" i="2"/>
  <c r="H1459" i="2"/>
  <c r="G1459" i="2"/>
  <c r="I1459" i="2"/>
  <c r="E1459" i="2"/>
  <c r="F1459" i="2"/>
  <c r="C1460" i="2"/>
  <c r="L1459" i="2" l="1"/>
  <c r="J1459" i="2"/>
  <c r="K1459" i="2" s="1"/>
  <c r="D1459" i="2"/>
  <c r="B1460" i="2"/>
  <c r="A1460" i="2"/>
  <c r="G1460" i="2"/>
  <c r="F1460" i="2"/>
  <c r="E1460" i="2"/>
  <c r="H1460" i="2"/>
  <c r="M1460" i="2"/>
  <c r="I1460" i="2"/>
  <c r="C1461" i="2"/>
  <c r="L1460" i="2" l="1"/>
  <c r="D1460" i="2"/>
  <c r="J1460" i="2"/>
  <c r="K1460" i="2" s="1"/>
  <c r="B1461" i="2"/>
  <c r="A1461" i="2"/>
  <c r="H1461" i="2"/>
  <c r="M1461" i="2"/>
  <c r="G1461" i="2"/>
  <c r="I1461" i="2"/>
  <c r="F1461" i="2"/>
  <c r="E1461" i="2"/>
  <c r="C1462" i="2"/>
  <c r="L1461" i="2" l="1"/>
  <c r="D1461" i="2"/>
  <c r="J1461" i="2"/>
  <c r="K1461" i="2" s="1"/>
  <c r="A1462" i="2"/>
  <c r="B1462" i="2"/>
  <c r="M1462" i="2"/>
  <c r="F1462" i="2"/>
  <c r="E1462" i="2"/>
  <c r="H1462" i="2"/>
  <c r="G1462" i="2"/>
  <c r="I1462" i="2"/>
  <c r="C1463" i="2"/>
  <c r="L1462" i="2" l="1"/>
  <c r="J1462" i="2"/>
  <c r="K1462" i="2" s="1"/>
  <c r="D1462" i="2"/>
  <c r="B1463" i="2"/>
  <c r="A1463" i="2"/>
  <c r="E1463" i="2"/>
  <c r="H1463" i="2"/>
  <c r="G1463" i="2"/>
  <c r="F1463" i="2"/>
  <c r="I1463" i="2"/>
  <c r="M1463" i="2"/>
  <c r="C1464" i="2"/>
  <c r="L1463" i="2" l="1"/>
  <c r="D1463" i="2"/>
  <c r="J1463" i="2"/>
  <c r="K1463" i="2" s="1"/>
  <c r="B1464" i="2"/>
  <c r="A1464" i="2"/>
  <c r="G1464" i="2"/>
  <c r="E1464" i="2"/>
  <c r="I1464" i="2"/>
  <c r="H1464" i="2"/>
  <c r="M1464" i="2"/>
  <c r="F1464" i="2"/>
  <c r="C1465" i="2"/>
  <c r="L1464" i="2" l="1"/>
  <c r="J1464" i="2"/>
  <c r="K1464" i="2" s="1"/>
  <c r="D1464" i="2"/>
  <c r="B1465" i="2"/>
  <c r="A1465" i="2"/>
  <c r="H1465" i="2"/>
  <c r="M1465" i="2"/>
  <c r="E1465" i="2"/>
  <c r="I1465" i="2"/>
  <c r="F1465" i="2"/>
  <c r="G1465" i="2"/>
  <c r="C1466" i="2"/>
  <c r="L1465" i="2" l="1"/>
  <c r="J1465" i="2"/>
  <c r="K1465" i="2" s="1"/>
  <c r="D1465" i="2"/>
  <c r="B1466" i="2"/>
  <c r="A1466" i="2"/>
  <c r="E1466" i="2"/>
  <c r="F1466" i="2"/>
  <c r="I1466" i="2"/>
  <c r="H1466" i="2"/>
  <c r="G1466" i="2"/>
  <c r="M1466" i="2"/>
  <c r="C1467" i="2"/>
  <c r="L1466" i="2" l="1"/>
  <c r="D1466" i="2"/>
  <c r="J1466" i="2"/>
  <c r="K1466" i="2" s="1"/>
  <c r="B1467" i="2"/>
  <c r="A1467" i="2"/>
  <c r="M1467" i="2"/>
  <c r="I1467" i="2"/>
  <c r="H1467" i="2"/>
  <c r="F1467" i="2"/>
  <c r="E1467" i="2"/>
  <c r="G1467" i="2"/>
  <c r="C1468" i="2"/>
  <c r="L1467" i="2" l="1"/>
  <c r="D1467" i="2"/>
  <c r="J1467" i="2"/>
  <c r="K1467" i="2" s="1"/>
  <c r="A1468" i="2"/>
  <c r="B1468" i="2"/>
  <c r="H1468" i="2"/>
  <c r="M1468" i="2"/>
  <c r="E1468" i="2"/>
  <c r="G1468" i="2"/>
  <c r="F1468" i="2"/>
  <c r="I1468" i="2"/>
  <c r="C1469" i="2"/>
  <c r="L1468" i="2" l="1"/>
  <c r="D1468" i="2"/>
  <c r="J1468" i="2"/>
  <c r="K1468" i="2" s="1"/>
  <c r="B1469" i="2"/>
  <c r="A1469" i="2"/>
  <c r="M1469" i="2"/>
  <c r="G1469" i="2"/>
  <c r="I1469" i="2"/>
  <c r="F1469" i="2"/>
  <c r="E1469" i="2"/>
  <c r="H1469" i="2"/>
  <c r="C1470" i="2"/>
  <c r="L1469" i="2" l="1"/>
  <c r="D1469" i="2"/>
  <c r="J1469" i="2"/>
  <c r="K1469" i="2" s="1"/>
  <c r="B1470" i="2"/>
  <c r="A1470" i="2"/>
  <c r="E1470" i="2"/>
  <c r="M1470" i="2"/>
  <c r="G1470" i="2"/>
  <c r="I1470" i="2"/>
  <c r="F1470" i="2"/>
  <c r="H1470" i="2"/>
  <c r="C1471" i="2"/>
  <c r="L1470" i="2" l="1"/>
  <c r="D1470" i="2"/>
  <c r="J1470" i="2"/>
  <c r="K1470" i="2" s="1"/>
  <c r="B1471" i="2"/>
  <c r="A1471" i="2"/>
  <c r="H1471" i="2"/>
  <c r="M1471" i="2"/>
  <c r="E1471" i="2"/>
  <c r="G1471" i="2"/>
  <c r="F1471" i="2"/>
  <c r="I1471" i="2"/>
  <c r="C1472" i="2"/>
  <c r="L1471" i="2" l="1"/>
  <c r="J1471" i="2"/>
  <c r="K1471" i="2" s="1"/>
  <c r="D1471" i="2"/>
  <c r="B1472" i="2"/>
  <c r="A1472" i="2"/>
  <c r="H1472" i="2"/>
  <c r="I1472" i="2"/>
  <c r="F1472" i="2"/>
  <c r="E1472" i="2"/>
  <c r="G1472" i="2"/>
  <c r="M1472" i="2"/>
  <c r="C1473" i="2"/>
  <c r="L1472" i="2" l="1"/>
  <c r="D1472" i="2"/>
  <c r="J1472" i="2"/>
  <c r="K1472" i="2" s="1"/>
  <c r="B1473" i="2"/>
  <c r="A1473" i="2"/>
  <c r="E1473" i="2"/>
  <c r="H1473" i="2"/>
  <c r="F1473" i="2"/>
  <c r="G1473" i="2"/>
  <c r="M1473" i="2"/>
  <c r="I1473" i="2"/>
  <c r="C1474" i="2"/>
  <c r="L1473" i="2" l="1"/>
  <c r="D1473" i="2"/>
  <c r="J1473" i="2"/>
  <c r="K1473" i="2" s="1"/>
  <c r="A1474" i="2"/>
  <c r="B1474" i="2"/>
  <c r="F1474" i="2"/>
  <c r="H1474" i="2"/>
  <c r="E1474" i="2"/>
  <c r="G1474" i="2"/>
  <c r="M1474" i="2"/>
  <c r="I1474" i="2"/>
  <c r="C1475" i="2"/>
  <c r="L1474" i="2" l="1"/>
  <c r="D1474" i="2"/>
  <c r="J1474" i="2"/>
  <c r="K1474" i="2" s="1"/>
  <c r="B1475" i="2"/>
  <c r="A1475" i="2"/>
  <c r="I1475" i="2"/>
  <c r="M1475" i="2"/>
  <c r="G1475" i="2"/>
  <c r="H1475" i="2"/>
  <c r="E1475" i="2"/>
  <c r="F1475" i="2"/>
  <c r="C1476" i="2"/>
  <c r="L1475" i="2" l="1"/>
  <c r="J1475" i="2"/>
  <c r="K1475" i="2" s="1"/>
  <c r="D1475" i="2"/>
  <c r="B1476" i="2"/>
  <c r="A1476" i="2"/>
  <c r="I1476" i="2"/>
  <c r="H1476" i="2"/>
  <c r="M1476" i="2"/>
  <c r="F1476" i="2"/>
  <c r="E1476" i="2"/>
  <c r="G1476" i="2"/>
  <c r="C1477" i="2"/>
  <c r="L1476" i="2" l="1"/>
  <c r="D1476" i="2"/>
  <c r="J1476" i="2"/>
  <c r="K1476" i="2" s="1"/>
  <c r="B1477" i="2"/>
  <c r="A1477" i="2"/>
  <c r="E1477" i="2"/>
  <c r="M1477" i="2"/>
  <c r="G1477" i="2"/>
  <c r="I1477" i="2"/>
  <c r="F1477" i="2"/>
  <c r="H1477" i="2"/>
  <c r="C1478" i="2"/>
  <c r="L1477" i="2" l="1"/>
  <c r="J1477" i="2"/>
  <c r="K1477" i="2" s="1"/>
  <c r="D1477" i="2"/>
  <c r="A1478" i="2"/>
  <c r="B1478" i="2"/>
  <c r="G1478" i="2"/>
  <c r="H1478" i="2"/>
  <c r="F1478" i="2"/>
  <c r="E1478" i="2"/>
  <c r="I1478" i="2"/>
  <c r="M1478" i="2"/>
  <c r="C1479" i="2"/>
  <c r="L1478" i="2" l="1"/>
  <c r="D1478" i="2"/>
  <c r="J1478" i="2"/>
  <c r="K1478" i="2" s="1"/>
  <c r="B1479" i="2"/>
  <c r="A1479" i="2"/>
  <c r="M1479" i="2"/>
  <c r="G1479" i="2"/>
  <c r="F1479" i="2"/>
  <c r="I1479" i="2"/>
  <c r="H1479" i="2"/>
  <c r="E1479" i="2"/>
  <c r="C1480" i="2"/>
  <c r="L1479" i="2" l="1"/>
  <c r="D1479" i="2"/>
  <c r="J1479" i="2"/>
  <c r="K1479" i="2" s="1"/>
  <c r="B1480" i="2"/>
  <c r="A1480" i="2"/>
  <c r="M1480" i="2"/>
  <c r="G1480" i="2"/>
  <c r="I1480" i="2"/>
  <c r="H1480" i="2"/>
  <c r="E1480" i="2"/>
  <c r="F1480" i="2"/>
  <c r="C1481" i="2"/>
  <c r="L1480" i="2" l="1"/>
  <c r="J1480" i="2"/>
  <c r="K1480" i="2" s="1"/>
  <c r="D1480" i="2"/>
  <c r="B1481" i="2"/>
  <c r="A1481" i="2"/>
  <c r="G1481" i="2"/>
  <c r="H1481" i="2"/>
  <c r="E1481" i="2"/>
  <c r="F1481" i="2"/>
  <c r="I1481" i="2"/>
  <c r="M1481" i="2"/>
  <c r="C1482" i="2"/>
  <c r="L1481" i="2" l="1"/>
  <c r="D1481" i="2"/>
  <c r="J1481" i="2"/>
  <c r="K1481" i="2" s="1"/>
  <c r="A1482" i="2"/>
  <c r="B1482" i="2"/>
  <c r="H1482" i="2"/>
  <c r="M1482" i="2"/>
  <c r="G1482" i="2"/>
  <c r="F1482" i="2"/>
  <c r="I1482" i="2"/>
  <c r="E1482" i="2"/>
  <c r="C1483" i="2"/>
  <c r="L1482" i="2" l="1"/>
  <c r="D1482" i="2"/>
  <c r="J1482" i="2"/>
  <c r="K1482" i="2" s="1"/>
  <c r="B1483" i="2"/>
  <c r="A1483" i="2"/>
  <c r="G1483" i="2"/>
  <c r="H1483" i="2"/>
  <c r="I1483" i="2"/>
  <c r="E1483" i="2"/>
  <c r="F1483" i="2"/>
  <c r="M1483" i="2"/>
  <c r="C1484" i="2"/>
  <c r="L1483" i="2" l="1"/>
  <c r="D1483" i="2"/>
  <c r="J1483" i="2"/>
  <c r="K1483" i="2" s="1"/>
  <c r="A1484" i="2"/>
  <c r="B1484" i="2"/>
  <c r="I1484" i="2"/>
  <c r="E1484" i="2"/>
  <c r="F1484" i="2"/>
  <c r="G1484" i="2"/>
  <c r="H1484" i="2"/>
  <c r="M1484" i="2"/>
  <c r="C1485" i="2"/>
  <c r="L1484" i="2" l="1"/>
  <c r="J1484" i="2"/>
  <c r="K1484" i="2" s="1"/>
  <c r="D1484" i="2"/>
  <c r="B1485" i="2"/>
  <c r="A1485" i="2"/>
  <c r="I1485" i="2"/>
  <c r="H1485" i="2"/>
  <c r="F1485" i="2"/>
  <c r="E1485" i="2"/>
  <c r="G1485" i="2"/>
  <c r="M1485" i="2"/>
  <c r="C1486" i="2"/>
  <c r="L1485" i="2" l="1"/>
  <c r="D1485" i="2"/>
  <c r="J1485" i="2"/>
  <c r="K1485" i="2" s="1"/>
  <c r="A1486" i="2"/>
  <c r="B1486" i="2"/>
  <c r="F1486" i="2"/>
  <c r="H1486" i="2"/>
  <c r="M1486" i="2"/>
  <c r="E1486" i="2"/>
  <c r="G1486" i="2"/>
  <c r="I1486" i="2"/>
  <c r="C1487" i="2"/>
  <c r="L1486" i="2" l="1"/>
  <c r="D1486" i="2"/>
  <c r="J1486" i="2"/>
  <c r="K1486" i="2" s="1"/>
  <c r="B1487" i="2"/>
  <c r="A1487" i="2"/>
  <c r="E1487" i="2"/>
  <c r="F1487" i="2"/>
  <c r="I1487" i="2"/>
  <c r="G1487" i="2"/>
  <c r="H1487" i="2"/>
  <c r="M1487" i="2"/>
  <c r="C1488" i="2"/>
  <c r="L1487" i="2" l="1"/>
  <c r="D1487" i="2"/>
  <c r="J1487" i="2"/>
  <c r="K1487" i="2" s="1"/>
  <c r="B1488" i="2"/>
  <c r="A1488" i="2"/>
  <c r="I1488" i="2"/>
  <c r="E1488" i="2"/>
  <c r="M1488" i="2"/>
  <c r="F1488" i="2"/>
  <c r="G1488" i="2"/>
  <c r="H1488" i="2"/>
  <c r="C1489" i="2"/>
  <c r="L1488" i="2" l="1"/>
  <c r="D1488" i="2"/>
  <c r="J1488" i="2"/>
  <c r="K1488" i="2" s="1"/>
  <c r="A1489" i="2"/>
  <c r="B1489" i="2"/>
  <c r="H1489" i="2"/>
  <c r="F1489" i="2"/>
  <c r="E1489" i="2"/>
  <c r="I1489" i="2"/>
  <c r="M1489" i="2"/>
  <c r="G1489" i="2"/>
  <c r="C1490" i="2"/>
  <c r="L1489" i="2" l="1"/>
  <c r="J1489" i="2"/>
  <c r="K1489" i="2" s="1"/>
  <c r="D1489" i="2"/>
  <c r="A1490" i="2"/>
  <c r="B1490" i="2"/>
  <c r="H1490" i="2"/>
  <c r="G1490" i="2"/>
  <c r="M1490" i="2"/>
  <c r="I1490" i="2"/>
  <c r="E1490" i="2"/>
  <c r="F1490" i="2"/>
  <c r="C1491" i="2"/>
  <c r="L1490" i="2" l="1"/>
  <c r="D1490" i="2"/>
  <c r="J1490" i="2"/>
  <c r="K1490" i="2" s="1"/>
  <c r="A1491" i="2"/>
  <c r="B1491" i="2"/>
  <c r="G1491" i="2"/>
  <c r="H1491" i="2"/>
  <c r="I1491" i="2"/>
  <c r="E1491" i="2"/>
  <c r="F1491" i="2"/>
  <c r="M1491" i="2"/>
  <c r="C1492" i="2"/>
  <c r="L1491" i="2" l="1"/>
  <c r="D1491" i="2"/>
  <c r="J1491" i="2"/>
  <c r="K1491" i="2" s="1"/>
  <c r="B1492" i="2"/>
  <c r="A1492" i="2"/>
  <c r="M1492" i="2"/>
  <c r="G1492" i="2"/>
  <c r="E1492" i="2"/>
  <c r="I1492" i="2"/>
  <c r="F1492" i="2"/>
  <c r="H1492" i="2"/>
  <c r="C1493" i="2"/>
  <c r="L1492" i="2" l="1"/>
  <c r="D1492" i="2"/>
  <c r="J1492" i="2"/>
  <c r="K1492" i="2" s="1"/>
  <c r="A1493" i="2"/>
  <c r="B1493" i="2"/>
  <c r="E1493" i="2"/>
  <c r="G1493" i="2"/>
  <c r="I1493" i="2"/>
  <c r="F1493" i="2"/>
  <c r="M1493" i="2"/>
  <c r="H1493" i="2"/>
  <c r="C1494" i="2"/>
  <c r="L1493" i="2" l="1"/>
  <c r="J1493" i="2"/>
  <c r="K1493" i="2" s="1"/>
  <c r="D1493" i="2"/>
  <c r="A1494" i="2"/>
  <c r="B1494" i="2"/>
  <c r="E1494" i="2"/>
  <c r="G1494" i="2"/>
  <c r="I1494" i="2"/>
  <c r="M1494" i="2"/>
  <c r="H1494" i="2"/>
  <c r="F1494" i="2"/>
  <c r="C1495" i="2"/>
  <c r="L1494" i="2" l="1"/>
  <c r="D1494" i="2"/>
  <c r="J1494" i="2"/>
  <c r="K1494" i="2" s="1"/>
  <c r="B1495" i="2"/>
  <c r="A1495" i="2"/>
  <c r="H1495" i="2"/>
  <c r="F1495" i="2"/>
  <c r="M1495" i="2"/>
  <c r="E1495" i="2"/>
  <c r="G1495" i="2"/>
  <c r="I1495" i="2"/>
  <c r="C1496" i="2"/>
  <c r="L1495" i="2" l="1"/>
  <c r="J1495" i="2"/>
  <c r="K1495" i="2" s="1"/>
  <c r="D1495" i="2"/>
  <c r="B1496" i="2"/>
  <c r="A1496" i="2"/>
  <c r="E1496" i="2"/>
  <c r="M1496" i="2"/>
  <c r="G1496" i="2"/>
  <c r="H1496" i="2"/>
  <c r="I1496" i="2"/>
  <c r="F1496" i="2"/>
  <c r="C1497" i="2"/>
  <c r="L1496" i="2" l="1"/>
  <c r="J1496" i="2"/>
  <c r="K1496" i="2" s="1"/>
  <c r="D1496" i="2"/>
  <c r="B1497" i="2"/>
  <c r="A1497" i="2"/>
  <c r="M1497" i="2"/>
  <c r="F1497" i="2"/>
  <c r="E1497" i="2"/>
  <c r="H1497" i="2"/>
  <c r="G1497" i="2"/>
  <c r="I1497" i="2"/>
  <c r="C1498" i="2"/>
  <c r="L1497" i="2" l="1"/>
  <c r="D1497" i="2"/>
  <c r="J1497" i="2"/>
  <c r="K1497" i="2" s="1"/>
  <c r="A1498" i="2"/>
  <c r="B1498" i="2"/>
  <c r="M1498" i="2"/>
  <c r="E1498" i="2"/>
  <c r="H1498" i="2"/>
  <c r="F1498" i="2"/>
  <c r="I1498" i="2"/>
  <c r="G1498" i="2"/>
  <c r="C1499" i="2"/>
  <c r="L1498" i="2" l="1"/>
  <c r="D1498" i="2"/>
  <c r="J1498" i="2"/>
  <c r="K1498" i="2" s="1"/>
  <c r="A1499" i="2"/>
  <c r="B1499" i="2"/>
  <c r="E1499" i="2"/>
  <c r="I1499" i="2"/>
  <c r="M1499" i="2"/>
  <c r="F1499" i="2"/>
  <c r="G1499" i="2"/>
  <c r="H1499" i="2"/>
  <c r="C1500" i="2"/>
  <c r="L1499" i="2" l="1"/>
  <c r="J1499" i="2"/>
  <c r="K1499" i="2" s="1"/>
  <c r="D1499" i="2"/>
  <c r="A1500" i="2"/>
  <c r="B1500" i="2"/>
  <c r="E1500" i="2"/>
  <c r="H1500" i="2"/>
  <c r="I1500" i="2"/>
  <c r="F1500" i="2"/>
  <c r="G1500" i="2"/>
  <c r="M1500" i="2"/>
  <c r="C1501" i="2"/>
  <c r="L1500" i="2" l="1"/>
  <c r="J1500" i="2"/>
  <c r="K1500" i="2" s="1"/>
  <c r="D1500" i="2"/>
  <c r="B1501" i="2"/>
  <c r="A1501" i="2"/>
  <c r="F1501" i="2"/>
  <c r="E1501" i="2"/>
  <c r="H1501" i="2"/>
  <c r="I1501" i="2"/>
  <c r="G1501" i="2"/>
  <c r="M1501" i="2"/>
  <c r="C1502" i="2"/>
  <c r="L1501" i="2" l="1"/>
  <c r="D1501" i="2"/>
  <c r="J1501" i="2"/>
  <c r="K1501" i="2" s="1"/>
  <c r="A1502" i="2"/>
  <c r="B1502" i="2"/>
  <c r="M1502" i="2"/>
  <c r="E1502" i="2"/>
  <c r="F1502" i="2"/>
  <c r="I1502" i="2"/>
  <c r="H1502" i="2"/>
  <c r="G1502" i="2"/>
  <c r="C1503" i="2"/>
  <c r="L1502" i="2" l="1"/>
  <c r="D1502" i="2"/>
  <c r="J1502" i="2"/>
  <c r="K1502" i="2" s="1"/>
  <c r="A1503" i="2"/>
  <c r="B1503" i="2"/>
  <c r="G1503" i="2"/>
  <c r="F1503" i="2"/>
  <c r="E1503" i="2"/>
  <c r="M1503" i="2"/>
  <c r="H1503" i="2"/>
  <c r="I1503" i="2"/>
  <c r="C1504" i="2"/>
  <c r="L1503" i="2" l="1"/>
  <c r="D1503" i="2"/>
  <c r="J1503" i="2"/>
  <c r="K1503" i="2" s="1"/>
  <c r="B1504" i="2"/>
  <c r="A1504" i="2"/>
  <c r="H1504" i="2"/>
  <c r="I1504" i="2"/>
  <c r="G1504" i="2"/>
  <c r="E1504" i="2"/>
  <c r="F1504" i="2"/>
  <c r="M1504" i="2"/>
  <c r="C1505" i="2"/>
  <c r="L1504" i="2" l="1"/>
  <c r="D1504" i="2"/>
  <c r="J1504" i="2"/>
  <c r="K1504" i="2" s="1"/>
  <c r="B1505" i="2"/>
  <c r="A1505" i="2"/>
  <c r="M1505" i="2"/>
  <c r="I1505" i="2"/>
  <c r="H1505" i="2"/>
  <c r="F1505" i="2"/>
  <c r="G1505" i="2"/>
  <c r="E1505" i="2"/>
  <c r="C1506" i="2"/>
  <c r="L1505" i="2" l="1"/>
  <c r="J1505" i="2"/>
  <c r="K1505" i="2" s="1"/>
  <c r="D1505" i="2"/>
  <c r="A1506" i="2"/>
  <c r="B1506" i="2"/>
  <c r="M1506" i="2"/>
  <c r="I1506" i="2"/>
  <c r="E1506" i="2"/>
  <c r="F1506" i="2"/>
  <c r="H1506" i="2"/>
  <c r="G1506" i="2"/>
  <c r="C1507" i="2"/>
  <c r="L1506" i="2" l="1"/>
  <c r="D1506" i="2"/>
  <c r="J1506" i="2"/>
  <c r="K1506" i="2" s="1"/>
  <c r="A1507" i="2"/>
  <c r="B1507" i="2"/>
  <c r="H1507" i="2"/>
  <c r="I1507" i="2"/>
  <c r="F1507" i="2"/>
  <c r="E1507" i="2"/>
  <c r="G1507" i="2"/>
  <c r="M1507" i="2"/>
  <c r="C1508" i="2"/>
  <c r="L1507" i="2" l="1"/>
  <c r="J1507" i="2"/>
  <c r="K1507" i="2" s="1"/>
  <c r="D1507" i="2"/>
  <c r="B1508" i="2"/>
  <c r="A1508" i="2"/>
  <c r="H1508" i="2"/>
  <c r="M1508" i="2"/>
  <c r="E1508" i="2"/>
  <c r="I1508" i="2"/>
  <c r="F1508" i="2"/>
  <c r="G1508" i="2"/>
  <c r="C1509" i="2"/>
  <c r="L1508" i="2" l="1"/>
  <c r="D1508" i="2"/>
  <c r="J1508" i="2"/>
  <c r="K1508" i="2" s="1"/>
  <c r="B1509" i="2"/>
  <c r="A1509" i="2"/>
  <c r="M1509" i="2"/>
  <c r="H1509" i="2"/>
  <c r="I1509" i="2"/>
  <c r="G1509" i="2"/>
  <c r="F1509" i="2"/>
  <c r="E1509" i="2"/>
  <c r="C1510" i="2"/>
  <c r="L1509" i="2" l="1"/>
  <c r="J1509" i="2"/>
  <c r="K1509" i="2" s="1"/>
  <c r="D1509" i="2"/>
  <c r="A1510" i="2"/>
  <c r="B1510" i="2"/>
  <c r="M1510" i="2"/>
  <c r="I1510" i="2"/>
  <c r="E1510" i="2"/>
  <c r="G1510" i="2"/>
  <c r="H1510" i="2"/>
  <c r="F1510" i="2"/>
  <c r="C1511" i="2"/>
  <c r="L1510" i="2" l="1"/>
  <c r="J1510" i="2"/>
  <c r="K1510" i="2" s="1"/>
  <c r="D1510" i="2"/>
  <c r="B1511" i="2"/>
  <c r="A1511" i="2"/>
  <c r="G1511" i="2"/>
  <c r="H1511" i="2"/>
  <c r="M1511" i="2"/>
  <c r="E1511" i="2"/>
  <c r="I1511" i="2"/>
  <c r="F1511" i="2"/>
  <c r="C1512" i="2"/>
  <c r="L1511" i="2" l="1"/>
  <c r="D1511" i="2"/>
  <c r="J1511" i="2"/>
  <c r="K1511" i="2" s="1"/>
  <c r="B1512" i="2"/>
  <c r="A1512" i="2"/>
  <c r="E1512" i="2"/>
  <c r="M1512" i="2"/>
  <c r="F1512" i="2"/>
  <c r="I1512" i="2"/>
  <c r="G1512" i="2"/>
  <c r="H1512" i="2"/>
  <c r="C1513" i="2"/>
  <c r="L1512" i="2" l="1"/>
  <c r="D1512" i="2"/>
  <c r="J1512" i="2"/>
  <c r="K1512" i="2" s="1"/>
  <c r="B1513" i="2"/>
  <c r="A1513" i="2"/>
  <c r="H1513" i="2"/>
  <c r="M1513" i="2"/>
  <c r="F1513" i="2"/>
  <c r="I1513" i="2"/>
  <c r="G1513" i="2"/>
  <c r="E1513" i="2"/>
  <c r="C1514" i="2"/>
  <c r="L1513" i="2" l="1"/>
  <c r="J1513" i="2"/>
  <c r="K1513" i="2" s="1"/>
  <c r="D1513" i="2"/>
  <c r="A1514" i="2"/>
  <c r="B1514" i="2"/>
  <c r="H1514" i="2"/>
  <c r="M1514" i="2"/>
  <c r="F1514" i="2"/>
  <c r="G1514" i="2"/>
  <c r="E1514" i="2"/>
  <c r="I1514" i="2"/>
  <c r="C1515" i="2"/>
  <c r="L1514" i="2" l="1"/>
  <c r="D1514" i="2"/>
  <c r="J1514" i="2"/>
  <c r="K1514" i="2" s="1"/>
  <c r="A1515" i="2"/>
  <c r="B1515" i="2"/>
  <c r="E1515" i="2"/>
  <c r="M1515" i="2"/>
  <c r="F1515" i="2"/>
  <c r="I1515" i="2"/>
  <c r="G1515" i="2"/>
  <c r="H1515" i="2"/>
  <c r="C1516" i="2"/>
  <c r="J1515" i="2" l="1"/>
  <c r="K1515" i="2" s="1"/>
  <c r="D1515" i="2"/>
  <c r="B1516" i="2"/>
  <c r="A1516" i="2"/>
  <c r="M1516" i="2"/>
  <c r="H1516" i="2"/>
  <c r="G1516" i="2"/>
  <c r="I1516" i="2"/>
  <c r="F1516" i="2"/>
  <c r="E1516" i="2"/>
  <c r="C1517" i="2"/>
  <c r="D1516" i="2" l="1"/>
  <c r="J1516" i="2"/>
  <c r="K1516" i="2" s="1"/>
  <c r="L1516" i="2"/>
  <c r="B1517" i="2"/>
  <c r="A1517" i="2"/>
  <c r="G1517" i="2"/>
  <c r="F1517" i="2"/>
  <c r="M1517" i="2"/>
  <c r="E1517" i="2"/>
  <c r="I1517" i="2"/>
  <c r="H1517" i="2"/>
  <c r="C1518" i="2"/>
  <c r="D1517" i="2" l="1"/>
  <c r="J1517" i="2"/>
  <c r="K1517" i="2" s="1"/>
  <c r="L1517" i="2"/>
  <c r="A1518" i="2"/>
  <c r="B1518" i="2"/>
  <c r="M1518" i="2"/>
  <c r="E1518" i="2"/>
  <c r="G1518" i="2"/>
  <c r="H1518" i="2"/>
  <c r="F1518" i="2"/>
  <c r="I1518" i="2"/>
  <c r="C1519" i="2"/>
  <c r="D1518" i="2" l="1"/>
  <c r="J1518" i="2"/>
  <c r="K1518" i="2" s="1"/>
  <c r="L1518" i="2"/>
  <c r="A1519" i="2"/>
  <c r="B1519" i="2"/>
  <c r="G1519" i="2"/>
  <c r="I1519" i="2"/>
  <c r="H1519" i="2"/>
  <c r="E1519" i="2"/>
  <c r="F1519" i="2"/>
  <c r="M1519" i="2"/>
  <c r="C1520" i="2"/>
  <c r="D1519" i="2" l="1"/>
  <c r="J1519" i="2"/>
  <c r="K1519" i="2" s="1"/>
  <c r="L1519" i="2"/>
  <c r="B1520" i="2"/>
  <c r="A1520" i="2"/>
  <c r="M1520" i="2"/>
  <c r="F1520" i="2"/>
  <c r="G1520" i="2"/>
  <c r="I1520" i="2"/>
  <c r="H1520" i="2"/>
  <c r="E1520" i="2"/>
  <c r="C1521" i="2"/>
  <c r="J1520" i="2" l="1"/>
  <c r="K1520" i="2" s="1"/>
  <c r="D1520" i="2"/>
  <c r="L1520" i="2"/>
  <c r="B1521" i="2"/>
  <c r="A1521" i="2"/>
  <c r="E1521" i="2"/>
  <c r="F1521" i="2"/>
  <c r="M1521" i="2"/>
  <c r="I1521" i="2"/>
  <c r="G1521" i="2"/>
  <c r="H1521" i="2"/>
  <c r="C1522" i="2"/>
  <c r="J1521" i="2" l="1"/>
  <c r="K1521" i="2" s="1"/>
  <c r="D1521" i="2"/>
  <c r="L1521" i="2"/>
  <c r="A1522" i="2"/>
  <c r="B1522" i="2"/>
  <c r="G1522" i="2"/>
  <c r="M1522" i="2"/>
  <c r="E1522" i="2"/>
  <c r="H1522" i="2"/>
  <c r="F1522" i="2"/>
  <c r="I1522" i="2"/>
  <c r="C1523" i="2"/>
  <c r="D1522" i="2" l="1"/>
  <c r="J1522" i="2"/>
  <c r="K1522" i="2" s="1"/>
  <c r="L1522" i="2"/>
  <c r="A1523" i="2"/>
  <c r="B1523" i="2"/>
  <c r="G1523" i="2"/>
  <c r="M1523" i="2"/>
  <c r="E1523" i="2"/>
  <c r="H1523" i="2"/>
  <c r="F1523" i="2"/>
  <c r="I1523" i="2"/>
  <c r="C1524" i="2"/>
  <c r="J1523" i="2" l="1"/>
  <c r="K1523" i="2" s="1"/>
  <c r="D1523" i="2"/>
  <c r="L1523" i="2"/>
  <c r="B1524" i="2"/>
  <c r="A1524" i="2"/>
  <c r="M1524" i="2"/>
  <c r="H1524" i="2"/>
  <c r="G1524" i="2"/>
  <c r="E1524" i="2"/>
  <c r="I1524" i="2"/>
  <c r="F1524" i="2"/>
  <c r="C1525" i="2"/>
  <c r="D1524" i="2" l="1"/>
  <c r="J1524" i="2"/>
  <c r="K1524" i="2" s="1"/>
  <c r="L1524" i="2"/>
  <c r="B1525" i="2"/>
  <c r="A1525" i="2"/>
  <c r="I1525" i="2"/>
  <c r="H1525" i="2"/>
  <c r="M1525" i="2"/>
  <c r="F1525" i="2"/>
  <c r="G1525" i="2"/>
  <c r="E1525" i="2"/>
  <c r="C1526" i="2"/>
  <c r="D1525" i="2" l="1"/>
  <c r="J1525" i="2"/>
  <c r="K1525" i="2" s="1"/>
  <c r="L1525" i="2"/>
  <c r="A1526" i="2"/>
  <c r="B1526" i="2"/>
  <c r="E1526" i="2"/>
  <c r="H1526" i="2"/>
  <c r="M1526" i="2"/>
  <c r="F1526" i="2"/>
  <c r="I1526" i="2"/>
  <c r="G1526" i="2"/>
  <c r="C1527" i="2"/>
  <c r="D1526" i="2" l="1"/>
  <c r="J1526" i="2"/>
  <c r="K1526" i="2" s="1"/>
  <c r="L1526" i="2"/>
  <c r="B1527" i="2"/>
  <c r="A1527" i="2"/>
  <c r="G1527" i="2"/>
  <c r="F1527" i="2"/>
  <c r="M1527" i="2"/>
  <c r="H1527" i="2"/>
  <c r="E1527" i="2"/>
  <c r="I1527" i="2"/>
  <c r="C1528" i="2"/>
  <c r="D1527" i="2" l="1"/>
  <c r="J1527" i="2"/>
  <c r="K1527" i="2" s="1"/>
  <c r="L1527" i="2"/>
  <c r="B1528" i="2"/>
  <c r="A1528" i="2"/>
  <c r="F1528" i="2"/>
  <c r="G1528" i="2"/>
  <c r="H1528" i="2"/>
  <c r="M1528" i="2"/>
  <c r="I1528" i="2"/>
  <c r="E1528" i="2"/>
  <c r="C1529" i="2"/>
  <c r="D1528" i="2" l="1"/>
  <c r="J1528" i="2"/>
  <c r="K1528" i="2" s="1"/>
  <c r="L1528" i="2"/>
  <c r="B1529" i="2"/>
  <c r="A1529" i="2"/>
  <c r="M1529" i="2"/>
  <c r="G1529" i="2"/>
  <c r="F1529" i="2"/>
  <c r="H1529" i="2"/>
  <c r="I1529" i="2"/>
  <c r="E1529" i="2"/>
  <c r="C1530" i="2"/>
  <c r="D1529" i="2" l="1"/>
  <c r="J1529" i="2"/>
  <c r="K1529" i="2" s="1"/>
  <c r="L1529" i="2"/>
  <c r="A1530" i="2"/>
  <c r="B1530" i="2"/>
  <c r="G1530" i="2"/>
  <c r="E1530" i="2"/>
  <c r="M1530" i="2"/>
  <c r="I1530" i="2"/>
  <c r="H1530" i="2"/>
  <c r="F1530" i="2"/>
  <c r="C1531" i="2"/>
  <c r="D1530" i="2" l="1"/>
  <c r="J1530" i="2"/>
  <c r="K1530" i="2" s="1"/>
  <c r="L1530" i="2"/>
  <c r="A1531" i="2"/>
  <c r="B1531" i="2"/>
  <c r="I1531" i="2"/>
  <c r="F1531" i="2"/>
  <c r="M1531" i="2"/>
  <c r="H1531" i="2"/>
  <c r="G1531" i="2"/>
  <c r="E1531" i="2"/>
  <c r="C1532" i="2"/>
  <c r="J1531" i="2" l="1"/>
  <c r="K1531" i="2" s="1"/>
  <c r="D1531" i="2"/>
  <c r="L1531" i="2"/>
  <c r="B1532" i="2"/>
  <c r="A1532" i="2"/>
  <c r="I1532" i="2"/>
  <c r="H1532" i="2"/>
  <c r="M1532" i="2"/>
  <c r="F1532" i="2"/>
  <c r="G1532" i="2"/>
  <c r="E1532" i="2"/>
  <c r="C1533" i="2"/>
  <c r="D1532" i="2" l="1"/>
  <c r="J1532" i="2"/>
  <c r="K1532" i="2" s="1"/>
  <c r="L1532" i="2"/>
  <c r="B1533" i="2"/>
  <c r="A1533" i="2"/>
  <c r="E1533" i="2"/>
  <c r="G1533" i="2"/>
  <c r="H1533" i="2"/>
  <c r="I1533" i="2"/>
  <c r="M1533" i="2"/>
  <c r="F1533" i="2"/>
  <c r="C1534" i="2"/>
  <c r="D1533" i="2" l="1"/>
  <c r="J1533" i="2"/>
  <c r="K1533" i="2" s="1"/>
  <c r="L1533" i="2"/>
  <c r="A1534" i="2"/>
  <c r="B1534" i="2"/>
  <c r="H1534" i="2"/>
  <c r="I1534" i="2"/>
  <c r="M1534" i="2"/>
  <c r="G1534" i="2"/>
  <c r="F1534" i="2"/>
  <c r="E1534" i="2"/>
  <c r="C1535" i="2"/>
  <c r="D1534" i="2" l="1"/>
  <c r="J1534" i="2"/>
  <c r="K1534" i="2" s="1"/>
  <c r="L1534" i="2"/>
  <c r="B1535" i="2"/>
  <c r="A1535" i="2"/>
  <c r="M1535" i="2"/>
  <c r="H1535" i="2"/>
  <c r="E1535" i="2"/>
  <c r="I1535" i="2"/>
  <c r="G1535" i="2"/>
  <c r="F1535" i="2"/>
  <c r="C1536" i="2"/>
  <c r="J1535" i="2" l="1"/>
  <c r="K1535" i="2" s="1"/>
  <c r="D1535" i="2"/>
  <c r="L1535" i="2"/>
  <c r="B1536" i="2"/>
  <c r="A1536" i="2"/>
  <c r="M1536" i="2"/>
  <c r="H1536" i="2"/>
  <c r="G1536" i="2"/>
  <c r="E1536" i="2"/>
  <c r="F1536" i="2"/>
  <c r="I1536" i="2"/>
  <c r="C1537" i="2"/>
  <c r="D1536" i="2" l="1"/>
  <c r="J1536" i="2"/>
  <c r="K1536" i="2" s="1"/>
  <c r="L1536" i="2"/>
  <c r="B1537" i="2"/>
  <c r="A1537" i="2"/>
  <c r="F1537" i="2"/>
  <c r="G1537" i="2"/>
  <c r="H1537" i="2"/>
  <c r="I1537" i="2"/>
  <c r="E1537" i="2"/>
  <c r="M1537" i="2"/>
  <c r="C1538" i="2"/>
  <c r="D1537" i="2" l="1"/>
  <c r="J1537" i="2"/>
  <c r="K1537" i="2" s="1"/>
  <c r="L1537" i="2"/>
  <c r="A1538" i="2"/>
  <c r="B1538" i="2"/>
  <c r="I1538" i="2"/>
  <c r="M1538" i="2"/>
  <c r="G1538" i="2"/>
  <c r="F1538" i="2"/>
  <c r="H1538" i="2"/>
  <c r="E1538" i="2"/>
  <c r="C1539" i="2"/>
  <c r="D1538" i="2" l="1"/>
  <c r="J1538" i="2"/>
  <c r="K1538" i="2" s="1"/>
  <c r="L1538" i="2"/>
  <c r="A1539" i="2"/>
  <c r="B1539" i="2"/>
  <c r="M1539" i="2"/>
  <c r="H1539" i="2"/>
  <c r="I1539" i="2"/>
  <c r="G1539" i="2"/>
  <c r="E1539" i="2"/>
  <c r="F1539" i="2"/>
  <c r="C1540" i="2"/>
  <c r="J1539" i="2" l="1"/>
  <c r="K1539" i="2" s="1"/>
  <c r="D1539" i="2"/>
  <c r="L1539" i="2"/>
  <c r="B1540" i="2"/>
  <c r="A1540" i="2"/>
  <c r="F1540" i="2"/>
  <c r="G1540" i="2"/>
  <c r="M1540" i="2"/>
  <c r="I1540" i="2"/>
  <c r="E1540" i="2"/>
  <c r="H1540" i="2"/>
  <c r="C1541" i="2"/>
  <c r="D1540" i="2" l="1"/>
  <c r="J1540" i="2"/>
  <c r="K1540" i="2" s="1"/>
  <c r="L1540" i="2"/>
  <c r="B1541" i="2"/>
  <c r="A1541" i="2"/>
  <c r="M1541" i="2"/>
  <c r="E1541" i="2"/>
  <c r="G1541" i="2"/>
  <c r="I1541" i="2"/>
  <c r="F1541" i="2"/>
  <c r="H1541" i="2"/>
  <c r="C1542" i="2"/>
  <c r="D1541" i="2" l="1"/>
  <c r="J1541" i="2"/>
  <c r="K1541" i="2" s="1"/>
  <c r="L1541" i="2"/>
  <c r="A1542" i="2"/>
  <c r="B1542" i="2"/>
  <c r="H1542" i="2"/>
  <c r="E1542" i="2"/>
  <c r="G1542" i="2"/>
  <c r="F1542" i="2"/>
  <c r="M1542" i="2"/>
  <c r="I1542" i="2"/>
  <c r="C1543" i="2"/>
  <c r="J1542" i="2" l="1"/>
  <c r="K1542" i="2" s="1"/>
  <c r="D1542" i="2"/>
  <c r="L1542" i="2"/>
  <c r="B1543" i="2"/>
  <c r="A1543" i="2"/>
  <c r="F1543" i="2"/>
  <c r="G1543" i="2"/>
  <c r="H1543" i="2"/>
  <c r="E1543" i="2"/>
  <c r="I1543" i="2"/>
  <c r="M1543" i="2"/>
  <c r="C1544" i="2"/>
  <c r="D1543" i="2" l="1"/>
  <c r="J1543" i="2"/>
  <c r="K1543" i="2" s="1"/>
  <c r="L1543" i="2"/>
  <c r="B1544" i="2"/>
  <c r="A1544" i="2"/>
  <c r="E1544" i="2"/>
  <c r="G1544" i="2"/>
  <c r="H1544" i="2"/>
  <c r="M1544" i="2"/>
  <c r="F1544" i="2"/>
  <c r="I1544" i="2"/>
  <c r="C1545" i="2"/>
  <c r="D1544" i="2" l="1"/>
  <c r="J1544" i="2"/>
  <c r="K1544" i="2" s="1"/>
  <c r="L1544" i="2"/>
  <c r="A1545" i="2"/>
  <c r="B1545" i="2"/>
  <c r="G1545" i="2"/>
  <c r="F1545" i="2"/>
  <c r="E1545" i="2"/>
  <c r="H1545" i="2"/>
  <c r="M1545" i="2"/>
  <c r="I1545" i="2"/>
  <c r="C1546" i="2"/>
  <c r="J1545" i="2" l="1"/>
  <c r="K1545" i="2" s="1"/>
  <c r="D1545" i="2"/>
  <c r="L1545" i="2"/>
  <c r="A1546" i="2"/>
  <c r="B1546" i="2"/>
  <c r="E1546" i="2"/>
  <c r="H1546" i="2"/>
  <c r="M1546" i="2"/>
  <c r="I1546" i="2"/>
  <c r="F1546" i="2"/>
  <c r="G1546" i="2"/>
  <c r="C1547" i="2"/>
  <c r="J1546" i="2" l="1"/>
  <c r="K1546" i="2" s="1"/>
  <c r="D1546" i="2"/>
  <c r="L1546" i="2"/>
  <c r="A1547" i="2"/>
  <c r="B1547" i="2"/>
  <c r="M1547" i="2"/>
  <c r="I1547" i="2"/>
  <c r="G1547" i="2"/>
  <c r="E1547" i="2"/>
  <c r="H1547" i="2"/>
  <c r="F1547" i="2"/>
  <c r="C1548" i="2"/>
  <c r="D1547" i="2" l="1"/>
  <c r="J1547" i="2"/>
  <c r="K1547" i="2" s="1"/>
  <c r="L1547" i="2"/>
  <c r="B1548" i="2"/>
  <c r="A1548" i="2"/>
  <c r="M1548" i="2"/>
  <c r="E1548" i="2"/>
  <c r="I1548" i="2"/>
  <c r="H1548" i="2"/>
  <c r="F1548" i="2"/>
  <c r="G1548" i="2"/>
  <c r="C1549" i="2"/>
  <c r="D1548" i="2" l="1"/>
  <c r="J1548" i="2"/>
  <c r="K1548" i="2" s="1"/>
  <c r="L1548" i="2"/>
  <c r="B1549" i="2"/>
  <c r="A1549" i="2"/>
  <c r="F1549" i="2"/>
  <c r="H1549" i="2"/>
  <c r="E1549" i="2"/>
  <c r="M1549" i="2"/>
  <c r="G1549" i="2"/>
  <c r="I1549" i="2"/>
  <c r="C1550" i="2"/>
  <c r="D1549" i="2" l="1"/>
  <c r="J1549" i="2"/>
  <c r="K1549" i="2" s="1"/>
  <c r="L1549" i="2"/>
  <c r="A1550" i="2"/>
  <c r="B1550" i="2"/>
  <c r="E1550" i="2"/>
  <c r="H1550" i="2"/>
  <c r="M1550" i="2"/>
  <c r="G1550" i="2"/>
  <c r="I1550" i="2"/>
  <c r="F1550" i="2"/>
  <c r="C1551" i="2"/>
  <c r="D1550" i="2" l="1"/>
  <c r="J1550" i="2"/>
  <c r="K1550" i="2" s="1"/>
  <c r="L1550" i="2"/>
  <c r="B1551" i="2"/>
  <c r="A1551" i="2"/>
  <c r="I1551" i="2"/>
  <c r="H1551" i="2"/>
  <c r="G1551" i="2"/>
  <c r="E1551" i="2"/>
  <c r="F1551" i="2"/>
  <c r="M1551" i="2"/>
  <c r="C1552" i="2"/>
  <c r="J1551" i="2" l="1"/>
  <c r="K1551" i="2" s="1"/>
  <c r="D1551" i="2"/>
  <c r="L1551" i="2"/>
  <c r="B1552" i="2"/>
  <c r="A1552" i="2"/>
  <c r="G1552" i="2"/>
  <c r="M1552" i="2"/>
  <c r="E1552" i="2"/>
  <c r="F1552" i="2"/>
  <c r="H1552" i="2"/>
  <c r="I1552" i="2"/>
  <c r="C1553" i="2"/>
  <c r="D1552" i="2" l="1"/>
  <c r="J1552" i="2"/>
  <c r="K1552" i="2" s="1"/>
  <c r="L1552" i="2"/>
  <c r="A1553" i="2"/>
  <c r="B1553" i="2"/>
  <c r="M1553" i="2"/>
  <c r="F1553" i="2"/>
  <c r="G1553" i="2"/>
  <c r="E1553" i="2"/>
  <c r="I1553" i="2"/>
  <c r="H1553" i="2"/>
  <c r="C1554" i="2"/>
  <c r="D1553" i="2" l="1"/>
  <c r="J1553" i="2"/>
  <c r="K1553" i="2" s="1"/>
  <c r="L1553" i="2"/>
  <c r="A1554" i="2"/>
  <c r="B1554" i="2"/>
  <c r="I1554" i="2"/>
  <c r="E1554" i="2"/>
  <c r="M1554" i="2"/>
  <c r="G1554" i="2"/>
  <c r="H1554" i="2"/>
  <c r="F1554" i="2"/>
  <c r="C1555" i="2"/>
  <c r="J1554" i="2" l="1"/>
  <c r="K1554" i="2" s="1"/>
  <c r="D1554" i="2"/>
  <c r="L1554" i="2"/>
  <c r="A1555" i="2"/>
  <c r="B1555" i="2"/>
  <c r="M1555" i="2"/>
  <c r="F1555" i="2"/>
  <c r="E1555" i="2"/>
  <c r="H1555" i="2"/>
  <c r="I1555" i="2"/>
  <c r="G1555" i="2"/>
  <c r="C1556" i="2"/>
  <c r="J1555" i="2" l="1"/>
  <c r="K1555" i="2" s="1"/>
  <c r="D1555" i="2"/>
  <c r="L1555" i="2"/>
  <c r="B1556" i="2"/>
  <c r="A1556" i="2"/>
  <c r="M1556" i="2"/>
  <c r="E1556" i="2"/>
  <c r="H1556" i="2"/>
  <c r="I1556" i="2"/>
  <c r="G1556" i="2"/>
  <c r="F1556" i="2"/>
  <c r="C1557" i="2"/>
  <c r="J1556" i="2" l="1"/>
  <c r="K1556" i="2" s="1"/>
  <c r="D1556" i="2"/>
  <c r="L1556" i="2"/>
  <c r="B1557" i="2"/>
  <c r="A1557" i="2"/>
  <c r="I1557" i="2"/>
  <c r="M1557" i="2"/>
  <c r="G1557" i="2"/>
  <c r="H1557" i="2"/>
  <c r="F1557" i="2"/>
  <c r="E1557" i="2"/>
  <c r="C1558" i="2"/>
  <c r="J1557" i="2" l="1"/>
  <c r="K1557" i="2" s="1"/>
  <c r="D1557" i="2"/>
  <c r="L1557" i="2"/>
  <c r="A1558" i="2"/>
  <c r="B1558" i="2"/>
  <c r="F1558" i="2"/>
  <c r="H1558" i="2"/>
  <c r="E1558" i="2"/>
  <c r="I1558" i="2"/>
  <c r="G1558" i="2"/>
  <c r="M1558" i="2"/>
  <c r="C1559" i="2"/>
  <c r="J1558" i="2" l="1"/>
  <c r="K1558" i="2" s="1"/>
  <c r="D1558" i="2"/>
  <c r="L1558" i="2"/>
  <c r="B1559" i="2"/>
  <c r="A1559" i="2"/>
  <c r="F1559" i="2"/>
  <c r="H1559" i="2"/>
  <c r="E1559" i="2"/>
  <c r="G1559" i="2"/>
  <c r="I1559" i="2"/>
  <c r="M1559" i="2"/>
  <c r="C1560" i="2"/>
  <c r="J1559" i="2" l="1"/>
  <c r="K1559" i="2" s="1"/>
  <c r="D1559" i="2"/>
  <c r="L1559" i="2"/>
  <c r="B1560" i="2"/>
  <c r="A1560" i="2"/>
  <c r="H1560" i="2"/>
  <c r="G1560" i="2"/>
  <c r="E1560" i="2"/>
  <c r="M1560" i="2"/>
  <c r="I1560" i="2"/>
  <c r="F1560" i="2"/>
  <c r="C1561" i="2"/>
  <c r="J1560" i="2" l="1"/>
  <c r="K1560" i="2" s="1"/>
  <c r="D1560" i="2"/>
  <c r="L1560" i="2"/>
  <c r="B1561" i="2"/>
  <c r="A1561" i="2"/>
  <c r="G1561" i="2"/>
  <c r="H1561" i="2"/>
  <c r="F1561" i="2"/>
  <c r="M1561" i="2"/>
  <c r="E1561" i="2"/>
  <c r="I1561" i="2"/>
  <c r="C1562" i="2"/>
  <c r="D1561" i="2" l="1"/>
  <c r="J1561" i="2"/>
  <c r="K1561" i="2" s="1"/>
  <c r="L1561" i="2"/>
  <c r="A1562" i="2"/>
  <c r="B1562" i="2"/>
  <c r="H1562" i="2"/>
  <c r="F1562" i="2"/>
  <c r="E1562" i="2"/>
  <c r="I1562" i="2"/>
  <c r="M1562" i="2"/>
  <c r="G1562" i="2"/>
  <c r="C1563" i="2"/>
  <c r="J1562" i="2" l="1"/>
  <c r="K1562" i="2" s="1"/>
  <c r="D1562" i="2"/>
  <c r="L1562" i="2"/>
  <c r="A1563" i="2"/>
  <c r="B1563" i="2"/>
  <c r="E1563" i="2"/>
  <c r="I1563" i="2"/>
  <c r="G1563" i="2"/>
  <c r="F1563" i="2"/>
  <c r="H1563" i="2"/>
  <c r="M1563" i="2"/>
  <c r="C1564" i="2"/>
  <c r="J1563" i="2" l="1"/>
  <c r="K1563" i="2" s="1"/>
  <c r="D1563" i="2"/>
  <c r="L1563" i="2"/>
  <c r="B1564" i="2"/>
  <c r="A1564" i="2"/>
  <c r="H1564" i="2"/>
  <c r="F1564" i="2"/>
  <c r="M1564" i="2"/>
  <c r="E1564" i="2"/>
  <c r="G1564" i="2"/>
  <c r="I1564" i="2"/>
  <c r="C1565" i="2"/>
  <c r="J1564" i="2" l="1"/>
  <c r="K1564" i="2" s="1"/>
  <c r="D1564" i="2"/>
  <c r="L1564" i="2"/>
  <c r="B1565" i="2"/>
  <c r="A1565" i="2"/>
  <c r="G1565" i="2"/>
  <c r="E1565" i="2"/>
  <c r="I1565" i="2"/>
  <c r="H1565" i="2"/>
  <c r="F1565" i="2"/>
  <c r="M1565" i="2"/>
  <c r="C1566" i="2"/>
  <c r="D1565" i="2" l="1"/>
  <c r="J1565" i="2"/>
  <c r="K1565" i="2" s="1"/>
  <c r="L1565" i="2"/>
  <c r="A1566" i="2"/>
  <c r="B1566" i="2"/>
  <c r="I1566" i="2"/>
  <c r="G1566" i="2"/>
  <c r="H1566" i="2"/>
  <c r="M1566" i="2"/>
  <c r="E1566" i="2"/>
  <c r="F1566" i="2"/>
  <c r="C1567" i="2"/>
  <c r="J1566" i="2" l="1"/>
  <c r="K1566" i="2" s="1"/>
  <c r="D1566" i="2"/>
  <c r="L1566" i="2"/>
  <c r="B1567" i="2"/>
  <c r="A1567" i="2"/>
  <c r="G1567" i="2"/>
  <c r="H1567" i="2"/>
  <c r="I1567" i="2"/>
  <c r="E1567" i="2"/>
  <c r="M1567" i="2"/>
  <c r="F1567" i="2"/>
  <c r="C1568" i="2"/>
  <c r="D1567" i="2" l="1"/>
  <c r="J1567" i="2"/>
  <c r="K1567" i="2" s="1"/>
  <c r="L1567" i="2"/>
  <c r="B1568" i="2"/>
  <c r="A1568" i="2"/>
  <c r="E1568" i="2"/>
  <c r="G1568" i="2"/>
  <c r="I1568" i="2"/>
  <c r="F1568" i="2"/>
  <c r="H1568" i="2"/>
  <c r="M1568" i="2"/>
  <c r="C1569" i="2"/>
  <c r="J1568" i="2" l="1"/>
  <c r="K1568" i="2" s="1"/>
  <c r="D1568" i="2"/>
  <c r="L1568" i="2"/>
  <c r="B1569" i="2"/>
  <c r="A1569" i="2"/>
  <c r="I1569" i="2"/>
  <c r="H1569" i="2"/>
  <c r="E1569" i="2"/>
  <c r="F1569" i="2"/>
  <c r="G1569" i="2"/>
  <c r="M1569" i="2"/>
  <c r="C1570" i="2"/>
  <c r="D1569" i="2" l="1"/>
  <c r="J1569" i="2"/>
  <c r="K1569" i="2" s="1"/>
  <c r="L1569" i="2"/>
  <c r="A1570" i="2"/>
  <c r="B1570" i="2"/>
  <c r="E1570" i="2"/>
  <c r="I1570" i="2"/>
  <c r="G1570" i="2"/>
  <c r="H1570" i="2"/>
  <c r="F1570" i="2"/>
  <c r="M1570" i="2"/>
  <c r="C1571" i="2"/>
  <c r="J1570" i="2" l="1"/>
  <c r="K1570" i="2" s="1"/>
  <c r="D1570" i="2"/>
  <c r="L1570" i="2"/>
  <c r="A1571" i="2"/>
  <c r="B1571" i="2"/>
  <c r="H1571" i="2"/>
  <c r="I1571" i="2"/>
  <c r="E1571" i="2"/>
  <c r="F1571" i="2"/>
  <c r="M1571" i="2"/>
  <c r="G1571" i="2"/>
  <c r="C1572" i="2"/>
  <c r="D1571" i="2" l="1"/>
  <c r="J1571" i="2"/>
  <c r="K1571" i="2" s="1"/>
  <c r="L1571" i="2"/>
  <c r="B1572" i="2"/>
  <c r="A1572" i="2"/>
  <c r="E1572" i="2"/>
  <c r="H1572" i="2"/>
  <c r="M1572" i="2"/>
  <c r="I1572" i="2"/>
  <c r="F1572" i="2"/>
  <c r="G1572" i="2"/>
  <c r="C1573" i="2"/>
  <c r="J1572" i="2" l="1"/>
  <c r="K1572" i="2" s="1"/>
  <c r="D1572" i="2"/>
  <c r="L1572" i="2"/>
  <c r="B1573" i="2"/>
  <c r="A1573" i="2"/>
  <c r="E1573" i="2"/>
  <c r="M1573" i="2"/>
  <c r="I1573" i="2"/>
  <c r="F1573" i="2"/>
  <c r="G1573" i="2"/>
  <c r="H1573" i="2"/>
  <c r="C1574" i="2"/>
  <c r="J1573" i="2" l="1"/>
  <c r="K1573" i="2" s="1"/>
  <c r="D1573" i="2"/>
  <c r="L1573" i="2"/>
  <c r="A1574" i="2"/>
  <c r="B1574" i="2"/>
  <c r="H1574" i="2"/>
  <c r="F1574" i="2"/>
  <c r="I1574" i="2"/>
  <c r="E1574" i="2"/>
  <c r="G1574" i="2"/>
  <c r="M1574" i="2"/>
  <c r="C1575" i="2"/>
  <c r="J1574" i="2" l="1"/>
  <c r="K1574" i="2" s="1"/>
  <c r="D1574" i="2"/>
  <c r="L1574" i="2"/>
  <c r="B1575" i="2"/>
  <c r="A1575" i="2"/>
  <c r="H1575" i="2"/>
  <c r="G1575" i="2"/>
  <c r="F1575" i="2"/>
  <c r="M1575" i="2"/>
  <c r="E1575" i="2"/>
  <c r="I1575" i="2"/>
  <c r="C1576" i="2"/>
  <c r="D1575" i="2" l="1"/>
  <c r="J1575" i="2"/>
  <c r="K1575" i="2" s="1"/>
  <c r="L1575" i="2"/>
  <c r="B1576" i="2"/>
  <c r="A1576" i="2"/>
  <c r="I1576" i="2"/>
  <c r="E1576" i="2"/>
  <c r="M1576" i="2"/>
  <c r="F1576" i="2"/>
  <c r="H1576" i="2"/>
  <c r="G1576" i="2"/>
  <c r="C1577" i="2"/>
  <c r="D1576" i="2" l="1"/>
  <c r="J1576" i="2"/>
  <c r="K1576" i="2" s="1"/>
  <c r="L1576" i="2"/>
  <c r="A1577" i="2"/>
  <c r="B1577" i="2"/>
  <c r="F1577" i="2"/>
  <c r="E1577" i="2"/>
  <c r="M1577" i="2"/>
  <c r="I1577" i="2"/>
  <c r="H1577" i="2"/>
  <c r="G1577" i="2"/>
  <c r="C1578" i="2"/>
  <c r="J1577" i="2" l="1"/>
  <c r="K1577" i="2" s="1"/>
  <c r="D1577" i="2"/>
  <c r="L1577" i="2"/>
  <c r="A1578" i="2"/>
  <c r="B1578" i="2"/>
  <c r="I1578" i="2"/>
  <c r="G1578" i="2"/>
  <c r="H1578" i="2"/>
  <c r="E1578" i="2"/>
  <c r="F1578" i="2"/>
  <c r="M1578" i="2"/>
  <c r="C1579" i="2"/>
  <c r="D1578" i="2" l="1"/>
  <c r="J1578" i="2"/>
  <c r="K1578" i="2" s="1"/>
  <c r="L1578" i="2"/>
  <c r="A1579" i="2"/>
  <c r="B1579" i="2"/>
  <c r="I1579" i="2"/>
  <c r="G1579" i="2"/>
  <c r="E1579" i="2"/>
  <c r="F1579" i="2"/>
  <c r="H1579" i="2"/>
  <c r="M1579" i="2"/>
  <c r="C1580" i="2"/>
  <c r="J1579" i="2" l="1"/>
  <c r="K1579" i="2" s="1"/>
  <c r="D1579" i="2"/>
  <c r="L1579" i="2"/>
  <c r="B1580" i="2"/>
  <c r="A1580" i="2"/>
  <c r="I1580" i="2"/>
  <c r="G1580" i="2"/>
  <c r="H1580" i="2"/>
  <c r="F1580" i="2"/>
  <c r="M1580" i="2"/>
  <c r="E1580" i="2"/>
  <c r="C1581" i="2"/>
  <c r="D1580" i="2" l="1"/>
  <c r="J1580" i="2"/>
  <c r="K1580" i="2" s="1"/>
  <c r="L1580" i="2"/>
  <c r="B1581" i="2"/>
  <c r="A1581" i="2"/>
  <c r="M1581" i="2"/>
  <c r="G1581" i="2"/>
  <c r="E1581" i="2"/>
  <c r="I1581" i="2"/>
  <c r="F1581" i="2"/>
  <c r="H1581" i="2"/>
  <c r="C1582" i="2"/>
  <c r="D1581" i="2" l="1"/>
  <c r="J1581" i="2"/>
  <c r="K1581" i="2" s="1"/>
  <c r="L1581" i="2"/>
  <c r="B1582" i="2"/>
  <c r="A1582" i="2"/>
  <c r="M1582" i="2"/>
  <c r="F1582" i="2"/>
  <c r="H1582" i="2"/>
  <c r="G1582" i="2"/>
  <c r="E1582" i="2"/>
  <c r="I1582" i="2"/>
  <c r="C1583" i="2"/>
  <c r="D1582" i="2" l="1"/>
  <c r="J1582" i="2"/>
  <c r="K1582" i="2" s="1"/>
  <c r="L1582" i="2"/>
  <c r="B1583" i="2"/>
  <c r="A1583" i="2"/>
  <c r="E1583" i="2"/>
  <c r="F1583" i="2"/>
  <c r="H1583" i="2"/>
  <c r="M1583" i="2"/>
  <c r="I1583" i="2"/>
  <c r="G1583" i="2"/>
  <c r="C1584" i="2"/>
  <c r="J1583" i="2" l="1"/>
  <c r="K1583" i="2" s="1"/>
  <c r="D1583" i="2"/>
  <c r="L1583" i="2"/>
  <c r="B1584" i="2"/>
  <c r="A1584" i="2"/>
  <c r="I1584" i="2"/>
  <c r="F1584" i="2"/>
  <c r="H1584" i="2"/>
  <c r="M1584" i="2"/>
  <c r="E1584" i="2"/>
  <c r="G1584" i="2"/>
  <c r="C1585" i="2"/>
  <c r="D1584" i="2" l="1"/>
  <c r="J1584" i="2"/>
  <c r="K1584" i="2" s="1"/>
  <c r="L1584" i="2"/>
  <c r="A1585" i="2"/>
  <c r="B1585" i="2"/>
  <c r="I1585" i="2"/>
  <c r="G1585" i="2"/>
  <c r="F1585" i="2"/>
  <c r="M1585" i="2"/>
  <c r="E1585" i="2"/>
  <c r="H1585" i="2"/>
  <c r="C1586" i="2"/>
  <c r="D1585" i="2" l="1"/>
  <c r="J1585" i="2"/>
  <c r="K1585" i="2" s="1"/>
  <c r="L1585" i="2"/>
  <c r="B1586" i="2"/>
  <c r="A1586" i="2"/>
  <c r="E1586" i="2"/>
  <c r="G1586" i="2"/>
  <c r="F1586" i="2"/>
  <c r="M1586" i="2"/>
  <c r="H1586" i="2"/>
  <c r="I1586" i="2"/>
  <c r="C1587" i="2"/>
  <c r="J1586" i="2" l="1"/>
  <c r="K1586" i="2" s="1"/>
  <c r="D1586" i="2"/>
  <c r="L1586" i="2"/>
  <c r="B1587" i="2"/>
  <c r="A1587" i="2"/>
  <c r="F1587" i="2"/>
  <c r="M1587" i="2"/>
  <c r="E1587" i="2"/>
  <c r="H1587" i="2"/>
  <c r="G1587" i="2"/>
  <c r="I1587" i="2"/>
  <c r="C1588" i="2"/>
  <c r="D1587" i="2" l="1"/>
  <c r="J1587" i="2"/>
  <c r="K1587" i="2" s="1"/>
  <c r="L1587" i="2"/>
  <c r="B1588" i="2"/>
  <c r="A1588" i="2"/>
  <c r="M1588" i="2"/>
  <c r="F1588" i="2"/>
  <c r="E1588" i="2"/>
  <c r="I1588" i="2"/>
  <c r="G1588" i="2"/>
  <c r="H1588" i="2"/>
  <c r="C1589" i="2"/>
  <c r="D1588" i="2" l="1"/>
  <c r="J1588" i="2"/>
  <c r="K1588" i="2" s="1"/>
  <c r="L1588" i="2"/>
  <c r="A1589" i="2"/>
  <c r="B1589" i="2"/>
  <c r="H1589" i="2"/>
  <c r="F1589" i="2"/>
  <c r="G1589" i="2"/>
  <c r="M1589" i="2"/>
  <c r="I1589" i="2"/>
  <c r="E1589" i="2"/>
  <c r="C1590" i="2"/>
  <c r="J1589" i="2" l="1"/>
  <c r="K1589" i="2" s="1"/>
  <c r="D1589" i="2"/>
  <c r="L1589" i="2"/>
  <c r="B1590" i="2"/>
  <c r="A1590" i="2"/>
  <c r="H1590" i="2"/>
  <c r="I1590" i="2"/>
  <c r="G1590" i="2"/>
  <c r="M1590" i="2"/>
  <c r="E1590" i="2"/>
  <c r="F1590" i="2"/>
  <c r="C1591" i="2"/>
  <c r="D1590" i="2" l="1"/>
  <c r="J1590" i="2"/>
  <c r="K1590" i="2" s="1"/>
  <c r="L1590" i="2"/>
  <c r="B1591" i="2"/>
  <c r="A1591" i="2"/>
  <c r="G1591" i="2"/>
  <c r="F1591" i="2"/>
  <c r="H1591" i="2"/>
  <c r="M1591" i="2"/>
  <c r="I1591" i="2"/>
  <c r="E1591" i="2"/>
  <c r="C1592" i="2"/>
  <c r="D1591" i="2" l="1"/>
  <c r="J1591" i="2"/>
  <c r="K1591" i="2" s="1"/>
  <c r="L1591" i="2"/>
  <c r="B1592" i="2"/>
  <c r="A1592" i="2"/>
  <c r="I1592" i="2"/>
  <c r="E1592" i="2"/>
  <c r="F1592" i="2"/>
  <c r="H1592" i="2"/>
  <c r="M1592" i="2"/>
  <c r="G1592" i="2"/>
  <c r="C1593" i="2"/>
  <c r="D1592" i="2" l="1"/>
  <c r="J1592" i="2"/>
  <c r="K1592" i="2" s="1"/>
  <c r="L1592" i="2"/>
  <c r="B1593" i="2"/>
  <c r="A1593" i="2"/>
  <c r="E1593" i="2"/>
  <c r="I1593" i="2"/>
  <c r="M1593" i="2"/>
  <c r="G1593" i="2"/>
  <c r="F1593" i="2"/>
  <c r="H1593" i="2"/>
  <c r="C1594" i="2"/>
  <c r="J1593" i="2" l="1"/>
  <c r="K1593" i="2" s="1"/>
  <c r="D1593" i="2"/>
  <c r="L1593" i="2"/>
  <c r="B1594" i="2"/>
  <c r="A1594" i="2"/>
  <c r="M1594" i="2"/>
  <c r="E1594" i="2"/>
  <c r="G1594" i="2"/>
  <c r="F1594" i="2"/>
  <c r="H1594" i="2"/>
  <c r="I1594" i="2"/>
  <c r="C1595" i="2"/>
  <c r="D1594" i="2" l="1"/>
  <c r="J1594" i="2"/>
  <c r="K1594" i="2" s="1"/>
  <c r="L1594" i="2"/>
  <c r="A1595" i="2"/>
  <c r="B1595" i="2"/>
  <c r="G1595" i="2"/>
  <c r="E1595" i="2"/>
  <c r="M1595" i="2"/>
  <c r="I1595" i="2"/>
  <c r="H1595" i="2"/>
  <c r="F1595" i="2"/>
  <c r="C1596" i="2"/>
  <c r="J1595" i="2" l="1"/>
  <c r="K1595" i="2" s="1"/>
  <c r="D1595" i="2"/>
  <c r="L1595" i="2"/>
  <c r="B1596" i="2"/>
  <c r="A1596" i="2"/>
  <c r="G1596" i="2"/>
  <c r="M1596" i="2"/>
  <c r="F1596" i="2"/>
  <c r="E1596" i="2"/>
  <c r="H1596" i="2"/>
  <c r="I1596" i="2"/>
  <c r="C1597" i="2"/>
  <c r="D1596" i="2" l="1"/>
  <c r="J1596" i="2"/>
  <c r="K1596" i="2" s="1"/>
  <c r="L1596" i="2"/>
  <c r="B1597" i="2"/>
  <c r="A1597" i="2"/>
  <c r="H1597" i="2"/>
  <c r="F1597" i="2"/>
  <c r="G1597" i="2"/>
  <c r="M1597" i="2"/>
  <c r="I1597" i="2"/>
  <c r="E1597" i="2"/>
  <c r="C1598" i="2"/>
  <c r="D1597" i="2" l="1"/>
  <c r="J1597" i="2"/>
  <c r="K1597" i="2" s="1"/>
  <c r="L1597" i="2"/>
  <c r="B1598" i="2"/>
  <c r="A1598" i="2"/>
  <c r="I1598" i="2"/>
  <c r="H1598" i="2"/>
  <c r="M1598" i="2"/>
  <c r="F1598" i="2"/>
  <c r="E1598" i="2"/>
  <c r="G1598" i="2"/>
  <c r="C1599" i="2"/>
  <c r="J1598" i="2" l="1"/>
  <c r="K1598" i="2" s="1"/>
  <c r="D1598" i="2"/>
  <c r="L1598" i="2"/>
  <c r="A1599" i="2"/>
  <c r="B1599" i="2"/>
  <c r="E1599" i="2"/>
  <c r="M1599" i="2"/>
  <c r="G1599" i="2"/>
  <c r="H1599" i="2"/>
  <c r="I1599" i="2"/>
  <c r="F1599" i="2"/>
  <c r="C1600" i="2"/>
  <c r="J1599" i="2" l="1"/>
  <c r="K1599" i="2" s="1"/>
  <c r="D1599" i="2"/>
  <c r="L1599" i="2"/>
  <c r="B1600" i="2"/>
  <c r="A1600" i="2"/>
  <c r="I1600" i="2"/>
  <c r="E1600" i="2"/>
  <c r="F1600" i="2"/>
  <c r="M1600" i="2"/>
  <c r="G1600" i="2"/>
  <c r="H1600" i="2"/>
  <c r="C1601" i="2"/>
  <c r="D1600" i="2" l="1"/>
  <c r="J1600" i="2"/>
  <c r="K1600" i="2" s="1"/>
  <c r="L1600" i="2"/>
  <c r="A1601" i="2"/>
  <c r="B1601" i="2"/>
  <c r="I1601" i="2"/>
  <c r="F1601" i="2"/>
  <c r="M1601" i="2"/>
  <c r="G1601" i="2"/>
  <c r="E1601" i="2"/>
  <c r="H1601" i="2"/>
  <c r="C1602" i="2"/>
  <c r="D1601" i="2" l="1"/>
  <c r="J1601" i="2"/>
  <c r="K1601" i="2" s="1"/>
  <c r="L1601" i="2"/>
  <c r="B1602" i="2"/>
  <c r="A1602" i="2"/>
  <c r="G1602" i="2"/>
  <c r="F1602" i="2"/>
  <c r="M1602" i="2"/>
  <c r="H1602" i="2"/>
  <c r="E1602" i="2"/>
  <c r="I1602" i="2"/>
  <c r="C1603" i="2"/>
  <c r="J1602" i="2" l="1"/>
  <c r="K1602" i="2" s="1"/>
  <c r="D1602" i="2"/>
  <c r="L1602" i="2"/>
  <c r="B1603" i="2"/>
  <c r="A1603" i="2"/>
  <c r="M1603" i="2"/>
  <c r="G1603" i="2"/>
  <c r="H1603" i="2"/>
  <c r="F1603" i="2"/>
  <c r="I1603" i="2"/>
  <c r="E1603" i="2"/>
  <c r="C1604" i="2"/>
  <c r="D1603" i="2" l="1"/>
  <c r="J1603" i="2"/>
  <c r="K1603" i="2" s="1"/>
  <c r="L1603" i="2"/>
  <c r="B1604" i="2"/>
  <c r="A1604" i="2"/>
  <c r="I1604" i="2"/>
  <c r="H1604" i="2"/>
  <c r="F1604" i="2"/>
  <c r="E1604" i="2"/>
  <c r="G1604" i="2"/>
  <c r="M1604" i="2"/>
  <c r="C1605" i="2"/>
  <c r="J1604" i="2" l="1"/>
  <c r="K1604" i="2" s="1"/>
  <c r="D1604" i="2"/>
  <c r="L1604" i="2"/>
  <c r="B1605" i="2"/>
  <c r="A1605" i="2"/>
  <c r="F1605" i="2"/>
  <c r="M1605" i="2"/>
  <c r="G1605" i="2"/>
  <c r="E1605" i="2"/>
  <c r="I1605" i="2"/>
  <c r="H1605" i="2"/>
  <c r="C1606" i="2"/>
  <c r="D1605" i="2" l="1"/>
  <c r="J1605" i="2"/>
  <c r="K1605" i="2" s="1"/>
  <c r="L1605" i="2"/>
  <c r="B1606" i="2"/>
  <c r="A1606" i="2"/>
  <c r="I1606" i="2"/>
  <c r="E1606" i="2"/>
  <c r="G1606" i="2"/>
  <c r="M1606" i="2"/>
  <c r="F1606" i="2"/>
  <c r="H1606" i="2"/>
  <c r="C1607" i="2"/>
  <c r="D1606" i="2" l="1"/>
  <c r="J1606" i="2"/>
  <c r="K1606" i="2" s="1"/>
  <c r="L1606" i="2"/>
  <c r="B1607" i="2"/>
  <c r="A1607" i="2"/>
  <c r="I1607" i="2"/>
  <c r="F1607" i="2"/>
  <c r="M1607" i="2"/>
  <c r="E1607" i="2"/>
  <c r="H1607" i="2"/>
  <c r="G1607" i="2"/>
  <c r="C1608" i="2"/>
  <c r="D1607" i="2" l="1"/>
  <c r="J1607" i="2"/>
  <c r="K1607" i="2" s="1"/>
  <c r="L1607" i="2"/>
  <c r="B1608" i="2"/>
  <c r="A1608" i="2"/>
  <c r="M1608" i="2"/>
  <c r="I1608" i="2"/>
  <c r="F1608" i="2"/>
  <c r="G1608" i="2"/>
  <c r="H1608" i="2"/>
  <c r="E1608" i="2"/>
  <c r="C1609" i="2"/>
  <c r="D1608" i="2" l="1"/>
  <c r="J1608" i="2"/>
  <c r="K1608" i="2" s="1"/>
  <c r="L1608" i="2"/>
  <c r="A1609" i="2"/>
  <c r="B1609" i="2"/>
  <c r="G1609" i="2"/>
  <c r="I1609" i="2"/>
  <c r="H1609" i="2"/>
  <c r="F1609" i="2"/>
  <c r="M1609" i="2"/>
  <c r="E1609" i="2"/>
  <c r="C1610" i="2"/>
  <c r="D1609" i="2" l="1"/>
  <c r="J1609" i="2"/>
  <c r="K1609" i="2" s="1"/>
  <c r="L1609" i="2"/>
  <c r="B1610" i="2"/>
  <c r="A1610" i="2"/>
  <c r="I1610" i="2"/>
  <c r="E1610" i="2"/>
  <c r="M1610" i="2"/>
  <c r="H1610" i="2"/>
  <c r="G1610" i="2"/>
  <c r="F1610" i="2"/>
  <c r="C1611" i="2"/>
  <c r="D1610" i="2" l="1"/>
  <c r="J1610" i="2"/>
  <c r="K1610" i="2" s="1"/>
  <c r="L1610" i="2"/>
  <c r="A1611" i="2"/>
  <c r="B1611" i="2"/>
  <c r="H1611" i="2"/>
  <c r="F1611" i="2"/>
  <c r="E1611" i="2"/>
  <c r="M1611" i="2"/>
  <c r="G1611" i="2"/>
  <c r="I1611" i="2"/>
  <c r="C1612" i="2"/>
  <c r="D1611" i="2" l="1"/>
  <c r="J1611" i="2"/>
  <c r="K1611" i="2" s="1"/>
  <c r="L1611" i="2"/>
  <c r="B1612" i="2"/>
  <c r="A1612" i="2"/>
  <c r="M1612" i="2"/>
  <c r="G1612" i="2"/>
  <c r="E1612" i="2"/>
  <c r="I1612" i="2"/>
  <c r="H1612" i="2"/>
  <c r="F1612" i="2"/>
  <c r="C1613" i="2"/>
  <c r="D1612" i="2" l="1"/>
  <c r="J1612" i="2"/>
  <c r="K1612" i="2" s="1"/>
  <c r="L1612" i="2"/>
  <c r="B1613" i="2"/>
  <c r="A1613" i="2"/>
  <c r="G1613" i="2"/>
  <c r="E1613" i="2"/>
  <c r="H1613" i="2"/>
  <c r="I1613" i="2"/>
  <c r="M1613" i="2"/>
  <c r="F1613" i="2"/>
  <c r="C1614" i="2"/>
  <c r="D1613" i="2" l="1"/>
  <c r="J1613" i="2"/>
  <c r="K1613" i="2" s="1"/>
  <c r="L1613" i="2"/>
  <c r="B1614" i="2"/>
  <c r="A1614" i="2"/>
  <c r="M1614" i="2"/>
  <c r="F1614" i="2"/>
  <c r="E1614" i="2"/>
  <c r="G1614" i="2"/>
  <c r="I1614" i="2"/>
  <c r="H1614" i="2"/>
  <c r="C1615" i="2"/>
  <c r="D1614" i="2" l="1"/>
  <c r="J1614" i="2"/>
  <c r="K1614" i="2" s="1"/>
  <c r="L1614" i="2"/>
  <c r="A1615" i="2"/>
  <c r="B1615" i="2"/>
  <c r="E1615" i="2"/>
  <c r="M1615" i="2"/>
  <c r="H1615" i="2"/>
  <c r="I1615" i="2"/>
  <c r="G1615" i="2"/>
  <c r="F1615" i="2"/>
  <c r="C1616" i="2"/>
  <c r="D1615" i="2" l="1"/>
  <c r="J1615" i="2"/>
  <c r="K1615" i="2" s="1"/>
  <c r="L1615" i="2"/>
  <c r="B1616" i="2"/>
  <c r="A1616" i="2"/>
  <c r="G1616" i="2"/>
  <c r="E1616" i="2"/>
  <c r="I1616" i="2"/>
  <c r="H1616" i="2"/>
  <c r="F1616" i="2"/>
  <c r="M1616" i="2"/>
  <c r="C1617" i="2"/>
  <c r="J1616" i="2" l="1"/>
  <c r="K1616" i="2" s="1"/>
  <c r="D1616" i="2"/>
  <c r="L1616" i="2"/>
  <c r="A1617" i="2"/>
  <c r="B1617" i="2"/>
  <c r="F1617" i="2"/>
  <c r="H1617" i="2"/>
  <c r="G1617" i="2"/>
  <c r="I1617" i="2"/>
  <c r="M1617" i="2"/>
  <c r="E1617" i="2"/>
  <c r="C1618" i="2"/>
  <c r="D1617" i="2" l="1"/>
  <c r="J1617" i="2"/>
  <c r="K1617" i="2" s="1"/>
  <c r="L1617" i="2"/>
  <c r="B1618" i="2"/>
  <c r="A1618" i="2"/>
  <c r="G1618" i="2"/>
  <c r="M1618" i="2"/>
  <c r="F1618" i="2"/>
  <c r="E1618" i="2"/>
  <c r="I1618" i="2"/>
  <c r="H1618" i="2"/>
  <c r="C1619" i="2"/>
  <c r="J1618" i="2" l="1"/>
  <c r="K1618" i="2" s="1"/>
  <c r="D1618" i="2"/>
  <c r="L1618" i="2"/>
  <c r="B1619" i="2"/>
  <c r="A1619" i="2"/>
  <c r="I1619" i="2"/>
  <c r="F1619" i="2"/>
  <c r="M1619" i="2"/>
  <c r="E1619" i="2"/>
  <c r="H1619" i="2"/>
  <c r="G1619" i="2"/>
  <c r="C1620" i="2"/>
  <c r="D1619" i="2" l="1"/>
  <c r="J1619" i="2"/>
  <c r="K1619" i="2" s="1"/>
  <c r="L1619" i="2"/>
  <c r="B1620" i="2"/>
  <c r="A1620" i="2"/>
  <c r="G1620" i="2"/>
  <c r="F1620" i="2"/>
  <c r="H1620" i="2"/>
  <c r="M1620" i="2"/>
  <c r="E1620" i="2"/>
  <c r="I1620" i="2"/>
  <c r="C1621" i="2"/>
  <c r="D1620" i="2" l="1"/>
  <c r="J1620" i="2"/>
  <c r="K1620" i="2" s="1"/>
  <c r="L1620" i="2"/>
  <c r="B1621" i="2"/>
  <c r="A1621" i="2"/>
  <c r="I1621" i="2"/>
  <c r="E1621" i="2"/>
  <c r="H1621" i="2"/>
  <c r="M1621" i="2"/>
  <c r="F1621" i="2"/>
  <c r="G1621" i="2"/>
  <c r="C1622" i="2"/>
  <c r="D1621" i="2" l="1"/>
  <c r="J1621" i="2"/>
  <c r="K1621" i="2" s="1"/>
  <c r="L1621" i="2"/>
  <c r="B1622" i="2"/>
  <c r="A1622" i="2"/>
  <c r="M1622" i="2"/>
  <c r="F1622" i="2"/>
  <c r="E1622" i="2"/>
  <c r="H1622" i="2"/>
  <c r="G1622" i="2"/>
  <c r="I1622" i="2"/>
  <c r="C1623" i="2"/>
  <c r="D1622" i="2" l="1"/>
  <c r="J1622" i="2"/>
  <c r="K1622" i="2" s="1"/>
  <c r="L1622" i="2"/>
  <c r="B1623" i="2"/>
  <c r="A1623" i="2"/>
  <c r="H1623" i="2"/>
  <c r="G1623" i="2"/>
  <c r="I1623" i="2"/>
  <c r="E1623" i="2"/>
  <c r="M1623" i="2"/>
  <c r="F1623" i="2"/>
  <c r="C1624" i="2"/>
  <c r="D1623" i="2" l="1"/>
  <c r="J1623" i="2"/>
  <c r="K1623" i="2" s="1"/>
  <c r="L1623" i="2"/>
  <c r="B1624" i="2"/>
  <c r="A1624" i="2"/>
  <c r="F1624" i="2"/>
  <c r="E1624" i="2"/>
  <c r="I1624" i="2"/>
  <c r="G1624" i="2"/>
  <c r="H1624" i="2"/>
  <c r="M1624" i="2"/>
  <c r="C1625" i="2"/>
  <c r="J1624" i="2" l="1"/>
  <c r="K1624" i="2" s="1"/>
  <c r="D1624" i="2"/>
  <c r="L1624" i="2"/>
  <c r="B1625" i="2"/>
  <c r="A1625" i="2"/>
  <c r="I1625" i="2"/>
  <c r="F1625" i="2"/>
  <c r="G1625" i="2"/>
  <c r="E1625" i="2"/>
  <c r="M1625" i="2"/>
  <c r="H1625" i="2"/>
  <c r="C1626" i="2"/>
  <c r="D1625" i="2" l="1"/>
  <c r="J1625" i="2"/>
  <c r="K1625" i="2" s="1"/>
  <c r="L1625" i="2"/>
  <c r="B1626" i="2"/>
  <c r="A1626" i="2"/>
  <c r="G1626" i="2"/>
  <c r="E1626" i="2"/>
  <c r="F1626" i="2"/>
  <c r="H1626" i="2"/>
  <c r="M1626" i="2"/>
  <c r="I1626" i="2"/>
  <c r="C1627" i="2"/>
  <c r="J1626" i="2" l="1"/>
  <c r="K1626" i="2" s="1"/>
  <c r="D1626" i="2"/>
  <c r="L1626" i="2"/>
  <c r="A1627" i="2"/>
  <c r="B1627" i="2"/>
  <c r="E1627" i="2"/>
  <c r="I1627" i="2"/>
  <c r="F1627" i="2"/>
  <c r="M1627" i="2"/>
  <c r="H1627" i="2"/>
  <c r="G1627" i="2"/>
  <c r="C1628" i="2"/>
  <c r="D1627" i="2" l="1"/>
  <c r="J1627" i="2"/>
  <c r="K1627" i="2" s="1"/>
  <c r="L1627" i="2"/>
  <c r="B1628" i="2"/>
  <c r="A1628" i="2"/>
  <c r="M1628" i="2"/>
  <c r="G1628" i="2"/>
  <c r="F1628" i="2"/>
  <c r="H1628" i="2"/>
  <c r="I1628" i="2"/>
  <c r="E1628" i="2"/>
  <c r="C1629" i="2"/>
  <c r="D1628" i="2" l="1"/>
  <c r="J1628" i="2"/>
  <c r="K1628" i="2" s="1"/>
  <c r="L1628" i="2"/>
  <c r="B1629" i="2"/>
  <c r="A1629" i="2"/>
  <c r="I1629" i="2"/>
  <c r="M1629" i="2"/>
  <c r="H1629" i="2"/>
  <c r="E1629" i="2"/>
  <c r="F1629" i="2"/>
  <c r="G1629" i="2"/>
  <c r="C1630" i="2"/>
  <c r="D1629" i="2" l="1"/>
  <c r="J1629" i="2"/>
  <c r="K1629" i="2" s="1"/>
  <c r="L1629" i="2"/>
  <c r="B1630" i="2"/>
  <c r="A1630" i="2"/>
  <c r="E1630" i="2"/>
  <c r="I1630" i="2"/>
  <c r="M1630" i="2"/>
  <c r="H1630" i="2"/>
  <c r="G1630" i="2"/>
  <c r="F1630" i="2"/>
  <c r="C1631" i="2"/>
  <c r="J1630" i="2" l="1"/>
  <c r="K1630" i="2" s="1"/>
  <c r="D1630" i="2"/>
  <c r="L1630" i="2"/>
  <c r="A1631" i="2"/>
  <c r="B1631" i="2"/>
  <c r="G1631" i="2"/>
  <c r="I1631" i="2"/>
  <c r="F1631" i="2"/>
  <c r="E1631" i="2"/>
  <c r="M1631" i="2"/>
  <c r="H1631" i="2"/>
  <c r="C1632" i="2"/>
  <c r="D1631" i="2" l="1"/>
  <c r="J1631" i="2"/>
  <c r="K1631" i="2" s="1"/>
  <c r="L1631" i="2"/>
  <c r="B1632" i="2"/>
  <c r="A1632" i="2"/>
  <c r="M1632" i="2"/>
  <c r="G1632" i="2"/>
  <c r="H1632" i="2"/>
  <c r="I1632" i="2"/>
  <c r="F1632" i="2"/>
  <c r="E1632" i="2"/>
  <c r="C1633" i="2"/>
  <c r="J1632" i="2" l="1"/>
  <c r="K1632" i="2" s="1"/>
  <c r="D1632" i="2"/>
  <c r="L1632" i="2"/>
  <c r="A1633" i="2"/>
  <c r="B1633" i="2"/>
  <c r="M1633" i="2"/>
  <c r="E1633" i="2"/>
  <c r="F1633" i="2"/>
  <c r="H1633" i="2"/>
  <c r="G1633" i="2"/>
  <c r="I1633" i="2"/>
  <c r="C1634" i="2"/>
  <c r="J1633" i="2" l="1"/>
  <c r="K1633" i="2" s="1"/>
  <c r="D1633" i="2"/>
  <c r="L1633" i="2"/>
  <c r="B1634" i="2"/>
  <c r="A1634" i="2"/>
  <c r="G1634" i="2"/>
  <c r="F1634" i="2"/>
  <c r="E1634" i="2"/>
  <c r="I1634" i="2"/>
  <c r="H1634" i="2"/>
  <c r="M1634" i="2"/>
  <c r="C1635" i="2"/>
  <c r="D1634" i="2" l="1"/>
  <c r="J1634" i="2"/>
  <c r="K1634" i="2" s="1"/>
  <c r="L1634" i="2"/>
  <c r="A1635" i="2"/>
  <c r="B1635" i="2"/>
  <c r="F1635" i="2"/>
  <c r="I1635" i="2"/>
  <c r="M1635" i="2"/>
  <c r="H1635" i="2"/>
  <c r="G1635" i="2"/>
  <c r="E1635" i="2"/>
  <c r="C1636" i="2"/>
  <c r="J1635" i="2" l="1"/>
  <c r="K1635" i="2" s="1"/>
  <c r="D1635" i="2"/>
  <c r="L1635" i="2"/>
  <c r="B1636" i="2"/>
  <c r="A1636" i="2"/>
  <c r="I1636" i="2"/>
  <c r="E1636" i="2"/>
  <c r="F1636" i="2"/>
  <c r="H1636" i="2"/>
  <c r="G1636" i="2"/>
  <c r="M1636" i="2"/>
  <c r="C1637" i="2"/>
  <c r="D1636" i="2" l="1"/>
  <c r="J1636" i="2"/>
  <c r="K1636" i="2" s="1"/>
  <c r="L1636" i="2"/>
  <c r="B1637" i="2"/>
  <c r="A1637" i="2"/>
  <c r="I1637" i="2"/>
  <c r="M1637" i="2"/>
  <c r="F1637" i="2"/>
  <c r="H1637" i="2"/>
  <c r="G1637" i="2"/>
  <c r="E1637" i="2"/>
  <c r="C1638" i="2"/>
  <c r="J1637" i="2" l="1"/>
  <c r="K1637" i="2" s="1"/>
  <c r="D1637" i="2"/>
  <c r="L1637" i="2"/>
  <c r="B1638" i="2"/>
  <c r="A1638" i="2"/>
  <c r="G1638" i="2"/>
  <c r="M1638" i="2"/>
  <c r="I1638" i="2"/>
  <c r="F1638" i="2"/>
  <c r="H1638" i="2"/>
  <c r="E1638" i="2"/>
  <c r="C1639" i="2"/>
  <c r="D1638" i="2" l="1"/>
  <c r="J1638" i="2"/>
  <c r="K1638" i="2" s="1"/>
  <c r="L1638" i="2"/>
  <c r="B1639" i="2"/>
  <c r="A1639" i="2"/>
  <c r="G1639" i="2"/>
  <c r="M1639" i="2"/>
  <c r="I1639" i="2"/>
  <c r="E1639" i="2"/>
  <c r="H1639" i="2"/>
  <c r="F1639" i="2"/>
  <c r="C1640" i="2"/>
  <c r="D1639" i="2" l="1"/>
  <c r="J1639" i="2"/>
  <c r="K1639" i="2" s="1"/>
  <c r="L1639" i="2"/>
  <c r="B1640" i="2"/>
  <c r="A1640" i="2"/>
  <c r="H1640" i="2"/>
  <c r="I1640" i="2"/>
  <c r="M1640" i="2"/>
  <c r="F1640" i="2"/>
  <c r="E1640" i="2"/>
  <c r="G1640" i="2"/>
  <c r="C1641" i="2"/>
  <c r="D1640" i="2" l="1"/>
  <c r="J1640" i="2"/>
  <c r="K1640" i="2" s="1"/>
  <c r="L1640" i="2"/>
  <c r="A1641" i="2"/>
  <c r="B1641" i="2"/>
  <c r="M1641" i="2"/>
  <c r="G1641" i="2"/>
  <c r="I1641" i="2"/>
  <c r="H1641" i="2"/>
  <c r="F1641" i="2"/>
  <c r="E1641" i="2"/>
  <c r="C1642" i="2"/>
  <c r="D1641" i="2" l="1"/>
  <c r="J1641" i="2"/>
  <c r="K1641" i="2" s="1"/>
  <c r="L1641" i="2"/>
  <c r="B1642" i="2"/>
  <c r="A1642" i="2"/>
  <c r="M1642" i="2"/>
  <c r="I1642" i="2"/>
  <c r="E1642" i="2"/>
  <c r="H1642" i="2"/>
  <c r="F1642" i="2"/>
  <c r="G1642" i="2"/>
  <c r="C1643" i="2"/>
  <c r="J1642" i="2" l="1"/>
  <c r="K1642" i="2" s="1"/>
  <c r="D1642" i="2"/>
  <c r="L1642" i="2"/>
  <c r="A1643" i="2"/>
  <c r="B1643" i="2"/>
  <c r="M1643" i="2"/>
  <c r="H1643" i="2"/>
  <c r="F1643" i="2"/>
  <c r="I1643" i="2"/>
  <c r="G1643" i="2"/>
  <c r="E1643" i="2"/>
  <c r="C1644" i="2"/>
  <c r="J1643" i="2" l="1"/>
  <c r="K1643" i="2" s="1"/>
  <c r="D1643" i="2"/>
  <c r="L1643" i="2"/>
  <c r="B1644" i="2"/>
  <c r="A1644" i="2"/>
  <c r="M1644" i="2"/>
  <c r="F1644" i="2"/>
  <c r="E1644" i="2"/>
  <c r="H1644" i="2"/>
  <c r="G1644" i="2"/>
  <c r="I1644" i="2"/>
  <c r="C1645" i="2"/>
  <c r="D1644" i="2" l="1"/>
  <c r="J1644" i="2"/>
  <c r="K1644" i="2" s="1"/>
  <c r="L1644" i="2"/>
  <c r="B1645" i="2"/>
  <c r="A1645" i="2"/>
  <c r="I1645" i="2"/>
  <c r="H1645" i="2"/>
  <c r="E1645" i="2"/>
  <c r="F1645" i="2"/>
  <c r="M1645" i="2"/>
  <c r="G1645" i="2"/>
  <c r="C1646" i="2"/>
  <c r="J1645" i="2" l="1"/>
  <c r="K1645" i="2" s="1"/>
  <c r="D1645" i="2"/>
  <c r="L1645" i="2"/>
  <c r="B1646" i="2"/>
  <c r="A1646" i="2"/>
  <c r="M1646" i="2"/>
  <c r="E1646" i="2"/>
  <c r="I1646" i="2"/>
  <c r="H1646" i="2"/>
  <c r="F1646" i="2"/>
  <c r="G1646" i="2"/>
  <c r="C1647" i="2"/>
  <c r="D1646" i="2" l="1"/>
  <c r="J1646" i="2"/>
  <c r="K1646" i="2" s="1"/>
  <c r="L1646" i="2"/>
  <c r="B1647" i="2"/>
  <c r="A1647" i="2"/>
  <c r="I1647" i="2"/>
  <c r="M1647" i="2"/>
  <c r="E1647" i="2"/>
  <c r="G1647" i="2"/>
  <c r="F1647" i="2"/>
  <c r="H1647" i="2"/>
  <c r="C1648" i="2"/>
  <c r="J1647" i="2" l="1"/>
  <c r="K1647" i="2" s="1"/>
  <c r="D1647" i="2"/>
  <c r="L1647" i="2"/>
  <c r="B1648" i="2"/>
  <c r="A1648" i="2"/>
  <c r="H1648" i="2"/>
  <c r="E1648" i="2"/>
  <c r="M1648" i="2"/>
  <c r="F1648" i="2"/>
  <c r="G1648" i="2"/>
  <c r="I1648" i="2"/>
  <c r="C1649" i="2"/>
  <c r="D1648" i="2" l="1"/>
  <c r="J1648" i="2"/>
  <c r="K1648" i="2" s="1"/>
  <c r="L1648" i="2"/>
  <c r="A1649" i="2"/>
  <c r="B1649" i="2"/>
  <c r="M1649" i="2"/>
  <c r="I1649" i="2"/>
  <c r="G1649" i="2"/>
  <c r="E1649" i="2"/>
  <c r="H1649" i="2"/>
  <c r="F1649" i="2"/>
  <c r="C1650" i="2"/>
  <c r="D1649" i="2" l="1"/>
  <c r="J1649" i="2"/>
  <c r="K1649" i="2" s="1"/>
  <c r="L1649" i="2"/>
  <c r="B1650" i="2"/>
  <c r="A1650" i="2"/>
  <c r="E1650" i="2"/>
  <c r="I1650" i="2"/>
  <c r="M1650" i="2"/>
  <c r="F1650" i="2"/>
  <c r="G1650" i="2"/>
  <c r="H1650" i="2"/>
  <c r="C1651" i="2"/>
  <c r="J1650" i="2" l="1"/>
  <c r="K1650" i="2" s="1"/>
  <c r="D1650" i="2"/>
  <c r="L1650" i="2"/>
  <c r="B1651" i="2"/>
  <c r="A1651" i="2"/>
  <c r="E1651" i="2"/>
  <c r="I1651" i="2"/>
  <c r="G1651" i="2"/>
  <c r="F1651" i="2"/>
  <c r="M1651" i="2"/>
  <c r="H1651" i="2"/>
  <c r="C1652" i="2"/>
  <c r="D1651" i="2" l="1"/>
  <c r="J1651" i="2"/>
  <c r="K1651" i="2" s="1"/>
  <c r="L1651" i="2"/>
  <c r="B1652" i="2"/>
  <c r="A1652" i="2"/>
  <c r="H1652" i="2"/>
  <c r="G1652" i="2"/>
  <c r="F1652" i="2"/>
  <c r="E1652" i="2"/>
  <c r="I1652" i="2"/>
  <c r="M1652" i="2"/>
  <c r="C1653" i="2"/>
  <c r="D1652" i="2" l="1"/>
  <c r="J1652" i="2"/>
  <c r="K1652" i="2" s="1"/>
  <c r="L1652" i="2"/>
  <c r="B1653" i="2"/>
  <c r="A1653" i="2"/>
  <c r="I1653" i="2"/>
  <c r="M1653" i="2"/>
  <c r="F1653" i="2"/>
  <c r="G1653" i="2"/>
  <c r="H1653" i="2"/>
  <c r="E1653" i="2"/>
  <c r="C1654" i="2"/>
  <c r="D1653" i="2" l="1"/>
  <c r="J1653" i="2"/>
  <c r="K1653" i="2" s="1"/>
  <c r="L1653" i="2"/>
  <c r="B1654" i="2"/>
  <c r="A1654" i="2"/>
  <c r="I1654" i="2"/>
  <c r="G1654" i="2"/>
  <c r="H1654" i="2"/>
  <c r="F1654" i="2"/>
  <c r="M1654" i="2"/>
  <c r="E1654" i="2"/>
  <c r="C1655" i="2"/>
  <c r="D1654" i="2" l="1"/>
  <c r="J1654" i="2"/>
  <c r="K1654" i="2" s="1"/>
  <c r="L1654" i="2"/>
  <c r="B1655" i="2"/>
  <c r="A1655" i="2"/>
  <c r="E1655" i="2"/>
  <c r="G1655" i="2"/>
  <c r="M1655" i="2"/>
  <c r="I1655" i="2"/>
  <c r="F1655" i="2"/>
  <c r="H1655" i="2"/>
  <c r="C1656" i="2"/>
  <c r="J1655" i="2" l="1"/>
  <c r="K1655" i="2" s="1"/>
  <c r="D1655" i="2"/>
  <c r="L1655" i="2"/>
  <c r="B1656" i="2"/>
  <c r="A1656" i="2"/>
  <c r="F1656" i="2"/>
  <c r="E1656" i="2"/>
  <c r="H1656" i="2"/>
  <c r="M1656" i="2"/>
  <c r="I1656" i="2"/>
  <c r="G1656" i="2"/>
  <c r="C1657" i="2"/>
  <c r="J1656" i="2" l="1"/>
  <c r="K1656" i="2" s="1"/>
  <c r="D1656" i="2"/>
  <c r="L1656" i="2"/>
  <c r="B1657" i="2"/>
  <c r="A1657" i="2"/>
  <c r="I1657" i="2"/>
  <c r="F1657" i="2"/>
  <c r="H1657" i="2"/>
  <c r="G1657" i="2"/>
  <c r="E1657" i="2"/>
  <c r="M1657" i="2"/>
  <c r="C1658" i="2"/>
  <c r="J1657" i="2" l="1"/>
  <c r="K1657" i="2" s="1"/>
  <c r="D1657" i="2"/>
  <c r="L1657" i="2"/>
  <c r="B1658" i="2"/>
  <c r="A1658" i="2"/>
  <c r="M1658" i="2"/>
  <c r="F1658" i="2"/>
  <c r="E1658" i="2"/>
  <c r="I1658" i="2"/>
  <c r="H1658" i="2"/>
  <c r="G1658" i="2"/>
  <c r="C1659" i="2"/>
  <c r="D1658" i="2" l="1"/>
  <c r="J1658" i="2"/>
  <c r="K1658" i="2" s="1"/>
  <c r="L1658" i="2"/>
  <c r="A1659" i="2"/>
  <c r="B1659" i="2"/>
  <c r="I1659" i="2"/>
  <c r="G1659" i="2"/>
  <c r="H1659" i="2"/>
  <c r="F1659" i="2"/>
  <c r="M1659" i="2"/>
  <c r="E1659" i="2"/>
  <c r="C1660" i="2"/>
  <c r="D1659" i="2" l="1"/>
  <c r="J1659" i="2"/>
  <c r="K1659" i="2" s="1"/>
  <c r="L1659" i="2"/>
  <c r="B1660" i="2"/>
  <c r="A1660" i="2"/>
  <c r="H1660" i="2"/>
  <c r="G1660" i="2"/>
  <c r="E1660" i="2"/>
  <c r="F1660" i="2"/>
  <c r="I1660" i="2"/>
  <c r="M1660" i="2"/>
  <c r="C1661" i="2"/>
  <c r="D1660" i="2" l="1"/>
  <c r="J1660" i="2"/>
  <c r="K1660" i="2" s="1"/>
  <c r="L1660" i="2"/>
  <c r="B1661" i="2"/>
  <c r="A1661" i="2"/>
  <c r="G1661" i="2"/>
  <c r="I1661" i="2"/>
  <c r="H1661" i="2"/>
  <c r="M1661" i="2"/>
  <c r="E1661" i="2"/>
  <c r="F1661" i="2"/>
  <c r="C1662" i="2"/>
  <c r="D1661" i="2" l="1"/>
  <c r="J1661" i="2"/>
  <c r="K1661" i="2" s="1"/>
  <c r="L1661" i="2"/>
  <c r="B1662" i="2"/>
  <c r="A1662" i="2"/>
  <c r="M1662" i="2"/>
  <c r="G1662" i="2"/>
  <c r="H1662" i="2"/>
  <c r="F1662" i="2"/>
  <c r="E1662" i="2"/>
  <c r="I1662" i="2"/>
  <c r="C1663" i="2"/>
  <c r="D1662" i="2" l="1"/>
  <c r="J1662" i="2"/>
  <c r="K1662" i="2" s="1"/>
  <c r="L1662" i="2"/>
  <c r="B1663" i="2"/>
  <c r="A1663" i="2"/>
  <c r="G1663" i="2"/>
  <c r="F1663" i="2"/>
  <c r="I1663" i="2"/>
  <c r="E1663" i="2"/>
  <c r="H1663" i="2"/>
  <c r="M1663" i="2"/>
  <c r="C1664" i="2"/>
  <c r="J1663" i="2" l="1"/>
  <c r="K1663" i="2" s="1"/>
  <c r="D1663" i="2"/>
  <c r="L1663" i="2"/>
  <c r="B1664" i="2"/>
  <c r="A1664" i="2"/>
  <c r="I1664" i="2"/>
  <c r="H1664" i="2"/>
  <c r="G1664" i="2"/>
  <c r="F1664" i="2"/>
  <c r="E1664" i="2"/>
  <c r="M1664" i="2"/>
  <c r="C1665" i="2"/>
  <c r="D1664" i="2" l="1"/>
  <c r="J1664" i="2"/>
  <c r="K1664" i="2" s="1"/>
  <c r="L1664" i="2"/>
  <c r="A1665" i="2"/>
  <c r="B1665" i="2"/>
  <c r="H1665" i="2"/>
  <c r="E1665" i="2"/>
  <c r="M1665" i="2"/>
  <c r="G1665" i="2"/>
  <c r="I1665" i="2"/>
  <c r="F1665" i="2"/>
  <c r="C1666" i="2"/>
  <c r="D1665" i="2" l="1"/>
  <c r="J1665" i="2"/>
  <c r="K1665" i="2" s="1"/>
  <c r="L1665" i="2"/>
  <c r="B1666" i="2"/>
  <c r="A1666" i="2"/>
  <c r="G1666" i="2"/>
  <c r="I1666" i="2"/>
  <c r="F1666" i="2"/>
  <c r="H1666" i="2"/>
  <c r="M1666" i="2"/>
  <c r="E1666" i="2"/>
  <c r="C1667" i="2"/>
  <c r="J1666" i="2" l="1"/>
  <c r="K1666" i="2" s="1"/>
  <c r="D1666" i="2"/>
  <c r="L1666" i="2"/>
  <c r="B1667" i="2"/>
  <c r="A1667" i="2"/>
  <c r="G1667" i="2"/>
  <c r="F1667" i="2"/>
  <c r="I1667" i="2"/>
  <c r="H1667" i="2"/>
  <c r="M1667" i="2"/>
  <c r="E1667" i="2"/>
  <c r="C1668" i="2"/>
  <c r="D1667" i="2" l="1"/>
  <c r="J1667" i="2"/>
  <c r="K1667" i="2" s="1"/>
  <c r="L1667" i="2"/>
  <c r="B1668" i="2"/>
  <c r="A1668" i="2"/>
  <c r="E1668" i="2"/>
  <c r="I1668" i="2"/>
  <c r="H1668" i="2"/>
  <c r="F1668" i="2"/>
  <c r="M1668" i="2"/>
  <c r="G1668" i="2"/>
  <c r="C1669" i="2"/>
  <c r="D1668" i="2" l="1"/>
  <c r="J1668" i="2"/>
  <c r="K1668" i="2" s="1"/>
  <c r="L1668" i="2"/>
  <c r="B1669" i="2"/>
  <c r="A1669" i="2"/>
  <c r="M1669" i="2"/>
  <c r="F1669" i="2"/>
  <c r="H1669" i="2"/>
  <c r="E1669" i="2"/>
  <c r="G1669" i="2"/>
  <c r="I1669" i="2"/>
  <c r="C1670" i="2"/>
  <c r="J1669" i="2" l="1"/>
  <c r="K1669" i="2" s="1"/>
  <c r="D1669" i="2"/>
  <c r="L1669" i="2"/>
  <c r="B1670" i="2"/>
  <c r="A1670" i="2"/>
  <c r="I1670" i="2"/>
  <c r="G1670" i="2"/>
  <c r="F1670" i="2"/>
  <c r="H1670" i="2"/>
  <c r="M1670" i="2"/>
  <c r="E1670" i="2"/>
  <c r="C1671" i="2"/>
  <c r="D1670" i="2" l="1"/>
  <c r="J1670" i="2"/>
  <c r="K1670" i="2" s="1"/>
  <c r="L1670" i="2"/>
  <c r="B1671" i="2"/>
  <c r="A1671" i="2"/>
  <c r="H1671" i="2"/>
  <c r="F1671" i="2"/>
  <c r="I1671" i="2"/>
  <c r="E1671" i="2"/>
  <c r="G1671" i="2"/>
  <c r="M1671" i="2"/>
  <c r="C1672" i="2"/>
  <c r="D1671" i="2" l="1"/>
  <c r="J1671" i="2"/>
  <c r="K1671" i="2" s="1"/>
  <c r="L1671" i="2"/>
  <c r="B1672" i="2"/>
  <c r="A1672" i="2"/>
  <c r="F1672" i="2"/>
  <c r="H1672" i="2"/>
  <c r="G1672" i="2"/>
  <c r="M1672" i="2"/>
  <c r="I1672" i="2"/>
  <c r="E1672" i="2"/>
  <c r="C1673" i="2"/>
  <c r="D1672" i="2" l="1"/>
  <c r="J1672" i="2"/>
  <c r="K1672" i="2" s="1"/>
  <c r="L1672" i="2"/>
  <c r="B1673" i="2"/>
  <c r="A1673" i="2"/>
  <c r="G1673" i="2"/>
  <c r="I1673" i="2"/>
  <c r="F1673" i="2"/>
  <c r="E1673" i="2"/>
  <c r="M1673" i="2"/>
  <c r="H1673" i="2"/>
  <c r="C1674" i="2"/>
  <c r="D1673" i="2" l="1"/>
  <c r="J1673" i="2"/>
  <c r="K1673" i="2" s="1"/>
  <c r="L1673" i="2"/>
  <c r="B1674" i="2"/>
  <c r="A1674" i="2"/>
  <c r="G1674" i="2"/>
  <c r="M1674" i="2"/>
  <c r="F1674" i="2"/>
  <c r="E1674" i="2"/>
  <c r="I1674" i="2"/>
  <c r="H1674" i="2"/>
  <c r="C1675" i="2"/>
  <c r="J1674" i="2" l="1"/>
  <c r="K1674" i="2" s="1"/>
  <c r="D1674" i="2"/>
  <c r="L1674" i="2"/>
  <c r="A1675" i="2"/>
  <c r="B1675" i="2"/>
  <c r="F1675" i="2"/>
  <c r="G1675" i="2"/>
  <c r="M1675" i="2"/>
  <c r="H1675" i="2"/>
  <c r="I1675" i="2"/>
  <c r="E1675" i="2"/>
  <c r="C1676" i="2"/>
  <c r="D1675" i="2" l="1"/>
  <c r="J1675" i="2"/>
  <c r="K1675" i="2" s="1"/>
  <c r="L1675" i="2"/>
  <c r="B1676" i="2"/>
  <c r="A1676" i="2"/>
  <c r="H1676" i="2"/>
  <c r="E1676" i="2"/>
  <c r="G1676" i="2"/>
  <c r="I1676" i="2"/>
  <c r="F1676" i="2"/>
  <c r="M1676" i="2"/>
  <c r="C1677" i="2"/>
  <c r="D1676" i="2" l="1"/>
  <c r="J1676" i="2"/>
  <c r="K1676" i="2" s="1"/>
  <c r="L1676" i="2"/>
  <c r="B1677" i="2"/>
  <c r="A1677" i="2"/>
  <c r="E1677" i="2"/>
  <c r="M1677" i="2"/>
  <c r="H1677" i="2"/>
  <c r="F1677" i="2"/>
  <c r="I1677" i="2"/>
  <c r="G1677" i="2"/>
  <c r="C1678" i="2"/>
  <c r="J1677" i="2" l="1"/>
  <c r="K1677" i="2" s="1"/>
  <c r="D1677" i="2"/>
  <c r="L1677" i="2"/>
  <c r="B1678" i="2"/>
  <c r="A1678" i="2"/>
  <c r="I1678" i="2"/>
  <c r="M1678" i="2"/>
  <c r="E1678" i="2"/>
  <c r="G1678" i="2"/>
  <c r="F1678" i="2"/>
  <c r="H1678" i="2"/>
  <c r="C1679" i="2"/>
  <c r="D1678" i="2" l="1"/>
  <c r="J1678" i="2"/>
  <c r="K1678" i="2" s="1"/>
  <c r="L1678" i="2"/>
  <c r="B1679" i="2"/>
  <c r="A1679" i="2"/>
  <c r="M1679" i="2"/>
  <c r="G1679" i="2"/>
  <c r="E1679" i="2"/>
  <c r="F1679" i="2"/>
  <c r="I1679" i="2"/>
  <c r="H1679" i="2"/>
  <c r="C1680" i="2"/>
  <c r="D1679" i="2" l="1"/>
  <c r="J1679" i="2"/>
  <c r="K1679" i="2" s="1"/>
  <c r="L1679" i="2"/>
  <c r="B1680" i="2"/>
  <c r="A1680" i="2"/>
  <c r="E1680" i="2"/>
  <c r="F1680" i="2"/>
  <c r="H1680" i="2"/>
  <c r="I1680" i="2"/>
  <c r="M1680" i="2"/>
  <c r="G1680" i="2"/>
  <c r="C1681" i="2"/>
  <c r="D1680" i="2" l="1"/>
  <c r="J1680" i="2"/>
  <c r="K1680" i="2" s="1"/>
  <c r="L1680" i="2"/>
  <c r="A1681" i="2"/>
  <c r="B1681" i="2"/>
  <c r="E1681" i="2"/>
  <c r="F1681" i="2"/>
  <c r="M1681" i="2"/>
  <c r="G1681" i="2"/>
  <c r="H1681" i="2"/>
  <c r="I1681" i="2"/>
  <c r="C1682" i="2"/>
  <c r="D1681" i="2" l="1"/>
  <c r="J1681" i="2"/>
  <c r="K1681" i="2" s="1"/>
  <c r="L1681" i="2"/>
  <c r="B1682" i="2"/>
  <c r="A1682" i="2"/>
  <c r="F1682" i="2"/>
  <c r="H1682" i="2"/>
  <c r="G1682" i="2"/>
  <c r="I1682" i="2"/>
  <c r="E1682" i="2"/>
  <c r="M1682" i="2"/>
  <c r="C1683" i="2"/>
  <c r="J1682" i="2" l="1"/>
  <c r="K1682" i="2" s="1"/>
  <c r="D1682" i="2"/>
  <c r="L1682" i="2"/>
  <c r="B1683" i="2"/>
  <c r="A1683" i="2"/>
  <c r="G1683" i="2"/>
  <c r="F1683" i="2"/>
  <c r="M1683" i="2"/>
  <c r="E1683" i="2"/>
  <c r="I1683" i="2"/>
  <c r="H1683" i="2"/>
  <c r="C1684" i="2"/>
  <c r="D1683" i="2" l="1"/>
  <c r="J1683" i="2"/>
  <c r="K1683" i="2" s="1"/>
  <c r="L1683" i="2"/>
  <c r="B1684" i="2"/>
  <c r="A1684" i="2"/>
  <c r="E1684" i="2"/>
  <c r="M1684" i="2"/>
  <c r="G1684" i="2"/>
  <c r="H1684" i="2"/>
  <c r="F1684" i="2"/>
  <c r="I1684" i="2"/>
  <c r="C1685" i="2"/>
  <c r="D1684" i="2" l="1"/>
  <c r="J1684" i="2"/>
  <c r="K1684" i="2" s="1"/>
  <c r="L1684" i="2"/>
  <c r="B1685" i="2"/>
  <c r="A1685" i="2"/>
  <c r="I1685" i="2"/>
  <c r="H1685" i="2"/>
  <c r="G1685" i="2"/>
  <c r="E1685" i="2"/>
  <c r="F1685" i="2"/>
  <c r="M1685" i="2"/>
  <c r="C1686" i="2"/>
  <c r="D1685" i="2" l="1"/>
  <c r="J1685" i="2"/>
  <c r="K1685" i="2" s="1"/>
  <c r="L1685" i="2"/>
  <c r="B1686" i="2"/>
  <c r="A1686" i="2"/>
  <c r="E1686" i="2"/>
  <c r="I1686" i="2"/>
  <c r="M1686" i="2"/>
  <c r="F1686" i="2"/>
  <c r="H1686" i="2"/>
  <c r="G1686" i="2"/>
  <c r="C1687" i="2"/>
  <c r="D1686" i="2" l="1"/>
  <c r="J1686" i="2"/>
  <c r="K1686" i="2" s="1"/>
  <c r="L1686" i="2"/>
  <c r="B1687" i="2"/>
  <c r="A1687" i="2"/>
  <c r="I1687" i="2"/>
  <c r="E1687" i="2"/>
  <c r="H1687" i="2"/>
  <c r="G1687" i="2"/>
  <c r="F1687" i="2"/>
  <c r="M1687" i="2"/>
  <c r="C1688" i="2"/>
  <c r="J1687" i="2" l="1"/>
  <c r="K1687" i="2" s="1"/>
  <c r="D1687" i="2"/>
  <c r="L1687" i="2"/>
  <c r="B1688" i="2"/>
  <c r="A1688" i="2"/>
  <c r="E1688" i="2"/>
  <c r="H1688" i="2"/>
  <c r="F1688" i="2"/>
  <c r="I1688" i="2"/>
  <c r="G1688" i="2"/>
  <c r="M1688" i="2"/>
  <c r="C1689" i="2"/>
  <c r="J1688" i="2" l="1"/>
  <c r="K1688" i="2" s="1"/>
  <c r="D1688" i="2"/>
  <c r="L1688" i="2"/>
  <c r="B1689" i="2"/>
  <c r="A1689" i="2"/>
  <c r="H1689" i="2"/>
  <c r="G1689" i="2"/>
  <c r="I1689" i="2"/>
  <c r="E1689" i="2"/>
  <c r="F1689" i="2"/>
  <c r="M1689" i="2"/>
  <c r="C1690" i="2"/>
  <c r="J1689" i="2" l="1"/>
  <c r="K1689" i="2" s="1"/>
  <c r="D1689" i="2"/>
  <c r="L1689" i="2"/>
  <c r="B1690" i="2"/>
  <c r="A1690" i="2"/>
  <c r="E1690" i="2"/>
  <c r="G1690" i="2"/>
  <c r="I1690" i="2"/>
  <c r="M1690" i="2"/>
  <c r="F1690" i="2"/>
  <c r="H1690" i="2"/>
  <c r="C1691" i="2"/>
  <c r="J1690" i="2" l="1"/>
  <c r="K1690" i="2" s="1"/>
  <c r="D1690" i="2"/>
  <c r="L1690" i="2"/>
  <c r="A1691" i="2"/>
  <c r="B1691" i="2"/>
  <c r="G1691" i="2"/>
  <c r="M1691" i="2"/>
  <c r="H1691" i="2"/>
  <c r="F1691" i="2"/>
  <c r="I1691" i="2"/>
  <c r="E1691" i="2"/>
  <c r="C1692" i="2"/>
  <c r="D1691" i="2" l="1"/>
  <c r="J1691" i="2"/>
  <c r="K1691" i="2" s="1"/>
  <c r="L1691" i="2"/>
  <c r="B1692" i="2"/>
  <c r="A1692" i="2"/>
  <c r="I1692" i="2"/>
  <c r="G1692" i="2"/>
  <c r="E1692" i="2"/>
  <c r="F1692" i="2"/>
  <c r="M1692" i="2"/>
  <c r="H1692" i="2"/>
  <c r="C1693" i="2"/>
  <c r="D1692" i="2" l="1"/>
  <c r="J1692" i="2"/>
  <c r="K1692" i="2" s="1"/>
  <c r="L1692" i="2"/>
  <c r="B1693" i="2"/>
  <c r="A1693" i="2"/>
  <c r="M1693" i="2"/>
  <c r="F1693" i="2"/>
  <c r="H1693" i="2"/>
  <c r="E1693" i="2"/>
  <c r="I1693" i="2"/>
  <c r="G1693" i="2"/>
  <c r="C1694" i="2"/>
  <c r="D1693" i="2" l="1"/>
  <c r="J1693" i="2"/>
  <c r="K1693" i="2" s="1"/>
  <c r="L1693" i="2"/>
  <c r="B1694" i="2"/>
  <c r="A1694" i="2"/>
  <c r="I1694" i="2"/>
  <c r="M1694" i="2"/>
  <c r="F1694" i="2"/>
  <c r="E1694" i="2"/>
  <c r="H1694" i="2"/>
  <c r="G1694" i="2"/>
  <c r="C1695" i="2"/>
  <c r="J1694" i="2" l="1"/>
  <c r="K1694" i="2" s="1"/>
  <c r="D1694" i="2"/>
  <c r="L1694" i="2"/>
  <c r="B1695" i="2"/>
  <c r="A1695" i="2"/>
  <c r="M1695" i="2"/>
  <c r="G1695" i="2"/>
  <c r="H1695" i="2"/>
  <c r="I1695" i="2"/>
  <c r="F1695" i="2"/>
  <c r="E1695" i="2"/>
  <c r="C1696" i="2"/>
  <c r="D1695" i="2" l="1"/>
  <c r="J1695" i="2"/>
  <c r="K1695" i="2" s="1"/>
  <c r="L1695" i="2"/>
  <c r="B1696" i="2"/>
  <c r="A1696" i="2"/>
  <c r="I1696" i="2"/>
  <c r="M1696" i="2"/>
  <c r="E1696" i="2"/>
  <c r="G1696" i="2"/>
  <c r="H1696" i="2"/>
  <c r="F1696" i="2"/>
  <c r="C1697" i="2"/>
  <c r="J1696" i="2" l="1"/>
  <c r="K1696" i="2" s="1"/>
  <c r="D1696" i="2"/>
  <c r="L1696" i="2"/>
  <c r="A1697" i="2"/>
  <c r="B1697" i="2"/>
  <c r="H1697" i="2"/>
  <c r="F1697" i="2"/>
  <c r="G1697" i="2"/>
  <c r="M1697" i="2"/>
  <c r="I1697" i="2"/>
  <c r="E1697" i="2"/>
  <c r="C1698" i="2"/>
  <c r="D1697" i="2" l="1"/>
  <c r="J1697" i="2"/>
  <c r="K1697" i="2" s="1"/>
  <c r="L1697" i="2"/>
  <c r="B1698" i="2"/>
  <c r="A1698" i="2"/>
  <c r="M1698" i="2"/>
  <c r="G1698" i="2"/>
  <c r="H1698" i="2"/>
  <c r="F1698" i="2"/>
  <c r="I1698" i="2"/>
  <c r="E1698" i="2"/>
  <c r="C1699" i="2"/>
  <c r="D1698" i="2" l="1"/>
  <c r="J1698" i="2"/>
  <c r="K1698" i="2" s="1"/>
  <c r="L1698" i="2"/>
  <c r="B1699" i="2"/>
  <c r="A1699" i="2"/>
  <c r="I1699" i="2"/>
  <c r="F1699" i="2"/>
  <c r="M1699" i="2"/>
  <c r="H1699" i="2"/>
  <c r="E1699" i="2"/>
  <c r="G1699" i="2"/>
  <c r="C1700" i="2"/>
  <c r="D1699" i="2" l="1"/>
  <c r="J1699" i="2"/>
  <c r="K1699" i="2" s="1"/>
  <c r="L1699" i="2"/>
  <c r="B1700" i="2"/>
  <c r="A1700" i="2"/>
  <c r="I1700" i="2"/>
  <c r="M1700" i="2"/>
  <c r="H1700" i="2"/>
  <c r="G1700" i="2"/>
  <c r="F1700" i="2"/>
  <c r="E1700" i="2"/>
  <c r="C1701" i="2"/>
  <c r="J1700" i="2" l="1"/>
  <c r="K1700" i="2" s="1"/>
  <c r="D1700" i="2"/>
  <c r="L1700" i="2"/>
  <c r="A1701" i="2"/>
  <c r="B1701" i="2"/>
  <c r="G1701" i="2"/>
  <c r="M1701" i="2"/>
  <c r="I1701" i="2"/>
  <c r="E1701" i="2"/>
  <c r="F1701" i="2"/>
  <c r="H1701" i="2"/>
  <c r="C1702" i="2"/>
  <c r="D1701" i="2" l="1"/>
  <c r="J1701" i="2"/>
  <c r="K1701" i="2" s="1"/>
  <c r="L1701" i="2"/>
  <c r="B1702" i="2"/>
  <c r="A1702" i="2"/>
  <c r="E1702" i="2"/>
  <c r="M1702" i="2"/>
  <c r="F1702" i="2"/>
  <c r="I1702" i="2"/>
  <c r="G1702" i="2"/>
  <c r="H1702" i="2"/>
  <c r="C1703" i="2"/>
  <c r="J1702" i="2" l="1"/>
  <c r="K1702" i="2" s="1"/>
  <c r="D1702" i="2"/>
  <c r="L1702" i="2"/>
  <c r="B1703" i="2"/>
  <c r="A1703" i="2"/>
  <c r="H1703" i="2"/>
  <c r="F1703" i="2"/>
  <c r="G1703" i="2"/>
  <c r="I1703" i="2"/>
  <c r="M1703" i="2"/>
  <c r="E1703" i="2"/>
  <c r="C1704" i="2"/>
  <c r="J1703" i="2" l="1"/>
  <c r="K1703" i="2" s="1"/>
  <c r="D1703" i="2"/>
  <c r="L1703" i="2"/>
  <c r="B1704" i="2"/>
  <c r="A1704" i="2"/>
  <c r="M1704" i="2"/>
  <c r="I1704" i="2"/>
  <c r="E1704" i="2"/>
  <c r="G1704" i="2"/>
  <c r="F1704" i="2"/>
  <c r="H1704" i="2"/>
  <c r="C1705" i="2"/>
  <c r="J1704" i="2" l="1"/>
  <c r="K1704" i="2" s="1"/>
  <c r="D1704" i="2"/>
  <c r="L1704" i="2"/>
  <c r="B1705" i="2"/>
  <c r="A1705" i="2"/>
  <c r="I1705" i="2"/>
  <c r="H1705" i="2"/>
  <c r="G1705" i="2"/>
  <c r="E1705" i="2"/>
  <c r="F1705" i="2"/>
  <c r="M1705" i="2"/>
  <c r="C1706" i="2"/>
  <c r="D1705" i="2" l="1"/>
  <c r="J1705" i="2"/>
  <c r="K1705" i="2" s="1"/>
  <c r="L1705" i="2"/>
  <c r="B1706" i="2"/>
  <c r="A1706" i="2"/>
  <c r="I1706" i="2"/>
  <c r="G1706" i="2"/>
  <c r="M1706" i="2"/>
  <c r="H1706" i="2"/>
  <c r="E1706" i="2"/>
  <c r="F1706" i="2"/>
  <c r="C1707" i="2"/>
  <c r="D1706" i="2" l="1"/>
  <c r="J1706" i="2"/>
  <c r="K1706" i="2" s="1"/>
  <c r="L1706" i="2"/>
  <c r="A1707" i="2"/>
  <c r="B1707" i="2"/>
  <c r="M1707" i="2"/>
  <c r="I1707" i="2"/>
  <c r="H1707" i="2"/>
  <c r="G1707" i="2"/>
  <c r="E1707" i="2"/>
  <c r="F1707" i="2"/>
  <c r="C1708" i="2"/>
  <c r="D1707" i="2" l="1"/>
  <c r="J1707" i="2"/>
  <c r="K1707" i="2" s="1"/>
  <c r="L1707" i="2"/>
  <c r="B1708" i="2"/>
  <c r="A1708" i="2"/>
  <c r="M1708" i="2"/>
  <c r="F1708" i="2"/>
  <c r="I1708" i="2"/>
  <c r="G1708" i="2"/>
  <c r="E1708" i="2"/>
  <c r="H1708" i="2"/>
  <c r="C1709" i="2"/>
  <c r="D1708" i="2" l="1"/>
  <c r="J1708" i="2"/>
  <c r="K1708" i="2" s="1"/>
  <c r="L1708" i="2"/>
  <c r="B1709" i="2"/>
  <c r="A1709" i="2"/>
  <c r="G1709" i="2"/>
  <c r="H1709" i="2"/>
  <c r="M1709" i="2"/>
  <c r="F1709" i="2"/>
  <c r="I1709" i="2"/>
  <c r="E1709" i="2"/>
  <c r="C1710" i="2"/>
  <c r="D1709" i="2" l="1"/>
  <c r="J1709" i="2"/>
  <c r="K1709" i="2" s="1"/>
  <c r="L1709" i="2"/>
  <c r="B1710" i="2"/>
  <c r="A1710" i="2"/>
  <c r="G1710" i="2"/>
  <c r="F1710" i="2"/>
  <c r="H1710" i="2"/>
  <c r="M1710" i="2"/>
  <c r="I1710" i="2"/>
  <c r="E1710" i="2"/>
  <c r="C1711" i="2"/>
  <c r="D1710" i="2" l="1"/>
  <c r="J1710" i="2"/>
  <c r="K1710" i="2" s="1"/>
  <c r="L1710" i="2"/>
  <c r="B1711" i="2"/>
  <c r="A1711" i="2"/>
  <c r="H1711" i="2"/>
  <c r="E1711" i="2"/>
  <c r="F1711" i="2"/>
  <c r="I1711" i="2"/>
  <c r="G1711" i="2"/>
  <c r="M1711" i="2"/>
  <c r="C1712" i="2"/>
  <c r="J1711" i="2" l="1"/>
  <c r="K1711" i="2" s="1"/>
  <c r="D1711" i="2"/>
  <c r="L1711" i="2"/>
  <c r="B1712" i="2"/>
  <c r="A1712" i="2"/>
  <c r="G1712" i="2"/>
  <c r="H1712" i="2"/>
  <c r="E1712" i="2"/>
  <c r="I1712" i="2"/>
  <c r="M1712" i="2"/>
  <c r="F1712" i="2"/>
  <c r="C1713" i="2"/>
  <c r="J1712" i="2" l="1"/>
  <c r="K1712" i="2" s="1"/>
  <c r="D1712" i="2"/>
  <c r="L1712" i="2"/>
  <c r="A1713" i="2"/>
  <c r="B1713" i="2"/>
  <c r="F1713" i="2"/>
  <c r="G1713" i="2"/>
  <c r="E1713" i="2"/>
  <c r="M1713" i="2"/>
  <c r="I1713" i="2"/>
  <c r="H1713" i="2"/>
  <c r="C1714" i="2"/>
  <c r="D1713" i="2" l="1"/>
  <c r="J1713" i="2"/>
  <c r="K1713" i="2" s="1"/>
  <c r="L1713" i="2"/>
  <c r="B1714" i="2"/>
  <c r="A1714" i="2"/>
  <c r="F1714" i="2"/>
  <c r="E1714" i="2"/>
  <c r="I1714" i="2"/>
  <c r="H1714" i="2"/>
  <c r="G1714" i="2"/>
  <c r="M1714" i="2"/>
  <c r="C1715" i="2"/>
  <c r="J1714" i="2" l="1"/>
  <c r="K1714" i="2" s="1"/>
  <c r="D1714" i="2"/>
  <c r="L1714" i="2"/>
  <c r="B1715" i="2"/>
  <c r="A1715" i="2"/>
  <c r="I1715" i="2"/>
  <c r="E1715" i="2"/>
  <c r="G1715" i="2"/>
  <c r="H1715" i="2"/>
  <c r="F1715" i="2"/>
  <c r="M1715" i="2"/>
  <c r="C1716" i="2"/>
  <c r="D1715" i="2" l="1"/>
  <c r="J1715" i="2"/>
  <c r="K1715" i="2" s="1"/>
  <c r="L1715" i="2"/>
  <c r="B1716" i="2"/>
  <c r="A1716" i="2"/>
  <c r="H1716" i="2"/>
  <c r="I1716" i="2"/>
  <c r="M1716" i="2"/>
  <c r="F1716" i="2"/>
  <c r="E1716" i="2"/>
  <c r="G1716" i="2"/>
  <c r="C1717" i="2"/>
  <c r="J1716" i="2" l="1"/>
  <c r="K1716" i="2" s="1"/>
  <c r="D1716" i="2"/>
  <c r="L1716" i="2"/>
  <c r="A1717" i="2"/>
  <c r="B1717" i="2"/>
  <c r="F1717" i="2"/>
  <c r="H1717" i="2"/>
  <c r="G1717" i="2"/>
  <c r="I1717" i="2"/>
  <c r="E1717" i="2"/>
  <c r="M1717" i="2"/>
  <c r="C1718" i="2"/>
  <c r="D1717" i="2" l="1"/>
  <c r="J1717" i="2"/>
  <c r="K1717" i="2" s="1"/>
  <c r="L1717" i="2"/>
  <c r="B1718" i="2"/>
  <c r="A1718" i="2"/>
  <c r="M1718" i="2"/>
  <c r="H1718" i="2"/>
  <c r="I1718" i="2"/>
  <c r="E1718" i="2"/>
  <c r="G1718" i="2"/>
  <c r="F1718" i="2"/>
  <c r="C1719" i="2"/>
  <c r="D1718" i="2" l="1"/>
  <c r="J1718" i="2"/>
  <c r="K1718" i="2" s="1"/>
  <c r="L1718" i="2"/>
  <c r="B1719" i="2"/>
  <c r="A1719" i="2"/>
  <c r="F1719" i="2"/>
  <c r="I1719" i="2"/>
  <c r="M1719" i="2"/>
  <c r="E1719" i="2"/>
  <c r="H1719" i="2"/>
  <c r="G1719" i="2"/>
  <c r="C1720" i="2"/>
  <c r="D1719" i="2" l="1"/>
  <c r="J1719" i="2"/>
  <c r="K1719" i="2" s="1"/>
  <c r="L1719" i="2"/>
  <c r="B1720" i="2"/>
  <c r="A1720" i="2"/>
  <c r="F1720" i="2"/>
  <c r="E1720" i="2"/>
  <c r="I1720" i="2"/>
  <c r="H1720" i="2"/>
  <c r="G1720" i="2"/>
  <c r="M1720" i="2"/>
  <c r="C1721" i="2"/>
  <c r="J1720" i="2" l="1"/>
  <c r="K1720" i="2" s="1"/>
  <c r="D1720" i="2"/>
  <c r="L1720" i="2"/>
  <c r="B1721" i="2"/>
  <c r="A1721" i="2"/>
  <c r="F1721" i="2"/>
  <c r="H1721" i="2"/>
  <c r="E1721" i="2"/>
  <c r="I1721" i="2"/>
  <c r="G1721" i="2"/>
  <c r="M1721" i="2"/>
  <c r="C1722" i="2"/>
  <c r="J1721" i="2" l="1"/>
  <c r="K1721" i="2" s="1"/>
  <c r="D1721" i="2"/>
  <c r="L1721" i="2"/>
  <c r="B1722" i="2"/>
  <c r="A1722" i="2"/>
  <c r="I1722" i="2"/>
  <c r="H1722" i="2"/>
  <c r="E1722" i="2"/>
  <c r="M1722" i="2"/>
  <c r="G1722" i="2"/>
  <c r="F1722" i="2"/>
  <c r="C1723" i="2"/>
  <c r="J1722" i="2" l="1"/>
  <c r="K1722" i="2" s="1"/>
  <c r="D1722" i="2"/>
  <c r="L1722" i="2"/>
  <c r="A1723" i="2"/>
  <c r="B1723" i="2"/>
  <c r="M1723" i="2"/>
  <c r="H1723" i="2"/>
  <c r="F1723" i="2"/>
  <c r="I1723" i="2"/>
  <c r="E1723" i="2"/>
  <c r="G1723" i="2"/>
  <c r="C1724" i="2"/>
  <c r="J1723" i="2" l="1"/>
  <c r="K1723" i="2" s="1"/>
  <c r="D1723" i="2"/>
  <c r="L1723" i="2"/>
  <c r="B1724" i="2"/>
  <c r="A1724" i="2"/>
  <c r="G1724" i="2"/>
  <c r="H1724" i="2"/>
  <c r="I1724" i="2"/>
  <c r="E1724" i="2"/>
  <c r="F1724" i="2"/>
  <c r="M1724" i="2"/>
  <c r="C1725" i="2"/>
  <c r="J1724" i="2" l="1"/>
  <c r="K1724" i="2" s="1"/>
  <c r="D1724" i="2"/>
  <c r="L1724" i="2"/>
  <c r="B1725" i="2"/>
  <c r="A1725" i="2"/>
  <c r="H1725" i="2"/>
  <c r="F1725" i="2"/>
  <c r="G1725" i="2"/>
  <c r="E1725" i="2"/>
  <c r="I1725" i="2"/>
  <c r="M1725" i="2"/>
  <c r="C1726" i="2"/>
  <c r="D1725" i="2" l="1"/>
  <c r="J1725" i="2"/>
  <c r="K1725" i="2" s="1"/>
  <c r="L1725" i="2"/>
  <c r="B1726" i="2"/>
  <c r="A1726" i="2"/>
  <c r="I1726" i="2"/>
  <c r="G1726" i="2"/>
  <c r="H1726" i="2"/>
  <c r="E1726" i="2"/>
  <c r="F1726" i="2"/>
  <c r="M1726" i="2"/>
  <c r="C1727" i="2"/>
  <c r="J1726" i="2" l="1"/>
  <c r="K1726" i="2" s="1"/>
  <c r="D1726" i="2"/>
  <c r="L1726" i="2"/>
  <c r="A1727" i="2"/>
  <c r="B1727" i="2"/>
  <c r="G1727" i="2"/>
  <c r="H1727" i="2"/>
  <c r="F1727" i="2"/>
  <c r="E1727" i="2"/>
  <c r="I1727" i="2"/>
  <c r="M1727" i="2"/>
  <c r="C1728" i="2"/>
  <c r="D1727" i="2" l="1"/>
  <c r="J1727" i="2"/>
  <c r="K1727" i="2" s="1"/>
  <c r="L1727" i="2"/>
  <c r="A1728" i="2"/>
  <c r="B1728" i="2"/>
  <c r="E1728" i="2"/>
  <c r="M1728" i="2"/>
  <c r="H1728" i="2"/>
  <c r="F1728" i="2"/>
  <c r="I1728" i="2"/>
  <c r="G1728" i="2"/>
  <c r="C1729" i="2"/>
  <c r="D1728" i="2" l="1"/>
  <c r="J1728" i="2"/>
  <c r="K1728" i="2" s="1"/>
  <c r="L1728" i="2"/>
  <c r="A1729" i="2"/>
  <c r="B1729" i="2"/>
  <c r="E1729" i="2"/>
  <c r="I1729" i="2"/>
  <c r="F1729" i="2"/>
  <c r="M1729" i="2"/>
  <c r="H1729" i="2"/>
  <c r="G1729" i="2"/>
  <c r="C1730" i="2"/>
  <c r="J1729" i="2" l="1"/>
  <c r="K1729" i="2" s="1"/>
  <c r="D1729" i="2"/>
  <c r="L1729" i="2"/>
  <c r="B1730" i="2"/>
  <c r="A1730" i="2"/>
  <c r="I1730" i="2"/>
  <c r="G1730" i="2"/>
  <c r="E1730" i="2"/>
  <c r="M1730" i="2"/>
  <c r="H1730" i="2"/>
  <c r="F1730" i="2"/>
  <c r="C1731" i="2"/>
  <c r="J1730" i="2" l="1"/>
  <c r="K1730" i="2" s="1"/>
  <c r="D1730" i="2"/>
  <c r="L1730" i="2"/>
  <c r="A1731" i="2"/>
  <c r="B1731" i="2"/>
  <c r="G1731" i="2"/>
  <c r="I1731" i="2"/>
  <c r="F1731" i="2"/>
  <c r="H1731" i="2"/>
  <c r="M1731" i="2"/>
  <c r="E1731" i="2"/>
  <c r="C1732" i="2"/>
  <c r="D1731" i="2" l="1"/>
  <c r="J1731" i="2"/>
  <c r="K1731" i="2" s="1"/>
  <c r="L1731" i="2"/>
  <c r="A1732" i="2"/>
  <c r="B1732" i="2"/>
  <c r="E1732" i="2"/>
  <c r="G1732" i="2"/>
  <c r="M1732" i="2"/>
  <c r="F1732" i="2"/>
  <c r="H1732" i="2"/>
  <c r="I1732" i="2"/>
  <c r="C1733" i="2"/>
  <c r="D1732" i="2" l="1"/>
  <c r="J1732" i="2"/>
  <c r="K1732" i="2" s="1"/>
  <c r="L1732" i="2"/>
  <c r="B1733" i="2"/>
  <c r="A1733" i="2"/>
  <c r="F1733" i="2"/>
  <c r="E1733" i="2"/>
  <c r="I1733" i="2"/>
  <c r="G1733" i="2"/>
  <c r="M1733" i="2"/>
  <c r="H1733" i="2"/>
  <c r="C1734" i="2"/>
  <c r="J1733" i="2" l="1"/>
  <c r="K1733" i="2" s="1"/>
  <c r="D1733" i="2"/>
  <c r="L1733" i="2"/>
  <c r="A1734" i="2"/>
  <c r="B1734" i="2"/>
  <c r="H1734" i="2"/>
  <c r="E1734" i="2"/>
  <c r="M1734" i="2"/>
  <c r="I1734" i="2"/>
  <c r="G1734" i="2"/>
  <c r="F1734" i="2"/>
  <c r="C1735" i="2"/>
  <c r="D1734" i="2" l="1"/>
  <c r="J1734" i="2"/>
  <c r="K1734" i="2" s="1"/>
  <c r="L1734" i="2"/>
  <c r="B1735" i="2"/>
  <c r="A1735" i="2"/>
  <c r="F1735" i="2"/>
  <c r="M1735" i="2"/>
  <c r="G1735" i="2"/>
  <c r="H1735" i="2"/>
  <c r="I1735" i="2"/>
  <c r="E1735" i="2"/>
  <c r="C1736" i="2"/>
  <c r="D1735" i="2" l="1"/>
  <c r="J1735" i="2"/>
  <c r="K1735" i="2" s="1"/>
  <c r="L1735" i="2"/>
  <c r="A1736" i="2"/>
  <c r="B1736" i="2"/>
  <c r="M1736" i="2"/>
  <c r="F1736" i="2"/>
  <c r="I1736" i="2"/>
  <c r="H1736" i="2"/>
  <c r="E1736" i="2"/>
  <c r="G1736" i="2"/>
  <c r="C1737" i="2"/>
  <c r="D1736" i="2" l="1"/>
  <c r="J1736" i="2"/>
  <c r="K1736" i="2" s="1"/>
  <c r="L1736" i="2"/>
  <c r="A1737" i="2"/>
  <c r="B1737" i="2"/>
  <c r="G1737" i="2"/>
  <c r="I1737" i="2"/>
  <c r="M1737" i="2"/>
  <c r="F1737" i="2"/>
  <c r="H1737" i="2"/>
  <c r="E1737" i="2"/>
  <c r="C1738" i="2"/>
  <c r="D1737" i="2" l="1"/>
  <c r="J1737" i="2"/>
  <c r="K1737" i="2" s="1"/>
  <c r="L1737" i="2"/>
  <c r="A1738" i="2"/>
  <c r="B1738" i="2"/>
  <c r="M1738" i="2"/>
  <c r="I1738" i="2"/>
  <c r="F1738" i="2"/>
  <c r="G1738" i="2"/>
  <c r="H1738" i="2"/>
  <c r="E1738" i="2"/>
  <c r="C1739" i="2"/>
  <c r="D1738" i="2" l="1"/>
  <c r="J1738" i="2"/>
  <c r="K1738" i="2" s="1"/>
  <c r="L1738" i="2"/>
  <c r="B1739" i="2"/>
  <c r="A1739" i="2"/>
  <c r="M1739" i="2"/>
  <c r="I1739" i="2"/>
  <c r="E1739" i="2"/>
  <c r="H1739" i="2"/>
  <c r="G1739" i="2"/>
  <c r="F1739" i="2"/>
  <c r="C1740" i="2"/>
  <c r="J1739" i="2" l="1"/>
  <c r="K1739" i="2" s="1"/>
  <c r="D1739" i="2"/>
  <c r="L1739" i="2"/>
  <c r="A1740" i="2"/>
  <c r="B1740" i="2"/>
  <c r="F1740" i="2"/>
  <c r="I1740" i="2"/>
  <c r="M1740" i="2"/>
  <c r="E1740" i="2"/>
  <c r="G1740" i="2"/>
  <c r="H1740" i="2"/>
  <c r="C1741" i="2"/>
  <c r="D1740" i="2" l="1"/>
  <c r="J1740" i="2"/>
  <c r="K1740" i="2" s="1"/>
  <c r="L1740" i="2"/>
  <c r="A1741" i="2"/>
  <c r="B1741" i="2"/>
  <c r="I1741" i="2"/>
  <c r="M1741" i="2"/>
  <c r="E1741" i="2"/>
  <c r="F1741" i="2"/>
  <c r="H1741" i="2"/>
  <c r="G1741" i="2"/>
  <c r="C1742" i="2"/>
  <c r="J1741" i="2" l="1"/>
  <c r="K1741" i="2" s="1"/>
  <c r="D1741" i="2"/>
  <c r="L1741" i="2"/>
  <c r="B1742" i="2"/>
  <c r="A1742" i="2"/>
  <c r="F1742" i="2"/>
  <c r="I1742" i="2"/>
  <c r="E1742" i="2"/>
  <c r="H1742" i="2"/>
  <c r="M1742" i="2"/>
  <c r="G1742" i="2"/>
  <c r="C1743" i="2"/>
  <c r="D1742" i="2" l="1"/>
  <c r="J1742" i="2"/>
  <c r="K1742" i="2" s="1"/>
  <c r="L1742" i="2"/>
  <c r="B1743" i="2"/>
  <c r="A1743" i="2"/>
  <c r="E1743" i="2"/>
  <c r="I1743" i="2"/>
  <c r="H1743" i="2"/>
  <c r="M1743" i="2"/>
  <c r="G1743" i="2"/>
  <c r="F1743" i="2"/>
  <c r="C1744" i="2"/>
  <c r="J1743" i="2" l="1"/>
  <c r="K1743" i="2" s="1"/>
  <c r="D1743" i="2"/>
  <c r="L1743" i="2"/>
  <c r="A1744" i="2"/>
  <c r="B1744" i="2"/>
  <c r="I1744" i="2"/>
  <c r="E1744" i="2"/>
  <c r="F1744" i="2"/>
  <c r="H1744" i="2"/>
  <c r="G1744" i="2"/>
  <c r="M1744" i="2"/>
  <c r="C1745" i="2"/>
  <c r="D1744" i="2" l="1"/>
  <c r="J1744" i="2"/>
  <c r="K1744" i="2" s="1"/>
  <c r="L1744" i="2"/>
  <c r="A1745" i="2"/>
  <c r="B1745" i="2"/>
  <c r="M1745" i="2"/>
  <c r="G1745" i="2"/>
  <c r="I1745" i="2"/>
  <c r="F1745" i="2"/>
  <c r="H1745" i="2"/>
  <c r="E1745" i="2"/>
  <c r="C1746" i="2"/>
  <c r="D1745" i="2" l="1"/>
  <c r="J1745" i="2"/>
  <c r="K1745" i="2" s="1"/>
  <c r="L1745" i="2"/>
  <c r="B1746" i="2"/>
  <c r="A1746" i="2"/>
  <c r="H1746" i="2"/>
  <c r="F1746" i="2"/>
  <c r="I1746" i="2"/>
  <c r="E1746" i="2"/>
  <c r="M1746" i="2"/>
  <c r="G1746" i="2"/>
  <c r="C1747" i="2"/>
  <c r="J1746" i="2" l="1"/>
  <c r="K1746" i="2" s="1"/>
  <c r="D1746" i="2"/>
  <c r="L1746" i="2"/>
  <c r="A1747" i="2"/>
  <c r="B1747" i="2"/>
  <c r="H1747" i="2"/>
  <c r="E1747" i="2"/>
  <c r="M1747" i="2"/>
  <c r="F1747" i="2"/>
  <c r="I1747" i="2"/>
  <c r="G1747" i="2"/>
  <c r="C1748" i="2"/>
  <c r="D1747" i="2" l="1"/>
  <c r="J1747" i="2"/>
  <c r="K1747" i="2" s="1"/>
  <c r="L1747" i="2"/>
  <c r="A1748" i="2"/>
  <c r="B1748" i="2"/>
  <c r="E1748" i="2"/>
  <c r="G1748" i="2"/>
  <c r="M1748" i="2"/>
  <c r="H1748" i="2"/>
  <c r="F1748" i="2"/>
  <c r="I1748" i="2"/>
  <c r="C1749" i="2"/>
  <c r="D1748" i="2" l="1"/>
  <c r="J1748" i="2"/>
  <c r="K1748" i="2" s="1"/>
  <c r="L1748" i="2"/>
  <c r="B1749" i="2"/>
  <c r="A1749" i="2"/>
  <c r="M1749" i="2"/>
  <c r="F1749" i="2"/>
  <c r="H1749" i="2"/>
  <c r="I1749" i="2"/>
  <c r="E1749" i="2"/>
  <c r="G1749" i="2"/>
  <c r="C1750" i="2"/>
  <c r="D1749" i="2" l="1"/>
  <c r="J1749" i="2"/>
  <c r="K1749" i="2" s="1"/>
  <c r="L1749" i="2"/>
  <c r="B1750" i="2"/>
  <c r="A1750" i="2"/>
  <c r="E1750" i="2"/>
  <c r="I1750" i="2"/>
  <c r="M1750" i="2"/>
  <c r="F1750" i="2"/>
  <c r="H1750" i="2"/>
  <c r="G1750" i="2"/>
  <c r="C1751" i="2"/>
  <c r="D1750" i="2" l="1"/>
  <c r="J1750" i="2"/>
  <c r="K1750" i="2" s="1"/>
  <c r="L1750" i="2"/>
  <c r="B1751" i="2"/>
  <c r="A1751" i="2"/>
  <c r="H1751" i="2"/>
  <c r="M1751" i="2"/>
  <c r="E1751" i="2"/>
  <c r="G1751" i="2"/>
  <c r="F1751" i="2"/>
  <c r="I1751" i="2"/>
  <c r="C1752" i="2"/>
  <c r="J1751" i="2" l="1"/>
  <c r="K1751" i="2" s="1"/>
  <c r="D1751" i="2"/>
  <c r="L1751" i="2"/>
  <c r="A1752" i="2"/>
  <c r="B1752" i="2"/>
  <c r="F1752" i="2"/>
  <c r="H1752" i="2"/>
  <c r="E1752" i="2"/>
  <c r="G1752" i="2"/>
  <c r="I1752" i="2"/>
  <c r="M1752" i="2"/>
  <c r="C1753" i="2"/>
  <c r="D1752" i="2" l="1"/>
  <c r="J1752" i="2"/>
  <c r="K1752" i="2" s="1"/>
  <c r="L1752" i="2"/>
  <c r="B1753" i="2"/>
  <c r="A1753" i="2"/>
  <c r="H1753" i="2"/>
  <c r="E1753" i="2"/>
  <c r="M1753" i="2"/>
  <c r="F1753" i="2"/>
  <c r="I1753" i="2"/>
  <c r="G1753" i="2"/>
  <c r="C1754" i="2"/>
  <c r="J1753" i="2" l="1"/>
  <c r="K1753" i="2" s="1"/>
  <c r="D1753" i="2"/>
  <c r="L1753" i="2"/>
  <c r="A1754" i="2"/>
  <c r="B1754" i="2"/>
  <c r="I1754" i="2"/>
  <c r="F1754" i="2"/>
  <c r="M1754" i="2"/>
  <c r="G1754" i="2"/>
  <c r="E1754" i="2"/>
  <c r="H1754" i="2"/>
  <c r="C1755" i="2"/>
  <c r="D1754" i="2" l="1"/>
  <c r="J1754" i="2"/>
  <c r="K1754" i="2" s="1"/>
  <c r="L1754" i="2"/>
  <c r="A1755" i="2"/>
  <c r="B1755" i="2"/>
  <c r="F1755" i="2"/>
  <c r="I1755" i="2"/>
  <c r="H1755" i="2"/>
  <c r="E1755" i="2"/>
  <c r="G1755" i="2"/>
  <c r="M1755" i="2"/>
  <c r="C1756" i="2"/>
  <c r="J1755" i="2" l="1"/>
  <c r="K1755" i="2" s="1"/>
  <c r="D1755" i="2"/>
  <c r="L1755" i="2"/>
  <c r="A1756" i="2"/>
  <c r="B1756" i="2"/>
  <c r="I1756" i="2"/>
  <c r="M1756" i="2"/>
  <c r="H1756" i="2"/>
  <c r="F1756" i="2"/>
  <c r="G1756" i="2"/>
  <c r="E1756" i="2"/>
  <c r="C1757" i="2"/>
  <c r="D1756" i="2" l="1"/>
  <c r="J1756" i="2"/>
  <c r="K1756" i="2" s="1"/>
  <c r="L1756" i="2"/>
  <c r="B1757" i="2"/>
  <c r="A1757" i="2"/>
  <c r="F1757" i="2"/>
  <c r="I1757" i="2"/>
  <c r="G1757" i="2"/>
  <c r="E1757" i="2"/>
  <c r="H1757" i="2"/>
  <c r="M1757" i="2"/>
  <c r="C1758" i="2"/>
  <c r="D1757" i="2" l="1"/>
  <c r="J1757" i="2"/>
  <c r="K1757" i="2" s="1"/>
  <c r="L1757" i="2"/>
  <c r="B1758" i="2"/>
  <c r="A1758" i="2"/>
  <c r="M1758" i="2"/>
  <c r="I1758" i="2"/>
  <c r="F1758" i="2"/>
  <c r="H1758" i="2"/>
  <c r="G1758" i="2"/>
  <c r="E1758" i="2"/>
  <c r="C1759" i="2"/>
  <c r="D1758" i="2" l="1"/>
  <c r="J1758" i="2"/>
  <c r="K1758" i="2" s="1"/>
  <c r="L1758" i="2"/>
  <c r="A1759" i="2"/>
  <c r="B1759" i="2"/>
  <c r="G1759" i="2"/>
  <c r="H1759" i="2"/>
  <c r="F1759" i="2"/>
  <c r="M1759" i="2"/>
  <c r="E1759" i="2"/>
  <c r="I1759" i="2"/>
  <c r="C1760" i="2"/>
  <c r="D1759" i="2" l="1"/>
  <c r="J1759" i="2"/>
  <c r="K1759" i="2" s="1"/>
  <c r="L1759" i="2"/>
  <c r="A1760" i="2"/>
  <c r="B1760" i="2"/>
  <c r="M1760" i="2"/>
  <c r="I1760" i="2"/>
  <c r="G1760" i="2"/>
  <c r="H1760" i="2"/>
  <c r="E1760" i="2"/>
  <c r="F1760" i="2"/>
  <c r="C1761" i="2"/>
  <c r="D1760" i="2" l="1"/>
  <c r="J1760" i="2"/>
  <c r="K1760" i="2" s="1"/>
  <c r="L1760" i="2"/>
  <c r="A1761" i="2"/>
  <c r="B1761" i="2"/>
  <c r="H1761" i="2"/>
  <c r="F1761" i="2"/>
  <c r="E1761" i="2"/>
  <c r="G1761" i="2"/>
  <c r="I1761" i="2"/>
  <c r="M1761" i="2"/>
  <c r="C1762" i="2"/>
  <c r="J1761" i="2" l="1"/>
  <c r="K1761" i="2" s="1"/>
  <c r="D1761" i="2"/>
  <c r="L1761" i="2"/>
  <c r="B1762" i="2"/>
  <c r="A1762" i="2"/>
  <c r="I1762" i="2"/>
  <c r="M1762" i="2"/>
  <c r="E1762" i="2"/>
  <c r="G1762" i="2"/>
  <c r="H1762" i="2"/>
  <c r="F1762" i="2"/>
  <c r="C1763" i="2"/>
  <c r="J1762" i="2" l="1"/>
  <c r="K1762" i="2" s="1"/>
  <c r="D1762" i="2"/>
  <c r="L1762" i="2"/>
  <c r="A1763" i="2"/>
  <c r="B1763" i="2"/>
  <c r="H1763" i="2"/>
  <c r="I1763" i="2"/>
  <c r="M1763" i="2"/>
  <c r="F1763" i="2"/>
  <c r="E1763" i="2"/>
  <c r="G1763" i="2"/>
  <c r="C1764" i="2"/>
  <c r="J1763" i="2" l="1"/>
  <c r="K1763" i="2" s="1"/>
  <c r="D1763" i="2"/>
  <c r="L1763" i="2"/>
  <c r="A1764" i="2"/>
  <c r="B1764" i="2"/>
  <c r="G1764" i="2"/>
  <c r="E1764" i="2"/>
  <c r="F1764" i="2"/>
  <c r="M1764" i="2"/>
  <c r="H1764" i="2"/>
  <c r="I1764" i="2"/>
  <c r="C1765" i="2"/>
  <c r="J1764" i="2" l="1"/>
  <c r="K1764" i="2" s="1"/>
  <c r="D1764" i="2"/>
  <c r="L1764" i="2"/>
  <c r="B1765" i="2"/>
  <c r="A1765" i="2"/>
  <c r="G1765" i="2"/>
  <c r="I1765" i="2"/>
  <c r="F1765" i="2"/>
  <c r="E1765" i="2"/>
  <c r="M1765" i="2"/>
  <c r="H1765" i="2"/>
  <c r="C1766" i="2"/>
  <c r="D1765" i="2" l="1"/>
  <c r="J1765" i="2"/>
  <c r="K1765" i="2" s="1"/>
  <c r="L1765" i="2"/>
  <c r="A1766" i="2"/>
  <c r="B1766" i="2"/>
  <c r="G1766" i="2"/>
  <c r="M1766" i="2"/>
  <c r="I1766" i="2"/>
  <c r="E1766" i="2"/>
  <c r="H1766" i="2"/>
  <c r="F1766" i="2"/>
  <c r="C1767" i="2"/>
  <c r="D1766" i="2" l="1"/>
  <c r="J1766" i="2"/>
  <c r="K1766" i="2" s="1"/>
  <c r="L1766" i="2"/>
  <c r="B1767" i="2"/>
  <c r="A1767" i="2"/>
  <c r="I1767" i="2"/>
  <c r="F1767" i="2"/>
  <c r="M1767" i="2"/>
  <c r="G1767" i="2"/>
  <c r="E1767" i="2"/>
  <c r="H1767" i="2"/>
  <c r="C1768" i="2"/>
  <c r="D1767" i="2" l="1"/>
  <c r="J1767" i="2"/>
  <c r="K1767" i="2" s="1"/>
  <c r="L1767" i="2"/>
  <c r="A1768" i="2"/>
  <c r="B1768" i="2"/>
  <c r="G1768" i="2"/>
  <c r="F1768" i="2"/>
  <c r="M1768" i="2"/>
  <c r="I1768" i="2"/>
  <c r="E1768" i="2"/>
  <c r="H1768" i="2"/>
  <c r="C1769" i="2"/>
  <c r="D1768" i="2" l="1"/>
  <c r="J1768" i="2"/>
  <c r="K1768" i="2" s="1"/>
  <c r="L1768" i="2"/>
  <c r="B1769" i="2"/>
  <c r="A1769" i="2"/>
  <c r="E1769" i="2"/>
  <c r="G1769" i="2"/>
  <c r="M1769" i="2"/>
  <c r="H1769" i="2"/>
  <c r="I1769" i="2"/>
  <c r="F1769" i="2"/>
  <c r="C1770" i="2"/>
  <c r="D1769" i="2" l="1"/>
  <c r="J1769" i="2"/>
  <c r="K1769" i="2" s="1"/>
  <c r="L1769" i="2"/>
  <c r="A1770" i="2"/>
  <c r="B1770" i="2"/>
  <c r="M1770" i="2"/>
  <c r="I1770" i="2"/>
  <c r="H1770" i="2"/>
  <c r="G1770" i="2"/>
  <c r="E1770" i="2"/>
  <c r="F1770" i="2"/>
  <c r="C1771" i="2"/>
  <c r="D1770" i="2" l="1"/>
  <c r="J1770" i="2"/>
  <c r="K1770" i="2" s="1"/>
  <c r="L1770" i="2"/>
  <c r="B1771" i="2"/>
  <c r="A1771" i="2"/>
  <c r="H1771" i="2"/>
  <c r="F1771" i="2"/>
  <c r="M1771" i="2"/>
  <c r="G1771" i="2"/>
  <c r="E1771" i="2"/>
  <c r="I1771" i="2"/>
  <c r="C1772" i="2"/>
  <c r="J1771" i="2" l="1"/>
  <c r="K1771" i="2" s="1"/>
  <c r="D1771" i="2"/>
  <c r="L1771" i="2"/>
  <c r="A1772" i="2"/>
  <c r="B1772" i="2"/>
  <c r="E1772" i="2"/>
  <c r="G1772" i="2"/>
  <c r="H1772" i="2"/>
  <c r="M1772" i="2"/>
  <c r="I1772" i="2"/>
  <c r="F1772" i="2"/>
  <c r="C1773" i="2"/>
  <c r="D1772" i="2" l="1"/>
  <c r="J1772" i="2"/>
  <c r="K1772" i="2" s="1"/>
  <c r="L1772" i="2"/>
  <c r="B1773" i="2"/>
  <c r="A1773" i="2"/>
  <c r="E1773" i="2"/>
  <c r="M1773" i="2"/>
  <c r="F1773" i="2"/>
  <c r="H1773" i="2"/>
  <c r="I1773" i="2"/>
  <c r="G1773" i="2"/>
  <c r="C1774" i="2"/>
  <c r="D1773" i="2" l="1"/>
  <c r="J1773" i="2"/>
  <c r="K1773" i="2" s="1"/>
  <c r="L1773" i="2"/>
  <c r="B1774" i="2"/>
  <c r="A1774" i="2"/>
  <c r="E1774" i="2"/>
  <c r="G1774" i="2"/>
  <c r="H1774" i="2"/>
  <c r="M1774" i="2"/>
  <c r="I1774" i="2"/>
  <c r="F1774" i="2"/>
  <c r="C1775" i="2"/>
  <c r="D1774" i="2" l="1"/>
  <c r="J1774" i="2"/>
  <c r="K1774" i="2" s="1"/>
  <c r="L1774" i="2"/>
  <c r="B1775" i="2"/>
  <c r="A1775" i="2"/>
  <c r="M1775" i="2"/>
  <c r="G1775" i="2"/>
  <c r="H1775" i="2"/>
  <c r="I1775" i="2"/>
  <c r="F1775" i="2"/>
  <c r="E1775" i="2"/>
  <c r="C1776" i="2"/>
  <c r="D1775" i="2" l="1"/>
  <c r="J1775" i="2"/>
  <c r="K1775" i="2" s="1"/>
  <c r="L1775" i="2"/>
  <c r="A1776" i="2"/>
  <c r="B1776" i="2"/>
  <c r="G1776" i="2"/>
  <c r="H1776" i="2"/>
  <c r="E1776" i="2"/>
  <c r="I1776" i="2"/>
  <c r="M1776" i="2"/>
  <c r="F1776" i="2"/>
  <c r="C1777" i="2"/>
  <c r="J1776" i="2" l="1"/>
  <c r="K1776" i="2" s="1"/>
  <c r="D1776" i="2"/>
  <c r="L1776" i="2"/>
  <c r="A1777" i="2"/>
  <c r="B1777" i="2"/>
  <c r="M1777" i="2"/>
  <c r="G1777" i="2"/>
  <c r="I1777" i="2"/>
  <c r="E1777" i="2"/>
  <c r="F1777" i="2"/>
  <c r="H1777" i="2"/>
  <c r="C1778" i="2"/>
  <c r="D1777" i="2" l="1"/>
  <c r="J1777" i="2"/>
  <c r="K1777" i="2" s="1"/>
  <c r="L1777" i="2"/>
  <c r="B1778" i="2"/>
  <c r="A1778" i="2"/>
  <c r="E1778" i="2"/>
  <c r="M1778" i="2"/>
  <c r="I1778" i="2"/>
  <c r="F1778" i="2"/>
  <c r="H1778" i="2"/>
  <c r="G1778" i="2"/>
  <c r="C1779" i="2"/>
  <c r="J1778" i="2" l="1"/>
  <c r="K1778" i="2" s="1"/>
  <c r="D1778" i="2"/>
  <c r="L1778" i="2"/>
  <c r="A1779" i="2"/>
  <c r="B1779" i="2"/>
  <c r="E1779" i="2"/>
  <c r="G1779" i="2"/>
  <c r="M1779" i="2"/>
  <c r="H1779" i="2"/>
  <c r="I1779" i="2"/>
  <c r="F1779" i="2"/>
  <c r="C1780" i="2"/>
  <c r="D1779" i="2" l="1"/>
  <c r="J1779" i="2"/>
  <c r="K1779" i="2" s="1"/>
  <c r="L1779" i="2"/>
  <c r="A1780" i="2"/>
  <c r="B1780" i="2"/>
  <c r="H1780" i="2"/>
  <c r="M1780" i="2"/>
  <c r="G1780" i="2"/>
  <c r="E1780" i="2"/>
  <c r="F1780" i="2"/>
  <c r="I1780" i="2"/>
  <c r="C1781" i="2"/>
  <c r="D1780" i="2" l="1"/>
  <c r="J1780" i="2"/>
  <c r="K1780" i="2" s="1"/>
  <c r="L1780" i="2"/>
  <c r="B1781" i="2"/>
  <c r="A1781" i="2"/>
  <c r="M1781" i="2"/>
  <c r="G1781" i="2"/>
  <c r="F1781" i="2"/>
  <c r="H1781" i="2"/>
  <c r="E1781" i="2"/>
  <c r="I1781" i="2"/>
  <c r="C1782" i="2"/>
  <c r="D1781" i="2" l="1"/>
  <c r="J1781" i="2"/>
  <c r="K1781" i="2" s="1"/>
  <c r="L1781" i="2"/>
  <c r="B1782" i="2"/>
  <c r="A1782" i="2"/>
  <c r="M1782" i="2"/>
  <c r="I1782" i="2"/>
  <c r="G1782" i="2"/>
  <c r="E1782" i="2"/>
  <c r="H1782" i="2"/>
  <c r="F1782" i="2"/>
  <c r="C1783" i="2"/>
  <c r="D1782" i="2" l="1"/>
  <c r="J1782" i="2"/>
  <c r="K1782" i="2" s="1"/>
  <c r="L1782" i="2"/>
  <c r="B1783" i="2"/>
  <c r="A1783" i="2"/>
  <c r="E1783" i="2"/>
  <c r="F1783" i="2"/>
  <c r="H1783" i="2"/>
  <c r="M1783" i="2"/>
  <c r="G1783" i="2"/>
  <c r="I1783" i="2"/>
  <c r="C1784" i="2"/>
  <c r="D1783" i="2" l="1"/>
  <c r="J1783" i="2"/>
  <c r="K1783" i="2" s="1"/>
  <c r="L1783" i="2"/>
  <c r="A1784" i="2"/>
  <c r="B1784" i="2"/>
  <c r="M1784" i="2"/>
  <c r="I1784" i="2"/>
  <c r="H1784" i="2"/>
  <c r="E1784" i="2"/>
  <c r="F1784" i="2"/>
  <c r="G1784" i="2"/>
  <c r="C1785" i="2"/>
  <c r="D1784" i="2" l="1"/>
  <c r="J1784" i="2"/>
  <c r="K1784" i="2" s="1"/>
  <c r="L1784" i="2"/>
  <c r="B1785" i="2"/>
  <c r="A1785" i="2"/>
  <c r="I1785" i="2"/>
  <c r="M1785" i="2"/>
  <c r="G1785" i="2"/>
  <c r="E1785" i="2"/>
  <c r="H1785" i="2"/>
  <c r="F1785" i="2"/>
  <c r="C1786" i="2"/>
  <c r="D1785" i="2" l="1"/>
  <c r="J1785" i="2"/>
  <c r="K1785" i="2" s="1"/>
  <c r="L1785" i="2"/>
  <c r="A1786" i="2"/>
  <c r="B1786" i="2"/>
  <c r="H1786" i="2"/>
  <c r="M1786" i="2"/>
  <c r="G1786" i="2"/>
  <c r="F1786" i="2"/>
  <c r="E1786" i="2"/>
  <c r="I1786" i="2"/>
  <c r="C1787" i="2"/>
  <c r="D1786" i="2" l="1"/>
  <c r="J1786" i="2"/>
  <c r="K1786" i="2" s="1"/>
  <c r="L1786" i="2"/>
  <c r="B1787" i="2"/>
  <c r="A1787" i="2"/>
  <c r="F1787" i="2"/>
  <c r="M1787" i="2"/>
  <c r="H1787" i="2"/>
  <c r="E1787" i="2"/>
  <c r="I1787" i="2"/>
  <c r="G1787" i="2"/>
  <c r="C1788" i="2"/>
  <c r="D1787" i="2" l="1"/>
  <c r="J1787" i="2"/>
  <c r="K1787" i="2" s="1"/>
  <c r="L1787" i="2"/>
  <c r="A1788" i="2"/>
  <c r="B1788" i="2"/>
  <c r="F1788" i="2"/>
  <c r="M1788" i="2"/>
  <c r="I1788" i="2"/>
  <c r="H1788" i="2"/>
  <c r="E1788" i="2"/>
  <c r="G1788" i="2"/>
  <c r="C1789" i="2"/>
  <c r="D1788" i="2" l="1"/>
  <c r="J1788" i="2"/>
  <c r="K1788" i="2" s="1"/>
  <c r="L1788" i="2"/>
  <c r="B1789" i="2"/>
  <c r="A1789" i="2"/>
  <c r="I1789" i="2"/>
  <c r="H1789" i="2"/>
  <c r="F1789" i="2"/>
  <c r="E1789" i="2"/>
  <c r="G1789" i="2"/>
  <c r="M1789" i="2"/>
  <c r="C1790" i="2"/>
  <c r="D1789" i="2" l="1"/>
  <c r="J1789" i="2"/>
  <c r="K1789" i="2" s="1"/>
  <c r="L1789" i="2"/>
  <c r="B1790" i="2"/>
  <c r="A1790" i="2"/>
  <c r="I1790" i="2"/>
  <c r="H1790" i="2"/>
  <c r="E1790" i="2"/>
  <c r="G1790" i="2"/>
  <c r="M1790" i="2"/>
  <c r="F1790" i="2"/>
  <c r="C1791" i="2"/>
  <c r="D1790" i="2" l="1"/>
  <c r="J1790" i="2"/>
  <c r="K1790" i="2" s="1"/>
  <c r="L1790" i="2"/>
  <c r="B1791" i="2"/>
  <c r="A1791" i="2"/>
  <c r="M1791" i="2"/>
  <c r="F1791" i="2"/>
  <c r="I1791" i="2"/>
  <c r="E1791" i="2"/>
  <c r="G1791" i="2"/>
  <c r="H1791" i="2"/>
  <c r="C1792" i="2"/>
  <c r="D1791" i="2" l="1"/>
  <c r="J1791" i="2"/>
  <c r="K1791" i="2" s="1"/>
  <c r="L1791" i="2"/>
  <c r="A1792" i="2"/>
  <c r="B1792" i="2"/>
  <c r="G1792" i="2"/>
  <c r="I1792" i="2"/>
  <c r="M1792" i="2"/>
  <c r="F1792" i="2"/>
  <c r="H1792" i="2"/>
  <c r="E1792" i="2"/>
  <c r="C1793" i="2"/>
  <c r="J1792" i="2" l="1"/>
  <c r="K1792" i="2" s="1"/>
  <c r="D1792" i="2"/>
  <c r="L1792" i="2"/>
  <c r="A1793" i="2"/>
  <c r="B1793" i="2"/>
  <c r="H1793" i="2"/>
  <c r="M1793" i="2"/>
  <c r="E1793" i="2"/>
  <c r="I1793" i="2"/>
  <c r="G1793" i="2"/>
  <c r="F1793" i="2"/>
  <c r="C1794" i="2"/>
  <c r="J1793" i="2" l="1"/>
  <c r="K1793" i="2" s="1"/>
  <c r="D1793" i="2"/>
  <c r="L1793" i="2"/>
  <c r="B1794" i="2"/>
  <c r="A1794" i="2"/>
  <c r="G1794" i="2"/>
  <c r="E1794" i="2"/>
  <c r="M1794" i="2"/>
  <c r="H1794" i="2"/>
  <c r="F1794" i="2"/>
  <c r="I1794" i="2"/>
  <c r="C1795" i="2"/>
  <c r="J1794" i="2" l="1"/>
  <c r="K1794" i="2" s="1"/>
  <c r="D1794" i="2"/>
  <c r="L1794" i="2"/>
  <c r="A1795" i="2"/>
  <c r="B1795" i="2"/>
  <c r="G1795" i="2"/>
  <c r="H1795" i="2"/>
  <c r="F1795" i="2"/>
  <c r="E1795" i="2"/>
  <c r="M1795" i="2"/>
  <c r="I1795" i="2"/>
  <c r="C1796" i="2"/>
  <c r="J1795" i="2" l="1"/>
  <c r="K1795" i="2" s="1"/>
  <c r="D1795" i="2"/>
  <c r="L1795" i="2"/>
  <c r="A1796" i="2"/>
  <c r="B1796" i="2"/>
  <c r="I1796" i="2"/>
  <c r="E1796" i="2"/>
  <c r="M1796" i="2"/>
  <c r="F1796" i="2"/>
  <c r="H1796" i="2"/>
  <c r="G1796" i="2"/>
  <c r="C1797" i="2"/>
  <c r="D1796" i="2" l="1"/>
  <c r="J1796" i="2"/>
  <c r="K1796" i="2" s="1"/>
  <c r="L1796" i="2"/>
  <c r="B1797" i="2"/>
  <c r="A1797" i="2"/>
  <c r="G1797" i="2"/>
  <c r="F1797" i="2"/>
  <c r="E1797" i="2"/>
  <c r="I1797" i="2"/>
  <c r="H1797" i="2"/>
  <c r="M1797" i="2"/>
  <c r="C1798" i="2"/>
  <c r="J1797" i="2" l="1"/>
  <c r="K1797" i="2" s="1"/>
  <c r="D1797" i="2"/>
  <c r="L1797" i="2"/>
  <c r="B1798" i="2"/>
  <c r="A1798" i="2"/>
  <c r="F1798" i="2"/>
  <c r="G1798" i="2"/>
  <c r="H1798" i="2"/>
  <c r="M1798" i="2"/>
  <c r="I1798" i="2"/>
  <c r="E1798" i="2"/>
  <c r="C1799" i="2"/>
  <c r="J1798" i="2" l="1"/>
  <c r="K1798" i="2" s="1"/>
  <c r="D1798" i="2"/>
  <c r="L1798" i="2"/>
  <c r="B1799" i="2"/>
  <c r="A1799" i="2"/>
  <c r="M1799" i="2"/>
  <c r="G1799" i="2"/>
  <c r="I1799" i="2"/>
  <c r="F1799" i="2"/>
  <c r="E1799" i="2"/>
  <c r="H1799" i="2"/>
  <c r="C1800" i="2"/>
  <c r="D1799" i="2" l="1"/>
  <c r="J1799" i="2"/>
  <c r="K1799" i="2" s="1"/>
  <c r="L1799" i="2"/>
  <c r="A1800" i="2"/>
  <c r="B1800" i="2"/>
  <c r="G1800" i="2"/>
  <c r="M1800" i="2"/>
  <c r="I1800" i="2"/>
  <c r="E1800" i="2"/>
  <c r="F1800" i="2"/>
  <c r="H1800" i="2"/>
  <c r="C1801" i="2"/>
  <c r="D1800" i="2" l="1"/>
  <c r="J1800" i="2"/>
  <c r="K1800" i="2" s="1"/>
  <c r="L1800" i="2"/>
  <c r="B1801" i="2"/>
  <c r="A1801" i="2"/>
  <c r="M1801" i="2"/>
  <c r="E1801" i="2"/>
  <c r="F1801" i="2"/>
  <c r="I1801" i="2"/>
  <c r="G1801" i="2"/>
  <c r="H1801" i="2"/>
  <c r="C1802" i="2"/>
  <c r="J1801" i="2" l="1"/>
  <c r="K1801" i="2" s="1"/>
  <c r="D1801" i="2"/>
  <c r="L1801" i="2"/>
  <c r="A1802" i="2"/>
  <c r="B1802" i="2"/>
  <c r="E1802" i="2"/>
  <c r="F1802" i="2"/>
  <c r="I1802" i="2"/>
  <c r="H1802" i="2"/>
  <c r="M1802" i="2"/>
  <c r="G1802" i="2"/>
  <c r="C1803" i="2"/>
  <c r="J1802" i="2" l="1"/>
  <c r="K1802" i="2" s="1"/>
  <c r="D1802" i="2"/>
  <c r="L1802" i="2"/>
  <c r="B1803" i="2"/>
  <c r="A1803" i="2"/>
  <c r="H1803" i="2"/>
  <c r="F1803" i="2"/>
  <c r="E1803" i="2"/>
  <c r="M1803" i="2"/>
  <c r="G1803" i="2"/>
  <c r="I1803" i="2"/>
  <c r="C1804" i="2"/>
  <c r="D1803" i="2" l="1"/>
  <c r="J1803" i="2"/>
  <c r="K1803" i="2" s="1"/>
  <c r="L1803" i="2"/>
  <c r="A1804" i="2"/>
  <c r="B1804" i="2"/>
  <c r="G1804" i="2"/>
  <c r="M1804" i="2"/>
  <c r="F1804" i="2"/>
  <c r="H1804" i="2"/>
  <c r="E1804" i="2"/>
  <c r="I1804" i="2"/>
  <c r="C1805" i="2"/>
  <c r="J1804" i="2" l="1"/>
  <c r="K1804" i="2" s="1"/>
  <c r="D1804" i="2"/>
  <c r="L1804" i="2"/>
  <c r="A1805" i="2"/>
  <c r="B1805" i="2"/>
  <c r="G1805" i="2"/>
  <c r="H1805" i="2"/>
  <c r="I1805" i="2"/>
  <c r="M1805" i="2"/>
  <c r="E1805" i="2"/>
  <c r="F1805" i="2"/>
  <c r="C1806" i="2"/>
  <c r="J1805" i="2" l="1"/>
  <c r="K1805" i="2" s="1"/>
  <c r="D1805" i="2"/>
  <c r="L1805" i="2"/>
  <c r="B1806" i="2"/>
  <c r="A1806" i="2"/>
  <c r="G1806" i="2"/>
  <c r="E1806" i="2"/>
  <c r="I1806" i="2"/>
  <c r="M1806" i="2"/>
  <c r="F1806" i="2"/>
  <c r="H1806" i="2"/>
  <c r="C1807" i="2"/>
  <c r="D1806" i="2" l="1"/>
  <c r="J1806" i="2"/>
  <c r="K1806" i="2" s="1"/>
  <c r="L1806" i="2"/>
  <c r="B1807" i="2"/>
  <c r="A1807" i="2"/>
  <c r="F1807" i="2"/>
  <c r="G1807" i="2"/>
  <c r="E1807" i="2"/>
  <c r="M1807" i="2"/>
  <c r="I1807" i="2"/>
  <c r="H1807" i="2"/>
  <c r="C1808" i="2"/>
  <c r="D1807" i="2" l="1"/>
  <c r="J1807" i="2"/>
  <c r="K1807" i="2" s="1"/>
  <c r="L1807" i="2"/>
  <c r="A1808" i="2"/>
  <c r="B1808" i="2"/>
  <c r="F1808" i="2"/>
  <c r="I1808" i="2"/>
  <c r="M1808" i="2"/>
  <c r="H1808" i="2"/>
  <c r="G1808" i="2"/>
  <c r="E1808" i="2"/>
  <c r="C1809" i="2"/>
  <c r="D1808" i="2" l="1"/>
  <c r="J1808" i="2"/>
  <c r="K1808" i="2" s="1"/>
  <c r="L1808" i="2"/>
  <c r="A1809" i="2"/>
  <c r="B1809" i="2"/>
  <c r="M1809" i="2"/>
  <c r="I1809" i="2"/>
  <c r="G1809" i="2"/>
  <c r="E1809" i="2"/>
  <c r="H1809" i="2"/>
  <c r="F1809" i="2"/>
  <c r="C1810" i="2"/>
  <c r="D1809" i="2" l="1"/>
  <c r="J1809" i="2"/>
  <c r="K1809" i="2" s="1"/>
  <c r="L1809" i="2"/>
  <c r="A1810" i="2"/>
  <c r="B1810" i="2"/>
  <c r="M1810" i="2"/>
  <c r="G1810" i="2"/>
  <c r="I1810" i="2"/>
  <c r="F1810" i="2"/>
  <c r="H1810" i="2"/>
  <c r="E1810" i="2"/>
  <c r="C1811" i="2"/>
  <c r="D1810" i="2" l="1"/>
  <c r="J1810" i="2"/>
  <c r="K1810" i="2" s="1"/>
  <c r="L1810" i="2"/>
  <c r="A1811" i="2"/>
  <c r="B1811" i="2"/>
  <c r="I1811" i="2"/>
  <c r="M1811" i="2"/>
  <c r="F1811" i="2"/>
  <c r="E1811" i="2"/>
  <c r="H1811" i="2"/>
  <c r="G1811" i="2"/>
  <c r="C1812" i="2"/>
  <c r="D1811" i="2" l="1"/>
  <c r="J1811" i="2"/>
  <c r="K1811" i="2" s="1"/>
  <c r="L1811" i="2"/>
  <c r="A1812" i="2"/>
  <c r="B1812" i="2"/>
  <c r="E1812" i="2"/>
  <c r="M1812" i="2"/>
  <c r="I1812" i="2"/>
  <c r="G1812" i="2"/>
  <c r="F1812" i="2"/>
  <c r="H1812" i="2"/>
  <c r="C1813" i="2"/>
  <c r="D1812" i="2" l="1"/>
  <c r="J1812" i="2"/>
  <c r="K1812" i="2" s="1"/>
  <c r="L1812" i="2"/>
  <c r="B1813" i="2"/>
  <c r="A1813" i="2"/>
  <c r="G1813" i="2"/>
  <c r="E1813" i="2"/>
  <c r="M1813" i="2"/>
  <c r="H1813" i="2"/>
  <c r="I1813" i="2"/>
  <c r="F1813" i="2"/>
  <c r="C1814" i="2"/>
  <c r="J1813" i="2" l="1"/>
  <c r="K1813" i="2" s="1"/>
  <c r="D1813" i="2"/>
  <c r="L1813" i="2"/>
  <c r="A1814" i="2"/>
  <c r="B1814" i="2"/>
  <c r="H1814" i="2"/>
  <c r="F1814" i="2"/>
  <c r="G1814" i="2"/>
  <c r="I1814" i="2"/>
  <c r="M1814" i="2"/>
  <c r="E1814" i="2"/>
  <c r="C1815" i="2"/>
  <c r="D1814" i="2" l="1"/>
  <c r="J1814" i="2"/>
  <c r="K1814" i="2" s="1"/>
  <c r="L1814" i="2"/>
  <c r="B1815" i="2"/>
  <c r="A1815" i="2"/>
  <c r="M1815" i="2"/>
  <c r="G1815" i="2"/>
  <c r="H1815" i="2"/>
  <c r="I1815" i="2"/>
  <c r="E1815" i="2"/>
  <c r="F1815" i="2"/>
  <c r="C1816" i="2"/>
  <c r="J1815" i="2" l="1"/>
  <c r="K1815" i="2" s="1"/>
  <c r="D1815" i="2"/>
  <c r="L1815" i="2"/>
  <c r="A1816" i="2"/>
  <c r="B1816" i="2"/>
  <c r="E1816" i="2"/>
  <c r="F1816" i="2"/>
  <c r="M1816" i="2"/>
  <c r="H1816" i="2"/>
  <c r="I1816" i="2"/>
  <c r="G1816" i="2"/>
  <c r="C1817" i="2"/>
  <c r="J1816" i="2" l="1"/>
  <c r="K1816" i="2" s="1"/>
  <c r="D1816" i="2"/>
  <c r="L1816" i="2"/>
  <c r="B1817" i="2"/>
  <c r="A1817" i="2"/>
  <c r="G1817" i="2"/>
  <c r="F1817" i="2"/>
  <c r="H1817" i="2"/>
  <c r="E1817" i="2"/>
  <c r="M1817" i="2"/>
  <c r="I1817" i="2"/>
  <c r="C1818" i="2"/>
  <c r="D1817" i="2" l="1"/>
  <c r="J1817" i="2"/>
  <c r="K1817" i="2" s="1"/>
  <c r="L1817" i="2"/>
  <c r="A1818" i="2"/>
  <c r="B1818" i="2"/>
  <c r="M1818" i="2"/>
  <c r="F1818" i="2"/>
  <c r="I1818" i="2"/>
  <c r="G1818" i="2"/>
  <c r="H1818" i="2"/>
  <c r="E1818" i="2"/>
  <c r="C1819" i="2"/>
  <c r="J1818" i="2" l="1"/>
  <c r="K1818" i="2" s="1"/>
  <c r="D1818" i="2"/>
  <c r="L1818" i="2"/>
  <c r="B1819" i="2"/>
  <c r="A1819" i="2"/>
  <c r="H1819" i="2"/>
  <c r="M1819" i="2"/>
  <c r="G1819" i="2"/>
  <c r="I1819" i="2"/>
  <c r="E1819" i="2"/>
  <c r="F1819" i="2"/>
  <c r="C1820" i="2"/>
  <c r="D1819" i="2" l="1"/>
  <c r="J1819" i="2"/>
  <c r="K1819" i="2" s="1"/>
  <c r="L1819" i="2"/>
  <c r="A1820" i="2"/>
  <c r="B1820" i="2"/>
  <c r="I1820" i="2"/>
  <c r="M1820" i="2"/>
  <c r="E1820" i="2"/>
  <c r="H1820" i="2"/>
  <c r="F1820" i="2"/>
  <c r="G1820" i="2"/>
  <c r="C1821" i="2"/>
  <c r="J1820" i="2" l="1"/>
  <c r="K1820" i="2" s="1"/>
  <c r="D1820" i="2"/>
  <c r="L1820" i="2"/>
  <c r="A1821" i="2"/>
  <c r="B1821" i="2"/>
  <c r="I1821" i="2"/>
  <c r="E1821" i="2"/>
  <c r="F1821" i="2"/>
  <c r="G1821" i="2"/>
  <c r="M1821" i="2"/>
  <c r="H1821" i="2"/>
  <c r="C1822" i="2"/>
  <c r="D1821" i="2" l="1"/>
  <c r="J1821" i="2"/>
  <c r="K1821" i="2" s="1"/>
  <c r="L1821" i="2"/>
  <c r="B1822" i="2"/>
  <c r="A1822" i="2"/>
  <c r="I1822" i="2"/>
  <c r="G1822" i="2"/>
  <c r="F1822" i="2"/>
  <c r="H1822" i="2"/>
  <c r="M1822" i="2"/>
  <c r="E1822" i="2"/>
  <c r="C1823" i="2"/>
  <c r="J1822" i="2" l="1"/>
  <c r="K1822" i="2" s="1"/>
  <c r="D1822" i="2"/>
  <c r="L1822" i="2"/>
  <c r="B1823" i="2"/>
  <c r="A1823" i="2"/>
  <c r="M1823" i="2"/>
  <c r="F1823" i="2"/>
  <c r="E1823" i="2"/>
  <c r="G1823" i="2"/>
  <c r="H1823" i="2"/>
  <c r="I1823" i="2"/>
  <c r="C1824" i="2"/>
  <c r="D1823" i="2" l="1"/>
  <c r="J1823" i="2"/>
  <c r="K1823" i="2" s="1"/>
  <c r="L1823" i="2"/>
  <c r="A1824" i="2"/>
  <c r="B1824" i="2"/>
  <c r="H1824" i="2"/>
  <c r="G1824" i="2"/>
  <c r="M1824" i="2"/>
  <c r="F1824" i="2"/>
  <c r="I1824" i="2"/>
  <c r="E1824" i="2"/>
  <c r="C1825" i="2"/>
  <c r="J1824" i="2" l="1"/>
  <c r="K1824" i="2" s="1"/>
  <c r="D1824" i="2"/>
  <c r="L1824" i="2"/>
  <c r="A1825" i="2"/>
  <c r="B1825" i="2"/>
  <c r="G1825" i="2"/>
  <c r="I1825" i="2"/>
  <c r="M1825" i="2"/>
  <c r="F1825" i="2"/>
  <c r="H1825" i="2"/>
  <c r="E1825" i="2"/>
  <c r="C1826" i="2"/>
  <c r="J1825" i="2" l="1"/>
  <c r="K1825" i="2" s="1"/>
  <c r="D1825" i="2"/>
  <c r="L1825" i="2"/>
  <c r="B1826" i="2"/>
  <c r="A1826" i="2"/>
  <c r="H1826" i="2"/>
  <c r="M1826" i="2"/>
  <c r="G1826" i="2"/>
  <c r="F1826" i="2"/>
  <c r="I1826" i="2"/>
  <c r="E1826" i="2"/>
  <c r="C1827" i="2"/>
  <c r="J1826" i="2" l="1"/>
  <c r="K1826" i="2" s="1"/>
  <c r="D1826" i="2"/>
  <c r="L1826" i="2"/>
  <c r="A1827" i="2"/>
  <c r="B1827" i="2"/>
  <c r="G1827" i="2"/>
  <c r="E1827" i="2"/>
  <c r="H1827" i="2"/>
  <c r="F1827" i="2"/>
  <c r="M1827" i="2"/>
  <c r="I1827" i="2"/>
  <c r="C1828" i="2"/>
  <c r="D1827" i="2" l="1"/>
  <c r="J1827" i="2"/>
  <c r="K1827" i="2" s="1"/>
  <c r="L1827" i="2"/>
  <c r="A1828" i="2"/>
  <c r="B1828" i="2"/>
  <c r="I1828" i="2"/>
  <c r="G1828" i="2"/>
  <c r="E1828" i="2"/>
  <c r="F1828" i="2"/>
  <c r="M1828" i="2"/>
  <c r="H1828" i="2"/>
  <c r="C1829" i="2"/>
  <c r="J1828" i="2" l="1"/>
  <c r="K1828" i="2" s="1"/>
  <c r="D1828" i="2"/>
  <c r="L1828" i="2"/>
  <c r="B1829" i="2"/>
  <c r="A1829" i="2"/>
  <c r="F1829" i="2"/>
  <c r="H1829" i="2"/>
  <c r="G1829" i="2"/>
  <c r="I1829" i="2"/>
  <c r="E1829" i="2"/>
  <c r="M1829" i="2"/>
  <c r="C1830" i="2"/>
  <c r="J1829" i="2" l="1"/>
  <c r="K1829" i="2" s="1"/>
  <c r="D1829" i="2"/>
  <c r="L1829" i="2"/>
  <c r="B1830" i="2"/>
  <c r="A1830" i="2"/>
  <c r="G1830" i="2"/>
  <c r="H1830" i="2"/>
  <c r="F1830" i="2"/>
  <c r="I1830" i="2"/>
  <c r="E1830" i="2"/>
  <c r="M1830" i="2"/>
  <c r="C1831" i="2"/>
  <c r="D1830" i="2" l="1"/>
  <c r="J1830" i="2"/>
  <c r="K1830" i="2" s="1"/>
  <c r="L1830" i="2"/>
  <c r="B1831" i="2"/>
  <c r="A1831" i="2"/>
  <c r="E1831" i="2"/>
  <c r="I1831" i="2"/>
  <c r="G1831" i="2"/>
  <c r="M1831" i="2"/>
  <c r="H1831" i="2"/>
  <c r="F1831" i="2"/>
  <c r="C1832" i="2"/>
  <c r="J1831" i="2" l="1"/>
  <c r="K1831" i="2" s="1"/>
  <c r="D1831" i="2"/>
  <c r="L1831" i="2"/>
  <c r="A1832" i="2"/>
  <c r="B1832" i="2"/>
  <c r="F1832" i="2"/>
  <c r="E1832" i="2"/>
  <c r="M1832" i="2"/>
  <c r="I1832" i="2"/>
  <c r="G1832" i="2"/>
  <c r="H1832" i="2"/>
  <c r="C1833" i="2"/>
  <c r="D1832" i="2" l="1"/>
  <c r="J1832" i="2"/>
  <c r="K1832" i="2" s="1"/>
  <c r="L1832" i="2"/>
  <c r="A1833" i="2"/>
  <c r="B1833" i="2"/>
  <c r="F1833" i="2"/>
  <c r="G1833" i="2"/>
  <c r="H1833" i="2"/>
  <c r="I1833" i="2"/>
  <c r="E1833" i="2"/>
  <c r="M1833" i="2"/>
  <c r="C1834" i="2"/>
  <c r="D1833" i="2" l="1"/>
  <c r="J1833" i="2"/>
  <c r="K1833" i="2" s="1"/>
  <c r="L1833" i="2"/>
  <c r="A1834" i="2"/>
  <c r="B1834" i="2"/>
  <c r="I1834" i="2"/>
  <c r="H1834" i="2"/>
  <c r="F1834" i="2"/>
  <c r="M1834" i="2"/>
  <c r="G1834" i="2"/>
  <c r="E1834" i="2"/>
  <c r="C1835" i="2"/>
  <c r="J1834" i="2" l="1"/>
  <c r="K1834" i="2" s="1"/>
  <c r="D1834" i="2"/>
  <c r="L1834" i="2"/>
  <c r="B1835" i="2"/>
  <c r="A1835" i="2"/>
  <c r="E1835" i="2"/>
  <c r="G1835" i="2"/>
  <c r="F1835" i="2"/>
  <c r="I1835" i="2"/>
  <c r="H1835" i="2"/>
  <c r="M1835" i="2"/>
  <c r="C1836" i="2"/>
  <c r="D1835" i="2" l="1"/>
  <c r="J1835" i="2"/>
  <c r="K1835" i="2" s="1"/>
  <c r="L1835" i="2"/>
  <c r="A1836" i="2"/>
  <c r="B1836" i="2"/>
  <c r="M1836" i="2"/>
  <c r="I1836" i="2"/>
  <c r="G1836" i="2"/>
  <c r="F1836" i="2"/>
  <c r="E1836" i="2"/>
  <c r="H1836" i="2"/>
  <c r="C1837" i="2"/>
  <c r="D1836" i="2" l="1"/>
  <c r="J1836" i="2"/>
  <c r="K1836" i="2" s="1"/>
  <c r="L1836" i="2"/>
  <c r="B1837" i="2"/>
  <c r="A1837" i="2"/>
  <c r="F1837" i="2"/>
  <c r="I1837" i="2"/>
  <c r="G1837" i="2"/>
  <c r="H1837" i="2"/>
  <c r="M1837" i="2"/>
  <c r="E1837" i="2"/>
  <c r="C1838" i="2"/>
  <c r="J1837" i="2" l="1"/>
  <c r="K1837" i="2" s="1"/>
  <c r="D1837" i="2"/>
  <c r="L1837" i="2"/>
  <c r="B1838" i="2"/>
  <c r="A1838" i="2"/>
  <c r="H1838" i="2"/>
  <c r="M1838" i="2"/>
  <c r="G1838" i="2"/>
  <c r="E1838" i="2"/>
  <c r="I1838" i="2"/>
  <c r="F1838" i="2"/>
  <c r="C1839" i="2"/>
  <c r="J1838" i="2" l="1"/>
  <c r="K1838" i="2" s="1"/>
  <c r="D1838" i="2"/>
  <c r="L1838" i="2"/>
  <c r="A1839" i="2"/>
  <c r="B1839" i="2"/>
  <c r="I1839" i="2"/>
  <c r="F1839" i="2"/>
  <c r="M1839" i="2"/>
  <c r="E1839" i="2"/>
  <c r="G1839" i="2"/>
  <c r="H1839" i="2"/>
  <c r="C1840" i="2"/>
  <c r="D1839" i="2" l="1"/>
  <c r="J1839" i="2"/>
  <c r="K1839" i="2" s="1"/>
  <c r="L1839" i="2"/>
  <c r="A1840" i="2"/>
  <c r="B1840" i="2"/>
  <c r="I1840" i="2"/>
  <c r="G1840" i="2"/>
  <c r="H1840" i="2"/>
  <c r="M1840" i="2"/>
  <c r="E1840" i="2"/>
  <c r="F1840" i="2"/>
  <c r="C1841" i="2"/>
  <c r="J1840" i="2" l="1"/>
  <c r="K1840" i="2" s="1"/>
  <c r="D1840" i="2"/>
  <c r="L1840" i="2"/>
  <c r="A1841" i="2"/>
  <c r="B1841" i="2"/>
  <c r="F1841" i="2"/>
  <c r="M1841" i="2"/>
  <c r="H1841" i="2"/>
  <c r="I1841" i="2"/>
  <c r="G1841" i="2"/>
  <c r="E1841" i="2"/>
  <c r="C1842" i="2"/>
  <c r="J1841" i="2" l="1"/>
  <c r="K1841" i="2" s="1"/>
  <c r="D1841" i="2"/>
  <c r="L1841" i="2"/>
  <c r="B1842" i="2"/>
  <c r="A1842" i="2"/>
  <c r="F1842" i="2"/>
  <c r="I1842" i="2"/>
  <c r="M1842" i="2"/>
  <c r="H1842" i="2"/>
  <c r="G1842" i="2"/>
  <c r="E1842" i="2"/>
  <c r="C1843" i="2"/>
  <c r="J1842" i="2" l="1"/>
  <c r="K1842" i="2" s="1"/>
  <c r="D1842" i="2"/>
  <c r="L1842" i="2"/>
  <c r="A1843" i="2"/>
  <c r="B1843" i="2"/>
  <c r="M1843" i="2"/>
  <c r="E1843" i="2"/>
  <c r="H1843" i="2"/>
  <c r="F1843" i="2"/>
  <c r="G1843" i="2"/>
  <c r="I1843" i="2"/>
  <c r="C1844" i="2"/>
  <c r="J1843" i="2" l="1"/>
  <c r="K1843" i="2" s="1"/>
  <c r="D1843" i="2"/>
  <c r="L1843" i="2"/>
  <c r="A1844" i="2"/>
  <c r="B1844" i="2"/>
  <c r="G1844" i="2"/>
  <c r="E1844" i="2"/>
  <c r="I1844" i="2"/>
  <c r="M1844" i="2"/>
  <c r="F1844" i="2"/>
  <c r="H1844" i="2"/>
  <c r="C1845" i="2"/>
  <c r="D1844" i="2" l="1"/>
  <c r="J1844" i="2"/>
  <c r="K1844" i="2" s="1"/>
  <c r="L1844" i="2"/>
  <c r="B1845" i="2"/>
  <c r="A1845" i="2"/>
  <c r="F1845" i="2"/>
  <c r="G1845" i="2"/>
  <c r="I1845" i="2"/>
  <c r="M1845" i="2"/>
  <c r="H1845" i="2"/>
  <c r="E1845" i="2"/>
  <c r="C1846" i="2"/>
  <c r="J1845" i="2" l="1"/>
  <c r="K1845" i="2" s="1"/>
  <c r="D1845" i="2"/>
  <c r="L1845" i="2"/>
  <c r="B1846" i="2"/>
  <c r="A1846" i="2"/>
  <c r="M1846" i="2"/>
  <c r="I1846" i="2"/>
  <c r="G1846" i="2"/>
  <c r="F1846" i="2"/>
  <c r="E1846" i="2"/>
  <c r="H1846" i="2"/>
  <c r="C1847" i="2"/>
  <c r="J1846" i="2" l="1"/>
  <c r="K1846" i="2" s="1"/>
  <c r="D1846" i="2"/>
  <c r="L1846" i="2"/>
  <c r="B1847" i="2"/>
  <c r="A1847" i="2"/>
  <c r="M1847" i="2"/>
  <c r="E1847" i="2"/>
  <c r="F1847" i="2"/>
  <c r="I1847" i="2"/>
  <c r="G1847" i="2"/>
  <c r="H1847" i="2"/>
  <c r="C1848" i="2"/>
  <c r="D1847" i="2" l="1"/>
  <c r="J1847" i="2"/>
  <c r="K1847" i="2" s="1"/>
  <c r="L1847" i="2"/>
  <c r="A1848" i="2"/>
  <c r="B1848" i="2"/>
  <c r="M1848" i="2"/>
  <c r="F1848" i="2"/>
  <c r="H1848" i="2"/>
  <c r="E1848" i="2"/>
  <c r="G1848" i="2"/>
  <c r="I1848" i="2"/>
  <c r="C1849" i="2"/>
  <c r="D1848" i="2" l="1"/>
  <c r="J1848" i="2"/>
  <c r="K1848" i="2" s="1"/>
  <c r="L1848" i="2"/>
  <c r="B1849" i="2"/>
  <c r="A1849" i="2"/>
  <c r="M1849" i="2"/>
  <c r="G1849" i="2"/>
  <c r="F1849" i="2"/>
  <c r="E1849" i="2"/>
  <c r="I1849" i="2"/>
  <c r="H1849" i="2"/>
  <c r="C1850" i="2"/>
  <c r="J1849" i="2" l="1"/>
  <c r="K1849" i="2" s="1"/>
  <c r="D1849" i="2"/>
  <c r="L1849" i="2"/>
  <c r="A1850" i="2"/>
  <c r="B1850" i="2"/>
  <c r="G1850" i="2"/>
  <c r="E1850" i="2"/>
  <c r="F1850" i="2"/>
  <c r="H1850" i="2"/>
  <c r="M1850" i="2"/>
  <c r="I1850" i="2"/>
  <c r="C1851" i="2"/>
  <c r="J1850" i="2" l="1"/>
  <c r="K1850" i="2" s="1"/>
  <c r="D1850" i="2"/>
  <c r="L1850" i="2"/>
  <c r="A1851" i="2"/>
  <c r="B1851" i="2"/>
  <c r="M1851" i="2"/>
  <c r="E1851" i="2"/>
  <c r="I1851" i="2"/>
  <c r="F1851" i="2"/>
  <c r="H1851" i="2"/>
  <c r="G1851" i="2"/>
  <c r="C1852" i="2"/>
  <c r="J1851" i="2" l="1"/>
  <c r="K1851" i="2" s="1"/>
  <c r="D1851" i="2"/>
  <c r="L1851" i="2"/>
  <c r="A1852" i="2"/>
  <c r="B1852" i="2"/>
  <c r="I1852" i="2"/>
  <c r="F1852" i="2"/>
  <c r="M1852" i="2"/>
  <c r="G1852" i="2"/>
  <c r="E1852" i="2"/>
  <c r="H1852" i="2"/>
  <c r="C1853" i="2"/>
  <c r="D1852" i="2" l="1"/>
  <c r="J1852" i="2"/>
  <c r="K1852" i="2" s="1"/>
  <c r="L1852" i="2"/>
  <c r="B1853" i="2"/>
  <c r="A1853" i="2"/>
  <c r="M1853" i="2"/>
  <c r="F1853" i="2"/>
  <c r="I1853" i="2"/>
  <c r="H1853" i="2"/>
  <c r="G1853" i="2"/>
  <c r="E1853" i="2"/>
  <c r="C1854" i="2"/>
  <c r="J1853" i="2" l="1"/>
  <c r="K1853" i="2" s="1"/>
  <c r="D1853" i="2"/>
  <c r="L1853" i="2"/>
  <c r="B1854" i="2"/>
  <c r="A1854" i="2"/>
  <c r="F1854" i="2"/>
  <c r="I1854" i="2"/>
  <c r="M1854" i="2"/>
  <c r="G1854" i="2"/>
  <c r="H1854" i="2"/>
  <c r="E1854" i="2"/>
  <c r="C1855" i="2"/>
  <c r="J1854" i="2" l="1"/>
  <c r="K1854" i="2" s="1"/>
  <c r="D1854" i="2"/>
  <c r="L1854" i="2"/>
  <c r="B1855" i="2"/>
  <c r="A1855" i="2"/>
  <c r="F1855" i="2"/>
  <c r="M1855" i="2"/>
  <c r="I1855" i="2"/>
  <c r="H1855" i="2"/>
  <c r="E1855" i="2"/>
  <c r="G1855" i="2"/>
  <c r="C1856" i="2"/>
  <c r="J1855" i="2" l="1"/>
  <c r="K1855" i="2" s="1"/>
  <c r="D1855" i="2"/>
  <c r="L1855" i="2"/>
  <c r="A1856" i="2"/>
  <c r="B1856" i="2"/>
  <c r="H1856" i="2"/>
  <c r="M1856" i="2"/>
  <c r="G1856" i="2"/>
  <c r="F1856" i="2"/>
  <c r="I1856" i="2"/>
  <c r="E1856" i="2"/>
  <c r="C1857" i="2"/>
  <c r="D1856" i="2" l="1"/>
  <c r="J1856" i="2"/>
  <c r="K1856" i="2" s="1"/>
  <c r="L1856" i="2"/>
  <c r="A1857" i="2"/>
  <c r="B1857" i="2"/>
  <c r="M1857" i="2"/>
  <c r="H1857" i="2"/>
  <c r="F1857" i="2"/>
  <c r="E1857" i="2"/>
  <c r="G1857" i="2"/>
  <c r="I1857" i="2"/>
  <c r="C1858" i="2"/>
  <c r="J1857" i="2" l="1"/>
  <c r="K1857" i="2" s="1"/>
  <c r="D1857" i="2"/>
  <c r="L1857" i="2"/>
  <c r="B1858" i="2"/>
  <c r="A1858" i="2"/>
  <c r="M1858" i="2"/>
  <c r="E1858" i="2"/>
  <c r="F1858" i="2"/>
  <c r="G1858" i="2"/>
  <c r="I1858" i="2"/>
  <c r="H1858" i="2"/>
  <c r="C1859" i="2"/>
  <c r="J1858" i="2" l="1"/>
  <c r="K1858" i="2" s="1"/>
  <c r="D1858" i="2"/>
  <c r="L1858" i="2"/>
  <c r="A1859" i="2"/>
  <c r="B1859" i="2"/>
  <c r="M1859" i="2"/>
  <c r="E1859" i="2"/>
  <c r="G1859" i="2"/>
  <c r="I1859" i="2"/>
  <c r="H1859" i="2"/>
  <c r="F1859" i="2"/>
  <c r="C1860" i="2"/>
  <c r="J1859" i="2" l="1"/>
  <c r="K1859" i="2" s="1"/>
  <c r="D1859" i="2"/>
  <c r="L1859" i="2"/>
  <c r="A1860" i="2"/>
  <c r="B1860" i="2"/>
  <c r="I1860" i="2"/>
  <c r="M1860" i="2"/>
  <c r="H1860" i="2"/>
  <c r="F1860" i="2"/>
  <c r="E1860" i="2"/>
  <c r="G1860" i="2"/>
  <c r="C1861" i="2"/>
  <c r="J1860" i="2" l="1"/>
  <c r="K1860" i="2" s="1"/>
  <c r="D1860" i="2"/>
  <c r="L1860" i="2"/>
  <c r="B1861" i="2"/>
  <c r="A1861" i="2"/>
  <c r="I1861" i="2"/>
  <c r="F1861" i="2"/>
  <c r="M1861" i="2"/>
  <c r="E1861" i="2"/>
  <c r="H1861" i="2"/>
  <c r="G1861" i="2"/>
  <c r="C1862" i="2"/>
  <c r="D1861" i="2" l="1"/>
  <c r="J1861" i="2"/>
  <c r="K1861" i="2" s="1"/>
  <c r="L1861" i="2"/>
  <c r="A1862" i="2"/>
  <c r="B1862" i="2"/>
  <c r="M1862" i="2"/>
  <c r="H1862" i="2"/>
  <c r="G1862" i="2"/>
  <c r="E1862" i="2"/>
  <c r="F1862" i="2"/>
  <c r="I1862" i="2"/>
  <c r="C1863" i="2"/>
  <c r="D1862" i="2" l="1"/>
  <c r="J1862" i="2"/>
  <c r="K1862" i="2" s="1"/>
  <c r="L1862" i="2"/>
  <c r="B1863" i="2"/>
  <c r="A1863" i="2"/>
  <c r="M1863" i="2"/>
  <c r="F1863" i="2"/>
  <c r="H1863" i="2"/>
  <c r="I1863" i="2"/>
  <c r="E1863" i="2"/>
  <c r="G1863" i="2"/>
  <c r="C1864" i="2"/>
  <c r="D1863" i="2" l="1"/>
  <c r="J1863" i="2"/>
  <c r="K1863" i="2" s="1"/>
  <c r="L1863" i="2"/>
  <c r="A1864" i="2"/>
  <c r="B1864" i="2"/>
  <c r="I1864" i="2"/>
  <c r="E1864" i="2"/>
  <c r="M1864" i="2"/>
  <c r="F1864" i="2"/>
  <c r="H1864" i="2"/>
  <c r="G1864" i="2"/>
  <c r="C1865" i="2"/>
  <c r="D1864" i="2" l="1"/>
  <c r="J1864" i="2"/>
  <c r="K1864" i="2" s="1"/>
  <c r="L1864" i="2"/>
  <c r="A1865" i="2"/>
  <c r="B1865" i="2"/>
  <c r="G1865" i="2"/>
  <c r="F1865" i="2"/>
  <c r="E1865" i="2"/>
  <c r="H1865" i="2"/>
  <c r="I1865" i="2"/>
  <c r="M1865" i="2"/>
  <c r="C1866" i="2"/>
  <c r="D1865" i="2" l="1"/>
  <c r="J1865" i="2"/>
  <c r="K1865" i="2" s="1"/>
  <c r="L1865" i="2"/>
  <c r="A1866" i="2"/>
  <c r="B1866" i="2"/>
  <c r="I1866" i="2"/>
  <c r="F1866" i="2"/>
  <c r="H1866" i="2"/>
  <c r="E1866" i="2"/>
  <c r="G1866" i="2"/>
  <c r="M1866" i="2"/>
  <c r="C1867" i="2"/>
  <c r="J1866" i="2" l="1"/>
  <c r="K1866" i="2" s="1"/>
  <c r="D1866" i="2"/>
  <c r="L1866" i="2"/>
  <c r="B1867" i="2"/>
  <c r="A1867" i="2"/>
  <c r="I1867" i="2"/>
  <c r="E1867" i="2"/>
  <c r="F1867" i="2"/>
  <c r="H1867" i="2"/>
  <c r="G1867" i="2"/>
  <c r="M1867" i="2"/>
  <c r="C1868" i="2"/>
  <c r="J1867" i="2" l="1"/>
  <c r="K1867" i="2" s="1"/>
  <c r="D1867" i="2"/>
  <c r="L1867" i="2"/>
  <c r="A1868" i="2"/>
  <c r="B1868" i="2"/>
  <c r="G1868" i="2"/>
  <c r="E1868" i="2"/>
  <c r="F1868" i="2"/>
  <c r="M1868" i="2"/>
  <c r="H1868" i="2"/>
  <c r="I1868" i="2"/>
  <c r="C1869" i="2"/>
  <c r="J1868" i="2" l="1"/>
  <c r="K1868" i="2" s="1"/>
  <c r="D1868" i="2"/>
  <c r="L1868" i="2"/>
  <c r="A1869" i="2"/>
  <c r="B1869" i="2"/>
  <c r="G1869" i="2"/>
  <c r="H1869" i="2"/>
  <c r="F1869" i="2"/>
  <c r="I1869" i="2"/>
  <c r="E1869" i="2"/>
  <c r="M1869" i="2"/>
  <c r="C1870" i="2"/>
  <c r="D1869" i="2" l="1"/>
  <c r="J1869" i="2"/>
  <c r="K1869" i="2" s="1"/>
  <c r="L1869" i="2"/>
  <c r="B1870" i="2"/>
  <c r="A1870" i="2"/>
  <c r="G1870" i="2"/>
  <c r="M1870" i="2"/>
  <c r="I1870" i="2"/>
  <c r="H1870" i="2"/>
  <c r="E1870" i="2"/>
  <c r="F1870" i="2"/>
  <c r="C1871" i="2"/>
  <c r="D1870" i="2" l="1"/>
  <c r="J1870" i="2"/>
  <c r="K1870" i="2" s="1"/>
  <c r="L1870" i="2"/>
  <c r="B1871" i="2"/>
  <c r="A1871" i="2"/>
  <c r="H1871" i="2"/>
  <c r="G1871" i="2"/>
  <c r="M1871" i="2"/>
  <c r="E1871" i="2"/>
  <c r="I1871" i="2"/>
  <c r="F1871" i="2"/>
  <c r="C1872" i="2"/>
  <c r="D1871" i="2" l="1"/>
  <c r="J1871" i="2"/>
  <c r="K1871" i="2" s="1"/>
  <c r="L1871" i="2"/>
  <c r="A1872" i="2"/>
  <c r="B1872" i="2"/>
  <c r="G1872" i="2"/>
  <c r="E1872" i="2"/>
  <c r="M1872" i="2"/>
  <c r="I1872" i="2"/>
  <c r="F1872" i="2"/>
  <c r="H1872" i="2"/>
  <c r="C1873" i="2"/>
  <c r="D1872" i="2" l="1"/>
  <c r="J1872" i="2"/>
  <c r="K1872" i="2" s="1"/>
  <c r="L1872" i="2"/>
  <c r="A1873" i="2"/>
  <c r="B1873" i="2"/>
  <c r="M1873" i="2"/>
  <c r="H1873" i="2"/>
  <c r="I1873" i="2"/>
  <c r="G1873" i="2"/>
  <c r="E1873" i="2"/>
  <c r="F1873" i="2"/>
  <c r="C1874" i="2"/>
  <c r="J1873" i="2" l="1"/>
  <c r="K1873" i="2" s="1"/>
  <c r="D1873" i="2"/>
  <c r="L1873" i="2"/>
  <c r="B1874" i="2"/>
  <c r="A1874" i="2"/>
  <c r="E1874" i="2"/>
  <c r="I1874" i="2"/>
  <c r="M1874" i="2"/>
  <c r="H1874" i="2"/>
  <c r="G1874" i="2"/>
  <c r="F1874" i="2"/>
  <c r="C1875" i="2"/>
  <c r="J1874" i="2" l="1"/>
  <c r="K1874" i="2" s="1"/>
  <c r="D1874" i="2"/>
  <c r="L1874" i="2"/>
  <c r="A1875" i="2"/>
  <c r="B1875" i="2"/>
  <c r="I1875" i="2"/>
  <c r="M1875" i="2"/>
  <c r="F1875" i="2"/>
  <c r="G1875" i="2"/>
  <c r="H1875" i="2"/>
  <c r="E1875" i="2"/>
  <c r="C1876" i="2"/>
  <c r="D1875" i="2" l="1"/>
  <c r="J1875" i="2"/>
  <c r="K1875" i="2" s="1"/>
  <c r="L1875" i="2"/>
  <c r="A1876" i="2"/>
  <c r="B1876" i="2"/>
  <c r="E1876" i="2"/>
  <c r="M1876" i="2"/>
  <c r="G1876" i="2"/>
  <c r="H1876" i="2"/>
  <c r="F1876" i="2"/>
  <c r="I1876" i="2"/>
  <c r="C1877" i="2"/>
  <c r="D1876" i="2" l="1"/>
  <c r="J1876" i="2"/>
  <c r="K1876" i="2" s="1"/>
  <c r="L1876" i="2"/>
  <c r="B1877" i="2"/>
  <c r="A1877" i="2"/>
  <c r="F1877" i="2"/>
  <c r="G1877" i="2"/>
  <c r="H1877" i="2"/>
  <c r="I1877" i="2"/>
  <c r="M1877" i="2"/>
  <c r="E1877" i="2"/>
  <c r="C1878" i="2"/>
  <c r="J1877" i="2" l="1"/>
  <c r="K1877" i="2" s="1"/>
  <c r="D1877" i="2"/>
  <c r="L1877" i="2"/>
  <c r="B1878" i="2"/>
  <c r="A1878" i="2"/>
  <c r="M1878" i="2"/>
  <c r="G1878" i="2"/>
  <c r="H1878" i="2"/>
  <c r="F1878" i="2"/>
  <c r="E1878" i="2"/>
  <c r="I1878" i="2"/>
  <c r="C1879" i="2"/>
  <c r="J1878" i="2" l="1"/>
  <c r="K1878" i="2" s="1"/>
  <c r="D1878" i="2"/>
  <c r="L1878" i="2"/>
  <c r="B1879" i="2"/>
  <c r="A1879" i="2"/>
  <c r="G1879" i="2"/>
  <c r="F1879" i="2"/>
  <c r="E1879" i="2"/>
  <c r="I1879" i="2"/>
  <c r="H1879" i="2"/>
  <c r="M1879" i="2"/>
  <c r="C1880" i="2"/>
  <c r="D1879" i="2" l="1"/>
  <c r="J1879" i="2"/>
  <c r="K1879" i="2" s="1"/>
  <c r="L1879" i="2"/>
  <c r="A1880" i="2"/>
  <c r="B1880" i="2"/>
  <c r="H1880" i="2"/>
  <c r="I1880" i="2"/>
  <c r="M1880" i="2"/>
  <c r="E1880" i="2"/>
  <c r="G1880" i="2"/>
  <c r="F1880" i="2"/>
  <c r="C1881" i="2"/>
  <c r="J1880" i="2" l="1"/>
  <c r="K1880" i="2" s="1"/>
  <c r="D1880" i="2"/>
  <c r="L1880" i="2"/>
  <c r="B1881" i="2"/>
  <c r="A1881" i="2"/>
  <c r="F1881" i="2"/>
  <c r="H1881" i="2"/>
  <c r="M1881" i="2"/>
  <c r="E1881" i="2"/>
  <c r="I1881" i="2"/>
  <c r="G1881" i="2"/>
  <c r="C1882" i="2"/>
  <c r="J1881" i="2" l="1"/>
  <c r="K1881" i="2" s="1"/>
  <c r="D1881" i="2"/>
  <c r="L1881" i="2"/>
  <c r="A1882" i="2"/>
  <c r="B1882" i="2"/>
  <c r="G1882" i="2"/>
  <c r="F1882" i="2"/>
  <c r="H1882" i="2"/>
  <c r="M1882" i="2"/>
  <c r="I1882" i="2"/>
  <c r="E1882" i="2"/>
  <c r="C1883" i="2"/>
  <c r="D1882" i="2" l="1"/>
  <c r="J1882" i="2"/>
  <c r="K1882" i="2" s="1"/>
  <c r="L1882" i="2"/>
  <c r="A1883" i="2"/>
  <c r="B1883" i="2"/>
  <c r="E1883" i="2"/>
  <c r="G1883" i="2"/>
  <c r="M1883" i="2"/>
  <c r="I1883" i="2"/>
  <c r="H1883" i="2"/>
  <c r="F1883" i="2"/>
  <c r="C1884" i="2"/>
  <c r="J1883" i="2" l="1"/>
  <c r="K1883" i="2" s="1"/>
  <c r="D1883" i="2"/>
  <c r="L1883" i="2"/>
  <c r="A1884" i="2"/>
  <c r="B1884" i="2"/>
  <c r="H1884" i="2"/>
  <c r="F1884" i="2"/>
  <c r="I1884" i="2"/>
  <c r="M1884" i="2"/>
  <c r="E1884" i="2"/>
  <c r="G1884" i="2"/>
  <c r="C1885" i="2"/>
  <c r="J1884" i="2" l="1"/>
  <c r="K1884" i="2" s="1"/>
  <c r="D1884" i="2"/>
  <c r="L1884" i="2"/>
  <c r="A1885" i="2"/>
  <c r="B1885" i="2"/>
  <c r="I1885" i="2"/>
  <c r="F1885" i="2"/>
  <c r="E1885" i="2"/>
  <c r="G1885" i="2"/>
  <c r="H1885" i="2"/>
  <c r="M1885" i="2"/>
  <c r="C1886" i="2"/>
  <c r="J1885" i="2" l="1"/>
  <c r="K1885" i="2" s="1"/>
  <c r="D1885" i="2"/>
  <c r="L1885" i="2"/>
  <c r="B1886" i="2"/>
  <c r="A1886" i="2"/>
  <c r="M1886" i="2"/>
  <c r="E1886" i="2"/>
  <c r="I1886" i="2"/>
  <c r="G1886" i="2"/>
  <c r="F1886" i="2"/>
  <c r="H1886" i="2"/>
  <c r="C1887" i="2"/>
  <c r="D1886" i="2" l="1"/>
  <c r="J1886" i="2"/>
  <c r="K1886" i="2" s="1"/>
  <c r="L1886" i="2"/>
  <c r="A1887" i="2"/>
  <c r="B1887" i="2"/>
  <c r="H1887" i="2"/>
  <c r="F1887" i="2"/>
  <c r="M1887" i="2"/>
  <c r="E1887" i="2"/>
  <c r="G1887" i="2"/>
  <c r="I1887" i="2"/>
  <c r="C1888" i="2"/>
  <c r="J1887" i="2" l="1"/>
  <c r="K1887" i="2" s="1"/>
  <c r="D1887" i="2"/>
  <c r="L1887" i="2"/>
  <c r="A1888" i="2"/>
  <c r="B1888" i="2"/>
  <c r="E1888" i="2"/>
  <c r="F1888" i="2"/>
  <c r="M1888" i="2"/>
  <c r="H1888" i="2"/>
  <c r="I1888" i="2"/>
  <c r="G1888" i="2"/>
  <c r="C1889" i="2"/>
  <c r="D1888" i="2" l="1"/>
  <c r="J1888" i="2"/>
  <c r="K1888" i="2" s="1"/>
  <c r="L1888" i="2"/>
  <c r="A1889" i="2"/>
  <c r="B1889" i="2"/>
  <c r="E1889" i="2"/>
  <c r="G1889" i="2"/>
  <c r="I1889" i="2"/>
  <c r="M1889" i="2"/>
  <c r="H1889" i="2"/>
  <c r="F1889" i="2"/>
  <c r="C1890" i="2"/>
  <c r="J1889" i="2" l="1"/>
  <c r="K1889" i="2" s="1"/>
  <c r="D1889" i="2"/>
  <c r="L1889" i="2"/>
  <c r="B1890" i="2"/>
  <c r="A1890" i="2"/>
  <c r="E1890" i="2"/>
  <c r="G1890" i="2"/>
  <c r="M1890" i="2"/>
  <c r="H1890" i="2"/>
  <c r="F1890" i="2"/>
  <c r="I1890" i="2"/>
  <c r="C1891" i="2"/>
  <c r="J1890" i="2" l="1"/>
  <c r="K1890" i="2" s="1"/>
  <c r="D1890" i="2"/>
  <c r="L1890" i="2"/>
  <c r="A1891" i="2"/>
  <c r="B1891" i="2"/>
  <c r="I1891" i="2"/>
  <c r="H1891" i="2"/>
  <c r="G1891" i="2"/>
  <c r="E1891" i="2"/>
  <c r="M1891" i="2"/>
  <c r="F1891" i="2"/>
  <c r="C1892" i="2"/>
  <c r="J1891" i="2" l="1"/>
  <c r="K1891" i="2" s="1"/>
  <c r="D1891" i="2"/>
  <c r="L1891" i="2"/>
  <c r="A1892" i="2"/>
  <c r="B1892" i="2"/>
  <c r="I1892" i="2"/>
  <c r="E1892" i="2"/>
  <c r="G1892" i="2"/>
  <c r="F1892" i="2"/>
  <c r="M1892" i="2"/>
  <c r="H1892" i="2"/>
  <c r="C1893" i="2"/>
  <c r="D1892" i="2" l="1"/>
  <c r="J1892" i="2"/>
  <c r="K1892" i="2" s="1"/>
  <c r="L1892" i="2"/>
  <c r="B1893" i="2"/>
  <c r="A1893" i="2"/>
  <c r="E1893" i="2"/>
  <c r="F1893" i="2"/>
  <c r="H1893" i="2"/>
  <c r="M1893" i="2"/>
  <c r="I1893" i="2"/>
  <c r="G1893" i="2"/>
  <c r="C1894" i="2"/>
  <c r="J1893" i="2" l="1"/>
  <c r="K1893" i="2" s="1"/>
  <c r="D1893" i="2"/>
  <c r="L1893" i="2"/>
  <c r="A1894" i="2"/>
  <c r="B1894" i="2"/>
  <c r="G1894" i="2"/>
  <c r="H1894" i="2"/>
  <c r="I1894" i="2"/>
  <c r="E1894" i="2"/>
  <c r="F1894" i="2"/>
  <c r="M1894" i="2"/>
  <c r="C1895" i="2"/>
  <c r="D1894" i="2" l="1"/>
  <c r="J1894" i="2"/>
  <c r="K1894" i="2" s="1"/>
  <c r="L1894" i="2"/>
  <c r="B1895" i="2"/>
  <c r="A1895" i="2"/>
  <c r="H1895" i="2"/>
  <c r="I1895" i="2"/>
  <c r="G1895" i="2"/>
  <c r="F1895" i="2"/>
  <c r="M1895" i="2"/>
  <c r="E1895" i="2"/>
  <c r="C1896" i="2"/>
  <c r="D1895" i="2" l="1"/>
  <c r="J1895" i="2"/>
  <c r="K1895" i="2" s="1"/>
  <c r="L1895" i="2"/>
  <c r="A1896" i="2"/>
  <c r="B1896" i="2"/>
  <c r="M1896" i="2"/>
  <c r="H1896" i="2"/>
  <c r="G1896" i="2"/>
  <c r="I1896" i="2"/>
  <c r="F1896" i="2"/>
  <c r="E1896" i="2"/>
  <c r="C1897" i="2"/>
  <c r="D1896" i="2" l="1"/>
  <c r="J1896" i="2"/>
  <c r="K1896" i="2" s="1"/>
  <c r="L1896" i="2"/>
  <c r="B1897" i="2"/>
  <c r="A1897" i="2"/>
  <c r="M1897" i="2"/>
  <c r="G1897" i="2"/>
  <c r="F1897" i="2"/>
  <c r="H1897" i="2"/>
  <c r="I1897" i="2"/>
  <c r="E1897" i="2"/>
  <c r="C1898" i="2"/>
  <c r="D1897" i="2" l="1"/>
  <c r="J1897" i="2"/>
  <c r="K1897" i="2" s="1"/>
  <c r="L1897" i="2"/>
  <c r="A1898" i="2"/>
  <c r="B1898" i="2"/>
  <c r="F1898" i="2"/>
  <c r="I1898" i="2"/>
  <c r="E1898" i="2"/>
  <c r="H1898" i="2"/>
  <c r="G1898" i="2"/>
  <c r="M1898" i="2"/>
  <c r="C1899" i="2"/>
  <c r="J1898" i="2" l="1"/>
  <c r="K1898" i="2" s="1"/>
  <c r="D1898" i="2"/>
  <c r="L1898" i="2"/>
  <c r="B1899" i="2"/>
  <c r="A1899" i="2"/>
  <c r="M1899" i="2"/>
  <c r="I1899" i="2"/>
  <c r="E1899" i="2"/>
  <c r="H1899" i="2"/>
  <c r="G1899" i="2"/>
  <c r="F1899" i="2"/>
  <c r="C1900" i="2"/>
  <c r="J1899" i="2" l="1"/>
  <c r="K1899" i="2" s="1"/>
  <c r="D1899" i="2"/>
  <c r="L1899" i="2"/>
  <c r="A1900" i="2"/>
  <c r="B1900" i="2"/>
  <c r="E1900" i="2"/>
  <c r="I1900" i="2"/>
  <c r="H1900" i="2"/>
  <c r="G1900" i="2"/>
  <c r="F1900" i="2"/>
  <c r="M1900" i="2"/>
  <c r="C1901" i="2"/>
  <c r="D1900" i="2" l="1"/>
  <c r="J1900" i="2"/>
  <c r="K1900" i="2" s="1"/>
  <c r="L1900" i="2"/>
  <c r="B1901" i="2"/>
  <c r="A1901" i="2"/>
  <c r="M1901" i="2"/>
  <c r="E1901" i="2"/>
  <c r="F1901" i="2"/>
  <c r="I1901" i="2"/>
  <c r="G1901" i="2"/>
  <c r="H1901" i="2"/>
  <c r="C1902" i="2"/>
  <c r="J1901" i="2" l="1"/>
  <c r="K1901" i="2" s="1"/>
  <c r="D1901" i="2"/>
  <c r="L1901" i="2"/>
  <c r="B1902" i="2"/>
  <c r="A1902" i="2"/>
  <c r="I1902" i="2"/>
  <c r="G1902" i="2"/>
  <c r="F1902" i="2"/>
  <c r="M1902" i="2"/>
  <c r="E1902" i="2"/>
  <c r="H1902" i="2"/>
  <c r="C1903" i="2"/>
  <c r="J1902" i="2" l="1"/>
  <c r="K1902" i="2" s="1"/>
  <c r="D1902" i="2"/>
  <c r="L1902" i="2"/>
  <c r="B1903" i="2"/>
  <c r="A1903" i="2"/>
  <c r="M1903" i="2"/>
  <c r="G1903" i="2"/>
  <c r="I1903" i="2"/>
  <c r="F1903" i="2"/>
  <c r="E1903" i="2"/>
  <c r="H1903" i="2"/>
  <c r="C1904" i="2"/>
  <c r="J1903" i="2" l="1"/>
  <c r="K1903" i="2" s="1"/>
  <c r="D1903" i="2"/>
  <c r="L1903" i="2"/>
  <c r="A1904" i="2"/>
  <c r="B1904" i="2"/>
  <c r="H1904" i="2"/>
  <c r="F1904" i="2"/>
  <c r="E1904" i="2"/>
  <c r="I1904" i="2"/>
  <c r="M1904" i="2"/>
  <c r="G1904" i="2"/>
  <c r="C1905" i="2"/>
  <c r="D1904" i="2" l="1"/>
  <c r="J1904" i="2"/>
  <c r="K1904" i="2" s="1"/>
  <c r="L1904" i="2"/>
  <c r="A1905" i="2"/>
  <c r="B1905" i="2"/>
  <c r="M1905" i="2"/>
  <c r="E1905" i="2"/>
  <c r="H1905" i="2"/>
  <c r="F1905" i="2"/>
  <c r="I1905" i="2"/>
  <c r="G1905" i="2"/>
  <c r="C1906" i="2"/>
  <c r="D1905" i="2" l="1"/>
  <c r="J1905" i="2"/>
  <c r="K1905" i="2" s="1"/>
  <c r="L1905" i="2"/>
  <c r="B1906" i="2"/>
  <c r="A1906" i="2"/>
  <c r="E1906" i="2"/>
  <c r="F1906" i="2"/>
  <c r="I1906" i="2"/>
  <c r="M1906" i="2"/>
  <c r="G1906" i="2"/>
  <c r="H1906" i="2"/>
  <c r="C1907" i="2"/>
  <c r="J1906" i="2" l="1"/>
  <c r="K1906" i="2" s="1"/>
  <c r="D1906" i="2"/>
  <c r="L1906" i="2"/>
  <c r="A1907" i="2"/>
  <c r="B1907" i="2"/>
  <c r="I1907" i="2"/>
  <c r="F1907" i="2"/>
  <c r="G1907" i="2"/>
  <c r="M1907" i="2"/>
  <c r="E1907" i="2"/>
  <c r="H1907" i="2"/>
  <c r="C1908" i="2"/>
  <c r="J1907" i="2" l="1"/>
  <c r="K1907" i="2" s="1"/>
  <c r="D1907" i="2"/>
  <c r="L1907" i="2"/>
  <c r="A1908" i="2"/>
  <c r="B1908" i="2"/>
  <c r="M1908" i="2"/>
  <c r="E1908" i="2"/>
  <c r="G1908" i="2"/>
  <c r="H1908" i="2"/>
  <c r="I1908" i="2"/>
  <c r="F1908" i="2"/>
  <c r="C1909" i="2"/>
  <c r="D1908" i="2" l="1"/>
  <c r="J1908" i="2"/>
  <c r="K1908" i="2" s="1"/>
  <c r="L1908" i="2"/>
  <c r="B1909" i="2"/>
  <c r="A1909" i="2"/>
  <c r="H1909" i="2"/>
  <c r="M1909" i="2"/>
  <c r="G1909" i="2"/>
  <c r="I1909" i="2"/>
  <c r="E1909" i="2"/>
  <c r="F1909" i="2"/>
  <c r="C1910" i="2"/>
  <c r="D1909" i="2" l="1"/>
  <c r="J1909" i="2"/>
  <c r="K1909" i="2" s="1"/>
  <c r="L1909" i="2"/>
  <c r="B1910" i="2"/>
  <c r="A1910" i="2"/>
  <c r="F1910" i="2"/>
  <c r="M1910" i="2"/>
  <c r="G1910" i="2"/>
  <c r="H1910" i="2"/>
  <c r="I1910" i="2"/>
  <c r="E1910" i="2"/>
  <c r="C1911" i="2"/>
  <c r="D1910" i="2" l="1"/>
  <c r="J1910" i="2"/>
  <c r="K1910" i="2" s="1"/>
  <c r="L1910" i="2"/>
  <c r="B1911" i="2"/>
  <c r="A1911" i="2"/>
  <c r="G1911" i="2"/>
  <c r="I1911" i="2"/>
  <c r="H1911" i="2"/>
  <c r="F1911" i="2"/>
  <c r="M1911" i="2"/>
  <c r="E1911" i="2"/>
  <c r="C1912" i="2"/>
  <c r="D1911" i="2" l="1"/>
  <c r="J1911" i="2"/>
  <c r="K1911" i="2" s="1"/>
  <c r="L1911" i="2"/>
  <c r="A1912" i="2"/>
  <c r="B1912" i="2"/>
  <c r="F1912" i="2"/>
  <c r="I1912" i="2"/>
  <c r="M1912" i="2"/>
  <c r="G1912" i="2"/>
  <c r="E1912" i="2"/>
  <c r="H1912" i="2"/>
  <c r="C1913" i="2"/>
  <c r="J1912" i="2" l="1"/>
  <c r="K1912" i="2" s="1"/>
  <c r="D1912" i="2"/>
  <c r="L1912" i="2"/>
  <c r="B1913" i="2"/>
  <c r="A1913" i="2"/>
  <c r="G1913" i="2"/>
  <c r="F1913" i="2"/>
  <c r="E1913" i="2"/>
  <c r="H1913" i="2"/>
  <c r="I1913" i="2"/>
  <c r="M1913" i="2"/>
  <c r="C1914" i="2"/>
  <c r="J1913" i="2" l="1"/>
  <c r="K1913" i="2" s="1"/>
  <c r="D1913" i="2"/>
  <c r="L1913" i="2"/>
  <c r="A1914" i="2"/>
  <c r="B1914" i="2"/>
  <c r="G1914" i="2"/>
  <c r="M1914" i="2"/>
  <c r="E1914" i="2"/>
  <c r="F1914" i="2"/>
  <c r="H1914" i="2"/>
  <c r="I1914" i="2"/>
  <c r="C1915" i="2"/>
  <c r="J1914" i="2" l="1"/>
  <c r="K1914" i="2" s="1"/>
  <c r="D1914" i="2"/>
  <c r="L1914" i="2"/>
  <c r="B1915" i="2"/>
  <c r="A1915" i="2"/>
  <c r="G1915" i="2"/>
  <c r="H1915" i="2"/>
  <c r="F1915" i="2"/>
  <c r="I1915" i="2"/>
  <c r="E1915" i="2"/>
  <c r="M1915" i="2"/>
  <c r="C1916" i="2"/>
  <c r="D1915" i="2" l="1"/>
  <c r="J1915" i="2"/>
  <c r="K1915" i="2" s="1"/>
  <c r="L1915" i="2"/>
  <c r="A1916" i="2"/>
  <c r="B1916" i="2"/>
  <c r="I1916" i="2"/>
  <c r="H1916" i="2"/>
  <c r="F1916" i="2"/>
  <c r="M1916" i="2"/>
  <c r="G1916" i="2"/>
  <c r="E1916" i="2"/>
  <c r="C1917" i="2"/>
  <c r="D1916" i="2" l="1"/>
  <c r="J1916" i="2"/>
  <c r="K1916" i="2" s="1"/>
  <c r="L1916" i="2"/>
  <c r="A1917" i="2"/>
  <c r="B1917" i="2"/>
  <c r="I1917" i="2"/>
  <c r="G1917" i="2"/>
  <c r="F1917" i="2"/>
  <c r="M1917" i="2"/>
  <c r="H1917" i="2"/>
  <c r="E1917" i="2"/>
  <c r="C1918" i="2"/>
  <c r="D1917" i="2" l="1"/>
  <c r="J1917" i="2"/>
  <c r="K1917" i="2" s="1"/>
  <c r="L1917" i="2"/>
  <c r="B1918" i="2"/>
  <c r="A1918" i="2"/>
  <c r="G1918" i="2"/>
  <c r="F1918" i="2"/>
  <c r="I1918" i="2"/>
  <c r="M1918" i="2"/>
  <c r="E1918" i="2"/>
  <c r="H1918" i="2"/>
  <c r="C1919" i="2"/>
  <c r="D1918" i="2" l="1"/>
  <c r="J1918" i="2"/>
  <c r="K1918" i="2" s="1"/>
  <c r="L1918" i="2"/>
  <c r="B1919" i="2"/>
  <c r="A1919" i="2"/>
  <c r="F1919" i="2"/>
  <c r="M1919" i="2"/>
  <c r="E1919" i="2"/>
  <c r="G1919" i="2"/>
  <c r="I1919" i="2"/>
  <c r="H1919" i="2"/>
  <c r="C1920" i="2"/>
  <c r="D1919" i="2" l="1"/>
  <c r="J1919" i="2"/>
  <c r="K1919" i="2" s="1"/>
  <c r="L1919" i="2"/>
  <c r="A1920" i="2"/>
  <c r="B1920" i="2"/>
  <c r="I1920" i="2"/>
  <c r="H1920" i="2"/>
  <c r="M1920" i="2"/>
  <c r="F1920" i="2"/>
  <c r="G1920" i="2"/>
  <c r="E1920" i="2"/>
  <c r="C1921" i="2"/>
  <c r="J1920" i="2" l="1"/>
  <c r="K1920" i="2" s="1"/>
  <c r="D1920" i="2"/>
  <c r="L1920" i="2"/>
  <c r="A1921" i="2"/>
  <c r="B1921" i="2"/>
  <c r="E1921" i="2"/>
  <c r="G1921" i="2"/>
  <c r="I1921" i="2"/>
  <c r="H1921" i="2"/>
  <c r="M1921" i="2"/>
  <c r="F1921" i="2"/>
  <c r="C1922" i="2"/>
  <c r="D1921" i="2" l="1"/>
  <c r="J1921" i="2"/>
  <c r="K1921" i="2" s="1"/>
  <c r="L1921" i="2"/>
  <c r="B1922" i="2"/>
  <c r="A1922" i="2"/>
  <c r="M1922" i="2"/>
  <c r="F1922" i="2"/>
  <c r="E1922" i="2"/>
  <c r="H1922" i="2"/>
  <c r="G1922" i="2"/>
  <c r="I1922" i="2"/>
  <c r="C1923" i="2"/>
  <c r="J1922" i="2" l="1"/>
  <c r="K1922" i="2" s="1"/>
  <c r="D1922" i="2"/>
  <c r="L1922" i="2"/>
  <c r="A1923" i="2"/>
  <c r="B1923" i="2"/>
  <c r="I1923" i="2"/>
  <c r="H1923" i="2"/>
  <c r="E1923" i="2"/>
  <c r="M1923" i="2"/>
  <c r="G1923" i="2"/>
  <c r="F1923" i="2"/>
  <c r="C1924" i="2"/>
  <c r="D1923" i="2" l="1"/>
  <c r="J1923" i="2"/>
  <c r="K1923" i="2" s="1"/>
  <c r="L1923" i="2"/>
  <c r="A1924" i="2"/>
  <c r="B1924" i="2"/>
  <c r="M1924" i="2"/>
  <c r="E1924" i="2"/>
  <c r="I1924" i="2"/>
  <c r="H1924" i="2"/>
  <c r="G1924" i="2"/>
  <c r="F1924" i="2"/>
  <c r="C1925" i="2"/>
  <c r="J1924" i="2" l="1"/>
  <c r="K1924" i="2" s="1"/>
  <c r="D1924" i="2"/>
  <c r="L1924" i="2"/>
  <c r="B1925" i="2"/>
  <c r="A1925" i="2"/>
  <c r="F1925" i="2"/>
  <c r="E1925" i="2"/>
  <c r="G1925" i="2"/>
  <c r="M1925" i="2"/>
  <c r="I1925" i="2"/>
  <c r="H1925" i="2"/>
  <c r="C1926" i="2"/>
  <c r="D1925" i="2" l="1"/>
  <c r="J1925" i="2"/>
  <c r="K1925" i="2" s="1"/>
  <c r="L1925" i="2"/>
  <c r="B1926" i="2"/>
  <c r="A1926" i="2"/>
  <c r="I1926" i="2"/>
  <c r="E1926" i="2"/>
  <c r="F1926" i="2"/>
  <c r="M1926" i="2"/>
  <c r="G1926" i="2"/>
  <c r="H1926" i="2"/>
  <c r="C1927" i="2"/>
  <c r="D1926" i="2" l="1"/>
  <c r="J1926" i="2"/>
  <c r="K1926" i="2" s="1"/>
  <c r="L1926" i="2"/>
  <c r="B1927" i="2"/>
  <c r="A1927" i="2"/>
  <c r="H1927" i="2"/>
  <c r="I1927" i="2"/>
  <c r="E1927" i="2"/>
  <c r="G1927" i="2"/>
  <c r="M1927" i="2"/>
  <c r="F1927" i="2"/>
  <c r="C1928" i="2"/>
  <c r="D1927" i="2" l="1"/>
  <c r="J1927" i="2"/>
  <c r="K1927" i="2" s="1"/>
  <c r="L1927" i="2"/>
  <c r="A1928" i="2"/>
  <c r="B1928" i="2"/>
  <c r="M1928" i="2"/>
  <c r="I1928" i="2"/>
  <c r="E1928" i="2"/>
  <c r="G1928" i="2"/>
  <c r="F1928" i="2"/>
  <c r="H1928" i="2"/>
  <c r="C1929" i="2"/>
  <c r="D1928" i="2" l="1"/>
  <c r="J1928" i="2"/>
  <c r="K1928" i="2" s="1"/>
  <c r="A1929" i="2"/>
  <c r="B1929" i="2"/>
  <c r="F1929" i="2"/>
  <c r="G1929" i="2"/>
  <c r="I1929" i="2"/>
  <c r="M1929" i="2"/>
  <c r="E1929" i="2"/>
  <c r="H1929" i="2"/>
  <c r="C1930" i="2"/>
  <c r="J1929" i="2" l="1"/>
  <c r="K1929" i="2" s="1"/>
  <c r="D1929" i="2"/>
  <c r="A1930" i="2"/>
  <c r="B1930" i="2"/>
  <c r="F1930" i="2"/>
  <c r="M1930" i="2"/>
  <c r="G1930" i="2"/>
  <c r="I1930" i="2"/>
  <c r="E1930" i="2"/>
  <c r="H1930" i="2"/>
  <c r="C1931" i="2"/>
  <c r="J1930" i="2" l="1"/>
  <c r="K1930" i="2" s="1"/>
  <c r="D1930" i="2"/>
  <c r="B1931" i="2"/>
  <c r="A1931" i="2"/>
  <c r="F1931" i="2"/>
  <c r="G1931" i="2"/>
  <c r="H1931" i="2"/>
  <c r="M1931" i="2"/>
  <c r="E1931" i="2"/>
  <c r="I1931" i="2"/>
  <c r="C1932" i="2"/>
  <c r="J1931" i="2" l="1"/>
  <c r="K1931" i="2" s="1"/>
  <c r="D1931" i="2"/>
  <c r="L1931" i="2"/>
  <c r="A1932" i="2"/>
  <c r="B1932" i="2"/>
  <c r="H1932" i="2"/>
  <c r="F1932" i="2"/>
  <c r="I1932" i="2"/>
  <c r="M1932" i="2"/>
  <c r="E1932" i="2"/>
  <c r="G1932" i="2"/>
  <c r="C1933" i="2"/>
  <c r="D1932" i="2" l="1"/>
  <c r="J1932" i="2"/>
  <c r="K1932" i="2" s="1"/>
  <c r="L1932" i="2"/>
  <c r="B1933" i="2"/>
  <c r="A1933" i="2"/>
  <c r="I1933" i="2"/>
  <c r="F1933" i="2"/>
  <c r="E1933" i="2"/>
  <c r="G1933" i="2"/>
  <c r="M1933" i="2"/>
  <c r="H1933" i="2"/>
  <c r="C1934" i="2"/>
  <c r="J1933" i="2" l="1"/>
  <c r="K1933" i="2" s="1"/>
  <c r="D1933" i="2"/>
  <c r="L1933" i="2"/>
  <c r="B1934" i="2"/>
  <c r="A1934" i="2"/>
  <c r="G1934" i="2"/>
  <c r="I1934" i="2"/>
  <c r="H1934" i="2"/>
  <c r="E1934" i="2"/>
  <c r="F1934" i="2"/>
  <c r="M1934" i="2"/>
  <c r="C1935" i="2"/>
  <c r="D1934" i="2" l="1"/>
  <c r="J1934" i="2"/>
  <c r="K1934" i="2" s="1"/>
  <c r="L1934" i="2"/>
  <c r="B1935" i="2"/>
  <c r="A1935" i="2"/>
  <c r="H1935" i="2"/>
  <c r="M1935" i="2"/>
  <c r="F1935" i="2"/>
  <c r="I1935" i="2"/>
  <c r="G1935" i="2"/>
  <c r="E1935" i="2"/>
  <c r="C1936" i="2"/>
  <c r="D1935" i="2" l="1"/>
  <c r="J1935" i="2"/>
  <c r="K1935" i="2" s="1"/>
  <c r="L1935" i="2"/>
  <c r="A1936" i="2"/>
  <c r="B1936" i="2"/>
  <c r="F1936" i="2"/>
  <c r="E1936" i="2"/>
  <c r="I1936" i="2"/>
  <c r="H1936" i="2"/>
  <c r="G1936" i="2"/>
  <c r="M1936" i="2"/>
  <c r="C1937" i="2"/>
  <c r="J1936" i="2" l="1"/>
  <c r="K1936" i="2" s="1"/>
  <c r="D1936" i="2"/>
  <c r="L1936" i="2"/>
  <c r="A1937" i="2"/>
  <c r="B1937" i="2"/>
  <c r="G1937" i="2"/>
  <c r="H1937" i="2"/>
  <c r="M1937" i="2"/>
  <c r="E1937" i="2"/>
  <c r="F1937" i="2"/>
  <c r="I1937" i="2"/>
  <c r="C1938" i="2"/>
  <c r="J1937" i="2" l="1"/>
  <c r="K1937" i="2" s="1"/>
  <c r="D1937" i="2"/>
  <c r="L1937" i="2"/>
  <c r="A1938" i="2"/>
  <c r="B1938" i="2"/>
  <c r="M1938" i="2"/>
  <c r="E1938" i="2"/>
  <c r="F1938" i="2"/>
  <c r="G1938" i="2"/>
  <c r="H1938" i="2"/>
  <c r="I1938" i="2"/>
  <c r="C1939" i="2"/>
  <c r="J1938" i="2" l="1"/>
  <c r="K1938" i="2" s="1"/>
  <c r="D1938" i="2"/>
  <c r="L1938" i="2"/>
  <c r="A1939" i="2"/>
  <c r="B1939" i="2"/>
  <c r="H1939" i="2"/>
  <c r="I1939" i="2"/>
  <c r="G1939" i="2"/>
  <c r="M1939" i="2"/>
  <c r="E1939" i="2"/>
  <c r="F1939" i="2"/>
  <c r="C1940" i="2"/>
  <c r="J1939" i="2" l="1"/>
  <c r="K1939" i="2" s="1"/>
  <c r="D1939" i="2"/>
  <c r="L1939" i="2"/>
  <c r="A1940" i="2"/>
  <c r="B1940" i="2"/>
  <c r="G1940" i="2"/>
  <c r="F1940" i="2"/>
  <c r="M1940" i="2"/>
  <c r="I1940" i="2"/>
  <c r="E1940" i="2"/>
  <c r="H1940" i="2"/>
  <c r="C1941" i="2"/>
  <c r="J1940" i="2" l="1"/>
  <c r="K1940" i="2" s="1"/>
  <c r="D1940" i="2"/>
  <c r="L1940" i="2"/>
  <c r="B1941" i="2"/>
  <c r="A1941" i="2"/>
  <c r="G1941" i="2"/>
  <c r="M1941" i="2"/>
  <c r="H1941" i="2"/>
  <c r="F1941" i="2"/>
  <c r="I1941" i="2"/>
  <c r="E1941" i="2"/>
  <c r="C1942" i="2"/>
  <c r="D1941" i="2" l="1"/>
  <c r="J1941" i="2"/>
  <c r="K1941" i="2" s="1"/>
  <c r="L1941" i="2"/>
  <c r="A1942" i="2"/>
  <c r="B1942" i="2"/>
  <c r="M1942" i="2"/>
  <c r="H1942" i="2"/>
  <c r="I1942" i="2"/>
  <c r="F1942" i="2"/>
  <c r="G1942" i="2"/>
  <c r="E1942" i="2"/>
  <c r="C1943" i="2"/>
  <c r="D1942" i="2" l="1"/>
  <c r="J1942" i="2"/>
  <c r="K1942" i="2" s="1"/>
  <c r="L1942" i="2"/>
  <c r="B1943" i="2"/>
  <c r="A1943" i="2"/>
  <c r="G1943" i="2"/>
  <c r="E1943" i="2"/>
  <c r="I1943" i="2"/>
  <c r="M1943" i="2"/>
  <c r="H1943" i="2"/>
  <c r="F1943" i="2"/>
  <c r="C1944" i="2"/>
  <c r="J1943" i="2" l="1"/>
  <c r="K1943" i="2" s="1"/>
  <c r="D1943" i="2"/>
  <c r="L1943" i="2"/>
  <c r="A1944" i="2"/>
  <c r="B1944" i="2"/>
  <c r="F1944" i="2"/>
  <c r="E1944" i="2"/>
  <c r="M1944" i="2"/>
  <c r="I1944" i="2"/>
  <c r="G1944" i="2"/>
  <c r="H1944" i="2"/>
  <c r="C1945" i="2"/>
  <c r="J1944" i="2" l="1"/>
  <c r="K1944" i="2" s="1"/>
  <c r="D1944" i="2"/>
  <c r="L1944" i="2"/>
  <c r="B1945" i="2"/>
  <c r="A1945" i="2"/>
  <c r="F1945" i="2"/>
  <c r="G1945" i="2"/>
  <c r="H1945" i="2"/>
  <c r="M1945" i="2"/>
  <c r="I1945" i="2"/>
  <c r="E1945" i="2"/>
  <c r="C1946" i="2"/>
  <c r="J1945" i="2" l="1"/>
  <c r="K1945" i="2" s="1"/>
  <c r="D1945" i="2"/>
  <c r="L1945" i="2"/>
  <c r="A1946" i="2"/>
  <c r="B1946" i="2"/>
  <c r="F1946" i="2"/>
  <c r="I1946" i="2"/>
  <c r="H1946" i="2"/>
  <c r="G1946" i="2"/>
  <c r="M1946" i="2"/>
  <c r="E1946" i="2"/>
  <c r="C1947" i="2"/>
  <c r="D1946" i="2" l="1"/>
  <c r="J1946" i="2"/>
  <c r="K1946" i="2" s="1"/>
  <c r="L1946" i="2"/>
  <c r="B1947" i="2"/>
  <c r="A1947" i="2"/>
  <c r="E1947" i="2"/>
  <c r="M1947" i="2"/>
  <c r="G1947" i="2"/>
  <c r="H1947" i="2"/>
  <c r="F1947" i="2"/>
  <c r="I1947" i="2"/>
  <c r="C1948" i="2"/>
  <c r="D1947" i="2" l="1"/>
  <c r="J1947" i="2"/>
  <c r="K1947" i="2" s="1"/>
  <c r="L1947" i="2"/>
  <c r="A1948" i="2"/>
  <c r="B1948" i="2"/>
  <c r="F1948" i="2"/>
  <c r="I1948" i="2"/>
  <c r="E1948" i="2"/>
  <c r="H1948" i="2"/>
  <c r="M1948" i="2"/>
  <c r="G1948" i="2"/>
  <c r="C1949" i="2"/>
  <c r="D1948" i="2" l="1"/>
  <c r="J1948" i="2"/>
  <c r="K1948" i="2" s="1"/>
  <c r="L1948" i="2"/>
  <c r="A1949" i="2"/>
  <c r="B1949" i="2"/>
  <c r="E1949" i="2"/>
  <c r="M1949" i="2"/>
  <c r="I1949" i="2"/>
  <c r="H1949" i="2"/>
  <c r="F1949" i="2"/>
  <c r="G1949" i="2"/>
  <c r="C1950" i="2"/>
  <c r="J1949" i="2" l="1"/>
  <c r="K1949" i="2" s="1"/>
  <c r="D1949" i="2"/>
  <c r="L1949" i="2"/>
  <c r="B1950" i="2"/>
  <c r="A1950" i="2"/>
  <c r="M1950" i="2"/>
  <c r="F1950" i="2"/>
  <c r="I1950" i="2"/>
  <c r="H1950" i="2"/>
  <c r="E1950" i="2"/>
  <c r="G1950" i="2"/>
  <c r="C1951" i="2"/>
  <c r="D1950" i="2" l="1"/>
  <c r="J1950" i="2"/>
  <c r="K1950" i="2" s="1"/>
  <c r="L1950" i="2"/>
  <c r="B1951" i="2"/>
  <c r="A1951" i="2"/>
  <c r="M1951" i="2"/>
  <c r="G1951" i="2"/>
  <c r="F1951" i="2"/>
  <c r="H1951" i="2"/>
  <c r="I1951" i="2"/>
  <c r="E1951" i="2"/>
  <c r="C1952" i="2"/>
  <c r="D1951" i="2" l="1"/>
  <c r="J1951" i="2"/>
  <c r="K1951" i="2" s="1"/>
  <c r="L1951" i="2"/>
  <c r="A1952" i="2"/>
  <c r="B1952" i="2"/>
  <c r="E1952" i="2"/>
  <c r="I1952" i="2"/>
  <c r="M1952" i="2"/>
  <c r="G1952" i="2"/>
  <c r="H1952" i="2"/>
  <c r="F1952" i="2"/>
  <c r="C1953" i="2"/>
  <c r="J1952" i="2" l="1"/>
  <c r="K1952" i="2" s="1"/>
  <c r="D1952" i="2"/>
  <c r="L1952" i="2"/>
  <c r="A1953" i="2"/>
  <c r="B1953" i="2"/>
  <c r="H1953" i="2"/>
  <c r="I1953" i="2"/>
  <c r="F1953" i="2"/>
  <c r="E1953" i="2"/>
  <c r="G1953" i="2"/>
  <c r="M1953" i="2"/>
  <c r="C1954" i="2"/>
  <c r="D1953" i="2" l="1"/>
  <c r="J1953" i="2"/>
  <c r="K1953" i="2" s="1"/>
  <c r="L1953" i="2"/>
  <c r="B1954" i="2"/>
  <c r="A1954" i="2"/>
  <c r="H1954" i="2"/>
  <c r="E1954" i="2"/>
  <c r="I1954" i="2"/>
  <c r="F1954" i="2"/>
  <c r="M1954" i="2"/>
  <c r="G1954" i="2"/>
  <c r="C1955" i="2"/>
  <c r="J1954" i="2" l="1"/>
  <c r="K1954" i="2" s="1"/>
  <c r="D1954" i="2"/>
  <c r="L1954" i="2"/>
  <c r="A1955" i="2"/>
  <c r="B1955" i="2"/>
  <c r="G1955" i="2"/>
  <c r="I1955" i="2"/>
  <c r="M1955" i="2"/>
  <c r="H1955" i="2"/>
  <c r="E1955" i="2"/>
  <c r="F1955" i="2"/>
  <c r="C1956" i="2"/>
  <c r="D1955" i="2" l="1"/>
  <c r="J1955" i="2"/>
  <c r="K1955" i="2" s="1"/>
  <c r="L1955" i="2"/>
  <c r="A1956" i="2"/>
  <c r="B1956" i="2"/>
  <c r="H1956" i="2"/>
  <c r="G1956" i="2"/>
  <c r="I1956" i="2"/>
  <c r="E1956" i="2"/>
  <c r="F1956" i="2"/>
  <c r="M1956" i="2"/>
  <c r="C1957" i="2"/>
  <c r="D1956" i="2" l="1"/>
  <c r="J1956" i="2"/>
  <c r="K1956" i="2" s="1"/>
  <c r="L1956" i="2"/>
  <c r="B1957" i="2"/>
  <c r="A1957" i="2"/>
  <c r="M1957" i="2"/>
  <c r="I1957" i="2"/>
  <c r="G1957" i="2"/>
  <c r="F1957" i="2"/>
  <c r="E1957" i="2"/>
  <c r="H1957" i="2"/>
  <c r="C1958" i="2"/>
  <c r="J1957" i="2" l="1"/>
  <c r="K1957" i="2" s="1"/>
  <c r="D1957" i="2"/>
  <c r="L1957" i="2"/>
  <c r="B1958" i="2"/>
  <c r="A1958" i="2"/>
  <c r="M1958" i="2"/>
  <c r="H1958" i="2"/>
  <c r="E1958" i="2"/>
  <c r="I1958" i="2"/>
  <c r="F1958" i="2"/>
  <c r="G1958" i="2"/>
  <c r="C1959" i="2"/>
  <c r="J1958" i="2" l="1"/>
  <c r="K1958" i="2" s="1"/>
  <c r="D1958" i="2"/>
  <c r="L1958" i="2"/>
  <c r="B1959" i="2"/>
  <c r="A1959" i="2"/>
  <c r="M1959" i="2"/>
  <c r="H1959" i="2"/>
  <c r="I1959" i="2"/>
  <c r="F1959" i="2"/>
  <c r="E1959" i="2"/>
  <c r="G1959" i="2"/>
  <c r="C1960" i="2"/>
  <c r="D1959" i="2" l="1"/>
  <c r="J1959" i="2"/>
  <c r="K1959" i="2" s="1"/>
  <c r="L1959" i="2"/>
  <c r="A1960" i="2"/>
  <c r="B1960" i="2"/>
  <c r="G1960" i="2"/>
  <c r="E1960" i="2"/>
  <c r="F1960" i="2"/>
  <c r="I1960" i="2"/>
  <c r="H1960" i="2"/>
  <c r="M1960" i="2"/>
  <c r="C1961" i="2"/>
  <c r="J1960" i="2" l="1"/>
  <c r="K1960" i="2" s="1"/>
  <c r="D1960" i="2"/>
  <c r="L1960" i="2"/>
  <c r="A1961" i="2"/>
  <c r="B1961" i="2"/>
  <c r="G1961" i="2"/>
  <c r="H1961" i="2"/>
  <c r="M1961" i="2"/>
  <c r="I1961" i="2"/>
  <c r="F1961" i="2"/>
  <c r="E1961" i="2"/>
  <c r="C1962" i="2"/>
  <c r="J1961" i="2" l="1"/>
  <c r="K1961" i="2" s="1"/>
  <c r="D1961" i="2"/>
  <c r="L1961" i="2"/>
  <c r="A1962" i="2"/>
  <c r="B1962" i="2"/>
  <c r="H1962" i="2"/>
  <c r="M1962" i="2"/>
  <c r="F1962" i="2"/>
  <c r="I1962" i="2"/>
  <c r="G1962" i="2"/>
  <c r="E1962" i="2"/>
  <c r="C1963" i="2"/>
  <c r="J1962" i="2" l="1"/>
  <c r="K1962" i="2" s="1"/>
  <c r="D1962" i="2"/>
  <c r="L1962" i="2"/>
  <c r="B1963" i="2"/>
  <c r="A1963" i="2"/>
  <c r="F1963" i="2"/>
  <c r="G1963" i="2"/>
  <c r="E1963" i="2"/>
  <c r="I1963" i="2"/>
  <c r="H1963" i="2"/>
  <c r="M1963" i="2"/>
  <c r="C1964" i="2"/>
  <c r="J1963" i="2" l="1"/>
  <c r="K1963" i="2" s="1"/>
  <c r="D1963" i="2"/>
  <c r="L1963" i="2"/>
  <c r="A1964" i="2"/>
  <c r="B1964" i="2"/>
  <c r="F1964" i="2"/>
  <c r="I1964" i="2"/>
  <c r="G1964" i="2"/>
  <c r="E1964" i="2"/>
  <c r="H1964" i="2"/>
  <c r="M1964" i="2"/>
  <c r="C1965" i="2"/>
  <c r="D1964" i="2" l="1"/>
  <c r="J1964" i="2"/>
  <c r="K1964" i="2" s="1"/>
  <c r="L1964" i="2"/>
  <c r="A1965" i="2"/>
  <c r="B1965" i="2"/>
  <c r="M1965" i="2"/>
  <c r="E1965" i="2"/>
  <c r="G1965" i="2"/>
  <c r="I1965" i="2"/>
  <c r="F1965" i="2"/>
  <c r="H1965" i="2"/>
  <c r="C1966" i="2"/>
  <c r="D1965" i="2" l="1"/>
  <c r="J1965" i="2"/>
  <c r="K1965" i="2" s="1"/>
  <c r="L1965" i="2"/>
  <c r="B1966" i="2"/>
  <c r="A1966" i="2"/>
  <c r="I1966" i="2"/>
  <c r="G1966" i="2"/>
  <c r="E1966" i="2"/>
  <c r="H1966" i="2"/>
  <c r="M1966" i="2"/>
  <c r="F1966" i="2"/>
  <c r="C1967" i="2"/>
  <c r="D1966" i="2" l="1"/>
  <c r="J1966" i="2"/>
  <c r="K1966" i="2" s="1"/>
  <c r="L1966" i="2"/>
  <c r="A1967" i="2"/>
  <c r="B1967" i="2"/>
  <c r="M1967" i="2"/>
  <c r="G1967" i="2"/>
  <c r="H1967" i="2"/>
  <c r="E1967" i="2"/>
  <c r="F1967" i="2"/>
  <c r="I1967" i="2"/>
  <c r="C1968" i="2"/>
  <c r="D1967" i="2" l="1"/>
  <c r="J1967" i="2"/>
  <c r="K1967" i="2" s="1"/>
  <c r="L1967" i="2"/>
  <c r="A1968" i="2"/>
  <c r="B1968" i="2"/>
  <c r="I1968" i="2"/>
  <c r="F1968" i="2"/>
  <c r="G1968" i="2"/>
  <c r="E1968" i="2"/>
  <c r="H1968" i="2"/>
  <c r="M1968" i="2"/>
  <c r="C1969" i="2"/>
  <c r="D1968" i="2" l="1"/>
  <c r="J1968" i="2"/>
  <c r="K1968" i="2" s="1"/>
  <c r="L1968" i="2"/>
  <c r="B1969" i="2"/>
  <c r="A1969" i="2"/>
  <c r="G1969" i="2"/>
  <c r="M1969" i="2"/>
  <c r="F1969" i="2"/>
  <c r="I1969" i="2"/>
  <c r="E1969" i="2"/>
  <c r="H1969" i="2"/>
  <c r="C1970" i="2"/>
  <c r="J1969" i="2" l="1"/>
  <c r="K1969" i="2" s="1"/>
  <c r="D1969" i="2"/>
  <c r="L1969" i="2"/>
  <c r="B1970" i="2"/>
  <c r="A1970" i="2"/>
  <c r="M1970" i="2"/>
  <c r="I1970" i="2"/>
  <c r="E1970" i="2"/>
  <c r="F1970" i="2"/>
  <c r="G1970" i="2"/>
  <c r="H1970" i="2"/>
  <c r="C1971" i="2"/>
  <c r="J1970" i="2" l="1"/>
  <c r="K1970" i="2" s="1"/>
  <c r="D1970" i="2"/>
  <c r="L1970" i="2"/>
  <c r="B1971" i="2"/>
  <c r="A1971" i="2"/>
  <c r="M1971" i="2"/>
  <c r="H1971" i="2"/>
  <c r="F1971" i="2"/>
  <c r="I1971" i="2"/>
  <c r="G1971" i="2"/>
  <c r="E1971" i="2"/>
  <c r="C1972" i="2"/>
  <c r="D1971" i="2" l="1"/>
  <c r="J1971" i="2"/>
  <c r="K1971" i="2" s="1"/>
  <c r="L1971" i="2"/>
  <c r="A1972" i="2"/>
  <c r="B1972" i="2"/>
  <c r="I1972" i="2"/>
  <c r="E1972" i="2"/>
  <c r="M1972" i="2"/>
  <c r="H1972" i="2"/>
  <c r="G1972" i="2"/>
  <c r="F1972" i="2"/>
  <c r="C1973" i="2"/>
  <c r="J1972" i="2" l="1"/>
  <c r="K1972" i="2" s="1"/>
  <c r="D1972" i="2"/>
  <c r="L1972" i="2"/>
  <c r="B1973" i="2"/>
  <c r="A1973" i="2"/>
  <c r="G1973" i="2"/>
  <c r="E1973" i="2"/>
  <c r="F1973" i="2"/>
  <c r="H1973" i="2"/>
  <c r="I1973" i="2"/>
  <c r="M1973" i="2"/>
  <c r="C1974" i="2"/>
  <c r="J1973" i="2" l="1"/>
  <c r="K1973" i="2" s="1"/>
  <c r="D1973" i="2"/>
  <c r="L1973" i="2"/>
  <c r="B1974" i="2"/>
  <c r="A1974" i="2"/>
  <c r="H1974" i="2"/>
  <c r="I1974" i="2"/>
  <c r="F1974" i="2"/>
  <c r="G1974" i="2"/>
  <c r="E1974" i="2"/>
  <c r="M1974" i="2"/>
  <c r="C1975" i="2"/>
  <c r="D1974" i="2" l="1"/>
  <c r="J1974" i="2"/>
  <c r="K1974" i="2" s="1"/>
  <c r="L1974" i="2"/>
  <c r="B1975" i="2"/>
  <c r="A1975" i="2"/>
  <c r="G1975" i="2"/>
  <c r="H1975" i="2"/>
  <c r="M1975" i="2"/>
  <c r="E1975" i="2"/>
  <c r="F1975" i="2"/>
  <c r="I1975" i="2"/>
  <c r="C1976" i="2"/>
  <c r="J1975" i="2" l="1"/>
  <c r="K1975" i="2" s="1"/>
  <c r="D1975" i="2"/>
  <c r="L1975" i="2"/>
  <c r="A1976" i="2"/>
  <c r="B1976" i="2"/>
  <c r="I1976" i="2"/>
  <c r="H1976" i="2"/>
  <c r="F1976" i="2"/>
  <c r="E1976" i="2"/>
  <c r="M1976" i="2"/>
  <c r="G1976" i="2"/>
  <c r="C1977" i="2"/>
  <c r="D1976" i="2" l="1"/>
  <c r="J1976" i="2"/>
  <c r="K1976" i="2" s="1"/>
  <c r="L1976" i="2"/>
  <c r="B1977" i="2"/>
  <c r="A1977" i="2"/>
  <c r="E1977" i="2"/>
  <c r="M1977" i="2"/>
  <c r="I1977" i="2"/>
  <c r="H1977" i="2"/>
  <c r="G1977" i="2"/>
  <c r="F1977" i="2"/>
  <c r="C1978" i="2"/>
  <c r="J1977" i="2" l="1"/>
  <c r="K1977" i="2" s="1"/>
  <c r="D1977" i="2"/>
  <c r="L1977" i="2"/>
  <c r="B1978" i="2"/>
  <c r="A1978" i="2"/>
  <c r="F1978" i="2"/>
  <c r="H1978" i="2"/>
  <c r="M1978" i="2"/>
  <c r="I1978" i="2"/>
  <c r="G1978" i="2"/>
  <c r="E1978" i="2"/>
  <c r="C1979" i="2"/>
  <c r="J1978" i="2" l="1"/>
  <c r="K1978" i="2" s="1"/>
  <c r="D1978" i="2"/>
  <c r="L1978" i="2"/>
  <c r="B1979" i="2"/>
  <c r="A1979" i="2"/>
  <c r="I1979" i="2"/>
  <c r="E1979" i="2"/>
  <c r="M1979" i="2"/>
  <c r="G1979" i="2"/>
  <c r="H1979" i="2"/>
  <c r="F1979" i="2"/>
  <c r="C1980" i="2"/>
  <c r="J1979" i="2" l="1"/>
  <c r="K1979" i="2" s="1"/>
  <c r="D1979" i="2"/>
  <c r="L1979" i="2"/>
  <c r="A1980" i="2"/>
  <c r="B1980" i="2"/>
  <c r="M1980" i="2"/>
  <c r="H1980" i="2"/>
  <c r="F1980" i="2"/>
  <c r="E1980" i="2"/>
  <c r="I1980" i="2"/>
  <c r="G1980" i="2"/>
  <c r="C1981" i="2"/>
  <c r="J1980" i="2" l="1"/>
  <c r="K1980" i="2" s="1"/>
  <c r="D1980" i="2"/>
  <c r="L1980" i="2"/>
  <c r="B1981" i="2"/>
  <c r="A1981" i="2"/>
  <c r="M1981" i="2"/>
  <c r="I1981" i="2"/>
  <c r="H1981" i="2"/>
  <c r="E1981" i="2"/>
  <c r="G1981" i="2"/>
  <c r="F1981" i="2"/>
  <c r="C1982" i="2"/>
  <c r="J1981" i="2" l="1"/>
  <c r="K1981" i="2" s="1"/>
  <c r="D1981" i="2"/>
  <c r="L1981" i="2"/>
  <c r="B1982" i="2"/>
  <c r="A1982" i="2"/>
  <c r="G1982" i="2"/>
  <c r="I1982" i="2"/>
  <c r="H1982" i="2"/>
  <c r="E1982" i="2"/>
  <c r="F1982" i="2"/>
  <c r="M1982" i="2"/>
  <c r="C1983" i="2"/>
  <c r="J1982" i="2" l="1"/>
  <c r="K1982" i="2" s="1"/>
  <c r="D1982" i="2"/>
  <c r="L1982" i="2"/>
  <c r="B1983" i="2"/>
  <c r="A1983" i="2"/>
  <c r="F1983" i="2"/>
  <c r="G1983" i="2"/>
  <c r="M1983" i="2"/>
  <c r="I1983" i="2"/>
  <c r="H1983" i="2"/>
  <c r="E1983" i="2"/>
  <c r="C1984" i="2"/>
  <c r="J1983" i="2" l="1"/>
  <c r="K1983" i="2" s="1"/>
  <c r="D1983" i="2"/>
  <c r="L1983" i="2"/>
  <c r="A1984" i="2"/>
  <c r="B1984" i="2"/>
  <c r="G1984" i="2"/>
  <c r="I1984" i="2"/>
  <c r="M1984" i="2"/>
  <c r="E1984" i="2"/>
  <c r="F1984" i="2"/>
  <c r="H1984" i="2"/>
  <c r="C1985" i="2"/>
  <c r="J1984" i="2" l="1"/>
  <c r="K1984" i="2" s="1"/>
  <c r="D1984" i="2"/>
  <c r="L1984" i="2"/>
  <c r="B1985" i="2"/>
  <c r="A1985" i="2"/>
  <c r="M1985" i="2"/>
  <c r="I1985" i="2"/>
  <c r="F1985" i="2"/>
  <c r="G1985" i="2"/>
  <c r="H1985" i="2"/>
  <c r="E1985" i="2"/>
  <c r="C1986" i="2"/>
  <c r="J1985" i="2" l="1"/>
  <c r="K1985" i="2" s="1"/>
  <c r="D1985" i="2"/>
  <c r="L1985" i="2"/>
  <c r="B1986" i="2"/>
  <c r="A1986" i="2"/>
  <c r="E1986" i="2"/>
  <c r="M1986" i="2"/>
  <c r="H1986" i="2"/>
  <c r="F1986" i="2"/>
  <c r="I1986" i="2"/>
  <c r="G1986" i="2"/>
  <c r="C1987" i="2"/>
  <c r="J1986" i="2" l="1"/>
  <c r="K1986" i="2" s="1"/>
  <c r="D1986" i="2"/>
  <c r="L1986" i="2"/>
  <c r="B1987" i="2"/>
  <c r="A1987" i="2"/>
  <c r="M1987" i="2"/>
  <c r="E1987" i="2"/>
  <c r="H1987" i="2"/>
  <c r="I1987" i="2"/>
  <c r="F1987" i="2"/>
  <c r="G1987" i="2"/>
  <c r="C1988" i="2"/>
  <c r="J1987" i="2" l="1"/>
  <c r="K1987" i="2" s="1"/>
  <c r="D1987" i="2"/>
  <c r="L1987" i="2"/>
  <c r="A1988" i="2"/>
  <c r="B1988" i="2"/>
  <c r="M1988" i="2"/>
  <c r="G1988" i="2"/>
  <c r="F1988" i="2"/>
  <c r="I1988" i="2"/>
  <c r="E1988" i="2"/>
  <c r="H1988" i="2"/>
  <c r="C1989" i="2"/>
  <c r="D1988" i="2" l="1"/>
  <c r="J1988" i="2"/>
  <c r="K1988" i="2" s="1"/>
  <c r="L1988" i="2"/>
  <c r="B1989" i="2"/>
  <c r="A1989" i="2"/>
  <c r="F1989" i="2"/>
  <c r="M1989" i="2"/>
  <c r="I1989" i="2"/>
  <c r="E1989" i="2"/>
  <c r="G1989" i="2"/>
  <c r="H1989" i="2"/>
  <c r="C1990" i="2"/>
  <c r="J1989" i="2" l="1"/>
  <c r="K1989" i="2" s="1"/>
  <c r="D1989" i="2"/>
  <c r="L1989" i="2"/>
  <c r="B1990" i="2"/>
  <c r="A1990" i="2"/>
  <c r="I1990" i="2"/>
  <c r="H1990" i="2"/>
  <c r="M1990" i="2"/>
  <c r="F1990" i="2"/>
  <c r="E1990" i="2"/>
  <c r="G1990" i="2"/>
  <c r="C1991" i="2"/>
  <c r="J1990" i="2" l="1"/>
  <c r="K1990" i="2" s="1"/>
  <c r="D1990" i="2"/>
  <c r="L1990" i="2"/>
  <c r="B1991" i="2"/>
  <c r="A1991" i="2"/>
  <c r="M1991" i="2"/>
  <c r="G1991" i="2"/>
  <c r="F1991" i="2"/>
  <c r="H1991" i="2"/>
  <c r="I1991" i="2"/>
  <c r="E1991" i="2"/>
  <c r="C1992" i="2"/>
  <c r="J1991" i="2" l="1"/>
  <c r="K1991" i="2" s="1"/>
  <c r="D1991" i="2"/>
  <c r="L1991" i="2"/>
  <c r="A1992" i="2"/>
  <c r="B1992" i="2"/>
  <c r="I1992" i="2"/>
  <c r="H1992" i="2"/>
  <c r="F1992" i="2"/>
  <c r="G1992" i="2"/>
  <c r="E1992" i="2"/>
  <c r="M1992" i="2"/>
  <c r="C1993" i="2"/>
  <c r="D1992" i="2" l="1"/>
  <c r="J1992" i="2"/>
  <c r="K1992" i="2" s="1"/>
  <c r="L1992" i="2"/>
  <c r="B1993" i="2"/>
  <c r="A1993" i="2"/>
  <c r="M1993" i="2"/>
  <c r="I1993" i="2"/>
  <c r="H1993" i="2"/>
  <c r="G1993" i="2"/>
  <c r="E1993" i="2"/>
  <c r="F1993" i="2"/>
  <c r="C1994" i="2"/>
  <c r="J1993" i="2" l="1"/>
  <c r="K1993" i="2" s="1"/>
  <c r="D1993" i="2"/>
  <c r="L1993" i="2"/>
  <c r="A1994" i="2"/>
  <c r="B1994" i="2"/>
  <c r="H1994" i="2"/>
  <c r="G1994" i="2"/>
  <c r="M1994" i="2"/>
  <c r="E1994" i="2"/>
  <c r="I1994" i="2"/>
  <c r="F1994" i="2"/>
  <c r="C1995" i="2"/>
  <c r="J1994" i="2" l="1"/>
  <c r="K1994" i="2" s="1"/>
  <c r="D1994" i="2"/>
  <c r="L1994" i="2"/>
  <c r="B1995" i="2"/>
  <c r="A1995" i="2"/>
  <c r="F1995" i="2"/>
  <c r="E1995" i="2"/>
  <c r="I1995" i="2"/>
  <c r="H1995" i="2"/>
  <c r="G1995" i="2"/>
  <c r="M1995" i="2"/>
  <c r="C1996" i="2"/>
  <c r="J1995" i="2" l="1"/>
  <c r="K1995" i="2" s="1"/>
  <c r="D1995" i="2"/>
  <c r="L1995" i="2"/>
  <c r="A1996" i="2"/>
  <c r="B1996" i="2"/>
  <c r="H1996" i="2"/>
  <c r="I1996" i="2"/>
  <c r="E1996" i="2"/>
  <c r="F1996" i="2"/>
  <c r="M1996" i="2"/>
  <c r="G1996" i="2"/>
  <c r="C1997" i="2"/>
  <c r="J1996" i="2" l="1"/>
  <c r="K1996" i="2" s="1"/>
  <c r="D1996" i="2"/>
  <c r="L1996" i="2"/>
  <c r="B1997" i="2"/>
  <c r="A1997" i="2"/>
  <c r="E1997" i="2"/>
  <c r="M1997" i="2"/>
  <c r="G1997" i="2"/>
  <c r="F1997" i="2"/>
  <c r="I1997" i="2"/>
  <c r="H1997" i="2"/>
  <c r="C1998" i="2"/>
  <c r="J1997" i="2" l="1"/>
  <c r="K1997" i="2" s="1"/>
  <c r="D1997" i="2"/>
  <c r="L1997" i="2"/>
  <c r="B1998" i="2"/>
  <c r="A1998" i="2"/>
  <c r="F1998" i="2"/>
  <c r="H1998" i="2"/>
  <c r="G1998" i="2"/>
  <c r="I1998" i="2"/>
  <c r="E1998" i="2"/>
  <c r="M1998" i="2"/>
  <c r="C1999" i="2"/>
  <c r="J1998" i="2" l="1"/>
  <c r="K1998" i="2" s="1"/>
  <c r="D1998" i="2"/>
  <c r="L1998" i="2"/>
  <c r="B1999" i="2"/>
  <c r="A1999" i="2"/>
  <c r="I1999" i="2"/>
  <c r="G1999" i="2"/>
  <c r="F1999" i="2"/>
  <c r="E1999" i="2"/>
  <c r="M1999" i="2"/>
  <c r="H1999" i="2"/>
  <c r="C2000" i="2"/>
  <c r="D1999" i="2" l="1"/>
  <c r="J1999" i="2"/>
  <c r="K1999" i="2" s="1"/>
  <c r="L1999" i="2"/>
  <c r="A2000" i="2"/>
  <c r="B2000" i="2"/>
  <c r="H2000" i="2"/>
  <c r="G2000" i="2"/>
  <c r="I2000" i="2"/>
  <c r="E2000" i="2"/>
  <c r="F2000" i="2"/>
  <c r="M2000" i="2"/>
  <c r="C2001" i="2"/>
  <c r="D2000" i="2" l="1"/>
  <c r="J2000" i="2"/>
  <c r="K2000" i="2" s="1"/>
  <c r="L2000" i="2"/>
  <c r="B2001" i="2"/>
  <c r="A2001" i="2"/>
  <c r="F2001" i="2"/>
  <c r="G2001" i="2"/>
  <c r="I2001" i="2"/>
  <c r="E2001" i="2"/>
  <c r="H2001" i="2"/>
  <c r="M2001" i="2"/>
  <c r="C2002" i="2"/>
  <c r="D2001" i="2" l="1"/>
  <c r="J2001" i="2"/>
  <c r="K2001" i="2" s="1"/>
  <c r="L2001" i="2"/>
  <c r="A2002" i="2"/>
  <c r="B2002" i="2"/>
  <c r="E2002" i="2"/>
  <c r="H2002" i="2"/>
  <c r="F2002" i="2"/>
  <c r="I2002" i="2"/>
  <c r="M2002" i="2"/>
  <c r="G2002" i="2"/>
  <c r="C2003" i="2"/>
  <c r="D2002" i="2" l="1"/>
  <c r="J2002" i="2"/>
  <c r="K2002" i="2" s="1"/>
  <c r="L2002" i="2"/>
  <c r="B2003" i="2"/>
  <c r="A2003" i="2"/>
  <c r="F2003" i="2"/>
  <c r="G2003" i="2"/>
  <c r="H2003" i="2"/>
  <c r="M2003" i="2"/>
  <c r="I2003" i="2"/>
  <c r="E2003" i="2"/>
  <c r="C2004" i="2"/>
  <c r="D2003" i="2" l="1"/>
  <c r="J2003" i="2"/>
  <c r="K2003" i="2" s="1"/>
  <c r="L2003" i="2"/>
  <c r="A2004" i="2"/>
  <c r="B2004" i="2"/>
  <c r="F2004" i="2"/>
  <c r="E2004" i="2"/>
  <c r="G2004" i="2"/>
  <c r="M2004" i="2"/>
  <c r="H2004" i="2"/>
  <c r="I2004" i="2"/>
  <c r="C2005" i="2"/>
  <c r="D2004" i="2" l="1"/>
  <c r="J2004" i="2"/>
  <c r="K2004" i="2" s="1"/>
  <c r="L2004" i="2"/>
  <c r="B2005" i="2"/>
  <c r="A2005" i="2"/>
  <c r="H2005" i="2"/>
  <c r="M2005" i="2"/>
  <c r="I2005" i="2"/>
  <c r="G2005" i="2"/>
  <c r="E2005" i="2"/>
  <c r="F2005" i="2"/>
  <c r="C2006" i="2"/>
  <c r="D2005" i="2" l="1"/>
  <c r="J2005" i="2"/>
  <c r="K2005" i="2" s="1"/>
  <c r="L2005" i="2"/>
  <c r="B2006" i="2"/>
  <c r="A2006" i="2"/>
  <c r="I2006" i="2"/>
  <c r="M2006" i="2"/>
  <c r="G2006" i="2"/>
  <c r="F2006" i="2"/>
  <c r="H2006" i="2"/>
  <c r="E2006" i="2"/>
  <c r="C2007" i="2"/>
  <c r="J2006" i="2" l="1"/>
  <c r="K2006" i="2" s="1"/>
  <c r="D2006" i="2"/>
  <c r="L2006" i="2"/>
  <c r="B2007" i="2"/>
  <c r="A2007" i="2"/>
  <c r="G2007" i="2"/>
  <c r="E2007" i="2"/>
  <c r="M2007" i="2"/>
  <c r="F2007" i="2"/>
  <c r="H2007" i="2"/>
  <c r="I2007" i="2"/>
  <c r="C2008" i="2"/>
  <c r="D2007" i="2" l="1"/>
  <c r="J2007" i="2"/>
  <c r="K2007" i="2" s="1"/>
  <c r="L2007" i="2"/>
  <c r="A2008" i="2"/>
  <c r="B2008" i="2"/>
  <c r="G2008" i="2"/>
  <c r="F2008" i="2"/>
  <c r="I2008" i="2"/>
  <c r="M2008" i="2"/>
  <c r="E2008" i="2"/>
  <c r="H2008" i="2"/>
  <c r="C2009" i="2"/>
  <c r="D2008" i="2" l="1"/>
  <c r="J2008" i="2"/>
  <c r="K2008" i="2" s="1"/>
  <c r="L2008" i="2"/>
  <c r="B2009" i="2"/>
  <c r="A2009" i="2"/>
  <c r="M2009" i="2"/>
  <c r="H2009" i="2"/>
  <c r="F2009" i="2"/>
  <c r="I2009" i="2"/>
  <c r="G2009" i="2"/>
  <c r="E2009" i="2"/>
  <c r="C2010" i="2"/>
  <c r="J2009" i="2" l="1"/>
  <c r="K2009" i="2" s="1"/>
  <c r="D2009" i="2"/>
  <c r="L2009" i="2"/>
  <c r="A2010" i="2"/>
  <c r="B2010" i="2"/>
  <c r="E2010" i="2"/>
  <c r="G2010" i="2"/>
  <c r="I2010" i="2"/>
  <c r="H2010" i="2"/>
  <c r="F2010" i="2"/>
  <c r="M2010" i="2"/>
  <c r="C2011" i="2"/>
  <c r="D2010" i="2" l="1"/>
  <c r="J2010" i="2"/>
  <c r="K2010" i="2" s="1"/>
  <c r="L2010" i="2"/>
  <c r="B2011" i="2"/>
  <c r="A2011" i="2"/>
  <c r="G2011" i="2"/>
  <c r="E2011" i="2"/>
  <c r="F2011" i="2"/>
  <c r="I2011" i="2"/>
  <c r="M2011" i="2"/>
  <c r="H2011" i="2"/>
  <c r="C2012" i="2"/>
  <c r="J2011" i="2" l="1"/>
  <c r="K2011" i="2" s="1"/>
  <c r="D2011" i="2"/>
  <c r="L2011" i="2"/>
  <c r="A2012" i="2"/>
  <c r="B2012" i="2"/>
  <c r="H2012" i="2"/>
  <c r="M2012" i="2"/>
  <c r="I2012" i="2"/>
  <c r="E2012" i="2"/>
  <c r="F2012" i="2"/>
  <c r="G2012" i="2"/>
  <c r="C2013" i="2"/>
  <c r="D2012" i="2" l="1"/>
  <c r="J2012" i="2"/>
  <c r="K2012" i="2" s="1"/>
  <c r="L2012" i="2"/>
  <c r="B2013" i="2"/>
  <c r="A2013" i="2"/>
  <c r="I2013" i="2"/>
  <c r="F2013" i="2"/>
  <c r="E2013" i="2"/>
  <c r="M2013" i="2"/>
  <c r="G2013" i="2"/>
  <c r="H2013" i="2"/>
  <c r="C2014" i="2"/>
  <c r="J2013" i="2" l="1"/>
  <c r="K2013" i="2" s="1"/>
  <c r="D2013" i="2"/>
  <c r="L2013" i="2"/>
  <c r="B2014" i="2"/>
  <c r="A2014" i="2"/>
  <c r="I2014" i="2"/>
  <c r="F2014" i="2"/>
  <c r="G2014" i="2"/>
  <c r="M2014" i="2"/>
  <c r="H2014" i="2"/>
  <c r="E2014" i="2"/>
  <c r="C2015" i="2"/>
  <c r="D2014" i="2" l="1"/>
  <c r="J2014" i="2"/>
  <c r="K2014" i="2" s="1"/>
  <c r="L2014" i="2"/>
  <c r="A2015" i="2"/>
  <c r="B2015" i="2"/>
  <c r="I2015" i="2"/>
  <c r="G2015" i="2"/>
  <c r="H2015" i="2"/>
  <c r="M2015" i="2"/>
  <c r="E2015" i="2"/>
  <c r="F2015" i="2"/>
  <c r="C2016" i="2"/>
  <c r="D2015" i="2" l="1"/>
  <c r="J2015" i="2"/>
  <c r="K2015" i="2" s="1"/>
  <c r="L2015" i="2"/>
  <c r="A2016" i="2"/>
  <c r="B2016" i="2"/>
  <c r="F2016" i="2"/>
  <c r="M2016" i="2"/>
  <c r="E2016" i="2"/>
  <c r="H2016" i="2"/>
  <c r="G2016" i="2"/>
  <c r="I2016" i="2"/>
  <c r="C2017" i="2"/>
  <c r="J2016" i="2" l="1"/>
  <c r="K2016" i="2" s="1"/>
  <c r="D2016" i="2"/>
  <c r="L2016" i="2"/>
  <c r="B2017" i="2"/>
  <c r="A2017" i="2"/>
  <c r="E2017" i="2"/>
  <c r="M2017" i="2"/>
  <c r="H2017" i="2"/>
  <c r="G2017" i="2"/>
  <c r="F2017" i="2"/>
  <c r="I2017" i="2"/>
  <c r="C2018" i="2"/>
  <c r="D2017" i="2" l="1"/>
  <c r="J2017" i="2"/>
  <c r="K2017" i="2" s="1"/>
  <c r="L2017" i="2"/>
  <c r="B2018" i="2"/>
  <c r="A2018" i="2"/>
  <c r="H2018" i="2"/>
  <c r="G2018" i="2"/>
  <c r="I2018" i="2"/>
  <c r="E2018" i="2"/>
  <c r="M2018" i="2"/>
  <c r="F2018" i="2"/>
  <c r="C2019" i="2"/>
  <c r="D2018" i="2" l="1"/>
  <c r="J2018" i="2"/>
  <c r="K2018" i="2" s="1"/>
  <c r="L2018" i="2"/>
  <c r="B2019" i="2"/>
  <c r="A2019" i="2"/>
  <c r="I2019" i="2"/>
  <c r="E2019" i="2"/>
  <c r="H2019" i="2"/>
  <c r="F2019" i="2"/>
  <c r="G2019" i="2"/>
  <c r="M2019" i="2"/>
  <c r="C2020" i="2"/>
  <c r="J2019" i="2" l="1"/>
  <c r="K2019" i="2" s="1"/>
  <c r="D2019" i="2"/>
  <c r="L2019" i="2"/>
  <c r="A2020" i="2"/>
  <c r="B2020" i="2"/>
  <c r="F2020" i="2"/>
  <c r="H2020" i="2"/>
  <c r="G2020" i="2"/>
  <c r="M2020" i="2"/>
  <c r="E2020" i="2"/>
  <c r="I2020" i="2"/>
  <c r="C2021" i="2"/>
  <c r="D2020" i="2" l="1"/>
  <c r="J2020" i="2"/>
  <c r="K2020" i="2" s="1"/>
  <c r="L2020" i="2"/>
  <c r="B2021" i="2"/>
  <c r="A2021" i="2"/>
  <c r="F2021" i="2"/>
  <c r="H2021" i="2"/>
  <c r="I2021" i="2"/>
  <c r="E2021" i="2"/>
  <c r="M2021" i="2"/>
  <c r="G2021" i="2"/>
  <c r="C2022" i="2"/>
  <c r="J2021" i="2" l="1"/>
  <c r="K2021" i="2" s="1"/>
  <c r="D2021" i="2"/>
  <c r="L2021" i="2"/>
  <c r="B2022" i="2"/>
  <c r="A2022" i="2"/>
  <c r="G2022" i="2"/>
  <c r="E2022" i="2"/>
  <c r="I2022" i="2"/>
  <c r="M2022" i="2"/>
  <c r="F2022" i="2"/>
  <c r="H2022" i="2"/>
  <c r="C2023" i="2"/>
  <c r="J2022" i="2" l="1"/>
  <c r="K2022" i="2" s="1"/>
  <c r="D2022" i="2"/>
  <c r="L2022" i="2"/>
  <c r="A2023" i="2"/>
  <c r="B2023" i="2"/>
  <c r="H2023" i="2"/>
  <c r="E2023" i="2"/>
  <c r="G2023" i="2"/>
  <c r="F2023" i="2"/>
  <c r="M2023" i="2"/>
  <c r="I2023" i="2"/>
  <c r="C2024" i="2"/>
  <c r="D2023" i="2" l="1"/>
  <c r="J2023" i="2"/>
  <c r="K2023" i="2" s="1"/>
  <c r="L2023" i="2"/>
  <c r="A2024" i="2"/>
  <c r="B2024" i="2"/>
  <c r="I2024" i="2"/>
  <c r="F2024" i="2"/>
  <c r="H2024" i="2"/>
  <c r="G2024" i="2"/>
  <c r="E2024" i="2"/>
  <c r="M2024" i="2"/>
  <c r="C2025" i="2"/>
  <c r="D2024" i="2" l="1"/>
  <c r="J2024" i="2"/>
  <c r="K2024" i="2" s="1"/>
  <c r="L2024" i="2"/>
  <c r="B2025" i="2"/>
  <c r="A2025" i="2"/>
  <c r="M2025" i="2"/>
  <c r="F2025" i="2"/>
  <c r="E2025" i="2"/>
  <c r="I2025" i="2"/>
  <c r="G2025" i="2"/>
  <c r="H2025" i="2"/>
  <c r="C2026" i="2"/>
  <c r="J2025" i="2" l="1"/>
  <c r="K2025" i="2" s="1"/>
  <c r="D2025" i="2"/>
  <c r="L2025" i="2"/>
  <c r="B2026" i="2"/>
  <c r="A2026" i="2"/>
  <c r="E2026" i="2"/>
  <c r="G2026" i="2"/>
  <c r="M2026" i="2"/>
  <c r="I2026" i="2"/>
  <c r="H2026" i="2"/>
  <c r="F2026" i="2"/>
  <c r="C2027" i="2"/>
  <c r="J2026" i="2" l="1"/>
  <c r="K2026" i="2" s="1"/>
  <c r="D2026" i="2"/>
  <c r="L2026" i="2"/>
  <c r="B2027" i="2"/>
  <c r="A2027" i="2"/>
  <c r="G2027" i="2"/>
  <c r="F2027" i="2"/>
  <c r="M2027" i="2"/>
  <c r="E2027" i="2"/>
  <c r="H2027" i="2"/>
  <c r="I2027" i="2"/>
  <c r="C2028" i="2"/>
  <c r="D2027" i="2" l="1"/>
  <c r="J2027" i="2"/>
  <c r="K2027" i="2" s="1"/>
  <c r="L2027" i="2"/>
  <c r="A2028" i="2"/>
  <c r="B2028" i="2"/>
  <c r="H2028" i="2"/>
  <c r="G2028" i="2"/>
  <c r="E2028" i="2"/>
  <c r="I2028" i="2"/>
  <c r="F2028" i="2"/>
  <c r="M2028" i="2"/>
  <c r="C2029" i="2"/>
  <c r="D2028" i="2" l="1"/>
  <c r="J2028" i="2"/>
  <c r="K2028" i="2" s="1"/>
  <c r="L2028" i="2"/>
  <c r="B2029" i="2"/>
  <c r="A2029" i="2"/>
  <c r="H2029" i="2"/>
  <c r="E2029" i="2"/>
  <c r="M2029" i="2"/>
  <c r="G2029" i="2"/>
  <c r="I2029" i="2"/>
  <c r="F2029" i="2"/>
  <c r="C2030" i="2"/>
  <c r="J2029" i="2" l="1"/>
  <c r="K2029" i="2" s="1"/>
  <c r="D2029" i="2"/>
  <c r="L2029" i="2"/>
  <c r="B2030" i="2"/>
  <c r="A2030" i="2"/>
  <c r="M2030" i="2"/>
  <c r="H2030" i="2"/>
  <c r="F2030" i="2"/>
  <c r="G2030" i="2"/>
  <c r="E2030" i="2"/>
  <c r="I2030" i="2"/>
  <c r="C2031" i="2"/>
  <c r="J2030" i="2" l="1"/>
  <c r="K2030" i="2" s="1"/>
  <c r="D2030" i="2"/>
  <c r="L2030" i="2"/>
  <c r="A2031" i="2"/>
  <c r="B2031" i="2"/>
  <c r="M2031" i="2"/>
  <c r="H2031" i="2"/>
  <c r="I2031" i="2"/>
  <c r="G2031" i="2"/>
  <c r="E2031" i="2"/>
  <c r="F2031" i="2"/>
  <c r="C2032" i="2"/>
  <c r="J2031" i="2" l="1"/>
  <c r="K2031" i="2" s="1"/>
  <c r="D2031" i="2"/>
  <c r="L2031" i="2"/>
  <c r="A2032" i="2"/>
  <c r="B2032" i="2"/>
  <c r="H2032" i="2"/>
  <c r="E2032" i="2"/>
  <c r="G2032" i="2"/>
  <c r="F2032" i="2"/>
  <c r="M2032" i="2"/>
  <c r="I2032" i="2"/>
  <c r="C2033" i="2"/>
  <c r="D2032" i="2" l="1"/>
  <c r="J2032" i="2"/>
  <c r="K2032" i="2" s="1"/>
  <c r="L2032" i="2"/>
  <c r="B2033" i="2"/>
  <c r="A2033" i="2"/>
  <c r="H2033" i="2"/>
  <c r="M2033" i="2"/>
  <c r="F2033" i="2"/>
  <c r="I2033" i="2"/>
  <c r="G2033" i="2"/>
  <c r="E2033" i="2"/>
  <c r="C2034" i="2"/>
  <c r="D2033" i="2" l="1"/>
  <c r="J2033" i="2"/>
  <c r="K2033" i="2" s="1"/>
  <c r="L2033" i="2"/>
  <c r="B2034" i="2"/>
  <c r="A2034" i="2"/>
  <c r="E2034" i="2"/>
  <c r="M2034" i="2"/>
  <c r="H2034" i="2"/>
  <c r="F2034" i="2"/>
  <c r="G2034" i="2"/>
  <c r="I2034" i="2"/>
  <c r="C2035" i="2"/>
  <c r="J2034" i="2" l="1"/>
  <c r="K2034" i="2" s="1"/>
  <c r="D2034" i="2"/>
  <c r="L2034" i="2"/>
  <c r="B2035" i="2"/>
  <c r="A2035" i="2"/>
  <c r="G2035" i="2"/>
  <c r="M2035" i="2"/>
  <c r="F2035" i="2"/>
  <c r="E2035" i="2"/>
  <c r="I2035" i="2"/>
  <c r="H2035" i="2"/>
  <c r="C2036" i="2"/>
  <c r="J2035" i="2" l="1"/>
  <c r="K2035" i="2" s="1"/>
  <c r="D2035" i="2"/>
  <c r="L2035" i="2"/>
  <c r="A2036" i="2"/>
  <c r="B2036" i="2"/>
  <c r="H2036" i="2"/>
  <c r="I2036" i="2"/>
  <c r="E2036" i="2"/>
  <c r="M2036" i="2"/>
  <c r="G2036" i="2"/>
  <c r="F2036" i="2"/>
  <c r="C2037" i="2"/>
  <c r="J2036" i="2" l="1"/>
  <c r="K2036" i="2" s="1"/>
  <c r="D2036" i="2"/>
  <c r="L2036" i="2"/>
  <c r="B2037" i="2"/>
  <c r="A2037" i="2"/>
  <c r="H2037" i="2"/>
  <c r="G2037" i="2"/>
  <c r="E2037" i="2"/>
  <c r="I2037" i="2"/>
  <c r="F2037" i="2"/>
  <c r="M2037" i="2"/>
  <c r="C2038" i="2"/>
  <c r="J2037" i="2" l="1"/>
  <c r="K2037" i="2" s="1"/>
  <c r="D2037" i="2"/>
  <c r="L2037" i="2"/>
  <c r="B2038" i="2"/>
  <c r="A2038" i="2"/>
  <c r="I2038" i="2"/>
  <c r="G2038" i="2"/>
  <c r="H2038" i="2"/>
  <c r="M2038" i="2"/>
  <c r="E2038" i="2"/>
  <c r="F2038" i="2"/>
  <c r="C2039" i="2"/>
  <c r="D2038" i="2" l="1"/>
  <c r="J2038" i="2"/>
  <c r="K2038" i="2" s="1"/>
  <c r="L2038" i="2"/>
  <c r="B2039" i="2"/>
  <c r="A2039" i="2"/>
  <c r="I2039" i="2"/>
  <c r="M2039" i="2"/>
  <c r="G2039" i="2"/>
  <c r="F2039" i="2"/>
  <c r="H2039" i="2"/>
  <c r="E2039" i="2"/>
  <c r="C2040" i="2"/>
  <c r="D2039" i="2" l="1"/>
  <c r="J2039" i="2"/>
  <c r="K2039" i="2" s="1"/>
  <c r="L2039" i="2"/>
  <c r="A2040" i="2"/>
  <c r="B2040" i="2"/>
  <c r="E2040" i="2"/>
  <c r="I2040" i="2"/>
  <c r="F2040" i="2"/>
  <c r="H2040" i="2"/>
  <c r="M2040" i="2"/>
  <c r="G2040" i="2"/>
  <c r="C2041" i="2"/>
  <c r="J2040" i="2" l="1"/>
  <c r="K2040" i="2" s="1"/>
  <c r="D2040" i="2"/>
  <c r="L2040" i="2"/>
  <c r="B2041" i="2"/>
  <c r="A2041" i="2"/>
  <c r="M2041" i="2"/>
  <c r="G2041" i="2"/>
  <c r="F2041" i="2"/>
  <c r="E2041" i="2"/>
  <c r="H2041" i="2"/>
  <c r="I2041" i="2"/>
  <c r="C2042" i="2"/>
  <c r="J2041" i="2" l="1"/>
  <c r="K2041" i="2" s="1"/>
  <c r="D2041" i="2"/>
  <c r="L2041" i="2"/>
  <c r="A2042" i="2"/>
  <c r="B2042" i="2"/>
  <c r="H2042" i="2"/>
  <c r="G2042" i="2"/>
  <c r="M2042" i="2"/>
  <c r="I2042" i="2"/>
  <c r="E2042" i="2"/>
  <c r="F2042" i="2"/>
  <c r="C2043" i="2"/>
  <c r="D2042" i="2" l="1"/>
  <c r="J2042" i="2"/>
  <c r="K2042" i="2" s="1"/>
  <c r="L2042" i="2"/>
  <c r="B2043" i="2"/>
  <c r="A2043" i="2"/>
  <c r="H2043" i="2"/>
  <c r="G2043" i="2"/>
  <c r="M2043" i="2"/>
  <c r="F2043" i="2"/>
  <c r="I2043" i="2"/>
  <c r="E2043" i="2"/>
  <c r="C2044" i="2"/>
  <c r="D2043" i="2" l="1"/>
  <c r="J2043" i="2"/>
  <c r="K2043" i="2" s="1"/>
  <c r="L2043" i="2"/>
  <c r="A2044" i="2"/>
  <c r="B2044" i="2"/>
  <c r="M2044" i="2"/>
  <c r="H2044" i="2"/>
  <c r="F2044" i="2"/>
  <c r="G2044" i="2"/>
  <c r="I2044" i="2"/>
  <c r="E2044" i="2"/>
  <c r="C2045" i="2"/>
  <c r="D2044" i="2" l="1"/>
  <c r="J2044" i="2"/>
  <c r="K2044" i="2" s="1"/>
  <c r="L2044" i="2"/>
  <c r="B2045" i="2"/>
  <c r="A2045" i="2"/>
  <c r="E2045" i="2"/>
  <c r="I2045" i="2"/>
  <c r="M2045" i="2"/>
  <c r="G2045" i="2"/>
  <c r="F2045" i="2"/>
  <c r="H2045" i="2"/>
  <c r="C2046" i="2"/>
  <c r="J2045" i="2" l="1"/>
  <c r="K2045" i="2" s="1"/>
  <c r="D2045" i="2"/>
  <c r="L2045" i="2"/>
  <c r="A2046" i="2"/>
  <c r="B2046" i="2"/>
  <c r="G2046" i="2"/>
  <c r="M2046" i="2"/>
  <c r="H2046" i="2"/>
  <c r="E2046" i="2"/>
  <c r="I2046" i="2"/>
  <c r="F2046" i="2"/>
  <c r="C2047" i="2"/>
  <c r="D2046" i="2" l="1"/>
  <c r="J2046" i="2"/>
  <c r="K2046" i="2" s="1"/>
  <c r="L2046" i="2"/>
  <c r="A2047" i="2"/>
  <c r="B2047" i="2"/>
  <c r="G2047" i="2"/>
  <c r="F2047" i="2"/>
  <c r="E2047" i="2"/>
  <c r="M2047" i="2"/>
  <c r="I2047" i="2"/>
  <c r="H2047" i="2"/>
  <c r="C2048" i="2"/>
  <c r="J2047" i="2" l="1"/>
  <c r="K2047" i="2" s="1"/>
  <c r="D2047" i="2"/>
  <c r="L2047" i="2"/>
  <c r="B2048" i="2"/>
  <c r="A2048" i="2"/>
  <c r="E2048" i="2"/>
  <c r="H2048" i="2"/>
  <c r="G2048" i="2"/>
  <c r="I2048" i="2"/>
  <c r="M2048" i="2"/>
  <c r="F2048" i="2"/>
  <c r="C2049" i="2"/>
  <c r="D2048" i="2" l="1"/>
  <c r="J2048" i="2"/>
  <c r="K2048" i="2" s="1"/>
  <c r="L2048" i="2"/>
  <c r="B2049" i="2"/>
  <c r="A2049" i="2"/>
  <c r="I2049" i="2"/>
  <c r="E2049" i="2"/>
  <c r="M2049" i="2"/>
  <c r="G2049" i="2"/>
  <c r="H2049" i="2"/>
  <c r="F2049" i="2"/>
  <c r="C2050" i="2"/>
  <c r="D2049" i="2" l="1"/>
  <c r="J2049" i="2"/>
  <c r="K2049" i="2" s="1"/>
  <c r="L2049" i="2"/>
  <c r="B2050" i="2"/>
  <c r="A2050" i="2"/>
  <c r="E2050" i="2"/>
  <c r="I2050" i="2"/>
  <c r="M2050" i="2"/>
  <c r="H2050" i="2"/>
  <c r="G2050" i="2"/>
  <c r="F2050" i="2"/>
  <c r="C2051" i="2"/>
  <c r="J2050" i="2" l="1"/>
  <c r="K2050" i="2" s="1"/>
  <c r="D2050" i="2"/>
  <c r="L2050" i="2"/>
  <c r="A2051" i="2"/>
  <c r="B2051" i="2"/>
  <c r="H2051" i="2"/>
  <c r="E2051" i="2"/>
  <c r="G2051" i="2"/>
  <c r="M2051" i="2"/>
  <c r="F2051" i="2"/>
  <c r="I2051" i="2"/>
  <c r="C2052" i="2"/>
  <c r="J2051" i="2" l="1"/>
  <c r="K2051" i="2" s="1"/>
  <c r="D2051" i="2"/>
  <c r="L2051" i="2"/>
  <c r="A2052" i="2"/>
  <c r="B2052" i="2"/>
  <c r="H2052" i="2"/>
  <c r="E2052" i="2"/>
  <c r="F2052" i="2"/>
  <c r="I2052" i="2"/>
  <c r="G2052" i="2"/>
  <c r="M2052" i="2"/>
  <c r="C2053" i="2"/>
  <c r="D2052" i="2" l="1"/>
  <c r="J2052" i="2"/>
  <c r="K2052" i="2" s="1"/>
  <c r="L2052" i="2"/>
  <c r="B2053" i="2"/>
  <c r="A2053" i="2"/>
  <c r="M2053" i="2"/>
  <c r="E2053" i="2"/>
  <c r="I2053" i="2"/>
  <c r="G2053" i="2"/>
  <c r="H2053" i="2"/>
  <c r="F2053" i="2"/>
  <c r="C2054" i="2"/>
  <c r="D2053" i="2" l="1"/>
  <c r="J2053" i="2"/>
  <c r="K2053" i="2" s="1"/>
  <c r="L2053" i="2"/>
  <c r="A2054" i="2"/>
  <c r="B2054" i="2"/>
  <c r="F2054" i="2"/>
  <c r="G2054" i="2"/>
  <c r="M2054" i="2"/>
  <c r="H2054" i="2"/>
  <c r="E2054" i="2"/>
  <c r="I2054" i="2"/>
  <c r="C2055" i="2"/>
  <c r="J2054" i="2" l="1"/>
  <c r="K2054" i="2" s="1"/>
  <c r="D2054" i="2"/>
  <c r="L2054" i="2"/>
  <c r="B2055" i="2"/>
  <c r="A2055" i="2"/>
  <c r="M2055" i="2"/>
  <c r="G2055" i="2"/>
  <c r="I2055" i="2"/>
  <c r="E2055" i="2"/>
  <c r="H2055" i="2"/>
  <c r="F2055" i="2"/>
  <c r="C2056" i="2"/>
  <c r="D2055" i="2" l="1"/>
  <c r="J2055" i="2"/>
  <c r="K2055" i="2" s="1"/>
  <c r="L2055" i="2"/>
  <c r="B2056" i="2"/>
  <c r="A2056" i="2"/>
  <c r="G2056" i="2"/>
  <c r="H2056" i="2"/>
  <c r="E2056" i="2"/>
  <c r="I2056" i="2"/>
  <c r="F2056" i="2"/>
  <c r="M2056" i="2"/>
  <c r="C2057" i="2"/>
  <c r="J2056" i="2" l="1"/>
  <c r="K2056" i="2" s="1"/>
  <c r="D2056" i="2"/>
  <c r="L2056" i="2"/>
  <c r="B2057" i="2"/>
  <c r="A2057" i="2"/>
  <c r="I2057" i="2"/>
  <c r="M2057" i="2"/>
  <c r="E2057" i="2"/>
  <c r="F2057" i="2"/>
  <c r="H2057" i="2"/>
  <c r="G2057" i="2"/>
  <c r="C2058" i="2"/>
  <c r="D2057" i="2" l="1"/>
  <c r="J2057" i="2"/>
  <c r="K2057" i="2" s="1"/>
  <c r="L2057" i="2"/>
  <c r="A2058" i="2"/>
  <c r="B2058" i="2"/>
  <c r="F2058" i="2"/>
  <c r="I2058" i="2"/>
  <c r="H2058" i="2"/>
  <c r="G2058" i="2"/>
  <c r="M2058" i="2"/>
  <c r="E2058" i="2"/>
  <c r="C2059" i="2"/>
  <c r="J2058" i="2" l="1"/>
  <c r="K2058" i="2" s="1"/>
  <c r="D2058" i="2"/>
  <c r="L2058" i="2"/>
  <c r="B2059" i="2"/>
  <c r="A2059" i="2"/>
  <c r="H2059" i="2"/>
  <c r="E2059" i="2"/>
  <c r="I2059" i="2"/>
  <c r="F2059" i="2"/>
  <c r="G2059" i="2"/>
  <c r="M2059" i="2"/>
  <c r="C2060" i="2"/>
  <c r="D2059" i="2" l="1"/>
  <c r="J2059" i="2"/>
  <c r="K2059" i="2" s="1"/>
  <c r="L2059" i="2"/>
  <c r="A2060" i="2"/>
  <c r="B2060" i="2"/>
  <c r="E2060" i="2"/>
  <c r="H2060" i="2"/>
  <c r="M2060" i="2"/>
  <c r="G2060" i="2"/>
  <c r="F2060" i="2"/>
  <c r="I2060" i="2"/>
  <c r="C2061" i="2"/>
  <c r="J2060" i="2" l="1"/>
  <c r="K2060" i="2" s="1"/>
  <c r="D2060" i="2"/>
  <c r="L2060" i="2"/>
  <c r="B2061" i="2"/>
  <c r="A2061" i="2"/>
  <c r="F2061" i="2"/>
  <c r="M2061" i="2"/>
  <c r="H2061" i="2"/>
  <c r="I2061" i="2"/>
  <c r="G2061" i="2"/>
  <c r="E2061" i="2"/>
  <c r="C2062" i="2"/>
  <c r="D2061" i="2" l="1"/>
  <c r="J2061" i="2"/>
  <c r="K2061" i="2" s="1"/>
  <c r="L2061" i="2"/>
  <c r="B2062" i="2"/>
  <c r="A2062" i="2"/>
  <c r="H2062" i="2"/>
  <c r="M2062" i="2"/>
  <c r="E2062" i="2"/>
  <c r="I2062" i="2"/>
  <c r="F2062" i="2"/>
  <c r="G2062" i="2"/>
  <c r="C2063" i="2"/>
  <c r="D2062" i="2" l="1"/>
  <c r="J2062" i="2"/>
  <c r="K2062" i="2" s="1"/>
  <c r="L2062" i="2"/>
  <c r="B2063" i="2"/>
  <c r="A2063" i="2"/>
  <c r="H2063" i="2"/>
  <c r="E2063" i="2"/>
  <c r="F2063" i="2"/>
  <c r="M2063" i="2"/>
  <c r="I2063" i="2"/>
  <c r="G2063" i="2"/>
  <c r="C2064" i="2"/>
  <c r="D2063" i="2" l="1"/>
  <c r="J2063" i="2"/>
  <c r="K2063" i="2" s="1"/>
  <c r="L2063" i="2"/>
  <c r="B2064" i="2"/>
  <c r="A2064" i="2"/>
  <c r="I2064" i="2"/>
  <c r="H2064" i="2"/>
  <c r="M2064" i="2"/>
  <c r="E2064" i="2"/>
  <c r="F2064" i="2"/>
  <c r="G2064" i="2"/>
  <c r="C2065" i="2"/>
  <c r="D2064" i="2" l="1"/>
  <c r="J2064" i="2"/>
  <c r="K2064" i="2" s="1"/>
  <c r="L2064" i="2"/>
  <c r="B2065" i="2"/>
  <c r="A2065" i="2"/>
  <c r="F2065" i="2"/>
  <c r="H2065" i="2"/>
  <c r="I2065" i="2"/>
  <c r="M2065" i="2"/>
  <c r="E2065" i="2"/>
  <c r="G2065" i="2"/>
  <c r="C2066" i="2"/>
  <c r="D2065" i="2" l="1"/>
  <c r="J2065" i="2"/>
  <c r="K2065" i="2" s="1"/>
  <c r="L2065" i="2"/>
  <c r="B2066" i="2"/>
  <c r="A2066" i="2"/>
  <c r="M2066" i="2"/>
  <c r="F2066" i="2"/>
  <c r="E2066" i="2"/>
  <c r="G2066" i="2"/>
  <c r="H2066" i="2"/>
  <c r="I2066" i="2"/>
  <c r="C2067" i="2"/>
  <c r="D2066" i="2" l="1"/>
  <c r="J2066" i="2"/>
  <c r="K2066" i="2" s="1"/>
  <c r="L2066" i="2"/>
  <c r="A2067" i="2"/>
  <c r="B2067" i="2"/>
  <c r="G2067" i="2"/>
  <c r="F2067" i="2"/>
  <c r="E2067" i="2"/>
  <c r="H2067" i="2"/>
  <c r="I2067" i="2"/>
  <c r="M2067" i="2"/>
  <c r="C2068" i="2"/>
  <c r="D2067" i="2" l="1"/>
  <c r="J2067" i="2"/>
  <c r="K2067" i="2" s="1"/>
  <c r="L2067" i="2"/>
  <c r="B2068" i="2"/>
  <c r="A2068" i="2"/>
  <c r="H2068" i="2"/>
  <c r="G2068" i="2"/>
  <c r="M2068" i="2"/>
  <c r="E2068" i="2"/>
  <c r="F2068" i="2"/>
  <c r="I2068" i="2"/>
  <c r="C2069" i="2"/>
  <c r="D2068" i="2" l="1"/>
  <c r="J2068" i="2"/>
  <c r="K2068" i="2" s="1"/>
  <c r="L2068" i="2"/>
  <c r="B2069" i="2"/>
  <c r="A2069" i="2"/>
  <c r="I2069" i="2"/>
  <c r="F2069" i="2"/>
  <c r="H2069" i="2"/>
  <c r="G2069" i="2"/>
  <c r="M2069" i="2"/>
  <c r="E2069" i="2"/>
  <c r="C2070" i="2"/>
  <c r="J2069" i="2" l="1"/>
  <c r="K2069" i="2" s="1"/>
  <c r="D2069" i="2"/>
  <c r="L2069" i="2"/>
  <c r="B2070" i="2"/>
  <c r="A2070" i="2"/>
  <c r="G2070" i="2"/>
  <c r="H2070" i="2"/>
  <c r="E2070" i="2"/>
  <c r="M2070" i="2"/>
  <c r="I2070" i="2"/>
  <c r="F2070" i="2"/>
  <c r="C2071" i="2"/>
  <c r="J2070" i="2" l="1"/>
  <c r="K2070" i="2" s="1"/>
  <c r="D2070" i="2"/>
  <c r="L2070" i="2"/>
  <c r="B2071" i="2"/>
  <c r="A2071" i="2"/>
  <c r="M2071" i="2"/>
  <c r="I2071" i="2"/>
  <c r="F2071" i="2"/>
  <c r="E2071" i="2"/>
  <c r="H2071" i="2"/>
  <c r="G2071" i="2"/>
  <c r="C2072" i="2"/>
  <c r="J2071" i="2" l="1"/>
  <c r="K2071" i="2" s="1"/>
  <c r="D2071" i="2"/>
  <c r="L2071" i="2"/>
  <c r="A2072" i="2"/>
  <c r="B2072" i="2"/>
  <c r="G2072" i="2"/>
  <c r="E2072" i="2"/>
  <c r="M2072" i="2"/>
  <c r="F2072" i="2"/>
  <c r="I2072" i="2"/>
  <c r="H2072" i="2"/>
  <c r="C2073" i="2"/>
  <c r="J2072" i="2" l="1"/>
  <c r="K2072" i="2" s="1"/>
  <c r="D2072" i="2"/>
  <c r="L2072" i="2"/>
  <c r="B2073" i="2"/>
  <c r="A2073" i="2"/>
  <c r="I2073" i="2"/>
  <c r="M2073" i="2"/>
  <c r="H2073" i="2"/>
  <c r="E2073" i="2"/>
  <c r="G2073" i="2"/>
  <c r="F2073" i="2"/>
  <c r="C2074" i="2"/>
  <c r="J2073" i="2" l="1"/>
  <c r="K2073" i="2" s="1"/>
  <c r="D2073" i="2"/>
  <c r="L2073" i="2"/>
  <c r="A2074" i="2"/>
  <c r="B2074" i="2"/>
  <c r="G2074" i="2"/>
  <c r="M2074" i="2"/>
  <c r="E2074" i="2"/>
  <c r="I2074" i="2"/>
  <c r="H2074" i="2"/>
  <c r="F2074" i="2"/>
  <c r="C2075" i="2"/>
  <c r="D2074" i="2" l="1"/>
  <c r="J2074" i="2"/>
  <c r="K2074" i="2" s="1"/>
  <c r="L2074" i="2"/>
  <c r="B2075" i="2"/>
  <c r="A2075" i="2"/>
  <c r="M2075" i="2"/>
  <c r="I2075" i="2"/>
  <c r="G2075" i="2"/>
  <c r="H2075" i="2"/>
  <c r="E2075" i="2"/>
  <c r="F2075" i="2"/>
  <c r="C2076" i="2"/>
  <c r="J2075" i="2" l="1"/>
  <c r="K2075" i="2" s="1"/>
  <c r="D2075" i="2"/>
  <c r="L2075" i="2"/>
  <c r="A2076" i="2"/>
  <c r="B2076" i="2"/>
  <c r="F2076" i="2"/>
  <c r="M2076" i="2"/>
  <c r="H2076" i="2"/>
  <c r="I2076" i="2"/>
  <c r="G2076" i="2"/>
  <c r="E2076" i="2"/>
  <c r="C2077" i="2"/>
  <c r="D2076" i="2" l="1"/>
  <c r="J2076" i="2"/>
  <c r="K2076" i="2" s="1"/>
  <c r="L2076" i="2"/>
  <c r="B2077" i="2"/>
  <c r="A2077" i="2"/>
  <c r="I2077" i="2"/>
  <c r="F2077" i="2"/>
  <c r="E2077" i="2"/>
  <c r="G2077" i="2"/>
  <c r="M2077" i="2"/>
  <c r="H2077" i="2"/>
  <c r="C2078" i="2"/>
  <c r="J2077" i="2" l="1"/>
  <c r="K2077" i="2" s="1"/>
  <c r="D2077" i="2"/>
  <c r="L2077" i="2"/>
  <c r="B2078" i="2"/>
  <c r="A2078" i="2"/>
  <c r="G2078" i="2"/>
  <c r="I2078" i="2"/>
  <c r="M2078" i="2"/>
  <c r="H2078" i="2"/>
  <c r="E2078" i="2"/>
  <c r="F2078" i="2"/>
  <c r="C2079" i="2"/>
  <c r="J2078" i="2" l="1"/>
  <c r="K2078" i="2" s="1"/>
  <c r="D2078" i="2"/>
  <c r="L2078" i="2"/>
  <c r="B2079" i="2"/>
  <c r="A2079" i="2"/>
  <c r="E2079" i="2"/>
  <c r="M2079" i="2"/>
  <c r="I2079" i="2"/>
  <c r="F2079" i="2"/>
  <c r="H2079" i="2"/>
  <c r="G2079" i="2"/>
  <c r="C2080" i="2"/>
  <c r="D2079" i="2" l="1"/>
  <c r="J2079" i="2"/>
  <c r="K2079" i="2" s="1"/>
  <c r="L2079" i="2"/>
  <c r="B2080" i="2"/>
  <c r="A2080" i="2"/>
  <c r="I2080" i="2"/>
  <c r="M2080" i="2"/>
  <c r="H2080" i="2"/>
  <c r="G2080" i="2"/>
  <c r="E2080" i="2"/>
  <c r="F2080" i="2"/>
  <c r="C2081" i="2"/>
  <c r="J2080" i="2" l="1"/>
  <c r="K2080" i="2" s="1"/>
  <c r="D2080" i="2"/>
  <c r="L2080" i="2"/>
  <c r="B2081" i="2"/>
  <c r="A2081" i="2"/>
  <c r="F2081" i="2"/>
  <c r="I2081" i="2"/>
  <c r="G2081" i="2"/>
  <c r="H2081" i="2"/>
  <c r="M2081" i="2"/>
  <c r="E2081" i="2"/>
  <c r="C2082" i="2"/>
  <c r="D2081" i="2" l="1"/>
  <c r="J2081" i="2"/>
  <c r="K2081" i="2" s="1"/>
  <c r="L2081" i="2"/>
  <c r="B2082" i="2"/>
  <c r="A2082" i="2"/>
  <c r="I2082" i="2"/>
  <c r="F2082" i="2"/>
  <c r="M2082" i="2"/>
  <c r="E2082" i="2"/>
  <c r="G2082" i="2"/>
  <c r="H2082" i="2"/>
  <c r="C2083" i="2"/>
  <c r="D2082" i="2" l="1"/>
  <c r="J2082" i="2"/>
  <c r="K2082" i="2" s="1"/>
  <c r="L2082" i="2"/>
  <c r="A2083" i="2"/>
  <c r="B2083" i="2"/>
  <c r="H2083" i="2"/>
  <c r="I2083" i="2"/>
  <c r="F2083" i="2"/>
  <c r="G2083" i="2"/>
  <c r="E2083" i="2"/>
  <c r="M2083" i="2"/>
  <c r="C2084" i="2"/>
  <c r="J2083" i="2" l="1"/>
  <c r="K2083" i="2" s="1"/>
  <c r="D2083" i="2"/>
  <c r="L2083" i="2"/>
  <c r="A2084" i="2"/>
  <c r="B2084" i="2"/>
  <c r="M2084" i="2"/>
  <c r="I2084" i="2"/>
  <c r="G2084" i="2"/>
  <c r="F2084" i="2"/>
  <c r="H2084" i="2"/>
  <c r="E2084" i="2"/>
  <c r="C2085" i="2"/>
  <c r="J2084" i="2" l="1"/>
  <c r="K2084" i="2" s="1"/>
  <c r="D2084" i="2"/>
  <c r="L2084" i="2"/>
  <c r="B2085" i="2"/>
  <c r="A2085" i="2"/>
  <c r="H2085" i="2"/>
  <c r="E2085" i="2"/>
  <c r="I2085" i="2"/>
  <c r="M2085" i="2"/>
  <c r="F2085" i="2"/>
  <c r="G2085" i="2"/>
  <c r="C2086" i="2"/>
  <c r="J2085" i="2" l="1"/>
  <c r="K2085" i="2" s="1"/>
  <c r="D2085" i="2"/>
  <c r="L2085" i="2"/>
  <c r="B2086" i="2"/>
  <c r="A2086" i="2"/>
  <c r="G2086" i="2"/>
  <c r="H2086" i="2"/>
  <c r="I2086" i="2"/>
  <c r="M2086" i="2"/>
  <c r="F2086" i="2"/>
  <c r="E2086" i="2"/>
  <c r="C2087" i="2"/>
  <c r="D2086" i="2" l="1"/>
  <c r="J2086" i="2"/>
  <c r="K2086" i="2" s="1"/>
  <c r="L2086" i="2"/>
  <c r="B2087" i="2"/>
  <c r="A2087" i="2"/>
  <c r="E2087" i="2"/>
  <c r="F2087" i="2"/>
  <c r="H2087" i="2"/>
  <c r="I2087" i="2"/>
  <c r="G2087" i="2"/>
  <c r="M2087" i="2"/>
  <c r="C2088" i="2"/>
  <c r="J2087" i="2" l="1"/>
  <c r="K2087" i="2" s="1"/>
  <c r="D2087" i="2"/>
  <c r="L2087" i="2"/>
  <c r="A2088" i="2"/>
  <c r="B2088" i="2"/>
  <c r="I2088" i="2"/>
  <c r="H2088" i="2"/>
  <c r="M2088" i="2"/>
  <c r="G2088" i="2"/>
  <c r="E2088" i="2"/>
  <c r="F2088" i="2"/>
  <c r="C2089" i="2"/>
  <c r="J2088" i="2" l="1"/>
  <c r="K2088" i="2" s="1"/>
  <c r="D2088" i="2"/>
  <c r="L2088" i="2"/>
  <c r="B2089" i="2"/>
  <c r="A2089" i="2"/>
  <c r="E2089" i="2"/>
  <c r="G2089" i="2"/>
  <c r="M2089" i="2"/>
  <c r="H2089" i="2"/>
  <c r="F2089" i="2"/>
  <c r="I2089" i="2"/>
  <c r="C2090" i="2"/>
  <c r="D2089" i="2" l="1"/>
  <c r="J2089" i="2"/>
  <c r="K2089" i="2" s="1"/>
  <c r="L2089" i="2"/>
  <c r="A2090" i="2"/>
  <c r="B2090" i="2"/>
  <c r="I2090" i="2"/>
  <c r="E2090" i="2"/>
  <c r="G2090" i="2"/>
  <c r="F2090" i="2"/>
  <c r="H2090" i="2"/>
  <c r="M2090" i="2"/>
  <c r="C2091" i="2"/>
  <c r="J2090" i="2" l="1"/>
  <c r="K2090" i="2" s="1"/>
  <c r="D2090" i="2"/>
  <c r="L2090" i="2"/>
  <c r="B2091" i="2"/>
  <c r="A2091" i="2"/>
  <c r="F2091" i="2"/>
  <c r="H2091" i="2"/>
  <c r="I2091" i="2"/>
  <c r="M2091" i="2"/>
  <c r="E2091" i="2"/>
  <c r="G2091" i="2"/>
  <c r="C2092" i="2"/>
  <c r="D2091" i="2" l="1"/>
  <c r="J2091" i="2"/>
  <c r="K2091" i="2" s="1"/>
  <c r="L2091" i="2"/>
  <c r="A2092" i="2"/>
  <c r="B2092" i="2"/>
  <c r="G2092" i="2"/>
  <c r="H2092" i="2"/>
  <c r="M2092" i="2"/>
  <c r="I2092" i="2"/>
  <c r="E2092" i="2"/>
  <c r="F2092" i="2"/>
  <c r="C2093" i="2"/>
  <c r="J2092" i="2" l="1"/>
  <c r="K2092" i="2" s="1"/>
  <c r="D2092" i="2"/>
  <c r="L2092" i="2"/>
  <c r="B2093" i="2"/>
  <c r="A2093" i="2"/>
  <c r="M2093" i="2"/>
  <c r="F2093" i="2"/>
  <c r="H2093" i="2"/>
  <c r="E2093" i="2"/>
  <c r="G2093" i="2"/>
  <c r="I2093" i="2"/>
  <c r="C2094" i="2"/>
  <c r="J2093" i="2" l="1"/>
  <c r="K2093" i="2" s="1"/>
  <c r="D2093" i="2"/>
  <c r="L2093" i="2"/>
  <c r="B2094" i="2"/>
  <c r="A2094" i="2"/>
  <c r="H2094" i="2"/>
  <c r="G2094" i="2"/>
  <c r="E2094" i="2"/>
  <c r="M2094" i="2"/>
  <c r="I2094" i="2"/>
  <c r="F2094" i="2"/>
  <c r="C2095" i="2"/>
  <c r="J2094" i="2" l="1"/>
  <c r="K2094" i="2" s="1"/>
  <c r="D2094" i="2"/>
  <c r="L2094" i="2"/>
  <c r="B2095" i="2"/>
  <c r="A2095" i="2"/>
  <c r="E2095" i="2"/>
  <c r="I2095" i="2"/>
  <c r="G2095" i="2"/>
  <c r="F2095" i="2"/>
  <c r="H2095" i="2"/>
  <c r="M2095" i="2"/>
  <c r="C2096" i="2"/>
  <c r="D2095" i="2" l="1"/>
  <c r="J2095" i="2"/>
  <c r="K2095" i="2" s="1"/>
  <c r="L2095" i="2"/>
  <c r="B2096" i="2"/>
  <c r="A2096" i="2"/>
  <c r="E2096" i="2"/>
  <c r="M2096" i="2"/>
  <c r="F2096" i="2"/>
  <c r="I2096" i="2"/>
  <c r="G2096" i="2"/>
  <c r="H2096" i="2"/>
  <c r="C2097" i="2"/>
  <c r="D2096" i="2" l="1"/>
  <c r="J2096" i="2"/>
  <c r="K2096" i="2" s="1"/>
  <c r="L2096" i="2"/>
  <c r="B2097" i="2"/>
  <c r="A2097" i="2"/>
  <c r="G2097" i="2"/>
  <c r="H2097" i="2"/>
  <c r="M2097" i="2"/>
  <c r="F2097" i="2"/>
  <c r="I2097" i="2"/>
  <c r="E2097" i="2"/>
  <c r="C2098" i="2"/>
  <c r="D2097" i="2" l="1"/>
  <c r="J2097" i="2"/>
  <c r="K2097" i="2" s="1"/>
  <c r="L2097" i="2"/>
  <c r="A2098" i="2"/>
  <c r="B2098" i="2"/>
  <c r="H2098" i="2"/>
  <c r="M2098" i="2"/>
  <c r="F2098" i="2"/>
  <c r="I2098" i="2"/>
  <c r="E2098" i="2"/>
  <c r="G2098" i="2"/>
  <c r="C2099" i="2"/>
  <c r="J2098" i="2" l="1"/>
  <c r="K2098" i="2" s="1"/>
  <c r="D2098" i="2"/>
  <c r="L2098" i="2"/>
  <c r="A2099" i="2"/>
  <c r="B2099" i="2"/>
  <c r="E2099" i="2"/>
  <c r="I2099" i="2"/>
  <c r="M2099" i="2"/>
  <c r="F2099" i="2"/>
  <c r="H2099" i="2"/>
  <c r="G2099" i="2"/>
  <c r="C2100" i="2"/>
  <c r="D2099" i="2" l="1"/>
  <c r="J2099" i="2"/>
  <c r="K2099" i="2" s="1"/>
  <c r="L2099" i="2"/>
  <c r="B2100" i="2"/>
  <c r="A2100" i="2"/>
  <c r="H2100" i="2"/>
  <c r="M2100" i="2"/>
  <c r="I2100" i="2"/>
  <c r="G2100" i="2"/>
  <c r="F2100" i="2"/>
  <c r="E2100" i="2"/>
  <c r="C2101" i="2"/>
  <c r="D2100" i="2" l="1"/>
  <c r="J2100" i="2"/>
  <c r="K2100" i="2" s="1"/>
  <c r="L2100" i="2"/>
  <c r="B2101" i="2"/>
  <c r="A2101" i="2"/>
  <c r="M2101" i="2"/>
  <c r="G2101" i="2"/>
  <c r="H2101" i="2"/>
  <c r="I2101" i="2"/>
  <c r="E2101" i="2"/>
  <c r="F2101" i="2"/>
  <c r="C2102" i="2"/>
  <c r="D2101" i="2" l="1"/>
  <c r="J2101" i="2"/>
  <c r="K2101" i="2" s="1"/>
  <c r="L2101" i="2"/>
  <c r="A2102" i="2"/>
  <c r="B2102" i="2"/>
  <c r="I2102" i="2"/>
  <c r="H2102" i="2"/>
  <c r="G2102" i="2"/>
  <c r="E2102" i="2"/>
  <c r="F2102" i="2"/>
  <c r="M2102" i="2"/>
  <c r="C2103" i="2"/>
  <c r="D2102" i="2" l="1"/>
  <c r="J2102" i="2"/>
  <c r="K2102" i="2" s="1"/>
  <c r="L2102" i="2"/>
  <c r="B2103" i="2"/>
  <c r="A2103" i="2"/>
  <c r="H2103" i="2"/>
  <c r="I2103" i="2"/>
  <c r="G2103" i="2"/>
  <c r="E2103" i="2"/>
  <c r="F2103" i="2"/>
  <c r="M2103" i="2"/>
  <c r="C2104" i="2"/>
  <c r="J2103" i="2" l="1"/>
  <c r="K2103" i="2" s="1"/>
  <c r="D2103" i="2"/>
  <c r="L2103" i="2"/>
  <c r="B2104" i="2"/>
  <c r="A2104" i="2"/>
  <c r="E2104" i="2"/>
  <c r="I2104" i="2"/>
  <c r="M2104" i="2"/>
  <c r="F2104" i="2"/>
  <c r="H2104" i="2"/>
  <c r="G2104" i="2"/>
  <c r="C2105" i="2"/>
  <c r="J2104" i="2" l="1"/>
  <c r="K2104" i="2" s="1"/>
  <c r="D2104" i="2"/>
  <c r="L2104" i="2"/>
  <c r="B2105" i="2"/>
  <c r="A2105" i="2"/>
  <c r="M2105" i="2"/>
  <c r="G2105" i="2"/>
  <c r="I2105" i="2"/>
  <c r="E2105" i="2"/>
  <c r="H2105" i="2"/>
  <c r="F2105" i="2"/>
  <c r="C2106" i="2"/>
  <c r="J2105" i="2" l="1"/>
  <c r="K2105" i="2" s="1"/>
  <c r="D2105" i="2"/>
  <c r="L2105" i="2"/>
  <c r="A2106" i="2"/>
  <c r="B2106" i="2"/>
  <c r="G2106" i="2"/>
  <c r="H2106" i="2"/>
  <c r="I2106" i="2"/>
  <c r="E2106" i="2"/>
  <c r="F2106" i="2"/>
  <c r="M2106" i="2"/>
  <c r="C2107" i="2"/>
  <c r="J2106" i="2" l="1"/>
  <c r="K2106" i="2" s="1"/>
  <c r="D2106" i="2"/>
  <c r="L2106" i="2"/>
  <c r="B2107" i="2"/>
  <c r="A2107" i="2"/>
  <c r="E2107" i="2"/>
  <c r="F2107" i="2"/>
  <c r="G2107" i="2"/>
  <c r="H2107" i="2"/>
  <c r="I2107" i="2"/>
  <c r="M2107" i="2"/>
  <c r="C2108" i="2"/>
  <c r="J2107" i="2" l="1"/>
  <c r="K2107" i="2" s="1"/>
  <c r="D2107" i="2"/>
  <c r="L2107" i="2"/>
  <c r="A2108" i="2"/>
  <c r="B2108" i="2"/>
  <c r="G2108" i="2"/>
  <c r="E2108" i="2"/>
  <c r="M2108" i="2"/>
  <c r="I2108" i="2"/>
  <c r="F2108" i="2"/>
  <c r="H2108" i="2"/>
  <c r="C2109" i="2"/>
  <c r="D2108" i="2" l="1"/>
  <c r="J2108" i="2"/>
  <c r="K2108" i="2" s="1"/>
  <c r="L2108" i="2"/>
  <c r="B2109" i="2"/>
  <c r="A2109" i="2"/>
  <c r="H2109" i="2"/>
  <c r="G2109" i="2"/>
  <c r="E2109" i="2"/>
  <c r="F2109" i="2"/>
  <c r="M2109" i="2"/>
  <c r="I2109" i="2"/>
  <c r="C2110" i="2"/>
  <c r="D2109" i="2" l="1"/>
  <c r="J2109" i="2"/>
  <c r="K2109" i="2" s="1"/>
  <c r="L2109" i="2"/>
  <c r="B2110" i="2"/>
  <c r="A2110" i="2"/>
  <c r="F2110" i="2"/>
  <c r="M2110" i="2"/>
  <c r="G2110" i="2"/>
  <c r="H2110" i="2"/>
  <c r="E2110" i="2"/>
  <c r="I2110" i="2"/>
  <c r="C2111" i="2"/>
  <c r="J2110" i="2" l="1"/>
  <c r="K2110" i="2" s="1"/>
  <c r="D2110" i="2"/>
  <c r="L2110" i="2"/>
  <c r="B2111" i="2"/>
  <c r="A2111" i="2"/>
  <c r="I2111" i="2"/>
  <c r="F2111" i="2"/>
  <c r="H2111" i="2"/>
  <c r="M2111" i="2"/>
  <c r="G2111" i="2"/>
  <c r="E2111" i="2"/>
  <c r="C2112" i="2"/>
  <c r="D2111" i="2" l="1"/>
  <c r="J2111" i="2"/>
  <c r="K2111" i="2" s="1"/>
  <c r="L2111" i="2"/>
  <c r="B2112" i="2"/>
  <c r="A2112" i="2"/>
  <c r="M2112" i="2"/>
  <c r="I2112" i="2"/>
  <c r="F2112" i="2"/>
  <c r="H2112" i="2"/>
  <c r="G2112" i="2"/>
  <c r="E2112" i="2"/>
  <c r="C2113" i="2"/>
  <c r="D2112" i="2" l="1"/>
  <c r="J2112" i="2"/>
  <c r="K2112" i="2" s="1"/>
  <c r="L2112" i="2"/>
  <c r="B2113" i="2"/>
  <c r="A2113" i="2"/>
  <c r="G2113" i="2"/>
  <c r="I2113" i="2"/>
  <c r="E2113" i="2"/>
  <c r="H2113" i="2"/>
  <c r="F2113" i="2"/>
  <c r="M2113" i="2"/>
  <c r="C2114" i="2"/>
  <c r="D2113" i="2" l="1"/>
  <c r="J2113" i="2"/>
  <c r="K2113" i="2" s="1"/>
  <c r="L2113" i="2"/>
  <c r="B2114" i="2"/>
  <c r="A2114" i="2"/>
  <c r="F2114" i="2"/>
  <c r="E2114" i="2"/>
  <c r="M2114" i="2"/>
  <c r="H2114" i="2"/>
  <c r="G2114" i="2"/>
  <c r="I2114" i="2"/>
  <c r="C2115" i="2"/>
  <c r="J2114" i="2" l="1"/>
  <c r="K2114" i="2" s="1"/>
  <c r="D2114" i="2"/>
  <c r="L2114" i="2"/>
  <c r="A2115" i="2"/>
  <c r="B2115" i="2"/>
  <c r="E2115" i="2"/>
  <c r="M2115" i="2"/>
  <c r="F2115" i="2"/>
  <c r="G2115" i="2"/>
  <c r="I2115" i="2"/>
  <c r="H2115" i="2"/>
  <c r="C2116" i="2"/>
  <c r="D2115" i="2" l="1"/>
  <c r="J2115" i="2"/>
  <c r="K2115" i="2" s="1"/>
  <c r="L2115" i="2"/>
  <c r="A2116" i="2"/>
  <c r="B2116" i="2"/>
  <c r="G2116" i="2"/>
  <c r="H2116" i="2"/>
  <c r="E2116" i="2"/>
  <c r="I2116" i="2"/>
  <c r="M2116" i="2"/>
  <c r="F2116" i="2"/>
  <c r="C2117" i="2"/>
  <c r="D2116" i="2" l="1"/>
  <c r="J2116" i="2"/>
  <c r="K2116" i="2" s="1"/>
  <c r="L2116" i="2"/>
  <c r="B2117" i="2"/>
  <c r="A2117" i="2"/>
  <c r="F2117" i="2"/>
  <c r="I2117" i="2"/>
  <c r="E2117" i="2"/>
  <c r="M2117" i="2"/>
  <c r="G2117" i="2"/>
  <c r="H2117" i="2"/>
  <c r="C2118" i="2"/>
  <c r="J2117" i="2" l="1"/>
  <c r="K2117" i="2" s="1"/>
  <c r="D2117" i="2"/>
  <c r="L2117" i="2"/>
  <c r="B2118" i="2"/>
  <c r="A2118" i="2"/>
  <c r="H2118" i="2"/>
  <c r="M2118" i="2"/>
  <c r="I2118" i="2"/>
  <c r="F2118" i="2"/>
  <c r="G2118" i="2"/>
  <c r="E2118" i="2"/>
  <c r="C2119" i="2"/>
  <c r="D2118" i="2" l="1"/>
  <c r="J2118" i="2"/>
  <c r="K2118" i="2" s="1"/>
  <c r="L2118" i="2"/>
  <c r="B2119" i="2"/>
  <c r="A2119" i="2"/>
  <c r="E2119" i="2"/>
  <c r="H2119" i="2"/>
  <c r="G2119" i="2"/>
  <c r="F2119" i="2"/>
  <c r="I2119" i="2"/>
  <c r="M2119" i="2"/>
  <c r="C2120" i="2"/>
  <c r="D2119" i="2" l="1"/>
  <c r="J2119" i="2"/>
  <c r="K2119" i="2" s="1"/>
  <c r="L2119" i="2"/>
  <c r="A2120" i="2"/>
  <c r="B2120" i="2"/>
  <c r="H2120" i="2"/>
  <c r="E2120" i="2"/>
  <c r="I2120" i="2"/>
  <c r="F2120" i="2"/>
  <c r="G2120" i="2"/>
  <c r="M2120" i="2"/>
  <c r="C2121" i="2"/>
  <c r="J2120" i="2" l="1"/>
  <c r="K2120" i="2" s="1"/>
  <c r="D2120" i="2"/>
  <c r="L2120" i="2"/>
  <c r="B2121" i="2"/>
  <c r="A2121" i="2"/>
  <c r="I2121" i="2"/>
  <c r="E2121" i="2"/>
  <c r="G2121" i="2"/>
  <c r="F2121" i="2"/>
  <c r="M2121" i="2"/>
  <c r="H2121" i="2"/>
  <c r="C2122" i="2"/>
  <c r="J2121" i="2" l="1"/>
  <c r="K2121" i="2" s="1"/>
  <c r="D2121" i="2"/>
  <c r="L2121" i="2"/>
  <c r="A2122" i="2"/>
  <c r="B2122" i="2"/>
  <c r="M2122" i="2"/>
  <c r="H2122" i="2"/>
  <c r="E2122" i="2"/>
  <c r="I2122" i="2"/>
  <c r="F2122" i="2"/>
  <c r="G2122" i="2"/>
  <c r="C2123" i="2"/>
  <c r="D2122" i="2" l="1"/>
  <c r="J2122" i="2"/>
  <c r="K2122" i="2" s="1"/>
  <c r="L2122" i="2"/>
  <c r="B2123" i="2"/>
  <c r="A2123" i="2"/>
  <c r="G2123" i="2"/>
  <c r="I2123" i="2"/>
  <c r="H2123" i="2"/>
  <c r="F2123" i="2"/>
  <c r="M2123" i="2"/>
  <c r="E2123" i="2"/>
  <c r="C2124" i="2"/>
  <c r="D2123" i="2" l="1"/>
  <c r="J2123" i="2"/>
  <c r="K2123" i="2" s="1"/>
  <c r="L2123" i="2"/>
  <c r="A2124" i="2"/>
  <c r="B2124" i="2"/>
  <c r="I2124" i="2"/>
  <c r="F2124" i="2"/>
  <c r="H2124" i="2"/>
  <c r="M2124" i="2"/>
  <c r="E2124" i="2"/>
  <c r="G2124" i="2"/>
  <c r="C2125" i="2"/>
  <c r="J2124" i="2" l="1"/>
  <c r="K2124" i="2" s="1"/>
  <c r="D2124" i="2"/>
  <c r="L2124" i="2"/>
  <c r="B2125" i="2"/>
  <c r="A2125" i="2"/>
  <c r="F2125" i="2"/>
  <c r="H2125" i="2"/>
  <c r="G2125" i="2"/>
  <c r="I2125" i="2"/>
  <c r="M2125" i="2"/>
  <c r="E2125" i="2"/>
  <c r="C2126" i="2"/>
  <c r="D2125" i="2" l="1"/>
  <c r="J2125" i="2"/>
  <c r="K2125" i="2" s="1"/>
  <c r="L2125" i="2"/>
  <c r="B2126" i="2"/>
  <c r="A2126" i="2"/>
  <c r="G2126" i="2"/>
  <c r="E2126" i="2"/>
  <c r="F2126" i="2"/>
  <c r="M2126" i="2"/>
  <c r="H2126" i="2"/>
  <c r="I2126" i="2"/>
  <c r="C2127" i="2"/>
  <c r="D2126" i="2" l="1"/>
  <c r="J2126" i="2"/>
  <c r="K2126" i="2" s="1"/>
  <c r="L2126" i="2"/>
  <c r="A2127" i="2"/>
  <c r="B2127" i="2"/>
  <c r="G2127" i="2"/>
  <c r="E2127" i="2"/>
  <c r="I2127" i="2"/>
  <c r="F2127" i="2"/>
  <c r="H2127" i="2"/>
  <c r="M2127" i="2"/>
  <c r="C2128" i="2"/>
  <c r="J2127" i="2" l="1"/>
  <c r="K2127" i="2" s="1"/>
  <c r="D2127" i="2"/>
  <c r="L2127" i="2"/>
  <c r="B2128" i="2"/>
  <c r="A2128" i="2"/>
  <c r="E2128" i="2"/>
  <c r="H2128" i="2"/>
  <c r="G2128" i="2"/>
  <c r="I2128" i="2"/>
  <c r="F2128" i="2"/>
  <c r="M2128" i="2"/>
  <c r="C2129" i="2"/>
  <c r="D2128" i="2" l="1"/>
  <c r="J2128" i="2"/>
  <c r="K2128" i="2" s="1"/>
  <c r="L2128" i="2"/>
  <c r="B2129" i="2"/>
  <c r="A2129" i="2"/>
  <c r="H2129" i="2"/>
  <c r="M2129" i="2"/>
  <c r="I2129" i="2"/>
  <c r="F2129" i="2"/>
  <c r="G2129" i="2"/>
  <c r="E2129" i="2"/>
  <c r="C2130" i="2"/>
  <c r="J2129" i="2" l="1"/>
  <c r="K2129" i="2" s="1"/>
  <c r="D2129" i="2"/>
  <c r="L2129" i="2"/>
  <c r="B2130" i="2"/>
  <c r="A2130" i="2"/>
  <c r="H2130" i="2"/>
  <c r="I2130" i="2"/>
  <c r="E2130" i="2"/>
  <c r="F2130" i="2"/>
  <c r="M2130" i="2"/>
  <c r="G2130" i="2"/>
  <c r="C2131" i="2"/>
  <c r="D2130" i="2" l="1"/>
  <c r="J2130" i="2"/>
  <c r="K2130" i="2" s="1"/>
  <c r="L2130" i="2"/>
  <c r="A2131" i="2"/>
  <c r="B2131" i="2"/>
  <c r="G2131" i="2"/>
  <c r="E2131" i="2"/>
  <c r="M2131" i="2"/>
  <c r="I2131" i="2"/>
  <c r="F2131" i="2"/>
  <c r="H2131" i="2"/>
  <c r="C2132" i="2"/>
  <c r="D2131" i="2" l="1"/>
  <c r="J2131" i="2"/>
  <c r="K2131" i="2" s="1"/>
  <c r="L2131" i="2"/>
  <c r="B2132" i="2"/>
  <c r="A2132" i="2"/>
  <c r="F2132" i="2"/>
  <c r="G2132" i="2"/>
  <c r="M2132" i="2"/>
  <c r="E2132" i="2"/>
  <c r="H2132" i="2"/>
  <c r="I2132" i="2"/>
  <c r="C2133" i="2"/>
  <c r="D2132" i="2" l="1"/>
  <c r="J2132" i="2"/>
  <c r="K2132" i="2" s="1"/>
  <c r="L2132" i="2"/>
  <c r="B2133" i="2"/>
  <c r="A2133" i="2"/>
  <c r="M2133" i="2"/>
  <c r="H2133" i="2"/>
  <c r="G2133" i="2"/>
  <c r="F2133" i="2"/>
  <c r="I2133" i="2"/>
  <c r="E2133" i="2"/>
  <c r="C2134" i="2"/>
  <c r="D2133" i="2" l="1"/>
  <c r="J2133" i="2"/>
  <c r="K2133" i="2" s="1"/>
  <c r="L2133" i="2"/>
  <c r="B2134" i="2"/>
  <c r="A2134" i="2"/>
  <c r="M2134" i="2"/>
  <c r="E2134" i="2"/>
  <c r="I2134" i="2"/>
  <c r="H2134" i="2"/>
  <c r="G2134" i="2"/>
  <c r="F2134" i="2"/>
  <c r="C2135" i="2"/>
  <c r="J2134" i="2" l="1"/>
  <c r="K2134" i="2" s="1"/>
  <c r="D2134" i="2"/>
  <c r="L2134" i="2"/>
  <c r="B2135" i="2"/>
  <c r="A2135" i="2"/>
  <c r="E2135" i="2"/>
  <c r="I2135" i="2"/>
  <c r="H2135" i="2"/>
  <c r="G2135" i="2"/>
  <c r="F2135" i="2"/>
  <c r="M2135" i="2"/>
  <c r="C2136" i="2"/>
  <c r="J2135" i="2" l="1"/>
  <c r="K2135" i="2" s="1"/>
  <c r="D2135" i="2"/>
  <c r="L2135" i="2"/>
  <c r="B2136" i="2"/>
  <c r="A2136" i="2"/>
  <c r="M2136" i="2"/>
  <c r="E2136" i="2"/>
  <c r="F2136" i="2"/>
  <c r="H2136" i="2"/>
  <c r="I2136" i="2"/>
  <c r="G2136" i="2"/>
  <c r="C2137" i="2"/>
  <c r="J2136" i="2" l="1"/>
  <c r="K2136" i="2" s="1"/>
  <c r="D2136" i="2"/>
  <c r="L2136" i="2"/>
  <c r="B2137" i="2"/>
  <c r="A2137" i="2"/>
  <c r="G2137" i="2"/>
  <c r="M2137" i="2"/>
  <c r="F2137" i="2"/>
  <c r="I2137" i="2"/>
  <c r="H2137" i="2"/>
  <c r="E2137" i="2"/>
  <c r="C2138" i="2"/>
  <c r="D2137" i="2" l="1"/>
  <c r="J2137" i="2"/>
  <c r="K2137" i="2" s="1"/>
  <c r="L2137" i="2"/>
  <c r="A2138" i="2"/>
  <c r="B2138" i="2"/>
  <c r="H2138" i="2"/>
  <c r="E2138" i="2"/>
  <c r="G2138" i="2"/>
  <c r="F2138" i="2"/>
  <c r="M2138" i="2"/>
  <c r="I2138" i="2"/>
  <c r="C2139" i="2"/>
  <c r="D2138" i="2" l="1"/>
  <c r="J2138" i="2"/>
  <c r="K2138" i="2" s="1"/>
  <c r="L2138" i="2"/>
  <c r="B2139" i="2"/>
  <c r="A2139" i="2"/>
  <c r="M2139" i="2"/>
  <c r="I2139" i="2"/>
  <c r="H2139" i="2"/>
  <c r="F2139" i="2"/>
  <c r="E2139" i="2"/>
  <c r="G2139" i="2"/>
  <c r="C2140" i="2"/>
  <c r="D2139" i="2" l="1"/>
  <c r="J2139" i="2"/>
  <c r="K2139" i="2" s="1"/>
  <c r="L2139" i="2"/>
  <c r="A2140" i="2"/>
  <c r="B2140" i="2"/>
  <c r="M2140" i="2"/>
  <c r="F2140" i="2"/>
  <c r="H2140" i="2"/>
  <c r="I2140" i="2"/>
  <c r="E2140" i="2"/>
  <c r="G2140" i="2"/>
  <c r="C2141" i="2"/>
  <c r="J2140" i="2" l="1"/>
  <c r="K2140" i="2" s="1"/>
  <c r="D2140" i="2"/>
  <c r="L2140" i="2"/>
  <c r="B2141" i="2"/>
  <c r="A2141" i="2"/>
  <c r="F2141" i="2"/>
  <c r="I2141" i="2"/>
  <c r="E2141" i="2"/>
  <c r="G2141" i="2"/>
  <c r="M2141" i="2"/>
  <c r="H2141" i="2"/>
  <c r="C2142" i="2"/>
  <c r="J2141" i="2" l="1"/>
  <c r="K2141" i="2" s="1"/>
  <c r="D2141" i="2"/>
  <c r="L2141" i="2"/>
  <c r="B2142" i="2"/>
  <c r="A2142" i="2"/>
  <c r="M2142" i="2"/>
  <c r="G2142" i="2"/>
  <c r="E2142" i="2"/>
  <c r="I2142" i="2"/>
  <c r="H2142" i="2"/>
  <c r="F2142" i="2"/>
  <c r="C2143" i="2"/>
  <c r="D2142" i="2" l="1"/>
  <c r="J2142" i="2"/>
  <c r="K2142" i="2" s="1"/>
  <c r="L2142" i="2"/>
  <c r="A2143" i="2"/>
  <c r="B2143" i="2"/>
  <c r="H2143" i="2"/>
  <c r="E2143" i="2"/>
  <c r="G2143" i="2"/>
  <c r="F2143" i="2"/>
  <c r="I2143" i="2"/>
  <c r="M2143" i="2"/>
  <c r="C2144" i="2"/>
  <c r="D2143" i="2" l="1"/>
  <c r="J2143" i="2"/>
  <c r="K2143" i="2" s="1"/>
  <c r="L2143" i="2"/>
  <c r="B2144" i="2"/>
  <c r="A2144" i="2"/>
  <c r="F2144" i="2"/>
  <c r="G2144" i="2"/>
  <c r="M2144" i="2"/>
  <c r="H2144" i="2"/>
  <c r="I2144" i="2"/>
  <c r="E2144" i="2"/>
  <c r="C2145" i="2"/>
  <c r="J2144" i="2" l="1"/>
  <c r="K2144" i="2" s="1"/>
  <c r="D2144" i="2"/>
  <c r="L2144" i="2"/>
  <c r="B2145" i="2"/>
  <c r="A2145" i="2"/>
  <c r="G2145" i="2"/>
  <c r="H2145" i="2"/>
  <c r="E2145" i="2"/>
  <c r="I2145" i="2"/>
  <c r="F2145" i="2"/>
  <c r="M2145" i="2"/>
  <c r="C2146" i="2"/>
  <c r="D2145" i="2" l="1"/>
  <c r="J2145" i="2"/>
  <c r="K2145" i="2" s="1"/>
  <c r="L2145" i="2"/>
  <c r="B2146" i="2"/>
  <c r="A2146" i="2"/>
  <c r="H2146" i="2"/>
  <c r="I2146" i="2"/>
  <c r="G2146" i="2"/>
  <c r="E2146" i="2"/>
  <c r="M2146" i="2"/>
  <c r="F2146" i="2"/>
  <c r="C2147" i="2"/>
  <c r="J2146" i="2" l="1"/>
  <c r="K2146" i="2" s="1"/>
  <c r="D2146" i="2"/>
  <c r="L2146" i="2"/>
  <c r="A2147" i="2"/>
  <c r="B2147" i="2"/>
  <c r="M2147" i="2"/>
  <c r="G2147" i="2"/>
  <c r="E2147" i="2"/>
  <c r="I2147" i="2"/>
  <c r="F2147" i="2"/>
  <c r="H2147" i="2"/>
  <c r="C2148" i="2"/>
  <c r="J2147" i="2" l="1"/>
  <c r="K2147" i="2" s="1"/>
  <c r="D2147" i="2"/>
  <c r="L2147" i="2"/>
  <c r="B2148" i="2"/>
  <c r="A2148" i="2"/>
  <c r="F2148" i="2"/>
  <c r="G2148" i="2"/>
  <c r="I2148" i="2"/>
  <c r="H2148" i="2"/>
  <c r="E2148" i="2"/>
  <c r="M2148" i="2"/>
  <c r="C2149" i="2"/>
  <c r="D2148" i="2" l="1"/>
  <c r="J2148" i="2"/>
  <c r="K2148" i="2" s="1"/>
  <c r="L2148" i="2"/>
  <c r="B2149" i="2"/>
  <c r="A2149" i="2"/>
  <c r="E2149" i="2"/>
  <c r="I2149" i="2"/>
  <c r="H2149" i="2"/>
  <c r="G2149" i="2"/>
  <c r="F2149" i="2"/>
  <c r="M2149" i="2"/>
  <c r="C2150" i="2"/>
  <c r="J2149" i="2" l="1"/>
  <c r="K2149" i="2" s="1"/>
  <c r="D2149" i="2"/>
  <c r="L2149" i="2"/>
  <c r="B2150" i="2"/>
  <c r="A2150" i="2"/>
  <c r="M2150" i="2"/>
  <c r="E2150" i="2"/>
  <c r="G2150" i="2"/>
  <c r="H2150" i="2"/>
  <c r="F2150" i="2"/>
  <c r="I2150" i="2"/>
  <c r="C2151" i="2"/>
  <c r="J2150" i="2" l="1"/>
  <c r="K2150" i="2" s="1"/>
  <c r="D2150" i="2"/>
  <c r="L2150" i="2"/>
  <c r="B2151" i="2"/>
  <c r="A2151" i="2"/>
  <c r="M2151" i="2"/>
  <c r="E2151" i="2"/>
  <c r="F2151" i="2"/>
  <c r="I2151" i="2"/>
  <c r="H2151" i="2"/>
  <c r="G2151" i="2"/>
  <c r="C2152" i="2"/>
  <c r="J2151" i="2" l="1"/>
  <c r="K2151" i="2" s="1"/>
  <c r="D2151" i="2"/>
  <c r="L2151" i="2"/>
  <c r="B2152" i="2"/>
  <c r="A2152" i="2"/>
  <c r="G2152" i="2"/>
  <c r="E2152" i="2"/>
  <c r="H2152" i="2"/>
  <c r="M2152" i="2"/>
  <c r="F2152" i="2"/>
  <c r="I2152" i="2"/>
  <c r="C2153" i="2"/>
  <c r="D2152" i="2" l="1"/>
  <c r="J2152" i="2"/>
  <c r="K2152" i="2" s="1"/>
  <c r="L2152" i="2"/>
  <c r="B2153" i="2"/>
  <c r="A2153" i="2"/>
  <c r="E2153" i="2"/>
  <c r="H2153" i="2"/>
  <c r="M2153" i="2"/>
  <c r="F2153" i="2"/>
  <c r="G2153" i="2"/>
  <c r="I2153" i="2"/>
  <c r="C2154" i="2"/>
  <c r="J2153" i="2" l="1"/>
  <c r="K2153" i="2" s="1"/>
  <c r="D2153" i="2"/>
  <c r="L2153" i="2"/>
  <c r="A2154" i="2"/>
  <c r="B2154" i="2"/>
  <c r="H2154" i="2"/>
  <c r="I2154" i="2"/>
  <c r="E2154" i="2"/>
  <c r="G2154" i="2"/>
  <c r="F2154" i="2"/>
  <c r="M2154" i="2"/>
  <c r="C2155" i="2"/>
  <c r="D2154" i="2" l="1"/>
  <c r="J2154" i="2"/>
  <c r="K2154" i="2" s="1"/>
  <c r="L2154" i="2"/>
  <c r="B2155" i="2"/>
  <c r="A2155" i="2"/>
  <c r="E2155" i="2"/>
  <c r="G2155" i="2"/>
  <c r="H2155" i="2"/>
  <c r="I2155" i="2"/>
  <c r="F2155" i="2"/>
  <c r="M2155" i="2"/>
  <c r="C2156" i="2"/>
  <c r="J2155" i="2" l="1"/>
  <c r="K2155" i="2" s="1"/>
  <c r="D2155" i="2"/>
  <c r="L2155" i="2"/>
  <c r="A2156" i="2"/>
  <c r="B2156" i="2"/>
  <c r="H2156" i="2"/>
  <c r="F2156" i="2"/>
  <c r="M2156" i="2"/>
  <c r="I2156" i="2"/>
  <c r="G2156" i="2"/>
  <c r="E2156" i="2"/>
  <c r="C2157" i="2"/>
  <c r="J2156" i="2" l="1"/>
  <c r="K2156" i="2" s="1"/>
  <c r="D2156" i="2"/>
  <c r="L2156" i="2"/>
  <c r="B2157" i="2"/>
  <c r="A2157" i="2"/>
  <c r="G2157" i="2"/>
  <c r="H2157" i="2"/>
  <c r="F2157" i="2"/>
  <c r="M2157" i="2"/>
  <c r="I2157" i="2"/>
  <c r="E2157" i="2"/>
  <c r="C2158" i="2"/>
  <c r="D2157" i="2" l="1"/>
  <c r="J2157" i="2"/>
  <c r="K2157" i="2" s="1"/>
  <c r="L2157" i="2"/>
  <c r="B2158" i="2"/>
  <c r="A2158" i="2"/>
  <c r="H2158" i="2"/>
  <c r="M2158" i="2"/>
  <c r="F2158" i="2"/>
  <c r="E2158" i="2"/>
  <c r="I2158" i="2"/>
  <c r="G2158" i="2"/>
  <c r="C2159" i="2"/>
  <c r="J2158" i="2" l="1"/>
  <c r="K2158" i="2" s="1"/>
  <c r="D2158" i="2"/>
  <c r="L2158" i="2"/>
  <c r="B2159" i="2"/>
  <c r="A2159" i="2"/>
  <c r="H2159" i="2"/>
  <c r="M2159" i="2"/>
  <c r="E2159" i="2"/>
  <c r="F2159" i="2"/>
  <c r="I2159" i="2"/>
  <c r="G2159" i="2"/>
  <c r="C2160" i="2"/>
  <c r="J2159" i="2" l="1"/>
  <c r="K2159" i="2" s="1"/>
  <c r="D2159" i="2"/>
  <c r="L2159" i="2"/>
  <c r="B2160" i="2"/>
  <c r="A2160" i="2"/>
  <c r="E2160" i="2"/>
  <c r="F2160" i="2"/>
  <c r="G2160" i="2"/>
  <c r="I2160" i="2"/>
  <c r="H2160" i="2"/>
  <c r="M2160" i="2"/>
  <c r="C2161" i="2"/>
  <c r="J2160" i="2" l="1"/>
  <c r="K2160" i="2" s="1"/>
  <c r="D2160" i="2"/>
  <c r="L2160" i="2"/>
  <c r="B2161" i="2"/>
  <c r="A2161" i="2"/>
  <c r="G2161" i="2"/>
  <c r="E2161" i="2"/>
  <c r="F2161" i="2"/>
  <c r="H2161" i="2"/>
  <c r="M2161" i="2"/>
  <c r="I2161" i="2"/>
  <c r="C2162" i="2"/>
  <c r="D2161" i="2" l="1"/>
  <c r="J2161" i="2"/>
  <c r="K2161" i="2" s="1"/>
  <c r="L2161" i="2"/>
  <c r="A2162" i="2"/>
  <c r="B2162" i="2"/>
  <c r="H2162" i="2"/>
  <c r="G2162" i="2"/>
  <c r="I2162" i="2"/>
  <c r="E2162" i="2"/>
  <c r="F2162" i="2"/>
  <c r="M2162" i="2"/>
  <c r="C2163" i="2"/>
  <c r="D2162" i="2" l="1"/>
  <c r="J2162" i="2"/>
  <c r="K2162" i="2" s="1"/>
  <c r="L2162" i="2"/>
  <c r="A2163" i="2"/>
  <c r="B2163" i="2"/>
  <c r="H2163" i="2"/>
  <c r="I2163" i="2"/>
  <c r="F2163" i="2"/>
  <c r="E2163" i="2"/>
  <c r="G2163" i="2"/>
  <c r="M2163" i="2"/>
  <c r="C2164" i="2"/>
  <c r="J2163" i="2" l="1"/>
  <c r="K2163" i="2" s="1"/>
  <c r="D2163" i="2"/>
  <c r="L2163" i="2"/>
  <c r="B2164" i="2"/>
  <c r="A2164" i="2"/>
  <c r="G2164" i="2"/>
  <c r="F2164" i="2"/>
  <c r="M2164" i="2"/>
  <c r="I2164" i="2"/>
  <c r="E2164" i="2"/>
  <c r="H2164" i="2"/>
  <c r="C2165" i="2"/>
  <c r="J2164" i="2" l="1"/>
  <c r="K2164" i="2" s="1"/>
  <c r="D2164" i="2"/>
  <c r="L2164" i="2"/>
  <c r="B2165" i="2"/>
  <c r="A2165" i="2"/>
  <c r="G2165" i="2"/>
  <c r="E2165" i="2"/>
  <c r="F2165" i="2"/>
  <c r="M2165" i="2"/>
  <c r="H2165" i="2"/>
  <c r="I2165" i="2"/>
  <c r="C2166" i="2"/>
  <c r="J2165" i="2" l="1"/>
  <c r="K2165" i="2" s="1"/>
  <c r="D2165" i="2"/>
  <c r="L2165" i="2"/>
  <c r="B2166" i="2"/>
  <c r="A2166" i="2"/>
  <c r="F2166" i="2"/>
  <c r="E2166" i="2"/>
  <c r="G2166" i="2"/>
  <c r="M2166" i="2"/>
  <c r="I2166" i="2"/>
  <c r="H2166" i="2"/>
  <c r="C2167" i="2"/>
  <c r="D2166" i="2" l="1"/>
  <c r="J2166" i="2"/>
  <c r="K2166" i="2" s="1"/>
  <c r="L2166" i="2"/>
  <c r="B2167" i="2"/>
  <c r="A2167" i="2"/>
  <c r="F2167" i="2"/>
  <c r="I2167" i="2"/>
  <c r="M2167" i="2"/>
  <c r="E2167" i="2"/>
  <c r="H2167" i="2"/>
  <c r="G2167" i="2"/>
  <c r="C2168" i="2"/>
  <c r="J2167" i="2" l="1"/>
  <c r="K2167" i="2" s="1"/>
  <c r="D2167" i="2"/>
  <c r="L2167" i="2"/>
  <c r="B2168" i="2"/>
  <c r="A2168" i="2"/>
  <c r="M2168" i="2"/>
  <c r="H2168" i="2"/>
  <c r="E2168" i="2"/>
  <c r="I2168" i="2"/>
  <c r="G2168" i="2"/>
  <c r="F2168" i="2"/>
  <c r="C2169" i="2"/>
  <c r="J2168" i="2" l="1"/>
  <c r="K2168" i="2" s="1"/>
  <c r="D2168" i="2"/>
  <c r="L2168" i="2"/>
  <c r="B2169" i="2"/>
  <c r="A2169" i="2"/>
  <c r="G2169" i="2"/>
  <c r="M2169" i="2"/>
  <c r="E2169" i="2"/>
  <c r="F2169" i="2"/>
  <c r="H2169" i="2"/>
  <c r="I2169" i="2"/>
  <c r="C2170" i="2"/>
  <c r="D2169" i="2" l="1"/>
  <c r="J2169" i="2"/>
  <c r="K2169" i="2" s="1"/>
  <c r="L2169" i="2"/>
  <c r="A2170" i="2"/>
  <c r="B2170" i="2"/>
  <c r="E2170" i="2"/>
  <c r="F2170" i="2"/>
  <c r="I2170" i="2"/>
  <c r="H2170" i="2"/>
  <c r="M2170" i="2"/>
  <c r="G2170" i="2"/>
  <c r="C2171" i="2"/>
  <c r="J2170" i="2" l="1"/>
  <c r="K2170" i="2" s="1"/>
  <c r="D2170" i="2"/>
  <c r="L2170" i="2"/>
  <c r="B2171" i="2"/>
  <c r="A2171" i="2"/>
  <c r="G2171" i="2"/>
  <c r="H2171" i="2"/>
  <c r="E2171" i="2"/>
  <c r="F2171" i="2"/>
  <c r="I2171" i="2"/>
  <c r="M2171" i="2"/>
  <c r="C2172" i="2"/>
  <c r="D2171" i="2" l="1"/>
  <c r="J2171" i="2"/>
  <c r="K2171" i="2" s="1"/>
  <c r="L2171" i="2"/>
  <c r="B2172" i="2"/>
  <c r="A2172" i="2"/>
  <c r="F2172" i="2"/>
  <c r="M2172" i="2"/>
  <c r="H2172" i="2"/>
  <c r="I2172" i="2"/>
  <c r="E2172" i="2"/>
  <c r="G2172" i="2"/>
  <c r="C2173" i="2"/>
  <c r="J2172" i="2" l="1"/>
  <c r="K2172" i="2" s="1"/>
  <c r="D2172" i="2"/>
  <c r="L2172" i="2"/>
  <c r="A2173" i="2"/>
  <c r="B2173" i="2"/>
  <c r="I2173" i="2"/>
  <c r="H2173" i="2"/>
  <c r="M2173" i="2"/>
  <c r="G2173" i="2"/>
  <c r="F2173" i="2"/>
  <c r="E2173" i="2"/>
  <c r="C2174" i="2"/>
  <c r="D2173" i="2" l="1"/>
  <c r="J2173" i="2"/>
  <c r="K2173" i="2" s="1"/>
  <c r="L2173" i="2"/>
  <c r="B2174" i="2"/>
  <c r="A2174" i="2"/>
  <c r="G2174" i="2"/>
  <c r="I2174" i="2"/>
  <c r="E2174" i="2"/>
  <c r="F2174" i="2"/>
  <c r="H2174" i="2"/>
  <c r="M2174" i="2"/>
  <c r="C2175" i="2"/>
  <c r="D2174" i="2" l="1"/>
  <c r="J2174" i="2"/>
  <c r="K2174" i="2" s="1"/>
  <c r="L2174" i="2"/>
  <c r="B2175" i="2"/>
  <c r="A2175" i="2"/>
  <c r="E2175" i="2"/>
  <c r="G2175" i="2"/>
  <c r="I2175" i="2"/>
  <c r="H2175" i="2"/>
  <c r="F2175" i="2"/>
  <c r="M2175" i="2"/>
  <c r="C2176" i="2"/>
  <c r="D2175" i="2" l="1"/>
  <c r="J2175" i="2"/>
  <c r="K2175" i="2" s="1"/>
  <c r="L2175" i="2"/>
  <c r="B2176" i="2"/>
  <c r="A2176" i="2"/>
  <c r="I2176" i="2"/>
  <c r="M2176" i="2"/>
  <c r="H2176" i="2"/>
  <c r="F2176" i="2"/>
  <c r="G2176" i="2"/>
  <c r="E2176" i="2"/>
  <c r="C2177" i="2"/>
  <c r="J2176" i="2" l="1"/>
  <c r="K2176" i="2" s="1"/>
  <c r="D2176" i="2"/>
  <c r="L2176" i="2"/>
  <c r="A2177" i="2"/>
  <c r="B2177" i="2"/>
  <c r="H2177" i="2"/>
  <c r="I2177" i="2"/>
  <c r="M2177" i="2"/>
  <c r="F2177" i="2"/>
  <c r="G2177" i="2"/>
  <c r="E2177" i="2"/>
  <c r="C2178" i="2"/>
  <c r="D2177" i="2" l="1"/>
  <c r="J2177" i="2"/>
  <c r="K2177" i="2" s="1"/>
  <c r="L2177" i="2"/>
  <c r="B2178" i="2"/>
  <c r="A2178" i="2"/>
  <c r="F2178" i="2"/>
  <c r="G2178" i="2"/>
  <c r="M2178" i="2"/>
  <c r="I2178" i="2"/>
  <c r="E2178" i="2"/>
  <c r="H2178" i="2"/>
  <c r="C2179" i="2"/>
  <c r="J2178" i="2" l="1"/>
  <c r="K2178" i="2" s="1"/>
  <c r="D2178" i="2"/>
  <c r="L2178" i="2"/>
  <c r="B2179" i="2"/>
  <c r="A2179" i="2"/>
  <c r="I2179" i="2"/>
  <c r="G2179" i="2"/>
  <c r="M2179" i="2"/>
  <c r="H2179" i="2"/>
  <c r="E2179" i="2"/>
  <c r="F2179" i="2"/>
  <c r="C2180" i="2"/>
  <c r="D2179" i="2" l="1"/>
  <c r="J2179" i="2"/>
  <c r="K2179" i="2" s="1"/>
  <c r="L2179" i="2"/>
  <c r="B2180" i="2"/>
  <c r="A2180" i="2"/>
  <c r="I2180" i="2"/>
  <c r="G2180" i="2"/>
  <c r="M2180" i="2"/>
  <c r="H2180" i="2"/>
  <c r="E2180" i="2"/>
  <c r="F2180" i="2"/>
  <c r="C2181" i="2"/>
  <c r="D2180" i="2" l="1"/>
  <c r="J2180" i="2"/>
  <c r="K2180" i="2" s="1"/>
  <c r="L2180" i="2"/>
  <c r="B2181" i="2"/>
  <c r="A2181" i="2"/>
  <c r="H2181" i="2"/>
  <c r="G2181" i="2"/>
  <c r="I2181" i="2"/>
  <c r="M2181" i="2"/>
  <c r="F2181" i="2"/>
  <c r="E2181" i="2"/>
  <c r="C2182" i="2"/>
  <c r="D2181" i="2" l="1"/>
  <c r="J2181" i="2"/>
  <c r="K2181" i="2" s="1"/>
  <c r="L2181" i="2"/>
  <c r="A2182" i="2"/>
  <c r="B2182" i="2"/>
  <c r="M2182" i="2"/>
  <c r="G2182" i="2"/>
  <c r="E2182" i="2"/>
  <c r="F2182" i="2"/>
  <c r="H2182" i="2"/>
  <c r="I2182" i="2"/>
  <c r="C2183" i="2"/>
  <c r="D2182" i="2" l="1"/>
  <c r="J2182" i="2"/>
  <c r="K2182" i="2" s="1"/>
  <c r="L2182" i="2"/>
  <c r="B2183" i="2"/>
  <c r="A2183" i="2"/>
  <c r="M2183" i="2"/>
  <c r="G2183" i="2"/>
  <c r="F2183" i="2"/>
  <c r="H2183" i="2"/>
  <c r="I2183" i="2"/>
  <c r="E2183" i="2"/>
  <c r="C2184" i="2"/>
  <c r="J2183" i="2" l="1"/>
  <c r="K2183" i="2" s="1"/>
  <c r="D2183" i="2"/>
  <c r="L2183" i="2"/>
  <c r="B2184" i="2"/>
  <c r="A2184" i="2"/>
  <c r="G2184" i="2"/>
  <c r="H2184" i="2"/>
  <c r="I2184" i="2"/>
  <c r="M2184" i="2"/>
  <c r="E2184" i="2"/>
  <c r="F2184" i="2"/>
  <c r="C2185" i="2"/>
  <c r="D2184" i="2" l="1"/>
  <c r="J2184" i="2"/>
  <c r="K2184" i="2" s="1"/>
  <c r="L2184" i="2"/>
  <c r="B2185" i="2"/>
  <c r="A2185" i="2"/>
  <c r="M2185" i="2"/>
  <c r="I2185" i="2"/>
  <c r="H2185" i="2"/>
  <c r="G2185" i="2"/>
  <c r="F2185" i="2"/>
  <c r="E2185" i="2"/>
  <c r="C2186" i="2"/>
  <c r="J2185" i="2" l="1"/>
  <c r="K2185" i="2" s="1"/>
  <c r="D2185" i="2"/>
  <c r="L2185" i="2"/>
  <c r="A2186" i="2"/>
  <c r="B2186" i="2"/>
  <c r="H2186" i="2"/>
  <c r="E2186" i="2"/>
  <c r="I2186" i="2"/>
  <c r="M2186" i="2"/>
  <c r="G2186" i="2"/>
  <c r="F2186" i="2"/>
  <c r="C2187" i="2"/>
  <c r="D2186" i="2" l="1"/>
  <c r="J2186" i="2"/>
  <c r="K2186" i="2" s="1"/>
  <c r="L2186" i="2"/>
  <c r="B2187" i="2"/>
  <c r="A2187" i="2"/>
  <c r="H2187" i="2"/>
  <c r="E2187" i="2"/>
  <c r="I2187" i="2"/>
  <c r="F2187" i="2"/>
  <c r="G2187" i="2"/>
  <c r="M2187" i="2"/>
  <c r="C2188" i="2"/>
  <c r="D2187" i="2" l="1"/>
  <c r="J2187" i="2"/>
  <c r="K2187" i="2" s="1"/>
  <c r="L2187" i="2"/>
  <c r="B2188" i="2"/>
  <c r="A2188" i="2"/>
  <c r="G2188" i="2"/>
  <c r="E2188" i="2"/>
  <c r="I2188" i="2"/>
  <c r="F2188" i="2"/>
  <c r="H2188" i="2"/>
  <c r="M2188" i="2"/>
  <c r="C2189" i="2"/>
  <c r="J2188" i="2" l="1"/>
  <c r="K2188" i="2" s="1"/>
  <c r="D2188" i="2"/>
  <c r="L2188" i="2"/>
  <c r="A2189" i="2"/>
  <c r="B2189" i="2"/>
  <c r="M2189" i="2"/>
  <c r="H2189" i="2"/>
  <c r="I2189" i="2"/>
  <c r="E2189" i="2"/>
  <c r="F2189" i="2"/>
  <c r="G2189" i="2"/>
  <c r="C2190" i="2"/>
  <c r="J2189" i="2" l="1"/>
  <c r="K2189" i="2" s="1"/>
  <c r="D2189" i="2"/>
  <c r="L2189" i="2"/>
  <c r="B2190" i="2"/>
  <c r="A2190" i="2"/>
  <c r="M2190" i="2"/>
  <c r="I2190" i="2"/>
  <c r="G2190" i="2"/>
  <c r="H2190" i="2"/>
  <c r="E2190" i="2"/>
  <c r="F2190" i="2"/>
  <c r="C2191" i="2"/>
  <c r="J2190" i="2" l="1"/>
  <c r="K2190" i="2" s="1"/>
  <c r="D2190" i="2"/>
  <c r="L2190" i="2"/>
  <c r="B2191" i="2"/>
  <c r="A2191" i="2"/>
  <c r="I2191" i="2"/>
  <c r="G2191" i="2"/>
  <c r="F2191" i="2"/>
  <c r="M2191" i="2"/>
  <c r="H2191" i="2"/>
  <c r="E2191" i="2"/>
  <c r="C2192" i="2"/>
  <c r="J2191" i="2" l="1"/>
  <c r="K2191" i="2" s="1"/>
  <c r="D2191" i="2"/>
  <c r="L2191" i="2"/>
  <c r="B2192" i="2"/>
  <c r="A2192" i="2"/>
  <c r="F2192" i="2"/>
  <c r="G2192" i="2"/>
  <c r="M2192" i="2"/>
  <c r="E2192" i="2"/>
  <c r="H2192" i="2"/>
  <c r="I2192" i="2"/>
  <c r="C2193" i="2"/>
  <c r="J2192" i="2" l="1"/>
  <c r="K2192" i="2" s="1"/>
  <c r="D2192" i="2"/>
  <c r="L2192" i="2"/>
  <c r="B2193" i="2"/>
  <c r="A2193" i="2"/>
  <c r="F2193" i="2"/>
  <c r="G2193" i="2"/>
  <c r="I2193" i="2"/>
  <c r="M2193" i="2"/>
  <c r="E2193" i="2"/>
  <c r="H2193" i="2"/>
  <c r="C2194" i="2"/>
  <c r="D2193" i="2" l="1"/>
  <c r="J2193" i="2"/>
  <c r="K2193" i="2" s="1"/>
  <c r="L2193" i="2"/>
  <c r="A2194" i="2"/>
  <c r="B2194" i="2"/>
  <c r="G2194" i="2"/>
  <c r="H2194" i="2"/>
  <c r="M2194" i="2"/>
  <c r="E2194" i="2"/>
  <c r="F2194" i="2"/>
  <c r="I2194" i="2"/>
  <c r="C2195" i="2"/>
  <c r="J2194" i="2" l="1"/>
  <c r="K2194" i="2" s="1"/>
  <c r="D2194" i="2"/>
  <c r="L2194" i="2"/>
  <c r="B2195" i="2"/>
  <c r="A2195" i="2"/>
  <c r="M2195" i="2"/>
  <c r="H2195" i="2"/>
  <c r="G2195" i="2"/>
  <c r="F2195" i="2"/>
  <c r="E2195" i="2"/>
  <c r="I2195" i="2"/>
  <c r="C2196" i="2"/>
  <c r="J2195" i="2" l="1"/>
  <c r="K2195" i="2" s="1"/>
  <c r="D2195" i="2"/>
  <c r="L2195" i="2"/>
  <c r="B2196" i="2"/>
  <c r="A2196" i="2"/>
  <c r="F2196" i="2"/>
  <c r="G2196" i="2"/>
  <c r="H2196" i="2"/>
  <c r="E2196" i="2"/>
  <c r="I2196" i="2"/>
  <c r="M2196" i="2"/>
  <c r="C2197" i="2"/>
  <c r="J2196" i="2" l="1"/>
  <c r="K2196" i="2" s="1"/>
  <c r="D2196" i="2"/>
  <c r="L2196" i="2"/>
  <c r="B2197" i="2"/>
  <c r="A2197" i="2"/>
  <c r="H2197" i="2"/>
  <c r="I2197" i="2"/>
  <c r="G2197" i="2"/>
  <c r="F2197" i="2"/>
  <c r="M2197" i="2"/>
  <c r="E2197" i="2"/>
  <c r="C2198" i="2"/>
  <c r="J2197" i="2" l="1"/>
  <c r="K2197" i="2" s="1"/>
  <c r="D2197" i="2"/>
  <c r="L2197" i="2"/>
  <c r="B2198" i="2"/>
  <c r="A2198" i="2"/>
  <c r="M2198" i="2"/>
  <c r="G2198" i="2"/>
  <c r="E2198" i="2"/>
  <c r="F2198" i="2"/>
  <c r="I2198" i="2"/>
  <c r="H2198" i="2"/>
  <c r="C2199" i="2"/>
  <c r="J2198" i="2" l="1"/>
  <c r="K2198" i="2" s="1"/>
  <c r="D2198" i="2"/>
  <c r="L2198" i="2"/>
  <c r="B2199" i="2"/>
  <c r="A2199" i="2"/>
  <c r="F2199" i="2"/>
  <c r="G2199" i="2"/>
  <c r="I2199" i="2"/>
  <c r="H2199" i="2"/>
  <c r="E2199" i="2"/>
  <c r="M2199" i="2"/>
  <c r="C2200" i="2"/>
  <c r="D2199" i="2" l="1"/>
  <c r="J2199" i="2"/>
  <c r="K2199" i="2" s="1"/>
  <c r="L2199" i="2"/>
  <c r="B2200" i="2"/>
  <c r="A2200" i="2"/>
  <c r="E2200" i="2"/>
  <c r="G2200" i="2"/>
  <c r="M2200" i="2"/>
  <c r="F2200" i="2"/>
  <c r="I2200" i="2"/>
  <c r="H2200" i="2"/>
  <c r="C2201" i="2"/>
  <c r="D2200" i="2" l="1"/>
  <c r="J2200" i="2"/>
  <c r="K2200" i="2" s="1"/>
  <c r="L2200" i="2"/>
  <c r="B2201" i="2"/>
  <c r="A2201" i="2"/>
  <c r="F2201" i="2"/>
  <c r="G2201" i="2"/>
  <c r="I2201" i="2"/>
  <c r="M2201" i="2"/>
  <c r="E2201" i="2"/>
  <c r="H2201" i="2"/>
  <c r="C2202" i="2"/>
  <c r="J2201" i="2" l="1"/>
  <c r="K2201" i="2" s="1"/>
  <c r="D2201" i="2"/>
  <c r="L2201" i="2"/>
  <c r="A2202" i="2"/>
  <c r="B2202" i="2"/>
  <c r="G2202" i="2"/>
  <c r="I2202" i="2"/>
  <c r="M2202" i="2"/>
  <c r="F2202" i="2"/>
  <c r="E2202" i="2"/>
  <c r="H2202" i="2"/>
  <c r="C2203" i="2"/>
  <c r="D2202" i="2" l="1"/>
  <c r="J2202" i="2"/>
  <c r="K2202" i="2" s="1"/>
  <c r="L2202" i="2"/>
  <c r="B2203" i="2"/>
  <c r="A2203" i="2"/>
  <c r="G2203" i="2"/>
  <c r="E2203" i="2"/>
  <c r="I2203" i="2"/>
  <c r="H2203" i="2"/>
  <c r="M2203" i="2"/>
  <c r="F2203" i="2"/>
  <c r="C2204" i="2"/>
  <c r="J2203" i="2" l="1"/>
  <c r="K2203" i="2" s="1"/>
  <c r="D2203" i="2"/>
  <c r="L2203" i="2"/>
  <c r="B2204" i="2"/>
  <c r="A2204" i="2"/>
  <c r="I2204" i="2"/>
  <c r="G2204" i="2"/>
  <c r="M2204" i="2"/>
  <c r="F2204" i="2"/>
  <c r="H2204" i="2"/>
  <c r="E2204" i="2"/>
  <c r="C2205" i="2"/>
  <c r="D2204" i="2" l="1"/>
  <c r="J2204" i="2"/>
  <c r="K2204" i="2" s="1"/>
  <c r="L2204" i="2"/>
  <c r="A2205" i="2"/>
  <c r="B2205" i="2"/>
  <c r="F2205" i="2"/>
  <c r="I2205" i="2"/>
  <c r="E2205" i="2"/>
  <c r="G2205" i="2"/>
  <c r="H2205" i="2"/>
  <c r="M2205" i="2"/>
  <c r="C2206" i="2"/>
  <c r="D2205" i="2" l="1"/>
  <c r="J2205" i="2"/>
  <c r="K2205" i="2" s="1"/>
  <c r="L2205" i="2"/>
  <c r="B2206" i="2"/>
  <c r="A2206" i="2"/>
  <c r="E2206" i="2"/>
  <c r="I2206" i="2"/>
  <c r="M2206" i="2"/>
  <c r="F2206" i="2"/>
  <c r="H2206" i="2"/>
  <c r="G2206" i="2"/>
  <c r="C2207" i="2"/>
  <c r="D2206" i="2" l="1"/>
  <c r="J2206" i="2"/>
  <c r="K2206" i="2" s="1"/>
  <c r="L2206" i="2"/>
  <c r="B2207" i="2"/>
  <c r="A2207" i="2"/>
  <c r="M2207" i="2"/>
  <c r="H2207" i="2"/>
  <c r="I2207" i="2"/>
  <c r="G2207" i="2"/>
  <c r="F2207" i="2"/>
  <c r="E2207" i="2"/>
  <c r="C2208" i="2"/>
  <c r="D2207" i="2" l="1"/>
  <c r="J2207" i="2"/>
  <c r="K2207" i="2" s="1"/>
  <c r="L2207" i="2"/>
  <c r="B2208" i="2"/>
  <c r="A2208" i="2"/>
  <c r="I2208" i="2"/>
  <c r="F2208" i="2"/>
  <c r="M2208" i="2"/>
  <c r="G2208" i="2"/>
  <c r="H2208" i="2"/>
  <c r="E2208" i="2"/>
  <c r="C2209" i="2"/>
  <c r="D2208" i="2" l="1"/>
  <c r="J2208" i="2"/>
  <c r="K2208" i="2" s="1"/>
  <c r="L2208" i="2"/>
  <c r="B2209" i="2"/>
  <c r="A2209" i="2"/>
  <c r="H2209" i="2"/>
  <c r="M2209" i="2"/>
  <c r="I2209" i="2"/>
  <c r="G2209" i="2"/>
  <c r="E2209" i="2"/>
  <c r="F2209" i="2"/>
  <c r="C2210" i="2"/>
  <c r="D2209" i="2" l="1"/>
  <c r="J2209" i="2"/>
  <c r="K2209" i="2" s="1"/>
  <c r="L2209" i="2"/>
  <c r="B2210" i="2"/>
  <c r="A2210" i="2"/>
  <c r="H2210" i="2"/>
  <c r="F2210" i="2"/>
  <c r="M2210" i="2"/>
  <c r="E2210" i="2"/>
  <c r="I2210" i="2"/>
  <c r="G2210" i="2"/>
  <c r="C2211" i="2"/>
  <c r="D2210" i="2" l="1"/>
  <c r="J2210" i="2"/>
  <c r="K2210" i="2" s="1"/>
  <c r="L2210" i="2"/>
  <c r="B2211" i="2"/>
  <c r="A2211" i="2"/>
  <c r="I2211" i="2"/>
  <c r="F2211" i="2"/>
  <c r="M2211" i="2"/>
  <c r="H2211" i="2"/>
  <c r="G2211" i="2"/>
  <c r="E2211" i="2"/>
  <c r="C2212" i="2"/>
  <c r="D2211" i="2" l="1"/>
  <c r="J2211" i="2"/>
  <c r="K2211" i="2" s="1"/>
  <c r="L2211" i="2"/>
  <c r="B2212" i="2"/>
  <c r="A2212" i="2"/>
  <c r="I2212" i="2"/>
  <c r="H2212" i="2"/>
  <c r="M2212" i="2"/>
  <c r="F2212" i="2"/>
  <c r="G2212" i="2"/>
  <c r="E2212" i="2"/>
  <c r="C2213" i="2"/>
  <c r="D2212" i="2" l="1"/>
  <c r="J2212" i="2"/>
  <c r="K2212" i="2" s="1"/>
  <c r="L2212" i="2"/>
  <c r="A2213" i="2"/>
  <c r="B2213" i="2"/>
  <c r="H2213" i="2"/>
  <c r="F2213" i="2"/>
  <c r="E2213" i="2"/>
  <c r="G2213" i="2"/>
  <c r="I2213" i="2"/>
  <c r="M2213" i="2"/>
  <c r="C2214" i="2"/>
  <c r="J2213" i="2" l="1"/>
  <c r="K2213" i="2" s="1"/>
  <c r="D2213" i="2"/>
  <c r="L2213" i="2"/>
  <c r="B2214" i="2"/>
  <c r="A2214" i="2"/>
  <c r="E2214" i="2"/>
  <c r="F2214" i="2"/>
  <c r="G2214" i="2"/>
  <c r="M2214" i="2"/>
  <c r="I2214" i="2"/>
  <c r="H2214" i="2"/>
  <c r="C2215" i="2"/>
  <c r="J2214" i="2" l="1"/>
  <c r="K2214" i="2" s="1"/>
  <c r="D2214" i="2"/>
  <c r="L2214" i="2"/>
  <c r="B2215" i="2"/>
  <c r="A2215" i="2"/>
  <c r="M2215" i="2"/>
  <c r="F2215" i="2"/>
  <c r="E2215" i="2"/>
  <c r="G2215" i="2"/>
  <c r="H2215" i="2"/>
  <c r="I2215" i="2"/>
  <c r="C2216" i="2"/>
  <c r="D2215" i="2" l="1"/>
  <c r="J2215" i="2"/>
  <c r="K2215" i="2" s="1"/>
  <c r="L2215" i="2"/>
  <c r="B2216" i="2"/>
  <c r="A2216" i="2"/>
  <c r="I2216" i="2"/>
  <c r="F2216" i="2"/>
  <c r="M2216" i="2"/>
  <c r="G2216" i="2"/>
  <c r="H2216" i="2"/>
  <c r="E2216" i="2"/>
  <c r="C2217" i="2"/>
  <c r="D2216" i="2" l="1"/>
  <c r="J2216" i="2"/>
  <c r="K2216" i="2" s="1"/>
  <c r="L2216" i="2"/>
  <c r="A2217" i="2"/>
  <c r="B2217" i="2"/>
  <c r="M2217" i="2"/>
  <c r="G2217" i="2"/>
  <c r="F2217" i="2"/>
  <c r="H2217" i="2"/>
  <c r="E2217" i="2"/>
  <c r="I2217" i="2"/>
  <c r="C2218" i="2"/>
  <c r="D2217" i="2" l="1"/>
  <c r="J2217" i="2"/>
  <c r="K2217" i="2" s="1"/>
  <c r="L2217" i="2"/>
  <c r="B2218" i="2"/>
  <c r="A2218" i="2"/>
  <c r="I2218" i="2"/>
  <c r="G2218" i="2"/>
  <c r="F2218" i="2"/>
  <c r="H2218" i="2"/>
  <c r="E2218" i="2"/>
  <c r="M2218" i="2"/>
  <c r="C2219" i="2"/>
  <c r="D2218" i="2" l="1"/>
  <c r="J2218" i="2"/>
  <c r="K2218" i="2" s="1"/>
  <c r="L2218" i="2"/>
  <c r="B2219" i="2"/>
  <c r="A2219" i="2"/>
  <c r="I2219" i="2"/>
  <c r="M2219" i="2"/>
  <c r="F2219" i="2"/>
  <c r="H2219" i="2"/>
  <c r="E2219" i="2"/>
  <c r="G2219" i="2"/>
  <c r="C2220" i="2"/>
  <c r="J2219" i="2" l="1"/>
  <c r="K2219" i="2" s="1"/>
  <c r="D2219" i="2"/>
  <c r="L2219" i="2"/>
  <c r="B2220" i="2"/>
  <c r="A2220" i="2"/>
  <c r="H2220" i="2"/>
  <c r="E2220" i="2"/>
  <c r="F2220" i="2"/>
  <c r="I2220" i="2"/>
  <c r="G2220" i="2"/>
  <c r="M2220" i="2"/>
  <c r="C2221" i="2"/>
  <c r="J2220" i="2" l="1"/>
  <c r="K2220" i="2" s="1"/>
  <c r="D2220" i="2"/>
  <c r="L2220" i="2"/>
  <c r="A2221" i="2"/>
  <c r="B2221" i="2"/>
  <c r="G2221" i="2"/>
  <c r="I2221" i="2"/>
  <c r="E2221" i="2"/>
  <c r="H2221" i="2"/>
  <c r="M2221" i="2"/>
  <c r="F2221" i="2"/>
  <c r="C2222" i="2"/>
  <c r="J2221" i="2" l="1"/>
  <c r="K2221" i="2" s="1"/>
  <c r="D2221" i="2"/>
  <c r="L2221" i="2"/>
  <c r="A2222" i="2"/>
  <c r="B2222" i="2"/>
  <c r="G2222" i="2"/>
  <c r="F2222" i="2"/>
  <c r="I2222" i="2"/>
  <c r="M2222" i="2"/>
  <c r="H2222" i="2"/>
  <c r="E2222" i="2"/>
  <c r="C2223" i="2"/>
  <c r="J2222" i="2" l="1"/>
  <c r="K2222" i="2" s="1"/>
  <c r="D2222" i="2"/>
  <c r="L2222" i="2"/>
  <c r="B2223" i="2"/>
  <c r="A2223" i="2"/>
  <c r="H2223" i="2"/>
  <c r="M2223" i="2"/>
  <c r="G2223" i="2"/>
  <c r="F2223" i="2"/>
  <c r="E2223" i="2"/>
  <c r="I2223" i="2"/>
  <c r="C2224" i="2"/>
  <c r="J2223" i="2" l="1"/>
  <c r="K2223" i="2" s="1"/>
  <c r="D2223" i="2"/>
  <c r="L2223" i="2"/>
  <c r="B2224" i="2"/>
  <c r="A2224" i="2"/>
  <c r="E2224" i="2"/>
  <c r="G2224" i="2"/>
  <c r="I2224" i="2"/>
  <c r="H2224" i="2"/>
  <c r="M2224" i="2"/>
  <c r="F2224" i="2"/>
  <c r="C2225" i="2"/>
  <c r="J2224" i="2" l="1"/>
  <c r="K2224" i="2" s="1"/>
  <c r="D2224" i="2"/>
  <c r="L2224" i="2"/>
  <c r="B2225" i="2"/>
  <c r="A2225" i="2"/>
  <c r="I2225" i="2"/>
  <c r="H2225" i="2"/>
  <c r="E2225" i="2"/>
  <c r="G2225" i="2"/>
  <c r="F2225" i="2"/>
  <c r="M2225" i="2"/>
  <c r="C2226" i="2"/>
  <c r="D2225" i="2" l="1"/>
  <c r="J2225" i="2"/>
  <c r="K2225" i="2" s="1"/>
  <c r="L2225" i="2"/>
  <c r="B2226" i="2"/>
  <c r="A2226" i="2"/>
  <c r="H2226" i="2"/>
  <c r="E2226" i="2"/>
  <c r="G2226" i="2"/>
  <c r="M2226" i="2"/>
  <c r="F2226" i="2"/>
  <c r="I2226" i="2"/>
  <c r="C2227" i="2"/>
  <c r="J2226" i="2" l="1"/>
  <c r="K2226" i="2" s="1"/>
  <c r="D2226" i="2"/>
  <c r="L2226" i="2"/>
  <c r="B2227" i="2"/>
  <c r="A2227" i="2"/>
  <c r="H2227" i="2"/>
  <c r="M2227" i="2"/>
  <c r="F2227" i="2"/>
  <c r="E2227" i="2"/>
  <c r="I2227" i="2"/>
  <c r="G2227" i="2"/>
  <c r="C2228" i="2"/>
  <c r="J2227" i="2" l="1"/>
  <c r="K2227" i="2" s="1"/>
  <c r="D2227" i="2"/>
  <c r="L2227" i="2"/>
  <c r="B2228" i="2"/>
  <c r="A2228" i="2"/>
  <c r="G2228" i="2"/>
  <c r="H2228" i="2"/>
  <c r="F2228" i="2"/>
  <c r="I2228" i="2"/>
  <c r="E2228" i="2"/>
  <c r="M2228" i="2"/>
  <c r="C2229" i="2"/>
  <c r="D2228" i="2" l="1"/>
  <c r="J2228" i="2"/>
  <c r="K2228" i="2" s="1"/>
  <c r="L2228" i="2"/>
  <c r="A2229" i="2"/>
  <c r="B2229" i="2"/>
  <c r="E2229" i="2"/>
  <c r="I2229" i="2"/>
  <c r="G2229" i="2"/>
  <c r="H2229" i="2"/>
  <c r="F2229" i="2"/>
  <c r="M2229" i="2"/>
  <c r="C2230" i="2"/>
  <c r="D2229" i="2" l="1"/>
  <c r="J2229" i="2"/>
  <c r="K2229" i="2" s="1"/>
  <c r="L2229" i="2"/>
  <c r="B2230" i="2"/>
  <c r="A2230" i="2"/>
  <c r="E2230" i="2"/>
  <c r="H2230" i="2"/>
  <c r="M2230" i="2"/>
  <c r="I2230" i="2"/>
  <c r="G2230" i="2"/>
  <c r="F2230" i="2"/>
  <c r="C2231" i="2"/>
  <c r="D2230" i="2" l="1"/>
  <c r="J2230" i="2"/>
  <c r="K2230" i="2" s="1"/>
  <c r="L2230" i="2"/>
  <c r="B2231" i="2"/>
  <c r="A2231" i="2"/>
  <c r="M2231" i="2"/>
  <c r="G2231" i="2"/>
  <c r="E2231" i="2"/>
  <c r="F2231" i="2"/>
  <c r="H2231" i="2"/>
  <c r="I2231" i="2"/>
  <c r="C2232" i="2"/>
  <c r="D2231" i="2" l="1"/>
  <c r="J2231" i="2"/>
  <c r="K2231" i="2" s="1"/>
  <c r="L2231" i="2"/>
  <c r="B2232" i="2"/>
  <c r="A2232" i="2"/>
  <c r="H2232" i="2"/>
  <c r="I2232" i="2"/>
  <c r="G2232" i="2"/>
  <c r="F2232" i="2"/>
  <c r="E2232" i="2"/>
  <c r="M2232" i="2"/>
  <c r="C2233" i="2"/>
  <c r="J2232" i="2" l="1"/>
  <c r="K2232" i="2" s="1"/>
  <c r="D2232" i="2"/>
  <c r="L2232" i="2"/>
  <c r="B2233" i="2"/>
  <c r="A2233" i="2"/>
  <c r="F2233" i="2"/>
  <c r="I2233" i="2"/>
  <c r="E2233" i="2"/>
  <c r="G2233" i="2"/>
  <c r="M2233" i="2"/>
  <c r="H2233" i="2"/>
  <c r="C2234" i="2"/>
  <c r="D2233" i="2" l="1"/>
  <c r="J2233" i="2"/>
  <c r="K2233" i="2" s="1"/>
  <c r="L2233" i="2"/>
  <c r="B2234" i="2"/>
  <c r="A2234" i="2"/>
  <c r="H2234" i="2"/>
  <c r="G2234" i="2"/>
  <c r="M2234" i="2"/>
  <c r="F2234" i="2"/>
  <c r="I2234" i="2"/>
  <c r="E2234" i="2"/>
  <c r="C2235" i="2"/>
  <c r="D2234" i="2" l="1"/>
  <c r="J2234" i="2"/>
  <c r="K2234" i="2" s="1"/>
  <c r="L2234" i="2"/>
  <c r="B2235" i="2"/>
  <c r="A2235" i="2"/>
  <c r="G2235" i="2"/>
  <c r="I2235" i="2"/>
  <c r="M2235" i="2"/>
  <c r="E2235" i="2"/>
  <c r="F2235" i="2"/>
  <c r="H2235" i="2"/>
  <c r="C2236" i="2"/>
  <c r="J2235" i="2" l="1"/>
  <c r="K2235" i="2" s="1"/>
  <c r="D2235" i="2"/>
  <c r="L2235" i="2"/>
  <c r="B2236" i="2"/>
  <c r="A2236" i="2"/>
  <c r="F2236" i="2"/>
  <c r="G2236" i="2"/>
  <c r="I2236" i="2"/>
  <c r="H2236" i="2"/>
  <c r="E2236" i="2"/>
  <c r="M2236" i="2"/>
  <c r="C2237" i="2"/>
  <c r="J2236" i="2" l="1"/>
  <c r="K2236" i="2" s="1"/>
  <c r="D2236" i="2"/>
  <c r="L2236" i="2"/>
  <c r="B2237" i="2"/>
  <c r="A2237" i="2"/>
  <c r="H2237" i="2"/>
  <c r="F2237" i="2"/>
  <c r="I2237" i="2"/>
  <c r="G2237" i="2"/>
  <c r="M2237" i="2"/>
  <c r="E2237" i="2"/>
  <c r="C2238" i="2"/>
  <c r="J2237" i="2" l="1"/>
  <c r="K2237" i="2" s="1"/>
  <c r="D2237" i="2"/>
  <c r="L2237" i="2"/>
  <c r="A2238" i="2"/>
  <c r="B2238" i="2"/>
  <c r="I2238" i="2"/>
  <c r="M2238" i="2"/>
  <c r="H2238" i="2"/>
  <c r="F2238" i="2"/>
  <c r="E2238" i="2"/>
  <c r="G2238" i="2"/>
  <c r="C2239" i="2"/>
  <c r="J2238" i="2" l="1"/>
  <c r="K2238" i="2" s="1"/>
  <c r="D2238" i="2"/>
  <c r="L2238" i="2"/>
  <c r="B2239" i="2"/>
  <c r="A2239" i="2"/>
  <c r="E2239" i="2"/>
  <c r="M2239" i="2"/>
  <c r="H2239" i="2"/>
  <c r="I2239" i="2"/>
  <c r="F2239" i="2"/>
  <c r="G2239" i="2"/>
  <c r="C2240" i="2"/>
  <c r="D2239" i="2" l="1"/>
  <c r="J2239" i="2"/>
  <c r="K2239" i="2" s="1"/>
  <c r="L2239" i="2"/>
  <c r="B2240" i="2"/>
  <c r="A2240" i="2"/>
  <c r="M2240" i="2"/>
  <c r="G2240" i="2"/>
  <c r="H2240" i="2"/>
  <c r="I2240" i="2"/>
  <c r="F2240" i="2"/>
  <c r="E2240" i="2"/>
  <c r="C2241" i="2"/>
  <c r="D2240" i="2" l="1"/>
  <c r="J2240" i="2"/>
  <c r="K2240" i="2" s="1"/>
  <c r="L2240" i="2"/>
  <c r="B2241" i="2"/>
  <c r="A2241" i="2"/>
  <c r="H2241" i="2"/>
  <c r="F2241" i="2"/>
  <c r="M2241" i="2"/>
  <c r="G2241" i="2"/>
  <c r="E2241" i="2"/>
  <c r="I2241" i="2"/>
  <c r="C2242" i="2"/>
  <c r="D2241" i="2" l="1"/>
  <c r="J2241" i="2"/>
  <c r="K2241" i="2" s="1"/>
  <c r="L2241" i="2"/>
  <c r="A2242" i="2"/>
  <c r="B2242" i="2"/>
  <c r="F2242" i="2"/>
  <c r="H2242" i="2"/>
  <c r="M2242" i="2"/>
  <c r="G2242" i="2"/>
  <c r="I2242" i="2"/>
  <c r="E2242" i="2"/>
  <c r="C2243" i="2"/>
  <c r="D2242" i="2" l="1"/>
  <c r="J2242" i="2"/>
  <c r="K2242" i="2" s="1"/>
  <c r="L2242" i="2"/>
  <c r="B2243" i="2"/>
  <c r="A2243" i="2"/>
  <c r="M2243" i="2"/>
  <c r="E2243" i="2"/>
  <c r="F2243" i="2"/>
  <c r="H2243" i="2"/>
  <c r="G2243" i="2"/>
  <c r="I2243" i="2"/>
  <c r="C2244" i="2"/>
  <c r="J2243" i="2" l="1"/>
  <c r="K2243" i="2" s="1"/>
  <c r="D2243" i="2"/>
  <c r="L2243" i="2"/>
  <c r="B2244" i="2"/>
  <c r="A2244" i="2"/>
  <c r="I2244" i="2"/>
  <c r="M2244" i="2"/>
  <c r="H2244" i="2"/>
  <c r="G2244" i="2"/>
  <c r="E2244" i="2"/>
  <c r="F2244" i="2"/>
  <c r="C2245" i="2"/>
  <c r="J2244" i="2" l="1"/>
  <c r="K2244" i="2" s="1"/>
  <c r="D2244" i="2"/>
  <c r="L2244" i="2"/>
  <c r="A2245" i="2"/>
  <c r="B2245" i="2"/>
  <c r="M2245" i="2"/>
  <c r="G2245" i="2"/>
  <c r="E2245" i="2"/>
  <c r="H2245" i="2"/>
  <c r="F2245" i="2"/>
  <c r="I2245" i="2"/>
  <c r="C2246" i="2"/>
  <c r="D2245" i="2" l="1"/>
  <c r="J2245" i="2"/>
  <c r="K2245" i="2" s="1"/>
  <c r="L2245" i="2"/>
  <c r="A2246" i="2"/>
  <c r="B2246" i="2"/>
  <c r="F2246" i="2"/>
  <c r="M2246" i="2"/>
  <c r="G2246" i="2"/>
  <c r="E2246" i="2"/>
  <c r="I2246" i="2"/>
  <c r="H2246" i="2"/>
  <c r="C2247" i="2"/>
  <c r="D2246" i="2" l="1"/>
  <c r="J2246" i="2"/>
  <c r="K2246" i="2" s="1"/>
  <c r="L2246" i="2"/>
  <c r="B2247" i="2"/>
  <c r="A2247" i="2"/>
  <c r="I2247" i="2"/>
  <c r="M2247" i="2"/>
  <c r="F2247" i="2"/>
  <c r="E2247" i="2"/>
  <c r="G2247" i="2"/>
  <c r="H2247" i="2"/>
  <c r="C2248" i="2"/>
  <c r="D2247" i="2" l="1"/>
  <c r="J2247" i="2"/>
  <c r="K2247" i="2" s="1"/>
  <c r="L2247" i="2"/>
  <c r="B2248" i="2"/>
  <c r="A2248" i="2"/>
  <c r="G2248" i="2"/>
  <c r="M2248" i="2"/>
  <c r="E2248" i="2"/>
  <c r="F2248" i="2"/>
  <c r="I2248" i="2"/>
  <c r="H2248" i="2"/>
  <c r="C2249" i="2"/>
  <c r="D2248" i="2" l="1"/>
  <c r="J2248" i="2"/>
  <c r="K2248" i="2" s="1"/>
  <c r="L2248" i="2"/>
  <c r="B2249" i="2"/>
  <c r="A2249" i="2"/>
  <c r="I2249" i="2"/>
  <c r="F2249" i="2"/>
  <c r="M2249" i="2"/>
  <c r="G2249" i="2"/>
  <c r="E2249" i="2"/>
  <c r="H2249" i="2"/>
  <c r="C2250" i="2"/>
  <c r="J2249" i="2" l="1"/>
  <c r="K2249" i="2" s="1"/>
  <c r="D2249" i="2"/>
  <c r="L2249" i="2"/>
  <c r="B2250" i="2"/>
  <c r="A2250" i="2"/>
  <c r="I2250" i="2"/>
  <c r="M2250" i="2"/>
  <c r="F2250" i="2"/>
  <c r="G2250" i="2"/>
  <c r="E2250" i="2"/>
  <c r="H2250" i="2"/>
  <c r="C2251" i="2"/>
  <c r="J2250" i="2" l="1"/>
  <c r="K2250" i="2" s="1"/>
  <c r="D2250" i="2"/>
  <c r="L2250" i="2"/>
  <c r="B2251" i="2"/>
  <c r="A2251" i="2"/>
  <c r="E2251" i="2"/>
  <c r="G2251" i="2"/>
  <c r="I2251" i="2"/>
  <c r="H2251" i="2"/>
  <c r="F2251" i="2"/>
  <c r="M2251" i="2"/>
  <c r="C2252" i="2"/>
  <c r="J2251" i="2" l="1"/>
  <c r="K2251" i="2" s="1"/>
  <c r="D2251" i="2"/>
  <c r="L2251" i="2"/>
  <c r="B2252" i="2"/>
  <c r="A2252" i="2"/>
  <c r="E2252" i="2"/>
  <c r="I2252" i="2"/>
  <c r="F2252" i="2"/>
  <c r="H2252" i="2"/>
  <c r="G2252" i="2"/>
  <c r="M2252" i="2"/>
  <c r="C2253" i="2"/>
  <c r="J2252" i="2" l="1"/>
  <c r="K2252" i="2" s="1"/>
  <c r="D2252" i="2"/>
  <c r="L2252" i="2"/>
  <c r="B2253" i="2"/>
  <c r="A2253" i="2"/>
  <c r="F2253" i="2"/>
  <c r="I2253" i="2"/>
  <c r="H2253" i="2"/>
  <c r="M2253" i="2"/>
  <c r="G2253" i="2"/>
  <c r="E2253" i="2"/>
  <c r="C2254" i="2"/>
  <c r="D2253" i="2" l="1"/>
  <c r="J2253" i="2"/>
  <c r="K2253" i="2" s="1"/>
  <c r="L2253" i="2"/>
  <c r="A2254" i="2"/>
  <c r="B2254" i="2"/>
  <c r="I2254" i="2"/>
  <c r="H2254" i="2"/>
  <c r="F2254" i="2"/>
  <c r="E2254" i="2"/>
  <c r="G2254" i="2"/>
  <c r="M2254" i="2"/>
  <c r="C2255" i="2"/>
  <c r="D2254" i="2" l="1"/>
  <c r="J2254" i="2"/>
  <c r="K2254" i="2" s="1"/>
  <c r="L2254" i="2"/>
  <c r="B2255" i="2"/>
  <c r="A2255" i="2"/>
  <c r="F2255" i="2"/>
  <c r="M2255" i="2"/>
  <c r="I2255" i="2"/>
  <c r="G2255" i="2"/>
  <c r="H2255" i="2"/>
  <c r="E2255" i="2"/>
  <c r="C2256" i="2"/>
  <c r="J2255" i="2" l="1"/>
  <c r="K2255" i="2" s="1"/>
  <c r="D2255" i="2"/>
  <c r="L2255" i="2"/>
  <c r="B2256" i="2"/>
  <c r="A2256" i="2"/>
  <c r="I2256" i="2"/>
  <c r="G2256" i="2"/>
  <c r="H2256" i="2"/>
  <c r="E2256" i="2"/>
  <c r="M2256" i="2"/>
  <c r="F2256" i="2"/>
  <c r="C2257" i="2"/>
  <c r="D2256" i="2" l="1"/>
  <c r="J2256" i="2"/>
  <c r="K2256" i="2" s="1"/>
  <c r="L2256" i="2"/>
  <c r="B2257" i="2"/>
  <c r="A2257" i="2"/>
  <c r="E2257" i="2"/>
  <c r="F2257" i="2"/>
  <c r="I2257" i="2"/>
  <c r="G2257" i="2"/>
  <c r="H2257" i="2"/>
  <c r="M2257" i="2"/>
  <c r="C2258" i="2"/>
  <c r="D2257" i="2" l="1"/>
  <c r="J2257" i="2"/>
  <c r="K2257" i="2" s="1"/>
  <c r="L2257" i="2"/>
  <c r="B2258" i="2"/>
  <c r="A2258" i="2"/>
  <c r="M2258" i="2"/>
  <c r="H2258" i="2"/>
  <c r="E2258" i="2"/>
  <c r="F2258" i="2"/>
  <c r="G2258" i="2"/>
  <c r="I2258" i="2"/>
  <c r="C2259" i="2"/>
  <c r="J2258" i="2" l="1"/>
  <c r="K2258" i="2" s="1"/>
  <c r="D2258" i="2"/>
  <c r="L2258" i="2"/>
  <c r="B2259" i="2"/>
  <c r="A2259" i="2"/>
  <c r="M2259" i="2"/>
  <c r="H2259" i="2"/>
  <c r="F2259" i="2"/>
  <c r="E2259" i="2"/>
  <c r="G2259" i="2"/>
  <c r="I2259" i="2"/>
  <c r="C2260" i="2"/>
  <c r="D2259" i="2" l="1"/>
  <c r="J2259" i="2"/>
  <c r="K2259" i="2" s="1"/>
  <c r="L2259" i="2"/>
  <c r="B2260" i="2"/>
  <c r="A2260" i="2"/>
  <c r="I2260" i="2"/>
  <c r="H2260" i="2"/>
  <c r="M2260" i="2"/>
  <c r="F2260" i="2"/>
  <c r="G2260" i="2"/>
  <c r="E2260" i="2"/>
  <c r="C2261" i="2"/>
  <c r="D2260" i="2" l="1"/>
  <c r="J2260" i="2"/>
  <c r="K2260" i="2" s="1"/>
  <c r="L2260" i="2"/>
  <c r="A2261" i="2"/>
  <c r="B2261" i="2"/>
  <c r="H2261" i="2"/>
  <c r="F2261" i="2"/>
  <c r="E2261" i="2"/>
  <c r="I2261" i="2"/>
  <c r="G2261" i="2"/>
  <c r="M2261" i="2"/>
  <c r="C2262" i="2"/>
  <c r="J2261" i="2" l="1"/>
  <c r="K2261" i="2" s="1"/>
  <c r="D2261" i="2"/>
  <c r="L2261" i="2"/>
  <c r="B2262" i="2"/>
  <c r="A2262" i="2"/>
  <c r="E2262" i="2"/>
  <c r="I2262" i="2"/>
  <c r="H2262" i="2"/>
  <c r="G2262" i="2"/>
  <c r="F2262" i="2"/>
  <c r="M2262" i="2"/>
  <c r="C2263" i="2"/>
  <c r="D2262" i="2" l="1"/>
  <c r="J2262" i="2"/>
  <c r="K2262" i="2" s="1"/>
  <c r="L2262" i="2"/>
  <c r="B2263" i="2"/>
  <c r="A2263" i="2"/>
  <c r="F2263" i="2"/>
  <c r="E2263" i="2"/>
  <c r="I2263" i="2"/>
  <c r="H2263" i="2"/>
  <c r="G2263" i="2"/>
  <c r="M2263" i="2"/>
  <c r="C2264" i="2"/>
  <c r="D2263" i="2" l="1"/>
  <c r="J2263" i="2"/>
  <c r="K2263" i="2" s="1"/>
  <c r="L2263" i="2"/>
  <c r="B2264" i="2"/>
  <c r="A2264" i="2"/>
  <c r="F2264" i="2"/>
  <c r="G2264" i="2"/>
  <c r="H2264" i="2"/>
  <c r="E2264" i="2"/>
  <c r="M2264" i="2"/>
  <c r="I2264" i="2"/>
  <c r="C2265" i="2"/>
  <c r="D2264" i="2" l="1"/>
  <c r="J2264" i="2"/>
  <c r="K2264" i="2" s="1"/>
  <c r="L2264" i="2"/>
  <c r="A2265" i="2"/>
  <c r="B2265" i="2"/>
  <c r="F2265" i="2"/>
  <c r="M2265" i="2"/>
  <c r="H2265" i="2"/>
  <c r="I2265" i="2"/>
  <c r="E2265" i="2"/>
  <c r="G2265" i="2"/>
  <c r="C2266" i="2"/>
  <c r="D2265" i="2" l="1"/>
  <c r="J2265" i="2"/>
  <c r="K2265" i="2" s="1"/>
  <c r="L2265" i="2"/>
  <c r="B2266" i="2"/>
  <c r="A2266" i="2"/>
  <c r="M2266" i="2"/>
  <c r="I2266" i="2"/>
  <c r="H2266" i="2"/>
  <c r="G2266" i="2"/>
  <c r="F2266" i="2"/>
  <c r="E2266" i="2"/>
  <c r="C2267" i="2"/>
  <c r="J2266" i="2" l="1"/>
  <c r="K2266" i="2" s="1"/>
  <c r="D2266" i="2"/>
  <c r="L2266" i="2"/>
  <c r="B2267" i="2"/>
  <c r="A2267" i="2"/>
  <c r="M2267" i="2"/>
  <c r="H2267" i="2"/>
  <c r="G2267" i="2"/>
  <c r="F2267" i="2"/>
  <c r="E2267" i="2"/>
  <c r="I2267" i="2"/>
  <c r="C2268" i="2"/>
  <c r="J2267" i="2" l="1"/>
  <c r="K2267" i="2" s="1"/>
  <c r="D2267" i="2"/>
  <c r="L2267" i="2"/>
  <c r="B2268" i="2"/>
  <c r="A2268" i="2"/>
  <c r="E2268" i="2"/>
  <c r="F2268" i="2"/>
  <c r="I2268" i="2"/>
  <c r="H2268" i="2"/>
  <c r="M2268" i="2"/>
  <c r="G2268" i="2"/>
  <c r="C2269" i="2"/>
  <c r="J2268" i="2" l="1"/>
  <c r="K2268" i="2" s="1"/>
  <c r="D2268" i="2"/>
  <c r="L2268" i="2"/>
  <c r="A2269" i="2"/>
  <c r="B2269" i="2"/>
  <c r="I2269" i="2"/>
  <c r="H2269" i="2"/>
  <c r="F2269" i="2"/>
  <c r="E2269" i="2"/>
  <c r="G2269" i="2"/>
  <c r="M2269" i="2"/>
  <c r="C2270" i="2"/>
  <c r="J2269" i="2" l="1"/>
  <c r="K2269" i="2" s="1"/>
  <c r="D2269" i="2"/>
  <c r="L2269" i="2"/>
  <c r="A2270" i="2"/>
  <c r="B2270" i="2"/>
  <c r="G2270" i="2"/>
  <c r="M2270" i="2"/>
  <c r="H2270" i="2"/>
  <c r="F2270" i="2"/>
  <c r="I2270" i="2"/>
  <c r="E2270" i="2"/>
  <c r="C2271" i="2"/>
  <c r="J2270" i="2" l="1"/>
  <c r="K2270" i="2" s="1"/>
  <c r="D2270" i="2"/>
  <c r="L2270" i="2"/>
  <c r="B2271" i="2"/>
  <c r="A2271" i="2"/>
  <c r="F2271" i="2"/>
  <c r="I2271" i="2"/>
  <c r="E2271" i="2"/>
  <c r="H2271" i="2"/>
  <c r="G2271" i="2"/>
  <c r="M2271" i="2"/>
  <c r="C2272" i="2"/>
  <c r="D2271" i="2" l="1"/>
  <c r="J2271" i="2"/>
  <c r="K2271" i="2" s="1"/>
  <c r="L2271" i="2"/>
  <c r="B2272" i="2"/>
  <c r="A2272" i="2"/>
  <c r="E2272" i="2"/>
  <c r="H2272" i="2"/>
  <c r="M2272" i="2"/>
  <c r="F2272" i="2"/>
  <c r="I2272" i="2"/>
  <c r="G2272" i="2"/>
  <c r="C2273" i="2"/>
  <c r="J2272" i="2" l="1"/>
  <c r="K2272" i="2" s="1"/>
  <c r="D2272" i="2"/>
  <c r="L2272" i="2"/>
  <c r="B2273" i="2"/>
  <c r="A2273" i="2"/>
  <c r="G2273" i="2"/>
  <c r="H2273" i="2"/>
  <c r="E2273" i="2"/>
  <c r="M2273" i="2"/>
  <c r="F2273" i="2"/>
  <c r="I2273" i="2"/>
  <c r="C2274" i="2"/>
  <c r="J2273" i="2" l="1"/>
  <c r="K2273" i="2" s="1"/>
  <c r="D2273" i="2"/>
  <c r="L2273" i="2"/>
  <c r="B2274" i="2"/>
  <c r="A2274" i="2"/>
  <c r="M2274" i="2"/>
  <c r="I2274" i="2"/>
  <c r="H2274" i="2"/>
  <c r="E2274" i="2"/>
  <c r="F2274" i="2"/>
  <c r="G2274" i="2"/>
  <c r="C2275" i="2"/>
  <c r="J2274" i="2" l="1"/>
  <c r="K2274" i="2" s="1"/>
  <c r="D2274" i="2"/>
  <c r="L2274" i="2"/>
  <c r="B2275" i="2"/>
  <c r="A2275" i="2"/>
  <c r="M2275" i="2"/>
  <c r="E2275" i="2"/>
  <c r="F2275" i="2"/>
  <c r="G2275" i="2"/>
  <c r="I2275" i="2"/>
  <c r="H2275" i="2"/>
  <c r="C2276" i="2"/>
  <c r="D2275" i="2" l="1"/>
  <c r="J2275" i="2"/>
  <c r="K2275" i="2" s="1"/>
  <c r="L2275" i="2"/>
  <c r="B2276" i="2"/>
  <c r="A2276" i="2"/>
  <c r="I2276" i="2"/>
  <c r="E2276" i="2"/>
  <c r="M2276" i="2"/>
  <c r="F2276" i="2"/>
  <c r="H2276" i="2"/>
  <c r="G2276" i="2"/>
  <c r="C2277" i="2"/>
  <c r="J2276" i="2" l="1"/>
  <c r="K2276" i="2" s="1"/>
  <c r="D2276" i="2"/>
  <c r="L2276" i="2"/>
  <c r="A2277" i="2"/>
  <c r="B2277" i="2"/>
  <c r="I2277" i="2"/>
  <c r="F2277" i="2"/>
  <c r="G2277" i="2"/>
  <c r="E2277" i="2"/>
  <c r="H2277" i="2"/>
  <c r="M2277" i="2"/>
  <c r="C2278" i="2"/>
  <c r="J2277" i="2" l="1"/>
  <c r="K2277" i="2" s="1"/>
  <c r="D2277" i="2"/>
  <c r="L2277" i="2"/>
  <c r="B2278" i="2"/>
  <c r="A2278" i="2"/>
  <c r="M2278" i="2"/>
  <c r="E2278" i="2"/>
  <c r="H2278" i="2"/>
  <c r="F2278" i="2"/>
  <c r="G2278" i="2"/>
  <c r="I2278" i="2"/>
  <c r="C2279" i="2"/>
  <c r="D2278" i="2" l="1"/>
  <c r="J2278" i="2"/>
  <c r="K2278" i="2" s="1"/>
  <c r="L2278" i="2"/>
  <c r="B2279" i="2"/>
  <c r="A2279" i="2"/>
  <c r="H2279" i="2"/>
  <c r="M2279" i="2"/>
  <c r="G2279" i="2"/>
  <c r="E2279" i="2"/>
  <c r="F2279" i="2"/>
  <c r="I2279" i="2"/>
  <c r="C2280" i="2"/>
  <c r="D2279" i="2" l="1"/>
  <c r="J2279" i="2"/>
  <c r="K2279" i="2" s="1"/>
  <c r="L2279" i="2"/>
  <c r="B2280" i="2"/>
  <c r="A2280" i="2"/>
  <c r="M2280" i="2"/>
  <c r="G2280" i="2"/>
  <c r="E2280" i="2"/>
  <c r="H2280" i="2"/>
  <c r="F2280" i="2"/>
  <c r="I2280" i="2"/>
  <c r="C2281" i="2"/>
  <c r="D2280" i="2" l="1"/>
  <c r="J2280" i="2"/>
  <c r="K2280" i="2" s="1"/>
  <c r="L2280" i="2"/>
  <c r="A2281" i="2"/>
  <c r="B2281" i="2"/>
  <c r="E2281" i="2"/>
  <c r="M2281" i="2"/>
  <c r="H2281" i="2"/>
  <c r="I2281" i="2"/>
  <c r="F2281" i="2"/>
  <c r="G2281" i="2"/>
  <c r="C2282" i="2"/>
  <c r="J2281" i="2" l="1"/>
  <c r="K2281" i="2" s="1"/>
  <c r="D2281" i="2"/>
  <c r="L2281" i="2"/>
  <c r="B2282" i="2"/>
  <c r="A2282" i="2"/>
  <c r="H2282" i="2"/>
  <c r="F2282" i="2"/>
  <c r="G2282" i="2"/>
  <c r="I2282" i="2"/>
  <c r="M2282" i="2"/>
  <c r="E2282" i="2"/>
  <c r="C2283" i="2"/>
  <c r="J2282" i="2" l="1"/>
  <c r="K2282" i="2" s="1"/>
  <c r="D2282" i="2"/>
  <c r="L2282" i="2"/>
  <c r="B2283" i="2"/>
  <c r="A2283" i="2"/>
  <c r="F2283" i="2"/>
  <c r="M2283" i="2"/>
  <c r="H2283" i="2"/>
  <c r="G2283" i="2"/>
  <c r="I2283" i="2"/>
  <c r="E2283" i="2"/>
  <c r="C2284" i="2"/>
  <c r="J2283" i="2" l="1"/>
  <c r="K2283" i="2" s="1"/>
  <c r="D2283" i="2"/>
  <c r="L2283" i="2"/>
  <c r="B2284" i="2"/>
  <c r="A2284" i="2"/>
  <c r="M2284" i="2"/>
  <c r="F2284" i="2"/>
  <c r="H2284" i="2"/>
  <c r="E2284" i="2"/>
  <c r="I2284" i="2"/>
  <c r="G2284" i="2"/>
  <c r="C2285" i="2"/>
  <c r="J2284" i="2" l="1"/>
  <c r="K2284" i="2" s="1"/>
  <c r="D2284" i="2"/>
  <c r="L2284" i="2"/>
  <c r="A2285" i="2"/>
  <c r="B2285" i="2"/>
  <c r="E2285" i="2"/>
  <c r="M2285" i="2"/>
  <c r="I2285" i="2"/>
  <c r="G2285" i="2"/>
  <c r="F2285" i="2"/>
  <c r="H2285" i="2"/>
  <c r="C2286" i="2"/>
  <c r="J2285" i="2" l="1"/>
  <c r="K2285" i="2" s="1"/>
  <c r="D2285" i="2"/>
  <c r="L2285" i="2"/>
  <c r="A2286" i="2"/>
  <c r="B2286" i="2"/>
  <c r="E2286" i="2"/>
  <c r="M2286" i="2"/>
  <c r="F2286" i="2"/>
  <c r="H2286" i="2"/>
  <c r="G2286" i="2"/>
  <c r="I2286" i="2"/>
  <c r="C2287" i="2"/>
  <c r="D2286" i="2" l="1"/>
  <c r="J2286" i="2"/>
  <c r="K2286" i="2" s="1"/>
  <c r="L2286" i="2"/>
  <c r="B2287" i="2"/>
  <c r="A2287" i="2"/>
  <c r="M2287" i="2"/>
  <c r="F2287" i="2"/>
  <c r="H2287" i="2"/>
  <c r="I2287" i="2"/>
  <c r="E2287" i="2"/>
  <c r="G2287" i="2"/>
  <c r="C2288" i="2"/>
  <c r="D2287" i="2" l="1"/>
  <c r="J2287" i="2"/>
  <c r="K2287" i="2" s="1"/>
  <c r="L2287" i="2"/>
  <c r="B2288" i="2"/>
  <c r="A2288" i="2"/>
  <c r="H2288" i="2"/>
  <c r="M2288" i="2"/>
  <c r="I2288" i="2"/>
  <c r="E2288" i="2"/>
  <c r="G2288" i="2"/>
  <c r="F2288" i="2"/>
  <c r="C2289" i="2"/>
  <c r="D2288" i="2" l="1"/>
  <c r="J2288" i="2"/>
  <c r="K2288" i="2" s="1"/>
  <c r="L2288" i="2"/>
  <c r="B2289" i="2"/>
  <c r="A2289" i="2"/>
  <c r="E2289" i="2"/>
  <c r="M2289" i="2"/>
  <c r="I2289" i="2"/>
  <c r="G2289" i="2"/>
  <c r="H2289" i="2"/>
  <c r="F2289" i="2"/>
  <c r="C2290" i="2"/>
  <c r="D2289" i="2" l="1"/>
  <c r="J2289" i="2"/>
  <c r="K2289" i="2" s="1"/>
  <c r="L2289" i="2"/>
  <c r="B2290" i="2"/>
  <c r="A2290" i="2"/>
  <c r="H2290" i="2"/>
  <c r="F2290" i="2"/>
  <c r="M2290" i="2"/>
  <c r="E2290" i="2"/>
  <c r="G2290" i="2"/>
  <c r="I2290" i="2"/>
  <c r="C2291" i="2"/>
  <c r="D2290" i="2" l="1"/>
  <c r="J2290" i="2"/>
  <c r="K2290" i="2" s="1"/>
  <c r="L2290" i="2"/>
  <c r="B2291" i="2"/>
  <c r="A2291" i="2"/>
  <c r="H2291" i="2"/>
  <c r="E2291" i="2"/>
  <c r="G2291" i="2"/>
  <c r="I2291" i="2"/>
  <c r="M2291" i="2"/>
  <c r="F2291" i="2"/>
  <c r="C2292" i="2"/>
  <c r="D2291" i="2" l="1"/>
  <c r="J2291" i="2"/>
  <c r="K2291" i="2" s="1"/>
  <c r="L2291" i="2"/>
  <c r="B2292" i="2"/>
  <c r="A2292" i="2"/>
  <c r="I2292" i="2"/>
  <c r="F2292" i="2"/>
  <c r="H2292" i="2"/>
  <c r="E2292" i="2"/>
  <c r="G2292" i="2"/>
  <c r="M2292" i="2"/>
  <c r="C2293" i="2"/>
  <c r="J2292" i="2" l="1"/>
  <c r="K2292" i="2" s="1"/>
  <c r="D2292" i="2"/>
  <c r="L2292" i="2"/>
  <c r="A2293" i="2"/>
  <c r="B2293" i="2"/>
  <c r="H2293" i="2"/>
  <c r="M2293" i="2"/>
  <c r="F2293" i="2"/>
  <c r="E2293" i="2"/>
  <c r="I2293" i="2"/>
  <c r="G2293" i="2"/>
  <c r="C2294" i="2"/>
  <c r="J2293" i="2" l="1"/>
  <c r="K2293" i="2" s="1"/>
  <c r="D2293" i="2"/>
  <c r="L2293" i="2"/>
  <c r="B2294" i="2"/>
  <c r="A2294" i="2"/>
  <c r="G2294" i="2"/>
  <c r="I2294" i="2"/>
  <c r="F2294" i="2"/>
  <c r="H2294" i="2"/>
  <c r="M2294" i="2"/>
  <c r="E2294" i="2"/>
  <c r="C2295" i="2"/>
  <c r="D2294" i="2" l="1"/>
  <c r="J2294" i="2"/>
  <c r="K2294" i="2" s="1"/>
  <c r="L2294" i="2"/>
  <c r="B2295" i="2"/>
  <c r="A2295" i="2"/>
  <c r="F2295" i="2"/>
  <c r="M2295" i="2"/>
  <c r="H2295" i="2"/>
  <c r="E2295" i="2"/>
  <c r="I2295" i="2"/>
  <c r="G2295" i="2"/>
  <c r="C2296" i="2"/>
  <c r="J2295" i="2" l="1"/>
  <c r="K2295" i="2" s="1"/>
  <c r="D2295" i="2"/>
  <c r="L2295" i="2"/>
  <c r="B2296" i="2"/>
  <c r="A2296" i="2"/>
  <c r="G2296" i="2"/>
  <c r="M2296" i="2"/>
  <c r="E2296" i="2"/>
  <c r="I2296" i="2"/>
  <c r="F2296" i="2"/>
  <c r="H2296" i="2"/>
  <c r="C2297" i="2"/>
  <c r="D2296" i="2" l="1"/>
  <c r="J2296" i="2"/>
  <c r="K2296" i="2" s="1"/>
  <c r="L2296" i="2"/>
  <c r="B2297" i="2"/>
  <c r="A2297" i="2"/>
  <c r="G2297" i="2"/>
  <c r="E2297" i="2"/>
  <c r="I2297" i="2"/>
  <c r="H2297" i="2"/>
  <c r="F2297" i="2"/>
  <c r="M2297" i="2"/>
  <c r="C2298" i="2"/>
  <c r="D2297" i="2" l="1"/>
  <c r="J2297" i="2"/>
  <c r="K2297" i="2" s="1"/>
  <c r="L2297" i="2"/>
  <c r="B2298" i="2"/>
  <c r="A2298" i="2"/>
  <c r="E2298" i="2"/>
  <c r="G2298" i="2"/>
  <c r="M2298" i="2"/>
  <c r="F2298" i="2"/>
  <c r="I2298" i="2"/>
  <c r="H2298" i="2"/>
  <c r="C2299" i="2"/>
  <c r="J2298" i="2" l="1"/>
  <c r="K2298" i="2" s="1"/>
  <c r="D2298" i="2"/>
  <c r="L2298" i="2"/>
  <c r="B2299" i="2"/>
  <c r="A2299" i="2"/>
  <c r="G2299" i="2"/>
  <c r="M2299" i="2"/>
  <c r="E2299" i="2"/>
  <c r="F2299" i="2"/>
  <c r="I2299" i="2"/>
  <c r="H2299" i="2"/>
  <c r="C2300" i="2"/>
  <c r="D2299" i="2" l="1"/>
  <c r="J2299" i="2"/>
  <c r="K2299" i="2" s="1"/>
  <c r="L2299" i="2"/>
  <c r="B2300" i="2"/>
  <c r="A2300" i="2"/>
  <c r="E2300" i="2"/>
  <c r="G2300" i="2"/>
  <c r="H2300" i="2"/>
  <c r="I2300" i="2"/>
  <c r="F2300" i="2"/>
  <c r="M2300" i="2"/>
  <c r="C2301" i="2"/>
  <c r="D2300" i="2" l="1"/>
  <c r="J2300" i="2"/>
  <c r="K2300" i="2" s="1"/>
  <c r="L2300" i="2"/>
  <c r="B2301" i="2"/>
  <c r="A2301" i="2"/>
  <c r="H2301" i="2"/>
  <c r="M2301" i="2"/>
  <c r="I2301" i="2"/>
  <c r="E2301" i="2"/>
  <c r="F2301" i="2"/>
  <c r="G2301" i="2"/>
  <c r="C2302" i="2"/>
  <c r="J2301" i="2" l="1"/>
  <c r="K2301" i="2" s="1"/>
  <c r="D2301" i="2"/>
  <c r="L2301" i="2"/>
  <c r="A2302" i="2"/>
  <c r="B2302" i="2"/>
  <c r="H2302" i="2"/>
  <c r="F2302" i="2"/>
  <c r="E2302" i="2"/>
  <c r="M2302" i="2"/>
  <c r="I2302" i="2"/>
  <c r="G2302" i="2"/>
  <c r="C2303" i="2"/>
  <c r="D2302" i="2" l="1"/>
  <c r="J2302" i="2"/>
  <c r="K2302" i="2" s="1"/>
  <c r="L2302" i="2"/>
  <c r="B2303" i="2"/>
  <c r="A2303" i="2"/>
  <c r="M2303" i="2"/>
  <c r="E2303" i="2"/>
  <c r="G2303" i="2"/>
  <c r="F2303" i="2"/>
  <c r="I2303" i="2"/>
  <c r="H2303" i="2"/>
  <c r="C2304" i="2"/>
  <c r="J2303" i="2" l="1"/>
  <c r="K2303" i="2" s="1"/>
  <c r="D2303" i="2"/>
  <c r="L2303" i="2"/>
  <c r="B2304" i="2"/>
  <c r="A2304" i="2"/>
  <c r="H2304" i="2"/>
  <c r="I2304" i="2"/>
  <c r="M2304" i="2"/>
  <c r="G2304" i="2"/>
  <c r="F2304" i="2"/>
  <c r="E2304" i="2"/>
  <c r="C2305" i="2"/>
  <c r="D2304" i="2" l="1"/>
  <c r="J2304" i="2"/>
  <c r="K2304" i="2" s="1"/>
  <c r="L2304" i="2"/>
  <c r="B2305" i="2"/>
  <c r="A2305" i="2"/>
  <c r="E2305" i="2"/>
  <c r="M2305" i="2"/>
  <c r="H2305" i="2"/>
  <c r="I2305" i="2"/>
  <c r="F2305" i="2"/>
  <c r="G2305" i="2"/>
  <c r="C2306" i="2"/>
  <c r="J2305" i="2" l="1"/>
  <c r="K2305" i="2" s="1"/>
  <c r="D2305" i="2"/>
  <c r="L2305" i="2"/>
  <c r="A2306" i="2"/>
  <c r="B2306" i="2"/>
  <c r="M2306" i="2"/>
  <c r="I2306" i="2"/>
  <c r="E2306" i="2"/>
  <c r="G2306" i="2"/>
  <c r="H2306" i="2"/>
  <c r="F2306" i="2"/>
  <c r="C2307" i="2"/>
  <c r="J2306" i="2" l="1"/>
  <c r="K2306" i="2" s="1"/>
  <c r="D2306" i="2"/>
  <c r="L2306" i="2"/>
  <c r="B2307" i="2"/>
  <c r="A2307" i="2"/>
  <c r="M2307" i="2"/>
  <c r="G2307" i="2"/>
  <c r="I2307" i="2"/>
  <c r="F2307" i="2"/>
  <c r="H2307" i="2"/>
  <c r="E2307" i="2"/>
  <c r="C2308" i="2"/>
  <c r="J2307" i="2" l="1"/>
  <c r="K2307" i="2" s="1"/>
  <c r="D2307" i="2"/>
  <c r="L2307" i="2"/>
  <c r="B2308" i="2"/>
  <c r="A2308" i="2"/>
  <c r="M2308" i="2"/>
  <c r="I2308" i="2"/>
  <c r="F2308" i="2"/>
  <c r="H2308" i="2"/>
  <c r="G2308" i="2"/>
  <c r="E2308" i="2"/>
  <c r="C2309" i="2"/>
  <c r="D2308" i="2" l="1"/>
  <c r="J2308" i="2"/>
  <c r="K2308" i="2" s="1"/>
  <c r="L2308" i="2"/>
  <c r="A2309" i="2"/>
  <c r="B2309" i="2"/>
  <c r="G2309" i="2"/>
  <c r="E2309" i="2"/>
  <c r="M2309" i="2"/>
  <c r="F2309" i="2"/>
  <c r="H2309" i="2"/>
  <c r="I2309" i="2"/>
  <c r="C2310" i="2"/>
  <c r="D2309" i="2" l="1"/>
  <c r="J2309" i="2"/>
  <c r="K2309" i="2" s="1"/>
  <c r="L2309" i="2"/>
  <c r="A2310" i="2"/>
  <c r="B2310" i="2"/>
  <c r="M2310" i="2"/>
  <c r="G2310" i="2"/>
  <c r="I2310" i="2"/>
  <c r="F2310" i="2"/>
  <c r="E2310" i="2"/>
  <c r="H2310" i="2"/>
  <c r="C2311" i="2"/>
  <c r="J2310" i="2" l="1"/>
  <c r="K2310" i="2" s="1"/>
  <c r="D2310" i="2"/>
  <c r="L2310" i="2"/>
  <c r="B2311" i="2"/>
  <c r="A2311" i="2"/>
  <c r="F2311" i="2"/>
  <c r="G2311" i="2"/>
  <c r="M2311" i="2"/>
  <c r="E2311" i="2"/>
  <c r="H2311" i="2"/>
  <c r="I2311" i="2"/>
  <c r="C2312" i="2"/>
  <c r="J2311" i="2" l="1"/>
  <c r="K2311" i="2" s="1"/>
  <c r="D2311" i="2"/>
  <c r="L2311" i="2"/>
  <c r="B2312" i="2"/>
  <c r="A2312" i="2"/>
  <c r="M2312" i="2"/>
  <c r="G2312" i="2"/>
  <c r="E2312" i="2"/>
  <c r="F2312" i="2"/>
  <c r="I2312" i="2"/>
  <c r="H2312" i="2"/>
  <c r="C2313" i="2"/>
  <c r="D2312" i="2" l="1"/>
  <c r="J2312" i="2"/>
  <c r="K2312" i="2" s="1"/>
  <c r="L2312" i="2"/>
  <c r="B2313" i="2"/>
  <c r="A2313" i="2"/>
  <c r="M2313" i="2"/>
  <c r="G2313" i="2"/>
  <c r="H2313" i="2"/>
  <c r="F2313" i="2"/>
  <c r="I2313" i="2"/>
  <c r="E2313" i="2"/>
  <c r="C2314" i="2"/>
  <c r="J2313" i="2" l="1"/>
  <c r="K2313" i="2" s="1"/>
  <c r="D2313" i="2"/>
  <c r="L2313" i="2"/>
  <c r="B2314" i="2"/>
  <c r="A2314" i="2"/>
  <c r="E2314" i="2"/>
  <c r="I2314" i="2"/>
  <c r="M2314" i="2"/>
  <c r="F2314" i="2"/>
  <c r="G2314" i="2"/>
  <c r="H2314" i="2"/>
  <c r="C2315" i="2"/>
  <c r="J2314" i="2" l="1"/>
  <c r="K2314" i="2" s="1"/>
  <c r="D2314" i="2"/>
  <c r="L2314" i="2"/>
  <c r="B2315" i="2"/>
  <c r="A2315" i="2"/>
  <c r="I2315" i="2"/>
  <c r="H2315" i="2"/>
  <c r="M2315" i="2"/>
  <c r="F2315" i="2"/>
  <c r="G2315" i="2"/>
  <c r="E2315" i="2"/>
  <c r="C2316" i="2"/>
  <c r="J2315" i="2" l="1"/>
  <c r="K2315" i="2" s="1"/>
  <c r="D2315" i="2"/>
  <c r="L2315" i="2"/>
  <c r="B2316" i="2"/>
  <c r="A2316" i="2"/>
  <c r="I2316" i="2"/>
  <c r="M2316" i="2"/>
  <c r="E2316" i="2"/>
  <c r="G2316" i="2"/>
  <c r="H2316" i="2"/>
  <c r="F2316" i="2"/>
  <c r="C2317" i="2"/>
  <c r="J2316" i="2" l="1"/>
  <c r="K2316" i="2" s="1"/>
  <c r="D2316" i="2"/>
  <c r="L2316" i="2"/>
  <c r="B2317" i="2"/>
  <c r="A2317" i="2"/>
  <c r="F2317" i="2"/>
  <c r="H2317" i="2"/>
  <c r="G2317" i="2"/>
  <c r="I2317" i="2"/>
  <c r="E2317" i="2"/>
  <c r="M2317" i="2"/>
  <c r="C2318" i="2"/>
  <c r="D2317" i="2" l="1"/>
  <c r="J2317" i="2"/>
  <c r="K2317" i="2" s="1"/>
  <c r="L2317" i="2"/>
  <c r="A2318" i="2"/>
  <c r="B2318" i="2"/>
  <c r="I2318" i="2"/>
  <c r="H2318" i="2"/>
  <c r="E2318" i="2"/>
  <c r="G2318" i="2"/>
  <c r="M2318" i="2"/>
  <c r="F2318" i="2"/>
  <c r="C2319" i="2"/>
  <c r="D2318" i="2" l="1"/>
  <c r="J2318" i="2"/>
  <c r="K2318" i="2" s="1"/>
  <c r="L2318" i="2"/>
  <c r="B2319" i="2"/>
  <c r="A2319" i="2"/>
  <c r="E2319" i="2"/>
  <c r="I2319" i="2"/>
  <c r="G2319" i="2"/>
  <c r="M2319" i="2"/>
  <c r="H2319" i="2"/>
  <c r="F2319" i="2"/>
  <c r="C2320" i="2"/>
  <c r="J2319" i="2" l="1"/>
  <c r="K2319" i="2" s="1"/>
  <c r="D2319" i="2"/>
  <c r="L2319" i="2"/>
  <c r="B2320" i="2"/>
  <c r="A2320" i="2"/>
  <c r="E2320" i="2"/>
  <c r="I2320" i="2"/>
  <c r="H2320" i="2"/>
  <c r="G2320" i="2"/>
  <c r="M2320" i="2"/>
  <c r="F2320" i="2"/>
  <c r="C2321" i="2"/>
  <c r="D2320" i="2" l="1"/>
  <c r="J2320" i="2"/>
  <c r="K2320" i="2" s="1"/>
  <c r="L2320" i="2"/>
  <c r="B2321" i="2"/>
  <c r="A2321" i="2"/>
  <c r="G2321" i="2"/>
  <c r="M2321" i="2"/>
  <c r="E2321" i="2"/>
  <c r="H2321" i="2"/>
  <c r="F2321" i="2"/>
  <c r="I2321" i="2"/>
  <c r="C2322" i="2"/>
  <c r="J2321" i="2" l="1"/>
  <c r="K2321" i="2" s="1"/>
  <c r="D2321" i="2"/>
  <c r="L2321" i="2"/>
  <c r="B2322" i="2"/>
  <c r="A2322" i="2"/>
  <c r="G2322" i="2"/>
  <c r="F2322" i="2"/>
  <c r="I2322" i="2"/>
  <c r="E2322" i="2"/>
  <c r="M2322" i="2"/>
  <c r="H2322" i="2"/>
  <c r="C2323" i="2"/>
  <c r="D2322" i="2" l="1"/>
  <c r="J2322" i="2"/>
  <c r="K2322" i="2" s="1"/>
  <c r="L2322" i="2"/>
  <c r="B2323" i="2"/>
  <c r="A2323" i="2"/>
  <c r="M2323" i="2"/>
  <c r="F2323" i="2"/>
  <c r="I2323" i="2"/>
  <c r="G2323" i="2"/>
  <c r="E2323" i="2"/>
  <c r="H2323" i="2"/>
  <c r="C2324" i="2"/>
  <c r="D2323" i="2" l="1"/>
  <c r="J2323" i="2"/>
  <c r="K2323" i="2" s="1"/>
  <c r="L2323" i="2"/>
  <c r="B2324" i="2"/>
  <c r="A2324" i="2"/>
  <c r="I2324" i="2"/>
  <c r="F2324" i="2"/>
  <c r="M2324" i="2"/>
  <c r="G2324" i="2"/>
  <c r="H2324" i="2"/>
  <c r="E2324" i="2"/>
  <c r="C2325" i="2"/>
  <c r="D2324" i="2" l="1"/>
  <c r="J2324" i="2"/>
  <c r="K2324" i="2" s="1"/>
  <c r="L2324" i="2"/>
  <c r="A2325" i="2"/>
  <c r="B2325" i="2"/>
  <c r="H2325" i="2"/>
  <c r="I2325" i="2"/>
  <c r="M2325" i="2"/>
  <c r="G2325" i="2"/>
  <c r="F2325" i="2"/>
  <c r="E2325" i="2"/>
  <c r="C2326" i="2"/>
  <c r="D2325" i="2" l="1"/>
  <c r="J2325" i="2"/>
  <c r="K2325" i="2" s="1"/>
  <c r="L2325" i="2"/>
  <c r="B2326" i="2"/>
  <c r="A2326" i="2"/>
  <c r="I2326" i="2"/>
  <c r="G2326" i="2"/>
  <c r="H2326" i="2"/>
  <c r="E2326" i="2"/>
  <c r="F2326" i="2"/>
  <c r="M2326" i="2"/>
  <c r="C2327" i="2"/>
  <c r="J2326" i="2" l="1"/>
  <c r="K2326" i="2" s="1"/>
  <c r="D2326" i="2"/>
  <c r="L2326" i="2"/>
  <c r="B2327" i="2"/>
  <c r="A2327" i="2"/>
  <c r="G2327" i="2"/>
  <c r="F2327" i="2"/>
  <c r="I2327" i="2"/>
  <c r="H2327" i="2"/>
  <c r="E2327" i="2"/>
  <c r="M2327" i="2"/>
  <c r="C2328" i="2"/>
  <c r="D2327" i="2" l="1"/>
  <c r="J2327" i="2"/>
  <c r="K2327" i="2" s="1"/>
  <c r="L2327" i="2"/>
  <c r="B2328" i="2"/>
  <c r="A2328" i="2"/>
  <c r="H2328" i="2"/>
  <c r="I2328" i="2"/>
  <c r="M2328" i="2"/>
  <c r="E2328" i="2"/>
  <c r="F2328" i="2"/>
  <c r="G2328" i="2"/>
  <c r="C2329" i="2"/>
  <c r="D2328" i="2" l="1"/>
  <c r="J2328" i="2"/>
  <c r="K2328" i="2" s="1"/>
  <c r="L2328" i="2"/>
  <c r="B2329" i="2"/>
  <c r="A2329" i="2"/>
  <c r="E2329" i="2"/>
  <c r="H2329" i="2"/>
  <c r="F2329" i="2"/>
  <c r="G2329" i="2"/>
  <c r="M2329" i="2"/>
  <c r="I2329" i="2"/>
  <c r="C2330" i="2"/>
  <c r="J2329" i="2" l="1"/>
  <c r="K2329" i="2" s="1"/>
  <c r="D2329" i="2"/>
  <c r="L2329" i="2"/>
  <c r="B2330" i="2"/>
  <c r="A2330" i="2"/>
  <c r="M2330" i="2"/>
  <c r="E2330" i="2"/>
  <c r="G2330" i="2"/>
  <c r="F2330" i="2"/>
  <c r="H2330" i="2"/>
  <c r="I2330" i="2"/>
  <c r="C2331" i="2"/>
  <c r="D2330" i="2" l="1"/>
  <c r="J2330" i="2"/>
  <c r="K2330" i="2" s="1"/>
  <c r="L2330" i="2"/>
  <c r="B2331" i="2"/>
  <c r="A2331" i="2"/>
  <c r="I2331" i="2"/>
  <c r="H2331" i="2"/>
  <c r="M2331" i="2"/>
  <c r="E2331" i="2"/>
  <c r="F2331" i="2"/>
  <c r="G2331" i="2"/>
  <c r="C2332" i="2"/>
  <c r="J2331" i="2" l="1"/>
  <c r="K2331" i="2" s="1"/>
  <c r="D2331" i="2"/>
  <c r="L2331" i="2"/>
  <c r="B2332" i="2"/>
  <c r="A2332" i="2"/>
  <c r="H2332" i="2"/>
  <c r="E2332" i="2"/>
  <c r="G2332" i="2"/>
  <c r="I2332" i="2"/>
  <c r="F2332" i="2"/>
  <c r="M2332" i="2"/>
  <c r="C2333" i="2"/>
  <c r="D2332" i="2" l="1"/>
  <c r="J2332" i="2"/>
  <c r="K2332" i="2" s="1"/>
  <c r="L2332" i="2"/>
  <c r="B2333" i="2"/>
  <c r="A2333" i="2"/>
  <c r="I2333" i="2"/>
  <c r="M2333" i="2"/>
  <c r="E2333" i="2"/>
  <c r="F2333" i="2"/>
  <c r="G2333" i="2"/>
  <c r="H2333" i="2"/>
  <c r="C2334" i="2"/>
  <c r="D2333" i="2" l="1"/>
  <c r="J2333" i="2"/>
  <c r="K2333" i="2" s="1"/>
  <c r="L2333" i="2"/>
  <c r="A2334" i="2"/>
  <c r="B2334" i="2"/>
  <c r="E2334" i="2"/>
  <c r="M2334" i="2"/>
  <c r="G2334" i="2"/>
  <c r="I2334" i="2"/>
  <c r="F2334" i="2"/>
  <c r="H2334" i="2"/>
  <c r="C2335" i="2"/>
  <c r="D2334" i="2" l="1"/>
  <c r="J2334" i="2"/>
  <c r="K2334" i="2" s="1"/>
  <c r="L2334" i="2"/>
  <c r="B2335" i="2"/>
  <c r="A2335" i="2"/>
  <c r="I2335" i="2"/>
  <c r="G2335" i="2"/>
  <c r="M2335" i="2"/>
  <c r="H2335" i="2"/>
  <c r="F2335" i="2"/>
  <c r="E2335" i="2"/>
  <c r="C2336" i="2"/>
  <c r="D2335" i="2" l="1"/>
  <c r="J2335" i="2"/>
  <c r="K2335" i="2" s="1"/>
  <c r="L2335" i="2"/>
  <c r="B2336" i="2"/>
  <c r="A2336" i="2"/>
  <c r="M2336" i="2"/>
  <c r="F2336" i="2"/>
  <c r="G2336" i="2"/>
  <c r="I2336" i="2"/>
  <c r="H2336" i="2"/>
  <c r="E2336" i="2"/>
  <c r="C2337" i="2"/>
  <c r="J2336" i="2" l="1"/>
  <c r="K2336" i="2" s="1"/>
  <c r="D2336" i="2"/>
  <c r="L2336" i="2"/>
  <c r="B2337" i="2"/>
  <c r="A2337" i="2"/>
  <c r="I2337" i="2"/>
  <c r="M2337" i="2"/>
  <c r="G2337" i="2"/>
  <c r="H2337" i="2"/>
  <c r="F2337" i="2"/>
  <c r="E2337" i="2"/>
  <c r="C2338" i="2"/>
  <c r="J2337" i="2" l="1"/>
  <c r="K2337" i="2" s="1"/>
  <c r="D2337" i="2"/>
  <c r="L2337" i="2"/>
  <c r="B2338" i="2"/>
  <c r="A2338" i="2"/>
  <c r="M2338" i="2"/>
  <c r="G2338" i="2"/>
  <c r="F2338" i="2"/>
  <c r="E2338" i="2"/>
  <c r="I2338" i="2"/>
  <c r="H2338" i="2"/>
  <c r="C2339" i="2"/>
  <c r="D2338" i="2" l="1"/>
  <c r="J2338" i="2"/>
  <c r="K2338" i="2" s="1"/>
  <c r="L2338" i="2"/>
  <c r="B2339" i="2"/>
  <c r="A2339" i="2"/>
  <c r="H2339" i="2"/>
  <c r="M2339" i="2"/>
  <c r="F2339" i="2"/>
  <c r="E2339" i="2"/>
  <c r="I2339" i="2"/>
  <c r="G2339" i="2"/>
  <c r="C2340" i="2"/>
  <c r="J2339" i="2" l="1"/>
  <c r="K2339" i="2" s="1"/>
  <c r="D2339" i="2"/>
  <c r="L2339" i="2"/>
  <c r="B2340" i="2"/>
  <c r="A2340" i="2"/>
  <c r="E2340" i="2"/>
  <c r="I2340" i="2"/>
  <c r="M2340" i="2"/>
  <c r="G2340" i="2"/>
  <c r="F2340" i="2"/>
  <c r="H2340" i="2"/>
  <c r="C2341" i="2"/>
  <c r="D2340" i="2" l="1"/>
  <c r="J2340" i="2"/>
  <c r="K2340" i="2" s="1"/>
  <c r="L2340" i="2"/>
  <c r="A2341" i="2"/>
  <c r="B2341" i="2"/>
  <c r="E2341" i="2"/>
  <c r="M2341" i="2"/>
  <c r="I2341" i="2"/>
  <c r="H2341" i="2"/>
  <c r="F2341" i="2"/>
  <c r="G2341" i="2"/>
  <c r="C2342" i="2"/>
  <c r="J2341" i="2" l="1"/>
  <c r="K2341" i="2" s="1"/>
  <c r="D2341" i="2"/>
  <c r="L2341" i="2"/>
  <c r="B2342" i="2"/>
  <c r="A2342" i="2"/>
  <c r="H2342" i="2"/>
  <c r="G2342" i="2"/>
  <c r="E2342" i="2"/>
  <c r="I2342" i="2"/>
  <c r="M2342" i="2"/>
  <c r="F2342" i="2"/>
  <c r="C2343" i="2"/>
  <c r="D2342" i="2" l="1"/>
  <c r="J2342" i="2"/>
  <c r="K2342" i="2" s="1"/>
  <c r="L2342" i="2"/>
  <c r="B2343" i="2"/>
  <c r="A2343" i="2"/>
  <c r="E2343" i="2"/>
  <c r="M2343" i="2"/>
  <c r="H2343" i="2"/>
  <c r="G2343" i="2"/>
  <c r="F2343" i="2"/>
  <c r="I2343" i="2"/>
  <c r="C2344" i="2"/>
  <c r="J2343" i="2" l="1"/>
  <c r="K2343" i="2" s="1"/>
  <c r="D2343" i="2"/>
  <c r="L2343" i="2"/>
  <c r="B2344" i="2"/>
  <c r="A2344" i="2"/>
  <c r="M2344" i="2"/>
  <c r="H2344" i="2"/>
  <c r="E2344" i="2"/>
  <c r="I2344" i="2"/>
  <c r="G2344" i="2"/>
  <c r="F2344" i="2"/>
  <c r="C2345" i="2"/>
  <c r="J2344" i="2" l="1"/>
  <c r="K2344" i="2" s="1"/>
  <c r="D2344" i="2"/>
  <c r="L2344" i="2"/>
  <c r="A2345" i="2"/>
  <c r="B2345" i="2"/>
  <c r="M2345" i="2"/>
  <c r="F2345" i="2"/>
  <c r="E2345" i="2"/>
  <c r="G2345" i="2"/>
  <c r="H2345" i="2"/>
  <c r="I2345" i="2"/>
  <c r="C2346" i="2"/>
  <c r="J2345" i="2" l="1"/>
  <c r="K2345" i="2" s="1"/>
  <c r="D2345" i="2"/>
  <c r="L2345" i="2"/>
  <c r="B2346" i="2"/>
  <c r="A2346" i="2"/>
  <c r="G2346" i="2"/>
  <c r="M2346" i="2"/>
  <c r="F2346" i="2"/>
  <c r="I2346" i="2"/>
  <c r="H2346" i="2"/>
  <c r="E2346" i="2"/>
  <c r="C2347" i="2"/>
  <c r="J2346" i="2" l="1"/>
  <c r="K2346" i="2" s="1"/>
  <c r="D2346" i="2"/>
  <c r="L2346" i="2"/>
  <c r="B2347" i="2"/>
  <c r="A2347" i="2"/>
  <c r="I2347" i="2"/>
  <c r="M2347" i="2"/>
  <c r="E2347" i="2"/>
  <c r="F2347" i="2"/>
  <c r="H2347" i="2"/>
  <c r="G2347" i="2"/>
  <c r="C2348" i="2"/>
  <c r="D2347" i="2" l="1"/>
  <c r="J2347" i="2"/>
  <c r="K2347" i="2" s="1"/>
  <c r="L2347" i="2"/>
  <c r="B2348" i="2"/>
  <c r="A2348" i="2"/>
  <c r="H2348" i="2"/>
  <c r="F2348" i="2"/>
  <c r="M2348" i="2"/>
  <c r="E2348" i="2"/>
  <c r="I2348" i="2"/>
  <c r="G2348" i="2"/>
  <c r="C2349" i="2"/>
  <c r="J2348" i="2" l="1"/>
  <c r="K2348" i="2" s="1"/>
  <c r="D2348" i="2"/>
  <c r="L2348" i="2"/>
  <c r="A2349" i="2"/>
  <c r="B2349" i="2"/>
  <c r="H2349" i="2"/>
  <c r="G2349" i="2"/>
  <c r="I2349" i="2"/>
  <c r="E2349" i="2"/>
  <c r="F2349" i="2"/>
  <c r="M2349" i="2"/>
  <c r="C2350" i="2"/>
  <c r="J2349" i="2" l="1"/>
  <c r="K2349" i="2" s="1"/>
  <c r="D2349" i="2"/>
  <c r="L2349" i="2"/>
  <c r="A2350" i="2"/>
  <c r="B2350" i="2"/>
  <c r="H2350" i="2"/>
  <c r="E2350" i="2"/>
  <c r="M2350" i="2"/>
  <c r="F2350" i="2"/>
  <c r="I2350" i="2"/>
  <c r="G2350" i="2"/>
  <c r="C2351" i="2"/>
  <c r="J2350" i="2" l="1"/>
  <c r="K2350" i="2" s="1"/>
  <c r="D2350" i="2"/>
  <c r="L2350" i="2"/>
  <c r="B2351" i="2"/>
  <c r="A2351" i="2"/>
  <c r="G2351" i="2"/>
  <c r="F2351" i="2"/>
  <c r="E2351" i="2"/>
  <c r="M2351" i="2"/>
  <c r="I2351" i="2"/>
  <c r="H2351" i="2"/>
  <c r="C2352" i="2"/>
  <c r="D2351" i="2" l="1"/>
  <c r="J2351" i="2"/>
  <c r="K2351" i="2" s="1"/>
  <c r="L2351" i="2"/>
  <c r="B2352" i="2"/>
  <c r="A2352" i="2"/>
  <c r="H2352" i="2"/>
  <c r="F2352" i="2"/>
  <c r="I2352" i="2"/>
  <c r="E2352" i="2"/>
  <c r="G2352" i="2"/>
  <c r="M2352" i="2"/>
  <c r="C2353" i="2"/>
  <c r="D2352" i="2" l="1"/>
  <c r="J2352" i="2"/>
  <c r="K2352" i="2" s="1"/>
  <c r="L2352" i="2"/>
  <c r="B2353" i="2"/>
  <c r="A2353" i="2"/>
  <c r="M2353" i="2"/>
  <c r="E2353" i="2"/>
  <c r="F2353" i="2"/>
  <c r="G2353" i="2"/>
  <c r="I2353" i="2"/>
  <c r="H2353" i="2"/>
  <c r="C2354" i="2"/>
  <c r="J2353" i="2" l="1"/>
  <c r="K2353" i="2" s="1"/>
  <c r="D2353" i="2"/>
  <c r="L2353" i="2"/>
  <c r="B2354" i="2"/>
  <c r="A2354" i="2"/>
  <c r="G2354" i="2"/>
  <c r="H2354" i="2"/>
  <c r="M2354" i="2"/>
  <c r="F2354" i="2"/>
  <c r="E2354" i="2"/>
  <c r="I2354" i="2"/>
  <c r="C2355" i="2"/>
  <c r="D2354" i="2" l="1"/>
  <c r="J2354" i="2"/>
  <c r="K2354" i="2" s="1"/>
  <c r="L2354" i="2"/>
  <c r="B2355" i="2"/>
  <c r="A2355" i="2"/>
  <c r="G2355" i="2"/>
  <c r="M2355" i="2"/>
  <c r="H2355" i="2"/>
  <c r="F2355" i="2"/>
  <c r="E2355" i="2"/>
  <c r="I2355" i="2"/>
  <c r="C2356" i="2"/>
  <c r="D2355" i="2" l="1"/>
  <c r="J2355" i="2"/>
  <c r="K2355" i="2" s="1"/>
  <c r="L2355" i="2"/>
  <c r="B2356" i="2"/>
  <c r="A2356" i="2"/>
  <c r="F2356" i="2"/>
  <c r="M2356" i="2"/>
  <c r="H2356" i="2"/>
  <c r="E2356" i="2"/>
  <c r="G2356" i="2"/>
  <c r="I2356" i="2"/>
  <c r="C2357" i="2"/>
  <c r="J2356" i="2" l="1"/>
  <c r="K2356" i="2" s="1"/>
  <c r="D2356" i="2"/>
  <c r="L2356" i="2"/>
  <c r="A2357" i="2"/>
  <c r="B2357" i="2"/>
  <c r="M2357" i="2"/>
  <c r="G2357" i="2"/>
  <c r="I2357" i="2"/>
  <c r="E2357" i="2"/>
  <c r="H2357" i="2"/>
  <c r="F2357" i="2"/>
  <c r="C2358" i="2"/>
  <c r="D2357" i="2" l="1"/>
  <c r="J2357" i="2"/>
  <c r="K2357" i="2" s="1"/>
  <c r="L2357" i="2"/>
  <c r="A2358" i="2"/>
  <c r="B2358" i="2"/>
  <c r="H2358" i="2"/>
  <c r="F2358" i="2"/>
  <c r="G2358" i="2"/>
  <c r="I2358" i="2"/>
  <c r="M2358" i="2"/>
  <c r="E2358" i="2"/>
  <c r="C2359" i="2"/>
  <c r="D2358" i="2" l="1"/>
  <c r="J2358" i="2"/>
  <c r="K2358" i="2" s="1"/>
  <c r="L2358" i="2"/>
  <c r="B2359" i="2"/>
  <c r="A2359" i="2"/>
  <c r="F2359" i="2"/>
  <c r="M2359" i="2"/>
  <c r="H2359" i="2"/>
  <c r="G2359" i="2"/>
  <c r="I2359" i="2"/>
  <c r="E2359" i="2"/>
  <c r="C2360" i="2"/>
  <c r="D2359" i="2" l="1"/>
  <c r="J2359" i="2"/>
  <c r="K2359" i="2" s="1"/>
  <c r="L2359" i="2"/>
  <c r="B2360" i="2"/>
  <c r="A2360" i="2"/>
  <c r="I2360" i="2"/>
  <c r="G2360" i="2"/>
  <c r="M2360" i="2"/>
  <c r="H2360" i="2"/>
  <c r="F2360" i="2"/>
  <c r="E2360" i="2"/>
  <c r="C2361" i="2"/>
  <c r="J2360" i="2" l="1"/>
  <c r="K2360" i="2" s="1"/>
  <c r="D2360" i="2"/>
  <c r="L2360" i="2"/>
  <c r="B2361" i="2"/>
  <c r="A2361" i="2"/>
  <c r="E2361" i="2"/>
  <c r="M2361" i="2"/>
  <c r="H2361" i="2"/>
  <c r="G2361" i="2"/>
  <c r="F2361" i="2"/>
  <c r="I2361" i="2"/>
  <c r="C2362" i="2"/>
  <c r="D2361" i="2" l="1"/>
  <c r="J2361" i="2"/>
  <c r="K2361" i="2" s="1"/>
  <c r="L2361" i="2"/>
  <c r="B2362" i="2"/>
  <c r="A2362" i="2"/>
  <c r="I2362" i="2"/>
  <c r="M2362" i="2"/>
  <c r="E2362" i="2"/>
  <c r="F2362" i="2"/>
  <c r="H2362" i="2"/>
  <c r="G2362" i="2"/>
  <c r="C2363" i="2"/>
  <c r="J2362" i="2" l="1"/>
  <c r="K2362" i="2" s="1"/>
  <c r="D2362" i="2"/>
  <c r="L2362" i="2"/>
  <c r="B2363" i="2"/>
  <c r="A2363" i="2"/>
  <c r="E2363" i="2"/>
  <c r="H2363" i="2"/>
  <c r="G2363" i="2"/>
  <c r="I2363" i="2"/>
  <c r="M2363" i="2"/>
  <c r="F2363" i="2"/>
  <c r="C2364" i="2"/>
  <c r="D2363" i="2" l="1"/>
  <c r="J2363" i="2"/>
  <c r="K2363" i="2" s="1"/>
  <c r="L2363" i="2"/>
  <c r="B2364" i="2"/>
  <c r="A2364" i="2"/>
  <c r="F2364" i="2"/>
  <c r="M2364" i="2"/>
  <c r="E2364" i="2"/>
  <c r="I2364" i="2"/>
  <c r="H2364" i="2"/>
  <c r="G2364" i="2"/>
  <c r="C2365" i="2"/>
  <c r="D2364" i="2" l="1"/>
  <c r="J2364" i="2"/>
  <c r="K2364" i="2" s="1"/>
  <c r="L2364" i="2"/>
  <c r="B2365" i="2"/>
  <c r="A2365" i="2"/>
  <c r="H2365" i="2"/>
  <c r="I2365" i="2"/>
  <c r="E2365" i="2"/>
  <c r="M2365" i="2"/>
  <c r="F2365" i="2"/>
  <c r="G2365" i="2"/>
  <c r="C2366" i="2"/>
  <c r="J2365" i="2" l="1"/>
  <c r="K2365" i="2" s="1"/>
  <c r="D2365" i="2"/>
  <c r="L2365" i="2"/>
  <c r="A2366" i="2"/>
  <c r="B2366" i="2"/>
  <c r="G2366" i="2"/>
  <c r="E2366" i="2"/>
  <c r="H2366" i="2"/>
  <c r="M2366" i="2"/>
  <c r="I2366" i="2"/>
  <c r="F2366" i="2"/>
  <c r="C2367" i="2"/>
  <c r="D2366" i="2" l="1"/>
  <c r="J2366" i="2"/>
  <c r="K2366" i="2" s="1"/>
  <c r="L2366" i="2"/>
  <c r="B2367" i="2"/>
  <c r="A2367" i="2"/>
  <c r="M2367" i="2"/>
  <c r="I2367" i="2"/>
  <c r="G2367" i="2"/>
  <c r="F2367" i="2"/>
  <c r="E2367" i="2"/>
  <c r="H2367" i="2"/>
  <c r="C2368" i="2"/>
  <c r="D2367" i="2" l="1"/>
  <c r="J2367" i="2"/>
  <c r="K2367" i="2" s="1"/>
  <c r="L2367" i="2"/>
  <c r="B2368" i="2"/>
  <c r="A2368" i="2"/>
  <c r="I2368" i="2"/>
  <c r="E2368" i="2"/>
  <c r="M2368" i="2"/>
  <c r="H2368" i="2"/>
  <c r="F2368" i="2"/>
  <c r="G2368" i="2"/>
  <c r="C2369" i="2"/>
  <c r="D2368" i="2" l="1"/>
  <c r="J2368" i="2"/>
  <c r="K2368" i="2" s="1"/>
  <c r="L2368" i="2"/>
  <c r="B2369" i="2"/>
  <c r="A2369" i="2"/>
  <c r="H2369" i="2"/>
  <c r="F2369" i="2"/>
  <c r="E2369" i="2"/>
  <c r="G2369" i="2"/>
  <c r="I2369" i="2"/>
  <c r="M2369" i="2"/>
  <c r="C2370" i="2"/>
  <c r="J2369" i="2" l="1"/>
  <c r="K2369" i="2" s="1"/>
  <c r="D2369" i="2"/>
  <c r="L2369" i="2"/>
  <c r="A2370" i="2"/>
  <c r="B2370" i="2"/>
  <c r="F2370" i="2"/>
  <c r="H2370" i="2"/>
  <c r="I2370" i="2"/>
  <c r="M2370" i="2"/>
  <c r="G2370" i="2"/>
  <c r="E2370" i="2"/>
  <c r="C2371" i="2"/>
  <c r="D2370" i="2" l="1"/>
  <c r="J2370" i="2"/>
  <c r="K2370" i="2" s="1"/>
  <c r="L2370" i="2"/>
  <c r="B2371" i="2"/>
  <c r="A2371" i="2"/>
  <c r="H2371" i="2"/>
  <c r="G2371" i="2"/>
  <c r="I2371" i="2"/>
  <c r="F2371" i="2"/>
  <c r="M2371" i="2"/>
  <c r="E2371" i="2"/>
  <c r="C2372" i="2"/>
  <c r="D2371" i="2" l="1"/>
  <c r="J2371" i="2"/>
  <c r="K2371" i="2" s="1"/>
  <c r="L2371" i="2"/>
  <c r="B2372" i="2"/>
  <c r="A2372" i="2"/>
  <c r="M2372" i="2"/>
  <c r="I2372" i="2"/>
  <c r="H2372" i="2"/>
  <c r="G2372" i="2"/>
  <c r="F2372" i="2"/>
  <c r="E2372" i="2"/>
  <c r="C2373" i="2"/>
  <c r="J2372" i="2" l="1"/>
  <c r="K2372" i="2" s="1"/>
  <c r="D2372" i="2"/>
  <c r="L2372" i="2"/>
  <c r="A2373" i="2"/>
  <c r="B2373" i="2"/>
  <c r="I2373" i="2"/>
  <c r="H2373" i="2"/>
  <c r="E2373" i="2"/>
  <c r="G2373" i="2"/>
  <c r="M2373" i="2"/>
  <c r="F2373" i="2"/>
  <c r="C2374" i="2"/>
  <c r="J2373" i="2" l="1"/>
  <c r="K2373" i="2" s="1"/>
  <c r="D2373" i="2"/>
  <c r="L2373" i="2"/>
  <c r="B2374" i="2"/>
  <c r="A2374" i="2"/>
  <c r="F2374" i="2"/>
  <c r="H2374" i="2"/>
  <c r="M2374" i="2"/>
  <c r="I2374" i="2"/>
  <c r="E2374" i="2"/>
  <c r="G2374" i="2"/>
  <c r="C2375" i="2"/>
  <c r="J2374" i="2" l="1"/>
  <c r="K2374" i="2" s="1"/>
  <c r="D2374" i="2"/>
  <c r="L2374" i="2"/>
  <c r="B2375" i="2"/>
  <c r="A2375" i="2"/>
  <c r="G2375" i="2"/>
  <c r="F2375" i="2"/>
  <c r="M2375" i="2"/>
  <c r="I2375" i="2"/>
  <c r="H2375" i="2"/>
  <c r="E2375" i="2"/>
  <c r="C2376" i="2"/>
  <c r="J2375" i="2" l="1"/>
  <c r="K2375" i="2" s="1"/>
  <c r="D2375" i="2"/>
  <c r="L2375" i="2"/>
  <c r="B2376" i="2"/>
  <c r="A2376" i="2"/>
  <c r="I2376" i="2"/>
  <c r="F2376" i="2"/>
  <c r="H2376" i="2"/>
  <c r="G2376" i="2"/>
  <c r="M2376" i="2"/>
  <c r="E2376" i="2"/>
  <c r="C2377" i="2"/>
  <c r="J2376" i="2" l="1"/>
  <c r="K2376" i="2" s="1"/>
  <c r="D2376" i="2"/>
  <c r="L2376" i="2"/>
  <c r="B2377" i="2"/>
  <c r="A2377" i="2"/>
  <c r="M2377" i="2"/>
  <c r="F2377" i="2"/>
  <c r="I2377" i="2"/>
  <c r="G2377" i="2"/>
  <c r="H2377" i="2"/>
  <c r="E2377" i="2"/>
  <c r="C2378" i="2"/>
  <c r="D2377" i="2" l="1"/>
  <c r="J2377" i="2"/>
  <c r="K2377" i="2" s="1"/>
  <c r="L2377" i="2"/>
  <c r="B2378" i="2"/>
  <c r="A2378" i="2"/>
  <c r="H2378" i="2"/>
  <c r="G2378" i="2"/>
  <c r="E2378" i="2"/>
  <c r="F2378" i="2"/>
  <c r="I2378" i="2"/>
  <c r="M2378" i="2"/>
  <c r="C2379" i="2"/>
  <c r="D2378" i="2" l="1"/>
  <c r="J2378" i="2"/>
  <c r="K2378" i="2" s="1"/>
  <c r="L2378" i="2"/>
  <c r="B2379" i="2"/>
  <c r="A2379" i="2"/>
  <c r="E2379" i="2"/>
  <c r="M2379" i="2"/>
  <c r="I2379" i="2"/>
  <c r="F2379" i="2"/>
  <c r="G2379" i="2"/>
  <c r="H2379" i="2"/>
  <c r="C2380" i="2"/>
  <c r="J2379" i="2" l="1"/>
  <c r="K2379" i="2" s="1"/>
  <c r="D2379" i="2"/>
  <c r="L2379" i="2"/>
  <c r="B2380" i="2"/>
  <c r="A2380" i="2"/>
  <c r="G2380" i="2"/>
  <c r="M2380" i="2"/>
  <c r="F2380" i="2"/>
  <c r="E2380" i="2"/>
  <c r="H2380" i="2"/>
  <c r="I2380" i="2"/>
  <c r="C2381" i="2"/>
  <c r="D2380" i="2" l="1"/>
  <c r="J2380" i="2"/>
  <c r="K2380" i="2" s="1"/>
  <c r="L2380" i="2"/>
  <c r="B2381" i="2"/>
  <c r="A2381" i="2"/>
  <c r="M2381" i="2"/>
  <c r="G2381" i="2"/>
  <c r="I2381" i="2"/>
  <c r="E2381" i="2"/>
  <c r="H2381" i="2"/>
  <c r="F2381" i="2"/>
  <c r="C2382" i="2"/>
  <c r="D2381" i="2" l="1"/>
  <c r="J2381" i="2"/>
  <c r="K2381" i="2" s="1"/>
  <c r="L2381" i="2"/>
  <c r="A2382" i="2"/>
  <c r="B2382" i="2"/>
  <c r="I2382" i="2"/>
  <c r="H2382" i="2"/>
  <c r="E2382" i="2"/>
  <c r="G2382" i="2"/>
  <c r="M2382" i="2"/>
  <c r="F2382" i="2"/>
  <c r="C2383" i="2"/>
  <c r="D2382" i="2" l="1"/>
  <c r="J2382" i="2"/>
  <c r="K2382" i="2" s="1"/>
  <c r="L2382" i="2"/>
  <c r="B2383" i="2"/>
  <c r="A2383" i="2"/>
  <c r="E2383" i="2"/>
  <c r="I2383" i="2"/>
  <c r="F2383" i="2"/>
  <c r="M2383" i="2"/>
  <c r="G2383" i="2"/>
  <c r="H2383" i="2"/>
  <c r="C2384" i="2"/>
  <c r="J2383" i="2" l="1"/>
  <c r="K2383" i="2" s="1"/>
  <c r="D2383" i="2"/>
  <c r="L2383" i="2"/>
  <c r="B2384" i="2"/>
  <c r="A2384" i="2"/>
  <c r="F2384" i="2"/>
  <c r="E2384" i="2"/>
  <c r="I2384" i="2"/>
  <c r="M2384" i="2"/>
  <c r="H2384" i="2"/>
  <c r="G2384" i="2"/>
  <c r="C2385" i="2"/>
  <c r="D2384" i="2" l="1"/>
  <c r="J2384" i="2"/>
  <c r="K2384" i="2" s="1"/>
  <c r="L2384" i="2"/>
  <c r="B2385" i="2"/>
  <c r="A2385" i="2"/>
  <c r="F2385" i="2"/>
  <c r="H2385" i="2"/>
  <c r="E2385" i="2"/>
  <c r="G2385" i="2"/>
  <c r="I2385" i="2"/>
  <c r="M2385" i="2"/>
  <c r="C2386" i="2"/>
  <c r="D2385" i="2" l="1"/>
  <c r="J2385" i="2"/>
  <c r="K2385" i="2" s="1"/>
  <c r="L2385" i="2"/>
  <c r="A2386" i="2"/>
  <c r="B2386" i="2"/>
  <c r="M2386" i="2"/>
  <c r="H2386" i="2"/>
  <c r="I2386" i="2"/>
  <c r="E2386" i="2"/>
  <c r="G2386" i="2"/>
  <c r="F2386" i="2"/>
  <c r="C2387" i="2"/>
  <c r="J2386" i="2" l="1"/>
  <c r="K2386" i="2" s="1"/>
  <c r="D2386" i="2"/>
  <c r="L2386" i="2"/>
  <c r="B2387" i="2"/>
  <c r="A2387" i="2"/>
  <c r="F2387" i="2"/>
  <c r="G2387" i="2"/>
  <c r="H2387" i="2"/>
  <c r="I2387" i="2"/>
  <c r="E2387" i="2"/>
  <c r="M2387" i="2"/>
  <c r="C2388" i="2"/>
  <c r="J2387" i="2" l="1"/>
  <c r="K2387" i="2" s="1"/>
  <c r="D2387" i="2"/>
  <c r="L2387" i="2"/>
  <c r="B2388" i="2"/>
  <c r="A2388" i="2"/>
  <c r="H2388" i="2"/>
  <c r="I2388" i="2"/>
  <c r="F2388" i="2"/>
  <c r="E2388" i="2"/>
  <c r="M2388" i="2"/>
  <c r="G2388" i="2"/>
  <c r="C2389" i="2"/>
  <c r="J2388" i="2" l="1"/>
  <c r="K2388" i="2" s="1"/>
  <c r="D2388" i="2"/>
  <c r="L2388" i="2"/>
  <c r="A2389" i="2"/>
  <c r="B2389" i="2"/>
  <c r="M2389" i="2"/>
  <c r="I2389" i="2"/>
  <c r="F2389" i="2"/>
  <c r="H2389" i="2"/>
  <c r="G2389" i="2"/>
  <c r="E2389" i="2"/>
  <c r="C2390" i="2"/>
  <c r="J2389" i="2" l="1"/>
  <c r="K2389" i="2" s="1"/>
  <c r="D2389" i="2"/>
  <c r="L2389" i="2"/>
  <c r="A2390" i="2"/>
  <c r="B2390" i="2"/>
  <c r="M2390" i="2"/>
  <c r="F2390" i="2"/>
  <c r="G2390" i="2"/>
  <c r="H2390" i="2"/>
  <c r="E2390" i="2"/>
  <c r="I2390" i="2"/>
  <c r="C2391" i="2"/>
  <c r="D2390" i="2" l="1"/>
  <c r="J2390" i="2"/>
  <c r="K2390" i="2" s="1"/>
  <c r="L2390" i="2"/>
  <c r="B2391" i="2"/>
  <c r="A2391" i="2"/>
  <c r="G2391" i="2"/>
  <c r="I2391" i="2"/>
  <c r="H2391" i="2"/>
  <c r="F2391" i="2"/>
  <c r="E2391" i="2"/>
  <c r="M2391" i="2"/>
  <c r="C2392" i="2"/>
  <c r="J2391" i="2" l="1"/>
  <c r="K2391" i="2" s="1"/>
  <c r="D2391" i="2"/>
  <c r="L2391" i="2"/>
  <c r="B2392" i="2"/>
  <c r="A2392" i="2"/>
  <c r="I2392" i="2"/>
  <c r="E2392" i="2"/>
  <c r="H2392" i="2"/>
  <c r="G2392" i="2"/>
  <c r="M2392" i="2"/>
  <c r="F2392" i="2"/>
  <c r="C2393" i="2"/>
  <c r="D2392" i="2" l="1"/>
  <c r="J2392" i="2"/>
  <c r="K2392" i="2" s="1"/>
  <c r="L2392" i="2"/>
  <c r="B2393" i="2"/>
  <c r="A2393" i="2"/>
  <c r="M2393" i="2"/>
  <c r="F2393" i="2"/>
  <c r="E2393" i="2"/>
  <c r="G2393" i="2"/>
  <c r="H2393" i="2"/>
  <c r="I2393" i="2"/>
  <c r="C2394" i="2"/>
  <c r="J2393" i="2" l="1"/>
  <c r="K2393" i="2" s="1"/>
  <c r="D2393" i="2"/>
  <c r="L2393" i="2"/>
  <c r="B2394" i="2"/>
  <c r="A2394" i="2"/>
  <c r="M2394" i="2"/>
  <c r="G2394" i="2"/>
  <c r="I2394" i="2"/>
  <c r="E2394" i="2"/>
  <c r="F2394" i="2"/>
  <c r="H2394" i="2"/>
  <c r="C2395" i="2"/>
  <c r="D2394" i="2" l="1"/>
  <c r="J2394" i="2"/>
  <c r="K2394" i="2" s="1"/>
  <c r="L2394" i="2"/>
  <c r="B2395" i="2"/>
  <c r="A2395" i="2"/>
  <c r="G2395" i="2"/>
  <c r="I2395" i="2"/>
  <c r="M2395" i="2"/>
  <c r="F2395" i="2"/>
  <c r="H2395" i="2"/>
  <c r="E2395" i="2"/>
  <c r="C2396" i="2"/>
  <c r="J2395" i="2" l="1"/>
  <c r="K2395" i="2" s="1"/>
  <c r="D2395" i="2"/>
  <c r="L2395" i="2"/>
  <c r="B2396" i="2"/>
  <c r="A2396" i="2"/>
  <c r="G2396" i="2"/>
  <c r="M2396" i="2"/>
  <c r="H2396" i="2"/>
  <c r="E2396" i="2"/>
  <c r="F2396" i="2"/>
  <c r="I2396" i="2"/>
  <c r="C2397" i="2"/>
  <c r="J2396" i="2" l="1"/>
  <c r="K2396" i="2" s="1"/>
  <c r="D2396" i="2"/>
  <c r="L2396" i="2"/>
  <c r="B2397" i="2"/>
  <c r="A2397" i="2"/>
  <c r="I2397" i="2"/>
  <c r="M2397" i="2"/>
  <c r="E2397" i="2"/>
  <c r="F2397" i="2"/>
  <c r="H2397" i="2"/>
  <c r="G2397" i="2"/>
  <c r="C2398" i="2"/>
  <c r="D2397" i="2" l="1"/>
  <c r="J2397" i="2"/>
  <c r="K2397" i="2" s="1"/>
  <c r="L2397" i="2"/>
  <c r="A2398" i="2"/>
  <c r="B2398" i="2"/>
  <c r="G2398" i="2"/>
  <c r="M2398" i="2"/>
  <c r="I2398" i="2"/>
  <c r="F2398" i="2"/>
  <c r="E2398" i="2"/>
  <c r="H2398" i="2"/>
  <c r="C2399" i="2"/>
  <c r="J2398" i="2" l="1"/>
  <c r="K2398" i="2" s="1"/>
  <c r="D2398" i="2"/>
  <c r="L2398" i="2"/>
  <c r="B2399" i="2"/>
  <c r="A2399" i="2"/>
  <c r="G2399" i="2"/>
  <c r="E2399" i="2"/>
  <c r="M2399" i="2"/>
  <c r="F2399" i="2"/>
  <c r="I2399" i="2"/>
  <c r="H2399" i="2"/>
  <c r="C2400" i="2"/>
  <c r="D2399" i="2" l="1"/>
  <c r="J2399" i="2"/>
  <c r="K2399" i="2" s="1"/>
  <c r="L2399" i="2"/>
  <c r="B2400" i="2"/>
  <c r="A2400" i="2"/>
  <c r="M2400" i="2"/>
  <c r="H2400" i="2"/>
  <c r="I2400" i="2"/>
  <c r="E2400" i="2"/>
  <c r="G2400" i="2"/>
  <c r="F2400" i="2"/>
  <c r="C2401" i="2"/>
  <c r="J2400" i="2" l="1"/>
  <c r="K2400" i="2" s="1"/>
  <c r="D2400" i="2"/>
  <c r="L2400" i="2"/>
  <c r="B2401" i="2"/>
  <c r="A2401" i="2"/>
  <c r="H2401" i="2"/>
  <c r="E2401" i="2"/>
  <c r="M2401" i="2"/>
  <c r="G2401" i="2"/>
  <c r="I2401" i="2"/>
  <c r="F2401" i="2"/>
  <c r="C2402" i="2"/>
  <c r="D2401" i="2" l="1"/>
  <c r="J2401" i="2"/>
  <c r="K2401" i="2" s="1"/>
  <c r="L2401" i="2"/>
  <c r="B2402" i="2"/>
  <c r="A2402" i="2"/>
  <c r="I2402" i="2"/>
  <c r="H2402" i="2"/>
  <c r="E2402" i="2"/>
  <c r="G2402" i="2"/>
  <c r="M2402" i="2"/>
  <c r="F2402" i="2"/>
  <c r="C2403" i="2"/>
  <c r="D2402" i="2" l="1"/>
  <c r="J2402" i="2"/>
  <c r="K2402" i="2" s="1"/>
  <c r="L2402" i="2"/>
  <c r="B2403" i="2"/>
  <c r="A2403" i="2"/>
  <c r="M2403" i="2"/>
  <c r="E2403" i="2"/>
  <c r="I2403" i="2"/>
  <c r="F2403" i="2"/>
  <c r="G2403" i="2"/>
  <c r="H2403" i="2"/>
  <c r="C2404" i="2"/>
  <c r="D2403" i="2" l="1"/>
  <c r="J2403" i="2"/>
  <c r="K2403" i="2" s="1"/>
  <c r="L2403" i="2"/>
  <c r="B2404" i="2"/>
  <c r="A2404" i="2"/>
  <c r="E2404" i="2"/>
  <c r="F2404" i="2"/>
  <c r="G2404" i="2"/>
  <c r="M2404" i="2"/>
  <c r="H2404" i="2"/>
  <c r="I2404" i="2"/>
  <c r="C2405" i="2"/>
  <c r="J2404" i="2" l="1"/>
  <c r="K2404" i="2" s="1"/>
  <c r="D2404" i="2"/>
  <c r="L2404" i="2"/>
  <c r="A2405" i="2"/>
  <c r="B2405" i="2"/>
  <c r="M2405" i="2"/>
  <c r="G2405" i="2"/>
  <c r="F2405" i="2"/>
  <c r="E2405" i="2"/>
  <c r="I2405" i="2"/>
  <c r="H2405" i="2"/>
  <c r="C2406" i="2"/>
  <c r="J2405" i="2" l="1"/>
  <c r="K2405" i="2" s="1"/>
  <c r="D2405" i="2"/>
  <c r="L2405" i="2"/>
  <c r="B2406" i="2"/>
  <c r="A2406" i="2"/>
  <c r="E2406" i="2"/>
  <c r="F2406" i="2"/>
  <c r="I2406" i="2"/>
  <c r="M2406" i="2"/>
  <c r="G2406" i="2"/>
  <c r="H2406" i="2"/>
  <c r="C2407" i="2"/>
  <c r="J2406" i="2" l="1"/>
  <c r="K2406" i="2" s="1"/>
  <c r="D2406" i="2"/>
  <c r="L2406" i="2"/>
  <c r="B2407" i="2"/>
  <c r="A2407" i="2"/>
  <c r="E2407" i="2"/>
  <c r="G2407" i="2"/>
  <c r="F2407" i="2"/>
  <c r="I2407" i="2"/>
  <c r="H2407" i="2"/>
  <c r="M2407" i="2"/>
  <c r="C2408" i="2"/>
  <c r="J2407" i="2" l="1"/>
  <c r="K2407" i="2" s="1"/>
  <c r="D2407" i="2"/>
  <c r="L2407" i="2"/>
  <c r="B2408" i="2"/>
  <c r="A2408" i="2"/>
  <c r="F2408" i="2"/>
  <c r="G2408" i="2"/>
  <c r="M2408" i="2"/>
  <c r="I2408" i="2"/>
  <c r="E2408" i="2"/>
  <c r="H2408" i="2"/>
  <c r="C2409" i="2"/>
  <c r="D2408" i="2" l="1"/>
  <c r="J2408" i="2"/>
  <c r="K2408" i="2" s="1"/>
  <c r="L2408" i="2"/>
  <c r="B2409" i="2"/>
  <c r="A2409" i="2"/>
  <c r="G2409" i="2"/>
  <c r="I2409" i="2"/>
  <c r="H2409" i="2"/>
  <c r="M2409" i="2"/>
  <c r="E2409" i="2"/>
  <c r="F2409" i="2"/>
  <c r="C2410" i="2"/>
  <c r="D2409" i="2" l="1"/>
  <c r="J2409" i="2"/>
  <c r="K2409" i="2" s="1"/>
  <c r="L2409" i="2"/>
  <c r="B2410" i="2"/>
  <c r="A2410" i="2"/>
  <c r="M2410" i="2"/>
  <c r="E2410" i="2"/>
  <c r="G2410" i="2"/>
  <c r="H2410" i="2"/>
  <c r="I2410" i="2"/>
  <c r="F2410" i="2"/>
  <c r="C2411" i="2"/>
  <c r="D2410" i="2" l="1"/>
  <c r="J2410" i="2"/>
  <c r="K2410" i="2" s="1"/>
  <c r="L2410" i="2"/>
  <c r="B2411" i="2"/>
  <c r="A2411" i="2"/>
  <c r="M2411" i="2"/>
  <c r="E2411" i="2"/>
  <c r="I2411" i="2"/>
  <c r="H2411" i="2"/>
  <c r="F2411" i="2"/>
  <c r="G2411" i="2"/>
  <c r="C2412" i="2"/>
  <c r="J2411" i="2" l="1"/>
  <c r="K2411" i="2" s="1"/>
  <c r="D2411" i="2"/>
  <c r="L2411" i="2"/>
  <c r="B2412" i="2"/>
  <c r="A2412" i="2"/>
  <c r="E2412" i="2"/>
  <c r="I2412" i="2"/>
  <c r="F2412" i="2"/>
  <c r="H2412" i="2"/>
  <c r="M2412" i="2"/>
  <c r="G2412" i="2"/>
  <c r="C2413" i="2"/>
  <c r="J2412" i="2" l="1"/>
  <c r="K2412" i="2" s="1"/>
  <c r="D2412" i="2"/>
  <c r="L2412" i="2"/>
  <c r="B2413" i="2"/>
  <c r="A2413" i="2"/>
  <c r="E2413" i="2"/>
  <c r="I2413" i="2"/>
  <c r="H2413" i="2"/>
  <c r="G2413" i="2"/>
  <c r="F2413" i="2"/>
  <c r="M2413" i="2"/>
  <c r="C2414" i="2"/>
  <c r="D2413" i="2" l="1"/>
  <c r="J2413" i="2"/>
  <c r="K2413" i="2" s="1"/>
  <c r="L2413" i="2"/>
  <c r="A2414" i="2"/>
  <c r="B2414" i="2"/>
  <c r="G2414" i="2"/>
  <c r="H2414" i="2"/>
  <c r="F2414" i="2"/>
  <c r="M2414" i="2"/>
  <c r="E2414" i="2"/>
  <c r="I2414" i="2"/>
  <c r="C2415" i="2"/>
  <c r="D2414" i="2" l="1"/>
  <c r="J2414" i="2"/>
  <c r="K2414" i="2" s="1"/>
  <c r="L2414" i="2"/>
  <c r="B2415" i="2"/>
  <c r="A2415" i="2"/>
  <c r="M2415" i="2"/>
  <c r="G2415" i="2"/>
  <c r="F2415" i="2"/>
  <c r="E2415" i="2"/>
  <c r="H2415" i="2"/>
  <c r="I2415" i="2"/>
  <c r="C2416" i="2"/>
  <c r="D2415" i="2" l="1"/>
  <c r="J2415" i="2"/>
  <c r="K2415" i="2" s="1"/>
  <c r="L2415" i="2"/>
  <c r="B2416" i="2"/>
  <c r="A2416" i="2"/>
  <c r="F2416" i="2"/>
  <c r="G2416" i="2"/>
  <c r="H2416" i="2"/>
  <c r="I2416" i="2"/>
  <c r="E2416" i="2"/>
  <c r="M2416" i="2"/>
  <c r="C2417" i="2"/>
  <c r="D2416" i="2" l="1"/>
  <c r="J2416" i="2"/>
  <c r="K2416" i="2" s="1"/>
  <c r="L2416" i="2"/>
  <c r="B2417" i="2"/>
  <c r="A2417" i="2"/>
  <c r="I2417" i="2"/>
  <c r="F2417" i="2"/>
  <c r="H2417" i="2"/>
  <c r="G2417" i="2"/>
  <c r="M2417" i="2"/>
  <c r="E2417" i="2"/>
  <c r="C2418" i="2"/>
  <c r="J2417" i="2" l="1"/>
  <c r="K2417" i="2" s="1"/>
  <c r="D2417" i="2"/>
  <c r="L2417" i="2"/>
  <c r="B2418" i="2"/>
  <c r="A2418" i="2"/>
  <c r="H2418" i="2"/>
  <c r="I2418" i="2"/>
  <c r="E2418" i="2"/>
  <c r="M2418" i="2"/>
  <c r="F2418" i="2"/>
  <c r="G2418" i="2"/>
  <c r="C2419" i="2"/>
  <c r="J2418" i="2" l="1"/>
  <c r="K2418" i="2" s="1"/>
  <c r="D2418" i="2"/>
  <c r="L2418" i="2"/>
  <c r="B2419" i="2"/>
  <c r="A2419" i="2"/>
  <c r="E2419" i="2"/>
  <c r="M2419" i="2"/>
  <c r="F2419" i="2"/>
  <c r="H2419" i="2"/>
  <c r="I2419" i="2"/>
  <c r="G2419" i="2"/>
  <c r="C2420" i="2"/>
  <c r="D2419" i="2" l="1"/>
  <c r="J2419" i="2"/>
  <c r="K2419" i="2" s="1"/>
  <c r="L2419" i="2"/>
  <c r="B2420" i="2"/>
  <c r="A2420" i="2"/>
  <c r="M2420" i="2"/>
  <c r="F2420" i="2"/>
  <c r="E2420" i="2"/>
  <c r="G2420" i="2"/>
  <c r="H2420" i="2"/>
  <c r="I2420" i="2"/>
  <c r="C2421" i="2"/>
  <c r="J2420" i="2" l="1"/>
  <c r="K2420" i="2" s="1"/>
  <c r="D2420" i="2"/>
  <c r="L2420" i="2"/>
  <c r="A2421" i="2"/>
  <c r="B2421" i="2"/>
  <c r="G2421" i="2"/>
  <c r="E2421" i="2"/>
  <c r="H2421" i="2"/>
  <c r="I2421" i="2"/>
  <c r="M2421" i="2"/>
  <c r="F2421" i="2"/>
  <c r="C2422" i="2"/>
  <c r="D2421" i="2" l="1"/>
  <c r="J2421" i="2"/>
  <c r="K2421" i="2" s="1"/>
  <c r="L2421" i="2"/>
  <c r="A2422" i="2"/>
  <c r="B2422" i="2"/>
  <c r="M2422" i="2"/>
  <c r="F2422" i="2"/>
  <c r="E2422" i="2"/>
  <c r="H2422" i="2"/>
  <c r="G2422" i="2"/>
  <c r="I2422" i="2"/>
  <c r="C2423" i="2"/>
  <c r="J2422" i="2" l="1"/>
  <c r="K2422" i="2" s="1"/>
  <c r="D2422" i="2"/>
  <c r="L2422" i="2"/>
  <c r="B2423" i="2"/>
  <c r="A2423" i="2"/>
  <c r="E2423" i="2"/>
  <c r="I2423" i="2"/>
  <c r="F2423" i="2"/>
  <c r="H2423" i="2"/>
  <c r="M2423" i="2"/>
  <c r="G2423" i="2"/>
  <c r="C2424" i="2"/>
  <c r="D2423" i="2" l="1"/>
  <c r="J2423" i="2"/>
  <c r="K2423" i="2" s="1"/>
  <c r="L2423" i="2"/>
  <c r="B2424" i="2"/>
  <c r="A2424" i="2"/>
  <c r="I2424" i="2"/>
  <c r="G2424" i="2"/>
  <c r="H2424" i="2"/>
  <c r="E2424" i="2"/>
  <c r="F2424" i="2"/>
  <c r="M2424" i="2"/>
  <c r="C2425" i="2"/>
  <c r="J2424" i="2" l="1"/>
  <c r="K2424" i="2" s="1"/>
  <c r="D2424" i="2"/>
  <c r="L2424" i="2"/>
  <c r="B2425" i="2"/>
  <c r="A2425" i="2"/>
  <c r="I2425" i="2"/>
  <c r="E2425" i="2"/>
  <c r="G2425" i="2"/>
  <c r="F2425" i="2"/>
  <c r="H2425" i="2"/>
  <c r="M2425" i="2"/>
  <c r="C2426" i="2"/>
  <c r="J2425" i="2" l="1"/>
  <c r="K2425" i="2" s="1"/>
  <c r="D2425" i="2"/>
  <c r="L2425" i="2"/>
  <c r="B2426" i="2"/>
  <c r="A2426" i="2"/>
  <c r="M2426" i="2"/>
  <c r="G2426" i="2"/>
  <c r="E2426" i="2"/>
  <c r="H2426" i="2"/>
  <c r="I2426" i="2"/>
  <c r="F2426" i="2"/>
  <c r="C2427" i="2"/>
  <c r="D2426" i="2" l="1"/>
  <c r="J2426" i="2"/>
  <c r="K2426" i="2" s="1"/>
  <c r="L2426" i="2"/>
  <c r="B2427" i="2"/>
  <c r="A2427" i="2"/>
  <c r="M2427" i="2"/>
  <c r="F2427" i="2"/>
  <c r="G2427" i="2"/>
  <c r="E2427" i="2"/>
  <c r="I2427" i="2"/>
  <c r="H2427" i="2"/>
  <c r="C2428" i="2"/>
  <c r="D2427" i="2" l="1"/>
  <c r="J2427" i="2"/>
  <c r="K2427" i="2" s="1"/>
  <c r="L2427" i="2"/>
  <c r="B2428" i="2"/>
  <c r="A2428" i="2"/>
  <c r="G2428" i="2"/>
  <c r="M2428" i="2"/>
  <c r="I2428" i="2"/>
  <c r="F2428" i="2"/>
  <c r="H2428" i="2"/>
  <c r="E2428" i="2"/>
  <c r="C2429" i="2"/>
  <c r="J2428" i="2" l="1"/>
  <c r="K2428" i="2" s="1"/>
  <c r="D2428" i="2"/>
  <c r="L2428" i="2"/>
  <c r="B2429" i="2"/>
  <c r="A2429" i="2"/>
  <c r="I2429" i="2"/>
  <c r="G2429" i="2"/>
  <c r="E2429" i="2"/>
  <c r="M2429" i="2"/>
  <c r="F2429" i="2"/>
  <c r="H2429" i="2"/>
  <c r="C2430" i="2"/>
  <c r="J2429" i="2" l="1"/>
  <c r="K2429" i="2" s="1"/>
  <c r="D2429" i="2"/>
  <c r="L2429" i="2"/>
  <c r="A2430" i="2"/>
  <c r="B2430" i="2"/>
  <c r="G2430" i="2"/>
  <c r="F2430" i="2"/>
  <c r="H2430" i="2"/>
  <c r="E2430" i="2"/>
  <c r="M2430" i="2"/>
  <c r="I2430" i="2"/>
  <c r="C2431" i="2"/>
  <c r="D2430" i="2" l="1"/>
  <c r="J2430" i="2"/>
  <c r="K2430" i="2" s="1"/>
  <c r="L2430" i="2"/>
  <c r="B2431" i="2"/>
  <c r="A2431" i="2"/>
  <c r="H2431" i="2"/>
  <c r="E2431" i="2"/>
  <c r="M2431" i="2"/>
  <c r="G2431" i="2"/>
  <c r="I2431" i="2"/>
  <c r="F2431" i="2"/>
  <c r="C2432" i="2"/>
  <c r="D2431" i="2" l="1"/>
  <c r="J2431" i="2"/>
  <c r="K2431" i="2" s="1"/>
  <c r="L2431" i="2"/>
  <c r="B2432" i="2"/>
  <c r="A2432" i="2"/>
  <c r="E2432" i="2"/>
  <c r="M2432" i="2"/>
  <c r="F2432" i="2"/>
  <c r="G2432" i="2"/>
  <c r="I2432" i="2"/>
  <c r="H2432" i="2"/>
  <c r="C2433" i="2"/>
  <c r="J2432" i="2" l="1"/>
  <c r="K2432" i="2" s="1"/>
  <c r="D2432" i="2"/>
  <c r="L2432" i="2"/>
  <c r="B2433" i="2"/>
  <c r="A2433" i="2"/>
  <c r="H2433" i="2"/>
  <c r="M2433" i="2"/>
  <c r="F2433" i="2"/>
  <c r="G2433" i="2"/>
  <c r="E2433" i="2"/>
  <c r="I2433" i="2"/>
  <c r="C2434" i="2"/>
  <c r="D2433" i="2" l="1"/>
  <c r="J2433" i="2"/>
  <c r="K2433" i="2" s="1"/>
  <c r="L2433" i="2"/>
  <c r="B2434" i="2"/>
  <c r="A2434" i="2"/>
  <c r="I2434" i="2"/>
  <c r="E2434" i="2"/>
  <c r="G2434" i="2"/>
  <c r="H2434" i="2"/>
  <c r="M2434" i="2"/>
  <c r="F2434" i="2"/>
  <c r="C2435" i="2"/>
  <c r="J2434" i="2" l="1"/>
  <c r="K2434" i="2" s="1"/>
  <c r="D2434" i="2"/>
  <c r="L2434" i="2"/>
  <c r="B2435" i="2"/>
  <c r="A2435" i="2"/>
  <c r="E2435" i="2"/>
  <c r="F2435" i="2"/>
  <c r="H2435" i="2"/>
  <c r="G2435" i="2"/>
  <c r="I2435" i="2"/>
  <c r="M2435" i="2"/>
  <c r="C2436" i="2"/>
  <c r="J2435" i="2" l="1"/>
  <c r="K2435" i="2" s="1"/>
  <c r="D2435" i="2"/>
  <c r="L2435" i="2"/>
  <c r="B2436" i="2"/>
  <c r="A2436" i="2"/>
  <c r="F2436" i="2"/>
  <c r="G2436" i="2"/>
  <c r="H2436" i="2"/>
  <c r="E2436" i="2"/>
  <c r="I2436" i="2"/>
  <c r="M2436" i="2"/>
  <c r="C2437" i="2"/>
  <c r="D2436" i="2" l="1"/>
  <c r="J2436" i="2"/>
  <c r="K2436" i="2" s="1"/>
  <c r="L2436" i="2"/>
  <c r="A2437" i="2"/>
  <c r="B2437" i="2"/>
  <c r="E2437" i="2"/>
  <c r="M2437" i="2"/>
  <c r="G2437" i="2"/>
  <c r="H2437" i="2"/>
  <c r="I2437" i="2"/>
  <c r="F2437" i="2"/>
  <c r="C2438" i="2"/>
  <c r="J2437" i="2" l="1"/>
  <c r="K2437" i="2" s="1"/>
  <c r="D2437" i="2"/>
  <c r="L2437" i="2"/>
  <c r="B2438" i="2"/>
  <c r="A2438" i="2"/>
  <c r="H2438" i="2"/>
  <c r="G2438" i="2"/>
  <c r="M2438" i="2"/>
  <c r="I2438" i="2"/>
  <c r="E2438" i="2"/>
  <c r="F2438" i="2"/>
  <c r="C2439" i="2"/>
  <c r="D2438" i="2" l="1"/>
  <c r="J2438" i="2"/>
  <c r="K2438" i="2" s="1"/>
  <c r="L2438" i="2"/>
  <c r="B2439" i="2"/>
  <c r="A2439" i="2"/>
  <c r="F2439" i="2"/>
  <c r="G2439" i="2"/>
  <c r="I2439" i="2"/>
  <c r="E2439" i="2"/>
  <c r="H2439" i="2"/>
  <c r="M2439" i="2"/>
  <c r="C2440" i="2"/>
  <c r="J2439" i="2" l="1"/>
  <c r="K2439" i="2" s="1"/>
  <c r="D2439" i="2"/>
  <c r="L2439" i="2"/>
  <c r="B2440" i="2"/>
  <c r="A2440" i="2"/>
  <c r="M2440" i="2"/>
  <c r="G2440" i="2"/>
  <c r="E2440" i="2"/>
  <c r="I2440" i="2"/>
  <c r="H2440" i="2"/>
  <c r="F2440" i="2"/>
  <c r="C2441" i="2"/>
  <c r="D2440" i="2" l="1"/>
  <c r="J2440" i="2"/>
  <c r="K2440" i="2" s="1"/>
  <c r="L2440" i="2"/>
  <c r="B2441" i="2"/>
  <c r="A2441" i="2"/>
  <c r="H2441" i="2"/>
  <c r="I2441" i="2"/>
  <c r="F2441" i="2"/>
  <c r="G2441" i="2"/>
  <c r="E2441" i="2"/>
  <c r="M2441" i="2"/>
  <c r="C2442" i="2"/>
  <c r="J2441" i="2" l="1"/>
  <c r="K2441" i="2" s="1"/>
  <c r="D2441" i="2"/>
  <c r="L2441" i="2"/>
  <c r="B2442" i="2"/>
  <c r="A2442" i="2"/>
  <c r="G2442" i="2"/>
  <c r="H2442" i="2"/>
  <c r="E2442" i="2"/>
  <c r="I2442" i="2"/>
  <c r="F2442" i="2"/>
  <c r="M2442" i="2"/>
  <c r="C2443" i="2"/>
  <c r="J2442" i="2" l="1"/>
  <c r="K2442" i="2" s="1"/>
  <c r="D2442" i="2"/>
  <c r="L2442" i="2"/>
  <c r="B2443" i="2"/>
  <c r="A2443" i="2"/>
  <c r="I2443" i="2"/>
  <c r="H2443" i="2"/>
  <c r="M2443" i="2"/>
  <c r="E2443" i="2"/>
  <c r="F2443" i="2"/>
  <c r="G2443" i="2"/>
  <c r="C2444" i="2"/>
  <c r="J2443" i="2" l="1"/>
  <c r="K2443" i="2" s="1"/>
  <c r="D2443" i="2"/>
  <c r="L2443" i="2"/>
  <c r="B2444" i="2"/>
  <c r="A2444" i="2"/>
  <c r="I2444" i="2"/>
  <c r="G2444" i="2"/>
  <c r="F2444" i="2"/>
  <c r="M2444" i="2"/>
  <c r="H2444" i="2"/>
  <c r="E2444" i="2"/>
  <c r="C2445" i="2"/>
  <c r="D2444" i="2" l="1"/>
  <c r="J2444" i="2"/>
  <c r="K2444" i="2" s="1"/>
  <c r="L2444" i="2"/>
  <c r="B2445" i="2"/>
  <c r="A2445" i="2"/>
  <c r="I2445" i="2"/>
  <c r="M2445" i="2"/>
  <c r="H2445" i="2"/>
  <c r="G2445" i="2"/>
  <c r="F2445" i="2"/>
  <c r="E2445" i="2"/>
  <c r="C2446" i="2"/>
  <c r="J2445" i="2" l="1"/>
  <c r="K2445" i="2" s="1"/>
  <c r="D2445" i="2"/>
  <c r="L2445" i="2"/>
  <c r="A2446" i="2"/>
  <c r="B2446" i="2"/>
  <c r="G2446" i="2"/>
  <c r="E2446" i="2"/>
  <c r="I2446" i="2"/>
  <c r="F2446" i="2"/>
  <c r="M2446" i="2"/>
  <c r="H2446" i="2"/>
  <c r="C2447" i="2"/>
  <c r="J2446" i="2" l="1"/>
  <c r="K2446" i="2" s="1"/>
  <c r="D2446" i="2"/>
  <c r="L2446" i="2"/>
  <c r="B2447" i="2"/>
  <c r="A2447" i="2"/>
  <c r="H2447" i="2"/>
  <c r="E2447" i="2"/>
  <c r="G2447" i="2"/>
  <c r="M2447" i="2"/>
  <c r="I2447" i="2"/>
  <c r="F2447" i="2"/>
  <c r="C2448" i="2"/>
  <c r="J2447" i="2" l="1"/>
  <c r="K2447" i="2" s="1"/>
  <c r="D2447" i="2"/>
  <c r="L2447" i="2"/>
  <c r="B2448" i="2"/>
  <c r="A2448" i="2"/>
  <c r="G2448" i="2"/>
  <c r="F2448" i="2"/>
  <c r="H2448" i="2"/>
  <c r="I2448" i="2"/>
  <c r="M2448" i="2"/>
  <c r="E2448" i="2"/>
  <c r="C2449" i="2"/>
  <c r="D2448" i="2" l="1"/>
  <c r="J2448" i="2"/>
  <c r="K2448" i="2" s="1"/>
  <c r="L2448" i="2"/>
  <c r="B2449" i="2"/>
  <c r="A2449" i="2"/>
  <c r="E2449" i="2"/>
  <c r="I2449" i="2"/>
  <c r="G2449" i="2"/>
  <c r="M2449" i="2"/>
  <c r="F2449" i="2"/>
  <c r="H2449" i="2"/>
  <c r="C2450" i="2"/>
  <c r="D2449" i="2" l="1"/>
  <c r="J2449" i="2"/>
  <c r="K2449" i="2" s="1"/>
  <c r="L2449" i="2"/>
  <c r="B2450" i="2"/>
  <c r="A2450" i="2"/>
  <c r="I2450" i="2"/>
  <c r="F2450" i="2"/>
  <c r="G2450" i="2"/>
  <c r="M2450" i="2"/>
  <c r="H2450" i="2"/>
  <c r="E2450" i="2"/>
  <c r="C2451" i="2"/>
  <c r="J2450" i="2" l="1"/>
  <c r="K2450" i="2" s="1"/>
  <c r="D2450" i="2"/>
  <c r="L2450" i="2"/>
  <c r="B2451" i="2"/>
  <c r="A2451" i="2"/>
  <c r="M2451" i="2"/>
  <c r="I2451" i="2"/>
  <c r="E2451" i="2"/>
  <c r="G2451" i="2"/>
  <c r="F2451" i="2"/>
  <c r="H2451" i="2"/>
  <c r="C2452" i="2"/>
  <c r="J2451" i="2" l="1"/>
  <c r="K2451" i="2" s="1"/>
  <c r="D2451" i="2"/>
  <c r="L2451" i="2"/>
  <c r="B2452" i="2"/>
  <c r="A2452" i="2"/>
  <c r="H2452" i="2"/>
  <c r="I2452" i="2"/>
  <c r="G2452" i="2"/>
  <c r="F2452" i="2"/>
  <c r="E2452" i="2"/>
  <c r="M2452" i="2"/>
  <c r="C2453" i="2"/>
  <c r="D2452" i="2" l="1"/>
  <c r="J2452" i="2"/>
  <c r="K2452" i="2" s="1"/>
  <c r="L2452" i="2"/>
  <c r="A2453" i="2"/>
  <c r="B2453" i="2"/>
  <c r="G2453" i="2"/>
  <c r="M2453" i="2"/>
  <c r="H2453" i="2"/>
  <c r="E2453" i="2"/>
  <c r="F2453" i="2"/>
  <c r="I2453" i="2"/>
  <c r="C2454" i="2"/>
  <c r="D2453" i="2" l="1"/>
  <c r="J2453" i="2"/>
  <c r="K2453" i="2" s="1"/>
  <c r="L2453" i="2"/>
  <c r="A2454" i="2"/>
  <c r="B2454" i="2"/>
  <c r="M2454" i="2"/>
  <c r="H2454" i="2"/>
  <c r="E2454" i="2"/>
  <c r="G2454" i="2"/>
  <c r="I2454" i="2"/>
  <c r="F2454" i="2"/>
  <c r="C2455" i="2"/>
  <c r="J2454" i="2" l="1"/>
  <c r="K2454" i="2" s="1"/>
  <c r="D2454" i="2"/>
  <c r="L2454" i="2"/>
  <c r="B2455" i="2"/>
  <c r="A2455" i="2"/>
  <c r="M2455" i="2"/>
  <c r="F2455" i="2"/>
  <c r="G2455" i="2"/>
  <c r="E2455" i="2"/>
  <c r="I2455" i="2"/>
  <c r="H2455" i="2"/>
  <c r="C2456" i="2"/>
  <c r="J2455" i="2" l="1"/>
  <c r="K2455" i="2" s="1"/>
  <c r="D2455" i="2"/>
  <c r="L2455" i="2"/>
  <c r="B2456" i="2"/>
  <c r="A2456" i="2"/>
  <c r="G2456" i="2"/>
  <c r="E2456" i="2"/>
  <c r="H2456" i="2"/>
  <c r="I2456" i="2"/>
  <c r="M2456" i="2"/>
  <c r="F2456" i="2"/>
  <c r="C2457" i="2"/>
  <c r="J2456" i="2" l="1"/>
  <c r="K2456" i="2" s="1"/>
  <c r="D2456" i="2"/>
  <c r="L2456" i="2"/>
  <c r="A2457" i="2"/>
  <c r="B2457" i="2"/>
  <c r="I2457" i="2"/>
  <c r="E2457" i="2"/>
  <c r="G2457" i="2"/>
  <c r="H2457" i="2"/>
  <c r="M2457" i="2"/>
  <c r="F2457" i="2"/>
  <c r="C2458" i="2"/>
  <c r="D2457" i="2" l="1"/>
  <c r="J2457" i="2"/>
  <c r="K2457" i="2" s="1"/>
  <c r="L2457" i="2"/>
  <c r="B2458" i="2"/>
  <c r="A2458" i="2"/>
  <c r="H2458" i="2"/>
  <c r="I2458" i="2"/>
  <c r="F2458" i="2"/>
  <c r="E2458" i="2"/>
  <c r="M2458" i="2"/>
  <c r="G2458" i="2"/>
  <c r="C2459" i="2"/>
  <c r="J2458" i="2" l="1"/>
  <c r="K2458" i="2" s="1"/>
  <c r="D2458" i="2"/>
  <c r="L2458" i="2"/>
  <c r="B2459" i="2"/>
  <c r="A2459" i="2"/>
  <c r="G2459" i="2"/>
  <c r="M2459" i="2"/>
  <c r="I2459" i="2"/>
  <c r="E2459" i="2"/>
  <c r="F2459" i="2"/>
  <c r="H2459" i="2"/>
  <c r="C2460" i="2"/>
  <c r="D2459" i="2" l="1"/>
  <c r="J2459" i="2"/>
  <c r="K2459" i="2" s="1"/>
  <c r="L2459" i="2"/>
  <c r="B2460" i="2"/>
  <c r="A2460" i="2"/>
  <c r="E2460" i="2"/>
  <c r="F2460" i="2"/>
  <c r="M2460" i="2"/>
  <c r="G2460" i="2"/>
  <c r="H2460" i="2"/>
  <c r="I2460" i="2"/>
  <c r="C2461" i="2"/>
  <c r="J2460" i="2" l="1"/>
  <c r="K2460" i="2" s="1"/>
  <c r="D2460" i="2"/>
  <c r="L2460" i="2"/>
  <c r="B2461" i="2"/>
  <c r="A2461" i="2"/>
  <c r="F2461" i="2"/>
  <c r="E2461" i="2"/>
  <c r="I2461" i="2"/>
  <c r="M2461" i="2"/>
  <c r="H2461" i="2"/>
  <c r="G2461" i="2"/>
  <c r="C2462" i="2"/>
  <c r="D2461" i="2" l="1"/>
  <c r="J2461" i="2"/>
  <c r="K2461" i="2" s="1"/>
  <c r="L2461" i="2"/>
  <c r="A2462" i="2"/>
  <c r="B2462" i="2"/>
  <c r="I2462" i="2"/>
  <c r="E2462" i="2"/>
  <c r="G2462" i="2"/>
  <c r="F2462" i="2"/>
  <c r="H2462" i="2"/>
  <c r="M2462" i="2"/>
  <c r="C2463" i="2"/>
  <c r="D2462" i="2" l="1"/>
  <c r="J2462" i="2"/>
  <c r="K2462" i="2" s="1"/>
  <c r="L2462" i="2"/>
  <c r="B2463" i="2"/>
  <c r="A2463" i="2"/>
  <c r="M2463" i="2"/>
  <c r="F2463" i="2"/>
  <c r="G2463" i="2"/>
  <c r="H2463" i="2"/>
  <c r="E2463" i="2"/>
  <c r="I2463" i="2"/>
  <c r="C2464" i="2"/>
  <c r="D2463" i="2" l="1"/>
  <c r="J2463" i="2"/>
  <c r="K2463" i="2" s="1"/>
  <c r="L2463" i="2"/>
  <c r="B2464" i="2"/>
  <c r="A2464" i="2"/>
  <c r="M2464" i="2"/>
  <c r="I2464" i="2"/>
  <c r="G2464" i="2"/>
  <c r="H2464" i="2"/>
  <c r="E2464" i="2"/>
  <c r="F2464" i="2"/>
  <c r="C2465" i="2"/>
  <c r="D2464" i="2" l="1"/>
  <c r="J2464" i="2"/>
  <c r="K2464" i="2" s="1"/>
  <c r="L2464" i="2"/>
  <c r="B2465" i="2"/>
  <c r="A2465" i="2"/>
  <c r="G2465" i="2"/>
  <c r="H2465" i="2"/>
  <c r="E2465" i="2"/>
  <c r="F2465" i="2"/>
  <c r="I2465" i="2"/>
  <c r="M2465" i="2"/>
  <c r="C2466" i="2"/>
  <c r="D2465" i="2" l="1"/>
  <c r="J2465" i="2"/>
  <c r="K2465" i="2" s="1"/>
  <c r="L2465" i="2"/>
  <c r="B2466" i="2"/>
  <c r="A2466" i="2"/>
  <c r="I2466" i="2"/>
  <c r="E2466" i="2"/>
  <c r="F2466" i="2"/>
  <c r="M2466" i="2"/>
  <c r="H2466" i="2"/>
  <c r="G2466" i="2"/>
  <c r="C2467" i="2"/>
  <c r="D2466" i="2" l="1"/>
  <c r="J2466" i="2"/>
  <c r="K2466" i="2" s="1"/>
  <c r="L2466" i="2"/>
  <c r="B2467" i="2"/>
  <c r="A2467" i="2"/>
  <c r="H2467" i="2"/>
  <c r="F2467" i="2"/>
  <c r="M2467" i="2"/>
  <c r="G2467" i="2"/>
  <c r="I2467" i="2"/>
  <c r="E2467" i="2"/>
  <c r="C2468" i="2"/>
  <c r="D2467" i="2" l="1"/>
  <c r="J2467" i="2"/>
  <c r="K2467" i="2" s="1"/>
  <c r="L2467" i="2"/>
  <c r="B2468" i="2"/>
  <c r="A2468" i="2"/>
  <c r="E2468" i="2"/>
  <c r="M2468" i="2"/>
  <c r="H2468" i="2"/>
  <c r="F2468" i="2"/>
  <c r="I2468" i="2"/>
  <c r="G2468" i="2"/>
  <c r="C2469" i="2"/>
  <c r="J2468" i="2" l="1"/>
  <c r="K2468" i="2" s="1"/>
  <c r="D2468" i="2"/>
  <c r="L2468" i="2"/>
  <c r="A2469" i="2"/>
  <c r="B2469" i="2"/>
  <c r="M2469" i="2"/>
  <c r="H2469" i="2"/>
  <c r="E2469" i="2"/>
  <c r="I2469" i="2"/>
  <c r="F2469" i="2"/>
  <c r="G2469" i="2"/>
  <c r="C2470" i="2"/>
  <c r="D2469" i="2" l="1"/>
  <c r="J2469" i="2"/>
  <c r="K2469" i="2" s="1"/>
  <c r="L2469" i="2"/>
  <c r="B2470" i="2"/>
  <c r="A2470" i="2"/>
  <c r="G2470" i="2"/>
  <c r="M2470" i="2"/>
  <c r="E2470" i="2"/>
  <c r="F2470" i="2"/>
  <c r="H2470" i="2"/>
  <c r="I2470" i="2"/>
  <c r="C2471" i="2"/>
  <c r="D2470" i="2" l="1"/>
  <c r="J2470" i="2"/>
  <c r="K2470" i="2" s="1"/>
  <c r="L2470" i="2"/>
  <c r="B2471" i="2"/>
  <c r="A2471" i="2"/>
  <c r="F2471" i="2"/>
  <c r="M2471" i="2"/>
  <c r="G2471" i="2"/>
  <c r="I2471" i="2"/>
  <c r="H2471" i="2"/>
  <c r="E2471" i="2"/>
  <c r="C2472" i="2"/>
  <c r="D2471" i="2" l="1"/>
  <c r="J2471" i="2"/>
  <c r="K2471" i="2" s="1"/>
  <c r="L2471" i="2"/>
  <c r="B2472" i="2"/>
  <c r="A2472" i="2"/>
  <c r="M2472" i="2"/>
  <c r="I2472" i="2"/>
  <c r="G2472" i="2"/>
  <c r="E2472" i="2"/>
  <c r="F2472" i="2"/>
  <c r="H2472" i="2"/>
  <c r="C2473" i="2"/>
  <c r="J2472" i="2" l="1"/>
  <c r="K2472" i="2" s="1"/>
  <c r="D2472" i="2"/>
  <c r="L2472" i="2"/>
  <c r="A2473" i="2"/>
  <c r="B2473" i="2"/>
  <c r="M2473" i="2"/>
  <c r="I2473" i="2"/>
  <c r="F2473" i="2"/>
  <c r="E2473" i="2"/>
  <c r="H2473" i="2"/>
  <c r="G2473" i="2"/>
  <c r="C2474" i="2"/>
  <c r="J2473" i="2" l="1"/>
  <c r="K2473" i="2" s="1"/>
  <c r="D2473" i="2"/>
  <c r="L2473" i="2"/>
  <c r="B2474" i="2"/>
  <c r="A2474" i="2"/>
  <c r="M2474" i="2"/>
  <c r="I2474" i="2"/>
  <c r="E2474" i="2"/>
  <c r="F2474" i="2"/>
  <c r="H2474" i="2"/>
  <c r="G2474" i="2"/>
  <c r="C2475" i="2"/>
  <c r="D2474" i="2" l="1"/>
  <c r="J2474" i="2"/>
  <c r="K2474" i="2" s="1"/>
  <c r="L2474" i="2"/>
  <c r="B2475" i="2"/>
  <c r="A2475" i="2"/>
  <c r="M2475" i="2"/>
  <c r="G2475" i="2"/>
  <c r="I2475" i="2"/>
  <c r="F2475" i="2"/>
  <c r="E2475" i="2"/>
  <c r="H2475" i="2"/>
  <c r="C2476" i="2"/>
  <c r="J2475" i="2" l="1"/>
  <c r="K2475" i="2" s="1"/>
  <c r="D2475" i="2"/>
  <c r="L2475" i="2"/>
  <c r="B2476" i="2"/>
  <c r="A2476" i="2"/>
  <c r="M2476" i="2"/>
  <c r="E2476" i="2"/>
  <c r="G2476" i="2"/>
  <c r="I2476" i="2"/>
  <c r="F2476" i="2"/>
  <c r="H2476" i="2"/>
  <c r="C2477" i="2"/>
  <c r="D2476" i="2" l="1"/>
  <c r="J2476" i="2"/>
  <c r="K2476" i="2" s="1"/>
  <c r="L2476" i="2"/>
  <c r="B2477" i="2"/>
  <c r="A2477" i="2"/>
  <c r="I2477" i="2"/>
  <c r="M2477" i="2"/>
  <c r="G2477" i="2"/>
  <c r="F2477" i="2"/>
  <c r="E2477" i="2"/>
  <c r="H2477" i="2"/>
  <c r="C2478" i="2"/>
  <c r="J2477" i="2" l="1"/>
  <c r="K2477" i="2" s="1"/>
  <c r="D2477" i="2"/>
  <c r="L2477" i="2"/>
  <c r="A2478" i="2"/>
  <c r="B2478" i="2"/>
  <c r="I2478" i="2"/>
  <c r="G2478" i="2"/>
  <c r="F2478" i="2"/>
  <c r="M2478" i="2"/>
  <c r="E2478" i="2"/>
  <c r="H2478" i="2"/>
  <c r="C2479" i="2"/>
  <c r="J2478" i="2" l="1"/>
  <c r="K2478" i="2" s="1"/>
  <c r="D2478" i="2"/>
  <c r="L2478" i="2"/>
  <c r="B2479" i="2"/>
  <c r="A2479" i="2"/>
  <c r="F2479" i="2"/>
  <c r="I2479" i="2"/>
  <c r="G2479" i="2"/>
  <c r="H2479" i="2"/>
  <c r="E2479" i="2"/>
  <c r="M2479" i="2"/>
  <c r="C2480" i="2"/>
  <c r="D2479" i="2" l="1"/>
  <c r="J2479" i="2"/>
  <c r="K2479" i="2" s="1"/>
  <c r="L2479" i="2"/>
  <c r="B2480" i="2"/>
  <c r="A2480" i="2"/>
  <c r="M2480" i="2"/>
  <c r="I2480" i="2"/>
  <c r="H2480" i="2"/>
  <c r="F2480" i="2"/>
  <c r="E2480" i="2"/>
  <c r="G2480" i="2"/>
  <c r="C2481" i="2"/>
  <c r="J2480" i="2" l="1"/>
  <c r="K2480" i="2" s="1"/>
  <c r="D2480" i="2"/>
  <c r="L2480" i="2"/>
  <c r="B2481" i="2"/>
  <c r="A2481" i="2"/>
  <c r="I2481" i="2"/>
  <c r="E2481" i="2"/>
  <c r="M2481" i="2"/>
  <c r="G2481" i="2"/>
  <c r="H2481" i="2"/>
  <c r="F2481" i="2"/>
  <c r="C2482" i="2"/>
  <c r="D2481" i="2" l="1"/>
  <c r="J2481" i="2"/>
  <c r="K2481" i="2" s="1"/>
  <c r="L2481" i="2"/>
  <c r="A2482" i="2"/>
  <c r="B2482" i="2"/>
  <c r="F2482" i="2"/>
  <c r="H2482" i="2"/>
  <c r="M2482" i="2"/>
  <c r="E2482" i="2"/>
  <c r="I2482" i="2"/>
  <c r="G2482" i="2"/>
  <c r="C2483" i="2"/>
  <c r="D2482" i="2" l="1"/>
  <c r="J2482" i="2"/>
  <c r="K2482" i="2" s="1"/>
  <c r="L2482" i="2"/>
  <c r="B2483" i="2"/>
  <c r="A2483" i="2"/>
  <c r="E2483" i="2"/>
  <c r="H2483" i="2"/>
  <c r="M2483" i="2"/>
  <c r="G2483" i="2"/>
  <c r="F2483" i="2"/>
  <c r="I2483" i="2"/>
  <c r="C2484" i="2"/>
  <c r="D2483" i="2" l="1"/>
  <c r="J2483" i="2"/>
  <c r="K2483" i="2" s="1"/>
  <c r="L2483" i="2"/>
  <c r="B2484" i="2"/>
  <c r="A2484" i="2"/>
  <c r="F2484" i="2"/>
  <c r="M2484" i="2"/>
  <c r="E2484" i="2"/>
  <c r="G2484" i="2"/>
  <c r="I2484" i="2"/>
  <c r="H2484" i="2"/>
  <c r="C2485" i="2"/>
  <c r="J2484" i="2" l="1"/>
  <c r="K2484" i="2" s="1"/>
  <c r="D2484" i="2"/>
  <c r="L2484" i="2"/>
  <c r="A2485" i="2"/>
  <c r="B2485" i="2"/>
  <c r="I2485" i="2"/>
  <c r="H2485" i="2"/>
  <c r="E2485" i="2"/>
  <c r="M2485" i="2"/>
  <c r="G2485" i="2"/>
  <c r="F2485" i="2"/>
  <c r="C2486" i="2"/>
  <c r="J2485" i="2" l="1"/>
  <c r="K2485" i="2" s="1"/>
  <c r="D2485" i="2"/>
  <c r="L2485" i="2"/>
  <c r="B2486" i="2"/>
  <c r="A2486" i="2"/>
  <c r="F2486" i="2"/>
  <c r="M2486" i="2"/>
  <c r="H2486" i="2"/>
  <c r="G2486" i="2"/>
  <c r="I2486" i="2"/>
  <c r="E2486" i="2"/>
  <c r="C2487" i="2"/>
  <c r="D2486" i="2" l="1"/>
  <c r="J2486" i="2"/>
  <c r="K2486" i="2" s="1"/>
  <c r="L2486" i="2"/>
  <c r="B2487" i="2"/>
  <c r="A2487" i="2"/>
  <c r="F2487" i="2"/>
  <c r="E2487" i="2"/>
  <c r="I2487" i="2"/>
  <c r="G2487" i="2"/>
  <c r="M2487" i="2"/>
  <c r="H2487" i="2"/>
  <c r="C2488" i="2"/>
  <c r="J2487" i="2" l="1"/>
  <c r="K2487" i="2" s="1"/>
  <c r="D2487" i="2"/>
  <c r="L2487" i="2"/>
  <c r="B2488" i="2"/>
  <c r="A2488" i="2"/>
  <c r="E2488" i="2"/>
  <c r="I2488" i="2"/>
  <c r="G2488" i="2"/>
  <c r="M2488" i="2"/>
  <c r="H2488" i="2"/>
  <c r="F2488" i="2"/>
  <c r="C2489" i="2"/>
  <c r="J2488" i="2" l="1"/>
  <c r="K2488" i="2" s="1"/>
  <c r="D2488" i="2"/>
  <c r="L2488" i="2"/>
  <c r="B2489" i="2"/>
  <c r="A2489" i="2"/>
  <c r="M2489" i="2"/>
  <c r="E2489" i="2"/>
  <c r="I2489" i="2"/>
  <c r="G2489" i="2"/>
  <c r="F2489" i="2"/>
  <c r="H2489" i="2"/>
  <c r="C2490" i="2"/>
  <c r="D2489" i="2" l="1"/>
  <c r="J2489" i="2"/>
  <c r="K2489" i="2" s="1"/>
  <c r="L2489" i="2"/>
  <c r="B2490" i="2"/>
  <c r="A2490" i="2"/>
  <c r="F2490" i="2"/>
  <c r="G2490" i="2"/>
  <c r="I2490" i="2"/>
  <c r="E2490" i="2"/>
  <c r="H2490" i="2"/>
  <c r="M2490" i="2"/>
  <c r="C2491" i="2"/>
  <c r="D2490" i="2" l="1"/>
  <c r="J2490" i="2"/>
  <c r="K2490" i="2" s="1"/>
  <c r="L2490" i="2"/>
  <c r="B2491" i="2"/>
  <c r="A2491" i="2"/>
  <c r="H2491" i="2"/>
  <c r="M2491" i="2"/>
  <c r="I2491" i="2"/>
  <c r="G2491" i="2"/>
  <c r="E2491" i="2"/>
  <c r="F2491" i="2"/>
  <c r="C2492" i="2"/>
  <c r="D2491" i="2" l="1"/>
  <c r="J2491" i="2"/>
  <c r="K2491" i="2" s="1"/>
  <c r="L2491" i="2"/>
  <c r="B2492" i="2"/>
  <c r="A2492" i="2"/>
  <c r="F2492" i="2"/>
  <c r="M2492" i="2"/>
  <c r="I2492" i="2"/>
  <c r="E2492" i="2"/>
  <c r="H2492" i="2"/>
  <c r="G2492" i="2"/>
  <c r="C2493" i="2"/>
  <c r="D2492" i="2" l="1"/>
  <c r="J2492" i="2"/>
  <c r="K2492" i="2" s="1"/>
  <c r="L2492" i="2"/>
  <c r="A2493" i="2"/>
  <c r="B2493" i="2"/>
  <c r="E2493" i="2"/>
  <c r="M2493" i="2"/>
  <c r="H2493" i="2"/>
  <c r="F2493" i="2"/>
  <c r="I2493" i="2"/>
  <c r="G2493" i="2"/>
  <c r="C2494" i="2"/>
  <c r="D2493" i="2" l="1"/>
  <c r="J2493" i="2"/>
  <c r="K2493" i="2" s="1"/>
  <c r="L2493" i="2"/>
  <c r="A2494" i="2"/>
  <c r="B2494" i="2"/>
  <c r="H2494" i="2"/>
  <c r="E2494" i="2"/>
  <c r="M2494" i="2"/>
  <c r="I2494" i="2"/>
  <c r="G2494" i="2"/>
  <c r="F2494" i="2"/>
  <c r="C2495" i="2"/>
  <c r="J2494" i="2" l="1"/>
  <c r="K2494" i="2" s="1"/>
  <c r="D2494" i="2"/>
  <c r="L2494" i="2"/>
  <c r="B2495" i="2"/>
  <c r="A2495" i="2"/>
  <c r="G2495" i="2"/>
  <c r="E2495" i="2"/>
  <c r="I2495" i="2"/>
  <c r="F2495" i="2"/>
  <c r="H2495" i="2"/>
  <c r="M2495" i="2"/>
  <c r="C2496" i="2"/>
  <c r="D2495" i="2" l="1"/>
  <c r="J2495" i="2"/>
  <c r="K2495" i="2" s="1"/>
  <c r="L2495" i="2"/>
  <c r="B2496" i="2"/>
  <c r="A2496" i="2"/>
  <c r="I2496" i="2"/>
  <c r="F2496" i="2"/>
  <c r="M2496" i="2"/>
  <c r="G2496" i="2"/>
  <c r="E2496" i="2"/>
  <c r="H2496" i="2"/>
  <c r="C2497" i="2"/>
  <c r="J2496" i="2" l="1"/>
  <c r="K2496" i="2" s="1"/>
  <c r="D2496" i="2"/>
  <c r="L2496" i="2"/>
  <c r="B2497" i="2"/>
  <c r="A2497" i="2"/>
  <c r="G2497" i="2"/>
  <c r="H2497" i="2"/>
  <c r="I2497" i="2"/>
  <c r="M2497" i="2"/>
  <c r="E2497" i="2"/>
  <c r="F2497" i="2"/>
  <c r="C2498" i="2"/>
  <c r="D2497" i="2" l="1"/>
  <c r="J2497" i="2"/>
  <c r="K2497" i="2" s="1"/>
  <c r="L2497" i="2"/>
  <c r="A2498" i="2"/>
  <c r="B2498" i="2"/>
  <c r="M2498" i="2"/>
  <c r="H2498" i="2"/>
  <c r="G2498" i="2"/>
  <c r="E2498" i="2"/>
  <c r="F2498" i="2"/>
  <c r="I2498" i="2"/>
  <c r="C2499" i="2"/>
  <c r="D2498" i="2" l="1"/>
  <c r="J2498" i="2"/>
  <c r="K2498" i="2" s="1"/>
  <c r="L2498" i="2"/>
  <c r="B2499" i="2"/>
  <c r="A2499" i="2"/>
  <c r="F2499" i="2"/>
  <c r="M2499" i="2"/>
  <c r="G2499" i="2"/>
  <c r="H2499" i="2"/>
  <c r="E2499" i="2"/>
  <c r="I2499" i="2"/>
  <c r="C2500" i="2"/>
  <c r="J2499" i="2" l="1"/>
  <c r="K2499" i="2" s="1"/>
  <c r="D2499" i="2"/>
  <c r="L2499" i="2"/>
  <c r="B2500" i="2"/>
  <c r="A2500" i="2"/>
  <c r="E2500" i="2"/>
  <c r="G2500" i="2"/>
  <c r="F2500" i="2"/>
  <c r="M2500" i="2"/>
  <c r="I2500" i="2"/>
  <c r="H2500" i="2"/>
  <c r="C2501" i="2"/>
  <c r="J2500" i="2" l="1"/>
  <c r="K2500" i="2" s="1"/>
  <c r="D2500" i="2"/>
  <c r="L2500" i="2"/>
  <c r="A2501" i="2"/>
  <c r="B2501" i="2"/>
  <c r="M2501" i="2"/>
  <c r="F2501" i="2"/>
  <c r="G2501" i="2"/>
  <c r="E2501" i="2"/>
  <c r="H2501" i="2"/>
  <c r="I2501" i="2"/>
  <c r="C2502" i="2"/>
  <c r="D2501" i="2" l="1"/>
  <c r="J2501" i="2"/>
  <c r="K2501" i="2" s="1"/>
  <c r="L2501" i="2"/>
  <c r="B2502" i="2"/>
  <c r="A2502" i="2"/>
  <c r="G2502" i="2"/>
  <c r="E2502" i="2"/>
  <c r="F2502" i="2"/>
  <c r="M2502" i="2"/>
  <c r="I2502" i="2"/>
  <c r="H2502" i="2"/>
  <c r="C2503" i="2"/>
  <c r="J2502" i="2" l="1"/>
  <c r="K2502" i="2" s="1"/>
  <c r="D2502" i="2"/>
  <c r="L2502" i="2"/>
  <c r="B2503" i="2"/>
  <c r="A2503" i="2"/>
  <c r="F2503" i="2"/>
  <c r="H2503" i="2"/>
  <c r="I2503" i="2"/>
  <c r="E2503" i="2"/>
  <c r="M2503" i="2"/>
  <c r="G2503" i="2"/>
  <c r="C2504" i="2"/>
  <c r="D2503" i="2" l="1"/>
  <c r="J2503" i="2"/>
  <c r="K2503" i="2" s="1"/>
  <c r="L2503" i="2"/>
  <c r="B2504" i="2"/>
  <c r="A2504" i="2"/>
  <c r="G2504" i="2"/>
  <c r="I2504" i="2"/>
  <c r="M2504" i="2"/>
  <c r="H2504" i="2"/>
  <c r="E2504" i="2"/>
  <c r="F2504" i="2"/>
  <c r="C2505" i="2"/>
  <c r="D2504" i="2" l="1"/>
  <c r="J2504" i="2"/>
  <c r="K2504" i="2" s="1"/>
  <c r="L2504" i="2"/>
  <c r="A2505" i="2"/>
  <c r="B2505" i="2"/>
  <c r="H2505" i="2"/>
  <c r="G2505" i="2"/>
  <c r="M2505" i="2"/>
  <c r="I2505" i="2"/>
  <c r="E2505" i="2"/>
  <c r="F2505" i="2"/>
  <c r="L2505" i="2" l="1"/>
  <c r="J2505" i="2"/>
  <c r="K2505" i="2" s="1"/>
  <c r="D2505" i="2"/>
  <c r="C2506" i="2"/>
  <c r="A2506" i="2" l="1"/>
  <c r="B2506" i="2"/>
  <c r="G2506" i="2"/>
  <c r="I2506" i="2"/>
  <c r="E2506" i="2"/>
  <c r="H2506" i="2"/>
  <c r="M2506" i="2"/>
  <c r="F2506" i="2"/>
  <c r="L2506" i="2" l="1"/>
  <c r="J2506" i="2"/>
  <c r="K2506" i="2" s="1"/>
  <c r="D2506" i="2"/>
  <c r="C2507" i="2"/>
  <c r="B2507" i="2" l="1"/>
  <c r="A2507" i="2"/>
  <c r="M2507" i="2"/>
  <c r="H2507" i="2"/>
  <c r="F2507" i="2"/>
  <c r="I2507" i="2"/>
  <c r="G2507" i="2"/>
  <c r="E2507" i="2"/>
  <c r="C2508" i="2"/>
  <c r="L2507" i="2" l="1"/>
  <c r="D2507" i="2"/>
  <c r="J2507" i="2"/>
  <c r="K2507" i="2" s="1"/>
  <c r="B2508" i="2"/>
  <c r="A2508" i="2"/>
  <c r="I2508" i="2"/>
  <c r="F2508" i="2"/>
  <c r="E2508" i="2"/>
  <c r="G2508" i="2"/>
  <c r="H2508" i="2"/>
  <c r="M2508" i="2"/>
  <c r="C2509" i="2"/>
  <c r="L2508" i="2" l="1"/>
  <c r="D2508" i="2"/>
  <c r="J2508" i="2"/>
  <c r="K2508" i="2" s="1"/>
  <c r="A2509" i="2"/>
  <c r="B2509" i="2"/>
  <c r="I2509" i="2"/>
  <c r="F2509" i="2"/>
  <c r="E2509" i="2"/>
  <c r="M2509" i="2"/>
  <c r="H2509" i="2"/>
  <c r="G2509" i="2"/>
  <c r="L2509" i="2" l="1"/>
  <c r="D2509" i="2"/>
  <c r="J2509" i="2"/>
  <c r="K2509" i="2" s="1"/>
  <c r="C2510" i="2"/>
  <c r="B2510" i="2" l="1"/>
  <c r="A2510" i="2"/>
  <c r="H2510" i="2"/>
  <c r="F2510" i="2"/>
  <c r="G2510" i="2"/>
  <c r="E2510" i="2"/>
  <c r="I2510" i="2"/>
  <c r="M2510" i="2"/>
  <c r="C2511" i="2"/>
  <c r="L2510" i="2" l="1"/>
  <c r="D2510" i="2"/>
  <c r="J2510" i="2"/>
  <c r="K2510" i="2" s="1"/>
  <c r="A2511" i="2"/>
  <c r="B2511" i="2"/>
  <c r="I2511" i="2"/>
  <c r="M2511" i="2"/>
  <c r="G2511" i="2"/>
  <c r="E2511" i="2"/>
  <c r="H2511" i="2"/>
  <c r="F2511" i="2"/>
  <c r="L2511" i="2" l="1"/>
  <c r="D2511" i="2"/>
  <c r="J2511" i="2"/>
  <c r="K2511" i="2" s="1"/>
  <c r="C2512" i="2"/>
  <c r="A2512" i="2" l="1"/>
  <c r="B2512" i="2"/>
  <c r="M2512" i="2"/>
  <c r="I2512" i="2"/>
  <c r="H2512" i="2"/>
  <c r="G2512" i="2"/>
  <c r="F2512" i="2"/>
  <c r="E2512" i="2"/>
  <c r="C2513" i="2"/>
  <c r="L2512" i="2" l="1"/>
  <c r="D2512" i="2"/>
  <c r="J2512" i="2"/>
  <c r="K2512" i="2" s="1"/>
  <c r="A2513" i="2"/>
  <c r="B2513" i="2"/>
  <c r="H2513" i="2"/>
  <c r="F2513" i="2"/>
  <c r="E2513" i="2"/>
  <c r="G2513" i="2"/>
  <c r="I2513" i="2"/>
  <c r="M2513" i="2"/>
  <c r="L2513" i="2" l="1"/>
  <c r="J2513" i="2"/>
  <c r="K2513" i="2" s="1"/>
  <c r="D2513" i="2"/>
  <c r="C2514" i="2"/>
  <c r="A2514" i="2" l="1"/>
  <c r="B2514" i="2"/>
  <c r="I2514" i="2"/>
  <c r="M2514" i="2"/>
  <c r="G2514" i="2"/>
  <c r="F2514" i="2"/>
  <c r="H2514" i="2"/>
  <c r="E2514" i="2"/>
  <c r="C2515" i="2"/>
  <c r="L2514" i="2" l="1"/>
  <c r="J2514" i="2"/>
  <c r="K2514" i="2" s="1"/>
  <c r="D2514" i="2"/>
  <c r="A2515" i="2"/>
  <c r="B2515" i="2"/>
  <c r="H2515" i="2"/>
  <c r="F2515" i="2"/>
  <c r="G2515" i="2"/>
  <c r="I2515" i="2"/>
  <c r="E2515" i="2"/>
  <c r="M2515" i="2"/>
  <c r="L2515" i="2" l="1"/>
  <c r="D2515" i="2"/>
  <c r="J2515" i="2"/>
  <c r="K2515" i="2" s="1"/>
  <c r="C2516" i="2"/>
  <c r="B2516" i="2" l="1"/>
  <c r="A2516" i="2"/>
  <c r="M2516" i="2"/>
  <c r="E2516" i="2"/>
  <c r="I2516" i="2"/>
  <c r="G2516" i="2"/>
  <c r="F2516" i="2"/>
  <c r="H2516" i="2"/>
  <c r="L2516" i="2" l="1"/>
  <c r="D2516" i="2"/>
  <c r="J2516" i="2"/>
  <c r="K2516" i="2" s="1"/>
  <c r="C2517" i="2"/>
  <c r="A2517" i="2" l="1"/>
  <c r="B2517" i="2"/>
  <c r="F2517" i="2"/>
  <c r="I2517" i="2"/>
  <c r="H2517" i="2"/>
  <c r="G2517" i="2"/>
  <c r="E2517" i="2"/>
  <c r="M2517" i="2"/>
  <c r="C2518" i="2"/>
  <c r="L2517" i="2" l="1"/>
  <c r="J2517" i="2"/>
  <c r="K2517" i="2" s="1"/>
  <c r="D2517" i="2"/>
  <c r="A2518" i="2"/>
  <c r="B2518" i="2"/>
  <c r="I2518" i="2"/>
  <c r="E2518" i="2"/>
  <c r="M2518" i="2"/>
  <c r="G2518" i="2"/>
  <c r="H2518" i="2"/>
  <c r="F2518" i="2"/>
  <c r="L2518" i="2" l="1"/>
  <c r="J2518" i="2"/>
  <c r="K2518" i="2" s="1"/>
  <c r="D2518" i="2"/>
  <c r="C2519" i="2"/>
  <c r="B2519" i="2" l="1"/>
  <c r="A2519" i="2"/>
  <c r="G2519" i="2"/>
  <c r="H2519" i="2"/>
  <c r="F2519" i="2"/>
  <c r="I2519" i="2"/>
  <c r="M2519" i="2"/>
  <c r="E2519" i="2"/>
  <c r="L2519" i="2" l="1"/>
  <c r="D2519" i="2"/>
  <c r="J2519" i="2"/>
  <c r="K2519" i="2" s="1"/>
  <c r="C2520" i="2"/>
  <c r="A2520" i="2" l="1"/>
  <c r="B2520" i="2"/>
  <c r="F2520" i="2"/>
  <c r="I2520" i="2"/>
  <c r="E2520" i="2"/>
  <c r="M2520" i="2"/>
  <c r="H2520" i="2"/>
  <c r="G2520" i="2"/>
  <c r="L2520" i="2" l="1"/>
  <c r="J2520" i="2"/>
  <c r="K2520" i="2" s="1"/>
  <c r="D2520" i="2"/>
  <c r="C2521" i="2"/>
  <c r="A2521" i="2" l="1"/>
  <c r="B2521" i="2"/>
  <c r="H2521" i="2"/>
  <c r="G2521" i="2"/>
  <c r="F2521" i="2"/>
  <c r="E2521" i="2"/>
  <c r="I2521" i="2"/>
  <c r="M2521" i="2"/>
  <c r="C2522" i="2"/>
  <c r="L2521" i="2" l="1"/>
  <c r="J2521" i="2"/>
  <c r="K2521" i="2" s="1"/>
  <c r="D2521" i="2"/>
  <c r="A2522" i="2"/>
  <c r="B2522" i="2"/>
  <c r="I2522" i="2"/>
  <c r="G2522" i="2"/>
  <c r="E2522" i="2"/>
  <c r="H2522" i="2"/>
  <c r="F2522" i="2"/>
  <c r="M2522" i="2"/>
  <c r="L2522" i="2" l="1"/>
  <c r="J2522" i="2"/>
  <c r="K2522" i="2" s="1"/>
  <c r="D2522" i="2"/>
  <c r="C2523" i="2"/>
  <c r="A2523" i="2" l="1"/>
  <c r="B2523" i="2"/>
  <c r="H2523" i="2"/>
  <c r="M2523" i="2"/>
  <c r="E2523" i="2"/>
  <c r="I2523" i="2"/>
  <c r="F2523" i="2"/>
  <c r="G2523" i="2"/>
  <c r="C2524" i="2"/>
  <c r="L2523" i="2" l="1"/>
  <c r="D2523" i="2"/>
  <c r="J2523" i="2"/>
  <c r="K2523" i="2" s="1"/>
  <c r="B2524" i="2"/>
  <c r="A2524" i="2"/>
  <c r="G2524" i="2"/>
  <c r="F2524" i="2"/>
  <c r="E2524" i="2"/>
  <c r="H2524" i="2"/>
  <c r="M2524" i="2"/>
  <c r="I2524" i="2"/>
  <c r="L2524" i="2" l="1"/>
  <c r="J2524" i="2"/>
  <c r="K2524" i="2" s="1"/>
  <c r="D2524" i="2"/>
  <c r="C2525" i="2"/>
  <c r="A2525" i="2" l="1"/>
  <c r="B2525" i="2"/>
  <c r="I2525" i="2"/>
  <c r="G2525" i="2"/>
  <c r="F2525" i="2"/>
  <c r="M2525" i="2"/>
  <c r="E2525" i="2"/>
  <c r="H2525" i="2"/>
  <c r="L2525" i="2" l="1"/>
  <c r="J2525" i="2"/>
  <c r="K2525" i="2" s="1"/>
  <c r="D2525" i="2"/>
  <c r="C2526" i="2"/>
  <c r="A2526" i="2" l="1"/>
  <c r="B2526" i="2"/>
  <c r="E2526" i="2"/>
  <c r="H2526" i="2"/>
  <c r="M2526" i="2"/>
  <c r="F2526" i="2"/>
  <c r="I2526" i="2"/>
  <c r="G2526" i="2"/>
  <c r="L2526" i="2" l="1"/>
  <c r="D2526" i="2"/>
  <c r="J2526" i="2"/>
  <c r="K2526" i="2" s="1"/>
  <c r="C2527" i="2"/>
  <c r="A2527" i="2" l="1"/>
  <c r="B2527" i="2"/>
  <c r="E2527" i="2"/>
  <c r="I2527" i="2"/>
  <c r="H2527" i="2"/>
  <c r="F2527" i="2"/>
  <c r="G2527" i="2"/>
  <c r="M2527" i="2"/>
  <c r="C2528" i="2"/>
  <c r="L2527" i="2" l="1"/>
  <c r="D2527" i="2"/>
  <c r="J2527" i="2"/>
  <c r="K2527" i="2" s="1"/>
  <c r="B2528" i="2"/>
  <c r="A2528" i="2"/>
  <c r="H2528" i="2"/>
  <c r="I2528" i="2"/>
  <c r="G2528" i="2"/>
  <c r="F2528" i="2"/>
  <c r="M2528" i="2"/>
  <c r="E2528" i="2"/>
  <c r="C2529" i="2"/>
  <c r="L2528" i="2" l="1"/>
  <c r="D2528" i="2"/>
  <c r="J2528" i="2"/>
  <c r="K2528" i="2" s="1"/>
  <c r="A2529" i="2"/>
  <c r="B2529" i="2"/>
  <c r="E2529" i="2"/>
  <c r="I2529" i="2"/>
  <c r="M2529" i="2"/>
  <c r="F2529" i="2"/>
  <c r="G2529" i="2"/>
  <c r="H2529" i="2"/>
  <c r="C2530" i="2"/>
  <c r="L2529" i="2" l="1"/>
  <c r="J2529" i="2"/>
  <c r="K2529" i="2" s="1"/>
  <c r="D2529" i="2"/>
  <c r="B2530" i="2"/>
  <c r="A2530" i="2"/>
  <c r="H2530" i="2"/>
  <c r="E2530" i="2"/>
  <c r="M2530" i="2"/>
  <c r="G2530" i="2"/>
  <c r="I2530" i="2"/>
  <c r="F2530" i="2"/>
  <c r="C2531" i="2"/>
  <c r="L2530" i="2" l="1"/>
  <c r="J2530" i="2"/>
  <c r="K2530" i="2" s="1"/>
  <c r="D2530" i="2"/>
  <c r="A2531" i="2"/>
  <c r="B2531" i="2"/>
  <c r="I2531" i="2"/>
  <c r="H2531" i="2"/>
  <c r="G2531" i="2"/>
  <c r="M2531" i="2"/>
  <c r="F2531" i="2"/>
  <c r="E2531" i="2"/>
  <c r="L2531" i="2" l="1"/>
  <c r="D2531" i="2"/>
  <c r="J2531" i="2"/>
  <c r="K2531" i="2" s="1"/>
  <c r="C2532" i="2"/>
  <c r="B2532" i="2" l="1"/>
  <c r="A2532" i="2"/>
  <c r="H2532" i="2"/>
  <c r="M2532" i="2"/>
  <c r="F2532" i="2"/>
  <c r="G2532" i="2"/>
  <c r="I2532" i="2"/>
  <c r="E2532" i="2"/>
  <c r="C2533" i="2"/>
  <c r="L2532" i="2" l="1"/>
  <c r="J2532" i="2"/>
  <c r="K2532" i="2" s="1"/>
  <c r="D2532" i="2"/>
  <c r="A2533" i="2"/>
  <c r="B2533" i="2"/>
  <c r="E2533" i="2"/>
  <c r="G2533" i="2"/>
  <c r="H2533" i="2"/>
  <c r="I2533" i="2"/>
  <c r="M2533" i="2"/>
  <c r="F2533" i="2"/>
  <c r="L2533" i="2" l="1"/>
  <c r="J2533" i="2"/>
  <c r="K2533" i="2" s="1"/>
  <c r="D2533" i="2"/>
  <c r="C2534" i="2"/>
  <c r="A2534" i="2" l="1"/>
  <c r="B2534" i="2"/>
  <c r="G2534" i="2"/>
  <c r="M2534" i="2"/>
  <c r="F2534" i="2"/>
  <c r="H2534" i="2"/>
  <c r="E2534" i="2"/>
  <c r="I2534" i="2"/>
  <c r="L2534" i="2" l="1"/>
  <c r="J2534" i="2"/>
  <c r="K2534" i="2" s="1"/>
  <c r="D2534" i="2"/>
  <c r="C2535" i="2"/>
  <c r="A2535" i="2" l="1"/>
  <c r="B2535" i="2"/>
  <c r="H2535" i="2"/>
  <c r="E2535" i="2"/>
  <c r="I2535" i="2"/>
  <c r="M2535" i="2"/>
  <c r="G2535" i="2"/>
  <c r="F2535" i="2"/>
  <c r="L2535" i="2" l="1"/>
  <c r="D2535" i="2"/>
  <c r="J2535" i="2"/>
  <c r="K2535" i="2" s="1"/>
  <c r="C2536" i="2"/>
  <c r="B2536" i="2" l="1"/>
  <c r="A2536" i="2"/>
  <c r="G2536" i="2"/>
  <c r="M2536" i="2"/>
  <c r="E2536" i="2"/>
  <c r="I2536" i="2"/>
  <c r="H2536" i="2"/>
  <c r="F2536" i="2"/>
  <c r="C2537" i="2"/>
  <c r="L2536" i="2" l="1"/>
  <c r="D2536" i="2"/>
  <c r="J2536" i="2"/>
  <c r="K2536" i="2" s="1"/>
  <c r="A2537" i="2"/>
  <c r="B2537" i="2"/>
  <c r="F2537" i="2"/>
  <c r="M2537" i="2"/>
  <c r="E2537" i="2"/>
  <c r="G2537" i="2"/>
  <c r="I2537" i="2"/>
  <c r="H2537" i="2"/>
  <c r="L2537" i="2" l="1"/>
  <c r="J2537" i="2"/>
  <c r="K2537" i="2" s="1"/>
  <c r="D2537" i="2"/>
  <c r="C2538" i="2"/>
  <c r="B2538" i="2" l="1"/>
  <c r="A2538" i="2"/>
  <c r="E2538" i="2"/>
  <c r="F2538" i="2"/>
  <c r="G2538" i="2"/>
  <c r="I2538" i="2"/>
  <c r="M2538" i="2"/>
  <c r="H2538" i="2"/>
  <c r="C2539" i="2"/>
  <c r="L2538" i="2" l="1"/>
  <c r="J2538" i="2"/>
  <c r="K2538" i="2" s="1"/>
  <c r="D2538" i="2"/>
  <c r="B2539" i="2"/>
  <c r="A2539" i="2"/>
  <c r="F2539" i="2"/>
  <c r="I2539" i="2"/>
  <c r="G2539" i="2"/>
  <c r="M2539" i="2"/>
  <c r="H2539" i="2"/>
  <c r="E2539" i="2"/>
  <c r="C2540" i="2"/>
  <c r="L2539" i="2" l="1"/>
  <c r="D2539" i="2"/>
  <c r="J2539" i="2"/>
  <c r="K2539" i="2" s="1"/>
  <c r="B2540" i="2"/>
  <c r="A2540" i="2"/>
  <c r="F2540" i="2"/>
  <c r="E2540" i="2"/>
  <c r="H2540" i="2"/>
  <c r="I2540" i="2"/>
  <c r="G2540" i="2"/>
  <c r="M2540" i="2"/>
  <c r="L2540" i="2" l="1"/>
  <c r="J2540" i="2"/>
  <c r="K2540" i="2" s="1"/>
  <c r="D2540" i="2"/>
  <c r="C2541" i="2"/>
  <c r="A2541" i="2" l="1"/>
  <c r="B2541" i="2"/>
  <c r="E2541" i="2"/>
  <c r="M2541" i="2"/>
  <c r="G2541" i="2"/>
  <c r="I2541" i="2"/>
  <c r="H2541" i="2"/>
  <c r="F2541" i="2"/>
  <c r="L2541" i="2" l="1"/>
  <c r="J2541" i="2"/>
  <c r="K2541" i="2" s="1"/>
  <c r="D2541" i="2"/>
  <c r="C2542" i="2"/>
  <c r="A2542" i="2" l="1"/>
  <c r="B2542" i="2"/>
  <c r="F2542" i="2"/>
  <c r="G2542" i="2"/>
  <c r="M2542" i="2"/>
  <c r="H2542" i="2"/>
  <c r="I2542" i="2"/>
  <c r="E2542" i="2"/>
  <c r="L2542" i="2" l="1"/>
  <c r="J2542" i="2"/>
  <c r="K2542" i="2" s="1"/>
  <c r="D2542" i="2"/>
  <c r="C2543" i="2"/>
  <c r="A2543" i="2" l="1"/>
  <c r="B2543" i="2"/>
  <c r="M2543" i="2"/>
  <c r="G2543" i="2"/>
  <c r="F2543" i="2"/>
  <c r="H2543" i="2"/>
  <c r="E2543" i="2"/>
  <c r="I2543" i="2"/>
  <c r="L2543" i="2" l="1"/>
  <c r="D2543" i="2"/>
  <c r="J2543" i="2"/>
  <c r="K2543" i="2" s="1"/>
  <c r="C2544" i="2"/>
  <c r="B2544" i="2" l="1"/>
  <c r="A2544" i="2"/>
  <c r="I2544" i="2"/>
  <c r="F2544" i="2"/>
  <c r="H2544" i="2"/>
  <c r="E2544" i="2"/>
  <c r="M2544" i="2"/>
  <c r="G2544" i="2"/>
  <c r="C2545" i="2"/>
  <c r="L2544" i="2" l="1"/>
  <c r="D2544" i="2"/>
  <c r="J2544" i="2"/>
  <c r="K2544" i="2" s="1"/>
  <c r="A2545" i="2"/>
  <c r="B2545" i="2"/>
  <c r="H2545" i="2"/>
  <c r="F2545" i="2"/>
  <c r="G2545" i="2"/>
  <c r="M2545" i="2"/>
  <c r="E2545" i="2"/>
  <c r="I2545" i="2"/>
  <c r="L2545" i="2" l="1"/>
  <c r="J2545" i="2"/>
  <c r="K2545" i="2" s="1"/>
  <c r="D2545" i="2"/>
  <c r="C2546" i="2"/>
  <c r="A2546" i="2" l="1"/>
  <c r="B2546" i="2"/>
  <c r="G2546" i="2"/>
  <c r="F2546" i="2"/>
  <c r="M2546" i="2"/>
  <c r="H2546" i="2"/>
  <c r="I2546" i="2"/>
  <c r="E2546" i="2"/>
  <c r="C2547" i="2"/>
  <c r="L2546" i="2" l="1"/>
  <c r="J2546" i="2"/>
  <c r="K2546" i="2" s="1"/>
  <c r="D2546" i="2"/>
  <c r="A2547" i="2"/>
  <c r="B2547" i="2"/>
  <c r="G2547" i="2"/>
  <c r="E2547" i="2"/>
  <c r="I2547" i="2"/>
  <c r="M2547" i="2"/>
  <c r="F2547" i="2"/>
  <c r="H2547" i="2"/>
  <c r="L2547" i="2" l="1"/>
  <c r="D2547" i="2"/>
  <c r="J2547" i="2"/>
  <c r="K2547" i="2" s="1"/>
  <c r="C2548" i="2"/>
  <c r="B2548" i="2" l="1"/>
  <c r="A2548" i="2"/>
  <c r="I2548" i="2"/>
  <c r="M2548" i="2"/>
  <c r="H2548" i="2"/>
  <c r="G2548" i="2"/>
  <c r="E2548" i="2"/>
  <c r="F2548" i="2"/>
  <c r="L2548" i="2" l="1"/>
  <c r="D2548" i="2"/>
  <c r="J2548" i="2"/>
  <c r="K2548" i="2" s="1"/>
  <c r="C2549" i="2"/>
  <c r="A2549" i="2" l="1"/>
  <c r="B2549" i="2"/>
  <c r="H2549" i="2"/>
  <c r="F2549" i="2"/>
  <c r="I2549" i="2"/>
  <c r="E2549" i="2"/>
  <c r="G2549" i="2"/>
  <c r="M2549" i="2"/>
  <c r="L2549" i="2" l="1"/>
  <c r="J2549" i="2"/>
  <c r="K2549" i="2" s="1"/>
  <c r="D2549" i="2"/>
  <c r="C2550" i="2"/>
  <c r="A2550" i="2" l="1"/>
  <c r="B2550" i="2"/>
  <c r="F2550" i="2"/>
  <c r="I2550" i="2"/>
  <c r="H2550" i="2"/>
  <c r="M2550" i="2"/>
  <c r="E2550" i="2"/>
  <c r="G2550" i="2"/>
  <c r="C2551" i="2"/>
  <c r="L2550" i="2" l="1"/>
  <c r="J2550" i="2"/>
  <c r="K2550" i="2" s="1"/>
  <c r="D2550" i="2"/>
  <c r="A2551" i="2"/>
  <c r="B2551" i="2"/>
  <c r="E2551" i="2"/>
  <c r="F2551" i="2"/>
  <c r="H2551" i="2"/>
  <c r="M2551" i="2"/>
  <c r="G2551" i="2"/>
  <c r="I2551" i="2"/>
  <c r="L2551" i="2" l="1"/>
  <c r="D2551" i="2"/>
  <c r="J2551" i="2"/>
  <c r="K2551" i="2" s="1"/>
  <c r="C2552" i="2"/>
  <c r="B2552" i="2" l="1"/>
  <c r="A2552" i="2"/>
  <c r="G2552" i="2"/>
  <c r="M2552" i="2"/>
  <c r="H2552" i="2"/>
  <c r="F2552" i="2"/>
  <c r="I2552" i="2"/>
  <c r="E2552" i="2"/>
  <c r="C2553" i="2"/>
  <c r="L2552" i="2" l="1"/>
  <c r="J2552" i="2"/>
  <c r="K2552" i="2" s="1"/>
  <c r="D2552" i="2"/>
  <c r="A2553" i="2"/>
  <c r="B2553" i="2"/>
  <c r="E2553" i="2"/>
  <c r="M2553" i="2"/>
  <c r="H2553" i="2"/>
  <c r="I2553" i="2"/>
  <c r="G2553" i="2"/>
  <c r="F2553" i="2"/>
  <c r="C2554" i="2"/>
  <c r="L2553" i="2" l="1"/>
  <c r="J2553" i="2"/>
  <c r="K2553" i="2" s="1"/>
  <c r="D2553" i="2"/>
  <c r="B2554" i="2"/>
  <c r="A2554" i="2"/>
  <c r="E2554" i="2"/>
  <c r="M2554" i="2"/>
  <c r="G2554" i="2"/>
  <c r="I2554" i="2"/>
  <c r="H2554" i="2"/>
  <c r="F2554" i="2"/>
  <c r="C2555" i="2"/>
  <c r="L2554" i="2" l="1"/>
  <c r="J2554" i="2"/>
  <c r="K2554" i="2" s="1"/>
  <c r="D2554" i="2"/>
  <c r="A2555" i="2"/>
  <c r="B2555" i="2"/>
  <c r="E2555" i="2"/>
  <c r="M2555" i="2"/>
  <c r="I2555" i="2"/>
  <c r="F2555" i="2"/>
  <c r="G2555" i="2"/>
  <c r="H2555" i="2"/>
  <c r="L2555" i="2" l="1"/>
  <c r="D2555" i="2"/>
  <c r="J2555" i="2"/>
  <c r="K2555" i="2" s="1"/>
  <c r="C2556" i="2"/>
  <c r="B2556" i="2" l="1"/>
  <c r="A2556" i="2"/>
  <c r="I2556" i="2"/>
  <c r="E2556" i="2"/>
  <c r="H2556" i="2"/>
  <c r="G2556" i="2"/>
  <c r="M2556" i="2"/>
  <c r="F2556" i="2"/>
  <c r="L2556" i="2" l="1"/>
  <c r="D2556" i="2"/>
  <c r="J2556" i="2"/>
  <c r="K2556" i="2" s="1"/>
  <c r="C2557" i="2"/>
  <c r="B2557" i="2" l="1"/>
  <c r="A2557" i="2"/>
  <c r="F2557" i="2"/>
  <c r="I2557" i="2"/>
  <c r="M2557" i="2"/>
  <c r="G2557" i="2"/>
  <c r="H2557" i="2"/>
  <c r="E2557" i="2"/>
  <c r="C2558" i="2"/>
  <c r="L2557" i="2" l="1"/>
  <c r="J2557" i="2"/>
  <c r="K2557" i="2" s="1"/>
  <c r="D2557" i="2"/>
  <c r="A2558" i="2"/>
  <c r="B2558" i="2"/>
  <c r="G2558" i="2"/>
  <c r="M2558" i="2"/>
  <c r="E2558" i="2"/>
  <c r="I2558" i="2"/>
  <c r="F2558" i="2"/>
  <c r="H2558" i="2"/>
  <c r="C2559" i="2"/>
  <c r="L2558" i="2" l="1"/>
  <c r="D2558" i="2"/>
  <c r="J2558" i="2"/>
  <c r="K2558" i="2" s="1"/>
  <c r="B2559" i="2"/>
  <c r="A2559" i="2"/>
  <c r="M2559" i="2"/>
  <c r="F2559" i="2"/>
  <c r="I2559" i="2"/>
  <c r="G2559" i="2"/>
  <c r="E2559" i="2"/>
  <c r="H2559" i="2"/>
  <c r="C2560" i="2"/>
  <c r="L2559" i="2" l="1"/>
  <c r="J2559" i="2"/>
  <c r="K2559" i="2" s="1"/>
  <c r="D2559" i="2"/>
  <c r="A2560" i="2"/>
  <c r="B2560" i="2"/>
  <c r="F2560" i="2"/>
  <c r="M2560" i="2"/>
  <c r="G2560" i="2"/>
  <c r="I2560" i="2"/>
  <c r="H2560" i="2"/>
  <c r="E2560" i="2"/>
  <c r="L2560" i="2" l="1"/>
  <c r="J2560" i="2"/>
  <c r="K2560" i="2" s="1"/>
  <c r="D2560" i="2"/>
  <c r="C2561" i="2"/>
  <c r="A2561" i="2" l="1"/>
  <c r="B2561" i="2"/>
  <c r="I2561" i="2"/>
  <c r="M2561" i="2"/>
  <c r="G2561" i="2"/>
  <c r="F2561" i="2"/>
  <c r="E2561" i="2"/>
  <c r="H2561" i="2"/>
  <c r="L2561" i="2" l="1"/>
  <c r="J2561" i="2"/>
  <c r="K2561" i="2" s="1"/>
  <c r="D2561" i="2"/>
  <c r="C2562" i="2"/>
  <c r="B2562" i="2" l="1"/>
  <c r="A2562" i="2"/>
  <c r="G2562" i="2"/>
  <c r="M2562" i="2"/>
  <c r="H2562" i="2"/>
  <c r="I2562" i="2"/>
  <c r="E2562" i="2"/>
  <c r="F2562" i="2"/>
  <c r="L2562" i="2" l="1"/>
  <c r="D2562" i="2"/>
  <c r="J2562" i="2"/>
  <c r="K2562" i="2" s="1"/>
  <c r="C2563" i="2"/>
  <c r="B2563" i="2" l="1"/>
  <c r="A2563" i="2"/>
  <c r="H2563" i="2"/>
  <c r="I2563" i="2"/>
  <c r="E2563" i="2"/>
  <c r="M2563" i="2"/>
  <c r="F2563" i="2"/>
  <c r="G2563" i="2"/>
  <c r="C2564" i="2"/>
  <c r="L2563" i="2" l="1"/>
  <c r="D2563" i="2"/>
  <c r="J2563" i="2"/>
  <c r="K2563" i="2" s="1"/>
  <c r="A2564" i="2"/>
  <c r="B2564" i="2"/>
  <c r="M2564" i="2"/>
  <c r="I2564" i="2"/>
  <c r="G2564" i="2"/>
  <c r="H2564" i="2"/>
  <c r="F2564" i="2"/>
  <c r="E2564" i="2"/>
  <c r="L2564" i="2" l="1"/>
  <c r="D2564" i="2"/>
  <c r="J2564" i="2"/>
  <c r="K2564" i="2" s="1"/>
  <c r="C2565" i="2"/>
  <c r="B2565" i="2" l="1"/>
  <c r="A2565" i="2"/>
  <c r="F2565" i="2"/>
  <c r="H2565" i="2"/>
  <c r="M2565" i="2"/>
  <c r="G2565" i="2"/>
  <c r="I2565" i="2"/>
  <c r="E2565" i="2"/>
  <c r="C2566" i="2"/>
  <c r="L2565" i="2" l="1"/>
  <c r="J2565" i="2"/>
  <c r="K2565" i="2" s="1"/>
  <c r="D2565" i="2"/>
  <c r="B2566" i="2"/>
  <c r="A2566" i="2"/>
  <c r="E2566" i="2"/>
  <c r="G2566" i="2"/>
  <c r="M2566" i="2"/>
  <c r="I2566" i="2"/>
  <c r="F2566" i="2"/>
  <c r="H2566" i="2"/>
  <c r="L2566" i="2" l="1"/>
  <c r="D2566" i="2"/>
  <c r="J2566" i="2"/>
  <c r="K2566" i="2" s="1"/>
  <c r="C2567" i="2"/>
  <c r="A2567" i="2" l="1"/>
  <c r="B2567" i="2"/>
  <c r="F2567" i="2"/>
  <c r="H2567" i="2"/>
  <c r="E2567" i="2"/>
  <c r="I2567" i="2"/>
  <c r="M2567" i="2"/>
  <c r="G2567" i="2"/>
  <c r="L2567" i="2" l="1"/>
  <c r="J2567" i="2"/>
  <c r="K2567" i="2" s="1"/>
  <c r="D2567" i="2"/>
  <c r="C2568" i="2"/>
  <c r="A2568" i="2" l="1"/>
  <c r="B2568" i="2"/>
  <c r="F2568" i="2"/>
  <c r="I2568" i="2"/>
  <c r="G2568" i="2"/>
  <c r="H2568" i="2"/>
  <c r="E2568" i="2"/>
  <c r="M2568" i="2"/>
  <c r="C2569" i="2"/>
  <c r="L2568" i="2" l="1"/>
  <c r="J2568" i="2"/>
  <c r="K2568" i="2" s="1"/>
  <c r="D2568" i="2"/>
  <c r="A2569" i="2"/>
  <c r="B2569" i="2"/>
  <c r="F2569" i="2"/>
  <c r="M2569" i="2"/>
  <c r="E2569" i="2"/>
  <c r="I2569" i="2"/>
  <c r="H2569" i="2"/>
  <c r="G2569" i="2"/>
  <c r="C2570" i="2"/>
  <c r="L2569" i="2" l="1"/>
  <c r="D2569" i="2"/>
  <c r="J2569" i="2"/>
  <c r="K2569" i="2" s="1"/>
  <c r="A2570" i="2"/>
  <c r="B2570" i="2"/>
  <c r="H2570" i="2"/>
  <c r="G2570" i="2"/>
  <c r="I2570" i="2"/>
  <c r="F2570" i="2"/>
  <c r="E2570" i="2"/>
  <c r="M2570" i="2"/>
  <c r="L2570" i="2" l="1"/>
  <c r="D2570" i="2"/>
  <c r="J2570" i="2"/>
  <c r="K2570" i="2" s="1"/>
  <c r="C2571" i="2"/>
  <c r="B2571" i="2" l="1"/>
  <c r="A2571" i="2"/>
  <c r="I2571" i="2"/>
  <c r="H2571" i="2"/>
  <c r="G2571" i="2"/>
  <c r="M2571" i="2"/>
  <c r="E2571" i="2"/>
  <c r="F2571" i="2"/>
  <c r="L2571" i="2" l="1"/>
  <c r="D2571" i="2"/>
  <c r="J2571" i="2"/>
  <c r="K2571" i="2" s="1"/>
  <c r="C2572" i="2"/>
  <c r="A2572" i="2" l="1"/>
  <c r="B2572" i="2"/>
  <c r="G2572" i="2"/>
  <c r="E2572" i="2"/>
  <c r="H2572" i="2"/>
  <c r="F2572" i="2"/>
  <c r="M2572" i="2"/>
  <c r="I2572" i="2"/>
  <c r="L2572" i="2" l="1"/>
  <c r="J2572" i="2"/>
  <c r="K2572" i="2" s="1"/>
  <c r="D2572" i="2"/>
  <c r="C2573" i="2"/>
  <c r="B2573" i="2" l="1"/>
  <c r="A2573" i="2"/>
  <c r="I2573" i="2"/>
  <c r="E2573" i="2"/>
  <c r="F2573" i="2"/>
  <c r="G2573" i="2"/>
  <c r="M2573" i="2"/>
  <c r="H2573" i="2"/>
  <c r="C2574" i="2"/>
  <c r="L2573" i="2" l="1"/>
  <c r="J2573" i="2"/>
  <c r="K2573" i="2" s="1"/>
  <c r="D2573" i="2"/>
  <c r="A2574" i="2"/>
  <c r="B2574" i="2"/>
  <c r="I2574" i="2"/>
  <c r="F2574" i="2"/>
  <c r="M2574" i="2"/>
  <c r="G2574" i="2"/>
  <c r="E2574" i="2"/>
  <c r="H2574" i="2"/>
  <c r="L2574" i="2" l="1"/>
  <c r="D2574" i="2"/>
  <c r="J2574" i="2"/>
  <c r="K2574" i="2" s="1"/>
  <c r="C2575" i="2"/>
  <c r="B2575" i="2" l="1"/>
  <c r="A2575" i="2"/>
  <c r="M2575" i="2"/>
  <c r="H2575" i="2"/>
  <c r="I2575" i="2"/>
  <c r="E2575" i="2"/>
  <c r="G2575" i="2"/>
  <c r="F2575" i="2"/>
  <c r="C2576" i="2"/>
  <c r="L2575" i="2" l="1"/>
  <c r="D2575" i="2"/>
  <c r="J2575" i="2"/>
  <c r="K2575" i="2" s="1"/>
  <c r="A2576" i="2"/>
  <c r="B2576" i="2"/>
  <c r="E2576" i="2"/>
  <c r="I2576" i="2"/>
  <c r="M2576" i="2"/>
  <c r="H2576" i="2"/>
  <c r="F2576" i="2"/>
  <c r="G2576" i="2"/>
  <c r="C2577" i="2"/>
  <c r="L2576" i="2" l="1"/>
  <c r="J2576" i="2"/>
  <c r="K2576" i="2" s="1"/>
  <c r="D2576" i="2"/>
  <c r="A2577" i="2"/>
  <c r="B2577" i="2"/>
  <c r="E2577" i="2"/>
  <c r="H2577" i="2"/>
  <c r="F2577" i="2"/>
  <c r="G2577" i="2"/>
  <c r="I2577" i="2"/>
  <c r="M2577" i="2"/>
  <c r="C2578" i="2"/>
  <c r="L2577" i="2" l="1"/>
  <c r="D2577" i="2"/>
  <c r="J2577" i="2"/>
  <c r="K2577" i="2" s="1"/>
  <c r="A2578" i="2"/>
  <c r="B2578" i="2"/>
  <c r="I2578" i="2"/>
  <c r="H2578" i="2"/>
  <c r="M2578" i="2"/>
  <c r="E2578" i="2"/>
  <c r="G2578" i="2"/>
  <c r="F2578" i="2"/>
  <c r="L2578" i="2" l="1"/>
  <c r="D2578" i="2"/>
  <c r="J2578" i="2"/>
  <c r="K2578" i="2" s="1"/>
  <c r="C2579" i="2"/>
  <c r="B2579" i="2" l="1"/>
  <c r="A2579" i="2"/>
  <c r="E2579" i="2"/>
  <c r="F2579" i="2"/>
  <c r="G2579" i="2"/>
  <c r="H2579" i="2"/>
  <c r="M2579" i="2"/>
  <c r="I2579" i="2"/>
  <c r="L2579" i="2" l="1"/>
  <c r="J2579" i="2"/>
  <c r="K2579" i="2" s="1"/>
  <c r="D2579" i="2"/>
  <c r="C2580" i="2"/>
  <c r="A2580" i="2" l="1"/>
  <c r="B2580" i="2"/>
  <c r="H2580" i="2"/>
  <c r="F2580" i="2"/>
  <c r="E2580" i="2"/>
  <c r="M2580" i="2"/>
  <c r="I2580" i="2"/>
  <c r="G2580" i="2"/>
  <c r="L2580" i="2" l="1"/>
  <c r="J2580" i="2"/>
  <c r="K2580" i="2" s="1"/>
  <c r="D2580" i="2"/>
  <c r="C2581" i="2"/>
  <c r="B2581" i="2" l="1"/>
  <c r="A2581" i="2"/>
  <c r="M2581" i="2"/>
  <c r="E2581" i="2"/>
  <c r="H2581" i="2"/>
  <c r="G2581" i="2"/>
  <c r="I2581" i="2"/>
  <c r="F2581" i="2"/>
  <c r="C2582" i="2"/>
  <c r="L2581" i="2" l="1"/>
  <c r="D2581" i="2"/>
  <c r="J2581" i="2"/>
  <c r="K2581" i="2" s="1"/>
  <c r="B2582" i="2"/>
  <c r="A2582" i="2"/>
  <c r="I2582" i="2"/>
  <c r="F2582" i="2"/>
  <c r="G2582" i="2"/>
  <c r="M2582" i="2"/>
  <c r="E2582" i="2"/>
  <c r="H2582" i="2"/>
  <c r="C2583" i="2"/>
  <c r="L2582" i="2" l="1"/>
  <c r="D2582" i="2"/>
  <c r="J2582" i="2"/>
  <c r="K2582" i="2" s="1"/>
  <c r="A2583" i="2"/>
  <c r="B2583" i="2"/>
  <c r="H2583" i="2"/>
  <c r="F2583" i="2"/>
  <c r="M2583" i="2"/>
  <c r="I2583" i="2"/>
  <c r="G2583" i="2"/>
  <c r="E2583" i="2"/>
  <c r="L2583" i="2" l="1"/>
  <c r="D2583" i="2"/>
  <c r="J2583" i="2"/>
  <c r="K2583" i="2" s="1"/>
  <c r="C2584" i="2"/>
  <c r="B2584" i="2" l="1"/>
  <c r="A2584" i="2"/>
  <c r="I2584" i="2"/>
  <c r="F2584" i="2"/>
  <c r="G2584" i="2"/>
  <c r="E2584" i="2"/>
  <c r="M2584" i="2"/>
  <c r="H2584" i="2"/>
  <c r="C2585" i="2"/>
  <c r="L2584" i="2" l="1"/>
  <c r="J2584" i="2"/>
  <c r="K2584" i="2" s="1"/>
  <c r="D2584" i="2"/>
  <c r="A2585" i="2"/>
  <c r="B2585" i="2"/>
  <c r="E2585" i="2"/>
  <c r="M2585" i="2"/>
  <c r="H2585" i="2"/>
  <c r="G2585" i="2"/>
  <c r="F2585" i="2"/>
  <c r="I2585" i="2"/>
  <c r="L2585" i="2" l="1"/>
  <c r="J2585" i="2"/>
  <c r="K2585" i="2" s="1"/>
  <c r="D2585" i="2"/>
  <c r="C2586" i="2"/>
  <c r="A2586" i="2" l="1"/>
  <c r="B2586" i="2"/>
  <c r="M2586" i="2"/>
  <c r="H2586" i="2"/>
  <c r="E2586" i="2"/>
  <c r="G2586" i="2"/>
  <c r="F2586" i="2"/>
  <c r="I2586" i="2"/>
  <c r="C2587" i="2"/>
  <c r="L2586" i="2" l="1"/>
  <c r="D2586" i="2"/>
  <c r="J2586" i="2"/>
  <c r="K2586" i="2" s="1"/>
  <c r="B2587" i="2"/>
  <c r="A2587" i="2"/>
  <c r="H2587" i="2"/>
  <c r="E2587" i="2"/>
  <c r="G2587" i="2"/>
  <c r="M2587" i="2"/>
  <c r="I2587" i="2"/>
  <c r="F2587" i="2"/>
  <c r="C2588" i="2"/>
  <c r="L2587" i="2" l="1"/>
  <c r="J2587" i="2"/>
  <c r="K2587" i="2" s="1"/>
  <c r="D2587" i="2"/>
  <c r="B2588" i="2"/>
  <c r="A2588" i="2"/>
  <c r="F2588" i="2"/>
  <c r="M2588" i="2"/>
  <c r="I2588" i="2"/>
  <c r="G2588" i="2"/>
  <c r="H2588" i="2"/>
  <c r="E2588" i="2"/>
  <c r="C2589" i="2"/>
  <c r="L2588" i="2" l="1"/>
  <c r="J2588" i="2"/>
  <c r="K2588" i="2" s="1"/>
  <c r="D2588" i="2"/>
  <c r="B2589" i="2"/>
  <c r="A2589" i="2"/>
  <c r="F2589" i="2"/>
  <c r="I2589" i="2"/>
  <c r="M2589" i="2"/>
  <c r="G2589" i="2"/>
  <c r="E2589" i="2"/>
  <c r="H2589" i="2"/>
  <c r="C2590" i="2"/>
  <c r="L2589" i="2" l="1"/>
  <c r="D2589" i="2"/>
  <c r="J2589" i="2"/>
  <c r="K2589" i="2" s="1"/>
  <c r="A2590" i="2"/>
  <c r="B2590" i="2"/>
  <c r="E2590" i="2"/>
  <c r="F2590" i="2"/>
  <c r="G2590" i="2"/>
  <c r="I2590" i="2"/>
  <c r="M2590" i="2"/>
  <c r="H2590" i="2"/>
  <c r="L2590" i="2" l="1"/>
  <c r="D2590" i="2"/>
  <c r="J2590" i="2"/>
  <c r="K2590" i="2" s="1"/>
  <c r="C2591" i="2"/>
  <c r="A2591" i="2" l="1"/>
  <c r="B2591" i="2"/>
  <c r="H2591" i="2"/>
  <c r="M2591" i="2"/>
  <c r="F2591" i="2"/>
  <c r="I2591" i="2"/>
  <c r="G2591" i="2"/>
  <c r="E2591" i="2"/>
  <c r="C2592" i="2"/>
  <c r="L2591" i="2" l="1"/>
  <c r="J2591" i="2"/>
  <c r="K2591" i="2" s="1"/>
  <c r="D2591" i="2"/>
  <c r="A2592" i="2"/>
  <c r="B2592" i="2"/>
  <c r="E2592" i="2"/>
  <c r="M2592" i="2"/>
  <c r="G2592" i="2"/>
  <c r="I2592" i="2"/>
  <c r="F2592" i="2"/>
  <c r="H2592" i="2"/>
  <c r="L2592" i="2" l="1"/>
  <c r="J2592" i="2"/>
  <c r="K2592" i="2" s="1"/>
  <c r="D2592" i="2"/>
  <c r="C2593" i="2"/>
  <c r="A2593" i="2" l="1"/>
  <c r="B2593" i="2"/>
  <c r="M2593" i="2"/>
  <c r="I2593" i="2"/>
  <c r="G2593" i="2"/>
  <c r="E2593" i="2"/>
  <c r="H2593" i="2"/>
  <c r="F2593" i="2"/>
  <c r="C2594" i="2"/>
  <c r="L2593" i="2" l="1"/>
  <c r="D2593" i="2"/>
  <c r="J2593" i="2"/>
  <c r="K2593" i="2" s="1"/>
  <c r="B2594" i="2"/>
  <c r="A2594" i="2"/>
  <c r="H2594" i="2"/>
  <c r="G2594" i="2"/>
  <c r="M2594" i="2"/>
  <c r="E2594" i="2"/>
  <c r="I2594" i="2"/>
  <c r="F2594" i="2"/>
  <c r="C2595" i="2"/>
  <c r="L2594" i="2" l="1"/>
  <c r="D2594" i="2"/>
  <c r="J2594" i="2"/>
  <c r="K2594" i="2" s="1"/>
  <c r="B2595" i="2"/>
  <c r="A2595" i="2"/>
  <c r="E2595" i="2"/>
  <c r="F2595" i="2"/>
  <c r="I2595" i="2"/>
  <c r="G2595" i="2"/>
  <c r="H2595" i="2"/>
  <c r="M2595" i="2"/>
  <c r="C2596" i="2"/>
  <c r="L2595" i="2" l="1"/>
  <c r="D2595" i="2"/>
  <c r="J2595" i="2"/>
  <c r="K2595" i="2" s="1"/>
  <c r="A2596" i="2"/>
  <c r="B2596" i="2"/>
  <c r="G2596" i="2"/>
  <c r="I2596" i="2"/>
  <c r="F2596" i="2"/>
  <c r="M2596" i="2"/>
  <c r="E2596" i="2"/>
  <c r="H2596" i="2"/>
  <c r="C2597" i="2"/>
  <c r="L2596" i="2" l="1"/>
  <c r="J2596" i="2"/>
  <c r="K2596" i="2" s="1"/>
  <c r="D2596" i="2"/>
  <c r="A2597" i="2"/>
  <c r="B2597" i="2"/>
  <c r="F2597" i="2"/>
  <c r="E2597" i="2"/>
  <c r="I2597" i="2"/>
  <c r="H2597" i="2"/>
  <c r="G2597" i="2"/>
  <c r="M2597" i="2"/>
  <c r="L2597" i="2" l="1"/>
  <c r="D2597" i="2"/>
  <c r="J2597" i="2"/>
  <c r="K2597" i="2" s="1"/>
  <c r="C2598" i="2"/>
  <c r="B2598" i="2" l="1"/>
  <c r="A2598" i="2"/>
  <c r="G2598" i="2"/>
  <c r="E2598" i="2"/>
  <c r="H2598" i="2"/>
  <c r="I2598" i="2"/>
  <c r="M2598" i="2"/>
  <c r="F2598" i="2"/>
  <c r="L2598" i="2" l="1"/>
  <c r="D2598" i="2"/>
  <c r="J2598" i="2"/>
  <c r="K2598" i="2" s="1"/>
  <c r="C2599" i="2"/>
  <c r="B2599" i="2" l="1"/>
  <c r="A2599" i="2"/>
  <c r="M2599" i="2"/>
  <c r="H2599" i="2"/>
  <c r="E2599" i="2"/>
  <c r="F2599" i="2"/>
  <c r="G2599" i="2"/>
  <c r="I2599" i="2"/>
  <c r="C2600" i="2"/>
  <c r="L2599" i="2" l="1"/>
  <c r="J2599" i="2"/>
  <c r="K2599" i="2" s="1"/>
  <c r="D2599" i="2"/>
  <c r="A2600" i="2"/>
  <c r="B2600" i="2"/>
  <c r="M2600" i="2"/>
  <c r="I2600" i="2"/>
  <c r="F2600" i="2"/>
  <c r="E2600" i="2"/>
  <c r="G2600" i="2"/>
  <c r="H2600" i="2"/>
  <c r="C2601" i="2"/>
  <c r="L2600" i="2" l="1"/>
  <c r="J2600" i="2"/>
  <c r="K2600" i="2" s="1"/>
  <c r="D2600" i="2"/>
  <c r="A2601" i="2"/>
  <c r="B2601" i="2"/>
  <c r="H2601" i="2"/>
  <c r="G2601" i="2"/>
  <c r="F2601" i="2"/>
  <c r="M2601" i="2"/>
  <c r="E2601" i="2"/>
  <c r="I2601" i="2"/>
  <c r="L2601" i="2" l="1"/>
  <c r="D2601" i="2"/>
  <c r="J2601" i="2"/>
  <c r="K2601" i="2" s="1"/>
  <c r="C2602" i="2"/>
  <c r="A2602" i="2" l="1"/>
  <c r="B2602" i="2"/>
  <c r="H2602" i="2"/>
  <c r="G2602" i="2"/>
  <c r="F2602" i="2"/>
  <c r="I2602" i="2"/>
  <c r="E2602" i="2"/>
  <c r="M2602" i="2"/>
  <c r="L2602" i="2" l="1"/>
  <c r="D2602" i="2"/>
  <c r="J2602" i="2"/>
  <c r="K2602" i="2" s="1"/>
  <c r="C2603" i="2"/>
  <c r="B2603" i="2" l="1"/>
  <c r="A2603" i="2"/>
  <c r="E2603" i="2"/>
  <c r="G2603" i="2"/>
  <c r="F2603" i="2"/>
  <c r="H2603" i="2"/>
  <c r="I2603" i="2"/>
  <c r="M2603" i="2"/>
  <c r="C2604" i="2"/>
  <c r="L2603" i="2" l="1"/>
  <c r="J2603" i="2"/>
  <c r="K2603" i="2" s="1"/>
  <c r="D2603" i="2"/>
  <c r="A2604" i="2"/>
  <c r="B2604" i="2"/>
  <c r="H2604" i="2"/>
  <c r="M2604" i="2"/>
  <c r="G2604" i="2"/>
  <c r="I2604" i="2"/>
  <c r="F2604" i="2"/>
  <c r="E2604" i="2"/>
  <c r="L2604" i="2" l="1"/>
  <c r="J2604" i="2"/>
  <c r="K2604" i="2" s="1"/>
  <c r="D2604" i="2"/>
  <c r="C2605" i="2"/>
  <c r="A2605" i="2" l="1"/>
  <c r="B2605" i="2"/>
  <c r="H2605" i="2"/>
  <c r="E2605" i="2"/>
  <c r="M2605" i="2"/>
  <c r="I2605" i="2"/>
  <c r="G2605" i="2"/>
  <c r="F2605" i="2"/>
  <c r="C2606" i="2"/>
  <c r="L2605" i="2" l="1"/>
  <c r="D2605" i="2"/>
  <c r="J2605" i="2"/>
  <c r="K2605" i="2" s="1"/>
  <c r="B2606" i="2"/>
  <c r="A2606" i="2"/>
  <c r="E2606" i="2"/>
  <c r="I2606" i="2"/>
  <c r="H2606" i="2"/>
  <c r="F2606" i="2"/>
  <c r="M2606" i="2"/>
  <c r="G2606" i="2"/>
  <c r="C2607" i="2"/>
  <c r="L2606" i="2" l="1"/>
  <c r="J2606" i="2"/>
  <c r="K2606" i="2" s="1"/>
  <c r="D2606" i="2"/>
  <c r="A2607" i="2"/>
  <c r="B2607" i="2"/>
  <c r="I2607" i="2"/>
  <c r="G2607" i="2"/>
  <c r="H2607" i="2"/>
  <c r="M2607" i="2"/>
  <c r="E2607" i="2"/>
  <c r="F2607" i="2"/>
  <c r="L2607" i="2" l="1"/>
  <c r="J2607" i="2"/>
  <c r="K2607" i="2" s="1"/>
  <c r="D2607" i="2"/>
  <c r="C2608" i="2"/>
  <c r="B2608" i="2" l="1"/>
  <c r="A2608" i="2"/>
  <c r="E2608" i="2"/>
  <c r="I2608" i="2"/>
  <c r="F2608" i="2"/>
  <c r="M2608" i="2"/>
  <c r="H2608" i="2"/>
  <c r="G2608" i="2"/>
  <c r="C2609" i="2"/>
  <c r="L2608" i="2" l="1"/>
  <c r="J2608" i="2"/>
  <c r="K2608" i="2" s="1"/>
  <c r="D2608" i="2"/>
  <c r="A2609" i="2"/>
  <c r="B2609" i="2"/>
  <c r="G2609" i="2"/>
  <c r="I2609" i="2"/>
  <c r="H2609" i="2"/>
  <c r="M2609" i="2"/>
  <c r="E2609" i="2"/>
  <c r="F2609" i="2"/>
  <c r="L2609" i="2" l="1"/>
  <c r="D2609" i="2"/>
  <c r="J2609" i="2"/>
  <c r="K2609" i="2" s="1"/>
  <c r="C2610" i="2"/>
  <c r="A2610" i="2" l="1"/>
  <c r="B2610" i="2"/>
  <c r="G2610" i="2"/>
  <c r="I2610" i="2"/>
  <c r="H2610" i="2"/>
  <c r="M2610" i="2"/>
  <c r="E2610" i="2"/>
  <c r="F2610" i="2"/>
  <c r="L2610" i="2" l="1"/>
  <c r="D2610" i="2"/>
  <c r="J2610" i="2"/>
  <c r="K2610" i="2" s="1"/>
  <c r="C2611" i="2"/>
  <c r="A2611" i="2" l="1"/>
  <c r="B2611" i="2"/>
  <c r="F2611" i="2"/>
  <c r="G2611" i="2"/>
  <c r="E2611" i="2"/>
  <c r="H2611" i="2"/>
  <c r="I2611" i="2"/>
  <c r="M2611" i="2"/>
  <c r="L2611" i="2" l="1"/>
  <c r="J2611" i="2"/>
  <c r="K2611" i="2" s="1"/>
  <c r="D2611" i="2"/>
  <c r="C2612" i="2"/>
  <c r="B2612" i="2" l="1"/>
  <c r="A2612" i="2"/>
  <c r="E2612" i="2"/>
  <c r="I2612" i="2"/>
  <c r="M2612" i="2"/>
  <c r="F2612" i="2"/>
  <c r="G2612" i="2"/>
  <c r="H2612" i="2"/>
  <c r="C2613" i="2"/>
  <c r="L2612" i="2" l="1"/>
  <c r="J2612" i="2"/>
  <c r="K2612" i="2" s="1"/>
  <c r="D2612" i="2"/>
  <c r="A2613" i="2"/>
  <c r="B2613" i="2"/>
  <c r="I2613" i="2"/>
  <c r="E2613" i="2"/>
  <c r="G2613" i="2"/>
  <c r="M2613" i="2"/>
  <c r="H2613" i="2"/>
  <c r="F2613" i="2"/>
  <c r="L2613" i="2" l="1"/>
  <c r="D2613" i="2"/>
  <c r="J2613" i="2"/>
  <c r="K2613" i="2" s="1"/>
  <c r="C2614" i="2"/>
  <c r="B2614" i="2" l="1"/>
  <c r="A2614" i="2"/>
  <c r="H2614" i="2"/>
  <c r="M2614" i="2"/>
  <c r="G2614" i="2"/>
  <c r="I2614" i="2"/>
  <c r="E2614" i="2"/>
  <c r="F2614" i="2"/>
  <c r="C2615" i="2"/>
  <c r="L2614" i="2" l="1"/>
  <c r="J2614" i="2"/>
  <c r="K2614" i="2" s="1"/>
  <c r="D2614" i="2"/>
  <c r="A2615" i="2"/>
  <c r="B2615" i="2"/>
  <c r="F2615" i="2"/>
  <c r="E2615" i="2"/>
  <c r="H2615" i="2"/>
  <c r="I2615" i="2"/>
  <c r="G2615" i="2"/>
  <c r="M2615" i="2"/>
  <c r="L2615" i="2" l="1"/>
  <c r="J2615" i="2"/>
  <c r="K2615" i="2" s="1"/>
  <c r="D2615" i="2"/>
  <c r="C2616" i="2"/>
  <c r="B2616" i="2" l="1"/>
  <c r="A2616" i="2"/>
  <c r="F2616" i="2"/>
  <c r="E2616" i="2"/>
  <c r="H2616" i="2"/>
  <c r="M2616" i="2"/>
  <c r="I2616" i="2"/>
  <c r="G2616" i="2"/>
  <c r="C2617" i="2"/>
  <c r="L2616" i="2" l="1"/>
  <c r="J2616" i="2"/>
  <c r="K2616" i="2" s="1"/>
  <c r="D2616" i="2"/>
  <c r="B2617" i="2"/>
  <c r="A2617" i="2"/>
  <c r="H2617" i="2"/>
  <c r="I2617" i="2"/>
  <c r="G2617" i="2"/>
  <c r="E2617" i="2"/>
  <c r="M2617" i="2"/>
  <c r="F2617" i="2"/>
  <c r="C2618" i="2"/>
  <c r="L2617" i="2" l="1"/>
  <c r="D2617" i="2"/>
  <c r="J2617" i="2"/>
  <c r="K2617" i="2" s="1"/>
  <c r="B2618" i="2"/>
  <c r="A2618" i="2"/>
  <c r="M2618" i="2"/>
  <c r="G2618" i="2"/>
  <c r="H2618" i="2"/>
  <c r="F2618" i="2"/>
  <c r="E2618" i="2"/>
  <c r="I2618" i="2"/>
  <c r="C2619" i="2"/>
  <c r="L2618" i="2" l="1"/>
  <c r="D2618" i="2"/>
  <c r="J2618" i="2"/>
  <c r="K2618" i="2" s="1"/>
  <c r="A2619" i="2"/>
  <c r="B2619" i="2"/>
  <c r="M2619" i="2"/>
  <c r="F2619" i="2"/>
  <c r="H2619" i="2"/>
  <c r="G2619" i="2"/>
  <c r="I2619" i="2"/>
  <c r="E2619" i="2"/>
  <c r="L2619" i="2" l="1"/>
  <c r="J2619" i="2"/>
  <c r="K2619" i="2" s="1"/>
  <c r="D2619" i="2"/>
  <c r="C2620" i="2"/>
  <c r="B2620" i="2" l="1"/>
  <c r="A2620" i="2"/>
  <c r="H2620" i="2"/>
  <c r="F2620" i="2"/>
  <c r="G2620" i="2"/>
  <c r="I2620" i="2"/>
  <c r="E2620" i="2"/>
  <c r="M2620" i="2"/>
  <c r="C2621" i="2"/>
  <c r="L2620" i="2" l="1"/>
  <c r="J2620" i="2"/>
  <c r="K2620" i="2" s="1"/>
  <c r="D2620" i="2"/>
  <c r="B2621" i="2"/>
  <c r="A2621" i="2"/>
  <c r="I2621" i="2"/>
  <c r="M2621" i="2"/>
  <c r="G2621" i="2"/>
  <c r="F2621" i="2"/>
  <c r="H2621" i="2"/>
  <c r="E2621" i="2"/>
  <c r="C2622" i="2"/>
  <c r="L2621" i="2" l="1"/>
  <c r="D2621" i="2"/>
  <c r="J2621" i="2"/>
  <c r="K2621" i="2" s="1"/>
  <c r="B2622" i="2"/>
  <c r="A2622" i="2"/>
  <c r="H2622" i="2"/>
  <c r="I2622" i="2"/>
  <c r="F2622" i="2"/>
  <c r="M2622" i="2"/>
  <c r="G2622" i="2"/>
  <c r="E2622" i="2"/>
  <c r="C2623" i="2"/>
  <c r="L2622" i="2" l="1"/>
  <c r="J2622" i="2"/>
  <c r="K2622" i="2" s="1"/>
  <c r="D2622" i="2"/>
  <c r="A2623" i="2"/>
  <c r="B2623" i="2"/>
  <c r="G2623" i="2"/>
  <c r="F2623" i="2"/>
  <c r="M2623" i="2"/>
  <c r="H2623" i="2"/>
  <c r="E2623" i="2"/>
  <c r="I2623" i="2"/>
  <c r="L2623" i="2" l="1"/>
  <c r="J2623" i="2"/>
  <c r="K2623" i="2" s="1"/>
  <c r="D2623" i="2"/>
  <c r="C2624" i="2"/>
  <c r="B2624" i="2" l="1"/>
  <c r="A2624" i="2"/>
  <c r="M2624" i="2"/>
  <c r="E2624" i="2"/>
  <c r="G2624" i="2"/>
  <c r="H2624" i="2"/>
  <c r="I2624" i="2"/>
  <c r="F2624" i="2"/>
  <c r="L2624" i="2" l="1"/>
  <c r="D2624" i="2"/>
  <c r="J2624" i="2"/>
  <c r="K2624" i="2" s="1"/>
  <c r="C2625" i="2"/>
  <c r="A2625" i="2" l="1"/>
  <c r="B2625" i="2"/>
  <c r="H2625" i="2"/>
  <c r="E2625" i="2"/>
  <c r="M2625" i="2"/>
  <c r="F2625" i="2"/>
  <c r="G2625" i="2"/>
  <c r="I2625" i="2"/>
  <c r="C2626" i="2"/>
  <c r="L2625" i="2" l="1"/>
  <c r="D2625" i="2"/>
  <c r="J2625" i="2"/>
  <c r="K2625" i="2" s="1"/>
  <c r="B2626" i="2"/>
  <c r="A2626" i="2"/>
  <c r="F2626" i="2"/>
  <c r="M2626" i="2"/>
  <c r="H2626" i="2"/>
  <c r="G2626" i="2"/>
  <c r="E2626" i="2"/>
  <c r="I2626" i="2"/>
  <c r="C2627" i="2"/>
  <c r="L2626" i="2" l="1"/>
  <c r="D2626" i="2"/>
  <c r="J2626" i="2"/>
  <c r="K2626" i="2" s="1"/>
  <c r="A2627" i="2"/>
  <c r="B2627" i="2"/>
  <c r="I2627" i="2"/>
  <c r="E2627" i="2"/>
  <c r="F2627" i="2"/>
  <c r="M2627" i="2"/>
  <c r="H2627" i="2"/>
  <c r="G2627" i="2"/>
  <c r="L2627" i="2" l="1"/>
  <c r="J2627" i="2"/>
  <c r="K2627" i="2" s="1"/>
  <c r="D2627" i="2"/>
  <c r="C2628" i="2"/>
  <c r="A2628" i="2" l="1"/>
  <c r="B2628" i="2"/>
  <c r="F2628" i="2"/>
  <c r="I2628" i="2"/>
  <c r="H2628" i="2"/>
  <c r="E2628" i="2"/>
  <c r="G2628" i="2"/>
  <c r="M2628" i="2"/>
  <c r="L2628" i="2" l="1"/>
  <c r="J2628" i="2"/>
  <c r="K2628" i="2" s="1"/>
  <c r="D2628" i="2"/>
  <c r="C2629" i="2"/>
  <c r="A2629" i="2" l="1"/>
  <c r="B2629" i="2"/>
  <c r="H2629" i="2"/>
  <c r="M2629" i="2"/>
  <c r="I2629" i="2"/>
  <c r="F2629" i="2"/>
  <c r="G2629" i="2"/>
  <c r="E2629" i="2"/>
  <c r="L2629" i="2" l="1"/>
  <c r="D2629" i="2"/>
  <c r="J2629" i="2"/>
  <c r="K2629" i="2" s="1"/>
  <c r="C2630" i="2"/>
  <c r="A2630" i="2" l="1"/>
  <c r="B2630" i="2"/>
  <c r="I2630" i="2"/>
  <c r="G2630" i="2"/>
  <c r="H2630" i="2"/>
  <c r="E2630" i="2"/>
  <c r="M2630" i="2"/>
  <c r="F2630" i="2"/>
  <c r="C2631" i="2"/>
  <c r="L2630" i="2" l="1"/>
  <c r="D2630" i="2"/>
  <c r="J2630" i="2"/>
  <c r="K2630" i="2" s="1"/>
  <c r="A2631" i="2"/>
  <c r="B2631" i="2"/>
  <c r="F2631" i="2"/>
  <c r="G2631" i="2"/>
  <c r="M2631" i="2"/>
  <c r="H2631" i="2"/>
  <c r="E2631" i="2"/>
  <c r="I2631" i="2"/>
  <c r="L2631" i="2" l="1"/>
  <c r="J2631" i="2"/>
  <c r="K2631" i="2" s="1"/>
  <c r="D2631" i="2"/>
  <c r="C2632" i="2"/>
  <c r="A2632" i="2" l="1"/>
  <c r="B2632" i="2"/>
  <c r="E2632" i="2"/>
  <c r="G2632" i="2"/>
  <c r="I2632" i="2"/>
  <c r="F2632" i="2"/>
  <c r="M2632" i="2"/>
  <c r="H2632" i="2"/>
  <c r="L2632" i="2" l="1"/>
  <c r="J2632" i="2"/>
  <c r="K2632" i="2" s="1"/>
  <c r="D2632" i="2"/>
  <c r="C2633" i="2"/>
  <c r="A2633" i="2" l="1"/>
  <c r="B2633" i="2"/>
  <c r="I2633" i="2"/>
  <c r="G2633" i="2"/>
  <c r="M2633" i="2"/>
  <c r="E2633" i="2"/>
  <c r="F2633" i="2"/>
  <c r="H2633" i="2"/>
  <c r="C2634" i="2"/>
  <c r="L2633" i="2" l="1"/>
  <c r="D2633" i="2"/>
  <c r="J2633" i="2"/>
  <c r="K2633" i="2" s="1"/>
  <c r="B2634" i="2"/>
  <c r="A2634" i="2"/>
  <c r="F2634" i="2"/>
  <c r="I2634" i="2"/>
  <c r="E2634" i="2"/>
  <c r="G2634" i="2"/>
  <c r="H2634" i="2"/>
  <c r="M2634" i="2"/>
  <c r="C2635" i="2"/>
  <c r="L2634" i="2" l="1"/>
  <c r="J2634" i="2"/>
  <c r="K2634" i="2" s="1"/>
  <c r="D2634" i="2"/>
  <c r="A2635" i="2"/>
  <c r="B2635" i="2"/>
  <c r="E2635" i="2"/>
  <c r="H2635" i="2"/>
  <c r="F2635" i="2"/>
  <c r="I2635" i="2"/>
  <c r="M2635" i="2"/>
  <c r="G2635" i="2"/>
  <c r="L2635" i="2" l="1"/>
  <c r="J2635" i="2"/>
  <c r="K2635" i="2" s="1"/>
  <c r="D2635" i="2"/>
  <c r="C2636" i="2"/>
  <c r="B2636" i="2" l="1"/>
  <c r="A2636" i="2"/>
  <c r="M2636" i="2"/>
  <c r="F2636" i="2"/>
  <c r="G2636" i="2"/>
  <c r="E2636" i="2"/>
  <c r="H2636" i="2"/>
  <c r="I2636" i="2"/>
  <c r="C2637" i="2"/>
  <c r="L2636" i="2" l="1"/>
  <c r="J2636" i="2"/>
  <c r="K2636" i="2" s="1"/>
  <c r="D2636" i="2"/>
  <c r="B2637" i="2"/>
  <c r="A2637" i="2"/>
  <c r="E2637" i="2"/>
  <c r="H2637" i="2"/>
  <c r="M2637" i="2"/>
  <c r="F2637" i="2"/>
  <c r="G2637" i="2"/>
  <c r="I2637" i="2"/>
  <c r="C2638" i="2"/>
  <c r="L2637" i="2" l="1"/>
  <c r="D2637" i="2"/>
  <c r="J2637" i="2"/>
  <c r="K2637" i="2" s="1"/>
  <c r="B2638" i="2"/>
  <c r="A2638" i="2"/>
  <c r="H2638" i="2"/>
  <c r="G2638" i="2"/>
  <c r="I2638" i="2"/>
  <c r="F2638" i="2"/>
  <c r="M2638" i="2"/>
  <c r="E2638" i="2"/>
  <c r="C2639" i="2"/>
  <c r="L2638" i="2" l="1"/>
  <c r="J2638" i="2"/>
  <c r="K2638" i="2" s="1"/>
  <c r="D2638" i="2"/>
  <c r="A2639" i="2"/>
  <c r="B2639" i="2"/>
  <c r="E2639" i="2"/>
  <c r="F2639" i="2"/>
  <c r="M2639" i="2"/>
  <c r="H2639" i="2"/>
  <c r="G2639" i="2"/>
  <c r="I2639" i="2"/>
  <c r="L2639" i="2" l="1"/>
  <c r="J2639" i="2"/>
  <c r="K2639" i="2" s="1"/>
  <c r="D2639" i="2"/>
  <c r="C2640" i="2"/>
  <c r="A2640" i="2" l="1"/>
  <c r="B2640" i="2"/>
  <c r="G2640" i="2"/>
  <c r="H2640" i="2"/>
  <c r="I2640" i="2"/>
  <c r="F2640" i="2"/>
  <c r="E2640" i="2"/>
  <c r="M2640" i="2"/>
  <c r="L2640" i="2" l="1"/>
  <c r="J2640" i="2"/>
  <c r="K2640" i="2" s="1"/>
  <c r="D2640" i="2"/>
  <c r="C2641" i="2"/>
  <c r="B2641" i="2" l="1"/>
  <c r="A2641" i="2"/>
  <c r="F2641" i="2"/>
  <c r="I2641" i="2"/>
  <c r="H2641" i="2"/>
  <c r="E2641" i="2"/>
  <c r="M2641" i="2"/>
  <c r="G2641" i="2"/>
  <c r="L2641" i="2" l="1"/>
  <c r="D2641" i="2"/>
  <c r="J2641" i="2"/>
  <c r="K2641" i="2" s="1"/>
  <c r="C2642" i="2"/>
  <c r="B2642" i="2" l="1"/>
  <c r="A2642" i="2"/>
  <c r="G2642" i="2"/>
  <c r="I2642" i="2"/>
  <c r="H2642" i="2"/>
  <c r="F2642" i="2"/>
  <c r="E2642" i="2"/>
  <c r="M2642" i="2"/>
  <c r="C2643" i="2"/>
  <c r="L2642" i="2" l="1"/>
  <c r="D2642" i="2"/>
  <c r="J2642" i="2"/>
  <c r="K2642" i="2" s="1"/>
  <c r="A2643" i="2"/>
  <c r="B2643" i="2"/>
  <c r="I2643" i="2"/>
  <c r="E2643" i="2"/>
  <c r="H2643" i="2"/>
  <c r="F2643" i="2"/>
  <c r="M2643" i="2"/>
  <c r="G2643" i="2"/>
  <c r="L2643" i="2" l="1"/>
  <c r="J2643" i="2"/>
  <c r="K2643" i="2" s="1"/>
  <c r="D2643" i="2"/>
  <c r="C2644" i="2"/>
  <c r="B2644" i="2" l="1"/>
  <c r="A2644" i="2"/>
  <c r="I2644" i="2"/>
  <c r="G2644" i="2"/>
  <c r="E2644" i="2"/>
  <c r="H2644" i="2"/>
  <c r="F2644" i="2"/>
  <c r="M2644" i="2"/>
  <c r="C2645" i="2"/>
  <c r="L2644" i="2" l="1"/>
  <c r="J2644" i="2"/>
  <c r="K2644" i="2" s="1"/>
  <c r="D2644" i="2"/>
  <c r="B2645" i="2"/>
  <c r="A2645" i="2"/>
  <c r="G2645" i="2"/>
  <c r="E2645" i="2"/>
  <c r="I2645" i="2"/>
  <c r="F2645" i="2"/>
  <c r="H2645" i="2"/>
  <c r="M2645" i="2"/>
  <c r="C2646" i="2"/>
  <c r="L2645" i="2" l="1"/>
  <c r="D2645" i="2"/>
  <c r="J2645" i="2"/>
  <c r="K2645" i="2" s="1"/>
  <c r="B2646" i="2"/>
  <c r="A2646" i="2"/>
  <c r="M2646" i="2"/>
  <c r="I2646" i="2"/>
  <c r="G2646" i="2"/>
  <c r="H2646" i="2"/>
  <c r="E2646" i="2"/>
  <c r="F2646" i="2"/>
  <c r="C2647" i="2"/>
  <c r="L2646" i="2" l="1"/>
  <c r="J2646" i="2"/>
  <c r="K2646" i="2" s="1"/>
  <c r="D2646" i="2"/>
  <c r="A2647" i="2"/>
  <c r="B2647" i="2"/>
  <c r="I2647" i="2"/>
  <c r="M2647" i="2"/>
  <c r="E2647" i="2"/>
  <c r="H2647" i="2"/>
  <c r="G2647" i="2"/>
  <c r="F2647" i="2"/>
  <c r="L2647" i="2" l="1"/>
  <c r="J2647" i="2"/>
  <c r="K2647" i="2" s="1"/>
  <c r="D2647" i="2"/>
  <c r="C2648" i="2"/>
  <c r="A2648" i="2" l="1"/>
  <c r="B2648" i="2"/>
  <c r="E2648" i="2"/>
  <c r="G2648" i="2"/>
  <c r="M2648" i="2"/>
  <c r="F2648" i="2"/>
  <c r="H2648" i="2"/>
  <c r="I2648" i="2"/>
  <c r="C2649" i="2"/>
  <c r="L2648" i="2" l="1"/>
  <c r="J2648" i="2"/>
  <c r="K2648" i="2" s="1"/>
  <c r="D2648" i="2"/>
  <c r="B2649" i="2"/>
  <c r="A2649" i="2"/>
  <c r="H2649" i="2"/>
  <c r="M2649" i="2"/>
  <c r="F2649" i="2"/>
  <c r="G2649" i="2"/>
  <c r="E2649" i="2"/>
  <c r="I2649" i="2"/>
  <c r="C2650" i="2"/>
  <c r="L2649" i="2" l="1"/>
  <c r="D2649" i="2"/>
  <c r="J2649" i="2"/>
  <c r="K2649" i="2" s="1"/>
  <c r="B2650" i="2"/>
  <c r="A2650" i="2"/>
  <c r="E2650" i="2"/>
  <c r="F2650" i="2"/>
  <c r="M2650" i="2"/>
  <c r="I2650" i="2"/>
  <c r="H2650" i="2"/>
  <c r="G2650" i="2"/>
  <c r="C2651" i="2"/>
  <c r="L2650" i="2" l="1"/>
  <c r="D2650" i="2"/>
  <c r="J2650" i="2"/>
  <c r="K2650" i="2" s="1"/>
  <c r="A2651" i="2"/>
  <c r="B2651" i="2"/>
  <c r="G2651" i="2"/>
  <c r="E2651" i="2"/>
  <c r="M2651" i="2"/>
  <c r="H2651" i="2"/>
  <c r="I2651" i="2"/>
  <c r="F2651" i="2"/>
  <c r="L2651" i="2" l="1"/>
  <c r="J2651" i="2"/>
  <c r="K2651" i="2" s="1"/>
  <c r="D2651" i="2"/>
  <c r="C2652" i="2"/>
  <c r="A2652" i="2" l="1"/>
  <c r="B2652" i="2"/>
  <c r="G2652" i="2"/>
  <c r="H2652" i="2"/>
  <c r="F2652" i="2"/>
  <c r="M2652" i="2"/>
  <c r="I2652" i="2"/>
  <c r="E2652" i="2"/>
  <c r="C2653" i="2"/>
  <c r="L2652" i="2" l="1"/>
  <c r="J2652" i="2"/>
  <c r="K2652" i="2" s="1"/>
  <c r="D2652" i="2"/>
  <c r="B2653" i="2"/>
  <c r="A2653" i="2"/>
  <c r="I2653" i="2"/>
  <c r="G2653" i="2"/>
  <c r="E2653" i="2"/>
  <c r="F2653" i="2"/>
  <c r="H2653" i="2"/>
  <c r="M2653" i="2"/>
  <c r="C2654" i="2"/>
  <c r="L2653" i="2" l="1"/>
  <c r="D2653" i="2"/>
  <c r="J2653" i="2"/>
  <c r="K2653" i="2" s="1"/>
  <c r="B2654" i="2"/>
  <c r="A2654" i="2"/>
  <c r="G2654" i="2"/>
  <c r="H2654" i="2"/>
  <c r="I2654" i="2"/>
  <c r="F2654" i="2"/>
  <c r="M2654" i="2"/>
  <c r="E2654" i="2"/>
  <c r="C2655" i="2"/>
  <c r="L2654" i="2" l="1"/>
  <c r="J2654" i="2"/>
  <c r="K2654" i="2" s="1"/>
  <c r="D2654" i="2"/>
  <c r="A2655" i="2"/>
  <c r="B2655" i="2"/>
  <c r="F2655" i="2"/>
  <c r="E2655" i="2"/>
  <c r="I2655" i="2"/>
  <c r="M2655" i="2"/>
  <c r="G2655" i="2"/>
  <c r="H2655" i="2"/>
  <c r="L2655" i="2" l="1"/>
  <c r="D2655" i="2"/>
  <c r="J2655" i="2"/>
  <c r="K2655" i="2" s="1"/>
  <c r="C2656" i="2"/>
  <c r="A2656" i="2" l="1"/>
  <c r="B2656" i="2"/>
  <c r="E2656" i="2"/>
  <c r="F2656" i="2"/>
  <c r="H2656" i="2"/>
  <c r="M2656" i="2"/>
  <c r="G2656" i="2"/>
  <c r="I2656" i="2"/>
  <c r="C2657" i="2"/>
  <c r="L2656" i="2" l="1"/>
  <c r="D2656" i="2"/>
  <c r="J2656" i="2"/>
  <c r="K2656" i="2" s="1"/>
  <c r="A2657" i="2"/>
  <c r="B2657" i="2"/>
  <c r="F2657" i="2"/>
  <c r="H2657" i="2"/>
  <c r="M2657" i="2"/>
  <c r="G2657" i="2"/>
  <c r="E2657" i="2"/>
  <c r="I2657" i="2"/>
  <c r="L2657" i="2" l="1"/>
  <c r="D2657" i="2"/>
  <c r="J2657" i="2"/>
  <c r="K2657" i="2" s="1"/>
  <c r="C2658" i="2"/>
  <c r="B2658" i="2" l="1"/>
  <c r="A2658" i="2"/>
  <c r="M2658" i="2"/>
  <c r="F2658" i="2"/>
  <c r="G2658" i="2"/>
  <c r="I2658" i="2"/>
  <c r="H2658" i="2"/>
  <c r="E2658" i="2"/>
  <c r="L2658" i="2" l="1"/>
  <c r="D2658" i="2"/>
  <c r="J2658" i="2"/>
  <c r="K2658" i="2" s="1"/>
  <c r="C2659" i="2"/>
  <c r="A2659" i="2" l="1"/>
  <c r="B2659" i="2"/>
  <c r="G2659" i="2"/>
  <c r="I2659" i="2"/>
  <c r="M2659" i="2"/>
  <c r="F2659" i="2"/>
  <c r="H2659" i="2"/>
  <c r="E2659" i="2"/>
  <c r="L2659" i="2" l="1"/>
  <c r="J2659" i="2"/>
  <c r="K2659" i="2" s="1"/>
  <c r="D2659" i="2"/>
  <c r="C2660" i="2"/>
  <c r="A2660" i="2" l="1"/>
  <c r="B2660" i="2"/>
  <c r="E2660" i="2"/>
  <c r="F2660" i="2"/>
  <c r="G2660" i="2"/>
  <c r="I2660" i="2"/>
  <c r="H2660" i="2"/>
  <c r="M2660" i="2"/>
  <c r="C2661" i="2"/>
  <c r="L2660" i="2" l="1"/>
  <c r="J2660" i="2"/>
  <c r="K2660" i="2" s="1"/>
  <c r="D2660" i="2"/>
  <c r="A2661" i="2"/>
  <c r="B2661" i="2"/>
  <c r="G2661" i="2"/>
  <c r="E2661" i="2"/>
  <c r="M2661" i="2"/>
  <c r="H2661" i="2"/>
  <c r="F2661" i="2"/>
  <c r="I2661" i="2"/>
  <c r="C2662" i="2"/>
  <c r="L2661" i="2" l="1"/>
  <c r="D2661" i="2"/>
  <c r="J2661" i="2"/>
  <c r="K2661" i="2" s="1"/>
  <c r="A2662" i="2"/>
  <c r="B2662" i="2"/>
  <c r="I2662" i="2"/>
  <c r="G2662" i="2"/>
  <c r="E2662" i="2"/>
  <c r="M2662" i="2"/>
  <c r="H2662" i="2"/>
  <c r="F2662" i="2"/>
  <c r="C2663" i="2"/>
  <c r="L2662" i="2" l="1"/>
  <c r="J2662" i="2"/>
  <c r="K2662" i="2" s="1"/>
  <c r="D2662" i="2"/>
  <c r="B2663" i="2"/>
  <c r="A2663" i="2"/>
  <c r="G2663" i="2"/>
  <c r="M2663" i="2"/>
  <c r="E2663" i="2"/>
  <c r="I2663" i="2"/>
  <c r="F2663" i="2"/>
  <c r="H2663" i="2"/>
  <c r="C2664" i="2"/>
  <c r="L2663" i="2" l="1"/>
  <c r="D2663" i="2"/>
  <c r="J2663" i="2"/>
  <c r="K2663" i="2" s="1"/>
  <c r="B2664" i="2"/>
  <c r="A2664" i="2"/>
  <c r="G2664" i="2"/>
  <c r="F2664" i="2"/>
  <c r="H2664" i="2"/>
  <c r="M2664" i="2"/>
  <c r="I2664" i="2"/>
  <c r="E2664" i="2"/>
  <c r="C2665" i="2"/>
  <c r="L2664" i="2" l="1"/>
  <c r="D2664" i="2"/>
  <c r="J2664" i="2"/>
  <c r="K2664" i="2" s="1"/>
  <c r="A2665" i="2"/>
  <c r="B2665" i="2"/>
  <c r="E2665" i="2"/>
  <c r="F2665" i="2"/>
  <c r="H2665" i="2"/>
  <c r="G2665" i="2"/>
  <c r="I2665" i="2"/>
  <c r="M2665" i="2"/>
  <c r="L2665" i="2" l="1"/>
  <c r="J2665" i="2"/>
  <c r="K2665" i="2" s="1"/>
  <c r="D2665" i="2"/>
  <c r="C2666" i="2"/>
  <c r="B2666" i="2" l="1"/>
  <c r="A2666" i="2"/>
  <c r="E2666" i="2"/>
  <c r="G2666" i="2"/>
  <c r="F2666" i="2"/>
  <c r="I2666" i="2"/>
  <c r="H2666" i="2"/>
  <c r="M2666" i="2"/>
  <c r="L2666" i="2" l="1"/>
  <c r="J2666" i="2"/>
  <c r="K2666" i="2" s="1"/>
  <c r="D2666" i="2"/>
  <c r="C2667" i="2"/>
  <c r="B2667" i="2" l="1"/>
  <c r="A2667" i="2"/>
  <c r="F2667" i="2"/>
  <c r="H2667" i="2"/>
  <c r="E2667" i="2"/>
  <c r="M2667" i="2"/>
  <c r="G2667" i="2"/>
  <c r="I2667" i="2"/>
  <c r="L2667" i="2" l="1"/>
  <c r="D2667" i="2"/>
  <c r="J2667" i="2"/>
  <c r="K2667" i="2" s="1"/>
  <c r="C2668" i="2"/>
  <c r="B2668" i="2" l="1"/>
  <c r="A2668" i="2"/>
  <c r="E2668" i="2"/>
  <c r="M2668" i="2"/>
  <c r="F2668" i="2"/>
  <c r="I2668" i="2"/>
  <c r="H2668" i="2"/>
  <c r="G2668" i="2"/>
  <c r="C2669" i="2"/>
  <c r="L2668" i="2" l="1"/>
  <c r="J2668" i="2"/>
  <c r="K2668" i="2" s="1"/>
  <c r="D2668" i="2"/>
  <c r="A2669" i="2"/>
  <c r="B2669" i="2"/>
  <c r="H2669" i="2"/>
  <c r="M2669" i="2"/>
  <c r="I2669" i="2"/>
  <c r="G2669" i="2"/>
  <c r="F2669" i="2"/>
  <c r="E2669" i="2"/>
  <c r="L2669" i="2" l="1"/>
  <c r="J2669" i="2"/>
  <c r="K2669" i="2" s="1"/>
  <c r="D2669" i="2"/>
  <c r="C2670" i="2"/>
  <c r="B2670" i="2" l="1"/>
  <c r="A2670" i="2"/>
  <c r="E2670" i="2"/>
  <c r="M2670" i="2"/>
  <c r="F2670" i="2"/>
  <c r="G2670" i="2"/>
  <c r="I2670" i="2"/>
  <c r="H2670" i="2"/>
  <c r="C2671" i="2"/>
  <c r="L2670" i="2" l="1"/>
  <c r="J2670" i="2"/>
  <c r="K2670" i="2" s="1"/>
  <c r="D2670" i="2"/>
  <c r="B2671" i="2"/>
  <c r="A2671" i="2"/>
  <c r="M2671" i="2"/>
  <c r="H2671" i="2"/>
  <c r="E2671" i="2"/>
  <c r="I2671" i="2"/>
  <c r="F2671" i="2"/>
  <c r="G2671" i="2"/>
  <c r="L2671" i="2" l="1"/>
  <c r="D2671" i="2"/>
  <c r="J2671" i="2"/>
  <c r="K2671" i="2" s="1"/>
  <c r="C2672" i="2"/>
  <c r="B2672" i="2" l="1"/>
  <c r="A2672" i="2"/>
  <c r="H2672" i="2"/>
  <c r="I2672" i="2"/>
  <c r="F2672" i="2"/>
  <c r="M2672" i="2"/>
  <c r="G2672" i="2"/>
  <c r="E2672" i="2"/>
  <c r="C2673" i="2"/>
  <c r="L2672" i="2" l="1"/>
  <c r="D2672" i="2"/>
  <c r="J2672" i="2"/>
  <c r="K2672" i="2" s="1"/>
  <c r="A2673" i="2"/>
  <c r="B2673" i="2"/>
  <c r="G2673" i="2"/>
  <c r="H2673" i="2"/>
  <c r="M2673" i="2"/>
  <c r="I2673" i="2"/>
  <c r="E2673" i="2"/>
  <c r="F2673" i="2"/>
  <c r="L2673" i="2" l="1"/>
  <c r="J2673" i="2"/>
  <c r="K2673" i="2" s="1"/>
  <c r="D2673" i="2"/>
  <c r="C2674" i="2"/>
  <c r="B2674" i="2" l="1"/>
  <c r="A2674" i="2"/>
  <c r="G2674" i="2"/>
  <c r="I2674" i="2"/>
  <c r="E2674" i="2"/>
  <c r="H2674" i="2"/>
  <c r="M2674" i="2"/>
  <c r="F2674" i="2"/>
  <c r="L2674" i="2" l="1"/>
  <c r="J2674" i="2"/>
  <c r="K2674" i="2" s="1"/>
  <c r="D2674" i="2"/>
  <c r="C2675" i="2"/>
  <c r="B2675" i="2" l="1"/>
  <c r="A2675" i="2"/>
  <c r="E2675" i="2"/>
  <c r="H2675" i="2"/>
  <c r="M2675" i="2"/>
  <c r="G2675" i="2"/>
  <c r="F2675" i="2"/>
  <c r="I2675" i="2"/>
  <c r="C2676" i="2"/>
  <c r="L2675" i="2" l="1"/>
  <c r="D2675" i="2"/>
  <c r="J2675" i="2"/>
  <c r="K2675" i="2" s="1"/>
  <c r="B2676" i="2"/>
  <c r="A2676" i="2"/>
  <c r="F2676" i="2"/>
  <c r="E2676" i="2"/>
  <c r="G2676" i="2"/>
  <c r="H2676" i="2"/>
  <c r="M2676" i="2"/>
  <c r="I2676" i="2"/>
  <c r="C2677" i="2"/>
  <c r="L2676" i="2" l="1"/>
  <c r="D2676" i="2"/>
  <c r="J2676" i="2"/>
  <c r="K2676" i="2" s="1"/>
  <c r="A2677" i="2"/>
  <c r="B2677" i="2"/>
  <c r="G2677" i="2"/>
  <c r="I2677" i="2"/>
  <c r="E2677" i="2"/>
  <c r="F2677" i="2"/>
  <c r="H2677" i="2"/>
  <c r="M2677" i="2"/>
  <c r="L2677" i="2" l="1"/>
  <c r="J2677" i="2"/>
  <c r="K2677" i="2" s="1"/>
  <c r="D2677" i="2"/>
  <c r="C2678" i="2"/>
  <c r="A2678" i="2" l="1"/>
  <c r="B2678" i="2"/>
  <c r="F2678" i="2"/>
  <c r="I2678" i="2"/>
  <c r="E2678" i="2"/>
  <c r="G2678" i="2"/>
  <c r="H2678" i="2"/>
  <c r="M2678" i="2"/>
  <c r="L2678" i="2" l="1"/>
  <c r="D2678" i="2"/>
  <c r="J2678" i="2"/>
  <c r="K2678" i="2" s="1"/>
  <c r="C2679" i="2"/>
  <c r="A2679" i="2" l="1"/>
  <c r="B2679" i="2"/>
  <c r="G2679" i="2"/>
  <c r="M2679" i="2"/>
  <c r="H2679" i="2"/>
  <c r="E2679" i="2"/>
  <c r="F2679" i="2"/>
  <c r="I2679" i="2"/>
  <c r="L2679" i="2" l="1"/>
  <c r="D2679" i="2"/>
  <c r="J2679" i="2"/>
  <c r="K2679" i="2" s="1"/>
  <c r="C2680" i="2"/>
  <c r="A2680" i="2" l="1"/>
  <c r="B2680" i="2"/>
  <c r="H2680" i="2"/>
  <c r="M2680" i="2"/>
  <c r="I2680" i="2"/>
  <c r="G2680" i="2"/>
  <c r="F2680" i="2"/>
  <c r="E2680" i="2"/>
  <c r="L2680" i="2" l="1"/>
  <c r="D2680" i="2"/>
  <c r="J2680" i="2"/>
  <c r="K2680" i="2" s="1"/>
  <c r="C2681" i="2"/>
  <c r="A2681" i="2" l="1"/>
  <c r="B2681" i="2"/>
  <c r="F2681" i="2"/>
  <c r="M2681" i="2"/>
  <c r="G2681" i="2"/>
  <c r="I2681" i="2"/>
  <c r="E2681" i="2"/>
  <c r="H2681" i="2"/>
  <c r="L2681" i="2" l="1"/>
  <c r="D2681" i="2"/>
  <c r="J2681" i="2"/>
  <c r="K2681" i="2" s="1"/>
  <c r="C2682" i="2"/>
  <c r="A2682" i="2" l="1"/>
  <c r="B2682" i="2"/>
  <c r="F2682" i="2"/>
  <c r="I2682" i="2"/>
  <c r="G2682" i="2"/>
  <c r="M2682" i="2"/>
  <c r="H2682" i="2"/>
  <c r="E2682" i="2"/>
  <c r="C2683" i="2"/>
  <c r="L2682" i="2" l="1"/>
  <c r="J2682" i="2"/>
  <c r="K2682" i="2" s="1"/>
  <c r="D2682" i="2"/>
  <c r="A2683" i="2"/>
  <c r="B2683" i="2"/>
  <c r="M2683" i="2"/>
  <c r="G2683" i="2"/>
  <c r="E2683" i="2"/>
  <c r="F2683" i="2"/>
  <c r="H2683" i="2"/>
  <c r="I2683" i="2"/>
  <c r="L2683" i="2" l="1"/>
  <c r="D2683" i="2"/>
  <c r="J2683" i="2"/>
  <c r="K2683" i="2" s="1"/>
  <c r="C2684" i="2"/>
  <c r="B2684" i="2" l="1"/>
  <c r="A2684" i="2"/>
  <c r="G2684" i="2"/>
  <c r="F2684" i="2"/>
  <c r="H2684" i="2"/>
  <c r="I2684" i="2"/>
  <c r="M2684" i="2"/>
  <c r="E2684" i="2"/>
  <c r="C2685" i="2"/>
  <c r="L2684" i="2" l="1"/>
  <c r="J2684" i="2"/>
  <c r="K2684" i="2" s="1"/>
  <c r="D2684" i="2"/>
  <c r="A2685" i="2"/>
  <c r="B2685" i="2"/>
  <c r="M2685" i="2"/>
  <c r="F2685" i="2"/>
  <c r="G2685" i="2"/>
  <c r="I2685" i="2"/>
  <c r="E2685" i="2"/>
  <c r="H2685" i="2"/>
  <c r="L2685" i="2" l="1"/>
  <c r="J2685" i="2"/>
  <c r="K2685" i="2" s="1"/>
  <c r="D2685" i="2"/>
  <c r="C2686" i="2"/>
  <c r="A2686" i="2" l="1"/>
  <c r="B2686" i="2"/>
  <c r="F2686" i="2"/>
  <c r="I2686" i="2"/>
  <c r="G2686" i="2"/>
  <c r="H2686" i="2"/>
  <c r="M2686" i="2"/>
  <c r="E2686" i="2"/>
  <c r="C2687" i="2"/>
  <c r="L2686" i="2" l="1"/>
  <c r="J2686" i="2"/>
  <c r="K2686" i="2" s="1"/>
  <c r="D2686" i="2"/>
  <c r="A2687" i="2"/>
  <c r="B2687" i="2"/>
  <c r="I2687" i="2"/>
  <c r="E2687" i="2"/>
  <c r="M2687" i="2"/>
  <c r="G2687" i="2"/>
  <c r="H2687" i="2"/>
  <c r="F2687" i="2"/>
  <c r="L2687" i="2" l="1"/>
  <c r="D2687" i="2"/>
  <c r="J2687" i="2"/>
  <c r="K2687" i="2" s="1"/>
  <c r="C2688" i="2"/>
  <c r="A2688" i="2" l="1"/>
  <c r="B2688" i="2"/>
  <c r="E2688" i="2"/>
  <c r="M2688" i="2"/>
  <c r="G2688" i="2"/>
  <c r="I2688" i="2"/>
  <c r="H2688" i="2"/>
  <c r="F2688" i="2"/>
  <c r="C2689" i="2"/>
  <c r="L2688" i="2" l="1"/>
  <c r="D2688" i="2"/>
  <c r="J2688" i="2"/>
  <c r="K2688" i="2" s="1"/>
  <c r="A2689" i="2"/>
  <c r="B2689" i="2"/>
  <c r="M2689" i="2"/>
  <c r="G2689" i="2"/>
  <c r="I2689" i="2"/>
  <c r="H2689" i="2"/>
  <c r="E2689" i="2"/>
  <c r="F2689" i="2"/>
  <c r="L2689" i="2" l="1"/>
  <c r="J2689" i="2"/>
  <c r="K2689" i="2" s="1"/>
  <c r="D2689" i="2"/>
  <c r="C2690" i="2"/>
  <c r="A2690" i="2" l="1"/>
  <c r="B2690" i="2"/>
  <c r="I2690" i="2"/>
  <c r="M2690" i="2"/>
  <c r="E2690" i="2"/>
  <c r="F2690" i="2"/>
  <c r="H2690" i="2"/>
  <c r="G2690" i="2"/>
  <c r="L2690" i="2" l="1"/>
  <c r="J2690" i="2"/>
  <c r="K2690" i="2" s="1"/>
  <c r="D2690" i="2"/>
  <c r="C2691" i="2"/>
  <c r="A2691" i="2" l="1"/>
  <c r="B2691" i="2"/>
  <c r="I2691" i="2"/>
  <c r="G2691" i="2"/>
  <c r="F2691" i="2"/>
  <c r="H2691" i="2"/>
  <c r="E2691" i="2"/>
  <c r="M2691" i="2"/>
  <c r="L2691" i="2" l="1"/>
  <c r="D2691" i="2"/>
  <c r="J2691" i="2"/>
  <c r="K2691" i="2" s="1"/>
  <c r="C2692" i="2"/>
  <c r="A2692" i="2" l="1"/>
  <c r="B2692" i="2"/>
  <c r="G2692" i="2"/>
  <c r="H2692" i="2"/>
  <c r="M2692" i="2"/>
  <c r="F2692" i="2"/>
  <c r="E2692" i="2"/>
  <c r="I2692" i="2"/>
  <c r="L2692" i="2" l="1"/>
  <c r="J2692" i="2"/>
  <c r="K2692" i="2" s="1"/>
  <c r="D2692" i="2"/>
  <c r="C2693" i="2"/>
  <c r="A2693" i="2" l="1"/>
  <c r="B2693" i="2"/>
  <c r="I2693" i="2"/>
  <c r="G2693" i="2"/>
  <c r="F2693" i="2"/>
  <c r="H2693" i="2"/>
  <c r="M2693" i="2"/>
  <c r="E2693" i="2"/>
  <c r="C2694" i="2"/>
  <c r="L2693" i="2" l="1"/>
  <c r="J2693" i="2"/>
  <c r="K2693" i="2" s="1"/>
  <c r="D2693" i="2"/>
  <c r="A2694" i="2"/>
  <c r="B2694" i="2"/>
  <c r="F2694" i="2"/>
  <c r="I2694" i="2"/>
  <c r="E2694" i="2"/>
  <c r="G2694" i="2"/>
  <c r="H2694" i="2"/>
  <c r="M2694" i="2"/>
  <c r="L2694" i="2" l="1"/>
  <c r="J2694" i="2"/>
  <c r="K2694" i="2" s="1"/>
  <c r="D2694" i="2"/>
  <c r="C2695" i="2"/>
  <c r="A2695" i="2" l="1"/>
  <c r="B2695" i="2"/>
  <c r="M2695" i="2"/>
  <c r="F2695" i="2"/>
  <c r="I2695" i="2"/>
  <c r="G2695" i="2"/>
  <c r="H2695" i="2"/>
  <c r="E2695" i="2"/>
  <c r="C2696" i="2"/>
  <c r="L2695" i="2" l="1"/>
  <c r="D2695" i="2"/>
  <c r="J2695" i="2"/>
  <c r="K2695" i="2" s="1"/>
  <c r="B2696" i="2"/>
  <c r="A2696" i="2"/>
  <c r="G2696" i="2"/>
  <c r="H2696" i="2"/>
  <c r="I2696" i="2"/>
  <c r="E2696" i="2"/>
  <c r="F2696" i="2"/>
  <c r="M2696" i="2"/>
  <c r="L2696" i="2" l="1"/>
  <c r="D2696" i="2"/>
  <c r="J2696" i="2"/>
  <c r="K2696" i="2" s="1"/>
  <c r="C2697" i="2"/>
  <c r="A2697" i="2" l="1"/>
  <c r="B2697" i="2"/>
  <c r="E2697" i="2"/>
  <c r="F2697" i="2"/>
  <c r="G2697" i="2"/>
  <c r="H2697" i="2"/>
  <c r="M2697" i="2"/>
  <c r="I2697" i="2"/>
  <c r="L2697" i="2" l="1"/>
  <c r="J2697" i="2"/>
  <c r="K2697" i="2" s="1"/>
  <c r="D2697" i="2"/>
  <c r="C2698" i="2"/>
  <c r="A2698" i="2" l="1"/>
  <c r="B2698" i="2"/>
  <c r="G2698" i="2"/>
  <c r="E2698" i="2"/>
  <c r="M2698" i="2"/>
  <c r="H2698" i="2"/>
  <c r="F2698" i="2"/>
  <c r="I2698" i="2"/>
  <c r="C2699" i="2"/>
  <c r="L2698" i="2" l="1"/>
  <c r="J2698" i="2"/>
  <c r="K2698" i="2" s="1"/>
  <c r="D2698" i="2"/>
  <c r="A2699" i="2"/>
  <c r="B2699" i="2"/>
  <c r="E2699" i="2"/>
  <c r="G2699" i="2"/>
  <c r="M2699" i="2"/>
  <c r="I2699" i="2"/>
  <c r="F2699" i="2"/>
  <c r="H2699" i="2"/>
  <c r="C2700" i="2"/>
  <c r="L2699" i="2" l="1"/>
  <c r="D2699" i="2"/>
  <c r="J2699" i="2"/>
  <c r="K2699" i="2" s="1"/>
  <c r="B2700" i="2"/>
  <c r="A2700" i="2"/>
  <c r="E2700" i="2"/>
  <c r="F2700" i="2"/>
  <c r="H2700" i="2"/>
  <c r="G2700" i="2"/>
  <c r="M2700" i="2"/>
  <c r="I2700" i="2"/>
  <c r="L2700" i="2" l="1"/>
  <c r="D2700" i="2"/>
  <c r="J2700" i="2"/>
  <c r="K2700" i="2" s="1"/>
  <c r="C2701" i="2"/>
  <c r="A2701" i="2" l="1"/>
  <c r="B2701" i="2"/>
  <c r="F2701" i="2"/>
  <c r="G2701" i="2"/>
  <c r="E2701" i="2"/>
  <c r="I2701" i="2"/>
  <c r="M2701" i="2"/>
  <c r="H2701" i="2"/>
  <c r="C2702" i="2"/>
  <c r="L2701" i="2" l="1"/>
  <c r="D2701" i="2"/>
  <c r="J2701" i="2"/>
  <c r="K2701" i="2" s="1"/>
  <c r="B2702" i="2"/>
  <c r="A2702" i="2"/>
  <c r="I2702" i="2"/>
  <c r="M2702" i="2"/>
  <c r="E2702" i="2"/>
  <c r="H2702" i="2"/>
  <c r="F2702" i="2"/>
  <c r="G2702" i="2"/>
  <c r="L2702" i="2" l="1"/>
  <c r="J2702" i="2"/>
  <c r="K2702" i="2" s="1"/>
  <c r="D2702" i="2"/>
  <c r="C2703" i="2"/>
  <c r="A2703" i="2" l="1"/>
  <c r="B2703" i="2"/>
  <c r="F2703" i="2"/>
  <c r="M2703" i="2"/>
  <c r="G2703" i="2"/>
  <c r="I2703" i="2"/>
  <c r="E2703" i="2"/>
  <c r="H2703" i="2"/>
  <c r="C2704" i="2"/>
  <c r="L2703" i="2" l="1"/>
  <c r="J2703" i="2"/>
  <c r="K2703" i="2" s="1"/>
  <c r="D2703" i="2"/>
  <c r="A2704" i="2"/>
  <c r="B2704" i="2"/>
  <c r="E2704" i="2"/>
  <c r="H2704" i="2"/>
  <c r="I2704" i="2"/>
  <c r="G2704" i="2"/>
  <c r="M2704" i="2"/>
  <c r="F2704" i="2"/>
  <c r="C2705" i="2"/>
  <c r="L2704" i="2" l="1"/>
  <c r="J2704" i="2"/>
  <c r="K2704" i="2" s="1"/>
  <c r="D2704" i="2"/>
  <c r="A2705" i="2"/>
  <c r="B2705" i="2"/>
  <c r="F2705" i="2"/>
  <c r="H2705" i="2"/>
  <c r="M2705" i="2"/>
  <c r="I2705" i="2"/>
  <c r="G2705" i="2"/>
  <c r="E2705" i="2"/>
  <c r="C2706" i="2"/>
  <c r="L2705" i="2" l="1"/>
  <c r="J2705" i="2"/>
  <c r="K2705" i="2" s="1"/>
  <c r="D2705" i="2"/>
  <c r="B2706" i="2"/>
  <c r="A2706" i="2"/>
  <c r="I2706" i="2"/>
  <c r="E2706" i="2"/>
  <c r="H2706" i="2"/>
  <c r="M2706" i="2"/>
  <c r="G2706" i="2"/>
  <c r="F2706" i="2"/>
  <c r="L2706" i="2" l="1"/>
  <c r="D2706" i="2"/>
  <c r="J2706" i="2"/>
  <c r="K2706" i="2" s="1"/>
  <c r="C2707" i="2"/>
  <c r="A2707" i="2" l="1"/>
  <c r="B2707" i="2"/>
  <c r="E2707" i="2"/>
  <c r="H2707" i="2"/>
  <c r="M2707" i="2"/>
  <c r="F2707" i="2"/>
  <c r="I2707" i="2"/>
  <c r="G2707" i="2"/>
  <c r="C2708" i="2"/>
  <c r="L2707" i="2" l="1"/>
  <c r="J2707" i="2"/>
  <c r="K2707" i="2" s="1"/>
  <c r="D2707" i="2"/>
  <c r="A2708" i="2"/>
  <c r="B2708" i="2"/>
  <c r="M2708" i="2"/>
  <c r="E2708" i="2"/>
  <c r="H2708" i="2"/>
  <c r="G2708" i="2"/>
  <c r="F2708" i="2"/>
  <c r="I2708" i="2"/>
  <c r="C2709" i="2"/>
  <c r="L2708" i="2" l="1"/>
  <c r="J2708" i="2"/>
  <c r="K2708" i="2" s="1"/>
  <c r="D2708" i="2"/>
  <c r="A2709" i="2"/>
  <c r="B2709" i="2"/>
  <c r="F2709" i="2"/>
  <c r="G2709" i="2"/>
  <c r="M2709" i="2"/>
  <c r="E2709" i="2"/>
  <c r="I2709" i="2"/>
  <c r="H2709" i="2"/>
  <c r="C2710" i="2"/>
  <c r="L2709" i="2" l="1"/>
  <c r="D2709" i="2"/>
  <c r="J2709" i="2"/>
  <c r="K2709" i="2" s="1"/>
  <c r="B2710" i="2"/>
  <c r="A2710" i="2"/>
  <c r="E2710" i="2"/>
  <c r="M2710" i="2"/>
  <c r="G2710" i="2"/>
  <c r="F2710" i="2"/>
  <c r="I2710" i="2"/>
  <c r="H2710" i="2"/>
  <c r="L2710" i="2" l="1"/>
  <c r="J2710" i="2"/>
  <c r="K2710" i="2" s="1"/>
  <c r="D2710" i="2"/>
  <c r="C2711" i="2"/>
  <c r="A2711" i="2" l="1"/>
  <c r="B2711" i="2"/>
  <c r="E2711" i="2"/>
  <c r="M2711" i="2"/>
  <c r="I2711" i="2"/>
  <c r="G2711" i="2"/>
  <c r="F2711" i="2"/>
  <c r="H2711" i="2"/>
  <c r="C2712" i="2"/>
  <c r="L2711" i="2" l="1"/>
  <c r="J2711" i="2"/>
  <c r="K2711" i="2" s="1"/>
  <c r="D2711" i="2"/>
  <c r="A2712" i="2"/>
  <c r="B2712" i="2"/>
  <c r="F2712" i="2"/>
  <c r="M2712" i="2"/>
  <c r="E2712" i="2"/>
  <c r="I2712" i="2"/>
  <c r="H2712" i="2"/>
  <c r="G2712" i="2"/>
  <c r="L2712" i="2" l="1"/>
  <c r="D2712" i="2"/>
  <c r="J2712" i="2"/>
  <c r="K2712" i="2" s="1"/>
  <c r="C2713" i="2"/>
  <c r="A2713" i="2" l="1"/>
  <c r="B2713" i="2"/>
  <c r="M2713" i="2"/>
  <c r="I2713" i="2"/>
  <c r="G2713" i="2"/>
  <c r="E2713" i="2"/>
  <c r="F2713" i="2"/>
  <c r="H2713" i="2"/>
  <c r="C2714" i="2"/>
  <c r="L2713" i="2" l="1"/>
  <c r="D2713" i="2"/>
  <c r="J2713" i="2"/>
  <c r="K2713" i="2" s="1"/>
  <c r="B2714" i="2"/>
  <c r="A2714" i="2"/>
  <c r="H2714" i="2"/>
  <c r="G2714" i="2"/>
  <c r="E2714" i="2"/>
  <c r="I2714" i="2"/>
  <c r="F2714" i="2"/>
  <c r="M2714" i="2"/>
  <c r="L2714" i="2" l="1"/>
  <c r="J2714" i="2"/>
  <c r="K2714" i="2" s="1"/>
  <c r="D2714" i="2"/>
  <c r="C2715" i="2"/>
  <c r="A2715" i="2" l="1"/>
  <c r="B2715" i="2"/>
  <c r="M2715" i="2"/>
  <c r="F2715" i="2"/>
  <c r="G2715" i="2"/>
  <c r="E2715" i="2"/>
  <c r="H2715" i="2"/>
  <c r="I2715" i="2"/>
  <c r="C2716" i="2"/>
  <c r="L2715" i="2" l="1"/>
  <c r="J2715" i="2"/>
  <c r="K2715" i="2" s="1"/>
  <c r="D2715" i="2"/>
  <c r="A2716" i="2"/>
  <c r="B2716" i="2"/>
  <c r="M2716" i="2"/>
  <c r="H2716" i="2"/>
  <c r="G2716" i="2"/>
  <c r="I2716" i="2"/>
  <c r="E2716" i="2"/>
  <c r="F2716" i="2"/>
  <c r="L2716" i="2" l="1"/>
  <c r="J2716" i="2"/>
  <c r="K2716" i="2" s="1"/>
  <c r="D2716" i="2"/>
  <c r="C2717" i="2"/>
  <c r="B2717" i="2" l="1"/>
  <c r="A2717" i="2"/>
  <c r="I2717" i="2"/>
  <c r="G2717" i="2"/>
  <c r="M2717" i="2"/>
  <c r="H2717" i="2"/>
  <c r="E2717" i="2"/>
  <c r="F2717" i="2"/>
  <c r="L2717" i="2" l="1"/>
  <c r="D2717" i="2"/>
  <c r="J2717" i="2"/>
  <c r="K2717" i="2" s="1"/>
  <c r="C2718" i="2"/>
  <c r="B2718" i="2" l="1"/>
  <c r="A2718" i="2"/>
  <c r="E2718" i="2"/>
  <c r="F2718" i="2"/>
  <c r="I2718" i="2"/>
  <c r="G2718" i="2"/>
  <c r="M2718" i="2"/>
  <c r="H2718" i="2"/>
  <c r="C2719" i="2"/>
  <c r="L2718" i="2" l="1"/>
  <c r="J2718" i="2"/>
  <c r="K2718" i="2" s="1"/>
  <c r="D2718" i="2"/>
  <c r="A2719" i="2"/>
  <c r="B2719" i="2"/>
  <c r="F2719" i="2"/>
  <c r="M2719" i="2"/>
  <c r="E2719" i="2"/>
  <c r="I2719" i="2"/>
  <c r="H2719" i="2"/>
  <c r="G2719" i="2"/>
  <c r="L2719" i="2" l="1"/>
  <c r="J2719" i="2"/>
  <c r="K2719" i="2" s="1"/>
  <c r="D2719" i="2"/>
  <c r="C2720" i="2"/>
  <c r="A2720" i="2" l="1"/>
  <c r="B2720" i="2"/>
  <c r="H2720" i="2"/>
  <c r="F2720" i="2"/>
  <c r="E2720" i="2"/>
  <c r="I2720" i="2"/>
  <c r="M2720" i="2"/>
  <c r="G2720" i="2"/>
  <c r="C2721" i="2"/>
  <c r="L2720" i="2" l="1"/>
  <c r="J2720" i="2"/>
  <c r="K2720" i="2" s="1"/>
  <c r="D2720" i="2"/>
  <c r="B2721" i="2"/>
  <c r="A2721" i="2"/>
  <c r="E2721" i="2"/>
  <c r="G2721" i="2"/>
  <c r="H2721" i="2"/>
  <c r="F2721" i="2"/>
  <c r="I2721" i="2"/>
  <c r="M2721" i="2"/>
  <c r="L2721" i="2" l="1"/>
  <c r="J2721" i="2"/>
  <c r="K2721" i="2" s="1"/>
  <c r="D2721" i="2"/>
  <c r="C2722" i="2"/>
  <c r="A2722" i="2" l="1"/>
  <c r="B2722" i="2"/>
  <c r="M2722" i="2"/>
  <c r="E2722" i="2"/>
  <c r="H2722" i="2"/>
  <c r="G2722" i="2"/>
  <c r="F2722" i="2"/>
  <c r="I2722" i="2"/>
  <c r="L2722" i="2" l="1"/>
  <c r="D2722" i="2"/>
  <c r="J2722" i="2"/>
  <c r="K2722" i="2" s="1"/>
  <c r="C2723" i="2"/>
  <c r="A2723" i="2" l="1"/>
  <c r="B2723" i="2"/>
  <c r="E2723" i="2"/>
  <c r="I2723" i="2"/>
  <c r="M2723" i="2"/>
  <c r="H2723" i="2"/>
  <c r="F2723" i="2"/>
  <c r="G2723" i="2"/>
  <c r="L2723" i="2" l="1"/>
  <c r="J2723" i="2"/>
  <c r="K2723" i="2" s="1"/>
  <c r="D2723" i="2"/>
  <c r="C2724" i="2"/>
  <c r="B2724" i="2" l="1"/>
  <c r="A2724" i="2"/>
  <c r="G2724" i="2"/>
  <c r="F2724" i="2"/>
  <c r="H2724" i="2"/>
  <c r="M2724" i="2"/>
  <c r="E2724" i="2"/>
  <c r="I2724" i="2"/>
  <c r="C2725" i="2"/>
  <c r="L2724" i="2" l="1"/>
  <c r="J2724" i="2"/>
  <c r="K2724" i="2" s="1"/>
  <c r="D2724" i="2"/>
  <c r="B2725" i="2"/>
  <c r="A2725" i="2"/>
  <c r="M2725" i="2"/>
  <c r="I2725" i="2"/>
  <c r="F2725" i="2"/>
  <c r="G2725" i="2"/>
  <c r="E2725" i="2"/>
  <c r="H2725" i="2"/>
  <c r="L2725" i="2" l="1"/>
  <c r="D2725" i="2"/>
  <c r="J2725" i="2"/>
  <c r="K2725" i="2" s="1"/>
  <c r="C2726" i="2"/>
  <c r="A2726" i="2" l="1"/>
  <c r="B2726" i="2"/>
  <c r="M2726" i="2"/>
  <c r="E2726" i="2"/>
  <c r="G2726" i="2"/>
  <c r="F2726" i="2"/>
  <c r="I2726" i="2"/>
  <c r="H2726" i="2"/>
  <c r="C2727" i="2"/>
  <c r="L2726" i="2" l="1"/>
  <c r="J2726" i="2"/>
  <c r="K2726" i="2" s="1"/>
  <c r="D2726" i="2"/>
  <c r="A2727" i="2"/>
  <c r="B2727" i="2"/>
  <c r="F2727" i="2"/>
  <c r="G2727" i="2"/>
  <c r="I2727" i="2"/>
  <c r="E2727" i="2"/>
  <c r="M2727" i="2"/>
  <c r="H2727" i="2"/>
  <c r="C2728" i="2"/>
  <c r="L2727" i="2" l="1"/>
  <c r="J2727" i="2"/>
  <c r="K2727" i="2" s="1"/>
  <c r="D2727" i="2"/>
  <c r="A2728" i="2"/>
  <c r="B2728" i="2"/>
  <c r="G2728" i="2"/>
  <c r="I2728" i="2"/>
  <c r="M2728" i="2"/>
  <c r="F2728" i="2"/>
  <c r="H2728" i="2"/>
  <c r="E2728" i="2"/>
  <c r="C2729" i="2"/>
  <c r="L2728" i="2" l="1"/>
  <c r="J2728" i="2"/>
  <c r="K2728" i="2" s="1"/>
  <c r="D2728" i="2"/>
  <c r="B2729" i="2"/>
  <c r="A2729" i="2"/>
  <c r="E2729" i="2"/>
  <c r="G2729" i="2"/>
  <c r="H2729" i="2"/>
  <c r="M2729" i="2"/>
  <c r="I2729" i="2"/>
  <c r="F2729" i="2"/>
  <c r="C2730" i="2"/>
  <c r="L2729" i="2" l="1"/>
  <c r="D2729" i="2"/>
  <c r="J2729" i="2"/>
  <c r="K2729" i="2" s="1"/>
  <c r="B2730" i="2"/>
  <c r="A2730" i="2"/>
  <c r="G2730" i="2"/>
  <c r="F2730" i="2"/>
  <c r="M2730" i="2"/>
  <c r="I2730" i="2"/>
  <c r="H2730" i="2"/>
  <c r="E2730" i="2"/>
  <c r="L2730" i="2" l="1"/>
  <c r="J2730" i="2"/>
  <c r="K2730" i="2" s="1"/>
  <c r="D2730" i="2"/>
  <c r="C2731" i="2"/>
  <c r="A2731" i="2" l="1"/>
  <c r="B2731" i="2"/>
  <c r="I2731" i="2"/>
  <c r="H2731" i="2"/>
  <c r="G2731" i="2"/>
  <c r="E2731" i="2"/>
  <c r="F2731" i="2"/>
  <c r="M2731" i="2"/>
  <c r="L2731" i="2" l="1"/>
  <c r="J2731" i="2"/>
  <c r="K2731" i="2" s="1"/>
  <c r="D2731" i="2"/>
  <c r="C2732" i="2"/>
  <c r="B2732" i="2" l="1"/>
  <c r="A2732" i="2"/>
  <c r="G2732" i="2"/>
  <c r="H2732" i="2"/>
  <c r="E2732" i="2"/>
  <c r="I2732" i="2"/>
  <c r="F2732" i="2"/>
  <c r="M2732" i="2"/>
  <c r="C2733" i="2"/>
  <c r="L2732" i="2" l="1"/>
  <c r="J2732" i="2"/>
  <c r="K2732" i="2" s="1"/>
  <c r="D2732" i="2"/>
  <c r="B2733" i="2"/>
  <c r="A2733" i="2"/>
  <c r="H2733" i="2"/>
  <c r="M2733" i="2"/>
  <c r="E2733" i="2"/>
  <c r="I2733" i="2"/>
  <c r="F2733" i="2"/>
  <c r="G2733" i="2"/>
  <c r="C2734" i="2"/>
  <c r="L2733" i="2" l="1"/>
  <c r="D2733" i="2"/>
  <c r="J2733" i="2"/>
  <c r="K2733" i="2" s="1"/>
  <c r="B2734" i="2"/>
  <c r="A2734" i="2"/>
  <c r="E2734" i="2"/>
  <c r="M2734" i="2"/>
  <c r="I2734" i="2"/>
  <c r="G2734" i="2"/>
  <c r="H2734" i="2"/>
  <c r="F2734" i="2"/>
  <c r="L2734" i="2" l="1"/>
  <c r="D2734" i="2"/>
  <c r="J2734" i="2"/>
  <c r="K2734" i="2" s="1"/>
  <c r="C2735" i="2"/>
  <c r="B2735" i="2" l="1"/>
  <c r="A2735" i="2"/>
  <c r="F2735" i="2"/>
  <c r="E2735" i="2"/>
  <c r="M2735" i="2"/>
  <c r="I2735" i="2"/>
  <c r="G2735" i="2"/>
  <c r="H2735" i="2"/>
  <c r="C2736" i="2"/>
  <c r="L2735" i="2" l="1"/>
  <c r="J2735" i="2"/>
  <c r="K2735" i="2" s="1"/>
  <c r="D2735" i="2"/>
  <c r="A2736" i="2"/>
  <c r="B2736" i="2"/>
  <c r="G2736" i="2"/>
  <c r="F2736" i="2"/>
  <c r="E2736" i="2"/>
  <c r="M2736" i="2"/>
  <c r="H2736" i="2"/>
  <c r="I2736" i="2"/>
  <c r="C2737" i="2"/>
  <c r="L2736" i="2" l="1"/>
  <c r="D2736" i="2"/>
  <c r="J2736" i="2"/>
  <c r="K2736" i="2" s="1"/>
  <c r="A2737" i="2"/>
  <c r="B2737" i="2"/>
  <c r="G2737" i="2"/>
  <c r="E2737" i="2"/>
  <c r="I2737" i="2"/>
  <c r="H2737" i="2"/>
  <c r="F2737" i="2"/>
  <c r="M2737" i="2"/>
  <c r="C2738" i="2"/>
  <c r="L2737" i="2" l="1"/>
  <c r="D2737" i="2"/>
  <c r="J2737" i="2"/>
  <c r="K2737" i="2" s="1"/>
  <c r="B2738" i="2"/>
  <c r="A2738" i="2"/>
  <c r="E2738" i="2"/>
  <c r="F2738" i="2"/>
  <c r="H2738" i="2"/>
  <c r="M2738" i="2"/>
  <c r="I2738" i="2"/>
  <c r="G2738" i="2"/>
  <c r="C2739" i="2"/>
  <c r="L2738" i="2" l="1"/>
  <c r="J2738" i="2"/>
  <c r="K2738" i="2" s="1"/>
  <c r="D2738" i="2"/>
  <c r="A2739" i="2"/>
  <c r="B2739" i="2"/>
  <c r="G2739" i="2"/>
  <c r="F2739" i="2"/>
  <c r="H2739" i="2"/>
  <c r="M2739" i="2"/>
  <c r="E2739" i="2"/>
  <c r="I2739" i="2"/>
  <c r="L2739" i="2" l="1"/>
  <c r="J2739" i="2"/>
  <c r="K2739" i="2" s="1"/>
  <c r="D2739" i="2"/>
  <c r="C2740" i="2"/>
  <c r="A2740" i="2" l="1"/>
  <c r="B2740" i="2"/>
  <c r="G2740" i="2"/>
  <c r="E2740" i="2"/>
  <c r="F2740" i="2"/>
  <c r="H2740" i="2"/>
  <c r="M2740" i="2"/>
  <c r="I2740" i="2"/>
  <c r="C2741" i="2"/>
  <c r="L2740" i="2" l="1"/>
  <c r="D2740" i="2"/>
  <c r="J2740" i="2"/>
  <c r="K2740" i="2" s="1"/>
  <c r="B2741" i="2"/>
  <c r="A2741" i="2"/>
  <c r="E2741" i="2"/>
  <c r="I2741" i="2"/>
  <c r="M2741" i="2"/>
  <c r="F2741" i="2"/>
  <c r="H2741" i="2"/>
  <c r="G2741" i="2"/>
  <c r="L2741" i="2" l="1"/>
  <c r="D2741" i="2"/>
  <c r="J2741" i="2"/>
  <c r="K2741" i="2" s="1"/>
  <c r="C2742" i="2"/>
  <c r="B2742" i="2" l="1"/>
  <c r="A2742" i="2"/>
  <c r="E2742" i="2"/>
  <c r="M2742" i="2"/>
  <c r="I2742" i="2"/>
  <c r="F2742" i="2"/>
  <c r="G2742" i="2"/>
  <c r="H2742" i="2"/>
  <c r="C2743" i="2"/>
  <c r="L2742" i="2" l="1"/>
  <c r="J2742" i="2"/>
  <c r="K2742" i="2" s="1"/>
  <c r="D2742" i="2"/>
  <c r="A2743" i="2"/>
  <c r="B2743" i="2"/>
  <c r="M2743" i="2"/>
  <c r="H2743" i="2"/>
  <c r="I2743" i="2"/>
  <c r="E2743" i="2"/>
  <c r="G2743" i="2"/>
  <c r="F2743" i="2"/>
  <c r="C2744" i="2"/>
  <c r="L2743" i="2" l="1"/>
  <c r="J2743" i="2"/>
  <c r="K2743" i="2" s="1"/>
  <c r="D2743" i="2"/>
  <c r="B2744" i="2"/>
  <c r="A2744" i="2"/>
  <c r="F2744" i="2"/>
  <c r="M2744" i="2"/>
  <c r="H2744" i="2"/>
  <c r="E2744" i="2"/>
  <c r="G2744" i="2"/>
  <c r="I2744" i="2"/>
  <c r="L2744" i="2" l="1"/>
  <c r="D2744" i="2"/>
  <c r="J2744" i="2"/>
  <c r="K2744" i="2" s="1"/>
  <c r="C2745" i="2"/>
  <c r="B2745" i="2" l="1"/>
  <c r="A2745" i="2"/>
  <c r="E2745" i="2"/>
  <c r="I2745" i="2"/>
  <c r="F2745" i="2"/>
  <c r="M2745" i="2"/>
  <c r="H2745" i="2"/>
  <c r="G2745" i="2"/>
  <c r="L2745" i="2" l="1"/>
  <c r="J2745" i="2"/>
  <c r="K2745" i="2" s="1"/>
  <c r="D2745" i="2"/>
  <c r="C2746" i="2"/>
  <c r="A2746" i="2" l="1"/>
  <c r="B2746" i="2"/>
  <c r="M2746" i="2"/>
  <c r="F2746" i="2"/>
  <c r="H2746" i="2"/>
  <c r="I2746" i="2"/>
  <c r="G2746" i="2"/>
  <c r="E2746" i="2"/>
  <c r="L2746" i="2" l="1"/>
  <c r="J2746" i="2"/>
  <c r="K2746" i="2" s="1"/>
  <c r="D2746" i="2"/>
  <c r="C2747" i="2"/>
  <c r="A2747" i="2" l="1"/>
  <c r="B2747" i="2"/>
  <c r="I2747" i="2"/>
  <c r="M2747" i="2"/>
  <c r="H2747" i="2"/>
  <c r="F2747" i="2"/>
  <c r="E2747" i="2"/>
  <c r="G2747" i="2"/>
  <c r="C2748" i="2"/>
  <c r="L2747" i="2" l="1"/>
  <c r="J2747" i="2"/>
  <c r="K2747" i="2" s="1"/>
  <c r="D2747" i="2"/>
  <c r="B2748" i="2"/>
  <c r="A2748" i="2"/>
  <c r="M2748" i="2"/>
  <c r="H2748" i="2"/>
  <c r="E2748" i="2"/>
  <c r="I2748" i="2"/>
  <c r="F2748" i="2"/>
  <c r="G2748" i="2"/>
  <c r="C2749" i="2"/>
  <c r="L2748" i="2" l="1"/>
  <c r="D2748" i="2"/>
  <c r="J2748" i="2"/>
  <c r="K2748" i="2" s="1"/>
  <c r="B2749" i="2"/>
  <c r="A2749" i="2"/>
  <c r="H2749" i="2"/>
  <c r="G2749" i="2"/>
  <c r="F2749" i="2"/>
  <c r="I2749" i="2"/>
  <c r="M2749" i="2"/>
  <c r="E2749" i="2"/>
  <c r="C2750" i="2"/>
  <c r="L2749" i="2" l="1"/>
  <c r="J2749" i="2"/>
  <c r="K2749" i="2" s="1"/>
  <c r="D2749" i="2"/>
  <c r="A2750" i="2"/>
  <c r="B2750" i="2"/>
  <c r="F2750" i="2"/>
  <c r="H2750" i="2"/>
  <c r="I2750" i="2"/>
  <c r="G2750" i="2"/>
  <c r="E2750" i="2"/>
  <c r="M2750" i="2"/>
  <c r="C2751" i="2"/>
  <c r="L2750" i="2" l="1"/>
  <c r="J2750" i="2"/>
  <c r="K2750" i="2" s="1"/>
  <c r="D2750" i="2"/>
  <c r="A2751" i="2"/>
  <c r="B2751" i="2"/>
  <c r="G2751" i="2"/>
  <c r="M2751" i="2"/>
  <c r="F2751" i="2"/>
  <c r="I2751" i="2"/>
  <c r="H2751" i="2"/>
  <c r="E2751" i="2"/>
  <c r="C2752" i="2"/>
  <c r="L2751" i="2" l="1"/>
  <c r="D2751" i="2"/>
  <c r="J2751" i="2"/>
  <c r="K2751" i="2" s="1"/>
  <c r="A2752" i="2"/>
  <c r="B2752" i="2"/>
  <c r="H2752" i="2"/>
  <c r="E2752" i="2"/>
  <c r="F2752" i="2"/>
  <c r="I2752" i="2"/>
  <c r="M2752" i="2"/>
  <c r="G2752" i="2"/>
  <c r="C2753" i="2"/>
  <c r="L2752" i="2" l="1"/>
  <c r="D2752" i="2"/>
  <c r="J2752" i="2"/>
  <c r="K2752" i="2" s="1"/>
  <c r="B2753" i="2"/>
  <c r="A2753" i="2"/>
  <c r="E2753" i="2"/>
  <c r="I2753" i="2"/>
  <c r="H2753" i="2"/>
  <c r="M2753" i="2"/>
  <c r="G2753" i="2"/>
  <c r="F2753" i="2"/>
  <c r="L2753" i="2" l="1"/>
  <c r="D2753" i="2"/>
  <c r="J2753" i="2"/>
  <c r="K2753" i="2" s="1"/>
  <c r="C2754" i="2"/>
  <c r="A2754" i="2" l="1"/>
  <c r="B2754" i="2"/>
  <c r="F2754" i="2"/>
  <c r="E2754" i="2"/>
  <c r="H2754" i="2"/>
  <c r="I2754" i="2"/>
  <c r="M2754" i="2"/>
  <c r="G2754" i="2"/>
  <c r="L2754" i="2" l="1"/>
  <c r="J2754" i="2"/>
  <c r="K2754" i="2" s="1"/>
  <c r="D2754" i="2"/>
  <c r="C2755" i="2"/>
  <c r="A2755" i="2" l="1"/>
  <c r="B2755" i="2"/>
  <c r="H2755" i="2"/>
  <c r="M2755" i="2"/>
  <c r="E2755" i="2"/>
  <c r="F2755" i="2"/>
  <c r="G2755" i="2"/>
  <c r="I2755" i="2"/>
  <c r="C2756" i="2"/>
  <c r="L2755" i="2" l="1"/>
  <c r="J2755" i="2"/>
  <c r="K2755" i="2" s="1"/>
  <c r="D2755" i="2"/>
  <c r="B2756" i="2"/>
  <c r="A2756" i="2"/>
  <c r="G2756" i="2"/>
  <c r="F2756" i="2"/>
  <c r="M2756" i="2"/>
  <c r="I2756" i="2"/>
  <c r="E2756" i="2"/>
  <c r="H2756" i="2"/>
  <c r="L2756" i="2" l="1"/>
  <c r="D2756" i="2"/>
  <c r="J2756" i="2"/>
  <c r="K2756" i="2" s="1"/>
  <c r="C2757" i="2"/>
  <c r="A2757" i="2" l="1"/>
  <c r="B2757" i="2"/>
  <c r="F2757" i="2"/>
  <c r="H2757" i="2"/>
  <c r="E2757" i="2"/>
  <c r="G2757" i="2"/>
  <c r="M2757" i="2"/>
  <c r="I2757" i="2"/>
  <c r="L2757" i="2" l="1"/>
  <c r="D2757" i="2"/>
  <c r="J2757" i="2"/>
  <c r="K2757" i="2" s="1"/>
  <c r="C2758" i="2"/>
  <c r="A2758" i="2" l="1"/>
  <c r="B2758" i="2"/>
  <c r="F2758" i="2"/>
  <c r="H2758" i="2"/>
  <c r="E2758" i="2"/>
  <c r="G2758" i="2"/>
  <c r="M2758" i="2"/>
  <c r="I2758" i="2"/>
  <c r="L2758" i="2" l="1"/>
  <c r="J2758" i="2"/>
  <c r="K2758" i="2" s="1"/>
  <c r="D2758" i="2"/>
  <c r="C2759" i="2"/>
  <c r="B2759" i="2" l="1"/>
  <c r="A2759" i="2"/>
  <c r="I2759" i="2"/>
  <c r="M2759" i="2"/>
  <c r="G2759" i="2"/>
  <c r="F2759" i="2"/>
  <c r="H2759" i="2"/>
  <c r="E2759" i="2"/>
  <c r="C2760" i="2"/>
  <c r="L2759" i="2" l="1"/>
  <c r="J2759" i="2"/>
  <c r="K2759" i="2" s="1"/>
  <c r="D2759" i="2"/>
  <c r="B2760" i="2"/>
  <c r="A2760" i="2"/>
  <c r="F2760" i="2"/>
  <c r="G2760" i="2"/>
  <c r="H2760" i="2"/>
  <c r="M2760" i="2"/>
  <c r="E2760" i="2"/>
  <c r="I2760" i="2"/>
  <c r="L2760" i="2" l="1"/>
  <c r="D2760" i="2"/>
  <c r="J2760" i="2"/>
  <c r="K2760" i="2" s="1"/>
  <c r="C2761" i="2"/>
  <c r="B2761" i="2" l="1"/>
  <c r="A2761" i="2"/>
  <c r="H2761" i="2"/>
  <c r="E2761" i="2"/>
  <c r="I2761" i="2"/>
  <c r="F2761" i="2"/>
  <c r="G2761" i="2"/>
  <c r="M2761" i="2"/>
  <c r="C2762" i="2"/>
  <c r="L2761" i="2" l="1"/>
  <c r="J2761" i="2"/>
  <c r="K2761" i="2" s="1"/>
  <c r="D2761" i="2"/>
  <c r="A2762" i="2"/>
  <c r="B2762" i="2"/>
  <c r="H2762" i="2"/>
  <c r="M2762" i="2"/>
  <c r="E2762" i="2"/>
  <c r="F2762" i="2"/>
  <c r="G2762" i="2"/>
  <c r="I2762" i="2"/>
  <c r="C2763" i="2"/>
  <c r="L2762" i="2" l="1"/>
  <c r="D2762" i="2"/>
  <c r="J2762" i="2"/>
  <c r="K2762" i="2" s="1"/>
  <c r="A2763" i="2"/>
  <c r="B2763" i="2"/>
  <c r="F2763" i="2"/>
  <c r="G2763" i="2"/>
  <c r="I2763" i="2"/>
  <c r="E2763" i="2"/>
  <c r="H2763" i="2"/>
  <c r="M2763" i="2"/>
  <c r="C2764" i="2"/>
  <c r="L2763" i="2" l="1"/>
  <c r="D2763" i="2"/>
  <c r="J2763" i="2"/>
  <c r="K2763" i="2" s="1"/>
  <c r="A2764" i="2"/>
  <c r="B2764" i="2"/>
  <c r="G2764" i="2"/>
  <c r="M2764" i="2"/>
  <c r="F2764" i="2"/>
  <c r="E2764" i="2"/>
  <c r="I2764" i="2"/>
  <c r="H2764" i="2"/>
  <c r="L2764" i="2" l="1"/>
  <c r="J2764" i="2"/>
  <c r="K2764" i="2" s="1"/>
  <c r="D2764" i="2"/>
  <c r="C2765" i="2"/>
  <c r="B2765" i="2" l="1"/>
  <c r="A2765" i="2"/>
  <c r="E2765" i="2"/>
  <c r="H2765" i="2"/>
  <c r="M2765" i="2"/>
  <c r="G2765" i="2"/>
  <c r="F2765" i="2"/>
  <c r="I2765" i="2"/>
  <c r="C2766" i="2"/>
  <c r="L2765" i="2" l="1"/>
  <c r="D2765" i="2"/>
  <c r="J2765" i="2"/>
  <c r="K2765" i="2" s="1"/>
  <c r="A2766" i="2"/>
  <c r="B2766" i="2"/>
  <c r="F2766" i="2"/>
  <c r="E2766" i="2"/>
  <c r="H2766" i="2"/>
  <c r="I2766" i="2"/>
  <c r="G2766" i="2"/>
  <c r="M2766" i="2"/>
  <c r="L2766" i="2" l="1"/>
  <c r="J2766" i="2"/>
  <c r="K2766" i="2" s="1"/>
  <c r="D2766" i="2"/>
  <c r="C2767" i="2"/>
  <c r="A2767" i="2" l="1"/>
  <c r="B2767" i="2"/>
  <c r="E2767" i="2"/>
  <c r="H2767" i="2"/>
  <c r="G2767" i="2"/>
  <c r="F2767" i="2"/>
  <c r="M2767" i="2"/>
  <c r="I2767" i="2"/>
  <c r="C2768" i="2"/>
  <c r="L2767" i="2" l="1"/>
  <c r="J2767" i="2"/>
  <c r="K2767" i="2" s="1"/>
  <c r="D2767" i="2"/>
  <c r="A2768" i="2"/>
  <c r="B2768" i="2"/>
  <c r="H2768" i="2"/>
  <c r="E2768" i="2"/>
  <c r="G2768" i="2"/>
  <c r="I2768" i="2"/>
  <c r="F2768" i="2"/>
  <c r="M2768" i="2"/>
  <c r="L2768" i="2" l="1"/>
  <c r="D2768" i="2"/>
  <c r="J2768" i="2"/>
  <c r="K2768" i="2" s="1"/>
  <c r="C2769" i="2"/>
  <c r="B2769" i="2" l="1"/>
  <c r="A2769" i="2"/>
  <c r="I2769" i="2"/>
  <c r="G2769" i="2"/>
  <c r="E2769" i="2"/>
  <c r="M2769" i="2"/>
  <c r="H2769" i="2"/>
  <c r="F2769" i="2"/>
  <c r="C2770" i="2"/>
  <c r="L2769" i="2" l="1"/>
  <c r="D2769" i="2"/>
  <c r="J2769" i="2"/>
  <c r="K2769" i="2" s="1"/>
  <c r="A2770" i="2"/>
  <c r="B2770" i="2"/>
  <c r="H2770" i="2"/>
  <c r="M2770" i="2"/>
  <c r="I2770" i="2"/>
  <c r="E2770" i="2"/>
  <c r="F2770" i="2"/>
  <c r="G2770" i="2"/>
  <c r="C2771" i="2"/>
  <c r="L2770" i="2" l="1"/>
  <c r="J2770" i="2"/>
  <c r="K2770" i="2" s="1"/>
  <c r="D2770" i="2"/>
  <c r="A2771" i="2"/>
  <c r="B2771" i="2"/>
  <c r="I2771" i="2"/>
  <c r="H2771" i="2"/>
  <c r="G2771" i="2"/>
  <c r="F2771" i="2"/>
  <c r="E2771" i="2"/>
  <c r="M2771" i="2"/>
  <c r="C2772" i="2"/>
  <c r="L2771" i="2" l="1"/>
  <c r="D2771" i="2"/>
  <c r="J2771" i="2"/>
  <c r="K2771" i="2" s="1"/>
  <c r="A2772" i="2"/>
  <c r="B2772" i="2"/>
  <c r="F2772" i="2"/>
  <c r="I2772" i="2"/>
  <c r="E2772" i="2"/>
  <c r="H2772" i="2"/>
  <c r="G2772" i="2"/>
  <c r="M2772" i="2"/>
  <c r="L2772" i="2" l="1"/>
  <c r="D2772" i="2"/>
  <c r="J2772" i="2"/>
  <c r="K2772" i="2" s="1"/>
  <c r="C2773" i="2"/>
  <c r="B2773" i="2" l="1"/>
  <c r="A2773" i="2"/>
  <c r="M2773" i="2"/>
  <c r="F2773" i="2"/>
  <c r="I2773" i="2"/>
  <c r="E2773" i="2"/>
  <c r="G2773" i="2"/>
  <c r="H2773" i="2"/>
  <c r="C2774" i="2"/>
  <c r="L2773" i="2" l="1"/>
  <c r="D2773" i="2"/>
  <c r="J2773" i="2"/>
  <c r="K2773" i="2" s="1"/>
  <c r="A2774" i="2"/>
  <c r="B2774" i="2"/>
  <c r="M2774" i="2"/>
  <c r="I2774" i="2"/>
  <c r="H2774" i="2"/>
  <c r="F2774" i="2"/>
  <c r="G2774" i="2"/>
  <c r="E2774" i="2"/>
  <c r="C2775" i="2"/>
  <c r="L2774" i="2" l="1"/>
  <c r="J2774" i="2"/>
  <c r="K2774" i="2" s="1"/>
  <c r="D2774" i="2"/>
  <c r="A2775" i="2"/>
  <c r="B2775" i="2"/>
  <c r="I2775" i="2"/>
  <c r="E2775" i="2"/>
  <c r="G2775" i="2"/>
  <c r="M2775" i="2"/>
  <c r="H2775" i="2"/>
  <c r="F2775" i="2"/>
  <c r="C2776" i="2"/>
  <c r="L2775" i="2" l="1"/>
  <c r="J2775" i="2"/>
  <c r="K2775" i="2" s="1"/>
  <c r="D2775" i="2"/>
  <c r="A2776" i="2"/>
  <c r="B2776" i="2"/>
  <c r="I2776" i="2"/>
  <c r="F2776" i="2"/>
  <c r="H2776" i="2"/>
  <c r="M2776" i="2"/>
  <c r="E2776" i="2"/>
  <c r="G2776" i="2"/>
  <c r="L2776" i="2" l="1"/>
  <c r="D2776" i="2"/>
  <c r="J2776" i="2"/>
  <c r="K2776" i="2" s="1"/>
  <c r="C2777" i="2"/>
  <c r="B2777" i="2" l="1"/>
  <c r="A2777" i="2"/>
  <c r="E2777" i="2"/>
  <c r="F2777" i="2"/>
  <c r="M2777" i="2"/>
  <c r="H2777" i="2"/>
  <c r="G2777" i="2"/>
  <c r="I2777" i="2"/>
  <c r="C2778" i="2"/>
  <c r="L2777" i="2" l="1"/>
  <c r="J2777" i="2"/>
  <c r="K2777" i="2" s="1"/>
  <c r="D2777" i="2"/>
  <c r="A2778" i="2"/>
  <c r="B2778" i="2"/>
  <c r="G2778" i="2"/>
  <c r="I2778" i="2"/>
  <c r="H2778" i="2"/>
  <c r="E2778" i="2"/>
  <c r="F2778" i="2"/>
  <c r="M2778" i="2"/>
  <c r="L2778" i="2" l="1"/>
  <c r="J2778" i="2"/>
  <c r="K2778" i="2" s="1"/>
  <c r="D2778" i="2"/>
  <c r="C2779" i="2"/>
  <c r="A2779" i="2" l="1"/>
  <c r="B2779" i="2"/>
  <c r="E2779" i="2"/>
  <c r="M2779" i="2"/>
  <c r="G2779" i="2"/>
  <c r="I2779" i="2"/>
  <c r="F2779" i="2"/>
  <c r="H2779" i="2"/>
  <c r="C2780" i="2"/>
  <c r="L2779" i="2" l="1"/>
  <c r="J2779" i="2"/>
  <c r="K2779" i="2" s="1"/>
  <c r="D2779" i="2"/>
  <c r="A2780" i="2"/>
  <c r="B2780" i="2"/>
  <c r="G2780" i="2"/>
  <c r="F2780" i="2"/>
  <c r="I2780" i="2"/>
  <c r="M2780" i="2"/>
  <c r="H2780" i="2"/>
  <c r="E2780" i="2"/>
  <c r="C2781" i="2"/>
  <c r="L2780" i="2" l="1"/>
  <c r="D2780" i="2"/>
  <c r="J2780" i="2"/>
  <c r="K2780" i="2" s="1"/>
  <c r="B2781" i="2"/>
  <c r="A2781" i="2"/>
  <c r="M2781" i="2"/>
  <c r="E2781" i="2"/>
  <c r="F2781" i="2"/>
  <c r="G2781" i="2"/>
  <c r="I2781" i="2"/>
  <c r="H2781" i="2"/>
  <c r="L2781" i="2" l="1"/>
  <c r="J2781" i="2"/>
  <c r="K2781" i="2" s="1"/>
  <c r="D2781" i="2"/>
  <c r="C2782" i="2"/>
  <c r="B2782" i="2" l="1"/>
  <c r="A2782" i="2"/>
  <c r="G2782" i="2"/>
  <c r="F2782" i="2"/>
  <c r="H2782" i="2"/>
  <c r="M2782" i="2"/>
  <c r="E2782" i="2"/>
  <c r="I2782" i="2"/>
  <c r="C2783" i="2"/>
  <c r="L2782" i="2" l="1"/>
  <c r="J2782" i="2"/>
  <c r="K2782" i="2" s="1"/>
  <c r="D2782" i="2"/>
  <c r="A2783" i="2"/>
  <c r="B2783" i="2"/>
  <c r="M2783" i="2"/>
  <c r="E2783" i="2"/>
  <c r="F2783" i="2"/>
  <c r="G2783" i="2"/>
  <c r="H2783" i="2"/>
  <c r="I2783" i="2"/>
  <c r="C2784" i="2"/>
  <c r="L2783" i="2" l="1"/>
  <c r="J2783" i="2"/>
  <c r="K2783" i="2" s="1"/>
  <c r="D2783" i="2"/>
  <c r="A2784" i="2"/>
  <c r="B2784" i="2"/>
  <c r="I2784" i="2"/>
  <c r="M2784" i="2"/>
  <c r="G2784" i="2"/>
  <c r="H2784" i="2"/>
  <c r="F2784" i="2"/>
  <c r="E2784" i="2"/>
  <c r="C2785" i="2"/>
  <c r="L2784" i="2" l="1"/>
  <c r="D2784" i="2"/>
  <c r="J2784" i="2"/>
  <c r="K2784" i="2" s="1"/>
  <c r="B2785" i="2"/>
  <c r="A2785" i="2"/>
  <c r="F2785" i="2"/>
  <c r="I2785" i="2"/>
  <c r="H2785" i="2"/>
  <c r="M2785" i="2"/>
  <c r="G2785" i="2"/>
  <c r="E2785" i="2"/>
  <c r="L2785" i="2" l="1"/>
  <c r="J2785" i="2"/>
  <c r="K2785" i="2" s="1"/>
  <c r="D2785" i="2"/>
  <c r="C2786" i="2"/>
  <c r="B2786" i="2" l="1"/>
  <c r="A2786" i="2"/>
  <c r="H2786" i="2"/>
  <c r="G2786" i="2"/>
  <c r="E2786" i="2"/>
  <c r="I2786" i="2"/>
  <c r="F2786" i="2"/>
  <c r="M2786" i="2"/>
  <c r="C2787" i="2"/>
  <c r="L2786" i="2" l="1"/>
  <c r="J2786" i="2"/>
  <c r="K2786" i="2" s="1"/>
  <c r="D2786" i="2"/>
  <c r="A2787" i="2"/>
  <c r="B2787" i="2"/>
  <c r="H2787" i="2"/>
  <c r="M2787" i="2"/>
  <c r="F2787" i="2"/>
  <c r="I2787" i="2"/>
  <c r="G2787" i="2"/>
  <c r="E2787" i="2"/>
  <c r="L2787" i="2" l="1"/>
  <c r="J2787" i="2"/>
  <c r="K2787" i="2" s="1"/>
  <c r="D2787" i="2"/>
  <c r="C2788" i="2"/>
  <c r="B2788" i="2" l="1"/>
  <c r="A2788" i="2"/>
  <c r="E2788" i="2"/>
  <c r="G2788" i="2"/>
  <c r="I2788" i="2"/>
  <c r="H2788" i="2"/>
  <c r="M2788" i="2"/>
  <c r="F2788" i="2"/>
  <c r="C2789" i="2"/>
  <c r="L2788" i="2" l="1"/>
  <c r="D2788" i="2"/>
  <c r="J2788" i="2"/>
  <c r="K2788" i="2" s="1"/>
  <c r="B2789" i="2"/>
  <c r="A2789" i="2"/>
  <c r="H2789" i="2"/>
  <c r="M2789" i="2"/>
  <c r="I2789" i="2"/>
  <c r="E2789" i="2"/>
  <c r="G2789" i="2"/>
  <c r="F2789" i="2"/>
  <c r="L2789" i="2" l="1"/>
  <c r="D2789" i="2"/>
  <c r="J2789" i="2"/>
  <c r="K2789" i="2" s="1"/>
  <c r="C2790" i="2"/>
  <c r="B2790" i="2" l="1"/>
  <c r="A2790" i="2"/>
  <c r="E2790" i="2"/>
  <c r="F2790" i="2"/>
  <c r="H2790" i="2"/>
  <c r="G2790" i="2"/>
  <c r="M2790" i="2"/>
  <c r="I2790" i="2"/>
  <c r="C2791" i="2"/>
  <c r="L2790" i="2" l="1"/>
  <c r="J2790" i="2"/>
  <c r="K2790" i="2" s="1"/>
  <c r="D2790" i="2"/>
  <c r="B2791" i="2"/>
  <c r="A2791" i="2"/>
  <c r="H2791" i="2"/>
  <c r="E2791" i="2"/>
  <c r="F2791" i="2"/>
  <c r="M2791" i="2"/>
  <c r="G2791" i="2"/>
  <c r="I2791" i="2"/>
  <c r="L2791" i="2" l="1"/>
  <c r="J2791" i="2"/>
  <c r="K2791" i="2" s="1"/>
  <c r="D2791" i="2"/>
  <c r="C2792" i="2"/>
  <c r="B2792" i="2" l="1"/>
  <c r="A2792" i="2"/>
  <c r="H2792" i="2"/>
  <c r="M2792" i="2"/>
  <c r="I2792" i="2"/>
  <c r="G2792" i="2"/>
  <c r="E2792" i="2"/>
  <c r="F2792" i="2"/>
  <c r="C2793" i="2"/>
  <c r="L2792" i="2" l="1"/>
  <c r="D2792" i="2"/>
  <c r="J2792" i="2"/>
  <c r="K2792" i="2" s="1"/>
  <c r="B2793" i="2"/>
  <c r="A2793" i="2"/>
  <c r="I2793" i="2"/>
  <c r="H2793" i="2"/>
  <c r="M2793" i="2"/>
  <c r="F2793" i="2"/>
  <c r="G2793" i="2"/>
  <c r="E2793" i="2"/>
  <c r="C2794" i="2"/>
  <c r="L2793" i="2" l="1"/>
  <c r="J2793" i="2"/>
  <c r="K2793" i="2" s="1"/>
  <c r="D2793" i="2"/>
  <c r="A2794" i="2"/>
  <c r="B2794" i="2"/>
  <c r="I2794" i="2"/>
  <c r="E2794" i="2"/>
  <c r="H2794" i="2"/>
  <c r="M2794" i="2"/>
  <c r="F2794" i="2"/>
  <c r="G2794" i="2"/>
  <c r="C2795" i="2"/>
  <c r="L2794" i="2" l="1"/>
  <c r="D2794" i="2"/>
  <c r="J2794" i="2"/>
  <c r="K2794" i="2" s="1"/>
  <c r="A2795" i="2"/>
  <c r="B2795" i="2"/>
  <c r="F2795" i="2"/>
  <c r="H2795" i="2"/>
  <c r="M2795" i="2"/>
  <c r="G2795" i="2"/>
  <c r="I2795" i="2"/>
  <c r="E2795" i="2"/>
  <c r="L2795" i="2" l="1"/>
  <c r="D2795" i="2"/>
  <c r="J2795" i="2"/>
  <c r="K2795" i="2" s="1"/>
  <c r="C2796" i="2"/>
  <c r="A2796" i="2" l="1"/>
  <c r="B2796" i="2"/>
  <c r="F2796" i="2"/>
  <c r="E2796" i="2"/>
  <c r="M2796" i="2"/>
  <c r="G2796" i="2"/>
  <c r="I2796" i="2"/>
  <c r="H2796" i="2"/>
  <c r="C2797" i="2"/>
  <c r="L2796" i="2" l="1"/>
  <c r="D2796" i="2"/>
  <c r="J2796" i="2"/>
  <c r="K2796" i="2" s="1"/>
  <c r="B2797" i="2"/>
  <c r="A2797" i="2"/>
  <c r="F2797" i="2"/>
  <c r="M2797" i="2"/>
  <c r="E2797" i="2"/>
  <c r="H2797" i="2"/>
  <c r="G2797" i="2"/>
  <c r="I2797" i="2"/>
  <c r="L2797" i="2" l="1"/>
  <c r="D2797" i="2"/>
  <c r="J2797" i="2"/>
  <c r="K2797" i="2" s="1"/>
  <c r="C2798" i="2"/>
  <c r="A2798" i="2" l="1"/>
  <c r="B2798" i="2"/>
  <c r="I2798" i="2"/>
  <c r="G2798" i="2"/>
  <c r="E2798" i="2"/>
  <c r="F2798" i="2"/>
  <c r="M2798" i="2"/>
  <c r="H2798" i="2"/>
  <c r="C2799" i="2"/>
  <c r="L2798" i="2" l="1"/>
  <c r="J2798" i="2"/>
  <c r="K2798" i="2" s="1"/>
  <c r="D2798" i="2"/>
  <c r="A2799" i="2"/>
  <c r="B2799" i="2"/>
  <c r="I2799" i="2"/>
  <c r="F2799" i="2"/>
  <c r="H2799" i="2"/>
  <c r="G2799" i="2"/>
  <c r="E2799" i="2"/>
  <c r="M2799" i="2"/>
  <c r="C2800" i="2"/>
  <c r="L2799" i="2" l="1"/>
  <c r="J2799" i="2"/>
  <c r="K2799" i="2" s="1"/>
  <c r="D2799" i="2"/>
  <c r="A2800" i="2"/>
  <c r="B2800" i="2"/>
  <c r="I2800" i="2"/>
  <c r="M2800" i="2"/>
  <c r="H2800" i="2"/>
  <c r="F2800" i="2"/>
  <c r="E2800" i="2"/>
  <c r="G2800" i="2"/>
  <c r="C2801" i="2"/>
  <c r="L2800" i="2" l="1"/>
  <c r="D2800" i="2"/>
  <c r="J2800" i="2"/>
  <c r="K2800" i="2" s="1"/>
  <c r="B2801" i="2"/>
  <c r="A2801" i="2"/>
  <c r="E2801" i="2"/>
  <c r="M2801" i="2"/>
  <c r="I2801" i="2"/>
  <c r="H2801" i="2"/>
  <c r="F2801" i="2"/>
  <c r="G2801" i="2"/>
  <c r="C2802" i="2"/>
  <c r="L2801" i="2" l="1"/>
  <c r="J2801" i="2"/>
  <c r="K2801" i="2" s="1"/>
  <c r="D2801" i="2"/>
  <c r="A2802" i="2"/>
  <c r="B2802" i="2"/>
  <c r="F2802" i="2"/>
  <c r="I2802" i="2"/>
  <c r="M2802" i="2"/>
  <c r="G2802" i="2"/>
  <c r="E2802" i="2"/>
  <c r="H2802" i="2"/>
  <c r="L2802" i="2" l="1"/>
  <c r="D2802" i="2"/>
  <c r="J2802" i="2"/>
  <c r="K2802" i="2" s="1"/>
  <c r="C2803" i="2"/>
  <c r="A2803" i="2" l="1"/>
  <c r="B2803" i="2"/>
  <c r="F2803" i="2"/>
  <c r="M2803" i="2"/>
  <c r="H2803" i="2"/>
  <c r="G2803" i="2"/>
  <c r="I2803" i="2"/>
  <c r="E2803" i="2"/>
  <c r="C2804" i="2"/>
  <c r="L2803" i="2" l="1"/>
  <c r="D2803" i="2"/>
  <c r="J2803" i="2"/>
  <c r="K2803" i="2" s="1"/>
  <c r="B2804" i="2"/>
  <c r="A2804" i="2"/>
  <c r="M2804" i="2"/>
  <c r="H2804" i="2"/>
  <c r="I2804" i="2"/>
  <c r="E2804" i="2"/>
  <c r="G2804" i="2"/>
  <c r="F2804" i="2"/>
  <c r="L2804" i="2" l="1"/>
  <c r="D2804" i="2"/>
  <c r="J2804" i="2"/>
  <c r="K2804" i="2" s="1"/>
  <c r="C2805" i="2"/>
  <c r="B2805" i="2" l="1"/>
  <c r="A2805" i="2"/>
  <c r="E2805" i="2"/>
  <c r="G2805" i="2"/>
  <c r="I2805" i="2"/>
  <c r="M2805" i="2"/>
  <c r="H2805" i="2"/>
  <c r="F2805" i="2"/>
  <c r="C2806" i="2"/>
  <c r="L2805" i="2" l="1"/>
  <c r="D2805" i="2"/>
  <c r="J2805" i="2"/>
  <c r="K2805" i="2" s="1"/>
  <c r="A2806" i="2"/>
  <c r="B2806" i="2"/>
  <c r="F2806" i="2"/>
  <c r="E2806" i="2"/>
  <c r="H2806" i="2"/>
  <c r="I2806" i="2"/>
  <c r="M2806" i="2"/>
  <c r="G2806" i="2"/>
  <c r="L2806" i="2" l="1"/>
  <c r="J2806" i="2"/>
  <c r="K2806" i="2" s="1"/>
  <c r="D2806" i="2"/>
  <c r="C2807" i="2"/>
  <c r="A2807" i="2" l="1"/>
  <c r="B2807" i="2"/>
  <c r="E2807" i="2"/>
  <c r="I2807" i="2"/>
  <c r="M2807" i="2"/>
  <c r="G2807" i="2"/>
  <c r="F2807" i="2"/>
  <c r="H2807" i="2"/>
  <c r="L2807" i="2" l="1"/>
  <c r="J2807" i="2"/>
  <c r="K2807" i="2" s="1"/>
  <c r="D2807" i="2"/>
  <c r="C2808" i="2"/>
  <c r="A2808" i="2" l="1"/>
  <c r="B2808" i="2"/>
  <c r="F2808" i="2"/>
  <c r="M2808" i="2"/>
  <c r="G2808" i="2"/>
  <c r="I2808" i="2"/>
  <c r="E2808" i="2"/>
  <c r="H2808" i="2"/>
  <c r="C2809" i="2"/>
  <c r="L2808" i="2" l="1"/>
  <c r="D2808" i="2"/>
  <c r="J2808" i="2"/>
  <c r="K2808" i="2" s="1"/>
  <c r="B2809" i="2"/>
  <c r="A2809" i="2"/>
  <c r="G2809" i="2"/>
  <c r="M2809" i="2"/>
  <c r="E2809" i="2"/>
  <c r="H2809" i="2"/>
  <c r="I2809" i="2"/>
  <c r="F2809" i="2"/>
  <c r="L2809" i="2" l="1"/>
  <c r="J2809" i="2"/>
  <c r="K2809" i="2" s="1"/>
  <c r="D2809" i="2"/>
  <c r="C2810" i="2"/>
  <c r="A2810" i="2" l="1"/>
  <c r="B2810" i="2"/>
  <c r="E2810" i="2"/>
  <c r="M2810" i="2"/>
  <c r="G2810" i="2"/>
  <c r="H2810" i="2"/>
  <c r="F2810" i="2"/>
  <c r="I2810" i="2"/>
  <c r="L2810" i="2" l="1"/>
  <c r="J2810" i="2"/>
  <c r="K2810" i="2" s="1"/>
  <c r="D2810" i="2"/>
  <c r="C2811" i="2"/>
  <c r="A2811" i="2" l="1"/>
  <c r="B2811" i="2"/>
  <c r="F2811" i="2"/>
  <c r="E2811" i="2"/>
  <c r="M2811" i="2"/>
  <c r="G2811" i="2"/>
  <c r="H2811" i="2"/>
  <c r="I2811" i="2"/>
  <c r="L2811" i="2" l="1"/>
  <c r="J2811" i="2"/>
  <c r="K2811" i="2" s="1"/>
  <c r="D2811" i="2"/>
  <c r="C2812" i="2"/>
  <c r="A2812" i="2" l="1"/>
  <c r="B2812" i="2"/>
  <c r="E2812" i="2"/>
  <c r="M2812" i="2"/>
  <c r="I2812" i="2"/>
  <c r="F2812" i="2"/>
  <c r="G2812" i="2"/>
  <c r="H2812" i="2"/>
  <c r="L2812" i="2" l="1"/>
  <c r="D2812" i="2"/>
  <c r="J2812" i="2"/>
  <c r="K2812" i="2" s="1"/>
  <c r="C2813" i="2"/>
  <c r="B2813" i="2" l="1"/>
  <c r="A2813" i="2"/>
  <c r="H2813" i="2"/>
  <c r="M2813" i="2"/>
  <c r="G2813" i="2"/>
  <c r="F2813" i="2"/>
  <c r="E2813" i="2"/>
  <c r="I2813" i="2"/>
  <c r="C2814" i="2"/>
  <c r="L2813" i="2" l="1"/>
  <c r="D2813" i="2"/>
  <c r="J2813" i="2"/>
  <c r="K2813" i="2" s="1"/>
  <c r="A2814" i="2"/>
  <c r="B2814" i="2"/>
  <c r="M2814" i="2"/>
  <c r="F2814" i="2"/>
  <c r="I2814" i="2"/>
  <c r="G2814" i="2"/>
  <c r="E2814" i="2"/>
  <c r="H2814" i="2"/>
  <c r="L2814" i="2" l="1"/>
  <c r="J2814" i="2"/>
  <c r="K2814" i="2" s="1"/>
  <c r="D2814" i="2"/>
  <c r="C2815" i="2"/>
  <c r="A2815" i="2" l="1"/>
  <c r="B2815" i="2"/>
  <c r="H2815" i="2"/>
  <c r="F2815" i="2"/>
  <c r="M2815" i="2"/>
  <c r="G2815" i="2"/>
  <c r="E2815" i="2"/>
  <c r="I2815" i="2"/>
  <c r="C2816" i="2"/>
  <c r="L2815" i="2" l="1"/>
  <c r="J2815" i="2"/>
  <c r="K2815" i="2" s="1"/>
  <c r="D2815" i="2"/>
  <c r="A2816" i="2"/>
  <c r="B2816" i="2"/>
  <c r="M2816" i="2"/>
  <c r="E2816" i="2"/>
  <c r="H2816" i="2"/>
  <c r="I2816" i="2"/>
  <c r="F2816" i="2"/>
  <c r="G2816" i="2"/>
  <c r="C2817" i="2"/>
  <c r="L2816" i="2" l="1"/>
  <c r="D2816" i="2"/>
  <c r="J2816" i="2"/>
  <c r="K2816" i="2" s="1"/>
  <c r="B2817" i="2"/>
  <c r="A2817" i="2"/>
  <c r="I2817" i="2"/>
  <c r="M2817" i="2"/>
  <c r="G2817" i="2"/>
  <c r="F2817" i="2"/>
  <c r="E2817" i="2"/>
  <c r="H2817" i="2"/>
  <c r="C2818" i="2"/>
  <c r="L2817" i="2" l="1"/>
  <c r="D2817" i="2"/>
  <c r="J2817" i="2"/>
  <c r="K2817" i="2" s="1"/>
  <c r="A2818" i="2"/>
  <c r="B2818" i="2"/>
  <c r="H2818" i="2"/>
  <c r="M2818" i="2"/>
  <c r="F2818" i="2"/>
  <c r="G2818" i="2"/>
  <c r="E2818" i="2"/>
  <c r="I2818" i="2"/>
  <c r="L2818" i="2" l="1"/>
  <c r="J2818" i="2"/>
  <c r="K2818" i="2" s="1"/>
  <c r="D2818" i="2"/>
  <c r="C2819" i="2"/>
  <c r="A2819" i="2" l="1"/>
  <c r="B2819" i="2"/>
  <c r="E2819" i="2"/>
  <c r="G2819" i="2"/>
  <c r="M2819" i="2"/>
  <c r="H2819" i="2"/>
  <c r="F2819" i="2"/>
  <c r="I2819" i="2"/>
  <c r="C2820" i="2"/>
  <c r="L2819" i="2" l="1"/>
  <c r="J2819" i="2"/>
  <c r="K2819" i="2" s="1"/>
  <c r="D2819" i="2"/>
  <c r="B2820" i="2"/>
  <c r="A2820" i="2"/>
  <c r="H2820" i="2"/>
  <c r="M2820" i="2"/>
  <c r="F2820" i="2"/>
  <c r="G2820" i="2"/>
  <c r="I2820" i="2"/>
  <c r="E2820" i="2"/>
  <c r="L2820" i="2" l="1"/>
  <c r="D2820" i="2"/>
  <c r="J2820" i="2"/>
  <c r="K2820" i="2" s="1"/>
  <c r="C2821" i="2"/>
  <c r="B2821" i="2" l="1"/>
  <c r="A2821" i="2"/>
  <c r="H2821" i="2"/>
  <c r="I2821" i="2"/>
  <c r="M2821" i="2"/>
  <c r="G2821" i="2"/>
  <c r="F2821" i="2"/>
  <c r="E2821" i="2"/>
  <c r="C2822" i="2"/>
  <c r="L2821" i="2" l="1"/>
  <c r="D2821" i="2"/>
  <c r="J2821" i="2"/>
  <c r="K2821" i="2" s="1"/>
  <c r="A2822" i="2"/>
  <c r="B2822" i="2"/>
  <c r="E2822" i="2"/>
  <c r="F2822" i="2"/>
  <c r="M2822" i="2"/>
  <c r="H2822" i="2"/>
  <c r="G2822" i="2"/>
  <c r="I2822" i="2"/>
  <c r="L2822" i="2" l="1"/>
  <c r="J2822" i="2"/>
  <c r="K2822" i="2" s="1"/>
  <c r="D2822" i="2"/>
  <c r="C2823" i="2"/>
  <c r="B2823" i="2" l="1"/>
  <c r="A2823" i="2"/>
  <c r="G2823" i="2"/>
  <c r="H2823" i="2"/>
  <c r="M2823" i="2"/>
  <c r="I2823" i="2"/>
  <c r="E2823" i="2"/>
  <c r="F2823" i="2"/>
  <c r="C2824" i="2"/>
  <c r="L2823" i="2" l="1"/>
  <c r="J2823" i="2"/>
  <c r="K2823" i="2" s="1"/>
  <c r="D2823" i="2"/>
  <c r="B2824" i="2"/>
  <c r="A2824" i="2"/>
  <c r="E2824" i="2"/>
  <c r="M2824" i="2"/>
  <c r="G2824" i="2"/>
  <c r="F2824" i="2"/>
  <c r="H2824" i="2"/>
  <c r="I2824" i="2"/>
  <c r="L2824" i="2" l="1"/>
  <c r="D2824" i="2"/>
  <c r="J2824" i="2"/>
  <c r="K2824" i="2" s="1"/>
  <c r="C2825" i="2"/>
  <c r="B2825" i="2" l="1"/>
  <c r="A2825" i="2"/>
  <c r="F2825" i="2"/>
  <c r="H2825" i="2"/>
  <c r="M2825" i="2"/>
  <c r="E2825" i="2"/>
  <c r="I2825" i="2"/>
  <c r="G2825" i="2"/>
  <c r="C2826" i="2"/>
  <c r="L2825" i="2" l="1"/>
  <c r="J2825" i="2"/>
  <c r="K2825" i="2" s="1"/>
  <c r="D2825" i="2"/>
  <c r="A2826" i="2"/>
  <c r="B2826" i="2"/>
  <c r="E2826" i="2"/>
  <c r="H2826" i="2"/>
  <c r="G2826" i="2"/>
  <c r="M2826" i="2"/>
  <c r="F2826" i="2"/>
  <c r="I2826" i="2"/>
  <c r="C2827" i="2"/>
  <c r="L2826" i="2" l="1"/>
  <c r="J2826" i="2"/>
  <c r="K2826" i="2" s="1"/>
  <c r="D2826" i="2"/>
  <c r="A2827" i="2"/>
  <c r="B2827" i="2"/>
  <c r="F2827" i="2"/>
  <c r="G2827" i="2"/>
  <c r="I2827" i="2"/>
  <c r="H2827" i="2"/>
  <c r="M2827" i="2"/>
  <c r="E2827" i="2"/>
  <c r="C2828" i="2"/>
  <c r="L2827" i="2" l="1"/>
  <c r="D2827" i="2"/>
  <c r="J2827" i="2"/>
  <c r="K2827" i="2" s="1"/>
  <c r="A2828" i="2"/>
  <c r="B2828" i="2"/>
  <c r="M2828" i="2"/>
  <c r="E2828" i="2"/>
  <c r="F2828" i="2"/>
  <c r="I2828" i="2"/>
  <c r="H2828" i="2"/>
  <c r="G2828" i="2"/>
  <c r="L2828" i="2" l="1"/>
  <c r="J2828" i="2"/>
  <c r="K2828" i="2" s="1"/>
  <c r="D2828" i="2"/>
  <c r="C2829" i="2"/>
  <c r="B2829" i="2" l="1"/>
  <c r="A2829" i="2"/>
  <c r="I2829" i="2"/>
  <c r="G2829" i="2"/>
  <c r="E2829" i="2"/>
  <c r="F2829" i="2"/>
  <c r="M2829" i="2"/>
  <c r="H2829" i="2"/>
  <c r="C2830" i="2"/>
  <c r="L2829" i="2" l="1"/>
  <c r="J2829" i="2"/>
  <c r="K2829" i="2" s="1"/>
  <c r="D2829" i="2"/>
  <c r="A2830" i="2"/>
  <c r="B2830" i="2"/>
  <c r="M2830" i="2"/>
  <c r="F2830" i="2"/>
  <c r="I2830" i="2"/>
  <c r="E2830" i="2"/>
  <c r="G2830" i="2"/>
  <c r="H2830" i="2"/>
  <c r="L2830" i="2" l="1"/>
  <c r="J2830" i="2"/>
  <c r="K2830" i="2" s="1"/>
  <c r="D2830" i="2"/>
  <c r="C2831" i="2"/>
  <c r="A2831" i="2" l="1"/>
  <c r="B2831" i="2"/>
  <c r="E2831" i="2"/>
  <c r="G2831" i="2"/>
  <c r="H2831" i="2"/>
  <c r="F2831" i="2"/>
  <c r="I2831" i="2"/>
  <c r="M2831" i="2"/>
  <c r="L2831" i="2" l="1"/>
  <c r="J2831" i="2"/>
  <c r="K2831" i="2" s="1"/>
  <c r="D2831" i="2"/>
  <c r="C2832" i="2"/>
  <c r="B2832" i="2" l="1"/>
  <c r="A2832" i="2"/>
  <c r="F2832" i="2"/>
  <c r="G2832" i="2"/>
  <c r="M2832" i="2"/>
  <c r="E2832" i="2"/>
  <c r="I2832" i="2"/>
  <c r="H2832" i="2"/>
  <c r="C2833" i="2"/>
  <c r="L2832" i="2" l="1"/>
  <c r="D2832" i="2"/>
  <c r="J2832" i="2"/>
  <c r="K2832" i="2" s="1"/>
  <c r="B2833" i="2"/>
  <c r="A2833" i="2"/>
  <c r="I2833" i="2"/>
  <c r="M2833" i="2"/>
  <c r="F2833" i="2"/>
  <c r="G2833" i="2"/>
  <c r="E2833" i="2"/>
  <c r="H2833" i="2"/>
  <c r="C2834" i="2"/>
  <c r="L2833" i="2" l="1"/>
  <c r="D2833" i="2"/>
  <c r="J2833" i="2"/>
  <c r="K2833" i="2" s="1"/>
  <c r="A2834" i="2"/>
  <c r="B2834" i="2"/>
  <c r="H2834" i="2"/>
  <c r="I2834" i="2"/>
  <c r="E2834" i="2"/>
  <c r="F2834" i="2"/>
  <c r="G2834" i="2"/>
  <c r="M2834" i="2"/>
  <c r="C2835" i="2"/>
  <c r="L2834" i="2" l="1"/>
  <c r="J2834" i="2"/>
  <c r="K2834" i="2" s="1"/>
  <c r="D2834" i="2"/>
  <c r="A2835" i="2"/>
  <c r="B2835" i="2"/>
  <c r="E2835" i="2"/>
  <c r="H2835" i="2"/>
  <c r="G2835" i="2"/>
  <c r="F2835" i="2"/>
  <c r="I2835" i="2"/>
  <c r="M2835" i="2"/>
  <c r="L2835" i="2" l="1"/>
  <c r="J2835" i="2"/>
  <c r="K2835" i="2" s="1"/>
  <c r="D2835" i="2"/>
  <c r="C2836" i="2"/>
  <c r="A2836" i="2" l="1"/>
  <c r="B2836" i="2"/>
  <c r="H2836" i="2"/>
  <c r="G2836" i="2"/>
  <c r="I2836" i="2"/>
  <c r="M2836" i="2"/>
  <c r="F2836" i="2"/>
  <c r="E2836" i="2"/>
  <c r="C2837" i="2"/>
  <c r="L2836" i="2" l="1"/>
  <c r="D2836" i="2"/>
  <c r="J2836" i="2"/>
  <c r="K2836" i="2" s="1"/>
  <c r="B2837" i="2"/>
  <c r="A2837" i="2"/>
  <c r="I2837" i="2"/>
  <c r="M2837" i="2"/>
  <c r="G2837" i="2"/>
  <c r="H2837" i="2"/>
  <c r="E2837" i="2"/>
  <c r="F2837" i="2"/>
  <c r="C2838" i="2"/>
  <c r="L2837" i="2" l="1"/>
  <c r="D2837" i="2"/>
  <c r="J2837" i="2"/>
  <c r="K2837" i="2" s="1"/>
  <c r="A2838" i="2"/>
  <c r="B2838" i="2"/>
  <c r="F2838" i="2"/>
  <c r="M2838" i="2"/>
  <c r="H2838" i="2"/>
  <c r="I2838" i="2"/>
  <c r="G2838" i="2"/>
  <c r="E2838" i="2"/>
  <c r="C2839" i="2"/>
  <c r="L2838" i="2" l="1"/>
  <c r="D2838" i="2"/>
  <c r="J2838" i="2"/>
  <c r="K2838" i="2" s="1"/>
  <c r="A2839" i="2"/>
  <c r="B2839" i="2"/>
  <c r="G2839" i="2"/>
  <c r="I2839" i="2"/>
  <c r="M2839" i="2"/>
  <c r="H2839" i="2"/>
  <c r="F2839" i="2"/>
  <c r="E2839" i="2"/>
  <c r="C2840" i="2"/>
  <c r="L2839" i="2" l="1"/>
  <c r="J2839" i="2"/>
  <c r="K2839" i="2" s="1"/>
  <c r="D2839" i="2"/>
  <c r="A2840" i="2"/>
  <c r="B2840" i="2"/>
  <c r="H2840" i="2"/>
  <c r="E2840" i="2"/>
  <c r="M2840" i="2"/>
  <c r="G2840" i="2"/>
  <c r="I2840" i="2"/>
  <c r="F2840" i="2"/>
  <c r="C2841" i="2"/>
  <c r="L2840" i="2" l="1"/>
  <c r="D2840" i="2"/>
  <c r="J2840" i="2"/>
  <c r="K2840" i="2" s="1"/>
  <c r="B2841" i="2"/>
  <c r="A2841" i="2"/>
  <c r="M2841" i="2"/>
  <c r="F2841" i="2"/>
  <c r="E2841" i="2"/>
  <c r="I2841" i="2"/>
  <c r="H2841" i="2"/>
  <c r="G2841" i="2"/>
  <c r="C2842" i="2"/>
  <c r="L2841" i="2" l="1"/>
  <c r="J2841" i="2"/>
  <c r="K2841" i="2" s="1"/>
  <c r="D2841" i="2"/>
  <c r="A2842" i="2"/>
  <c r="B2842" i="2"/>
  <c r="E2842" i="2"/>
  <c r="I2842" i="2"/>
  <c r="G2842" i="2"/>
  <c r="M2842" i="2"/>
  <c r="F2842" i="2"/>
  <c r="H2842" i="2"/>
  <c r="L2842" i="2" l="1"/>
  <c r="D2842" i="2"/>
  <c r="J2842" i="2"/>
  <c r="K2842" i="2" s="1"/>
  <c r="C2843" i="2"/>
  <c r="A2843" i="2" l="1"/>
  <c r="B2843" i="2"/>
  <c r="G2843" i="2"/>
  <c r="I2843" i="2"/>
  <c r="H2843" i="2"/>
  <c r="M2843" i="2"/>
  <c r="F2843" i="2"/>
  <c r="E2843" i="2"/>
  <c r="L2843" i="2" l="1"/>
  <c r="J2843" i="2"/>
  <c r="K2843" i="2" s="1"/>
  <c r="D2843" i="2"/>
  <c r="C2844" i="2"/>
  <c r="B2844" i="2" l="1"/>
  <c r="A2844" i="2"/>
  <c r="E2844" i="2"/>
  <c r="F2844" i="2"/>
  <c r="G2844" i="2"/>
  <c r="I2844" i="2"/>
  <c r="H2844" i="2"/>
  <c r="M2844" i="2"/>
  <c r="C2845" i="2"/>
  <c r="L2844" i="2" l="1"/>
  <c r="D2844" i="2"/>
  <c r="J2844" i="2"/>
  <c r="K2844" i="2" s="1"/>
  <c r="B2845" i="2"/>
  <c r="A2845" i="2"/>
  <c r="E2845" i="2"/>
  <c r="I2845" i="2"/>
  <c r="G2845" i="2"/>
  <c r="H2845" i="2"/>
  <c r="F2845" i="2"/>
  <c r="M2845" i="2"/>
  <c r="C2846" i="2"/>
  <c r="L2845" i="2" l="1"/>
  <c r="D2845" i="2"/>
  <c r="J2845" i="2"/>
  <c r="K2845" i="2" s="1"/>
  <c r="A2846" i="2"/>
  <c r="B2846" i="2"/>
  <c r="F2846" i="2"/>
  <c r="I2846" i="2"/>
  <c r="M2846" i="2"/>
  <c r="E2846" i="2"/>
  <c r="H2846" i="2"/>
  <c r="G2846" i="2"/>
  <c r="C2847" i="2"/>
  <c r="L2846" i="2" l="1"/>
  <c r="J2846" i="2"/>
  <c r="K2846" i="2" s="1"/>
  <c r="D2846" i="2"/>
  <c r="B2847" i="2"/>
  <c r="A2847" i="2"/>
  <c r="I2847" i="2"/>
  <c r="F2847" i="2"/>
  <c r="M2847" i="2"/>
  <c r="G2847" i="2"/>
  <c r="E2847" i="2"/>
  <c r="H2847" i="2"/>
  <c r="C2848" i="2"/>
  <c r="L2847" i="2" l="1"/>
  <c r="D2847" i="2"/>
  <c r="J2847" i="2"/>
  <c r="K2847" i="2" s="1"/>
  <c r="B2848" i="2"/>
  <c r="A2848" i="2"/>
  <c r="F2848" i="2"/>
  <c r="M2848" i="2"/>
  <c r="G2848" i="2"/>
  <c r="E2848" i="2"/>
  <c r="H2848" i="2"/>
  <c r="I2848" i="2"/>
  <c r="C2849" i="2"/>
  <c r="L2848" i="2" l="1"/>
  <c r="D2848" i="2"/>
  <c r="J2848" i="2"/>
  <c r="K2848" i="2" s="1"/>
  <c r="B2849" i="2"/>
  <c r="A2849" i="2"/>
  <c r="M2849" i="2"/>
  <c r="G2849" i="2"/>
  <c r="E2849" i="2"/>
  <c r="H2849" i="2"/>
  <c r="F2849" i="2"/>
  <c r="I2849" i="2"/>
  <c r="L2849" i="2" l="1"/>
  <c r="J2849" i="2"/>
  <c r="K2849" i="2" s="1"/>
  <c r="D2849" i="2"/>
  <c r="C2850" i="2"/>
  <c r="B2850" i="2" l="1"/>
  <c r="A2850" i="2"/>
  <c r="I2850" i="2"/>
  <c r="M2850" i="2"/>
  <c r="F2850" i="2"/>
  <c r="G2850" i="2"/>
  <c r="E2850" i="2"/>
  <c r="H2850" i="2"/>
  <c r="C2851" i="2"/>
  <c r="L2850" i="2" l="1"/>
  <c r="J2850" i="2"/>
  <c r="K2850" i="2" s="1"/>
  <c r="D2850" i="2"/>
  <c r="A2851" i="2"/>
  <c r="B2851" i="2"/>
  <c r="I2851" i="2"/>
  <c r="G2851" i="2"/>
  <c r="F2851" i="2"/>
  <c r="H2851" i="2"/>
  <c r="M2851" i="2"/>
  <c r="E2851" i="2"/>
  <c r="C2852" i="2"/>
  <c r="L2851" i="2" l="1"/>
  <c r="J2851" i="2"/>
  <c r="K2851" i="2" s="1"/>
  <c r="D2851" i="2"/>
  <c r="B2852" i="2"/>
  <c r="A2852" i="2"/>
  <c r="M2852" i="2"/>
  <c r="F2852" i="2"/>
  <c r="G2852" i="2"/>
  <c r="H2852" i="2"/>
  <c r="I2852" i="2"/>
  <c r="E2852" i="2"/>
  <c r="C2853" i="2"/>
  <c r="L2852" i="2" l="1"/>
  <c r="D2852" i="2"/>
  <c r="J2852" i="2"/>
  <c r="K2852" i="2" s="1"/>
  <c r="B2853" i="2"/>
  <c r="A2853" i="2"/>
  <c r="M2853" i="2"/>
  <c r="F2853" i="2"/>
  <c r="G2853" i="2"/>
  <c r="H2853" i="2"/>
  <c r="I2853" i="2"/>
  <c r="E2853" i="2"/>
  <c r="C2854" i="2"/>
  <c r="L2853" i="2" l="1"/>
  <c r="D2853" i="2"/>
  <c r="J2853" i="2"/>
  <c r="K2853" i="2" s="1"/>
  <c r="A2854" i="2"/>
  <c r="B2854" i="2"/>
  <c r="M2854" i="2"/>
  <c r="H2854" i="2"/>
  <c r="F2854" i="2"/>
  <c r="G2854" i="2"/>
  <c r="I2854" i="2"/>
  <c r="E2854" i="2"/>
  <c r="C2855" i="2"/>
  <c r="L2854" i="2" l="1"/>
  <c r="J2854" i="2"/>
  <c r="K2854" i="2" s="1"/>
  <c r="D2854" i="2"/>
  <c r="B2855" i="2"/>
  <c r="A2855" i="2"/>
  <c r="I2855" i="2"/>
  <c r="E2855" i="2"/>
  <c r="F2855" i="2"/>
  <c r="G2855" i="2"/>
  <c r="M2855" i="2"/>
  <c r="H2855" i="2"/>
  <c r="C2856" i="2"/>
  <c r="L2855" i="2" l="1"/>
  <c r="D2855" i="2"/>
  <c r="J2855" i="2"/>
  <c r="K2855" i="2" s="1"/>
  <c r="B2856" i="2"/>
  <c r="A2856" i="2"/>
  <c r="G2856" i="2"/>
  <c r="E2856" i="2"/>
  <c r="M2856" i="2"/>
  <c r="H2856" i="2"/>
  <c r="I2856" i="2"/>
  <c r="F2856" i="2"/>
  <c r="L2856" i="2" l="1"/>
  <c r="D2856" i="2"/>
  <c r="J2856" i="2"/>
  <c r="K2856" i="2" s="1"/>
  <c r="C2857" i="2"/>
  <c r="B2857" i="2" l="1"/>
  <c r="A2857" i="2"/>
  <c r="F2857" i="2"/>
  <c r="M2857" i="2"/>
  <c r="H2857" i="2"/>
  <c r="E2857" i="2"/>
  <c r="G2857" i="2"/>
  <c r="I2857" i="2"/>
  <c r="C2858" i="2"/>
  <c r="L2857" i="2" l="1"/>
  <c r="D2857" i="2"/>
  <c r="J2857" i="2"/>
  <c r="K2857" i="2" s="1"/>
  <c r="A2858" i="2"/>
  <c r="B2858" i="2"/>
  <c r="M2858" i="2"/>
  <c r="I2858" i="2"/>
  <c r="H2858" i="2"/>
  <c r="F2858" i="2"/>
  <c r="G2858" i="2"/>
  <c r="E2858" i="2"/>
  <c r="C2859" i="2"/>
  <c r="L2858" i="2" l="1"/>
  <c r="J2858" i="2"/>
  <c r="K2858" i="2" s="1"/>
  <c r="D2858" i="2"/>
  <c r="A2859" i="2"/>
  <c r="B2859" i="2"/>
  <c r="M2859" i="2"/>
  <c r="G2859" i="2"/>
  <c r="I2859" i="2"/>
  <c r="E2859" i="2"/>
  <c r="F2859" i="2"/>
  <c r="H2859" i="2"/>
  <c r="L2859" i="2" l="1"/>
  <c r="J2859" i="2"/>
  <c r="K2859" i="2" s="1"/>
  <c r="D2859" i="2"/>
  <c r="C2860" i="2"/>
  <c r="A2860" i="2" l="1"/>
  <c r="B2860" i="2"/>
  <c r="G2860" i="2"/>
  <c r="H2860" i="2"/>
  <c r="E2860" i="2"/>
  <c r="F2860" i="2"/>
  <c r="M2860" i="2"/>
  <c r="I2860" i="2"/>
  <c r="L2860" i="2" l="1"/>
  <c r="D2860" i="2"/>
  <c r="J2860" i="2"/>
  <c r="K2860" i="2" s="1"/>
  <c r="C2861" i="2"/>
  <c r="B2861" i="2" l="1"/>
  <c r="A2861" i="2"/>
  <c r="I2861" i="2"/>
  <c r="G2861" i="2"/>
  <c r="E2861" i="2"/>
  <c r="F2861" i="2"/>
  <c r="H2861" i="2"/>
  <c r="M2861" i="2"/>
  <c r="C2862" i="2"/>
  <c r="L2861" i="2" l="1"/>
  <c r="D2861" i="2"/>
  <c r="J2861" i="2"/>
  <c r="K2861" i="2" s="1"/>
  <c r="A2862" i="2"/>
  <c r="B2862" i="2"/>
  <c r="M2862" i="2"/>
  <c r="E2862" i="2"/>
  <c r="F2862" i="2"/>
  <c r="H2862" i="2"/>
  <c r="I2862" i="2"/>
  <c r="G2862" i="2"/>
  <c r="C2863" i="2"/>
  <c r="L2862" i="2" l="1"/>
  <c r="J2862" i="2"/>
  <c r="K2862" i="2" s="1"/>
  <c r="D2862" i="2"/>
  <c r="A2863" i="2"/>
  <c r="B2863" i="2"/>
  <c r="E2863" i="2"/>
  <c r="H2863" i="2"/>
  <c r="I2863" i="2"/>
  <c r="M2863" i="2"/>
  <c r="F2863" i="2"/>
  <c r="G2863" i="2"/>
  <c r="C2864" i="2"/>
  <c r="L2863" i="2" l="1"/>
  <c r="J2863" i="2"/>
  <c r="K2863" i="2" s="1"/>
  <c r="D2863" i="2"/>
  <c r="A2864" i="2"/>
  <c r="B2864" i="2"/>
  <c r="H2864" i="2"/>
  <c r="I2864" i="2"/>
  <c r="G2864" i="2"/>
  <c r="E2864" i="2"/>
  <c r="F2864" i="2"/>
  <c r="M2864" i="2"/>
  <c r="C2865" i="2"/>
  <c r="L2864" i="2" l="1"/>
  <c r="D2864" i="2"/>
  <c r="J2864" i="2"/>
  <c r="K2864" i="2" s="1"/>
  <c r="B2865" i="2"/>
  <c r="A2865" i="2"/>
  <c r="F2865" i="2"/>
  <c r="M2865" i="2"/>
  <c r="I2865" i="2"/>
  <c r="E2865" i="2"/>
  <c r="G2865" i="2"/>
  <c r="H2865" i="2"/>
  <c r="L2865" i="2" l="1"/>
  <c r="J2865" i="2"/>
  <c r="K2865" i="2" s="1"/>
  <c r="D2865" i="2"/>
  <c r="C2866" i="2"/>
  <c r="A2866" i="2" l="1"/>
  <c r="B2866" i="2"/>
  <c r="I2866" i="2"/>
  <c r="G2866" i="2"/>
  <c r="H2866" i="2"/>
  <c r="M2866" i="2"/>
  <c r="E2866" i="2"/>
  <c r="F2866" i="2"/>
  <c r="L2866" i="2" l="1"/>
  <c r="J2866" i="2"/>
  <c r="K2866" i="2" s="1"/>
  <c r="D2866" i="2"/>
  <c r="C2867" i="2"/>
  <c r="A2867" i="2" l="1"/>
  <c r="B2867" i="2"/>
  <c r="H2867" i="2"/>
  <c r="F2867" i="2"/>
  <c r="E2867" i="2"/>
  <c r="G2867" i="2"/>
  <c r="M2867" i="2"/>
  <c r="I2867" i="2"/>
  <c r="C2868" i="2"/>
  <c r="L2867" i="2" l="1"/>
  <c r="D2867" i="2"/>
  <c r="J2867" i="2"/>
  <c r="K2867" i="2" s="1"/>
  <c r="A2868" i="2"/>
  <c r="B2868" i="2"/>
  <c r="H2868" i="2"/>
  <c r="F2868" i="2"/>
  <c r="M2868" i="2"/>
  <c r="E2868" i="2"/>
  <c r="I2868" i="2"/>
  <c r="G2868" i="2"/>
  <c r="C2869" i="2"/>
  <c r="L2868" i="2" l="1"/>
  <c r="D2868" i="2"/>
  <c r="J2868" i="2"/>
  <c r="K2868" i="2" s="1"/>
  <c r="B2869" i="2"/>
  <c r="A2869" i="2"/>
  <c r="H2869" i="2"/>
  <c r="E2869" i="2"/>
  <c r="G2869" i="2"/>
  <c r="I2869" i="2"/>
  <c r="M2869" i="2"/>
  <c r="F2869" i="2"/>
  <c r="C2870" i="2"/>
  <c r="L2869" i="2" l="1"/>
  <c r="D2869" i="2"/>
  <c r="J2869" i="2"/>
  <c r="K2869" i="2" s="1"/>
  <c r="A2870" i="2"/>
  <c r="B2870" i="2"/>
  <c r="H2870" i="2"/>
  <c r="G2870" i="2"/>
  <c r="M2870" i="2"/>
  <c r="F2870" i="2"/>
  <c r="E2870" i="2"/>
  <c r="I2870" i="2"/>
  <c r="C2871" i="2"/>
  <c r="L2870" i="2" l="1"/>
  <c r="D2870" i="2"/>
  <c r="J2870" i="2"/>
  <c r="K2870" i="2" s="1"/>
  <c r="A2871" i="2"/>
  <c r="B2871" i="2"/>
  <c r="E2871" i="2"/>
  <c r="M2871" i="2"/>
  <c r="H2871" i="2"/>
  <c r="G2871" i="2"/>
  <c r="F2871" i="2"/>
  <c r="I2871" i="2"/>
  <c r="L2871" i="2" l="1"/>
  <c r="J2871" i="2"/>
  <c r="K2871" i="2" s="1"/>
  <c r="D2871" i="2"/>
  <c r="C2872" i="2"/>
  <c r="B2872" i="2" l="1"/>
  <c r="A2872" i="2"/>
  <c r="G2872" i="2"/>
  <c r="E2872" i="2"/>
  <c r="H2872" i="2"/>
  <c r="I2872" i="2"/>
  <c r="F2872" i="2"/>
  <c r="M2872" i="2"/>
  <c r="C2873" i="2"/>
  <c r="L2872" i="2" l="1"/>
  <c r="D2872" i="2"/>
  <c r="J2872" i="2"/>
  <c r="K2872" i="2" s="1"/>
  <c r="B2873" i="2"/>
  <c r="A2873" i="2"/>
  <c r="M2873" i="2"/>
  <c r="E2873" i="2"/>
  <c r="H2873" i="2"/>
  <c r="G2873" i="2"/>
  <c r="I2873" i="2"/>
  <c r="F2873" i="2"/>
  <c r="C2874" i="2"/>
  <c r="L2873" i="2" l="1"/>
  <c r="J2873" i="2"/>
  <c r="K2873" i="2" s="1"/>
  <c r="D2873" i="2"/>
  <c r="A2874" i="2"/>
  <c r="B2874" i="2"/>
  <c r="G2874" i="2"/>
  <c r="H2874" i="2"/>
  <c r="M2874" i="2"/>
  <c r="I2874" i="2"/>
  <c r="F2874" i="2"/>
  <c r="E2874" i="2"/>
  <c r="C2875" i="2"/>
  <c r="L2874" i="2" l="1"/>
  <c r="J2874" i="2"/>
  <c r="K2874" i="2" s="1"/>
  <c r="D2874" i="2"/>
  <c r="A2875" i="2"/>
  <c r="B2875" i="2"/>
  <c r="F2875" i="2"/>
  <c r="M2875" i="2"/>
  <c r="E2875" i="2"/>
  <c r="H2875" i="2"/>
  <c r="G2875" i="2"/>
  <c r="I2875" i="2"/>
  <c r="L2875" i="2" l="1"/>
  <c r="D2875" i="2"/>
  <c r="J2875" i="2"/>
  <c r="K2875" i="2" s="1"/>
  <c r="C2876" i="2"/>
  <c r="B2876" i="2" l="1"/>
  <c r="A2876" i="2"/>
  <c r="E2876" i="2"/>
  <c r="H2876" i="2"/>
  <c r="G2876" i="2"/>
  <c r="I2876" i="2"/>
  <c r="M2876" i="2"/>
  <c r="F2876" i="2"/>
  <c r="C2877" i="2"/>
  <c r="L2876" i="2" l="1"/>
  <c r="D2876" i="2"/>
  <c r="J2876" i="2"/>
  <c r="K2876" i="2" s="1"/>
  <c r="B2877" i="2"/>
  <c r="A2877" i="2"/>
  <c r="I2877" i="2"/>
  <c r="E2877" i="2"/>
  <c r="H2877" i="2"/>
  <c r="M2877" i="2"/>
  <c r="G2877" i="2"/>
  <c r="F2877" i="2"/>
  <c r="L2877" i="2" l="1"/>
  <c r="D2877" i="2"/>
  <c r="J2877" i="2"/>
  <c r="K2877" i="2" s="1"/>
  <c r="C2878" i="2"/>
  <c r="A2878" i="2" l="1"/>
  <c r="B2878" i="2"/>
  <c r="H2878" i="2"/>
  <c r="G2878" i="2"/>
  <c r="F2878" i="2"/>
  <c r="M2878" i="2"/>
  <c r="I2878" i="2"/>
  <c r="E2878" i="2"/>
  <c r="C2879" i="2"/>
  <c r="L2878" i="2" l="1"/>
  <c r="J2878" i="2"/>
  <c r="K2878" i="2" s="1"/>
  <c r="D2878" i="2"/>
  <c r="A2879" i="2"/>
  <c r="B2879" i="2"/>
  <c r="M2879" i="2"/>
  <c r="I2879" i="2"/>
  <c r="H2879" i="2"/>
  <c r="G2879" i="2"/>
  <c r="E2879" i="2"/>
  <c r="F2879" i="2"/>
  <c r="L2879" i="2" l="1"/>
  <c r="J2879" i="2"/>
  <c r="K2879" i="2" s="1"/>
  <c r="D2879" i="2"/>
  <c r="C2880" i="2"/>
  <c r="A2880" i="2" l="1"/>
  <c r="B2880" i="2"/>
  <c r="E2880" i="2"/>
  <c r="H2880" i="2"/>
  <c r="G2880" i="2"/>
  <c r="M2880" i="2"/>
  <c r="I2880" i="2"/>
  <c r="F2880" i="2"/>
  <c r="L2880" i="2" l="1"/>
  <c r="D2880" i="2"/>
  <c r="J2880" i="2"/>
  <c r="K2880" i="2" s="1"/>
  <c r="C2881" i="2"/>
  <c r="B2881" i="2" l="1"/>
  <c r="A2881" i="2"/>
  <c r="I2881" i="2"/>
  <c r="H2881" i="2"/>
  <c r="E2881" i="2"/>
  <c r="M2881" i="2"/>
  <c r="G2881" i="2"/>
  <c r="F2881" i="2"/>
  <c r="C2882" i="2"/>
  <c r="L2881" i="2" l="1"/>
  <c r="J2881" i="2"/>
  <c r="K2881" i="2" s="1"/>
  <c r="D2881" i="2"/>
  <c r="A2882" i="2"/>
  <c r="B2882" i="2"/>
  <c r="M2882" i="2"/>
  <c r="I2882" i="2"/>
  <c r="H2882" i="2"/>
  <c r="G2882" i="2"/>
  <c r="E2882" i="2"/>
  <c r="F2882" i="2"/>
  <c r="C2883" i="2"/>
  <c r="L2882" i="2" l="1"/>
  <c r="J2882" i="2"/>
  <c r="K2882" i="2" s="1"/>
  <c r="D2882" i="2"/>
  <c r="A2883" i="2"/>
  <c r="B2883" i="2"/>
  <c r="E2883" i="2"/>
  <c r="M2883" i="2"/>
  <c r="H2883" i="2"/>
  <c r="G2883" i="2"/>
  <c r="I2883" i="2"/>
  <c r="F2883" i="2"/>
  <c r="L2883" i="2" l="1"/>
  <c r="J2883" i="2"/>
  <c r="K2883" i="2" s="1"/>
  <c r="D2883" i="2"/>
  <c r="C2884" i="2"/>
  <c r="B2884" i="2" l="1"/>
  <c r="A2884" i="2"/>
  <c r="G2884" i="2"/>
  <c r="F2884" i="2"/>
  <c r="H2884" i="2"/>
  <c r="E2884" i="2"/>
  <c r="M2884" i="2"/>
  <c r="I2884" i="2"/>
  <c r="C2885" i="2"/>
  <c r="L2884" i="2" l="1"/>
  <c r="D2884" i="2"/>
  <c r="J2884" i="2"/>
  <c r="K2884" i="2" s="1"/>
  <c r="A2885" i="2"/>
  <c r="B2885" i="2"/>
  <c r="F2885" i="2"/>
  <c r="G2885" i="2"/>
  <c r="E2885" i="2"/>
  <c r="M2885" i="2"/>
  <c r="I2885" i="2"/>
  <c r="H2885" i="2"/>
  <c r="L2885" i="2" l="1"/>
  <c r="J2885" i="2"/>
  <c r="K2885" i="2" s="1"/>
  <c r="D2885" i="2"/>
  <c r="C2886" i="2"/>
  <c r="A2886" i="2" l="1"/>
  <c r="B2886" i="2"/>
  <c r="I2886" i="2"/>
  <c r="M2886" i="2"/>
  <c r="F2886" i="2"/>
  <c r="H2886" i="2"/>
  <c r="E2886" i="2"/>
  <c r="G2886" i="2"/>
  <c r="L2886" i="2" l="1"/>
  <c r="J2886" i="2"/>
  <c r="K2886" i="2" s="1"/>
  <c r="D2886" i="2"/>
  <c r="C2887" i="2"/>
  <c r="B2887" i="2" l="1"/>
  <c r="A2887" i="2"/>
  <c r="M2887" i="2"/>
  <c r="G2887" i="2"/>
  <c r="E2887" i="2"/>
  <c r="H2887" i="2"/>
  <c r="I2887" i="2"/>
  <c r="F2887" i="2"/>
  <c r="C2888" i="2"/>
  <c r="L2887" i="2" l="1"/>
  <c r="D2887" i="2"/>
  <c r="J2887" i="2"/>
  <c r="K2887" i="2" s="1"/>
  <c r="B2888" i="2"/>
  <c r="A2888" i="2"/>
  <c r="I2888" i="2"/>
  <c r="H2888" i="2"/>
  <c r="F2888" i="2"/>
  <c r="M2888" i="2"/>
  <c r="G2888" i="2"/>
  <c r="E2888" i="2"/>
  <c r="C2889" i="2"/>
  <c r="L2888" i="2" l="1"/>
  <c r="D2888" i="2"/>
  <c r="J2888" i="2"/>
  <c r="K2888" i="2" s="1"/>
  <c r="A2889" i="2"/>
  <c r="B2889" i="2"/>
  <c r="E2889" i="2"/>
  <c r="M2889" i="2"/>
  <c r="I2889" i="2"/>
  <c r="F2889" i="2"/>
  <c r="H2889" i="2"/>
  <c r="G2889" i="2"/>
  <c r="L2889" i="2" l="1"/>
  <c r="J2889" i="2"/>
  <c r="K2889" i="2" s="1"/>
  <c r="D2889" i="2"/>
  <c r="C2890" i="2"/>
  <c r="B2890" i="2" l="1"/>
  <c r="A2890" i="2"/>
  <c r="E2890" i="2"/>
  <c r="H2890" i="2"/>
  <c r="G2890" i="2"/>
  <c r="M2890" i="2"/>
  <c r="F2890" i="2"/>
  <c r="I2890" i="2"/>
  <c r="C2891" i="2"/>
  <c r="L2890" i="2" l="1"/>
  <c r="J2890" i="2"/>
  <c r="K2890" i="2" s="1"/>
  <c r="D2890" i="2"/>
  <c r="B2891" i="2"/>
  <c r="A2891" i="2"/>
  <c r="H2891" i="2"/>
  <c r="F2891" i="2"/>
  <c r="M2891" i="2"/>
  <c r="E2891" i="2"/>
  <c r="I2891" i="2"/>
  <c r="G2891" i="2"/>
  <c r="C2892" i="2"/>
  <c r="L2891" i="2" l="1"/>
  <c r="D2891" i="2"/>
  <c r="J2891" i="2"/>
  <c r="K2891" i="2" s="1"/>
  <c r="B2892" i="2"/>
  <c r="A2892" i="2"/>
  <c r="G2892" i="2"/>
  <c r="M2892" i="2"/>
  <c r="I2892" i="2"/>
  <c r="H2892" i="2"/>
  <c r="F2892" i="2"/>
  <c r="E2892" i="2"/>
  <c r="C2893" i="2"/>
  <c r="L2892" i="2" l="1"/>
  <c r="D2892" i="2"/>
  <c r="J2892" i="2"/>
  <c r="K2892" i="2" s="1"/>
  <c r="A2893" i="2"/>
  <c r="B2893" i="2"/>
  <c r="G2893" i="2"/>
  <c r="E2893" i="2"/>
  <c r="M2893" i="2"/>
  <c r="I2893" i="2"/>
  <c r="F2893" i="2"/>
  <c r="H2893" i="2"/>
  <c r="C2894" i="2"/>
  <c r="L2893" i="2" l="1"/>
  <c r="J2893" i="2"/>
  <c r="K2893" i="2" s="1"/>
  <c r="D2893" i="2"/>
  <c r="A2894" i="2"/>
  <c r="B2894" i="2"/>
  <c r="H2894" i="2"/>
  <c r="I2894" i="2"/>
  <c r="E2894" i="2"/>
  <c r="F2894" i="2"/>
  <c r="M2894" i="2"/>
  <c r="G2894" i="2"/>
  <c r="C2895" i="2"/>
  <c r="L2894" i="2" l="1"/>
  <c r="J2894" i="2"/>
  <c r="K2894" i="2" s="1"/>
  <c r="D2894" i="2"/>
  <c r="A2895" i="2"/>
  <c r="B2895" i="2"/>
  <c r="G2895" i="2"/>
  <c r="I2895" i="2"/>
  <c r="F2895" i="2"/>
  <c r="H2895" i="2"/>
  <c r="M2895" i="2"/>
  <c r="E2895" i="2"/>
  <c r="L2895" i="2" l="1"/>
  <c r="D2895" i="2"/>
  <c r="J2895" i="2"/>
  <c r="K2895" i="2" s="1"/>
  <c r="C2896" i="2"/>
  <c r="B2896" i="2" l="1"/>
  <c r="A2896" i="2"/>
  <c r="F2896" i="2"/>
  <c r="M2896" i="2"/>
  <c r="G2896" i="2"/>
  <c r="H2896" i="2"/>
  <c r="I2896" i="2"/>
  <c r="E2896" i="2"/>
  <c r="L2896" i="2" l="1"/>
  <c r="D2896" i="2"/>
  <c r="J2896" i="2"/>
  <c r="K2896" i="2" s="1"/>
  <c r="C2897" i="2"/>
  <c r="A2897" i="2" l="1"/>
  <c r="B2897" i="2"/>
  <c r="F2897" i="2"/>
  <c r="M2897" i="2"/>
  <c r="H2897" i="2"/>
  <c r="I2897" i="2"/>
  <c r="E2897" i="2"/>
  <c r="G2897" i="2"/>
  <c r="L2897" i="2" l="1"/>
  <c r="J2897" i="2"/>
  <c r="K2897" i="2" s="1"/>
  <c r="D2897" i="2"/>
  <c r="C2898" i="2"/>
  <c r="A2898" i="2" l="1"/>
  <c r="B2898" i="2"/>
  <c r="H2898" i="2"/>
  <c r="E2898" i="2"/>
  <c r="I2898" i="2"/>
  <c r="M2898" i="2"/>
  <c r="F2898" i="2"/>
  <c r="G2898" i="2"/>
  <c r="L2898" i="2" l="1"/>
  <c r="J2898" i="2"/>
  <c r="K2898" i="2" s="1"/>
  <c r="D2898" i="2"/>
  <c r="C2899" i="2"/>
  <c r="A2899" i="2" l="1"/>
  <c r="B2899" i="2"/>
  <c r="M2899" i="2"/>
  <c r="I2899" i="2"/>
  <c r="H2899" i="2"/>
  <c r="G2899" i="2"/>
  <c r="F2899" i="2"/>
  <c r="E2899" i="2"/>
  <c r="C2900" i="2"/>
  <c r="L2899" i="2" l="1"/>
  <c r="D2899" i="2"/>
  <c r="J2899" i="2"/>
  <c r="K2899" i="2" s="1"/>
  <c r="B2900" i="2"/>
  <c r="A2900" i="2"/>
  <c r="E2900" i="2"/>
  <c r="M2900" i="2"/>
  <c r="G2900" i="2"/>
  <c r="F2900" i="2"/>
  <c r="I2900" i="2"/>
  <c r="H2900" i="2"/>
  <c r="C2901" i="2"/>
  <c r="L2900" i="2" l="1"/>
  <c r="D2900" i="2"/>
  <c r="J2900" i="2"/>
  <c r="K2900" i="2" s="1"/>
  <c r="A2901" i="2"/>
  <c r="B2901" i="2"/>
  <c r="M2901" i="2"/>
  <c r="G2901" i="2"/>
  <c r="H2901" i="2"/>
  <c r="E2901" i="2"/>
  <c r="I2901" i="2"/>
  <c r="F2901" i="2"/>
  <c r="L2901" i="2" l="1"/>
  <c r="J2901" i="2"/>
  <c r="K2901" i="2" s="1"/>
  <c r="D2901" i="2"/>
  <c r="C2902" i="2"/>
  <c r="A2902" i="2" l="1"/>
  <c r="B2902" i="2"/>
  <c r="E2902" i="2"/>
  <c r="G2902" i="2"/>
  <c r="M2902" i="2"/>
  <c r="I2902" i="2"/>
  <c r="H2902" i="2"/>
  <c r="F2902" i="2"/>
  <c r="L2902" i="2" l="1"/>
  <c r="D2902" i="2"/>
  <c r="J2902" i="2"/>
  <c r="K2902" i="2" s="1"/>
  <c r="C2903" i="2"/>
  <c r="B2903" i="2" l="1"/>
  <c r="A2903" i="2"/>
  <c r="G2903" i="2"/>
  <c r="F2903" i="2"/>
  <c r="M2903" i="2"/>
  <c r="E2903" i="2"/>
  <c r="I2903" i="2"/>
  <c r="H2903" i="2"/>
  <c r="C2904" i="2"/>
  <c r="L2903" i="2" l="1"/>
  <c r="D2903" i="2"/>
  <c r="J2903" i="2"/>
  <c r="K2903" i="2" s="1"/>
  <c r="B2904" i="2"/>
  <c r="A2904" i="2"/>
  <c r="H2904" i="2"/>
  <c r="I2904" i="2"/>
  <c r="E2904" i="2"/>
  <c r="G2904" i="2"/>
  <c r="M2904" i="2"/>
  <c r="F2904" i="2"/>
  <c r="C2905" i="2"/>
  <c r="L2904" i="2" l="1"/>
  <c r="J2904" i="2"/>
  <c r="K2904" i="2" s="1"/>
  <c r="D2904" i="2"/>
  <c r="A2905" i="2"/>
  <c r="B2905" i="2"/>
  <c r="E2905" i="2"/>
  <c r="M2905" i="2"/>
  <c r="H2905" i="2"/>
  <c r="I2905" i="2"/>
  <c r="F2905" i="2"/>
  <c r="G2905" i="2"/>
  <c r="C2906" i="2"/>
  <c r="L2905" i="2" l="1"/>
  <c r="J2905" i="2"/>
  <c r="K2905" i="2" s="1"/>
  <c r="D2905" i="2"/>
  <c r="A2906" i="2"/>
  <c r="B2906" i="2"/>
  <c r="G2906" i="2"/>
  <c r="I2906" i="2"/>
  <c r="H2906" i="2"/>
  <c r="M2906" i="2"/>
  <c r="E2906" i="2"/>
  <c r="F2906" i="2"/>
  <c r="L2906" i="2" l="1"/>
  <c r="J2906" i="2"/>
  <c r="K2906" i="2" s="1"/>
  <c r="D2906" i="2"/>
  <c r="C2907" i="2"/>
  <c r="B2907" i="2" l="1"/>
  <c r="A2907" i="2"/>
  <c r="H2907" i="2"/>
  <c r="G2907" i="2"/>
  <c r="E2907" i="2"/>
  <c r="F2907" i="2"/>
  <c r="M2907" i="2"/>
  <c r="I2907" i="2"/>
  <c r="C2908" i="2"/>
  <c r="L2907" i="2" l="1"/>
  <c r="D2907" i="2"/>
  <c r="J2907" i="2"/>
  <c r="K2907" i="2" s="1"/>
  <c r="B2908" i="2"/>
  <c r="A2908" i="2"/>
  <c r="I2908" i="2"/>
  <c r="E2908" i="2"/>
  <c r="M2908" i="2"/>
  <c r="H2908" i="2"/>
  <c r="F2908" i="2"/>
  <c r="G2908" i="2"/>
  <c r="C2909" i="2"/>
  <c r="L2908" i="2" l="1"/>
  <c r="D2908" i="2"/>
  <c r="J2908" i="2"/>
  <c r="K2908" i="2" s="1"/>
  <c r="A2909" i="2"/>
  <c r="B2909" i="2"/>
  <c r="E2909" i="2"/>
  <c r="I2909" i="2"/>
  <c r="F2909" i="2"/>
  <c r="G2909" i="2"/>
  <c r="H2909" i="2"/>
  <c r="M2909" i="2"/>
  <c r="C2910" i="2"/>
  <c r="L2909" i="2" l="1"/>
  <c r="J2909" i="2"/>
  <c r="K2909" i="2" s="1"/>
  <c r="D2909" i="2"/>
  <c r="A2910" i="2"/>
  <c r="B2910" i="2"/>
  <c r="H2910" i="2"/>
  <c r="M2910" i="2"/>
  <c r="G2910" i="2"/>
  <c r="I2910" i="2"/>
  <c r="E2910" i="2"/>
  <c r="F2910" i="2"/>
  <c r="C2911" i="2"/>
  <c r="L2910" i="2" l="1"/>
  <c r="D2910" i="2"/>
  <c r="J2910" i="2"/>
  <c r="K2910" i="2" s="1"/>
  <c r="A2911" i="2"/>
  <c r="B2911" i="2"/>
  <c r="M2911" i="2"/>
  <c r="G2911" i="2"/>
  <c r="F2911" i="2"/>
  <c r="E2911" i="2"/>
  <c r="I2911" i="2"/>
  <c r="H2911" i="2"/>
  <c r="C2912" i="2"/>
  <c r="L2911" i="2" l="1"/>
  <c r="D2911" i="2"/>
  <c r="J2911" i="2"/>
  <c r="K2911" i="2" s="1"/>
  <c r="B2912" i="2"/>
  <c r="A2912" i="2"/>
  <c r="M2912" i="2"/>
  <c r="G2912" i="2"/>
  <c r="F2912" i="2"/>
  <c r="E2912" i="2"/>
  <c r="H2912" i="2"/>
  <c r="I2912" i="2"/>
  <c r="C2913" i="2"/>
  <c r="L2912" i="2" l="1"/>
  <c r="D2912" i="2"/>
  <c r="J2912" i="2"/>
  <c r="K2912" i="2" s="1"/>
  <c r="A2913" i="2"/>
  <c r="B2913" i="2"/>
  <c r="E2913" i="2"/>
  <c r="M2913" i="2"/>
  <c r="H2913" i="2"/>
  <c r="G2913" i="2"/>
  <c r="F2913" i="2"/>
  <c r="I2913" i="2"/>
  <c r="C2914" i="2"/>
  <c r="L2913" i="2" l="1"/>
  <c r="J2913" i="2"/>
  <c r="K2913" i="2" s="1"/>
  <c r="D2913" i="2"/>
  <c r="A2914" i="2"/>
  <c r="B2914" i="2"/>
  <c r="F2914" i="2"/>
  <c r="M2914" i="2"/>
  <c r="I2914" i="2"/>
  <c r="G2914" i="2"/>
  <c r="E2914" i="2"/>
  <c r="H2914" i="2"/>
  <c r="C2915" i="2"/>
  <c r="L2914" i="2" l="1"/>
  <c r="J2914" i="2"/>
  <c r="K2914" i="2" s="1"/>
  <c r="D2914" i="2"/>
  <c r="A2915" i="2"/>
  <c r="B2915" i="2"/>
  <c r="E2915" i="2"/>
  <c r="I2915" i="2"/>
  <c r="H2915" i="2"/>
  <c r="G2915" i="2"/>
  <c r="M2915" i="2"/>
  <c r="F2915" i="2"/>
  <c r="L2915" i="2" l="1"/>
  <c r="D2915" i="2"/>
  <c r="J2915" i="2"/>
  <c r="K2915" i="2" s="1"/>
  <c r="C2916" i="2"/>
  <c r="B2916" i="2" l="1"/>
  <c r="A2916" i="2"/>
  <c r="F2916" i="2"/>
  <c r="I2916" i="2"/>
  <c r="M2916" i="2"/>
  <c r="H2916" i="2"/>
  <c r="G2916" i="2"/>
  <c r="E2916" i="2"/>
  <c r="L2916" i="2" l="1"/>
  <c r="J2916" i="2"/>
  <c r="K2916" i="2" s="1"/>
  <c r="D2916" i="2"/>
  <c r="C2917" i="2"/>
  <c r="B2917" i="2" l="1"/>
  <c r="A2917" i="2"/>
  <c r="H2917" i="2"/>
  <c r="M2917" i="2"/>
  <c r="I2917" i="2"/>
  <c r="G2917" i="2"/>
  <c r="F2917" i="2"/>
  <c r="E2917" i="2"/>
  <c r="C2918" i="2"/>
  <c r="L2917" i="2" l="1"/>
  <c r="J2917" i="2"/>
  <c r="K2917" i="2" s="1"/>
  <c r="D2917" i="2"/>
  <c r="A2918" i="2"/>
  <c r="B2918" i="2"/>
  <c r="G2918" i="2"/>
  <c r="E2918" i="2"/>
  <c r="M2918" i="2"/>
  <c r="H2918" i="2"/>
  <c r="I2918" i="2"/>
  <c r="F2918" i="2"/>
  <c r="L2918" i="2" l="1"/>
  <c r="D2918" i="2"/>
  <c r="J2918" i="2"/>
  <c r="K2918" i="2" s="1"/>
  <c r="C2919" i="2"/>
  <c r="B2919" i="2" l="1"/>
  <c r="A2919" i="2"/>
  <c r="F2919" i="2"/>
  <c r="H2919" i="2"/>
  <c r="E2919" i="2"/>
  <c r="I2919" i="2"/>
  <c r="G2919" i="2"/>
  <c r="M2919" i="2"/>
  <c r="C2920" i="2"/>
  <c r="L2919" i="2" l="1"/>
  <c r="D2919" i="2"/>
  <c r="J2919" i="2"/>
  <c r="K2919" i="2" s="1"/>
  <c r="B2920" i="2"/>
  <c r="A2920" i="2"/>
  <c r="I2920" i="2"/>
  <c r="H2920" i="2"/>
  <c r="E2920" i="2"/>
  <c r="G2920" i="2"/>
  <c r="M2920" i="2"/>
  <c r="F2920" i="2"/>
  <c r="C2921" i="2"/>
  <c r="L2920" i="2" l="1"/>
  <c r="D2920" i="2"/>
  <c r="J2920" i="2"/>
  <c r="K2920" i="2" s="1"/>
  <c r="A2921" i="2"/>
  <c r="B2921" i="2"/>
  <c r="E2921" i="2"/>
  <c r="H2921" i="2"/>
  <c r="G2921" i="2"/>
  <c r="F2921" i="2"/>
  <c r="M2921" i="2"/>
  <c r="I2921" i="2"/>
  <c r="L2921" i="2" l="1"/>
  <c r="J2921" i="2"/>
  <c r="K2921" i="2" s="1"/>
  <c r="D2921" i="2"/>
  <c r="C2922" i="2"/>
  <c r="A2922" i="2" l="1"/>
  <c r="B2922" i="2"/>
  <c r="M2922" i="2"/>
  <c r="E2922" i="2"/>
  <c r="G2922" i="2"/>
  <c r="I2922" i="2"/>
  <c r="H2922" i="2"/>
  <c r="F2922" i="2"/>
  <c r="L2922" i="2" l="1"/>
  <c r="J2922" i="2"/>
  <c r="K2922" i="2" s="1"/>
  <c r="D2922" i="2"/>
  <c r="C2923" i="2"/>
  <c r="B2923" i="2" l="1"/>
  <c r="A2923" i="2"/>
  <c r="G2923" i="2"/>
  <c r="F2923" i="2"/>
  <c r="I2923" i="2"/>
  <c r="E2923" i="2"/>
  <c r="M2923" i="2"/>
  <c r="H2923" i="2"/>
  <c r="C2924" i="2"/>
  <c r="L2923" i="2" l="1"/>
  <c r="D2923" i="2"/>
  <c r="J2923" i="2"/>
  <c r="K2923" i="2" s="1"/>
  <c r="B2924" i="2"/>
  <c r="A2924" i="2"/>
  <c r="M2924" i="2"/>
  <c r="F2924" i="2"/>
  <c r="H2924" i="2"/>
  <c r="G2924" i="2"/>
  <c r="E2924" i="2"/>
  <c r="I2924" i="2"/>
  <c r="C2925" i="2"/>
  <c r="L2924" i="2" l="1"/>
  <c r="J2924" i="2"/>
  <c r="K2924" i="2" s="1"/>
  <c r="D2924" i="2"/>
  <c r="A2925" i="2"/>
  <c r="B2925" i="2"/>
  <c r="G2925" i="2"/>
  <c r="H2925" i="2"/>
  <c r="I2925" i="2"/>
  <c r="M2925" i="2"/>
  <c r="E2925" i="2"/>
  <c r="F2925" i="2"/>
  <c r="C2926" i="2"/>
  <c r="L2925" i="2" l="1"/>
  <c r="D2925" i="2"/>
  <c r="J2925" i="2"/>
  <c r="K2925" i="2" s="1"/>
  <c r="A2926" i="2"/>
  <c r="B2926" i="2"/>
  <c r="F2926" i="2"/>
  <c r="G2926" i="2"/>
  <c r="I2926" i="2"/>
  <c r="H2926" i="2"/>
  <c r="E2926" i="2"/>
  <c r="M2926" i="2"/>
  <c r="C2927" i="2"/>
  <c r="L2926" i="2" l="1"/>
  <c r="D2926" i="2"/>
  <c r="J2926" i="2"/>
  <c r="K2926" i="2" s="1"/>
  <c r="A2927" i="2"/>
  <c r="B2927" i="2"/>
  <c r="M2927" i="2"/>
  <c r="F2927" i="2"/>
  <c r="H2927" i="2"/>
  <c r="E2927" i="2"/>
  <c r="I2927" i="2"/>
  <c r="G2927" i="2"/>
  <c r="C2928" i="2"/>
  <c r="L2927" i="2" l="1"/>
  <c r="D2927" i="2"/>
  <c r="J2927" i="2"/>
  <c r="K2927" i="2" s="1"/>
  <c r="B2928" i="2"/>
  <c r="A2928" i="2"/>
  <c r="G2928" i="2"/>
  <c r="H2928" i="2"/>
  <c r="E2928" i="2"/>
  <c r="I2928" i="2"/>
  <c r="F2928" i="2"/>
  <c r="M2928" i="2"/>
  <c r="C2929" i="2"/>
  <c r="L2928" i="2" l="1"/>
  <c r="D2928" i="2"/>
  <c r="J2928" i="2"/>
  <c r="K2928" i="2" s="1"/>
  <c r="A2929" i="2"/>
  <c r="B2929" i="2"/>
  <c r="I2929" i="2"/>
  <c r="E2929" i="2"/>
  <c r="M2929" i="2"/>
  <c r="G2929" i="2"/>
  <c r="H2929" i="2"/>
  <c r="F2929" i="2"/>
  <c r="C2930" i="2"/>
  <c r="L2929" i="2" l="1"/>
  <c r="J2929" i="2"/>
  <c r="K2929" i="2" s="1"/>
  <c r="D2929" i="2"/>
  <c r="A2930" i="2"/>
  <c r="B2930" i="2"/>
  <c r="F2930" i="2"/>
  <c r="M2930" i="2"/>
  <c r="E2930" i="2"/>
  <c r="I2930" i="2"/>
  <c r="H2930" i="2"/>
  <c r="G2930" i="2"/>
  <c r="C2931" i="2"/>
  <c r="L2930" i="2" l="1"/>
  <c r="J2930" i="2"/>
  <c r="K2930" i="2" s="1"/>
  <c r="D2930" i="2"/>
  <c r="A2931" i="2"/>
  <c r="B2931" i="2"/>
  <c r="I2931" i="2"/>
  <c r="E2931" i="2"/>
  <c r="G2931" i="2"/>
  <c r="M2931" i="2"/>
  <c r="H2931" i="2"/>
  <c r="F2931" i="2"/>
  <c r="L2931" i="2" l="1"/>
  <c r="D2931" i="2"/>
  <c r="J2931" i="2"/>
  <c r="K2931" i="2" s="1"/>
  <c r="C2932" i="2"/>
  <c r="B2932" i="2" l="1"/>
  <c r="A2932" i="2"/>
  <c r="G2932" i="2"/>
  <c r="M2932" i="2"/>
  <c r="F2932" i="2"/>
  <c r="H2932" i="2"/>
  <c r="I2932" i="2"/>
  <c r="E2932" i="2"/>
  <c r="C2933" i="2"/>
  <c r="L2932" i="2" l="1"/>
  <c r="D2932" i="2"/>
  <c r="J2932" i="2"/>
  <c r="K2932" i="2" s="1"/>
  <c r="A2933" i="2"/>
  <c r="B2933" i="2"/>
  <c r="M2933" i="2"/>
  <c r="E2933" i="2"/>
  <c r="H2933" i="2"/>
  <c r="I2933" i="2"/>
  <c r="G2933" i="2"/>
  <c r="F2933" i="2"/>
  <c r="L2933" i="2" l="1"/>
  <c r="J2933" i="2"/>
  <c r="K2933" i="2" s="1"/>
  <c r="D2933" i="2"/>
  <c r="C2934" i="2"/>
  <c r="A2934" i="2" l="1"/>
  <c r="B2934" i="2"/>
  <c r="G2934" i="2"/>
  <c r="E2934" i="2"/>
  <c r="H2934" i="2"/>
  <c r="M2934" i="2"/>
  <c r="F2934" i="2"/>
  <c r="I2934" i="2"/>
  <c r="C2935" i="2"/>
  <c r="L2934" i="2" l="1"/>
  <c r="J2934" i="2"/>
  <c r="K2934" i="2" s="1"/>
  <c r="D2934" i="2"/>
  <c r="A2935" i="2"/>
  <c r="B2935" i="2"/>
  <c r="H2935" i="2"/>
  <c r="F2935" i="2"/>
  <c r="I2935" i="2"/>
  <c r="E2935" i="2"/>
  <c r="M2935" i="2"/>
  <c r="G2935" i="2"/>
  <c r="C2936" i="2"/>
  <c r="L2935" i="2" l="1"/>
  <c r="D2935" i="2"/>
  <c r="J2935" i="2"/>
  <c r="K2935" i="2" s="1"/>
  <c r="B2936" i="2"/>
  <c r="A2936" i="2"/>
  <c r="I2936" i="2"/>
  <c r="G2936" i="2"/>
  <c r="M2936" i="2"/>
  <c r="H2936" i="2"/>
  <c r="F2936" i="2"/>
  <c r="E2936" i="2"/>
  <c r="C2937" i="2"/>
  <c r="L2936" i="2" l="1"/>
  <c r="D2936" i="2"/>
  <c r="J2936" i="2"/>
  <c r="K2936" i="2" s="1"/>
  <c r="A2937" i="2"/>
  <c r="B2937" i="2"/>
  <c r="I2937" i="2"/>
  <c r="M2937" i="2"/>
  <c r="E2937" i="2"/>
  <c r="F2937" i="2"/>
  <c r="G2937" i="2"/>
  <c r="H2937" i="2"/>
  <c r="L2937" i="2" l="1"/>
  <c r="J2937" i="2"/>
  <c r="K2937" i="2" s="1"/>
  <c r="D2937" i="2"/>
  <c r="C2938" i="2"/>
  <c r="A2938" i="2" l="1"/>
  <c r="B2938" i="2"/>
  <c r="E2938" i="2"/>
  <c r="F2938" i="2"/>
  <c r="G2938" i="2"/>
  <c r="H2938" i="2"/>
  <c r="M2938" i="2"/>
  <c r="I2938" i="2"/>
  <c r="L2938" i="2" l="1"/>
  <c r="J2938" i="2"/>
  <c r="K2938" i="2" s="1"/>
  <c r="D2938" i="2"/>
  <c r="C2939" i="2"/>
  <c r="A2939" i="2" l="1"/>
  <c r="B2939" i="2"/>
  <c r="I2939" i="2"/>
  <c r="H2939" i="2"/>
  <c r="E2939" i="2"/>
  <c r="G2939" i="2"/>
  <c r="M2939" i="2"/>
  <c r="F2939" i="2"/>
  <c r="C2940" i="2"/>
  <c r="L2939" i="2" l="1"/>
  <c r="D2939" i="2"/>
  <c r="J2939" i="2"/>
  <c r="K2939" i="2" s="1"/>
  <c r="B2940" i="2"/>
  <c r="A2940" i="2"/>
  <c r="M2940" i="2"/>
  <c r="I2940" i="2"/>
  <c r="E2940" i="2"/>
  <c r="H2940" i="2"/>
  <c r="G2940" i="2"/>
  <c r="F2940" i="2"/>
  <c r="C2941" i="2"/>
  <c r="L2940" i="2" l="1"/>
  <c r="J2940" i="2"/>
  <c r="K2940" i="2" s="1"/>
  <c r="D2940" i="2"/>
  <c r="A2941" i="2"/>
  <c r="B2941" i="2"/>
  <c r="F2941" i="2"/>
  <c r="M2941" i="2"/>
  <c r="H2941" i="2"/>
  <c r="E2941" i="2"/>
  <c r="I2941" i="2"/>
  <c r="G2941" i="2"/>
  <c r="C2942" i="2"/>
  <c r="L2941" i="2" l="1"/>
  <c r="J2941" i="2"/>
  <c r="K2941" i="2" s="1"/>
  <c r="D2941" i="2"/>
  <c r="A2942" i="2"/>
  <c r="B2942" i="2"/>
  <c r="F2942" i="2"/>
  <c r="G2942" i="2"/>
  <c r="H2942" i="2"/>
  <c r="E2942" i="2"/>
  <c r="M2942" i="2"/>
  <c r="I2942" i="2"/>
  <c r="C2943" i="2"/>
  <c r="L2942" i="2" l="1"/>
  <c r="D2942" i="2"/>
  <c r="J2942" i="2"/>
  <c r="K2942" i="2" s="1"/>
  <c r="A2943" i="2"/>
  <c r="B2943" i="2"/>
  <c r="H2943" i="2"/>
  <c r="F2943" i="2"/>
  <c r="E2943" i="2"/>
  <c r="I2943" i="2"/>
  <c r="M2943" i="2"/>
  <c r="G2943" i="2"/>
  <c r="C2944" i="2"/>
  <c r="L2943" i="2" l="1"/>
  <c r="D2943" i="2"/>
  <c r="J2943" i="2"/>
  <c r="K2943" i="2" s="1"/>
  <c r="B2944" i="2"/>
  <c r="A2944" i="2"/>
  <c r="M2944" i="2"/>
  <c r="G2944" i="2"/>
  <c r="E2944" i="2"/>
  <c r="H2944" i="2"/>
  <c r="F2944" i="2"/>
  <c r="I2944" i="2"/>
  <c r="C2945" i="2"/>
  <c r="L2944" i="2" l="1"/>
  <c r="J2944" i="2"/>
  <c r="K2944" i="2" s="1"/>
  <c r="D2944" i="2"/>
  <c r="A2945" i="2"/>
  <c r="B2945" i="2"/>
  <c r="H2945" i="2"/>
  <c r="F2945" i="2"/>
  <c r="M2945" i="2"/>
  <c r="G2945" i="2"/>
  <c r="E2945" i="2"/>
  <c r="I2945" i="2"/>
  <c r="C2946" i="2"/>
  <c r="L2945" i="2" l="1"/>
  <c r="J2945" i="2"/>
  <c r="K2945" i="2" s="1"/>
  <c r="D2945" i="2"/>
  <c r="B2946" i="2"/>
  <c r="A2946" i="2"/>
  <c r="G2946" i="2"/>
  <c r="I2946" i="2"/>
  <c r="E2946" i="2"/>
  <c r="M2946" i="2"/>
  <c r="H2946" i="2"/>
  <c r="F2946" i="2"/>
  <c r="C2947" i="2"/>
  <c r="L2946" i="2" l="1"/>
  <c r="D2946" i="2"/>
  <c r="J2946" i="2"/>
  <c r="K2946" i="2" s="1"/>
  <c r="B2947" i="2"/>
  <c r="A2947" i="2"/>
  <c r="H2947" i="2"/>
  <c r="F2947" i="2"/>
  <c r="G2947" i="2"/>
  <c r="I2947" i="2"/>
  <c r="E2947" i="2"/>
  <c r="M2947" i="2"/>
  <c r="C2948" i="2"/>
  <c r="L2947" i="2" l="1"/>
  <c r="D2947" i="2"/>
  <c r="J2947" i="2"/>
  <c r="K2947" i="2" s="1"/>
  <c r="B2948" i="2"/>
  <c r="A2948" i="2"/>
  <c r="F2948" i="2"/>
  <c r="M2948" i="2"/>
  <c r="E2948" i="2"/>
  <c r="H2948" i="2"/>
  <c r="I2948" i="2"/>
  <c r="G2948" i="2"/>
  <c r="C2949" i="2"/>
  <c r="L2948" i="2" l="1"/>
  <c r="D2948" i="2"/>
  <c r="J2948" i="2"/>
  <c r="K2948" i="2" s="1"/>
  <c r="A2949" i="2"/>
  <c r="B2949" i="2"/>
  <c r="M2949" i="2"/>
  <c r="H2949" i="2"/>
  <c r="I2949" i="2"/>
  <c r="G2949" i="2"/>
  <c r="F2949" i="2"/>
  <c r="E2949" i="2"/>
  <c r="C2950" i="2"/>
  <c r="L2949" i="2" l="1"/>
  <c r="J2949" i="2"/>
  <c r="K2949" i="2" s="1"/>
  <c r="D2949" i="2"/>
  <c r="A2950" i="2"/>
  <c r="B2950" i="2"/>
  <c r="G2950" i="2"/>
  <c r="M2950" i="2"/>
  <c r="H2950" i="2"/>
  <c r="E2950" i="2"/>
  <c r="F2950" i="2"/>
  <c r="I2950" i="2"/>
  <c r="C2951" i="2"/>
  <c r="L2950" i="2" l="1"/>
  <c r="J2950" i="2"/>
  <c r="K2950" i="2" s="1"/>
  <c r="D2950" i="2"/>
  <c r="B2951" i="2"/>
  <c r="A2951" i="2"/>
  <c r="E2951" i="2"/>
  <c r="M2951" i="2"/>
  <c r="I2951" i="2"/>
  <c r="G2951" i="2"/>
  <c r="H2951" i="2"/>
  <c r="F2951" i="2"/>
  <c r="C2952" i="2"/>
  <c r="L2951" i="2" l="1"/>
  <c r="D2951" i="2"/>
  <c r="J2951" i="2"/>
  <c r="K2951" i="2" s="1"/>
  <c r="B2952" i="2"/>
  <c r="A2952" i="2"/>
  <c r="M2952" i="2"/>
  <c r="H2952" i="2"/>
  <c r="I2952" i="2"/>
  <c r="G2952" i="2"/>
  <c r="F2952" i="2"/>
  <c r="E2952" i="2"/>
  <c r="L2952" i="2" l="1"/>
  <c r="J2952" i="2"/>
  <c r="K2952" i="2" s="1"/>
  <c r="D2952" i="2"/>
  <c r="C2953" i="2"/>
  <c r="A2953" i="2" l="1"/>
  <c r="B2953" i="2"/>
  <c r="H2953" i="2"/>
  <c r="I2953" i="2"/>
  <c r="F2953" i="2"/>
  <c r="G2953" i="2"/>
  <c r="E2953" i="2"/>
  <c r="M2953" i="2"/>
  <c r="C2954" i="2"/>
  <c r="L2953" i="2" l="1"/>
  <c r="J2953" i="2"/>
  <c r="K2953" i="2" s="1"/>
  <c r="D2953" i="2"/>
  <c r="A2954" i="2"/>
  <c r="B2954" i="2"/>
  <c r="H2954" i="2"/>
  <c r="E2954" i="2"/>
  <c r="G2954" i="2"/>
  <c r="F2954" i="2"/>
  <c r="M2954" i="2"/>
  <c r="I2954" i="2"/>
  <c r="C2955" i="2"/>
  <c r="L2954" i="2" l="1"/>
  <c r="D2954" i="2"/>
  <c r="J2954" i="2"/>
  <c r="K2954" i="2" s="1"/>
  <c r="A2955" i="2"/>
  <c r="B2955" i="2"/>
  <c r="F2955" i="2"/>
  <c r="I2955" i="2"/>
  <c r="M2955" i="2"/>
  <c r="E2955" i="2"/>
  <c r="H2955" i="2"/>
  <c r="G2955" i="2"/>
  <c r="L2955" i="2" l="1"/>
  <c r="D2955" i="2"/>
  <c r="J2955" i="2"/>
  <c r="K2955" i="2" s="1"/>
  <c r="C2956" i="2"/>
  <c r="A2956" i="2" l="1"/>
  <c r="B2956" i="2"/>
  <c r="I2956" i="2"/>
  <c r="F2956" i="2"/>
  <c r="M2956" i="2"/>
  <c r="H2956" i="2"/>
  <c r="E2956" i="2"/>
  <c r="G2956" i="2"/>
  <c r="L2956" i="2" l="1"/>
  <c r="J2956" i="2"/>
  <c r="K2956" i="2" s="1"/>
  <c r="D2956" i="2"/>
  <c r="C2957" i="2"/>
  <c r="A2957" i="2" l="1"/>
  <c r="B2957" i="2"/>
  <c r="I2957" i="2"/>
  <c r="F2957" i="2"/>
  <c r="M2957" i="2"/>
  <c r="H2957" i="2"/>
  <c r="G2957" i="2"/>
  <c r="E2957" i="2"/>
  <c r="L2957" i="2" l="1"/>
  <c r="D2957" i="2"/>
  <c r="J2957" i="2"/>
  <c r="K2957" i="2" s="1"/>
  <c r="C2958" i="2"/>
  <c r="B2958" i="2" l="1"/>
  <c r="A2958" i="2"/>
  <c r="G2958" i="2"/>
  <c r="E2958" i="2"/>
  <c r="H2958" i="2"/>
  <c r="M2958" i="2"/>
  <c r="F2958" i="2"/>
  <c r="I2958" i="2"/>
  <c r="C2959" i="2"/>
  <c r="L2958" i="2" l="1"/>
  <c r="D2958" i="2"/>
  <c r="J2958" i="2"/>
  <c r="K2958" i="2" s="1"/>
  <c r="B2959" i="2"/>
  <c r="A2959" i="2"/>
  <c r="M2959" i="2"/>
  <c r="I2959" i="2"/>
  <c r="H2959" i="2"/>
  <c r="E2959" i="2"/>
  <c r="F2959" i="2"/>
  <c r="G2959" i="2"/>
  <c r="L2959" i="2" l="1"/>
  <c r="D2959" i="2"/>
  <c r="J2959" i="2"/>
  <c r="K2959" i="2" s="1"/>
  <c r="C2960" i="2"/>
  <c r="B2960" i="2" l="1"/>
  <c r="A2960" i="2"/>
  <c r="I2960" i="2"/>
  <c r="H2960" i="2"/>
  <c r="G2960" i="2"/>
  <c r="E2960" i="2"/>
  <c r="F2960" i="2"/>
  <c r="M2960" i="2"/>
  <c r="C2961" i="2"/>
  <c r="L2960" i="2" l="1"/>
  <c r="J2960" i="2"/>
  <c r="K2960" i="2" s="1"/>
  <c r="D2960" i="2"/>
  <c r="A2961" i="2"/>
  <c r="B2961" i="2"/>
  <c r="F2961" i="2"/>
  <c r="E2961" i="2"/>
  <c r="G2961" i="2"/>
  <c r="I2961" i="2"/>
  <c r="M2961" i="2"/>
  <c r="H2961" i="2"/>
  <c r="C2962" i="2"/>
  <c r="L2961" i="2" l="1"/>
  <c r="J2961" i="2"/>
  <c r="K2961" i="2" s="1"/>
  <c r="D2961" i="2"/>
  <c r="A2962" i="2"/>
  <c r="B2962" i="2"/>
  <c r="G2962" i="2"/>
  <c r="F2962" i="2"/>
  <c r="H2962" i="2"/>
  <c r="E2962" i="2"/>
  <c r="M2962" i="2"/>
  <c r="I2962" i="2"/>
  <c r="L2962" i="2" l="1"/>
  <c r="J2962" i="2"/>
  <c r="K2962" i="2" s="1"/>
  <c r="D2962" i="2"/>
  <c r="C2963" i="2"/>
  <c r="A2963" i="2" l="1"/>
  <c r="B2963" i="2"/>
  <c r="I2963" i="2"/>
  <c r="G2963" i="2"/>
  <c r="E2963" i="2"/>
  <c r="M2963" i="2"/>
  <c r="H2963" i="2"/>
  <c r="F2963" i="2"/>
  <c r="L2963" i="2" l="1"/>
  <c r="J2963" i="2"/>
  <c r="K2963" i="2" s="1"/>
  <c r="D2963" i="2"/>
  <c r="C2964" i="2"/>
  <c r="B2964" i="2" l="1"/>
  <c r="A2964" i="2"/>
  <c r="E2964" i="2"/>
  <c r="H2964" i="2"/>
  <c r="F2964" i="2"/>
  <c r="G2964" i="2"/>
  <c r="M2964" i="2"/>
  <c r="I2964" i="2"/>
  <c r="L2964" i="2" l="1"/>
  <c r="J2964" i="2"/>
  <c r="K2964" i="2" s="1"/>
  <c r="D2964" i="2"/>
  <c r="C2965" i="2"/>
  <c r="A2965" i="2" l="1"/>
  <c r="B2965" i="2"/>
  <c r="G2965" i="2"/>
  <c r="I2965" i="2"/>
  <c r="F2965" i="2"/>
  <c r="M2965" i="2"/>
  <c r="H2965" i="2"/>
  <c r="E2965" i="2"/>
  <c r="C2966" i="2"/>
  <c r="L2965" i="2" l="1"/>
  <c r="D2965" i="2"/>
  <c r="J2965" i="2"/>
  <c r="K2965" i="2" s="1"/>
  <c r="B2966" i="2"/>
  <c r="A2966" i="2"/>
  <c r="F2966" i="2"/>
  <c r="M2966" i="2"/>
  <c r="I2966" i="2"/>
  <c r="G2966" i="2"/>
  <c r="H2966" i="2"/>
  <c r="E2966" i="2"/>
  <c r="C2967" i="2"/>
  <c r="L2966" i="2" l="1"/>
  <c r="D2966" i="2"/>
  <c r="J2966" i="2"/>
  <c r="K2966" i="2" s="1"/>
  <c r="A2967" i="2"/>
  <c r="B2967" i="2"/>
  <c r="I2967" i="2"/>
  <c r="G2967" i="2"/>
  <c r="M2967" i="2"/>
  <c r="F2967" i="2"/>
  <c r="H2967" i="2"/>
  <c r="E2967" i="2"/>
  <c r="C2968" i="2"/>
  <c r="L2967" i="2" l="1"/>
  <c r="J2967" i="2"/>
  <c r="K2967" i="2" s="1"/>
  <c r="D2967" i="2"/>
  <c r="A2968" i="2"/>
  <c r="B2968" i="2"/>
  <c r="F2968" i="2"/>
  <c r="H2968" i="2"/>
  <c r="G2968" i="2"/>
  <c r="E2968" i="2"/>
  <c r="M2968" i="2"/>
  <c r="I2968" i="2"/>
  <c r="L2968" i="2" l="1"/>
  <c r="D2968" i="2"/>
  <c r="J2968" i="2"/>
  <c r="K2968" i="2" s="1"/>
  <c r="C2969" i="2"/>
  <c r="B2969" i="2" l="1"/>
  <c r="A2969" i="2"/>
  <c r="M2969" i="2"/>
  <c r="G2969" i="2"/>
  <c r="E2969" i="2"/>
  <c r="I2969" i="2"/>
  <c r="H2969" i="2"/>
  <c r="F2969" i="2"/>
  <c r="C2970" i="2"/>
  <c r="L2969" i="2" l="1"/>
  <c r="D2969" i="2"/>
  <c r="J2969" i="2"/>
  <c r="K2969" i="2" s="1"/>
  <c r="B2970" i="2"/>
  <c r="A2970" i="2"/>
  <c r="I2970" i="2"/>
  <c r="E2970" i="2"/>
  <c r="F2970" i="2"/>
  <c r="G2970" i="2"/>
  <c r="H2970" i="2"/>
  <c r="M2970" i="2"/>
  <c r="C2971" i="2"/>
  <c r="L2970" i="2" l="1"/>
  <c r="D2970" i="2"/>
  <c r="J2970" i="2"/>
  <c r="K2970" i="2" s="1"/>
  <c r="A2971" i="2"/>
  <c r="B2971" i="2"/>
  <c r="F2971" i="2"/>
  <c r="G2971" i="2"/>
  <c r="H2971" i="2"/>
  <c r="I2971" i="2"/>
  <c r="E2971" i="2"/>
  <c r="M2971" i="2"/>
  <c r="C2972" i="2"/>
  <c r="L2971" i="2" l="1"/>
  <c r="J2971" i="2"/>
  <c r="K2971" i="2" s="1"/>
  <c r="D2971" i="2"/>
  <c r="A2972" i="2"/>
  <c r="B2972" i="2"/>
  <c r="M2972" i="2"/>
  <c r="E2972" i="2"/>
  <c r="F2972" i="2"/>
  <c r="H2972" i="2"/>
  <c r="G2972" i="2"/>
  <c r="I2972" i="2"/>
  <c r="L2972" i="2" l="1"/>
  <c r="D2972" i="2"/>
  <c r="J2972" i="2"/>
  <c r="K2972" i="2" s="1"/>
  <c r="C2973" i="2"/>
  <c r="B2973" i="2" l="1"/>
  <c r="A2973" i="2"/>
  <c r="M2973" i="2"/>
  <c r="E2973" i="2"/>
  <c r="H2973" i="2"/>
  <c r="G2973" i="2"/>
  <c r="F2973" i="2"/>
  <c r="I2973" i="2"/>
  <c r="C2974" i="2"/>
  <c r="L2973" i="2" l="1"/>
  <c r="D2973" i="2"/>
  <c r="J2973" i="2"/>
  <c r="K2973" i="2" s="1"/>
  <c r="B2974" i="2"/>
  <c r="A2974" i="2"/>
  <c r="F2974" i="2"/>
  <c r="G2974" i="2"/>
  <c r="E2974" i="2"/>
  <c r="H2974" i="2"/>
  <c r="I2974" i="2"/>
  <c r="M2974" i="2"/>
  <c r="L2974" i="2" l="1"/>
  <c r="D2974" i="2"/>
  <c r="J2974" i="2"/>
  <c r="K2974" i="2" s="1"/>
  <c r="C2975" i="2"/>
  <c r="B2975" i="2" l="1"/>
  <c r="A2975" i="2"/>
  <c r="G2975" i="2"/>
  <c r="E2975" i="2"/>
  <c r="F2975" i="2"/>
  <c r="I2975" i="2"/>
  <c r="H2975" i="2"/>
  <c r="M2975" i="2"/>
  <c r="C2976" i="2"/>
  <c r="L2975" i="2" l="1"/>
  <c r="J2975" i="2"/>
  <c r="K2975" i="2" s="1"/>
  <c r="D2975" i="2"/>
  <c r="A2976" i="2"/>
  <c r="B2976" i="2"/>
  <c r="F2976" i="2"/>
  <c r="E2976" i="2"/>
  <c r="M2976" i="2"/>
  <c r="I2976" i="2"/>
  <c r="G2976" i="2"/>
  <c r="H2976" i="2"/>
  <c r="L2976" i="2" l="1"/>
  <c r="J2976" i="2"/>
  <c r="K2976" i="2" s="1"/>
  <c r="D2976" i="2"/>
  <c r="C2977" i="2"/>
  <c r="A2977" i="2" l="1"/>
  <c r="B2977" i="2"/>
  <c r="F2977" i="2"/>
  <c r="H2977" i="2"/>
  <c r="M2977" i="2"/>
  <c r="I2977" i="2"/>
  <c r="G2977" i="2"/>
  <c r="E2977" i="2"/>
  <c r="L2977" i="2" l="1"/>
  <c r="D2977" i="2"/>
  <c r="J2977" i="2"/>
  <c r="K2977" i="2" s="1"/>
  <c r="C2978" i="2"/>
  <c r="A2978" i="2" l="1"/>
  <c r="B2978" i="2"/>
  <c r="E2978" i="2"/>
  <c r="I2978" i="2"/>
  <c r="G2978" i="2"/>
  <c r="F2978" i="2"/>
  <c r="H2978" i="2"/>
  <c r="M2978" i="2"/>
  <c r="L2978" i="2" l="1"/>
  <c r="D2978" i="2"/>
  <c r="J2978" i="2"/>
  <c r="K2978" i="2" s="1"/>
  <c r="C2979" i="2"/>
  <c r="A2979" i="2" l="1"/>
  <c r="B2979" i="2"/>
  <c r="G2979" i="2"/>
  <c r="F2979" i="2"/>
  <c r="M2979" i="2"/>
  <c r="E2979" i="2"/>
  <c r="H2979" i="2"/>
  <c r="I2979" i="2"/>
  <c r="C2980" i="2"/>
  <c r="L2979" i="2" l="1"/>
  <c r="J2979" i="2"/>
  <c r="K2979" i="2" s="1"/>
  <c r="D2979" i="2"/>
  <c r="A2980" i="2"/>
  <c r="B2980" i="2"/>
  <c r="F2980" i="2"/>
  <c r="E2980" i="2"/>
  <c r="I2980" i="2"/>
  <c r="M2980" i="2"/>
  <c r="H2980" i="2"/>
  <c r="G2980" i="2"/>
  <c r="L2980" i="2" l="1"/>
  <c r="J2980" i="2"/>
  <c r="K2980" i="2" s="1"/>
  <c r="D2980" i="2"/>
  <c r="C2981" i="2"/>
  <c r="A2981" i="2" l="1"/>
  <c r="B2981" i="2"/>
  <c r="H2981" i="2"/>
  <c r="M2981" i="2"/>
  <c r="F2981" i="2"/>
  <c r="G2981" i="2"/>
  <c r="I2981" i="2"/>
  <c r="E2981" i="2"/>
  <c r="L2981" i="2" l="1"/>
  <c r="D2981" i="2"/>
  <c r="J2981" i="2"/>
  <c r="K2981" i="2" s="1"/>
  <c r="C2982" i="2"/>
  <c r="A2982" i="2" l="1"/>
  <c r="B2982" i="2"/>
  <c r="E2982" i="2"/>
  <c r="G2982" i="2"/>
  <c r="H2982" i="2"/>
  <c r="M2982" i="2"/>
  <c r="I2982" i="2"/>
  <c r="F2982" i="2"/>
  <c r="C2983" i="2"/>
  <c r="L2982" i="2" l="1"/>
  <c r="J2982" i="2"/>
  <c r="K2982" i="2" s="1"/>
  <c r="D2982" i="2"/>
  <c r="A2983" i="2"/>
  <c r="B2983" i="2"/>
  <c r="F2983" i="2"/>
  <c r="M2983" i="2"/>
  <c r="G2983" i="2"/>
  <c r="I2983" i="2"/>
  <c r="H2983" i="2"/>
  <c r="E2983" i="2"/>
  <c r="L2983" i="2" l="1"/>
  <c r="J2983" i="2"/>
  <c r="K2983" i="2" s="1"/>
  <c r="D2983" i="2"/>
  <c r="C2984" i="2"/>
  <c r="A2984" i="2" l="1"/>
  <c r="B2984" i="2"/>
  <c r="H2984" i="2"/>
  <c r="I2984" i="2"/>
  <c r="M2984" i="2"/>
  <c r="F2984" i="2"/>
  <c r="G2984" i="2"/>
  <c r="E2984" i="2"/>
  <c r="L2984" i="2" l="1"/>
  <c r="J2984" i="2"/>
  <c r="K2984" i="2" s="1"/>
  <c r="D2984" i="2"/>
  <c r="C2985" i="2"/>
  <c r="B2985" i="2" l="1"/>
  <c r="A2985" i="2"/>
  <c r="G2985" i="2"/>
  <c r="M2985" i="2"/>
  <c r="E2985" i="2"/>
  <c r="I2985" i="2"/>
  <c r="H2985" i="2"/>
  <c r="F2985" i="2"/>
  <c r="C2986" i="2"/>
  <c r="L2985" i="2" l="1"/>
  <c r="D2985" i="2"/>
  <c r="J2985" i="2"/>
  <c r="K2985" i="2" s="1"/>
  <c r="B2986" i="2"/>
  <c r="A2986" i="2"/>
  <c r="I2986" i="2"/>
  <c r="M2986" i="2"/>
  <c r="G2986" i="2"/>
  <c r="E2986" i="2"/>
  <c r="F2986" i="2"/>
  <c r="H2986" i="2"/>
  <c r="L2986" i="2" l="1"/>
  <c r="J2986" i="2"/>
  <c r="K2986" i="2" s="1"/>
  <c r="D2986" i="2"/>
  <c r="C2987" i="2"/>
  <c r="B2987" i="2" l="1"/>
  <c r="A2987" i="2"/>
  <c r="H2987" i="2"/>
  <c r="M2987" i="2"/>
  <c r="F2987" i="2"/>
  <c r="E2987" i="2"/>
  <c r="G2987" i="2"/>
  <c r="I2987" i="2"/>
  <c r="C2988" i="2"/>
  <c r="L2987" i="2" l="1"/>
  <c r="J2987" i="2"/>
  <c r="K2987" i="2" s="1"/>
  <c r="D2987" i="2"/>
  <c r="B2988" i="2"/>
  <c r="A2988" i="2"/>
  <c r="F2988" i="2"/>
  <c r="H2988" i="2"/>
  <c r="G2988" i="2"/>
  <c r="I2988" i="2"/>
  <c r="M2988" i="2"/>
  <c r="E2988" i="2"/>
  <c r="C2989" i="2"/>
  <c r="L2988" i="2" l="1"/>
  <c r="J2988" i="2"/>
  <c r="K2988" i="2" s="1"/>
  <c r="D2988" i="2"/>
  <c r="B2989" i="2"/>
  <c r="A2989" i="2"/>
  <c r="M2989" i="2"/>
  <c r="G2989" i="2"/>
  <c r="H2989" i="2"/>
  <c r="E2989" i="2"/>
  <c r="I2989" i="2"/>
  <c r="F2989" i="2"/>
  <c r="L2989" i="2" l="1"/>
  <c r="D2989" i="2"/>
  <c r="J2989" i="2"/>
  <c r="K2989" i="2" s="1"/>
  <c r="C2990" i="2"/>
  <c r="B2990" i="2" l="1"/>
  <c r="A2990" i="2"/>
  <c r="H2990" i="2"/>
  <c r="F2990" i="2"/>
  <c r="M2990" i="2"/>
  <c r="E2990" i="2"/>
  <c r="I2990" i="2"/>
  <c r="G2990" i="2"/>
  <c r="L2990" i="2" l="1"/>
  <c r="D2990" i="2"/>
  <c r="J2990" i="2"/>
  <c r="K2990" i="2" s="1"/>
  <c r="C2991" i="2"/>
  <c r="B2991" i="2" l="1"/>
  <c r="A2991" i="2"/>
  <c r="F2991" i="2"/>
  <c r="E2991" i="2"/>
  <c r="H2991" i="2"/>
  <c r="M2991" i="2"/>
  <c r="I2991" i="2"/>
  <c r="G2991" i="2"/>
  <c r="C2992" i="2"/>
  <c r="L2991" i="2" l="1"/>
  <c r="J2991" i="2"/>
  <c r="K2991" i="2" s="1"/>
  <c r="D2991" i="2"/>
  <c r="A2992" i="2"/>
  <c r="B2992" i="2"/>
  <c r="M2992" i="2"/>
  <c r="E2992" i="2"/>
  <c r="F2992" i="2"/>
  <c r="G2992" i="2"/>
  <c r="I2992" i="2"/>
  <c r="H2992" i="2"/>
  <c r="L2992" i="2" l="1"/>
  <c r="J2992" i="2"/>
  <c r="K2992" i="2" s="1"/>
  <c r="D2992" i="2"/>
  <c r="C2993" i="2"/>
  <c r="B2993" i="2" l="1"/>
  <c r="A2993" i="2"/>
  <c r="G2993" i="2"/>
  <c r="F2993" i="2"/>
  <c r="M2993" i="2"/>
  <c r="E2993" i="2"/>
  <c r="H2993" i="2"/>
  <c r="I2993" i="2"/>
  <c r="C2994" i="2"/>
  <c r="L2993" i="2" l="1"/>
  <c r="D2993" i="2"/>
  <c r="J2993" i="2"/>
  <c r="K2993" i="2" s="1"/>
  <c r="B2994" i="2"/>
  <c r="A2994" i="2"/>
  <c r="E2994" i="2"/>
  <c r="M2994" i="2"/>
  <c r="H2994" i="2"/>
  <c r="F2994" i="2"/>
  <c r="G2994" i="2"/>
  <c r="I2994" i="2"/>
  <c r="C2995" i="2"/>
  <c r="L2994" i="2" l="1"/>
  <c r="J2994" i="2"/>
  <c r="K2994" i="2" s="1"/>
  <c r="D2994" i="2"/>
  <c r="A2995" i="2"/>
  <c r="B2995" i="2"/>
  <c r="M2995" i="2"/>
  <c r="I2995" i="2"/>
  <c r="E2995" i="2"/>
  <c r="G2995" i="2"/>
  <c r="H2995" i="2"/>
  <c r="F2995" i="2"/>
  <c r="C2996" i="2"/>
  <c r="L2995" i="2" l="1"/>
  <c r="D2995" i="2"/>
  <c r="J2995" i="2"/>
  <c r="K2995" i="2" s="1"/>
  <c r="B2996" i="2"/>
  <c r="A2996" i="2"/>
  <c r="H2996" i="2"/>
  <c r="G2996" i="2"/>
  <c r="M2996" i="2"/>
  <c r="F2996" i="2"/>
  <c r="E2996" i="2"/>
  <c r="I2996" i="2"/>
  <c r="L2996" i="2" l="1"/>
  <c r="J2996" i="2"/>
  <c r="K2996" i="2" s="1"/>
  <c r="D2996" i="2"/>
  <c r="C2997" i="2"/>
  <c r="B2997" i="2" l="1"/>
  <c r="A2997" i="2"/>
  <c r="F2997" i="2"/>
  <c r="E2997" i="2"/>
  <c r="G2997" i="2"/>
  <c r="H2997" i="2"/>
  <c r="M2997" i="2"/>
  <c r="I2997" i="2"/>
  <c r="C2998" i="2"/>
  <c r="L2997" i="2" l="1"/>
  <c r="D2997" i="2"/>
  <c r="J2997" i="2"/>
  <c r="K2997" i="2" s="1"/>
  <c r="B2998" i="2"/>
  <c r="A2998" i="2"/>
  <c r="M2998" i="2"/>
  <c r="E2998" i="2"/>
  <c r="F2998" i="2"/>
  <c r="I2998" i="2"/>
  <c r="G2998" i="2"/>
  <c r="H2998" i="2"/>
  <c r="C2999" i="2"/>
  <c r="L2998" i="2" l="1"/>
  <c r="D2998" i="2"/>
  <c r="J2998" i="2"/>
  <c r="K2998" i="2" s="1"/>
  <c r="A2999" i="2"/>
  <c r="B2999" i="2"/>
  <c r="I2999" i="2"/>
  <c r="G2999" i="2"/>
  <c r="E2999" i="2"/>
  <c r="H2999" i="2"/>
  <c r="F2999" i="2"/>
  <c r="M2999" i="2"/>
  <c r="C3000" i="2"/>
  <c r="L2999" i="2" l="1"/>
  <c r="J2999" i="2"/>
  <c r="K2999" i="2" s="1"/>
  <c r="D2999" i="2"/>
  <c r="A3000" i="2"/>
  <c r="B3000" i="2"/>
  <c r="M3000" i="2"/>
  <c r="H3000" i="2"/>
  <c r="G3000" i="2"/>
  <c r="F3000" i="2"/>
  <c r="I3000" i="2"/>
  <c r="E3000" i="2"/>
  <c r="L3000" i="2" l="1"/>
  <c r="D3000" i="2"/>
  <c r="J3000" i="2"/>
  <c r="K3000" i="2" s="1"/>
  <c r="C3001" i="2"/>
  <c r="B3001" i="2" l="1"/>
  <c r="A3001" i="2"/>
  <c r="F3001" i="2"/>
  <c r="M3001" i="2"/>
  <c r="H3001" i="2"/>
  <c r="E3001" i="2"/>
  <c r="G3001" i="2"/>
  <c r="I3001" i="2"/>
  <c r="C3002" i="2"/>
  <c r="L3001" i="2" l="1"/>
  <c r="D3001" i="2"/>
  <c r="J3001" i="2"/>
  <c r="K3001" i="2" s="1"/>
  <c r="B3002" i="2"/>
  <c r="A3002" i="2"/>
  <c r="H3002" i="2"/>
  <c r="M3002" i="2"/>
  <c r="E3002" i="2"/>
  <c r="G3002" i="2"/>
  <c r="I3002" i="2"/>
  <c r="F3002" i="2"/>
  <c r="C3003" i="2"/>
  <c r="L3002" i="2" l="1"/>
  <c r="D3002" i="2"/>
  <c r="J3002" i="2"/>
  <c r="K3002" i="2" s="1"/>
  <c r="A3003" i="2"/>
  <c r="B3003" i="2"/>
  <c r="H3003" i="2"/>
  <c r="E3003" i="2"/>
  <c r="I3003" i="2"/>
  <c r="M3003" i="2"/>
  <c r="F3003" i="2"/>
  <c r="G3003" i="2"/>
  <c r="C3004" i="2"/>
  <c r="L3003" i="2" l="1"/>
  <c r="J3003" i="2"/>
  <c r="K3003" i="2" s="1"/>
  <c r="D3003" i="2"/>
  <c r="B3004" i="2"/>
  <c r="A3004" i="2"/>
  <c r="G3004" i="2"/>
  <c r="F3004" i="2"/>
  <c r="I3004" i="2"/>
  <c r="H3004" i="2"/>
  <c r="M3004" i="2"/>
  <c r="E3004" i="2"/>
  <c r="L3004" i="2" l="1"/>
  <c r="J3004" i="2"/>
  <c r="K3004" i="2" s="1"/>
  <c r="D3004" i="2"/>
  <c r="C3005" i="2"/>
  <c r="A3005" i="2" l="1"/>
  <c r="B3005" i="2"/>
  <c r="H3005" i="2"/>
  <c r="E3005" i="2"/>
  <c r="M3005" i="2"/>
  <c r="F3005" i="2"/>
  <c r="G3005" i="2"/>
  <c r="I3005" i="2"/>
  <c r="L3005" i="2" l="1"/>
  <c r="D3005" i="2"/>
  <c r="J3005" i="2"/>
  <c r="K3005" i="2" s="1"/>
  <c r="C3006" i="2"/>
  <c r="A3006" i="2" l="1"/>
  <c r="B3006" i="2"/>
  <c r="I3006" i="2"/>
  <c r="M3006" i="2"/>
  <c r="F3006" i="2"/>
  <c r="E3006" i="2"/>
  <c r="H3006" i="2"/>
  <c r="G3006" i="2"/>
  <c r="C3007" i="2"/>
  <c r="L3006" i="2" l="1"/>
  <c r="D3006" i="2"/>
  <c r="J3006" i="2"/>
  <c r="K3006" i="2" s="1"/>
  <c r="A3007" i="2"/>
  <c r="B3007" i="2"/>
  <c r="E3007" i="2"/>
  <c r="M3007" i="2"/>
  <c r="H3007" i="2"/>
  <c r="G3007" i="2"/>
  <c r="F3007" i="2"/>
  <c r="I3007" i="2"/>
  <c r="L3007" i="2" l="1"/>
  <c r="J3007" i="2"/>
  <c r="K3007" i="2" s="1"/>
  <c r="D3007" i="2"/>
  <c r="C3008" i="2"/>
  <c r="A3008" i="2" l="1"/>
  <c r="B3008" i="2"/>
  <c r="F3008" i="2"/>
  <c r="H3008" i="2"/>
  <c r="E3008" i="2"/>
  <c r="I3008" i="2"/>
  <c r="M3008" i="2"/>
  <c r="G3008" i="2"/>
  <c r="C3009" i="2"/>
  <c r="L3008" i="2" l="1"/>
  <c r="D3008" i="2"/>
  <c r="J3008" i="2"/>
  <c r="K3008" i="2" s="1"/>
  <c r="B3009" i="2"/>
  <c r="A3009" i="2"/>
  <c r="H3009" i="2"/>
  <c r="E3009" i="2"/>
  <c r="F3009" i="2"/>
  <c r="M3009" i="2"/>
  <c r="G3009" i="2"/>
  <c r="I3009" i="2"/>
  <c r="C3010" i="2"/>
  <c r="L3009" i="2" l="1"/>
  <c r="D3009" i="2"/>
  <c r="J3009" i="2"/>
  <c r="K3009" i="2" s="1"/>
  <c r="B3010" i="2"/>
  <c r="A3010" i="2"/>
  <c r="I3010" i="2"/>
  <c r="E3010" i="2"/>
  <c r="G3010" i="2"/>
  <c r="M3010" i="2"/>
  <c r="H3010" i="2"/>
  <c r="F3010" i="2"/>
  <c r="L3010" i="2" l="1"/>
  <c r="D3010" i="2"/>
  <c r="J3010" i="2"/>
  <c r="K3010" i="2" s="1"/>
  <c r="C3011" i="2"/>
  <c r="A3011" i="2" l="1"/>
  <c r="B3011" i="2"/>
  <c r="F3011" i="2"/>
  <c r="I3011" i="2"/>
  <c r="E3011" i="2"/>
  <c r="M3011" i="2"/>
  <c r="H3011" i="2"/>
  <c r="G3011" i="2"/>
  <c r="C3012" i="2"/>
  <c r="L3011" i="2" l="1"/>
  <c r="J3011" i="2"/>
  <c r="K3011" i="2" s="1"/>
  <c r="D3011" i="2"/>
  <c r="A3012" i="2"/>
  <c r="B3012" i="2"/>
  <c r="M3012" i="2"/>
  <c r="F3012" i="2"/>
  <c r="E3012" i="2"/>
  <c r="I3012" i="2"/>
  <c r="G3012" i="2"/>
  <c r="H3012" i="2"/>
  <c r="C3013" i="2"/>
  <c r="L3012" i="2" l="1"/>
  <c r="J3012" i="2"/>
  <c r="K3012" i="2" s="1"/>
  <c r="D3012" i="2"/>
  <c r="B3013" i="2"/>
  <c r="A3013" i="2"/>
  <c r="M3013" i="2"/>
  <c r="H3013" i="2"/>
  <c r="I3013" i="2"/>
  <c r="G3013" i="2"/>
  <c r="F3013" i="2"/>
  <c r="E3013" i="2"/>
  <c r="C3014" i="2"/>
  <c r="L3013" i="2" l="1"/>
  <c r="D3013" i="2"/>
  <c r="J3013" i="2"/>
  <c r="K3013" i="2" s="1"/>
  <c r="B3014" i="2"/>
  <c r="A3014" i="2"/>
  <c r="E3014" i="2"/>
  <c r="H3014" i="2"/>
  <c r="G3014" i="2"/>
  <c r="I3014" i="2"/>
  <c r="F3014" i="2"/>
  <c r="M3014" i="2"/>
  <c r="C3015" i="2"/>
  <c r="L3014" i="2" l="1"/>
  <c r="J3014" i="2"/>
  <c r="K3014" i="2" s="1"/>
  <c r="D3014" i="2"/>
  <c r="A3015" i="2"/>
  <c r="B3015" i="2"/>
  <c r="G3015" i="2"/>
  <c r="M3015" i="2"/>
  <c r="F3015" i="2"/>
  <c r="E3015" i="2"/>
  <c r="I3015" i="2"/>
  <c r="H3015" i="2"/>
  <c r="C3016" i="2"/>
  <c r="L3015" i="2" l="1"/>
  <c r="J3015" i="2"/>
  <c r="K3015" i="2" s="1"/>
  <c r="D3015" i="2"/>
  <c r="A3016" i="2"/>
  <c r="B3016" i="2"/>
  <c r="H3016" i="2"/>
  <c r="I3016" i="2"/>
  <c r="F3016" i="2"/>
  <c r="G3016" i="2"/>
  <c r="M3016" i="2"/>
  <c r="E3016" i="2"/>
  <c r="L3016" i="2" l="1"/>
  <c r="D3016" i="2"/>
  <c r="J3016" i="2"/>
  <c r="K3016" i="2" s="1"/>
  <c r="C3017" i="2"/>
  <c r="A3017" i="2" l="1"/>
  <c r="B3017" i="2"/>
  <c r="I3017" i="2"/>
  <c r="F3017" i="2"/>
  <c r="M3017" i="2"/>
  <c r="H3017" i="2"/>
  <c r="E3017" i="2"/>
  <c r="G3017" i="2"/>
  <c r="L3017" i="2" l="1"/>
  <c r="D3017" i="2"/>
  <c r="J3017" i="2"/>
  <c r="K3017" i="2" s="1"/>
  <c r="C3018" i="2"/>
  <c r="B3018" i="2" l="1"/>
  <c r="A3018" i="2"/>
  <c r="H3018" i="2"/>
  <c r="M3018" i="2"/>
  <c r="G3018" i="2"/>
  <c r="E3018" i="2"/>
  <c r="F3018" i="2"/>
  <c r="I3018" i="2"/>
  <c r="C3019" i="2"/>
  <c r="L3018" i="2" l="1"/>
  <c r="D3018" i="2"/>
  <c r="J3018" i="2"/>
  <c r="K3018" i="2" s="1"/>
  <c r="A3019" i="2"/>
  <c r="B3019" i="2"/>
  <c r="F3019" i="2"/>
  <c r="E3019" i="2"/>
  <c r="H3019" i="2"/>
  <c r="G3019" i="2"/>
  <c r="M3019" i="2"/>
  <c r="I3019" i="2"/>
  <c r="C3020" i="2"/>
  <c r="L3019" i="2" l="1"/>
  <c r="J3019" i="2"/>
  <c r="K3019" i="2" s="1"/>
  <c r="D3019" i="2"/>
  <c r="B3020" i="2"/>
  <c r="A3020" i="2"/>
  <c r="I3020" i="2"/>
  <c r="E3020" i="2"/>
  <c r="G3020" i="2"/>
  <c r="F3020" i="2"/>
  <c r="H3020" i="2"/>
  <c r="M3020" i="2"/>
  <c r="C3021" i="2"/>
  <c r="L3020" i="2" l="1"/>
  <c r="J3020" i="2"/>
  <c r="K3020" i="2" s="1"/>
  <c r="D3020" i="2"/>
  <c r="A3021" i="2"/>
  <c r="B3021" i="2"/>
  <c r="M3021" i="2"/>
  <c r="F3021" i="2"/>
  <c r="H3021" i="2"/>
  <c r="I3021" i="2"/>
  <c r="G3021" i="2"/>
  <c r="E3021" i="2"/>
  <c r="C3022" i="2"/>
  <c r="L3021" i="2" l="1"/>
  <c r="D3021" i="2"/>
  <c r="J3021" i="2"/>
  <c r="K3021" i="2" s="1"/>
  <c r="B3022" i="2"/>
  <c r="A3022" i="2"/>
  <c r="M3022" i="2"/>
  <c r="H3022" i="2"/>
  <c r="G3022" i="2"/>
  <c r="I3022" i="2"/>
  <c r="F3022" i="2"/>
  <c r="E3022" i="2"/>
  <c r="C3023" i="2"/>
  <c r="L3022" i="2" l="1"/>
  <c r="J3022" i="2"/>
  <c r="K3022" i="2" s="1"/>
  <c r="D3022" i="2"/>
  <c r="A3023" i="2"/>
  <c r="B3023" i="2"/>
  <c r="M3023" i="2"/>
  <c r="F3023" i="2"/>
  <c r="I3023" i="2"/>
  <c r="G3023" i="2"/>
  <c r="E3023" i="2"/>
  <c r="H3023" i="2"/>
  <c r="L3023" i="2" l="1"/>
  <c r="J3023" i="2"/>
  <c r="K3023" i="2" s="1"/>
  <c r="D3023" i="2"/>
  <c r="C3024" i="2"/>
  <c r="A3024" i="2" l="1"/>
  <c r="B3024" i="2"/>
  <c r="G3024" i="2"/>
  <c r="M3024" i="2"/>
  <c r="H3024" i="2"/>
  <c r="E3024" i="2"/>
  <c r="F3024" i="2"/>
  <c r="I3024" i="2"/>
  <c r="L3024" i="2" l="1"/>
  <c r="J3024" i="2"/>
  <c r="K3024" i="2" s="1"/>
  <c r="D3024" i="2"/>
  <c r="C3025" i="2"/>
  <c r="A3025" i="2" l="1"/>
  <c r="B3025" i="2"/>
  <c r="H3025" i="2"/>
  <c r="E3025" i="2"/>
  <c r="G3025" i="2"/>
  <c r="M3025" i="2"/>
  <c r="F3025" i="2"/>
  <c r="I3025" i="2"/>
  <c r="C3026" i="2"/>
  <c r="L3025" i="2" l="1"/>
  <c r="D3025" i="2"/>
  <c r="J3025" i="2"/>
  <c r="K3025" i="2" s="1"/>
  <c r="B3026" i="2"/>
  <c r="A3026" i="2"/>
  <c r="E3026" i="2"/>
  <c r="I3026" i="2"/>
  <c r="H3026" i="2"/>
  <c r="F3026" i="2"/>
  <c r="G3026" i="2"/>
  <c r="M3026" i="2"/>
  <c r="L3026" i="2" l="1"/>
  <c r="J3026" i="2"/>
  <c r="K3026" i="2" s="1"/>
  <c r="D3026" i="2"/>
  <c r="C3027" i="2"/>
  <c r="B3027" i="2" l="1"/>
  <c r="A3027" i="2"/>
  <c r="F3027" i="2"/>
  <c r="M3027" i="2"/>
  <c r="G3027" i="2"/>
  <c r="E3027" i="2"/>
  <c r="I3027" i="2"/>
  <c r="H3027" i="2"/>
  <c r="C3028" i="2"/>
  <c r="L3027" i="2" l="1"/>
  <c r="J3027" i="2"/>
  <c r="K3027" i="2" s="1"/>
  <c r="D3027" i="2"/>
  <c r="A3028" i="2"/>
  <c r="B3028" i="2"/>
  <c r="G3028" i="2"/>
  <c r="F3028" i="2"/>
  <c r="H3028" i="2"/>
  <c r="M3028" i="2"/>
  <c r="E3028" i="2"/>
  <c r="I3028" i="2"/>
  <c r="C3029" i="2"/>
  <c r="L3028" i="2" l="1"/>
  <c r="J3028" i="2"/>
  <c r="K3028" i="2" s="1"/>
  <c r="D3028" i="2"/>
  <c r="B3029" i="2"/>
  <c r="A3029" i="2"/>
  <c r="I3029" i="2"/>
  <c r="H3029" i="2"/>
  <c r="G3029" i="2"/>
  <c r="F3029" i="2"/>
  <c r="E3029" i="2"/>
  <c r="M3029" i="2"/>
  <c r="L3029" i="2" l="1"/>
  <c r="D3029" i="2"/>
  <c r="J3029" i="2"/>
  <c r="K3029" i="2" s="1"/>
  <c r="C3030" i="2"/>
  <c r="B3030" i="2" l="1"/>
  <c r="A3030" i="2"/>
  <c r="E3030" i="2"/>
  <c r="F3030" i="2"/>
  <c r="H3030" i="2"/>
  <c r="I3030" i="2"/>
  <c r="M3030" i="2"/>
  <c r="G3030" i="2"/>
  <c r="C3031" i="2"/>
  <c r="L3030" i="2" l="1"/>
  <c r="J3030" i="2"/>
  <c r="K3030" i="2" s="1"/>
  <c r="D3030" i="2"/>
  <c r="A3031" i="2"/>
  <c r="B3031" i="2"/>
  <c r="H3031" i="2"/>
  <c r="F3031" i="2"/>
  <c r="M3031" i="2"/>
  <c r="I3031" i="2"/>
  <c r="E3031" i="2"/>
  <c r="G3031" i="2"/>
  <c r="L3031" i="2" l="1"/>
  <c r="J3031" i="2"/>
  <c r="K3031" i="2" s="1"/>
  <c r="D3031" i="2"/>
  <c r="C3032" i="2"/>
  <c r="A3032" i="2" l="1"/>
  <c r="B3032" i="2"/>
  <c r="I3032" i="2"/>
  <c r="M3032" i="2"/>
  <c r="H3032" i="2"/>
  <c r="G3032" i="2"/>
  <c r="F3032" i="2"/>
  <c r="E3032" i="2"/>
  <c r="L3032" i="2" l="1"/>
  <c r="D3032" i="2"/>
  <c r="J3032" i="2"/>
  <c r="K3032" i="2" s="1"/>
  <c r="C3033" i="2"/>
  <c r="B3033" i="2" l="1"/>
  <c r="A3033" i="2"/>
  <c r="M3033" i="2"/>
  <c r="H3033" i="2"/>
  <c r="I3033" i="2"/>
  <c r="E3033" i="2"/>
  <c r="F3033" i="2"/>
  <c r="G3033" i="2"/>
  <c r="C3034" i="2"/>
  <c r="L3033" i="2" l="1"/>
  <c r="D3033" i="2"/>
  <c r="J3033" i="2"/>
  <c r="K3033" i="2" s="1"/>
  <c r="B3034" i="2"/>
  <c r="A3034" i="2"/>
  <c r="I3034" i="2"/>
  <c r="E3034" i="2"/>
  <c r="G3034" i="2"/>
  <c r="F3034" i="2"/>
  <c r="H3034" i="2"/>
  <c r="M3034" i="2"/>
  <c r="L3034" i="2" l="1"/>
  <c r="D3034" i="2"/>
  <c r="J3034" i="2"/>
  <c r="K3034" i="2" s="1"/>
  <c r="C3035" i="2"/>
  <c r="A3035" i="2" l="1"/>
  <c r="B3035" i="2"/>
  <c r="M3035" i="2"/>
  <c r="I3035" i="2"/>
  <c r="F3035" i="2"/>
  <c r="H3035" i="2"/>
  <c r="G3035" i="2"/>
  <c r="E3035" i="2"/>
  <c r="C3036" i="2"/>
  <c r="L3035" i="2" l="1"/>
  <c r="J3035" i="2"/>
  <c r="K3035" i="2" s="1"/>
  <c r="D3035" i="2"/>
  <c r="B3036" i="2"/>
  <c r="A3036" i="2"/>
  <c r="G3036" i="2"/>
  <c r="F3036" i="2"/>
  <c r="I3036" i="2"/>
  <c r="H3036" i="2"/>
  <c r="E3036" i="2"/>
  <c r="M3036" i="2"/>
  <c r="C3037" i="2"/>
  <c r="L3036" i="2" l="1"/>
  <c r="J3036" i="2"/>
  <c r="K3036" i="2" s="1"/>
  <c r="D3036" i="2"/>
  <c r="B3037" i="2"/>
  <c r="A3037" i="2"/>
  <c r="G3037" i="2"/>
  <c r="F3037" i="2"/>
  <c r="M3037" i="2"/>
  <c r="H3037" i="2"/>
  <c r="I3037" i="2"/>
  <c r="E3037" i="2"/>
  <c r="L3037" i="2" l="1"/>
  <c r="D3037" i="2"/>
  <c r="J3037" i="2"/>
  <c r="K3037" i="2" s="1"/>
  <c r="C3038" i="2"/>
  <c r="B3038" i="2" l="1"/>
  <c r="A3038" i="2"/>
  <c r="E3038" i="2"/>
  <c r="F3038" i="2"/>
  <c r="G3038" i="2"/>
  <c r="H3038" i="2"/>
  <c r="M3038" i="2"/>
  <c r="I3038" i="2"/>
  <c r="C3039" i="2"/>
  <c r="L3038" i="2" l="1"/>
  <c r="D3038" i="2"/>
  <c r="J3038" i="2"/>
  <c r="K3038" i="2" s="1"/>
  <c r="A3039" i="2"/>
  <c r="B3039" i="2"/>
  <c r="I3039" i="2"/>
  <c r="G3039" i="2"/>
  <c r="M3039" i="2"/>
  <c r="E3039" i="2"/>
  <c r="F3039" i="2"/>
  <c r="H3039" i="2"/>
  <c r="C3040" i="2"/>
  <c r="L3039" i="2" l="1"/>
  <c r="J3039" i="2"/>
  <c r="K3039" i="2" s="1"/>
  <c r="D3039" i="2"/>
  <c r="A3040" i="2"/>
  <c r="B3040" i="2"/>
  <c r="H3040" i="2"/>
  <c r="E3040" i="2"/>
  <c r="F3040" i="2"/>
  <c r="G3040" i="2"/>
  <c r="I3040" i="2"/>
  <c r="M3040" i="2"/>
  <c r="C3041" i="2"/>
  <c r="L3040" i="2" l="1"/>
  <c r="D3040" i="2"/>
  <c r="J3040" i="2"/>
  <c r="K3040" i="2" s="1"/>
  <c r="A3041" i="2"/>
  <c r="B3041" i="2"/>
  <c r="M3041" i="2"/>
  <c r="E3041" i="2"/>
  <c r="I3041" i="2"/>
  <c r="G3041" i="2"/>
  <c r="F3041" i="2"/>
  <c r="H3041" i="2"/>
  <c r="L3041" i="2" l="1"/>
  <c r="D3041" i="2"/>
  <c r="J3041" i="2"/>
  <c r="K3041" i="2" s="1"/>
  <c r="C3042" i="2"/>
  <c r="B3042" i="2" l="1"/>
  <c r="A3042" i="2"/>
  <c r="M3042" i="2"/>
  <c r="H3042" i="2"/>
  <c r="F3042" i="2"/>
  <c r="E3042" i="2"/>
  <c r="I3042" i="2"/>
  <c r="G3042" i="2"/>
  <c r="L3042" i="2" l="1"/>
  <c r="D3042" i="2"/>
  <c r="J3042" i="2"/>
  <c r="K3042" i="2" s="1"/>
  <c r="C3043" i="2"/>
  <c r="A3043" i="2" l="1"/>
  <c r="B3043" i="2"/>
  <c r="E3043" i="2"/>
  <c r="F3043" i="2"/>
  <c r="M3043" i="2"/>
  <c r="I3043" i="2"/>
  <c r="G3043" i="2"/>
  <c r="H3043" i="2"/>
  <c r="L3043" i="2" l="1"/>
  <c r="J3043" i="2"/>
  <c r="K3043" i="2" s="1"/>
  <c r="D3043" i="2"/>
  <c r="C3044" i="2"/>
  <c r="A3044" i="2" l="1"/>
  <c r="B3044" i="2"/>
  <c r="H3044" i="2"/>
  <c r="G3044" i="2"/>
  <c r="I3044" i="2"/>
  <c r="F3044" i="2"/>
  <c r="M3044" i="2"/>
  <c r="E3044" i="2"/>
  <c r="L3044" i="2" l="1"/>
  <c r="J3044" i="2"/>
  <c r="K3044" i="2" s="1"/>
  <c r="D3044" i="2"/>
  <c r="C3045" i="2"/>
  <c r="A3045" i="2" l="1"/>
  <c r="B3045" i="2"/>
  <c r="E3045" i="2"/>
  <c r="G3045" i="2"/>
  <c r="F3045" i="2"/>
  <c r="M3045" i="2"/>
  <c r="H3045" i="2"/>
  <c r="I3045" i="2"/>
  <c r="C3046" i="2"/>
  <c r="L3045" i="2" l="1"/>
  <c r="D3045" i="2"/>
  <c r="J3045" i="2"/>
  <c r="K3045" i="2" s="1"/>
  <c r="B3046" i="2"/>
  <c r="A3046" i="2"/>
  <c r="F3046" i="2"/>
  <c r="I3046" i="2"/>
  <c r="G3046" i="2"/>
  <c r="M3046" i="2"/>
  <c r="E3046" i="2"/>
  <c r="H3046" i="2"/>
  <c r="C3047" i="2"/>
  <c r="L3046" i="2" l="1"/>
  <c r="J3046" i="2"/>
  <c r="K3046" i="2" s="1"/>
  <c r="D3046" i="2"/>
  <c r="A3047" i="2"/>
  <c r="B3047" i="2"/>
  <c r="H3047" i="2"/>
  <c r="I3047" i="2"/>
  <c r="E3047" i="2"/>
  <c r="M3047" i="2"/>
  <c r="F3047" i="2"/>
  <c r="G3047" i="2"/>
  <c r="C3048" i="2"/>
  <c r="L3047" i="2" l="1"/>
  <c r="J3047" i="2"/>
  <c r="K3047" i="2" s="1"/>
  <c r="D3047" i="2"/>
  <c r="A3048" i="2"/>
  <c r="B3048" i="2"/>
  <c r="M3048" i="2"/>
  <c r="H3048" i="2"/>
  <c r="E3048" i="2"/>
  <c r="I3048" i="2"/>
  <c r="F3048" i="2"/>
  <c r="G3048" i="2"/>
  <c r="L3048" i="2" l="1"/>
  <c r="D3048" i="2"/>
  <c r="J3048" i="2"/>
  <c r="K3048" i="2" s="1"/>
  <c r="C3049" i="2"/>
  <c r="A3049" i="2" l="1"/>
  <c r="B3049" i="2"/>
  <c r="M3049" i="2"/>
  <c r="G3049" i="2"/>
  <c r="E3049" i="2"/>
  <c r="H3049" i="2"/>
  <c r="I3049" i="2"/>
  <c r="F3049" i="2"/>
  <c r="C3050" i="2"/>
  <c r="L3049" i="2" l="1"/>
  <c r="D3049" i="2"/>
  <c r="J3049" i="2"/>
  <c r="K3049" i="2" s="1"/>
  <c r="B3050" i="2"/>
  <c r="A3050" i="2"/>
  <c r="E3050" i="2"/>
  <c r="M3050" i="2"/>
  <c r="F3050" i="2"/>
  <c r="H3050" i="2"/>
  <c r="I3050" i="2"/>
  <c r="G3050" i="2"/>
  <c r="C3051" i="2"/>
  <c r="L3050" i="2" l="1"/>
  <c r="D3050" i="2"/>
  <c r="J3050" i="2"/>
  <c r="K3050" i="2" s="1"/>
  <c r="A3051" i="2"/>
  <c r="B3051" i="2"/>
  <c r="G3051" i="2"/>
  <c r="H3051" i="2"/>
  <c r="E3051" i="2"/>
  <c r="F3051" i="2"/>
  <c r="M3051" i="2"/>
  <c r="I3051" i="2"/>
  <c r="C3052" i="2"/>
  <c r="L3051" i="2" l="1"/>
  <c r="J3051" i="2"/>
  <c r="K3051" i="2" s="1"/>
  <c r="D3051" i="2"/>
  <c r="A3052" i="2"/>
  <c r="B3052" i="2"/>
  <c r="G3052" i="2"/>
  <c r="F3052" i="2"/>
  <c r="H3052" i="2"/>
  <c r="I3052" i="2"/>
  <c r="M3052" i="2"/>
  <c r="E3052" i="2"/>
  <c r="C3053" i="2"/>
  <c r="L3052" i="2" l="1"/>
  <c r="J3052" i="2"/>
  <c r="K3052" i="2" s="1"/>
  <c r="D3052" i="2"/>
  <c r="A3053" i="2"/>
  <c r="B3053" i="2"/>
  <c r="M3053" i="2"/>
  <c r="I3053" i="2"/>
  <c r="G3053" i="2"/>
  <c r="F3053" i="2"/>
  <c r="H3053" i="2"/>
  <c r="E3053" i="2"/>
  <c r="L3053" i="2" l="1"/>
  <c r="D3053" i="2"/>
  <c r="J3053" i="2"/>
  <c r="K3053" i="2" s="1"/>
  <c r="C3054" i="2"/>
  <c r="B3054" i="2" l="1"/>
  <c r="A3054" i="2"/>
  <c r="E3054" i="2"/>
  <c r="F3054" i="2"/>
  <c r="I3054" i="2"/>
  <c r="M3054" i="2"/>
  <c r="G3054" i="2"/>
  <c r="H3054" i="2"/>
  <c r="L3054" i="2" l="1"/>
  <c r="J3054" i="2"/>
  <c r="K3054" i="2" s="1"/>
  <c r="D3054" i="2"/>
  <c r="C3055" i="2"/>
  <c r="B3055" i="2" l="1"/>
  <c r="A3055" i="2"/>
  <c r="I3055" i="2"/>
  <c r="G3055" i="2"/>
  <c r="F3055" i="2"/>
  <c r="H3055" i="2"/>
  <c r="E3055" i="2"/>
  <c r="M3055" i="2"/>
  <c r="C3056" i="2"/>
  <c r="L3055" i="2" l="1"/>
  <c r="J3055" i="2"/>
  <c r="K3055" i="2" s="1"/>
  <c r="D3055" i="2"/>
  <c r="B3056" i="2"/>
  <c r="A3056" i="2"/>
  <c r="G3056" i="2"/>
  <c r="M3056" i="2"/>
  <c r="I3056" i="2"/>
  <c r="H3056" i="2"/>
  <c r="E3056" i="2"/>
  <c r="F3056" i="2"/>
  <c r="C3057" i="2"/>
  <c r="L3056" i="2" l="1"/>
  <c r="D3056" i="2"/>
  <c r="J3056" i="2"/>
  <c r="K3056" i="2" s="1"/>
  <c r="B3057" i="2"/>
  <c r="A3057" i="2"/>
  <c r="G3057" i="2"/>
  <c r="M3057" i="2"/>
  <c r="E3057" i="2"/>
  <c r="H3057" i="2"/>
  <c r="F3057" i="2"/>
  <c r="I3057" i="2"/>
  <c r="L3057" i="2" l="1"/>
  <c r="J3057" i="2"/>
  <c r="K3057" i="2" s="1"/>
  <c r="D3057" i="2"/>
  <c r="C3058" i="2"/>
  <c r="A3058" i="2" l="1"/>
  <c r="B3058" i="2"/>
  <c r="M3058" i="2"/>
  <c r="E3058" i="2"/>
  <c r="G3058" i="2"/>
  <c r="F3058" i="2"/>
  <c r="H3058" i="2"/>
  <c r="I3058" i="2"/>
  <c r="C3059" i="2"/>
  <c r="L3058" i="2" l="1"/>
  <c r="J3058" i="2"/>
  <c r="K3058" i="2" s="1"/>
  <c r="D3058" i="2"/>
  <c r="A3059" i="2"/>
  <c r="B3059" i="2"/>
  <c r="F3059" i="2"/>
  <c r="I3059" i="2"/>
  <c r="E3059" i="2"/>
  <c r="M3059" i="2"/>
  <c r="H3059" i="2"/>
  <c r="G3059" i="2"/>
  <c r="C3060" i="2"/>
  <c r="L3059" i="2" l="1"/>
  <c r="J3059" i="2"/>
  <c r="K3059" i="2" s="1"/>
  <c r="D3059" i="2"/>
  <c r="A3060" i="2"/>
  <c r="B3060" i="2"/>
  <c r="F3060" i="2"/>
  <c r="I3060" i="2"/>
  <c r="E3060" i="2"/>
  <c r="G3060" i="2"/>
  <c r="H3060" i="2"/>
  <c r="M3060" i="2"/>
  <c r="L3060" i="2" l="1"/>
  <c r="J3060" i="2"/>
  <c r="K3060" i="2" s="1"/>
  <c r="D3060" i="2"/>
  <c r="C3061" i="2"/>
  <c r="A3061" i="2" l="1"/>
  <c r="B3061" i="2"/>
  <c r="G3061" i="2"/>
  <c r="M3061" i="2"/>
  <c r="H3061" i="2"/>
  <c r="F3061" i="2"/>
  <c r="I3061" i="2"/>
  <c r="E3061" i="2"/>
  <c r="L3061" i="2" l="1"/>
  <c r="D3061" i="2"/>
  <c r="J3061" i="2"/>
  <c r="K3061" i="2" s="1"/>
  <c r="C3062" i="2"/>
  <c r="A3062" i="2" l="1"/>
  <c r="B3062" i="2"/>
  <c r="F3062" i="2"/>
  <c r="G3062" i="2"/>
  <c r="H3062" i="2"/>
  <c r="E3062" i="2"/>
  <c r="I3062" i="2"/>
  <c r="M3062" i="2"/>
  <c r="C3063" i="2"/>
  <c r="L3062" i="2" l="1"/>
  <c r="J3062" i="2"/>
  <c r="K3062" i="2" s="1"/>
  <c r="D3062" i="2"/>
  <c r="A3063" i="2"/>
  <c r="B3063" i="2"/>
  <c r="H3063" i="2"/>
  <c r="G3063" i="2"/>
  <c r="E3063" i="2"/>
  <c r="I3063" i="2"/>
  <c r="F3063" i="2"/>
  <c r="M3063" i="2"/>
  <c r="L3063" i="2" l="1"/>
  <c r="J3063" i="2"/>
  <c r="K3063" i="2" s="1"/>
  <c r="D3063" i="2"/>
  <c r="C3064" i="2"/>
  <c r="A3064" i="2" l="1"/>
  <c r="B3064" i="2"/>
  <c r="F3064" i="2"/>
  <c r="E3064" i="2"/>
  <c r="H3064" i="2"/>
  <c r="I3064" i="2"/>
  <c r="M3064" i="2"/>
  <c r="G3064" i="2"/>
  <c r="C3065" i="2"/>
  <c r="L3064" i="2" l="1"/>
  <c r="D3064" i="2"/>
  <c r="J3064" i="2"/>
  <c r="K3064" i="2" s="1"/>
  <c r="B3065" i="2"/>
  <c r="A3065" i="2"/>
  <c r="M3065" i="2"/>
  <c r="I3065" i="2"/>
  <c r="G3065" i="2"/>
  <c r="E3065" i="2"/>
  <c r="H3065" i="2"/>
  <c r="F3065" i="2"/>
  <c r="C3066" i="2"/>
  <c r="L3065" i="2" l="1"/>
  <c r="J3065" i="2"/>
  <c r="K3065" i="2" s="1"/>
  <c r="D3065" i="2"/>
  <c r="A3066" i="2"/>
  <c r="B3066" i="2"/>
  <c r="F3066" i="2"/>
  <c r="M3066" i="2"/>
  <c r="H3066" i="2"/>
  <c r="E3066" i="2"/>
  <c r="I3066" i="2"/>
  <c r="G3066" i="2"/>
  <c r="L3066" i="2" l="1"/>
  <c r="D3066" i="2"/>
  <c r="J3066" i="2"/>
  <c r="K3066" i="2" s="1"/>
  <c r="C3067" i="2"/>
  <c r="A3067" i="2" l="1"/>
  <c r="B3067" i="2"/>
  <c r="F3067" i="2"/>
  <c r="G3067" i="2"/>
  <c r="I3067" i="2"/>
  <c r="M3067" i="2"/>
  <c r="E3067" i="2"/>
  <c r="H3067" i="2"/>
  <c r="C3068" i="2"/>
  <c r="L3067" i="2" l="1"/>
  <c r="J3067" i="2"/>
  <c r="K3067" i="2" s="1"/>
  <c r="D3067" i="2"/>
  <c r="A3068" i="2"/>
  <c r="B3068" i="2"/>
  <c r="I3068" i="2"/>
  <c r="F3068" i="2"/>
  <c r="M3068" i="2"/>
  <c r="G3068" i="2"/>
  <c r="E3068" i="2"/>
  <c r="H3068" i="2"/>
  <c r="C3069" i="2"/>
  <c r="L3068" i="2" l="1"/>
  <c r="J3068" i="2"/>
  <c r="K3068" i="2" s="1"/>
  <c r="D3068" i="2"/>
  <c r="B3069" i="2"/>
  <c r="A3069" i="2"/>
  <c r="M3069" i="2"/>
  <c r="I3069" i="2"/>
  <c r="H3069" i="2"/>
  <c r="E3069" i="2"/>
  <c r="G3069" i="2"/>
  <c r="F3069" i="2"/>
  <c r="C3070" i="2"/>
  <c r="L3069" i="2" l="1"/>
  <c r="D3069" i="2"/>
  <c r="J3069" i="2"/>
  <c r="K3069" i="2" s="1"/>
  <c r="A3070" i="2"/>
  <c r="B3070" i="2"/>
  <c r="G3070" i="2"/>
  <c r="H3070" i="2"/>
  <c r="F3070" i="2"/>
  <c r="M3070" i="2"/>
  <c r="I3070" i="2"/>
  <c r="E3070" i="2"/>
  <c r="L3070" i="2" l="1"/>
  <c r="J3070" i="2"/>
  <c r="K3070" i="2" s="1"/>
  <c r="D3070" i="2"/>
  <c r="C3071" i="2"/>
  <c r="A3071" i="2" l="1"/>
  <c r="B3071" i="2"/>
  <c r="H3071" i="2"/>
  <c r="E3071" i="2"/>
  <c r="F3071" i="2"/>
  <c r="G3071" i="2"/>
  <c r="M3071" i="2"/>
  <c r="I3071" i="2"/>
  <c r="L3071" i="2" l="1"/>
  <c r="D3071" i="2"/>
  <c r="J3071" i="2"/>
  <c r="K3071" i="2" s="1"/>
  <c r="C3072" i="2"/>
  <c r="A3072" i="2" l="1"/>
  <c r="B3072" i="2"/>
  <c r="E3072" i="2"/>
  <c r="G3072" i="2"/>
  <c r="H3072" i="2"/>
  <c r="F3072" i="2"/>
  <c r="I3072" i="2"/>
  <c r="M3072" i="2"/>
  <c r="C3073" i="2"/>
  <c r="L3072" i="2" l="1"/>
  <c r="D3072" i="2"/>
  <c r="J3072" i="2"/>
  <c r="K3072" i="2" s="1"/>
  <c r="B3073" i="2"/>
  <c r="A3073" i="2"/>
  <c r="G3073" i="2"/>
  <c r="E3073" i="2"/>
  <c r="F3073" i="2"/>
  <c r="H3073" i="2"/>
  <c r="M3073" i="2"/>
  <c r="I3073" i="2"/>
  <c r="L3073" i="2" l="1"/>
  <c r="J3073" i="2"/>
  <c r="K3073" i="2" s="1"/>
  <c r="D3073" i="2"/>
  <c r="C3074" i="2"/>
  <c r="A3074" i="2" l="1"/>
  <c r="B3074" i="2"/>
  <c r="F3074" i="2"/>
  <c r="M3074" i="2"/>
  <c r="I3074" i="2"/>
  <c r="H3074" i="2"/>
  <c r="G3074" i="2"/>
  <c r="E3074" i="2"/>
  <c r="L3074" i="2" l="1"/>
  <c r="J3074" i="2"/>
  <c r="K3074" i="2" s="1"/>
  <c r="D3074" i="2"/>
  <c r="C3075" i="2"/>
  <c r="A3075" i="2" l="1"/>
  <c r="B3075" i="2"/>
  <c r="G3075" i="2"/>
  <c r="E3075" i="2"/>
  <c r="H3075" i="2"/>
  <c r="F3075" i="2"/>
  <c r="M3075" i="2"/>
  <c r="I3075" i="2"/>
  <c r="L3075" i="2" l="1"/>
  <c r="J3075" i="2"/>
  <c r="K3075" i="2" s="1"/>
  <c r="D3075" i="2"/>
  <c r="C3076" i="2"/>
  <c r="B3076" i="2" l="1"/>
  <c r="A3076" i="2"/>
  <c r="I3076" i="2"/>
  <c r="H3076" i="2"/>
  <c r="M3076" i="2"/>
  <c r="F3076" i="2"/>
  <c r="E3076" i="2"/>
  <c r="G3076" i="2"/>
  <c r="C3077" i="2"/>
  <c r="L3076" i="2" l="1"/>
  <c r="D3076" i="2"/>
  <c r="J3076" i="2"/>
  <c r="K3076" i="2" s="1"/>
  <c r="B3077" i="2"/>
  <c r="A3077" i="2"/>
  <c r="G3077" i="2"/>
  <c r="H3077" i="2"/>
  <c r="I3077" i="2"/>
  <c r="M3077" i="2"/>
  <c r="F3077" i="2"/>
  <c r="E3077" i="2"/>
  <c r="L3077" i="2" l="1"/>
  <c r="D3077" i="2"/>
  <c r="J3077" i="2"/>
  <c r="K3077" i="2" s="1"/>
  <c r="C3078" i="2"/>
  <c r="A3078" i="2" l="1"/>
  <c r="B3078" i="2"/>
  <c r="H3078" i="2"/>
  <c r="M3078" i="2"/>
  <c r="E3078" i="2"/>
  <c r="I3078" i="2"/>
  <c r="F3078" i="2"/>
  <c r="G3078" i="2"/>
  <c r="C3079" i="2"/>
  <c r="L3078" i="2" l="1"/>
  <c r="J3078" i="2"/>
  <c r="K3078" i="2" s="1"/>
  <c r="D3078" i="2"/>
  <c r="B3079" i="2"/>
  <c r="A3079" i="2"/>
  <c r="G3079" i="2"/>
  <c r="F3079" i="2"/>
  <c r="E3079" i="2"/>
  <c r="H3079" i="2"/>
  <c r="I3079" i="2"/>
  <c r="M3079" i="2"/>
  <c r="L3079" i="2" l="1"/>
  <c r="J3079" i="2"/>
  <c r="K3079" i="2" s="1"/>
  <c r="D3079" i="2"/>
  <c r="C3080" i="2"/>
  <c r="A3080" i="2" l="1"/>
  <c r="B3080" i="2"/>
  <c r="G3080" i="2"/>
  <c r="M3080" i="2"/>
  <c r="F3080" i="2"/>
  <c r="I3080" i="2"/>
  <c r="E3080" i="2"/>
  <c r="H3080" i="2"/>
  <c r="C3081" i="2"/>
  <c r="L3080" i="2" l="1"/>
  <c r="D3080" i="2"/>
  <c r="J3080" i="2"/>
  <c r="K3080" i="2" s="1"/>
  <c r="B3081" i="2"/>
  <c r="A3081" i="2"/>
  <c r="H3081" i="2"/>
  <c r="F3081" i="2"/>
  <c r="E3081" i="2"/>
  <c r="I3081" i="2"/>
  <c r="G3081" i="2"/>
  <c r="M3081" i="2"/>
  <c r="L3081" i="2" l="1"/>
  <c r="D3081" i="2"/>
  <c r="J3081" i="2"/>
  <c r="K3081" i="2" s="1"/>
  <c r="C3082" i="2"/>
  <c r="B3082" i="2" l="1"/>
  <c r="A3082" i="2"/>
  <c r="G3082" i="2"/>
  <c r="M3082" i="2"/>
  <c r="F3082" i="2"/>
  <c r="H3082" i="2"/>
  <c r="E3082" i="2"/>
  <c r="I3082" i="2"/>
  <c r="L3082" i="2" l="1"/>
  <c r="J3082" i="2"/>
  <c r="K3082" i="2" s="1"/>
  <c r="D3082" i="2"/>
  <c r="C3083" i="2"/>
  <c r="A3083" i="2" l="1"/>
  <c r="B3083" i="2"/>
  <c r="M3083" i="2"/>
  <c r="F3083" i="2"/>
  <c r="G3083" i="2"/>
  <c r="H3083" i="2"/>
  <c r="E3083" i="2"/>
  <c r="I3083" i="2"/>
  <c r="L3083" i="2" l="1"/>
  <c r="J3083" i="2"/>
  <c r="K3083" i="2" s="1"/>
  <c r="D3083" i="2"/>
  <c r="C3084" i="2"/>
  <c r="A3084" i="2" l="1"/>
  <c r="B3084" i="2"/>
  <c r="E3084" i="2"/>
  <c r="G3084" i="2"/>
  <c r="F3084" i="2"/>
  <c r="H3084" i="2"/>
  <c r="M3084" i="2"/>
  <c r="I3084" i="2"/>
  <c r="C3085" i="2"/>
  <c r="L3084" i="2" l="1"/>
  <c r="D3084" i="2"/>
  <c r="J3084" i="2"/>
  <c r="K3084" i="2" s="1"/>
  <c r="B3085" i="2"/>
  <c r="A3085" i="2"/>
  <c r="G3085" i="2"/>
  <c r="F3085" i="2"/>
  <c r="I3085" i="2"/>
  <c r="H3085" i="2"/>
  <c r="E3085" i="2"/>
  <c r="M3085" i="2"/>
  <c r="C3086" i="2"/>
  <c r="L3085" i="2" l="1"/>
  <c r="D3085" i="2"/>
  <c r="J3085" i="2"/>
  <c r="K3085" i="2" s="1"/>
  <c r="A3086" i="2"/>
  <c r="B3086" i="2"/>
  <c r="F3086" i="2"/>
  <c r="G3086" i="2"/>
  <c r="E3086" i="2"/>
  <c r="H3086" i="2"/>
  <c r="I3086" i="2"/>
  <c r="M3086" i="2"/>
  <c r="C3087" i="2"/>
  <c r="L3086" i="2" l="1"/>
  <c r="J3086" i="2"/>
  <c r="K3086" i="2" s="1"/>
  <c r="D3086" i="2"/>
  <c r="A3087" i="2"/>
  <c r="B3087" i="2"/>
  <c r="I3087" i="2"/>
  <c r="M3087" i="2"/>
  <c r="H3087" i="2"/>
  <c r="E3087" i="2"/>
  <c r="G3087" i="2"/>
  <c r="F3087" i="2"/>
  <c r="C3088" i="2"/>
  <c r="L3087" i="2" l="1"/>
  <c r="J3087" i="2"/>
  <c r="K3087" i="2" s="1"/>
  <c r="D3087" i="2"/>
  <c r="A3088" i="2"/>
  <c r="B3088" i="2"/>
  <c r="I3088" i="2"/>
  <c r="G3088" i="2"/>
  <c r="E3088" i="2"/>
  <c r="F3088" i="2"/>
  <c r="M3088" i="2"/>
  <c r="H3088" i="2"/>
  <c r="L3088" i="2" l="1"/>
  <c r="J3088" i="2"/>
  <c r="K3088" i="2" s="1"/>
  <c r="D3088" i="2"/>
  <c r="C3089" i="2"/>
  <c r="B3089" i="2" l="1"/>
  <c r="A3089" i="2"/>
  <c r="G3089" i="2"/>
  <c r="M3089" i="2"/>
  <c r="I3089" i="2"/>
  <c r="H3089" i="2"/>
  <c r="E3089" i="2"/>
  <c r="F3089" i="2"/>
  <c r="L3089" i="2" l="1"/>
  <c r="D3089" i="2"/>
  <c r="J3089" i="2"/>
  <c r="K3089" i="2" s="1"/>
  <c r="C3090" i="2"/>
  <c r="A3090" i="2" l="1"/>
  <c r="B3090" i="2"/>
  <c r="F3090" i="2"/>
  <c r="H3090" i="2"/>
  <c r="M3090" i="2"/>
  <c r="I3090" i="2"/>
  <c r="G3090" i="2"/>
  <c r="E3090" i="2"/>
  <c r="L3090" i="2" l="1"/>
  <c r="J3090" i="2"/>
  <c r="K3090" i="2" s="1"/>
  <c r="D3090" i="2"/>
  <c r="C3091" i="2"/>
  <c r="A3091" i="2" l="1"/>
  <c r="B3091" i="2"/>
  <c r="M3091" i="2"/>
  <c r="F3091" i="2"/>
  <c r="I3091" i="2"/>
  <c r="H3091" i="2"/>
  <c r="E3091" i="2"/>
  <c r="G3091" i="2"/>
  <c r="C3092" i="2"/>
  <c r="L3091" i="2" l="1"/>
  <c r="D3091" i="2"/>
  <c r="J3091" i="2"/>
  <c r="K3091" i="2" s="1"/>
  <c r="A3092" i="2"/>
  <c r="B3092" i="2"/>
  <c r="E3092" i="2"/>
  <c r="I3092" i="2"/>
  <c r="M3092" i="2"/>
  <c r="F3092" i="2"/>
  <c r="H3092" i="2"/>
  <c r="G3092" i="2"/>
  <c r="L3092" i="2" l="1"/>
  <c r="D3092" i="2"/>
  <c r="J3092" i="2"/>
  <c r="K3092" i="2" s="1"/>
  <c r="C3093" i="2"/>
  <c r="A3093" i="2" l="1"/>
  <c r="B3093" i="2"/>
  <c r="F3093" i="2"/>
  <c r="G3093" i="2"/>
  <c r="M3093" i="2"/>
  <c r="I3093" i="2"/>
  <c r="H3093" i="2"/>
  <c r="E3093" i="2"/>
  <c r="C3094" i="2"/>
  <c r="L3093" i="2" l="1"/>
  <c r="D3093" i="2"/>
  <c r="J3093" i="2"/>
  <c r="K3093" i="2" s="1"/>
  <c r="A3094" i="2"/>
  <c r="B3094" i="2"/>
  <c r="G3094" i="2"/>
  <c r="I3094" i="2"/>
  <c r="H3094" i="2"/>
  <c r="F3094" i="2"/>
  <c r="E3094" i="2"/>
  <c r="M3094" i="2"/>
  <c r="C3095" i="2"/>
  <c r="L3094" i="2" l="1"/>
  <c r="J3094" i="2"/>
  <c r="K3094" i="2" s="1"/>
  <c r="D3094" i="2"/>
  <c r="B3095" i="2"/>
  <c r="A3095" i="2"/>
  <c r="I3095" i="2"/>
  <c r="G3095" i="2"/>
  <c r="H3095" i="2"/>
  <c r="F3095" i="2"/>
  <c r="M3095" i="2"/>
  <c r="E3095" i="2"/>
  <c r="L3095" i="2" l="1"/>
  <c r="J3095" i="2"/>
  <c r="K3095" i="2" s="1"/>
  <c r="D3095" i="2"/>
  <c r="C3096" i="2"/>
  <c r="B3096" i="2" l="1"/>
  <c r="A3096" i="2"/>
  <c r="H3096" i="2"/>
  <c r="M3096" i="2"/>
  <c r="F3096" i="2"/>
  <c r="I3096" i="2"/>
  <c r="G3096" i="2"/>
  <c r="E3096" i="2"/>
  <c r="L3096" i="2" l="1"/>
  <c r="D3096" i="2"/>
  <c r="J3096" i="2"/>
  <c r="K3096" i="2" s="1"/>
  <c r="C3097" i="2"/>
  <c r="B3097" i="2" l="1"/>
  <c r="A3097" i="2"/>
  <c r="G3097" i="2"/>
  <c r="M3097" i="2"/>
  <c r="I3097" i="2"/>
  <c r="E3097" i="2"/>
  <c r="F3097" i="2"/>
  <c r="H3097" i="2"/>
  <c r="C3098" i="2"/>
  <c r="L3097" i="2" l="1"/>
  <c r="D3097" i="2"/>
  <c r="J3097" i="2"/>
  <c r="K3097" i="2" s="1"/>
  <c r="A3098" i="2"/>
  <c r="B3098" i="2"/>
  <c r="G3098" i="2"/>
  <c r="M3098" i="2"/>
  <c r="H3098" i="2"/>
  <c r="F3098" i="2"/>
  <c r="I3098" i="2"/>
  <c r="E3098" i="2"/>
  <c r="C3099" i="2"/>
  <c r="L3098" i="2" l="1"/>
  <c r="J3098" i="2"/>
  <c r="K3098" i="2" s="1"/>
  <c r="D3098" i="2"/>
  <c r="A3099" i="2"/>
  <c r="B3099" i="2"/>
  <c r="M3099" i="2"/>
  <c r="E3099" i="2"/>
  <c r="F3099" i="2"/>
  <c r="I3099" i="2"/>
  <c r="H3099" i="2"/>
  <c r="G3099" i="2"/>
  <c r="C3100" i="2"/>
  <c r="L3099" i="2" l="1"/>
  <c r="D3099" i="2"/>
  <c r="J3099" i="2"/>
  <c r="K3099" i="2" s="1"/>
  <c r="A3100" i="2"/>
  <c r="B3100" i="2"/>
  <c r="M3100" i="2"/>
  <c r="I3100" i="2"/>
  <c r="F3100" i="2"/>
  <c r="H3100" i="2"/>
  <c r="E3100" i="2"/>
  <c r="G3100" i="2"/>
  <c r="C3101" i="2"/>
  <c r="L3100" i="2" l="1"/>
  <c r="J3100" i="2"/>
  <c r="K3100" i="2" s="1"/>
  <c r="D3100" i="2"/>
  <c r="B3101" i="2"/>
  <c r="A3101" i="2"/>
  <c r="G3101" i="2"/>
  <c r="H3101" i="2"/>
  <c r="M3101" i="2"/>
  <c r="F3101" i="2"/>
  <c r="E3101" i="2"/>
  <c r="I3101" i="2"/>
  <c r="L3101" i="2" l="1"/>
  <c r="D3101" i="2"/>
  <c r="J3101" i="2"/>
  <c r="K3101" i="2" s="1"/>
  <c r="C3102" i="2"/>
  <c r="A3102" i="2" l="1"/>
  <c r="B3102" i="2"/>
  <c r="I3102" i="2"/>
  <c r="G3102" i="2"/>
  <c r="H3102" i="2"/>
  <c r="E3102" i="2"/>
  <c r="F3102" i="2"/>
  <c r="M3102" i="2"/>
  <c r="C3103" i="2"/>
  <c r="L3102" i="2" l="1"/>
  <c r="J3102" i="2"/>
  <c r="K3102" i="2" s="1"/>
  <c r="D3102" i="2"/>
  <c r="A3103" i="2"/>
  <c r="B3103" i="2"/>
  <c r="I3103" i="2"/>
  <c r="G3103" i="2"/>
  <c r="M3103" i="2"/>
  <c r="E3103" i="2"/>
  <c r="H3103" i="2"/>
  <c r="F3103" i="2"/>
  <c r="C3104" i="2"/>
  <c r="L3103" i="2" l="1"/>
  <c r="D3103" i="2"/>
  <c r="J3103" i="2"/>
  <c r="K3103" i="2" s="1"/>
  <c r="A3104" i="2"/>
  <c r="B3104" i="2"/>
  <c r="E3104" i="2"/>
  <c r="H3104" i="2"/>
  <c r="G3104" i="2"/>
  <c r="I3104" i="2"/>
  <c r="F3104" i="2"/>
  <c r="M3104" i="2"/>
  <c r="C3105" i="2"/>
  <c r="L3104" i="2" l="1"/>
  <c r="D3104" i="2"/>
  <c r="J3104" i="2"/>
  <c r="K3104" i="2" s="1"/>
  <c r="B3105" i="2"/>
  <c r="A3105" i="2"/>
  <c r="F3105" i="2"/>
  <c r="G3105" i="2"/>
  <c r="M3105" i="2"/>
  <c r="E3105" i="2"/>
  <c r="I3105" i="2"/>
  <c r="H3105" i="2"/>
  <c r="C3106" i="2"/>
  <c r="L3105" i="2" l="1"/>
  <c r="J3105" i="2"/>
  <c r="K3105" i="2" s="1"/>
  <c r="D3105" i="2"/>
  <c r="A3106" i="2"/>
  <c r="B3106" i="2"/>
  <c r="E3106" i="2"/>
  <c r="H3106" i="2"/>
  <c r="F3106" i="2"/>
  <c r="I3106" i="2"/>
  <c r="G3106" i="2"/>
  <c r="M3106" i="2"/>
  <c r="L3106" i="2" l="1"/>
  <c r="J3106" i="2"/>
  <c r="K3106" i="2" s="1"/>
  <c r="D3106" i="2"/>
  <c r="C3107" i="2"/>
  <c r="A3107" i="2" l="1"/>
  <c r="B3107" i="2"/>
  <c r="E3107" i="2"/>
  <c r="G3107" i="2"/>
  <c r="I3107" i="2"/>
  <c r="F3107" i="2"/>
  <c r="H3107" i="2"/>
  <c r="M3107" i="2"/>
  <c r="L3107" i="2" l="1"/>
  <c r="J3107" i="2"/>
  <c r="K3107" i="2" s="1"/>
  <c r="D3107" i="2"/>
  <c r="C3108" i="2"/>
  <c r="A3108" i="2" l="1"/>
  <c r="B3108" i="2"/>
  <c r="I3108" i="2"/>
  <c r="G3108" i="2"/>
  <c r="H3108" i="2"/>
  <c r="E3108" i="2"/>
  <c r="M3108" i="2"/>
  <c r="F3108" i="2"/>
  <c r="L3108" i="2" l="1"/>
  <c r="D3108" i="2"/>
  <c r="J3108" i="2"/>
  <c r="K3108" i="2" s="1"/>
  <c r="C3109" i="2"/>
  <c r="B3109" i="2" l="1"/>
  <c r="A3109" i="2"/>
  <c r="E3109" i="2"/>
  <c r="M3109" i="2"/>
  <c r="I3109" i="2"/>
  <c r="F3109" i="2"/>
  <c r="G3109" i="2"/>
  <c r="H3109" i="2"/>
  <c r="C3110" i="2"/>
  <c r="L3109" i="2" l="1"/>
  <c r="D3109" i="2"/>
  <c r="J3109" i="2"/>
  <c r="K3109" i="2" s="1"/>
  <c r="A3110" i="2"/>
  <c r="B3110" i="2"/>
  <c r="G3110" i="2"/>
  <c r="H3110" i="2"/>
  <c r="I3110" i="2"/>
  <c r="E3110" i="2"/>
  <c r="F3110" i="2"/>
  <c r="M3110" i="2"/>
  <c r="L3110" i="2" l="1"/>
  <c r="J3110" i="2"/>
  <c r="K3110" i="2" s="1"/>
  <c r="D3110" i="2"/>
  <c r="C3111" i="2"/>
  <c r="A3111" i="2" l="1"/>
  <c r="B3111" i="2"/>
  <c r="G3111" i="2"/>
  <c r="E3111" i="2"/>
  <c r="I3111" i="2"/>
  <c r="H3111" i="2"/>
  <c r="M3111" i="2"/>
  <c r="F3111" i="2"/>
  <c r="L3111" i="2" l="1"/>
  <c r="J3111" i="2"/>
  <c r="K3111" i="2" s="1"/>
  <c r="D3111" i="2"/>
  <c r="C3112" i="2"/>
  <c r="A3112" i="2" l="1"/>
  <c r="B3112" i="2"/>
  <c r="F3112" i="2"/>
  <c r="G3112" i="2"/>
  <c r="E3112" i="2"/>
  <c r="H3112" i="2"/>
  <c r="M3112" i="2"/>
  <c r="I3112" i="2"/>
  <c r="L3112" i="2" l="1"/>
  <c r="D3112" i="2"/>
  <c r="J3112" i="2"/>
  <c r="K3112" i="2" s="1"/>
  <c r="C3113" i="2"/>
  <c r="B3113" i="2" l="1"/>
  <c r="A3113" i="2"/>
  <c r="H3113" i="2"/>
  <c r="I3113" i="2"/>
  <c r="F3113" i="2"/>
  <c r="M3113" i="2"/>
  <c r="E3113" i="2"/>
  <c r="G3113" i="2"/>
  <c r="C3114" i="2"/>
  <c r="L3113" i="2" l="1"/>
  <c r="J3113" i="2"/>
  <c r="K3113" i="2" s="1"/>
  <c r="D3113" i="2"/>
  <c r="A3114" i="2"/>
  <c r="B3114" i="2"/>
  <c r="M3114" i="2"/>
  <c r="H3114" i="2"/>
  <c r="G3114" i="2"/>
  <c r="I3114" i="2"/>
  <c r="F3114" i="2"/>
  <c r="E3114" i="2"/>
  <c r="C3115" i="2"/>
  <c r="L3114" i="2" l="1"/>
  <c r="J3114" i="2"/>
  <c r="K3114" i="2" s="1"/>
  <c r="D3114" i="2"/>
  <c r="A3115" i="2"/>
  <c r="B3115" i="2"/>
  <c r="F3115" i="2"/>
  <c r="G3115" i="2"/>
  <c r="I3115" i="2"/>
  <c r="H3115" i="2"/>
  <c r="E3115" i="2"/>
  <c r="M3115" i="2"/>
  <c r="C3116" i="2"/>
  <c r="L3115" i="2" l="1"/>
  <c r="J3115" i="2"/>
  <c r="K3115" i="2" s="1"/>
  <c r="D3115" i="2"/>
  <c r="B3116" i="2"/>
  <c r="A3116" i="2"/>
  <c r="G3116" i="2"/>
  <c r="H3116" i="2"/>
  <c r="F3116" i="2"/>
  <c r="M3116" i="2"/>
  <c r="I3116" i="2"/>
  <c r="E3116" i="2"/>
  <c r="C3117" i="2"/>
  <c r="L3116" i="2" l="1"/>
  <c r="D3116" i="2"/>
  <c r="J3116" i="2"/>
  <c r="K3116" i="2" s="1"/>
  <c r="B3117" i="2"/>
  <c r="A3117" i="2"/>
  <c r="M3117" i="2"/>
  <c r="F3117" i="2"/>
  <c r="E3117" i="2"/>
  <c r="G3117" i="2"/>
  <c r="I3117" i="2"/>
  <c r="H3117" i="2"/>
  <c r="L3117" i="2" l="1"/>
  <c r="D3117" i="2"/>
  <c r="J3117" i="2"/>
  <c r="K3117" i="2" s="1"/>
  <c r="C3118" i="2"/>
  <c r="B3118" i="2" l="1"/>
  <c r="A3118" i="2"/>
  <c r="F3118" i="2"/>
  <c r="I3118" i="2"/>
  <c r="G3118" i="2"/>
  <c r="M3118" i="2"/>
  <c r="H3118" i="2"/>
  <c r="E3118" i="2"/>
  <c r="C3119" i="2"/>
  <c r="L3118" i="2" l="1"/>
  <c r="J3118" i="2"/>
  <c r="K3118" i="2" s="1"/>
  <c r="D3118" i="2"/>
  <c r="B3119" i="2"/>
  <c r="A3119" i="2"/>
  <c r="G3119" i="2"/>
  <c r="M3119" i="2"/>
  <c r="H3119" i="2"/>
  <c r="F3119" i="2"/>
  <c r="E3119" i="2"/>
  <c r="I3119" i="2"/>
  <c r="L3119" i="2" l="1"/>
  <c r="J3119" i="2"/>
  <c r="K3119" i="2" s="1"/>
  <c r="D3119" i="2"/>
  <c r="C3120" i="2"/>
  <c r="B3120" i="2" l="1"/>
  <c r="A3120" i="2"/>
  <c r="F3120" i="2"/>
  <c r="G3120" i="2"/>
  <c r="M3120" i="2"/>
  <c r="H3120" i="2"/>
  <c r="E3120" i="2"/>
  <c r="I3120" i="2"/>
  <c r="L3120" i="2" l="1"/>
  <c r="D3120" i="2"/>
  <c r="J3120" i="2"/>
  <c r="K3120" i="2" s="1"/>
  <c r="C3121" i="2"/>
  <c r="B3121" i="2" l="1"/>
  <c r="A3121" i="2"/>
  <c r="E3121" i="2"/>
  <c r="G3121" i="2"/>
  <c r="F3121" i="2"/>
  <c r="M3121" i="2"/>
  <c r="I3121" i="2"/>
  <c r="H3121" i="2"/>
  <c r="C3122" i="2"/>
  <c r="L3121" i="2" l="1"/>
  <c r="D3121" i="2"/>
  <c r="J3121" i="2"/>
  <c r="K3121" i="2" s="1"/>
  <c r="A3122" i="2"/>
  <c r="B3122" i="2"/>
  <c r="I3122" i="2"/>
  <c r="F3122" i="2"/>
  <c r="H3122" i="2"/>
  <c r="M3122" i="2"/>
  <c r="E3122" i="2"/>
  <c r="G3122" i="2"/>
  <c r="L3122" i="2" l="1"/>
  <c r="J3122" i="2"/>
  <c r="K3122" i="2" s="1"/>
  <c r="D3122" i="2"/>
  <c r="C3123" i="2"/>
  <c r="A3123" i="2" l="1"/>
  <c r="B3123" i="2"/>
  <c r="M3123" i="2"/>
  <c r="H3123" i="2"/>
  <c r="I3123" i="2"/>
  <c r="E3123" i="2"/>
  <c r="F3123" i="2"/>
  <c r="G3123" i="2"/>
  <c r="L3123" i="2" l="1"/>
  <c r="D3123" i="2"/>
  <c r="J3123" i="2"/>
  <c r="K3123" i="2" s="1"/>
  <c r="C3124" i="2"/>
  <c r="A3124" i="2" l="1"/>
  <c r="B3124" i="2"/>
  <c r="G3124" i="2"/>
  <c r="H3124" i="2"/>
  <c r="I3124" i="2"/>
  <c r="F3124" i="2"/>
  <c r="E3124" i="2"/>
  <c r="M3124" i="2"/>
  <c r="L3124" i="2" l="1"/>
  <c r="D3124" i="2"/>
  <c r="J3124" i="2"/>
  <c r="K3124" i="2" s="1"/>
  <c r="C3125" i="2"/>
  <c r="B3125" i="2" l="1"/>
  <c r="A3125" i="2"/>
  <c r="F3125" i="2"/>
  <c r="M3125" i="2"/>
  <c r="G3125" i="2"/>
  <c r="I3125" i="2"/>
  <c r="E3125" i="2"/>
  <c r="H3125" i="2"/>
  <c r="C3126" i="2"/>
  <c r="L3125" i="2" l="1"/>
  <c r="D3125" i="2"/>
  <c r="J3125" i="2"/>
  <c r="K3125" i="2" s="1"/>
  <c r="A3126" i="2"/>
  <c r="B3126" i="2"/>
  <c r="E3126" i="2"/>
  <c r="F3126" i="2"/>
  <c r="H3126" i="2"/>
  <c r="G3126" i="2"/>
  <c r="M3126" i="2"/>
  <c r="I3126" i="2"/>
  <c r="L3126" i="2" l="1"/>
  <c r="J3126" i="2"/>
  <c r="K3126" i="2" s="1"/>
  <c r="D3126" i="2"/>
  <c r="C3127" i="2"/>
  <c r="B3127" i="2" l="1"/>
  <c r="A3127" i="2"/>
  <c r="F3127" i="2"/>
  <c r="I3127" i="2"/>
  <c r="H3127" i="2"/>
  <c r="M3127" i="2"/>
  <c r="G3127" i="2"/>
  <c r="E3127" i="2"/>
  <c r="C3128" i="2"/>
  <c r="L3127" i="2" l="1"/>
  <c r="J3127" i="2"/>
  <c r="K3127" i="2" s="1"/>
  <c r="D3127" i="2"/>
  <c r="A3128" i="2"/>
  <c r="B3128" i="2"/>
  <c r="M3128" i="2"/>
  <c r="H3128" i="2"/>
  <c r="G3128" i="2"/>
  <c r="I3128" i="2"/>
  <c r="E3128" i="2"/>
  <c r="F3128" i="2"/>
  <c r="C3129" i="2"/>
  <c r="L3128" i="2" l="1"/>
  <c r="D3128" i="2"/>
  <c r="J3128" i="2"/>
  <c r="K3128" i="2" s="1"/>
  <c r="B3129" i="2"/>
  <c r="A3129" i="2"/>
  <c r="E3129" i="2"/>
  <c r="I3129" i="2"/>
  <c r="H3129" i="2"/>
  <c r="G3129" i="2"/>
  <c r="M3129" i="2"/>
  <c r="F3129" i="2"/>
  <c r="C3130" i="2"/>
  <c r="L3129" i="2" l="1"/>
  <c r="J3129" i="2"/>
  <c r="K3129" i="2" s="1"/>
  <c r="D3129" i="2"/>
  <c r="A3130" i="2"/>
  <c r="B3130" i="2"/>
  <c r="G3130" i="2"/>
  <c r="M3130" i="2"/>
  <c r="F3130" i="2"/>
  <c r="H3130" i="2"/>
  <c r="I3130" i="2"/>
  <c r="E3130" i="2"/>
  <c r="C3131" i="2"/>
  <c r="L3130" i="2" l="1"/>
  <c r="J3130" i="2"/>
  <c r="K3130" i="2" s="1"/>
  <c r="D3130" i="2"/>
  <c r="A3131" i="2"/>
  <c r="B3131" i="2"/>
  <c r="I3131" i="2"/>
  <c r="E3131" i="2"/>
  <c r="H3131" i="2"/>
  <c r="M3131" i="2"/>
  <c r="G3131" i="2"/>
  <c r="F3131" i="2"/>
  <c r="C3132" i="2"/>
  <c r="L3131" i="2" l="1"/>
  <c r="J3131" i="2"/>
  <c r="K3131" i="2" s="1"/>
  <c r="D3131" i="2"/>
  <c r="A3132" i="2"/>
  <c r="B3132" i="2"/>
  <c r="I3132" i="2"/>
  <c r="F3132" i="2"/>
  <c r="H3132" i="2"/>
  <c r="G3132" i="2"/>
  <c r="E3132" i="2"/>
  <c r="M3132" i="2"/>
  <c r="L3132" i="2" l="1"/>
  <c r="D3132" i="2"/>
  <c r="J3132" i="2"/>
  <c r="K3132" i="2" s="1"/>
  <c r="C3133" i="2"/>
  <c r="A3133" i="2" l="1"/>
  <c r="B3133" i="2"/>
  <c r="H3133" i="2"/>
  <c r="I3133" i="2"/>
  <c r="F3133" i="2"/>
  <c r="M3133" i="2"/>
  <c r="E3133" i="2"/>
  <c r="G3133" i="2"/>
  <c r="C3134" i="2"/>
  <c r="L3133" i="2" l="1"/>
  <c r="D3133" i="2"/>
  <c r="J3133" i="2"/>
  <c r="K3133" i="2" s="1"/>
  <c r="A3134" i="2"/>
  <c r="B3134" i="2"/>
  <c r="E3134" i="2"/>
  <c r="F3134" i="2"/>
  <c r="G3134" i="2"/>
  <c r="I3134" i="2"/>
  <c r="H3134" i="2"/>
  <c r="M3134" i="2"/>
  <c r="L3134" i="2" l="1"/>
  <c r="J3134" i="2"/>
  <c r="K3134" i="2" s="1"/>
  <c r="D3134" i="2"/>
  <c r="C3135" i="2"/>
  <c r="B3135" i="2" l="1"/>
  <c r="A3135" i="2"/>
  <c r="M3135" i="2"/>
  <c r="I3135" i="2"/>
  <c r="H3135" i="2"/>
  <c r="E3135" i="2"/>
  <c r="G3135" i="2"/>
  <c r="F3135" i="2"/>
  <c r="C3136" i="2"/>
  <c r="L3135" i="2" l="1"/>
  <c r="J3135" i="2"/>
  <c r="K3135" i="2" s="1"/>
  <c r="D3135" i="2"/>
  <c r="A3136" i="2"/>
  <c r="B3136" i="2"/>
  <c r="I3136" i="2"/>
  <c r="E3136" i="2"/>
  <c r="H3136" i="2"/>
  <c r="G3136" i="2"/>
  <c r="F3136" i="2"/>
  <c r="M3136" i="2"/>
  <c r="C3137" i="2"/>
  <c r="L3136" i="2" l="1"/>
  <c r="D3136" i="2"/>
  <c r="J3136" i="2"/>
  <c r="K3136" i="2" s="1"/>
  <c r="B3137" i="2"/>
  <c r="A3137" i="2"/>
  <c r="I3137" i="2"/>
  <c r="G3137" i="2"/>
  <c r="H3137" i="2"/>
  <c r="M3137" i="2"/>
  <c r="E3137" i="2"/>
  <c r="F3137" i="2"/>
  <c r="C3138" i="2"/>
  <c r="L3137" i="2" l="1"/>
  <c r="D3137" i="2"/>
  <c r="J3137" i="2"/>
  <c r="K3137" i="2" s="1"/>
  <c r="A3138" i="2"/>
  <c r="B3138" i="2"/>
  <c r="F3138" i="2"/>
  <c r="G3138" i="2"/>
  <c r="M3138" i="2"/>
  <c r="I3138" i="2"/>
  <c r="H3138" i="2"/>
  <c r="E3138" i="2"/>
  <c r="L3138" i="2" l="1"/>
  <c r="D3138" i="2"/>
  <c r="J3138" i="2"/>
  <c r="K3138" i="2" s="1"/>
  <c r="C3139" i="2"/>
  <c r="A3139" i="2" l="1"/>
  <c r="B3139" i="2"/>
  <c r="M3139" i="2"/>
  <c r="F3139" i="2"/>
  <c r="H3139" i="2"/>
  <c r="I3139" i="2"/>
  <c r="G3139" i="2"/>
  <c r="E3139" i="2"/>
  <c r="L3139" i="2" l="1"/>
  <c r="J3139" i="2"/>
  <c r="K3139" i="2" s="1"/>
  <c r="D3139" i="2"/>
  <c r="C3140" i="2"/>
  <c r="B3140" i="2" l="1"/>
  <c r="A3140" i="2"/>
  <c r="I3140" i="2"/>
  <c r="G3140" i="2"/>
  <c r="F3140" i="2"/>
  <c r="H3140" i="2"/>
  <c r="E3140" i="2"/>
  <c r="M3140" i="2"/>
  <c r="C3141" i="2"/>
  <c r="L3140" i="2" l="1"/>
  <c r="D3140" i="2"/>
  <c r="J3140" i="2"/>
  <c r="K3140" i="2" s="1"/>
  <c r="B3141" i="2"/>
  <c r="A3141" i="2"/>
  <c r="M3141" i="2"/>
  <c r="F3141" i="2"/>
  <c r="E3141" i="2"/>
  <c r="G3141" i="2"/>
  <c r="H3141" i="2"/>
  <c r="I3141" i="2"/>
  <c r="C3142" i="2"/>
  <c r="L3141" i="2" l="1"/>
  <c r="D3141" i="2"/>
  <c r="J3141" i="2"/>
  <c r="K3141" i="2" s="1"/>
  <c r="A3142" i="2"/>
  <c r="B3142" i="2"/>
  <c r="M3142" i="2"/>
  <c r="H3142" i="2"/>
  <c r="F3142" i="2"/>
  <c r="G3142" i="2"/>
  <c r="I3142" i="2"/>
  <c r="E3142" i="2"/>
  <c r="C3143" i="2"/>
  <c r="L3142" i="2" l="1"/>
  <c r="J3142" i="2"/>
  <c r="K3142" i="2" s="1"/>
  <c r="D3142" i="2"/>
  <c r="B3143" i="2"/>
  <c r="A3143" i="2"/>
  <c r="F3143" i="2"/>
  <c r="M3143" i="2"/>
  <c r="I3143" i="2"/>
  <c r="G3143" i="2"/>
  <c r="E3143" i="2"/>
  <c r="H3143" i="2"/>
  <c r="C3144" i="2"/>
  <c r="L3143" i="2" l="1"/>
  <c r="D3143" i="2"/>
  <c r="J3143" i="2"/>
  <c r="K3143" i="2" s="1"/>
  <c r="B3144" i="2"/>
  <c r="A3144" i="2"/>
  <c r="I3144" i="2"/>
  <c r="G3144" i="2"/>
  <c r="M3144" i="2"/>
  <c r="E3144" i="2"/>
  <c r="F3144" i="2"/>
  <c r="H3144" i="2"/>
  <c r="C3145" i="2"/>
  <c r="L3144" i="2" l="1"/>
  <c r="D3144" i="2"/>
  <c r="J3144" i="2"/>
  <c r="K3144" i="2" s="1"/>
  <c r="B3145" i="2"/>
  <c r="A3145" i="2"/>
  <c r="G3145" i="2"/>
  <c r="F3145" i="2"/>
  <c r="H3145" i="2"/>
  <c r="E3145" i="2"/>
  <c r="I3145" i="2"/>
  <c r="M3145" i="2"/>
  <c r="C3146" i="2"/>
  <c r="L3145" i="2" l="1"/>
  <c r="D3145" i="2"/>
  <c r="J3145" i="2"/>
  <c r="K3145" i="2" s="1"/>
  <c r="A3146" i="2"/>
  <c r="B3146" i="2"/>
  <c r="E3146" i="2"/>
  <c r="I3146" i="2"/>
  <c r="M3146" i="2"/>
  <c r="F3146" i="2"/>
  <c r="H3146" i="2"/>
  <c r="G3146" i="2"/>
  <c r="C3147" i="2"/>
  <c r="L3146" i="2" l="1"/>
  <c r="J3146" i="2"/>
  <c r="K3146" i="2" s="1"/>
  <c r="D3146" i="2"/>
  <c r="A3147" i="2"/>
  <c r="B3147" i="2"/>
  <c r="G3147" i="2"/>
  <c r="H3147" i="2"/>
  <c r="M3147" i="2"/>
  <c r="F3147" i="2"/>
  <c r="I3147" i="2"/>
  <c r="E3147" i="2"/>
  <c r="C3148" i="2"/>
  <c r="L3147" i="2" l="1"/>
  <c r="J3147" i="2"/>
  <c r="K3147" i="2" s="1"/>
  <c r="D3147" i="2"/>
  <c r="A3148" i="2"/>
  <c r="B3148" i="2"/>
  <c r="G3148" i="2"/>
  <c r="I3148" i="2"/>
  <c r="H3148" i="2"/>
  <c r="M3148" i="2"/>
  <c r="E3148" i="2"/>
  <c r="F3148" i="2"/>
  <c r="L3148" i="2" l="1"/>
  <c r="J3148" i="2"/>
  <c r="K3148" i="2" s="1"/>
  <c r="D3148" i="2"/>
  <c r="C3149" i="2"/>
  <c r="A3149" i="2" l="1"/>
  <c r="B3149" i="2"/>
  <c r="E3149" i="2"/>
  <c r="G3149" i="2"/>
  <c r="M3149" i="2"/>
  <c r="I3149" i="2"/>
  <c r="H3149" i="2"/>
  <c r="F3149" i="2"/>
  <c r="L3149" i="2" l="1"/>
  <c r="D3149" i="2"/>
  <c r="J3149" i="2"/>
  <c r="K3149" i="2" s="1"/>
  <c r="C3150" i="2"/>
  <c r="A3150" i="2" l="1"/>
  <c r="B3150" i="2"/>
  <c r="E3150" i="2"/>
  <c r="I3150" i="2"/>
  <c r="M3150" i="2"/>
  <c r="H3150" i="2"/>
  <c r="F3150" i="2"/>
  <c r="G3150" i="2"/>
  <c r="C3151" i="2"/>
  <c r="L3150" i="2" l="1"/>
  <c r="J3150" i="2"/>
  <c r="K3150" i="2" s="1"/>
  <c r="D3150" i="2"/>
  <c r="A3151" i="2"/>
  <c r="B3151" i="2"/>
  <c r="F3151" i="2"/>
  <c r="I3151" i="2"/>
  <c r="H3151" i="2"/>
  <c r="G3151" i="2"/>
  <c r="M3151" i="2"/>
  <c r="E3151" i="2"/>
  <c r="C3152" i="2"/>
  <c r="L3151" i="2" l="1"/>
  <c r="J3151" i="2"/>
  <c r="K3151" i="2" s="1"/>
  <c r="D3151" i="2"/>
  <c r="A3152" i="2"/>
  <c r="B3152" i="2"/>
  <c r="I3152" i="2"/>
  <c r="M3152" i="2"/>
  <c r="G3152" i="2"/>
  <c r="H3152" i="2"/>
  <c r="E3152" i="2"/>
  <c r="F3152" i="2"/>
  <c r="C3153" i="2"/>
  <c r="L3152" i="2" l="1"/>
  <c r="D3152" i="2"/>
  <c r="J3152" i="2"/>
  <c r="K3152" i="2" s="1"/>
  <c r="B3153" i="2"/>
  <c r="A3153" i="2"/>
  <c r="M3153" i="2"/>
  <c r="E3153" i="2"/>
  <c r="G3153" i="2"/>
  <c r="I3153" i="2"/>
  <c r="H3153" i="2"/>
  <c r="F3153" i="2"/>
  <c r="C3154" i="2"/>
  <c r="L3153" i="2" l="1"/>
  <c r="D3153" i="2"/>
  <c r="J3153" i="2"/>
  <c r="K3153" i="2" s="1"/>
  <c r="A3154" i="2"/>
  <c r="B3154" i="2"/>
  <c r="G3154" i="2"/>
  <c r="E3154" i="2"/>
  <c r="I3154" i="2"/>
  <c r="M3154" i="2"/>
  <c r="H3154" i="2"/>
  <c r="F3154" i="2"/>
  <c r="C3155" i="2"/>
  <c r="L3154" i="2" l="1"/>
  <c r="J3154" i="2"/>
  <c r="K3154" i="2" s="1"/>
  <c r="D3154" i="2"/>
  <c r="A3155" i="2"/>
  <c r="B3155" i="2"/>
  <c r="F3155" i="2"/>
  <c r="H3155" i="2"/>
  <c r="G3155" i="2"/>
  <c r="M3155" i="2"/>
  <c r="E3155" i="2"/>
  <c r="I3155" i="2"/>
  <c r="L3155" i="2" l="1"/>
  <c r="D3155" i="2"/>
  <c r="J3155" i="2"/>
  <c r="K3155" i="2" s="1"/>
  <c r="C3156" i="2"/>
  <c r="B3156" i="2" l="1"/>
  <c r="A3156" i="2"/>
  <c r="H3156" i="2"/>
  <c r="F3156" i="2"/>
  <c r="M3156" i="2"/>
  <c r="E3156" i="2"/>
  <c r="I3156" i="2"/>
  <c r="G3156" i="2"/>
  <c r="C3157" i="2"/>
  <c r="L3156" i="2" l="1"/>
  <c r="D3156" i="2"/>
  <c r="J3156" i="2"/>
  <c r="K3156" i="2" s="1"/>
  <c r="B3157" i="2"/>
  <c r="A3157" i="2"/>
  <c r="H3157" i="2"/>
  <c r="M3157" i="2"/>
  <c r="E3157" i="2"/>
  <c r="F3157" i="2"/>
  <c r="I3157" i="2"/>
  <c r="G3157" i="2"/>
  <c r="C3158" i="2"/>
  <c r="L3157" i="2" l="1"/>
  <c r="D3157" i="2"/>
  <c r="J3157" i="2"/>
  <c r="K3157" i="2" s="1"/>
  <c r="A3158" i="2"/>
  <c r="B3158" i="2"/>
  <c r="F3158" i="2"/>
  <c r="H3158" i="2"/>
  <c r="M3158" i="2"/>
  <c r="E3158" i="2"/>
  <c r="G3158" i="2"/>
  <c r="I3158" i="2"/>
  <c r="L3158" i="2" l="1"/>
  <c r="J3158" i="2"/>
  <c r="K3158" i="2" s="1"/>
  <c r="D3158" i="2"/>
  <c r="C3159" i="2"/>
  <c r="B3159" i="2" l="1"/>
  <c r="A3159" i="2"/>
  <c r="G3159" i="2"/>
  <c r="I3159" i="2"/>
  <c r="H3159" i="2"/>
  <c r="M3159" i="2"/>
  <c r="F3159" i="2"/>
  <c r="E3159" i="2"/>
  <c r="C3160" i="2"/>
  <c r="L3159" i="2" l="1"/>
  <c r="J3159" i="2"/>
  <c r="K3159" i="2" s="1"/>
  <c r="D3159" i="2"/>
  <c r="A3160" i="2"/>
  <c r="B3160" i="2"/>
  <c r="G3160" i="2"/>
  <c r="I3160" i="2"/>
  <c r="E3160" i="2"/>
  <c r="M3160" i="2"/>
  <c r="F3160" i="2"/>
  <c r="H3160" i="2"/>
  <c r="C3161" i="2"/>
  <c r="L3160" i="2" l="1"/>
  <c r="D3160" i="2"/>
  <c r="J3160" i="2"/>
  <c r="K3160" i="2" s="1"/>
  <c r="B3161" i="2"/>
  <c r="A3161" i="2"/>
  <c r="M3161" i="2"/>
  <c r="H3161" i="2"/>
  <c r="E3161" i="2"/>
  <c r="F3161" i="2"/>
  <c r="I3161" i="2"/>
  <c r="G3161" i="2"/>
  <c r="L3161" i="2" l="1"/>
  <c r="D3161" i="2"/>
  <c r="J3161" i="2"/>
  <c r="K3161" i="2" s="1"/>
  <c r="C3162" i="2"/>
  <c r="A3162" i="2" l="1"/>
  <c r="B3162" i="2"/>
  <c r="G3162" i="2"/>
  <c r="F3162" i="2"/>
  <c r="I3162" i="2"/>
  <c r="H3162" i="2"/>
  <c r="M3162" i="2"/>
  <c r="E3162" i="2"/>
  <c r="L3162" i="2" l="1"/>
  <c r="J3162" i="2"/>
  <c r="K3162" i="2" s="1"/>
  <c r="D3162" i="2"/>
  <c r="C3163" i="2"/>
  <c r="A3163" i="2" l="1"/>
  <c r="B3163" i="2"/>
  <c r="F3163" i="2"/>
  <c r="G3163" i="2"/>
  <c r="H3163" i="2"/>
  <c r="E3163" i="2"/>
  <c r="M3163" i="2"/>
  <c r="I3163" i="2"/>
  <c r="L3163" i="2" l="1"/>
  <c r="D3163" i="2"/>
  <c r="J3163" i="2"/>
  <c r="K3163" i="2" s="1"/>
  <c r="C3164" i="2"/>
  <c r="B3164" i="2" l="1"/>
  <c r="A3164" i="2"/>
  <c r="G3164" i="2"/>
  <c r="E3164" i="2"/>
  <c r="M3164" i="2"/>
  <c r="F3164" i="2"/>
  <c r="I3164" i="2"/>
  <c r="H3164" i="2"/>
  <c r="C3165" i="2"/>
  <c r="L3164" i="2" l="1"/>
  <c r="D3164" i="2"/>
  <c r="J3164" i="2"/>
  <c r="K3164" i="2" s="1"/>
  <c r="B3165" i="2"/>
  <c r="A3165" i="2"/>
  <c r="G3165" i="2"/>
  <c r="E3165" i="2"/>
  <c r="H3165" i="2"/>
  <c r="M3165" i="2"/>
  <c r="I3165" i="2"/>
  <c r="F3165" i="2"/>
  <c r="C3166" i="2"/>
  <c r="L3165" i="2" l="1"/>
  <c r="D3165" i="2"/>
  <c r="J3165" i="2"/>
  <c r="K3165" i="2" s="1"/>
  <c r="A3166" i="2"/>
  <c r="B3166" i="2"/>
  <c r="H3166" i="2"/>
  <c r="I3166" i="2"/>
  <c r="E3166" i="2"/>
  <c r="M3166" i="2"/>
  <c r="G3166" i="2"/>
  <c r="F3166" i="2"/>
  <c r="C3167" i="2"/>
  <c r="L3166" i="2" l="1"/>
  <c r="J3166" i="2"/>
  <c r="K3166" i="2" s="1"/>
  <c r="D3166" i="2"/>
  <c r="A3167" i="2"/>
  <c r="B3167" i="2"/>
  <c r="H3167" i="2"/>
  <c r="M3167" i="2"/>
  <c r="G3167" i="2"/>
  <c r="I3167" i="2"/>
  <c r="F3167" i="2"/>
  <c r="E3167" i="2"/>
  <c r="L3167" i="2" l="1"/>
  <c r="D3167" i="2"/>
  <c r="J3167" i="2"/>
  <c r="K3167" i="2" s="1"/>
  <c r="C3168" i="2"/>
  <c r="B3168" i="2" l="1"/>
  <c r="A3168" i="2"/>
  <c r="G3168" i="2"/>
  <c r="F3168" i="2"/>
  <c r="H3168" i="2"/>
  <c r="E3168" i="2"/>
  <c r="M3168" i="2"/>
  <c r="I3168" i="2"/>
  <c r="C3169" i="2"/>
  <c r="L3168" i="2" l="1"/>
  <c r="D3168" i="2"/>
  <c r="J3168" i="2"/>
  <c r="K3168" i="2" s="1"/>
  <c r="B3169" i="2"/>
  <c r="A3169" i="2"/>
  <c r="H3169" i="2"/>
  <c r="F3169" i="2"/>
  <c r="E3169" i="2"/>
  <c r="M3169" i="2"/>
  <c r="I3169" i="2"/>
  <c r="G3169" i="2"/>
  <c r="C3170" i="2"/>
  <c r="L3169" i="2" l="1"/>
  <c r="J3169" i="2"/>
  <c r="K3169" i="2" s="1"/>
  <c r="D3169" i="2"/>
  <c r="A3170" i="2"/>
  <c r="B3170" i="2"/>
  <c r="H3170" i="2"/>
  <c r="G3170" i="2"/>
  <c r="E3170" i="2"/>
  <c r="M3170" i="2"/>
  <c r="F3170" i="2"/>
  <c r="I3170" i="2"/>
  <c r="C3171" i="2"/>
  <c r="L3170" i="2" l="1"/>
  <c r="J3170" i="2"/>
  <c r="K3170" i="2" s="1"/>
  <c r="D3170" i="2"/>
  <c r="A3171" i="2"/>
  <c r="B3171" i="2"/>
  <c r="H3171" i="2"/>
  <c r="E3171" i="2"/>
  <c r="M3171" i="2"/>
  <c r="I3171" i="2"/>
  <c r="G3171" i="2"/>
  <c r="F3171" i="2"/>
  <c r="C3172" i="2"/>
  <c r="L3171" i="2" l="1"/>
  <c r="J3171" i="2"/>
  <c r="K3171" i="2" s="1"/>
  <c r="D3171" i="2"/>
  <c r="B3172" i="2"/>
  <c r="A3172" i="2"/>
  <c r="H3172" i="2"/>
  <c r="E3172" i="2"/>
  <c r="M3172" i="2"/>
  <c r="G3172" i="2"/>
  <c r="I3172" i="2"/>
  <c r="F3172" i="2"/>
  <c r="C3173" i="2"/>
  <c r="L3172" i="2" l="1"/>
  <c r="D3172" i="2"/>
  <c r="J3172" i="2"/>
  <c r="K3172" i="2" s="1"/>
  <c r="B3173" i="2"/>
  <c r="A3173" i="2"/>
  <c r="M3173" i="2"/>
  <c r="E3173" i="2"/>
  <c r="F3173" i="2"/>
  <c r="H3173" i="2"/>
  <c r="G3173" i="2"/>
  <c r="I3173" i="2"/>
  <c r="C3174" i="2"/>
  <c r="L3173" i="2" l="1"/>
  <c r="J3173" i="2"/>
  <c r="K3173" i="2" s="1"/>
  <c r="D3173" i="2"/>
  <c r="A3174" i="2"/>
  <c r="B3174" i="2"/>
  <c r="G3174" i="2"/>
  <c r="F3174" i="2"/>
  <c r="E3174" i="2"/>
  <c r="H3174" i="2"/>
  <c r="M3174" i="2"/>
  <c r="I3174" i="2"/>
  <c r="L3174" i="2" l="1"/>
  <c r="J3174" i="2"/>
  <c r="K3174" i="2" s="1"/>
  <c r="D3174" i="2"/>
  <c r="C3175" i="2"/>
  <c r="A3175" i="2" l="1"/>
  <c r="B3175" i="2"/>
  <c r="E3175" i="2"/>
  <c r="I3175" i="2"/>
  <c r="M3175" i="2"/>
  <c r="H3175" i="2"/>
  <c r="F3175" i="2"/>
  <c r="G3175" i="2"/>
  <c r="C3176" i="2"/>
  <c r="L3175" i="2" l="1"/>
  <c r="J3175" i="2"/>
  <c r="K3175" i="2" s="1"/>
  <c r="D3175" i="2"/>
  <c r="A3176" i="2"/>
  <c r="B3176" i="2"/>
  <c r="H3176" i="2"/>
  <c r="G3176" i="2"/>
  <c r="E3176" i="2"/>
  <c r="F3176" i="2"/>
  <c r="M3176" i="2"/>
  <c r="I3176" i="2"/>
  <c r="C3177" i="2"/>
  <c r="L3176" i="2" l="1"/>
  <c r="D3176" i="2"/>
  <c r="J3176" i="2"/>
  <c r="K3176" i="2" s="1"/>
  <c r="B3177" i="2"/>
  <c r="A3177" i="2"/>
  <c r="I3177" i="2"/>
  <c r="E3177" i="2"/>
  <c r="F3177" i="2"/>
  <c r="G3177" i="2"/>
  <c r="M3177" i="2"/>
  <c r="H3177" i="2"/>
  <c r="L3177" i="2" l="1"/>
  <c r="D3177" i="2"/>
  <c r="J3177" i="2"/>
  <c r="K3177" i="2" s="1"/>
  <c r="C3178" i="2"/>
  <c r="B3178" i="2" l="1"/>
  <c r="A3178" i="2"/>
  <c r="G3178" i="2"/>
  <c r="I3178" i="2"/>
  <c r="E3178" i="2"/>
  <c r="M3178" i="2"/>
  <c r="F3178" i="2"/>
  <c r="H3178" i="2"/>
  <c r="C3179" i="2"/>
  <c r="L3178" i="2" l="1"/>
  <c r="J3178" i="2"/>
  <c r="K3178" i="2" s="1"/>
  <c r="D3178" i="2"/>
  <c r="A3179" i="2"/>
  <c r="B3179" i="2"/>
  <c r="H3179" i="2"/>
  <c r="F3179" i="2"/>
  <c r="I3179" i="2"/>
  <c r="E3179" i="2"/>
  <c r="G3179" i="2"/>
  <c r="M3179" i="2"/>
  <c r="L3179" i="2" l="1"/>
  <c r="J3179" i="2"/>
  <c r="K3179" i="2" s="1"/>
  <c r="D3179" i="2"/>
  <c r="C3180" i="2"/>
  <c r="B3180" i="2" l="1"/>
  <c r="A3180" i="2"/>
  <c r="F3180" i="2"/>
  <c r="G3180" i="2"/>
  <c r="I3180" i="2"/>
  <c r="H3180" i="2"/>
  <c r="M3180" i="2"/>
  <c r="E3180" i="2"/>
  <c r="L3180" i="2" l="1"/>
  <c r="D3180" i="2"/>
  <c r="J3180" i="2"/>
  <c r="K3180" i="2" s="1"/>
  <c r="C3181" i="2"/>
  <c r="B3181" i="2" l="1"/>
  <c r="A3181" i="2"/>
  <c r="G3181" i="2"/>
  <c r="M3181" i="2"/>
  <c r="F3181" i="2"/>
  <c r="H3181" i="2"/>
  <c r="I3181" i="2"/>
  <c r="E3181" i="2"/>
  <c r="C3182" i="2"/>
  <c r="L3181" i="2" l="1"/>
  <c r="D3181" i="2"/>
  <c r="J3181" i="2"/>
  <c r="K3181" i="2" s="1"/>
  <c r="A3182" i="2"/>
  <c r="B3182" i="2"/>
  <c r="E3182" i="2"/>
  <c r="M3182" i="2"/>
  <c r="I3182" i="2"/>
  <c r="F3182" i="2"/>
  <c r="G3182" i="2"/>
  <c r="H3182" i="2"/>
  <c r="C3183" i="2"/>
  <c r="L3182" i="2" l="1"/>
  <c r="J3182" i="2"/>
  <c r="K3182" i="2" s="1"/>
  <c r="D3182" i="2"/>
  <c r="B3183" i="2"/>
  <c r="A3183" i="2"/>
  <c r="I3183" i="2"/>
  <c r="F3183" i="2"/>
  <c r="E3183" i="2"/>
  <c r="H3183" i="2"/>
  <c r="G3183" i="2"/>
  <c r="M3183" i="2"/>
  <c r="C3184" i="2"/>
  <c r="L3183" i="2" l="1"/>
  <c r="J3183" i="2"/>
  <c r="K3183" i="2" s="1"/>
  <c r="D3183" i="2"/>
  <c r="B3184" i="2"/>
  <c r="A3184" i="2"/>
  <c r="I3184" i="2"/>
  <c r="G3184" i="2"/>
  <c r="H3184" i="2"/>
  <c r="M3184" i="2"/>
  <c r="F3184" i="2"/>
  <c r="E3184" i="2"/>
  <c r="C3185" i="2"/>
  <c r="L3184" i="2" l="1"/>
  <c r="D3184" i="2"/>
  <c r="J3184" i="2"/>
  <c r="K3184" i="2" s="1"/>
  <c r="B3185" i="2"/>
  <c r="A3185" i="2"/>
  <c r="H3185" i="2"/>
  <c r="G3185" i="2"/>
  <c r="E3185" i="2"/>
  <c r="F3185" i="2"/>
  <c r="I3185" i="2"/>
  <c r="M3185" i="2"/>
  <c r="L3185" i="2" l="1"/>
  <c r="D3185" i="2"/>
  <c r="J3185" i="2"/>
  <c r="K3185" i="2" s="1"/>
  <c r="C3186" i="2"/>
  <c r="A3186" i="2" l="1"/>
  <c r="B3186" i="2"/>
  <c r="G3186" i="2"/>
  <c r="F3186" i="2"/>
  <c r="H3186" i="2"/>
  <c r="E3186" i="2"/>
  <c r="I3186" i="2"/>
  <c r="M3186" i="2"/>
  <c r="C3187" i="2"/>
  <c r="L3186" i="2" l="1"/>
  <c r="J3186" i="2"/>
  <c r="K3186" i="2" s="1"/>
  <c r="D3186" i="2"/>
  <c r="A3187" i="2"/>
  <c r="B3187" i="2"/>
  <c r="H3187" i="2"/>
  <c r="I3187" i="2"/>
  <c r="G3187" i="2"/>
  <c r="F3187" i="2"/>
  <c r="E3187" i="2"/>
  <c r="M3187" i="2"/>
  <c r="L3187" i="2" l="1"/>
  <c r="J3187" i="2"/>
  <c r="K3187" i="2" s="1"/>
  <c r="D3187" i="2"/>
  <c r="C3188" i="2"/>
  <c r="A3188" i="2" l="1"/>
  <c r="B3188" i="2"/>
  <c r="E3188" i="2"/>
  <c r="H3188" i="2"/>
  <c r="M3188" i="2"/>
  <c r="I3188" i="2"/>
  <c r="F3188" i="2"/>
  <c r="G3188" i="2"/>
  <c r="L3188" i="2" l="1"/>
  <c r="D3188" i="2"/>
  <c r="J3188" i="2"/>
  <c r="K3188" i="2" s="1"/>
  <c r="C3189" i="2"/>
  <c r="B3189" i="2" l="1"/>
  <c r="A3189" i="2"/>
  <c r="H3189" i="2"/>
  <c r="E3189" i="2"/>
  <c r="M3189" i="2"/>
  <c r="G3189" i="2"/>
  <c r="I3189" i="2"/>
  <c r="F3189" i="2"/>
  <c r="C3190" i="2"/>
  <c r="L3189" i="2" l="1"/>
  <c r="J3189" i="2"/>
  <c r="K3189" i="2" s="1"/>
  <c r="D3189" i="2"/>
  <c r="A3190" i="2"/>
  <c r="B3190" i="2"/>
  <c r="I3190" i="2"/>
  <c r="H3190" i="2"/>
  <c r="E3190" i="2"/>
  <c r="M3190" i="2"/>
  <c r="G3190" i="2"/>
  <c r="F3190" i="2"/>
  <c r="L3190" i="2" l="1"/>
  <c r="D3190" i="2"/>
  <c r="J3190" i="2"/>
  <c r="K3190" i="2" s="1"/>
  <c r="C3191" i="2"/>
  <c r="A3191" i="2" l="1"/>
  <c r="B3191" i="2"/>
  <c r="I3191" i="2"/>
  <c r="E3191" i="2"/>
  <c r="H3191" i="2"/>
  <c r="G3191" i="2"/>
  <c r="M3191" i="2"/>
  <c r="F3191" i="2"/>
  <c r="C3192" i="2"/>
  <c r="L3191" i="2" l="1"/>
  <c r="J3191" i="2"/>
  <c r="K3191" i="2" s="1"/>
  <c r="D3191" i="2"/>
  <c r="A3192" i="2"/>
  <c r="B3192" i="2"/>
  <c r="E3192" i="2"/>
  <c r="I3192" i="2"/>
  <c r="H3192" i="2"/>
  <c r="M3192" i="2"/>
  <c r="G3192" i="2"/>
  <c r="F3192" i="2"/>
  <c r="C3193" i="2"/>
  <c r="L3192" i="2" l="1"/>
  <c r="D3192" i="2"/>
  <c r="J3192" i="2"/>
  <c r="K3192" i="2" s="1"/>
  <c r="B3193" i="2"/>
  <c r="A3193" i="2"/>
  <c r="E3193" i="2"/>
  <c r="G3193" i="2"/>
  <c r="F3193" i="2"/>
  <c r="M3193" i="2"/>
  <c r="H3193" i="2"/>
  <c r="I3193" i="2"/>
  <c r="C3194" i="2"/>
  <c r="L3193" i="2" l="1"/>
  <c r="J3193" i="2"/>
  <c r="K3193" i="2" s="1"/>
  <c r="D3193" i="2"/>
  <c r="A3194" i="2"/>
  <c r="B3194" i="2"/>
  <c r="E3194" i="2"/>
  <c r="G3194" i="2"/>
  <c r="F3194" i="2"/>
  <c r="I3194" i="2"/>
  <c r="M3194" i="2"/>
  <c r="H3194" i="2"/>
  <c r="C3195" i="2"/>
  <c r="L3194" i="2" l="1"/>
  <c r="J3194" i="2"/>
  <c r="K3194" i="2" s="1"/>
  <c r="D3194" i="2"/>
  <c r="A3195" i="2"/>
  <c r="B3195" i="2"/>
  <c r="I3195" i="2"/>
  <c r="M3195" i="2"/>
  <c r="G3195" i="2"/>
  <c r="F3195" i="2"/>
  <c r="H3195" i="2"/>
  <c r="E3195" i="2"/>
  <c r="L3195" i="2" l="1"/>
  <c r="D3195" i="2"/>
  <c r="J3195" i="2"/>
  <c r="K3195" i="2" s="1"/>
  <c r="C3196" i="2"/>
  <c r="A3196" i="2" l="1"/>
  <c r="B3196" i="2"/>
  <c r="E3196" i="2"/>
  <c r="F3196" i="2"/>
  <c r="G3196" i="2"/>
  <c r="M3196" i="2"/>
  <c r="H3196" i="2"/>
  <c r="I3196" i="2"/>
  <c r="L3196" i="2" l="1"/>
  <c r="D3196" i="2"/>
  <c r="J3196" i="2"/>
  <c r="K3196" i="2" s="1"/>
  <c r="C3197" i="2"/>
  <c r="A3197" i="2" l="1"/>
  <c r="B3197" i="2"/>
  <c r="F3197" i="2"/>
  <c r="I3197" i="2"/>
  <c r="G3197" i="2"/>
  <c r="H3197" i="2"/>
  <c r="E3197" i="2"/>
  <c r="M3197" i="2"/>
  <c r="L3197" i="2" l="1"/>
  <c r="D3197" i="2"/>
  <c r="J3197" i="2"/>
  <c r="K3197" i="2" s="1"/>
  <c r="C3198" i="2"/>
  <c r="B3198" i="2" l="1"/>
  <c r="A3198" i="2"/>
  <c r="G3198" i="2"/>
  <c r="H3198" i="2"/>
  <c r="I3198" i="2"/>
  <c r="M3198" i="2"/>
  <c r="E3198" i="2"/>
  <c r="F3198" i="2"/>
  <c r="C3199" i="2"/>
  <c r="L3198" i="2" l="1"/>
  <c r="J3198" i="2"/>
  <c r="K3198" i="2" s="1"/>
  <c r="D3198" i="2"/>
  <c r="A3199" i="2"/>
  <c r="B3199" i="2"/>
  <c r="M3199" i="2"/>
  <c r="H3199" i="2"/>
  <c r="E3199" i="2"/>
  <c r="I3199" i="2"/>
  <c r="G3199" i="2"/>
  <c r="F3199" i="2"/>
  <c r="L3199" i="2" l="1"/>
  <c r="J3199" i="2"/>
  <c r="K3199" i="2" s="1"/>
  <c r="D3199" i="2"/>
  <c r="C3200" i="2"/>
  <c r="A3200" i="2" l="1"/>
  <c r="B3200" i="2"/>
  <c r="I3200" i="2"/>
  <c r="M3200" i="2"/>
  <c r="H3200" i="2"/>
  <c r="E3200" i="2"/>
  <c r="F3200" i="2"/>
  <c r="G3200" i="2"/>
  <c r="L3200" i="2" l="1"/>
  <c r="D3200" i="2"/>
  <c r="J3200" i="2"/>
  <c r="K3200" i="2" s="1"/>
  <c r="C3201" i="2"/>
  <c r="A3201" i="2" l="1"/>
  <c r="B3201" i="2"/>
  <c r="M3201" i="2"/>
  <c r="F3201" i="2"/>
  <c r="E3201" i="2"/>
  <c r="G3201" i="2"/>
  <c r="H3201" i="2"/>
  <c r="I3201" i="2"/>
  <c r="L3201" i="2" l="1"/>
  <c r="J3201" i="2"/>
  <c r="K3201" i="2" s="1"/>
  <c r="D3201" i="2"/>
  <c r="C3202" i="2"/>
  <c r="B3202" i="2" l="1"/>
  <c r="A3202" i="2"/>
  <c r="F3202" i="2"/>
  <c r="I3202" i="2"/>
  <c r="H3202" i="2"/>
  <c r="M3202" i="2"/>
  <c r="G3202" i="2"/>
  <c r="E3202" i="2"/>
  <c r="C3203" i="2"/>
  <c r="L3202" i="2" l="1"/>
  <c r="J3202" i="2"/>
  <c r="K3202" i="2" s="1"/>
  <c r="D3202" i="2"/>
  <c r="A3203" i="2"/>
  <c r="B3203" i="2"/>
  <c r="E3203" i="2"/>
  <c r="I3203" i="2"/>
  <c r="F3203" i="2"/>
  <c r="G3203" i="2"/>
  <c r="H3203" i="2"/>
  <c r="M3203" i="2"/>
  <c r="L3203" i="2" l="1"/>
  <c r="D3203" i="2"/>
  <c r="J3203" i="2"/>
  <c r="K3203" i="2" s="1"/>
  <c r="C3204" i="2"/>
  <c r="B3204" i="2" l="1"/>
  <c r="A3204" i="2"/>
  <c r="E3204" i="2"/>
  <c r="H3204" i="2"/>
  <c r="G3204" i="2"/>
  <c r="F3204" i="2"/>
  <c r="I3204" i="2"/>
  <c r="M3204" i="2"/>
  <c r="C3205" i="2"/>
  <c r="L3204" i="2" l="1"/>
  <c r="D3204" i="2"/>
  <c r="J3204" i="2"/>
  <c r="K3204" i="2" s="1"/>
  <c r="B3205" i="2"/>
  <c r="A3205" i="2"/>
  <c r="H3205" i="2"/>
  <c r="I3205" i="2"/>
  <c r="E3205" i="2"/>
  <c r="F3205" i="2"/>
  <c r="M3205" i="2"/>
  <c r="G3205" i="2"/>
  <c r="L3205" i="2" l="1"/>
  <c r="D3205" i="2"/>
  <c r="J3205" i="2"/>
  <c r="K3205" i="2" s="1"/>
  <c r="C3206" i="2"/>
  <c r="A3206" i="2" l="1"/>
  <c r="B3206" i="2"/>
  <c r="H3206" i="2"/>
  <c r="I3206" i="2"/>
  <c r="E3206" i="2"/>
  <c r="G3206" i="2"/>
  <c r="M3206" i="2"/>
  <c r="F3206" i="2"/>
  <c r="L3206" i="2" l="1"/>
  <c r="J3206" i="2"/>
  <c r="K3206" i="2" s="1"/>
  <c r="D3206" i="2"/>
  <c r="C3207" i="2"/>
  <c r="B3207" i="2" l="1"/>
  <c r="A3207" i="2"/>
  <c r="M3207" i="2"/>
  <c r="H3207" i="2"/>
  <c r="F3207" i="2"/>
  <c r="G3207" i="2"/>
  <c r="I3207" i="2"/>
  <c r="E3207" i="2"/>
  <c r="C3208" i="2"/>
  <c r="L3207" i="2" l="1"/>
  <c r="J3207" i="2"/>
  <c r="K3207" i="2" s="1"/>
  <c r="D3207" i="2"/>
  <c r="B3208" i="2"/>
  <c r="A3208" i="2"/>
  <c r="F3208" i="2"/>
  <c r="I3208" i="2"/>
  <c r="E3208" i="2"/>
  <c r="H3208" i="2"/>
  <c r="M3208" i="2"/>
  <c r="G3208" i="2"/>
  <c r="L3208" i="2" l="1"/>
  <c r="D3208" i="2"/>
  <c r="J3208" i="2"/>
  <c r="K3208" i="2" s="1"/>
  <c r="C3209" i="2"/>
  <c r="B3209" i="2" l="1"/>
  <c r="A3209" i="2"/>
  <c r="M3209" i="2"/>
  <c r="I3209" i="2"/>
  <c r="F3209" i="2"/>
  <c r="H3209" i="2"/>
  <c r="E3209" i="2"/>
  <c r="G3209" i="2"/>
  <c r="C3210" i="2"/>
  <c r="L3209" i="2" l="1"/>
  <c r="J3209" i="2"/>
  <c r="K3209" i="2" s="1"/>
  <c r="D3209" i="2"/>
  <c r="A3210" i="2"/>
  <c r="B3210" i="2"/>
  <c r="H3210" i="2"/>
  <c r="G3210" i="2"/>
  <c r="E3210" i="2"/>
  <c r="M3210" i="2"/>
  <c r="F3210" i="2"/>
  <c r="I3210" i="2"/>
  <c r="L3210" i="2" l="1"/>
  <c r="J3210" i="2"/>
  <c r="K3210" i="2" s="1"/>
  <c r="D3210" i="2"/>
  <c r="C3211" i="2"/>
  <c r="A3211" i="2" l="1"/>
  <c r="B3211" i="2"/>
  <c r="G3211" i="2"/>
  <c r="I3211" i="2"/>
  <c r="M3211" i="2"/>
  <c r="E3211" i="2"/>
  <c r="F3211" i="2"/>
  <c r="H3211" i="2"/>
  <c r="L3211" i="2" l="1"/>
  <c r="D3211" i="2"/>
  <c r="J3211" i="2"/>
  <c r="K3211" i="2" s="1"/>
  <c r="C3212" i="2"/>
  <c r="B3212" i="2" l="1"/>
  <c r="A3212" i="2"/>
  <c r="G3212" i="2"/>
  <c r="H3212" i="2"/>
  <c r="M3212" i="2"/>
  <c r="I3212" i="2"/>
  <c r="F3212" i="2"/>
  <c r="E3212" i="2"/>
  <c r="C3213" i="2"/>
  <c r="L3212" i="2" l="1"/>
  <c r="D3212" i="2"/>
  <c r="J3212" i="2"/>
  <c r="K3212" i="2" s="1"/>
  <c r="B3213" i="2"/>
  <c r="A3213" i="2"/>
  <c r="H3213" i="2"/>
  <c r="G3213" i="2"/>
  <c r="E3213" i="2"/>
  <c r="F3213" i="2"/>
  <c r="I3213" i="2"/>
  <c r="M3213" i="2"/>
  <c r="L3213" i="2" l="1"/>
  <c r="D3213" i="2"/>
  <c r="J3213" i="2"/>
  <c r="K3213" i="2" s="1"/>
  <c r="C3214" i="2"/>
  <c r="A3214" i="2" l="1"/>
  <c r="B3214" i="2"/>
  <c r="F3214" i="2"/>
  <c r="H3214" i="2"/>
  <c r="E3214" i="2"/>
  <c r="M3214" i="2"/>
  <c r="G3214" i="2"/>
  <c r="I3214" i="2"/>
  <c r="L3214" i="2" l="1"/>
  <c r="J3214" i="2"/>
  <c r="K3214" i="2" s="1"/>
  <c r="D3214" i="2"/>
  <c r="C3215" i="2"/>
  <c r="B3215" i="2" l="1"/>
  <c r="A3215" i="2"/>
  <c r="I3215" i="2"/>
  <c r="E3215" i="2"/>
  <c r="G3215" i="2"/>
  <c r="F3215" i="2"/>
  <c r="H3215" i="2"/>
  <c r="M3215" i="2"/>
  <c r="C3216" i="2"/>
  <c r="L3215" i="2" l="1"/>
  <c r="J3215" i="2"/>
  <c r="K3215" i="2" s="1"/>
  <c r="D3215" i="2"/>
  <c r="A3216" i="2"/>
  <c r="B3216" i="2"/>
  <c r="I3216" i="2"/>
  <c r="F3216" i="2"/>
  <c r="H3216" i="2"/>
  <c r="G3216" i="2"/>
  <c r="M3216" i="2"/>
  <c r="E3216" i="2"/>
  <c r="L3216" i="2" l="1"/>
  <c r="D3216" i="2"/>
  <c r="J3216" i="2"/>
  <c r="K3216" i="2" s="1"/>
  <c r="C3217" i="2"/>
  <c r="A3217" i="2" l="1"/>
  <c r="B3217" i="2"/>
  <c r="I3217" i="2"/>
  <c r="M3217" i="2"/>
  <c r="F3217" i="2"/>
  <c r="G3217" i="2"/>
  <c r="E3217" i="2"/>
  <c r="H3217" i="2"/>
  <c r="L3217" i="2" l="1"/>
  <c r="J3217" i="2"/>
  <c r="K3217" i="2" s="1"/>
  <c r="D3217" i="2"/>
  <c r="C3218" i="2"/>
  <c r="A3218" i="2" l="1"/>
  <c r="B3218" i="2"/>
  <c r="I3218" i="2"/>
  <c r="E3218" i="2"/>
  <c r="H3218" i="2"/>
  <c r="M3218" i="2"/>
  <c r="G3218" i="2"/>
  <c r="F3218" i="2"/>
  <c r="L3218" i="2" l="1"/>
  <c r="J3218" i="2"/>
  <c r="K3218" i="2" s="1"/>
  <c r="D3218" i="2"/>
  <c r="C3219" i="2"/>
  <c r="B3219" i="2" l="1"/>
  <c r="A3219" i="2"/>
  <c r="I3219" i="2"/>
  <c r="E3219" i="2"/>
  <c r="H3219" i="2"/>
  <c r="G3219" i="2"/>
  <c r="F3219" i="2"/>
  <c r="M3219" i="2"/>
  <c r="C3220" i="2"/>
  <c r="L3219" i="2" l="1"/>
  <c r="D3219" i="2"/>
  <c r="J3219" i="2"/>
  <c r="K3219" i="2" s="1"/>
  <c r="A3220" i="2"/>
  <c r="B3220" i="2"/>
  <c r="G3220" i="2"/>
  <c r="F3220" i="2"/>
  <c r="H3220" i="2"/>
  <c r="I3220" i="2"/>
  <c r="E3220" i="2"/>
  <c r="M3220" i="2"/>
  <c r="C3221" i="2"/>
  <c r="L3220" i="2" l="1"/>
  <c r="D3220" i="2"/>
  <c r="J3220" i="2"/>
  <c r="K3220" i="2" s="1"/>
  <c r="B3221" i="2"/>
  <c r="A3221" i="2"/>
  <c r="M3221" i="2"/>
  <c r="F3221" i="2"/>
  <c r="I3221" i="2"/>
  <c r="H3221" i="2"/>
  <c r="G3221" i="2"/>
  <c r="E3221" i="2"/>
  <c r="C3222" i="2"/>
  <c r="L3221" i="2" l="1"/>
  <c r="D3221" i="2"/>
  <c r="J3221" i="2"/>
  <c r="K3221" i="2" s="1"/>
  <c r="A3222" i="2"/>
  <c r="B3222" i="2"/>
  <c r="G3222" i="2"/>
  <c r="M3222" i="2"/>
  <c r="H3222" i="2"/>
  <c r="I3222" i="2"/>
  <c r="E3222" i="2"/>
  <c r="F3222" i="2"/>
  <c r="C3223" i="2"/>
  <c r="L3222" i="2" l="1"/>
  <c r="J3222" i="2"/>
  <c r="K3222" i="2" s="1"/>
  <c r="D3222" i="2"/>
  <c r="A3223" i="2"/>
  <c r="B3223" i="2"/>
  <c r="E3223" i="2"/>
  <c r="G3223" i="2"/>
  <c r="M3223" i="2"/>
  <c r="H3223" i="2"/>
  <c r="F3223" i="2"/>
  <c r="I3223" i="2"/>
  <c r="L3223" i="2" l="1"/>
  <c r="J3223" i="2"/>
  <c r="K3223" i="2" s="1"/>
  <c r="D3223" i="2"/>
  <c r="C3224" i="2"/>
  <c r="A3224" i="2" l="1"/>
  <c r="B3224" i="2"/>
  <c r="M3224" i="2"/>
  <c r="F3224" i="2"/>
  <c r="G3224" i="2"/>
  <c r="E3224" i="2"/>
  <c r="H3224" i="2"/>
  <c r="I3224" i="2"/>
  <c r="L3224" i="2" l="1"/>
  <c r="D3224" i="2"/>
  <c r="J3224" i="2"/>
  <c r="K3224" i="2" s="1"/>
  <c r="C3225" i="2"/>
  <c r="B3225" i="2" l="1"/>
  <c r="A3225" i="2"/>
  <c r="I3225" i="2"/>
  <c r="G3225" i="2"/>
  <c r="M3225" i="2"/>
  <c r="E3225" i="2"/>
  <c r="F3225" i="2"/>
  <c r="H3225" i="2"/>
  <c r="C3226" i="2"/>
  <c r="L3225" i="2" l="1"/>
  <c r="D3225" i="2"/>
  <c r="J3225" i="2"/>
  <c r="K3225" i="2" s="1"/>
  <c r="A3226" i="2"/>
  <c r="B3226" i="2"/>
  <c r="I3226" i="2"/>
  <c r="G3226" i="2"/>
  <c r="H3226" i="2"/>
  <c r="E3226" i="2"/>
  <c r="M3226" i="2"/>
  <c r="F3226" i="2"/>
  <c r="C3227" i="2"/>
  <c r="L3226" i="2" l="1"/>
  <c r="J3226" i="2"/>
  <c r="K3226" i="2" s="1"/>
  <c r="D3226" i="2"/>
  <c r="A3227" i="2"/>
  <c r="B3227" i="2"/>
  <c r="G3227" i="2"/>
  <c r="M3227" i="2"/>
  <c r="I3227" i="2"/>
  <c r="F3227" i="2"/>
  <c r="E3227" i="2"/>
  <c r="H3227" i="2"/>
  <c r="C3228" i="2"/>
  <c r="L3227" i="2" l="1"/>
  <c r="D3227" i="2"/>
  <c r="J3227" i="2"/>
  <c r="K3227" i="2" s="1"/>
  <c r="A3228" i="2"/>
  <c r="B3228" i="2"/>
  <c r="M3228" i="2"/>
  <c r="E3228" i="2"/>
  <c r="F3228" i="2"/>
  <c r="I3228" i="2"/>
  <c r="H3228" i="2"/>
  <c r="G3228" i="2"/>
  <c r="L3228" i="2" l="1"/>
  <c r="D3228" i="2"/>
  <c r="J3228" i="2"/>
  <c r="K3228" i="2" s="1"/>
  <c r="C3229" i="2"/>
  <c r="A3229" i="2" l="1"/>
  <c r="B3229" i="2"/>
  <c r="G3229" i="2"/>
  <c r="E3229" i="2"/>
  <c r="M3229" i="2"/>
  <c r="I3229" i="2"/>
  <c r="H3229" i="2"/>
  <c r="F3229" i="2"/>
  <c r="L3229" i="2" l="1"/>
  <c r="D3229" i="2"/>
  <c r="J3229" i="2"/>
  <c r="K3229" i="2" s="1"/>
  <c r="C3230" i="2"/>
  <c r="A3230" i="2" l="1"/>
  <c r="B3230" i="2"/>
  <c r="E3230" i="2"/>
  <c r="F3230" i="2"/>
  <c r="G3230" i="2"/>
  <c r="H3230" i="2"/>
  <c r="M3230" i="2"/>
  <c r="I3230" i="2"/>
  <c r="L3230" i="2" l="1"/>
  <c r="J3230" i="2"/>
  <c r="K3230" i="2" s="1"/>
  <c r="D3230" i="2"/>
  <c r="C3231" i="2"/>
  <c r="B3231" i="2" l="1"/>
  <c r="A3231" i="2"/>
  <c r="H3231" i="2"/>
  <c r="E3231" i="2"/>
  <c r="F3231" i="2"/>
  <c r="I3231" i="2"/>
  <c r="G3231" i="2"/>
  <c r="M3231" i="2"/>
  <c r="C3232" i="2"/>
  <c r="L3231" i="2" l="1"/>
  <c r="J3231" i="2"/>
  <c r="K3231" i="2" s="1"/>
  <c r="D3231" i="2"/>
  <c r="B3232" i="2"/>
  <c r="A3232" i="2"/>
  <c r="G3232" i="2"/>
  <c r="H3232" i="2"/>
  <c r="I3232" i="2"/>
  <c r="F3232" i="2"/>
  <c r="M3232" i="2"/>
  <c r="E3232" i="2"/>
  <c r="C3233" i="2"/>
  <c r="L3232" i="2" l="1"/>
  <c r="D3232" i="2"/>
  <c r="J3232" i="2"/>
  <c r="K3232" i="2" s="1"/>
  <c r="B3233" i="2"/>
  <c r="A3233" i="2"/>
  <c r="I3233" i="2"/>
  <c r="G3233" i="2"/>
  <c r="M3233" i="2"/>
  <c r="H3233" i="2"/>
  <c r="E3233" i="2"/>
  <c r="F3233" i="2"/>
  <c r="C3234" i="2"/>
  <c r="L3233" i="2" l="1"/>
  <c r="J3233" i="2"/>
  <c r="K3233" i="2" s="1"/>
  <c r="D3233" i="2"/>
  <c r="A3234" i="2"/>
  <c r="B3234" i="2"/>
  <c r="E3234" i="2"/>
  <c r="M3234" i="2"/>
  <c r="G3234" i="2"/>
  <c r="F3234" i="2"/>
  <c r="I3234" i="2"/>
  <c r="H3234" i="2"/>
  <c r="L3234" i="2" l="1"/>
  <c r="J3234" i="2"/>
  <c r="K3234" i="2" s="1"/>
  <c r="D3234" i="2"/>
  <c r="C3235" i="2"/>
  <c r="A3235" i="2" l="1"/>
  <c r="B3235" i="2"/>
  <c r="E3235" i="2"/>
  <c r="F3235" i="2"/>
  <c r="G3235" i="2"/>
  <c r="M3235" i="2"/>
  <c r="H3235" i="2"/>
  <c r="I3235" i="2"/>
  <c r="L3235" i="2" l="1"/>
  <c r="J3235" i="2"/>
  <c r="K3235" i="2" s="1"/>
  <c r="D3235" i="2"/>
  <c r="C3236" i="2"/>
  <c r="B3236" i="2" l="1"/>
  <c r="A3236" i="2"/>
  <c r="H3236" i="2"/>
  <c r="G3236" i="2"/>
  <c r="I3236" i="2"/>
  <c r="M3236" i="2"/>
  <c r="E3236" i="2"/>
  <c r="F3236" i="2"/>
  <c r="C3237" i="2"/>
  <c r="L3236" i="2" l="1"/>
  <c r="D3236" i="2"/>
  <c r="J3236" i="2"/>
  <c r="K3236" i="2" s="1"/>
  <c r="B3237" i="2"/>
  <c r="A3237" i="2"/>
  <c r="F3237" i="2"/>
  <c r="E3237" i="2"/>
  <c r="H3237" i="2"/>
  <c r="M3237" i="2"/>
  <c r="I3237" i="2"/>
  <c r="G3237" i="2"/>
  <c r="L3237" i="2" l="1"/>
  <c r="D3237" i="2"/>
  <c r="J3237" i="2"/>
  <c r="K3237" i="2" s="1"/>
  <c r="C3238" i="2"/>
  <c r="A3238" i="2" l="1"/>
  <c r="B3238" i="2"/>
  <c r="E3238" i="2"/>
  <c r="I3238" i="2"/>
  <c r="F3238" i="2"/>
  <c r="M3238" i="2"/>
  <c r="G3238" i="2"/>
  <c r="H3238" i="2"/>
  <c r="L3238" i="2" l="1"/>
  <c r="J3238" i="2"/>
  <c r="K3238" i="2" s="1"/>
  <c r="D3238" i="2"/>
  <c r="C3239" i="2"/>
  <c r="B3239" i="2" l="1"/>
  <c r="A3239" i="2"/>
  <c r="F3239" i="2"/>
  <c r="G3239" i="2"/>
  <c r="E3239" i="2"/>
  <c r="I3239" i="2"/>
  <c r="M3239" i="2"/>
  <c r="H3239" i="2"/>
  <c r="C3240" i="2"/>
  <c r="L3239" i="2" l="1"/>
  <c r="J3239" i="2"/>
  <c r="K3239" i="2" s="1"/>
  <c r="D3239" i="2"/>
  <c r="A3240" i="2"/>
  <c r="B3240" i="2"/>
  <c r="M3240" i="2"/>
  <c r="G3240" i="2"/>
  <c r="F3240" i="2"/>
  <c r="E3240" i="2"/>
  <c r="H3240" i="2"/>
  <c r="I3240" i="2"/>
  <c r="L3240" i="2" l="1"/>
  <c r="D3240" i="2"/>
  <c r="J3240" i="2"/>
  <c r="K3240" i="2" s="1"/>
  <c r="C3241" i="2"/>
  <c r="B3241" i="2" l="1"/>
  <c r="A3241" i="2"/>
  <c r="M3241" i="2"/>
  <c r="E3241" i="2"/>
  <c r="I3241" i="2"/>
  <c r="F3241" i="2"/>
  <c r="H3241" i="2"/>
  <c r="G3241" i="2"/>
  <c r="C3242" i="2"/>
  <c r="L3241" i="2" l="1"/>
  <c r="J3241" i="2"/>
  <c r="K3241" i="2" s="1"/>
  <c r="D3241" i="2"/>
  <c r="A3242" i="2"/>
  <c r="B3242" i="2"/>
  <c r="E3242" i="2"/>
  <c r="I3242" i="2"/>
  <c r="H3242" i="2"/>
  <c r="F3242" i="2"/>
  <c r="M3242" i="2"/>
  <c r="G3242" i="2"/>
  <c r="L3242" i="2" l="1"/>
  <c r="J3242" i="2"/>
  <c r="K3242" i="2" s="1"/>
  <c r="D3242" i="2"/>
  <c r="C3243" i="2"/>
  <c r="A3243" i="2" l="1"/>
  <c r="B3243" i="2"/>
  <c r="F3243" i="2"/>
  <c r="E3243" i="2"/>
  <c r="I3243" i="2"/>
  <c r="G3243" i="2"/>
  <c r="M3243" i="2"/>
  <c r="H3243" i="2"/>
  <c r="L3243" i="2" l="1"/>
  <c r="J3243" i="2"/>
  <c r="K3243" i="2" s="1"/>
  <c r="D3243" i="2"/>
  <c r="C3244" i="2"/>
  <c r="B3244" i="2" l="1"/>
  <c r="A3244" i="2"/>
  <c r="H3244" i="2"/>
  <c r="F3244" i="2"/>
  <c r="G3244" i="2"/>
  <c r="M3244" i="2"/>
  <c r="E3244" i="2"/>
  <c r="I3244" i="2"/>
  <c r="C3245" i="2"/>
  <c r="L3244" i="2" l="1"/>
  <c r="D3244" i="2"/>
  <c r="J3244" i="2"/>
  <c r="K3244" i="2" s="1"/>
  <c r="B3245" i="2"/>
  <c r="A3245" i="2"/>
  <c r="E3245" i="2"/>
  <c r="G3245" i="2"/>
  <c r="M3245" i="2"/>
  <c r="I3245" i="2"/>
  <c r="F3245" i="2"/>
  <c r="H3245" i="2"/>
  <c r="C3246" i="2"/>
  <c r="L3245" i="2" l="1"/>
  <c r="D3245" i="2"/>
  <c r="J3245" i="2"/>
  <c r="K3245" i="2" s="1"/>
  <c r="A3246" i="2"/>
  <c r="B3246" i="2"/>
  <c r="E3246" i="2"/>
  <c r="G3246" i="2"/>
  <c r="M3246" i="2"/>
  <c r="H3246" i="2"/>
  <c r="I3246" i="2"/>
  <c r="F3246" i="2"/>
  <c r="L3246" i="2" l="1"/>
  <c r="J3246" i="2"/>
  <c r="K3246" i="2" s="1"/>
  <c r="D3246" i="2"/>
  <c r="C3247" i="2"/>
  <c r="B3247" i="2" l="1"/>
  <c r="A3247" i="2"/>
  <c r="G3247" i="2"/>
  <c r="E3247" i="2"/>
  <c r="M3247" i="2"/>
  <c r="H3247" i="2"/>
  <c r="I3247" i="2"/>
  <c r="F3247" i="2"/>
  <c r="C3248" i="2"/>
  <c r="L3247" i="2" l="1"/>
  <c r="J3247" i="2"/>
  <c r="K3247" i="2" s="1"/>
  <c r="D3247" i="2"/>
  <c r="B3248" i="2"/>
  <c r="A3248" i="2"/>
  <c r="H3248" i="2"/>
  <c r="E3248" i="2"/>
  <c r="I3248" i="2"/>
  <c r="M3248" i="2"/>
  <c r="F3248" i="2"/>
  <c r="G3248" i="2"/>
  <c r="C3249" i="2"/>
  <c r="L3248" i="2" l="1"/>
  <c r="J3248" i="2"/>
  <c r="K3248" i="2" s="1"/>
  <c r="D3248" i="2"/>
  <c r="B3249" i="2"/>
  <c r="A3249" i="2"/>
  <c r="F3249" i="2"/>
  <c r="E3249" i="2"/>
  <c r="H3249" i="2"/>
  <c r="G3249" i="2"/>
  <c r="I3249" i="2"/>
  <c r="M3249" i="2"/>
  <c r="C3250" i="2"/>
  <c r="L3249" i="2" l="1"/>
  <c r="J3249" i="2"/>
  <c r="K3249" i="2" s="1"/>
  <c r="D3249" i="2"/>
  <c r="A3250" i="2"/>
  <c r="B3250" i="2"/>
  <c r="E3250" i="2"/>
  <c r="F3250" i="2"/>
  <c r="H3250" i="2"/>
  <c r="G3250" i="2"/>
  <c r="M3250" i="2"/>
  <c r="I3250" i="2"/>
  <c r="C3251" i="2"/>
  <c r="L3250" i="2" l="1"/>
  <c r="J3250" i="2"/>
  <c r="K3250" i="2" s="1"/>
  <c r="D3250" i="2"/>
  <c r="A3251" i="2"/>
  <c r="B3251" i="2"/>
  <c r="F3251" i="2"/>
  <c r="E3251" i="2"/>
  <c r="H3251" i="2"/>
  <c r="M3251" i="2"/>
  <c r="G3251" i="2"/>
  <c r="I3251" i="2"/>
  <c r="C3252" i="2"/>
  <c r="L3251" i="2" l="1"/>
  <c r="D3251" i="2"/>
  <c r="J3251" i="2"/>
  <c r="K3251" i="2" s="1"/>
  <c r="B3252" i="2"/>
  <c r="A3252" i="2"/>
  <c r="H3252" i="2"/>
  <c r="M3252" i="2"/>
  <c r="G3252" i="2"/>
  <c r="F3252" i="2"/>
  <c r="I3252" i="2"/>
  <c r="E3252" i="2"/>
  <c r="C3253" i="2"/>
  <c r="L3252" i="2" l="1"/>
  <c r="D3252" i="2"/>
  <c r="J3252" i="2"/>
  <c r="K3252" i="2" s="1"/>
  <c r="B3253" i="2"/>
  <c r="A3253" i="2"/>
  <c r="I3253" i="2"/>
  <c r="H3253" i="2"/>
  <c r="E3253" i="2"/>
  <c r="F3253" i="2"/>
  <c r="M3253" i="2"/>
  <c r="G3253" i="2"/>
  <c r="L3253" i="2" l="1"/>
  <c r="D3253" i="2"/>
  <c r="J3253" i="2"/>
  <c r="K3253" i="2" s="1"/>
  <c r="C3254" i="2"/>
  <c r="A3254" i="2" l="1"/>
  <c r="B3254" i="2"/>
  <c r="I3254" i="2"/>
  <c r="G3254" i="2"/>
  <c r="F3254" i="2"/>
  <c r="M3254" i="2"/>
  <c r="E3254" i="2"/>
  <c r="H3254" i="2"/>
  <c r="C3255" i="2"/>
  <c r="L3254" i="2" l="1"/>
  <c r="D3254" i="2"/>
  <c r="J3254" i="2"/>
  <c r="K3254" i="2" s="1"/>
  <c r="A3255" i="2"/>
  <c r="B3255" i="2"/>
  <c r="E3255" i="2"/>
  <c r="M3255" i="2"/>
  <c r="F3255" i="2"/>
  <c r="I3255" i="2"/>
  <c r="H3255" i="2"/>
  <c r="G3255" i="2"/>
  <c r="C3256" i="2"/>
  <c r="L3255" i="2" l="1"/>
  <c r="J3255" i="2"/>
  <c r="K3255" i="2" s="1"/>
  <c r="D3255" i="2"/>
  <c r="A3256" i="2"/>
  <c r="B3256" i="2"/>
  <c r="G3256" i="2"/>
  <c r="E3256" i="2"/>
  <c r="I3256" i="2"/>
  <c r="H3256" i="2"/>
  <c r="M3256" i="2"/>
  <c r="F3256" i="2"/>
  <c r="C3257" i="2"/>
  <c r="L3256" i="2" l="1"/>
  <c r="D3256" i="2"/>
  <c r="J3256" i="2"/>
  <c r="K3256" i="2" s="1"/>
  <c r="B3257" i="2"/>
  <c r="A3257" i="2"/>
  <c r="E3257" i="2"/>
  <c r="F3257" i="2"/>
  <c r="G3257" i="2"/>
  <c r="M3257" i="2"/>
  <c r="I3257" i="2"/>
  <c r="H3257" i="2"/>
  <c r="C3258" i="2"/>
  <c r="L3257" i="2" l="1"/>
  <c r="D3257" i="2"/>
  <c r="J3257" i="2"/>
  <c r="K3257" i="2" s="1"/>
  <c r="A3258" i="2"/>
  <c r="B3258" i="2"/>
  <c r="F3258" i="2"/>
  <c r="E3258" i="2"/>
  <c r="G3258" i="2"/>
  <c r="I3258" i="2"/>
  <c r="H3258" i="2"/>
  <c r="M3258" i="2"/>
  <c r="C3259" i="2"/>
  <c r="L3258" i="2" l="1"/>
  <c r="J3258" i="2"/>
  <c r="K3258" i="2" s="1"/>
  <c r="D3258" i="2"/>
  <c r="A3259" i="2"/>
  <c r="B3259" i="2"/>
  <c r="M3259" i="2"/>
  <c r="E3259" i="2"/>
  <c r="H3259" i="2"/>
  <c r="I3259" i="2"/>
  <c r="G3259" i="2"/>
  <c r="F3259" i="2"/>
  <c r="C3260" i="2"/>
  <c r="L3259" i="2" l="1"/>
  <c r="J3259" i="2"/>
  <c r="K3259" i="2" s="1"/>
  <c r="D3259" i="2"/>
  <c r="A3260" i="2"/>
  <c r="B3260" i="2"/>
  <c r="F3260" i="2"/>
  <c r="H3260" i="2"/>
  <c r="E3260" i="2"/>
  <c r="G3260" i="2"/>
  <c r="M3260" i="2"/>
  <c r="I3260" i="2"/>
  <c r="L3260" i="2" l="1"/>
  <c r="D3260" i="2"/>
  <c r="J3260" i="2"/>
  <c r="K3260" i="2" s="1"/>
  <c r="C3261" i="2"/>
  <c r="A3261" i="2" l="1"/>
  <c r="B3261" i="2"/>
  <c r="I3261" i="2"/>
  <c r="G3261" i="2"/>
  <c r="H3261" i="2"/>
  <c r="E3261" i="2"/>
  <c r="M3261" i="2"/>
  <c r="F3261" i="2"/>
  <c r="C3262" i="2"/>
  <c r="L3261" i="2" l="1"/>
  <c r="D3261" i="2"/>
  <c r="J3261" i="2"/>
  <c r="K3261" i="2" s="1"/>
  <c r="A3262" i="2"/>
  <c r="B3262" i="2"/>
  <c r="M3262" i="2"/>
  <c r="G3262" i="2"/>
  <c r="I3262" i="2"/>
  <c r="F3262" i="2"/>
  <c r="H3262" i="2"/>
  <c r="E3262" i="2"/>
  <c r="C3263" i="2"/>
  <c r="L3262" i="2" l="1"/>
  <c r="J3262" i="2"/>
  <c r="K3262" i="2" s="1"/>
  <c r="D3262" i="2"/>
  <c r="A3263" i="2"/>
  <c r="B3263" i="2"/>
  <c r="I3263" i="2"/>
  <c r="E3263" i="2"/>
  <c r="M3263" i="2"/>
  <c r="G3263" i="2"/>
  <c r="F3263" i="2"/>
  <c r="H3263" i="2"/>
  <c r="L3263" i="2" l="1"/>
  <c r="J3263" i="2"/>
  <c r="K3263" i="2" s="1"/>
  <c r="D3263" i="2"/>
  <c r="C3264" i="2"/>
  <c r="A3264" i="2" l="1"/>
  <c r="B3264" i="2"/>
  <c r="E3264" i="2"/>
  <c r="M3264" i="2"/>
  <c r="G3264" i="2"/>
  <c r="I3264" i="2"/>
  <c r="H3264" i="2"/>
  <c r="F3264" i="2"/>
  <c r="C3265" i="2"/>
  <c r="L3264" i="2" l="1"/>
  <c r="D3264" i="2"/>
  <c r="J3264" i="2"/>
  <c r="K3264" i="2" s="1"/>
  <c r="B3265" i="2"/>
  <c r="A3265" i="2"/>
  <c r="I3265" i="2"/>
  <c r="E3265" i="2"/>
  <c r="F3265" i="2"/>
  <c r="H3265" i="2"/>
  <c r="G3265" i="2"/>
  <c r="M3265" i="2"/>
  <c r="C3266" i="2"/>
  <c r="L3265" i="2" l="1"/>
  <c r="J3265" i="2"/>
  <c r="K3265" i="2" s="1"/>
  <c r="D3265" i="2"/>
  <c r="A3266" i="2"/>
  <c r="B3266" i="2"/>
  <c r="E3266" i="2"/>
  <c r="F3266" i="2"/>
  <c r="G3266" i="2"/>
  <c r="H3266" i="2"/>
  <c r="M3266" i="2"/>
  <c r="I3266" i="2"/>
  <c r="L3266" i="2" l="1"/>
  <c r="J3266" i="2"/>
  <c r="K3266" i="2" s="1"/>
  <c r="D3266" i="2"/>
  <c r="C3267" i="2"/>
  <c r="B3267" i="2" l="1"/>
  <c r="A3267" i="2"/>
  <c r="H3267" i="2"/>
  <c r="E3267" i="2"/>
  <c r="I3267" i="2"/>
  <c r="G3267" i="2"/>
  <c r="F3267" i="2"/>
  <c r="M3267" i="2"/>
  <c r="C3268" i="2"/>
  <c r="L3267" i="2" l="1"/>
  <c r="J3267" i="2"/>
  <c r="K3267" i="2" s="1"/>
  <c r="D3267" i="2"/>
  <c r="B3268" i="2"/>
  <c r="A3268" i="2"/>
  <c r="G3268" i="2"/>
  <c r="M3268" i="2"/>
  <c r="F3268" i="2"/>
  <c r="I3268" i="2"/>
  <c r="H3268" i="2"/>
  <c r="E3268" i="2"/>
  <c r="C3269" i="2"/>
  <c r="L3268" i="2" l="1"/>
  <c r="D3268" i="2"/>
  <c r="J3268" i="2"/>
  <c r="K3268" i="2" s="1"/>
  <c r="B3269" i="2"/>
  <c r="A3269" i="2"/>
  <c r="E3269" i="2"/>
  <c r="F3269" i="2"/>
  <c r="G3269" i="2"/>
  <c r="I3269" i="2"/>
  <c r="H3269" i="2"/>
  <c r="M3269" i="2"/>
  <c r="C3270" i="2"/>
  <c r="L3269" i="2" l="1"/>
  <c r="D3269" i="2"/>
  <c r="J3269" i="2"/>
  <c r="K3269" i="2" s="1"/>
  <c r="A3270" i="2"/>
  <c r="B3270" i="2"/>
  <c r="H3270" i="2"/>
  <c r="M3270" i="2"/>
  <c r="G3270" i="2"/>
  <c r="E3270" i="2"/>
  <c r="F3270" i="2"/>
  <c r="I3270" i="2"/>
  <c r="L3270" i="2" l="1"/>
  <c r="J3270" i="2"/>
  <c r="K3270" i="2" s="1"/>
  <c r="D3270" i="2"/>
  <c r="C3271" i="2"/>
  <c r="B3271" i="2" l="1"/>
  <c r="A3271" i="2"/>
  <c r="E3271" i="2"/>
  <c r="I3271" i="2"/>
  <c r="M3271" i="2"/>
  <c r="H3271" i="2"/>
  <c r="F3271" i="2"/>
  <c r="G3271" i="2"/>
  <c r="C3272" i="2"/>
  <c r="L3271" i="2" l="1"/>
  <c r="J3271" i="2"/>
  <c r="K3271" i="2" s="1"/>
  <c r="D3271" i="2"/>
  <c r="B3272" i="2"/>
  <c r="A3272" i="2"/>
  <c r="E3272" i="2"/>
  <c r="M3272" i="2"/>
  <c r="H3272" i="2"/>
  <c r="I3272" i="2"/>
  <c r="G3272" i="2"/>
  <c r="F3272" i="2"/>
  <c r="C3273" i="2"/>
  <c r="L3272" i="2" l="1"/>
  <c r="D3272" i="2"/>
  <c r="J3272" i="2"/>
  <c r="K3272" i="2" s="1"/>
  <c r="B3273" i="2"/>
  <c r="A3273" i="2"/>
  <c r="E3273" i="2"/>
  <c r="F3273" i="2"/>
  <c r="H3273" i="2"/>
  <c r="M3273" i="2"/>
  <c r="G3273" i="2"/>
  <c r="I3273" i="2"/>
  <c r="C3274" i="2"/>
  <c r="L3273" i="2" l="1"/>
  <c r="J3273" i="2"/>
  <c r="K3273" i="2" s="1"/>
  <c r="D3273" i="2"/>
  <c r="A3274" i="2"/>
  <c r="B3274" i="2"/>
  <c r="H3274" i="2"/>
  <c r="I3274" i="2"/>
  <c r="F3274" i="2"/>
  <c r="M3274" i="2"/>
  <c r="E3274" i="2"/>
  <c r="G3274" i="2"/>
  <c r="C3275" i="2"/>
  <c r="L3274" i="2" l="1"/>
  <c r="J3274" i="2"/>
  <c r="K3274" i="2" s="1"/>
  <c r="D3274" i="2"/>
  <c r="A3275" i="2"/>
  <c r="B3275" i="2"/>
  <c r="F3275" i="2"/>
  <c r="H3275" i="2"/>
  <c r="E3275" i="2"/>
  <c r="I3275" i="2"/>
  <c r="M3275" i="2"/>
  <c r="G3275" i="2"/>
  <c r="L3275" i="2" l="1"/>
  <c r="J3275" i="2"/>
  <c r="K3275" i="2" s="1"/>
  <c r="D3275" i="2"/>
  <c r="C3276" i="2"/>
  <c r="A3276" i="2" l="1"/>
  <c r="B3276" i="2"/>
  <c r="M3276" i="2"/>
  <c r="I3276" i="2"/>
  <c r="G3276" i="2"/>
  <c r="H3276" i="2"/>
  <c r="F3276" i="2"/>
  <c r="E3276" i="2"/>
  <c r="L3276" i="2" l="1"/>
  <c r="D3276" i="2"/>
  <c r="J3276" i="2"/>
  <c r="K3276" i="2" s="1"/>
  <c r="C3277" i="2"/>
  <c r="A3277" i="2" l="1"/>
  <c r="B3277" i="2"/>
  <c r="F3277" i="2"/>
  <c r="G3277" i="2"/>
  <c r="H3277" i="2"/>
  <c r="M3277" i="2"/>
  <c r="E3277" i="2"/>
  <c r="I3277" i="2"/>
  <c r="L3277" i="2" l="1"/>
  <c r="D3277" i="2"/>
  <c r="J3277" i="2"/>
  <c r="K3277" i="2" s="1"/>
  <c r="C3278" i="2"/>
  <c r="A3278" i="2" l="1"/>
  <c r="B3278" i="2"/>
  <c r="F3278" i="2"/>
  <c r="G3278" i="2"/>
  <c r="I3278" i="2"/>
  <c r="H3278" i="2"/>
  <c r="E3278" i="2"/>
  <c r="M3278" i="2"/>
  <c r="C3279" i="2"/>
  <c r="L3278" i="2" l="1"/>
  <c r="J3278" i="2"/>
  <c r="K3278" i="2" s="1"/>
  <c r="D3278" i="2"/>
  <c r="A3279" i="2"/>
  <c r="B3279" i="2"/>
  <c r="M3279" i="2"/>
  <c r="I3279" i="2"/>
  <c r="G3279" i="2"/>
  <c r="E3279" i="2"/>
  <c r="F3279" i="2"/>
  <c r="H3279" i="2"/>
  <c r="L3279" i="2" l="1"/>
  <c r="J3279" i="2"/>
  <c r="K3279" i="2" s="1"/>
  <c r="D3279" i="2"/>
  <c r="C3280" i="2"/>
  <c r="A3280" i="2" l="1"/>
  <c r="B3280" i="2"/>
  <c r="I3280" i="2"/>
  <c r="E3280" i="2"/>
  <c r="F3280" i="2"/>
  <c r="H3280" i="2"/>
  <c r="M3280" i="2"/>
  <c r="G3280" i="2"/>
  <c r="L3280" i="2" l="1"/>
  <c r="D3280" i="2"/>
  <c r="J3280" i="2"/>
  <c r="K3280" i="2" s="1"/>
  <c r="C3281" i="2"/>
  <c r="B3281" i="2" l="1"/>
  <c r="A3281" i="2"/>
  <c r="M3281" i="2"/>
  <c r="I3281" i="2"/>
  <c r="E3281" i="2"/>
  <c r="F3281" i="2"/>
  <c r="G3281" i="2"/>
  <c r="H3281" i="2"/>
  <c r="C3282" i="2"/>
  <c r="L3281" i="2" l="1"/>
  <c r="D3281" i="2"/>
  <c r="J3281" i="2"/>
  <c r="K3281" i="2" s="1"/>
  <c r="A3282" i="2"/>
  <c r="B3282" i="2"/>
  <c r="M3282" i="2"/>
  <c r="H3282" i="2"/>
  <c r="I3282" i="2"/>
  <c r="G3282" i="2"/>
  <c r="F3282" i="2"/>
  <c r="E3282" i="2"/>
  <c r="C3283" i="2"/>
  <c r="L3282" i="2" l="1"/>
  <c r="J3282" i="2"/>
  <c r="K3282" i="2" s="1"/>
  <c r="D3282" i="2"/>
  <c r="A3283" i="2"/>
  <c r="B3283" i="2"/>
  <c r="E3283" i="2"/>
  <c r="G3283" i="2"/>
  <c r="M3283" i="2"/>
  <c r="I3283" i="2"/>
  <c r="H3283" i="2"/>
  <c r="F3283" i="2"/>
  <c r="L3283" i="2" l="1"/>
  <c r="J3283" i="2"/>
  <c r="K3283" i="2" s="1"/>
  <c r="D3283" i="2"/>
  <c r="C3284" i="2"/>
  <c r="A3284" i="2" l="1"/>
  <c r="B3284" i="2"/>
  <c r="E3284" i="2"/>
  <c r="I3284" i="2"/>
  <c r="H3284" i="2"/>
  <c r="M3284" i="2"/>
  <c r="G3284" i="2"/>
  <c r="F3284" i="2"/>
  <c r="L3284" i="2" l="1"/>
  <c r="D3284" i="2"/>
  <c r="J3284" i="2"/>
  <c r="K3284" i="2" s="1"/>
  <c r="C3285" i="2"/>
  <c r="A3285" i="2" l="1"/>
  <c r="B3285" i="2"/>
  <c r="I3285" i="2"/>
  <c r="F3285" i="2"/>
  <c r="H3285" i="2"/>
  <c r="G3285" i="2"/>
  <c r="E3285" i="2"/>
  <c r="M3285" i="2"/>
  <c r="L3285" i="2" l="1"/>
  <c r="D3285" i="2"/>
  <c r="J3285" i="2"/>
  <c r="K3285" i="2" s="1"/>
  <c r="C3286" i="2"/>
  <c r="B3286" i="2" l="1"/>
  <c r="A3286" i="2"/>
  <c r="F3286" i="2"/>
  <c r="M3286" i="2"/>
  <c r="I3286" i="2"/>
  <c r="E3286" i="2"/>
  <c r="H3286" i="2"/>
  <c r="G3286" i="2"/>
  <c r="C3287" i="2"/>
  <c r="L3286" i="2" l="1"/>
  <c r="J3286" i="2"/>
  <c r="K3286" i="2" s="1"/>
  <c r="D3286" i="2"/>
  <c r="A3287" i="2"/>
  <c r="B3287" i="2"/>
  <c r="M3287" i="2"/>
  <c r="F3287" i="2"/>
  <c r="H3287" i="2"/>
  <c r="I3287" i="2"/>
  <c r="E3287" i="2"/>
  <c r="G3287" i="2"/>
  <c r="L3287" i="2" l="1"/>
  <c r="J3287" i="2"/>
  <c r="K3287" i="2" s="1"/>
  <c r="D3287" i="2"/>
  <c r="C3288" i="2"/>
  <c r="B3288" i="2" l="1"/>
  <c r="A3288" i="2"/>
  <c r="I3288" i="2"/>
  <c r="F3288" i="2"/>
  <c r="E3288" i="2"/>
  <c r="M3288" i="2"/>
  <c r="G3288" i="2"/>
  <c r="H3288" i="2"/>
  <c r="C3289" i="2"/>
  <c r="L3288" i="2" l="1"/>
  <c r="D3288" i="2"/>
  <c r="J3288" i="2"/>
  <c r="K3288" i="2" s="1"/>
  <c r="B3289" i="2"/>
  <c r="A3289" i="2"/>
  <c r="G3289" i="2"/>
  <c r="M3289" i="2"/>
  <c r="H3289" i="2"/>
  <c r="I3289" i="2"/>
  <c r="F3289" i="2"/>
  <c r="E3289" i="2"/>
  <c r="L3289" i="2" l="1"/>
  <c r="D3289" i="2"/>
  <c r="J3289" i="2"/>
  <c r="K3289" i="2" s="1"/>
  <c r="C3290" i="2"/>
  <c r="B3290" i="2" l="1"/>
  <c r="A3290" i="2"/>
  <c r="M3290" i="2"/>
  <c r="E3290" i="2"/>
  <c r="F3290" i="2"/>
  <c r="H3290" i="2"/>
  <c r="G3290" i="2"/>
  <c r="I3290" i="2"/>
  <c r="C3291" i="2"/>
  <c r="L3290" i="2" l="1"/>
  <c r="J3290" i="2"/>
  <c r="K3290" i="2" s="1"/>
  <c r="D3290" i="2"/>
  <c r="A3291" i="2"/>
  <c r="B3291" i="2"/>
  <c r="G3291" i="2"/>
  <c r="F3291" i="2"/>
  <c r="M3291" i="2"/>
  <c r="I3291" i="2"/>
  <c r="H3291" i="2"/>
  <c r="E3291" i="2"/>
  <c r="L3291" i="2" l="1"/>
  <c r="D3291" i="2"/>
  <c r="J3291" i="2"/>
  <c r="K3291" i="2" s="1"/>
  <c r="C3292" i="2"/>
  <c r="A3292" i="2" l="1"/>
  <c r="B3292" i="2"/>
  <c r="M3292" i="2"/>
  <c r="F3292" i="2"/>
  <c r="H3292" i="2"/>
  <c r="I3292" i="2"/>
  <c r="E3292" i="2"/>
  <c r="G3292" i="2"/>
  <c r="L3292" i="2" l="1"/>
  <c r="D3292" i="2"/>
  <c r="J3292" i="2"/>
  <c r="K3292" i="2" s="1"/>
  <c r="C3293" i="2"/>
  <c r="A3293" i="2" l="1"/>
  <c r="B3293" i="2"/>
  <c r="H3293" i="2"/>
  <c r="G3293" i="2"/>
  <c r="E3293" i="2"/>
  <c r="I3293" i="2"/>
  <c r="M3293" i="2"/>
  <c r="F3293" i="2"/>
  <c r="L3293" i="2" l="1"/>
  <c r="J3293" i="2"/>
  <c r="K3293" i="2" s="1"/>
  <c r="D3293" i="2"/>
  <c r="C3294" i="2"/>
  <c r="A3294" i="2" l="1"/>
  <c r="B3294" i="2"/>
  <c r="M3294" i="2"/>
  <c r="G3294" i="2"/>
  <c r="I3294" i="2"/>
  <c r="H3294" i="2"/>
  <c r="E3294" i="2"/>
  <c r="F3294" i="2"/>
  <c r="L3294" i="2" l="1"/>
  <c r="J3294" i="2"/>
  <c r="K3294" i="2" s="1"/>
  <c r="D3294" i="2"/>
  <c r="C3295" i="2"/>
  <c r="A3295" i="2" l="1"/>
  <c r="B3295" i="2"/>
  <c r="E3295" i="2"/>
  <c r="G3295" i="2"/>
  <c r="I3295" i="2"/>
  <c r="H3295" i="2"/>
  <c r="F3295" i="2"/>
  <c r="M3295" i="2"/>
  <c r="L3295" i="2" l="1"/>
  <c r="J3295" i="2"/>
  <c r="K3295" i="2" s="1"/>
  <c r="D3295" i="2"/>
  <c r="C3296" i="2"/>
  <c r="B3296" i="2" l="1"/>
  <c r="A3296" i="2"/>
  <c r="G3296" i="2"/>
  <c r="E3296" i="2"/>
  <c r="I3296" i="2"/>
  <c r="M3296" i="2"/>
  <c r="F3296" i="2"/>
  <c r="H3296" i="2"/>
  <c r="C3297" i="2"/>
  <c r="L3296" i="2" l="1"/>
  <c r="D3296" i="2"/>
  <c r="J3296" i="2"/>
  <c r="K3296" i="2" s="1"/>
  <c r="B3297" i="2"/>
  <c r="A3297" i="2"/>
  <c r="F3297" i="2"/>
  <c r="E3297" i="2"/>
  <c r="H3297" i="2"/>
  <c r="M3297" i="2"/>
  <c r="G3297" i="2"/>
  <c r="I3297" i="2"/>
  <c r="L3297" i="2" l="1"/>
  <c r="D3297" i="2"/>
  <c r="J3297" i="2"/>
  <c r="K3297" i="2" s="1"/>
  <c r="C3298" i="2"/>
  <c r="B3298" i="2" l="1"/>
  <c r="A3298" i="2"/>
  <c r="F3298" i="2"/>
  <c r="M3298" i="2"/>
  <c r="E3298" i="2"/>
  <c r="I3298" i="2"/>
  <c r="H3298" i="2"/>
  <c r="G3298" i="2"/>
  <c r="L3298" i="2" l="1"/>
  <c r="J3298" i="2"/>
  <c r="K3298" i="2" s="1"/>
  <c r="D3298" i="2"/>
  <c r="C3299" i="2"/>
  <c r="A3299" i="2" l="1"/>
  <c r="B3299" i="2"/>
  <c r="H3299" i="2"/>
  <c r="G3299" i="2"/>
  <c r="M3299" i="2"/>
  <c r="I3299" i="2"/>
  <c r="E3299" i="2"/>
  <c r="F3299" i="2"/>
  <c r="L3299" i="2" l="1"/>
  <c r="J3299" i="2"/>
  <c r="K3299" i="2" s="1"/>
  <c r="D3299" i="2"/>
  <c r="C3300" i="2"/>
  <c r="B3300" i="2" l="1"/>
  <c r="A3300" i="2"/>
  <c r="I3300" i="2"/>
  <c r="F3300" i="2"/>
  <c r="E3300" i="2"/>
  <c r="H3300" i="2"/>
  <c r="G3300" i="2"/>
  <c r="M3300" i="2"/>
  <c r="C3301" i="2"/>
  <c r="L3300" i="2" l="1"/>
  <c r="D3300" i="2"/>
  <c r="J3300" i="2"/>
  <c r="K3300" i="2" s="1"/>
  <c r="B3301" i="2"/>
  <c r="A3301" i="2"/>
  <c r="H3301" i="2"/>
  <c r="I3301" i="2"/>
  <c r="M3301" i="2"/>
  <c r="F3301" i="2"/>
  <c r="E3301" i="2"/>
  <c r="G3301" i="2"/>
  <c r="C3302" i="2"/>
  <c r="L3301" i="2" l="1"/>
  <c r="D3301" i="2"/>
  <c r="J3301" i="2"/>
  <c r="K3301" i="2" s="1"/>
  <c r="A3302" i="2"/>
  <c r="B3302" i="2"/>
  <c r="M3302" i="2"/>
  <c r="I3302" i="2"/>
  <c r="E3302" i="2"/>
  <c r="F3302" i="2"/>
  <c r="G3302" i="2"/>
  <c r="H3302" i="2"/>
  <c r="L3302" i="2" l="1"/>
  <c r="J3302" i="2"/>
  <c r="K3302" i="2" s="1"/>
  <c r="D3302" i="2"/>
  <c r="C3303" i="2"/>
  <c r="A3303" i="2" l="1"/>
  <c r="B3303" i="2"/>
  <c r="H3303" i="2"/>
  <c r="E3303" i="2"/>
  <c r="F3303" i="2"/>
  <c r="I3303" i="2"/>
  <c r="M3303" i="2"/>
  <c r="G3303" i="2"/>
  <c r="C3304" i="2"/>
  <c r="L3303" i="2" l="1"/>
  <c r="J3303" i="2"/>
  <c r="K3303" i="2" s="1"/>
  <c r="D3303" i="2"/>
  <c r="B3304" i="2"/>
  <c r="A3304" i="2"/>
  <c r="E3304" i="2"/>
  <c r="M3304" i="2"/>
  <c r="H3304" i="2"/>
  <c r="G3304" i="2"/>
  <c r="F3304" i="2"/>
  <c r="I3304" i="2"/>
  <c r="C3305" i="2"/>
  <c r="L3304" i="2" l="1"/>
  <c r="D3304" i="2"/>
  <c r="J3304" i="2"/>
  <c r="K3304" i="2" s="1"/>
  <c r="B3305" i="2"/>
  <c r="A3305" i="2"/>
  <c r="E3305" i="2"/>
  <c r="H3305" i="2"/>
  <c r="F3305" i="2"/>
  <c r="M3305" i="2"/>
  <c r="G3305" i="2"/>
  <c r="I3305" i="2"/>
  <c r="L3305" i="2" l="1"/>
  <c r="J3305" i="2"/>
  <c r="K3305" i="2" s="1"/>
  <c r="D3305" i="2"/>
  <c r="C3306" i="2"/>
  <c r="A3306" i="2" l="1"/>
  <c r="B3306" i="2"/>
  <c r="F3306" i="2"/>
  <c r="G3306" i="2"/>
  <c r="H3306" i="2"/>
  <c r="E3306" i="2"/>
  <c r="M3306" i="2"/>
  <c r="I3306" i="2"/>
  <c r="C3307" i="2"/>
  <c r="L3306" i="2" l="1"/>
  <c r="J3306" i="2"/>
  <c r="K3306" i="2" s="1"/>
  <c r="D3306" i="2"/>
  <c r="A3307" i="2"/>
  <c r="B3307" i="2"/>
  <c r="I3307" i="2"/>
  <c r="E3307" i="2"/>
  <c r="M3307" i="2"/>
  <c r="H3307" i="2"/>
  <c r="G3307" i="2"/>
  <c r="F3307" i="2"/>
  <c r="L3307" i="2" l="1"/>
  <c r="D3307" i="2"/>
  <c r="J3307" i="2"/>
  <c r="K3307" i="2" s="1"/>
  <c r="C3308" i="2"/>
  <c r="B3308" i="2" l="1"/>
  <c r="A3308" i="2"/>
  <c r="F3308" i="2"/>
  <c r="M3308" i="2"/>
  <c r="G3308" i="2"/>
  <c r="E3308" i="2"/>
  <c r="H3308" i="2"/>
  <c r="I3308" i="2"/>
  <c r="C3309" i="2"/>
  <c r="L3308" i="2" l="1"/>
  <c r="D3308" i="2"/>
  <c r="J3308" i="2"/>
  <c r="K3308" i="2" s="1"/>
  <c r="B3309" i="2"/>
  <c r="A3309" i="2"/>
  <c r="H3309" i="2"/>
  <c r="E3309" i="2"/>
  <c r="G3309" i="2"/>
  <c r="I3309" i="2"/>
  <c r="M3309" i="2"/>
  <c r="F3309" i="2"/>
  <c r="C3310" i="2"/>
  <c r="L3309" i="2" l="1"/>
  <c r="D3309" i="2"/>
  <c r="J3309" i="2"/>
  <c r="K3309" i="2" s="1"/>
  <c r="A3310" i="2"/>
  <c r="B3310" i="2"/>
  <c r="E3310" i="2"/>
  <c r="H3310" i="2"/>
  <c r="M3310" i="2"/>
  <c r="I3310" i="2"/>
  <c r="F3310" i="2"/>
  <c r="G3310" i="2"/>
  <c r="L3310" i="2" l="1"/>
  <c r="J3310" i="2"/>
  <c r="K3310" i="2" s="1"/>
  <c r="D3310" i="2"/>
  <c r="C3311" i="2"/>
  <c r="B3311" i="2" l="1"/>
  <c r="A3311" i="2"/>
  <c r="M3311" i="2"/>
  <c r="G3311" i="2"/>
  <c r="I3311" i="2"/>
  <c r="H3311" i="2"/>
  <c r="F3311" i="2"/>
  <c r="E3311" i="2"/>
  <c r="C3312" i="2"/>
  <c r="L3311" i="2" l="1"/>
  <c r="J3311" i="2"/>
  <c r="K3311" i="2" s="1"/>
  <c r="D3311" i="2"/>
  <c r="B3312" i="2"/>
  <c r="A3312" i="2"/>
  <c r="E3312" i="2"/>
  <c r="I3312" i="2"/>
  <c r="G3312" i="2"/>
  <c r="M3312" i="2"/>
  <c r="F3312" i="2"/>
  <c r="H3312" i="2"/>
  <c r="C3313" i="2"/>
  <c r="L3312" i="2" l="1"/>
  <c r="D3312" i="2"/>
  <c r="J3312" i="2"/>
  <c r="K3312" i="2" s="1"/>
  <c r="B3313" i="2"/>
  <c r="A3313" i="2"/>
  <c r="H3313" i="2"/>
  <c r="E3313" i="2"/>
  <c r="F3313" i="2"/>
  <c r="M3313" i="2"/>
  <c r="G3313" i="2"/>
  <c r="I3313" i="2"/>
  <c r="C3314" i="2"/>
  <c r="L3313" i="2" l="1"/>
  <c r="J3313" i="2"/>
  <c r="K3313" i="2" s="1"/>
  <c r="D3313" i="2"/>
  <c r="A3314" i="2"/>
  <c r="B3314" i="2"/>
  <c r="G3314" i="2"/>
  <c r="I3314" i="2"/>
  <c r="M3314" i="2"/>
  <c r="F3314" i="2"/>
  <c r="E3314" i="2"/>
  <c r="H3314" i="2"/>
  <c r="C3315" i="2"/>
  <c r="L3314" i="2" l="1"/>
  <c r="J3314" i="2"/>
  <c r="K3314" i="2" s="1"/>
  <c r="D3314" i="2"/>
  <c r="A3315" i="2"/>
  <c r="B3315" i="2"/>
  <c r="M3315" i="2"/>
  <c r="E3315" i="2"/>
  <c r="I3315" i="2"/>
  <c r="G3315" i="2"/>
  <c r="F3315" i="2"/>
  <c r="H3315" i="2"/>
  <c r="L3315" i="2" l="1"/>
  <c r="J3315" i="2"/>
  <c r="K3315" i="2" s="1"/>
  <c r="D3315" i="2"/>
  <c r="C3316" i="2"/>
  <c r="B3316" i="2" l="1"/>
  <c r="A3316" i="2"/>
  <c r="M3316" i="2"/>
  <c r="I3316" i="2"/>
  <c r="G3316" i="2"/>
  <c r="F3316" i="2"/>
  <c r="H3316" i="2"/>
  <c r="E3316" i="2"/>
  <c r="C3317" i="2"/>
  <c r="L3316" i="2" l="1"/>
  <c r="D3316" i="2"/>
  <c r="J3316" i="2"/>
  <c r="K3316" i="2" s="1"/>
  <c r="B3317" i="2"/>
  <c r="A3317" i="2"/>
  <c r="M3317" i="2"/>
  <c r="I3317" i="2"/>
  <c r="E3317" i="2"/>
  <c r="H3317" i="2"/>
  <c r="G3317" i="2"/>
  <c r="F3317" i="2"/>
  <c r="C3318" i="2"/>
  <c r="L3317" i="2" l="1"/>
  <c r="D3317" i="2"/>
  <c r="J3317" i="2"/>
  <c r="K3317" i="2" s="1"/>
  <c r="A3318" i="2"/>
  <c r="B3318" i="2"/>
  <c r="F3318" i="2"/>
  <c r="M3318" i="2"/>
  <c r="I3318" i="2"/>
  <c r="E3318" i="2"/>
  <c r="H3318" i="2"/>
  <c r="G3318" i="2"/>
  <c r="L3318" i="2" l="1"/>
  <c r="D3318" i="2"/>
  <c r="J3318" i="2"/>
  <c r="K3318" i="2" s="1"/>
  <c r="C3319" i="2"/>
  <c r="B3319" i="2" l="1"/>
  <c r="A3319" i="2"/>
  <c r="E3319" i="2"/>
  <c r="G3319" i="2"/>
  <c r="M3319" i="2"/>
  <c r="F3319" i="2"/>
  <c r="I3319" i="2"/>
  <c r="H3319" i="2"/>
  <c r="C3320" i="2"/>
  <c r="L3319" i="2" l="1"/>
  <c r="J3319" i="2"/>
  <c r="K3319" i="2" s="1"/>
  <c r="D3319" i="2"/>
  <c r="A3320" i="2"/>
  <c r="B3320" i="2"/>
  <c r="G3320" i="2"/>
  <c r="F3320" i="2"/>
  <c r="I3320" i="2"/>
  <c r="M3320" i="2"/>
  <c r="H3320" i="2"/>
  <c r="E3320" i="2"/>
  <c r="C3321" i="2"/>
  <c r="L3320" i="2" l="1"/>
  <c r="D3320" i="2"/>
  <c r="J3320" i="2"/>
  <c r="K3320" i="2" s="1"/>
  <c r="B3321" i="2"/>
  <c r="A3321" i="2"/>
  <c r="E3321" i="2"/>
  <c r="F3321" i="2"/>
  <c r="M3321" i="2"/>
  <c r="G3321" i="2"/>
  <c r="I3321" i="2"/>
  <c r="H3321" i="2"/>
  <c r="L3321" i="2" l="1"/>
  <c r="J3321" i="2"/>
  <c r="K3321" i="2" s="1"/>
  <c r="D3321" i="2"/>
  <c r="C3322" i="2"/>
  <c r="A3322" i="2" l="1"/>
  <c r="B3322" i="2"/>
  <c r="E3322" i="2"/>
  <c r="H3322" i="2"/>
  <c r="I3322" i="2"/>
  <c r="F3322" i="2"/>
  <c r="G3322" i="2"/>
  <c r="M3322" i="2"/>
  <c r="L3322" i="2" l="1"/>
  <c r="J3322" i="2"/>
  <c r="K3322" i="2" s="1"/>
  <c r="D3322" i="2"/>
  <c r="C3323" i="2"/>
  <c r="A3323" i="2" l="1"/>
  <c r="B3323" i="2"/>
  <c r="H3323" i="2"/>
  <c r="F3323" i="2"/>
  <c r="E3323" i="2"/>
  <c r="G3323" i="2"/>
  <c r="M3323" i="2"/>
  <c r="I3323" i="2"/>
  <c r="L3323" i="2" l="1"/>
  <c r="J3323" i="2"/>
  <c r="K3323" i="2" s="1"/>
  <c r="D3323" i="2"/>
  <c r="C3324" i="2"/>
  <c r="B3324" i="2" l="1"/>
  <c r="A3324" i="2"/>
  <c r="I3324" i="2"/>
  <c r="F3324" i="2"/>
  <c r="G3324" i="2"/>
  <c r="E3324" i="2"/>
  <c r="M3324" i="2"/>
  <c r="H3324" i="2"/>
  <c r="C3325" i="2"/>
  <c r="L3324" i="2" l="1"/>
  <c r="D3324" i="2"/>
  <c r="J3324" i="2"/>
  <c r="K3324" i="2" s="1"/>
  <c r="B3325" i="2"/>
  <c r="A3325" i="2"/>
  <c r="M3325" i="2"/>
  <c r="G3325" i="2"/>
  <c r="H3325" i="2"/>
  <c r="I3325" i="2"/>
  <c r="E3325" i="2"/>
  <c r="F3325" i="2"/>
  <c r="C3326" i="2"/>
  <c r="L3325" i="2" l="1"/>
  <c r="D3325" i="2"/>
  <c r="J3325" i="2"/>
  <c r="K3325" i="2" s="1"/>
  <c r="A3326" i="2"/>
  <c r="B3326" i="2"/>
  <c r="E3326" i="2"/>
  <c r="I3326" i="2"/>
  <c r="G3326" i="2"/>
  <c r="H3326" i="2"/>
  <c r="M3326" i="2"/>
  <c r="F3326" i="2"/>
  <c r="L3326" i="2" l="1"/>
  <c r="J3326" i="2"/>
  <c r="K3326" i="2" s="1"/>
  <c r="D3326" i="2"/>
  <c r="C3327" i="2"/>
  <c r="B3327" i="2" l="1"/>
  <c r="A3327" i="2"/>
  <c r="M3327" i="2"/>
  <c r="I3327" i="2"/>
  <c r="G3327" i="2"/>
  <c r="H3327" i="2"/>
  <c r="E3327" i="2"/>
  <c r="F3327" i="2"/>
  <c r="L3327" i="2" l="1"/>
  <c r="J3327" i="2"/>
  <c r="K3327" i="2" s="1"/>
  <c r="D3327" i="2"/>
  <c r="C3328" i="2"/>
  <c r="B3328" i="2" l="1"/>
  <c r="A3328" i="2"/>
  <c r="G3328" i="2"/>
  <c r="I3328" i="2"/>
  <c r="F3328" i="2"/>
  <c r="M3328" i="2"/>
  <c r="H3328" i="2"/>
  <c r="E3328" i="2"/>
  <c r="C3329" i="2"/>
  <c r="L3328" i="2" l="1"/>
  <c r="D3328" i="2"/>
  <c r="J3328" i="2"/>
  <c r="K3328" i="2" s="1"/>
  <c r="B3329" i="2"/>
  <c r="A3329" i="2"/>
  <c r="H3329" i="2"/>
  <c r="F3329" i="2"/>
  <c r="I3329" i="2"/>
  <c r="E3329" i="2"/>
  <c r="M3329" i="2"/>
  <c r="G3329" i="2"/>
  <c r="C3330" i="2"/>
  <c r="L3329" i="2" l="1"/>
  <c r="J3329" i="2"/>
  <c r="K3329" i="2" s="1"/>
  <c r="D3329" i="2"/>
  <c r="A3330" i="2"/>
  <c r="B3330" i="2"/>
  <c r="G3330" i="2"/>
  <c r="H3330" i="2"/>
  <c r="I3330" i="2"/>
  <c r="E3330" i="2"/>
  <c r="F3330" i="2"/>
  <c r="M3330" i="2"/>
  <c r="L3330" i="2" l="1"/>
  <c r="J3330" i="2"/>
  <c r="K3330" i="2" s="1"/>
  <c r="D3330" i="2"/>
  <c r="C3331" i="2"/>
  <c r="A3331" i="2" l="1"/>
  <c r="B3331" i="2"/>
  <c r="E3331" i="2"/>
  <c r="G3331" i="2"/>
  <c r="H3331" i="2"/>
  <c r="I3331" i="2"/>
  <c r="F3331" i="2"/>
  <c r="M3331" i="2"/>
  <c r="L3331" i="2" l="1"/>
  <c r="J3331" i="2"/>
  <c r="K3331" i="2" s="1"/>
  <c r="D3331" i="2"/>
  <c r="C3332" i="2"/>
  <c r="B3332" i="2" l="1"/>
  <c r="A3332" i="2"/>
  <c r="F3332" i="2"/>
  <c r="E3332" i="2"/>
  <c r="M3332" i="2"/>
  <c r="H3332" i="2"/>
  <c r="G3332" i="2"/>
  <c r="I3332" i="2"/>
  <c r="C3333" i="2"/>
  <c r="L3332" i="2" l="1"/>
  <c r="D3332" i="2"/>
  <c r="J3332" i="2"/>
  <c r="K3332" i="2" s="1"/>
  <c r="B3333" i="2"/>
  <c r="A3333" i="2"/>
  <c r="I3333" i="2"/>
  <c r="M3333" i="2"/>
  <c r="F3333" i="2"/>
  <c r="H3333" i="2"/>
  <c r="E3333" i="2"/>
  <c r="G3333" i="2"/>
  <c r="C3334" i="2"/>
  <c r="L3333" i="2" l="1"/>
  <c r="J3333" i="2"/>
  <c r="K3333" i="2" s="1"/>
  <c r="D3333" i="2"/>
  <c r="A3334" i="2"/>
  <c r="B3334" i="2"/>
  <c r="H3334" i="2"/>
  <c r="M3334" i="2"/>
  <c r="F3334" i="2"/>
  <c r="E3334" i="2"/>
  <c r="I3334" i="2"/>
  <c r="G3334" i="2"/>
  <c r="C3335" i="2"/>
  <c r="L3334" i="2" l="1"/>
  <c r="J3334" i="2"/>
  <c r="K3334" i="2" s="1"/>
  <c r="D3334" i="2"/>
  <c r="A3335" i="2"/>
  <c r="B3335" i="2"/>
  <c r="E3335" i="2"/>
  <c r="M3335" i="2"/>
  <c r="I3335" i="2"/>
  <c r="F3335" i="2"/>
  <c r="G3335" i="2"/>
  <c r="H3335" i="2"/>
  <c r="L3335" i="2" l="1"/>
  <c r="J3335" i="2"/>
  <c r="K3335" i="2" s="1"/>
  <c r="D3335" i="2"/>
  <c r="C3336" i="2"/>
  <c r="A3336" i="2" l="1"/>
  <c r="B3336" i="2"/>
  <c r="M3336" i="2"/>
  <c r="G3336" i="2"/>
  <c r="H3336" i="2"/>
  <c r="I3336" i="2"/>
  <c r="E3336" i="2"/>
  <c r="F3336" i="2"/>
  <c r="C3337" i="2"/>
  <c r="L3336" i="2" l="1"/>
  <c r="D3336" i="2"/>
  <c r="J3336" i="2"/>
  <c r="K3336" i="2" s="1"/>
  <c r="B3337" i="2"/>
  <c r="A3337" i="2"/>
  <c r="M3337" i="2"/>
  <c r="E3337" i="2"/>
  <c r="G3337" i="2"/>
  <c r="H3337" i="2"/>
  <c r="F3337" i="2"/>
  <c r="I3337" i="2"/>
  <c r="L3337" i="2" l="1"/>
  <c r="J3337" i="2"/>
  <c r="K3337" i="2" s="1"/>
  <c r="D3337" i="2"/>
  <c r="C3338" i="2"/>
  <c r="A3338" i="2" l="1"/>
  <c r="B3338" i="2"/>
  <c r="E3338" i="2"/>
  <c r="G3338" i="2"/>
  <c r="F3338" i="2"/>
  <c r="M3338" i="2"/>
  <c r="H3338" i="2"/>
  <c r="I3338" i="2"/>
  <c r="L3338" i="2" l="1"/>
  <c r="J3338" i="2"/>
  <c r="K3338" i="2" s="1"/>
  <c r="D3338" i="2"/>
  <c r="C3339" i="2"/>
  <c r="A3339" i="2" l="1"/>
  <c r="B3339" i="2"/>
  <c r="E3339" i="2"/>
  <c r="F3339" i="2"/>
  <c r="G3339" i="2"/>
  <c r="I3339" i="2"/>
  <c r="H3339" i="2"/>
  <c r="M3339" i="2"/>
  <c r="L3339" i="2" l="1"/>
  <c r="J3339" i="2"/>
  <c r="K3339" i="2" s="1"/>
  <c r="D3339" i="2"/>
  <c r="C3340" i="2"/>
  <c r="B3340" i="2" l="1"/>
  <c r="A3340" i="2"/>
  <c r="E3340" i="2"/>
  <c r="H3340" i="2"/>
  <c r="I3340" i="2"/>
  <c r="M3340" i="2"/>
  <c r="G3340" i="2"/>
  <c r="F3340" i="2"/>
  <c r="C3341" i="2"/>
  <c r="L3340" i="2" l="1"/>
  <c r="D3340" i="2"/>
  <c r="J3340" i="2"/>
  <c r="K3340" i="2" s="1"/>
  <c r="B3341" i="2"/>
  <c r="A3341" i="2"/>
  <c r="G3341" i="2"/>
  <c r="I3341" i="2"/>
  <c r="F3341" i="2"/>
  <c r="M3341" i="2"/>
  <c r="E3341" i="2"/>
  <c r="H3341" i="2"/>
  <c r="L3341" i="2" l="1"/>
  <c r="J3341" i="2"/>
  <c r="K3341" i="2" s="1"/>
  <c r="D3341" i="2"/>
  <c r="C3342" i="2"/>
  <c r="B3342" i="2" l="1"/>
  <c r="A3342" i="2"/>
  <c r="I3342" i="2"/>
  <c r="M3342" i="2"/>
  <c r="F3342" i="2"/>
  <c r="G3342" i="2"/>
  <c r="C3343" i="2"/>
  <c r="H3342" i="2"/>
  <c r="E3342" i="2"/>
  <c r="L3342" i="2" l="1"/>
  <c r="J3342" i="2"/>
  <c r="K3342" i="2" s="1"/>
  <c r="D3342" i="2"/>
  <c r="A3343" i="2"/>
  <c r="B3343" i="2"/>
  <c r="H3343" i="2"/>
  <c r="I3343" i="2"/>
  <c r="G3343" i="2"/>
  <c r="M3343" i="2"/>
  <c r="F3343" i="2"/>
  <c r="E3343" i="2"/>
  <c r="C3344" i="2"/>
  <c r="L3343" i="2" l="1"/>
  <c r="D3343" i="2"/>
  <c r="J3343" i="2"/>
  <c r="K3343" i="2" s="1"/>
  <c r="B3344" i="2"/>
  <c r="A3344" i="2"/>
  <c r="E3344" i="2"/>
  <c r="G3344" i="2"/>
  <c r="I3344" i="2"/>
  <c r="H3344" i="2"/>
  <c r="M3344" i="2"/>
  <c r="F3344" i="2"/>
  <c r="C3345" i="2"/>
  <c r="L3344" i="2" l="1"/>
  <c r="D3344" i="2"/>
  <c r="J3344" i="2"/>
  <c r="K3344" i="2" s="1"/>
  <c r="B3345" i="2"/>
  <c r="A3345" i="2"/>
  <c r="G3345" i="2"/>
  <c r="F3345" i="2"/>
  <c r="H3345" i="2"/>
  <c r="I3345" i="2"/>
  <c r="E3345" i="2"/>
  <c r="M3345" i="2"/>
  <c r="C3346" i="2"/>
  <c r="L3345" i="2" l="1"/>
  <c r="J3345" i="2"/>
  <c r="K3345" i="2" s="1"/>
  <c r="D3345" i="2"/>
  <c r="A3346" i="2"/>
  <c r="B3346" i="2"/>
  <c r="I3346" i="2"/>
  <c r="E3346" i="2"/>
  <c r="G3346" i="2"/>
  <c r="H3346" i="2"/>
  <c r="F3346" i="2"/>
  <c r="M3346" i="2"/>
  <c r="L3346" i="2" l="1"/>
  <c r="D3346" i="2"/>
  <c r="J3346" i="2"/>
  <c r="K3346" i="2" s="1"/>
  <c r="C3347" i="2"/>
  <c r="A3347" i="2" l="1"/>
  <c r="B3347" i="2"/>
  <c r="F3347" i="2"/>
  <c r="G3347" i="2"/>
  <c r="H3347" i="2"/>
  <c r="M3347" i="2"/>
  <c r="I3347" i="2"/>
  <c r="E3347" i="2"/>
  <c r="C3348" i="2"/>
  <c r="L3347" i="2" l="1"/>
  <c r="J3347" i="2"/>
  <c r="K3347" i="2" s="1"/>
  <c r="D3347" i="2"/>
  <c r="A3348" i="2"/>
  <c r="B3348" i="2"/>
  <c r="I3348" i="2"/>
  <c r="E3348" i="2"/>
  <c r="F3348" i="2"/>
  <c r="M3348" i="2"/>
  <c r="H3348" i="2"/>
  <c r="G3348" i="2"/>
  <c r="C3349" i="2"/>
  <c r="L3348" i="2" l="1"/>
  <c r="D3348" i="2"/>
  <c r="J3348" i="2"/>
  <c r="K3348" i="2" s="1"/>
  <c r="B3349" i="2"/>
  <c r="A3349" i="2"/>
  <c r="I3349" i="2"/>
  <c r="H3349" i="2"/>
  <c r="E3349" i="2"/>
  <c r="G3349" i="2"/>
  <c r="F3349" i="2"/>
  <c r="M3349" i="2"/>
  <c r="C3350" i="2"/>
  <c r="L3349" i="2" l="1"/>
  <c r="J3349" i="2"/>
  <c r="K3349" i="2" s="1"/>
  <c r="D3349" i="2"/>
  <c r="A3350" i="2"/>
  <c r="B3350" i="2"/>
  <c r="F3350" i="2"/>
  <c r="M3350" i="2"/>
  <c r="E3350" i="2"/>
  <c r="H3350" i="2"/>
  <c r="I3350" i="2"/>
  <c r="G3350" i="2"/>
  <c r="C3351" i="2"/>
  <c r="L3350" i="2" l="1"/>
  <c r="J3350" i="2"/>
  <c r="K3350" i="2" s="1"/>
  <c r="D3350" i="2"/>
  <c r="A3351" i="2"/>
  <c r="B3351" i="2"/>
  <c r="F3351" i="2"/>
  <c r="M3351" i="2"/>
  <c r="I3351" i="2"/>
  <c r="H3351" i="2"/>
  <c r="E3351" i="2"/>
  <c r="G3351" i="2"/>
  <c r="L3351" i="2" l="1"/>
  <c r="J3351" i="2"/>
  <c r="K3351" i="2" s="1"/>
  <c r="D3351" i="2"/>
  <c r="C3352" i="2"/>
  <c r="B3352" i="2" l="1"/>
  <c r="A3352" i="2"/>
  <c r="M3352" i="2"/>
  <c r="F3352" i="2"/>
  <c r="I3352" i="2"/>
  <c r="G3352" i="2"/>
  <c r="H3352" i="2"/>
  <c r="E3352" i="2"/>
  <c r="C3353" i="2"/>
  <c r="L3352" i="2" l="1"/>
  <c r="D3352" i="2"/>
  <c r="J3352" i="2"/>
  <c r="K3352" i="2" s="1"/>
  <c r="B3353" i="2"/>
  <c r="A3353" i="2"/>
  <c r="M3353" i="2"/>
  <c r="I3353" i="2"/>
  <c r="G3353" i="2"/>
  <c r="F3353" i="2"/>
  <c r="E3353" i="2"/>
  <c r="H3353" i="2"/>
  <c r="C3354" i="2"/>
  <c r="L3353" i="2" l="1"/>
  <c r="J3353" i="2"/>
  <c r="K3353" i="2" s="1"/>
  <c r="D3353" i="2"/>
  <c r="A3354" i="2"/>
  <c r="B3354" i="2"/>
  <c r="F3354" i="2"/>
  <c r="E3354" i="2"/>
  <c r="I3354" i="2"/>
  <c r="G3354" i="2"/>
  <c r="M3354" i="2"/>
  <c r="H3354" i="2"/>
  <c r="L3354" i="2" l="1"/>
  <c r="J3354" i="2"/>
  <c r="K3354" i="2" s="1"/>
  <c r="D3354" i="2"/>
  <c r="C3355" i="2"/>
  <c r="A3355" i="2" l="1"/>
  <c r="B3355" i="2"/>
  <c r="G3355" i="2"/>
  <c r="I3355" i="2"/>
  <c r="E3355" i="2"/>
  <c r="H3355" i="2"/>
  <c r="M3355" i="2"/>
  <c r="F3355" i="2"/>
  <c r="L3355" i="2" l="1"/>
  <c r="D3355" i="2"/>
  <c r="J3355" i="2"/>
  <c r="K3355" i="2" s="1"/>
  <c r="C3356" i="2"/>
  <c r="A3356" i="2" l="1"/>
  <c r="B3356" i="2"/>
  <c r="F3356" i="2"/>
  <c r="I3356" i="2"/>
  <c r="G3356" i="2"/>
  <c r="E3356" i="2"/>
  <c r="H3356" i="2"/>
  <c r="M3356" i="2"/>
  <c r="C3357" i="2"/>
  <c r="L3356" i="2" l="1"/>
  <c r="D3356" i="2"/>
  <c r="J3356" i="2"/>
  <c r="K3356" i="2" s="1"/>
  <c r="B3357" i="2"/>
  <c r="A3357" i="2"/>
  <c r="H3357" i="2"/>
  <c r="G3357" i="2"/>
  <c r="E3357" i="2"/>
  <c r="F3357" i="2"/>
  <c r="I3357" i="2"/>
  <c r="M3357" i="2"/>
  <c r="C3358" i="2"/>
  <c r="L3357" i="2" l="1"/>
  <c r="D3357" i="2"/>
  <c r="J3357" i="2"/>
  <c r="K3357" i="2" s="1"/>
  <c r="A3358" i="2"/>
  <c r="B3358" i="2"/>
  <c r="H3358" i="2"/>
  <c r="F3358" i="2"/>
  <c r="G3358" i="2"/>
  <c r="I3358" i="2"/>
  <c r="M3358" i="2"/>
  <c r="E3358" i="2"/>
  <c r="L3358" i="2" l="1"/>
  <c r="D3358" i="2"/>
  <c r="J3358" i="2"/>
  <c r="K3358" i="2" s="1"/>
  <c r="C3359" i="2"/>
  <c r="A3359" i="2" l="1"/>
  <c r="B3359" i="2"/>
  <c r="F3359" i="2"/>
  <c r="E3359" i="2"/>
  <c r="G3359" i="2"/>
  <c r="I3359" i="2"/>
  <c r="M3359" i="2"/>
  <c r="H3359" i="2"/>
  <c r="L3359" i="2" l="1"/>
  <c r="J3359" i="2"/>
  <c r="K3359" i="2" s="1"/>
  <c r="D3359" i="2"/>
  <c r="C3360" i="2"/>
  <c r="B3360" i="2" l="1"/>
  <c r="A3360" i="2"/>
  <c r="G3360" i="2"/>
  <c r="I3360" i="2"/>
  <c r="M3360" i="2"/>
  <c r="E3360" i="2"/>
  <c r="H3360" i="2"/>
  <c r="F3360" i="2"/>
  <c r="C3361" i="2"/>
  <c r="L3360" i="2" l="1"/>
  <c r="D3360" i="2"/>
  <c r="J3360" i="2"/>
  <c r="K3360" i="2" s="1"/>
  <c r="B3361" i="2"/>
  <c r="A3361" i="2"/>
  <c r="F3361" i="2"/>
  <c r="M3361" i="2"/>
  <c r="G3361" i="2"/>
  <c r="H3361" i="2"/>
  <c r="E3361" i="2"/>
  <c r="I3361" i="2"/>
  <c r="L3361" i="2" l="1"/>
  <c r="J3361" i="2"/>
  <c r="K3361" i="2" s="1"/>
  <c r="D3361" i="2"/>
  <c r="C3362" i="2"/>
  <c r="A3362" i="2" l="1"/>
  <c r="B3362" i="2"/>
  <c r="H3362" i="2"/>
  <c r="I3362" i="2"/>
  <c r="G3362" i="2"/>
  <c r="M3362" i="2"/>
  <c r="F3362" i="2"/>
  <c r="E3362" i="2"/>
  <c r="L3362" i="2" l="1"/>
  <c r="J3362" i="2"/>
  <c r="K3362" i="2" s="1"/>
  <c r="D3362" i="2"/>
  <c r="C3363" i="2"/>
  <c r="A3363" i="2" l="1"/>
  <c r="B3363" i="2"/>
  <c r="M3363" i="2"/>
  <c r="H3363" i="2"/>
  <c r="F3363" i="2"/>
  <c r="I3363" i="2"/>
  <c r="E3363" i="2"/>
  <c r="G3363" i="2"/>
  <c r="C3364" i="2"/>
  <c r="L3363" i="2" l="1"/>
  <c r="D3363" i="2"/>
  <c r="J3363" i="2"/>
  <c r="K3363" i="2" s="1"/>
  <c r="A3364" i="2"/>
  <c r="B3364" i="2"/>
  <c r="H3364" i="2"/>
  <c r="F3364" i="2"/>
  <c r="I3364" i="2"/>
  <c r="E3364" i="2"/>
  <c r="M3364" i="2"/>
  <c r="G3364" i="2"/>
  <c r="C3365" i="2"/>
  <c r="L3364" i="2" l="1"/>
  <c r="D3364" i="2"/>
  <c r="J3364" i="2"/>
  <c r="K3364" i="2" s="1"/>
  <c r="B3365" i="2"/>
  <c r="A3365" i="2"/>
  <c r="F3365" i="2"/>
  <c r="G3365" i="2"/>
  <c r="I3365" i="2"/>
  <c r="H3365" i="2"/>
  <c r="E3365" i="2"/>
  <c r="M3365" i="2"/>
  <c r="C3366" i="2"/>
  <c r="L3365" i="2" l="1"/>
  <c r="J3365" i="2"/>
  <c r="K3365" i="2" s="1"/>
  <c r="D3365" i="2"/>
  <c r="A3366" i="2"/>
  <c r="B3366" i="2"/>
  <c r="G3366" i="2"/>
  <c r="E3366" i="2"/>
  <c r="M3366" i="2"/>
  <c r="H3366" i="2"/>
  <c r="I3366" i="2"/>
  <c r="F3366" i="2"/>
  <c r="C3367" i="2"/>
  <c r="L3366" i="2" l="1"/>
  <c r="J3366" i="2"/>
  <c r="K3366" i="2" s="1"/>
  <c r="D3366" i="2"/>
  <c r="A3367" i="2"/>
  <c r="B3367" i="2"/>
  <c r="G3367" i="2"/>
  <c r="E3367" i="2"/>
  <c r="H3367" i="2"/>
  <c r="F3367" i="2"/>
  <c r="I3367" i="2"/>
  <c r="M3367" i="2"/>
  <c r="L3367" i="2" l="1"/>
  <c r="J3367" i="2"/>
  <c r="K3367" i="2" s="1"/>
  <c r="D3367" i="2"/>
  <c r="C3368" i="2"/>
  <c r="B3368" i="2" l="1"/>
  <c r="A3368" i="2"/>
  <c r="E3368" i="2"/>
  <c r="I3368" i="2"/>
  <c r="F3368" i="2"/>
  <c r="G3368" i="2"/>
  <c r="H3368" i="2"/>
  <c r="M3368" i="2"/>
  <c r="L3368" i="2" l="1"/>
  <c r="D3368" i="2"/>
  <c r="J3368" i="2"/>
  <c r="K3368" i="2" s="1"/>
  <c r="C3369" i="2"/>
  <c r="B3369" i="2" l="1"/>
  <c r="A3369" i="2"/>
  <c r="E3369" i="2"/>
  <c r="H3369" i="2"/>
  <c r="G3369" i="2"/>
  <c r="F3369" i="2"/>
  <c r="I3369" i="2"/>
  <c r="M3369" i="2"/>
  <c r="C3370" i="2"/>
  <c r="L3369" i="2" l="1"/>
  <c r="D3369" i="2"/>
  <c r="J3369" i="2"/>
  <c r="K3369" i="2" s="1"/>
  <c r="A3370" i="2"/>
  <c r="B3370" i="2"/>
  <c r="E3370" i="2"/>
  <c r="G3370" i="2"/>
  <c r="H3370" i="2"/>
  <c r="F3370" i="2"/>
  <c r="I3370" i="2"/>
  <c r="M3370" i="2"/>
  <c r="C3371" i="2"/>
  <c r="L3370" i="2" l="1"/>
  <c r="J3370" i="2"/>
  <c r="K3370" i="2" s="1"/>
  <c r="D3370" i="2"/>
  <c r="A3371" i="2"/>
  <c r="B3371" i="2"/>
  <c r="H3371" i="2"/>
  <c r="M3371" i="2"/>
  <c r="I3371" i="2"/>
  <c r="E3371" i="2"/>
  <c r="F3371" i="2"/>
  <c r="G3371" i="2"/>
  <c r="L3371" i="2" l="1"/>
  <c r="J3371" i="2"/>
  <c r="K3371" i="2" s="1"/>
  <c r="D3371" i="2"/>
  <c r="D42" i="3"/>
  <c r="D14" i="3"/>
  <c r="D43" i="3"/>
  <c r="D21" i="3"/>
  <c r="D28" i="3"/>
  <c r="D27" i="3"/>
  <c r="D5" i="3"/>
  <c r="D66" i="3"/>
  <c r="D36" i="3"/>
  <c r="D54" i="3"/>
  <c r="D55" i="3"/>
  <c r="D49" i="3"/>
  <c r="D35" i="3"/>
  <c r="D63" i="3"/>
  <c r="D12" i="3"/>
  <c r="D17" i="3"/>
  <c r="D15" i="3"/>
  <c r="D2" i="3"/>
  <c r="D18" i="3"/>
  <c r="D13" i="3"/>
  <c r="D57" i="3"/>
  <c r="D60" i="3"/>
  <c r="D70" i="3"/>
  <c r="D33" i="3"/>
  <c r="D25" i="3"/>
  <c r="D16" i="3"/>
  <c r="D3" i="3"/>
  <c r="D24" i="3"/>
  <c r="D62" i="3"/>
  <c r="D9" i="3"/>
  <c r="D46" i="3"/>
  <c r="D71" i="3"/>
  <c r="D37" i="3"/>
  <c r="D56" i="3"/>
  <c r="D58" i="3"/>
  <c r="D4" i="3"/>
  <c r="D69" i="3"/>
  <c r="D59" i="3"/>
  <c r="D44" i="3"/>
  <c r="D48" i="3"/>
  <c r="D6" i="3"/>
  <c r="D50" i="3"/>
  <c r="D34" i="3"/>
  <c r="D30" i="3"/>
  <c r="D51" i="3"/>
  <c r="D8" i="3"/>
  <c r="D7" i="3"/>
  <c r="D39" i="3"/>
  <c r="D68" i="3"/>
  <c r="D41" i="3"/>
  <c r="D45" i="3"/>
  <c r="D65" i="3"/>
  <c r="D52" i="3"/>
  <c r="D26" i="3"/>
  <c r="D23" i="3"/>
  <c r="D29" i="3"/>
  <c r="D19" i="3"/>
  <c r="D22" i="3"/>
  <c r="D11" i="3"/>
  <c r="D31" i="3"/>
  <c r="D38" i="3"/>
  <c r="D20" i="3"/>
  <c r="D64" i="3"/>
  <c r="D53" i="3"/>
  <c r="D73" i="3"/>
  <c r="D67" i="3"/>
  <c r="D61" i="3"/>
  <c r="D10" i="3"/>
  <c r="D72" i="3"/>
  <c r="D32" i="3"/>
  <c r="D40" i="3"/>
  <c r="D47" i="3"/>
</calcChain>
</file>

<file path=xl/sharedStrings.xml><?xml version="1.0" encoding="utf-8"?>
<sst xmlns="http://schemas.openxmlformats.org/spreadsheetml/2006/main" count="10593" uniqueCount="1094">
  <si>
    <t>Area</t>
  </si>
  <si>
    <t>Vector(X = -0.977, Y = -0.212, Z = 0.000, Length = 1.000)</t>
  </si>
  <si>
    <t>Vector(X = 0.977, Y = 0.212, Z = 0.000, Length = 1.000)</t>
  </si>
  <si>
    <t>Vector(X = 0.489, Y = -0.872, Z = 0.000, Length = 1.000)</t>
  </si>
  <si>
    <t>Vector(X = -0.489, Y = 0.872, Z = 0.000, Length = 1.000)</t>
  </si>
  <si>
    <t>Vector(X = 0.212, Y = -0.977, Z = 0.000, Length = 1.000)</t>
  </si>
  <si>
    <t>Vector(X = -0.212, Y = 0.977, Z = 0.000, Length = 1.000)</t>
  </si>
  <si>
    <t>Vector(X = -0.872, Y = -0.489, Z = 0.000, Length = 1.000)</t>
  </si>
  <si>
    <t>Vector(X = -0.155, Y = 0.988, Z = 0.000, Length = 1.000)</t>
  </si>
  <si>
    <t>Vector(X = -0.991, Y = 0.130, Z = 0.000, Length = 1.000)</t>
  </si>
  <si>
    <t>Vector(X = -0.999, Y = -0.041, Z = 0.000, Length = 1.000)</t>
  </si>
  <si>
    <t>Vector(X = 0.999, Y = 0.041, Z = 0.000, Length = 1.000)</t>
  </si>
  <si>
    <t>Vector(X = 0.294, Y = 0.956, Z = 0.000, Length = 1.000)</t>
  </si>
  <si>
    <t>Vector(X = 0.848, Y = 0.530, Z = 0.000, Length = 1.000)</t>
  </si>
  <si>
    <t>Vector(X = 0.271, Y = 0.962, Z = 0.000, Length = 1.000)</t>
  </si>
  <si>
    <t>Vector(X = -0.293, Y = 0.956, Z = 0.000, Length = 1.000)</t>
  </si>
  <si>
    <t>Vector(X = -0.848, Y = -0.530, Z = 0.000, Length = 1.000)</t>
  </si>
  <si>
    <t>Vector(X = -0.903, Y = -0.429, Z = 0.000, Length = 1.000)</t>
  </si>
  <si>
    <t>Vector(X = -0.008, Y = 1.000, Z = 0.000, Length = 1.000)</t>
  </si>
  <si>
    <t>Vector(X = -0.168, Y = 0.986, Z = 0.000, Length = 1.000)</t>
  </si>
  <si>
    <t>Vector(X = -0.946, Y = -0.323, Z = 0.000, Length = 1.000)</t>
  </si>
  <si>
    <t>Vector(X = 0.903, Y = 0.429, Z = 0.000, Length = 1.000)</t>
  </si>
  <si>
    <t>Vector(X = 0.946, Y = 0.323, Z = 0.000, Length = 1.000)</t>
  </si>
  <si>
    <t>Family Type: 3490w x 3200h, Family: Window Type 20</t>
  </si>
  <si>
    <t>Family Type: 1950w x 3200h, Family: Window Type 60</t>
  </si>
  <si>
    <t>Family Type: 1755w x 3200h, Family: Window Type 51</t>
  </si>
  <si>
    <t>Family Type: 1950w x 3200h, Family: Window Type 12</t>
  </si>
  <si>
    <t>Family Type: 975w x 3050h, Family: Window External Type 1 - Recessed</t>
  </si>
  <si>
    <t>Family Type: 1000w x 3050h, Family: Window External Type 4 - Extruded</t>
  </si>
  <si>
    <t>Family Type: 1500w x 3050h, Family: Window External Type 1 - Recessed</t>
  </si>
  <si>
    <t>Family Type: 1950w x 3050h, Family: Window External Type 3 - Recessed and Angle</t>
  </si>
  <si>
    <t>Family Type: 1500w x 3050h, Family: Window External Type 3 - Recessed and Angle</t>
  </si>
  <si>
    <t>Family Type: 1000w x 3050h, Family: Window External Type 5 - Flush</t>
  </si>
  <si>
    <t>Family Type: 1000w x 3050h, Family: Window External Type 2 - Recessed and Fin</t>
  </si>
  <si>
    <t>Family Type: 2515w x 3050h, Family: Window External Type 3 - Recessed and Angle</t>
  </si>
  <si>
    <t>Family Type: 1950w x 3050h (515mm panel), Family: Window External Type 3 - Recessed and Angle</t>
  </si>
  <si>
    <t>Family Type: 1560w x 3050h, Family: Window External Type 3 - Recessed and Angle</t>
  </si>
  <si>
    <t>LG-OPD-C1W-S115-55</t>
  </si>
  <si>
    <t>Family Type: 1950w x 3050h, Family: Window External Type 1 - Recessed</t>
  </si>
  <si>
    <t>LG-OPD-AUD-L084-05</t>
  </si>
  <si>
    <t>LG-OPD-AUD-U0444-01</t>
  </si>
  <si>
    <t>LG-OPD-AUD-S115-01</t>
  </si>
  <si>
    <t>Vector(X = 0.530, Y = -0.848, Z = 0.000, Length = 1.000)</t>
  </si>
  <si>
    <t>Family Type: 487.5w x 3050H, Family: Window External Type 1 - Recessed</t>
  </si>
  <si>
    <t>LG-OPD-AUD-L039-08</t>
  </si>
  <si>
    <t>LG-OPD-AUD-S123-08</t>
  </si>
  <si>
    <t>LG-EAF-CAT-S099-02</t>
  </si>
  <si>
    <t>Family Type: 975w x 3200h, Family: Panel External Type 1 - Flush</t>
  </si>
  <si>
    <t>LG-EAF-CAT-U0887-01</t>
  </si>
  <si>
    <t>Family Type: 585w x 2400h, Family: Panel External Type 1 - Flush</t>
  </si>
  <si>
    <t>LG-EAF-CAT-U0888-01</t>
  </si>
  <si>
    <t>LG-EAF-CAT-U0889-01</t>
  </si>
  <si>
    <t>LG-EAF-CAT-U0892-01</t>
  </si>
  <si>
    <t>Family Type: 1950w x 2300h, Family: Window External Type 1 - Recessed</t>
  </si>
  <si>
    <t>Family Type: 975w x 2300h, Family: Window External Type 1 - Recessed</t>
  </si>
  <si>
    <t>LG-EAF-CAT-S115-02</t>
  </si>
  <si>
    <t>LG-OPD-CC1-S027-01</t>
  </si>
  <si>
    <t>LG-OPD-CC1-S028-01</t>
  </si>
  <si>
    <t>LG-OPD-CC1-S034-01</t>
  </si>
  <si>
    <t>LG-OPD-CC1-S064-01</t>
  </si>
  <si>
    <t>LG-OPD-CC1-L046-01</t>
  </si>
  <si>
    <t>LG-OPD-CC1-U0148-01</t>
  </si>
  <si>
    <t>LG-OPD-CC1-S108-05</t>
  </si>
  <si>
    <t>LG-OPD-CC1-S059-01</t>
  </si>
  <si>
    <t>LG-OPD-CC1-S028-18</t>
  </si>
  <si>
    <t>LG-OPD-CC1-S028-22</t>
  </si>
  <si>
    <t>LG-OPD-CC1-S064-11</t>
  </si>
  <si>
    <t>LG-OPD-CC1-S064-12</t>
  </si>
  <si>
    <t>LG-OPD-CC1-S053-04</t>
  </si>
  <si>
    <t>LG-OPD-CC1-S053-05</t>
  </si>
  <si>
    <t>LG-OPD-CC1-S028-02</t>
  </si>
  <si>
    <t>LG-OPD-CC1-S028-03</t>
  </si>
  <si>
    <t>LG-OPD-CC1-S028-04</t>
  </si>
  <si>
    <t>Family Type: 1500w x 3050h, Family: Window Internal Type 5 - Flush</t>
  </si>
  <si>
    <t>Vector(X = 0.873, Y = 0.489, Z = 0.000, Length = 1.000)</t>
  </si>
  <si>
    <t>LG-OPD-CC1-S028-07</t>
  </si>
  <si>
    <t>LG-OPD-CC1-S028-09</t>
  </si>
  <si>
    <t>LG-OPD-CC1-S028-10</t>
  </si>
  <si>
    <t>LG-OPD-CC1-S028-11</t>
  </si>
  <si>
    <t>LG-OPD-CC1-S028-12</t>
  </si>
  <si>
    <t>LG-OPD-CC1-S028-13</t>
  </si>
  <si>
    <t>LG-OPD-CC1-S028-14</t>
  </si>
  <si>
    <t>LG-OPD-CC1-S028-15</t>
  </si>
  <si>
    <t>LG-OPD-CC1-S028-16</t>
  </si>
  <si>
    <t>LG-OPD-CC1-S028-17</t>
  </si>
  <si>
    <t>LG-OPD-CC1-S028-19</t>
  </si>
  <si>
    <t>LG-OPD-CC1-S028-20</t>
  </si>
  <si>
    <t>LG-OPD-CC1-S028-21</t>
  </si>
  <si>
    <t>LG-OPD-CC1-S028-23</t>
  </si>
  <si>
    <t>LG-OPD-CC1-S028-24</t>
  </si>
  <si>
    <t>LG-OPD-CC1-S108-02</t>
  </si>
  <si>
    <t>LG-OPD-CC1-L046-02</t>
  </si>
  <si>
    <t>LG-OPD-CC2-S035-01</t>
  </si>
  <si>
    <t>LG-OPD-CC2-S034-01</t>
  </si>
  <si>
    <t>LG-OPD-CC2-S108-01</t>
  </si>
  <si>
    <t>LG-OPD-CC2-S060-01</t>
  </si>
  <si>
    <t>LG-OPD-CC2-S040-01</t>
  </si>
  <si>
    <t>LG-OPD-CC2-L063-01</t>
  </si>
  <si>
    <t>LG-OPD-CC2-U0174-01</t>
  </si>
  <si>
    <t>LG-OPD-CC2-L067-01</t>
  </si>
  <si>
    <t>LG-OPD-CC2-L067-02</t>
  </si>
  <si>
    <t>LG-OPD-CC2-S029-02</t>
  </si>
  <si>
    <t>LG-OPD-CC2-S029-03</t>
  </si>
  <si>
    <t>LG-OPD-CC2-S029-04</t>
  </si>
  <si>
    <t>LG-OPD-CC2-S029-05</t>
  </si>
  <si>
    <t>LG-OPD-CC2-S029-07</t>
  </si>
  <si>
    <t>LG-OPD-CC2-S029-10</t>
  </si>
  <si>
    <t>LG-OPD-CC2-L063-02</t>
  </si>
  <si>
    <t>LG-OPD-CC2-L063-03</t>
  </si>
  <si>
    <t>LG-OPD-CC2-L063-04</t>
  </si>
  <si>
    <t>LG-OPD-CC2-L062-02</t>
  </si>
  <si>
    <t>LG-OPD-CC2-S108-02</t>
  </si>
  <si>
    <t>LG-OPD-CC2-S040-02</t>
  </si>
  <si>
    <t>LG-CST-CDU-S020-01</t>
  </si>
  <si>
    <t>LG-CST-CDU-U0666-01</t>
  </si>
  <si>
    <t>Vector(X = 0.282, Y = -0.959, Z = 0.000, Length = 1.000)</t>
  </si>
  <si>
    <t>LG-CST-CDU-U0670-01</t>
  </si>
  <si>
    <t>Vector(X = 0.489, Y = -0.873, Z = 0.000, Length = 1.000)</t>
  </si>
  <si>
    <t>LG-CST-CEL-S143-01</t>
  </si>
  <si>
    <t>LG-CST-CEL-S115-01</t>
  </si>
  <si>
    <t>LG-CST-CEL-U0642-01</t>
  </si>
  <si>
    <t>LG-CST-CEL-U0643-01</t>
  </si>
  <si>
    <t>LG-CST-CEL-U0644-01</t>
  </si>
  <si>
    <t>LG-CST-CEL-U0646-01</t>
  </si>
  <si>
    <t>LG-EAF-FMA-S115-01</t>
  </si>
  <si>
    <t>LG-EAF-FMA-U0913-01</t>
  </si>
  <si>
    <t>Family Type: 1560w x 2300h, Family: Window External Type 3 - Recessed and Angle</t>
  </si>
  <si>
    <t>LG-EAF-FMA-S115-04</t>
  </si>
  <si>
    <t>LG-EAF-FMA-S115-06</t>
  </si>
  <si>
    <t>LG-EAF-FMA-S115-09</t>
  </si>
  <si>
    <t>LG-EAF-FMA-U0918-01</t>
  </si>
  <si>
    <t>LG-EAF-FMA-S115-11</t>
  </si>
  <si>
    <t>LG-OPD-REC-U0142-01</t>
  </si>
  <si>
    <t>LG-OPD-RED-U0428-01</t>
  </si>
  <si>
    <t>LG-OPD-RED-L068-01</t>
  </si>
  <si>
    <t>LG-OPD-RED-U0430-01</t>
  </si>
  <si>
    <t>LG-OPD-RED-L068-02</t>
  </si>
  <si>
    <t>LG-EAF-SFK-U0904-01</t>
  </si>
  <si>
    <t>LG-EAF-SFK-U0905-01</t>
  </si>
  <si>
    <t>LG-EAF-SFK-S139-01</t>
  </si>
  <si>
    <t>LG-EAF-SFK-S062-01</t>
  </si>
  <si>
    <t>LG-OPD-AUD-L039-09</t>
  </si>
  <si>
    <t>LG-OPD-AUD-L039-10</t>
  </si>
  <si>
    <t>LG-OPD-AUD-S123-09</t>
  </si>
  <si>
    <t>LG-OPD-CC1-S139-02</t>
  </si>
  <si>
    <t>Family Type: 650w x 3050h, Family: Window Internal Type 5 - Flush</t>
  </si>
  <si>
    <t>Family Type: 1950w x 3050h, Family: Window Internal Type 5 - Flush</t>
  </si>
  <si>
    <t>LG-CIR-CIR-C008-01</t>
  </si>
  <si>
    <t>LG-OPD-C1W-S115-49</t>
  </si>
  <si>
    <t>LG-OPD-AUD-S123-10</t>
  </si>
  <si>
    <t>LG-OPD-CC1-S156-01</t>
  </si>
  <si>
    <t>LG-OPD-CC1-S156-06</t>
  </si>
  <si>
    <t>LG-OPD-CC1-S156-09</t>
  </si>
  <si>
    <t>LG-OPD-CC2-S090-01</t>
  </si>
  <si>
    <t>LG-CST-CIR-C001-04</t>
  </si>
  <si>
    <t>LG-MAI-RET-U1291-01</t>
  </si>
  <si>
    <t>LG-CIR-CIR-C008-07</t>
  </si>
  <si>
    <t>LG-CIR-CIR-C003-01</t>
  </si>
  <si>
    <t>LG-OPD-CIR-C001-26</t>
  </si>
  <si>
    <t>LG-CIR-CIR-C001-02</t>
  </si>
  <si>
    <t>LG-EAF-SWI-U0836-01</t>
  </si>
  <si>
    <t>LG-OPD-CC2-U0169-01</t>
  </si>
  <si>
    <t>LG-CIR-CIR-C006-01</t>
  </si>
  <si>
    <t>LG-OPD-CC1-S156-02</t>
  </si>
  <si>
    <t>LG-OPD-CC1-S156-10</t>
  </si>
  <si>
    <t>LG-OPD-CC1-S156-11</t>
  </si>
  <si>
    <t>LG-OPD-CC1-S156-12</t>
  </si>
  <si>
    <t>LG-OPD-CC1-S156-13</t>
  </si>
  <si>
    <t>LG-OPD-CC2-S156-01</t>
  </si>
  <si>
    <t>LG-MAI-PUB-U1830-03</t>
  </si>
  <si>
    <t>L00-OPD-CC4-S058-01</t>
  </si>
  <si>
    <t>L00-OPD-CC4-S027-01</t>
  </si>
  <si>
    <t>Vector(X = -0.161, Y = -0.987, Z = 0.000, Length = 1.000)</t>
  </si>
  <si>
    <t>L00-OPD-CC4-S108-01</t>
  </si>
  <si>
    <t>L00-OPD-CC4-S040-01</t>
  </si>
  <si>
    <t>L00-OPD-CC4-S028-18</t>
  </si>
  <si>
    <t>L00-OPD-CC4-U0214-01</t>
  </si>
  <si>
    <t>L00-OPD-CC4-S060-02</t>
  </si>
  <si>
    <t>Vector(X = -0.087, Y = -0.996, Z = 0.000, Length = 1.000)</t>
  </si>
  <si>
    <t>L00-OPD-CC4-S029-03</t>
  </si>
  <si>
    <t>L00-OPD-CC4-S060-03</t>
  </si>
  <si>
    <t>Vector(X = 0.128, Y = -0.992, Z = 0.000, Length = 1.000)</t>
  </si>
  <si>
    <t>L00-OPD-CC4-S028-05</t>
  </si>
  <si>
    <t>L00-OPD-CC4-S028-06</t>
  </si>
  <si>
    <t>L00-OPD-CC4-S028-07</t>
  </si>
  <si>
    <t>L00-OPD-CC4-S028-10</t>
  </si>
  <si>
    <t>L00-OPD-CC4-S028-11</t>
  </si>
  <si>
    <t>L00-OPD-CC4-S028-12</t>
  </si>
  <si>
    <t>L00-OPD-CC4-S028-15</t>
  </si>
  <si>
    <t>L00-OPD-CC4-S028-17</t>
  </si>
  <si>
    <t>L00-OPD-CC4-S029-02</t>
  </si>
  <si>
    <t>L00-OPD-CC4-S029-04</t>
  </si>
  <si>
    <t>L00-OPD-CC4-S137-02</t>
  </si>
  <si>
    <t>L00-OPD-CC4-S113-03</t>
  </si>
  <si>
    <t>L00-OPD-CC4-S108-02</t>
  </si>
  <si>
    <t>L00-OPD-CC4-S040-02</t>
  </si>
  <si>
    <t>L00-EMG-EDE-S099-01</t>
  </si>
  <si>
    <t>Family Type: Curtain Wall_585w x 3200h, Family: Window External Type 6 - Bespoke Flush, Recessed</t>
  </si>
  <si>
    <t>L00-EMG-EDE-U0291-01</t>
  </si>
  <si>
    <t>Family Type: Curtain Wall_1500w x 3200h, Family: Window External Type 6 - Flush, Recessed</t>
  </si>
  <si>
    <t>Family Type: Curtain Wall_585w x 3200h, Family: Window External Type 6 - Flush, Recessed</t>
  </si>
  <si>
    <t>L00-EMG-EDE-S148-01</t>
  </si>
  <si>
    <t>Family Type: Curtain Wall_975w x 3200h, Family: Window External Type 6 - Flush, Recessed</t>
  </si>
  <si>
    <t>Family Type: Curtain Wall_1950w x 3200h, Family: Window External Type 6 - Flush, Recessed</t>
  </si>
  <si>
    <t>Family Type: Curtain Wall_765w x 3200h, Family: Window External Type 6 - Flush, Recessed</t>
  </si>
  <si>
    <t>L00-IMG-MIM-U0333-01</t>
  </si>
  <si>
    <t>Family Type: 975w x 3050h, Family: Window Internal Type 5 - Flush</t>
  </si>
  <si>
    <t>L00-EMG-MRR-S104-01</t>
  </si>
  <si>
    <t>L00-IMG-MSS-S103-01</t>
  </si>
  <si>
    <t>L00-IMG-MSS-L053-01</t>
  </si>
  <si>
    <t>L00-IMG-MSS-L050-01</t>
  </si>
  <si>
    <t>Family Type: Curtain Wall_1512w x 3200h, Family: Window External Type 6 - Flush, Recessed</t>
  </si>
  <si>
    <t>Vector(X = -0.489, Y = 0.873, Z = 0.000, Length = 1.000)</t>
  </si>
  <si>
    <t>L00-IMG-MSS-S132-01</t>
  </si>
  <si>
    <t>L00-IMG-MSS-L054-01</t>
  </si>
  <si>
    <t>L00-IMG-RSS-U0375-01</t>
  </si>
  <si>
    <t>L00-IMG-NMD-S093-01</t>
  </si>
  <si>
    <t>Family Type: 975w x 3050h - Metal Panel, Family: Window External Type 1a - Recessed</t>
  </si>
  <si>
    <t>L00-IMG-NMD-S104-01</t>
  </si>
  <si>
    <t>L00-IMG-NMD-S103-01</t>
  </si>
  <si>
    <t>L00-IMG-NMD-S109-01</t>
  </si>
  <si>
    <t>L00-IMG-NMD-U0388-01</t>
  </si>
  <si>
    <t>L00-IMG-NMD-S133-01</t>
  </si>
  <si>
    <t>L00-IMG-SUP-U0394-01</t>
  </si>
  <si>
    <t>L00-IMG-SWS-S094-01</t>
  </si>
  <si>
    <t>L00-IMG-SWS-S115-01</t>
  </si>
  <si>
    <t>L00-IMG-SWS-U0404-01</t>
  </si>
  <si>
    <t>L00-IMG-MSS-L050-02</t>
  </si>
  <si>
    <t>L00-IMG-MSS-L054-02</t>
  </si>
  <si>
    <t>Family Type: Curtain Wall_1000w x 3200h, Family: Window External Type 6 - Flush, Recessed</t>
  </si>
  <si>
    <t>L00-IMG-MSS-L054-03</t>
  </si>
  <si>
    <t>L00-IMG-MSS-L054-04</t>
  </si>
  <si>
    <t>L00-EMG-OBS-S053-01</t>
  </si>
  <si>
    <t>L00-OPD-PCR-S081-01</t>
  </si>
  <si>
    <t>L00-OPD-PCR-S147-01</t>
  </si>
  <si>
    <t>L00-OPD-PCR-S075-01</t>
  </si>
  <si>
    <t>L00-OPD-PCR-S108-01</t>
  </si>
  <si>
    <t>L00-OPD-PCR-S028-02</t>
  </si>
  <si>
    <t>L00-OPD-PCR-S028-03</t>
  </si>
  <si>
    <t>L00-OPD-PCR-S028-04</t>
  </si>
  <si>
    <t>L00-OPD-PCR-S028-05</t>
  </si>
  <si>
    <t>L00-OPD-PCR-S028-06</t>
  </si>
  <si>
    <t>L00-OPD-PCR-S028-07</t>
  </si>
  <si>
    <t>L00-OPD-PCR-S028-08</t>
  </si>
  <si>
    <t>L00-OPD-PCR-S028-09</t>
  </si>
  <si>
    <t>L00-EMG-SWS-S115-01</t>
  </si>
  <si>
    <t>L00-EMG-SWS-S063-01</t>
  </si>
  <si>
    <t>L00-OPD-DC1-S029-01</t>
  </si>
  <si>
    <t>L00-OPD-DC1-S060-01</t>
  </si>
  <si>
    <t>L00-OPD-DC1-S108-02</t>
  </si>
  <si>
    <t>L00-OPD-DC1-S129-01</t>
  </si>
  <si>
    <t>Vector(X = 0.232, Y = -0.973, Z = 0.000, Length = 1.000)</t>
  </si>
  <si>
    <t>Vector(X = 0.264, Y = -0.964, Z = 0.000, Length = 1.000)</t>
  </si>
  <si>
    <t>Vector(X = 0.253, Y = -0.967, Z = 0.000, Length = 1.000)</t>
  </si>
  <si>
    <t>Vector(X = 0.245, Y = -0.970, Z = 0.000, Length = 1.000)</t>
  </si>
  <si>
    <t>L00-OPD-DC1-S029-02</t>
  </si>
  <si>
    <t>L00-MAI-CHI-U0782-01</t>
  </si>
  <si>
    <t>Vector(X = 0.434, Y = -0.901, Z = 0.000, Length = 1.000)</t>
  </si>
  <si>
    <t>L00-EMG-OTA-S103-01</t>
  </si>
  <si>
    <t>L00-MAI-PUB-S053-02</t>
  </si>
  <si>
    <t>Vector(X = 0.319, Y = -0.948, Z = 0.000, Length = 1.000)</t>
  </si>
  <si>
    <t>Vector(X = 0.339, Y = -0.941, Z = 0.000, Length = 1.000)</t>
  </si>
  <si>
    <t>L00-OPD-CC3-S028-01</t>
  </si>
  <si>
    <t>L00-OPD-CC3-S029-01</t>
  </si>
  <si>
    <t>L00-OPD-CC3-S035-01</t>
  </si>
  <si>
    <t>Vector(X = 0.405, Y = -0.914, Z = 0.000, Length = 1.000)</t>
  </si>
  <si>
    <t>L00-OPD-CC3-S108-01</t>
  </si>
  <si>
    <t>L00-OPD-CC3-S060-01</t>
  </si>
  <si>
    <t>L00-OPD-CC3-S040-01</t>
  </si>
  <si>
    <t>L00-OPD-CC3-S137-01</t>
  </si>
  <si>
    <t>L00-OPD-CC3-S035-02</t>
  </si>
  <si>
    <t>L00-OPD-CC3-U0187-01</t>
  </si>
  <si>
    <t>L00-OPD-CC3-S064-02</t>
  </si>
  <si>
    <t>L00-OPD-CC3-S059-01</t>
  </si>
  <si>
    <t>L00-OPD-CC3-S059-03</t>
  </si>
  <si>
    <t>L00-OPD-CC3-S052-01</t>
  </si>
  <si>
    <t>L00-OPD-CC3-S028-20</t>
  </si>
  <si>
    <t>L00-OPD-CC3-S029-03</t>
  </si>
  <si>
    <t>L00-OPD-CC3-U0194-01</t>
  </si>
  <si>
    <t>L00-OPD-CC3-U0196-01</t>
  </si>
  <si>
    <t>L00-OPD-CC3-U0201-01</t>
  </si>
  <si>
    <t>L00-OPD-CC3-U0206-01</t>
  </si>
  <si>
    <t>L00-OPD-CC3-S028-03</t>
  </si>
  <si>
    <t>L00-OPD-CC3-S028-04</t>
  </si>
  <si>
    <t>L00-OPD-CC3-S028-05</t>
  </si>
  <si>
    <t>L00-OPD-CC3-S028-07</t>
  </si>
  <si>
    <t>L00-OPD-CC3-S028-08</t>
  </si>
  <si>
    <t>L00-OPD-CC3-S028-09</t>
  </si>
  <si>
    <t>L00-OPD-CC3-S028-10</t>
  </si>
  <si>
    <t>L00-OPD-CC3-S028-11</t>
  </si>
  <si>
    <t>Vector(X = 0.401, Y = -0.916, Z = 0.000, Length = 1.000)</t>
  </si>
  <si>
    <t>L00-OPD-CC3-S028-12</t>
  </si>
  <si>
    <t>L00-OPD-CC3-S028-13</t>
  </si>
  <si>
    <t>L00-OPD-CC3-S028-14</t>
  </si>
  <si>
    <t>L00-OPD-CC3-S028-15</t>
  </si>
  <si>
    <t>L00-OPD-CC3-S028-16</t>
  </si>
  <si>
    <t>L00-OPD-CC3-S029-02</t>
  </si>
  <si>
    <t>L00-OPD-CC3-S064-03</t>
  </si>
  <si>
    <t>L00-OPD-CC3-S064-04</t>
  </si>
  <si>
    <t>L00-OPD-CC3-S064-05</t>
  </si>
  <si>
    <t>L00-OPD-CC3-S059-02</t>
  </si>
  <si>
    <t>L00-OPD-CC3-S059-04</t>
  </si>
  <si>
    <t>L00-OPD-CC3-S137-02</t>
  </si>
  <si>
    <t>L00-OPD-CC3-S052-02</t>
  </si>
  <si>
    <t>L00-OPD-CC3-S052-03</t>
  </si>
  <si>
    <t>L00-OPD-CC3-S028-21</t>
  </si>
  <si>
    <t>L00-OPD-CC3-S029-04</t>
  </si>
  <si>
    <t>L00-OPD-CC3-S040-02</t>
  </si>
  <si>
    <t>L00-EMG-CIR-C001-02</t>
  </si>
  <si>
    <t>L00-IMG-NMD-U1418-01</t>
  </si>
  <si>
    <t>L00-IMG-NMD-U0385-02</t>
  </si>
  <si>
    <t>L00-OPD-CC4-L088-01</t>
  </si>
  <si>
    <t>L00-OPD-CC4-L088-02</t>
  </si>
  <si>
    <t>L00-MAI-RES-U1295-01</t>
  </si>
  <si>
    <t>L00-EMG-EDE-S121-02</t>
  </si>
  <si>
    <t>L00-EMG-CIR-C001-01</t>
  </si>
  <si>
    <t>Family Type: Curtain Wall_840w x 3200h, Family: Window External Type 6 - Flush, Recessed</t>
  </si>
  <si>
    <t>L00-EMG-CIR-C001-03</t>
  </si>
  <si>
    <t>L00-EMG-CIR-C001-08</t>
  </si>
  <si>
    <t>L00-EMG-CIR-C001-09</t>
  </si>
  <si>
    <t>Family Type: Curtain Wall_1500w x 3200h, Family: Window External Type 6 - Bespoke Flush, Recessed</t>
  </si>
  <si>
    <t>L00-EMG-CIR-C001-10</t>
  </si>
  <si>
    <t>L00-OPD-CIR-C001-22</t>
  </si>
  <si>
    <t>L00-OPD-CIR-C001-28</t>
  </si>
  <si>
    <t>L00-OPD-CIR-C001-32</t>
  </si>
  <si>
    <t>L00-OPD-C3W-S115-105</t>
  </si>
  <si>
    <t>L00-OPD-C3W-S115-106</t>
  </si>
  <si>
    <t>Vector(X = 0.429, Y = -0.903, Z = 0.000, Length = 1.000)</t>
  </si>
  <si>
    <t>L00-OPD-C3W-S115-120</t>
  </si>
  <si>
    <t>Vector(X = 0.323, Y = -0.946, Z = 0.000, Length = 1.000)</t>
  </si>
  <si>
    <t>L00-OPD-DW1-S115-21</t>
  </si>
  <si>
    <t>L00-CIR-CIR-C008-10</t>
  </si>
  <si>
    <t>Family Type: Curtain Wall_975x1950x3800 2, Family: Window External Type 5 - Flush Corner 2</t>
  </si>
  <si>
    <t>L00-CIR-CIR-C006-13</t>
  </si>
  <si>
    <t>L00-CIR-CIR-C008-03</t>
  </si>
  <si>
    <t>L00-CIR-CIR-C008-04</t>
  </si>
  <si>
    <t>L00-EMG-SWS-U0321-01</t>
  </si>
  <si>
    <t>L00-MAI-CRE-S081-01</t>
  </si>
  <si>
    <t>Vector(X = 0.991, Y = -0.130, Z = 0.000, Length = 1.000)</t>
  </si>
  <si>
    <t>L00-MAI-CRE-U0829-01</t>
  </si>
  <si>
    <t>L00-MAI-CRE-S139-01</t>
  </si>
  <si>
    <t>L00-OPD-CC4-S091-02</t>
  </si>
  <si>
    <t>L00-OPD-CC4-S104-02</t>
  </si>
  <si>
    <t>L00-IMG-CIR-C001-02</t>
  </si>
  <si>
    <t>L00-IMG-CIR-C001-05</t>
  </si>
  <si>
    <t>L00-IMG-CIR-C001-07</t>
  </si>
  <si>
    <t>L00-IMG-CIR-C001-09</t>
  </si>
  <si>
    <t>Vector(X = 0.320, Y = -0.948, Z = 0.000, Length = 1.000)</t>
  </si>
  <si>
    <t>Vector(X = 0.297, Y = -0.955, Z = 0.000, Length = 1.000)</t>
  </si>
  <si>
    <t>Family Type: Curtain Wall_1150w x 3200h, Family: Window External Type 6 - Flush, Recessed</t>
  </si>
  <si>
    <t>Vector(X = 0.272, Y = -0.962, Z = 0.000, Length = 1.000)</t>
  </si>
  <si>
    <t>L00-IMG-CIR-C001-15</t>
  </si>
  <si>
    <t>L00-IMG-CIR-C001-17</t>
  </si>
  <si>
    <t>L00-IMG-CIR-C001-19</t>
  </si>
  <si>
    <t>L00-CIR-CIR-C006-01</t>
  </si>
  <si>
    <t>L00-CIR-CIR-C006-04</t>
  </si>
  <si>
    <t>L00-CIR-CIR-C006-05</t>
  </si>
  <si>
    <t>L00-CIR-CIR-C006-07</t>
  </si>
  <si>
    <t>L00-OPD-CC3-S156-01</t>
  </si>
  <si>
    <t>L00-OPD-CC3-S156-02</t>
  </si>
  <si>
    <t>L00-OPD-DC1-U1077-01</t>
  </si>
  <si>
    <t>L00-IMG-NMD-L022-01</t>
  </si>
  <si>
    <t>L00-IMG-NMD-U1418-02</t>
  </si>
  <si>
    <t>L00-OPD-DC1-U1656-01</t>
  </si>
  <si>
    <t>L01-CAM-INP-L007-01</t>
  </si>
  <si>
    <t>L01-CAM-INP-U0047-01</t>
  </si>
  <si>
    <t>L01-CAM-INP-L007-13</t>
  </si>
  <si>
    <t>L01-CAM-INP-S134-01</t>
  </si>
  <si>
    <t>Vector(X = -0.200, Y = -0.980, Z = 0.000, Length = 1.000)</t>
  </si>
  <si>
    <t>Vector(X = -0.175, Y = -0.984, Z = 0.000, Length = 1.000)</t>
  </si>
  <si>
    <t>L01-CAM-INP-L007-02</t>
  </si>
  <si>
    <t>L01-CAM-INP-L007-05</t>
  </si>
  <si>
    <t>L01-CAM-INP-L007-06</t>
  </si>
  <si>
    <t>L01-CAM-INP-L007-07</t>
  </si>
  <si>
    <t>L01-CAM-INP-L007-08</t>
  </si>
  <si>
    <t>L01-CAM-INP-L007-09</t>
  </si>
  <si>
    <t>L01-CAM-INP-L007-10</t>
  </si>
  <si>
    <t>L01-CAM-INP-L007-11</t>
  </si>
  <si>
    <t>L01-CAM-INP-L007-14</t>
  </si>
  <si>
    <t>L01-CAM-INP-L007-15</t>
  </si>
  <si>
    <t>L01-CAM-INP-L007-17</t>
  </si>
  <si>
    <t>L01-CAM-INP-L007-18</t>
  </si>
  <si>
    <t>L01-CAM-INP-L007-19</t>
  </si>
  <si>
    <t>L01-CAR-INP-S014-01</t>
  </si>
  <si>
    <t>L01-CAR-INP-S019-01</t>
  </si>
  <si>
    <t>Vector(X = 0.352, Y = -0.936, Z = 0.000, Length = 1.000)</t>
  </si>
  <si>
    <t>L01-CAR-INP-S094-01</t>
  </si>
  <si>
    <t>Vector(X = 0.390, Y = -0.921, Z = 0.000, Length = 1.000)</t>
  </si>
  <si>
    <t>L01-CAR-DCU-S085-03</t>
  </si>
  <si>
    <t>L01-CAR-DCU-S085-04</t>
  </si>
  <si>
    <t>Vector(X = 0.254, Y = -0.967, Z = 0.000, Length = 1.000)</t>
  </si>
  <si>
    <t>L01-CAR-INP-S014-02</t>
  </si>
  <si>
    <t>L01-CAR-INP-S014-03</t>
  </si>
  <si>
    <t>L01-CAR-INP-S014-04</t>
  </si>
  <si>
    <t>L01-CAR-INP-S014-05</t>
  </si>
  <si>
    <t>L01-CAR-INP-S014-06</t>
  </si>
  <si>
    <t>L01-CAR-INP-S014-07</t>
  </si>
  <si>
    <t>L01-CAR-INP-S014-08</t>
  </si>
  <si>
    <t>L01-CAR-INP-S014-09</t>
  </si>
  <si>
    <t>L01-CAR-INP-S014-10</t>
  </si>
  <si>
    <t>L01-CAR-INP-S014-11</t>
  </si>
  <si>
    <t>L01-CAR-INP-S014-12</t>
  </si>
  <si>
    <t>L01-CAR-INP-S014-14</t>
  </si>
  <si>
    <t>L01-CAR-INP-S014-15</t>
  </si>
  <si>
    <t>L01-CAR-INP-S014-16</t>
  </si>
  <si>
    <t>L01-CAR-INP-S014-17</t>
  </si>
  <si>
    <t>L01-CAR-INP-S014-18</t>
  </si>
  <si>
    <t>L01-CAR-INP-S014-19</t>
  </si>
  <si>
    <t>L01-CAR-INP-S014-20</t>
  </si>
  <si>
    <t>L01-CAR-INP-S014-21</t>
  </si>
  <si>
    <t>L01-CAR-INP-S014-22</t>
  </si>
  <si>
    <t>L01-CAR-INP-S014-23</t>
  </si>
  <si>
    <t>L01-CAR-INP-S014-24</t>
  </si>
  <si>
    <t>L01-CAR-INP-S014-25</t>
  </si>
  <si>
    <t>L01-CAR-INP-S014-26</t>
  </si>
  <si>
    <t>L01-OPD-DC2-S148-01</t>
  </si>
  <si>
    <t>Vector(X = 0.393, Y = -0.920, Z = 0.000, Length = 1.000)</t>
  </si>
  <si>
    <t>Vector(X = 0.466, Y = -0.885, Z = 0.000, Length = 1.000)</t>
  </si>
  <si>
    <t>L01-OPD-DC2-L036-01</t>
  </si>
  <si>
    <t>L01-OPD-DC2-L021-01</t>
  </si>
  <si>
    <t>L01-OPD-DC2-U0233-01</t>
  </si>
  <si>
    <t>L01-OPD-DC2-L033-01</t>
  </si>
  <si>
    <t>L01-OPD-DC2-L021-02</t>
  </si>
  <si>
    <t>L01-OPD-DC2-L021-04</t>
  </si>
  <si>
    <t>L01-OPD-DC2-L021-06</t>
  </si>
  <si>
    <t>L01-OPD-DC2-L021-07</t>
  </si>
  <si>
    <t>L01-OPD-DC2-L021-10</t>
  </si>
  <si>
    <t>L01-OPD-DC2-L033-02</t>
  </si>
  <si>
    <t>L01-OPD-DC2-L033-03</t>
  </si>
  <si>
    <t>L01-OPD-DC2-L033-04</t>
  </si>
  <si>
    <t>L01-OPD-DC2-L033-06</t>
  </si>
  <si>
    <t>L01-OPD-DC5-S108-01</t>
  </si>
  <si>
    <t>L01-OPD-DC5-S060-01</t>
  </si>
  <si>
    <t>L01-OPD-DC5-S028-02</t>
  </si>
  <si>
    <t>L01-OPD-NIC-S132-01</t>
  </si>
  <si>
    <t>L01-OPD-NIC-U0421-01</t>
  </si>
  <si>
    <t>L01-OPD-NIC-L025-01</t>
  </si>
  <si>
    <t>L01-OPD-NIC-U0426-01</t>
  </si>
  <si>
    <t>L01-OPD-NIC-L025-02</t>
  </si>
  <si>
    <t>L01-OPD-NIC-L025-03</t>
  </si>
  <si>
    <t>L01-OPD-NIC-L025-04</t>
  </si>
  <si>
    <t>L01-COR-CSV-U0794-01</t>
  </si>
  <si>
    <t>L01-COR-CSV-S115-66</t>
  </si>
  <si>
    <t>L01-COR-CSV-S115-67</t>
  </si>
  <si>
    <t>L01-COR-CSV-U0809-01</t>
  </si>
  <si>
    <t>L01-COR-CSV-S125-01</t>
  </si>
  <si>
    <t>L01-COR-CSV-S053-01</t>
  </si>
  <si>
    <t>L01-COR-CSV-S053-02</t>
  </si>
  <si>
    <t>L01-COR-CSV-S074-08</t>
  </si>
  <si>
    <t>L01-OPD-NEU-S109-01</t>
  </si>
  <si>
    <t>L01-OPD-NEU-U0408-01</t>
  </si>
  <si>
    <t>L01-OPD-NEU-S053-01</t>
  </si>
  <si>
    <t>L01-OPD-NEU-L027-01</t>
  </si>
  <si>
    <t>L01-OPD-NEU-U0411-01</t>
  </si>
  <si>
    <t>L01-OPD-NEU-S015-01</t>
  </si>
  <si>
    <t>L01-OPD-NEU-L027-02</t>
  </si>
  <si>
    <t>L01-OPD-NEU-L027-03</t>
  </si>
  <si>
    <t>L01-OPD-NEU-L027-04</t>
  </si>
  <si>
    <t>L01-OPD-NEU-L027-05</t>
  </si>
  <si>
    <t>L01-OPD-NEU-L027-06</t>
  </si>
  <si>
    <t>L01-OPD-NEU-L028-02</t>
  </si>
  <si>
    <t>L01-CAM-CIR-C001-06</t>
  </si>
  <si>
    <t>Vector(X = 0.104, Y = -0.995, Z = 0.000, Length = 1.000)</t>
  </si>
  <si>
    <t>L01-OPD-CIR-C001-04</t>
  </si>
  <si>
    <t>Vector(X = 0.364, Y = -0.931, Z = 0.000, Length = 1.000)</t>
  </si>
  <si>
    <t>Vector(X = 0.321, Y = -0.947, Z = 0.000, Length = 1.000)</t>
  </si>
  <si>
    <t>L01-OPD-DC2-U1368-01</t>
  </si>
  <si>
    <t>L01-CAR-CIR-C001-02</t>
  </si>
  <si>
    <t>Vector(X = 0.418, Y = -0.908, Z = 0.000, Length = 1.000)</t>
  </si>
  <si>
    <t>Vector(X = 0.411, Y = -0.912, Z = 0.000, Length = 1.000)</t>
  </si>
  <si>
    <t>L01-CIR-CIR-C008-04</t>
  </si>
  <si>
    <t>L01-CIR-CIR-C008-03</t>
  </si>
  <si>
    <t>L01-CIR-CIR-C008-02</t>
  </si>
  <si>
    <t>L01-CIR-CIR-C008-01</t>
  </si>
  <si>
    <t>L01-CIR-CIR-C008-08</t>
  </si>
  <si>
    <t>L01-CIR-CIR-C006-01</t>
  </si>
  <si>
    <t>L01-HUB-ITH-U1343-02</t>
  </si>
  <si>
    <t>Vector(X = -0.873, Y = -0.489, Z = 0.000, Length = 1.000)</t>
  </si>
  <si>
    <t>L01-CAR-DCU-S075-01</t>
  </si>
  <si>
    <t>Vector(X = 0.231, Y = -0.973, Z = 0.000, Length = 1.000)</t>
  </si>
  <si>
    <t>L01-OPD-C4W-S115-02</t>
  </si>
  <si>
    <t>L01-OPD-CIR-C001-07</t>
  </si>
  <si>
    <t>Vector(X = 0.499, Y = -0.866, Z = 0.000, Length = 1.000)</t>
  </si>
  <si>
    <t>Vector(X = 0.516, Y = -0.857, Z = 0.000, Length = 1.000)</t>
  </si>
  <si>
    <t>Vector(X = 0.509, Y = -0.861, Z = 0.000, Length = 1.000)</t>
  </si>
  <si>
    <t>L01-CIR-CIR-C006-04</t>
  </si>
  <si>
    <t>L01-CIR-CIR-C006-02</t>
  </si>
  <si>
    <t>L01-CIR-CIR-C006-03</t>
  </si>
  <si>
    <t>L01-CAR-INP-L026-01</t>
  </si>
  <si>
    <t>Vector(X = 0.213, Y = -0.977, Z = 0.000, Length = 1.000)</t>
  </si>
  <si>
    <t>L02-PON-ACC-L008-01</t>
  </si>
  <si>
    <t>L02-PON-ACC-L008-21</t>
  </si>
  <si>
    <t>L02-PON-ACC-L008-03</t>
  </si>
  <si>
    <t>L02-PON-ACC-L008-04</t>
  </si>
  <si>
    <t>L02-PON-ACC-L008-05</t>
  </si>
  <si>
    <t>L02-PON-ACC-L008-06</t>
  </si>
  <si>
    <t>L02-PON-ACC-L008-07</t>
  </si>
  <si>
    <t>L02-PON-ACC-L008-08</t>
  </si>
  <si>
    <t>L02-PON-ACC-L008-09</t>
  </si>
  <si>
    <t>L02-PON-ACC-L008-10</t>
  </si>
  <si>
    <t>L02-PON-ACC-L008-11</t>
  </si>
  <si>
    <t>L02-PON-ACC-L008-12</t>
  </si>
  <si>
    <t>L02-PON-ACC-L008-13</t>
  </si>
  <si>
    <t>L02-PON-ACC-L008-14</t>
  </si>
  <si>
    <t>L02-PON-ACC-L008-15</t>
  </si>
  <si>
    <t>L02-PON-ACC-L008-16</t>
  </si>
  <si>
    <t>L02-PON-ACC-L008-18</t>
  </si>
  <si>
    <t>L02-PON-ACC-S041-02</t>
  </si>
  <si>
    <t>L02-PON-ACC-S041-01</t>
  </si>
  <si>
    <t>L02-PON-ACC-L008-22</t>
  </si>
  <si>
    <t>L02-PON-ACC-L008-29</t>
  </si>
  <si>
    <t>L02-PON-ACC-L008-30</t>
  </si>
  <si>
    <t>L02-DCU-DMS-S089-04</t>
  </si>
  <si>
    <t>L02-DCU-DMS-S043-04</t>
  </si>
  <si>
    <t>L02-DCU-DMS-S083-01</t>
  </si>
  <si>
    <t>L02-DCU-DMS-S060-01</t>
  </si>
  <si>
    <t>L02-DCU-DMS-S077-01</t>
  </si>
  <si>
    <t>L02-DCU-DMS-S095-01</t>
  </si>
  <si>
    <t>L02-DCU-DMS-S085-09</t>
  </si>
  <si>
    <t>Vector(X = 0.417, Y = -0.909, Z = 0.000, Length = 1.000)</t>
  </si>
  <si>
    <t>L02-DCU-DMS-S089-02</t>
  </si>
  <si>
    <t>L02-DCU-DMS-S089-03</t>
  </si>
  <si>
    <t>L02-DCU-DMS-S085-20</t>
  </si>
  <si>
    <t>L02-DCU-DMS-S085-21</t>
  </si>
  <si>
    <t>L02-DCU-DMS-S085-22</t>
  </si>
  <si>
    <t>L02-DCU-DMS-S085-23</t>
  </si>
  <si>
    <t>L02-DCU-DMS-S085-27</t>
  </si>
  <si>
    <t>L02-DCU-DMS-S085-28</t>
  </si>
  <si>
    <t>L02-DCU-DMS-S085-29</t>
  </si>
  <si>
    <t>L02-DCU-DMS-S085-30</t>
  </si>
  <si>
    <t>L02-DCU-DMS-S085-31</t>
  </si>
  <si>
    <t>L02-DCU-DMS-S085-32</t>
  </si>
  <si>
    <t>L02-DCU-DMS-S089-05</t>
  </si>
  <si>
    <t>L02-DCU-DMS-S083-03</t>
  </si>
  <si>
    <t>L02-DCU-DMS-S083-04</t>
  </si>
  <si>
    <t>L02-DCU-DMS-S083-05</t>
  </si>
  <si>
    <t>L02-DCU-DMS-S083-06</t>
  </si>
  <si>
    <t>L02-DCU-DMS-S083-08</t>
  </si>
  <si>
    <t>L02-DCU-DMS-S083-13</t>
  </si>
  <si>
    <t>L02-DCU-DMS-S083-14</t>
  </si>
  <si>
    <t>L02-DCU-DMS-S083-15</t>
  </si>
  <si>
    <t>L02-DCU-DMS-S083-16</t>
  </si>
  <si>
    <t>L02-DCU-DMS-S083-17</t>
  </si>
  <si>
    <t>L02-DCU-DMS-S083-18</t>
  </si>
  <si>
    <t>L02-DCU-DMS-S083-19</t>
  </si>
  <si>
    <t>L02-DCU-DMS-S083-20</t>
  </si>
  <si>
    <t>L02-THE-DOT-L004-02</t>
  </si>
  <si>
    <t>Vector(X = 0.260, Y = -0.966, Z = 0.000, Length = 1.000)</t>
  </si>
  <si>
    <t>L02-THE-DOT-S050-01</t>
  </si>
  <si>
    <t>Vector(X = 0.552, Y = -0.834, Z = 0.000, Length = 1.000)</t>
  </si>
  <si>
    <t>L02-THE-DOT-S115-04</t>
  </si>
  <si>
    <t>Vector(X = 0.350, Y = -0.937, Z = 0.000, Length = 1.000)</t>
  </si>
  <si>
    <t>L02-IPA-GW9-S014-01</t>
  </si>
  <si>
    <t>L02-IPA-GW9-S013-01</t>
  </si>
  <si>
    <t>Vector(X = 0.458, Y = -0.889, Z = 0.000, Length = 1.000)</t>
  </si>
  <si>
    <t>L02-IPA-GW9-S014-02</t>
  </si>
  <si>
    <t>L02-IPA-GW9-S014-03</t>
  </si>
  <si>
    <t>L02-IPA-GW9-S014-04</t>
  </si>
  <si>
    <t>L02-IPA-GW9-S014-05</t>
  </si>
  <si>
    <t>L02-IPA-GW9-S014-06</t>
  </si>
  <si>
    <t>L02-IPA-GW9-S014-07</t>
  </si>
  <si>
    <t>L02-IPA-GW9-S014-08</t>
  </si>
  <si>
    <t>L02-IPA-GW9-S014-09</t>
  </si>
  <si>
    <t>L02-IPA-GW9-S014-14</t>
  </si>
  <si>
    <t>L02-IPA-GW9-S014-15</t>
  </si>
  <si>
    <t>L02-IPA-GW9-S014-16</t>
  </si>
  <si>
    <t>L02-IPA-GW9-S014-17</t>
  </si>
  <si>
    <t>L02-IPA-GW9-S014-18</t>
  </si>
  <si>
    <t>L02-IPA-GW9-S014-19</t>
  </si>
  <si>
    <t>L02-IPA-GW9-S014-20</t>
  </si>
  <si>
    <t>L02-IPA-GW9-S014-21</t>
  </si>
  <si>
    <t>L02-IPA-GW9-S014-22</t>
  </si>
  <si>
    <t>L02-REE-PPR-L018-01</t>
  </si>
  <si>
    <t>L02-REE-PPR-U1053-01</t>
  </si>
  <si>
    <t>L02-REE-PPR-S139-01</t>
  </si>
  <si>
    <t>L02-REE-PPR-U1057-01</t>
  </si>
  <si>
    <t>L02-REE-PPR-S028-03</t>
  </si>
  <si>
    <t>L02-REE-PPR-L018-02</t>
  </si>
  <si>
    <t>L02-REE-PPR-L018-03</t>
  </si>
  <si>
    <t>L02-REE-PPR-L018-04</t>
  </si>
  <si>
    <t>L02-THR-RPM-S146-01</t>
  </si>
  <si>
    <t>Vector(X = -0.206, Y = -0.979, Z = 0.000, Length = 1.000)</t>
  </si>
  <si>
    <t>L02-THR-RPM-U0762-01</t>
  </si>
  <si>
    <t>L02-THR-RPM-U0763-01</t>
  </si>
  <si>
    <t>L02-THR-RPM-S075-01</t>
  </si>
  <si>
    <t>L02-THR-RPM-U0766-01</t>
  </si>
  <si>
    <t>L02-THR-RPM-S099-01</t>
  </si>
  <si>
    <t>L02-THR-RPM-S075-02</t>
  </si>
  <si>
    <t>L02-HOS-DOE-L015-01</t>
  </si>
  <si>
    <t>L02-HOS-DOE-L015-02</t>
  </si>
  <si>
    <t>L02-HOS-DOE-S134-01</t>
  </si>
  <si>
    <t>L02-HOS-DOE-S134-02</t>
  </si>
  <si>
    <t>L02-HOS-DOE-U0696-01</t>
  </si>
  <si>
    <t>L02-HOS-DOE-S095-01</t>
  </si>
  <si>
    <t>L02-IPA-SHS-S038-01</t>
  </si>
  <si>
    <t>Vector(X = 0.559, Y = -0.829, Z = 0.000, Length = 1.000)</t>
  </si>
  <si>
    <t>L02-IPA-GW9-S094-01</t>
  </si>
  <si>
    <t>L02-DCU-DMS-U1108-01</t>
  </si>
  <si>
    <t>Vector(X = 0.526, Y = -0.850, Z = 0.000, Length = 1.000)</t>
  </si>
  <si>
    <t>L02-DCU-DMS-U1207-01</t>
  </si>
  <si>
    <t>Vector(X = 0.543, Y = -0.840, Z = 0.000, Length = 1.000)</t>
  </si>
  <si>
    <t>L02-DCU-DMS-S139-06</t>
  </si>
  <si>
    <t>L02-PON-CIR-C001-02</t>
  </si>
  <si>
    <t>L02-DCU-CIR-C001-07</t>
  </si>
  <si>
    <t>L02-CIR-CIR-C008-01</t>
  </si>
  <si>
    <t>L02-CIR-CIR-C008-03</t>
  </si>
  <si>
    <t>L02-CIR-CIR-C008-04</t>
  </si>
  <si>
    <t>L02-CIR-CIR-C008-06</t>
  </si>
  <si>
    <t>L02-CIR-CIR-C001-07</t>
  </si>
  <si>
    <t>L02-CIR-CIR-C006-05</t>
  </si>
  <si>
    <t>L02-CIR-CIR-C006-07</t>
  </si>
  <si>
    <t>L02-CIR-CIR-C006-04</t>
  </si>
  <si>
    <t>L02-CIR-CIR-C006-01</t>
  </si>
  <si>
    <t>L02-DCU-DMS-S132-01</t>
  </si>
  <si>
    <t>L02-CIR-CIR-C001-14</t>
  </si>
  <si>
    <t>Vector(X = 0.317, Y = -0.948, Z = 0.000, Length = 1.000)</t>
  </si>
  <si>
    <t>Vector(X = 0.347, Y = -0.938, Z = 0.000, Length = 1.000)</t>
  </si>
  <si>
    <t>L02-REE-PPR-S139-03</t>
  </si>
  <si>
    <t>L03-6-PHA-DPA-U0621-01</t>
  </si>
  <si>
    <t>Family Type: Curtain Wall_1950w x 3800h, Family: Window External Type 5 - Flush</t>
  </si>
  <si>
    <t>L03-CIR-CIR-C008-05</t>
  </si>
  <si>
    <t>Family Type: Curtain Wall_Bespoke 1 - 1979.5 x 3800, Family: Window External Type 5 - Flush Instance Width</t>
  </si>
  <si>
    <t>Family Type: Curtain Wall_975w x 3800h, Family: Window External Type 5 - Flush</t>
  </si>
  <si>
    <t>L03-ONC-DW3-S115-43</t>
  </si>
  <si>
    <t>Vector(X = -0.302, Y = 0.953, Z = 0.000, Length = 1.000)</t>
  </si>
  <si>
    <t>L03-THR-MSW-S095-01</t>
  </si>
  <si>
    <t>Vector(X = -0.170, Y = 0.985, Z = 0.000, Length = 1.000)</t>
  </si>
  <si>
    <t>L03-THR-MSW-S115-02</t>
  </si>
  <si>
    <t>L03-THR-NAD-S115-01</t>
  </si>
  <si>
    <t>Family Type: Curtain Wall_1950x1950x3800, Family: Window External Type 5 - Flush Corner 2</t>
  </si>
  <si>
    <t>Vector(X = -0.010, Y = 1.000, Z = 0.000, Length = 1.000)</t>
  </si>
  <si>
    <t>L03-PHA-PHA-U0609-01</t>
  </si>
  <si>
    <t>L03-PHA-PHA-U0610-01</t>
  </si>
  <si>
    <t>L03-PHA-PHA-S115-02</t>
  </si>
  <si>
    <t>Family Type: Curtain Wall_975x1950x4100, Family: Window External Type 5 - Flush Corner 5</t>
  </si>
  <si>
    <t>L03-PHA-PHA-S062-01</t>
  </si>
  <si>
    <t>L03-PHA-PHA-U0611-01</t>
  </si>
  <si>
    <t>L03-PHA-PHA-U0619-01</t>
  </si>
  <si>
    <t>L03-PHA-PHA-S094-01</t>
  </si>
  <si>
    <t>L03-PHA-PHA-S024-01</t>
  </si>
  <si>
    <t>L03-PHA-CYT-L023-02</t>
  </si>
  <si>
    <t>L03-PHA-PHA-S016-03</t>
  </si>
  <si>
    <t>L03-PHA-PHA-S062-02</t>
  </si>
  <si>
    <t>L03-PHA-PHA-S114-04</t>
  </si>
  <si>
    <t>L03-PHA-PHA-S114-05</t>
  </si>
  <si>
    <t>L03-THR-PSY-S115-23</t>
  </si>
  <si>
    <t>L03-THR-POT-L023-01</t>
  </si>
  <si>
    <t>L03-THR-POT-U0712-01</t>
  </si>
  <si>
    <t>Family Type: Curtain Wall_2264x1950x4100, Family: Window External Type 5 - Flush Corner 2</t>
  </si>
  <si>
    <t>L03-THR-POT-U0714-01</t>
  </si>
  <si>
    <t>L03-THR-POT-L086-01</t>
  </si>
  <si>
    <t>L03-THR-POT-U0717-01</t>
  </si>
  <si>
    <t>L03-THR-POT-U0718-01</t>
  </si>
  <si>
    <t>L03-THR-POT-S109-01</t>
  </si>
  <si>
    <t>Family Type: Curtain Wall_975w x 1000h, Family: Window External Type 5 - Flush</t>
  </si>
  <si>
    <t>Family Type: Curtain Wall_1950w x 1000h, Family: Window External Type 5 - Flush</t>
  </si>
  <si>
    <t>L03-THR-POT-U0728-01</t>
  </si>
  <si>
    <t>L03-THR-POT-U0729-01</t>
  </si>
  <si>
    <t>L03-THR-POT-S038-01</t>
  </si>
  <si>
    <t>L03-THR-POT-S022-01</t>
  </si>
  <si>
    <t>L03-THR-POT-S115-02</t>
  </si>
  <si>
    <t>Family Type: Curtain Wall_2210w x 3800h, Family: Window External Type 5 - Flush</t>
  </si>
  <si>
    <t>L03-THR-POT-S115-30</t>
  </si>
  <si>
    <t>Family Type: Curtain Wall_1500w x 3800h, Family: Window External Type 5 - Flush</t>
  </si>
  <si>
    <t>Family Type: Curtain Wall_Bespoke 1 - 1500 x 1000h, Family: Window External Type 5 - Flush</t>
  </si>
  <si>
    <t>Family Type: Curtain Wall_650w x 3800h, Family: Window External Type 5 - Flush</t>
  </si>
  <si>
    <t>L03-THR-POT-S061-01</t>
  </si>
  <si>
    <t>Family Type: Curtain Wall_Bespoke 1 - 1950 x 1000h, Family: Window External Type 5 - Flush</t>
  </si>
  <si>
    <t>Family Type: Curtain Wall_975w x 3050h, Family: Panel External Type 1 - Flush</t>
  </si>
  <si>
    <t>L03-THR-POT-L023-02</t>
  </si>
  <si>
    <t>L03-THR-POT-L023-03</t>
  </si>
  <si>
    <t>L03-THR-POT-L023-04</t>
  </si>
  <si>
    <t>L03-EDU-ETC-L017-01</t>
  </si>
  <si>
    <t>L03-EDU-ETC-L017-02</t>
  </si>
  <si>
    <t>L03-EDU-ETC-L079-01</t>
  </si>
  <si>
    <t>Family Type: Curtain Wall_Bespoke 1 - 975 x 1050, Family: Window External Type 5 - Flush Instance Width</t>
  </si>
  <si>
    <t>L03-EDU-ETC-L078-01</t>
  </si>
  <si>
    <t>L03-EDU-ETC-U0962-01</t>
  </si>
  <si>
    <t>L03-EDU-ETC-S094-01</t>
  </si>
  <si>
    <t>L03-EDU-ETC-U0973-01</t>
  </si>
  <si>
    <t>L03-EDU-ETC-S067-01</t>
  </si>
  <si>
    <t>L03-EDU-ETC-L017-03</t>
  </si>
  <si>
    <t>L03-EDU-ETC-L086-02</t>
  </si>
  <si>
    <t>L03-EDU-ETC-L086-03</t>
  </si>
  <si>
    <t>L03-EDU-ETC-L086-04</t>
  </si>
  <si>
    <t>L03-EDU-ETC-L086-06</t>
  </si>
  <si>
    <t>L03-EDU-ETC-L078-02</t>
  </si>
  <si>
    <t>L03-EDU-ETC-L078-03</t>
  </si>
  <si>
    <t>L03-EDU-ETC-L078-04</t>
  </si>
  <si>
    <t>L03-COR-DIR-S115-01</t>
  </si>
  <si>
    <t>Vector(X = 0.302, Y = -0.953, Z = 0.000, Length = 1.000)</t>
  </si>
  <si>
    <t>L03-PHA-GEN-C002-01</t>
  </si>
  <si>
    <t>L03-PHA-GEN-C002-03</t>
  </si>
  <si>
    <t>Family Type: Curtain Wall_1275w x 4100h, Family: Window External Type 5 - Flush</t>
  </si>
  <si>
    <t>L03-PHA-CIR-C001-01</t>
  </si>
  <si>
    <t>L03-PHA-CIR-C001-04</t>
  </si>
  <si>
    <t>Family Type: Curtain Wall_1950 x 4100, Family: Panel External Type 1 - Flush</t>
  </si>
  <si>
    <t>L03-CIR-CIR-C003-06</t>
  </si>
  <si>
    <t>L03-CIR-CIR-C008-09</t>
  </si>
  <si>
    <t>L03-CIR-CIR-C008-01</t>
  </si>
  <si>
    <t>L03-PLA-PLA-U1831-01</t>
  </si>
  <si>
    <t>L03-CIR-CIR-C006-07</t>
  </si>
  <si>
    <t>L03-CIR-CIR-C006-01</t>
  </si>
  <si>
    <t>L03-EDU-ETC-U0962-02</t>
  </si>
  <si>
    <t>L03-EDU-ETC-L079-08</t>
  </si>
  <si>
    <t>WINDOWS-NCH-A-BDP-M3-LG-00</t>
  </si>
  <si>
    <t>WINDOWS-NCH-A-BDP-M3-00-00</t>
  </si>
  <si>
    <t>WINDOWS-NCH-A-BDP-M3-01-00</t>
  </si>
  <si>
    <t>WINDOWS-NCH-A-BDP-M3-02-00</t>
  </si>
  <si>
    <t>WINDOWS-NCH-A-BDP-M3-03-00</t>
  </si>
  <si>
    <t>WINDOWS-NCH-A-BDP-M3-04-00</t>
  </si>
  <si>
    <t>WINDOWS-NCH-A-BDP-M3-05-00</t>
  </si>
  <si>
    <t>WINDOWS-NCH-A-BDP-M3-06-00</t>
  </si>
  <si>
    <t>WINDOWS-NCH-A-BDP-M3-07-00</t>
  </si>
  <si>
    <t>WINDOWS-NCH-A-BDP-M3-B2-00</t>
  </si>
  <si>
    <t>WINDOWS-NCH-A-BDP-M3-B1-00</t>
  </si>
  <si>
    <t>Room Code</t>
  </si>
  <si>
    <t>Room and window</t>
  </si>
  <si>
    <t>Orientation</t>
  </si>
  <si>
    <t>x</t>
  </si>
  <si>
    <t>y</t>
  </si>
  <si>
    <t>z</t>
  </si>
  <si>
    <t>S</t>
  </si>
  <si>
    <t>SW</t>
  </si>
  <si>
    <t>W</t>
  </si>
  <si>
    <t>WN</t>
  </si>
  <si>
    <t>N</t>
  </si>
  <si>
    <t>NE</t>
  </si>
  <si>
    <t>E</t>
  </si>
  <si>
    <t>SE</t>
  </si>
  <si>
    <t>Family Type: Curtain Wall_1590w x 4100h, Family: Window External Type 5 - Flush</t>
  </si>
  <si>
    <t>Family Type: Curtain Wall_1025w x 3200h, Family: Window External Type 6 - Flush, Recessed</t>
  </si>
  <si>
    <t>Family Type: Curtain Wall_Bespoke 1 - 1979.5 x 1050, Family: Window External Type 5 - Flush Instance Width</t>
  </si>
  <si>
    <t>Family Type: Curtain Wall_647w x 3050h, Family: Panel External Type 1 - Flush</t>
  </si>
  <si>
    <t>Family Type: Curtain Wall_1500w x 1000h, Family: Window External Type 5 - Flush</t>
  </si>
  <si>
    <t>Family Type: Curtain Wall_1590w x 1000h, Family: Window External Type 5 - Flush</t>
  </si>
  <si>
    <t>Family Type: 2000w x 3200h, Family: Window Type 30</t>
  </si>
  <si>
    <t>Family Type: 1950w x 3200h, Family: Window Type 50</t>
  </si>
  <si>
    <t>Family Type: 2200w x 3200h, Family: Window Type 10</t>
  </si>
  <si>
    <t>Family Type: 1950w x 3200h, Family: Window Type 50_I</t>
  </si>
  <si>
    <t>Family Type: 2000w x 3200h, Family: Window Type 30_I</t>
  </si>
  <si>
    <t>Family Type: 1200w x 3200h, Family: Window Type 35</t>
  </si>
  <si>
    <t>Family Type: 1200w x 3200h, Family: Window Type 36</t>
  </si>
  <si>
    <t>Family Type: 1600w x 3200h, Family: Window Type 15</t>
  </si>
  <si>
    <t>Family Type: 1200w x 3200h, Family: Window Type 13</t>
  </si>
  <si>
    <t>Family Type: 1950w x 3200h, Family: Window Type 52</t>
  </si>
  <si>
    <t>Family Type: 1755w x 3200, Family: Window Type 55</t>
  </si>
  <si>
    <t>Window type</t>
  </si>
  <si>
    <t>Count in model export</t>
  </si>
  <si>
    <t>angle</t>
  </si>
  <si>
    <t>Orientation2</t>
  </si>
  <si>
    <t>Row Labels</t>
  </si>
  <si>
    <t>Grand Total</t>
  </si>
  <si>
    <t>Column Labels</t>
  </si>
  <si>
    <t>Sum of Area</t>
  </si>
  <si>
    <t>Total Sum of Area</t>
  </si>
  <si>
    <t>B01-PLA-PLA-U1665-01</t>
  </si>
  <si>
    <t>B02-EAF-EWM-S115-01</t>
  </si>
  <si>
    <t>B02-EAF-EWM-S095-01</t>
  </si>
  <si>
    <t>B02-EAF-TEC-U0841-01</t>
  </si>
  <si>
    <t>B02-EAF-TEC-U0842-01</t>
  </si>
  <si>
    <t>B02-EAF-TEC-S115-01</t>
  </si>
  <si>
    <t>B02-EAF-TEC-S115-13</t>
  </si>
  <si>
    <t>B02-EAF-TEC-S115-19</t>
  </si>
  <si>
    <t>B02-EAF-TEC-S115-22</t>
  </si>
  <si>
    <t>B02-EAF-TEC-S063-01</t>
  </si>
  <si>
    <t>B02-EAF-TEC-S095-01</t>
  </si>
  <si>
    <t>B02-PLA-PLA-U1690-01</t>
  </si>
  <si>
    <t>SO</t>
  </si>
  <si>
    <t>O</t>
  </si>
  <si>
    <t>NO</t>
  </si>
  <si>
    <t>Count of Area</t>
  </si>
  <si>
    <t>Total Count of Area</t>
  </si>
  <si>
    <t>Family not to be used</t>
  </si>
  <si>
    <t>Added</t>
  </si>
  <si>
    <t>Curtain Wall_Bespoke 1 - 1979.5 x 3800</t>
  </si>
  <si>
    <t>Curtain Wall_Bespoke 1 - 1979.5 x 1050</t>
  </si>
  <si>
    <t>Curtain Wall_Bespoke 1 - 975 x 1050</t>
  </si>
  <si>
    <t>Type</t>
  </si>
  <si>
    <t>ID</t>
  </si>
  <si>
    <t>Width</t>
  </si>
  <si>
    <t>Height</t>
  </si>
  <si>
    <t>Vector(X = -0.953, Y = -0.302, Z = 0.000, Length = 1.000)</t>
  </si>
  <si>
    <t>Vector(X = -0.985, Y = -0.170, Z = 0.000, Length = 1.000)</t>
  </si>
  <si>
    <t>Vector(X = -1.000, Y = -0.010, Z = 0.000, Length = 1.000)</t>
  </si>
  <si>
    <t>L03-COR-OCR-U0826-01</t>
  </si>
  <si>
    <t>Family Type: 1950w x 3050h, Family: Window Internal Type 1 - Flush</t>
  </si>
  <si>
    <t>Family Type: 975w x 3050h, Family: Window Internal Type 1 - Flush</t>
  </si>
  <si>
    <t>Vector(X = -0.956, Y = 0.294, Z = 0.000, Length = 1.000)</t>
  </si>
  <si>
    <t>Vector(X = -0.962, Y = 0.271, Z = 0.000, Length = 1.000)</t>
  </si>
  <si>
    <t>Vector(X = 1.000, Y = 0.008, Z = 0.000, Length = 1.000)</t>
  </si>
  <si>
    <t>Vector(X = 0.872, Y = 0.489, Z = 0.000, Length = 1.000)</t>
  </si>
  <si>
    <t>Vector(X = -0.988, Y = -0.155, Z = 0.000, Length = 1.000)</t>
  </si>
  <si>
    <t>Vector(X = -0.041, Y = 0.999, Z = 0.000, Length = 1.000)</t>
  </si>
  <si>
    <t>Vector(X = 0.041, Y = -0.999, Z = 0.000, Length = 1.000)</t>
  </si>
  <si>
    <t>Vector(X = 0.130, Y = 0.991, Z = 0.000, Length = 1.000)</t>
  </si>
  <si>
    <t>Vector(X = -0.130, Y = -0.991, Z = 0.000, Length = 1.000)</t>
  </si>
  <si>
    <t>Family Type: 1500w x 3050h, Family: Window Internal Type 1 - Flush</t>
  </si>
  <si>
    <t>Vector(X = -0.488, Y = 0.873, Z = 0.000, Length = 1.000)</t>
  </si>
  <si>
    <t>L03-COR-CIR-C001-02</t>
  </si>
  <si>
    <t>WINDOW ID</t>
  </si>
  <si>
    <t>Area (m2)</t>
  </si>
  <si>
    <t>Vector(X = -0.323, Y = 0.946, Z = 0.000, Length = 1.000)</t>
  </si>
  <si>
    <t>Family Type: 975w x 3050h, Family: Window Internal Type 2a - Recessed</t>
  </si>
  <si>
    <t>Vector(X = 0.921, Y = 0.390, Z = 0.000, Length = 1.000)</t>
  </si>
  <si>
    <t>L02-DCU-DMS-S077-02</t>
  </si>
  <si>
    <t>Family Type: 1500w x 3050h, Family: Window Internal Type 2b - Recessed and Angle</t>
  </si>
  <si>
    <t>Vector(X = 0.909, Y = 0.417, Z = 0.000, Length = 1.000)</t>
  </si>
  <si>
    <t>Family Type: 1500w x 3050h, Family: Window Internal Type 2a - Recessed</t>
  </si>
  <si>
    <t>Vector(X = 0.866, Y = 0.499, Z = 0.000, Length = 1.000)</t>
  </si>
  <si>
    <t>Family Type: 1950w x 3050h, Family: Window Internal Type 2b - Recessed and Angle</t>
  </si>
  <si>
    <t>Vector(X = 0.966, Y = 0.260, Z = 0.000, Length = 1.000)</t>
  </si>
  <si>
    <t>Vector(X = 0.834, Y = 0.552, Z = 0.000, Length = 1.000)</t>
  </si>
  <si>
    <t>Vector(X = 0.937, Y = 0.350, Z = 0.000, Length = 1.000)</t>
  </si>
  <si>
    <t>Family Type: 3490w x 3050h, Family: Window External Type 3 - Recessed and Angle with Type 1 Flush</t>
  </si>
  <si>
    <t>Vector(X = -0.530, Y = 0.848, Z = 0.000, Length = 1.000)</t>
  </si>
  <si>
    <t>Vector(X = 0.889, Y = 0.458, Z = 0.000, Length = 1.000)</t>
  </si>
  <si>
    <t>Vector(X = -0.429, Y = 0.903, Z = 0.000, Length = 1.000)</t>
  </si>
  <si>
    <t>L02-REE-PPR-S023-01</t>
  </si>
  <si>
    <t>Vector(X = 0.973, Y = 0.232, Z = 0.000, Length = 1.000)</t>
  </si>
  <si>
    <t>Vector(X = 0.977, Y = 0.213, Z = 0.000, Length = 1.000)</t>
  </si>
  <si>
    <t>Family Type: 1950w x 3050h, Family: Window Internal Type 2a - Recessed</t>
  </si>
  <si>
    <t>Vector(X = 0.979, Y = -0.206, Z = 0.000, Length = 1.000)</t>
  </si>
  <si>
    <t>Vector(X = 0.829, Y = 0.559, Z = 0.000, Length = 1.000)</t>
  </si>
  <si>
    <t>Vector(X = 0.920, Y = 0.393, Z = 0.000, Length = 1.000)</t>
  </si>
  <si>
    <t>Vector(X = 0.850, Y = 0.526, Z = 0.000, Length = 1.000)</t>
  </si>
  <si>
    <t>Vector(X = 0.840, Y = 0.543, Z = 0.000, Length = 1.000)</t>
  </si>
  <si>
    <t>Vector(X = 0.948, Y = 0.317, Z = 0.000, Length = 1.000)</t>
  </si>
  <si>
    <t>Vector(X = 0.931, Y = 0.364, Z = 0.000, Length = 1.000)</t>
  </si>
  <si>
    <t>Vector(X = 0.938, Y = 0.347, Z = 0.000, Length = 1.000)</t>
  </si>
  <si>
    <t>Family Type: 3000w x 3050h, Family: Window External Type 3 - Recessed and Angle with Type 1 Flush</t>
  </si>
  <si>
    <t>Vector(X = 0.980, Y = -0.200, Z = 0.000, Length = 1.000)</t>
  </si>
  <si>
    <t>Vector(X = 0.984, Y = -0.175, Z = 0.000, Length = 1.000)</t>
  </si>
  <si>
    <t>L01-CAM-INP-S044-05</t>
  </si>
  <si>
    <t>Vector(X = 0.936, Y = 0.352, Z = 0.000, Length = 1.000)</t>
  </si>
  <si>
    <t>Vector(X = 0.964, Y = 0.264, Z = 0.000, Length = 1.000)</t>
  </si>
  <si>
    <t>Vector(X = 0.967, Y = 0.254, Z = 0.000, Length = 1.000)</t>
  </si>
  <si>
    <t>Vector(X = 0.941, Y = 0.339, Z = 0.000, Length = 1.000)</t>
  </si>
  <si>
    <t>Vector(X = 0.947, Y = 0.321, Z = 0.000, Length = 1.000)</t>
  </si>
  <si>
    <t>L01-CAR-CIR-C001-07</t>
  </si>
  <si>
    <t>Family Type: 650w x 3050h, Family: Window Internal Type 1 - Flush</t>
  </si>
  <si>
    <t>L01-HUB-ITH-U1343-03</t>
  </si>
  <si>
    <t>Vector(X = 0.973, Y = 0.231, Z = 0.000, Length = 1.000)</t>
  </si>
  <si>
    <t>L01-MAI-PUB-U1830-01</t>
  </si>
  <si>
    <t>L01-MAI-PUB-U1830-03</t>
  </si>
  <si>
    <t>Vector(X = 0.987, Y = -0.161, Z = 0.000, Length = 1.000)</t>
  </si>
  <si>
    <t>Vector(X = -0.996, Y = 0.087, Z = 0.000, Length = 1.000)</t>
  </si>
  <si>
    <t>Vector(X = -0.992, Y = -0.128, Z = 0.000, Length = 1.000)</t>
  </si>
  <si>
    <t>L00-OPD-CC4-S028-16</t>
  </si>
  <si>
    <t>L00-EMG-EDI-S103-01</t>
  </si>
  <si>
    <t>L00-EMG-EDI-S115-01</t>
  </si>
  <si>
    <t>Family Type: Curtain Wall_1950w x 3050h, Family: Window External Type 6 - Flush, Recessed</t>
  </si>
  <si>
    <t>Family Type: Curtain Wall_975w x 3050h 2, Family: Window External Type 6 - Flush, Recessed</t>
  </si>
  <si>
    <t>Family Type: Curtain Wall_1500w x 3050h, Family: Window External Type 6 - Flush, Recessed</t>
  </si>
  <si>
    <t>L00-EMG-REA-X009-01</t>
  </si>
  <si>
    <t>L00-EMG-REA-X010-01</t>
  </si>
  <si>
    <t>L00-EMG-OTA-S096-01</t>
  </si>
  <si>
    <t>L00-EMG-OTA-S108-01</t>
  </si>
  <si>
    <t>L00-EMG-OTA-S069-05</t>
  </si>
  <si>
    <t>L00-EMG-SWS-S115-02</t>
  </si>
  <si>
    <t>L00-EMG-SWS-S094-01</t>
  </si>
  <si>
    <t>L00-EMG-SWS-S095-01</t>
  </si>
  <si>
    <t>Vector(X = 0.967, Y = 0.253, Z = 0.000, Length = 1.000)</t>
  </si>
  <si>
    <t>Vector(X = 0.970, Y = 0.245, Z = 0.000, Length = 1.000)</t>
  </si>
  <si>
    <t>Vector(X = 0.901, Y = 0.434, Z = 0.000, Length = 1.000)</t>
  </si>
  <si>
    <t>Vector(X = 0.948, Y = 0.319, Z = 0.000, Length = 1.000)</t>
  </si>
  <si>
    <t>Vector(X = 0.914, Y = 0.405, Z = 0.000, Length = 1.000)</t>
  </si>
  <si>
    <t>Vector(X = 0.916, Y = 0.401, Z = 0.000, Length = 1.000)</t>
  </si>
  <si>
    <t>L00-OPD-C4W-S115-92</t>
  </si>
  <si>
    <t>Vector(X = -0.991, Y = 0.132, Z = 0.000, Length = 1.000)</t>
  </si>
  <si>
    <t>L00-EMG-OTA-S036-01</t>
  </si>
  <si>
    <t>Vector(X = 0.948, Y = 0.320, Z = 0.000, Length = 1.000)</t>
  </si>
  <si>
    <t>Vector(X = 0.955, Y = 0.297, Z = 0.000, Length = 1.000)</t>
  </si>
  <si>
    <t>Vector(X = 0.962, Y = 0.272, Z = 0.000, Length = 1.000)</t>
  </si>
  <si>
    <t>Family Type: 975w x 2400h, Family: Panel External Type 1 - Flush</t>
  </si>
  <si>
    <t>Vector(X = 0.959, Y = 0.282, Z = 0.000, Length = 1.000)</t>
  </si>
  <si>
    <t>LG-EAF-MOR-U0865-01</t>
  </si>
  <si>
    <t>LG-CST-CEL-C002-01</t>
  </si>
  <si>
    <t>LG-EAF-MOR-S115-01</t>
  </si>
  <si>
    <t>LG-OPD-CIR-C001-28</t>
  </si>
  <si>
    <t>LG-EAF-SFK-S017-01</t>
  </si>
  <si>
    <t>LG-MAI-PUB-U1830-01</t>
  </si>
  <si>
    <t>LG-MAI-PUB-U1830-02</t>
  </si>
  <si>
    <t>OLD</t>
  </si>
  <si>
    <t>LG-PAT-HIS-U0449-01</t>
  </si>
  <si>
    <t>LG-PAT-HAE-U0457-01</t>
  </si>
  <si>
    <t>LG-PAT-HAE-U0458-01</t>
  </si>
  <si>
    <t>LG-PAT-HAE-U0465-01</t>
  </si>
  <si>
    <t>LG-PAT-HAE-U0471-01</t>
  </si>
  <si>
    <t>LG-PAT-HAE-U0472-01</t>
  </si>
  <si>
    <t>LG-PAT-HAE-U0473-01</t>
  </si>
  <si>
    <t>LG-PAT-TRA-U0478-01</t>
  </si>
  <si>
    <t>LG-PAT-TRA-U0479-01</t>
  </si>
  <si>
    <t>LG-PAT-TRA-U0482-01</t>
  </si>
  <si>
    <t>LG-PAT-TRA-S115-06</t>
  </si>
  <si>
    <t>LG-PAT-BIO-U0485-01</t>
  </si>
  <si>
    <t>LG-PAT-BIO-U0486-01</t>
  </si>
  <si>
    <t>LG-PAT-BIO-U0487-01</t>
  </si>
  <si>
    <t>LG-PAT-BIO-S115-11</t>
  </si>
  <si>
    <t>LG-PAT-MET-U0494-01</t>
  </si>
  <si>
    <t>LG-PAT-MET-U0495-01</t>
  </si>
  <si>
    <t>LG-PAT-NNS-S115-15</t>
  </si>
  <si>
    <t>LG-PAT-MIC-U0504-01</t>
  </si>
  <si>
    <t>LG-PAT-MIC-U0505-01</t>
  </si>
  <si>
    <t>LG-PAT-MIC-U0506-01</t>
  </si>
  <si>
    <t>LG-PAT-MOL-U0510-01</t>
  </si>
  <si>
    <t>LG-PAT-MOL-U0511-01</t>
  </si>
  <si>
    <t>LG-PAT-MOL-U0512-01</t>
  </si>
  <si>
    <t>LG-PAT-MOL-U0514-01</t>
  </si>
  <si>
    <t>LG-PAT-MOL-U0516-01</t>
  </si>
  <si>
    <t>LG-PAT-MOL-U0517-01</t>
  </si>
  <si>
    <t>LG-PAT-CLF-U0524-01</t>
  </si>
  <si>
    <t>LG-PAT-TRA-S115-12</t>
  </si>
  <si>
    <t>LG-PAT-TRA-S115-24</t>
  </si>
  <si>
    <t>LG-PAT-TRA-S115-30</t>
  </si>
  <si>
    <t>LG-PAT-TRA-S115-36</t>
  </si>
  <si>
    <t>LG-PAT-TRA-S115-42</t>
  </si>
  <si>
    <t>L02-THE-ABI-S115-01</t>
  </si>
  <si>
    <t>L02-THE-CRU-U0605-01</t>
  </si>
  <si>
    <t>L02-THE-CRU-U0602-07</t>
  </si>
  <si>
    <t>L02-THE-CRU-U0602-09</t>
  </si>
  <si>
    <t>L02-THE-CRU-U0602-10</t>
  </si>
  <si>
    <t>L02-THE-CRU-U0602-11</t>
  </si>
  <si>
    <t>L02-THE-CRU-U0602-13</t>
  </si>
  <si>
    <t>L02-THE-CRU-U0602-14</t>
  </si>
  <si>
    <t>L02-THE-CRU-U0602-17</t>
  </si>
  <si>
    <t>L02-THE-DOT-S057-01</t>
  </si>
  <si>
    <t>L02-THE-DOT-S023-01</t>
  </si>
  <si>
    <t>L02-THE-DOT-U0534-01</t>
  </si>
  <si>
    <t>L02-THE-DOT-S004-01</t>
  </si>
  <si>
    <t>L02-THE-DOT-U0538-01</t>
  </si>
  <si>
    <t>L02-THE-DOT-U0539-01</t>
  </si>
  <si>
    <t>L02-THE-DOT-S066-05</t>
  </si>
  <si>
    <t>L02-THE-DOT-S066-02</t>
  </si>
  <si>
    <t>L02-THE-DOT-S066-03</t>
  </si>
  <si>
    <t>L02-THE-DOT-U0541-01</t>
  </si>
  <si>
    <t>L02-THE-DOT-U0542-01</t>
  </si>
  <si>
    <t>L02-THE-DOT-U0545-01</t>
  </si>
  <si>
    <t>L02-THE-DOT-U0548-01</t>
  </si>
  <si>
    <t>L02-THE-DOT-S100-02</t>
  </si>
  <si>
    <t>L02-THE-DOT-S004-02</t>
  </si>
  <si>
    <t>L02-THE-DOT-S066-01</t>
  </si>
  <si>
    <t>L02-THE-DOT-U0562-01</t>
  </si>
  <si>
    <t>L02-THE-DOT-S100-01</t>
  </si>
  <si>
    <t>L02-THE-DOT-U0565-01</t>
  </si>
  <si>
    <t>L02-THE-DOT-U0566-01</t>
  </si>
  <si>
    <t>L02-THE-DOT-U0568-01</t>
  </si>
  <si>
    <t>L02-THE-DOT-S004-04</t>
  </si>
  <si>
    <t>L02-THE-DOT-S004-06</t>
  </si>
  <si>
    <t>L02-THE-DOT-S004-10</t>
  </si>
  <si>
    <t>L02-THE-DOT-S004-12</t>
  </si>
  <si>
    <t>L02-THE-DOT-S004-13</t>
  </si>
  <si>
    <t>L02-THE-DOT-S066-04</t>
  </si>
  <si>
    <t>L02-THE-DOT-S066-06</t>
  </si>
  <si>
    <t>L02-THE-DOT-S066-08</t>
  </si>
  <si>
    <t>L02-THE-DOT-S066-10</t>
  </si>
  <si>
    <t>L02-THE-DOT-S066-12</t>
  </si>
  <si>
    <t>L02-THE-DOT-S066-13</t>
  </si>
  <si>
    <t>L02-THE-DOT-U0568-02</t>
  </si>
  <si>
    <t>L02-THE-DOT-S114-08</t>
  </si>
  <si>
    <t>L02-THE-DOT-U0534-02</t>
  </si>
  <si>
    <t>L02-THE-DOT-S004-03</t>
  </si>
  <si>
    <t>L02-THE-DOT-S004-05</t>
  </si>
  <si>
    <t>L02-THE-DOT-S004-08</t>
  </si>
  <si>
    <t>L02-THE-DOT-S004-09</t>
  </si>
  <si>
    <t>L02-THE-DOT-S004-11</t>
  </si>
  <si>
    <t>L02-THE-DOT-U0538-03</t>
  </si>
  <si>
    <t>L02-THE-DOT-S066-11</t>
  </si>
  <si>
    <t>L02-THE-DOT-S066-07</t>
  </si>
  <si>
    <t>L02-THE-DOT-S066-09</t>
  </si>
  <si>
    <t>L02-THE-IVS-U0577-01</t>
  </si>
  <si>
    <t>L02-THE-IVS-U0579-01</t>
  </si>
  <si>
    <t>L02-THE-IVS-U0582-01</t>
  </si>
  <si>
    <t>L02-THE-IVS-U0586-01</t>
  </si>
  <si>
    <t>L02-THE-IVS-S099-01</t>
  </si>
  <si>
    <t>L02-THE-MRI-U0573-01</t>
  </si>
  <si>
    <t>L02-THE-DOT-S066-14</t>
  </si>
  <si>
    <t>L02-THE-DOT-S004-15</t>
  </si>
  <si>
    <t>L02-THE-CRU-S131-09</t>
  </si>
  <si>
    <t>L02-THE-CRU-S130-04</t>
  </si>
  <si>
    <t>L01-ICU-CIC-S087-01</t>
  </si>
  <si>
    <t>L01-ICU-CIC-U0100-01</t>
  </si>
  <si>
    <t>L01-ICU-CIC-S057-01</t>
  </si>
  <si>
    <t>L01-ICU-CIC-S087-02</t>
  </si>
  <si>
    <t>L01-ICU-CIC-S087-03</t>
  </si>
  <si>
    <t>L01-ICU-CIC-S087-04</t>
  </si>
  <si>
    <t>L01-ICU-CIC-S087-05</t>
  </si>
  <si>
    <t>L01-ICU-CIC-S087-06</t>
  </si>
  <si>
    <t>L01-ICU-CIC-S087-07</t>
  </si>
  <si>
    <t>L01-ICU-CIC-S087-08</t>
  </si>
  <si>
    <t>L01-ICU-CIC-S087-09</t>
  </si>
  <si>
    <t>L01-ICU-CIC-S087-10</t>
  </si>
  <si>
    <t>L01-ICU-CIC-S087-11</t>
  </si>
  <si>
    <t>L01-ICU-CIC-S087-12</t>
  </si>
  <si>
    <t>L01-ICU-CIC-S087-14</t>
  </si>
  <si>
    <t>L01-ICU-CIC-S087-17</t>
  </si>
  <si>
    <t>L01-ICU-CIC-S087-18</t>
  </si>
  <si>
    <t>L01-ICU-CIC-S044-03</t>
  </si>
  <si>
    <t>L01-ICU-NCU-S046-01</t>
  </si>
  <si>
    <t>L01-ICU-NCU-S087-01</t>
  </si>
  <si>
    <t>L01-ICU-NCU-S086-01</t>
  </si>
  <si>
    <t>L01-ICU-NCU-U0107-01</t>
  </si>
  <si>
    <t>L01-ICU-NCU-S057-01</t>
  </si>
  <si>
    <t>L01-ICU-NCU-S087-03</t>
  </si>
  <si>
    <t>L01-ICU-NCU-S087-04</t>
  </si>
  <si>
    <t>L01-ICU-NCU-S087-05</t>
  </si>
  <si>
    <t>L01-ICU-NCU-S087-06</t>
  </si>
  <si>
    <t>L01-ICU-NCU-S087-07</t>
  </si>
  <si>
    <t>L01-ICU-NCU-S087-14</t>
  </si>
  <si>
    <t>L01-ICU-NCU-S087-15</t>
  </si>
  <si>
    <t>L01-ICU-NCU-S087-16</t>
  </si>
  <si>
    <t>L01-ICU-NCU-S086-02</t>
  </si>
  <si>
    <t>L01-ICU-NCU-S115-05</t>
  </si>
  <si>
    <t>L01-ICU-PIC-U0078-01</t>
  </si>
  <si>
    <t>L01-ICU-PIC-S059-01</t>
  </si>
  <si>
    <t>L01-ICU-PIC-U0088-01</t>
  </si>
  <si>
    <t>L01-ICU-PIC-S094-01</t>
  </si>
  <si>
    <t>Vector(X = 0.958, Y = 0.288, Z = 0.000, Length = 1.000)</t>
  </si>
  <si>
    <t>L01-ICU-PIC-U0090-01</t>
  </si>
  <si>
    <t>L01-ICU-PIC-S087-03</t>
  </si>
  <si>
    <t>L01-ICU-PIC-S087-05</t>
  </si>
  <si>
    <t>L01-ICU-PIC-S087-06</t>
  </si>
  <si>
    <t>L01-ICU-PIC-S087-07</t>
  </si>
  <si>
    <t>L01-ICU-PIC-S087-08</t>
  </si>
  <si>
    <t>L01-ICU-PIC-S087-09</t>
  </si>
  <si>
    <t>L01-ICU-PIC-S087-10</t>
  </si>
  <si>
    <t>L01-ICU-PIC-S087-11</t>
  </si>
  <si>
    <t>L01-ICU-PIC-S087-12</t>
  </si>
  <si>
    <t>L01-ICU-PIC-S087-13</t>
  </si>
  <si>
    <t>L01-ICU-PIC-S087-15</t>
  </si>
  <si>
    <t>L01-ICU-PIC-S087-16</t>
  </si>
  <si>
    <t>L01-ICU-PIC-S087-17</t>
  </si>
  <si>
    <t>L01-ICU-PIC-S087-18</t>
  </si>
  <si>
    <t>L01-ICU-SPN-U0118-01</t>
  </si>
  <si>
    <t>L01-ICU-SPN-U0119-01</t>
  </si>
  <si>
    <t>L01-ICU-SPN-S115-01</t>
  </si>
  <si>
    <t>L01-ICU-SPN-S054-01</t>
  </si>
  <si>
    <t>L01-ICU-NCU-S087-17</t>
  </si>
  <si>
    <t>L01-ICU-SPN-U1445-01</t>
  </si>
  <si>
    <t>L01-ICU-CIC-U1451-01</t>
  </si>
  <si>
    <t>L01-ICU-SPN-L009-01 (New Construction)</t>
  </si>
  <si>
    <t>L01-ICU-SPN-L009-02 (New Construction)</t>
  </si>
  <si>
    <t>WINDOWS-NCH-A-OCMA-M3-LG-0</t>
  </si>
  <si>
    <t>WINDOWS-NCH-A-OCMA-M3-00-0</t>
  </si>
  <si>
    <t>WINDOWS-NCH-A-OCMA-M3-02-0</t>
  </si>
  <si>
    <t>WINDOWS-NCH-A-OCMA-M3-01-0</t>
  </si>
  <si>
    <t>heights</t>
  </si>
  <si>
    <t>Window Added</t>
  </si>
  <si>
    <t>Space added to this list</t>
  </si>
  <si>
    <t>Window added</t>
  </si>
  <si>
    <t>ID not used</t>
  </si>
  <si>
    <t>L00-OPD-CC4-S108-04</t>
  </si>
  <si>
    <t>L00-OPD-CC4-S137-01</t>
  </si>
  <si>
    <t>Curtain wall</t>
  </si>
  <si>
    <t>L00-OPD-CC4-S123-01</t>
  </si>
  <si>
    <t>Curtain Wall</t>
  </si>
  <si>
    <t xml:space="preserve">Space added </t>
  </si>
  <si>
    <t>L01-OPD-NEU-S132-01</t>
  </si>
  <si>
    <t xml:space="preserve">ID </t>
  </si>
  <si>
    <t>Family Type: 975w x 3600h, CURTAIN WALL-manual input</t>
  </si>
  <si>
    <t>Family Type: 2850w x 3850h, CURTAIN WALL-manual input</t>
  </si>
  <si>
    <t>L01-CAM-INP-L007-16</t>
  </si>
  <si>
    <t>L01-CAM-INP-L008-01</t>
  </si>
  <si>
    <t>L01-CAM-INP-L007-12</t>
  </si>
  <si>
    <t>LG-OPD-C2W-S115-38</t>
  </si>
  <si>
    <t>Window</t>
  </si>
  <si>
    <t>LG-OPD-C1W-S115-54</t>
  </si>
  <si>
    <t>L00-OPD-CC3-S156-03</t>
  </si>
  <si>
    <t>L01-OPD-NIC-U1367-01</t>
  </si>
  <si>
    <t>L01-CAR-INP-U0025-01</t>
  </si>
  <si>
    <t>L01-CAR-INP-S014-13</t>
  </si>
  <si>
    <t>Deleted</t>
  </si>
  <si>
    <t>Family</t>
  </si>
  <si>
    <t>Bespoke added</t>
  </si>
  <si>
    <t>Does this room appears in Space Heating Loads-CEN.xlsx</t>
  </si>
  <si>
    <t>L03-THR-NAD-S061-01</t>
  </si>
  <si>
    <t>L03-THR-SLT-S016-01</t>
  </si>
  <si>
    <t>L03-THR-SLT-S115-01</t>
  </si>
  <si>
    <t>Family Type: manual 1.5m2</t>
  </si>
  <si>
    <t>Only Halve</t>
  </si>
  <si>
    <t>only half</t>
  </si>
  <si>
    <t>none</t>
  </si>
  <si>
    <t>LG-OPD-CC2-S029-01</t>
  </si>
  <si>
    <t>vector</t>
  </si>
  <si>
    <t>Family Type: manual 3.5m2</t>
  </si>
  <si>
    <t>none - connecect to atrium</t>
  </si>
  <si>
    <t>none - connected to atrium</t>
  </si>
  <si>
    <t>Family Type: manual 2.6m2</t>
  </si>
  <si>
    <t>none - connects to atrium</t>
  </si>
  <si>
    <t>id</t>
  </si>
  <si>
    <t>Family Type: Curtain Wall_1950w x 3800h, Family: Window External Type 5 - Flush - modified</t>
  </si>
  <si>
    <t>manual</t>
  </si>
  <si>
    <t>Family Type: manual 18.8m2</t>
  </si>
  <si>
    <t>Family Type: manual 41.8m2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</si>
</sst>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40">
    <xf numFmtId="0" fontId="0" fillId="0" borderId="0" xfId="0"/>
    <xf numFmtId="0" fontId="0" fillId="0" borderId="0" xfId="0" applyAlignment="1">
      <alignment wrapText="1"/>
    </xf>
    <xf numFmtId="0" fontId="3" fillId="2" borderId="0" xfId="0" applyFont="1" applyFill="1" applyAlignment="1">
      <alignment wrapText="1"/>
    </xf>
    <xf numFmtId="0" fontId="3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4" fillId="3" borderId="0" xfId="0" applyFont="1" applyFill="1" applyAlignment="1">
      <alignment horizontal="center"/>
    </xf>
    <xf numFmtId="0" fontId="2" fillId="0" borderId="0" xfId="2"/>
    <xf numFmtId="0" fontId="0" fillId="0" borderId="2" xfId="0" applyBorder="1"/>
    <xf numFmtId="1" fontId="5" fillId="4" borderId="0" xfId="0" applyNumberFormat="1" applyFont="1" applyFill="1" applyAlignment="1">
      <alignment horizontal="right"/>
    </xf>
    <xf numFmtId="1" fontId="5" fillId="5" borderId="0" xfId="0" applyNumberFormat="1" applyFont="1" applyFill="1" applyAlignment="1">
      <alignment horizontal="center"/>
    </xf>
    <xf numFmtId="0" fontId="0" fillId="0" borderId="4" xfId="0" applyBorder="1"/>
    <xf numFmtId="0" fontId="0" fillId="0" borderId="6" xfId="0" applyBorder="1"/>
    <xf numFmtId="0" fontId="3" fillId="6" borderId="0" xfId="0" applyFont="1" applyFill="1" applyAlignment="1">
      <alignment wrapText="1"/>
    </xf>
    <xf numFmtId="0" fontId="6" fillId="0" borderId="0" xfId="0" applyFont="1" applyAlignment="1">
      <alignment wrapText="1"/>
    </xf>
    <xf numFmtId="0" fontId="0" fillId="7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0" fontId="0" fillId="0" borderId="1" xfId="0" applyBorder="1"/>
    <xf numFmtId="0" fontId="5" fillId="4" borderId="0" xfId="0" applyFont="1" applyFill="1" applyBorder="1"/>
    <xf numFmtId="0" fontId="0" fillId="0" borderId="0" xfId="0" applyBorder="1"/>
    <xf numFmtId="0" fontId="5" fillId="4" borderId="1" xfId="0" applyFont="1" applyFill="1" applyBorder="1"/>
    <xf numFmtId="0" fontId="5" fillId="4" borderId="3" xfId="0" applyFont="1" applyFill="1" applyBorder="1"/>
    <xf numFmtId="0" fontId="5" fillId="4" borderId="5" xfId="0" applyFont="1" applyFill="1" applyBorder="1"/>
    <xf numFmtId="49" fontId="0" fillId="0" borderId="0" xfId="0" applyNumberFormat="1" applyAlignment="1">
      <alignment horizontal="left"/>
    </xf>
    <xf numFmtId="0" fontId="0" fillId="8" borderId="0" xfId="0" applyFill="1"/>
    <xf numFmtId="0" fontId="7" fillId="0" borderId="0" xfId="0" applyFont="1"/>
    <xf numFmtId="0" fontId="0" fillId="0" borderId="0" xfId="0" applyFill="1"/>
    <xf numFmtId="164" fontId="0" fillId="0" borderId="0" xfId="0" applyNumberFormat="1"/>
    <xf numFmtId="0" fontId="2" fillId="0" borderId="0" xfId="2" applyFill="1"/>
    <xf numFmtId="1" fontId="5" fillId="0" borderId="0" xfId="0" applyNumberFormat="1" applyFont="1" applyFill="1" applyAlignment="1">
      <alignment horizontal="right"/>
    </xf>
    <xf numFmtId="1" fontId="5" fillId="0" borderId="0" xfId="0" applyNumberFormat="1" applyFont="1" applyFill="1" applyAlignment="1">
      <alignment horizontal="center"/>
    </xf>
    <xf numFmtId="0" fontId="8" fillId="0" borderId="0" xfId="0" applyFont="1"/>
    <xf numFmtId="0" fontId="0" fillId="9" borderId="0" xfId="0" applyFill="1"/>
    <xf numFmtId="0" fontId="0" fillId="7" borderId="0" xfId="0" applyFont="1" applyFill="1"/>
    <xf numFmtId="0" fontId="0" fillId="10" borderId="0" xfId="0" applyFill="1"/>
    <xf numFmtId="0" fontId="2" fillId="10" borderId="0" xfId="2" applyFill="1"/>
    <xf numFmtId="1" fontId="5" fillId="10" borderId="0" xfId="0" applyNumberFormat="1" applyFont="1" applyFill="1" applyAlignment="1">
      <alignment horizontal="right"/>
    </xf>
    <xf numFmtId="1" fontId="5" fillId="10" borderId="0" xfId="0" applyNumberFormat="1" applyFont="1" applyFill="1" applyAlignment="1">
      <alignment horizontal="center"/>
    </xf>
  </cellXfs>
  <cellStyles count="3">
    <cellStyle name="Normal" xfId="0" builtinId="0"/>
    <cellStyle name="Normal 2" xfId="1"/>
    <cellStyle name="Normal 22" xfId="2"/>
  </cellStyles>
  <dxfs count="28">
    <dxf>
      <numFmt numFmtId="2" formatCode="0.00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ublin/Jobs/237000/237976-00/4.%20Internal/4-03%20Design/4-03-01%20Buildings/Mechanical/01%20HVAC%20Design%20Files/Space%20Heating%20Loads-C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Facade Heat Loss"/>
    </sheetNames>
    <sheetDataSet>
      <sheetData sheetId="0"/>
      <sheetData sheetId="1">
        <row r="1">
          <cell r="A1">
            <v>1</v>
          </cell>
        </row>
        <row r="2">
          <cell r="A2"/>
        </row>
        <row r="3">
          <cell r="A3"/>
        </row>
        <row r="4">
          <cell r="A4"/>
        </row>
        <row r="5">
          <cell r="A5" t="str">
            <v>B02-PLA-PLA-U1670-01</v>
          </cell>
        </row>
        <row r="6">
          <cell r="A6" t="str">
            <v>B02-PLA-PLA-U1690-01</v>
          </cell>
        </row>
        <row r="7">
          <cell r="A7" t="str">
            <v>B02-EAF-EWM-L074-01</v>
          </cell>
        </row>
        <row r="8">
          <cell r="A8" t="str">
            <v>B02-EAF-EWM-S095-01</v>
          </cell>
        </row>
        <row r="9">
          <cell r="A9" t="str">
            <v>B02-PLA-PLA-U1677-01</v>
          </cell>
        </row>
        <row r="10">
          <cell r="A10" t="str">
            <v>B02-EAF-TEC-S109-01</v>
          </cell>
        </row>
        <row r="11">
          <cell r="A11" t="str">
            <v>B02-EAF-TEC-S114-02</v>
          </cell>
        </row>
        <row r="12">
          <cell r="A12" t="str">
            <v>B02-EAF-TEC-S114-01</v>
          </cell>
        </row>
        <row r="13">
          <cell r="A13" t="str">
            <v>B02-EAF-TEC-S050-01</v>
          </cell>
        </row>
        <row r="14">
          <cell r="A14" t="str">
            <v>B02-EAF-TEC-S063-01</v>
          </cell>
        </row>
        <row r="15">
          <cell r="A15" t="str">
            <v>B02-EAF-TEC-S115-20</v>
          </cell>
        </row>
        <row r="16">
          <cell r="A16" t="str">
            <v>B02-EAF-TEC-S115-21</v>
          </cell>
        </row>
        <row r="17">
          <cell r="A17" t="str">
            <v>B02-EAF-TEC-U0841-01</v>
          </cell>
        </row>
        <row r="18">
          <cell r="A18" t="str">
            <v>B02-EAF-TEC-L012-01</v>
          </cell>
        </row>
        <row r="19">
          <cell r="A19" t="str">
            <v>B02-EAF-TEC-U0845-01</v>
          </cell>
        </row>
        <row r="20">
          <cell r="A20" t="str">
            <v>B02-EAF-EWM-U0942-01</v>
          </cell>
        </row>
        <row r="21">
          <cell r="A21" t="str">
            <v>B02-EAF-EWM-U1661-01</v>
          </cell>
        </row>
        <row r="22">
          <cell r="A22" t="str">
            <v>B02-EAF-EWM-S151-02</v>
          </cell>
        </row>
        <row r="23">
          <cell r="A23" t="str">
            <v>B02-EAF-EWM-S151-01</v>
          </cell>
        </row>
        <row r="24">
          <cell r="A24" t="str">
            <v>B02-EAF-RDC-U0927-05</v>
          </cell>
        </row>
        <row r="25">
          <cell r="A25" t="str">
            <v>B02-EAF-RDC-U0928-13</v>
          </cell>
        </row>
        <row r="26">
          <cell r="A26" t="str">
            <v>B02-EAF-RDC-U0928-12</v>
          </cell>
        </row>
        <row r="27">
          <cell r="A27" t="str">
            <v>B02-EAF-RDC-U0928-14</v>
          </cell>
        </row>
        <row r="28">
          <cell r="A28" t="str">
            <v>B02-EAF-RDC-U0928-11</v>
          </cell>
        </row>
        <row r="29">
          <cell r="A29" t="str">
            <v>B02-EAF-RDC-U0928-10</v>
          </cell>
        </row>
        <row r="30">
          <cell r="A30" t="str">
            <v>B02-EAF-RDC-U0927-09</v>
          </cell>
        </row>
        <row r="31">
          <cell r="A31" t="str">
            <v>B02-EAF-RDC-U0927-01</v>
          </cell>
        </row>
        <row r="32">
          <cell r="A32" t="str">
            <v>B02-EAF-RDC-U0928-15</v>
          </cell>
        </row>
        <row r="33">
          <cell r="A33" t="str">
            <v>B02-EAF-RDC-U0928-19</v>
          </cell>
        </row>
        <row r="34">
          <cell r="A34" t="str">
            <v>B02-EAF-RDC-U0928-17</v>
          </cell>
        </row>
        <row r="35">
          <cell r="A35" t="str">
            <v>B02-EAF-RDC-U0928-16</v>
          </cell>
        </row>
        <row r="36">
          <cell r="A36" t="str">
            <v>B02-EAF-RDC-U0928-04</v>
          </cell>
        </row>
        <row r="37">
          <cell r="A37" t="str">
            <v>B02-EAF-RDC-U0928-05</v>
          </cell>
        </row>
        <row r="38">
          <cell r="A38" t="str">
            <v>B02-EAF-EWM-L074-02</v>
          </cell>
        </row>
        <row r="39">
          <cell r="A39" t="str">
            <v>B02-EAF-EWM-U1659-01</v>
          </cell>
        </row>
        <row r="40">
          <cell r="A40" t="str">
            <v>B02-EAF-HCS-S100-01</v>
          </cell>
        </row>
        <row r="41">
          <cell r="A41" t="str">
            <v>B02-EAF-RDC-U0925-01</v>
          </cell>
        </row>
        <row r="42">
          <cell r="A42" t="str">
            <v>B02-PLA-PLA-U1678-01</v>
          </cell>
        </row>
        <row r="43">
          <cell r="A43" t="str">
            <v>B02-PLA-PLA-U1667-01</v>
          </cell>
        </row>
        <row r="44">
          <cell r="A44" t="str">
            <v>B02-EAF-CIR-C001-01</v>
          </cell>
        </row>
        <row r="45">
          <cell r="A45" t="str">
            <v>B02-PLA-PLA-U1694-01</v>
          </cell>
        </row>
        <row r="46">
          <cell r="A46" t="str">
            <v>B02-EAF-RDC-U0928-06</v>
          </cell>
        </row>
        <row r="47">
          <cell r="A47" t="str">
            <v>B02-EAF-TPS-S114-01</v>
          </cell>
        </row>
        <row r="48">
          <cell r="A48" t="str">
            <v>B02-EAF-HCS-U0931-01</v>
          </cell>
        </row>
        <row r="49">
          <cell r="A49" t="str">
            <v>B02-EAF-HCS-S097-01</v>
          </cell>
        </row>
        <row r="50">
          <cell r="A50" t="str">
            <v>B02-EAF-CIR-C001-02</v>
          </cell>
        </row>
        <row r="51">
          <cell r="A51" t="str">
            <v>B02-CIR-CIR-C008-05</v>
          </cell>
        </row>
        <row r="52">
          <cell r="A52" t="str">
            <v>B02-EAF-CAT-U1663-01</v>
          </cell>
        </row>
        <row r="53">
          <cell r="A53" t="str">
            <v>B02-CIR-CIR-C008-03</v>
          </cell>
        </row>
        <row r="54">
          <cell r="A54" t="str">
            <v>B02-EAF-RDC-U0928-08</v>
          </cell>
        </row>
        <row r="55">
          <cell r="A55" t="str">
            <v>B02-CIR-CIR-C006-01</v>
          </cell>
        </row>
        <row r="56">
          <cell r="A56" t="str">
            <v>B02-HUB-ITH-S118-06</v>
          </cell>
        </row>
        <row r="57">
          <cell r="A57" t="str">
            <v>B02-EAF-RDC-U0928-07</v>
          </cell>
        </row>
        <row r="58">
          <cell r="A58" t="str">
            <v>B02-CIR-CIR-C008-02</v>
          </cell>
        </row>
        <row r="59">
          <cell r="A59" t="str">
            <v>B02-CIR-CIR-C006-02</v>
          </cell>
        </row>
        <row r="60">
          <cell r="A60" t="str">
            <v>B02-CIR-CIR-C006-05</v>
          </cell>
        </row>
        <row r="61">
          <cell r="A61" t="str">
            <v>B02-CIR-CIR-C008-04</v>
          </cell>
        </row>
        <row r="62">
          <cell r="A62" t="str">
            <v>B02-CIR-CIR-C006-03</v>
          </cell>
        </row>
        <row r="63">
          <cell r="A63" t="str">
            <v>B02-CIR-CIR-C005-01</v>
          </cell>
        </row>
        <row r="64">
          <cell r="A64" t="str">
            <v>B02-EAF-EWM-S115-01</v>
          </cell>
        </row>
        <row r="65">
          <cell r="A65" t="str">
            <v>B02-EAF-TEC-S095-01</v>
          </cell>
        </row>
        <row r="66">
          <cell r="A66" t="str">
            <v>B02-EAF-TEC-S115-19</v>
          </cell>
        </row>
        <row r="67">
          <cell r="A67" t="str">
            <v>B02-EAF-TEC-S115-22</v>
          </cell>
        </row>
        <row r="68">
          <cell r="A68" t="str">
            <v>B02-EAF-TEC-S115-01</v>
          </cell>
        </row>
        <row r="69">
          <cell r="A69" t="str">
            <v>B02-EAF-TEC-S115-13</v>
          </cell>
        </row>
        <row r="70">
          <cell r="A70" t="str">
            <v>B02-EAF-TEC-U0842-01</v>
          </cell>
        </row>
        <row r="71">
          <cell r="A71" t="str">
            <v>B02-EAF-EWM-L075-01</v>
          </cell>
        </row>
        <row r="72">
          <cell r="A72" t="str">
            <v>B02-EAF-EWM-U1658-01</v>
          </cell>
        </row>
        <row r="73">
          <cell r="A73" t="str">
            <v>B02-EAF-EWM-U1660-01</v>
          </cell>
        </row>
        <row r="74">
          <cell r="A74" t="str">
            <v>B02-PLA-PLA-U1672-01</v>
          </cell>
        </row>
        <row r="75">
          <cell r="A75" t="str">
            <v>B02-EAF-EWM-U0945-01</v>
          </cell>
        </row>
        <row r="76">
          <cell r="A76" t="str">
            <v>B02-PLA-PLA-U1681-01</v>
          </cell>
        </row>
        <row r="77">
          <cell r="A77" t="str">
            <v>B02-PLA-PLA-U1688-01</v>
          </cell>
        </row>
        <row r="78">
          <cell r="A78" t="str">
            <v>B02-PLA-PLA-U1686-01</v>
          </cell>
        </row>
        <row r="79">
          <cell r="A79" t="str">
            <v>B02-PLA-PLA-U1683-01</v>
          </cell>
        </row>
        <row r="80">
          <cell r="A80" t="str">
            <v>B02-PLA-PLA-U1680-01</v>
          </cell>
        </row>
        <row r="81">
          <cell r="A81" t="str">
            <v>B02-EAF-RDC-U0927-02</v>
          </cell>
        </row>
        <row r="82">
          <cell r="A82" t="str">
            <v>B02-EAF-RDC-U0927-03</v>
          </cell>
        </row>
        <row r="83">
          <cell r="A83" t="str">
            <v>B02-PLA-PLA-U1714-01</v>
          </cell>
        </row>
        <row r="84">
          <cell r="A84" t="str">
            <v>B02-EAF-RDC-U0927-08</v>
          </cell>
        </row>
        <row r="85">
          <cell r="A85" t="str">
            <v>B02-EAF-RDC-U0926-01</v>
          </cell>
        </row>
        <row r="86">
          <cell r="A86" t="str">
            <v>B02-EAF-RDC-U0928-02</v>
          </cell>
        </row>
        <row r="87">
          <cell r="A87" t="str">
            <v>B02-EAF-RDC-U0928-09</v>
          </cell>
        </row>
        <row r="88">
          <cell r="A88" t="str">
            <v>B02-EAF-EWM-U1382-01</v>
          </cell>
        </row>
        <row r="89">
          <cell r="A89" t="str">
            <v>B02-PLA-PLA-U1692-01</v>
          </cell>
        </row>
        <row r="90">
          <cell r="A90" t="str">
            <v>B02-EAF-TEC-S016-01</v>
          </cell>
        </row>
        <row r="91">
          <cell r="A91" t="str">
            <v>B02-PLA-PLA-U1698-01</v>
          </cell>
        </row>
        <row r="92">
          <cell r="A92" t="str">
            <v>B02-EAF-CIR-U1664-01</v>
          </cell>
        </row>
        <row r="93">
          <cell r="A93" t="str">
            <v>B02-EAF-TEC-U0847-01</v>
          </cell>
        </row>
        <row r="94">
          <cell r="A94" t="str">
            <v>B02-EAF-TPS-S115-01</v>
          </cell>
        </row>
        <row r="95">
          <cell r="A95" t="str">
            <v>B02-EAF-TPS-S095-01</v>
          </cell>
        </row>
        <row r="96">
          <cell r="A96" t="str">
            <v>B02-EAF-RDC-U0924-01</v>
          </cell>
        </row>
        <row r="97">
          <cell r="A97" t="str">
            <v>B02-EAF-TEC-L012-02</v>
          </cell>
        </row>
        <row r="98">
          <cell r="A98" t="str">
            <v>B02-EAF-TEC-U0846-01</v>
          </cell>
        </row>
        <row r="99">
          <cell r="A99" t="str">
            <v>B02-PLA-PLA-U1696-01</v>
          </cell>
        </row>
        <row r="100">
          <cell r="A100" t="str">
            <v>B02-PLA-PLA-U1671-01</v>
          </cell>
        </row>
        <row r="101">
          <cell r="A101" t="str">
            <v>B02-EAF-RDC-U0927-04</v>
          </cell>
        </row>
        <row r="102">
          <cell r="A102" t="str">
            <v>B02-EAF-RDC-U0927-07</v>
          </cell>
        </row>
        <row r="103">
          <cell r="A103" t="str">
            <v>B02-EAF-RDC-U0927-06</v>
          </cell>
        </row>
        <row r="104">
          <cell r="A104" t="str">
            <v>B02-EAF-RDC-U0923-01</v>
          </cell>
        </row>
        <row r="105">
          <cell r="A105" t="str">
            <v>B02-PLA-PLA-U1668-01</v>
          </cell>
        </row>
        <row r="106">
          <cell r="A106" t="str">
            <v>B02-PLA-PLA-U1669-01</v>
          </cell>
        </row>
        <row r="107">
          <cell r="A107" t="str">
            <v>B02-EAF-POS-U0933-01</v>
          </cell>
        </row>
        <row r="108">
          <cell r="A108" t="str">
            <v>B02-EAF-HCS-U0932-01</v>
          </cell>
        </row>
        <row r="109">
          <cell r="A109" t="str">
            <v>B02-EAF-EWM-L075-02</v>
          </cell>
        </row>
        <row r="110">
          <cell r="A110" t="str">
            <v>B02-EAF-EWM-U0941-01</v>
          </cell>
        </row>
        <row r="111">
          <cell r="A111" t="str">
            <v>B02-PLA-PLA-U1682-01</v>
          </cell>
        </row>
        <row r="112">
          <cell r="A112" t="str">
            <v>B02-PLA-PLA-U1684-01</v>
          </cell>
        </row>
        <row r="113">
          <cell r="A113" t="str">
            <v>B02-PLA-PLA-U1687-01</v>
          </cell>
        </row>
        <row r="114">
          <cell r="A114" t="str">
            <v>B02-PLA-PLA-U1685-01</v>
          </cell>
        </row>
        <row r="115">
          <cell r="A115" t="str">
            <v>B02-PLA-PLA-U1712-01</v>
          </cell>
        </row>
        <row r="116">
          <cell r="A116" t="str">
            <v>B02-EAF-CAT-U1662-01</v>
          </cell>
        </row>
        <row r="117">
          <cell r="A117" t="str">
            <v>B02-CIR-CIR-C008-01</v>
          </cell>
        </row>
        <row r="118">
          <cell r="A118" t="str">
            <v>B02-PLA-PLA-U1715-01</v>
          </cell>
        </row>
        <row r="119">
          <cell r="A119" t="str">
            <v>B02-PLA-PLA-U1699-01</v>
          </cell>
        </row>
        <row r="120">
          <cell r="A120" t="str">
            <v>B02-PLA-PLA-U1695-01</v>
          </cell>
        </row>
        <row r="121">
          <cell r="A121" t="str">
            <v>B02-PLA-PLA-U1679-01</v>
          </cell>
        </row>
        <row r="122">
          <cell r="A122" t="str">
            <v>B02-PLA-PLA-U1666-01</v>
          </cell>
        </row>
        <row r="123">
          <cell r="A123" t="str">
            <v>B02-PLA-PLA-U1689-01</v>
          </cell>
        </row>
        <row r="124">
          <cell r="A124" t="str">
            <v>B02-CIR-CIR-C004-01</v>
          </cell>
        </row>
        <row r="125">
          <cell r="A125" t="str">
            <v>B01-CIR-CIR-C006-07</v>
          </cell>
        </row>
        <row r="126">
          <cell r="A126" t="str">
            <v>B01-CIR-CIR-C008-01</v>
          </cell>
        </row>
        <row r="127">
          <cell r="A127" t="str">
            <v>B01-CIR-CIR-C008-05</v>
          </cell>
        </row>
        <row r="128">
          <cell r="A128" t="str">
            <v>B01-CIR-CIR-C007-01</v>
          </cell>
        </row>
        <row r="129">
          <cell r="A129" t="str">
            <v>B01-PLA-PLA-U1665-01</v>
          </cell>
        </row>
        <row r="130">
          <cell r="A130" t="str">
            <v>B01-CIR-CIR-C006-02</v>
          </cell>
        </row>
        <row r="131">
          <cell r="A131" t="str">
            <v>B01-CIR-CIR-C008-02</v>
          </cell>
        </row>
        <row r="132">
          <cell r="A132" t="str">
            <v>B01-CIR-CIR-C008-07</v>
          </cell>
        </row>
        <row r="133">
          <cell r="A133" t="str">
            <v>B01-CIR-CIR-C006-05</v>
          </cell>
        </row>
        <row r="134">
          <cell r="A134" t="str">
            <v>B01-CIR-CIR-C007-02</v>
          </cell>
        </row>
        <row r="135">
          <cell r="A135" t="str">
            <v>B01-CIR-CIR-C008-03</v>
          </cell>
        </row>
        <row r="136">
          <cell r="A136" t="str">
            <v>B01-CIR-CIR-C006-04</v>
          </cell>
        </row>
        <row r="137">
          <cell r="A137" t="str">
            <v>B01-CIR-CIR-C008-04</v>
          </cell>
        </row>
        <row r="138">
          <cell r="A138" t="str">
            <v>B01-CIR-CIR-C006-01</v>
          </cell>
        </row>
        <row r="139">
          <cell r="A139" t="str">
            <v>B01-CIR-CIR-C006-03</v>
          </cell>
        </row>
        <row r="140">
          <cell r="A140" t="str">
            <v>B01-CIR-CIR-C008-06</v>
          </cell>
        </row>
        <row r="141">
          <cell r="A141" t="str">
            <v>LG-HUB-ITH-S118-11</v>
          </cell>
        </row>
        <row r="142">
          <cell r="A142" t="str">
            <v>LG-CST-CDU-S020-01</v>
          </cell>
        </row>
        <row r="143">
          <cell r="A143" t="str">
            <v>LG-CST-CDU-U0670-01</v>
          </cell>
        </row>
        <row r="144">
          <cell r="A144" t="str">
            <v>LG-CST-CDU-S025-02</v>
          </cell>
        </row>
        <row r="145">
          <cell r="A145" t="str">
            <v>LG-CST-CDU-S135-01</v>
          </cell>
        </row>
        <row r="146">
          <cell r="A146" t="str">
            <v>LG-EAF-MOR-U1427-01</v>
          </cell>
        </row>
        <row r="147">
          <cell r="A147" t="str">
            <v>LG-EAF-MOR-L064-01</v>
          </cell>
        </row>
        <row r="148">
          <cell r="A148" t="str">
            <v>LG-EAF-MOR-U1429-01</v>
          </cell>
        </row>
        <row r="149">
          <cell r="A149" t="str">
            <v>LG-CST-CDU-U0683-01</v>
          </cell>
        </row>
        <row r="150">
          <cell r="A150" t="str">
            <v>LG-CST-CDU-S025-03</v>
          </cell>
        </row>
        <row r="151">
          <cell r="A151" t="str">
            <v>LG-CST-CIR-C001-02</v>
          </cell>
        </row>
        <row r="152">
          <cell r="A152" t="str">
            <v>LG-CST-CEL-U0646-01</v>
          </cell>
        </row>
        <row r="153">
          <cell r="A153" t="str">
            <v>LG-OPD-CC1-S028-12</v>
          </cell>
        </row>
        <row r="154">
          <cell r="A154" t="str">
            <v>LG-OPD-CC1-S028-13</v>
          </cell>
        </row>
        <row r="155">
          <cell r="A155" t="str">
            <v>LG-OPD-CC1-S028-14</v>
          </cell>
        </row>
        <row r="156">
          <cell r="A156" t="str">
            <v>LG-OPD-CC1-S028-15</v>
          </cell>
        </row>
        <row r="157">
          <cell r="A157" t="str">
            <v>LG-OPD-CC1-S108-03</v>
          </cell>
        </row>
        <row r="158">
          <cell r="A158" t="str">
            <v>LG-OPD-CC1-S108-05</v>
          </cell>
        </row>
        <row r="159">
          <cell r="A159" t="str">
            <v>LG-OPD-CC2-S108-02</v>
          </cell>
        </row>
        <row r="160">
          <cell r="A160" t="str">
            <v>LG-OPD-CC2-S023-01</v>
          </cell>
        </row>
        <row r="161">
          <cell r="A161" t="str">
            <v>LG-OPD-CC2-S029-03</v>
          </cell>
        </row>
        <row r="162">
          <cell r="A162" t="str">
            <v>LG-OPD-CC2-U0167-01</v>
          </cell>
        </row>
        <row r="163">
          <cell r="A163" t="str">
            <v>LG-CST-CDU-S109-02</v>
          </cell>
        </row>
        <row r="164">
          <cell r="A164" t="str">
            <v>LG-EAF-MOR-L064-02</v>
          </cell>
        </row>
        <row r="165">
          <cell r="A165" t="str">
            <v>LG-EAF-FMA-S115-01</v>
          </cell>
        </row>
        <row r="166">
          <cell r="A166" t="str">
            <v>LG-EAF-FMA-S115-02</v>
          </cell>
        </row>
        <row r="167">
          <cell r="A167" t="str">
            <v>LG-EAF-FMA-S115-04</v>
          </cell>
        </row>
        <row r="168">
          <cell r="A168" t="str">
            <v>LG-EAF-FMA-S115-09</v>
          </cell>
        </row>
        <row r="169">
          <cell r="A169" t="str">
            <v>LG-EAF-FMA-S146-01</v>
          </cell>
        </row>
        <row r="170">
          <cell r="A170" t="str">
            <v>LG-EAF-FMA-S115-03</v>
          </cell>
        </row>
        <row r="171">
          <cell r="A171" t="str">
            <v>LG-EAF-FMA-U0913-01</v>
          </cell>
        </row>
        <row r="172">
          <cell r="A172" t="str">
            <v>LG-EAF-FMA-S115-05</v>
          </cell>
        </row>
        <row r="173">
          <cell r="A173" t="str">
            <v>LG-EAF-FMA-S115-06</v>
          </cell>
        </row>
        <row r="174">
          <cell r="A174" t="str">
            <v>LG-EAF-FMA-S115-08</v>
          </cell>
        </row>
        <row r="175">
          <cell r="A175" t="str">
            <v>LG-EAF-SFK-S139-01</v>
          </cell>
        </row>
        <row r="176">
          <cell r="A176" t="str">
            <v>LG-OPD-CC2-L063-02</v>
          </cell>
        </row>
        <row r="177">
          <cell r="A177" t="str">
            <v>LG-OPD-CC2-L063-04</v>
          </cell>
        </row>
        <row r="178">
          <cell r="A178" t="str">
            <v>LG-OPD-CC2-S156-01</v>
          </cell>
        </row>
        <row r="179">
          <cell r="A179" t="str">
            <v>LG-OPD-CIR-C001-20</v>
          </cell>
        </row>
        <row r="180">
          <cell r="A180" t="str">
            <v>LG-OPD-CIR-C001-15</v>
          </cell>
        </row>
        <row r="181">
          <cell r="A181" t="str">
            <v>LG-OPD-CC2-S090-01</v>
          </cell>
        </row>
        <row r="182">
          <cell r="A182" t="str">
            <v>LG-OPD-CC1-S028-01</v>
          </cell>
        </row>
        <row r="183">
          <cell r="A183" t="str">
            <v>LG-OPD-CC2-S051-01</v>
          </cell>
        </row>
        <row r="184">
          <cell r="A184" t="str">
            <v>LG-OPD-CC2-S113-02</v>
          </cell>
        </row>
        <row r="185">
          <cell r="A185" t="str">
            <v>LG-OPD-CC2-L067-01</v>
          </cell>
        </row>
        <row r="186">
          <cell r="A186" t="str">
            <v>LG-OPD-CC1-S156-13</v>
          </cell>
        </row>
        <row r="187">
          <cell r="A187" t="str">
            <v>LG-OPD-CC1-S108-04</v>
          </cell>
        </row>
        <row r="188">
          <cell r="A188" t="str">
            <v>LG-OPD-CIR-C001-11</v>
          </cell>
        </row>
        <row r="189">
          <cell r="A189" t="str">
            <v>LG-OPD-CC1-S146-01</v>
          </cell>
        </row>
        <row r="190">
          <cell r="A190" t="str">
            <v>LG-OPD-CC2-S055-01</v>
          </cell>
        </row>
        <row r="191">
          <cell r="A191" t="str">
            <v>LG-OPD-AUD-S123-01</v>
          </cell>
        </row>
        <row r="192">
          <cell r="A192" t="str">
            <v>LG-OPD-PHC-S128-02</v>
          </cell>
        </row>
        <row r="193">
          <cell r="A193" t="str">
            <v>LG-OPD-CIR-C001-25</v>
          </cell>
        </row>
        <row r="194">
          <cell r="A194" t="str">
            <v>LG-EAF-FMA-S114-01</v>
          </cell>
        </row>
        <row r="195">
          <cell r="A195" t="str">
            <v>LG-EAF-SEC-S114-01</v>
          </cell>
        </row>
        <row r="196">
          <cell r="A196" t="str">
            <v>LG-OPD-REC-S114-01</v>
          </cell>
        </row>
        <row r="197">
          <cell r="A197" t="str">
            <v>LG-OPD-REC-U0142-01</v>
          </cell>
        </row>
        <row r="198">
          <cell r="A198" t="str">
            <v>LG-OPD-REC-S050-01</v>
          </cell>
        </row>
        <row r="199">
          <cell r="A199" t="str">
            <v>LG-OPD-CC1-S059-02</v>
          </cell>
        </row>
        <row r="200">
          <cell r="A200" t="str">
            <v>LG-CST-CEL-S109-01</v>
          </cell>
        </row>
        <row r="201">
          <cell r="A201" t="str">
            <v>LG-OPD-CC1-S156-07</v>
          </cell>
        </row>
        <row r="202">
          <cell r="A202" t="str">
            <v>LG-OPD-ORS-U0135-01</v>
          </cell>
        </row>
        <row r="203">
          <cell r="A203" t="str">
            <v>LG-OPD-CIR-C001-23</v>
          </cell>
        </row>
        <row r="204">
          <cell r="A204" t="str">
            <v>LG-OPD-AUD-U0438-01</v>
          </cell>
        </row>
        <row r="205">
          <cell r="A205" t="str">
            <v>LG-OPD-ORS-S006-02</v>
          </cell>
        </row>
        <row r="206">
          <cell r="A206" t="str">
            <v>LG-OPD-ORS-S113-03</v>
          </cell>
        </row>
        <row r="207">
          <cell r="A207" t="str">
            <v>LG-OPD-ORS-S113-02</v>
          </cell>
        </row>
        <row r="208">
          <cell r="A208" t="str">
            <v>LG-OPD-CC1-S028-03</v>
          </cell>
        </row>
        <row r="209">
          <cell r="A209" t="str">
            <v>LG-OPD-CC1-S053-04</v>
          </cell>
        </row>
        <row r="210">
          <cell r="A210" t="str">
            <v>LG-OPD-CC1-S053-05</v>
          </cell>
        </row>
        <row r="211">
          <cell r="A211" t="str">
            <v>LG-CST-CEL-S115-01</v>
          </cell>
        </row>
        <row r="212">
          <cell r="A212" t="str">
            <v>LG-CST-CEL-S015-01</v>
          </cell>
        </row>
        <row r="213">
          <cell r="A213" t="str">
            <v>LG-CST-CEL-U0643-01</v>
          </cell>
        </row>
        <row r="214">
          <cell r="A214" t="str">
            <v>LG-CST-CEL-S141-01</v>
          </cell>
        </row>
        <row r="215">
          <cell r="A215" t="str">
            <v>LG-CST-CDU-U0684-01</v>
          </cell>
        </row>
        <row r="216">
          <cell r="A216" t="str">
            <v>LG-CST-CDU-U0665-01</v>
          </cell>
        </row>
        <row r="217">
          <cell r="A217" t="str">
            <v>LG-OPD-CC1-S156-11</v>
          </cell>
        </row>
        <row r="218">
          <cell r="A218" t="str">
            <v>LG-OPD-CC1-S156-10</v>
          </cell>
        </row>
        <row r="219">
          <cell r="A219" t="str">
            <v>LG-OPD-CC1-S156-09</v>
          </cell>
        </row>
        <row r="220">
          <cell r="A220" t="str">
            <v>LG-OPD-CC1-S156-01</v>
          </cell>
        </row>
        <row r="221">
          <cell r="A221" t="str">
            <v>LG-OPD-CC1-S156-02</v>
          </cell>
        </row>
        <row r="222">
          <cell r="A222" t="str">
            <v>LG-OPD-CC1-S139-01</v>
          </cell>
        </row>
        <row r="223">
          <cell r="A223" t="str">
            <v>LG-OPD-CIR-C001-18</v>
          </cell>
        </row>
        <row r="224">
          <cell r="A224" t="str">
            <v>LG-OPD-CC1-S078-01</v>
          </cell>
        </row>
        <row r="225">
          <cell r="A225" t="str">
            <v>LG-OPD-CC2-S082-01</v>
          </cell>
        </row>
        <row r="226">
          <cell r="A226" t="str">
            <v>LG-EAF-MOR-U1630-01</v>
          </cell>
        </row>
        <row r="227">
          <cell r="A227" t="str">
            <v>LG-EAF-CAT-S115-02</v>
          </cell>
        </row>
        <row r="228">
          <cell r="A228" t="str">
            <v>LG-OPD-AUD-S123-03</v>
          </cell>
        </row>
        <row r="229">
          <cell r="A229" t="str">
            <v>LG-OPD-CIR-C001-22</v>
          </cell>
        </row>
        <row r="230">
          <cell r="A230" t="str">
            <v>LG-OPD-ORS-S113-04</v>
          </cell>
        </row>
        <row r="231">
          <cell r="A231" t="str">
            <v>LG-OPD-ORS-S113-01</v>
          </cell>
        </row>
        <row r="232">
          <cell r="A232" t="str">
            <v>LG-OPD-ORS-S006-01</v>
          </cell>
        </row>
        <row r="233">
          <cell r="A233" t="str">
            <v>LG-OPD-AUD-S123-07</v>
          </cell>
        </row>
        <row r="234">
          <cell r="A234" t="str">
            <v>LG-OPD-AUD-L039-07</v>
          </cell>
        </row>
        <row r="235">
          <cell r="A235" t="str">
            <v>LG-OPD-AUD-L084-04</v>
          </cell>
        </row>
        <row r="236">
          <cell r="A236" t="str">
            <v>LG-OPD-AUD-L084-02</v>
          </cell>
        </row>
        <row r="237">
          <cell r="A237" t="str">
            <v>LG-OPD-AUD-S123-08</v>
          </cell>
        </row>
        <row r="238">
          <cell r="A238" t="str">
            <v>LG-OPD-AUD-S123-09</v>
          </cell>
        </row>
        <row r="239">
          <cell r="A239" t="str">
            <v>LG-OPD-CC2-S029-01</v>
          </cell>
        </row>
        <row r="240">
          <cell r="A240" t="str">
            <v>LG-OPD-CIR-C001-13</v>
          </cell>
        </row>
        <row r="241">
          <cell r="A241" t="str">
            <v>LG-OPD-CC2-S060-01</v>
          </cell>
        </row>
        <row r="242">
          <cell r="A242" t="str">
            <v>LG-OPD-AUD-L084-01</v>
          </cell>
        </row>
        <row r="243">
          <cell r="A243" t="str">
            <v>LG-CST-CEL-U0648-01</v>
          </cell>
        </row>
        <row r="244">
          <cell r="A244" t="str">
            <v>LG-OPD-MIL-U0639-01</v>
          </cell>
        </row>
        <row r="245">
          <cell r="A245" t="str">
            <v>LG-OPD-RED-L068-02</v>
          </cell>
        </row>
        <row r="246">
          <cell r="A246" t="str">
            <v>LG-OPD-RED-L085-01</v>
          </cell>
        </row>
        <row r="247">
          <cell r="A247" t="str">
            <v>LG-OPD-CC1-S064-07</v>
          </cell>
        </row>
        <row r="248">
          <cell r="A248" t="str">
            <v>LG-CIR-CIR-C008-02</v>
          </cell>
        </row>
        <row r="249">
          <cell r="A249" t="str">
            <v>LG-OPD-CC2-S139-01</v>
          </cell>
        </row>
        <row r="250">
          <cell r="A250" t="str">
            <v>LG-OPD-CC1-S110-01</v>
          </cell>
        </row>
        <row r="251">
          <cell r="A251" t="str">
            <v>LG-OPD-CC1-S064-12</v>
          </cell>
        </row>
        <row r="252">
          <cell r="A252" t="str">
            <v>LG-OPD-CC1-S028-11</v>
          </cell>
        </row>
        <row r="253">
          <cell r="A253" t="str">
            <v>LG-OPD-CC1-L016-02</v>
          </cell>
        </row>
        <row r="254">
          <cell r="A254" t="str">
            <v>LG-OPD-CC1-S010-01</v>
          </cell>
        </row>
        <row r="255">
          <cell r="A255" t="str">
            <v>LG-OPD-CC1-S082-01</v>
          </cell>
        </row>
        <row r="256">
          <cell r="A256" t="str">
            <v>LG-OPD-CC1-L046-02</v>
          </cell>
        </row>
        <row r="257">
          <cell r="A257" t="str">
            <v>LG-OPD-CC1-L016-01</v>
          </cell>
        </row>
        <row r="258">
          <cell r="A258" t="str">
            <v>LG-OPD-CC1-S156-08</v>
          </cell>
        </row>
        <row r="259">
          <cell r="A259" t="str">
            <v>LG-OPD-CC1-S064-05</v>
          </cell>
        </row>
        <row r="260">
          <cell r="A260" t="str">
            <v>LG-CST-CEL-S114-02</v>
          </cell>
        </row>
        <row r="261">
          <cell r="A261" t="str">
            <v>LG-CST-CEL-U0642-01</v>
          </cell>
        </row>
        <row r="262">
          <cell r="A262" t="str">
            <v>LG-CST-CEL-S025-01</v>
          </cell>
        </row>
        <row r="263">
          <cell r="A263" t="str">
            <v>LG-CST-CEL-S143-01</v>
          </cell>
        </row>
        <row r="264">
          <cell r="A264" t="str">
            <v>LG-CST-CEL-C002-02</v>
          </cell>
        </row>
        <row r="265">
          <cell r="A265" t="str">
            <v>LG-OPD-CC2-S114-02</v>
          </cell>
        </row>
        <row r="266">
          <cell r="A266" t="str">
            <v>LG-OPD-CC2-S114-01</v>
          </cell>
        </row>
        <row r="267">
          <cell r="A267" t="str">
            <v>LG-OPD-CC1-S075-01</v>
          </cell>
        </row>
        <row r="268">
          <cell r="A268" t="str">
            <v>LG-OPD-CC1-S075-03</v>
          </cell>
        </row>
        <row r="269">
          <cell r="A269" t="str">
            <v>LG-OPD-CC1-S113-06</v>
          </cell>
        </row>
        <row r="270">
          <cell r="A270" t="str">
            <v>LG-OPD-CC1-S051-01</v>
          </cell>
        </row>
        <row r="271">
          <cell r="A271" t="str">
            <v>LG-OPD-CIR-C001-01</v>
          </cell>
        </row>
        <row r="272">
          <cell r="A272" t="str">
            <v>LG-OPD-CC2-U0166-01</v>
          </cell>
        </row>
        <row r="273">
          <cell r="A273" t="str">
            <v>LG-OPD-MIL-S139-01</v>
          </cell>
        </row>
        <row r="274">
          <cell r="A274" t="str">
            <v>LG-OPD-CC1-S029-01</v>
          </cell>
        </row>
        <row r="275">
          <cell r="A275" t="str">
            <v>LG-OPD-C1W-S114-01</v>
          </cell>
        </row>
        <row r="276">
          <cell r="A276" t="str">
            <v>LG-OPD-C1W-S114-02</v>
          </cell>
        </row>
        <row r="277">
          <cell r="A277" t="str">
            <v>LG-OPD-CC1-S028-10</v>
          </cell>
        </row>
        <row r="278">
          <cell r="A278" t="str">
            <v>LG-EAF-FMA-S115-11</v>
          </cell>
        </row>
        <row r="279">
          <cell r="A279" t="str">
            <v>LG-EAF-FMA-S081-01</v>
          </cell>
        </row>
        <row r="280">
          <cell r="A280" t="str">
            <v>LG-EAF-FMA-S114-02</v>
          </cell>
        </row>
        <row r="281">
          <cell r="A281" t="str">
            <v>LG-EAF-CIR-C001-14</v>
          </cell>
        </row>
        <row r="282">
          <cell r="A282" t="str">
            <v>LG-EAF-FMA-U0918-01</v>
          </cell>
        </row>
        <row r="283">
          <cell r="A283" t="str">
            <v>LG-EAF-CAT-U0888-01</v>
          </cell>
        </row>
        <row r="284">
          <cell r="A284" t="str">
            <v/>
          </cell>
        </row>
        <row r="285">
          <cell r="A285" t="str">
            <v>LG-EAF-SFK-S017-01</v>
          </cell>
        </row>
        <row r="286">
          <cell r="A286" t="str">
            <v>LG-EAF-CAT-U0892-01</v>
          </cell>
        </row>
        <row r="287">
          <cell r="A287" t="str">
            <v>LG-EAF-CIR-C001-07</v>
          </cell>
        </row>
        <row r="288">
          <cell r="A288" t="str">
            <v>LG-EAF-FMA-S109-01</v>
          </cell>
        </row>
        <row r="289">
          <cell r="A289" t="str">
            <v>LG-OPD-REC-S109-01</v>
          </cell>
        </row>
        <row r="290">
          <cell r="A290" t="str">
            <v>LG-OPD-AUD-S123-10</v>
          </cell>
        </row>
        <row r="291">
          <cell r="A291" t="str">
            <v>LG-OPD-AUD-S054-01</v>
          </cell>
        </row>
        <row r="292">
          <cell r="A292" t="str">
            <v>LG-COR-CIR-C001-01</v>
          </cell>
        </row>
        <row r="293">
          <cell r="A293" t="str">
            <v>LG-COR-CHA-U1653-01</v>
          </cell>
        </row>
        <row r="294">
          <cell r="A294" t="str">
            <v>LG-EAF-FMA-S053-02</v>
          </cell>
        </row>
        <row r="295">
          <cell r="A295" t="str">
            <v>LG-EAF-FMA-S063-02</v>
          </cell>
        </row>
        <row r="296">
          <cell r="A296" t="str">
            <v>LG-EAF-FMA-S063-01</v>
          </cell>
        </row>
        <row r="297">
          <cell r="A297" t="str">
            <v>LG-EAF-FMA-S053-01</v>
          </cell>
        </row>
        <row r="298">
          <cell r="A298" t="str">
            <v>LG-EAF-FMA-S061-01</v>
          </cell>
        </row>
        <row r="299">
          <cell r="A299" t="str">
            <v>LG-EAF-SFK-U0904-01</v>
          </cell>
        </row>
        <row r="300">
          <cell r="A300" t="str">
            <v>LG-EAF-SFK-U0905-01</v>
          </cell>
        </row>
        <row r="301">
          <cell r="A301" t="str">
            <v>LG-OPD-AUD-L039-06</v>
          </cell>
        </row>
        <row r="302">
          <cell r="A302" t="str">
            <v>LG-OPD-AUD-S123-06</v>
          </cell>
        </row>
        <row r="303">
          <cell r="A303" t="str">
            <v>LG-OPD-AUD-L039-05</v>
          </cell>
        </row>
        <row r="304">
          <cell r="A304" t="str">
            <v>LG-OPD-AUD-S123-04</v>
          </cell>
        </row>
        <row r="305">
          <cell r="A305" t="str">
            <v>LG-OPD-AUD-L039-04</v>
          </cell>
        </row>
        <row r="306">
          <cell r="A306" t="str">
            <v>LG-OPD-CC2-S070-01</v>
          </cell>
        </row>
        <row r="307">
          <cell r="A307" t="str">
            <v>LG-EAF-CAT-S024-01</v>
          </cell>
        </row>
        <row r="308">
          <cell r="A308" t="str">
            <v>LG-EAF-CAT-U0871-01</v>
          </cell>
        </row>
        <row r="309">
          <cell r="A309" t="str">
            <v>LG-EAF-CAT-S152-01</v>
          </cell>
        </row>
        <row r="310">
          <cell r="A310" t="str">
            <v>LG-EAF-CAT-U0887-01</v>
          </cell>
        </row>
        <row r="311">
          <cell r="A311" t="str">
            <v>LG-EAF-CAT-S139-04</v>
          </cell>
        </row>
        <row r="312">
          <cell r="A312" t="str">
            <v>LG-EAF-CAT-S139-01</v>
          </cell>
        </row>
        <row r="313">
          <cell r="A313" t="str">
            <v>LG-EAF-CIR-C001-05</v>
          </cell>
        </row>
        <row r="314">
          <cell r="A314" t="str">
            <v>LG-EAF-CAT-S109-01</v>
          </cell>
        </row>
        <row r="315">
          <cell r="A315" t="str">
            <v>LG-EAF-SFK-U0903-01</v>
          </cell>
        </row>
        <row r="316">
          <cell r="A316" t="str">
            <v>LG-EAF-SFK-S151-02</v>
          </cell>
        </row>
        <row r="317">
          <cell r="A317" t="str">
            <v>LG-EAF-SFK-U0907-01</v>
          </cell>
        </row>
        <row r="318">
          <cell r="A318" t="str">
            <v>LG-EAF-CIR-C001-04</v>
          </cell>
        </row>
        <row r="319">
          <cell r="A319" t="str">
            <v>LG-EAF-CAT-S139-06</v>
          </cell>
        </row>
        <row r="320">
          <cell r="A320" t="str">
            <v>LG-OPD-CC1-S116-02</v>
          </cell>
        </row>
        <row r="321">
          <cell r="A321" t="str">
            <v>LG-OPD-CC1-S028-16</v>
          </cell>
        </row>
        <row r="322">
          <cell r="A322" t="str">
            <v>LG-OPD-CC1-L046-01</v>
          </cell>
        </row>
        <row r="323">
          <cell r="A323" t="str">
            <v>LG-OPD-CC1-S028-07</v>
          </cell>
        </row>
        <row r="324">
          <cell r="A324" t="str">
            <v>LG-OPD-CC1-U0157-01</v>
          </cell>
        </row>
        <row r="325">
          <cell r="A325" t="str">
            <v>LG-OPD-CC1-S113-05</v>
          </cell>
        </row>
        <row r="326">
          <cell r="A326" t="str">
            <v>LG-OPD-CC1-S023-02</v>
          </cell>
        </row>
        <row r="327">
          <cell r="A327" t="str">
            <v>LG-COR-CHA-U0822-01</v>
          </cell>
        </row>
        <row r="328">
          <cell r="A328" t="str">
            <v>LG-COR-CHA-U1653-02</v>
          </cell>
        </row>
        <row r="329">
          <cell r="A329" t="str">
            <v>LG-OPD-CC1-S113-02</v>
          </cell>
        </row>
        <row r="330">
          <cell r="A330" t="str">
            <v>LG-OPD-CC1-S109-04</v>
          </cell>
        </row>
        <row r="331">
          <cell r="A331" t="str">
            <v>LG-OPD-CC1-S064-03</v>
          </cell>
        </row>
        <row r="332">
          <cell r="A332" t="str">
            <v>LG-OPD-CC1-S064-02</v>
          </cell>
        </row>
        <row r="333">
          <cell r="A333" t="str">
            <v>LG-OPD-AUD-L084-03</v>
          </cell>
        </row>
        <row r="334">
          <cell r="A334" t="str">
            <v>LG-OPD-CIR-C001-06</v>
          </cell>
        </row>
        <row r="335">
          <cell r="A335" t="str">
            <v>LG-OPD-CIR-C001-02</v>
          </cell>
        </row>
        <row r="336">
          <cell r="A336" t="str">
            <v>LG-OPD-CIR-C001-03</v>
          </cell>
        </row>
        <row r="337">
          <cell r="A337" t="str">
            <v>LG-OPD-CC2-S036-01</v>
          </cell>
        </row>
        <row r="338">
          <cell r="A338" t="str">
            <v>LG-EAF-MOR-S139-02</v>
          </cell>
        </row>
        <row r="339">
          <cell r="A339" t="str">
            <v>LG-EAF-MOR-L064-03</v>
          </cell>
        </row>
        <row r="340">
          <cell r="A340" t="str">
            <v>LG-EAF-MOR-L089-02</v>
          </cell>
        </row>
        <row r="341">
          <cell r="A341" t="str">
            <v>LG-EAF-MOR-S036-01</v>
          </cell>
        </row>
        <row r="342">
          <cell r="A342" t="str">
            <v>LG-EAF-MOR-S113-01</v>
          </cell>
        </row>
        <row r="343">
          <cell r="A343" t="str">
            <v>LG-OPD-CC2-U0169-01</v>
          </cell>
        </row>
        <row r="344">
          <cell r="A344" t="str">
            <v>LG-OPD-CC2-S029-08</v>
          </cell>
        </row>
        <row r="345">
          <cell r="A345" t="str">
            <v>LG-OPD-ORS-S025-02</v>
          </cell>
        </row>
        <row r="346">
          <cell r="A346" t="str">
            <v>LG-OPD-CIR-C001-24</v>
          </cell>
        </row>
        <row r="347">
          <cell r="A347" t="str">
            <v>LG-OPD-CIR-C001-21</v>
          </cell>
        </row>
        <row r="348">
          <cell r="A348" t="str">
            <v>LG-OPD-CC1-L099-01</v>
          </cell>
        </row>
        <row r="349">
          <cell r="A349" t="str">
            <v>LG-OPD-CC1-S001-02</v>
          </cell>
        </row>
        <row r="350">
          <cell r="A350" t="str">
            <v>LG-OPD-CC1-S104-02</v>
          </cell>
        </row>
        <row r="351">
          <cell r="A351" t="str">
            <v>LG-OPD-CC1-S104-03</v>
          </cell>
        </row>
        <row r="352">
          <cell r="A352" t="str">
            <v>LG-OPD-CC1-S035-01</v>
          </cell>
        </row>
        <row r="353">
          <cell r="A353" t="str">
            <v>LG-OPD-CC1-S109-01</v>
          </cell>
        </row>
        <row r="354">
          <cell r="A354" t="str">
            <v>LG-OPD-CC2-S113-01</v>
          </cell>
        </row>
        <row r="355">
          <cell r="A355" t="str">
            <v>LG-OPD-ORS-S038-02</v>
          </cell>
        </row>
        <row r="356">
          <cell r="A356" t="str">
            <v>LG-OPD-CC2-L062-02</v>
          </cell>
        </row>
        <row r="357">
          <cell r="A357" t="str">
            <v>LG-OPD-CC1-S156-04</v>
          </cell>
        </row>
        <row r="358">
          <cell r="A358" t="str">
            <v>LG-OPD-CC1-S156-05</v>
          </cell>
        </row>
        <row r="359">
          <cell r="A359" t="str">
            <v>LG-OPD-CC2-S029-10</v>
          </cell>
        </row>
        <row r="360">
          <cell r="A360" t="str">
            <v>LG-OPD-CC2-S108-07</v>
          </cell>
        </row>
        <row r="361">
          <cell r="A361" t="str">
            <v>LG-OPD-CC2-S029-11</v>
          </cell>
        </row>
        <row r="362">
          <cell r="A362" t="str">
            <v>LG-OPD-AUD-S092-01</v>
          </cell>
        </row>
        <row r="363">
          <cell r="A363" t="str">
            <v>LG-OPD-CC1-S081-01</v>
          </cell>
        </row>
        <row r="364">
          <cell r="A364" t="str">
            <v>LG-OPD-CC1-S109-03</v>
          </cell>
        </row>
        <row r="365">
          <cell r="A365" t="str">
            <v>LG-CST-CDU-S114-02</v>
          </cell>
        </row>
        <row r="366">
          <cell r="A366" t="str">
            <v>LG-CST-CDU-S114-01</v>
          </cell>
        </row>
        <row r="367">
          <cell r="A367" t="str">
            <v>LG-CST-CDU-S022-01</v>
          </cell>
        </row>
        <row r="368">
          <cell r="A368" t="str">
            <v>LG-CST-CDU-S081-01</v>
          </cell>
        </row>
        <row r="369">
          <cell r="A369" t="str">
            <v>LG-CST-CDU-S146-01</v>
          </cell>
        </row>
        <row r="370">
          <cell r="A370" t="str">
            <v>LG-EAF-CAT-S022-01</v>
          </cell>
        </row>
        <row r="371">
          <cell r="A371" t="str">
            <v>LG-PLA-PLA-U1813-01</v>
          </cell>
        </row>
        <row r="372">
          <cell r="A372" t="str">
            <v>LG-PAT-CLF-S025-03</v>
          </cell>
        </row>
        <row r="373">
          <cell r="A373" t="str">
            <v>LG-EAF-MOR-S008-01</v>
          </cell>
        </row>
        <row r="374">
          <cell r="A374" t="str">
            <v>LG-EAF-CIR-C001-11</v>
          </cell>
        </row>
        <row r="375">
          <cell r="A375" t="str">
            <v>LG-OPD-RED-S139-01</v>
          </cell>
        </row>
        <row r="376">
          <cell r="A376" t="str">
            <v>LG-OPD-C1W-S115-55</v>
          </cell>
        </row>
        <row r="377">
          <cell r="A377" t="str">
            <v>LG-EAF-MOR-S109-01</v>
          </cell>
        </row>
        <row r="378">
          <cell r="A378" t="str">
            <v>LG-OPD-AUD-S115-01</v>
          </cell>
        </row>
        <row r="379">
          <cell r="A379" t="str">
            <v>LG-OPD-CIR-C001-30</v>
          </cell>
        </row>
        <row r="380">
          <cell r="A380" t="str">
            <v>LG-OPD-C1W-S115-53</v>
          </cell>
        </row>
        <row r="381">
          <cell r="A381" t="str">
            <v>LG-MAI-PUB-U0778-01</v>
          </cell>
        </row>
        <row r="382">
          <cell r="A382" t="str">
            <v>LG-OPD-PHC-S075-01</v>
          </cell>
        </row>
        <row r="383">
          <cell r="A383" t="str">
            <v>LG-OPD-PHC-S147-01</v>
          </cell>
        </row>
        <row r="384">
          <cell r="A384" t="str">
            <v>LG-COR-CHA-U0821-01</v>
          </cell>
        </row>
        <row r="385">
          <cell r="A385" t="str">
            <v>LG-COR-CHA-S135-01</v>
          </cell>
        </row>
        <row r="386">
          <cell r="A386" t="str">
            <v>LG-OPD-CC2-U0174-01</v>
          </cell>
        </row>
        <row r="387">
          <cell r="A387" t="str">
            <v>LG-OPD-CC1-S064-11</v>
          </cell>
        </row>
        <row r="388">
          <cell r="A388" t="str">
            <v>LG-OPD-CC1-S059-01</v>
          </cell>
        </row>
        <row r="389">
          <cell r="A389" t="str">
            <v>LG-OPD-CC1-S108-06</v>
          </cell>
        </row>
        <row r="390">
          <cell r="A390" t="str">
            <v>LG-OPD-CC1-S064-01</v>
          </cell>
        </row>
        <row r="391">
          <cell r="A391" t="str">
            <v>LG-OPD-CC1-U0161-01</v>
          </cell>
        </row>
        <row r="392">
          <cell r="A392" t="str">
            <v>LG-OPD-CC2-L063-03</v>
          </cell>
        </row>
        <row r="393">
          <cell r="A393" t="str">
            <v>LG-OPD-CC1-S028-09</v>
          </cell>
        </row>
        <row r="394">
          <cell r="A394" t="str">
            <v>LG-OPD-CC2-S040-01</v>
          </cell>
        </row>
        <row r="395">
          <cell r="A395" t="str">
            <v>LG-OPD-CC2-S027-01</v>
          </cell>
        </row>
        <row r="396">
          <cell r="A396" t="str">
            <v>LG-OPD-CC2-S108-03</v>
          </cell>
        </row>
        <row r="397">
          <cell r="A397" t="str">
            <v>LG-OPD-AUD-L039-10</v>
          </cell>
        </row>
        <row r="398">
          <cell r="A398" t="str">
            <v>LG-OPD-CC2-S029-07</v>
          </cell>
        </row>
        <row r="399">
          <cell r="A399" t="str">
            <v>LG-OPD-AUD-L039-08</v>
          </cell>
        </row>
        <row r="400">
          <cell r="A400" t="str">
            <v>LG-OPD-AUD-L084-05</v>
          </cell>
        </row>
        <row r="401">
          <cell r="A401" t="str">
            <v>LG-OPD-CC1-S036-01</v>
          </cell>
        </row>
        <row r="402">
          <cell r="A402" t="str">
            <v>LG-OPD-CC1-U0151-01</v>
          </cell>
        </row>
        <row r="403">
          <cell r="A403" t="str">
            <v>LG-OPD-CC1-S023-01</v>
          </cell>
        </row>
        <row r="404">
          <cell r="A404" t="str">
            <v>LG-EAF-MOR-L089-01</v>
          </cell>
        </row>
        <row r="405">
          <cell r="A405" t="str">
            <v>LG-CST-CDU-U0655-01</v>
          </cell>
        </row>
        <row r="406">
          <cell r="A406" t="str">
            <v>LG-PAT-CLF-S022-01</v>
          </cell>
        </row>
        <row r="407">
          <cell r="A407" t="str">
            <v>LG-PLA-PLA-U1814-01</v>
          </cell>
        </row>
        <row r="408">
          <cell r="A408" t="str">
            <v>LG-EAF-MOR-U0869-01</v>
          </cell>
        </row>
        <row r="409">
          <cell r="A409" t="str">
            <v>LG-EAF-MOR-U1426-01</v>
          </cell>
        </row>
        <row r="410">
          <cell r="A410" t="str">
            <v>LG-EAF-MOR-S150-01</v>
          </cell>
        </row>
        <row r="411">
          <cell r="A411" t="str">
            <v>LG-CST-CDU-U0660-01</v>
          </cell>
        </row>
        <row r="412">
          <cell r="A412" t="str">
            <v>LG-CST-CDU-S020-02</v>
          </cell>
        </row>
        <row r="413">
          <cell r="A413" t="str">
            <v>LG-CST-CDU-U0664-01</v>
          </cell>
        </row>
        <row r="414">
          <cell r="A414" t="str">
            <v>LG-CST-CDU-U0659-01</v>
          </cell>
        </row>
        <row r="415">
          <cell r="A415" t="str">
            <v>LG-CST-CDU-U0662-01</v>
          </cell>
        </row>
        <row r="416">
          <cell r="A416" t="str">
            <v>LG-CST-CDU-S025-01</v>
          </cell>
        </row>
        <row r="417">
          <cell r="A417" t="str">
            <v>LG-OPD-CC1-S104-01</v>
          </cell>
        </row>
        <row r="418">
          <cell r="A418" t="str">
            <v>LG-OPD-MIL-S141-01</v>
          </cell>
        </row>
        <row r="419">
          <cell r="A419" t="str">
            <v>LG-CST-CEL-U0647-01</v>
          </cell>
        </row>
        <row r="420">
          <cell r="A420" t="str">
            <v>LG-CST-CDU-U0682-01</v>
          </cell>
        </row>
        <row r="421">
          <cell r="A421" t="str">
            <v>LG-CST-CDU-U0668-01</v>
          </cell>
        </row>
        <row r="422">
          <cell r="A422" t="str">
            <v>LG-CST-CIR-C001-04</v>
          </cell>
        </row>
        <row r="423">
          <cell r="A423" t="str">
            <v>LG-CST-CIR-C001-07</v>
          </cell>
        </row>
        <row r="424">
          <cell r="A424" t="str">
            <v>LG-CST-CDU-L078-01</v>
          </cell>
        </row>
        <row r="425">
          <cell r="A425" t="str">
            <v>LG-CST-CDU-S139-02</v>
          </cell>
        </row>
        <row r="426">
          <cell r="A426" t="str">
            <v>LG-CST-CDU-S109-01</v>
          </cell>
        </row>
        <row r="427">
          <cell r="A427" t="str">
            <v>LG-OPD-RED-U0430-01</v>
          </cell>
        </row>
        <row r="428">
          <cell r="A428" t="str">
            <v>LG-OPD-RED-L085-02</v>
          </cell>
        </row>
        <row r="429">
          <cell r="A429" t="str">
            <v>LG-OPD-CC1-S064-08</v>
          </cell>
        </row>
        <row r="430">
          <cell r="A430" t="str">
            <v>LG-OPD-RED-U0428-01</v>
          </cell>
        </row>
        <row r="431">
          <cell r="A431" t="str">
            <v>LG-OPD-RED-U0433-01</v>
          </cell>
        </row>
        <row r="432">
          <cell r="A432" t="str">
            <v>LG-OPD-C1W-S115-49</v>
          </cell>
        </row>
        <row r="433">
          <cell r="A433" t="str">
            <v>LG-PAT-CLF-S039-01</v>
          </cell>
        </row>
        <row r="434">
          <cell r="A434" t="str">
            <v>LG-PLA-PLA-U1816-01</v>
          </cell>
        </row>
        <row r="435">
          <cell r="A435" t="str">
            <v>LG-HUB-ITH-S118-10</v>
          </cell>
        </row>
        <row r="436">
          <cell r="A436" t="str">
            <v>LG-OPD-CC1-S058-01</v>
          </cell>
        </row>
        <row r="437">
          <cell r="A437" t="str">
            <v>LG-CST-CDU-U0672-02</v>
          </cell>
        </row>
        <row r="438">
          <cell r="A438" t="str">
            <v>LG-OPD-CC1-S075-02</v>
          </cell>
        </row>
        <row r="439">
          <cell r="A439" t="str">
            <v>LG-MAI-PUB-U1830-03</v>
          </cell>
        </row>
        <row r="440">
          <cell r="A440" t="str">
            <v>LG-MAI-RET-U1291-01</v>
          </cell>
        </row>
        <row r="441">
          <cell r="A441" t="str">
            <v>LG-EAF-MOR-U0865-01</v>
          </cell>
        </row>
        <row r="442">
          <cell r="A442" t="str">
            <v>LG-EAF-CIR-C001-12</v>
          </cell>
        </row>
        <row r="443">
          <cell r="A443" t="str">
            <v>LG-CST-CDU-S094-01</v>
          </cell>
        </row>
        <row r="444">
          <cell r="A444" t="str">
            <v>LG-HUB-ITH-S118-04</v>
          </cell>
        </row>
        <row r="445">
          <cell r="A445" t="str">
            <v>LG-PLA-PLA-U1812-01</v>
          </cell>
        </row>
        <row r="446">
          <cell r="A446" t="str">
            <v>LG-PLA-PLA-U1811-01</v>
          </cell>
        </row>
        <row r="447">
          <cell r="A447" t="str">
            <v>LG-EAF-FMA-S115-12</v>
          </cell>
        </row>
        <row r="448">
          <cell r="A448" t="str">
            <v>LG-EAF-SWI-U0836-01</v>
          </cell>
        </row>
        <row r="449">
          <cell r="A449" t="str">
            <v>LG-OPD-REC-U0143-01</v>
          </cell>
        </row>
        <row r="450">
          <cell r="A450" t="str">
            <v>LG-CST-CEL-U0644-01</v>
          </cell>
        </row>
        <row r="451">
          <cell r="A451" t="str">
            <v>LG-CST-CEL-S114-01</v>
          </cell>
        </row>
        <row r="452">
          <cell r="A452" t="str">
            <v>LG-CST-CDU-U0685-01</v>
          </cell>
        </row>
        <row r="453">
          <cell r="A453" t="str">
            <v>LG-OPD-CC2-S109-01</v>
          </cell>
        </row>
        <row r="454">
          <cell r="A454" t="str">
            <v>LG-OPD-AUD-L039-02</v>
          </cell>
        </row>
        <row r="455">
          <cell r="A455" t="str">
            <v>LG-OPD-AUD-S123-02</v>
          </cell>
        </row>
        <row r="456">
          <cell r="A456" t="str">
            <v>LG-OPD-CC2-S029-02</v>
          </cell>
        </row>
        <row r="457">
          <cell r="A457" t="str">
            <v>LG-OPD-CC2-S029-04</v>
          </cell>
        </row>
        <row r="458">
          <cell r="A458" t="str">
            <v>LG-OPD-CC2-S026-01</v>
          </cell>
        </row>
        <row r="459">
          <cell r="A459" t="str">
            <v>LG-OPD-CC2-S099-01</v>
          </cell>
        </row>
        <row r="460">
          <cell r="A460" t="str">
            <v>LG-OPD-CC1-S028-02</v>
          </cell>
        </row>
        <row r="461">
          <cell r="A461" t="str">
            <v>LG-OPD-CC1-S060-01</v>
          </cell>
        </row>
        <row r="462">
          <cell r="A462" t="str">
            <v>LG-OPD-CC1-S040-02</v>
          </cell>
        </row>
        <row r="463">
          <cell r="A463" t="str">
            <v>LG-OPD-CC1-S156-03</v>
          </cell>
        </row>
        <row r="464">
          <cell r="A464" t="str">
            <v>LG-OPD-CC1-S064-06</v>
          </cell>
        </row>
        <row r="465">
          <cell r="A465" t="str">
            <v>LG-OPD-CC1-S108-02</v>
          </cell>
        </row>
        <row r="466">
          <cell r="A466" t="str">
            <v>LG-OPD-CC1-S026-01</v>
          </cell>
        </row>
        <row r="467">
          <cell r="A467" t="str">
            <v>LG-OPD-CC1-S005-01</v>
          </cell>
        </row>
        <row r="468">
          <cell r="A468" t="str">
            <v>LG-OPD-CC2-S108-06</v>
          </cell>
        </row>
        <row r="469">
          <cell r="A469" t="str">
            <v>LG-OPD-CC2-L067-02</v>
          </cell>
        </row>
        <row r="470">
          <cell r="A470" t="str">
            <v>LG-OPD-CC2-S035-01</v>
          </cell>
        </row>
        <row r="471">
          <cell r="A471" t="str">
            <v>LG-OPD-CC2-S040-02</v>
          </cell>
        </row>
        <row r="472">
          <cell r="A472" t="str">
            <v>LG-OPD-CC2-S111-01</v>
          </cell>
        </row>
        <row r="473">
          <cell r="A473" t="str">
            <v>LG-OPD-CC2-S113-04</v>
          </cell>
        </row>
        <row r="474">
          <cell r="A474" t="str">
            <v>LG-OPD-CC2-L063-01</v>
          </cell>
        </row>
        <row r="475">
          <cell r="A475" t="str">
            <v>LG-OPD-CC1-S099-02</v>
          </cell>
        </row>
        <row r="476">
          <cell r="A476" t="str">
            <v>LG-OPD-CC1-S029-02</v>
          </cell>
        </row>
        <row r="477">
          <cell r="A477" t="str">
            <v>LG-EAF-MOR-L089-03</v>
          </cell>
        </row>
        <row r="478">
          <cell r="A478" t="str">
            <v>LG-OPD-CIR-C001-14</v>
          </cell>
        </row>
        <row r="479">
          <cell r="A479" t="str">
            <v>LG-OPD-CC2-S108-01</v>
          </cell>
        </row>
        <row r="480">
          <cell r="A480" t="str">
            <v>LG-OPD-CC1-S001-01</v>
          </cell>
        </row>
        <row r="481">
          <cell r="A481" t="str">
            <v>LG-EAF-CAT-S139-02</v>
          </cell>
        </row>
        <row r="482">
          <cell r="A482" t="str">
            <v>LG-EAF-SFK-S025-01</v>
          </cell>
        </row>
        <row r="483">
          <cell r="A483" t="str">
            <v>LG-EAF-FMA-S050-01</v>
          </cell>
        </row>
        <row r="484">
          <cell r="A484" t="str">
            <v>LG-EAF-CAT-U0889-01</v>
          </cell>
        </row>
        <row r="485">
          <cell r="A485" t="str">
            <v>LG-EAF-CAT-S139-05</v>
          </cell>
        </row>
        <row r="486">
          <cell r="A486" t="str">
            <v/>
          </cell>
        </row>
        <row r="487">
          <cell r="A487" t="str">
            <v>LG-EAF-CAT-U0893-01</v>
          </cell>
        </row>
        <row r="488">
          <cell r="A488" t="str">
            <v>LG-EAF-CAT-U0882-01</v>
          </cell>
        </row>
        <row r="489">
          <cell r="A489" t="str">
            <v>LG-EAF-CAT-S099-01</v>
          </cell>
        </row>
        <row r="490">
          <cell r="A490" t="str">
            <v>LG-EAF-CAT-S141-01</v>
          </cell>
        </row>
        <row r="491">
          <cell r="A491" t="str">
            <v>LG-COR-CHA-U0819-01</v>
          </cell>
        </row>
        <row r="492">
          <cell r="A492" t="str">
            <v>LG-OPD-AUD-L039-09</v>
          </cell>
        </row>
        <row r="493">
          <cell r="A493" t="str">
            <v>LG-OPD-AUD-L039-01</v>
          </cell>
        </row>
        <row r="494">
          <cell r="A494" t="str">
            <v>LG-OPD-CC1-S064-04</v>
          </cell>
        </row>
        <row r="495">
          <cell r="A495" t="str">
            <v>LG-CST-CDU-U0676-01</v>
          </cell>
        </row>
        <row r="496">
          <cell r="A496" t="str">
            <v>LG-CST-CDU-U0681-01</v>
          </cell>
        </row>
        <row r="497">
          <cell r="A497" t="str">
            <v>LG-CST-CDU-U0667-01</v>
          </cell>
        </row>
        <row r="498">
          <cell r="A498" t="str">
            <v>LG-CIR-CIR-C001-03</v>
          </cell>
        </row>
        <row r="499">
          <cell r="A499" t="str">
            <v>LG-EAF-FMA-S095-01</v>
          </cell>
        </row>
        <row r="500">
          <cell r="A500" t="str">
            <v>LG-EAF-CIR-C001-06</v>
          </cell>
        </row>
        <row r="501">
          <cell r="A501" t="str">
            <v>LG-OPD-PHC-S081-01</v>
          </cell>
        </row>
        <row r="502">
          <cell r="A502" t="str">
            <v>LG-OPD-PHC-S096-01</v>
          </cell>
        </row>
        <row r="503">
          <cell r="A503" t="str">
            <v>LG-OPD-CC2-L062-01</v>
          </cell>
        </row>
        <row r="504">
          <cell r="A504" t="str">
            <v>LG-OPD-CC2-S029-09</v>
          </cell>
        </row>
        <row r="505">
          <cell r="A505" t="str">
            <v>LG-OPD-CC2-S108-05</v>
          </cell>
        </row>
        <row r="506">
          <cell r="A506" t="str">
            <v>LG-OPD-CC2-U0178-01</v>
          </cell>
        </row>
        <row r="507">
          <cell r="A507" t="str">
            <v>LG-OPD-CC2-U0180-01</v>
          </cell>
        </row>
        <row r="508">
          <cell r="A508" t="str">
            <v>LG-OPD-CC1-L099-02</v>
          </cell>
        </row>
        <row r="509">
          <cell r="A509" t="str">
            <v>LG-OPD-CC1-S081-02</v>
          </cell>
        </row>
        <row r="510">
          <cell r="A510" t="str">
            <v>LG-OPD-PHC-S128-01</v>
          </cell>
        </row>
        <row r="511">
          <cell r="A511" t="str">
            <v>LG-OPD-AUD-L039-03</v>
          </cell>
        </row>
        <row r="512">
          <cell r="A512" t="str">
            <v>LG-OPD-ORS-S109-01</v>
          </cell>
        </row>
        <row r="513">
          <cell r="A513" t="str">
            <v>LG-OPD-PHC-S128-03</v>
          </cell>
        </row>
        <row r="514">
          <cell r="A514" t="str">
            <v>LG-OPD-PHC-S028-01</v>
          </cell>
        </row>
        <row r="515">
          <cell r="A515" t="str">
            <v>LG-OPD-ORS-S111-01</v>
          </cell>
        </row>
        <row r="516">
          <cell r="A516" t="str">
            <v>LG-OPD-AUD-U0444-01</v>
          </cell>
        </row>
        <row r="517">
          <cell r="A517" t="str">
            <v>LG-OPD-AUD-L070-01</v>
          </cell>
        </row>
        <row r="518">
          <cell r="A518" t="str">
            <v>LG-OPD-CC1-S028-17</v>
          </cell>
        </row>
        <row r="519">
          <cell r="A519" t="str">
            <v>LG-OPD-CC2-S108-04</v>
          </cell>
        </row>
        <row r="520">
          <cell r="A520" t="str">
            <v>LG-OPD-CC1-U0145-01</v>
          </cell>
        </row>
        <row r="521">
          <cell r="A521" t="str">
            <v>LG-OPD-C2W-S115-38</v>
          </cell>
        </row>
        <row r="522">
          <cell r="A522" t="str">
            <v>LG-OPD-C1W-S115-54</v>
          </cell>
        </row>
        <row r="523">
          <cell r="A523" t="str">
            <v>LG-OPD-CC1-S116-01</v>
          </cell>
        </row>
        <row r="524">
          <cell r="A524" t="str">
            <v>LG-OPD-CC2-S029-05</v>
          </cell>
        </row>
        <row r="525">
          <cell r="A525" t="str">
            <v>LG-OPD-CC1-U0148-01</v>
          </cell>
        </row>
        <row r="526">
          <cell r="A526" t="str">
            <v>LG-MAI-RET-U1293-01</v>
          </cell>
        </row>
        <row r="527">
          <cell r="A527" t="str">
            <v>LG-OPD-CC2-S075-01</v>
          </cell>
        </row>
        <row r="528">
          <cell r="A528" t="str">
            <v>LG-OPD-CC2-S058-01</v>
          </cell>
        </row>
        <row r="529">
          <cell r="A529" t="str">
            <v>LG-COR-CHA-S109-01</v>
          </cell>
        </row>
        <row r="530">
          <cell r="A530" t="str">
            <v>LG-COR-CHA-S114-01</v>
          </cell>
        </row>
        <row r="531">
          <cell r="A531" t="str">
            <v>LG-COR-CHA-S135-02</v>
          </cell>
        </row>
        <row r="532">
          <cell r="A532" t="str">
            <v>LG-PLA-PLA-U1820-01</v>
          </cell>
        </row>
        <row r="533">
          <cell r="A533" t="str">
            <v>LG-OPD-AUD-S123-05</v>
          </cell>
        </row>
        <row r="534">
          <cell r="A534" t="str">
            <v>LG-PLA-PLA-U1809-01</v>
          </cell>
        </row>
        <row r="535">
          <cell r="A535" t="str">
            <v>LG-EAF-CAT-S038-01</v>
          </cell>
        </row>
        <row r="536">
          <cell r="A536" t="str">
            <v>LG-EAF-CAT-U0896-02</v>
          </cell>
        </row>
        <row r="537">
          <cell r="A537" t="str">
            <v>LG-EAF-CAT-S141-02</v>
          </cell>
        </row>
        <row r="538">
          <cell r="A538" t="str">
            <v>LG-EAF-CAT-U0877-01</v>
          </cell>
        </row>
        <row r="539">
          <cell r="A539" t="str">
            <v>LG-OPD-CC1-S109-02</v>
          </cell>
        </row>
        <row r="540">
          <cell r="A540" t="str">
            <v>LG-OPD-CC1-S156-06</v>
          </cell>
        </row>
        <row r="541">
          <cell r="A541" t="str">
            <v>LG-OPD-CC1-S156-12</v>
          </cell>
        </row>
        <row r="542">
          <cell r="A542" t="str">
            <v>LG-CIR-CIR-C008-04</v>
          </cell>
        </row>
        <row r="543">
          <cell r="A543" t="str">
            <v>LG-COR-CHA-U0820-01</v>
          </cell>
        </row>
        <row r="544">
          <cell r="A544" t="str">
            <v>LG-CIR-CIR-C006-08</v>
          </cell>
        </row>
        <row r="545">
          <cell r="A545" t="str">
            <v>LG-OPD-ORS-S038-01</v>
          </cell>
        </row>
        <row r="546">
          <cell r="A546" t="str">
            <v>LG-CIR-CIR-C006-09</v>
          </cell>
        </row>
        <row r="547">
          <cell r="A547" t="str">
            <v>LG-EAF-MOR-S025-01</v>
          </cell>
        </row>
        <row r="548">
          <cell r="A548" t="str">
            <v>LG-EAF-CIR-C001-13</v>
          </cell>
        </row>
        <row r="549">
          <cell r="A549" t="str">
            <v>LG-EAF-MOR-S139-01</v>
          </cell>
        </row>
        <row r="550">
          <cell r="A550" t="str">
            <v>LG-PLA-PLA-U1817-01</v>
          </cell>
        </row>
        <row r="551">
          <cell r="A551" t="str">
            <v>LG-CST-CIR-C001-01</v>
          </cell>
        </row>
        <row r="552">
          <cell r="A552" t="str">
            <v>LG-CST-CDU-S038-01</v>
          </cell>
        </row>
        <row r="553">
          <cell r="A553" t="str">
            <v>LG-CIR-CIR-C006-01</v>
          </cell>
        </row>
        <row r="554">
          <cell r="A554" t="str">
            <v>LG-OPD-CC1-S139-02</v>
          </cell>
        </row>
        <row r="555">
          <cell r="A555" t="str">
            <v>LG-CST-CDU-S139-01</v>
          </cell>
        </row>
        <row r="556">
          <cell r="A556" t="str">
            <v>LG-HUB-ITH-S118-06</v>
          </cell>
        </row>
        <row r="557">
          <cell r="A557" t="str">
            <v>LG-CIR-CIR-C008-06</v>
          </cell>
        </row>
        <row r="558">
          <cell r="A558" t="str">
            <v>LG-CIR-CIR-C008-01</v>
          </cell>
        </row>
        <row r="559">
          <cell r="A559" t="str">
            <v>LG-CIR-CIR-C006-02</v>
          </cell>
        </row>
        <row r="560">
          <cell r="A560" t="str">
            <v>LG-OPD-ORS-S022-01</v>
          </cell>
        </row>
        <row r="561">
          <cell r="A561" t="str">
            <v>LG-HUB-ITH-S118-03</v>
          </cell>
        </row>
        <row r="562">
          <cell r="A562" t="str">
            <v>LG-OPD-CC1-S027-01</v>
          </cell>
        </row>
        <row r="563">
          <cell r="A563" t="str">
            <v>LG-OPD-CC1-S114-01</v>
          </cell>
        </row>
        <row r="564">
          <cell r="A564" t="str">
            <v>LG-OPD-CC1-S082-02</v>
          </cell>
        </row>
        <row r="565">
          <cell r="A565" t="str">
            <v>LG-OPD-CC1-S036-02</v>
          </cell>
        </row>
        <row r="566">
          <cell r="A566" t="str">
            <v>LG-OPD-CC1-S108-01</v>
          </cell>
        </row>
        <row r="567">
          <cell r="A567" t="str">
            <v>LG-CIR-CIR-C006-03</v>
          </cell>
        </row>
        <row r="568">
          <cell r="A568" t="str">
            <v>LG-OPD-ORS-S025-01</v>
          </cell>
        </row>
        <row r="569">
          <cell r="A569" t="str">
            <v>LG-HUB-ITH-S118-01</v>
          </cell>
        </row>
        <row r="570">
          <cell r="A570" t="str">
            <v>LG-CIR-CIR-C006-05</v>
          </cell>
        </row>
        <row r="571">
          <cell r="A571" t="str">
            <v>LG-OPD-CIR-C001-07</v>
          </cell>
        </row>
        <row r="572">
          <cell r="A572" t="str">
            <v>LG-HUB-ITH-S118-07</v>
          </cell>
        </row>
        <row r="573">
          <cell r="A573" t="str">
            <v>LG-OPD-CC1-S028-04</v>
          </cell>
        </row>
        <row r="574">
          <cell r="A574" t="str">
            <v>LG-CIR-CIR-C008-05</v>
          </cell>
        </row>
        <row r="575">
          <cell r="A575" t="str">
            <v>LG-CIR-CIR-C006-10</v>
          </cell>
        </row>
        <row r="576">
          <cell r="A576" t="str">
            <v>LG-OPD-AUD-S099-01</v>
          </cell>
        </row>
        <row r="577">
          <cell r="A577" t="str">
            <v>LG-OPD-AUD-L070-02</v>
          </cell>
        </row>
        <row r="578">
          <cell r="A578" t="str">
            <v>LG-OPD-CC2-S029-06</v>
          </cell>
        </row>
        <row r="579">
          <cell r="A579" t="str">
            <v>LG-HUB-ITH-S118-02</v>
          </cell>
        </row>
        <row r="580">
          <cell r="A580" t="str">
            <v>LG-OPD-CC1-S111-01</v>
          </cell>
        </row>
        <row r="581">
          <cell r="A581" t="str">
            <v>LG-OPD-ORS-S022-02</v>
          </cell>
        </row>
        <row r="582">
          <cell r="A582" t="str">
            <v>LG-OPD-CIR-C001-12</v>
          </cell>
        </row>
        <row r="583">
          <cell r="A583" t="str">
            <v>LG-CIR-CIR-C006-04</v>
          </cell>
        </row>
        <row r="584">
          <cell r="A584" t="str">
            <v>LG-OPD-CIR-C001-04</v>
          </cell>
        </row>
        <row r="585">
          <cell r="A585" t="str">
            <v>LG-CIR-CIR-C008-03</v>
          </cell>
        </row>
        <row r="586">
          <cell r="A586" t="str">
            <v>LG-OPD-RED-L068-01</v>
          </cell>
        </row>
        <row r="587">
          <cell r="A587" t="str">
            <v>LG-CIR-CIR-C008-07</v>
          </cell>
        </row>
        <row r="588">
          <cell r="A588" t="str">
            <v>LG-CIR-CIR-C001-06</v>
          </cell>
        </row>
        <row r="589">
          <cell r="A589" t="str">
            <v>LG-CIR-CIR-C006-06</v>
          </cell>
        </row>
        <row r="590">
          <cell r="A590" t="str">
            <v>LG-HUB-ITH-S118-05</v>
          </cell>
        </row>
        <row r="591">
          <cell r="A591" t="str">
            <v>LG-PAT-HAE-U0473-01</v>
          </cell>
        </row>
        <row r="592">
          <cell r="A592" t="str">
            <v>LG-CIR-CIR-C006-07</v>
          </cell>
        </row>
        <row r="593">
          <cell r="A593" t="str">
            <v>LG-PAT-NNS-S115-15</v>
          </cell>
        </row>
        <row r="594">
          <cell r="A594" t="str">
            <v>LG-PAT-TRA-S115-12</v>
          </cell>
        </row>
        <row r="595">
          <cell r="A595" t="str">
            <v>LG-PAT-MOL-U0514-01</v>
          </cell>
        </row>
        <row r="596">
          <cell r="A596" t="str">
            <v>LG-PAT-TRA-S115-06</v>
          </cell>
        </row>
        <row r="597">
          <cell r="A597" t="str">
            <v>LG-CIR-CIR-C001-01</v>
          </cell>
        </row>
        <row r="598">
          <cell r="A598" t="str">
            <v>LG-PAT-HIS-U0456-01</v>
          </cell>
        </row>
        <row r="599">
          <cell r="A599" t="str">
            <v>LG-PAT-HIS-U0452-01</v>
          </cell>
        </row>
        <row r="600">
          <cell r="A600" t="str">
            <v>LG-PAT-TRA-U0479-01</v>
          </cell>
        </row>
        <row r="601">
          <cell r="A601" t="str">
            <v>LG-PAT-MOL-U0510-01</v>
          </cell>
        </row>
        <row r="602">
          <cell r="A602" t="str">
            <v>LG-PAT-MOL-U0511-01</v>
          </cell>
        </row>
        <row r="603">
          <cell r="A603" t="str">
            <v>LG-PAT-MOL-U0517-01</v>
          </cell>
        </row>
        <row r="604">
          <cell r="A604" t="str">
            <v>LG-PAT-MOL-U0513-01</v>
          </cell>
        </row>
        <row r="605">
          <cell r="A605" t="str">
            <v>LG-PAT-MOL-U0512-01</v>
          </cell>
        </row>
        <row r="606">
          <cell r="A606" t="str">
            <v>LG-PAT-MIC-U1270-01</v>
          </cell>
        </row>
        <row r="607">
          <cell r="A607" t="str">
            <v>LG-PAT-MIC-U0503-01</v>
          </cell>
        </row>
        <row r="608">
          <cell r="A608" t="str">
            <v>LG-PAT-HAE-U0471-01</v>
          </cell>
        </row>
        <row r="609">
          <cell r="A609" t="str">
            <v>LG-PAT-TRA-S115-42</v>
          </cell>
        </row>
        <row r="610">
          <cell r="A610" t="str">
            <v>LG-PAT-BIO-U0490-01</v>
          </cell>
        </row>
        <row r="611">
          <cell r="A611" t="str">
            <v>LG-PAT-BIO-U0489-01</v>
          </cell>
        </row>
        <row r="612">
          <cell r="A612" t="str">
            <v>LG-PAT-BIO-U0485-01</v>
          </cell>
        </row>
        <row r="613">
          <cell r="A613" t="str">
            <v>LG-PAT-BIO-U0486-01</v>
          </cell>
        </row>
        <row r="614">
          <cell r="A614" t="str">
            <v>LG-PAT-MET-U0494-01</v>
          </cell>
        </row>
        <row r="615">
          <cell r="A615" t="str">
            <v>LG-PAT-HAE-U0463-01</v>
          </cell>
        </row>
        <row r="616">
          <cell r="A616" t="str">
            <v>LG-PAT-HIS-U0453-01</v>
          </cell>
        </row>
        <row r="617">
          <cell r="A617" t="str">
            <v>LG-PAT-HIS-U0450-01</v>
          </cell>
        </row>
        <row r="618">
          <cell r="A618" t="str">
            <v>LG-PAT-HIS-U0450-01</v>
          </cell>
        </row>
        <row r="619">
          <cell r="A619" t="str">
            <v>LG-PAT-MOL-S074-04</v>
          </cell>
        </row>
        <row r="620">
          <cell r="A620" t="str">
            <v>LG-PAT-HIS-U0455-01</v>
          </cell>
        </row>
        <row r="621">
          <cell r="A621" t="str">
            <v>LG-PAT-BIO-U0491-01</v>
          </cell>
        </row>
        <row r="622">
          <cell r="A622" t="str">
            <v>LG-PAT-HAE-U0464-02</v>
          </cell>
        </row>
        <row r="623">
          <cell r="A623" t="str">
            <v>LG-PAT-HAE-U0457-01</v>
          </cell>
        </row>
        <row r="624">
          <cell r="A624" t="str">
            <v>LG-PAT-BIO-U0487-01</v>
          </cell>
        </row>
        <row r="625">
          <cell r="A625" t="str">
            <v>2793</v>
          </cell>
        </row>
        <row r="626">
          <cell r="A626" t="str">
            <v>LG-PAT-TRA-U0481-01</v>
          </cell>
        </row>
        <row r="627">
          <cell r="A627" t="str">
            <v>LG-PAT-CLF-U0524-01</v>
          </cell>
        </row>
        <row r="628">
          <cell r="A628" t="str">
            <v>LG-PAT-TRA-U0482-01</v>
          </cell>
        </row>
        <row r="629">
          <cell r="A629" t="str">
            <v>LG-PAT-BIO-S115-29</v>
          </cell>
        </row>
        <row r="630">
          <cell r="A630" t="str">
            <v>LG-PAT-MOL-S115-17</v>
          </cell>
        </row>
        <row r="631">
          <cell r="A631" t="str">
            <v>LG-PAT-TRA-S115-16</v>
          </cell>
        </row>
        <row r="632">
          <cell r="A632" t="str">
            <v>LG-PAT-TRA-U0483-01</v>
          </cell>
        </row>
        <row r="633">
          <cell r="A633" t="str">
            <v>LG-PAT-NNS-U0497-01</v>
          </cell>
        </row>
        <row r="634">
          <cell r="A634" t="str">
            <v>LG-PAT-NNS-U0498-01</v>
          </cell>
        </row>
        <row r="635">
          <cell r="A635" t="str">
            <v>LG-PAT-NNS-U0499-01</v>
          </cell>
        </row>
        <row r="636">
          <cell r="A636" t="str">
            <v>LG-PAT-MET-U0496-01</v>
          </cell>
        </row>
        <row r="637">
          <cell r="A637" t="str">
            <v>LG-PAT-MIC-S109-04</v>
          </cell>
        </row>
        <row r="638">
          <cell r="A638" t="str">
            <v>LG-PAT-HIS-S114-03</v>
          </cell>
        </row>
        <row r="639">
          <cell r="A639" t="str">
            <v>LG-PAT-MET-U0495-01</v>
          </cell>
        </row>
        <row r="640">
          <cell r="A640" t="str">
            <v>LG-PAT-TRA-S115-24</v>
          </cell>
        </row>
        <row r="641">
          <cell r="A641" t="str">
            <v>LG-PAT-CLF-S025-01</v>
          </cell>
        </row>
        <row r="642">
          <cell r="A642" t="str">
            <v>LG-PAT-MET-X015-01</v>
          </cell>
        </row>
        <row r="643">
          <cell r="A643" t="str">
            <v>LG-PAT-MET-U0492-01</v>
          </cell>
        </row>
        <row r="644">
          <cell r="A644" t="str">
            <v>LG-PAT-HIS-U0454-01</v>
          </cell>
        </row>
        <row r="645">
          <cell r="A645" t="str">
            <v>LG-PAT-BIO-U0488-01</v>
          </cell>
        </row>
        <row r="646">
          <cell r="A646" t="str">
            <v>LG-PAT-HAE-U1440-01</v>
          </cell>
        </row>
        <row r="647">
          <cell r="A647" t="str">
            <v>LG-PAT-CLF-U0448-01</v>
          </cell>
        </row>
        <row r="648">
          <cell r="A648" t="str">
            <v>LG-PAT-TRA-U0480-01</v>
          </cell>
        </row>
        <row r="649">
          <cell r="A649" t="str">
            <v>LG-PAT-HAE-U0468-01</v>
          </cell>
        </row>
        <row r="650">
          <cell r="A650" t="str">
            <v>LG-PAT-CLF-S114-01</v>
          </cell>
        </row>
        <row r="651">
          <cell r="A651" t="str">
            <v>LG-PAT-HIS-U0449-01</v>
          </cell>
        </row>
        <row r="652">
          <cell r="A652" t="str">
            <v>LG-PAT-TRA-S115-36</v>
          </cell>
        </row>
        <row r="653">
          <cell r="A653" t="str">
            <v>LG-PAT-HAE-U0465-01</v>
          </cell>
        </row>
        <row r="654">
          <cell r="A654" t="str">
            <v>LG-PAT-MOL-U0519-01</v>
          </cell>
        </row>
        <row r="655">
          <cell r="A655" t="str">
            <v>LG-PAT-MOL-U0509-01</v>
          </cell>
        </row>
        <row r="656">
          <cell r="A656" t="str">
            <v>LG-PAT-MOL-U0521-01</v>
          </cell>
        </row>
        <row r="657">
          <cell r="A657" t="str">
            <v>LG-PAT-MIC-U0505-01</v>
          </cell>
        </row>
        <row r="658">
          <cell r="A658" t="str">
            <v>LG-PAT-HAE-U0459-01</v>
          </cell>
        </row>
        <row r="659">
          <cell r="A659" t="str">
            <v>LG-PAT-HAE-U0472-01</v>
          </cell>
        </row>
        <row r="660">
          <cell r="A660" t="str">
            <v>LG-PAT-HAE-U0474-01</v>
          </cell>
        </row>
        <row r="661">
          <cell r="A661" t="str">
            <v>LG-PAT-HAE-U0470-01</v>
          </cell>
        </row>
        <row r="662">
          <cell r="A662" t="str">
            <v>LG-PAT-MIC-U0504-01</v>
          </cell>
        </row>
        <row r="663">
          <cell r="A663" t="str">
            <v>LG-PAT-MIC-U1271-01</v>
          </cell>
        </row>
        <row r="664">
          <cell r="A664" t="str">
            <v>LG-PAT-MOL-S045-01</v>
          </cell>
        </row>
        <row r="665">
          <cell r="A665" t="str">
            <v>LG-PAT-MOL-S045-02</v>
          </cell>
        </row>
        <row r="666">
          <cell r="A666" t="str">
            <v>LG-PAT-MOL-U0520-01</v>
          </cell>
        </row>
        <row r="667">
          <cell r="A667" t="str">
            <v>LG-PAT-HAE-U0469-01</v>
          </cell>
        </row>
        <row r="668">
          <cell r="A668" t="str">
            <v>LG-PAT-HAE-U0467-01</v>
          </cell>
        </row>
        <row r="669">
          <cell r="A669" t="str">
            <v>LG-PAT-HAE-U0458-01</v>
          </cell>
        </row>
        <row r="670">
          <cell r="A670" t="str">
            <v>LG-PAT-HAE-U0460-01</v>
          </cell>
        </row>
        <row r="671">
          <cell r="A671" t="str">
            <v>LG-PAT-MOL-U0523-01</v>
          </cell>
        </row>
        <row r="672">
          <cell r="A672" t="str">
            <v>LG-PAT-CLF-S114-02</v>
          </cell>
        </row>
        <row r="673">
          <cell r="A673" t="str">
            <v>LG-PAT-MIC-U0507-01</v>
          </cell>
        </row>
        <row r="674">
          <cell r="A674" t="str">
            <v>LG-PAT-NNS-U0500-01</v>
          </cell>
        </row>
        <row r="675">
          <cell r="A675" t="str">
            <v>LG-PAT-MOL-U0508-01</v>
          </cell>
        </row>
        <row r="676">
          <cell r="A676" t="str">
            <v>LG-PAT-MIC-U0509-02</v>
          </cell>
        </row>
        <row r="677">
          <cell r="A677" t="str">
            <v>LG-PAT-MOL-S045-04</v>
          </cell>
        </row>
        <row r="678">
          <cell r="A678" t="str">
            <v>LG-PAT-MOL-S045-03</v>
          </cell>
        </row>
        <row r="679">
          <cell r="A679" t="str">
            <v>LG-PAT-CLF-S114-10</v>
          </cell>
        </row>
        <row r="680">
          <cell r="A680" t="str">
            <v>LG-PAT-BIO-S114-05</v>
          </cell>
        </row>
        <row r="681">
          <cell r="A681" t="str">
            <v>LG-PAT-CLF-S114-09</v>
          </cell>
        </row>
        <row r="682">
          <cell r="A682" t="str">
            <v>3050</v>
          </cell>
        </row>
        <row r="683">
          <cell r="A683" t="str">
            <v>LG-PAT-HAE-U0461-01</v>
          </cell>
        </row>
        <row r="684">
          <cell r="A684" t="str">
            <v>LG-PAT-MIC-S114-08</v>
          </cell>
        </row>
        <row r="685">
          <cell r="A685" t="str">
            <v>LG-PAT-BIO-S109-03</v>
          </cell>
        </row>
        <row r="686">
          <cell r="A686" t="str">
            <v>LG-PAT-CLF-U0447-01</v>
          </cell>
        </row>
        <row r="687">
          <cell r="A687" t="str">
            <v>LG-PAT-HIS-U0451-01</v>
          </cell>
        </row>
        <row r="688">
          <cell r="A688" t="str">
            <v>LG-HUB-ITH-S118-09</v>
          </cell>
        </row>
        <row r="689">
          <cell r="A689" t="str">
            <v>LG-PAT-NNS-U0501-01</v>
          </cell>
        </row>
        <row r="690">
          <cell r="A690" t="str">
            <v>LG-PAT-MOL-U0515-01</v>
          </cell>
        </row>
        <row r="691">
          <cell r="A691" t="str">
            <v>LG-PAT-CLF-S025-02</v>
          </cell>
        </row>
        <row r="692">
          <cell r="A692" t="str">
            <v>LG-PAT-NNS-U0502-01</v>
          </cell>
        </row>
        <row r="693">
          <cell r="A693" t="str">
            <v>LG-PAT-TRA-S115-30</v>
          </cell>
        </row>
        <row r="694">
          <cell r="A694" t="str">
            <v>LG-PAT-TRA-U0484-01</v>
          </cell>
        </row>
        <row r="695">
          <cell r="A695" t="str">
            <v>LG-PAT-MOL-U0518-01</v>
          </cell>
        </row>
        <row r="696">
          <cell r="A696" t="str">
            <v>LG-PAT-TRA-U0478-01</v>
          </cell>
        </row>
        <row r="697">
          <cell r="A697" t="str">
            <v>LG-CST-CEL-C002-01</v>
          </cell>
        </row>
        <row r="698">
          <cell r="A698" t="str">
            <v>LG-PAT-MOL-U0522-01</v>
          </cell>
        </row>
        <row r="699">
          <cell r="A699" t="str">
            <v>LG-CST-CDU-U0674-01</v>
          </cell>
        </row>
        <row r="700">
          <cell r="A700" t="str">
            <v>LG-4-LAB-LSF-U0525-01 (New Construction)</v>
          </cell>
        </row>
        <row r="701">
          <cell r="A701" t="str">
            <v>LG-PAT-BIO-S115-11</v>
          </cell>
        </row>
        <row r="702">
          <cell r="A702" t="str">
            <v>LG-PAT-MOL-U0516-01</v>
          </cell>
        </row>
        <row r="703">
          <cell r="A703" t="str">
            <v>LG-PAT-MIC-U0506-01</v>
          </cell>
        </row>
        <row r="704">
          <cell r="A704" t="str">
            <v>LG-PAT-CLF-U0446-01</v>
          </cell>
        </row>
        <row r="705">
          <cell r="A705" t="str">
            <v>LG-PAT-CLF-S109-05</v>
          </cell>
        </row>
        <row r="706">
          <cell r="A706" t="str">
            <v>LG-PAT-HAE-U0476-01</v>
          </cell>
        </row>
        <row r="707">
          <cell r="A707" t="str">
            <v>LG-PAT-HIS-S115-05</v>
          </cell>
        </row>
        <row r="708">
          <cell r="A708" t="str">
            <v>LG-PAT-HAE-U0477-01</v>
          </cell>
        </row>
        <row r="709">
          <cell r="A709" t="str">
            <v>LG-PAT-HAE-U0466-01</v>
          </cell>
        </row>
        <row r="710">
          <cell r="A710" t="str">
            <v>2790</v>
          </cell>
        </row>
        <row r="711">
          <cell r="A711" t="str">
            <v>LG-PAT-MOL-S050-01</v>
          </cell>
        </row>
        <row r="712">
          <cell r="A712" t="str">
            <v>LG-HUB-ITH-S118-08</v>
          </cell>
        </row>
        <row r="713">
          <cell r="A713" t="str">
            <v>LG-OPD-CIR-C001-09</v>
          </cell>
        </row>
        <row r="714">
          <cell r="A714" t="str">
            <v>LG-OPD-CIR-C001-16</v>
          </cell>
        </row>
        <row r="715">
          <cell r="A715" t="str">
            <v>LG-CIR-CIR-C003-02</v>
          </cell>
        </row>
        <row r="716">
          <cell r="A716" t="str">
            <v>LG-CIR-CIR-C003-01</v>
          </cell>
        </row>
        <row r="717">
          <cell r="A717" t="str">
            <v>LG-PLA-PLA-U1815-01</v>
          </cell>
        </row>
        <row r="718">
          <cell r="A718" t="str">
            <v>LG-CIR-CIR-C001-04</v>
          </cell>
        </row>
        <row r="719">
          <cell r="A719" t="str">
            <v>LG-OPD-CIR-C001-08</v>
          </cell>
        </row>
        <row r="720">
          <cell r="A720" t="str">
            <v>LG-CST-CDU-U0686-01</v>
          </cell>
        </row>
        <row r="721">
          <cell r="A721" t="str">
            <v>LG-CST-CDU-U0677-01</v>
          </cell>
        </row>
        <row r="722">
          <cell r="A722" t="str">
            <v>LG-CIR-CIR-C001-07</v>
          </cell>
        </row>
        <row r="723">
          <cell r="A723" t="str">
            <v>LG-CIR-CIR-C001-05</v>
          </cell>
        </row>
        <row r="724">
          <cell r="A724" t="str">
            <v>LG-CIR-CIR-C001-02</v>
          </cell>
        </row>
        <row r="725">
          <cell r="A725" t="str">
            <v>LG-EAF-CAT-S099-02</v>
          </cell>
        </row>
        <row r="726">
          <cell r="A726" t="str">
            <v>LG-EAF-CAT-U0878-01</v>
          </cell>
        </row>
        <row r="727">
          <cell r="A727" t="str">
            <v>LG-OPD-CC1-S040-01</v>
          </cell>
        </row>
        <row r="728">
          <cell r="A728" t="str">
            <v>LG-CST-CDU-U0666-01</v>
          </cell>
        </row>
        <row r="729">
          <cell r="A729" t="str">
            <v>LG-OPD-CC1-S035-02</v>
          </cell>
        </row>
        <row r="730">
          <cell r="A730" t="str">
            <v>LG-CIR-CIR-C008-10</v>
          </cell>
        </row>
        <row r="731">
          <cell r="A731" t="str">
            <v>LG-CIR-CIR-C008-11</v>
          </cell>
        </row>
        <row r="732">
          <cell r="A732" t="str">
            <v>LG-OPD-CC1-S053-01</v>
          </cell>
        </row>
        <row r="733">
          <cell r="A733" t="str">
            <v>LG-OPD-CC1-S052-02</v>
          </cell>
        </row>
        <row r="734">
          <cell r="A734" t="str">
            <v>LG-OPD-CC1-S090-01</v>
          </cell>
        </row>
        <row r="735">
          <cell r="A735" t="str">
            <v>LG-OPD-CC1-S077-01</v>
          </cell>
        </row>
        <row r="736">
          <cell r="A736" t="str">
            <v>LG-OPD-CC1-S052-03</v>
          </cell>
        </row>
        <row r="737">
          <cell r="A737" t="str">
            <v>LG-OPD-CC1-S052-01</v>
          </cell>
        </row>
        <row r="738">
          <cell r="A738" t="str">
            <v>LG-CIR-CIR-C008-08</v>
          </cell>
        </row>
        <row r="739">
          <cell r="A739" t="str">
            <v>LG-OPD-CC2-S060-02</v>
          </cell>
        </row>
        <row r="740">
          <cell r="A740" t="str">
            <v>LG-OPD-CC2-S028-04</v>
          </cell>
        </row>
        <row r="741">
          <cell r="A741" t="str">
            <v>LG-OPD-CC2-S104-03</v>
          </cell>
        </row>
        <row r="742">
          <cell r="A742" t="str">
            <v>LG-OPD-CC2-S075-02</v>
          </cell>
        </row>
        <row r="743">
          <cell r="A743" t="str">
            <v>LG-OPD-CC2-S028-03</v>
          </cell>
        </row>
        <row r="744">
          <cell r="A744" t="str">
            <v>LG-OPD-CC2-S028-05</v>
          </cell>
        </row>
        <row r="745">
          <cell r="A745" t="str">
            <v>LG-CIR-CIR-C008-09</v>
          </cell>
        </row>
        <row r="746">
          <cell r="A746" t="str">
            <v>LG-OPD-CC2-U0183-01</v>
          </cell>
        </row>
        <row r="747">
          <cell r="A747" t="str">
            <v>LG-OPD-ORS-S114-01</v>
          </cell>
        </row>
        <row r="748">
          <cell r="A748" t="str">
            <v>LG-OPD-CC2-S028-02</v>
          </cell>
        </row>
        <row r="749">
          <cell r="A749" t="str">
            <v>LG-OPD-CC2-S028-01</v>
          </cell>
        </row>
        <row r="750">
          <cell r="A750" t="str">
            <v>LG-OPD-ORS-S051-01</v>
          </cell>
        </row>
        <row r="751">
          <cell r="A751" t="str">
            <v>LG-OPD-CC1-S055-01</v>
          </cell>
        </row>
        <row r="752">
          <cell r="A752" t="str">
            <v>LG-OPD-CC2-S123-01</v>
          </cell>
        </row>
        <row r="753">
          <cell r="A753" t="str">
            <v>LG-OPD-CC2-S100-01</v>
          </cell>
        </row>
        <row r="754">
          <cell r="A754" t="str">
            <v>LG-OPD-CC2-L076-01</v>
          </cell>
        </row>
        <row r="755">
          <cell r="A755" t="str">
            <v>LG-OPD-CC2-L076-02</v>
          </cell>
        </row>
        <row r="756">
          <cell r="A756" t="str">
            <v>LG-OPD-CC2-U0168-01</v>
          </cell>
        </row>
        <row r="757">
          <cell r="A757" t="str">
            <v>LG-OPD-CC2-L076-04</v>
          </cell>
        </row>
        <row r="758">
          <cell r="A758" t="str">
            <v>LG-OPD-CC2-L076-03</v>
          </cell>
        </row>
        <row r="759">
          <cell r="A759" t="str">
            <v>LG-OPD-CC2-S123-02</v>
          </cell>
        </row>
        <row r="760">
          <cell r="A760" t="str">
            <v>LG-OPD-CC2-S104-02</v>
          </cell>
        </row>
        <row r="761">
          <cell r="A761" t="str">
            <v>LG-OPD-CC2-S104-01</v>
          </cell>
        </row>
        <row r="762">
          <cell r="A762" t="str">
            <v>LG-OPD-CC2-S040-03</v>
          </cell>
        </row>
        <row r="763">
          <cell r="A763" t="str">
            <v>L01-ICU-NCU-S010-01</v>
          </cell>
        </row>
        <row r="764">
          <cell r="A764" t="str">
            <v>L01-ICU-NCU-S010-01</v>
          </cell>
        </row>
        <row r="765">
          <cell r="A765" t="str">
            <v>L01-ICU-CIC-S115-06</v>
          </cell>
        </row>
        <row r="766">
          <cell r="A766" t="str">
            <v>L01-ICU-NCU-S092-01</v>
          </cell>
        </row>
        <row r="767">
          <cell r="A767" t="str">
            <v>L01-ICU-NCU-S023-02</v>
          </cell>
        </row>
        <row r="768">
          <cell r="A768" t="str">
            <v>L01-ICU-PIC-S010-02</v>
          </cell>
        </row>
        <row r="769">
          <cell r="A769" t="str">
            <v>L01-ICU-PIC-S010-02</v>
          </cell>
        </row>
        <row r="770">
          <cell r="A770" t="str">
            <v>L01-ICU-PIC-S023-03</v>
          </cell>
        </row>
        <row r="771">
          <cell r="A771" t="str">
            <v>L01-ICU-PIC-S092-03</v>
          </cell>
        </row>
        <row r="772">
          <cell r="A772" t="str">
            <v>L01-ICU-CIC-S115-09</v>
          </cell>
        </row>
        <row r="773">
          <cell r="A773" t="str">
            <v>L01-ICU-PIC-S010-01</v>
          </cell>
        </row>
        <row r="774">
          <cell r="A774" t="str">
            <v>L01-ICU-PIC-S010-01</v>
          </cell>
        </row>
        <row r="775">
          <cell r="A775" t="str">
            <v>L01-ICU-CIC-S115-08</v>
          </cell>
        </row>
        <row r="776">
          <cell r="A776" t="str">
            <v>L01-ICU-PIC-S092-02</v>
          </cell>
        </row>
        <row r="777">
          <cell r="A777" t="str">
            <v>L01-ICU-PIC-S023-01</v>
          </cell>
        </row>
        <row r="778">
          <cell r="A778" t="str">
            <v>L01-ICU-NCU-S010-02</v>
          </cell>
        </row>
        <row r="779">
          <cell r="A779" t="str">
            <v>L01-ICU-NCU-S010-02</v>
          </cell>
        </row>
        <row r="780">
          <cell r="A780" t="str">
            <v>L01-ICU-NCU-S023-01</v>
          </cell>
        </row>
        <row r="781">
          <cell r="A781" t="str">
            <v>L01-ICU-NCU-S092-02</v>
          </cell>
        </row>
        <row r="782">
          <cell r="A782" t="str">
            <v>L01-ICU-CIC-S115-07</v>
          </cell>
        </row>
        <row r="783">
          <cell r="A783" t="str">
            <v>L01-ICU-CIC-S010-02</v>
          </cell>
        </row>
        <row r="784">
          <cell r="A784" t="str">
            <v>L01-ICU-CIC-S010-02</v>
          </cell>
        </row>
        <row r="785">
          <cell r="A785" t="str">
            <v>L01-ICU-CIC-S023-02</v>
          </cell>
        </row>
        <row r="786">
          <cell r="A786" t="str">
            <v>L01-ICU-CIC-S092-01</v>
          </cell>
        </row>
        <row r="787">
          <cell r="A787" t="str">
            <v>L01-ICU-CIC-S115-05</v>
          </cell>
        </row>
        <row r="788">
          <cell r="A788" t="str">
            <v>L01-ICU-CIC-S010-01</v>
          </cell>
        </row>
        <row r="789">
          <cell r="A789" t="str">
            <v>L01-ICU-CIC-S010-01</v>
          </cell>
        </row>
        <row r="790">
          <cell r="A790" t="str">
            <v>L01-ICU-CIC-S115-04</v>
          </cell>
        </row>
        <row r="791">
          <cell r="A791" t="str">
            <v>L01-ICU-CIC-S092-02</v>
          </cell>
        </row>
        <row r="792">
          <cell r="A792" t="str">
            <v>L01-ICU-CIC-S023-01</v>
          </cell>
        </row>
        <row r="793">
          <cell r="A793" t="str">
            <v>L01-ICU-NCU-S071-01</v>
          </cell>
        </row>
        <row r="794">
          <cell r="A794" t="str">
            <v>L01-ICU-CIC-S087-15</v>
          </cell>
        </row>
        <row r="795">
          <cell r="A795" t="str">
            <v>L01-ICU-PIC-S044-02</v>
          </cell>
        </row>
        <row r="796">
          <cell r="A796" t="str">
            <v>L01-ICU-PIC-S001-01</v>
          </cell>
        </row>
        <row r="797">
          <cell r="A797" t="str">
            <v>L01-ICU-CIC-S086-01</v>
          </cell>
        </row>
        <row r="798">
          <cell r="A798" t="str">
            <v>L01-ICU-CIC-U0094-08</v>
          </cell>
        </row>
        <row r="799">
          <cell r="A799" t="str">
            <v>L01-ICU-CIC-S059-02</v>
          </cell>
        </row>
        <row r="800">
          <cell r="A800" t="str">
            <v>L01-ICU-PIC-S102-02</v>
          </cell>
        </row>
        <row r="801">
          <cell r="A801" t="str">
            <v>L01-ICU-CIC-S102-01</v>
          </cell>
        </row>
        <row r="802">
          <cell r="A802" t="str">
            <v>L01-ICU-CIC-S097-02</v>
          </cell>
        </row>
        <row r="803">
          <cell r="A803" t="str">
            <v>L01-ICU-CIC-S036-02</v>
          </cell>
        </row>
        <row r="804">
          <cell r="A804" t="str">
            <v>L01-ICU-NCU-S036-02</v>
          </cell>
        </row>
        <row r="805">
          <cell r="A805" t="str">
            <v>L01-ICU-NCU-S087-10</v>
          </cell>
        </row>
        <row r="806">
          <cell r="A806" t="str">
            <v>L01-ICU-PIC-U0081-04</v>
          </cell>
        </row>
        <row r="807">
          <cell r="A807" t="str">
            <v>L01-ICU-NCU-S097-01</v>
          </cell>
        </row>
        <row r="808">
          <cell r="A808" t="str">
            <v>L01-ICU-CIC-S114-01</v>
          </cell>
        </row>
        <row r="809">
          <cell r="A809" t="str">
            <v>L01-ICU-CIC-S008-04</v>
          </cell>
        </row>
        <row r="810">
          <cell r="A810" t="str">
            <v>L01-ICU-CIC-S071-02</v>
          </cell>
        </row>
        <row r="811">
          <cell r="A811" t="str">
            <v>L01-ICU-CIC-S059-01</v>
          </cell>
        </row>
        <row r="812">
          <cell r="A812" t="str">
            <v>L01-ICU-CIC-S080-02</v>
          </cell>
        </row>
        <row r="813">
          <cell r="A813" t="str">
            <v>L01-ICU-CIC-S102-02 (New Construction)</v>
          </cell>
        </row>
        <row r="814">
          <cell r="A814" t="str">
            <v>L01-ICU-CIC-S102-03 (New Construction)</v>
          </cell>
        </row>
        <row r="815">
          <cell r="A815" t="str">
            <v>L01-ICU-NCU-S087-11</v>
          </cell>
        </row>
        <row r="816">
          <cell r="A816" t="str">
            <v>L01-ICU-PIC-S036-01</v>
          </cell>
        </row>
        <row r="817">
          <cell r="A817" t="str">
            <v>L01-ICU-PIC-S036-02</v>
          </cell>
        </row>
        <row r="818">
          <cell r="A818" t="str">
            <v>L01-ICU-NCU-S101-01</v>
          </cell>
        </row>
        <row r="819">
          <cell r="A819" t="str">
            <v>L01-ICU-PIC-S071-02</v>
          </cell>
        </row>
        <row r="820">
          <cell r="A820" t="str">
            <v>L01-ICU-NCU-S017-01</v>
          </cell>
        </row>
        <row r="821">
          <cell r="A821" t="str">
            <v>L01-ICU-PIC-S071-04</v>
          </cell>
        </row>
        <row r="822">
          <cell r="A822" t="str">
            <v>L01-ICU-NCU-S059-02</v>
          </cell>
        </row>
        <row r="823">
          <cell r="A823" t="str">
            <v>L01-ICU-NCU-S100-01</v>
          </cell>
        </row>
        <row r="824">
          <cell r="A824" t="str">
            <v>L01-ICU-PIC-S102-03 (New Construction)</v>
          </cell>
        </row>
        <row r="825">
          <cell r="A825" t="str">
            <v>L01-COR-CSV-S115-69</v>
          </cell>
        </row>
        <row r="826">
          <cell r="A826" t="str">
            <v>L01-CAR-INP-S109-02</v>
          </cell>
        </row>
        <row r="827">
          <cell r="A827" t="str">
            <v>L01-CAR-INP-S044-28</v>
          </cell>
        </row>
        <row r="828">
          <cell r="A828" t="str">
            <v>L01-CAR-INP-S044-27</v>
          </cell>
        </row>
        <row r="829">
          <cell r="A829" t="str">
            <v>L01-CAR-INP-S044-29</v>
          </cell>
        </row>
        <row r="830">
          <cell r="A830" t="str">
            <v>L01-CAR-DCU-S001-01</v>
          </cell>
        </row>
        <row r="831">
          <cell r="A831" t="str">
            <v>L01-CAR-INP-S044-23</v>
          </cell>
        </row>
        <row r="832">
          <cell r="A832" t="str">
            <v>L01-CAR-INP-S044-17</v>
          </cell>
        </row>
        <row r="833">
          <cell r="A833" t="str">
            <v>L01-CAR-INP-S044-21</v>
          </cell>
        </row>
        <row r="834">
          <cell r="A834" t="str">
            <v>L01-CAR-INP-S044-15</v>
          </cell>
        </row>
        <row r="835">
          <cell r="A835" t="str">
            <v>L01-CAR-INP-S001-01</v>
          </cell>
        </row>
        <row r="836">
          <cell r="A836" t="str">
            <v>L01-CAR-INP-S001-02</v>
          </cell>
        </row>
        <row r="837">
          <cell r="A837" t="str">
            <v>L01-CAR-INP-S001-03</v>
          </cell>
        </row>
        <row r="838">
          <cell r="A838" t="str">
            <v>L01-CAR-INP-S014-17</v>
          </cell>
        </row>
        <row r="839">
          <cell r="A839" t="str">
            <v>L01-CAR-INP-S044-16</v>
          </cell>
        </row>
        <row r="840">
          <cell r="A840" t="str">
            <v>L01-CAR-INP-S014-21</v>
          </cell>
        </row>
        <row r="841">
          <cell r="A841" t="str">
            <v>L01-CAR-INP-S044-22</v>
          </cell>
        </row>
        <row r="842">
          <cell r="A842" t="str">
            <v>L01-CAR-INP-S014-22</v>
          </cell>
        </row>
        <row r="843">
          <cell r="A843" t="str">
            <v>L01-CAR-INP-S014-23</v>
          </cell>
        </row>
        <row r="844">
          <cell r="A844" t="str">
            <v>L01-CAR-INP-S044-24</v>
          </cell>
        </row>
        <row r="845">
          <cell r="A845" t="str">
            <v>L01-CAR-INP-S014-24</v>
          </cell>
        </row>
        <row r="846">
          <cell r="A846" t="str">
            <v>L01-CAR-INP-S044-18</v>
          </cell>
        </row>
        <row r="847">
          <cell r="A847" t="str">
            <v>L01-CAR-INP-S044-10</v>
          </cell>
        </row>
        <row r="848">
          <cell r="A848" t="str">
            <v>L01-CAR-INP-S044-12</v>
          </cell>
        </row>
        <row r="849">
          <cell r="A849" t="str">
            <v>L01-CAR-INP-S044-13</v>
          </cell>
        </row>
        <row r="850">
          <cell r="A850" t="str">
            <v>L01-CAR-INP-S112-01</v>
          </cell>
        </row>
        <row r="851">
          <cell r="A851" t="str">
            <v>L01-CAR-INP-S044-09</v>
          </cell>
        </row>
        <row r="852">
          <cell r="A852" t="str">
            <v>L01-CAR-INP-S044-11</v>
          </cell>
        </row>
        <row r="853">
          <cell r="A853" t="str">
            <v>L01-CAR-INP-S014-12</v>
          </cell>
        </row>
        <row r="854">
          <cell r="A854" t="str">
            <v>L01-CAR-INP-S139-03</v>
          </cell>
        </row>
        <row r="855">
          <cell r="A855" t="str">
            <v>L01-CAR-INP-S044-05</v>
          </cell>
        </row>
        <row r="856">
          <cell r="A856" t="str">
            <v>L01-CAR-INP-S044-26</v>
          </cell>
        </row>
        <row r="857">
          <cell r="A857" t="str">
            <v>L01-CAR-INP-S044-20</v>
          </cell>
        </row>
        <row r="858">
          <cell r="A858" t="str">
            <v>L01-CAR-INP-S044-25</v>
          </cell>
        </row>
        <row r="859">
          <cell r="A859" t="str">
            <v>L01-CAR-INP-S044-19</v>
          </cell>
        </row>
        <row r="860">
          <cell r="A860" t="str">
            <v>L01-CAR-INP-S014-19</v>
          </cell>
        </row>
        <row r="861">
          <cell r="A861" t="str">
            <v>L01-CAR-INP-S014-20</v>
          </cell>
        </row>
        <row r="862">
          <cell r="A862" t="str">
            <v>L01-CAR-INP-S014-25</v>
          </cell>
        </row>
        <row r="863">
          <cell r="A863" t="str">
            <v>L01-CAM-INP-S044-03</v>
          </cell>
        </row>
        <row r="864">
          <cell r="A864" t="str">
            <v>L01-CAM-INP-S044-10</v>
          </cell>
        </row>
        <row r="865">
          <cell r="A865" t="str">
            <v>L01-CAM-INP-S044-05</v>
          </cell>
        </row>
        <row r="866">
          <cell r="A866" t="str">
            <v>L01-CAM-INP-L007-16</v>
          </cell>
        </row>
        <row r="867">
          <cell r="A867" t="str">
            <v>L01-CAM-INP-S044-13</v>
          </cell>
        </row>
        <row r="868">
          <cell r="A868" t="str">
            <v>L01-CAM-INP-S044-16</v>
          </cell>
        </row>
        <row r="869">
          <cell r="A869" t="str">
            <v>L01-CAM-INP-S044-08</v>
          </cell>
        </row>
        <row r="870">
          <cell r="A870" t="str">
            <v>L01-CAM-INP-U0047-01</v>
          </cell>
        </row>
        <row r="871">
          <cell r="A871" t="str">
            <v>L01-CAM-INP-L007-05</v>
          </cell>
        </row>
        <row r="872">
          <cell r="A872" t="str">
            <v>L01-CAM-INP-S044-06</v>
          </cell>
        </row>
        <row r="873">
          <cell r="A873" t="str">
            <v>L01-CAM-INP-L007-06</v>
          </cell>
        </row>
        <row r="874">
          <cell r="A874" t="str">
            <v>L01-COR-CSV-S053-01</v>
          </cell>
        </row>
        <row r="875">
          <cell r="A875" t="str">
            <v>L01-COR-CSV-S053-02</v>
          </cell>
        </row>
        <row r="876">
          <cell r="A876" t="str">
            <v>L01-COR-CSV-S125-01</v>
          </cell>
        </row>
        <row r="877">
          <cell r="A877" t="str">
            <v>L01-COR-CSV-U0794-01</v>
          </cell>
        </row>
        <row r="878">
          <cell r="A878" t="str">
            <v>L01-COR-CSV-S115-67</v>
          </cell>
        </row>
        <row r="879">
          <cell r="A879" t="str">
            <v>L01-COR-CSV-S016-05</v>
          </cell>
        </row>
        <row r="880">
          <cell r="A880" t="str">
            <v>L01-CAR-INP-S044-08</v>
          </cell>
        </row>
        <row r="881">
          <cell r="A881" t="str">
            <v>L01-CAR-INP-S014-07</v>
          </cell>
        </row>
        <row r="882">
          <cell r="A882" t="str">
            <v>L01-CAR-INP-S044-06</v>
          </cell>
        </row>
        <row r="883">
          <cell r="A883" t="str">
            <v>L01-CAR-INP-S014-05</v>
          </cell>
        </row>
        <row r="884">
          <cell r="A884" t="str">
            <v>L01-CAR-INP-S044-04</v>
          </cell>
        </row>
        <row r="885">
          <cell r="A885" t="str">
            <v>L01-CAR-INP-S014-03</v>
          </cell>
        </row>
        <row r="886">
          <cell r="A886" t="str">
            <v>L01-CAR-INP-S044-02</v>
          </cell>
        </row>
        <row r="887">
          <cell r="A887" t="str">
            <v>L01-OPD-DC2-L021-04</v>
          </cell>
        </row>
        <row r="888">
          <cell r="A888" t="str">
            <v>L01-OPD-DC2-L021-10</v>
          </cell>
        </row>
        <row r="889">
          <cell r="A889" t="str">
            <v>L01-OPD-DC2-L033-03</v>
          </cell>
        </row>
        <row r="890">
          <cell r="A890" t="str">
            <v>L01-OPD-DC2-L021-06</v>
          </cell>
        </row>
        <row r="891">
          <cell r="A891" t="str">
            <v>L01-OPD-DC5-S053-01</v>
          </cell>
        </row>
        <row r="892">
          <cell r="A892" t="str">
            <v>L01-OPD-DC5-S028-03</v>
          </cell>
        </row>
        <row r="893">
          <cell r="A893" t="str">
            <v>L01-OPD-DC5-S028-02</v>
          </cell>
        </row>
        <row r="894">
          <cell r="A894" t="str">
            <v>L01-OPD-NIC-S132-01</v>
          </cell>
        </row>
        <row r="895">
          <cell r="A895" t="str">
            <v>L01-OPD-DC2-L033-02</v>
          </cell>
        </row>
        <row r="896">
          <cell r="A896" t="str">
            <v>L01-OPD-DC2-L021-02</v>
          </cell>
        </row>
        <row r="897">
          <cell r="A897" t="str">
            <v>L01-OPD-DC2-L021-01</v>
          </cell>
        </row>
        <row r="898">
          <cell r="A898" t="str">
            <v>L01-OPD-NIC-L026-01</v>
          </cell>
        </row>
        <row r="899">
          <cell r="A899" t="str">
            <v>L01-OPD-NEU-S053-01</v>
          </cell>
        </row>
        <row r="900">
          <cell r="A900" t="str">
            <v>L01-OPD-NEU-L027-01</v>
          </cell>
        </row>
        <row r="901">
          <cell r="A901" t="str">
            <v>L01-OPD-NEU-L027-02</v>
          </cell>
        </row>
        <row r="902">
          <cell r="A902" t="str">
            <v>L01-OPD-NEU-L027-03</v>
          </cell>
        </row>
        <row r="903">
          <cell r="A903" t="str">
            <v>L01-OPD-NEU-L027-04</v>
          </cell>
        </row>
        <row r="904">
          <cell r="A904" t="str">
            <v>L01-OPD-NEU-L027-06</v>
          </cell>
        </row>
        <row r="905">
          <cell r="A905" t="str">
            <v>L01-OPD-NEU-L027-05</v>
          </cell>
        </row>
        <row r="906">
          <cell r="A906" t="str">
            <v>L01-CAR-INP-S014-26</v>
          </cell>
        </row>
        <row r="907">
          <cell r="A907" t="str">
            <v>L01-CAR-INP-S014-18</v>
          </cell>
        </row>
        <row r="908">
          <cell r="A908" t="str">
            <v>L01-CAR-INP-S014-13</v>
          </cell>
        </row>
        <row r="909">
          <cell r="A909" t="str">
            <v>L01-CAR-INP-S014-08</v>
          </cell>
        </row>
        <row r="910">
          <cell r="A910" t="str">
            <v>L01-OPD-CIR-C001-03</v>
          </cell>
        </row>
        <row r="911">
          <cell r="A911" t="str">
            <v>L01-CAR-CIR-C001-03</v>
          </cell>
        </row>
        <row r="912">
          <cell r="A912" t="str">
            <v>L01-CAR-INP-S014-06</v>
          </cell>
        </row>
        <row r="913">
          <cell r="A913" t="str">
            <v>L01-CAR-INP-S044-07</v>
          </cell>
        </row>
        <row r="914">
          <cell r="A914" t="str">
            <v>L01-CAR-INP-S044-03</v>
          </cell>
        </row>
        <row r="915">
          <cell r="A915" t="str">
            <v>L01-CAR-INP-S044-01</v>
          </cell>
        </row>
        <row r="916">
          <cell r="A916" t="str">
            <v>L01-OPD-NIC-L025-02</v>
          </cell>
        </row>
        <row r="917">
          <cell r="A917" t="str">
            <v>L01-CAM-INP-S139-04</v>
          </cell>
        </row>
        <row r="918">
          <cell r="A918" t="str">
            <v>L01-CAM-INP-S044-18</v>
          </cell>
        </row>
        <row r="919">
          <cell r="A919" t="str">
            <v>L01-CAM-CIR-C001-08</v>
          </cell>
        </row>
        <row r="920">
          <cell r="A920" t="str">
            <v>L01-CAM-INP-L007-12</v>
          </cell>
        </row>
        <row r="921">
          <cell r="A921" t="str">
            <v>L01-CAM-CIR-C001-10</v>
          </cell>
        </row>
        <row r="922">
          <cell r="A922" t="str">
            <v>L01-OPD-NEU-S146-01</v>
          </cell>
        </row>
        <row r="923">
          <cell r="A923" t="str">
            <v>L01-COR-CSV-S016-02</v>
          </cell>
        </row>
        <row r="924">
          <cell r="A924" t="str">
            <v>L01-CAM-INP-U0042-01</v>
          </cell>
        </row>
        <row r="925">
          <cell r="A925" t="str">
            <v>L01-CAM-INP-S139-05</v>
          </cell>
        </row>
        <row r="926">
          <cell r="A926" t="str">
            <v>L01-CAM-INP-S113-02</v>
          </cell>
        </row>
        <row r="927">
          <cell r="A927" t="str">
            <v>L01-CAM-INP-S005-01</v>
          </cell>
        </row>
        <row r="928">
          <cell r="A928" t="str">
            <v>L01-CAM-INP-L007-04</v>
          </cell>
        </row>
        <row r="929">
          <cell r="A929" t="str">
            <v>L01-CAM-INP-S046-02</v>
          </cell>
        </row>
        <row r="930">
          <cell r="A930" t="str">
            <v>L01-OPD-NIC-U0426-01</v>
          </cell>
        </row>
        <row r="931">
          <cell r="A931" t="str">
            <v>L01-OPD-NEU-S015-01</v>
          </cell>
        </row>
        <row r="932">
          <cell r="A932" t="str">
            <v>L01-OPD-NEU-S016-01</v>
          </cell>
        </row>
        <row r="933">
          <cell r="A933" t="str">
            <v>L01-COR-CIR-C001-01</v>
          </cell>
        </row>
        <row r="934">
          <cell r="A934" t="str">
            <v>L01-OPD-NIC-L025-01</v>
          </cell>
        </row>
        <row r="935">
          <cell r="A935" t="str">
            <v>L01-CAR-INP-S014-09</v>
          </cell>
        </row>
        <row r="936">
          <cell r="A936" t="str">
            <v>L01-CAR-INP-S042-01</v>
          </cell>
        </row>
        <row r="937">
          <cell r="A937" t="str">
            <v>L01-CAR-INP-S113-02</v>
          </cell>
        </row>
        <row r="938">
          <cell r="A938" t="str">
            <v>L01-CAM-INP-L007-13</v>
          </cell>
        </row>
        <row r="939">
          <cell r="A939" t="str">
            <v>L01-CAM-INP-S044-14</v>
          </cell>
        </row>
        <row r="940">
          <cell r="A940" t="str">
            <v>L01-CAM-INP-L007-15</v>
          </cell>
        </row>
        <row r="941">
          <cell r="A941" t="str">
            <v>L01-CAR-INP-S007-01</v>
          </cell>
        </row>
        <row r="942">
          <cell r="A942" t="str">
            <v>L01-CAR-INP-S152-01</v>
          </cell>
        </row>
        <row r="943">
          <cell r="A943" t="str">
            <v>L01-CAR-INP-S014-15</v>
          </cell>
        </row>
        <row r="944">
          <cell r="A944" t="str">
            <v>L01-CAR-INP-S014-16</v>
          </cell>
        </row>
        <row r="945">
          <cell r="A945" t="str">
            <v>L01-CAR-INP-S152-03</v>
          </cell>
        </row>
        <row r="946">
          <cell r="A946" t="str">
            <v>L01-CAR-INP-S014-10</v>
          </cell>
        </row>
        <row r="947">
          <cell r="A947" t="str">
            <v>L01-CAR-INP-S014-11</v>
          </cell>
        </row>
        <row r="948">
          <cell r="A948" t="str">
            <v>L01-CAR-INP-S152-02</v>
          </cell>
        </row>
        <row r="949">
          <cell r="A949" t="str">
            <v>L01-OPD-NEU-L028-02</v>
          </cell>
        </row>
        <row r="950">
          <cell r="A950" t="str">
            <v>L01-OPD-NEU-S099-01</v>
          </cell>
        </row>
        <row r="951">
          <cell r="A951" t="str">
            <v>L01-OPD-NEU-S109-01</v>
          </cell>
        </row>
        <row r="952">
          <cell r="A952" t="str">
            <v>L01-OPD-NEU-U0411-01</v>
          </cell>
        </row>
        <row r="953">
          <cell r="A953" t="str">
            <v>L01-OPD-NEU-U0408-01</v>
          </cell>
        </row>
        <row r="954">
          <cell r="A954" t="str">
            <v>L01-OPD-NEU-S096-01</v>
          </cell>
        </row>
        <row r="955">
          <cell r="A955" t="str">
            <v>L01-OPD-NEU-L028-01</v>
          </cell>
        </row>
        <row r="956">
          <cell r="A956" t="str">
            <v>L01-CAR-INP-S101-01</v>
          </cell>
        </row>
        <row r="957">
          <cell r="A957" t="str">
            <v>L01-CAM-INP-S146-01</v>
          </cell>
        </row>
        <row r="958">
          <cell r="A958" t="str">
            <v>L01-CAM-INP-L072-01</v>
          </cell>
        </row>
        <row r="959">
          <cell r="A959" t="str">
            <v>L01-CAM-INP-U0053-01</v>
          </cell>
        </row>
        <row r="960">
          <cell r="A960" t="str">
            <v>L01-CAM-INP-S044-15</v>
          </cell>
        </row>
        <row r="961">
          <cell r="A961" t="str">
            <v>L01-CAM-INP-S139-06</v>
          </cell>
        </row>
        <row r="962">
          <cell r="A962" t="str">
            <v>L01-CAM-INP-S113-01</v>
          </cell>
        </row>
        <row r="963">
          <cell r="A963" t="str">
            <v>L01-CAM-INP-S054-01</v>
          </cell>
        </row>
        <row r="964">
          <cell r="A964" t="str">
            <v>L01-CAR-INP-S113-01</v>
          </cell>
        </row>
        <row r="965">
          <cell r="A965" t="str">
            <v>L01-CAR-INP-S056-03</v>
          </cell>
        </row>
        <row r="966">
          <cell r="A966" t="str">
            <v>L01-OPD-DC2-L033-01</v>
          </cell>
        </row>
        <row r="967">
          <cell r="A967" t="str">
            <v>L01-OPD-DC2-L021-03</v>
          </cell>
        </row>
        <row r="968">
          <cell r="A968" t="str">
            <v>L01-OPD-DC2-L033-05</v>
          </cell>
        </row>
        <row r="969">
          <cell r="A969" t="str">
            <v>L01-OPD-DC2-U0233-01</v>
          </cell>
        </row>
        <row r="970">
          <cell r="A970" t="str">
            <v>L01-CAM-INP-U1267-01</v>
          </cell>
        </row>
        <row r="971">
          <cell r="A971" t="str">
            <v>L01-CAM-INP-U0048-01</v>
          </cell>
        </row>
        <row r="972">
          <cell r="A972" t="str">
            <v>L01-CAM-INP-S113-06</v>
          </cell>
        </row>
        <row r="973">
          <cell r="A973" t="str">
            <v>L01-CAM-INP-U0049-01</v>
          </cell>
        </row>
        <row r="974">
          <cell r="A974" t="str">
            <v>L01-CAM-INP-S114-02</v>
          </cell>
        </row>
        <row r="975">
          <cell r="A975" t="str">
            <v>L01-CAR-INP-S001-04</v>
          </cell>
        </row>
        <row r="976">
          <cell r="A976" t="str">
            <v>L01-CAR-DCU-S085-04</v>
          </cell>
        </row>
        <row r="977">
          <cell r="A977" t="str">
            <v>L01-CAR-INP-S036-03</v>
          </cell>
        </row>
        <row r="978">
          <cell r="A978" t="str">
            <v>L01-CAR-DCU-S043-01</v>
          </cell>
        </row>
        <row r="979">
          <cell r="A979" t="str">
            <v>L01-OPD-DC2-S113-02</v>
          </cell>
        </row>
        <row r="980">
          <cell r="A980" t="str">
            <v>L01-OPD-DC5-S064-01</v>
          </cell>
        </row>
        <row r="981">
          <cell r="A981" t="str">
            <v>L01-OPD-DC2-U0232-01</v>
          </cell>
        </row>
        <row r="982">
          <cell r="A982" t="str">
            <v>L01-CAM-INP-L007-19</v>
          </cell>
        </row>
        <row r="983">
          <cell r="A983" t="str">
            <v>L01-CAM-INP-S044-17</v>
          </cell>
        </row>
        <row r="984">
          <cell r="A984" t="str">
            <v>L01-CAM-INP-L007-18</v>
          </cell>
        </row>
        <row r="985">
          <cell r="A985" t="str">
            <v>L01-CAM-INP-L007-17</v>
          </cell>
        </row>
        <row r="986">
          <cell r="A986" t="str">
            <v>L01-CAM-INP-S044-04</v>
          </cell>
        </row>
        <row r="987">
          <cell r="A987" t="str">
            <v>L01-CAM-INP-S139-01</v>
          </cell>
        </row>
        <row r="988">
          <cell r="A988" t="str">
            <v>L01-CAM-INP-L008-01</v>
          </cell>
        </row>
        <row r="989">
          <cell r="A989" t="str">
            <v>L01-CAM-INP-U0062-01</v>
          </cell>
        </row>
        <row r="990">
          <cell r="A990" t="str">
            <v>L01-CAM-INP-L098-02</v>
          </cell>
        </row>
        <row r="991">
          <cell r="A991" t="str">
            <v>L01-CAM-INP-S072-02</v>
          </cell>
        </row>
        <row r="992">
          <cell r="A992" t="str">
            <v>L01-CAM-INP-S134-01</v>
          </cell>
        </row>
        <row r="993">
          <cell r="A993" t="str">
            <v>L01-CAM-INP-S057-02</v>
          </cell>
        </row>
        <row r="994">
          <cell r="A994" t="str">
            <v>L01-CAM-INP-S056-03</v>
          </cell>
        </row>
        <row r="995">
          <cell r="A995" t="str">
            <v>L01-CAM-INP-S139-02</v>
          </cell>
        </row>
        <row r="996">
          <cell r="A996" t="str">
            <v>L01-EDU-ETC-S139-02</v>
          </cell>
        </row>
        <row r="997">
          <cell r="A997" t="str">
            <v>L01-EDU-ETC-S139-03</v>
          </cell>
        </row>
        <row r="998">
          <cell r="A998" t="str">
            <v>L01-CAR-DCU-S085-02</v>
          </cell>
        </row>
        <row r="999">
          <cell r="A999" t="str">
            <v>L01-CAR-DCU-S092-01</v>
          </cell>
        </row>
        <row r="1000">
          <cell r="A1000" t="str">
            <v>L01-CAR-DCU-S085-05</v>
          </cell>
        </row>
        <row r="1001">
          <cell r="A1001" t="str">
            <v>L01-CAR-INP-S114-03</v>
          </cell>
        </row>
        <row r="1002">
          <cell r="A1002" t="str">
            <v>L01-OPD-DC2-L033-04</v>
          </cell>
        </row>
        <row r="1003">
          <cell r="A1003" t="str">
            <v>L01-OPD-DC2-L021-07</v>
          </cell>
        </row>
        <row r="1004">
          <cell r="A1004" t="str">
            <v>L01-OPD-DC2-S108-02</v>
          </cell>
        </row>
        <row r="1005">
          <cell r="A1005" t="str">
            <v>L01-OPD-DC2-S104-01</v>
          </cell>
        </row>
        <row r="1006">
          <cell r="A1006" t="str">
            <v>L01-OPD-DC2-S082-01</v>
          </cell>
        </row>
        <row r="1007">
          <cell r="A1007" t="str">
            <v>L01-OPD-DC2-U0238-01</v>
          </cell>
        </row>
        <row r="1008">
          <cell r="A1008" t="str">
            <v>L01-OPD-CIR-C001-08</v>
          </cell>
        </row>
        <row r="1009">
          <cell r="A1009" t="str">
            <v>L01-OPD-DC2-S109-01</v>
          </cell>
        </row>
        <row r="1010">
          <cell r="A1010" t="str">
            <v>L01-OPD-NIC-L026-05</v>
          </cell>
        </row>
        <row r="1011">
          <cell r="A1011" t="str">
            <v>L01-OPD-NIC-L026-04</v>
          </cell>
        </row>
        <row r="1012">
          <cell r="A1012" t="str">
            <v>L01-COR-CSV-U0809-01</v>
          </cell>
        </row>
        <row r="1013">
          <cell r="A1013" t="str">
            <v>L01-OPD-NIC-S139-01</v>
          </cell>
        </row>
        <row r="1014">
          <cell r="A1014" t="str">
            <v>L01-OPD-DC5-S060-01</v>
          </cell>
        </row>
        <row r="1015">
          <cell r="A1015" t="str">
            <v>L01-OPD-DC5-S027-01</v>
          </cell>
        </row>
        <row r="1016">
          <cell r="A1016" t="str">
            <v>L01-OPD-NIC-S081-01</v>
          </cell>
        </row>
        <row r="1017">
          <cell r="A1017" t="str">
            <v>L01-OPD-NIC-L042-02</v>
          </cell>
        </row>
        <row r="1018">
          <cell r="A1018" t="str">
            <v>L01-OPD-NIC-S044-01</v>
          </cell>
        </row>
        <row r="1019">
          <cell r="A1019" t="str">
            <v>L01-OPD-NIC-U0421-01</v>
          </cell>
        </row>
        <row r="1020">
          <cell r="A1020" t="str">
            <v>L01-CAM-INP-S114-01</v>
          </cell>
        </row>
        <row r="1021">
          <cell r="A1021" t="str">
            <v>L01-OPD-NEU-S114-01</v>
          </cell>
        </row>
        <row r="1022">
          <cell r="A1022" t="str">
            <v>L01-CAM-INP-S025-01</v>
          </cell>
        </row>
        <row r="1023">
          <cell r="A1023" t="str">
            <v>L01-OPD-NEU-S113-01</v>
          </cell>
        </row>
        <row r="1024">
          <cell r="A1024" t="str">
            <v>L01-OPD-DC2-S075-01</v>
          </cell>
        </row>
        <row r="1025">
          <cell r="A1025" t="str">
            <v>L01-CIR-CIR-C004-01</v>
          </cell>
        </row>
        <row r="1026">
          <cell r="A1026" t="str">
            <v>L01-OPD-NIC-S148-02</v>
          </cell>
        </row>
        <row r="1027">
          <cell r="A1027" t="str">
            <v>L01-OPD-NIC-S075-01</v>
          </cell>
        </row>
        <row r="1028">
          <cell r="A1028" t="str">
            <v>L01-CAR-INP-U0027-01</v>
          </cell>
        </row>
        <row r="1029">
          <cell r="A1029" t="str">
            <v>L01-CAM-CIR-C001-11</v>
          </cell>
        </row>
        <row r="1030">
          <cell r="A1030" t="str">
            <v>L01-CAM-INP-S134-02</v>
          </cell>
        </row>
        <row r="1031">
          <cell r="A1031" t="str">
            <v>L01-OPD-CIR-C001-05</v>
          </cell>
        </row>
        <row r="1032">
          <cell r="A1032" t="str">
            <v>L01-CAR-CIR-C001-05</v>
          </cell>
        </row>
        <row r="1033">
          <cell r="A1033" t="str">
            <v>L01-CAR-CIR-C001-07</v>
          </cell>
        </row>
        <row r="1034">
          <cell r="A1034" t="str">
            <v>L01-CAR-INP-S032-01</v>
          </cell>
        </row>
        <row r="1035">
          <cell r="A1035" t="str">
            <v>L01-CAR-INP-S053-01</v>
          </cell>
        </row>
        <row r="1036">
          <cell r="A1036" t="str">
            <v>L01-CAR-INP-S143-01</v>
          </cell>
        </row>
        <row r="1037">
          <cell r="A1037" t="str">
            <v>L01-CIR-CIR-C008-10</v>
          </cell>
        </row>
        <row r="1038">
          <cell r="A1038" t="str">
            <v>L01-CAM-CIR-C001-09</v>
          </cell>
        </row>
        <row r="1039">
          <cell r="A1039" t="str">
            <v>L01-CAM-INP-S044-12</v>
          </cell>
        </row>
        <row r="1040">
          <cell r="A1040" t="str">
            <v>L01-CAM-INP-S053-02</v>
          </cell>
        </row>
        <row r="1041">
          <cell r="A1041" t="str">
            <v>L01-OPD-DC5-S028-04</v>
          </cell>
        </row>
        <row r="1042">
          <cell r="A1042" t="str">
            <v>L01-OPD-CIR-C001-07</v>
          </cell>
        </row>
        <row r="1043">
          <cell r="A1043" t="str">
            <v>L01-CAR-CIR-C001-04</v>
          </cell>
        </row>
        <row r="1044">
          <cell r="A1044" t="str">
            <v>L01-CAM-CIR-C001-05</v>
          </cell>
        </row>
        <row r="1045">
          <cell r="A1045" t="str">
            <v>L01-CAM-CIR-C001-06</v>
          </cell>
        </row>
        <row r="1046">
          <cell r="A1046" t="str">
            <v>L01-CAM-INP-S113-04</v>
          </cell>
        </row>
        <row r="1047">
          <cell r="A1047" t="str">
            <v>L01-CAM-INP-S054-02</v>
          </cell>
        </row>
        <row r="1048">
          <cell r="A1048" t="str">
            <v>L01-CAM-INP-S031-01</v>
          </cell>
        </row>
        <row r="1049">
          <cell r="A1049" t="str">
            <v>L01-CAR-INP-U1831-01</v>
          </cell>
        </row>
        <row r="1050">
          <cell r="A1050" t="str">
            <v>L01-CIR-CIR-C004-02</v>
          </cell>
        </row>
        <row r="1051">
          <cell r="A1051" t="str">
            <v>L01-EDU-ETC-U1502-01</v>
          </cell>
        </row>
        <row r="1052">
          <cell r="A1052" t="str">
            <v>L01-EDU-ETC-S120-03</v>
          </cell>
        </row>
        <row r="1053">
          <cell r="A1053" t="str">
            <v>L01-CAM-CIR-C001-01</v>
          </cell>
        </row>
        <row r="1054">
          <cell r="A1054" t="str">
            <v>L01-CIR-CIR-C001-01</v>
          </cell>
        </row>
        <row r="1055">
          <cell r="A1055" t="str">
            <v>L01-EDU-ETC-S120-04</v>
          </cell>
        </row>
        <row r="1056">
          <cell r="A1056" t="str">
            <v>L01-CAM-CIR-C001-02</v>
          </cell>
        </row>
        <row r="1057">
          <cell r="A1057" t="str">
            <v>L01-OPD-DC2-L021-08</v>
          </cell>
        </row>
        <row r="1058">
          <cell r="A1058" t="str">
            <v>L01-CAM-INP-S057-01</v>
          </cell>
        </row>
        <row r="1059">
          <cell r="A1059" t="str">
            <v>L01-OPD-NEU-L027-07</v>
          </cell>
        </row>
        <row r="1060">
          <cell r="A1060" t="str">
            <v>L01-OPD-NEU-S132-01</v>
          </cell>
        </row>
        <row r="1061">
          <cell r="A1061" t="str">
            <v>L01-CAM-INP-L007-14</v>
          </cell>
        </row>
        <row r="1062">
          <cell r="A1062" t="str">
            <v>L01-COR-CSV-S016-04</v>
          </cell>
        </row>
        <row r="1063">
          <cell r="A1063" t="str">
            <v>L01-COR-CSV-S016-01</v>
          </cell>
        </row>
        <row r="1064">
          <cell r="A1064" t="str">
            <v>L01-COR-CSV-S115-68</v>
          </cell>
        </row>
        <row r="1065">
          <cell r="A1065" t="str">
            <v>L01-COR-CIR-C001-03</v>
          </cell>
        </row>
        <row r="1066">
          <cell r="A1066" t="str">
            <v>L01-COR-CSV-S146-01</v>
          </cell>
        </row>
        <row r="1067">
          <cell r="A1067" t="str">
            <v>L01-COR-CSV-S139-01</v>
          </cell>
        </row>
        <row r="1068">
          <cell r="A1068" t="str">
            <v>L01-COR-CSV-S015-03</v>
          </cell>
        </row>
        <row r="1069">
          <cell r="A1069" t="str">
            <v>L01-COR-CSV-S114-04</v>
          </cell>
        </row>
        <row r="1070">
          <cell r="A1070" t="str">
            <v>L01-COR-CSV-S015-01</v>
          </cell>
        </row>
        <row r="1071">
          <cell r="A1071" t="str">
            <v>L01-COR-CSV-S050-01</v>
          </cell>
        </row>
        <row r="1072">
          <cell r="A1072" t="str">
            <v>L01-COR-CSV-S016-03</v>
          </cell>
        </row>
        <row r="1073">
          <cell r="A1073" t="str">
            <v>L01-OPD-DC2-L021-09</v>
          </cell>
        </row>
        <row r="1074">
          <cell r="A1074" t="str">
            <v>L01-OPD-DC2-L021-05</v>
          </cell>
        </row>
        <row r="1075">
          <cell r="A1075" t="str">
            <v>L01-OPD-DC2-L061-01</v>
          </cell>
        </row>
        <row r="1076">
          <cell r="A1076" t="str">
            <v>L01-OPD-DC2-S108-01</v>
          </cell>
        </row>
        <row r="1077">
          <cell r="A1077" t="str">
            <v>L01-OPD-DC2-L036-02</v>
          </cell>
        </row>
        <row r="1078">
          <cell r="A1078" t="str">
            <v>L01-OPD-DC2-S148-01</v>
          </cell>
        </row>
        <row r="1079">
          <cell r="A1079" t="str">
            <v>L01-OPD-DC2-U1368-02</v>
          </cell>
        </row>
        <row r="1080">
          <cell r="A1080" t="str">
            <v>L01-OPD-DC5-S036-01</v>
          </cell>
        </row>
        <row r="1081">
          <cell r="A1081" t="str">
            <v>L01-OPD-DC5-S023-01</v>
          </cell>
        </row>
        <row r="1082">
          <cell r="A1082" t="str">
            <v>L01-OPD-DC2-L061-02</v>
          </cell>
        </row>
        <row r="1083">
          <cell r="A1083" t="str">
            <v>L01-OPD-NIC-S148-01</v>
          </cell>
        </row>
        <row r="1084">
          <cell r="A1084" t="str">
            <v>L01-OPD-DC2-S112-01</v>
          </cell>
        </row>
        <row r="1085">
          <cell r="A1085" t="str">
            <v>L01-OPD-DC5-S028-05</v>
          </cell>
        </row>
        <row r="1086">
          <cell r="A1086" t="str">
            <v>L01-OPD-DC5-S064-02</v>
          </cell>
        </row>
        <row r="1087">
          <cell r="A1087" t="str">
            <v>L01-OPD-NIC-L026-03</v>
          </cell>
        </row>
        <row r="1088">
          <cell r="A1088" t="str">
            <v>L01-OPD-NIC-L026-02</v>
          </cell>
        </row>
        <row r="1089">
          <cell r="A1089" t="str">
            <v>L01-CAM-INP-S063-01</v>
          </cell>
        </row>
        <row r="1090">
          <cell r="A1090" t="str">
            <v>L01-CAM-INP-S094-01</v>
          </cell>
        </row>
        <row r="1091">
          <cell r="A1091" t="str">
            <v>L01-CAR-DCU-S085-03</v>
          </cell>
        </row>
        <row r="1092">
          <cell r="A1092" t="str">
            <v>L01-CAR-DCU-S023-01</v>
          </cell>
        </row>
        <row r="1093">
          <cell r="A1093" t="str">
            <v>L01-CAR-INP-S057-01</v>
          </cell>
        </row>
        <row r="1094">
          <cell r="A1094" t="str">
            <v>L01-CAR-INP-S013-01</v>
          </cell>
        </row>
        <row r="1095">
          <cell r="A1095" t="str">
            <v>L01-CAR-INP-S025-01</v>
          </cell>
        </row>
        <row r="1096">
          <cell r="A1096" t="str">
            <v>L01-CAR-INP-S013-02</v>
          </cell>
        </row>
        <row r="1097">
          <cell r="A1097" t="str">
            <v>L01-CAR-DCU-S085-06</v>
          </cell>
        </row>
        <row r="1098">
          <cell r="A1098" t="str">
            <v>L01-CAR-DCU-S056-01</v>
          </cell>
        </row>
        <row r="1099">
          <cell r="A1099" t="str">
            <v>L01-CAR-INP-S013-03</v>
          </cell>
        </row>
        <row r="1100">
          <cell r="A1100" t="str">
            <v>L01-CAR-DCU-S085-01</v>
          </cell>
        </row>
        <row r="1101">
          <cell r="A1101" t="str">
            <v>L01-CAR-INP-S014-14</v>
          </cell>
        </row>
        <row r="1102">
          <cell r="A1102" t="str">
            <v>L01-CAR-INP-S013-04</v>
          </cell>
        </row>
        <row r="1103">
          <cell r="A1103" t="str">
            <v>L01-OPD-NIC-L025-03</v>
          </cell>
        </row>
        <row r="1104">
          <cell r="A1104" t="str">
            <v>L01-CAM-INP-S067-01</v>
          </cell>
        </row>
        <row r="1105">
          <cell r="A1105" t="str">
            <v>L01-OPD-NEU-S051-01</v>
          </cell>
        </row>
        <row r="1106">
          <cell r="A1106" t="str">
            <v>L01-OPD-CIR-C001-01</v>
          </cell>
        </row>
        <row r="1107">
          <cell r="A1107" t="str">
            <v>L01-HUB-ITH-S118-05</v>
          </cell>
        </row>
        <row r="1108">
          <cell r="A1108" t="str">
            <v>L01-CAM-INP-S107-02</v>
          </cell>
        </row>
        <row r="1109">
          <cell r="A1109" t="str">
            <v>L01-CAM-INP-L007-03</v>
          </cell>
        </row>
        <row r="1110">
          <cell r="A1110" t="str">
            <v>L01-CAM-INP-S123-01</v>
          </cell>
        </row>
        <row r="1111">
          <cell r="A1111" t="str">
            <v>L01-CAM-INP-S105-01</v>
          </cell>
        </row>
        <row r="1112">
          <cell r="A1112" t="str">
            <v>L01-CAM-INP-S112-01</v>
          </cell>
        </row>
        <row r="1113">
          <cell r="A1113" t="str">
            <v>L01-CAM-INP-S134-03</v>
          </cell>
        </row>
        <row r="1114">
          <cell r="A1114" t="str">
            <v>L01-CAM-INP-U0072-01</v>
          </cell>
        </row>
        <row r="1115">
          <cell r="A1115" t="str">
            <v>L01-CAM-INP-S053-04</v>
          </cell>
        </row>
        <row r="1116">
          <cell r="A1116" t="str">
            <v>L01-CAM-INP-S042-02</v>
          </cell>
        </row>
        <row r="1117">
          <cell r="A1117" t="str">
            <v>L01-CAM-INP-L098-01</v>
          </cell>
        </row>
        <row r="1118">
          <cell r="A1118" t="str">
            <v>L01-CAM-INP-S038-01</v>
          </cell>
        </row>
        <row r="1119">
          <cell r="A1119" t="str">
            <v>L01-CAM-INP-S042-01</v>
          </cell>
        </row>
        <row r="1120">
          <cell r="A1120" t="str">
            <v>L01-CAM-INP-S054-03</v>
          </cell>
        </row>
        <row r="1121">
          <cell r="A1121" t="str">
            <v>L01-CAM-INP-S022-01</v>
          </cell>
        </row>
        <row r="1122">
          <cell r="A1122" t="str">
            <v>L01-CAM-INP-S044-01</v>
          </cell>
        </row>
        <row r="1123">
          <cell r="A1123" t="str">
            <v>L01-OPD-NIC-L025-05</v>
          </cell>
        </row>
        <row r="1124">
          <cell r="A1124" t="str">
            <v>L01-OPD-DC5-S108-01</v>
          </cell>
        </row>
        <row r="1125">
          <cell r="A1125" t="str">
            <v>L01-OPD-DC5-S028-01</v>
          </cell>
        </row>
        <row r="1126">
          <cell r="A1126" t="str">
            <v>L01-CAR-INP-S094-01</v>
          </cell>
        </row>
        <row r="1127">
          <cell r="A1127" t="str">
            <v>L01-CAM-INP-L072-02</v>
          </cell>
        </row>
        <row r="1128">
          <cell r="A1128" t="str">
            <v>L01-CAM-INP-U1259-01</v>
          </cell>
        </row>
        <row r="1129">
          <cell r="A1129" t="str">
            <v>L01-CAM-INP-S059-01</v>
          </cell>
        </row>
        <row r="1130">
          <cell r="A1130" t="str">
            <v>L01-CAR-INP-S014-01</v>
          </cell>
        </row>
        <row r="1131">
          <cell r="A1131" t="str">
            <v>L01-CAR-INP-S014-02</v>
          </cell>
        </row>
        <row r="1132">
          <cell r="A1132" t="str">
            <v>L01-CAR-INP-S014-04</v>
          </cell>
        </row>
        <row r="1133">
          <cell r="A1133" t="str">
            <v>L01-CAM-INP-S105-02</v>
          </cell>
        </row>
        <row r="1134">
          <cell r="A1134" t="str">
            <v>L01-CAR-INP-S044-14</v>
          </cell>
        </row>
        <row r="1135">
          <cell r="A1135" t="str">
            <v>L01-OPD-NIC-L042-01</v>
          </cell>
        </row>
        <row r="1136">
          <cell r="A1136" t="str">
            <v>L01-CAR-INP-U0023-01</v>
          </cell>
        </row>
        <row r="1137">
          <cell r="A1137" t="str">
            <v>L01-CAR-INP-U0025-01</v>
          </cell>
        </row>
        <row r="1138">
          <cell r="A1138" t="str">
            <v>L01-OPD-DC2-U0237-01</v>
          </cell>
        </row>
        <row r="1139">
          <cell r="A1139" t="str">
            <v>L01-CAR-INP-S060-01</v>
          </cell>
        </row>
        <row r="1140">
          <cell r="A1140" t="str">
            <v>L01-CIR-CIR-C008-09</v>
          </cell>
        </row>
        <row r="1141">
          <cell r="A1141" t="str">
            <v>L01-EDU-ETC-S120-02</v>
          </cell>
        </row>
        <row r="1142">
          <cell r="A1142" t="str">
            <v>L01-EDU-ETC-S120-01</v>
          </cell>
        </row>
        <row r="1143">
          <cell r="A1143" t="str">
            <v>L01-EDU-ETC-U1321-01</v>
          </cell>
        </row>
        <row r="1144">
          <cell r="A1144" t="str">
            <v>L01-EDU-ETC-S113-01</v>
          </cell>
        </row>
        <row r="1145">
          <cell r="A1145" t="str">
            <v>L01-EDU-ETC-S113-05</v>
          </cell>
        </row>
        <row r="1146">
          <cell r="A1146" t="str">
            <v>L01-EDU-ETC-L048-01</v>
          </cell>
        </row>
        <row r="1147">
          <cell r="A1147" t="str">
            <v>L01-CIR-CIR-C008-02</v>
          </cell>
        </row>
        <row r="1148">
          <cell r="A1148" t="str">
            <v>L01-CIR-CIR-C008-05</v>
          </cell>
        </row>
        <row r="1149">
          <cell r="A1149" t="str">
            <v>L01-CIR-CIR-C006-02</v>
          </cell>
        </row>
        <row r="1150">
          <cell r="A1150" t="str">
            <v>L01-CAM-INP-S081-01</v>
          </cell>
        </row>
        <row r="1151">
          <cell r="A1151" t="str">
            <v>L01-CAM-INP-S050-01</v>
          </cell>
        </row>
        <row r="1152">
          <cell r="A1152" t="str">
            <v>L01-HUB-ITH-S118-06</v>
          </cell>
        </row>
        <row r="1153">
          <cell r="A1153" t="str">
            <v>L01-CAM-INP-S053-03</v>
          </cell>
        </row>
        <row r="1154">
          <cell r="A1154" t="str">
            <v>L01-CIR-CIR-C006-04</v>
          </cell>
        </row>
        <row r="1155">
          <cell r="A1155" t="str">
            <v>L01-CAR-INP-S019-01</v>
          </cell>
        </row>
        <row r="1156">
          <cell r="A1156" t="str">
            <v>L01-CIR-CIR-C006-06</v>
          </cell>
        </row>
        <row r="1157">
          <cell r="A1157" t="str">
            <v>L01-COR-CSV-S050-03</v>
          </cell>
        </row>
        <row r="1158">
          <cell r="A1158" t="str">
            <v>L01-CIR-CIR-C006-03</v>
          </cell>
        </row>
        <row r="1159">
          <cell r="A1159" t="str">
            <v>L01-CIR-CIR-C006-09</v>
          </cell>
        </row>
        <row r="1160">
          <cell r="A1160" t="str">
            <v>L01-CIR-CIR-C008-07</v>
          </cell>
        </row>
        <row r="1161">
          <cell r="A1161" t="str">
            <v>L01-CAR-INP-S109-04</v>
          </cell>
        </row>
        <row r="1162">
          <cell r="A1162" t="str">
            <v>L01-CAR-INP-S109-01</v>
          </cell>
        </row>
        <row r="1163">
          <cell r="A1163" t="str">
            <v>L01-CIR-CIR-C008-04</v>
          </cell>
        </row>
        <row r="1164">
          <cell r="A1164" t="str">
            <v>L01-CIR-CIR-C008-01</v>
          </cell>
        </row>
        <row r="1165">
          <cell r="A1165" t="str">
            <v>L01-CAR-INP-S093-01</v>
          </cell>
        </row>
        <row r="1166">
          <cell r="A1166" t="str">
            <v>L01-CAR-INP-S038-01</v>
          </cell>
        </row>
        <row r="1167">
          <cell r="A1167" t="str">
            <v>L01-HUB-ITH-S118-01</v>
          </cell>
        </row>
        <row r="1168">
          <cell r="A1168" t="str">
            <v>L01-CAR-INP-L026-01</v>
          </cell>
        </row>
        <row r="1169">
          <cell r="A1169" t="str">
            <v>L01-CAR-DCU-S075-01</v>
          </cell>
        </row>
        <row r="1170">
          <cell r="A1170" t="str">
            <v>L01-OPD-ORS-U1416-01</v>
          </cell>
        </row>
        <row r="1171">
          <cell r="A1171" t="str">
            <v>L01-OPD-DC5-X007-01</v>
          </cell>
        </row>
        <row r="1172">
          <cell r="A1172" t="str">
            <v>L01-OPD-ORS-S022-01</v>
          </cell>
        </row>
        <row r="1173">
          <cell r="A1173" t="str">
            <v>L01-OPD-CIR-C001-02</v>
          </cell>
        </row>
        <row r="1174">
          <cell r="A1174" t="str">
            <v>L01-OPD-NIC-S025-01</v>
          </cell>
        </row>
        <row r="1175">
          <cell r="A1175" t="str">
            <v>L01-CAM-INP-S044-02</v>
          </cell>
        </row>
        <row r="1176">
          <cell r="A1176" t="str">
            <v>L01-CIR-CIR-C008-03</v>
          </cell>
        </row>
        <row r="1177">
          <cell r="A1177" t="str">
            <v>L01-HUB-ITH-S118-03</v>
          </cell>
        </row>
        <row r="1178">
          <cell r="A1178" t="str">
            <v>L01-CAM-INP-U0064-01</v>
          </cell>
        </row>
        <row r="1179">
          <cell r="A1179" t="str">
            <v>L01-CAM-CIR-C001-03</v>
          </cell>
        </row>
        <row r="1180">
          <cell r="A1180" t="str">
            <v>L01-CAM-INP-S100-01</v>
          </cell>
        </row>
        <row r="1181">
          <cell r="A1181" t="str">
            <v>L01-CAM-INP-U0050-01</v>
          </cell>
        </row>
        <row r="1182">
          <cell r="A1182" t="str">
            <v>L01-CAM-INP-U0051-01</v>
          </cell>
        </row>
        <row r="1183">
          <cell r="A1183" t="str">
            <v>L01-COR-CSV-S025-01</v>
          </cell>
        </row>
        <row r="1184">
          <cell r="A1184" t="str">
            <v>L01-MAI-PUB-U1830-02</v>
          </cell>
        </row>
        <row r="1185">
          <cell r="A1185" t="str">
            <v>L01-CIR-CIR-C008-06</v>
          </cell>
        </row>
        <row r="1186">
          <cell r="A1186" t="str">
            <v>L01-HUB-ITH-S118-07</v>
          </cell>
        </row>
        <row r="1187">
          <cell r="A1187" t="str">
            <v>L01-OPD-CIR-C001-06</v>
          </cell>
        </row>
        <row r="1188">
          <cell r="A1188" t="str">
            <v>L01-OPD-DC2-S114-01</v>
          </cell>
        </row>
        <row r="1189">
          <cell r="A1189" t="str">
            <v>L01-OPD-DC2-S099-01</v>
          </cell>
        </row>
        <row r="1190">
          <cell r="A1190" t="str">
            <v>L01-OPD-DC2-L036-01</v>
          </cell>
        </row>
        <row r="1191">
          <cell r="A1191" t="str">
            <v>L01-HUB-ITH-S118-02</v>
          </cell>
        </row>
        <row r="1192">
          <cell r="A1192" t="str">
            <v>L01-CAR-INP-S022-01</v>
          </cell>
        </row>
        <row r="1193">
          <cell r="A1193" t="str">
            <v>L01-CAR-CIR-C001-06</v>
          </cell>
        </row>
        <row r="1194">
          <cell r="A1194" t="str">
            <v>L01-CIR-CIR-C006-05</v>
          </cell>
        </row>
        <row r="1195">
          <cell r="A1195" t="str">
            <v>L01-HUB-ITH-S118-08</v>
          </cell>
        </row>
        <row r="1196">
          <cell r="A1196" t="str">
            <v>L01-ICU-CIC-U0093-01</v>
          </cell>
        </row>
        <row r="1197">
          <cell r="A1197" t="str">
            <v>L01-ICU-CIC-S087-08</v>
          </cell>
        </row>
        <row r="1198">
          <cell r="A1198" t="str">
            <v>L01-ICU-CIC-S087-05</v>
          </cell>
        </row>
        <row r="1199">
          <cell r="A1199" t="str">
            <v>L01-ICU-CIC-S087-03</v>
          </cell>
        </row>
        <row r="1200">
          <cell r="A1200" t="str">
            <v>L01-ICU-CIC-S087-10</v>
          </cell>
        </row>
        <row r="1201">
          <cell r="A1201" t="str">
            <v>L01-ICU-CIC-S087-01</v>
          </cell>
        </row>
        <row r="1202">
          <cell r="A1202" t="str">
            <v>L01-ICU-NCU-U0107-01</v>
          </cell>
        </row>
        <row r="1203">
          <cell r="A1203" t="str">
            <v>L01-ICU-SPN-S115-01</v>
          </cell>
        </row>
        <row r="1204">
          <cell r="A1204" t="str">
            <v>L01-ICU-SPN-U1445-01</v>
          </cell>
        </row>
        <row r="1205">
          <cell r="A1205" t="str">
            <v>L01-CIR-CIR-C006-07</v>
          </cell>
        </row>
        <row r="1206">
          <cell r="A1206" t="str">
            <v>L01-CIR-CIR-C006-10</v>
          </cell>
        </row>
        <row r="1207">
          <cell r="A1207" t="str">
            <v>L01-MAI-PUB-U1830-01</v>
          </cell>
        </row>
        <row r="1208">
          <cell r="A1208" t="str">
            <v>L01-ICU-CIC-S057-01</v>
          </cell>
        </row>
        <row r="1209">
          <cell r="A1209" t="str">
            <v>L01-HUB-ITH-S118-09</v>
          </cell>
        </row>
        <row r="1210">
          <cell r="A1210" t="str">
            <v>L01-ICU-NCU-U0108-02</v>
          </cell>
        </row>
        <row r="1211">
          <cell r="A1211" t="str">
            <v>L01-ICU-NCU-U0108-01</v>
          </cell>
        </row>
        <row r="1212">
          <cell r="A1212" t="str">
            <v>L01-ICU-NCU-S046-01</v>
          </cell>
        </row>
        <row r="1213">
          <cell r="A1213" t="str">
            <v>L01-ICU-NCU-S057-01</v>
          </cell>
        </row>
        <row r="1214">
          <cell r="A1214" t="str">
            <v>L01-ICU-CIC-S038-01</v>
          </cell>
        </row>
        <row r="1215">
          <cell r="A1215" t="str">
            <v>L01-ICU-PIC-U0088-01</v>
          </cell>
        </row>
        <row r="1216">
          <cell r="A1216" t="str">
            <v>L01-ICU-NCU-S100-02</v>
          </cell>
        </row>
        <row r="1217">
          <cell r="A1217" t="str">
            <v>L01-ICU-PIC-S097-01</v>
          </cell>
        </row>
        <row r="1218">
          <cell r="A1218" t="str">
            <v>L01-ICU-CIC-S100-01</v>
          </cell>
        </row>
        <row r="1219">
          <cell r="A1219" t="str">
            <v>L01-ICU-CIC-S087-02</v>
          </cell>
        </row>
        <row r="1220">
          <cell r="A1220" t="str">
            <v>L01-ICU-CIC-S087-04</v>
          </cell>
        </row>
        <row r="1221">
          <cell r="A1221" t="str">
            <v>L01-ICU-CIC-S087-11</v>
          </cell>
        </row>
        <row r="1222">
          <cell r="A1222" t="str">
            <v>L01-ICU-NCU-S087-01</v>
          </cell>
        </row>
        <row r="1223">
          <cell r="A1223" t="str">
            <v>L01-ICU-CIC-S087-18</v>
          </cell>
        </row>
        <row r="1224">
          <cell r="A1224" t="str">
            <v>L01-ICU-NCU-S086-01</v>
          </cell>
        </row>
        <row r="1225">
          <cell r="A1225" t="str">
            <v>L01-ICU-CIC-S087-17</v>
          </cell>
        </row>
        <row r="1226">
          <cell r="A1226" t="str">
            <v>L01-ICU-PIC-S115-02</v>
          </cell>
        </row>
        <row r="1227">
          <cell r="A1227" t="str">
            <v>L01-ICU-NCU-S086-02</v>
          </cell>
        </row>
        <row r="1228">
          <cell r="A1228" t="str">
            <v>L01-ICU-NCU-S087-15</v>
          </cell>
        </row>
        <row r="1229">
          <cell r="A1229" t="str">
            <v>L01-ICU-NCU-S087-14</v>
          </cell>
        </row>
        <row r="1230">
          <cell r="A1230" t="str">
            <v>L01-ICU-NCU-S087-16</v>
          </cell>
        </row>
        <row r="1231">
          <cell r="A1231" t="str">
            <v>L01-ICU-PIC-S087-06</v>
          </cell>
        </row>
        <row r="1232">
          <cell r="A1232" t="str">
            <v>L01-ICU-PIC-S087-05</v>
          </cell>
        </row>
        <row r="1233">
          <cell r="A1233" t="str">
            <v>L01-ICU-PIC-S087-08</v>
          </cell>
        </row>
        <row r="1234">
          <cell r="A1234" t="str">
            <v>L01-ICU-PIC-S087-07</v>
          </cell>
        </row>
        <row r="1235">
          <cell r="A1235" t="str">
            <v>L01-ICU-PIC-S087-10</v>
          </cell>
        </row>
        <row r="1236">
          <cell r="A1236" t="str">
            <v>L01-ICU-PIC-S087-09</v>
          </cell>
        </row>
        <row r="1237">
          <cell r="A1237" t="str">
            <v>L01-ICU-PIC-S087-13</v>
          </cell>
        </row>
        <row r="1238">
          <cell r="A1238" t="str">
            <v>L01-ICU-NCU-S087-03</v>
          </cell>
        </row>
        <row r="1239">
          <cell r="A1239" t="str">
            <v>L01-ICU-NCU-S087-04</v>
          </cell>
        </row>
        <row r="1240">
          <cell r="A1240" t="str">
            <v>L01-ICU-NCU-S087-05</v>
          </cell>
        </row>
        <row r="1241">
          <cell r="A1241" t="str">
            <v>L01-ICU-NCU-S087-06</v>
          </cell>
        </row>
        <row r="1242">
          <cell r="A1242" t="str">
            <v>L01-ICU-NCU-S087-07</v>
          </cell>
        </row>
        <row r="1243">
          <cell r="A1243" t="str">
            <v>L01-ICU-PIC-S087-01</v>
          </cell>
        </row>
        <row r="1244">
          <cell r="A1244" t="str">
            <v>L01-ICU-CIC-S087-07</v>
          </cell>
        </row>
        <row r="1245">
          <cell r="A1245" t="str">
            <v>L01-ICU-CIC-S087-14</v>
          </cell>
        </row>
        <row r="1246">
          <cell r="A1246" t="str">
            <v>L01-ICU-CIC-S087-09</v>
          </cell>
        </row>
        <row r="1247">
          <cell r="A1247" t="str">
            <v>L01-ICU-NCU-S115-05</v>
          </cell>
        </row>
        <row r="1248">
          <cell r="A1248" t="str">
            <v>L01-ICU-CIC-S087-12</v>
          </cell>
        </row>
        <row r="1249">
          <cell r="A1249" t="str">
            <v>L01-ICU-CIC-S087-06</v>
          </cell>
        </row>
        <row r="1250">
          <cell r="A1250" t="str">
            <v>L01-ICU-NCU-S109-01</v>
          </cell>
        </row>
        <row r="1251">
          <cell r="A1251" t="str">
            <v>L01-ICU-PIC-S114-01</v>
          </cell>
        </row>
        <row r="1252">
          <cell r="A1252" t="str">
            <v>L01-ICU-NCU-S071-02</v>
          </cell>
        </row>
        <row r="1253">
          <cell r="A1253" t="str">
            <v>L01-ICU-CIC-S097-01</v>
          </cell>
        </row>
        <row r="1254">
          <cell r="A1254" t="str">
            <v>L01-ICU-CIC-S079-01</v>
          </cell>
        </row>
        <row r="1255">
          <cell r="A1255" t="str">
            <v>L01-ICU-CIC-S036-01</v>
          </cell>
        </row>
        <row r="1256">
          <cell r="A1256" t="str">
            <v>L01-ICU-PIC-S046-01</v>
          </cell>
        </row>
        <row r="1257">
          <cell r="A1257" t="str">
            <v>L01-ICU-NCU-S044-02</v>
          </cell>
        </row>
        <row r="1258">
          <cell r="A1258" t="str">
            <v>L01-ICU-NCU-S001-02</v>
          </cell>
        </row>
        <row r="1259">
          <cell r="A1259" t="str">
            <v>L01-ICU-CIC-S086-02</v>
          </cell>
        </row>
        <row r="1260">
          <cell r="A1260" t="str">
            <v>L01-ICU-CIC-S087-13</v>
          </cell>
        </row>
        <row r="1261">
          <cell r="A1261" t="str">
            <v>L01-ICU-CIC-S046-01</v>
          </cell>
        </row>
        <row r="1262">
          <cell r="A1262" t="str">
            <v>L01-ICU-CIC-S101-01</v>
          </cell>
        </row>
        <row r="1263">
          <cell r="A1263" t="str">
            <v>L01-ICU-NCU-S087-12</v>
          </cell>
        </row>
        <row r="1264">
          <cell r="A1264" t="str">
            <v>L01-ICU-NCU-S087-13</v>
          </cell>
        </row>
        <row r="1265">
          <cell r="A1265" t="str">
            <v>L01-ICU-PIC-S100-01</v>
          </cell>
        </row>
        <row r="1266">
          <cell r="A1266" t="str">
            <v>L01-ICU-PIC-S081-01</v>
          </cell>
        </row>
        <row r="1267">
          <cell r="A1267" t="str">
            <v>L01-ICU-NCU-S087-02</v>
          </cell>
        </row>
        <row r="1268">
          <cell r="A1268" t="str">
            <v>L01-ICU-PIC-S053-01</v>
          </cell>
        </row>
        <row r="1269">
          <cell r="A1269" t="str">
            <v>L01-ICU-SPN-S031-01</v>
          </cell>
        </row>
        <row r="1270">
          <cell r="A1270" t="str">
            <v>L01-ICU-NCU-S087-08</v>
          </cell>
        </row>
        <row r="1271">
          <cell r="A1271" t="str">
            <v>L01-ICU-SPN-U1626-01</v>
          </cell>
        </row>
        <row r="1272">
          <cell r="A1272" t="str">
            <v>L01-ICU-SPN-U0113-01</v>
          </cell>
        </row>
        <row r="1273">
          <cell r="A1273" t="str">
            <v>L01-ICU-SPN-U0110-01</v>
          </cell>
        </row>
        <row r="1274">
          <cell r="A1274" t="str">
            <v>L01-ICU-PIC-S046-02</v>
          </cell>
        </row>
        <row r="1275">
          <cell r="A1275" t="str">
            <v>L01-ICU-PIC-S087-16</v>
          </cell>
        </row>
        <row r="1276">
          <cell r="A1276" t="str">
            <v>L01-ICU-PIC-S087-17</v>
          </cell>
        </row>
        <row r="1277">
          <cell r="A1277" t="str">
            <v>L01-ICU-PIC-S087-18</v>
          </cell>
        </row>
        <row r="1278">
          <cell r="A1278" t="str">
            <v>L01-ICU-NCU-S087-17</v>
          </cell>
        </row>
        <row r="1279">
          <cell r="A1279" t="str">
            <v>L01-ICU-PIC-S087-15</v>
          </cell>
        </row>
        <row r="1280">
          <cell r="A1280" t="str">
            <v>L01-ICU-CIC-S109-02</v>
          </cell>
        </row>
        <row r="1281">
          <cell r="A1281" t="str">
            <v>L01-ICU-NCU-S113-01</v>
          </cell>
        </row>
        <row r="1282">
          <cell r="A1282" t="str">
            <v>L01-ICU-CIC-S005-01</v>
          </cell>
        </row>
        <row r="1283">
          <cell r="A1283" t="str">
            <v>L01-ICU-CIC-S109-01</v>
          </cell>
        </row>
        <row r="1284">
          <cell r="A1284" t="str">
            <v>L01-ICU-CIC-S114-03</v>
          </cell>
        </row>
        <row r="1285">
          <cell r="A1285" t="str">
            <v>L01-ICU-PIC-S087-02</v>
          </cell>
        </row>
        <row r="1286">
          <cell r="A1286" t="str">
            <v>L01-ICU-SPN-L009-02 (New Construction)</v>
          </cell>
        </row>
        <row r="1287">
          <cell r="A1287" t="str">
            <v>L01-ICU-PIC-S087-04</v>
          </cell>
        </row>
        <row r="1288">
          <cell r="A1288" t="str">
            <v>L01-ICU-PIC-S087-12</v>
          </cell>
        </row>
        <row r="1289">
          <cell r="A1289" t="str">
            <v>L01-ICU-CIC-U0100-02</v>
          </cell>
        </row>
        <row r="1290">
          <cell r="A1290" t="str">
            <v>L01-ICU-SPN-U0117-01</v>
          </cell>
        </row>
        <row r="1291">
          <cell r="A1291" t="str">
            <v>L01-CIR-CIR-C006-08</v>
          </cell>
        </row>
        <row r="1292">
          <cell r="A1292" t="str">
            <v>L01-ICU-CIC-U0093-01</v>
          </cell>
        </row>
        <row r="1293">
          <cell r="A1293" t="str">
            <v>L01-ICU-CIC-U0094-01</v>
          </cell>
        </row>
        <row r="1294">
          <cell r="A1294" t="str">
            <v>L01-ICU-CIC-U0094-04</v>
          </cell>
        </row>
        <row r="1295">
          <cell r="A1295" t="str">
            <v>L01-ICU-CIC-U0094-05</v>
          </cell>
        </row>
        <row r="1296">
          <cell r="A1296" t="str">
            <v>L01-ICU-CIC-U0094-06</v>
          </cell>
        </row>
        <row r="1297">
          <cell r="A1297" t="str">
            <v>L01-ICU-PIC-U0081-07</v>
          </cell>
        </row>
        <row r="1298">
          <cell r="A1298" t="str">
            <v>L01-ICU-PIC-U0081-06</v>
          </cell>
        </row>
        <row r="1299">
          <cell r="A1299" t="str">
            <v>L01-ICU-PIC-U0081-08</v>
          </cell>
        </row>
        <row r="1300">
          <cell r="A1300" t="str">
            <v>L01-ICU-NCU-U0102-11</v>
          </cell>
        </row>
        <row r="1301">
          <cell r="A1301" t="str">
            <v>L01-ICU-CIC-U0094-02</v>
          </cell>
        </row>
        <row r="1302">
          <cell r="A1302" t="str">
            <v>L01-ICU-CIC-U0094-03</v>
          </cell>
        </row>
        <row r="1303">
          <cell r="A1303" t="str">
            <v>L01-ICU-CIC-U0094-07</v>
          </cell>
        </row>
        <row r="1304">
          <cell r="A1304" t="str">
            <v>L01-ICU-NCU-U0102-01</v>
          </cell>
        </row>
        <row r="1305">
          <cell r="A1305" t="str">
            <v>L01-ICU-PIC-U0081-01</v>
          </cell>
        </row>
        <row r="1306">
          <cell r="A1306" t="str">
            <v>L01-ICU-PIC-U0081-02</v>
          </cell>
        </row>
        <row r="1307">
          <cell r="A1307" t="str">
            <v>L01-ICU-PIC-U0081-03</v>
          </cell>
        </row>
        <row r="1308">
          <cell r="A1308" t="str">
            <v>L01-ICU-NCU-U0102-02</v>
          </cell>
        </row>
        <row r="1309">
          <cell r="A1309" t="str">
            <v>L01-ICU-NCU-U0102-03</v>
          </cell>
        </row>
        <row r="1310">
          <cell r="A1310" t="str">
            <v>L01-ICU-NCU-U0102-04</v>
          </cell>
        </row>
        <row r="1311">
          <cell r="A1311" t="str">
            <v>L01-ICU-NCU-U0102-05</v>
          </cell>
        </row>
        <row r="1312">
          <cell r="A1312" t="str">
            <v>L01-ICU-NCU-U0102-06</v>
          </cell>
        </row>
        <row r="1313">
          <cell r="A1313" t="str">
            <v>L01-ICU-NCU-U0102-07</v>
          </cell>
        </row>
        <row r="1314">
          <cell r="A1314" t="str">
            <v>L01-ICU-NCU-U0102-08</v>
          </cell>
        </row>
        <row r="1315">
          <cell r="A1315" t="str">
            <v>L01-ICU-NCU-U0102-09</v>
          </cell>
        </row>
        <row r="1316">
          <cell r="A1316" t="str">
            <v>L01-ICU-NCU-U0102-10</v>
          </cell>
        </row>
        <row r="1317">
          <cell r="A1317" t="str">
            <v>L01-ICU-PIC-U0081-05</v>
          </cell>
        </row>
        <row r="1318">
          <cell r="A1318" t="str">
            <v>L01-ICU-CIC-U0094-10</v>
          </cell>
        </row>
        <row r="1319">
          <cell r="A1319" t="str">
            <v>L01-ICU-CIC-U0094-09</v>
          </cell>
        </row>
        <row r="1320">
          <cell r="A1320" t="str">
            <v>L01-ICU-SPN-U0120-01</v>
          </cell>
        </row>
        <row r="1321">
          <cell r="A1321" t="str">
            <v>L01-ICU-PIC-S113-01</v>
          </cell>
        </row>
        <row r="1322">
          <cell r="A1322" t="str">
            <v>L01-ICU-PIC-S109-01</v>
          </cell>
        </row>
        <row r="1323">
          <cell r="A1323" t="str">
            <v>L01-ICU-PIC-S094-01</v>
          </cell>
        </row>
        <row r="1324">
          <cell r="A1324" t="str">
            <v>L01-ICU-PIC-S059-01</v>
          </cell>
        </row>
        <row r="1325">
          <cell r="A1325" t="str">
            <v>L01-HUB-ITH-S118-11</v>
          </cell>
        </row>
        <row r="1326">
          <cell r="A1326" t="str">
            <v>L01-ICU-CIC-S087-16</v>
          </cell>
        </row>
        <row r="1327">
          <cell r="A1327" t="str">
            <v>L01-ICU-CIC-S056-01</v>
          </cell>
        </row>
        <row r="1328">
          <cell r="A1328" t="str">
            <v>L01-ICU-NCU-S087-09</v>
          </cell>
        </row>
        <row r="1329">
          <cell r="A1329" t="str">
            <v>L01-ICU-CIC-S046-02</v>
          </cell>
        </row>
        <row r="1330">
          <cell r="A1330" t="str">
            <v>L01-ICU-CIC-S044-03</v>
          </cell>
        </row>
        <row r="1331">
          <cell r="A1331" t="str">
            <v>L01-ICU-NCU-S044-01</v>
          </cell>
        </row>
        <row r="1332">
          <cell r="A1332" t="str">
            <v>L01-ICU-NCU-S001-01</v>
          </cell>
        </row>
        <row r="1333">
          <cell r="A1333" t="str">
            <v>L01-ICU-CIC-S001-02</v>
          </cell>
        </row>
        <row r="1334">
          <cell r="A1334" t="str">
            <v>L01-1-NCU-SA3-U1275-01</v>
          </cell>
        </row>
        <row r="1335">
          <cell r="A1335" t="str">
            <v>L01-ICU-CIC-U0099-01</v>
          </cell>
        </row>
        <row r="1336">
          <cell r="A1336" t="str">
            <v>L01-ICU-NCU-S038-01</v>
          </cell>
        </row>
        <row r="1337">
          <cell r="A1337" t="str">
            <v>L01-ICU-NCU-S022-01</v>
          </cell>
        </row>
        <row r="1338">
          <cell r="A1338" t="str">
            <v>L01-ICU-PIC-U0091-01</v>
          </cell>
        </row>
        <row r="1339">
          <cell r="A1339" t="str">
            <v>L01-ICU-PIC-U0092-01</v>
          </cell>
        </row>
        <row r="1340">
          <cell r="A1340" t="str">
            <v>L01-ICU-CIC-S094-01</v>
          </cell>
        </row>
        <row r="1341">
          <cell r="A1341" t="str">
            <v>L01-ICU-PIC-U0090-01</v>
          </cell>
        </row>
        <row r="1342">
          <cell r="A1342" t="str">
            <v>L01-ICU-PIC-S112-01</v>
          </cell>
        </row>
        <row r="1343">
          <cell r="A1343" t="str">
            <v>L01-ICU-PIC-S024-01</v>
          </cell>
        </row>
        <row r="1344">
          <cell r="A1344" t="str">
            <v>L01-ICU-NCU-S113-02</v>
          </cell>
        </row>
        <row r="1345">
          <cell r="A1345" t="str">
            <v>L01-ICU-CIC-S051-01</v>
          </cell>
        </row>
        <row r="1346">
          <cell r="A1346" t="str">
            <v>L01-ICU-CIC-S112-01</v>
          </cell>
        </row>
        <row r="1347">
          <cell r="A1347" t="str">
            <v>L01-ICU-CIC-S022-01</v>
          </cell>
        </row>
        <row r="1348">
          <cell r="A1348" t="str">
            <v>L01-ICU-SPN-U0116-01</v>
          </cell>
        </row>
        <row r="1349">
          <cell r="A1349" t="str">
            <v>L01-ICU-CIC-U0095-01</v>
          </cell>
        </row>
        <row r="1350">
          <cell r="A1350" t="str">
            <v>L01-ICU-CIC-S044-02</v>
          </cell>
        </row>
        <row r="1351">
          <cell r="A1351" t="str">
            <v>L01-ICU-PIC-S056-01</v>
          </cell>
        </row>
        <row r="1352">
          <cell r="A1352" t="str">
            <v>L01-ICU-CIC-S001-05 (New Construction)</v>
          </cell>
        </row>
        <row r="1353">
          <cell r="A1353" t="str">
            <v>L01-ICU-PIC-S086-01</v>
          </cell>
        </row>
        <row r="1354">
          <cell r="A1354" t="str">
            <v>L01-ICU-PIC-U0079-01</v>
          </cell>
        </row>
        <row r="1355">
          <cell r="A1355" t="str">
            <v>L01-ICU-CIC-S001-01</v>
          </cell>
        </row>
        <row r="1356">
          <cell r="A1356" t="str">
            <v>L01-ICU-PIC-S015-01</v>
          </cell>
        </row>
        <row r="1357">
          <cell r="A1357" t="str">
            <v>L01-ICU-NCU-S053-01</v>
          </cell>
        </row>
        <row r="1358">
          <cell r="A1358" t="str">
            <v>L01-MAI-PUB-U1830-03</v>
          </cell>
        </row>
        <row r="1359">
          <cell r="A1359" t="str">
            <v>L01-ICU-CIC-U1451-01</v>
          </cell>
        </row>
        <row r="1360">
          <cell r="A1360" t="str">
            <v>L01-ICU-SPN-U0119-01</v>
          </cell>
        </row>
        <row r="1361">
          <cell r="A1361" t="str">
            <v>L01-ICU-SPN-U0118-01</v>
          </cell>
        </row>
        <row r="1362">
          <cell r="A1362" t="str">
            <v>L01-ICU-SPN-S054-01</v>
          </cell>
        </row>
        <row r="1363">
          <cell r="A1363" t="str">
            <v>L01-ICU-SPN-L009-01 (New Construction)</v>
          </cell>
        </row>
        <row r="1364">
          <cell r="A1364" t="str">
            <v>L01-ICU-SPN-S150-01</v>
          </cell>
        </row>
        <row r="1365">
          <cell r="A1365" t="str">
            <v>L01-ICU-CIC-S114-02</v>
          </cell>
        </row>
        <row r="1366">
          <cell r="A1366" t="str">
            <v>L01-ICU-CIC-S001-03 (New Construction)</v>
          </cell>
        </row>
        <row r="1367">
          <cell r="A1367" t="str">
            <v>L01-ICU-CIC-S044-04 (New Construction)</v>
          </cell>
        </row>
        <row r="1368">
          <cell r="A1368" t="str">
            <v>L01-ICU-NCU-U1275-01</v>
          </cell>
        </row>
        <row r="1369">
          <cell r="A1369" t="str">
            <v>L01-ICU-CIC-S001-04 (New Construction)</v>
          </cell>
        </row>
        <row r="1370">
          <cell r="A1370" t="str">
            <v>L01-ICU-PIC-S051-01</v>
          </cell>
        </row>
        <row r="1371">
          <cell r="A1371" t="str">
            <v>L01-ICU-NCU-S036-01</v>
          </cell>
        </row>
        <row r="1372">
          <cell r="A1372" t="str">
            <v>L01-ICU-CIC-S071-01</v>
          </cell>
        </row>
        <row r="1373">
          <cell r="A1373" t="str">
            <v>L01-ICU-SPN-S030-01</v>
          </cell>
        </row>
        <row r="1374">
          <cell r="A1374" t="str">
            <v>L01-ICU-SPN-U0121-01</v>
          </cell>
        </row>
        <row r="1375">
          <cell r="A1375" t="str">
            <v>L01-ICU-CIC-S024-01</v>
          </cell>
        </row>
        <row r="1376">
          <cell r="A1376" t="str">
            <v>L01-ICU-CIC-U0100-01</v>
          </cell>
        </row>
        <row r="1377">
          <cell r="A1377" t="str">
            <v>L01-ICU-PIC-S001-02</v>
          </cell>
        </row>
        <row r="1378">
          <cell r="A1378" t="str">
            <v>L01-ICU-PIC-S097-02</v>
          </cell>
        </row>
        <row r="1379">
          <cell r="A1379" t="str">
            <v>L01-ICU-PIC-S044-01</v>
          </cell>
        </row>
        <row r="1380">
          <cell r="A1380" t="str">
            <v>L01-ICU-PIC-S044-03</v>
          </cell>
        </row>
        <row r="1381">
          <cell r="A1381" t="str">
            <v>L01-ICU-PIC-S001-03 (New Construction)</v>
          </cell>
        </row>
        <row r="1382">
          <cell r="A1382" t="str">
            <v>L01-ICU-NCU-S086-03</v>
          </cell>
        </row>
        <row r="1383">
          <cell r="A1383" t="str">
            <v>L01-ICU-PIC-U0079-02</v>
          </cell>
        </row>
        <row r="1384">
          <cell r="A1384" t="str">
            <v>L01-HUB-ITH-S118-10</v>
          </cell>
        </row>
        <row r="1385">
          <cell r="A1385" t="str">
            <v>L01-ICU-NCU-S024-01</v>
          </cell>
        </row>
        <row r="1386">
          <cell r="A1386" t="str">
            <v>L01-ICU-PIC-S057-01</v>
          </cell>
        </row>
        <row r="1387">
          <cell r="A1387" t="str">
            <v>L01-ICU-CIC-S008-03</v>
          </cell>
        </row>
        <row r="1388">
          <cell r="A1388" t="str">
            <v>L01-ICU-CIC-S050-01</v>
          </cell>
        </row>
        <row r="1389">
          <cell r="A1389" t="str">
            <v>L01-ICU-SPN-U0115-01</v>
          </cell>
        </row>
        <row r="1390">
          <cell r="A1390" t="str">
            <v>L01-ICU-CIC-S081-01</v>
          </cell>
        </row>
        <row r="1391">
          <cell r="A1391" t="str">
            <v>L01-ICU-PIC-S087-03</v>
          </cell>
        </row>
        <row r="1392">
          <cell r="A1392" t="str">
            <v>L01-ICU-CIC-U0100-01</v>
          </cell>
        </row>
        <row r="1393">
          <cell r="A1393" t="str">
            <v>L01-CIR-CIR-C008-08</v>
          </cell>
        </row>
        <row r="1394">
          <cell r="A1394" t="str">
            <v>L01-ICU-SPN-U0115-02</v>
          </cell>
        </row>
        <row r="1395">
          <cell r="A1395" t="str">
            <v>L01-ICU-PIC-S102-02 (New Construction)</v>
          </cell>
        </row>
        <row r="1396">
          <cell r="A1396" t="str">
            <v>L01-ICU-PIC-S015-02</v>
          </cell>
        </row>
        <row r="1397">
          <cell r="A1397" t="str">
            <v>L01-ICU-PIC-S056-02</v>
          </cell>
        </row>
        <row r="1398">
          <cell r="A1398" t="str">
            <v>L01-ICU-NCU-S059-01</v>
          </cell>
        </row>
        <row r="1399">
          <cell r="A1399" t="str">
            <v>L01-ICU-CIC-S100-02</v>
          </cell>
        </row>
        <row r="1400">
          <cell r="A1400" t="str">
            <v>L01-ICU-CIC-S056-02</v>
          </cell>
        </row>
        <row r="1401">
          <cell r="A1401" t="str">
            <v>L01-ICU-CIC-S080-01</v>
          </cell>
        </row>
        <row r="1402">
          <cell r="A1402" t="str">
            <v>L01-ICU-SPN-U0122-01</v>
          </cell>
        </row>
        <row r="1403">
          <cell r="A1403" t="str">
            <v>L01-ICU-SPN-U0122-02</v>
          </cell>
        </row>
        <row r="1404">
          <cell r="A1404" t="str">
            <v>L01-ICU-NCU-S050-01</v>
          </cell>
        </row>
        <row r="1405">
          <cell r="A1405" t="str">
            <v>L01-COR-CSV-S115-70</v>
          </cell>
        </row>
        <row r="1406">
          <cell r="A1406" t="str">
            <v>L01-ICU-PIC-S087-11</v>
          </cell>
        </row>
        <row r="1407">
          <cell r="A1407" t="str">
            <v>L01-ICU-PIC-U0078-01</v>
          </cell>
        </row>
        <row r="1408">
          <cell r="A1408" t="str">
            <v>L01-ICU-NCU-S081-01</v>
          </cell>
        </row>
        <row r="1409">
          <cell r="A1409" t="str">
            <v>L01-COR-CSV-S147-01</v>
          </cell>
        </row>
        <row r="1410">
          <cell r="A1410" t="str">
            <v>L01-COR-CSV-S115-66</v>
          </cell>
        </row>
        <row r="1411">
          <cell r="A1411" t="str">
            <v>L01-COR-CSV-S074-08</v>
          </cell>
        </row>
        <row r="1412">
          <cell r="A1412" t="str">
            <v>L01-COR-CIR-C001-02</v>
          </cell>
        </row>
        <row r="1413">
          <cell r="A1413" t="str">
            <v>L01-COR-CSV-U0806-01</v>
          </cell>
        </row>
        <row r="1414">
          <cell r="A1414" t="str">
            <v>L01-CAM-INP-S044-11</v>
          </cell>
        </row>
        <row r="1415">
          <cell r="A1415" t="str">
            <v>L01-CAM-INP-L007-10</v>
          </cell>
        </row>
        <row r="1416">
          <cell r="A1416" t="str">
            <v>L01-CAM-INP-L007-09</v>
          </cell>
        </row>
        <row r="1417">
          <cell r="A1417" t="str">
            <v>L01-CAM-INP-S044-09</v>
          </cell>
        </row>
        <row r="1418">
          <cell r="A1418" t="str">
            <v>L01-CAM-INP-L007-08</v>
          </cell>
        </row>
        <row r="1419">
          <cell r="A1419" t="str">
            <v>L01-CAM-INP-L007-07</v>
          </cell>
        </row>
        <row r="1420">
          <cell r="A1420" t="str">
            <v>L01-CAM-INP-S044-07</v>
          </cell>
        </row>
        <row r="1421">
          <cell r="A1421" t="str">
            <v>L01-CAM-INP-L007-01</v>
          </cell>
        </row>
        <row r="1422">
          <cell r="A1422" t="str">
            <v>L01-CAM-INP-L007-02</v>
          </cell>
        </row>
        <row r="1423">
          <cell r="A1423" t="str">
            <v>L01-HUB-ITH-S118-04</v>
          </cell>
        </row>
        <row r="1424">
          <cell r="A1424" t="str">
            <v>L01-CAM-INP-S123-02</v>
          </cell>
        </row>
        <row r="1425">
          <cell r="A1425" t="str">
            <v>L01-OPD-NEU-S081-01</v>
          </cell>
        </row>
        <row r="1426">
          <cell r="A1426" t="str">
            <v>L01-CAM-CIR-C001-04</v>
          </cell>
        </row>
        <row r="1427">
          <cell r="A1427" t="str">
            <v>L01-OPD-DC2-S051-01</v>
          </cell>
        </row>
        <row r="1428">
          <cell r="A1428" t="str">
            <v>L01-CAM-INP-S139-07</v>
          </cell>
        </row>
        <row r="1429">
          <cell r="A1429" t="str">
            <v>L01-CAR-INP-S036-02</v>
          </cell>
        </row>
        <row r="1430">
          <cell r="A1430" t="str">
            <v>L01-CAR-INP-U1129-01</v>
          </cell>
        </row>
        <row r="1431">
          <cell r="A1431" t="str">
            <v>L01-CAR-INP-S005-01</v>
          </cell>
        </row>
        <row r="1432">
          <cell r="A1432" t="str">
            <v>L01-CAR-INP-U1130-01</v>
          </cell>
        </row>
        <row r="1433">
          <cell r="A1433" t="str">
            <v>L01-CAR-INP-S080-02</v>
          </cell>
        </row>
        <row r="1434">
          <cell r="A1434" t="str">
            <v>L01-CAR-INP-S036-01</v>
          </cell>
        </row>
        <row r="1435">
          <cell r="A1435" t="str">
            <v>L01-CAM-INP-S036-02</v>
          </cell>
        </row>
        <row r="1436">
          <cell r="A1436" t="str">
            <v>L01-CAM-INP-S107-01</v>
          </cell>
        </row>
        <row r="1437">
          <cell r="A1437" t="str">
            <v>L01-CAM-INP-S092-02</v>
          </cell>
        </row>
        <row r="1438">
          <cell r="A1438" t="str">
            <v>L01-CAM-INP-S023-02</v>
          </cell>
        </row>
        <row r="1439">
          <cell r="A1439" t="str">
            <v>L01-CAR-INP-S109-03</v>
          </cell>
        </row>
        <row r="1440">
          <cell r="A1440" t="str">
            <v>L01-CAM-INP-S056-02</v>
          </cell>
        </row>
        <row r="1441">
          <cell r="A1441" t="str">
            <v>L01-CAM-INP-S091-01</v>
          </cell>
        </row>
        <row r="1442">
          <cell r="A1442" t="str">
            <v>L01-CAM-INP-S092-01</v>
          </cell>
        </row>
        <row r="1443">
          <cell r="A1443" t="str">
            <v>L01-CAM-INP-S036-01</v>
          </cell>
        </row>
        <row r="1444">
          <cell r="A1444" t="str">
            <v>L01-CAM-INP-S023-01</v>
          </cell>
        </row>
        <row r="1445">
          <cell r="A1445" t="str">
            <v>L01-CAM-INP-S109-01</v>
          </cell>
        </row>
        <row r="1446">
          <cell r="A1446" t="str">
            <v>L01-CAM-INP-S056-01</v>
          </cell>
        </row>
        <row r="1447">
          <cell r="A1447" t="str">
            <v>L01-CAR-INP-S099-01</v>
          </cell>
        </row>
        <row r="1448">
          <cell r="A1448" t="str">
            <v>L01-CAR-INP-S023-01</v>
          </cell>
        </row>
        <row r="1449">
          <cell r="A1449" t="str">
            <v>L01-CAR-INP-S056-02</v>
          </cell>
        </row>
        <row r="1450">
          <cell r="A1450" t="str">
            <v>L01-CAR-DCU-S073-01</v>
          </cell>
        </row>
        <row r="1451">
          <cell r="A1451" t="str">
            <v>L01-CAR-INP-S093-04</v>
          </cell>
        </row>
        <row r="1452">
          <cell r="A1452" t="str">
            <v>L01-CAR-INP-S093-02</v>
          </cell>
        </row>
        <row r="1453">
          <cell r="A1453" t="str">
            <v>L01-CAR-INP-S115-06</v>
          </cell>
        </row>
        <row r="1454">
          <cell r="A1454" t="str">
            <v>L01-CAR-INP-S010-01</v>
          </cell>
        </row>
        <row r="1455">
          <cell r="A1455" t="str">
            <v>L01-CAR-INP-S067-01</v>
          </cell>
        </row>
        <row r="1456">
          <cell r="A1456" t="str">
            <v>L01-CAR-INP-S107-01</v>
          </cell>
        </row>
        <row r="1457">
          <cell r="A1457" t="str">
            <v>L01-CAR-INP-S127-01</v>
          </cell>
        </row>
        <row r="1458">
          <cell r="A1458" t="str">
            <v>L01-CAR-INP-S093-03</v>
          </cell>
        </row>
        <row r="1459">
          <cell r="A1459" t="str">
            <v>L01-CAR-INP-S139-01</v>
          </cell>
        </row>
        <row r="1460">
          <cell r="A1460" t="str">
            <v>L01-CAR-INP-S114-02</v>
          </cell>
        </row>
        <row r="1461">
          <cell r="A1461" t="str">
            <v>L01-CAR-INP-S049-01</v>
          </cell>
        </row>
        <row r="1462">
          <cell r="A1462" t="str">
            <v>L01-CAR-INP-S010-02</v>
          </cell>
        </row>
        <row r="1463">
          <cell r="A1463" t="str">
            <v>L01-CAR-INP-S023-03</v>
          </cell>
        </row>
        <row r="1464">
          <cell r="A1464" t="str">
            <v>L02-DCU-FCT-S083-01</v>
          </cell>
        </row>
        <row r="1465">
          <cell r="A1465" t="str">
            <v>L02-DCU-DMS-S083-21</v>
          </cell>
        </row>
        <row r="1466">
          <cell r="A1466" t="str">
            <v>L02-DCU-DMS-S083-10</v>
          </cell>
        </row>
        <row r="1467">
          <cell r="A1467" t="str">
            <v>L02-CIR-CIR-C004-01</v>
          </cell>
        </row>
        <row r="1468">
          <cell r="A1468" t="str">
            <v>L02-IPA-GW9-S044-08</v>
          </cell>
        </row>
        <row r="1469">
          <cell r="A1469" t="str">
            <v>L02-IPA-GW9-S044-09</v>
          </cell>
        </row>
        <row r="1470">
          <cell r="A1470" t="str">
            <v>L02-IPA-GW9-S109-01</v>
          </cell>
        </row>
        <row r="1471">
          <cell r="A1471" t="str">
            <v>L02-IPA-GW9-S044-07</v>
          </cell>
        </row>
        <row r="1472">
          <cell r="A1472" t="str">
            <v>L02-IPA-GW9-S014-07</v>
          </cell>
        </row>
        <row r="1473">
          <cell r="A1473" t="str">
            <v>L02-IPA-GW9-S044-17</v>
          </cell>
        </row>
        <row r="1474">
          <cell r="A1474" t="str">
            <v>L02-IPA-GW9-S044-05</v>
          </cell>
        </row>
        <row r="1475">
          <cell r="A1475" t="str">
            <v>L02-IPA-GW9-S044-11</v>
          </cell>
        </row>
        <row r="1476">
          <cell r="A1476" t="str">
            <v>L02-IPA-GW9-S044-13</v>
          </cell>
        </row>
        <row r="1477">
          <cell r="A1477" t="str">
            <v>L02-IPA-GW9-S044-10</v>
          </cell>
        </row>
        <row r="1478">
          <cell r="A1478" t="str">
            <v>L02-IPA-GW9-S044-12</v>
          </cell>
        </row>
        <row r="1479">
          <cell r="A1479" t="str">
            <v>L02-IPA-GW9-S044-04</v>
          </cell>
        </row>
        <row r="1480">
          <cell r="A1480" t="str">
            <v>L02-IPA-GW9-S014-04</v>
          </cell>
        </row>
        <row r="1481">
          <cell r="A1481" t="str">
            <v>L02-IPA-GW9-S044-02</v>
          </cell>
        </row>
        <row r="1482">
          <cell r="A1482" t="str">
            <v>L02-IPA-GW9-S014-03</v>
          </cell>
        </row>
        <row r="1483">
          <cell r="A1483" t="str">
            <v>L02-IPA-GW9-S044-03</v>
          </cell>
        </row>
        <row r="1484">
          <cell r="A1484" t="str">
            <v>L02-IPA-GW9-S014-02</v>
          </cell>
        </row>
        <row r="1485">
          <cell r="A1485" t="str">
            <v>L02-IPA-GW9-S044-01</v>
          </cell>
        </row>
        <row r="1486">
          <cell r="A1486" t="str">
            <v>L02-IPA-GW9-S014-21</v>
          </cell>
        </row>
        <row r="1487">
          <cell r="A1487" t="str">
            <v>L02-IPA-GW9-S044-21</v>
          </cell>
        </row>
        <row r="1488">
          <cell r="A1488" t="str">
            <v>L02-IPA-GW9-S014-01</v>
          </cell>
        </row>
        <row r="1489">
          <cell r="A1489" t="str">
            <v>L02-IPA-GW9-S112-01</v>
          </cell>
        </row>
        <row r="1490">
          <cell r="A1490" t="str">
            <v>L02-IPA-GW9-S044-19</v>
          </cell>
        </row>
        <row r="1491">
          <cell r="A1491" t="str">
            <v>L02-IPA-GW9-S044-20</v>
          </cell>
        </row>
        <row r="1492">
          <cell r="A1492" t="str">
            <v>L02-IPA-GW9-S014-20</v>
          </cell>
        </row>
        <row r="1493">
          <cell r="A1493" t="str">
            <v>L02-IPA-GW9-S014-19</v>
          </cell>
        </row>
        <row r="1494">
          <cell r="A1494" t="str">
            <v>L02-IPA-GW9-S044-06</v>
          </cell>
        </row>
        <row r="1495">
          <cell r="A1495" t="str">
            <v>L02-IPA-GW9-S014-09</v>
          </cell>
        </row>
        <row r="1496">
          <cell r="A1496" t="str">
            <v>L02-IPA-GW9-S042-01</v>
          </cell>
        </row>
        <row r="1497">
          <cell r="A1497" t="str">
            <v>L02-IPA-GW9-S014-15</v>
          </cell>
        </row>
        <row r="1498">
          <cell r="A1498" t="str">
            <v>L02-IPA-GW9-S044-16</v>
          </cell>
        </row>
        <row r="1499">
          <cell r="A1499" t="str">
            <v>L02-IPA-GW9-S044-15</v>
          </cell>
        </row>
        <row r="1500">
          <cell r="A1500" t="str">
            <v>L02-IPA-GW9-S014-16</v>
          </cell>
        </row>
        <row r="1501">
          <cell r="A1501" t="str">
            <v>L02-DCU-DMS-S085-22</v>
          </cell>
        </row>
        <row r="1502">
          <cell r="A1502" t="str">
            <v>L02-DCU-DMS-S085-31</v>
          </cell>
        </row>
        <row r="1503">
          <cell r="A1503" t="str">
            <v>L02-DCU-DMS-S085-30</v>
          </cell>
        </row>
        <row r="1504">
          <cell r="A1504" t="str">
            <v>L02-DCU-DMS-S085-29</v>
          </cell>
        </row>
        <row r="1505">
          <cell r="A1505" t="str">
            <v>L02-DCU-DMS-S085-14</v>
          </cell>
        </row>
        <row r="1506">
          <cell r="A1506" t="str">
            <v>L02-DCU-DMS-S083-19</v>
          </cell>
        </row>
        <row r="1507">
          <cell r="A1507" t="str">
            <v>L02-DCU-DMS-S083-18</v>
          </cell>
        </row>
        <row r="1508">
          <cell r="A1508" t="str">
            <v>L02-DCU-DMS-S083-17</v>
          </cell>
        </row>
        <row r="1509">
          <cell r="A1509" t="str">
            <v>L02-DCU-DMS-S083-16</v>
          </cell>
        </row>
        <row r="1510">
          <cell r="A1510" t="str">
            <v>L02-DCU-DMS-S083-15</v>
          </cell>
        </row>
        <row r="1511">
          <cell r="A1511" t="str">
            <v>L02-DCU-DMS-S083-14</v>
          </cell>
        </row>
        <row r="1512">
          <cell r="A1512" t="str">
            <v>L02-DCU-DMS-S085-03</v>
          </cell>
        </row>
        <row r="1513">
          <cell r="A1513" t="str">
            <v>L02-DCU-DMS-S085-05</v>
          </cell>
        </row>
        <row r="1514">
          <cell r="A1514" t="str">
            <v>L02-DCU-DMS-S085-07</v>
          </cell>
        </row>
        <row r="1515">
          <cell r="A1515" t="str">
            <v>L02-DCU-DMS-S085-09</v>
          </cell>
        </row>
        <row r="1516">
          <cell r="A1516" t="str">
            <v>L02-IPA-GW9-S139-01</v>
          </cell>
        </row>
        <row r="1517">
          <cell r="A1517" t="str">
            <v>L02-DCU-DMS-S083-20</v>
          </cell>
        </row>
        <row r="1518">
          <cell r="A1518" t="str">
            <v>L02-REE-PPR-L018-03</v>
          </cell>
        </row>
        <row r="1519">
          <cell r="A1519" t="str">
            <v>L02-REE-PPR-L018-02</v>
          </cell>
        </row>
        <row r="1520">
          <cell r="A1520" t="str">
            <v>L02-REE-PPR-S063-02</v>
          </cell>
        </row>
        <row r="1521">
          <cell r="A1521" t="str">
            <v>L02-REE-PPR-U1126-01</v>
          </cell>
        </row>
        <row r="1522">
          <cell r="A1522" t="str">
            <v>L02-PON-ACC-L029-09</v>
          </cell>
        </row>
        <row r="1523">
          <cell r="A1523" t="str">
            <v>L02-PON-ACC-L029-07</v>
          </cell>
        </row>
        <row r="1524">
          <cell r="A1524" t="str">
            <v>L02-PON-ACC-L029-08</v>
          </cell>
        </row>
        <row r="1525">
          <cell r="A1525" t="str">
            <v>L02-PON-ACC-L029-10</v>
          </cell>
        </row>
        <row r="1526">
          <cell r="A1526" t="str">
            <v>L02-PON-ACC-L029-12</v>
          </cell>
        </row>
        <row r="1527">
          <cell r="A1527" t="str">
            <v>L02-PON-ACC-L029-11</v>
          </cell>
        </row>
        <row r="1528">
          <cell r="A1528" t="str">
            <v>L02-PON-ACC-L029-13</v>
          </cell>
        </row>
        <row r="1529">
          <cell r="A1529" t="str">
            <v>L02-PON-ACC-L029-14</v>
          </cell>
        </row>
        <row r="1530">
          <cell r="A1530" t="str">
            <v>L02-IPA-GW9-S036-01</v>
          </cell>
        </row>
        <row r="1531">
          <cell r="A1531" t="str">
            <v>L02-HOS-DOE-S139-05</v>
          </cell>
        </row>
        <row r="1532">
          <cell r="A1532" t="str">
            <v>L02-HOS-DOE-S139-04</v>
          </cell>
        </row>
        <row r="1533">
          <cell r="A1533" t="str">
            <v>L02-IPA-GW9-S044-23</v>
          </cell>
        </row>
        <row r="1534">
          <cell r="A1534" t="str">
            <v>L02-IPA-GW9-S044-14</v>
          </cell>
        </row>
        <row r="1535">
          <cell r="A1535" t="str">
            <v>L02-IPA-GW9-S067-01</v>
          </cell>
        </row>
        <row r="1536">
          <cell r="A1536" t="str">
            <v>L02-IPA-GW9-S010-01</v>
          </cell>
        </row>
        <row r="1537">
          <cell r="A1537" t="str">
            <v>L02-IPA-GW9-S023-02</v>
          </cell>
        </row>
        <row r="1538">
          <cell r="A1538" t="str">
            <v>L02-IPA-GW9-S001-02</v>
          </cell>
        </row>
        <row r="1539">
          <cell r="A1539" t="str">
            <v>L02-IPA-GW9-S013-01</v>
          </cell>
        </row>
        <row r="1540">
          <cell r="A1540" t="str">
            <v>L02-REE-PPR-L044-01</v>
          </cell>
        </row>
        <row r="1541">
          <cell r="A1541" t="str">
            <v>L02-REE-PPR-L044-02</v>
          </cell>
        </row>
        <row r="1542">
          <cell r="A1542" t="str">
            <v>L02-REE-PPR-S090-01</v>
          </cell>
        </row>
        <row r="1543">
          <cell r="A1543" t="str">
            <v>L02-DCU-DMS-S111-01</v>
          </cell>
        </row>
        <row r="1544">
          <cell r="A1544" t="str">
            <v>L02-HOS-DOE-S139-07</v>
          </cell>
        </row>
        <row r="1545">
          <cell r="A1545" t="str">
            <v>L02-HOS-DOE-S134-02</v>
          </cell>
        </row>
        <row r="1546">
          <cell r="A1546" t="str">
            <v>L02-HOS-DOE-S134-01</v>
          </cell>
        </row>
        <row r="1547">
          <cell r="A1547" t="str">
            <v>L02-DCU-DMS-S036-03</v>
          </cell>
        </row>
        <row r="1548">
          <cell r="A1548" t="str">
            <v>L02-DCU-DMS-S114-02</v>
          </cell>
        </row>
        <row r="1549">
          <cell r="A1549" t="str">
            <v>L02-DCU-DMS-S113-08</v>
          </cell>
        </row>
        <row r="1550">
          <cell r="A1550" t="str">
            <v>L02-CIR-CIR-C001-04</v>
          </cell>
        </row>
        <row r="1551">
          <cell r="A1551" t="str">
            <v>L02-CIR-CIR-C001-02</v>
          </cell>
        </row>
        <row r="1552">
          <cell r="A1552" t="str">
            <v>L02-HOS-CIR-C001-03</v>
          </cell>
        </row>
        <row r="1553">
          <cell r="A1553" t="str">
            <v>L02-IPA-GW9-S044-22</v>
          </cell>
        </row>
        <row r="1554">
          <cell r="A1554" t="str">
            <v>L02-IPA-GW9-S014-17</v>
          </cell>
        </row>
        <row r="1555">
          <cell r="A1555" t="str">
            <v>L02-IPA-GW9-S014-22</v>
          </cell>
        </row>
        <row r="1556">
          <cell r="A1556" t="str">
            <v>L02-IPA-GW9-S014-06</v>
          </cell>
        </row>
        <row r="1557">
          <cell r="A1557" t="str">
            <v>L02-IPA-GW9-S014-05</v>
          </cell>
        </row>
        <row r="1558">
          <cell r="A1558" t="str">
            <v>L02-PON-ACC-L029-04</v>
          </cell>
        </row>
        <row r="1559">
          <cell r="A1559" t="str">
            <v>L02-PON-ACC-L008-04</v>
          </cell>
        </row>
        <row r="1560">
          <cell r="A1560" t="str">
            <v>L02-PON-ACC-L029-05</v>
          </cell>
        </row>
        <row r="1561">
          <cell r="A1561" t="str">
            <v>L02-IPA-GW9-S001-01</v>
          </cell>
        </row>
        <row r="1562">
          <cell r="A1562" t="str">
            <v>L02-THR-RPM-S006-01</v>
          </cell>
        </row>
        <row r="1563">
          <cell r="A1563" t="str">
            <v>L02-THR-RPM-S114-01</v>
          </cell>
        </row>
        <row r="1564">
          <cell r="A1564" t="str">
            <v>L02-IPA-GW9-S113-01</v>
          </cell>
        </row>
        <row r="1565">
          <cell r="A1565" t="str">
            <v>L02-IPA-GW9-S152-04</v>
          </cell>
        </row>
        <row r="1566">
          <cell r="A1566" t="str">
            <v>L02-IPA-GW9-L002-01</v>
          </cell>
        </row>
        <row r="1567">
          <cell r="A1567" t="str">
            <v>L02-IPA-GW9-S072-01</v>
          </cell>
        </row>
        <row r="1568">
          <cell r="A1568" t="str">
            <v>L02-IPA-GW9-S007-01</v>
          </cell>
        </row>
        <row r="1569">
          <cell r="A1569" t="str">
            <v>L02-IPA-GW9-S056-02</v>
          </cell>
        </row>
        <row r="1570">
          <cell r="A1570" t="str">
            <v>L02-IPA-GW9-S099-01</v>
          </cell>
        </row>
        <row r="1571">
          <cell r="A1571" t="str">
            <v>L02-THE-DOT-L004-04</v>
          </cell>
        </row>
        <row r="1572">
          <cell r="A1572" t="str">
            <v>L02-DCU-DMS-S083-13</v>
          </cell>
        </row>
        <row r="1573">
          <cell r="A1573" t="str">
            <v>L02-REE-PPR-L018-04</v>
          </cell>
        </row>
        <row r="1574">
          <cell r="A1574" t="str">
            <v>L02-THE-DOT-S091-03</v>
          </cell>
        </row>
        <row r="1575">
          <cell r="A1575" t="str">
            <v>L02-DCU-DMS-S085-27</v>
          </cell>
        </row>
        <row r="1576">
          <cell r="A1576" t="str">
            <v>L02-DCU-DMS-S113-06</v>
          </cell>
        </row>
        <row r="1577">
          <cell r="A1577" t="str">
            <v>L02-DCU-DMS-S113-07</v>
          </cell>
        </row>
        <row r="1578">
          <cell r="A1578" t="str">
            <v>L02-DCU-DMS-S036-01</v>
          </cell>
        </row>
        <row r="1579">
          <cell r="A1579" t="str">
            <v>L02-DCU-DMS-S043-06</v>
          </cell>
        </row>
        <row r="1580">
          <cell r="A1580" t="str">
            <v>L02-DCU-DMS-S085-16</v>
          </cell>
        </row>
        <row r="1581">
          <cell r="A1581" t="str">
            <v>L02-IPA-GW9-S139-02</v>
          </cell>
        </row>
        <row r="1582">
          <cell r="A1582" t="str">
            <v>L02-IPA-GW9-S014-18</v>
          </cell>
        </row>
        <row r="1583">
          <cell r="A1583" t="str">
            <v>L02-DCU-DMS-S043-01</v>
          </cell>
        </row>
        <row r="1584">
          <cell r="A1584" t="str">
            <v>L02-DCU-DMS-S085-12</v>
          </cell>
        </row>
        <row r="1585">
          <cell r="A1585" t="str">
            <v>L02-DCU-DMS-S001-01</v>
          </cell>
        </row>
        <row r="1586">
          <cell r="A1586" t="str">
            <v>L02-DCU-DMS-S043-02</v>
          </cell>
        </row>
        <row r="1587">
          <cell r="A1587" t="str">
            <v>L02-DCU-DMS-S043-03</v>
          </cell>
        </row>
        <row r="1588">
          <cell r="A1588" t="str">
            <v>L02-DCU-DMS-S001-03</v>
          </cell>
        </row>
        <row r="1589">
          <cell r="A1589" t="str">
            <v>L02-DCU-DMS-S089-03</v>
          </cell>
        </row>
        <row r="1590">
          <cell r="A1590" t="str">
            <v>L02-DCU-DMS-S043-05</v>
          </cell>
        </row>
        <row r="1591">
          <cell r="A1591" t="str">
            <v>L02-DCU-DMS-S001-05</v>
          </cell>
        </row>
        <row r="1592">
          <cell r="A1592" t="str">
            <v>L02-DCU-DMS-S089-05</v>
          </cell>
        </row>
        <row r="1593">
          <cell r="A1593" t="str">
            <v>L02-DCU-DMS-S043-04</v>
          </cell>
        </row>
        <row r="1594">
          <cell r="A1594" t="str">
            <v>L02-REE-PPR-L018-01</v>
          </cell>
        </row>
        <row r="1595">
          <cell r="A1595" t="str">
            <v>L02-DCU-DMS-S001-06</v>
          </cell>
        </row>
        <row r="1596">
          <cell r="A1596" t="str">
            <v>L02-DCU-DMS-S083-07</v>
          </cell>
        </row>
        <row r="1597">
          <cell r="A1597" t="str">
            <v>L02-DCU-DMS-S083-08</v>
          </cell>
        </row>
        <row r="1598">
          <cell r="A1598" t="str">
            <v>L02-DCU-DMS-S001-02</v>
          </cell>
        </row>
        <row r="1599">
          <cell r="A1599" t="str">
            <v>L02-DCU-DMS-S043-07</v>
          </cell>
        </row>
        <row r="1600">
          <cell r="A1600" t="str">
            <v>L02-IPA-GW9-S036-02</v>
          </cell>
        </row>
        <row r="1601">
          <cell r="A1601" t="str">
            <v>L02-IPA-GW9-S053-01</v>
          </cell>
        </row>
        <row r="1602">
          <cell r="A1602" t="str">
            <v>L02-IPA-GW9-S063-01</v>
          </cell>
        </row>
        <row r="1603">
          <cell r="A1603" t="str">
            <v>L02-PON-ACC-L032-01</v>
          </cell>
        </row>
        <row r="1604">
          <cell r="A1604" t="str">
            <v>L02-PON-ACC-L029-17</v>
          </cell>
        </row>
        <row r="1605">
          <cell r="A1605" t="str">
            <v>L02-PON-ACC-S041-01</v>
          </cell>
        </row>
        <row r="1606">
          <cell r="A1606" t="str">
            <v>L02-PON-ACC-S041-02</v>
          </cell>
        </row>
        <row r="1607">
          <cell r="A1607" t="str">
            <v>L02-PON-ACC-U1061-01</v>
          </cell>
        </row>
        <row r="1608">
          <cell r="A1608" t="str">
            <v>L02-PON-ACC-S056-01</v>
          </cell>
        </row>
        <row r="1609">
          <cell r="A1609" t="str">
            <v>L02-PON-ACC-L008-17</v>
          </cell>
        </row>
        <row r="1610">
          <cell r="A1610" t="str">
            <v>L02-PON-ACC-L032-03</v>
          </cell>
        </row>
        <row r="1611">
          <cell r="A1611" t="str">
            <v>L02-PON-ACC-L032-04</v>
          </cell>
        </row>
        <row r="1612">
          <cell r="A1612" t="str">
            <v>L02-PON-ACC-L008-24</v>
          </cell>
        </row>
        <row r="1613">
          <cell r="A1613" t="str">
            <v>L02-PON-ACC-L008-25</v>
          </cell>
        </row>
        <row r="1614">
          <cell r="A1614" t="str">
            <v>L02-PON-ACC-L032-05</v>
          </cell>
        </row>
        <row r="1615">
          <cell r="A1615" t="str">
            <v>L02-PON-ACC-L032-06</v>
          </cell>
        </row>
        <row r="1616">
          <cell r="A1616" t="str">
            <v>L02-PON-ACC-L008-27</v>
          </cell>
        </row>
        <row r="1617">
          <cell r="A1617" t="str">
            <v>L02-PON-ACC-L032-07</v>
          </cell>
        </row>
        <row r="1618">
          <cell r="A1618" t="str">
            <v>L02-PON-ACC-L032-08</v>
          </cell>
        </row>
        <row r="1619">
          <cell r="A1619" t="str">
            <v>L02-PON-ACC-S135-01</v>
          </cell>
        </row>
        <row r="1620">
          <cell r="A1620" t="str">
            <v>L02-PON-ACC-S135-02</v>
          </cell>
        </row>
        <row r="1621">
          <cell r="A1621" t="str">
            <v>L02-PON-ACC-S113-02</v>
          </cell>
        </row>
        <row r="1622">
          <cell r="A1622" t="str">
            <v>L02-PON-ACC-S081-01</v>
          </cell>
        </row>
        <row r="1623">
          <cell r="A1623" t="str">
            <v>L02-PON-ACC-S051-01</v>
          </cell>
        </row>
        <row r="1624">
          <cell r="A1624" t="str">
            <v>L02-PON-ACC-L008-03</v>
          </cell>
        </row>
        <row r="1625">
          <cell r="A1625" t="str">
            <v>L02-PON-ACC-L029-02</v>
          </cell>
        </row>
        <row r="1626">
          <cell r="A1626" t="str">
            <v>L02-PON-ACC-L032-10</v>
          </cell>
        </row>
        <row r="1627">
          <cell r="A1627" t="str">
            <v>L02-PON-ACC-L029-18</v>
          </cell>
        </row>
        <row r="1628">
          <cell r="A1628" t="str">
            <v>L02-PON-ACC-L008-18</v>
          </cell>
        </row>
        <row r="1629">
          <cell r="A1629" t="str">
            <v>L02-PON-ACC-L029-01</v>
          </cell>
        </row>
        <row r="1630">
          <cell r="A1630" t="str">
            <v>L02-PON-ACC-L008-01</v>
          </cell>
        </row>
        <row r="1631">
          <cell r="A1631" t="str">
            <v>L02-PON-ACC-L029-03</v>
          </cell>
        </row>
        <row r="1632">
          <cell r="A1632" t="str">
            <v>L02-PON-ACC-L008-29</v>
          </cell>
        </row>
        <row r="1633">
          <cell r="A1633" t="str">
            <v>L02-PON-ACC-L032-09</v>
          </cell>
        </row>
        <row r="1634">
          <cell r="A1634" t="str">
            <v>L02-PON-ACC-L029-19</v>
          </cell>
        </row>
        <row r="1635">
          <cell r="A1635" t="str">
            <v>L02-PON-ACC-L008-23</v>
          </cell>
        </row>
        <row r="1636">
          <cell r="A1636" t="str">
            <v>L02-PON-ACC-S025-01</v>
          </cell>
        </row>
        <row r="1637">
          <cell r="A1637" t="str">
            <v>L02-THR-RPM-S113-02</v>
          </cell>
        </row>
        <row r="1638">
          <cell r="A1638" t="str">
            <v>L02-THR-RPM-S115-04</v>
          </cell>
        </row>
        <row r="1639">
          <cell r="A1639" t="str">
            <v>L02-HOS-DOE-S113-02</v>
          </cell>
        </row>
        <row r="1640">
          <cell r="A1640" t="str">
            <v>L02-HOS-DOE-U0694-01</v>
          </cell>
        </row>
        <row r="1641">
          <cell r="A1641" t="str">
            <v>L02-HOS-DOE-S109-01</v>
          </cell>
        </row>
        <row r="1642">
          <cell r="A1642" t="str">
            <v>L02-DCU-DMS-S092-02</v>
          </cell>
        </row>
        <row r="1643">
          <cell r="A1643" t="str">
            <v>L02-DCU-DMS-S010-01</v>
          </cell>
        </row>
        <row r="1644">
          <cell r="A1644" t="str">
            <v>L02-DCU-DMS-S010-03</v>
          </cell>
        </row>
        <row r="1645">
          <cell r="A1645" t="str">
            <v>L02-DCU-FCT-S067-01</v>
          </cell>
        </row>
        <row r="1646">
          <cell r="A1646" t="str">
            <v>L02-DCU-DMS-S145-01</v>
          </cell>
        </row>
        <row r="1647">
          <cell r="A1647" t="str">
            <v>L02-DCU-DMS-S056-03</v>
          </cell>
        </row>
        <row r="1648">
          <cell r="A1648" t="str">
            <v>L02-DCU-DMS-S085-21</v>
          </cell>
        </row>
        <row r="1649">
          <cell r="A1649" t="str">
            <v>L02-DCU-DMS-S132-01</v>
          </cell>
        </row>
        <row r="1650">
          <cell r="A1650" t="str">
            <v>L02-DCU-DMS-S113-03</v>
          </cell>
        </row>
        <row r="1651">
          <cell r="A1651" t="str">
            <v>L02-THR-RPM-U0766-01</v>
          </cell>
        </row>
        <row r="1652">
          <cell r="A1652" t="str">
            <v>L02-THR-RPM-S115-01</v>
          </cell>
        </row>
        <row r="1653">
          <cell r="A1653" t="str">
            <v>L02-DCU-DMS-S083-01</v>
          </cell>
        </row>
        <row r="1654">
          <cell r="A1654" t="str">
            <v>L02-DCU-DMS-S083-04</v>
          </cell>
        </row>
        <row r="1655">
          <cell r="A1655" t="str">
            <v>L02-DCU-DMS-S083-03</v>
          </cell>
        </row>
        <row r="1656">
          <cell r="A1656" t="str">
            <v>L02-DCU-DMS-S083-06</v>
          </cell>
        </row>
        <row r="1657">
          <cell r="A1657" t="str">
            <v>L02-DCU-DMS-S083-05</v>
          </cell>
        </row>
        <row r="1658">
          <cell r="A1658" t="str">
            <v>L02-THR-RPM-S095-01</v>
          </cell>
        </row>
        <row r="1659">
          <cell r="A1659" t="str">
            <v>L02-THR-RPM-S075-01</v>
          </cell>
        </row>
        <row r="1660">
          <cell r="A1660" t="str">
            <v>L02-THR-RPM-S096-01</v>
          </cell>
        </row>
        <row r="1661">
          <cell r="A1661" t="str">
            <v>L02-THR-RPM-S146-02</v>
          </cell>
        </row>
        <row r="1662">
          <cell r="A1662" t="str">
            <v>L02-THR-RPM-S109-01</v>
          </cell>
        </row>
        <row r="1663">
          <cell r="A1663" t="str">
            <v>L02-THR-RPM-S113-01</v>
          </cell>
        </row>
        <row r="1664">
          <cell r="A1664" t="str">
            <v>L02-THR-RPM-S139-02</v>
          </cell>
        </row>
        <row r="1665">
          <cell r="A1665" t="str">
            <v>L02-HOS-DOE-S062-01</v>
          </cell>
        </row>
        <row r="1666">
          <cell r="A1666" t="str">
            <v>L02-HOS-DOE-U0693-01</v>
          </cell>
        </row>
        <row r="1667">
          <cell r="A1667" t="str">
            <v>L02-HOS-DOE-S113-01</v>
          </cell>
        </row>
        <row r="1668">
          <cell r="A1668" t="str">
            <v>L02-THE-DOT-S053-04</v>
          </cell>
        </row>
        <row r="1669">
          <cell r="A1669" t="str">
            <v>L02-THE-DOT-L004-02</v>
          </cell>
        </row>
        <row r="1670">
          <cell r="A1670" t="str">
            <v>L02-DCU-DMS-S107-02</v>
          </cell>
        </row>
        <row r="1671">
          <cell r="A1671" t="str">
            <v>L02-DCU-DMS-S143-01</v>
          </cell>
        </row>
        <row r="1672">
          <cell r="A1672" t="str">
            <v>L02-DCU-DMS-S051-01</v>
          </cell>
        </row>
        <row r="1673">
          <cell r="A1673" t="str">
            <v>L02-DCU-DMS-S113-02</v>
          </cell>
        </row>
        <row r="1674">
          <cell r="A1674" t="str">
            <v>L02-THE-DOT-L004-01</v>
          </cell>
        </row>
        <row r="1675">
          <cell r="A1675" t="str">
            <v>L02-THE-DOT-S036-01</v>
          </cell>
        </row>
        <row r="1676">
          <cell r="A1676" t="str">
            <v>L02-REE-PPR-S028-01</v>
          </cell>
        </row>
        <row r="1677">
          <cell r="A1677" t="str">
            <v>L02-REE-PPR-S139-01</v>
          </cell>
        </row>
        <row r="1678">
          <cell r="A1678" t="str">
            <v>L02-REE-PPR-U1053-01</v>
          </cell>
        </row>
        <row r="1679">
          <cell r="A1679" t="str">
            <v>L02-REE-PPR-S071-01</v>
          </cell>
        </row>
        <row r="1680">
          <cell r="A1680" t="str">
            <v>L02-DCU-DMS-S113-01</v>
          </cell>
        </row>
        <row r="1681">
          <cell r="A1681" t="str">
            <v>L02-DCU-DMS-S139-03</v>
          </cell>
        </row>
        <row r="1682">
          <cell r="A1682" t="str">
            <v>L02-DCU-DMS-S109-01</v>
          </cell>
        </row>
        <row r="1683">
          <cell r="A1683" t="str">
            <v>L02-DCU-DMS-S053-01</v>
          </cell>
        </row>
        <row r="1684">
          <cell r="A1684" t="str">
            <v>L02-DCU-DMS-S110-01</v>
          </cell>
        </row>
        <row r="1685">
          <cell r="A1685" t="str">
            <v>L02-IPA-GW9-S056-03</v>
          </cell>
        </row>
        <row r="1686">
          <cell r="A1686" t="str">
            <v>L02-IPA-GW9-S113-02</v>
          </cell>
        </row>
        <row r="1687">
          <cell r="A1687" t="str">
            <v>L02-IPA-GW9-S114-01</v>
          </cell>
        </row>
        <row r="1688">
          <cell r="A1688" t="str">
            <v>L02-IPA-GW9-S114-02</v>
          </cell>
        </row>
        <row r="1689">
          <cell r="A1689" t="str">
            <v>L02-IPA-GW9-S139-03</v>
          </cell>
        </row>
        <row r="1690">
          <cell r="A1690" t="str">
            <v>L02-DCU-DMS-S036-02</v>
          </cell>
        </row>
        <row r="1691">
          <cell r="A1691" t="str">
            <v>L02-DCU-DMS-S113-05</v>
          </cell>
        </row>
        <row r="1692">
          <cell r="A1692" t="str">
            <v>L02-DCU-DMS-S085-34</v>
          </cell>
        </row>
        <row r="1693">
          <cell r="A1693" t="str">
            <v>L02-DCU-DMS-S071-01</v>
          </cell>
        </row>
        <row r="1694">
          <cell r="A1694" t="str">
            <v>L02-DCU-DMS-S139-02</v>
          </cell>
        </row>
        <row r="1695">
          <cell r="A1695" t="str">
            <v>L02-DCU-DMS-S010-02</v>
          </cell>
        </row>
        <row r="1696">
          <cell r="A1696" t="str">
            <v>L02-DCU-DMS-S092-01</v>
          </cell>
        </row>
        <row r="1697">
          <cell r="A1697" t="str">
            <v>L02-DCU-DMS-S021-02</v>
          </cell>
        </row>
        <row r="1698">
          <cell r="A1698" t="str">
            <v>L02-DCU-DMS-S142-01</v>
          </cell>
        </row>
        <row r="1699">
          <cell r="A1699" t="str">
            <v>L02-DCU-DMS-S053-02</v>
          </cell>
        </row>
        <row r="1700">
          <cell r="A1700" t="str">
            <v>L02-DCU-DMS-S116-01</v>
          </cell>
        </row>
        <row r="1701">
          <cell r="A1701" t="str">
            <v>L02-DCU-DMS-S021-01</v>
          </cell>
        </row>
        <row r="1702">
          <cell r="A1702" t="str">
            <v>L02-DCU-DMS-S056-05</v>
          </cell>
        </row>
        <row r="1703">
          <cell r="A1703" t="str">
            <v>L02-CIR-CIR-C001-05</v>
          </cell>
        </row>
        <row r="1704">
          <cell r="A1704" t="str">
            <v>L02-DCU-CIR-C001-06</v>
          </cell>
        </row>
        <row r="1705">
          <cell r="A1705" t="str">
            <v>L02-PON-CIR-C001-01</v>
          </cell>
        </row>
        <row r="1706">
          <cell r="A1706" t="str">
            <v>L02-THR-RPM-S081-01</v>
          </cell>
        </row>
        <row r="1707">
          <cell r="A1707" t="str">
            <v>L02-THR-CIR-C001-02</v>
          </cell>
        </row>
        <row r="1708">
          <cell r="A1708" t="str">
            <v>L02-THR-CIR-C001-02</v>
          </cell>
        </row>
        <row r="1709">
          <cell r="A1709" t="str">
            <v>L02-DCU-CIR-C001-10</v>
          </cell>
        </row>
        <row r="1710">
          <cell r="A1710" t="str">
            <v>L02-DCU-CIR-C001-01</v>
          </cell>
        </row>
        <row r="1711">
          <cell r="A1711" t="str">
            <v>L02-CIR-CIR-C001-05</v>
          </cell>
        </row>
        <row r="1712">
          <cell r="A1712" t="str">
            <v>L02-CIR-CIR-C001-05</v>
          </cell>
        </row>
        <row r="1713">
          <cell r="A1713" t="str">
            <v>L02-DCU-DMS-S089-01</v>
          </cell>
        </row>
        <row r="1714">
          <cell r="A1714" t="str">
            <v>L02-DCU-DMS-S089-02</v>
          </cell>
        </row>
        <row r="1715">
          <cell r="A1715" t="str">
            <v>L02-DCU-CIR-C001-05</v>
          </cell>
        </row>
        <row r="1716">
          <cell r="A1716" t="str">
            <v>L02-DCU-CIR-C001-05</v>
          </cell>
        </row>
        <row r="1717">
          <cell r="A1717" t="str">
            <v>L02-DCU-DMS-S072-01</v>
          </cell>
        </row>
        <row r="1718">
          <cell r="A1718" t="str">
            <v>L02-DCU-CIR-C001-07</v>
          </cell>
        </row>
        <row r="1719">
          <cell r="A1719" t="str">
            <v>L02-DCU-DMS-S032-01</v>
          </cell>
        </row>
        <row r="1720">
          <cell r="A1720" t="str">
            <v>L02-CIR-CIR-C008-05</v>
          </cell>
        </row>
        <row r="1721">
          <cell r="A1721" t="str">
            <v>L02-CIR-CIR-C006-03</v>
          </cell>
        </row>
        <row r="1722">
          <cell r="A1722" t="str">
            <v>L02-IPA-SHS-S022-01</v>
          </cell>
        </row>
        <row r="1723">
          <cell r="A1723" t="str">
            <v>L02-REE-PPR-U1057-01</v>
          </cell>
        </row>
        <row r="1724">
          <cell r="A1724" t="str">
            <v>L02-CIR-CIR-C001-12</v>
          </cell>
        </row>
        <row r="1725">
          <cell r="A1725" t="str">
            <v>L02-DCU-DMS-S085-33</v>
          </cell>
        </row>
        <row r="1726">
          <cell r="A1726" t="str">
            <v>L02-DCU-DMS-S139-07</v>
          </cell>
        </row>
        <row r="1727">
          <cell r="A1727" t="str">
            <v>L02-DCU-CIR-C001-05</v>
          </cell>
        </row>
        <row r="1728">
          <cell r="A1728" t="str">
            <v>L02-DCU-CIR-C001-05</v>
          </cell>
        </row>
        <row r="1729">
          <cell r="A1729" t="str">
            <v>L02-DCU-CIR-C001-11</v>
          </cell>
        </row>
        <row r="1730">
          <cell r="A1730" t="str">
            <v>L02-THE-DOT-L004-03</v>
          </cell>
        </row>
        <row r="1731">
          <cell r="A1731" t="str">
            <v>L02-DCU-DMS-S139-04</v>
          </cell>
        </row>
        <row r="1732">
          <cell r="A1732" t="str">
            <v>L02-HOS-DOE-S109-02</v>
          </cell>
        </row>
        <row r="1733">
          <cell r="A1733" t="str">
            <v>L02-HOS-DOE-L015-04</v>
          </cell>
        </row>
        <row r="1734">
          <cell r="A1734" t="str">
            <v>L02-THR-RPM-S114-02</v>
          </cell>
        </row>
        <row r="1735">
          <cell r="A1735" t="str">
            <v>L02-THR-RPM-U1654-01</v>
          </cell>
        </row>
        <row r="1736">
          <cell r="A1736" t="str">
            <v>L02-THR-RPM-S081-01</v>
          </cell>
        </row>
        <row r="1737">
          <cell r="A1737" t="str">
            <v>L02-THR-RPM-S114-02</v>
          </cell>
        </row>
        <row r="1738">
          <cell r="A1738" t="str">
            <v>L02-DCU-DMS-U1360-01</v>
          </cell>
        </row>
        <row r="1739">
          <cell r="A1739" t="str">
            <v>L02-DCU-DMS-U0267-01</v>
          </cell>
        </row>
        <row r="1740">
          <cell r="A1740" t="str">
            <v>L02-DCU-CIR-C001-11</v>
          </cell>
        </row>
        <row r="1741">
          <cell r="A1741" t="str">
            <v>L02-CIR-CIR-C001-06</v>
          </cell>
        </row>
        <row r="1742">
          <cell r="A1742" t="str">
            <v>L02-DCU-CIR-C001-02</v>
          </cell>
        </row>
        <row r="1743">
          <cell r="A1743" t="str">
            <v>L02-CIR-CIR-C001-11</v>
          </cell>
        </row>
        <row r="1744">
          <cell r="A1744" t="str">
            <v>L02-CIR-CIR-C001-09</v>
          </cell>
        </row>
        <row r="1745">
          <cell r="A1745" t="str">
            <v>L02-CIR-CIR-C001-01</v>
          </cell>
        </row>
        <row r="1746">
          <cell r="A1746" t="str">
            <v>L02-EDU-ETC-S120-05</v>
          </cell>
        </row>
        <row r="1747">
          <cell r="A1747" t="str">
            <v>L02-CIR-CIR-C001-15</v>
          </cell>
        </row>
        <row r="1748">
          <cell r="A1748" t="str">
            <v>L02-EDU-ETC-S120-06</v>
          </cell>
        </row>
        <row r="1749">
          <cell r="A1749" t="str">
            <v>L02-DCU-CIR-C001-02</v>
          </cell>
        </row>
        <row r="1750">
          <cell r="A1750" t="str">
            <v>L02-DCU-DMS-S060-01</v>
          </cell>
        </row>
        <row r="1751">
          <cell r="A1751" t="str">
            <v>L02-DCU-DMS-S089-04</v>
          </cell>
        </row>
        <row r="1752">
          <cell r="A1752" t="str">
            <v>L02-DCU-DMS-S085-28</v>
          </cell>
        </row>
        <row r="1753">
          <cell r="A1753" t="str">
            <v>L02-CIR-CIR-C001-03</v>
          </cell>
        </row>
        <row r="1754">
          <cell r="A1754" t="str">
            <v>L02-HOS-DOE-L015-01</v>
          </cell>
        </row>
        <row r="1755">
          <cell r="A1755" t="str">
            <v>L02-CIR-CIR-C001-16</v>
          </cell>
        </row>
        <row r="1756">
          <cell r="A1756" t="str">
            <v>L02-THR-CIR-C001-04</v>
          </cell>
        </row>
        <row r="1757">
          <cell r="A1757" t="str">
            <v>L02-THR-RPM-U0763-01</v>
          </cell>
        </row>
        <row r="1758">
          <cell r="A1758" t="str">
            <v>L02-PON-CIR-C001-03</v>
          </cell>
        </row>
        <row r="1759">
          <cell r="A1759" t="str">
            <v>L02-IPA-GW9-S014-08</v>
          </cell>
        </row>
        <row r="1760">
          <cell r="A1760" t="str">
            <v>L02-REE-PPR-S001-02</v>
          </cell>
        </row>
        <row r="1761">
          <cell r="A1761" t="str">
            <v>L02-REE-PPR-S044-02</v>
          </cell>
        </row>
        <row r="1762">
          <cell r="A1762" t="str">
            <v>L02-PON-ACC-L008-13</v>
          </cell>
        </row>
        <row r="1763">
          <cell r="A1763" t="str">
            <v>L02-THR-RPM-S099-01</v>
          </cell>
        </row>
        <row r="1764">
          <cell r="A1764" t="str">
            <v>L02-PON-ACC-L008-19</v>
          </cell>
        </row>
        <row r="1765">
          <cell r="A1765" t="str">
            <v>L02-PON-ACC-S056-02</v>
          </cell>
        </row>
        <row r="1766">
          <cell r="A1766" t="str">
            <v>L02-PON-ACC-U0134-01</v>
          </cell>
        </row>
        <row r="1767">
          <cell r="A1767" t="str">
            <v>L02-PON-ACC-L008-02</v>
          </cell>
        </row>
        <row r="1768">
          <cell r="A1768" t="str">
            <v>L02-CIR-CIR-C001-15</v>
          </cell>
        </row>
        <row r="1769">
          <cell r="A1769" t="str">
            <v>L02-PON-ACC-L008-05</v>
          </cell>
        </row>
        <row r="1770">
          <cell r="A1770" t="str">
            <v>L02-IPA-GW9-S094-01</v>
          </cell>
        </row>
        <row r="1771">
          <cell r="A1771" t="str">
            <v>L02-IPA-GW9-S014-10</v>
          </cell>
        </row>
        <row r="1772">
          <cell r="A1772" t="str">
            <v>L02-IPA-GW9-S019-01</v>
          </cell>
        </row>
        <row r="1773">
          <cell r="A1773" t="str">
            <v>L02-IPA-GW9-S013-02</v>
          </cell>
        </row>
        <row r="1774">
          <cell r="A1774" t="str">
            <v>L02-IPA-GW9-S057-01</v>
          </cell>
        </row>
        <row r="1775">
          <cell r="A1775" t="str">
            <v>L02-IPA-GW9-S152-01</v>
          </cell>
        </row>
        <row r="1776">
          <cell r="A1776" t="str">
            <v>L02-IPA-GW9-S014-11</v>
          </cell>
        </row>
        <row r="1777">
          <cell r="A1777" t="str">
            <v>L02-IPA-GW9-S110-01</v>
          </cell>
        </row>
        <row r="1778">
          <cell r="A1778" t="str">
            <v>L02-IPA-SHS-S032-01</v>
          </cell>
        </row>
        <row r="1779">
          <cell r="A1779" t="str">
            <v>L02-IPA-GW9-S014-12</v>
          </cell>
        </row>
        <row r="1780">
          <cell r="A1780" t="str">
            <v>L02-IPA-GW9-S060-01</v>
          </cell>
        </row>
        <row r="1781">
          <cell r="A1781" t="str">
            <v>L02-PON-ACC-U0124-01</v>
          </cell>
        </row>
        <row r="1782">
          <cell r="A1782" t="str">
            <v>L02-PON-ACC-S113-03</v>
          </cell>
        </row>
        <row r="1783">
          <cell r="A1783" t="str">
            <v>L02-DCU-DMS-S077-01</v>
          </cell>
        </row>
        <row r="1784">
          <cell r="A1784" t="str">
            <v>L02-DCU-DMS-S107-01</v>
          </cell>
        </row>
        <row r="1785">
          <cell r="A1785" t="str">
            <v>L02-REE-PPR-S111-01</v>
          </cell>
        </row>
        <row r="1786">
          <cell r="A1786" t="str">
            <v>L02-DCU-DMS-S053-05</v>
          </cell>
        </row>
        <row r="1787">
          <cell r="A1787" t="str">
            <v>L02-DCU-DMS-S053-04</v>
          </cell>
        </row>
        <row r="1788">
          <cell r="A1788" t="str">
            <v>L02-THE-DOT-L004-03</v>
          </cell>
        </row>
        <row r="1789">
          <cell r="A1789" t="str">
            <v>L02-DCU-DMS-S139-04</v>
          </cell>
        </row>
        <row r="1790">
          <cell r="A1790" t="str">
            <v>L02-DCU-DMS-S077-02</v>
          </cell>
        </row>
        <row r="1791">
          <cell r="A1791" t="str">
            <v>L02-REE-PPR-S044-01</v>
          </cell>
        </row>
        <row r="1792">
          <cell r="A1792" t="str">
            <v>L02-REE-PPR-S001-01</v>
          </cell>
        </row>
        <row r="1793">
          <cell r="A1793" t="str">
            <v>L02-DCU-DMS-S085-08</v>
          </cell>
        </row>
        <row r="1794">
          <cell r="A1794" t="str">
            <v>L02-DCU-DMS-S085-06</v>
          </cell>
        </row>
        <row r="1795">
          <cell r="A1795" t="str">
            <v>L02-DCU-DMS-S085-04</v>
          </cell>
        </row>
        <row r="1796">
          <cell r="A1796" t="str">
            <v>L02-DCU-DMS-S089-02</v>
          </cell>
        </row>
        <row r="1797">
          <cell r="A1797" t="str">
            <v>L02-DCU-DMS-S139-01</v>
          </cell>
        </row>
        <row r="1798">
          <cell r="A1798" t="str">
            <v>L02-DCU-DMS-S085-19</v>
          </cell>
        </row>
        <row r="1799">
          <cell r="A1799" t="str">
            <v>L02-IPA-GW9-S044-18</v>
          </cell>
        </row>
        <row r="1800">
          <cell r="A1800" t="str">
            <v>L02-DCU-DMS-S089-01</v>
          </cell>
        </row>
        <row r="1801">
          <cell r="A1801" t="str">
            <v>L02-DCU-DMS-S056-01</v>
          </cell>
        </row>
        <row r="1802">
          <cell r="A1802" t="str">
            <v>L02-DCU-DMS-S085-13</v>
          </cell>
        </row>
        <row r="1803">
          <cell r="A1803" t="str">
            <v>L02-DCU-DMS-S085-25</v>
          </cell>
        </row>
        <row r="1804">
          <cell r="A1804" t="str">
            <v>L02-DCU-DMS-S085-26</v>
          </cell>
        </row>
        <row r="1805">
          <cell r="A1805" t="str">
            <v>L02-DCU-DMS-S085-15</v>
          </cell>
        </row>
        <row r="1806">
          <cell r="A1806" t="str">
            <v>L02-DCU-DMS-S089-06</v>
          </cell>
        </row>
        <row r="1807">
          <cell r="A1807" t="str">
            <v>L02-DCU-DMS-S114-01</v>
          </cell>
        </row>
        <row r="1808">
          <cell r="A1808" t="str">
            <v>L02-PON-ACC-L032-02</v>
          </cell>
        </row>
        <row r="1809">
          <cell r="A1809" t="str">
            <v>L02-PON-ACC-S113-01</v>
          </cell>
        </row>
        <row r="1810">
          <cell r="A1810" t="str">
            <v>L02-PON-ACC-U0125-01</v>
          </cell>
        </row>
        <row r="1811">
          <cell r="A1811" t="str">
            <v>L02-HOS-DOE-L015-04</v>
          </cell>
        </row>
        <row r="1812">
          <cell r="A1812" t="str">
            <v>L02-HOS-DOE-L015-04</v>
          </cell>
        </row>
        <row r="1813">
          <cell r="A1813" t="str">
            <v>L02-HOS-DOE-S109-02</v>
          </cell>
        </row>
        <row r="1814">
          <cell r="A1814" t="str">
            <v>L02-HOS-DOE-S109-02</v>
          </cell>
        </row>
        <row r="1815">
          <cell r="A1815" t="str">
            <v>L02-HOS-DOE-S095-01</v>
          </cell>
        </row>
        <row r="1816">
          <cell r="A1816" t="str">
            <v>L02-HOS-DOE-L015-03</v>
          </cell>
        </row>
        <row r="1817">
          <cell r="A1817" t="str">
            <v>L02-CIR-CIR-C001-13</v>
          </cell>
        </row>
        <row r="1818">
          <cell r="A1818" t="str">
            <v>L02-THR-RPM-U0765-01</v>
          </cell>
        </row>
        <row r="1819">
          <cell r="A1819" t="str">
            <v>L02-THR-RPM-S139-01</v>
          </cell>
        </row>
        <row r="1820">
          <cell r="A1820" t="str">
            <v>L02-THR-RPM-S153-01</v>
          </cell>
        </row>
        <row r="1821">
          <cell r="A1821" t="str">
            <v>L02-THR-RPM-S139-03</v>
          </cell>
        </row>
        <row r="1822">
          <cell r="A1822" t="str">
            <v>L02-THR-RPM-S146-01</v>
          </cell>
        </row>
        <row r="1823">
          <cell r="A1823" t="str">
            <v>L02-THR-RPM-S025-01</v>
          </cell>
        </row>
        <row r="1824">
          <cell r="A1824" t="str">
            <v>L02-THR-RPM-S025-01</v>
          </cell>
        </row>
        <row r="1825">
          <cell r="A1825" t="str">
            <v>L02-THR-RPM-U0769-01</v>
          </cell>
        </row>
        <row r="1826">
          <cell r="A1826" t="str">
            <v>L02-THR-RPM-S022-01</v>
          </cell>
        </row>
        <row r="1827">
          <cell r="A1827" t="str">
            <v>L02-THR-RPM-U0762-01</v>
          </cell>
        </row>
        <row r="1828">
          <cell r="A1828" t="str">
            <v>L02-PON-ACC-L008-28</v>
          </cell>
        </row>
        <row r="1829">
          <cell r="A1829" t="str">
            <v>L02-THR-RPM-S037-01</v>
          </cell>
        </row>
        <row r="1830">
          <cell r="A1830" t="str">
            <v>L02-THR-RPM-S075-03</v>
          </cell>
        </row>
        <row r="1831">
          <cell r="A1831" t="str">
            <v>L02-DCU-DMS-U1108-01</v>
          </cell>
        </row>
        <row r="1832">
          <cell r="A1832" t="str">
            <v>L02-IPA-GW9-S014-14</v>
          </cell>
        </row>
        <row r="1833">
          <cell r="A1833" t="str">
            <v>L02-IPA-GW9-S014-13</v>
          </cell>
        </row>
        <row r="1834">
          <cell r="A1834" t="str">
            <v>L02-DCU-DMS-S095-01</v>
          </cell>
        </row>
        <row r="1835">
          <cell r="A1835" t="str">
            <v>L02-REE-PPR-U1057-01</v>
          </cell>
        </row>
        <row r="1836">
          <cell r="A1836" t="str">
            <v>L02-PON-ACC-L008-26</v>
          </cell>
        </row>
        <row r="1837">
          <cell r="A1837" t="str">
            <v>L02-PON-ACC-U0126-01</v>
          </cell>
        </row>
        <row r="1838">
          <cell r="A1838" t="str">
            <v>L02-DCU-DMS-S085-08</v>
          </cell>
        </row>
        <row r="1839">
          <cell r="A1839" t="str">
            <v>L02-DCU-DMS-S023-01</v>
          </cell>
        </row>
        <row r="1840">
          <cell r="A1840" t="str">
            <v>L02-DCU-DMS-S139-07</v>
          </cell>
        </row>
        <row r="1841">
          <cell r="A1841" t="str">
            <v>L02-DCU-DMS-S139-07</v>
          </cell>
        </row>
        <row r="1842">
          <cell r="A1842" t="str">
            <v>L02-DCU-DMS-S089-06</v>
          </cell>
        </row>
        <row r="1843">
          <cell r="A1843" t="str">
            <v>L02-DCU-DMS-S085-20</v>
          </cell>
        </row>
        <row r="1844">
          <cell r="A1844" t="str">
            <v>L02-THR-RPM-U1654-01</v>
          </cell>
        </row>
        <row r="1845">
          <cell r="A1845" t="str">
            <v>L02-THR-RPM-U1654-01</v>
          </cell>
        </row>
        <row r="1846">
          <cell r="A1846" t="str">
            <v>L02-PON-ACC-L008-11</v>
          </cell>
        </row>
        <row r="1847">
          <cell r="A1847" t="str">
            <v>L02-REE-PPR-S063-01</v>
          </cell>
        </row>
        <row r="1848">
          <cell r="A1848" t="str">
            <v>L02-CIR-CIR-C001-13</v>
          </cell>
        </row>
        <row r="1849">
          <cell r="A1849" t="str">
            <v>L02-CIR-CIR-C001-01</v>
          </cell>
        </row>
        <row r="1850">
          <cell r="A1850" t="str">
            <v>L02-THR-RPM-S075-02</v>
          </cell>
        </row>
        <row r="1851">
          <cell r="A1851" t="str">
            <v>L02-HOS-DOE-L015-02</v>
          </cell>
        </row>
        <row r="1852">
          <cell r="A1852" t="str">
            <v>L02-EDU-ETC-U0964-01</v>
          </cell>
        </row>
        <row r="1853">
          <cell r="A1853" t="str">
            <v>L02-DCU-DMS-S085-32</v>
          </cell>
        </row>
        <row r="1854">
          <cell r="A1854" t="str">
            <v>L02-DCU-DMS-S085-23</v>
          </cell>
        </row>
        <row r="1855">
          <cell r="A1855" t="str">
            <v>L02-DCU-CIR-C001-01</v>
          </cell>
        </row>
        <row r="1856">
          <cell r="A1856" t="str">
            <v>L02-DCU-DMS-S085-18</v>
          </cell>
        </row>
        <row r="1857">
          <cell r="A1857" t="str">
            <v>L02-IPA-GW9-S068-01</v>
          </cell>
        </row>
        <row r="1858">
          <cell r="A1858" t="str">
            <v>L02-IPA-GW9-S076-01</v>
          </cell>
        </row>
        <row r="1859">
          <cell r="A1859" t="str">
            <v>L02-CIR-CIR-C008-02</v>
          </cell>
        </row>
        <row r="1860">
          <cell r="A1860" t="str">
            <v>L02-EDU-ETC-U0963-01</v>
          </cell>
        </row>
        <row r="1861">
          <cell r="A1861" t="str">
            <v>L02-EDU-ETC-S063-02</v>
          </cell>
        </row>
        <row r="1862">
          <cell r="A1862" t="str">
            <v>L02-EDU-ETC-S139-02</v>
          </cell>
        </row>
        <row r="1863">
          <cell r="A1863" t="str">
            <v>L02-EDU-CIR-C001-02</v>
          </cell>
        </row>
        <row r="1864">
          <cell r="A1864" t="str">
            <v>L02-EDU-ETC-S139-01</v>
          </cell>
        </row>
        <row r="1865">
          <cell r="A1865" t="str">
            <v>L02-EDU-ETC-S063-01</v>
          </cell>
        </row>
        <row r="1866">
          <cell r="A1866" t="str">
            <v>L02-EDU-CIR-C001-01</v>
          </cell>
        </row>
        <row r="1867">
          <cell r="A1867" t="str">
            <v>L02-CIR-CIR-C001-01</v>
          </cell>
        </row>
        <row r="1868">
          <cell r="A1868" t="str">
            <v>L02-EDU-ETC-L048-01</v>
          </cell>
        </row>
        <row r="1869">
          <cell r="A1869" t="str">
            <v>L02-CIR-CIR-C008-03</v>
          </cell>
        </row>
        <row r="1870">
          <cell r="A1870" t="str">
            <v>L02-REE-PPR-U1057-01</v>
          </cell>
        </row>
        <row r="1871">
          <cell r="A1871" t="str">
            <v>L02-IPA-SHS-S012-01</v>
          </cell>
        </row>
        <row r="1872">
          <cell r="A1872" t="str">
            <v>L02-CIR-CIR-C006-04</v>
          </cell>
        </row>
        <row r="1873">
          <cell r="A1873" t="str">
            <v>L02-PON-ACC-L029-06</v>
          </cell>
        </row>
        <row r="1874">
          <cell r="A1874" t="str">
            <v>L02-CIR-CIR-C001-07</v>
          </cell>
        </row>
        <row r="1875">
          <cell r="A1875" t="str">
            <v>L02-CIR-CIR-C006-07</v>
          </cell>
        </row>
        <row r="1876">
          <cell r="A1876" t="str">
            <v>L02-CIR-CIR-C006-01</v>
          </cell>
        </row>
        <row r="1877">
          <cell r="A1877" t="str">
            <v>L02-REE-PPR-S023-01</v>
          </cell>
        </row>
        <row r="1878">
          <cell r="A1878" t="str">
            <v>L02-THE-DOT-S115-04</v>
          </cell>
        </row>
        <row r="1879">
          <cell r="A1879" t="str">
            <v>L02-REE-PPR-S113-03</v>
          </cell>
        </row>
        <row r="1880">
          <cell r="A1880" t="str">
            <v>L02-HOS-DOE-U0697-01</v>
          </cell>
        </row>
        <row r="1881">
          <cell r="A1881" t="str">
            <v>L02-CIR-CIR-C006-05</v>
          </cell>
        </row>
        <row r="1882">
          <cell r="A1882" t="str">
            <v>L02-PON-ACC-L008-06</v>
          </cell>
        </row>
        <row r="1883">
          <cell r="A1883" t="str">
            <v>L02-CIR-CIR-C008-06</v>
          </cell>
        </row>
        <row r="1884">
          <cell r="A1884" t="str">
            <v>L02-CIR-CIR-C008-01</v>
          </cell>
        </row>
        <row r="1885">
          <cell r="A1885" t="str">
            <v>L02-CIR-CIR-C001-10</v>
          </cell>
        </row>
        <row r="1886">
          <cell r="A1886" t="str">
            <v>L02-DCU-DMS-U1360-01</v>
          </cell>
        </row>
        <row r="1887">
          <cell r="A1887" t="str">
            <v>L02-CIR-CIR-C001-08</v>
          </cell>
        </row>
        <row r="1888">
          <cell r="A1888" t="str">
            <v>L02-DCU-DMS-S039-01</v>
          </cell>
        </row>
        <row r="1889">
          <cell r="A1889" t="str">
            <v>L02-CIR-CIR-C006-02</v>
          </cell>
        </row>
        <row r="1890">
          <cell r="A1890" t="str">
            <v>L02-DCU-DMS-S022-01</v>
          </cell>
        </row>
        <row r="1891">
          <cell r="A1891" t="str">
            <v>L02-IPA-SHS-S038-01</v>
          </cell>
        </row>
        <row r="1892">
          <cell r="A1892" t="str">
            <v>L02-DCU-CIR-C001-11</v>
          </cell>
        </row>
        <row r="1893">
          <cell r="A1893" t="str">
            <v>L02-REE-PPR-S036-01</v>
          </cell>
        </row>
        <row r="1894">
          <cell r="A1894" t="str">
            <v>L02-REE-PPR-S114-02</v>
          </cell>
        </row>
        <row r="1895">
          <cell r="A1895" t="str">
            <v>L02-REE-PPR-S028-02</v>
          </cell>
        </row>
        <row r="1896">
          <cell r="A1896" t="str">
            <v>L02-REE-CIR-C001-01</v>
          </cell>
        </row>
        <row r="1897">
          <cell r="A1897" t="str">
            <v>L02-DCU-DMS-U1207-01</v>
          </cell>
        </row>
        <row r="1898">
          <cell r="A1898" t="str">
            <v>L02-THE-DOT-S050-01</v>
          </cell>
        </row>
        <row r="1899">
          <cell r="A1899" t="str">
            <v>L02-IPA-SHS-S038-01</v>
          </cell>
        </row>
        <row r="1900">
          <cell r="A1900" t="str">
            <v>L02-HUB-ITH-S118-10</v>
          </cell>
        </row>
        <row r="1901">
          <cell r="A1901" t="str">
            <v>L02-CIR-CIR-C006-03</v>
          </cell>
        </row>
        <row r="1902">
          <cell r="A1902" t="str">
            <v>L02-HOS-CIR-C001-01</v>
          </cell>
        </row>
        <row r="1903">
          <cell r="A1903" t="str">
            <v>L02-HOS-DOE-U0696-01</v>
          </cell>
        </row>
        <row r="1904">
          <cell r="A1904" t="str">
            <v>L02-CIR-CIR-C008-04</v>
          </cell>
        </row>
        <row r="1905">
          <cell r="A1905" t="str">
            <v>L02-HUB-ITH-S118-11</v>
          </cell>
        </row>
        <row r="1906">
          <cell r="A1906" t="str">
            <v>L02-CIR-CIR-C006-06</v>
          </cell>
        </row>
        <row r="1907">
          <cell r="A1907" t="str">
            <v>L02-PON-ACC-U0133-01</v>
          </cell>
        </row>
        <row r="1908">
          <cell r="A1908" t="str">
            <v>L02-HOS-DOE-S139-01</v>
          </cell>
        </row>
        <row r="1909">
          <cell r="A1909" t="str">
            <v>L02-PON-ACC-L008-16</v>
          </cell>
        </row>
        <row r="1910">
          <cell r="A1910" t="str">
            <v>L02-PON-ACC-L008-15</v>
          </cell>
        </row>
        <row r="1911">
          <cell r="A1911" t="str">
            <v>L02-HOS-DOE-S139-06</v>
          </cell>
        </row>
        <row r="1912">
          <cell r="A1912" t="str">
            <v>L02-REE-PPR-S139-03</v>
          </cell>
        </row>
        <row r="1913">
          <cell r="A1913" t="str">
            <v>L02-REE-PPR-S028-03</v>
          </cell>
        </row>
        <row r="1914">
          <cell r="A1914" t="str">
            <v>L02-IPA-GW9-S005-01</v>
          </cell>
        </row>
        <row r="1915">
          <cell r="A1915" t="str">
            <v>L02-CIR-CIR-C001-14</v>
          </cell>
        </row>
        <row r="1916">
          <cell r="A1916" t="str">
            <v>L02-IPA-GW9-S084-01</v>
          </cell>
        </row>
        <row r="1917">
          <cell r="A1917" t="str">
            <v>L02-HUB-ITH-S118-01</v>
          </cell>
        </row>
        <row r="1918">
          <cell r="A1918" t="str">
            <v>L02-DCU-DMS-S025-01</v>
          </cell>
        </row>
        <row r="1919">
          <cell r="A1919" t="str">
            <v>L02-THE-DOT-U0556-07</v>
          </cell>
        </row>
        <row r="1920">
          <cell r="A1920" t="str">
            <v>L02-THE-DOT-S078-02</v>
          </cell>
        </row>
        <row r="1921">
          <cell r="A1921" t="str">
            <v>L02-THE-DOT-U0555-08</v>
          </cell>
        </row>
        <row r="1922">
          <cell r="A1922" t="str">
            <v>L02-THE-DOT-U0536-01</v>
          </cell>
        </row>
        <row r="1923">
          <cell r="A1923" t="str">
            <v>L02-THE-DOT-U0555-09</v>
          </cell>
        </row>
        <row r="1924">
          <cell r="A1924" t="str">
            <v>L02-THE-DOT-S078-04</v>
          </cell>
        </row>
        <row r="1925">
          <cell r="A1925" t="str">
            <v>L02-THE-IVS-U0575-01</v>
          </cell>
        </row>
        <row r="1926">
          <cell r="A1926" t="str">
            <v>L02-THE-DOT-U0536-02</v>
          </cell>
        </row>
        <row r="1927">
          <cell r="A1927" t="str">
            <v>L02-THE-DOT-U0556-06</v>
          </cell>
        </row>
        <row r="1928">
          <cell r="A1928" t="str">
            <v>L02-THE-DOT-U0555-07</v>
          </cell>
        </row>
        <row r="1929">
          <cell r="A1929" t="str">
            <v>L02-THE-DOT-S078-16</v>
          </cell>
        </row>
        <row r="1930">
          <cell r="A1930" t="str">
            <v>L02-THE-DOT-U0556-05</v>
          </cell>
        </row>
        <row r="1931">
          <cell r="A1931" t="str">
            <v>L02-THE-DOT-S078-13</v>
          </cell>
        </row>
        <row r="1932">
          <cell r="A1932" t="str">
            <v>L02-THE-DOT-U0555-06</v>
          </cell>
        </row>
        <row r="1933">
          <cell r="A1933" t="str">
            <v>L02-THE-DOT-S078-05</v>
          </cell>
        </row>
        <row r="1934">
          <cell r="A1934" t="str">
            <v>L02-THE-DOT-U0536-07</v>
          </cell>
        </row>
        <row r="1935">
          <cell r="A1935" t="str">
            <v>L02-THE-DOT-U0535-04</v>
          </cell>
        </row>
        <row r="1936">
          <cell r="A1936" t="str">
            <v>L02-THE-DOT-U0536-06</v>
          </cell>
        </row>
        <row r="1937">
          <cell r="A1937" t="str">
            <v>L02-THE-DOT-U0535-03</v>
          </cell>
        </row>
        <row r="1938">
          <cell r="A1938" t="str">
            <v>L02-THE-DOT-U0536-05</v>
          </cell>
        </row>
        <row r="1939">
          <cell r="A1939" t="str">
            <v>L02-THE-DOT-U0535-02</v>
          </cell>
        </row>
        <row r="1940">
          <cell r="A1940" t="str">
            <v>L02-THE-DOT-U0536-04</v>
          </cell>
        </row>
        <row r="1941">
          <cell r="A1941" t="str">
            <v>L02-THE-DOT-S004-07</v>
          </cell>
        </row>
        <row r="1942">
          <cell r="A1942" t="str">
            <v>L02-THE-DOT-U0535-07</v>
          </cell>
        </row>
        <row r="1943">
          <cell r="A1943" t="str">
            <v>L02-THE-IVS-S004-02</v>
          </cell>
        </row>
        <row r="1944">
          <cell r="A1944" t="str">
            <v>L02-THE-DOT-U0535-01</v>
          </cell>
        </row>
        <row r="1945">
          <cell r="A1945" t="str">
            <v>L02-THE-DOT-U0556-03</v>
          </cell>
        </row>
        <row r="1946">
          <cell r="A1946" t="str">
            <v>L02-THE-DOT-U0555-04</v>
          </cell>
        </row>
        <row r="1947">
          <cell r="A1947" t="str">
            <v>L02-THE-CRU-U0603-03</v>
          </cell>
        </row>
        <row r="1948">
          <cell r="A1948" t="str">
            <v>L02-THE-ABI-S115-03</v>
          </cell>
        </row>
        <row r="1949">
          <cell r="A1949" t="str">
            <v>L02-THE-DOT-U0549-01</v>
          </cell>
        </row>
        <row r="1950">
          <cell r="A1950" t="str">
            <v>L02-THE-END-U0595-01</v>
          </cell>
        </row>
        <row r="1951">
          <cell r="A1951" t="str">
            <v>L02-THE-DOT-S004-10</v>
          </cell>
        </row>
        <row r="1952">
          <cell r="A1952" t="str">
            <v>L02-THE-DOT-S066-01</v>
          </cell>
        </row>
        <row r="1953">
          <cell r="A1953" t="str">
            <v>L02-THE-DOT-U0545-01</v>
          </cell>
        </row>
        <row r="1954">
          <cell r="A1954" t="str">
            <v>L02-THE-DOT-U0568-02</v>
          </cell>
        </row>
        <row r="1955">
          <cell r="A1955" t="str">
            <v>L02-THE-DOT-U0568-01</v>
          </cell>
        </row>
        <row r="1956">
          <cell r="A1956" t="str">
            <v>L02-THE-ABI-S115-01</v>
          </cell>
        </row>
        <row r="1957">
          <cell r="A1957" t="str">
            <v>L02-THE-DOT-U0536-03</v>
          </cell>
        </row>
        <row r="1958">
          <cell r="A1958" t="str">
            <v>L02-THE-IVS-U0581-01</v>
          </cell>
        </row>
        <row r="1959">
          <cell r="A1959" t="str">
            <v>L02-THE-IVS-S099-01</v>
          </cell>
        </row>
        <row r="1960">
          <cell r="A1960" t="str">
            <v>L02-THE-DOT-S066-05</v>
          </cell>
        </row>
        <row r="1961">
          <cell r="A1961" t="str">
            <v>L02-THE-DOT-S066-07</v>
          </cell>
        </row>
        <row r="1962">
          <cell r="A1962" t="str">
            <v>L02-THE-DOT-S004-09</v>
          </cell>
        </row>
        <row r="1963">
          <cell r="A1963" t="str">
            <v>L02-THE-DOT-S004-11</v>
          </cell>
        </row>
        <row r="1964">
          <cell r="A1964" t="str">
            <v>L02-THE-DOT-S066-02</v>
          </cell>
        </row>
        <row r="1965">
          <cell r="A1965" t="str">
            <v>L02-THE-DOT-S066-13</v>
          </cell>
        </row>
        <row r="1966">
          <cell r="A1966" t="str">
            <v>L02-THE-DOT-S004-08</v>
          </cell>
        </row>
        <row r="1967">
          <cell r="A1967" t="str">
            <v>L02-THE-DOT-S004-05</v>
          </cell>
        </row>
        <row r="1968">
          <cell r="A1968" t="str">
            <v>L02-THE-DOT-S066-09</v>
          </cell>
        </row>
        <row r="1969">
          <cell r="A1969" t="str">
            <v>L02-THE-DOT-S066-14</v>
          </cell>
        </row>
        <row r="1970">
          <cell r="A1970" t="str">
            <v>L02-THE-END-U0592-01</v>
          </cell>
        </row>
        <row r="1971">
          <cell r="A1971" t="str">
            <v>L02-THE-DOT-U0535-10</v>
          </cell>
        </row>
        <row r="1972">
          <cell r="A1972" t="str">
            <v>L02-THE-DOT-U0534-04</v>
          </cell>
        </row>
        <row r="1973">
          <cell r="A1973" t="str">
            <v>L02-THE-DOT-U0536-10</v>
          </cell>
        </row>
        <row r="1974">
          <cell r="A1974" t="str">
            <v>L02-THE-CRU-U0602-02</v>
          </cell>
        </row>
        <row r="1975">
          <cell r="A1975" t="str">
            <v>L02-THE-CRU-U0605-01</v>
          </cell>
        </row>
        <row r="1976">
          <cell r="A1976" t="str">
            <v>L02-THE-CRU-U0605-12</v>
          </cell>
        </row>
        <row r="1977">
          <cell r="A1977" t="str">
            <v>L02-THE-DOT-S091-01</v>
          </cell>
        </row>
        <row r="1978">
          <cell r="A1978" t="str">
            <v>L02-THE-CRU-S011-02</v>
          </cell>
        </row>
        <row r="1979">
          <cell r="A1979" t="str">
            <v>L02-THE-CRU-U0605-02</v>
          </cell>
        </row>
        <row r="1980">
          <cell r="A1980" t="str">
            <v>L02-THE-CRU-U0605-04</v>
          </cell>
        </row>
        <row r="1981">
          <cell r="A1981" t="str">
            <v>L02-THE-CRU-U0605-03</v>
          </cell>
        </row>
        <row r="1982">
          <cell r="A1982" t="str">
            <v>L02-THE-CRU-S023-02</v>
          </cell>
        </row>
        <row r="1983">
          <cell r="A1983" t="str">
            <v>L02-THE-DOT-S091-02</v>
          </cell>
        </row>
        <row r="1984">
          <cell r="A1984" t="str">
            <v>L02-THE-DOT-S004-01</v>
          </cell>
        </row>
        <row r="1985">
          <cell r="A1985" t="str">
            <v>L02-THE-DOT-S066-03</v>
          </cell>
        </row>
        <row r="1986">
          <cell r="A1986" t="str">
            <v>L02-THE-DOT-S078-06</v>
          </cell>
        </row>
        <row r="1987">
          <cell r="A1987" t="str">
            <v>L02-THE-CRU-U0602-17</v>
          </cell>
        </row>
        <row r="1988">
          <cell r="A1988" t="str">
            <v>L02-THE-DOT-U1441-01</v>
          </cell>
        </row>
        <row r="1989">
          <cell r="A1989" t="str">
            <v>L02-THE-CRU-U0603-01</v>
          </cell>
        </row>
        <row r="1990">
          <cell r="A1990" t="str">
            <v>L02-THE-CRU-S001-01</v>
          </cell>
        </row>
        <row r="1991">
          <cell r="A1991" t="str">
            <v>L02-THE-CRU-S001-02</v>
          </cell>
        </row>
        <row r="1992">
          <cell r="A1992" t="str">
            <v>L02-THE-CRU-U0603-02</v>
          </cell>
        </row>
        <row r="1993">
          <cell r="A1993" t="str">
            <v>L02-THE-MRI-U0573-01</v>
          </cell>
        </row>
        <row r="1994">
          <cell r="A1994" t="str">
            <v>L02-THE-DOT-S100-02</v>
          </cell>
        </row>
        <row r="1995">
          <cell r="A1995" t="str">
            <v>L02-THE-DOT-U0542-01</v>
          </cell>
        </row>
        <row r="1996">
          <cell r="A1996" t="str">
            <v>L02-THE-DOT-U0539-01</v>
          </cell>
        </row>
        <row r="1997">
          <cell r="A1997" t="str">
            <v>L02-THE-IVS-S077-01</v>
          </cell>
        </row>
        <row r="1998">
          <cell r="A1998" t="str">
            <v>L02-THE-END-S037-01</v>
          </cell>
        </row>
        <row r="1999">
          <cell r="A1999" t="str">
            <v>L02-THE-DOT-U0535-05</v>
          </cell>
        </row>
        <row r="2000">
          <cell r="A2000" t="str">
            <v>L02-THE-END-U0593-01</v>
          </cell>
        </row>
        <row r="2001">
          <cell r="A2001" t="str">
            <v>L02-THE-IVS-S037-03</v>
          </cell>
        </row>
        <row r="2002">
          <cell r="A2002" t="str">
            <v>L02-THE-CRU-S092-01</v>
          </cell>
        </row>
        <row r="2003">
          <cell r="A2003" t="str">
            <v>L02-THE-DOT-U0546-01</v>
          </cell>
        </row>
        <row r="2004">
          <cell r="A2004" t="str">
            <v>L02-THE-DOT-U0530-01</v>
          </cell>
        </row>
        <row r="2005">
          <cell r="A2005" t="str">
            <v>L02-THE-DOT-S011-01</v>
          </cell>
        </row>
        <row r="2006">
          <cell r="A2006" t="str">
            <v>L02-THE-DOT-S114-04</v>
          </cell>
        </row>
        <row r="2007">
          <cell r="A2007" t="str">
            <v>L02-THE-ABI-S050-01</v>
          </cell>
        </row>
        <row r="2008">
          <cell r="A2008" t="str">
            <v>L02-THE-DOT-S024-02</v>
          </cell>
        </row>
        <row r="2009">
          <cell r="A2009" t="str">
            <v>L02-THE-DOT-U0538-01</v>
          </cell>
        </row>
        <row r="2010">
          <cell r="A2010" t="str">
            <v>L02-THE-DOT-S078-01</v>
          </cell>
        </row>
        <row r="2011">
          <cell r="A2011" t="str">
            <v>L02-THE-DOT-S078-03</v>
          </cell>
        </row>
        <row r="2012">
          <cell r="A2012" t="str">
            <v>L02-THE-DOT-U0535-09</v>
          </cell>
        </row>
        <row r="2013">
          <cell r="A2013" t="str">
            <v>L02-THE-DOT-S072-01</v>
          </cell>
        </row>
        <row r="2014">
          <cell r="A2014" t="str">
            <v>L02-THE-CRU-S036-01</v>
          </cell>
        </row>
        <row r="2015">
          <cell r="A2015" t="str">
            <v>L02-THE-CRU-U0604-01</v>
          </cell>
        </row>
        <row r="2016">
          <cell r="A2016" t="str">
            <v>L02-THE-DOT-S004-02</v>
          </cell>
        </row>
        <row r="2017">
          <cell r="A2017" t="str">
            <v>L02-THE-DOT-U0554-01</v>
          </cell>
        </row>
        <row r="2018">
          <cell r="A2018" t="str">
            <v>L02-THE-DOT-S066-10</v>
          </cell>
        </row>
        <row r="2019">
          <cell r="A2019" t="str">
            <v>L02-THE-DOT-S004-04</v>
          </cell>
        </row>
        <row r="2020">
          <cell r="A2020" t="str">
            <v>L02-THE-DOT-S004-06</v>
          </cell>
        </row>
        <row r="2021">
          <cell r="A2021" t="str">
            <v>L02-THE-DOT-S066-08</v>
          </cell>
        </row>
        <row r="2022">
          <cell r="A2022" t="str">
            <v>L02-THE-DOT-S066-12</v>
          </cell>
        </row>
        <row r="2023">
          <cell r="A2023" t="str">
            <v>L02-THE-DOT-S078-14</v>
          </cell>
        </row>
        <row r="2024">
          <cell r="A2024" t="str">
            <v>L02-THE-MRI-S015-01</v>
          </cell>
        </row>
        <row r="2025">
          <cell r="A2025" t="str">
            <v>L02-THE-DOT-S004-12</v>
          </cell>
        </row>
        <row r="2026">
          <cell r="A2026" t="str">
            <v>L02-THE-IVS-S077-02</v>
          </cell>
        </row>
        <row r="2027">
          <cell r="A2027" t="str">
            <v>L02-THE-DOT-S066-04</v>
          </cell>
        </row>
        <row r="2028">
          <cell r="A2028" t="str">
            <v>L02-THE-DOT-S078-09</v>
          </cell>
        </row>
        <row r="2029">
          <cell r="A2029" t="str">
            <v>L02-THE-DOT-S078-08</v>
          </cell>
        </row>
        <row r="2030">
          <cell r="A2030" t="str">
            <v>L02-THE-DOT-U0543-04</v>
          </cell>
        </row>
        <row r="2031">
          <cell r="A2031" t="str">
            <v>L02-THE-DOT-U0543-05</v>
          </cell>
        </row>
        <row r="2032">
          <cell r="A2032" t="str">
            <v>L02-THE-DOT-S008-03</v>
          </cell>
        </row>
        <row r="2033">
          <cell r="A2033" t="str">
            <v>L02-THE-DOT-U0537-05</v>
          </cell>
        </row>
        <row r="2034">
          <cell r="A2034" t="str">
            <v>L02-THE-ABI-S114-02</v>
          </cell>
        </row>
        <row r="2035">
          <cell r="A2035" t="str">
            <v>L02-THE-ABI-S114-01</v>
          </cell>
        </row>
        <row r="2036">
          <cell r="A2036" t="str">
            <v>L02-THE-DOT-S100-01</v>
          </cell>
        </row>
        <row r="2037">
          <cell r="A2037" t="str">
            <v>L02-THE-DOT-S004-15</v>
          </cell>
        </row>
        <row r="2038">
          <cell r="A2038" t="str">
            <v>L02-THE-DOT-U0562-01</v>
          </cell>
        </row>
        <row r="2039">
          <cell r="A2039" t="str">
            <v>L02-THE-DOT-U0554-05</v>
          </cell>
        </row>
        <row r="2040">
          <cell r="A2040" t="str">
            <v>L02-THE-DOT-U0543-02</v>
          </cell>
        </row>
        <row r="2041">
          <cell r="A2041" t="str">
            <v>L02-THE-DOT-U0537-04</v>
          </cell>
        </row>
        <row r="2042">
          <cell r="A2042" t="str">
            <v>L02-THE-DOT-S008-04</v>
          </cell>
        </row>
        <row r="2043">
          <cell r="A2043" t="str">
            <v>L02-THE-DOT-U0543-01</v>
          </cell>
        </row>
        <row r="2044">
          <cell r="A2044" t="str">
            <v>L02-THE-DOT-U0537-03</v>
          </cell>
        </row>
        <row r="2045">
          <cell r="A2045" t="str">
            <v>L02-THE-DOT-S008-02</v>
          </cell>
        </row>
        <row r="2046">
          <cell r="A2046" t="str">
            <v>L02-THE-CRU-S056-01</v>
          </cell>
        </row>
        <row r="2047">
          <cell r="A2047" t="str">
            <v>L02-THE-DOT-S066-11</v>
          </cell>
        </row>
        <row r="2048">
          <cell r="A2048" t="str">
            <v>L02-THE-DOT-U0555-05</v>
          </cell>
        </row>
        <row r="2049">
          <cell r="A2049" t="str">
            <v>L02-THE-DOT-U0556-04</v>
          </cell>
        </row>
        <row r="2050">
          <cell r="A2050" t="str">
            <v>L02-THE-DOT-S078-12</v>
          </cell>
        </row>
        <row r="2051">
          <cell r="A2051" t="str">
            <v>L02-THE-DOT-U0553-01</v>
          </cell>
        </row>
        <row r="2052">
          <cell r="A2052" t="str">
            <v>L02-THE-DOT-U0534-01</v>
          </cell>
        </row>
        <row r="2053">
          <cell r="A2053" t="str">
            <v>L02-THE-IVS-U0577-01</v>
          </cell>
        </row>
        <row r="2054">
          <cell r="A2054" t="str">
            <v>L02-THE-DOT-U0534-02</v>
          </cell>
        </row>
        <row r="2055">
          <cell r="A2055" t="str">
            <v>L02-THE-IVS-U0579-01</v>
          </cell>
        </row>
        <row r="2056">
          <cell r="A2056" t="str">
            <v>L02-THE-DOT-U0556-02</v>
          </cell>
        </row>
        <row r="2057">
          <cell r="A2057" t="str">
            <v>L02-THE-DOT-U0555-03</v>
          </cell>
        </row>
        <row r="2058">
          <cell r="A2058" t="str">
            <v>L02-THE-DOT-S078-07</v>
          </cell>
        </row>
        <row r="2059">
          <cell r="A2059" t="str">
            <v>L02-THE-DOT-S004-03</v>
          </cell>
        </row>
        <row r="2060">
          <cell r="A2060" t="str">
            <v>L02-THE-DOT-U0538-03</v>
          </cell>
        </row>
        <row r="2061">
          <cell r="A2061" t="str">
            <v>L02-THE-DOT-S008-01</v>
          </cell>
        </row>
        <row r="2062">
          <cell r="A2062" t="str">
            <v>L02-THE-DOT-U0553-02</v>
          </cell>
        </row>
        <row r="2063">
          <cell r="A2063" t="str">
            <v>L02-THE-DOT-U0555-02</v>
          </cell>
        </row>
        <row r="2064">
          <cell r="A2064" t="str">
            <v>L02-THE-DOT-U0553-03</v>
          </cell>
        </row>
        <row r="2065">
          <cell r="A2065" t="str">
            <v>L02-THE-DOT-U0537-01</v>
          </cell>
        </row>
        <row r="2066">
          <cell r="A2066" t="str">
            <v>L02-THE-CRU-U0602-15</v>
          </cell>
        </row>
        <row r="2067">
          <cell r="A2067" t="str">
            <v>L02-THE-MRI-L022-01</v>
          </cell>
        </row>
        <row r="2068">
          <cell r="A2068" t="str">
            <v>L02-THE-DOT-U0534-03</v>
          </cell>
        </row>
        <row r="2069">
          <cell r="A2069" t="str">
            <v>L02-THE-DOT-U0536-08</v>
          </cell>
        </row>
        <row r="2070">
          <cell r="A2070" t="str">
            <v>L02-THE-CRU-U0605-07</v>
          </cell>
        </row>
        <row r="2071">
          <cell r="A2071" t="str">
            <v>L02-THE-CRU-U0605-06</v>
          </cell>
        </row>
        <row r="2072">
          <cell r="A2072" t="str">
            <v>L02-THE-CRU-U0605-05</v>
          </cell>
        </row>
        <row r="2073">
          <cell r="A2073" t="str">
            <v>L02-THE-CRU-U0605-10</v>
          </cell>
        </row>
        <row r="2074">
          <cell r="A2074" t="str">
            <v>L02-THE-CRU-U0605-09</v>
          </cell>
        </row>
        <row r="2075">
          <cell r="A2075" t="str">
            <v>L02-THE-END-S078-01</v>
          </cell>
        </row>
        <row r="2076">
          <cell r="A2076" t="str">
            <v>L02-THE-END-U0597-01</v>
          </cell>
        </row>
        <row r="2077">
          <cell r="A2077" t="str">
            <v>L02-THE-CRU-U0602-03</v>
          </cell>
        </row>
        <row r="2078">
          <cell r="A2078" t="str">
            <v>L02-THE-CRU-U0602-14</v>
          </cell>
        </row>
        <row r="2079">
          <cell r="A2079" t="str">
            <v>L02-THE-CRU-U0602-13</v>
          </cell>
        </row>
        <row r="2080">
          <cell r="A2080" t="str">
            <v>L02-THE-CRU-U0602-12</v>
          </cell>
        </row>
        <row r="2081">
          <cell r="A2081" t="str">
            <v>L02-THE-CRU-U0602-11</v>
          </cell>
        </row>
        <row r="2082">
          <cell r="A2082" t="str">
            <v>L02-THE-CRU-U0602-10</v>
          </cell>
        </row>
        <row r="2083">
          <cell r="A2083" t="str">
            <v>L02-THE-CRU-S131-09</v>
          </cell>
        </row>
        <row r="2084">
          <cell r="A2084" t="str">
            <v>L02-THE-CRU-U0602-09</v>
          </cell>
        </row>
        <row r="2085">
          <cell r="A2085" t="str">
            <v>L02-THE-CRU-U0602-08</v>
          </cell>
        </row>
        <row r="2086">
          <cell r="A2086" t="str">
            <v>L02-THE-DOT-S023-01</v>
          </cell>
        </row>
        <row r="2087">
          <cell r="A2087" t="str">
            <v>L02-THE-CRU-U0602-06</v>
          </cell>
        </row>
        <row r="2088">
          <cell r="A2088" t="str">
            <v>L02-THE-CRU-U0602-05</v>
          </cell>
        </row>
        <row r="2089">
          <cell r="A2089" t="str">
            <v>L02-THE-DOT-S114-11</v>
          </cell>
        </row>
        <row r="2090">
          <cell r="A2090" t="str">
            <v>L02-THE-DOT-U0537-02</v>
          </cell>
        </row>
        <row r="2091">
          <cell r="A2091" t="str">
            <v>L02-THE-DOT-S008-07</v>
          </cell>
        </row>
        <row r="2092">
          <cell r="A2092" t="str">
            <v>L02-THE-DOT-S004-13</v>
          </cell>
        </row>
        <row r="2093">
          <cell r="A2093" t="str">
            <v>L02-THE-DOT-S066-06</v>
          </cell>
        </row>
        <row r="2094">
          <cell r="A2094" t="str">
            <v>L02-THE-DOT-U0556-01</v>
          </cell>
        </row>
        <row r="2095">
          <cell r="A2095" t="str">
            <v>L02-PON-ACC-L008-30</v>
          </cell>
        </row>
        <row r="2096">
          <cell r="A2096" t="str">
            <v>L02-PON-ACC-L008-20</v>
          </cell>
        </row>
        <row r="2097">
          <cell r="A2097" t="str">
            <v>L02-CIR-CIR-C006-08</v>
          </cell>
        </row>
        <row r="2098">
          <cell r="A2098" t="str">
            <v>L02-THE-DOT-S008-06</v>
          </cell>
        </row>
        <row r="2099">
          <cell r="A2099" t="str">
            <v>L02-THE-DOT-U0549-01</v>
          </cell>
        </row>
        <row r="2100">
          <cell r="A2100" t="str">
            <v>L02-THE-CRU-S023-01</v>
          </cell>
        </row>
        <row r="2101">
          <cell r="A2101" t="str">
            <v>L02-THE-ABI-S115-04</v>
          </cell>
        </row>
        <row r="2102">
          <cell r="A2102" t="str">
            <v>L02-THE-ABI-S115-02</v>
          </cell>
        </row>
        <row r="2103">
          <cell r="A2103" t="str">
            <v>L02-THE-DOT-U0567-01</v>
          </cell>
        </row>
        <row r="2104">
          <cell r="A2104" t="str">
            <v>L02-THE-DOT-U0547-01</v>
          </cell>
        </row>
        <row r="2105">
          <cell r="A2105" t="str">
            <v>L02-THE-ABI-S115-05</v>
          </cell>
        </row>
        <row r="2106">
          <cell r="A2106" t="str">
            <v>L02-THE-MRI-U0569-01</v>
          </cell>
        </row>
        <row r="2107">
          <cell r="A2107" t="str">
            <v>L02-THE-DOT-S091-02</v>
          </cell>
        </row>
        <row r="2108">
          <cell r="A2108" t="str">
            <v>L02-THE-CRU-S001-04</v>
          </cell>
        </row>
        <row r="2109">
          <cell r="A2109" t="str">
            <v>L02-THE-DOT-S053-02</v>
          </cell>
        </row>
        <row r="2110">
          <cell r="A2110" t="str">
            <v>L02-THE-DOT-U0529-01</v>
          </cell>
        </row>
        <row r="2111">
          <cell r="A2111" t="str">
            <v>L02-THE-CRU-S071-01</v>
          </cell>
        </row>
        <row r="2112">
          <cell r="A2112" t="str">
            <v>L02-THE-DOT-S057-01</v>
          </cell>
        </row>
        <row r="2113">
          <cell r="A2113" t="str">
            <v>L02-THE-DOT-S114-01</v>
          </cell>
        </row>
        <row r="2114">
          <cell r="A2114" t="str">
            <v>L02-THE-MRI-S004-01</v>
          </cell>
        </row>
        <row r="2115">
          <cell r="A2115" t="str">
            <v>L02-THE-CRU-U0604-02</v>
          </cell>
        </row>
        <row r="2116">
          <cell r="A2116" t="str">
            <v>L02-THE-DOT-S056-01</v>
          </cell>
        </row>
        <row r="2117">
          <cell r="A2117" t="str">
            <v>L02-THE-DOT-U0561-01</v>
          </cell>
        </row>
        <row r="2118">
          <cell r="A2118" t="str">
            <v>L02-THE-CRU-S015-01</v>
          </cell>
        </row>
        <row r="2119">
          <cell r="A2119" t="str">
            <v>L02-THE-IVS-U0583-01</v>
          </cell>
        </row>
        <row r="2120">
          <cell r="A2120" t="str">
            <v>L02-THE-DOT-S078-10</v>
          </cell>
        </row>
        <row r="2121">
          <cell r="A2121" t="str">
            <v>L02-THE-DOT-S022-02</v>
          </cell>
        </row>
        <row r="2122">
          <cell r="A2122" t="str">
            <v>L02-THE-DOT-S114-10</v>
          </cell>
        </row>
        <row r="2123">
          <cell r="A2123" t="str">
            <v>L02-THE-DOT-S038-02</v>
          </cell>
        </row>
        <row r="2124">
          <cell r="A2124" t="str">
            <v>L02-THE-MRI-U0574-01</v>
          </cell>
        </row>
        <row r="2125">
          <cell r="A2125" t="str">
            <v>L02-THE-DOT-S053-03</v>
          </cell>
        </row>
        <row r="2126">
          <cell r="A2126" t="str">
            <v>L02-THE-IVS-S023-01</v>
          </cell>
        </row>
        <row r="2127">
          <cell r="A2127" t="str">
            <v>L02-THE-MRI-U0570-01</v>
          </cell>
        </row>
        <row r="2128">
          <cell r="A2128" t="str">
            <v>L02-THE-DOT-S109-02</v>
          </cell>
        </row>
        <row r="2129">
          <cell r="A2129" t="str">
            <v>L02-THE-CRU-S096-01</v>
          </cell>
        </row>
        <row r="2130">
          <cell r="A2130" t="str">
            <v>L02-THE-DOT-U0554-04</v>
          </cell>
        </row>
        <row r="2131">
          <cell r="A2131" t="str">
            <v>L02-THE-DOT-U0540-01</v>
          </cell>
        </row>
        <row r="2132">
          <cell r="A2132" t="str">
            <v>L02-THE-DOT-U0541-01</v>
          </cell>
        </row>
        <row r="2133">
          <cell r="A2133" t="str">
            <v>L02-THE-DOT-U0550-01</v>
          </cell>
        </row>
        <row r="2134">
          <cell r="A2134" t="str">
            <v>L02-THE-DOT-U0548-01</v>
          </cell>
        </row>
        <row r="2135">
          <cell r="A2135" t="str">
            <v>L02-THE-IVS-U0578-01</v>
          </cell>
        </row>
        <row r="2136">
          <cell r="A2136" t="str">
            <v>L02-THE-DOT-S015-03</v>
          </cell>
        </row>
        <row r="2137">
          <cell r="A2137" t="str">
            <v>L02-THE-DOT-U0556-08</v>
          </cell>
        </row>
        <row r="2138">
          <cell r="A2138" t="str">
            <v>L02-THE-DOT-U0551-01</v>
          </cell>
        </row>
        <row r="2139">
          <cell r="A2139" t="str">
            <v>L02-THE-DOT-S022-01</v>
          </cell>
        </row>
        <row r="2140">
          <cell r="A2140" t="str">
            <v>L02-THE-DOT-U0564-01</v>
          </cell>
        </row>
        <row r="2141">
          <cell r="A2141" t="str">
            <v>L02-THE-DOT-U0549-02</v>
          </cell>
        </row>
        <row r="2142">
          <cell r="A2142" t="str">
            <v>L02-THE-DOT-U0559-01</v>
          </cell>
        </row>
        <row r="2143">
          <cell r="A2143" t="str">
            <v>L02-THE-IVS-X016-01</v>
          </cell>
        </row>
        <row r="2144">
          <cell r="A2144" t="str">
            <v>L02-THE-DOT-S114-07</v>
          </cell>
        </row>
        <row r="2145">
          <cell r="A2145" t="str">
            <v>L02-THE-DOT-S053-05</v>
          </cell>
        </row>
        <row r="2146">
          <cell r="A2146" t="str">
            <v>L02-THE-END-U0594-01</v>
          </cell>
        </row>
        <row r="2147">
          <cell r="A2147" t="str">
            <v>L02-THE-END-U0596-01</v>
          </cell>
        </row>
        <row r="2148">
          <cell r="A2148" t="str">
            <v>L02-THE-IVS-S099-04</v>
          </cell>
        </row>
        <row r="2149">
          <cell r="A2149" t="str">
            <v>L02-THE-IVS-U0582-01</v>
          </cell>
        </row>
        <row r="2150">
          <cell r="A2150" t="str">
            <v>L02-THE-DOT-S078-18</v>
          </cell>
        </row>
        <row r="2151">
          <cell r="A2151" t="str">
            <v>L02-THE-IVS-U0576-01</v>
          </cell>
        </row>
        <row r="2152">
          <cell r="A2152" t="str">
            <v>L02-THE-DOT-S078-15</v>
          </cell>
        </row>
        <row r="2153">
          <cell r="A2153" t="str">
            <v>L02-THE-DOT-U0544-01</v>
          </cell>
        </row>
        <row r="2154">
          <cell r="A2154" t="str">
            <v>L02-THE-DOT-S008-05</v>
          </cell>
        </row>
        <row r="2155">
          <cell r="A2155" t="str">
            <v>L02-THE-DOT-U0565-01</v>
          </cell>
        </row>
        <row r="2156">
          <cell r="A2156" t="str">
            <v>L02-THE-DOT-S114-05</v>
          </cell>
        </row>
        <row r="2157">
          <cell r="A2157" t="str">
            <v>L02-THE-CRU-U0602-04</v>
          </cell>
        </row>
        <row r="2158">
          <cell r="A2158" t="str">
            <v>L02-THE-CRU-U0605-13</v>
          </cell>
        </row>
        <row r="2159">
          <cell r="A2159" t="str">
            <v>L02-THE-DOT-S114-06</v>
          </cell>
        </row>
        <row r="2160">
          <cell r="A2160" t="str">
            <v>L02-THE-DOT-S109-05</v>
          </cell>
        </row>
        <row r="2161">
          <cell r="A2161" t="str">
            <v>L02-THE-CRU-S109-01</v>
          </cell>
        </row>
        <row r="2162">
          <cell r="A2162" t="str">
            <v>L02-THE-CRU-S109-02</v>
          </cell>
        </row>
        <row r="2163">
          <cell r="A2163" t="str">
            <v>L02-THE-DOT-S024-01</v>
          </cell>
        </row>
        <row r="2164">
          <cell r="A2164" t="str">
            <v>L02-THE-DOT-U0557-01</v>
          </cell>
        </row>
        <row r="2165">
          <cell r="A2165" t="str">
            <v>L02-THE-CRU-U0605-11</v>
          </cell>
        </row>
        <row r="2166">
          <cell r="A2166" t="str">
            <v>L02-THE-CRU-U0602-07</v>
          </cell>
        </row>
        <row r="2167">
          <cell r="A2167" t="str">
            <v>L02-THE-CRU-U0603-04</v>
          </cell>
        </row>
        <row r="2168">
          <cell r="A2168" t="str">
            <v>L02-THE-CRU-S001-03</v>
          </cell>
        </row>
        <row r="2169">
          <cell r="A2169" t="str">
            <v>L02-THE-DOT-S101-02</v>
          </cell>
        </row>
        <row r="2170">
          <cell r="A2170" t="str">
            <v>L02-THE-CRU-S038-01</v>
          </cell>
        </row>
        <row r="2171">
          <cell r="A2171" t="str">
            <v>L02-THE-DOT-S078-19</v>
          </cell>
        </row>
        <row r="2172">
          <cell r="A2172" t="str">
            <v>L02-THE-DOT-U0566-01</v>
          </cell>
        </row>
        <row r="2173">
          <cell r="A2173" t="str">
            <v>L02-THE-DOT-U0535-08</v>
          </cell>
        </row>
        <row r="2174">
          <cell r="A2174" t="str">
            <v>L02-THE-IVS-S004-01</v>
          </cell>
        </row>
        <row r="2175">
          <cell r="A2175" t="str">
            <v>L02-THE-END-U0599-01</v>
          </cell>
        </row>
        <row r="2176">
          <cell r="A2176" t="str">
            <v>L02-THE-DOT-S004-14</v>
          </cell>
        </row>
        <row r="2177">
          <cell r="A2177" t="str">
            <v>L02-THE-CRU-S056-02</v>
          </cell>
        </row>
        <row r="2178">
          <cell r="A2178" t="str">
            <v>L02-THE-CRU-S036-02</v>
          </cell>
        </row>
        <row r="2179">
          <cell r="A2179" t="str">
            <v>L02-THE-DOT-S078-11</v>
          </cell>
        </row>
        <row r="2180">
          <cell r="A2180" t="str">
            <v>L02-THE-DOT-U0535-06</v>
          </cell>
        </row>
        <row r="2181">
          <cell r="A2181" t="str">
            <v>L02-THE-MRI-U0572-01</v>
          </cell>
        </row>
        <row r="2182">
          <cell r="A2182" t="str">
            <v>L02-THE-CRU-U0605-08</v>
          </cell>
        </row>
        <row r="2183">
          <cell r="A2183" t="str">
            <v>L02-THE-DOT-S092-01</v>
          </cell>
        </row>
        <row r="2184">
          <cell r="A2184" t="str">
            <v>L02-THE-DOT-S114-02</v>
          </cell>
        </row>
        <row r="2185">
          <cell r="A2185" t="str">
            <v>L02-THE-IVS-U0585-01</v>
          </cell>
        </row>
        <row r="2186">
          <cell r="A2186" t="str">
            <v>L02-THE-IVS-U0591-01</v>
          </cell>
        </row>
        <row r="2187">
          <cell r="A2187" t="str">
            <v>L02-THE-DOT-U0554-02</v>
          </cell>
        </row>
        <row r="2188">
          <cell r="A2188" t="str">
            <v>L02-THE-DOT-U0538-02</v>
          </cell>
        </row>
        <row r="2189">
          <cell r="A2189" t="str">
            <v>L02-THE-CRU-S011-01</v>
          </cell>
        </row>
        <row r="2190">
          <cell r="A2190" t="str">
            <v>L02-THE-CRU-U0602-01</v>
          </cell>
        </row>
        <row r="2191">
          <cell r="A2191" t="str">
            <v>L02-THE-CRU-S091-02</v>
          </cell>
        </row>
        <row r="2192">
          <cell r="A2192" t="str">
            <v>L02-THE-DOT-U0553-04</v>
          </cell>
        </row>
        <row r="2193">
          <cell r="A2193" t="str">
            <v>L02-IPA-GW9-S025-01</v>
          </cell>
        </row>
        <row r="2194">
          <cell r="A2194" t="str">
            <v>L02-DCU-CIR-C001-11</v>
          </cell>
        </row>
        <row r="2195">
          <cell r="A2195" t="str">
            <v>L02-DCU-CIR-C001-11</v>
          </cell>
        </row>
        <row r="2196">
          <cell r="A2196" t="str">
            <v>L02-DCU-DMS-U0262-01</v>
          </cell>
        </row>
        <row r="2197">
          <cell r="A2197" t="str">
            <v>L02-CIR-CIR-C001-06</v>
          </cell>
        </row>
        <row r="2198">
          <cell r="A2198" t="str">
            <v>L02-DCU-DMS-S085-24</v>
          </cell>
        </row>
        <row r="2199">
          <cell r="A2199" t="str">
            <v>L02-THR-RPM-S025-01</v>
          </cell>
        </row>
        <row r="2200">
          <cell r="A2200" t="str">
            <v>L02-DCU-CIR-C001-05</v>
          </cell>
        </row>
        <row r="2201">
          <cell r="A2201" t="str">
            <v>L02-DCU-DMS-S053-03</v>
          </cell>
        </row>
        <row r="2202">
          <cell r="A2202" t="str">
            <v>L02-DCU-CIR-C001-06</v>
          </cell>
        </row>
        <row r="2203">
          <cell r="A2203" t="str">
            <v>L02-DCU-CIR-C001-06</v>
          </cell>
        </row>
        <row r="2204">
          <cell r="A2204" t="str">
            <v>L02-DCU-DMS-S092-03</v>
          </cell>
        </row>
        <row r="2205">
          <cell r="A2205" t="str">
            <v>L02-DCU-CIR-C001-08</v>
          </cell>
        </row>
        <row r="2206">
          <cell r="A2206" t="str">
            <v>L02-IPA-GW9-S107-01</v>
          </cell>
        </row>
        <row r="2207">
          <cell r="A2207" t="str">
            <v>L02-IPA-GW9-S023-01</v>
          </cell>
        </row>
        <row r="2208">
          <cell r="A2208" t="str">
            <v>L02-IPA-GW9-S127-01</v>
          </cell>
        </row>
        <row r="2209">
          <cell r="A2209" t="str">
            <v>L02-IPA-GW9-S152-02</v>
          </cell>
        </row>
        <row r="2210">
          <cell r="A2210" t="str">
            <v>L02-IPA-GW9-S080-02</v>
          </cell>
        </row>
        <row r="2211">
          <cell r="A2211" t="str">
            <v>L02-IPA-GW9-S093-02</v>
          </cell>
        </row>
        <row r="2212">
          <cell r="A2212" t="str">
            <v>L02-IPA-GW9-S115-02</v>
          </cell>
        </row>
        <row r="2213">
          <cell r="A2213" t="str">
            <v>L02-DCU-DMS-S074-01</v>
          </cell>
        </row>
        <row r="2214">
          <cell r="A2214" t="str">
            <v>L02-IPA-GW9-S098-01</v>
          </cell>
        </row>
        <row r="2215">
          <cell r="A2215" t="str">
            <v>L02-IPA-GW9-S056-01</v>
          </cell>
        </row>
        <row r="2216">
          <cell r="A2216" t="str">
            <v>L02-IPA-GW9-S115-01</v>
          </cell>
        </row>
        <row r="2217">
          <cell r="A2217" t="str">
            <v>L02-IPA-GW9-S093-01</v>
          </cell>
        </row>
        <row r="2218">
          <cell r="A2218" t="str">
            <v>L02-IPA-GW9-S152-03</v>
          </cell>
        </row>
        <row r="2219">
          <cell r="A2219" t="str">
            <v>L02-DCU-DMS-S085-10</v>
          </cell>
        </row>
        <row r="2220">
          <cell r="A2220" t="str">
            <v>L02-DCU-DMS-S085-11</v>
          </cell>
        </row>
        <row r="2221">
          <cell r="A2221" t="str">
            <v>L02-DCU-DMS-S085-17</v>
          </cell>
        </row>
        <row r="2222">
          <cell r="A2222" t="str">
            <v>L02-DCU-DMS-S085-02</v>
          </cell>
        </row>
        <row r="2223">
          <cell r="A2223" t="str">
            <v>L02-DCU-DMS-S085-01</v>
          </cell>
        </row>
        <row r="2224">
          <cell r="A2224" t="str">
            <v>L03-CIR-CIR-C008-09</v>
          </cell>
        </row>
        <row r="2225">
          <cell r="A2225" t="str">
            <v>L03-COR-OCR-S044-04</v>
          </cell>
        </row>
        <row r="2226">
          <cell r="A2226" t="str">
            <v>L03-COR-OCR-S044-12</v>
          </cell>
        </row>
        <row r="2227">
          <cell r="A2227" t="str">
            <v>L03-COR-OCR-S044-06</v>
          </cell>
        </row>
        <row r="2228">
          <cell r="A2228" t="str">
            <v>L03-THR-MSW-S113-01</v>
          </cell>
        </row>
        <row r="2229">
          <cell r="A2229" t="str">
            <v>L03-THR-MSW-S113-02</v>
          </cell>
        </row>
        <row r="2230">
          <cell r="A2230" t="str">
            <v>L03-THR-SLT-S110-01</v>
          </cell>
        </row>
        <row r="2231">
          <cell r="A2231" t="str">
            <v>L03-THR-POT-S081-01</v>
          </cell>
        </row>
        <row r="2232">
          <cell r="A2232" t="str">
            <v>L03-EDU-ETC-U0902-01</v>
          </cell>
        </row>
        <row r="2233">
          <cell r="A2233" t="str">
            <v>L03-THR-MSW-S061-01</v>
          </cell>
        </row>
        <row r="2234">
          <cell r="A2234" t="str">
            <v>L03-THR-NAD-S074-01</v>
          </cell>
        </row>
        <row r="2235">
          <cell r="A2235" t="str">
            <v>L03-THR-SLT-S074-01</v>
          </cell>
        </row>
        <row r="2236">
          <cell r="A2236" t="str">
            <v>L03-THR-SLT-S016-01</v>
          </cell>
        </row>
        <row r="2237">
          <cell r="A2237" t="str">
            <v>L03-THR-SLT-S050-01</v>
          </cell>
        </row>
        <row r="2238">
          <cell r="A2238" t="str">
            <v>L03-THR-NAD-S074-02</v>
          </cell>
        </row>
        <row r="2239">
          <cell r="A2239" t="str">
            <v>L03-THR-NAD-S016-02</v>
          </cell>
        </row>
        <row r="2240">
          <cell r="A2240" t="str">
            <v>L03-THR-NAD-S016-01</v>
          </cell>
        </row>
        <row r="2241">
          <cell r="A2241" t="str">
            <v>L03-THR-NAD-S113-01</v>
          </cell>
        </row>
        <row r="2242">
          <cell r="A2242" t="str">
            <v>L03-THR-NAD-S113-02</v>
          </cell>
        </row>
        <row r="2243">
          <cell r="A2243" t="str">
            <v>L03-THR-MSW-S050-01</v>
          </cell>
        </row>
        <row r="2244">
          <cell r="A2244" t="str">
            <v>L03-THR-SLT-S115-01</v>
          </cell>
        </row>
        <row r="2245">
          <cell r="A2245" t="str">
            <v>L03-THR-MSW-S016-01</v>
          </cell>
        </row>
        <row r="2246">
          <cell r="A2246" t="str">
            <v>L03-THR-MSW-S114-01</v>
          </cell>
        </row>
        <row r="2247">
          <cell r="A2247" t="str">
            <v>L03-THR-MSW-S074-01</v>
          </cell>
        </row>
        <row r="2248">
          <cell r="A2248" t="str">
            <v>L03-THR-MSW-S074-02</v>
          </cell>
        </row>
        <row r="2249">
          <cell r="A2249" t="str">
            <v>L03-THR-MSW-S114-02</v>
          </cell>
        </row>
        <row r="2250">
          <cell r="A2250" t="str">
            <v>L03-THR-PSY-S074-02</v>
          </cell>
        </row>
        <row r="2251">
          <cell r="A2251" t="str">
            <v>L03-THR-PSY-S074-01</v>
          </cell>
        </row>
        <row r="2252">
          <cell r="A2252" t="str">
            <v>L03-THR-PSY-S115-23</v>
          </cell>
        </row>
        <row r="2253">
          <cell r="A2253" t="str">
            <v>L03-THR-PSY-S050-01</v>
          </cell>
        </row>
        <row r="2254">
          <cell r="A2254" t="str">
            <v>L03-COR-OCR-S044-03</v>
          </cell>
        </row>
        <row r="2255">
          <cell r="A2255" t="str">
            <v>L03-COR-OCR-S044-02</v>
          </cell>
        </row>
        <row r="2256">
          <cell r="A2256" t="str">
            <v>L03-EDU-ETC-S094-01</v>
          </cell>
        </row>
        <row r="2257">
          <cell r="A2257" t="str">
            <v>L03-EDU-ETC-S067-01</v>
          </cell>
        </row>
        <row r="2258">
          <cell r="A2258" t="str">
            <v>L03-THR-POT-L023-03</v>
          </cell>
        </row>
        <row r="2259">
          <cell r="A2259" t="str">
            <v>L03-THR-POT-L023-01</v>
          </cell>
        </row>
        <row r="2260">
          <cell r="A2260" t="str">
            <v>L03-PHA-CYT-S001-01</v>
          </cell>
        </row>
        <row r="2261">
          <cell r="A2261" t="str">
            <v>L03-COR-DIR-S015-02</v>
          </cell>
        </row>
        <row r="2262">
          <cell r="A2262" t="str">
            <v>L03-THR-POT-L006-01</v>
          </cell>
        </row>
        <row r="2263">
          <cell r="A2263" t="str">
            <v>L03-THR-POT-L006-02</v>
          </cell>
        </row>
        <row r="2264">
          <cell r="A2264" t="str">
            <v>L03-THR-POT-L006-03</v>
          </cell>
        </row>
        <row r="2265">
          <cell r="A2265" t="str">
            <v>L03-THR-POT-U0714-01</v>
          </cell>
        </row>
        <row r="2266">
          <cell r="A2266" t="str">
            <v>L03-THR-POT-S016-02</v>
          </cell>
        </row>
        <row r="2267">
          <cell r="A2267" t="str">
            <v>L03-THR-POT-S050-01</v>
          </cell>
        </row>
        <row r="2268">
          <cell r="A2268" t="str">
            <v>L03-THR-POT-S114-03</v>
          </cell>
        </row>
        <row r="2269">
          <cell r="A2269" t="str">
            <v>L03-THR-POT-S109-02</v>
          </cell>
        </row>
        <row r="2270">
          <cell r="A2270" t="str">
            <v>L03-THR-POT-S100-01</v>
          </cell>
        </row>
        <row r="2271">
          <cell r="A2271" t="str">
            <v>L03-THR-POT-L023-05</v>
          </cell>
        </row>
        <row r="2272">
          <cell r="A2272" t="str">
            <v>L03-THR-CIR-C001-07</v>
          </cell>
        </row>
        <row r="2273">
          <cell r="A2273" t="str">
            <v>L03-THR-POT-S074-02</v>
          </cell>
        </row>
        <row r="2274">
          <cell r="A2274" t="str">
            <v>L03-THR-POT-S074-01</v>
          </cell>
        </row>
        <row r="2275">
          <cell r="A2275" t="str">
            <v>L03-THR-POT-S114-04</v>
          </cell>
        </row>
        <row r="2276">
          <cell r="A2276" t="str">
            <v>L03-THR-SLT-S113-01</v>
          </cell>
        </row>
        <row r="2277">
          <cell r="A2277" t="str">
            <v>L03-THR-SLT-S113-02</v>
          </cell>
        </row>
        <row r="2278">
          <cell r="A2278" t="str">
            <v>L03-THR-POT-L023-02</v>
          </cell>
        </row>
        <row r="2279">
          <cell r="A2279" t="str">
            <v>L03-THR-CIR-C001-10</v>
          </cell>
        </row>
        <row r="2280">
          <cell r="A2280" t="str">
            <v>L03-EDU-ETC-S143-01</v>
          </cell>
        </row>
        <row r="2281">
          <cell r="A2281" t="str">
            <v>L03-COR-DIR-S050-02</v>
          </cell>
        </row>
        <row r="2282">
          <cell r="A2282" t="str">
            <v>L03-EDU-ETC-L079-01</v>
          </cell>
        </row>
        <row r="2283">
          <cell r="A2283" t="str">
            <v>L03-EDU-ETC-L086-04</v>
          </cell>
        </row>
        <row r="2284">
          <cell r="A2284" t="str">
            <v>L03-EDU-ETC-U0962-02</v>
          </cell>
        </row>
        <row r="2285">
          <cell r="A2285" t="str">
            <v>L03-EDU-ETC-L086-08</v>
          </cell>
        </row>
        <row r="2286">
          <cell r="A2286" t="str">
            <v>L03-EDU-ETC-L086-01</v>
          </cell>
        </row>
        <row r="2287">
          <cell r="A2287" t="str">
            <v>L03-EDU-ETC-S109-02</v>
          </cell>
        </row>
        <row r="2288">
          <cell r="A2288" t="str">
            <v>L03-EDU-ETC-L078-02</v>
          </cell>
        </row>
        <row r="2289">
          <cell r="A2289" t="str">
            <v>L03-EDU-ETC-L078-03</v>
          </cell>
        </row>
        <row r="2290">
          <cell r="A2290" t="str">
            <v>L03-EDU-ETC-L079-08</v>
          </cell>
        </row>
        <row r="2291">
          <cell r="A2291" t="str">
            <v>L03-EDU-ETC-L017-02</v>
          </cell>
        </row>
        <row r="2292">
          <cell r="A2292" t="str">
            <v>L03-EDU-ETC-L017-03</v>
          </cell>
        </row>
        <row r="2293">
          <cell r="A2293" t="str">
            <v>L03-EDU-ETC-L079-06</v>
          </cell>
        </row>
        <row r="2294">
          <cell r="A2294" t="str">
            <v>L03-EDU-ETC-L079-02</v>
          </cell>
        </row>
        <row r="2295">
          <cell r="A2295" t="str">
            <v>L03-EDU-ETC-L079-03</v>
          </cell>
        </row>
        <row r="2296">
          <cell r="A2296" t="str">
            <v>L03-PHA-GEN-S143-01</v>
          </cell>
        </row>
        <row r="2297">
          <cell r="A2297" t="str">
            <v>L03-PHA-PHA-S099-01</v>
          </cell>
        </row>
        <row r="2298">
          <cell r="A2298" t="str">
            <v>L03-PHA-PHA-S062-02</v>
          </cell>
        </row>
        <row r="2299">
          <cell r="A2299" t="str">
            <v>L03-PHA-PHA-S094-01</v>
          </cell>
        </row>
        <row r="2300">
          <cell r="A2300" t="str">
            <v>L03-PHA-CIR-C001-01</v>
          </cell>
        </row>
        <row r="2301">
          <cell r="A2301" t="str">
            <v>L03-PHA-PHA-S114-04</v>
          </cell>
        </row>
        <row r="2302">
          <cell r="A2302" t="str">
            <v>L03-PHA-PHA-S114-06</v>
          </cell>
        </row>
        <row r="2303">
          <cell r="A2303" t="str">
            <v>L03-PHA-PHA-S111-01</v>
          </cell>
        </row>
        <row r="2304">
          <cell r="A2304" t="str">
            <v>L03-PHA-GEN-S139-01</v>
          </cell>
        </row>
        <row r="2305">
          <cell r="A2305" t="str">
            <v>L03-PHA-PHA-S050-01</v>
          </cell>
        </row>
        <row r="2306">
          <cell r="A2306" t="str">
            <v>L03-PHA-PHA-U0609-01</v>
          </cell>
        </row>
        <row r="2307">
          <cell r="A2307" t="str">
            <v>L03-PHA-PHA-U0611-01</v>
          </cell>
        </row>
        <row r="2308">
          <cell r="A2308" t="str">
            <v>L03-PHA-PHA-U0610-01</v>
          </cell>
        </row>
        <row r="2309">
          <cell r="A2309" t="str">
            <v>L03-PHA-PHA-S024-01</v>
          </cell>
        </row>
        <row r="2310">
          <cell r="A2310" t="str">
            <v>L03-PHA-CIR-C001-05</v>
          </cell>
        </row>
        <row r="2311">
          <cell r="A2311" t="str">
            <v>L03-PHA-PHA-S096-01</v>
          </cell>
        </row>
        <row r="2312">
          <cell r="A2312" t="str">
            <v>L03-PHA-CYT-S001-02</v>
          </cell>
        </row>
        <row r="2313">
          <cell r="A2313" t="str">
            <v>L03-EDU-ETC-U0974-01</v>
          </cell>
        </row>
        <row r="2314">
          <cell r="A2314" t="str">
            <v>L03-THR-MSW-S054-04</v>
          </cell>
        </row>
        <row r="2315">
          <cell r="A2315" t="str">
            <v>L03-THR-PSY-S136-06</v>
          </cell>
        </row>
        <row r="2316">
          <cell r="A2316" t="str">
            <v>L03-THR-PSY-S137-02</v>
          </cell>
        </row>
        <row r="2317">
          <cell r="A2317" t="str">
            <v>L03-THR-PSY-S136-08</v>
          </cell>
        </row>
        <row r="2318">
          <cell r="A2318" t="str">
            <v>L03-THR-PSY-S136-01</v>
          </cell>
        </row>
        <row r="2319">
          <cell r="A2319" t="str">
            <v>L03-THR-MSW-S139-01</v>
          </cell>
        </row>
        <row r="2320">
          <cell r="A2320" t="str">
            <v>L03-THR-MSW-S054-02</v>
          </cell>
        </row>
        <row r="2321">
          <cell r="A2321" t="str">
            <v>L03-THR-POT-S135-02</v>
          </cell>
        </row>
        <row r="2322">
          <cell r="A2322" t="str">
            <v>L03-THR-POT-S112-01</v>
          </cell>
        </row>
        <row r="2323">
          <cell r="A2323" t="str">
            <v>L03-THR-SLT-S054-02</v>
          </cell>
        </row>
        <row r="2324">
          <cell r="A2324" t="str">
            <v>L03-THR-MSW-S148-01</v>
          </cell>
        </row>
        <row r="2325">
          <cell r="A2325" t="str">
            <v>L03-THR-MSW-S143-01</v>
          </cell>
        </row>
        <row r="2326">
          <cell r="A2326" t="str">
            <v>L03-THR-MSW-S054-06</v>
          </cell>
        </row>
        <row r="2327">
          <cell r="A2327" t="str">
            <v>L03-THR-PSY-S136-09</v>
          </cell>
        </row>
        <row r="2328">
          <cell r="A2328" t="str">
            <v>L03-THR-NAD-S114-02</v>
          </cell>
        </row>
        <row r="2329">
          <cell r="A2329" t="str">
            <v>L03-THR-CIR-C001-03</v>
          </cell>
        </row>
        <row r="2330">
          <cell r="A2330" t="str">
            <v>L03-PHA-PHA-U0613-01</v>
          </cell>
        </row>
        <row r="2331">
          <cell r="A2331" t="str">
            <v>L03-THR-POT-L092-02</v>
          </cell>
        </row>
        <row r="2332">
          <cell r="A2332" t="str">
            <v>L03-THR-POT-L092-01</v>
          </cell>
        </row>
        <row r="2333">
          <cell r="A2333" t="str">
            <v>L03-THR-POT-S135-01</v>
          </cell>
        </row>
        <row r="2334">
          <cell r="A2334" t="str">
            <v>L03-THR-POT-U0726-01</v>
          </cell>
        </row>
        <row r="2335">
          <cell r="A2335" t="str">
            <v>L03-COR-OCR-S114-04</v>
          </cell>
        </row>
        <row r="2336">
          <cell r="A2336" t="str">
            <v>L03-COR-OCR-S114-01</v>
          </cell>
        </row>
        <row r="2337">
          <cell r="A2337" t="str">
            <v>L03-COR-OCR-S114-03</v>
          </cell>
        </row>
        <row r="2338">
          <cell r="A2338" t="str">
            <v>L03-EDU-ETC-S114-01</v>
          </cell>
        </row>
        <row r="2339">
          <cell r="A2339" t="str">
            <v>L03-EDU-ETC-S109-04</v>
          </cell>
        </row>
        <row r="2340">
          <cell r="A2340" t="str">
            <v>L03-EDU-ETC-L095-02</v>
          </cell>
        </row>
        <row r="2341">
          <cell r="A2341" t="str">
            <v>L03-EDU-CIR-C001-01</v>
          </cell>
        </row>
        <row r="2342">
          <cell r="A2342" t="str">
            <v>L03-EDU-ETC-L095-01</v>
          </cell>
        </row>
        <row r="2343">
          <cell r="A2343" t="str">
            <v>L03-EDU-ETC-S049-01</v>
          </cell>
        </row>
        <row r="2344">
          <cell r="A2344" t="str">
            <v>L03-EDU-ETC-L095-03</v>
          </cell>
        </row>
        <row r="2345">
          <cell r="A2345" t="str">
            <v>L03-EDU-ETC-L017-01</v>
          </cell>
        </row>
        <row r="2346">
          <cell r="A2346" t="str">
            <v>L03-EDU-ETC-L078-04</v>
          </cell>
        </row>
        <row r="2347">
          <cell r="A2347" t="str">
            <v>L03-EDU-ETC-S113-02</v>
          </cell>
        </row>
        <row r="2348">
          <cell r="A2348" t="str">
            <v>L03-PHA-GEN-C002-02</v>
          </cell>
        </row>
        <row r="2349">
          <cell r="A2349" t="str">
            <v>L03-EDU-ETC-S139-03</v>
          </cell>
        </row>
        <row r="2350">
          <cell r="A2350" t="str">
            <v>L03-EDU-ETC-L079-07</v>
          </cell>
        </row>
        <row r="2351">
          <cell r="A2351" t="str">
            <v>L03-EDU-ETC-S030-01</v>
          </cell>
        </row>
        <row r="2352">
          <cell r="A2352" t="str">
            <v>L03-EDU-ETC-U0954-01</v>
          </cell>
        </row>
        <row r="2353">
          <cell r="A2353" t="str">
            <v>L03-EDU-ETC-S140-01</v>
          </cell>
        </row>
        <row r="2354">
          <cell r="A2354" t="str">
            <v>L03-COR-OCR-S109-01</v>
          </cell>
        </row>
        <row r="2355">
          <cell r="A2355" t="str">
            <v>L03-COR-CIR-C001-03</v>
          </cell>
        </row>
        <row r="2356">
          <cell r="A2356" t="str">
            <v>L03-COR-OCR-S025-01</v>
          </cell>
        </row>
        <row r="2357">
          <cell r="A2357" t="str">
            <v>L03-COR-OCR-L009-02</v>
          </cell>
        </row>
        <row r="2358">
          <cell r="A2358" t="str">
            <v>L03-COR-OCR-L009-06</v>
          </cell>
        </row>
        <row r="2359">
          <cell r="A2359" t="str">
            <v>L03-COR-OCR-L009-04</v>
          </cell>
        </row>
        <row r="2360">
          <cell r="A2360" t="str">
            <v>L03-THR-MSW-S110-01</v>
          </cell>
        </row>
        <row r="2361">
          <cell r="A2361" t="str">
            <v>L03-THR-MSW-S113-03</v>
          </cell>
        </row>
        <row r="2362">
          <cell r="A2362" t="str">
            <v>L03-THR-NAD-S054-01</v>
          </cell>
        </row>
        <row r="2363">
          <cell r="A2363" t="str">
            <v>L03-THR-POT-S139-01</v>
          </cell>
        </row>
        <row r="2364">
          <cell r="A2364" t="str">
            <v>L03-THR-POT-L023-06</v>
          </cell>
        </row>
        <row r="2365">
          <cell r="A2365" t="str">
            <v>L03-THR-POT-U0731-01</v>
          </cell>
        </row>
        <row r="2366">
          <cell r="A2366" t="str">
            <v>L03-COR-OCR-S044-07</v>
          </cell>
        </row>
        <row r="2367">
          <cell r="A2367" t="str">
            <v>L03-COR-OCR-L009-07</v>
          </cell>
        </row>
        <row r="2368">
          <cell r="A2368" t="str">
            <v>L03-THR-POT-S113-05</v>
          </cell>
        </row>
        <row r="2369">
          <cell r="A2369" t="str">
            <v>L03-THR-POT-S109-01</v>
          </cell>
        </row>
        <row r="2370">
          <cell r="A2370" t="str">
            <v>L03-THR-POT-S038-01</v>
          </cell>
        </row>
        <row r="2371">
          <cell r="A2371" t="str">
            <v>L03-THR-POT-S022-01</v>
          </cell>
        </row>
        <row r="2372">
          <cell r="A2372" t="str">
            <v>L03-THR-NAD-S115-01</v>
          </cell>
        </row>
        <row r="2373">
          <cell r="A2373" t="str">
            <v>L03-COR-OCR-S139-01</v>
          </cell>
        </row>
        <row r="2374">
          <cell r="A2374" t="str">
            <v>L03-COR-OCR-L009-01</v>
          </cell>
        </row>
        <row r="2375">
          <cell r="A2375" t="str">
            <v>L03-COR-OCR-S044-01</v>
          </cell>
        </row>
        <row r="2376">
          <cell r="A2376" t="str">
            <v>L03-HUB-ITH-S118-06</v>
          </cell>
        </row>
        <row r="2377">
          <cell r="A2377" t="str">
            <v>L03-MAI-PAS-S041-01</v>
          </cell>
        </row>
        <row r="2378">
          <cell r="A2378" t="str">
            <v>L03-MAI-PAS-S113-01</v>
          </cell>
        </row>
        <row r="2379">
          <cell r="A2379" t="str">
            <v>L03-MAI-PAS-U0788-01</v>
          </cell>
        </row>
        <row r="2380">
          <cell r="A2380" t="str">
            <v>L03-MAI-PAS-U0790-01</v>
          </cell>
        </row>
        <row r="2381">
          <cell r="A2381" t="str">
            <v>L03-MAI-PAS-S115-01</v>
          </cell>
        </row>
        <row r="2382">
          <cell r="A2382" t="str">
            <v>L03-MAI-PAS-U0789-01</v>
          </cell>
        </row>
        <row r="2383">
          <cell r="A2383" t="str">
            <v>L03-MAI-PAS-S113-02</v>
          </cell>
        </row>
        <row r="2384">
          <cell r="A2384" t="str">
            <v>L03-MAI-PAS-S063-01</v>
          </cell>
        </row>
        <row r="2385">
          <cell r="A2385" t="str">
            <v>L03-MAI-PAS-U0787-01</v>
          </cell>
        </row>
        <row r="2386">
          <cell r="A2386" t="str">
            <v>L03-MAI-CIR-C001-01</v>
          </cell>
        </row>
        <row r="2387">
          <cell r="A2387" t="str">
            <v>L03-EDU-ETC-U0978-01</v>
          </cell>
        </row>
        <row r="2388">
          <cell r="A2388" t="str">
            <v>L03-EDU-ETC-U0979-01</v>
          </cell>
        </row>
        <row r="2389">
          <cell r="A2389" t="str">
            <v>L03-EDU-ETC-S109-03</v>
          </cell>
        </row>
        <row r="2390">
          <cell r="A2390" t="str">
            <v>L03-EDU-CIR-C001-03</v>
          </cell>
        </row>
        <row r="2391">
          <cell r="A2391" t="str">
            <v>L03-EDU-ETC-S139-01</v>
          </cell>
        </row>
        <row r="2392">
          <cell r="A2392" t="str">
            <v>L03-THR-SLT-S028-01</v>
          </cell>
        </row>
        <row r="2393">
          <cell r="A2393" t="str">
            <v>L03-THR-POT-U0708-01</v>
          </cell>
        </row>
        <row r="2394">
          <cell r="A2394" t="str">
            <v>L03-CIR-CIR-C003-03</v>
          </cell>
        </row>
        <row r="2395">
          <cell r="A2395" t="str">
            <v>L03-CIR-CIR-C003-05</v>
          </cell>
        </row>
        <row r="2396">
          <cell r="A2396" t="str">
            <v>L03-CIR-CIR-C003-03</v>
          </cell>
        </row>
        <row r="2397">
          <cell r="A2397" t="str">
            <v>L03-CIR-CIR-C003-04</v>
          </cell>
        </row>
        <row r="2398">
          <cell r="A2398" t="str">
            <v>L03-CIR-CIR-C003-01</v>
          </cell>
        </row>
        <row r="2399">
          <cell r="A2399" t="str">
            <v>L03-COR-OCR-S115-01</v>
          </cell>
        </row>
        <row r="2400">
          <cell r="A2400" t="str">
            <v>L03-THR-POT-L006-04</v>
          </cell>
        </row>
        <row r="2401">
          <cell r="A2401" t="str">
            <v>L03-THR-POT-U0718-01</v>
          </cell>
        </row>
        <row r="2402">
          <cell r="A2402" t="str">
            <v>L03-THR-POT-U1407-01</v>
          </cell>
        </row>
        <row r="2403">
          <cell r="A2403" t="str">
            <v>L03-THR-POT-U0717-01</v>
          </cell>
        </row>
        <row r="2404">
          <cell r="A2404" t="str">
            <v>L03-THR-POT-U0713-01</v>
          </cell>
        </row>
        <row r="2405">
          <cell r="A2405" t="str">
            <v>L03-THR-POT-S115-30</v>
          </cell>
        </row>
        <row r="2406">
          <cell r="A2406" t="str">
            <v>L03-PHA-PHA-U0608-01</v>
          </cell>
        </row>
        <row r="2407">
          <cell r="A2407" t="str">
            <v>L03-COR-OCR-U0826-01</v>
          </cell>
        </row>
        <row r="2408">
          <cell r="A2408" t="str">
            <v>L03-CIR-CIR-C001-01</v>
          </cell>
        </row>
        <row r="2409">
          <cell r="A2409" t="str">
            <v>L03-COR-OCR-L009-05</v>
          </cell>
        </row>
        <row r="2410">
          <cell r="A2410" t="str">
            <v>L03-COR-OCR-L009-03</v>
          </cell>
        </row>
        <row r="2411">
          <cell r="A2411" t="str">
            <v>L03-PHA-CIR-C001-03</v>
          </cell>
        </row>
        <row r="2412">
          <cell r="A2412" t="str">
            <v>L03-PHA-PHA-U0612-01</v>
          </cell>
        </row>
        <row r="2413">
          <cell r="A2413" t="str">
            <v>L03-PHA-PHA-U0616-01</v>
          </cell>
        </row>
        <row r="2414">
          <cell r="A2414" t="str">
            <v>L03-PHA-PHA-U0617-01</v>
          </cell>
        </row>
        <row r="2415">
          <cell r="A2415" t="str">
            <v>L03-THR-POT-S095-01</v>
          </cell>
        </row>
        <row r="2416">
          <cell r="A2416" t="str">
            <v>L03-THR-POT-S016-01</v>
          </cell>
        </row>
        <row r="2417">
          <cell r="A2417" t="str">
            <v>L03-THR-POT-S016-03</v>
          </cell>
        </row>
        <row r="2418">
          <cell r="A2418" t="str">
            <v>L03-COR-DIR-S063-03</v>
          </cell>
        </row>
        <row r="2419">
          <cell r="A2419" t="str">
            <v>L03-ONC-DW3-S115-43</v>
          </cell>
        </row>
        <row r="2420">
          <cell r="A2420" t="str">
            <v>L03-COR-DIR-S015-01</v>
          </cell>
        </row>
        <row r="2421">
          <cell r="A2421" t="str">
            <v>L03-EDU-ETC-L078-01</v>
          </cell>
        </row>
        <row r="2422">
          <cell r="A2422" t="str">
            <v>L03-PHA-PHA-U0622-01</v>
          </cell>
        </row>
        <row r="2423">
          <cell r="A2423" t="str">
            <v>L03-PHA-PHA-S115-03</v>
          </cell>
        </row>
        <row r="2424">
          <cell r="A2424" t="str">
            <v>L03-PHA-PHA-U0621-01</v>
          </cell>
        </row>
        <row r="2425">
          <cell r="A2425" t="str">
            <v>L03-THR-SLT-S054-03</v>
          </cell>
        </row>
        <row r="2426">
          <cell r="A2426" t="str">
            <v>L03-THR-POT-S057-01</v>
          </cell>
        </row>
        <row r="2427">
          <cell r="A2427" t="str">
            <v>L03-THR-SLT-S054-01</v>
          </cell>
        </row>
        <row r="2428">
          <cell r="A2428" t="str">
            <v>L03-THR-SLT-S144-01</v>
          </cell>
        </row>
        <row r="2429">
          <cell r="A2429" t="str">
            <v>L03-THR-NAD-S061-01</v>
          </cell>
        </row>
        <row r="2430">
          <cell r="A2430" t="str">
            <v>L03-THR-NAD-S063-01</v>
          </cell>
        </row>
        <row r="2431">
          <cell r="A2431" t="str">
            <v>L03-THR-SLT-S108-01</v>
          </cell>
        </row>
        <row r="2432">
          <cell r="A2432" t="str">
            <v>L03-THR-SLT-S028-02</v>
          </cell>
        </row>
        <row r="2433">
          <cell r="A2433" t="str">
            <v>L03-THR-POT-U0712-01</v>
          </cell>
        </row>
        <row r="2434">
          <cell r="A2434" t="str">
            <v>L03-THR-POT-S138-01</v>
          </cell>
        </row>
        <row r="2435">
          <cell r="A2435" t="str">
            <v>L03-THR-PSY-S136-04</v>
          </cell>
        </row>
        <row r="2436">
          <cell r="A2436" t="str">
            <v>L03-THR-MSW-S054-03</v>
          </cell>
        </row>
        <row r="2437">
          <cell r="A2437" t="str">
            <v>L03-THR-MSW-S054-01</v>
          </cell>
        </row>
        <row r="2438">
          <cell r="A2438" t="str">
            <v>L03-THR-MSW-S054-08</v>
          </cell>
        </row>
        <row r="2439">
          <cell r="A2439" t="str">
            <v>L03-THR-MSW-S115-02</v>
          </cell>
        </row>
        <row r="2440">
          <cell r="A2440" t="str">
            <v>L03-THR-MSW-S054-05</v>
          </cell>
        </row>
        <row r="2441">
          <cell r="A2441" t="str">
            <v>L03-THR-PSY-S136-05</v>
          </cell>
        </row>
        <row r="2442">
          <cell r="A2442" t="str">
            <v>L03-PHA-GEN-S037-01</v>
          </cell>
        </row>
        <row r="2443">
          <cell r="A2443" t="str">
            <v>L03-PHA-GEN-S022-01</v>
          </cell>
        </row>
        <row r="2444">
          <cell r="A2444" t="str">
            <v>L03-COR-OCR-S114-02</v>
          </cell>
        </row>
        <row r="2445">
          <cell r="A2445" t="str">
            <v>L03-HUB-ITH-S118-01</v>
          </cell>
        </row>
        <row r="2446">
          <cell r="A2446" t="str">
            <v>L03-PHA-PHA-S016-02</v>
          </cell>
        </row>
        <row r="2447">
          <cell r="A2447" t="str">
            <v>L03-PHA-PHA-U0615-01</v>
          </cell>
        </row>
        <row r="2448">
          <cell r="A2448" t="str">
            <v>L03-EDU-ETC-L079-05</v>
          </cell>
        </row>
        <row r="2449">
          <cell r="A2449" t="str">
            <v>L03-EDU-ETC-L086-07</v>
          </cell>
        </row>
        <row r="2450">
          <cell r="A2450" t="str">
            <v>L03-EDU-ETC-L086-05</v>
          </cell>
        </row>
        <row r="2451">
          <cell r="A2451" t="str">
            <v>L03-EDU-ETC-L086-03</v>
          </cell>
        </row>
        <row r="2452">
          <cell r="A2452" t="str">
            <v>L03-CIR-CIR-C003-04</v>
          </cell>
        </row>
        <row r="2453">
          <cell r="A2453" t="str">
            <v>L03-THR-SLT-S099-01</v>
          </cell>
        </row>
        <row r="2454">
          <cell r="A2454" t="str">
            <v>L03-THR-NAD-S139-01</v>
          </cell>
        </row>
        <row r="2455">
          <cell r="A2455" t="str">
            <v>L03-CIR-CIR-C003-06</v>
          </cell>
        </row>
        <row r="2456">
          <cell r="A2456" t="str">
            <v>L03-THR-PSY-S016-01</v>
          </cell>
        </row>
        <row r="2457">
          <cell r="A2457" t="str">
            <v>L03-THR-PSY-S136-02</v>
          </cell>
        </row>
        <row r="2458">
          <cell r="A2458" t="str">
            <v>L03-THR-PSY-S136-03</v>
          </cell>
        </row>
        <row r="2459">
          <cell r="A2459" t="str">
            <v>L03-THR-PSY-S137-01</v>
          </cell>
        </row>
        <row r="2460">
          <cell r="A2460" t="str">
            <v>L03-THR-PSY-S136-07</v>
          </cell>
        </row>
        <row r="2461">
          <cell r="A2461" t="str">
            <v>L03-THR-MSW-S016-02</v>
          </cell>
        </row>
        <row r="2462">
          <cell r="A2462" t="str">
            <v>L03-THR-POT-S139-05</v>
          </cell>
        </row>
        <row r="2463">
          <cell r="A2463" t="str">
            <v>L03-THR-POT-U0707-01</v>
          </cell>
        </row>
        <row r="2464">
          <cell r="A2464" t="str">
            <v>L03-THR-POT-S147-01</v>
          </cell>
        </row>
        <row r="2465">
          <cell r="A2465" t="str">
            <v>L03-THR-POT-S060-01</v>
          </cell>
        </row>
        <row r="2466">
          <cell r="A2466" t="str">
            <v>L03-THR-POT-S115-01</v>
          </cell>
        </row>
        <row r="2467">
          <cell r="A2467" t="str">
            <v>L03-THR-POT-U0728-01</v>
          </cell>
        </row>
        <row r="2468">
          <cell r="A2468" t="str">
            <v>L03-THR-MSW-S095-01</v>
          </cell>
        </row>
        <row r="2469">
          <cell r="A2469" t="str">
            <v>L03-EDU-ETC-S113-01</v>
          </cell>
        </row>
        <row r="2470">
          <cell r="A2470" t="str">
            <v>L03-EDU-ETC-L086-02</v>
          </cell>
        </row>
        <row r="2471">
          <cell r="A2471" t="str">
            <v>L03-THR-POT-S115-02</v>
          </cell>
        </row>
        <row r="2472">
          <cell r="A2472" t="str">
            <v>L03-EDU-ETC-U0976-01</v>
          </cell>
        </row>
        <row r="2473">
          <cell r="A2473" t="str">
            <v>L03-PHA-PHA-S115-02</v>
          </cell>
        </row>
        <row r="2474">
          <cell r="A2474" t="str">
            <v>L03-EDU-ETC-S065-01</v>
          </cell>
        </row>
        <row r="2475">
          <cell r="A2475" t="str">
            <v>L03-EDU-ETC-S095-01</v>
          </cell>
        </row>
        <row r="2476">
          <cell r="A2476" t="str">
            <v>L03-EDU-ETC-S114-02</v>
          </cell>
        </row>
        <row r="2477">
          <cell r="A2477" t="str">
            <v>L03-EDU-ETC-U0980-01</v>
          </cell>
        </row>
        <row r="2478">
          <cell r="A2478" t="str">
            <v>L03-EDU-ETC-L086-06</v>
          </cell>
        </row>
        <row r="2479">
          <cell r="A2479" t="str">
            <v>L03-COR-OCR-U0825-01</v>
          </cell>
        </row>
        <row r="2480">
          <cell r="A2480" t="str">
            <v>L03-CIR-CIR-C008-07</v>
          </cell>
        </row>
        <row r="2481">
          <cell r="A2481" t="str">
            <v>L03-PHA-CIR-C001-02</v>
          </cell>
        </row>
        <row r="2482">
          <cell r="A2482" t="str">
            <v>L03-CIR-CIR-C008-06</v>
          </cell>
        </row>
        <row r="2483">
          <cell r="A2483" t="str">
            <v>L03-CIR-CIR-C006-11</v>
          </cell>
        </row>
        <row r="2484">
          <cell r="A2484" t="str">
            <v>L03-THR-POT-S053-01</v>
          </cell>
        </row>
        <row r="2485">
          <cell r="A2485" t="str">
            <v>L03-THR-CIR-C001-11</v>
          </cell>
        </row>
        <row r="2486">
          <cell r="A2486" t="str">
            <v>L03-COR-DIR-S114-07</v>
          </cell>
        </row>
        <row r="2487">
          <cell r="A2487" t="str">
            <v>L03-CIR-CIR-C001-02</v>
          </cell>
        </row>
        <row r="2488">
          <cell r="A2488" t="str">
            <v>L03-EDU-ETC-S109-01</v>
          </cell>
        </row>
        <row r="2489">
          <cell r="A2489" t="str">
            <v>L03-HUB-ITH-S118-03</v>
          </cell>
        </row>
        <row r="2490">
          <cell r="A2490" t="str">
            <v>L03-COR-OCR-L009-08</v>
          </cell>
        </row>
        <row r="2491">
          <cell r="A2491" t="str">
            <v>L03-COR-OCR-S044-05</v>
          </cell>
        </row>
        <row r="2492">
          <cell r="A2492" t="str">
            <v>L03-THR-CIR-C001-13</v>
          </cell>
        </row>
        <row r="2493">
          <cell r="A2493" t="str">
            <v>L03-PHA-PHA-S062-01</v>
          </cell>
        </row>
        <row r="2494">
          <cell r="A2494" t="str">
            <v>L03-PHA-GEN-C002-01</v>
          </cell>
        </row>
        <row r="2495">
          <cell r="A2495" t="str">
            <v>L03-CIR-CIR-C006-01</v>
          </cell>
        </row>
        <row r="2496">
          <cell r="A2496" t="str">
            <v>L03-THR-POT-L023-04</v>
          </cell>
        </row>
        <row r="2497">
          <cell r="A2497" t="str">
            <v>L03-PHA-PHA-S114-01</v>
          </cell>
        </row>
        <row r="2498">
          <cell r="A2498" t="str">
            <v>L03-HUB-ITH-S118-02</v>
          </cell>
        </row>
        <row r="2499">
          <cell r="A2499" t="str">
            <v>L03-EDU-ETC-L079-04</v>
          </cell>
        </row>
        <row r="2500">
          <cell r="A2500" t="str">
            <v>L03-CIR-CIR-C004-01</v>
          </cell>
        </row>
        <row r="2501">
          <cell r="A2501" t="str">
            <v>L03-THR-PSY-U0751-01</v>
          </cell>
        </row>
        <row r="2502">
          <cell r="A2502" t="str">
            <v>L03-CIR-CIR-C004-01</v>
          </cell>
        </row>
        <row r="2503">
          <cell r="A2503" t="str">
            <v>L03-CIR-CIR-C006-09</v>
          </cell>
        </row>
        <row r="2504">
          <cell r="A2504" t="str">
            <v>L03-PHA-CYT-L023-02</v>
          </cell>
        </row>
        <row r="2505">
          <cell r="A2505" t="str">
            <v>L03-THR-POT-S139-04</v>
          </cell>
        </row>
        <row r="2506">
          <cell r="A2506" t="str">
            <v>L03-THR-CIR-C001-12</v>
          </cell>
        </row>
        <row r="2507">
          <cell r="A2507" t="str">
            <v>L03-THR-POT-U0729-01</v>
          </cell>
        </row>
        <row r="2508">
          <cell r="A2508" t="str">
            <v>L03-CIR-CIR-C006-07</v>
          </cell>
        </row>
        <row r="2509">
          <cell r="A2509" t="str">
            <v>L03-HUB-ITH-S118-14</v>
          </cell>
        </row>
        <row r="2510">
          <cell r="A2510" t="str">
            <v>L03-CIR-CIR-C006-12</v>
          </cell>
        </row>
        <row r="2511">
          <cell r="A2511" t="str">
            <v>L03-CIR-CIR-C008-08</v>
          </cell>
        </row>
        <row r="2512">
          <cell r="A2512" t="str">
            <v>L03-CIR-CIR-C008-05</v>
          </cell>
        </row>
        <row r="2513">
          <cell r="A2513" t="str">
            <v>L03-CIR-CIR-C008-01</v>
          </cell>
        </row>
        <row r="2514">
          <cell r="A2514" t="str">
            <v>L03-THR-CIR-C001-16</v>
          </cell>
        </row>
        <row r="2515">
          <cell r="A2515" t="str">
            <v>L03-THR-CIR-C001-14</v>
          </cell>
        </row>
        <row r="2516">
          <cell r="A2516" t="str">
            <v>L03-THR-MSW-S054-07</v>
          </cell>
        </row>
        <row r="2517">
          <cell r="A2517" t="str">
            <v>L03-THR-SLT-S147-01</v>
          </cell>
        </row>
        <row r="2518">
          <cell r="A2518" t="str">
            <v>L03-THR-PSY-S139-01</v>
          </cell>
        </row>
        <row r="2519">
          <cell r="A2519" t="str">
            <v>L03-EDU-ETC-U0971-01</v>
          </cell>
        </row>
        <row r="2520">
          <cell r="A2520" t="str">
            <v>L03-HUB-ITH-S118-10</v>
          </cell>
        </row>
        <row r="2521">
          <cell r="A2521" t="str">
            <v>L03-THR-MSW-S051-01</v>
          </cell>
        </row>
        <row r="2522">
          <cell r="A2522" t="str">
            <v>L03-COR-DIR-S115-01</v>
          </cell>
        </row>
        <row r="2523">
          <cell r="A2523" t="str">
            <v>L03-HUB-ITH-S118-09</v>
          </cell>
        </row>
        <row r="2524">
          <cell r="A2524" t="str">
            <v>L03-CIR-CIR-C006-02</v>
          </cell>
        </row>
        <row r="2525">
          <cell r="A2525" t="str">
            <v>L03-EDU-ETC-S139-04</v>
          </cell>
        </row>
        <row r="2526">
          <cell r="A2526" t="str">
            <v>L03-CIR-CIR-C008-04</v>
          </cell>
        </row>
        <row r="2527">
          <cell r="A2527" t="str">
            <v>L03-EDU-ETC-U0969-01</v>
          </cell>
        </row>
        <row r="2528">
          <cell r="A2528" t="str">
            <v>L03-CIR-CIR-C008-03</v>
          </cell>
        </row>
        <row r="2529">
          <cell r="A2529" t="str">
            <v>L03-THR-CIR-C001-08</v>
          </cell>
        </row>
        <row r="2530">
          <cell r="A2530" t="str">
            <v>L03-THR-CIR-C001-09</v>
          </cell>
        </row>
        <row r="2531">
          <cell r="A2531" t="str">
            <v>L03-THR-POT-L006-05</v>
          </cell>
        </row>
        <row r="2532">
          <cell r="A2532" t="str">
            <v>L03-EDU-ETC-S139-02</v>
          </cell>
        </row>
        <row r="2533">
          <cell r="A2533" t="str">
            <v>L03-CIR-CIR-C006-06</v>
          </cell>
        </row>
        <row r="2534">
          <cell r="A2534" t="str">
            <v>L03-HUB-ITH-S118-04</v>
          </cell>
        </row>
        <row r="2535">
          <cell r="A2535" t="str">
            <v>L03-COR-CIR-C001-01</v>
          </cell>
        </row>
        <row r="2536">
          <cell r="A2536" t="str">
            <v>L03-PLA-PLA-U1831-01</v>
          </cell>
        </row>
        <row r="2537">
          <cell r="A2537" t="str">
            <v>L03-CIR-CIR-C006-14</v>
          </cell>
        </row>
        <row r="2538">
          <cell r="A2538" t="str">
            <v>L03-CIR-CIR-C006-10</v>
          </cell>
        </row>
        <row r="2539">
          <cell r="A2539" t="str">
            <v>L03-THR-POT-S025-01</v>
          </cell>
        </row>
        <row r="2540">
          <cell r="A2540" t="str">
            <v>L03-THR-POT-S091-01</v>
          </cell>
        </row>
        <row r="2541">
          <cell r="A2541" t="str">
            <v>L03-EDU-ETC-U0970-01</v>
          </cell>
        </row>
        <row r="2542">
          <cell r="A2542" t="str">
            <v>L03-COR-DIR-S063-04</v>
          </cell>
        </row>
        <row r="2543">
          <cell r="A2543" t="str">
            <v>L03-HUB-ITH-S118-05</v>
          </cell>
        </row>
        <row r="2544">
          <cell r="A2544" t="str">
            <v>L03-CIR-CIR-C008-10</v>
          </cell>
        </row>
        <row r="2545">
          <cell r="A2545" t="str">
            <v>L03-THR-SLT-U0735-01</v>
          </cell>
        </row>
        <row r="2546">
          <cell r="A2546" t="str">
            <v>L03-THR-SLT-S114-01</v>
          </cell>
        </row>
        <row r="2547">
          <cell r="A2547" t="str">
            <v>L03-THR-NAD-S114-01</v>
          </cell>
        </row>
        <row r="2548">
          <cell r="A2548" t="str">
            <v>L03-PLA-PLA-U1831-02</v>
          </cell>
        </row>
        <row r="2549">
          <cell r="A2549" t="str">
            <v>L03-EDU-ETC-L078-05</v>
          </cell>
        </row>
        <row r="2550">
          <cell r="A2550" t="str">
            <v>L03-CIR-CIR-C006-04</v>
          </cell>
        </row>
        <row r="2551">
          <cell r="A2551" t="str">
            <v>L03-CIR-CIR-C006-13</v>
          </cell>
        </row>
        <row r="2552">
          <cell r="A2552" t="str">
            <v>L03-THR-CIR-C001-01</v>
          </cell>
        </row>
        <row r="2553">
          <cell r="A2553" t="str">
            <v>L03-CIR-CIR-C006-08</v>
          </cell>
        </row>
        <row r="2554">
          <cell r="A2554" t="str">
            <v>L03-EDU-ETC-U0962-01</v>
          </cell>
        </row>
        <row r="2555">
          <cell r="A2555" t="str">
            <v>L03-CIR-CIR-C006-05</v>
          </cell>
        </row>
        <row r="2556">
          <cell r="A2556" t="str">
            <v>L03-CIR-CIR-C006-03</v>
          </cell>
        </row>
        <row r="2557">
          <cell r="A2557" t="str">
            <v>L03-CIR-CIR-C008-02</v>
          </cell>
        </row>
        <row r="2558">
          <cell r="A2558" t="str">
            <v>L03-EDU-ETC-U0977-01</v>
          </cell>
        </row>
        <row r="2559">
          <cell r="A2559" t="str">
            <v>L03-EDU-ETC-U0973-01</v>
          </cell>
        </row>
        <row r="2560">
          <cell r="A2560" t="str">
            <v>L03-THR-POT-L086-01</v>
          </cell>
        </row>
        <row r="2561">
          <cell r="A2561" t="str">
            <v>L03-THR-POT-L086-02</v>
          </cell>
        </row>
        <row r="2562">
          <cell r="A2562" t="str">
            <v>L03-THR-POT-U0716-01</v>
          </cell>
        </row>
        <row r="2563">
          <cell r="A2563" t="str">
            <v>L03-EDU-CIR-C001-02</v>
          </cell>
        </row>
        <row r="2564">
          <cell r="A2564" t="str">
            <v>L03-HUB-ITH-S118-13</v>
          </cell>
        </row>
        <row r="2565">
          <cell r="A2565" t="str">
            <v>L03-COR-CIR-C001-02</v>
          </cell>
        </row>
        <row r="2566">
          <cell r="A2566" t="str">
            <v>L03-PHA-CIR-C001-04</v>
          </cell>
        </row>
        <row r="2567">
          <cell r="A2567" t="str">
            <v>L03-ONC-DW3-S115-33</v>
          </cell>
        </row>
        <row r="2568">
          <cell r="A2568" t="str">
            <v>L03-THR-CIR-C001-15</v>
          </cell>
        </row>
        <row r="2569">
          <cell r="A2569" t="str">
            <v>L03-THR-POT-S135-03</v>
          </cell>
        </row>
        <row r="2570">
          <cell r="A2570" t="str">
            <v>L03-PHA-PHA-S114-05</v>
          </cell>
        </row>
        <row r="2571">
          <cell r="A2571" t="str">
            <v>L03-PHA-PHA-S114-03</v>
          </cell>
        </row>
        <row r="2572">
          <cell r="A2572" t="str">
            <v>L03-PHA-PHA-S114-02</v>
          </cell>
        </row>
        <row r="2573">
          <cell r="A2573" t="str">
            <v>L03-CIR-CIR-C003-02</v>
          </cell>
        </row>
        <row r="2574">
          <cell r="A2574" t="str">
            <v>L03-THR-POT-S061-01</v>
          </cell>
        </row>
        <row r="2575">
          <cell r="A2575" t="str">
            <v>L04-ONC-DHO-S090-01</v>
          </cell>
        </row>
        <row r="2576">
          <cell r="A2576" t="str">
            <v>L04-ONC-DHO-S090-02</v>
          </cell>
        </row>
        <row r="2577">
          <cell r="A2577" t="str">
            <v>L04-ONC-DHO-S113-02</v>
          </cell>
        </row>
        <row r="2578">
          <cell r="A2578" t="str">
            <v>L04-ONC-DHO-S111-01</v>
          </cell>
        </row>
        <row r="2579">
          <cell r="A2579" t="str">
            <v>L04-ONC-DHO-L047-01</v>
          </cell>
        </row>
        <row r="2580">
          <cell r="A2580" t="str">
            <v>L04-ONC-DHO-L047-02</v>
          </cell>
        </row>
        <row r="2581">
          <cell r="A2581" t="str">
            <v>L04-ONC-DHO-L041-04</v>
          </cell>
        </row>
        <row r="2582">
          <cell r="A2582" t="str">
            <v>L04-ONC-DHO-L041-03</v>
          </cell>
        </row>
        <row r="2583">
          <cell r="A2583" t="str">
            <v>L04-ONC-DHO-S097-01</v>
          </cell>
        </row>
        <row r="2584">
          <cell r="A2584" t="str">
            <v>L04-NUT-INP-S056-01</v>
          </cell>
        </row>
        <row r="2585">
          <cell r="A2585" t="str">
            <v>L04-NUT-INP-S023-01</v>
          </cell>
        </row>
        <row r="2586">
          <cell r="A2586" t="str">
            <v>L04-NUT-INP-S036-01</v>
          </cell>
        </row>
        <row r="2587">
          <cell r="A2587" t="str">
            <v>L04-NUT-INP-S112-01</v>
          </cell>
        </row>
        <row r="2588">
          <cell r="A2588" t="str">
            <v>L04-NUT-INP-S093-01</v>
          </cell>
        </row>
        <row r="2589">
          <cell r="A2589" t="str">
            <v>L04-NUT-INP-S060-01</v>
          </cell>
        </row>
        <row r="2590">
          <cell r="A2590" t="str">
            <v>L04-NUT-INP-S072-01</v>
          </cell>
        </row>
        <row r="2591">
          <cell r="A2591" t="str">
            <v/>
          </cell>
        </row>
        <row r="2592">
          <cell r="A2592" t="str">
            <v>L04-ONC-INP-S127-01</v>
          </cell>
        </row>
        <row r="2593">
          <cell r="A2593" t="str">
            <v>L04-ONC-INP-S107-02</v>
          </cell>
        </row>
        <row r="2594">
          <cell r="A2594" t="str">
            <v>L04-ONC-INP-S036-02</v>
          </cell>
        </row>
        <row r="2595">
          <cell r="A2595" t="str">
            <v>L04-ONC-INP-S114-02</v>
          </cell>
        </row>
        <row r="2596">
          <cell r="A2596" t="str">
            <v>L04-ONC-INP-S056-03</v>
          </cell>
        </row>
        <row r="2597">
          <cell r="A2597" t="str">
            <v>L04-ONC-INP-S023-02</v>
          </cell>
        </row>
        <row r="2598">
          <cell r="A2598" t="str">
            <v>L04-ONC-INP-S010-01</v>
          </cell>
        </row>
        <row r="2599">
          <cell r="A2599" t="str">
            <v>L04-ONC-INP-S019-01</v>
          </cell>
        </row>
        <row r="2600">
          <cell r="A2600" t="str">
            <v/>
          </cell>
        </row>
        <row r="2601">
          <cell r="A2601" t="str">
            <v>L04-NUT-INP-S001-03</v>
          </cell>
        </row>
        <row r="2602">
          <cell r="A2602" t="str">
            <v>L04-NUT-INP-S001-02</v>
          </cell>
        </row>
        <row r="2603">
          <cell r="A2603" t="str">
            <v>L04-NUT-INP-S044-06</v>
          </cell>
        </row>
        <row r="2604">
          <cell r="A2604" t="str">
            <v>L04-NUT-INP-S044-03</v>
          </cell>
        </row>
        <row r="2605">
          <cell r="A2605" t="str">
            <v>L04-NUT-INP-S044-08</v>
          </cell>
        </row>
        <row r="2606">
          <cell r="A2606" t="str">
            <v>L04-NUT-INP-S044-12</v>
          </cell>
        </row>
        <row r="2607">
          <cell r="A2607" t="str">
            <v>L04-NUT-INP-S001-05</v>
          </cell>
        </row>
        <row r="2608">
          <cell r="A2608" t="str">
            <v>L04-NUT-INP-S044-01</v>
          </cell>
        </row>
        <row r="2609">
          <cell r="A2609" t="str">
            <v>L04-NUT-INP-S044-14</v>
          </cell>
        </row>
        <row r="2610">
          <cell r="A2610" t="str">
            <v>L04-NUT-INP-S044-10</v>
          </cell>
        </row>
        <row r="2611">
          <cell r="A2611" t="str">
            <v>L04-NUT-INP-S001-06</v>
          </cell>
        </row>
        <row r="2612">
          <cell r="A2612" t="str">
            <v>L04-ONC-INP-S044-01</v>
          </cell>
        </row>
        <row r="2613">
          <cell r="A2613" t="str">
            <v>L04-ONC-INP-S044-04</v>
          </cell>
        </row>
        <row r="2614">
          <cell r="A2614" t="str">
            <v>L04-ONC-INP-S044-05</v>
          </cell>
        </row>
        <row r="2615">
          <cell r="A2615" t="str">
            <v>L04-ONC-INP-S044-20</v>
          </cell>
        </row>
        <row r="2616">
          <cell r="A2616" t="str">
            <v>L04-ONC-INP-S044-14</v>
          </cell>
        </row>
        <row r="2617">
          <cell r="A2617" t="str">
            <v>L04-ONC-INP-S044-11</v>
          </cell>
        </row>
        <row r="2618">
          <cell r="A2618" t="str">
            <v>L04-ONC-INP-S044-07</v>
          </cell>
        </row>
        <row r="2619">
          <cell r="A2619" t="str">
            <v>L04-ONC-INP-S001-01</v>
          </cell>
        </row>
        <row r="2620">
          <cell r="A2620" t="str">
            <v>L04-ONC-INP-S110-01</v>
          </cell>
        </row>
        <row r="2621">
          <cell r="A2621" t="str">
            <v>L04-ONC-INP-S044-10</v>
          </cell>
        </row>
        <row r="2622">
          <cell r="A2622" t="str">
            <v>L04-ONC-INP-S044-22</v>
          </cell>
        </row>
        <row r="2623">
          <cell r="A2623" t="str">
            <v>L04-ONC-INP-S044-25</v>
          </cell>
        </row>
        <row r="2624">
          <cell r="A2624" t="str">
            <v>L04-ONC-INP-S044-26</v>
          </cell>
        </row>
        <row r="2625">
          <cell r="A2625" t="str">
            <v>L04-ONC-INP-S001-05</v>
          </cell>
        </row>
        <row r="2626">
          <cell r="A2626" t="str">
            <v>L04-ONC-INP-S001-11</v>
          </cell>
        </row>
        <row r="2627">
          <cell r="A2627" t="str">
            <v>L04-ONC-INP-S001-10</v>
          </cell>
        </row>
        <row r="2628">
          <cell r="A2628" t="str">
            <v>L04-ONC-INP-S014-18</v>
          </cell>
        </row>
        <row r="2629">
          <cell r="A2629" t="str">
            <v>L04-ONC-INP-S044-23</v>
          </cell>
        </row>
        <row r="2630">
          <cell r="A2630" t="str">
            <v>L04-ONC-INP-S044-24</v>
          </cell>
        </row>
        <row r="2631">
          <cell r="A2631" t="str">
            <v>L04-ONC-INP-S014-21</v>
          </cell>
        </row>
        <row r="2632">
          <cell r="A2632" t="str">
            <v>L04-ONC-INP-S014-22</v>
          </cell>
        </row>
        <row r="2633">
          <cell r="A2633" t="str">
            <v>L04-ONC-INP-S044-27</v>
          </cell>
        </row>
        <row r="2634">
          <cell r="A2634" t="str">
            <v>L04-ONC-INP-S014-23</v>
          </cell>
        </row>
        <row r="2635">
          <cell r="A2635" t="str">
            <v>L04-ONC-INP-S107-03</v>
          </cell>
        </row>
        <row r="2636">
          <cell r="A2636" t="str">
            <v>L04-ONC-INP-S044-06</v>
          </cell>
        </row>
        <row r="2637">
          <cell r="A2637" t="str">
            <v>L04-ONC-INP-S044-08</v>
          </cell>
        </row>
        <row r="2638">
          <cell r="A2638" t="str">
            <v>L04-ONC-INP-S014-08</v>
          </cell>
        </row>
        <row r="2639">
          <cell r="A2639" t="str">
            <v>L04-ONC-INP-S014-09</v>
          </cell>
        </row>
        <row r="2640">
          <cell r="A2640" t="str">
            <v>L04-ONC-INP-S044-09</v>
          </cell>
        </row>
        <row r="2641">
          <cell r="A2641" t="str">
            <v>L04-ONC-INP-S044-12</v>
          </cell>
        </row>
        <row r="2642">
          <cell r="A2642" t="str">
            <v>L04-ONC-INP-S014-12</v>
          </cell>
        </row>
        <row r="2643">
          <cell r="A2643" t="str">
            <v>L04-ONC-INP-S014-13</v>
          </cell>
        </row>
        <row r="2644">
          <cell r="A2644" t="str">
            <v>L04-ONC-INP-S044-13</v>
          </cell>
        </row>
        <row r="2645">
          <cell r="A2645" t="str">
            <v>L04-ONC-INP-S044-17</v>
          </cell>
        </row>
        <row r="2646">
          <cell r="A2646" t="str">
            <v>L04-ONC-INP-S013-04</v>
          </cell>
        </row>
        <row r="2647">
          <cell r="A2647" t="str">
            <v>L04-ONC-INP-S044-21</v>
          </cell>
        </row>
        <row r="2648">
          <cell r="A2648" t="str">
            <v>L04-ONC-DHO-S044-04</v>
          </cell>
        </row>
        <row r="2649">
          <cell r="A2649" t="str">
            <v>L04-NUT-INP-S014-07</v>
          </cell>
        </row>
        <row r="2650">
          <cell r="A2650" t="str">
            <v>L04-NUT-INP-S044-07</v>
          </cell>
        </row>
        <row r="2651">
          <cell r="A2651" t="str">
            <v>L04-NUT-INP-S044-09</v>
          </cell>
        </row>
        <row r="2652">
          <cell r="A2652" t="str">
            <v>L04-NUT-INP-S014-10</v>
          </cell>
        </row>
        <row r="2653">
          <cell r="A2653" t="str">
            <v>L04-NUT-INP-S014-11</v>
          </cell>
        </row>
        <row r="2654">
          <cell r="A2654" t="str">
            <v>L04-NUT-INP-S044-11</v>
          </cell>
        </row>
        <row r="2655">
          <cell r="A2655" t="str">
            <v>L04-NUT-INP-S044-13</v>
          </cell>
        </row>
        <row r="2656">
          <cell r="A2656" t="str">
            <v/>
          </cell>
        </row>
        <row r="2657">
          <cell r="A2657" t="str">
            <v>L04-ONC-INP-S115-01</v>
          </cell>
        </row>
        <row r="2658">
          <cell r="A2658" t="str">
            <v>L04-ONC-INP-S075-02</v>
          </cell>
        </row>
        <row r="2659">
          <cell r="A2659" t="str">
            <v>L04-ONC-INP-S001-08</v>
          </cell>
        </row>
        <row r="2660">
          <cell r="A2660" t="str">
            <v>L04-ONC-INP-S001-07</v>
          </cell>
        </row>
        <row r="2661">
          <cell r="A2661" t="str">
            <v>L04-ONC-INP-S001-09</v>
          </cell>
        </row>
        <row r="2662">
          <cell r="A2662" t="str">
            <v>L04-ONC-INP-S001-02</v>
          </cell>
        </row>
        <row r="2663">
          <cell r="A2663" t="str">
            <v>L04-ONC-INP-S044-33</v>
          </cell>
        </row>
        <row r="2664">
          <cell r="A2664" t="str">
            <v>L04-ONC-INP-S013-11</v>
          </cell>
        </row>
        <row r="2665">
          <cell r="A2665" t="str">
            <v>L04-ONC-INP-S013-10</v>
          </cell>
        </row>
        <row r="2666">
          <cell r="A2666" t="str">
            <v>L04-ONC-INP-S044-32</v>
          </cell>
        </row>
        <row r="2667">
          <cell r="A2667" t="str">
            <v>L04-ONC-INP-S013-09</v>
          </cell>
        </row>
        <row r="2668">
          <cell r="A2668" t="str">
            <v>L04-ONC-INP-S013-08</v>
          </cell>
        </row>
        <row r="2669">
          <cell r="A2669" t="str">
            <v>L04-ONC-INP-S044-30</v>
          </cell>
        </row>
        <row r="2670">
          <cell r="A2670" t="str">
            <v>L04-ONC-INP-S013-07</v>
          </cell>
        </row>
        <row r="2671">
          <cell r="A2671" t="str">
            <v>L04-ONC-INP-S044-29</v>
          </cell>
        </row>
        <row r="2672">
          <cell r="A2672" t="str">
            <v>L04-ONC-INP-S013-06</v>
          </cell>
        </row>
        <row r="2673">
          <cell r="A2673" t="str">
            <v>L04-ONC-DCU-S028-06</v>
          </cell>
        </row>
        <row r="2674">
          <cell r="A2674" t="str">
            <v>L04-ONC-DCU-S028-05</v>
          </cell>
        </row>
        <row r="2675">
          <cell r="A2675" t="str">
            <v>L04-ONC-DCU-S028-04</v>
          </cell>
        </row>
        <row r="2676">
          <cell r="A2676" t="str">
            <v>L04-ONC-DCU-S028-01</v>
          </cell>
        </row>
        <row r="2677">
          <cell r="A2677" t="str">
            <v/>
          </cell>
        </row>
        <row r="2678">
          <cell r="A2678" t="str">
            <v>L04-ONC-DHO-S113-05</v>
          </cell>
        </row>
        <row r="2679">
          <cell r="A2679" t="str">
            <v>L04-ONC-DHO-S113-08</v>
          </cell>
        </row>
        <row r="2680">
          <cell r="A2680" t="str">
            <v>L04-ONC-DHO-L024-01</v>
          </cell>
        </row>
        <row r="2681">
          <cell r="A2681" t="str">
            <v>L04-ONC-DHO-S113-06</v>
          </cell>
        </row>
        <row r="2682">
          <cell r="A2682" t="str">
            <v>L04-ONC-DHO-L024-02</v>
          </cell>
        </row>
        <row r="2683">
          <cell r="A2683" t="str">
            <v>L04-ONC-DHO-L024-03</v>
          </cell>
        </row>
        <row r="2684">
          <cell r="A2684" t="str">
            <v>L04-ONC-DHO-S113-07</v>
          </cell>
        </row>
        <row r="2685">
          <cell r="A2685" t="str">
            <v>L04-ONC-DHO-S044-02</v>
          </cell>
        </row>
        <row r="2686">
          <cell r="A2686" t="str">
            <v>L04-ONC-DHO-S044-01</v>
          </cell>
        </row>
        <row r="2687">
          <cell r="A2687" t="str">
            <v>L04-ONC-DHO-S001-01</v>
          </cell>
        </row>
        <row r="2688">
          <cell r="A2688" t="str">
            <v>L04-ONC-DHO-L024-05</v>
          </cell>
        </row>
        <row r="2689">
          <cell r="A2689" t="str">
            <v>L04-ONC-DHO-S001-02</v>
          </cell>
        </row>
        <row r="2690">
          <cell r="A2690" t="str">
            <v>L04-ONC-DHO-L024-06</v>
          </cell>
        </row>
        <row r="2691">
          <cell r="A2691" t="str">
            <v>L04-ONC-DHO-S001-03</v>
          </cell>
        </row>
        <row r="2692">
          <cell r="A2692" t="str">
            <v>L04-ONC-DHO-L024-07</v>
          </cell>
        </row>
        <row r="2693">
          <cell r="A2693" t="str">
            <v>L04-ONC-DHO-S001-04</v>
          </cell>
        </row>
        <row r="2694">
          <cell r="A2694" t="str">
            <v>L04-ONC-DHO-L024-08</v>
          </cell>
        </row>
        <row r="2695">
          <cell r="A2695" t="str">
            <v>L04-ONC-DCU-U0245-01</v>
          </cell>
        </row>
        <row r="2696">
          <cell r="A2696" t="str">
            <v>L04-ONC-DCU-S053-01</v>
          </cell>
        </row>
        <row r="2697">
          <cell r="A2697" t="str">
            <v>L04-ONC-DCU-U0244-01</v>
          </cell>
        </row>
        <row r="2698">
          <cell r="A2698" t="str">
            <v>L04-NUT-DC4-S053-01</v>
          </cell>
        </row>
        <row r="2699">
          <cell r="A2699" t="str">
            <v>L04-NUT-INP-S075-01</v>
          </cell>
        </row>
        <row r="2700">
          <cell r="A2700" t="str">
            <v>L04-NUT-DRO-U0285-01</v>
          </cell>
        </row>
        <row r="2701">
          <cell r="A2701" t="str">
            <v>L04-NUT-INP-S107-01</v>
          </cell>
        </row>
        <row r="2702">
          <cell r="A2702" t="str">
            <v>L04-NUT-INP-S127-02</v>
          </cell>
        </row>
        <row r="2703">
          <cell r="A2703" t="str">
            <v>L04-NUT-INP-S014-01</v>
          </cell>
        </row>
        <row r="2704">
          <cell r="A2704" t="str">
            <v>L04-NUT-INP-S044-02</v>
          </cell>
        </row>
        <row r="2705">
          <cell r="A2705" t="str">
            <v>L04-NUT-INP-S014-02</v>
          </cell>
        </row>
        <row r="2706">
          <cell r="A2706" t="str">
            <v>L04-NUT-INP-S014-03</v>
          </cell>
        </row>
        <row r="2707">
          <cell r="A2707" t="str">
            <v>L04-NUT-INP-S044-04</v>
          </cell>
        </row>
        <row r="2708">
          <cell r="A2708" t="str">
            <v>L04-NUT-INP-S014-04</v>
          </cell>
        </row>
        <row r="2709">
          <cell r="A2709" t="str">
            <v>L04-NUT-INP-S014-05</v>
          </cell>
        </row>
        <row r="2710">
          <cell r="A2710" t="str">
            <v>L04-NUT-INP-S044-05</v>
          </cell>
        </row>
        <row r="2711">
          <cell r="A2711" t="str">
            <v>L04-NUT-INP-S014-06</v>
          </cell>
        </row>
        <row r="2712">
          <cell r="A2712" t="str">
            <v>L04-NUT-INP-S013-03</v>
          </cell>
        </row>
        <row r="2713">
          <cell r="A2713" t="str">
            <v>L04-NUT-INP-S044-16</v>
          </cell>
        </row>
        <row r="2714">
          <cell r="A2714" t="str">
            <v>L04-NUT-INP-S013-04</v>
          </cell>
        </row>
        <row r="2715">
          <cell r="A2715" t="str">
            <v>L04-NUT-INP-S013-05</v>
          </cell>
        </row>
        <row r="2716">
          <cell r="A2716" t="str">
            <v>L04-NUT-INP-S044-17</v>
          </cell>
        </row>
        <row r="2717">
          <cell r="A2717" t="str">
            <v>L04-NUT-INP-S013-06</v>
          </cell>
        </row>
        <row r="2718">
          <cell r="A2718" t="str">
            <v>L04-NUT-INP-S013-01</v>
          </cell>
        </row>
        <row r="2719">
          <cell r="A2719" t="str">
            <v>L04-NUT-INP-S044-19</v>
          </cell>
        </row>
        <row r="2720">
          <cell r="A2720" t="str">
            <v>L04-NUT-INP-S013-02</v>
          </cell>
        </row>
        <row r="2721">
          <cell r="A2721" t="str">
            <v>L04-NUT-INP-S042-01</v>
          </cell>
        </row>
        <row r="2722">
          <cell r="A2722" t="str">
            <v>L04-NUT-INP-S001-01</v>
          </cell>
        </row>
        <row r="2723">
          <cell r="A2723" t="str">
            <v>L04-NUT-INP-S001-04</v>
          </cell>
        </row>
        <row r="2724">
          <cell r="A2724" t="str">
            <v>L04-NUT-INP-S067-01</v>
          </cell>
        </row>
        <row r="2725">
          <cell r="A2725" t="str">
            <v>L04-ONC-DHO-U0636-01</v>
          </cell>
        </row>
        <row r="2726">
          <cell r="A2726" t="str">
            <v>L04-ONC-INP-S044-28</v>
          </cell>
        </row>
        <row r="2727">
          <cell r="A2727" t="str">
            <v>L04-ONC-INP-S059-01</v>
          </cell>
        </row>
        <row r="2728">
          <cell r="A2728" t="str">
            <v>L04-ONC-DHO-L041-02</v>
          </cell>
        </row>
        <row r="2729">
          <cell r="A2729" t="str">
            <v>L04-ONC-DHO-L041-01</v>
          </cell>
        </row>
        <row r="2730">
          <cell r="A2730" t="str">
            <v>L04-ONC-DHO-L047-03</v>
          </cell>
        </row>
        <row r="2731">
          <cell r="A2731" t="str">
            <v>L04-ONC-DHO-L047-04</v>
          </cell>
        </row>
        <row r="2732">
          <cell r="A2732" t="str">
            <v>L04-NUT-DC4-S028-03</v>
          </cell>
        </row>
        <row r="2733">
          <cell r="A2733" t="str">
            <v>L04-NUT-SNU-S108-01</v>
          </cell>
        </row>
        <row r="2734">
          <cell r="A2734" t="str">
            <v>L04-ONC-INP-S025-01</v>
          </cell>
        </row>
        <row r="2735">
          <cell r="A2735" t="str">
            <v>L04-ONC-DHO-S122-06</v>
          </cell>
        </row>
        <row r="2736">
          <cell r="A2736" t="str">
            <v>L04-ONC-DHO-S122-05</v>
          </cell>
        </row>
        <row r="2737">
          <cell r="A2737" t="str">
            <v>L04-ONC-DHO-S122-04</v>
          </cell>
        </row>
        <row r="2738">
          <cell r="A2738" t="str">
            <v>L04-ONC-DHO-S122-03</v>
          </cell>
        </row>
        <row r="2739">
          <cell r="A2739" t="str">
            <v>L04-ONC-DHO-S122-02</v>
          </cell>
        </row>
        <row r="2740">
          <cell r="A2740" t="str">
            <v>L04-ONC-DHO-S122-01</v>
          </cell>
        </row>
        <row r="2741">
          <cell r="A2741" t="str">
            <v>L04-ONC-INP-S068-01</v>
          </cell>
        </row>
        <row r="2742">
          <cell r="A2742" t="str">
            <v>L04-ONC-INP-U1115-01</v>
          </cell>
        </row>
        <row r="2743">
          <cell r="A2743" t="str">
            <v>L04-ONC-INP-S001-06</v>
          </cell>
        </row>
        <row r="2744">
          <cell r="A2744" t="str">
            <v>L04-NUT-DC4-S052-02</v>
          </cell>
        </row>
        <row r="2745">
          <cell r="A2745" t="str">
            <v>L04-NUT-DC4-S052-04</v>
          </cell>
        </row>
        <row r="2746">
          <cell r="A2746" t="str">
            <v>L04-ONC-DHO-S108-01</v>
          </cell>
        </row>
        <row r="2747">
          <cell r="A2747" t="str">
            <v>L04-ONC-DCU-L045-01</v>
          </cell>
        </row>
        <row r="2748">
          <cell r="A2748" t="str">
            <v>L04-ONC-DCU-S120-01</v>
          </cell>
        </row>
        <row r="2749">
          <cell r="A2749" t="str">
            <v>L04-ONC-DCU-S044-01</v>
          </cell>
        </row>
        <row r="2750">
          <cell r="A2750" t="str">
            <v>L04-ONC-DCU-S120-02</v>
          </cell>
        </row>
        <row r="2751">
          <cell r="A2751" t="str">
            <v>L04-ONC-DCU-S044-02</v>
          </cell>
        </row>
        <row r="2752">
          <cell r="A2752" t="str">
            <v>L04-ONC-DCU-S029-01</v>
          </cell>
        </row>
        <row r="2753">
          <cell r="A2753" t="str">
            <v>L04-ONC-DCU-L045-02</v>
          </cell>
        </row>
        <row r="2754">
          <cell r="A2754" t="str">
            <v>L04-ONC-DCU-S105-01</v>
          </cell>
        </row>
        <row r="2755">
          <cell r="A2755" t="str">
            <v>L04-ONC-DHO-S128-01</v>
          </cell>
        </row>
        <row r="2756">
          <cell r="A2756" t="str">
            <v>L04-ONC-DHO-L024-04</v>
          </cell>
        </row>
        <row r="2757">
          <cell r="A2757" t="str">
            <v>L04-NUT-DC4-S028-02</v>
          </cell>
        </row>
        <row r="2758">
          <cell r="A2758" t="str">
            <v>L04-NUT-DC4-S028-01</v>
          </cell>
        </row>
        <row r="2759">
          <cell r="A2759" t="str">
            <v>L04-NUT-SNU-S147-01</v>
          </cell>
        </row>
        <row r="2760">
          <cell r="A2760" t="str">
            <v>L04-NUT-DC4-S053-02</v>
          </cell>
        </row>
        <row r="2761">
          <cell r="A2761" t="str">
            <v>L04-NUT-DC4-S064-01</v>
          </cell>
        </row>
        <row r="2762">
          <cell r="A2762" t="str">
            <v>L04-NUT-DC4-S052-01</v>
          </cell>
        </row>
        <row r="2763">
          <cell r="A2763" t="str">
            <v>L04-ONC-INP-S005-01</v>
          </cell>
        </row>
        <row r="2764">
          <cell r="A2764" t="str">
            <v>L04-ONC-INP-S139-01</v>
          </cell>
        </row>
        <row r="2765">
          <cell r="A2765" t="str">
            <v>L04-ONC-INP-S072-02</v>
          </cell>
        </row>
        <row r="2766">
          <cell r="A2766" t="str">
            <v>L04-ONC-INP-S114-03</v>
          </cell>
        </row>
        <row r="2767">
          <cell r="A2767" t="str">
            <v>L04-ONC-INP-S114-01</v>
          </cell>
        </row>
        <row r="2768">
          <cell r="A2768" t="str">
            <v>L04-ONC-INP-S068-02</v>
          </cell>
        </row>
        <row r="2769">
          <cell r="A2769" t="str">
            <v>L04-ONC-INP-S076-01</v>
          </cell>
        </row>
        <row r="2770">
          <cell r="A2770" t="str">
            <v>L04-ONC-INP-S013-01</v>
          </cell>
        </row>
        <row r="2771">
          <cell r="A2771" t="str">
            <v>L04-ONC-INP-S044-15</v>
          </cell>
        </row>
        <row r="2772">
          <cell r="A2772" t="str">
            <v>L04-ONC-INP-S013-02</v>
          </cell>
        </row>
        <row r="2773">
          <cell r="A2773" t="str">
            <v>L04-ONC-INP-S014-01</v>
          </cell>
        </row>
        <row r="2774">
          <cell r="A2774" t="str">
            <v>L04-ONC-INP-S044-02</v>
          </cell>
        </row>
        <row r="2775">
          <cell r="A2775" t="str">
            <v>L04-ONC-INP-S014-02</v>
          </cell>
        </row>
        <row r="2776">
          <cell r="A2776" t="str">
            <v>L04-ONC-INP-S014-03</v>
          </cell>
        </row>
        <row r="2777">
          <cell r="A2777" t="str">
            <v>L04-ONC-INP-S044-03</v>
          </cell>
        </row>
        <row r="2778">
          <cell r="A2778" t="str">
            <v>L04-ONC-INP-S014-04</v>
          </cell>
        </row>
        <row r="2779">
          <cell r="A2779" t="str">
            <v>L04-ONC-INP-S014-05</v>
          </cell>
        </row>
        <row r="2780">
          <cell r="A2780" t="str">
            <v>L04-ONC-INP-S044-18</v>
          </cell>
        </row>
        <row r="2781">
          <cell r="A2781" t="str">
            <v>L04-ONC-INP-S014-15</v>
          </cell>
        </row>
        <row r="2782">
          <cell r="A2782" t="str">
            <v>L04-ONC-INP-S014-16</v>
          </cell>
        </row>
        <row r="2783">
          <cell r="A2783" t="str">
            <v>L04-ONC-INP-S044-19</v>
          </cell>
        </row>
        <row r="2784">
          <cell r="A2784" t="str">
            <v>L04-ONC-INP-S112-01</v>
          </cell>
        </row>
        <row r="2785">
          <cell r="A2785" t="str">
            <v/>
          </cell>
        </row>
        <row r="2786">
          <cell r="A2786" t="str">
            <v>L04-ONC-DHO-S090-03</v>
          </cell>
        </row>
        <row r="2787">
          <cell r="A2787" t="str">
            <v>L04-ONC-INP-S134-01</v>
          </cell>
        </row>
        <row r="2788">
          <cell r="A2788" t="str">
            <v>L04-ONC-DCU-S108-01</v>
          </cell>
        </row>
        <row r="2789">
          <cell r="A2789" t="str">
            <v>L04-ONC-INP-U1269-01</v>
          </cell>
        </row>
        <row r="2790">
          <cell r="A2790" t="str">
            <v>L04-ONC-DCU-S027-01</v>
          </cell>
        </row>
        <row r="2791">
          <cell r="A2791" t="str">
            <v>L04-NUT-SNU-S111-03</v>
          </cell>
        </row>
        <row r="2792">
          <cell r="A2792" t="str">
            <v>L04-NUT-DRO-S044-02</v>
          </cell>
        </row>
        <row r="2793">
          <cell r="A2793" t="str">
            <v>L04-NUT-DRO-L091-01</v>
          </cell>
        </row>
        <row r="2794">
          <cell r="A2794" t="str">
            <v>L04-NUT-DRO-L091-02</v>
          </cell>
        </row>
        <row r="2795">
          <cell r="A2795" t="str">
            <v>L04-NUT-DRO-L091-03</v>
          </cell>
        </row>
        <row r="2796">
          <cell r="A2796" t="str">
            <v>L04-NUT-DRO-L091-04</v>
          </cell>
        </row>
        <row r="2797">
          <cell r="A2797" t="str">
            <v>L04-NUT-DRO-S044-01</v>
          </cell>
        </row>
        <row r="2798">
          <cell r="A2798" t="str">
            <v>L04-NUT-DRO-S001-01</v>
          </cell>
        </row>
        <row r="2799">
          <cell r="A2799" t="str">
            <v>L04-NUT-DRO-S001-02</v>
          </cell>
        </row>
        <row r="2800">
          <cell r="A2800" t="str">
            <v>L04-NUT-DRO-L083-02</v>
          </cell>
        </row>
        <row r="2801">
          <cell r="A2801" t="str">
            <v>L04-ONC-INP-S036-03</v>
          </cell>
        </row>
        <row r="2802">
          <cell r="A2802" t="str">
            <v>L04-ONC-INP-S049-01</v>
          </cell>
        </row>
        <row r="2803">
          <cell r="A2803" t="str">
            <v>L04-ONC-INP-S093-03</v>
          </cell>
        </row>
        <row r="2804">
          <cell r="A2804" t="str">
            <v>L04-ONC-INP-S115-06</v>
          </cell>
        </row>
        <row r="2805">
          <cell r="A2805" t="str">
            <v>L04-ONC-INP-S013-03</v>
          </cell>
        </row>
        <row r="2806">
          <cell r="A2806" t="str">
            <v>L04-ONC-INP-S014-11</v>
          </cell>
        </row>
        <row r="2807">
          <cell r="A2807" t="str">
            <v>L04-ONC-INP-S014-10</v>
          </cell>
        </row>
        <row r="2808">
          <cell r="A2808" t="str">
            <v>L04-ONC-INP-S014-07</v>
          </cell>
        </row>
        <row r="2809">
          <cell r="A2809" t="str">
            <v>L04-ONC-INP-S014-06</v>
          </cell>
        </row>
        <row r="2810">
          <cell r="A2810" t="str">
            <v>L04-NUT-INP-S014-09</v>
          </cell>
        </row>
        <row r="2811">
          <cell r="A2811" t="str">
            <v>L04-NUT-INP-S014-08</v>
          </cell>
        </row>
        <row r="2812">
          <cell r="A2812" t="str">
            <v>L04-NUT-INP-S014-13</v>
          </cell>
        </row>
        <row r="2813">
          <cell r="A2813" t="str">
            <v>L04-NUT-INP-S014-12</v>
          </cell>
        </row>
        <row r="2814">
          <cell r="A2814" t="str">
            <v>L04-ONC-INP-S014-19</v>
          </cell>
        </row>
        <row r="2815">
          <cell r="A2815" t="str">
            <v>L04-ONC-INP-S014-20</v>
          </cell>
        </row>
        <row r="2816">
          <cell r="A2816" t="str">
            <v>L04-MAI-RET-S113-01</v>
          </cell>
        </row>
        <row r="2817">
          <cell r="A2817" t="str">
            <v>L04-MAI-RET-S113-02</v>
          </cell>
        </row>
        <row r="2818">
          <cell r="A2818" t="str">
            <v>L04-MAI-RET-S109-01</v>
          </cell>
        </row>
        <row r="2819">
          <cell r="A2819" t="str">
            <v>L04-MAI-RET-U1286-01</v>
          </cell>
        </row>
        <row r="2820">
          <cell r="A2820" t="str">
            <v>L04-ONC-INP-U1614-01</v>
          </cell>
        </row>
        <row r="2821">
          <cell r="A2821" t="str">
            <v>L04-ONC-INP-U1613-01</v>
          </cell>
        </row>
        <row r="2822">
          <cell r="A2822" t="str">
            <v>L04-NUT-INP-S080-02</v>
          </cell>
        </row>
        <row r="2823">
          <cell r="A2823" t="str">
            <v>L04-NUT-INP-S139-04</v>
          </cell>
        </row>
        <row r="2824">
          <cell r="A2824" t="str">
            <v/>
          </cell>
        </row>
        <row r="2825">
          <cell r="A2825" t="str">
            <v>L04-NUT-DHO-S152-01</v>
          </cell>
        </row>
        <row r="2826">
          <cell r="A2826" t="str">
            <v>L04-ONC-INP-S152-01</v>
          </cell>
        </row>
        <row r="2827">
          <cell r="A2827" t="str">
            <v>L04-ONC-INP-S014-14</v>
          </cell>
        </row>
        <row r="2828">
          <cell r="A2828" t="str">
            <v>L04-ONC-INP-S152-05</v>
          </cell>
        </row>
        <row r="2829">
          <cell r="A2829" t="str">
            <v>L04-ONC-INP-S152-04</v>
          </cell>
        </row>
        <row r="2830">
          <cell r="A2830" t="str">
            <v>L04-ONC-INP-S152-03</v>
          </cell>
        </row>
        <row r="2831">
          <cell r="A2831" t="str">
            <v>L04-NUT-INP-S152-02</v>
          </cell>
        </row>
        <row r="2832">
          <cell r="A2832" t="str">
            <v>L04-NUT-INP-S152-03</v>
          </cell>
        </row>
        <row r="2833">
          <cell r="A2833" t="str">
            <v>L04-ONC-INP-S001-03</v>
          </cell>
        </row>
        <row r="2834">
          <cell r="A2834" t="str">
            <v>L04-ONC-INP-S023-03</v>
          </cell>
        </row>
        <row r="2835">
          <cell r="A2835" t="str">
            <v>L04-ONC-INP-S056-04</v>
          </cell>
        </row>
        <row r="2836">
          <cell r="A2836" t="str">
            <v/>
          </cell>
        </row>
        <row r="2837">
          <cell r="A2837" t="str">
            <v>L04-ONC-INP-S113-01</v>
          </cell>
        </row>
        <row r="2838">
          <cell r="A2838" t="str">
            <v>L04-NUT-INP-S014-14</v>
          </cell>
        </row>
        <row r="2839">
          <cell r="A2839" t="str">
            <v>L04-NUT-CIR-C001-10</v>
          </cell>
        </row>
        <row r="2840">
          <cell r="A2840" t="str">
            <v>L04-ONC-CIR-C001-10</v>
          </cell>
        </row>
        <row r="2841">
          <cell r="A2841" t="str">
            <v>L04-ONC-INP-S093-01</v>
          </cell>
        </row>
        <row r="2842">
          <cell r="A2842" t="str">
            <v>L04-ONC-INP-S143-01</v>
          </cell>
        </row>
        <row r="2843">
          <cell r="A2843" t="str">
            <v>L04-NUT-CIR-C001-04</v>
          </cell>
        </row>
        <row r="2844">
          <cell r="A2844" t="str">
            <v>L04-NUT-SNU-S053-01</v>
          </cell>
        </row>
        <row r="2845">
          <cell r="A2845" t="str">
            <v>L04-NUT-DC4-S052-03</v>
          </cell>
        </row>
        <row r="2846">
          <cell r="A2846" t="str">
            <v>L04-ONC-INP-U1268-01</v>
          </cell>
        </row>
        <row r="2847">
          <cell r="A2847" t="str">
            <v>L04-NUT-DC4-S044-01</v>
          </cell>
        </row>
        <row r="2848">
          <cell r="A2848" t="str">
            <v>L04-NUT-DC4-S093-01</v>
          </cell>
        </row>
        <row r="2849">
          <cell r="A2849" t="str">
            <v>L04-ONC-INP-S036-01</v>
          </cell>
        </row>
        <row r="2850">
          <cell r="A2850" t="str">
            <v>L04-ONC-INP-S002-01</v>
          </cell>
        </row>
        <row r="2851">
          <cell r="A2851" t="str">
            <v>L04-ONC-CIR-C001-11</v>
          </cell>
        </row>
        <row r="2852">
          <cell r="A2852" t="str">
            <v>L04-ONC-DCU-S002-01</v>
          </cell>
        </row>
        <row r="2853">
          <cell r="A2853" t="str">
            <v>L04-NUT-INP-S139-02</v>
          </cell>
        </row>
        <row r="2854">
          <cell r="A2854" t="str">
            <v>L04-ONC-INP-S069-01</v>
          </cell>
        </row>
        <row r="2855">
          <cell r="A2855" t="str">
            <v/>
          </cell>
        </row>
        <row r="2856">
          <cell r="A2856" t="str">
            <v>L04-ONC-INP-S152-02</v>
          </cell>
        </row>
        <row r="2857">
          <cell r="A2857" t="str">
            <v>L04-NUT-INP-S012-01</v>
          </cell>
        </row>
        <row r="2858">
          <cell r="A2858" t="str">
            <v>L04-NUT-INP-S114-02</v>
          </cell>
        </row>
        <row r="2859">
          <cell r="A2859" t="str">
            <v>L04-NUT-SNU-S111-01</v>
          </cell>
        </row>
        <row r="2860">
          <cell r="A2860" t="str">
            <v>L04-NUT-SNU-S113-02</v>
          </cell>
        </row>
        <row r="2861">
          <cell r="A2861" t="str">
            <v>L04-NUT-SNU-S113-01</v>
          </cell>
        </row>
        <row r="2862">
          <cell r="A2862" t="str">
            <v>L04-ONC-DHO-S025-01</v>
          </cell>
        </row>
        <row r="2863">
          <cell r="A2863" t="str">
            <v>L04-NUT-CIR-C001-01</v>
          </cell>
        </row>
        <row r="2864">
          <cell r="A2864" t="str">
            <v>L04-NUT-SNU-S143-01</v>
          </cell>
        </row>
        <row r="2865">
          <cell r="A2865" t="str">
            <v>L04-ONC-DHO-S023-01</v>
          </cell>
        </row>
        <row r="2866">
          <cell r="A2866" t="str">
            <v>L04-ONC-DHO-S113-03</v>
          </cell>
        </row>
        <row r="2867">
          <cell r="A2867" t="str">
            <v>L04-ONC-DHO-S060-01</v>
          </cell>
        </row>
        <row r="2868">
          <cell r="A2868" t="str">
            <v>L04-ONC-INP-S067-02</v>
          </cell>
        </row>
        <row r="2869">
          <cell r="A2869" t="str">
            <v>L04-ONC-DHO-S113-01</v>
          </cell>
        </row>
        <row r="2870">
          <cell r="A2870" t="str">
            <v>L04-ONC-DHO-S051-01</v>
          </cell>
        </row>
        <row r="2871">
          <cell r="A2871" t="str">
            <v>L04-ONC-DCU-S064-01</v>
          </cell>
        </row>
        <row r="2872">
          <cell r="A2872" t="str">
            <v>L04-ONC-INP-S107-01</v>
          </cell>
        </row>
        <row r="2873">
          <cell r="A2873" t="str">
            <v>Unoccupied</v>
          </cell>
        </row>
        <row r="2874">
          <cell r="A2874" t="str">
            <v>L04-NUT-INP-S094-01</v>
          </cell>
        </row>
        <row r="2875">
          <cell r="A2875" t="str">
            <v>L04-NUT-INP-S049-01</v>
          </cell>
        </row>
        <row r="2876">
          <cell r="A2876" t="str">
            <v>L04-NUT-INP-S134-01</v>
          </cell>
        </row>
        <row r="2877">
          <cell r="A2877" t="str">
            <v>L04-NUT-INP-S076-01</v>
          </cell>
        </row>
        <row r="2878">
          <cell r="A2878" t="str">
            <v>Unoccupied</v>
          </cell>
        </row>
        <row r="2879">
          <cell r="A2879" t="str">
            <v>L04-ONC-INP-S014-17</v>
          </cell>
        </row>
        <row r="2880">
          <cell r="A2880" t="str">
            <v>L04-ONC-INP-S013-05</v>
          </cell>
        </row>
        <row r="2881">
          <cell r="A2881" t="str">
            <v>L04-CIR-CIR-C004-01</v>
          </cell>
        </row>
        <row r="2882">
          <cell r="A2882" t="str">
            <v>L04-MAI-RET-L010-01</v>
          </cell>
        </row>
        <row r="2883">
          <cell r="A2883" t="str">
            <v>L04-CIR-CIR-C004-01</v>
          </cell>
        </row>
        <row r="2884">
          <cell r="A2884" t="str">
            <v>L04-MAI-RET-L010-02</v>
          </cell>
        </row>
        <row r="2885">
          <cell r="A2885" t="str">
            <v>L04-CIR-CIR-C004-01</v>
          </cell>
        </row>
        <row r="2886">
          <cell r="A2886" t="str">
            <v>L04-NUT-INP-S022-01</v>
          </cell>
        </row>
        <row r="2887">
          <cell r="A2887" t="str">
            <v>L04-NUT-INP-U1155-01</v>
          </cell>
        </row>
        <row r="2888">
          <cell r="A2888" t="str">
            <v>L04-ONC-DCU-S147-02</v>
          </cell>
        </row>
        <row r="2889">
          <cell r="A2889" t="str">
            <v>L04-NUT-CIR-C001-02</v>
          </cell>
        </row>
        <row r="2890">
          <cell r="A2890" t="str">
            <v>L04-MAI-RET-L010-01</v>
          </cell>
        </row>
        <row r="2891">
          <cell r="A2891" t="str">
            <v>L04-MAI-RET-L010-02</v>
          </cell>
        </row>
        <row r="2892">
          <cell r="A2892" t="str">
            <v>L04-NUT-INP-S037-01</v>
          </cell>
        </row>
        <row r="2893">
          <cell r="A2893" t="str">
            <v>L04-ONC-DCU-S028-03</v>
          </cell>
        </row>
        <row r="2894">
          <cell r="A2894" t="str">
            <v>L04-ONC-DCU-S028-02</v>
          </cell>
        </row>
        <row r="2895">
          <cell r="A2895" t="str">
            <v>L04-ONC-INP-S025-02</v>
          </cell>
        </row>
        <row r="2896">
          <cell r="A2896" t="str">
            <v>L04-ONC-DCU-S060-01</v>
          </cell>
        </row>
        <row r="2897">
          <cell r="A2897" t="str">
            <v>L04-ONC-INP-S023-04</v>
          </cell>
        </row>
        <row r="2898">
          <cell r="A2898" t="str">
            <v>L04-ONC-INP-S056-01</v>
          </cell>
        </row>
        <row r="2899">
          <cell r="A2899" t="str">
            <v>L04-ONC-DCU-S109-02</v>
          </cell>
        </row>
        <row r="2900">
          <cell r="A2900" t="str">
            <v>L04-ONC-INP-S044-31</v>
          </cell>
        </row>
        <row r="2901">
          <cell r="A2901" t="str">
            <v>L04-ONC-INP-S023-01</v>
          </cell>
        </row>
        <row r="2902">
          <cell r="A2902" t="str">
            <v>L04-ONC-INP-S060-01</v>
          </cell>
        </row>
        <row r="2903">
          <cell r="A2903" t="str">
            <v>L04-ONC-DHO-S053-02</v>
          </cell>
        </row>
        <row r="2904">
          <cell r="A2904" t="str">
            <v>L04-ONC-INP-U1117-01</v>
          </cell>
        </row>
        <row r="2905">
          <cell r="A2905" t="str">
            <v>L04-ONC-INP-S056-05</v>
          </cell>
        </row>
        <row r="2906">
          <cell r="A2906" t="str">
            <v>L04-ONC-INP-S012-01</v>
          </cell>
        </row>
        <row r="2907">
          <cell r="A2907" t="str">
            <v>L04-ONC-INP-S094-01</v>
          </cell>
        </row>
        <row r="2908">
          <cell r="A2908" t="str">
            <v>L04-ONC-INP-S134-02</v>
          </cell>
        </row>
        <row r="2909">
          <cell r="A2909" t="str">
            <v>L04-ONC-INP-S139-03</v>
          </cell>
        </row>
        <row r="2910">
          <cell r="A2910" t="str">
            <v>L04-ONC-DCU-S023-01</v>
          </cell>
        </row>
        <row r="2911">
          <cell r="A2911" t="str">
            <v>L04-ONC-DCU-S036-01</v>
          </cell>
        </row>
        <row r="2912">
          <cell r="A2912" t="str">
            <v>L04-ONC-DHO-U0276-01</v>
          </cell>
        </row>
        <row r="2913">
          <cell r="A2913" t="str">
            <v>L04-ONC-DHO-S106-01</v>
          </cell>
        </row>
        <row r="2914">
          <cell r="A2914" t="str">
            <v>L04-NUT-SNU-S114-01</v>
          </cell>
        </row>
        <row r="2915">
          <cell r="A2915" t="str">
            <v>L04-ONC-DHO-S044-03</v>
          </cell>
        </row>
        <row r="2916">
          <cell r="A2916" t="str">
            <v>L04-NUT-DC4-S027-01</v>
          </cell>
        </row>
        <row r="2917">
          <cell r="A2917" t="str">
            <v>L04-NUT-SNU-S023-01</v>
          </cell>
        </row>
        <row r="2918">
          <cell r="A2918" t="str">
            <v>L04-ONC-DHO-S071-01</v>
          </cell>
        </row>
        <row r="2919">
          <cell r="A2919" t="str">
            <v>L04-NUT-INP-S025-01</v>
          </cell>
        </row>
        <row r="2920">
          <cell r="A2920" t="str">
            <v>L04-NUT-INP-S127-01</v>
          </cell>
        </row>
        <row r="2921">
          <cell r="A2921" t="str">
            <v>L04-NUT-SNU-S036-01</v>
          </cell>
        </row>
        <row r="2922">
          <cell r="A2922" t="str">
            <v>L04-NUT-INP-S068-01</v>
          </cell>
        </row>
        <row r="2923">
          <cell r="A2923" t="str">
            <v>L04-ONC-INP-U0028-01</v>
          </cell>
        </row>
        <row r="2924">
          <cell r="A2924" t="str">
            <v>L04-ONC-INP-S106-01</v>
          </cell>
        </row>
        <row r="2925">
          <cell r="A2925" t="str">
            <v>L04-ONC-INP-S044-16</v>
          </cell>
        </row>
        <row r="2926">
          <cell r="A2926" t="str">
            <v>L04-ONC-INP-S057-01</v>
          </cell>
        </row>
        <row r="2927">
          <cell r="A2927" t="str">
            <v>L04-NUT-INP-S056-02</v>
          </cell>
        </row>
        <row r="2928">
          <cell r="A2928" t="str">
            <v>L04-NUT-INP-S023-02</v>
          </cell>
        </row>
        <row r="2929">
          <cell r="A2929" t="str">
            <v>L04-NUT-INP-S114-01</v>
          </cell>
        </row>
        <row r="2930">
          <cell r="A2930" t="str">
            <v>L04-NUT-INP-S044-15</v>
          </cell>
        </row>
        <row r="2931">
          <cell r="A2931" t="str">
            <v>L04-NUT-INP-S044-18</v>
          </cell>
        </row>
        <row r="2932">
          <cell r="A2932" t="str">
            <v>L04-NUT-SNU-U0255-01</v>
          </cell>
        </row>
        <row r="2933">
          <cell r="A2933" t="str">
            <v>L04-NUT-INP-S019-01</v>
          </cell>
        </row>
        <row r="2934">
          <cell r="A2934" t="str">
            <v>L04-NUT-INP-S010-01</v>
          </cell>
        </row>
        <row r="2935">
          <cell r="A2935" t="str">
            <v>L04-ONC-INP-S072-01</v>
          </cell>
        </row>
        <row r="2936">
          <cell r="A2936" t="str">
            <v>L04-ONC-INP-S022-01</v>
          </cell>
        </row>
        <row r="2937">
          <cell r="A2937" t="str">
            <v>L04-ONC-CIR-C001-04</v>
          </cell>
        </row>
        <row r="2938">
          <cell r="A2938" t="str">
            <v>L04-ONC-INP-S109-02</v>
          </cell>
        </row>
        <row r="2939">
          <cell r="A2939" t="str">
            <v>L04-NUT-INP-S037-01</v>
          </cell>
        </row>
        <row r="2940">
          <cell r="A2940" t="str">
            <v>L04-NUT-INP-U1155-01</v>
          </cell>
        </row>
        <row r="2941">
          <cell r="A2941" t="str">
            <v>L04-NUT-DRO-U0286-01</v>
          </cell>
        </row>
        <row r="2942">
          <cell r="A2942" t="str">
            <v>L04-NUT-INP-S067-02</v>
          </cell>
        </row>
        <row r="2943">
          <cell r="A2943" t="str">
            <v>L04-NUT-INP-S022-01</v>
          </cell>
        </row>
        <row r="2944">
          <cell r="A2944" t="str">
            <v>L04-NUT-INP-U1155-01</v>
          </cell>
        </row>
        <row r="2945">
          <cell r="A2945" t="str">
            <v>L04-NUT-INP-S114-03</v>
          </cell>
        </row>
        <row r="2946">
          <cell r="A2946" t="str">
            <v/>
          </cell>
        </row>
        <row r="2947">
          <cell r="A2947" t="str">
            <v/>
          </cell>
        </row>
        <row r="2948">
          <cell r="A2948" t="str">
            <v/>
          </cell>
        </row>
        <row r="2949">
          <cell r="A2949" t="str">
            <v/>
          </cell>
        </row>
        <row r="2950">
          <cell r="A2950" t="str">
            <v>L04-CIR-CIR-C008-02</v>
          </cell>
        </row>
        <row r="2951">
          <cell r="A2951" t="str">
            <v>L04-ONC-INP-S060-02</v>
          </cell>
        </row>
        <row r="2952">
          <cell r="A2952" t="str">
            <v>L04-NUT-CIR-C001-05</v>
          </cell>
        </row>
        <row r="2953">
          <cell r="A2953" t="str">
            <v/>
          </cell>
        </row>
        <row r="2954">
          <cell r="A2954" t="str">
            <v/>
          </cell>
        </row>
        <row r="2955">
          <cell r="A2955" t="str">
            <v>L04-ONC-INP-S038-01</v>
          </cell>
        </row>
        <row r="2956">
          <cell r="A2956" t="str">
            <v/>
          </cell>
        </row>
        <row r="2957">
          <cell r="A2957" t="str">
            <v>L04-CIR-CIR-C004-01</v>
          </cell>
        </row>
        <row r="2958">
          <cell r="A2958" t="str">
            <v>L04-ONC-CIR-C001-16</v>
          </cell>
        </row>
        <row r="2959">
          <cell r="A2959" t="str">
            <v>L04-CIR-CIR-C004-01</v>
          </cell>
        </row>
        <row r="2960">
          <cell r="A2960" t="str">
            <v/>
          </cell>
        </row>
        <row r="2961">
          <cell r="A2961" t="str">
            <v/>
          </cell>
        </row>
        <row r="2962">
          <cell r="A2962" t="str">
            <v>L04-ONC-INP-S042-01</v>
          </cell>
        </row>
        <row r="2963">
          <cell r="A2963" t="str">
            <v/>
          </cell>
        </row>
        <row r="2964">
          <cell r="A2964" t="str">
            <v>L04-NUT-INP-S007-01</v>
          </cell>
        </row>
        <row r="2965">
          <cell r="A2965" t="str">
            <v>L04-NUT-DRO-L083-01</v>
          </cell>
        </row>
        <row r="2966">
          <cell r="A2966" t="str">
            <v/>
          </cell>
        </row>
        <row r="2967">
          <cell r="A2967" t="str">
            <v>L04-ONC-INP-U0033-01</v>
          </cell>
        </row>
        <row r="2968">
          <cell r="A2968" t="str">
            <v>L04-ONC-CIR-C001-09</v>
          </cell>
        </row>
        <row r="2969">
          <cell r="A2969" t="str">
            <v>L04-ONC-INP-S067-01</v>
          </cell>
        </row>
        <row r="2970">
          <cell r="A2970" t="str">
            <v>L04-HUB-ITH-S118-02</v>
          </cell>
        </row>
        <row r="2971">
          <cell r="A2971" t="str">
            <v>L04-ONC-INP-S056-02</v>
          </cell>
        </row>
        <row r="2972">
          <cell r="A2972" t="str">
            <v>L04-ONC-INP-S007-01</v>
          </cell>
        </row>
        <row r="2973">
          <cell r="A2973" t="str">
            <v>L04-NUT-INP-S139-03</v>
          </cell>
        </row>
        <row r="2974">
          <cell r="A2974" t="str">
            <v>L04-HUB-ITH-S118-03</v>
          </cell>
        </row>
        <row r="2975">
          <cell r="A2975" t="str">
            <v>L04-NUT-INP-S056-03</v>
          </cell>
        </row>
        <row r="2976">
          <cell r="A2976" t="str">
            <v>L04-NUT-CIR-C001-07</v>
          </cell>
        </row>
        <row r="2977">
          <cell r="A2977" t="str">
            <v/>
          </cell>
        </row>
        <row r="2978">
          <cell r="A2978" t="str">
            <v/>
          </cell>
        </row>
        <row r="2979">
          <cell r="A2979" t="str">
            <v/>
          </cell>
        </row>
        <row r="2980">
          <cell r="A2980" t="str">
            <v>L04-CIR-CIR-C006-06</v>
          </cell>
        </row>
        <row r="2981">
          <cell r="A2981" t="str">
            <v>L04-CIR-CIR-C008-04</v>
          </cell>
        </row>
        <row r="2982">
          <cell r="A2982" t="str">
            <v>L04-ONC-CIR-C001-02</v>
          </cell>
        </row>
        <row r="2983">
          <cell r="A2983" t="str">
            <v>L04-CIR-CIR-C008-01</v>
          </cell>
        </row>
        <row r="2984">
          <cell r="A2984" t="str">
            <v>L04-NUT-SNU-S113-04</v>
          </cell>
        </row>
        <row r="2985">
          <cell r="A2985" t="str">
            <v>L04-ONC-DCU-S113-01</v>
          </cell>
        </row>
        <row r="2986">
          <cell r="A2986" t="str">
            <v>L04-ONC-DCU-S113-02</v>
          </cell>
        </row>
        <row r="2987">
          <cell r="A2987" t="str">
            <v/>
          </cell>
        </row>
        <row r="2988">
          <cell r="A2988" t="str">
            <v>L04-ONC-INP-S053-01</v>
          </cell>
        </row>
        <row r="2989">
          <cell r="A2989" t="str">
            <v>L04-NUT-INP-S053-01</v>
          </cell>
        </row>
        <row r="2990">
          <cell r="A2990" t="str">
            <v>L04-NUT-INP-S101-01</v>
          </cell>
        </row>
        <row r="2991">
          <cell r="A2991" t="str">
            <v>L04-NUT-INP-S139-01</v>
          </cell>
        </row>
        <row r="2992">
          <cell r="A2992" t="str">
            <v>L04-CIR-CIR-C008-03</v>
          </cell>
        </row>
        <row r="2993">
          <cell r="A2993" t="str">
            <v>L04-HUB-ITH-S118-01</v>
          </cell>
        </row>
        <row r="2994">
          <cell r="A2994" t="str">
            <v>L04-ONC-CIR-C001-08</v>
          </cell>
        </row>
        <row r="2995">
          <cell r="A2995" t="str">
            <v>L04-ONC-INP-U0036-01</v>
          </cell>
        </row>
        <row r="2996">
          <cell r="A2996" t="str">
            <v>L04-ONC-DCU-S008-01</v>
          </cell>
        </row>
        <row r="2997">
          <cell r="A2997" t="str">
            <v>L04-ONC-INP-S139-02</v>
          </cell>
        </row>
        <row r="2998">
          <cell r="A2998" t="str">
            <v>L04-ONC-DHO-S056-01</v>
          </cell>
        </row>
        <row r="2999">
          <cell r="A2999" t="str">
            <v>L04-ONC-DHO-S056-02</v>
          </cell>
        </row>
        <row r="3000">
          <cell r="A3000" t="str">
            <v>L04-HUB-ITH-S118-04</v>
          </cell>
        </row>
        <row r="3001">
          <cell r="A3001" t="str">
            <v>L04-NUT-INP-S005-01</v>
          </cell>
        </row>
        <row r="3002">
          <cell r="A3002" t="str">
            <v>L04-NUT-DRO-U0287-01</v>
          </cell>
        </row>
        <row r="3003">
          <cell r="A3003" t="str">
            <v>L04-NUT-CIR-C001-03</v>
          </cell>
        </row>
        <row r="3004">
          <cell r="A3004" t="str">
            <v>L04-CIR-CIR-C006-04</v>
          </cell>
        </row>
        <row r="3005">
          <cell r="A3005" t="str">
            <v>L04-CIR-CIR-C006-01</v>
          </cell>
        </row>
        <row r="3006">
          <cell r="A3006" t="str">
            <v>L04-ONC-DCU-S109-01</v>
          </cell>
        </row>
        <row r="3007">
          <cell r="A3007" t="str">
            <v>L04-ONC-DHO-S109-01</v>
          </cell>
        </row>
        <row r="3008">
          <cell r="A3008" t="str">
            <v>L04-ONC-INP-S093-02</v>
          </cell>
        </row>
        <row r="3009">
          <cell r="A3009" t="str">
            <v>L04-ONC-INP-S075-01</v>
          </cell>
        </row>
        <row r="3010">
          <cell r="A3010" t="str">
            <v/>
          </cell>
        </row>
        <row r="3011">
          <cell r="A3011" t="str">
            <v>L04-ONC-INP-S036-04</v>
          </cell>
        </row>
        <row r="3012">
          <cell r="A3012" t="str">
            <v/>
          </cell>
        </row>
        <row r="3013">
          <cell r="A3013" t="str">
            <v>L04-NUT-DHO-S147-01</v>
          </cell>
        </row>
        <row r="3014">
          <cell r="A3014" t="str">
            <v>L04-ONC-CIR-C001-12</v>
          </cell>
        </row>
        <row r="3015">
          <cell r="A3015" t="str">
            <v/>
          </cell>
        </row>
        <row r="3016">
          <cell r="A3016" t="str">
            <v>L04-ONC-CIR-C001-14</v>
          </cell>
        </row>
        <row r="3017">
          <cell r="A3017" t="str">
            <v/>
          </cell>
        </row>
        <row r="3018">
          <cell r="A3018" t="str">
            <v>L04-NUT-DRO-S090-01</v>
          </cell>
        </row>
        <row r="3019">
          <cell r="A3019" t="str">
            <v>L04-NUT-INP-S093-02</v>
          </cell>
        </row>
        <row r="3020">
          <cell r="A3020" t="str">
            <v>L04-NUT-INP-S036-02</v>
          </cell>
        </row>
        <row r="3021">
          <cell r="A3021" t="str">
            <v/>
          </cell>
        </row>
        <row r="3022">
          <cell r="A3022" t="str">
            <v>L04-ONC-CIR-C001-01</v>
          </cell>
        </row>
        <row r="3023">
          <cell r="A3023" t="str">
            <v/>
          </cell>
        </row>
        <row r="3024">
          <cell r="A3024" t="str">
            <v/>
          </cell>
        </row>
        <row r="3025">
          <cell r="A3025" t="str">
            <v/>
          </cell>
        </row>
        <row r="3026">
          <cell r="A3026" t="str">
            <v>L04-ONC-DHO-S109-02</v>
          </cell>
        </row>
        <row r="3027">
          <cell r="A3027" t="str">
            <v>L04-ONC-DHO-S036-01</v>
          </cell>
        </row>
        <row r="3028">
          <cell r="A3028" t="str">
            <v/>
          </cell>
        </row>
        <row r="3029">
          <cell r="A3029" t="str">
            <v>L04-NUT-DC4-S056-01</v>
          </cell>
        </row>
        <row r="3030">
          <cell r="A3030" t="str">
            <v>L04-NUT-DC4-S139-02</v>
          </cell>
        </row>
        <row r="3031">
          <cell r="A3031" t="str">
            <v>L04-CIR-CIR-C006-02</v>
          </cell>
        </row>
        <row r="3032">
          <cell r="A3032" t="str">
            <v>L04-ONC-INP-S001-04</v>
          </cell>
        </row>
        <row r="3033">
          <cell r="A3033" t="str">
            <v>L04-ONC-INP-S080-02</v>
          </cell>
        </row>
        <row r="3034">
          <cell r="A3034" t="str">
            <v/>
          </cell>
        </row>
        <row r="3035">
          <cell r="A3035" t="str">
            <v>L04-CIR-CIR-C006-03</v>
          </cell>
        </row>
        <row r="3036">
          <cell r="A3036" t="str">
            <v>L04-ONC-CIR-C001-03</v>
          </cell>
        </row>
        <row r="3037">
          <cell r="A3037" t="str">
            <v>L04-NUT-CIR-C001-06</v>
          </cell>
        </row>
        <row r="3038">
          <cell r="A3038" t="str">
            <v>L04-CIR-CIR-C006-05</v>
          </cell>
        </row>
        <row r="3039">
          <cell r="A3039" t="str">
            <v>L04-ONC-CIR-C001-13</v>
          </cell>
        </row>
        <row r="3040">
          <cell r="A3040" t="str">
            <v>L04-ONC-DCU-S010-01</v>
          </cell>
        </row>
        <row r="3041">
          <cell r="A3041" t="str">
            <v>L04-ONC-INP-S092-01</v>
          </cell>
        </row>
        <row r="3042">
          <cell r="A3042" t="str">
            <v>L04-ONC-CIR-C001-06</v>
          </cell>
        </row>
        <row r="3043">
          <cell r="A3043" t="str">
            <v>L04-ONC-CIR-C001-05</v>
          </cell>
        </row>
        <row r="3044">
          <cell r="A3044" t="str">
            <v/>
          </cell>
        </row>
        <row r="3045">
          <cell r="A3045" t="str">
            <v>L04-NUT-INP-L009-01</v>
          </cell>
        </row>
        <row r="3046">
          <cell r="A3046" t="str">
            <v>L04-NUT-INP-S044-20</v>
          </cell>
        </row>
        <row r="3047">
          <cell r="A3047" t="str">
            <v>L04-NUT-DC4-S105-01</v>
          </cell>
        </row>
        <row r="3048">
          <cell r="A3048" t="str">
            <v>L04-ONC-DCU-S093-01</v>
          </cell>
        </row>
        <row r="3049">
          <cell r="A3049" t="str">
            <v>L05-IPA-GW1-S127-01</v>
          </cell>
        </row>
        <row r="3050">
          <cell r="A3050" t="str">
            <v>L05-IPA-GW1-S010-01</v>
          </cell>
        </row>
        <row r="3051">
          <cell r="A3051" t="str">
            <v>L05-IPA-GW1-S139-02</v>
          </cell>
        </row>
        <row r="3052">
          <cell r="A3052" t="str">
            <v>L05-IPA-GW1-S036-01</v>
          </cell>
        </row>
        <row r="3053">
          <cell r="A3053" t="str">
            <v>L05-IPA-GW1-S056-02</v>
          </cell>
        </row>
        <row r="3054">
          <cell r="A3054" t="str">
            <v>L05-IPA-GW1-S107-01</v>
          </cell>
        </row>
        <row r="3055">
          <cell r="A3055" t="str">
            <v>L05-IPA-GW1-S023-01</v>
          </cell>
        </row>
        <row r="3056">
          <cell r="A3056" t="str">
            <v>L05-IPA-GW1-S019-01</v>
          </cell>
        </row>
        <row r="3057">
          <cell r="A3057" t="str">
            <v/>
          </cell>
        </row>
        <row r="3058">
          <cell r="A3058" t="str">
            <v>L05-IPA-GW4-S127-01</v>
          </cell>
        </row>
        <row r="3059">
          <cell r="A3059" t="str">
            <v>L05-IPA-GW4-S010-01</v>
          </cell>
        </row>
        <row r="3060">
          <cell r="A3060" t="str">
            <v>L05-IPA-GW4-S108-01</v>
          </cell>
        </row>
        <row r="3061">
          <cell r="A3061" t="str">
            <v>L05-IPA-GW4-S056-02</v>
          </cell>
        </row>
        <row r="3062">
          <cell r="A3062" t="str">
            <v>L05-IPA-GW4-S023-01</v>
          </cell>
        </row>
        <row r="3063">
          <cell r="A3063" t="str">
            <v>L05-IPA-GW4-S019-01</v>
          </cell>
        </row>
        <row r="3064">
          <cell r="A3064" t="str">
            <v>L05-IPA-GW4-S036-01</v>
          </cell>
        </row>
        <row r="3065">
          <cell r="A3065" t="str">
            <v/>
          </cell>
        </row>
        <row r="3066">
          <cell r="A3066" t="str">
            <v>L05-IPA-GW4-S023-02</v>
          </cell>
        </row>
        <row r="3067">
          <cell r="A3067" t="str">
            <v>L05-IPA-GW4-S056-03</v>
          </cell>
        </row>
        <row r="3068">
          <cell r="A3068" t="str">
            <v>L05-IPA-GW4-S049-01</v>
          </cell>
        </row>
        <row r="3069">
          <cell r="A3069" t="str">
            <v>L05-IPA-GW4-S093-02</v>
          </cell>
        </row>
        <row r="3070">
          <cell r="A3070" t="str">
            <v>L05-IPA-GW4-S072-01</v>
          </cell>
        </row>
        <row r="3071">
          <cell r="A3071" t="str">
            <v>L05-IPA-GW4-S060-01</v>
          </cell>
        </row>
        <row r="3072">
          <cell r="A3072" t="str">
            <v>L05-IPA-GW1-S112-01</v>
          </cell>
        </row>
        <row r="3073">
          <cell r="A3073" t="str">
            <v>L05-IPA-GW4-S036-02</v>
          </cell>
        </row>
        <row r="3074">
          <cell r="A3074" t="str">
            <v/>
          </cell>
        </row>
        <row r="3075">
          <cell r="A3075" t="str">
            <v>L05-IPA-GW3-S023-01</v>
          </cell>
        </row>
        <row r="3076">
          <cell r="A3076" t="str">
            <v>L05-IPA-GW3-S056-01</v>
          </cell>
        </row>
        <row r="3077">
          <cell r="A3077" t="str">
            <v>L05-IPA-GW3-S049-01</v>
          </cell>
        </row>
        <row r="3078">
          <cell r="A3078" t="str">
            <v>L05-IPA-GW3-S093-01</v>
          </cell>
        </row>
        <row r="3079">
          <cell r="A3079" t="str">
            <v>L05-IPA-GW3-S060-01</v>
          </cell>
        </row>
        <row r="3080">
          <cell r="A3080" t="str">
            <v>L05-IPA-GW3-S072-01</v>
          </cell>
        </row>
        <row r="3081">
          <cell r="A3081" t="str">
            <v>L05-IPA-GW3-S036-01</v>
          </cell>
        </row>
        <row r="3082">
          <cell r="A3082" t="str">
            <v>L05-IPA-GW3-S112-01</v>
          </cell>
        </row>
        <row r="3083">
          <cell r="A3083" t="str">
            <v/>
          </cell>
        </row>
        <row r="3084">
          <cell r="A3084" t="str">
            <v>L05-IPA-GW1-S023-02</v>
          </cell>
        </row>
        <row r="3085">
          <cell r="A3085" t="str">
            <v>L05-IPA-GW1-S056-03</v>
          </cell>
        </row>
        <row r="3086">
          <cell r="A3086" t="str">
            <v>L05-IPA-GW1-S049-01</v>
          </cell>
        </row>
        <row r="3087">
          <cell r="A3087" t="str">
            <v>L05-IPA-GW1-S036-02</v>
          </cell>
        </row>
        <row r="3088">
          <cell r="A3088" t="str">
            <v>L05-IPA-GW4-S112-01</v>
          </cell>
        </row>
        <row r="3089">
          <cell r="A3089" t="str">
            <v>L05-IPA-GW1-S093-02</v>
          </cell>
        </row>
        <row r="3090">
          <cell r="A3090" t="str">
            <v>L05-IPA-GW1-S060-01</v>
          </cell>
        </row>
        <row r="3091">
          <cell r="A3091" t="str">
            <v>L05-IPA-GW1-S072-01</v>
          </cell>
        </row>
        <row r="3092">
          <cell r="A3092" t="str">
            <v/>
          </cell>
        </row>
        <row r="3093">
          <cell r="A3093" t="str">
            <v>L05-IPA-GW1-S044-11</v>
          </cell>
        </row>
        <row r="3094">
          <cell r="A3094" t="str">
            <v>L05-IPA-GW1-S044-01</v>
          </cell>
        </row>
        <row r="3095">
          <cell r="A3095" t="str">
            <v>L05-IPA-GW1-S044-03</v>
          </cell>
        </row>
        <row r="3096">
          <cell r="A3096" t="str">
            <v>L05-IPA-GW1-S044-05</v>
          </cell>
        </row>
        <row r="3097">
          <cell r="A3097" t="str">
            <v>L05-IPA-GW1-S044-07</v>
          </cell>
        </row>
        <row r="3098">
          <cell r="A3098" t="str">
            <v>L05-IPA-GW1-S044-09</v>
          </cell>
        </row>
        <row r="3099">
          <cell r="A3099" t="str">
            <v>L05-IPA-GW1-S001-01</v>
          </cell>
        </row>
        <row r="3100">
          <cell r="A3100" t="str">
            <v>L05-IPA-GW1-S044-22</v>
          </cell>
        </row>
        <row r="3101">
          <cell r="A3101" t="str">
            <v>L05-IPA-GW1-S044-20</v>
          </cell>
        </row>
        <row r="3102">
          <cell r="A3102" t="str">
            <v>L05-IPA-GW1-S044-16</v>
          </cell>
        </row>
        <row r="3103">
          <cell r="A3103" t="str">
            <v>L05-IPA-GW2-S044-01</v>
          </cell>
        </row>
        <row r="3104">
          <cell r="A3104" t="str">
            <v>L05-IPA-GW2-S044-10</v>
          </cell>
        </row>
        <row r="3105">
          <cell r="A3105" t="str">
            <v>L05-IPA-GW2-S044-08</v>
          </cell>
        </row>
        <row r="3106">
          <cell r="A3106" t="str">
            <v>L05-IPA-GW2-S044-06</v>
          </cell>
        </row>
        <row r="3107">
          <cell r="A3107" t="str">
            <v>L05-IPA-GW2-S044-04</v>
          </cell>
        </row>
        <row r="3108">
          <cell r="A3108" t="str">
            <v>L05-IPA-GW2-S001-02</v>
          </cell>
        </row>
        <row r="3109">
          <cell r="A3109" t="str">
            <v>L05-IPA-GW2-S044-13</v>
          </cell>
        </row>
        <row r="3110">
          <cell r="A3110" t="str">
            <v>L05-IPA-GW2-S044-15</v>
          </cell>
        </row>
        <row r="3111">
          <cell r="A3111" t="str">
            <v>L05-IPA-GW2-S044-19</v>
          </cell>
        </row>
        <row r="3112">
          <cell r="A3112" t="str">
            <v>L05-IPA-GW3-S044-20</v>
          </cell>
        </row>
        <row r="3113">
          <cell r="A3113" t="str">
            <v>L05-IPA-GW3-S044-12</v>
          </cell>
        </row>
        <row r="3114">
          <cell r="A3114" t="str">
            <v>L05-IPA-GW3-S044-14</v>
          </cell>
        </row>
        <row r="3115">
          <cell r="A3115" t="str">
            <v>L05-IPA-GW3-S044-16</v>
          </cell>
        </row>
        <row r="3116">
          <cell r="A3116" t="str">
            <v>L05-IPA-GW3-S044-18</v>
          </cell>
        </row>
        <row r="3117">
          <cell r="A3117" t="str">
            <v>L05-IPA-GW3-S001-01</v>
          </cell>
        </row>
        <row r="3118">
          <cell r="A3118" t="str">
            <v>L05-IPA-GW3-S044-10</v>
          </cell>
        </row>
        <row r="3119">
          <cell r="A3119" t="str">
            <v>L05-IPA-GW3-S044-08</v>
          </cell>
        </row>
        <row r="3120">
          <cell r="A3120" t="str">
            <v>L05-IPA-GW3-S044-04</v>
          </cell>
        </row>
        <row r="3121">
          <cell r="A3121" t="str">
            <v>L05-IPA-GW4-S044-11</v>
          </cell>
        </row>
        <row r="3122">
          <cell r="A3122" t="str">
            <v>L05-IPA-GW4-S044-20</v>
          </cell>
        </row>
        <row r="3123">
          <cell r="A3123" t="str">
            <v>L05-IPA-GW4-S044-15</v>
          </cell>
        </row>
        <row r="3124">
          <cell r="A3124" t="str">
            <v>L05-IPA-GW4-S044-13</v>
          </cell>
        </row>
        <row r="3125">
          <cell r="A3125" t="str">
            <v>L05-IPA-GW4-S001-02</v>
          </cell>
        </row>
        <row r="3126">
          <cell r="A3126" t="str">
            <v>L05-IPA-GW4-S044-01</v>
          </cell>
        </row>
        <row r="3127">
          <cell r="A3127" t="str">
            <v>L05-IPA-GW4-S044-03</v>
          </cell>
        </row>
        <row r="3128">
          <cell r="A3128" t="str">
            <v>L05-IPA-GW4-S044-07</v>
          </cell>
        </row>
        <row r="3129">
          <cell r="A3129" t="str">
            <v>L05-IPA-GW2-S044-12</v>
          </cell>
        </row>
        <row r="3130">
          <cell r="A3130" t="str">
            <v>L05-IPA-GW3-S001-02</v>
          </cell>
        </row>
        <row r="3131">
          <cell r="A3131" t="str">
            <v>L05-IPA-GW4-S001-01</v>
          </cell>
        </row>
        <row r="3132">
          <cell r="A3132" t="str">
            <v>L05-IPA-GW4-S044-05</v>
          </cell>
        </row>
        <row r="3133">
          <cell r="A3133" t="str">
            <v>L05-IPA-GW4-S044-09</v>
          </cell>
        </row>
        <row r="3134">
          <cell r="A3134" t="str">
            <v>L05-IPA-GW1-S044-18</v>
          </cell>
        </row>
        <row r="3135">
          <cell r="A3135" t="str">
            <v>L05-IPA-GW1-S044-14</v>
          </cell>
        </row>
        <row r="3136">
          <cell r="A3136" t="str">
            <v>L05-IPA-GW2-S044-17</v>
          </cell>
        </row>
        <row r="3137">
          <cell r="A3137" t="str">
            <v>L05-IPA-GW2-S044-21</v>
          </cell>
        </row>
        <row r="3138">
          <cell r="A3138" t="str">
            <v>L05-IPA-GW3-S044-06</v>
          </cell>
        </row>
        <row r="3139">
          <cell r="A3139" t="str">
            <v>L04-NUT-DHO-S147-01</v>
          </cell>
        </row>
        <row r="3140">
          <cell r="A3140" t="str">
            <v>L05-IPA-GW2-S107-01</v>
          </cell>
        </row>
        <row r="3141">
          <cell r="A3141" t="str">
            <v>L05-IPA-GW2-S127-01</v>
          </cell>
        </row>
        <row r="3142">
          <cell r="A3142" t="str">
            <v>L05-IPA-GW3-S127-01</v>
          </cell>
        </row>
        <row r="3143">
          <cell r="A3143" t="str">
            <v>L05-IPA-GW3-S014-20</v>
          </cell>
        </row>
        <row r="3144">
          <cell r="A3144" t="str">
            <v>L05-IPA-GW3-S044-21</v>
          </cell>
        </row>
        <row r="3145">
          <cell r="A3145" t="str">
            <v>L05-IPA-GW3-S014-21</v>
          </cell>
        </row>
        <row r="3146">
          <cell r="A3146" t="str">
            <v>L05-IPA-GW4-S014-11</v>
          </cell>
        </row>
        <row r="3147">
          <cell r="A3147" t="str">
            <v>L05-IPA-GW4-S044-12</v>
          </cell>
        </row>
        <row r="3148">
          <cell r="A3148" t="str">
            <v>L05-IPA-GW4-S014-12</v>
          </cell>
        </row>
        <row r="3149">
          <cell r="A3149" t="str">
            <v>L05-IPA-GW4-S014-13</v>
          </cell>
        </row>
        <row r="3150">
          <cell r="A3150" t="str">
            <v>L05-IPA-GW4-S044-14</v>
          </cell>
        </row>
        <row r="3151">
          <cell r="A3151" t="str">
            <v>L05-IPA-GW4-S014-14</v>
          </cell>
        </row>
        <row r="3152">
          <cell r="A3152" t="str">
            <v>L05-IPA-GW4-S014-15</v>
          </cell>
        </row>
        <row r="3153">
          <cell r="A3153" t="str">
            <v>L05-IPA-GW4-S044-16</v>
          </cell>
        </row>
        <row r="3154">
          <cell r="A3154" t="str">
            <v>L05-IPA-GW4-S014-16</v>
          </cell>
        </row>
        <row r="3155">
          <cell r="A3155" t="str">
            <v>L05-IPA-GW4-S014-17</v>
          </cell>
        </row>
        <row r="3156">
          <cell r="A3156" t="str">
            <v>L05-IPA-GW4-S044-19</v>
          </cell>
        </row>
        <row r="3157">
          <cell r="A3157" t="str">
            <v>L05-IPA-GW4-S014-20</v>
          </cell>
        </row>
        <row r="3158">
          <cell r="A3158" t="str">
            <v>L05-IPA-GW1-S014-11</v>
          </cell>
        </row>
        <row r="3159">
          <cell r="A3159" t="str">
            <v>L05-IPA-GW1-S044-12</v>
          </cell>
        </row>
        <row r="3160">
          <cell r="A3160" t="str">
            <v>L05-IPA-GW1-S014-12</v>
          </cell>
        </row>
        <row r="3161">
          <cell r="A3161" t="str">
            <v>L05-IPA-GW2-S014-01</v>
          </cell>
        </row>
        <row r="3162">
          <cell r="A3162" t="str">
            <v>L05-IPA-GW2-S044-02</v>
          </cell>
        </row>
        <row r="3163">
          <cell r="A3163" t="str">
            <v>L05-IPA-GW2-S014-02</v>
          </cell>
        </row>
        <row r="3164">
          <cell r="A3164" t="str">
            <v>L04-NUT-DHO-S147-01</v>
          </cell>
        </row>
        <row r="3165">
          <cell r="A3165" t="str">
            <v>L05-IPA-GW3-S044-03</v>
          </cell>
        </row>
        <row r="3166">
          <cell r="A3166" t="str">
            <v>L05-IPA-GW3-S014-04</v>
          </cell>
        </row>
        <row r="3167">
          <cell r="A3167" t="str">
            <v>L05-IPA-GW3-S014-05</v>
          </cell>
        </row>
        <row r="3168">
          <cell r="A3168" t="str">
            <v>L05-IPA-GW3-S044-05</v>
          </cell>
        </row>
        <row r="3169">
          <cell r="A3169" t="str">
            <v>L05-IPA-GW3-S044-07</v>
          </cell>
        </row>
        <row r="3170">
          <cell r="A3170" t="str">
            <v>L05-IPA-GW3-S014-08</v>
          </cell>
        </row>
        <row r="3171">
          <cell r="A3171" t="str">
            <v>L05-IPA-GW3-S014-09</v>
          </cell>
        </row>
        <row r="3172">
          <cell r="A3172" t="str">
            <v>L05-IPA-GW3-S044-09</v>
          </cell>
        </row>
        <row r="3173">
          <cell r="A3173" t="str">
            <v>L05-IPA-GW3-S044-23</v>
          </cell>
        </row>
        <row r="3174">
          <cell r="A3174" t="str">
            <v>L05-IPA-GW3-S013-02</v>
          </cell>
        </row>
        <row r="3175">
          <cell r="A3175" t="str">
            <v>L05-IPA-GW3-S042-01</v>
          </cell>
        </row>
        <row r="3176">
          <cell r="A3176" t="str">
            <v>L05-IPA-GW4-S042-01</v>
          </cell>
        </row>
        <row r="3177">
          <cell r="A3177" t="str">
            <v>L05-IPA-GW4-S013-01</v>
          </cell>
        </row>
        <row r="3178">
          <cell r="A3178" t="str">
            <v>L05-IPA-GW4-S044-23</v>
          </cell>
        </row>
        <row r="3179">
          <cell r="A3179" t="str">
            <v>L05-IPA-GW4-S044-02</v>
          </cell>
        </row>
        <row r="3180">
          <cell r="A3180" t="str">
            <v>L05-IPA-GW4-S014-02</v>
          </cell>
        </row>
        <row r="3181">
          <cell r="A3181" t="str">
            <v>L05-IPA-GW4-S014-03</v>
          </cell>
        </row>
        <row r="3182">
          <cell r="A3182" t="str">
            <v>L05-IPA-GW4-S044-04</v>
          </cell>
        </row>
        <row r="3183">
          <cell r="A3183" t="str">
            <v>L05-IPA-GW4-S044-06</v>
          </cell>
        </row>
        <row r="3184">
          <cell r="A3184" t="str">
            <v>L05-IPA-GW4-S014-06</v>
          </cell>
        </row>
        <row r="3185">
          <cell r="A3185" t="str">
            <v>L05-IPA-GW4-S014-07</v>
          </cell>
        </row>
        <row r="3186">
          <cell r="A3186" t="str">
            <v>L05-IPA-GW4-S044-08</v>
          </cell>
        </row>
        <row r="3187">
          <cell r="A3187" t="str">
            <v>L05-IPA-GW4-S044-10</v>
          </cell>
        </row>
        <row r="3188">
          <cell r="A3188" t="str">
            <v>L05-IPA-GW4-S014-10</v>
          </cell>
        </row>
        <row r="3189">
          <cell r="A3189" t="str">
            <v>L05-IPA-GW1-S014-13</v>
          </cell>
        </row>
        <row r="3190">
          <cell r="A3190" t="str">
            <v>L05-IPA-GW1-S044-13</v>
          </cell>
        </row>
        <row r="3191">
          <cell r="A3191" t="str">
            <v>L05-IPA-GW1-S044-15</v>
          </cell>
        </row>
        <row r="3192">
          <cell r="A3192" t="str">
            <v>L05-IPA-GW1-S014-16</v>
          </cell>
        </row>
        <row r="3193">
          <cell r="A3193" t="str">
            <v>L05-IPA-GW1-S014-17</v>
          </cell>
        </row>
        <row r="3194">
          <cell r="A3194" t="str">
            <v>L05-IPA-GW1-S044-17</v>
          </cell>
        </row>
        <row r="3195">
          <cell r="A3195" t="str">
            <v>L05-IPA-GW1-S044-19</v>
          </cell>
        </row>
        <row r="3196">
          <cell r="A3196" t="str">
            <v>L05-IPA-GW1-S014-20</v>
          </cell>
        </row>
        <row r="3197">
          <cell r="A3197" t="str">
            <v>L05-IPA-GW1-S014-21</v>
          </cell>
        </row>
        <row r="3198">
          <cell r="A3198" t="str">
            <v>L05-IPA-GW1-S044-21</v>
          </cell>
        </row>
        <row r="3199">
          <cell r="A3199" t="str">
            <v>L05-IPA-GW1-S044-23</v>
          </cell>
        </row>
        <row r="3200">
          <cell r="A3200" t="str">
            <v>L05-IPA-GW1-S013-02</v>
          </cell>
        </row>
        <row r="3201">
          <cell r="A3201" t="str">
            <v>L05-IPA-GW2-S013-01</v>
          </cell>
        </row>
        <row r="3202">
          <cell r="A3202" t="str">
            <v>L05-IPA-GW2-S044-23</v>
          </cell>
        </row>
        <row r="3203">
          <cell r="A3203" t="str">
            <v>L05-IPA-GW2-S044-14</v>
          </cell>
        </row>
        <row r="3204">
          <cell r="A3204" t="str">
            <v>L05-IPA-GW2-S014-14</v>
          </cell>
        </row>
        <row r="3205">
          <cell r="A3205" t="str">
            <v>L05-IPA-GW2-S014-15</v>
          </cell>
        </row>
        <row r="3206">
          <cell r="A3206" t="str">
            <v>L05-IPA-GW2-S044-16</v>
          </cell>
        </row>
        <row r="3207">
          <cell r="A3207" t="str">
            <v>L05-IPA-GW2-S044-18</v>
          </cell>
        </row>
        <row r="3208">
          <cell r="A3208" t="str">
            <v>L05-IPA-GW2-S014-18</v>
          </cell>
        </row>
        <row r="3209">
          <cell r="A3209" t="str">
            <v>L05-IPA-GW2-S014-19</v>
          </cell>
        </row>
        <row r="3210">
          <cell r="A3210" t="str">
            <v>L05-IPA-GW2-S044-20</v>
          </cell>
        </row>
        <row r="3211">
          <cell r="A3211" t="str">
            <v>L05-IPA-GW2-S044-22</v>
          </cell>
        </row>
        <row r="3212">
          <cell r="A3212" t="str">
            <v/>
          </cell>
        </row>
        <row r="3213">
          <cell r="A3213" t="str">
            <v/>
          </cell>
        </row>
        <row r="3214">
          <cell r="A3214" t="str">
            <v>L05-IPA-GW2-S023-01</v>
          </cell>
        </row>
        <row r="3215">
          <cell r="A3215" t="str">
            <v/>
          </cell>
        </row>
        <row r="3216">
          <cell r="A3216" t="str">
            <v/>
          </cell>
        </row>
        <row r="3217">
          <cell r="A3217" t="str">
            <v>L05-IPA-GW2-S010-01</v>
          </cell>
        </row>
        <row r="3218">
          <cell r="A3218" t="str">
            <v>L05-IPA-GW3-S010-01</v>
          </cell>
        </row>
        <row r="3219">
          <cell r="A3219" t="str">
            <v>L05-IPA-GW3-S114-01</v>
          </cell>
        </row>
        <row r="3220">
          <cell r="A3220" t="str">
            <v>L05-IPA-GW4-S044-22</v>
          </cell>
        </row>
        <row r="3221">
          <cell r="A3221" t="str">
            <v>L05-IPA-BDC-S036-01</v>
          </cell>
        </row>
        <row r="3222">
          <cell r="A3222" t="str">
            <v>L05-IPA-GW4-S014-19</v>
          </cell>
        </row>
        <row r="3223">
          <cell r="A3223" t="str">
            <v>L05-IPA-GW4-S044-18</v>
          </cell>
        </row>
        <row r="3224">
          <cell r="A3224" t="str">
            <v>L05-IPA-GW4-S044-17</v>
          </cell>
        </row>
        <row r="3225">
          <cell r="A3225" t="str">
            <v>L05-IPA-GW4-S014-18</v>
          </cell>
        </row>
        <row r="3226">
          <cell r="A3226" t="str">
            <v>L05-IPA-GW4-S044-21</v>
          </cell>
        </row>
        <row r="3227">
          <cell r="A3227" t="str">
            <v>L05-IPA-SSA-S001-01</v>
          </cell>
        </row>
        <row r="3228">
          <cell r="A3228" t="str">
            <v>L05-IPA-BDC-S107-02</v>
          </cell>
        </row>
        <row r="3229">
          <cell r="A3229" t="str">
            <v>L05-IPA-BDC-S107-01</v>
          </cell>
        </row>
        <row r="3230">
          <cell r="A3230" t="str">
            <v>L05-IPA-SSA-U0004-01</v>
          </cell>
        </row>
        <row r="3231">
          <cell r="A3231" t="str">
            <v>L05-IPA-SSA-S001-02</v>
          </cell>
        </row>
        <row r="3232">
          <cell r="A3232" t="str">
            <v>L05-IPA-GW4-S067-01</v>
          </cell>
        </row>
        <row r="3233">
          <cell r="A3233" t="str">
            <v>L05-IPA-BDC-S090-01</v>
          </cell>
        </row>
        <row r="3234">
          <cell r="A3234" t="str">
            <v>L05-IPA-GW4-S014-22</v>
          </cell>
        </row>
        <row r="3235">
          <cell r="A3235" t="str">
            <v>L05-IPA-GW4-S014-21</v>
          </cell>
        </row>
        <row r="3236">
          <cell r="A3236" t="str">
            <v>L05-IPA-GW3-S044-11</v>
          </cell>
        </row>
        <row r="3237">
          <cell r="A3237" t="str">
            <v>L05-IPA-GW4-S115-02</v>
          </cell>
        </row>
        <row r="3238">
          <cell r="A3238" t="str">
            <v>L05-IPA-GW4-S075-02</v>
          </cell>
        </row>
        <row r="3239">
          <cell r="A3239" t="str">
            <v>L05-IPA-GW4-S075-01</v>
          </cell>
        </row>
        <row r="3240">
          <cell r="A3240" t="str">
            <v>L05-IPA-GW1-S075-01</v>
          </cell>
        </row>
        <row r="3241">
          <cell r="A3241" t="str">
            <v>L05-IPA-GW1-S075-02</v>
          </cell>
        </row>
        <row r="3242">
          <cell r="A3242" t="str">
            <v>L05-IPA-GW1-S115-01</v>
          </cell>
        </row>
        <row r="3243">
          <cell r="A3243" t="str">
            <v>L05-IPA-GW3-S115-01</v>
          </cell>
        </row>
        <row r="3244">
          <cell r="A3244" t="str">
            <v>L05-IPA-GW3-S075-01</v>
          </cell>
        </row>
        <row r="3245">
          <cell r="A3245" t="str">
            <v>L05-IPA-GW3-S115-02</v>
          </cell>
        </row>
        <row r="3246">
          <cell r="A3246" t="str">
            <v>L05-IPA-GW2-S115-01</v>
          </cell>
        </row>
        <row r="3247">
          <cell r="A3247" t="str">
            <v>L05-IPA-GW2-S075-01</v>
          </cell>
        </row>
        <row r="3248">
          <cell r="A3248" t="str">
            <v>L05-IPA-GW2-S115-02</v>
          </cell>
        </row>
        <row r="3249">
          <cell r="A3249" t="str">
            <v>L05-IPA-GW1-S014-03</v>
          </cell>
        </row>
        <row r="3250">
          <cell r="A3250" t="str">
            <v>L05-IPA-GW1-S044-04</v>
          </cell>
        </row>
        <row r="3251">
          <cell r="A3251" t="str">
            <v>L05-IPA-GW1-S014-04</v>
          </cell>
        </row>
        <row r="3252">
          <cell r="A3252" t="str">
            <v>L05-IPA-GW1-S014-05</v>
          </cell>
        </row>
        <row r="3253">
          <cell r="A3253" t="str">
            <v>L05-IPA-GW1-S044-06</v>
          </cell>
        </row>
        <row r="3254">
          <cell r="A3254" t="str">
            <v>L05-IPA-GW1-S014-06</v>
          </cell>
        </row>
        <row r="3255">
          <cell r="A3255" t="str">
            <v>L05-IPA-GW1-S014-01</v>
          </cell>
        </row>
        <row r="3256">
          <cell r="A3256" t="str">
            <v>L05-IPA-GW1-S044-02</v>
          </cell>
        </row>
        <row r="3257">
          <cell r="A3257" t="str">
            <v>L05-IPA-GW1-S014-02</v>
          </cell>
        </row>
        <row r="3258">
          <cell r="A3258" t="str">
            <v>L05-IPA-GW1-S014-07</v>
          </cell>
        </row>
        <row r="3259">
          <cell r="A3259" t="str">
            <v>L05-IPA-GW1-S044-08</v>
          </cell>
        </row>
        <row r="3260">
          <cell r="A3260" t="str">
            <v>L05-IPA-GW1-S014-08</v>
          </cell>
        </row>
        <row r="3261">
          <cell r="A3261" t="str">
            <v>L05-IPA-GW1-S014-09</v>
          </cell>
        </row>
        <row r="3262">
          <cell r="A3262" t="str">
            <v>L05-IPA-GW1-S044-10</v>
          </cell>
        </row>
        <row r="3263">
          <cell r="A3263" t="str">
            <v>L05-IPA-GW1-S014-10</v>
          </cell>
        </row>
        <row r="3264">
          <cell r="A3264" t="str">
            <v>L05-IPA-GW2-S014-03</v>
          </cell>
        </row>
        <row r="3265">
          <cell r="A3265" t="str">
            <v>L05-IPA-GW2-S044-03</v>
          </cell>
        </row>
        <row r="3266">
          <cell r="A3266" t="str">
            <v>L05-IPA-GW2-S014-04</v>
          </cell>
        </row>
        <row r="3267">
          <cell r="A3267" t="str">
            <v>L05-IPA-GW2-S014-05</v>
          </cell>
        </row>
        <row r="3268">
          <cell r="A3268" t="str">
            <v>L05-IPA-GW2-S044-05</v>
          </cell>
        </row>
        <row r="3269">
          <cell r="A3269" t="str">
            <v>L05-IPA-GW2-S014-06</v>
          </cell>
        </row>
        <row r="3270">
          <cell r="A3270" t="str">
            <v>L05-IPA-GW2-S014-07</v>
          </cell>
        </row>
        <row r="3271">
          <cell r="A3271" t="str">
            <v>L05-IPA-GW2-S044-07</v>
          </cell>
        </row>
        <row r="3272">
          <cell r="A3272" t="str">
            <v>L05-IPA-GW2-S014-08</v>
          </cell>
        </row>
        <row r="3273">
          <cell r="A3273" t="str">
            <v>L05-IPA-GW2-S014-09</v>
          </cell>
        </row>
        <row r="3274">
          <cell r="A3274" t="str">
            <v>L05-IPA-GW2-S044-09</v>
          </cell>
        </row>
        <row r="3275">
          <cell r="A3275" t="str">
            <v>L05-IPA-GW2-S014-10</v>
          </cell>
        </row>
        <row r="3276">
          <cell r="A3276" t="str">
            <v>L05-IPA-GW2-S014-11</v>
          </cell>
        </row>
        <row r="3277">
          <cell r="A3277" t="str">
            <v>L05-IPA-GW2-S044-11</v>
          </cell>
        </row>
        <row r="3278">
          <cell r="A3278" t="str">
            <v>L05-IPA-GW2-S014-12</v>
          </cell>
        </row>
        <row r="3279">
          <cell r="A3279" t="str">
            <v>L05-IPA-GW4-S076-01</v>
          </cell>
        </row>
        <row r="3280">
          <cell r="A3280" t="str">
            <v>L05-IPA-GW3-S014-12</v>
          </cell>
        </row>
        <row r="3281">
          <cell r="A3281" t="str">
            <v>L05-IPA-GW3-S044-13</v>
          </cell>
        </row>
        <row r="3282">
          <cell r="A3282" t="str">
            <v>L05-IPA-GW3-S014-13</v>
          </cell>
        </row>
        <row r="3283">
          <cell r="A3283" t="str">
            <v>L05-IPA-GW3-S014-14</v>
          </cell>
        </row>
        <row r="3284">
          <cell r="A3284" t="str">
            <v>L05-IPA-GW3-S044-15</v>
          </cell>
        </row>
        <row r="3285">
          <cell r="A3285" t="str">
            <v>L05-IPA-GW3-S014-15</v>
          </cell>
        </row>
        <row r="3286">
          <cell r="A3286" t="str">
            <v>L05-IPA-GW3-S014-16</v>
          </cell>
        </row>
        <row r="3287">
          <cell r="A3287" t="str">
            <v>L05-IPA-GW3-S044-17</v>
          </cell>
        </row>
        <row r="3288">
          <cell r="A3288" t="str">
            <v>L05-IPA-GW3-S014-17</v>
          </cell>
        </row>
        <row r="3289">
          <cell r="A3289" t="str">
            <v>L05-IPA-GW3-S014-18</v>
          </cell>
        </row>
        <row r="3290">
          <cell r="A3290" t="str">
            <v>L05-IPA-GW3-S044-19</v>
          </cell>
        </row>
        <row r="3291">
          <cell r="A3291" t="str">
            <v>L05-IPA-GW3-S014-19</v>
          </cell>
        </row>
        <row r="3292">
          <cell r="A3292" t="str">
            <v>L05-IPA-GW3-U1432-01</v>
          </cell>
        </row>
        <row r="3293">
          <cell r="A3293" t="str">
            <v>L05-IPA-GW3-S140-02</v>
          </cell>
        </row>
        <row r="3294">
          <cell r="A3294" t="str">
            <v>L05-IPA-GW3-S014-11</v>
          </cell>
        </row>
        <row r="3295">
          <cell r="A3295" t="str">
            <v>L05-IPA-GW3-S044-22</v>
          </cell>
        </row>
        <row r="3296">
          <cell r="A3296" t="str">
            <v>L05-IPA-GW3-S014-22</v>
          </cell>
        </row>
        <row r="3297">
          <cell r="A3297" t="str">
            <v>L05-IPA-GW3-S135-01</v>
          </cell>
        </row>
        <row r="3298">
          <cell r="A3298" t="str">
            <v>L05-IPA-GW2-S114-02</v>
          </cell>
        </row>
        <row r="3299">
          <cell r="A3299" t="str">
            <v>L05-IPA-GW4-L002-01</v>
          </cell>
        </row>
        <row r="3300">
          <cell r="A3300" t="str">
            <v>L05-IPA-SHS-S094-01</v>
          </cell>
        </row>
        <row r="3301">
          <cell r="A3301" t="str">
            <v>L05-IPA-SHS-S094-02</v>
          </cell>
        </row>
        <row r="3302">
          <cell r="A3302" t="str">
            <v>L05-IPA-GW1-L002-01</v>
          </cell>
        </row>
        <row r="3303">
          <cell r="A3303" t="str">
            <v>L05-IPA-GW2-S056-01</v>
          </cell>
        </row>
        <row r="3304">
          <cell r="A3304" t="str">
            <v>L05-IPA-GW2-S049-01</v>
          </cell>
        </row>
        <row r="3305">
          <cell r="A3305" t="str">
            <v>L05-IPA-GW2-S093-01</v>
          </cell>
        </row>
        <row r="3306">
          <cell r="A3306" t="str">
            <v>L05-IPA-GW3-S080-02</v>
          </cell>
        </row>
        <row r="3307">
          <cell r="A3307" t="str">
            <v>L05-IPA-GW3-S115-06</v>
          </cell>
        </row>
        <row r="3308">
          <cell r="A3308" t="str">
            <v>L05-IPA-GW3-S093-02</v>
          </cell>
        </row>
        <row r="3309">
          <cell r="A3309" t="str">
            <v>L05-IPA-GW3-S013-01</v>
          </cell>
        </row>
        <row r="3310">
          <cell r="A3310" t="str">
            <v>L05-IPA-GW3-S014-10</v>
          </cell>
        </row>
        <row r="3311">
          <cell r="A3311" t="str">
            <v>L05-IPA-GW3-S152-03</v>
          </cell>
        </row>
        <row r="3312">
          <cell r="A3312" t="str">
            <v>L05-IPA-GW3-S014-07</v>
          </cell>
        </row>
        <row r="3313">
          <cell r="A3313" t="str">
            <v>L05-IPA-GW3-S014-06</v>
          </cell>
        </row>
        <row r="3314">
          <cell r="A3314" t="str">
            <v>L05-IPA-GW3-S152-02</v>
          </cell>
        </row>
        <row r="3315">
          <cell r="A3315" t="str">
            <v>L05-IPA-GW3-S014-03</v>
          </cell>
        </row>
        <row r="3316">
          <cell r="A3316" t="str">
            <v>L05-IPA-GW3-S014-02</v>
          </cell>
        </row>
        <row r="3317">
          <cell r="A3317" t="str">
            <v>L05-IPA-GW3-S152-01</v>
          </cell>
        </row>
        <row r="3318">
          <cell r="A3318" t="str">
            <v>L05-IPA-GW4-S013-02</v>
          </cell>
        </row>
        <row r="3319">
          <cell r="A3319" t="str">
            <v>L05-IPA-GW4-S014-01</v>
          </cell>
        </row>
        <row r="3320">
          <cell r="A3320" t="str">
            <v>L05-IPA-GW4-S152-01</v>
          </cell>
        </row>
        <row r="3321">
          <cell r="A3321" t="str">
            <v>L05-IPA-GW4-S014-05</v>
          </cell>
        </row>
        <row r="3322">
          <cell r="A3322" t="str">
            <v>L05-IPA-GW4-S014-04</v>
          </cell>
        </row>
        <row r="3323">
          <cell r="A3323" t="str">
            <v>L05-IPA-GW4-S014-09</v>
          </cell>
        </row>
        <row r="3324">
          <cell r="A3324" t="str">
            <v>L05-IPA-GW4-S014-08</v>
          </cell>
        </row>
        <row r="3325">
          <cell r="A3325" t="str">
            <v>L05-IPA-GW4-S152-03</v>
          </cell>
        </row>
        <row r="3326">
          <cell r="A3326" t="str">
            <v>L05-IPA-GW2-S013-02</v>
          </cell>
        </row>
        <row r="3327">
          <cell r="A3327" t="str">
            <v>L05-IPA-GW2-S014-13</v>
          </cell>
        </row>
        <row r="3328">
          <cell r="A3328" t="str">
            <v>L05-IPA-GW2-S152-03</v>
          </cell>
        </row>
        <row r="3329">
          <cell r="A3329" t="str">
            <v>L05-IPA-GW2-S014-17</v>
          </cell>
        </row>
        <row r="3330">
          <cell r="A3330" t="str">
            <v>L05-IPA-GW2-S014-16</v>
          </cell>
        </row>
        <row r="3331">
          <cell r="A3331" t="str">
            <v>L05-IPA-GW2-S152-02</v>
          </cell>
        </row>
        <row r="3332">
          <cell r="A3332" t="str">
            <v>L05-IPA-GW2-S014-21</v>
          </cell>
        </row>
        <row r="3333">
          <cell r="A3333" t="str">
            <v>L05-IPA-GW2-S014-20</v>
          </cell>
        </row>
        <row r="3334">
          <cell r="A3334" t="str">
            <v>L05-IPA-GW2-S152-01</v>
          </cell>
        </row>
        <row r="3335">
          <cell r="A3335" t="str">
            <v>L05-IPA-GW1-S013-01</v>
          </cell>
        </row>
        <row r="3336">
          <cell r="A3336" t="str">
            <v>L05-IPA-GW1-S014-22</v>
          </cell>
        </row>
        <row r="3337">
          <cell r="A3337" t="str">
            <v>L05-IPA-GW1-S152-03</v>
          </cell>
        </row>
        <row r="3338">
          <cell r="A3338" t="str">
            <v>L05-IPA-GW1-S014-19</v>
          </cell>
        </row>
        <row r="3339">
          <cell r="A3339" t="str">
            <v>L05-IPA-GW1-S014-18</v>
          </cell>
        </row>
        <row r="3340">
          <cell r="A3340" t="str">
            <v>L05-IPA-GW1-S152-02</v>
          </cell>
        </row>
        <row r="3341">
          <cell r="A3341" t="str">
            <v>L05-IPA-GW1-S014-15</v>
          </cell>
        </row>
        <row r="3342">
          <cell r="A3342" t="str">
            <v>L05-IPA-GW1-S014-14</v>
          </cell>
        </row>
        <row r="3343">
          <cell r="A3343" t="str">
            <v>L05-IPA-GW1-S152-01</v>
          </cell>
        </row>
        <row r="3344">
          <cell r="A3344" t="str">
            <v>L05-IPA-CIR-C001-22</v>
          </cell>
        </row>
        <row r="3345">
          <cell r="A3345" t="str">
            <v>L05-IPA-SHS-S062-04</v>
          </cell>
        </row>
        <row r="3346">
          <cell r="A3346" t="str">
            <v>L05-IPA-SHS-S062-02</v>
          </cell>
        </row>
        <row r="3347">
          <cell r="A3347" t="str">
            <v>L05-IPA-SHS-S062-03</v>
          </cell>
        </row>
        <row r="3348">
          <cell r="A3348" t="str">
            <v>L05-IPA-GW1-S114-01</v>
          </cell>
        </row>
        <row r="3349">
          <cell r="A3349" t="str">
            <v>L05-IPA-GW4-S135-01</v>
          </cell>
        </row>
        <row r="3350">
          <cell r="A3350" t="str">
            <v>L05-IPA-SHS-S110-01</v>
          </cell>
        </row>
        <row r="3351">
          <cell r="A3351" t="str">
            <v>L05-IPA-GW1-S051-01</v>
          </cell>
        </row>
        <row r="3352">
          <cell r="A3352" t="str">
            <v>L05-IPA-GW4-S007-01</v>
          </cell>
        </row>
        <row r="3353">
          <cell r="A3353" t="str">
            <v>L05-IPA-GW1-S007-01</v>
          </cell>
        </row>
        <row r="3354">
          <cell r="A3354" t="str">
            <v>L05-IPA-GW2-S014-22</v>
          </cell>
        </row>
        <row r="3355">
          <cell r="A3355" t="str">
            <v>L05-IPA-SHS-S113-02</v>
          </cell>
        </row>
        <row r="3356">
          <cell r="A3356" t="str">
            <v>L05-IPA-GW2-S093-02</v>
          </cell>
        </row>
        <row r="3357">
          <cell r="A3357" t="str">
            <v>L05-IPA-GW2-S042-01</v>
          </cell>
        </row>
        <row r="3358">
          <cell r="A3358" t="str">
            <v>L04-NUT-DHO-S147-01</v>
          </cell>
        </row>
        <row r="3359">
          <cell r="A3359" t="str">
            <v>L05-IPA-SHS-S113-01</v>
          </cell>
        </row>
        <row r="3360">
          <cell r="A3360" t="str">
            <v>L05-IPA-GW1-S068-01</v>
          </cell>
        </row>
        <row r="3361">
          <cell r="A3361" t="str">
            <v>L05-IPA-GW1-S076-01</v>
          </cell>
        </row>
        <row r="3362">
          <cell r="A3362" t="str">
            <v>L05-IPA-GW2-S076-01</v>
          </cell>
        </row>
        <row r="3363">
          <cell r="A3363" t="str">
            <v>L05-IPA-GW2-S068-01</v>
          </cell>
        </row>
        <row r="3364">
          <cell r="A3364" t="str">
            <v>L05-IPA-GW3-S107-01</v>
          </cell>
        </row>
        <row r="3365">
          <cell r="A3365" t="str">
            <v>L04-ONC-INP-S114-03</v>
          </cell>
        </row>
        <row r="3366">
          <cell r="A3366" t="str">
            <v>L05-IPA-GW4-S115-06</v>
          </cell>
        </row>
        <row r="3367">
          <cell r="A3367" t="str">
            <v>L05-IPA-GW4-S152-02</v>
          </cell>
        </row>
        <row r="3368">
          <cell r="A3368" t="str">
            <v>L05-IPA-GW2-S036-02</v>
          </cell>
        </row>
        <row r="3369">
          <cell r="A3369" t="str">
            <v>L05-IPA-GW2-S114-01</v>
          </cell>
        </row>
        <row r="3370">
          <cell r="A3370" t="str">
            <v>L05-IPA-GW2-S112-01</v>
          </cell>
        </row>
        <row r="3371">
          <cell r="A3371" t="str">
            <v>L05-IPA-GW2-S036-01</v>
          </cell>
        </row>
        <row r="3372">
          <cell r="A3372" t="str">
            <v>L05-IPA-GW2-S115-06</v>
          </cell>
        </row>
        <row r="3373">
          <cell r="A3373" t="str">
            <v>L05-IPA-GW1-S114-02</v>
          </cell>
        </row>
        <row r="3374">
          <cell r="A3374" t="str">
            <v>L05-IPA-GW1-S115-06</v>
          </cell>
        </row>
        <row r="3375">
          <cell r="A3375" t="str">
            <v/>
          </cell>
        </row>
        <row r="3376">
          <cell r="A3376" t="str">
            <v>L05-IPA-GW3-S152-04</v>
          </cell>
        </row>
        <row r="3377">
          <cell r="A3377" t="str">
            <v/>
          </cell>
        </row>
        <row r="3378">
          <cell r="A3378" t="str">
            <v>L05-IPA-GW1-S152-04</v>
          </cell>
        </row>
        <row r="3379">
          <cell r="A3379" t="str">
            <v>L05-IPA-SHS-S057-02</v>
          </cell>
        </row>
        <row r="3380">
          <cell r="A3380" t="str">
            <v>Unoccupied</v>
          </cell>
        </row>
        <row r="3381">
          <cell r="A3381" t="str">
            <v>Unoccupied</v>
          </cell>
        </row>
        <row r="3382">
          <cell r="A3382" t="str">
            <v>Unoccupied</v>
          </cell>
        </row>
        <row r="3383">
          <cell r="A3383" t="str">
            <v>L05-IPA-SHS-S057-01</v>
          </cell>
        </row>
        <row r="3384">
          <cell r="A3384" t="str">
            <v>L05-IPA-SSA-U0006-01</v>
          </cell>
        </row>
        <row r="3385">
          <cell r="A3385" t="str">
            <v>L05-IPA-GW4-S056-01</v>
          </cell>
        </row>
        <row r="3386">
          <cell r="A3386" t="str">
            <v>L05-IPA-GW4-S080-02</v>
          </cell>
        </row>
        <row r="3387">
          <cell r="A3387" t="str">
            <v>L05-IPA-GW4-S068-01</v>
          </cell>
        </row>
        <row r="3388">
          <cell r="A3388" t="str">
            <v>L05-IPA-BDC-S023-01</v>
          </cell>
        </row>
        <row r="3389">
          <cell r="A3389" t="str">
            <v>L05-IPA-SHS-S012-02</v>
          </cell>
        </row>
        <row r="3390">
          <cell r="A3390" t="str">
            <v>L05-IPA-BDC-S005-01</v>
          </cell>
        </row>
        <row r="3391">
          <cell r="A3391" t="str">
            <v>L05-IPA-GW4-S139-02</v>
          </cell>
        </row>
        <row r="3392">
          <cell r="A3392" t="str">
            <v>L05-IPA-GW3-S053-01</v>
          </cell>
        </row>
        <row r="3393">
          <cell r="A3393" t="str">
            <v>L05-IPA-GW4-S053-01</v>
          </cell>
        </row>
        <row r="3394">
          <cell r="A3394" t="str">
            <v>L05-IPA-GW3-S056-02</v>
          </cell>
        </row>
        <row r="3395">
          <cell r="A3395" t="str">
            <v>L05-IPA-SSS-S133-01</v>
          </cell>
        </row>
        <row r="3396">
          <cell r="A3396" t="str">
            <v>L05-IPA-SSS-S123-01</v>
          </cell>
        </row>
        <row r="3397">
          <cell r="A3397" t="str">
            <v>L05-IPA-GW3-S023-02</v>
          </cell>
        </row>
        <row r="3398">
          <cell r="A3398" t="str">
            <v>L05-IPA-GW3-S067-01</v>
          </cell>
        </row>
        <row r="3399">
          <cell r="A3399" t="str">
            <v>L05-IPA-GW3-S019-01</v>
          </cell>
        </row>
        <row r="3400">
          <cell r="A3400" t="str">
            <v>L05-IPA-GW3-S139-01</v>
          </cell>
        </row>
        <row r="3401">
          <cell r="A3401" t="str">
            <v>L05-IPA-GW3-S140-01</v>
          </cell>
        </row>
        <row r="3402">
          <cell r="A3402" t="str">
            <v>L05-IPA-GW3-S076-01</v>
          </cell>
        </row>
        <row r="3403">
          <cell r="A3403" t="str">
            <v>L05-IPA-SHS-S062-01</v>
          </cell>
        </row>
        <row r="3404">
          <cell r="A3404" t="str">
            <v>L05-IPA-GW1-S084-01</v>
          </cell>
        </row>
        <row r="3405">
          <cell r="A3405" t="str">
            <v>L05-IPA-GW2-S060-01</v>
          </cell>
        </row>
        <row r="3406">
          <cell r="A3406" t="str">
            <v>L05-IPA-GW2-S056-02</v>
          </cell>
        </row>
        <row r="3407">
          <cell r="A3407" t="str">
            <v>L05-IPA-GW2-S023-02</v>
          </cell>
        </row>
        <row r="3408">
          <cell r="A3408" t="str">
            <v>L05-IPA-GW2-S019-01</v>
          </cell>
        </row>
        <row r="3409">
          <cell r="A3409" t="str">
            <v>L05-IPA-GW2-S072-01</v>
          </cell>
        </row>
        <row r="3410">
          <cell r="A3410" t="str">
            <v>L05-IPA-SHS-S022-01</v>
          </cell>
        </row>
        <row r="3411">
          <cell r="A3411" t="str">
            <v>L05-IPA-GW1-S025-01</v>
          </cell>
        </row>
        <row r="3412">
          <cell r="A3412" t="str">
            <v>L05-IPA-CIR-C001-20</v>
          </cell>
        </row>
        <row r="3413">
          <cell r="A3413" t="str">
            <v>L05-IPA-SHS-S109-01</v>
          </cell>
        </row>
        <row r="3414">
          <cell r="A3414" t="str">
            <v>L05-IPA-SHS-S012-01</v>
          </cell>
        </row>
        <row r="3415">
          <cell r="A3415" t="str">
            <v>L05-IPA-SHS-S109-02</v>
          </cell>
        </row>
        <row r="3416">
          <cell r="A3416" t="str">
            <v>L05-IPA-GW3-S068-01</v>
          </cell>
        </row>
        <row r="3417">
          <cell r="A3417" t="str">
            <v>L05-IPA-SHS-S022-02</v>
          </cell>
        </row>
        <row r="3418">
          <cell r="A3418" t="str">
            <v>L05-IPA-GW2-S025-01</v>
          </cell>
        </row>
        <row r="3419">
          <cell r="A3419" t="str">
            <v>L05-IPA-CIR-C001-15</v>
          </cell>
        </row>
        <row r="3420">
          <cell r="A3420" t="str">
            <v>L05-IPA-GW3-L002-01</v>
          </cell>
        </row>
        <row r="3421">
          <cell r="A3421" t="str">
            <v>Unoccupied</v>
          </cell>
        </row>
        <row r="3422">
          <cell r="A3422" t="str">
            <v/>
          </cell>
        </row>
        <row r="3423">
          <cell r="A3423" t="str">
            <v>Unoccupied</v>
          </cell>
        </row>
        <row r="3424">
          <cell r="A3424" t="str">
            <v>L05-CIR-CIR-C001-01</v>
          </cell>
        </row>
        <row r="3425">
          <cell r="A3425" t="str">
            <v>L05-CIR-CIR-C004-01</v>
          </cell>
        </row>
        <row r="3426">
          <cell r="A3426" t="str">
            <v>L05-IPA-GW1-S042-01</v>
          </cell>
        </row>
        <row r="3427">
          <cell r="A3427" t="str">
            <v/>
          </cell>
        </row>
        <row r="3428">
          <cell r="A3428" t="str">
            <v>L05-IPA-GW2-S007-01</v>
          </cell>
        </row>
        <row r="3429">
          <cell r="A3429" t="str">
            <v>L05-IPA-GW3-S007-01</v>
          </cell>
        </row>
        <row r="3430">
          <cell r="A3430" t="str">
            <v>L05-IPA-GW2-S001-01</v>
          </cell>
        </row>
        <row r="3431">
          <cell r="A3431" t="str">
            <v/>
          </cell>
        </row>
        <row r="3432">
          <cell r="A3432" t="str">
            <v>L05-IPA-GW1-S067-01</v>
          </cell>
        </row>
        <row r="3433">
          <cell r="A3433" t="str">
            <v>L05-HUB-ITH-S118-01</v>
          </cell>
        </row>
        <row r="3434">
          <cell r="A3434" t="str">
            <v>L05-IPA-GW1-S056-01</v>
          </cell>
        </row>
        <row r="3435">
          <cell r="A3435" t="str">
            <v>L05-IPA-GW1-S139-03</v>
          </cell>
        </row>
        <row r="3436">
          <cell r="A3436" t="str">
            <v>L05-HUB-ITH-S118-06</v>
          </cell>
        </row>
        <row r="3437">
          <cell r="A3437" t="str">
            <v>L05-IPA-GW2-S056-03</v>
          </cell>
        </row>
        <row r="3438">
          <cell r="A3438" t="str">
            <v/>
          </cell>
        </row>
        <row r="3439">
          <cell r="A3439" t="str">
            <v/>
          </cell>
        </row>
        <row r="3440">
          <cell r="A3440" t="str">
            <v>L05-IPA-CIR-C001-12</v>
          </cell>
        </row>
        <row r="3441">
          <cell r="A3441" t="str">
            <v/>
          </cell>
        </row>
        <row r="3442">
          <cell r="A3442" t="str">
            <v/>
          </cell>
        </row>
        <row r="3443">
          <cell r="A3443" t="str">
            <v>L05-CIR-CIR-C006-06</v>
          </cell>
        </row>
        <row r="3444">
          <cell r="A3444" t="str">
            <v>L05-CIR-CIR-C008-04</v>
          </cell>
        </row>
        <row r="3445">
          <cell r="A3445" t="str">
            <v>L05-CIR-CIR-C001-02</v>
          </cell>
        </row>
        <row r="3446">
          <cell r="A3446" t="str">
            <v>L05-CIR-CIR-C008-01</v>
          </cell>
        </row>
        <row r="3447">
          <cell r="A3447" t="str">
            <v>L04-NUT-SNU-S113-04</v>
          </cell>
        </row>
        <row r="3448">
          <cell r="A3448" t="str">
            <v>L05-IPA-GW4-S114-02</v>
          </cell>
        </row>
        <row r="3449">
          <cell r="A3449" t="str">
            <v/>
          </cell>
        </row>
        <row r="3450">
          <cell r="A3450" t="str">
            <v/>
          </cell>
        </row>
        <row r="3451">
          <cell r="A3451" t="str">
            <v>L05-IPA-GW1-S053-01</v>
          </cell>
        </row>
        <row r="3452">
          <cell r="A3452" t="str">
            <v>L05-IPA-GW2-S053-01</v>
          </cell>
        </row>
        <row r="3453">
          <cell r="A3453" t="str">
            <v>L05-CIR-CIR-C008-03</v>
          </cell>
        </row>
        <row r="3454">
          <cell r="A3454" t="str">
            <v>L05-HUB-ITH-S118-02</v>
          </cell>
        </row>
        <row r="3455">
          <cell r="A3455" t="str">
            <v>L05-IPA-CIR-C001-09</v>
          </cell>
        </row>
        <row r="3456">
          <cell r="A3456" t="str">
            <v>L05-IPA-SHS-S032-01</v>
          </cell>
        </row>
        <row r="3457">
          <cell r="A3457" t="str">
            <v>L05-HUB-ITH-S118-05</v>
          </cell>
        </row>
        <row r="3458">
          <cell r="A3458" t="str">
            <v>L05-HUB-ITH-S118-04</v>
          </cell>
        </row>
        <row r="3459">
          <cell r="A3459" t="str">
            <v>L05-HUB-ITH-S118-03</v>
          </cell>
        </row>
        <row r="3460">
          <cell r="A3460" t="str">
            <v>L05-IPA-GW2-S139-02</v>
          </cell>
        </row>
        <row r="3461">
          <cell r="A3461" t="str">
            <v>L05-IPA-SHS-S005-02</v>
          </cell>
        </row>
        <row r="3462">
          <cell r="A3462" t="str">
            <v>L05-IPA-SHS-S032-02</v>
          </cell>
        </row>
        <row r="3463">
          <cell r="A3463" t="str">
            <v>L05-CIR-CIR-C006-04</v>
          </cell>
        </row>
        <row r="3464">
          <cell r="A3464" t="str">
            <v>L05-CIR-CIR-C006-01</v>
          </cell>
        </row>
        <row r="3465">
          <cell r="A3465" t="str">
            <v>L05-IPA-CIR-C001-21</v>
          </cell>
        </row>
        <row r="3466">
          <cell r="A3466" t="str">
            <v/>
          </cell>
        </row>
        <row r="3467">
          <cell r="A3467" t="str">
            <v/>
          </cell>
        </row>
        <row r="3468">
          <cell r="A3468" t="str">
            <v>L05-IPA-CIR-C001-18</v>
          </cell>
        </row>
        <row r="3469">
          <cell r="A3469" t="str">
            <v/>
          </cell>
        </row>
        <row r="3470">
          <cell r="A3470" t="str">
            <v>L05-IPA-CIR-C001-04</v>
          </cell>
        </row>
        <row r="3471">
          <cell r="A3471" t="str">
            <v/>
          </cell>
        </row>
        <row r="3472">
          <cell r="A3472" t="str">
            <v>L05-IPA-CIR-C001-08</v>
          </cell>
        </row>
        <row r="3473">
          <cell r="A3473" t="str">
            <v/>
          </cell>
        </row>
        <row r="3474">
          <cell r="A3474" t="str">
            <v/>
          </cell>
        </row>
        <row r="3475">
          <cell r="A3475" t="str">
            <v>L05-IPA-GW3-S056-03</v>
          </cell>
        </row>
        <row r="3476">
          <cell r="A3476" t="str">
            <v>L05-IPA-GW3-S036-02</v>
          </cell>
        </row>
        <row r="3477">
          <cell r="A3477" t="str">
            <v/>
          </cell>
        </row>
        <row r="3478">
          <cell r="A3478" t="str">
            <v>L05-IPA-CIR-C001-19</v>
          </cell>
        </row>
        <row r="3479">
          <cell r="A3479" t="str">
            <v>L05-CIR-CIR-C006-02</v>
          </cell>
        </row>
        <row r="3480">
          <cell r="A3480" t="str">
            <v>L05-IPA-GW1-S001-02</v>
          </cell>
        </row>
        <row r="3481">
          <cell r="A3481" t="str">
            <v>L05-IPA-GW1-S093-01</v>
          </cell>
        </row>
        <row r="3482">
          <cell r="A3482" t="str">
            <v>L05-IPA-CIR-C001-01</v>
          </cell>
        </row>
        <row r="3483">
          <cell r="A3483" t="str">
            <v>L05-IPA-CIR-C001-03</v>
          </cell>
        </row>
        <row r="3484">
          <cell r="A3484" t="str">
            <v>L05-IPA-GW2-S067-01</v>
          </cell>
        </row>
        <row r="3485">
          <cell r="A3485" t="str">
            <v>L05-IPA-CIR-C001-10</v>
          </cell>
        </row>
        <row r="3486">
          <cell r="A3486" t="str">
            <v>L05-IPA-SHS-S005-01</v>
          </cell>
        </row>
        <row r="3487">
          <cell r="A3487" t="str">
            <v>L05-IPA-SHS-S038-02</v>
          </cell>
        </row>
        <row r="3488">
          <cell r="A3488" t="str">
            <v>L05-CIR-CIR-C008-02</v>
          </cell>
        </row>
        <row r="3489">
          <cell r="A3489" t="str">
            <v>L05-IPA-GW1-S080-02</v>
          </cell>
        </row>
        <row r="3490">
          <cell r="A3490" t="str">
            <v>L05-IPA-CIR-C001-02</v>
          </cell>
        </row>
        <row r="3491">
          <cell r="A3491" t="str">
            <v>L05-CIR-CIR-C006-03</v>
          </cell>
        </row>
        <row r="3492">
          <cell r="A3492" t="str">
            <v>L05-IPA-GW2-S080-02</v>
          </cell>
        </row>
        <row r="3493">
          <cell r="A3493" t="str">
            <v>L05-CIR-CIR-C006-05</v>
          </cell>
        </row>
        <row r="3494">
          <cell r="A3494" t="str">
            <v/>
          </cell>
        </row>
        <row r="3495">
          <cell r="A3495" t="str">
            <v>L05-IPA-GW2-L002-01</v>
          </cell>
        </row>
        <row r="3496">
          <cell r="A3496" t="str">
            <v>L05-IPA-SHS-S038-01</v>
          </cell>
        </row>
        <row r="3497">
          <cell r="A3497" t="str">
            <v>L05-IPA-GW2-S139-01</v>
          </cell>
        </row>
        <row r="3498">
          <cell r="A3498" t="str">
            <v>L05-IPA-CIR-C001-17</v>
          </cell>
        </row>
        <row r="3499">
          <cell r="A3499" t="str">
            <v>L06-IPA-GW8-S056-03</v>
          </cell>
        </row>
        <row r="3500">
          <cell r="A3500" t="str">
            <v>L06-IPA-GW8-S023-02</v>
          </cell>
        </row>
        <row r="3501">
          <cell r="A3501" t="str">
            <v>L06-IPA-GW8-S049-01</v>
          </cell>
        </row>
        <row r="3502">
          <cell r="A3502" t="str">
            <v>L06-IPA-GW8-S072-01</v>
          </cell>
        </row>
        <row r="3503">
          <cell r="A3503" t="str">
            <v>L06-IPA-GW8-S093-02</v>
          </cell>
        </row>
        <row r="3504">
          <cell r="A3504" t="str">
            <v>L06-IPA-GW8-S060-01</v>
          </cell>
        </row>
        <row r="3505">
          <cell r="A3505" t="str">
            <v>L06-IPA-GW8-S112-01</v>
          </cell>
        </row>
        <row r="3506">
          <cell r="A3506" t="str">
            <v>L06-IPA-GW8-S036-02</v>
          </cell>
        </row>
        <row r="3507">
          <cell r="A3507" t="str">
            <v/>
          </cell>
        </row>
        <row r="3508">
          <cell r="A3508" t="str">
            <v>L06-IPA-GW6-S056-01</v>
          </cell>
        </row>
        <row r="3509">
          <cell r="A3509" t="str">
            <v>L06-IPA-GW6-S023-01</v>
          </cell>
        </row>
        <row r="3510">
          <cell r="A3510" t="str">
            <v>L06-IPA-GW6-S093-01</v>
          </cell>
        </row>
        <row r="3511">
          <cell r="A3511" t="str">
            <v>L06-IPA-GW6-S049-01</v>
          </cell>
        </row>
        <row r="3512">
          <cell r="A3512" t="str">
            <v>L06-IPA-GW6-S112-01</v>
          </cell>
        </row>
        <row r="3513">
          <cell r="A3513" t="str">
            <v>L06-IPA-GW6-S036-01</v>
          </cell>
        </row>
        <row r="3514">
          <cell r="A3514" t="str">
            <v>L06-IPA-GW6-S060-01</v>
          </cell>
        </row>
        <row r="3515">
          <cell r="A3515" t="str">
            <v>L06-IPA-GW6-S072-01</v>
          </cell>
        </row>
        <row r="3516">
          <cell r="A3516" t="str">
            <v/>
          </cell>
        </row>
        <row r="3517">
          <cell r="A3517" t="str">
            <v>L06-IPA-GW5-S023-02</v>
          </cell>
        </row>
        <row r="3518">
          <cell r="A3518" t="str">
            <v>L06-IPA-GW5-S056-03</v>
          </cell>
        </row>
        <row r="3519">
          <cell r="A3519" t="str">
            <v>L06-IPA-GW5-S049-01</v>
          </cell>
        </row>
        <row r="3520">
          <cell r="A3520" t="str">
            <v>L06-IPA-GW5-S093-02</v>
          </cell>
        </row>
        <row r="3521">
          <cell r="A3521" t="str">
            <v>L06-IPA-GW5-S036-02</v>
          </cell>
        </row>
        <row r="3522">
          <cell r="A3522" t="str">
            <v>L06-IPA-GW5-S112-01</v>
          </cell>
        </row>
        <row r="3523">
          <cell r="A3523" t="str">
            <v>L06-IPA-GW5-S060-01</v>
          </cell>
        </row>
        <row r="3524">
          <cell r="A3524" t="str">
            <v>L06-IPA-GW5-S072-01</v>
          </cell>
        </row>
        <row r="3525">
          <cell r="A3525" t="str">
            <v/>
          </cell>
        </row>
        <row r="3526">
          <cell r="A3526" t="str">
            <v>L06-IPA-GW7-S023-01</v>
          </cell>
        </row>
        <row r="3527">
          <cell r="A3527" t="str">
            <v>L06-IPA-GW7-S056-01</v>
          </cell>
        </row>
        <row r="3528">
          <cell r="A3528" t="str">
            <v>L06-IPA-GW7-S093-01</v>
          </cell>
        </row>
        <row r="3529">
          <cell r="A3529" t="str">
            <v>L06-IPA-GW7-S049-01</v>
          </cell>
        </row>
        <row r="3530">
          <cell r="A3530" t="str">
            <v>L06-IPA-GW7-S036-01</v>
          </cell>
        </row>
        <row r="3531">
          <cell r="A3531" t="str">
            <v>L06-IPA-GW7-S112-01</v>
          </cell>
        </row>
        <row r="3532">
          <cell r="A3532" t="str">
            <v>L06-IPA-GW7-S060-01</v>
          </cell>
        </row>
        <row r="3533">
          <cell r="A3533" t="str">
            <v>L06-IPA-GW7-S072-01</v>
          </cell>
        </row>
        <row r="3534">
          <cell r="A3534" t="str">
            <v/>
          </cell>
        </row>
        <row r="3535">
          <cell r="A3535" t="str">
            <v>L06-IPA-GW7-S127-01</v>
          </cell>
        </row>
        <row r="3536">
          <cell r="A3536" t="str">
            <v>L06-IPA-GW7-S010-01</v>
          </cell>
        </row>
        <row r="3537">
          <cell r="A3537" t="str">
            <v>L06-IPA-GW7-S036-02</v>
          </cell>
        </row>
        <row r="3538">
          <cell r="A3538" t="str">
            <v>L06-IPA-GW7-S056-02</v>
          </cell>
        </row>
        <row r="3539">
          <cell r="A3539" t="str">
            <v>L06-IPA-GW7-S108-01</v>
          </cell>
        </row>
        <row r="3540">
          <cell r="A3540" t="str">
            <v>L06-IPA-GW7-S023-02</v>
          </cell>
        </row>
        <row r="3541">
          <cell r="A3541" t="str">
            <v>L06-IPA-GW7-S019-01</v>
          </cell>
        </row>
        <row r="3542">
          <cell r="A3542" t="str">
            <v/>
          </cell>
        </row>
        <row r="3543">
          <cell r="A3543" t="str">
            <v>L06-IPA-GW8-S010-01</v>
          </cell>
        </row>
        <row r="3544">
          <cell r="A3544" t="str">
            <v>L06-IPA-GW8-S127-01</v>
          </cell>
        </row>
        <row r="3545">
          <cell r="A3545" t="str">
            <v>L06-IPA-GW8-S036-01</v>
          </cell>
        </row>
        <row r="3546">
          <cell r="A3546" t="str">
            <v>L06-IPA-GW8-S056-01</v>
          </cell>
        </row>
        <row r="3547">
          <cell r="A3547" t="str">
            <v>L06-IPA-GW8-S056-02</v>
          </cell>
        </row>
        <row r="3548">
          <cell r="A3548" t="str">
            <v>L06-IPA-GW8-S023-01</v>
          </cell>
        </row>
        <row r="3549">
          <cell r="A3549" t="str">
            <v>L06-IPA-GW8-S107-01</v>
          </cell>
        </row>
        <row r="3550">
          <cell r="A3550" t="str">
            <v>L06-IPA-GW8-S019-01</v>
          </cell>
        </row>
        <row r="3551">
          <cell r="A3551" t="str">
            <v/>
          </cell>
        </row>
        <row r="3552">
          <cell r="A3552" t="str">
            <v>L06-IPA-GW5-S010-01</v>
          </cell>
        </row>
        <row r="3553">
          <cell r="A3553" t="str">
            <v>L06-IPA-GW5-S127-01</v>
          </cell>
        </row>
        <row r="3554">
          <cell r="A3554" t="str">
            <v>L06-IPA-GW5-S139-02</v>
          </cell>
        </row>
        <row r="3555">
          <cell r="A3555" t="str">
            <v>L06-IPA-GW5-S036-01</v>
          </cell>
        </row>
        <row r="3556">
          <cell r="A3556" t="str">
            <v>L06-IPA-GW5-S056-02</v>
          </cell>
        </row>
        <row r="3557">
          <cell r="A3557" t="str">
            <v>L06-IPA-GW5-S107-01</v>
          </cell>
        </row>
        <row r="3558">
          <cell r="A3558" t="str">
            <v>L06-IPA-GW5-S023-01</v>
          </cell>
        </row>
        <row r="3559">
          <cell r="A3559" t="str">
            <v>L06-IPA-GW5-S019-01</v>
          </cell>
        </row>
        <row r="3560">
          <cell r="A3560" t="str">
            <v/>
          </cell>
        </row>
        <row r="3561">
          <cell r="A3561" t="str">
            <v>L06-IPA-GW5-S044-11</v>
          </cell>
        </row>
        <row r="3562">
          <cell r="A3562" t="str">
            <v>L06-IPA-GW5-S044-03</v>
          </cell>
        </row>
        <row r="3563">
          <cell r="A3563" t="str">
            <v>L06-IPA-GW5-S044-05</v>
          </cell>
        </row>
        <row r="3564">
          <cell r="A3564" t="str">
            <v>L06-IPA-GW5-S044-07</v>
          </cell>
        </row>
        <row r="3565">
          <cell r="A3565" t="str">
            <v>L06-IPA-GW5-S044-09</v>
          </cell>
        </row>
        <row r="3566">
          <cell r="A3566" t="str">
            <v>L06-IPA-GW5-S001-01</v>
          </cell>
        </row>
        <row r="3567">
          <cell r="A3567" t="str">
            <v>L06-IPA-GW5-S044-22</v>
          </cell>
        </row>
        <row r="3568">
          <cell r="A3568" t="str">
            <v>L06-IPA-GW5-S044-20</v>
          </cell>
        </row>
        <row r="3569">
          <cell r="A3569" t="str">
            <v>L06-IPA-GW5-S044-16</v>
          </cell>
        </row>
        <row r="3570">
          <cell r="A3570" t="str">
            <v>L06-IPA-GW6-S044-02</v>
          </cell>
        </row>
        <row r="3571">
          <cell r="A3571" t="str">
            <v>L06-IPA-GW6-S044-10</v>
          </cell>
        </row>
        <row r="3572">
          <cell r="A3572" t="str">
            <v>L06-IPA-GW6-S044-08</v>
          </cell>
        </row>
        <row r="3573">
          <cell r="A3573" t="str">
            <v>L06-IPA-GW6-S044-06</v>
          </cell>
        </row>
        <row r="3574">
          <cell r="A3574" t="str">
            <v>L06-IPA-GW6-S044-04</v>
          </cell>
        </row>
        <row r="3575">
          <cell r="A3575" t="str">
            <v>L06-IPA-GW6-S001-02</v>
          </cell>
        </row>
        <row r="3576">
          <cell r="A3576" t="str">
            <v>L06-IPA-GW6-S044-13</v>
          </cell>
        </row>
        <row r="3577">
          <cell r="A3577" t="str">
            <v>L06-IPA-GW6-S044-15</v>
          </cell>
        </row>
        <row r="3578">
          <cell r="A3578" t="str">
            <v>L06-IPA-GW6-S044-19</v>
          </cell>
        </row>
        <row r="3579">
          <cell r="A3579" t="str">
            <v>L06-IPA-GW7-S044-21</v>
          </cell>
        </row>
        <row r="3580">
          <cell r="A3580" t="str">
            <v>L06-IPA-GW7-S044-13</v>
          </cell>
        </row>
        <row r="3581">
          <cell r="A3581" t="str">
            <v>L06-IPA-GW7-S044-15</v>
          </cell>
        </row>
        <row r="3582">
          <cell r="A3582" t="str">
            <v>L06-IPA-GW7-S044-17</v>
          </cell>
        </row>
        <row r="3583">
          <cell r="A3583" t="str">
            <v>L06-IPA-GW7-S044-19</v>
          </cell>
        </row>
        <row r="3584">
          <cell r="A3584" t="str">
            <v>L06-IPA-GW7-S001-01</v>
          </cell>
        </row>
        <row r="3585">
          <cell r="A3585" t="str">
            <v>L06-IPA-GW7-S044-10</v>
          </cell>
        </row>
        <row r="3586">
          <cell r="A3586" t="str">
            <v>L06-IPA-GW7-S044-08</v>
          </cell>
        </row>
        <row r="3587">
          <cell r="A3587" t="str">
            <v>L06-IPA-GW7-S044-04</v>
          </cell>
        </row>
        <row r="3588">
          <cell r="A3588" t="str">
            <v>L06-IPA-GW8-S044-12</v>
          </cell>
        </row>
        <row r="3589">
          <cell r="A3589" t="str">
            <v>L06-IPA-GW8-S044-20</v>
          </cell>
        </row>
        <row r="3590">
          <cell r="A3590" t="str">
            <v>L06-IPA-GW8-S044-18</v>
          </cell>
        </row>
        <row r="3591">
          <cell r="A3591" t="str">
            <v>L06-IPA-GW8-S044-16</v>
          </cell>
        </row>
        <row r="3592">
          <cell r="A3592" t="str">
            <v>L06-IPA-GW8-S044-14</v>
          </cell>
        </row>
        <row r="3593">
          <cell r="A3593" t="str">
            <v>L06-IPA-GW8-S001-02</v>
          </cell>
        </row>
        <row r="3594">
          <cell r="A3594" t="str">
            <v>L06-IPA-GW8-S044-01</v>
          </cell>
        </row>
        <row r="3595">
          <cell r="A3595" t="str">
            <v>L06-IPA-GW8-S044-03</v>
          </cell>
        </row>
        <row r="3596">
          <cell r="A3596" t="str">
            <v>L06-IPA-GW8-S044-07</v>
          </cell>
        </row>
        <row r="3597">
          <cell r="A3597" t="str">
            <v>L06-IPA-GW7-S044-11</v>
          </cell>
        </row>
        <row r="3598">
          <cell r="A3598" t="str">
            <v>L06-IPA-GW8-S044-05</v>
          </cell>
        </row>
        <row r="3599">
          <cell r="A3599" t="str">
            <v>L06-IPA-GW8-S044-09</v>
          </cell>
        </row>
        <row r="3600">
          <cell r="A3600" t="str">
            <v>L06-IPA-GW5-S044-18</v>
          </cell>
        </row>
        <row r="3601">
          <cell r="A3601" t="str">
            <v>L06-IPA-GW5-S044-14</v>
          </cell>
        </row>
        <row r="3602">
          <cell r="A3602" t="str">
            <v>L06-IPA-GW6-S044-17</v>
          </cell>
        </row>
        <row r="3603">
          <cell r="A3603" t="str">
            <v>L06-IPA-GW6-S044-21</v>
          </cell>
        </row>
        <row r="3604">
          <cell r="A3604" t="str">
            <v>L06-IPA-GW7-S044-06</v>
          </cell>
        </row>
        <row r="3605">
          <cell r="A3605" t="str">
            <v>L06-IPA-GW7-S044-02</v>
          </cell>
        </row>
        <row r="3606">
          <cell r="A3606" t="str">
            <v>L06-IPA-GW8-S115-01</v>
          </cell>
        </row>
        <row r="3607">
          <cell r="A3607" t="str">
            <v>L06-IPA-GW8-S075-02</v>
          </cell>
        </row>
        <row r="3608">
          <cell r="A3608" t="str">
            <v>L06-IPA-GW5-S115-01</v>
          </cell>
        </row>
        <row r="3609">
          <cell r="A3609" t="str">
            <v>L06-IPA-GW5-S075-02</v>
          </cell>
        </row>
        <row r="3610">
          <cell r="A3610" t="str">
            <v>L06-IPA-GW6-S115-02</v>
          </cell>
        </row>
        <row r="3611">
          <cell r="A3611" t="str">
            <v>L06-IPA-GW6-S115-01</v>
          </cell>
        </row>
        <row r="3612">
          <cell r="A3612" t="str">
            <v>L06-IPA-GW7-S075-01</v>
          </cell>
        </row>
        <row r="3613">
          <cell r="A3613" t="str">
            <v>L06-IPA-GW7-S115-03</v>
          </cell>
        </row>
        <row r="3614">
          <cell r="A3614" t="str">
            <v>L06-IPA-REM-S001-02</v>
          </cell>
        </row>
        <row r="3615">
          <cell r="A3615" t="str">
            <v>L06-IPA-GW7-S001-02</v>
          </cell>
        </row>
        <row r="3616">
          <cell r="A3616" t="str">
            <v>L06-IPA-GW8-S001-01</v>
          </cell>
        </row>
        <row r="3617">
          <cell r="A3617" t="str">
            <v>L06-IPA-GW6-S127-01</v>
          </cell>
        </row>
        <row r="3618">
          <cell r="A3618" t="str">
            <v>L06-IPA-GW5-S044-12</v>
          </cell>
        </row>
        <row r="3619">
          <cell r="A3619" t="str">
            <v>L06-IPA-GW6-S044-01</v>
          </cell>
        </row>
        <row r="3620">
          <cell r="A3620" t="str">
            <v>L06-IPA-GW6-S014-02</v>
          </cell>
        </row>
        <row r="3621">
          <cell r="A3621" t="str">
            <v>L06-IPA-GW6-S013-01</v>
          </cell>
        </row>
        <row r="3622">
          <cell r="A3622" t="str">
            <v>L06-IPA-GW6-S044-23</v>
          </cell>
        </row>
        <row r="3623">
          <cell r="A3623" t="str">
            <v>L06-IPA-GW6-S044-14</v>
          </cell>
        </row>
        <row r="3624">
          <cell r="A3624" t="str">
            <v>L06-IPA-GW6-S014-14</v>
          </cell>
        </row>
        <row r="3625">
          <cell r="A3625" t="str">
            <v>L06-IPA-GW6-S014-15</v>
          </cell>
        </row>
        <row r="3626">
          <cell r="A3626" t="str">
            <v>L06-IPA-GW6-S044-16</v>
          </cell>
        </row>
        <row r="3627">
          <cell r="A3627" t="str">
            <v>L06-IPA-GW6-S044-18</v>
          </cell>
        </row>
        <row r="3628">
          <cell r="A3628" t="str">
            <v>L06-IPA-GW6-S014-18</v>
          </cell>
        </row>
        <row r="3629">
          <cell r="A3629" t="str">
            <v>L06-IPA-GW6-S014-19</v>
          </cell>
        </row>
        <row r="3630">
          <cell r="A3630" t="str">
            <v>L06-IPA-GW6-S044-20</v>
          </cell>
        </row>
        <row r="3631">
          <cell r="A3631" t="str">
            <v>L06-IPA-GW6-S044-22</v>
          </cell>
        </row>
        <row r="3632">
          <cell r="A3632" t="str">
            <v>L06-IPA-GW5-S014-13</v>
          </cell>
        </row>
        <row r="3633">
          <cell r="A3633" t="str">
            <v>L06-IPA-GW5-S044-13</v>
          </cell>
        </row>
        <row r="3634">
          <cell r="A3634" t="str">
            <v>L06-IPA-GW5-S044-15</v>
          </cell>
        </row>
        <row r="3635">
          <cell r="A3635" t="str">
            <v>L06-IPA-GW5-S014-16</v>
          </cell>
        </row>
        <row r="3636">
          <cell r="A3636" t="str">
            <v>L06-IPA-GW5-S014-17</v>
          </cell>
        </row>
        <row r="3637">
          <cell r="A3637" t="str">
            <v>L06-IPA-GW5-S044-17</v>
          </cell>
        </row>
        <row r="3638">
          <cell r="A3638" t="str">
            <v>L06-IPA-GW5-S044-19</v>
          </cell>
        </row>
        <row r="3639">
          <cell r="A3639" t="str">
            <v>L06-IPA-GW5-S014-20</v>
          </cell>
        </row>
        <row r="3640">
          <cell r="A3640" t="str">
            <v>L06-IPA-GW5-S014-21</v>
          </cell>
        </row>
        <row r="3641">
          <cell r="A3641" t="str">
            <v>L06-IPA-GW5-S044-21</v>
          </cell>
        </row>
        <row r="3642">
          <cell r="A3642" t="str">
            <v>L06-IPA-GW5-S044-23</v>
          </cell>
        </row>
        <row r="3643">
          <cell r="A3643" t="str">
            <v>L06-IPA-GW5-S013-02</v>
          </cell>
        </row>
        <row r="3644">
          <cell r="A3644" t="str">
            <v>L06-IPA-GW8-S042-01</v>
          </cell>
        </row>
        <row r="3645">
          <cell r="A3645" t="str">
            <v>L06-IPA-GW8-S013-01</v>
          </cell>
        </row>
        <row r="3646">
          <cell r="A3646" t="str">
            <v>L06-IPA-GW8-S044-23</v>
          </cell>
        </row>
        <row r="3647">
          <cell r="A3647" t="str">
            <v>L06-IPA-GW8-S044-02</v>
          </cell>
        </row>
        <row r="3648">
          <cell r="A3648" t="str">
            <v>L06-IPA-GW8-S014-02</v>
          </cell>
        </row>
        <row r="3649">
          <cell r="A3649" t="str">
            <v>L06-IPA-GW8-S014-03</v>
          </cell>
        </row>
        <row r="3650">
          <cell r="A3650" t="str">
            <v>L06-IPA-GW8-S044-04</v>
          </cell>
        </row>
        <row r="3651">
          <cell r="A3651" t="str">
            <v>L06-IPA-GW8-S044-06</v>
          </cell>
        </row>
        <row r="3652">
          <cell r="A3652" t="str">
            <v>L06-IPA-GW8-S014-06</v>
          </cell>
        </row>
        <row r="3653">
          <cell r="A3653" t="str">
            <v>L06-IPA-GW8-S014-07</v>
          </cell>
        </row>
        <row r="3654">
          <cell r="A3654" t="str">
            <v>L06-IPA-GW8-S044-08</v>
          </cell>
        </row>
        <row r="3655">
          <cell r="A3655" t="str">
            <v>L06-IPA-GW8-S044-10</v>
          </cell>
        </row>
        <row r="3656">
          <cell r="A3656" t="str">
            <v>L06-IPA-GW8-S014-10</v>
          </cell>
        </row>
        <row r="3657">
          <cell r="A3657" t="str">
            <v>L06-IPA-GW7-S044-01</v>
          </cell>
        </row>
        <row r="3658">
          <cell r="A3658" t="str">
            <v>L06-IPA-GW7-S044-03</v>
          </cell>
        </row>
        <row r="3659">
          <cell r="A3659" t="str">
            <v>L06-IPA-GW7-S014-04</v>
          </cell>
        </row>
        <row r="3660">
          <cell r="A3660" t="str">
            <v>L06-IPA-GW7-S014-05</v>
          </cell>
        </row>
        <row r="3661">
          <cell r="A3661" t="str">
            <v>L06-IPA-GW7-S044-05</v>
          </cell>
        </row>
        <row r="3662">
          <cell r="A3662" t="str">
            <v>L06-IPA-GW7-S044-07</v>
          </cell>
        </row>
        <row r="3663">
          <cell r="A3663" t="str">
            <v>L06-IPA-GW7-S014-08</v>
          </cell>
        </row>
        <row r="3664">
          <cell r="A3664" t="str">
            <v>L06-IPA-GW7-S014-09</v>
          </cell>
        </row>
        <row r="3665">
          <cell r="A3665" t="str">
            <v>L06-IPA-GW7-S044-09</v>
          </cell>
        </row>
        <row r="3666">
          <cell r="A3666" t="str">
            <v>L06-IPA-GW7-S044-23</v>
          </cell>
        </row>
        <row r="3667">
          <cell r="A3667" t="str">
            <v>L06-IPA-GW7-S013-02</v>
          </cell>
        </row>
        <row r="3668">
          <cell r="A3668" t="str">
            <v>L06-IPA-GW7-S042-01</v>
          </cell>
        </row>
        <row r="3669">
          <cell r="A3669" t="str">
            <v>L06-IPA-GW7-S014-21</v>
          </cell>
        </row>
        <row r="3670">
          <cell r="A3670" t="str">
            <v>L06-IPA-GW7-S044-22</v>
          </cell>
        </row>
        <row r="3671">
          <cell r="A3671" t="str">
            <v>L06-IPA-GW7-S014-22</v>
          </cell>
        </row>
        <row r="3672">
          <cell r="A3672" t="str">
            <v>L06-IPA-GW8-S014-11</v>
          </cell>
        </row>
        <row r="3673">
          <cell r="A3673" t="str">
            <v>L06-IPA-GW8-S044-11</v>
          </cell>
        </row>
        <row r="3674">
          <cell r="A3674" t="str">
            <v>L06-IPA-GW8-S014-12</v>
          </cell>
        </row>
        <row r="3675">
          <cell r="A3675" t="str">
            <v>L06-IPA-GW6-S042-01</v>
          </cell>
        </row>
        <row r="3676">
          <cell r="A3676" t="str">
            <v/>
          </cell>
        </row>
        <row r="3677">
          <cell r="A3677" t="str">
            <v/>
          </cell>
        </row>
        <row r="3678">
          <cell r="A3678" t="str">
            <v/>
          </cell>
        </row>
        <row r="3679">
          <cell r="A3679" t="str">
            <v/>
          </cell>
        </row>
        <row r="3680">
          <cell r="A3680" t="str">
            <v>L06-IPA-GW7-S080-02</v>
          </cell>
        </row>
        <row r="3681">
          <cell r="A3681" t="str">
            <v>L06-IPA-GW6-S010-01</v>
          </cell>
        </row>
        <row r="3682">
          <cell r="A3682" t="str">
            <v>L06-IPA-GW5-S044-01</v>
          </cell>
        </row>
        <row r="3683">
          <cell r="A3683" t="str">
            <v>L06-IPA-GW5-S075-01</v>
          </cell>
        </row>
        <row r="3684">
          <cell r="A3684" t="str">
            <v>L06-IPA-CSA-S113-01</v>
          </cell>
        </row>
        <row r="3685">
          <cell r="A3685" t="str">
            <v>L06-IPA-GW7-S056-03</v>
          </cell>
        </row>
        <row r="3686">
          <cell r="A3686" t="str">
            <v>L06-IPA-CSA-S044-01</v>
          </cell>
        </row>
        <row r="3687">
          <cell r="A3687" t="str">
            <v>L06-IPA-CSA-S028-01</v>
          </cell>
        </row>
        <row r="3688">
          <cell r="A3688" t="str">
            <v>L06-IPA-GW5-S014-01</v>
          </cell>
        </row>
        <row r="3689">
          <cell r="A3689" t="str">
            <v>L06-IPA-GW5-S044-02</v>
          </cell>
        </row>
        <row r="3690">
          <cell r="A3690" t="str">
            <v>L06-IPA-GW5-S044-04</v>
          </cell>
        </row>
        <row r="3691">
          <cell r="A3691" t="str">
            <v>L06-IPA-GW5-S014-04</v>
          </cell>
        </row>
        <row r="3692">
          <cell r="A3692" t="str">
            <v>L06-IPA-GW5-S044-06</v>
          </cell>
        </row>
        <row r="3693">
          <cell r="A3693" t="str">
            <v>L06-IPA-GW5-S044-08</v>
          </cell>
        </row>
        <row r="3694">
          <cell r="A3694" t="str">
            <v>L06-IPA-GW5-S014-08</v>
          </cell>
        </row>
        <row r="3695">
          <cell r="A3695" t="str">
            <v>L06-IPA-GW5-S044-10</v>
          </cell>
        </row>
        <row r="3696">
          <cell r="A3696" t="str">
            <v>L06-IPA-GW6-S014-03</v>
          </cell>
        </row>
        <row r="3697">
          <cell r="A3697" t="str">
            <v>L06-IPA-GW6-S044-03</v>
          </cell>
        </row>
        <row r="3698">
          <cell r="A3698" t="str">
            <v>L06-IPA-GW6-S014-04</v>
          </cell>
        </row>
        <row r="3699">
          <cell r="A3699" t="str">
            <v>L06-IPA-GW6-S014-05</v>
          </cell>
        </row>
        <row r="3700">
          <cell r="A3700" t="str">
            <v>L06-IPA-GW6-S044-05</v>
          </cell>
        </row>
        <row r="3701">
          <cell r="A3701" t="str">
            <v>L06-IPA-GW6-S014-06</v>
          </cell>
        </row>
        <row r="3702">
          <cell r="A3702" t="str">
            <v>L06-IPA-GW6-S014-07</v>
          </cell>
        </row>
        <row r="3703">
          <cell r="A3703" t="str">
            <v>L06-IPA-GW6-S044-07</v>
          </cell>
        </row>
        <row r="3704">
          <cell r="A3704" t="str">
            <v>L06-IPA-GW6-S014-08</v>
          </cell>
        </row>
        <row r="3705">
          <cell r="A3705" t="str">
            <v>L06-IPA-GW6-S014-09</v>
          </cell>
        </row>
        <row r="3706">
          <cell r="A3706" t="str">
            <v>L06-IPA-GW6-S044-09</v>
          </cell>
        </row>
        <row r="3707">
          <cell r="A3707" t="str">
            <v>L06-IPA-GW6-S014-10</v>
          </cell>
        </row>
        <row r="3708">
          <cell r="A3708" t="str">
            <v>L06-IPA-GW6-S014-11</v>
          </cell>
        </row>
        <row r="3709">
          <cell r="A3709" t="str">
            <v>L06-IPA-GW6-S044-12</v>
          </cell>
        </row>
        <row r="3710">
          <cell r="A3710" t="str">
            <v>L06-IPA-GW6-S014-12</v>
          </cell>
        </row>
        <row r="3711">
          <cell r="A3711" t="str">
            <v>L06-IPA-ORT-S129-01</v>
          </cell>
        </row>
        <row r="3712">
          <cell r="A3712" t="str">
            <v>L06-IPA-GW7-S014-11</v>
          </cell>
        </row>
        <row r="3713">
          <cell r="A3713" t="str">
            <v>L06-IPA-GW7-S044-12</v>
          </cell>
        </row>
        <row r="3714">
          <cell r="A3714" t="str">
            <v>L06-IPA-GW7-S014-12</v>
          </cell>
        </row>
        <row r="3715">
          <cell r="A3715" t="str">
            <v>L06-IPA-GW7-S014-13</v>
          </cell>
        </row>
        <row r="3716">
          <cell r="A3716" t="str">
            <v>L06-IPA-GW7-S044-14</v>
          </cell>
        </row>
        <row r="3717">
          <cell r="A3717" t="str">
            <v>L06-IPA-GW7-S014-14</v>
          </cell>
        </row>
        <row r="3718">
          <cell r="A3718" t="str">
            <v>L06-IPA-GW7-S014-15</v>
          </cell>
        </row>
        <row r="3719">
          <cell r="A3719" t="str">
            <v>L06-IPA-GW7-S044-16</v>
          </cell>
        </row>
        <row r="3720">
          <cell r="A3720" t="str">
            <v>L06-IPA-GW7-S014-16</v>
          </cell>
        </row>
        <row r="3721">
          <cell r="A3721" t="str">
            <v>L06-IPA-GW7-S014-17</v>
          </cell>
        </row>
        <row r="3722">
          <cell r="A3722" t="str">
            <v>L06-IPA-GW7-S044-18</v>
          </cell>
        </row>
        <row r="3723">
          <cell r="A3723" t="str">
            <v>L06-IPA-GW7-S014-18</v>
          </cell>
        </row>
        <row r="3724">
          <cell r="A3724" t="str">
            <v>L06-IPA-GW7-S014-19</v>
          </cell>
        </row>
        <row r="3725">
          <cell r="A3725" t="str">
            <v>L06-IPA-GW7-S044-20</v>
          </cell>
        </row>
        <row r="3726">
          <cell r="A3726" t="str">
            <v>L06-IPA-GW7-S014-20</v>
          </cell>
        </row>
        <row r="3727">
          <cell r="A3727" t="str">
            <v>L06-IPA-GW8-S014-13</v>
          </cell>
        </row>
        <row r="3728">
          <cell r="A3728" t="str">
            <v>L06-IPA-GW8-S044-13</v>
          </cell>
        </row>
        <row r="3729">
          <cell r="A3729" t="str">
            <v>L06-IPA-GW8-S014-14</v>
          </cell>
        </row>
        <row r="3730">
          <cell r="A3730" t="str">
            <v>L06-IPA-GW8-S014-15</v>
          </cell>
        </row>
        <row r="3731">
          <cell r="A3731" t="str">
            <v>L06-IPA-GW8-S044-15</v>
          </cell>
        </row>
        <row r="3732">
          <cell r="A3732" t="str">
            <v>L06-IPA-GW8-S014-16</v>
          </cell>
        </row>
        <row r="3733">
          <cell r="A3733" t="str">
            <v>L06-IPA-GW8-S014-17</v>
          </cell>
        </row>
        <row r="3734">
          <cell r="A3734" t="str">
            <v>L06-IPA-GW8-S044-17</v>
          </cell>
        </row>
        <row r="3735">
          <cell r="A3735" t="str">
            <v>L06-IPA-GW8-S014-18</v>
          </cell>
        </row>
        <row r="3736">
          <cell r="A3736" t="str">
            <v>L06-IPA-GW8-S014-19</v>
          </cell>
        </row>
        <row r="3737">
          <cell r="A3737" t="str">
            <v>L06-IPA-GW8-S044-19</v>
          </cell>
        </row>
        <row r="3738">
          <cell r="A3738" t="str">
            <v>L06-IPA-GW8-S014-20</v>
          </cell>
        </row>
        <row r="3739">
          <cell r="A3739" t="str">
            <v>L06-IPA-GW8-S076-01</v>
          </cell>
        </row>
        <row r="3740">
          <cell r="A3740" t="str">
            <v>L06-IPA-GW8-S114-02</v>
          </cell>
        </row>
        <row r="3741">
          <cell r="A3741" t="str">
            <v>L06-IPA-GW5-S135-01</v>
          </cell>
        </row>
        <row r="3742">
          <cell r="A3742" t="str">
            <v>L06-IPA-GW8-L035-02</v>
          </cell>
        </row>
        <row r="3743">
          <cell r="A3743" t="str">
            <v>L06-IPA-GW8-L035-01</v>
          </cell>
        </row>
        <row r="3744">
          <cell r="A3744" t="str">
            <v>L06-IPA-GW8-L081-02</v>
          </cell>
        </row>
        <row r="3745">
          <cell r="A3745" t="str">
            <v>L06-IPA-NPI-L001-02</v>
          </cell>
        </row>
        <row r="3746">
          <cell r="A3746" t="str">
            <v>L06-IPA-GW8-S044-21</v>
          </cell>
        </row>
        <row r="3747">
          <cell r="A3747" t="str">
            <v>L06-IPA-NPI-L001-01</v>
          </cell>
        </row>
        <row r="3748">
          <cell r="A3748" t="str">
            <v>L06-IPA-GW8-S075-01</v>
          </cell>
        </row>
        <row r="3749">
          <cell r="A3749" t="str">
            <v>L06-IPA-GW7-S114-02</v>
          </cell>
        </row>
        <row r="3750">
          <cell r="A3750" t="str">
            <v>L06-IPA-GW6-S135-01</v>
          </cell>
        </row>
        <row r="3751">
          <cell r="A3751" t="str">
            <v>L06-IPA-SHS-S062-02</v>
          </cell>
        </row>
        <row r="3752">
          <cell r="A3752" t="str">
            <v>L06-IPA-SHS-S005-01</v>
          </cell>
        </row>
        <row r="3753">
          <cell r="A3753" t="str">
            <v>L06-IPA-SHS-S005-02</v>
          </cell>
        </row>
        <row r="3754">
          <cell r="A3754" t="str">
            <v>L06-IPA-GW7-S014-03</v>
          </cell>
        </row>
        <row r="3755">
          <cell r="A3755" t="str">
            <v>L06-IPA-GW7-S014-02</v>
          </cell>
        </row>
        <row r="3756">
          <cell r="A3756" t="str">
            <v>L06-IPA-GW7-S014-07</v>
          </cell>
        </row>
        <row r="3757">
          <cell r="A3757" t="str">
            <v>L06-IPA-GW7-S014-06</v>
          </cell>
        </row>
        <row r="3758">
          <cell r="A3758" t="str">
            <v>L06-IPA-GW7-S013-01</v>
          </cell>
        </row>
        <row r="3759">
          <cell r="A3759" t="str">
            <v>L06-IPA-GW7-S014-10</v>
          </cell>
        </row>
        <row r="3760">
          <cell r="A3760" t="str">
            <v>L06-IPA-GW6-S013-02</v>
          </cell>
        </row>
        <row r="3761">
          <cell r="A3761" t="str">
            <v>L06-IPA-GW6-S014-13</v>
          </cell>
        </row>
        <row r="3762">
          <cell r="A3762" t="str">
            <v>L06-IPA-GW6-S014-17</v>
          </cell>
        </row>
        <row r="3763">
          <cell r="A3763" t="str">
            <v>L06-IPA-GW6-S014-16</v>
          </cell>
        </row>
        <row r="3764">
          <cell r="A3764" t="str">
            <v>L06-IPA-GW6-S014-21</v>
          </cell>
        </row>
        <row r="3765">
          <cell r="A3765" t="str">
            <v>L06-IPA-GW6-S014-20</v>
          </cell>
        </row>
        <row r="3766">
          <cell r="A3766" t="str">
            <v>L06-IPA-GW5-S014-15</v>
          </cell>
        </row>
        <row r="3767">
          <cell r="A3767" t="str">
            <v>L06-IPA-GW5-S014-14</v>
          </cell>
        </row>
        <row r="3768">
          <cell r="A3768" t="str">
            <v>L06-IPA-GW5-S014-19</v>
          </cell>
        </row>
        <row r="3769">
          <cell r="A3769" t="str">
            <v>L06-IPA-GW5-S014-18</v>
          </cell>
        </row>
        <row r="3770">
          <cell r="A3770" t="str">
            <v>L06-IPA-GW5-S013-01</v>
          </cell>
        </row>
        <row r="3771">
          <cell r="A3771" t="str">
            <v>L06-IPA-GW5-S014-22</v>
          </cell>
        </row>
        <row r="3772">
          <cell r="A3772" t="str">
            <v>L06-IPA-GW5-S152-03</v>
          </cell>
        </row>
        <row r="3773">
          <cell r="A3773" t="str">
            <v>L06-IPA-GW5-S152-01</v>
          </cell>
        </row>
        <row r="3774">
          <cell r="A3774" t="str">
            <v>L06-IPA-GW5-S152-02</v>
          </cell>
        </row>
        <row r="3775">
          <cell r="A3775" t="str">
            <v>L06-IPA-GW6-S152-01</v>
          </cell>
        </row>
        <row r="3776">
          <cell r="A3776" t="str">
            <v>L06-IPA-GW6-S152-02</v>
          </cell>
        </row>
        <row r="3777">
          <cell r="A3777" t="str">
            <v>L06-IPA-GW6-S152-03</v>
          </cell>
        </row>
        <row r="3778">
          <cell r="A3778" t="str">
            <v>L06-IPA-GW7-S152-03</v>
          </cell>
        </row>
        <row r="3779">
          <cell r="A3779" t="str">
            <v>L06-IPA-GW7-S152-02</v>
          </cell>
        </row>
        <row r="3780">
          <cell r="A3780" t="str">
            <v>L06-IPA-GW7-S152-01</v>
          </cell>
        </row>
        <row r="3781">
          <cell r="A3781" t="str">
            <v>L06-IPA-GW8-S014-09</v>
          </cell>
        </row>
        <row r="3782">
          <cell r="A3782" t="str">
            <v>L06-IPA-GW8-S014-08</v>
          </cell>
        </row>
        <row r="3783">
          <cell r="A3783" t="str">
            <v>L06-IPA-GW8-S014-05</v>
          </cell>
        </row>
        <row r="3784">
          <cell r="A3784" t="str">
            <v>L06-IPA-GW8-S014-04</v>
          </cell>
        </row>
        <row r="3785">
          <cell r="A3785" t="str">
            <v>L06-IPA-GW8-S013-02</v>
          </cell>
        </row>
        <row r="3786">
          <cell r="A3786" t="str">
            <v>L06-IPA-GW8-S014-01</v>
          </cell>
        </row>
        <row r="3787">
          <cell r="A3787" t="str">
            <v>L06-IPA-GW8-S152-03</v>
          </cell>
        </row>
        <row r="3788">
          <cell r="A3788" t="str">
            <v>L06-IPA-GW8-S152-02</v>
          </cell>
        </row>
        <row r="3789">
          <cell r="A3789" t="str">
            <v>L06-IPA-GW8-S152-01</v>
          </cell>
        </row>
        <row r="3790">
          <cell r="A3790" t="str">
            <v>L06-IPA-GW8-S080-02</v>
          </cell>
        </row>
        <row r="3791">
          <cell r="A3791" t="str">
            <v>L06-IPA-GW8-S101-01</v>
          </cell>
        </row>
        <row r="3792">
          <cell r="A3792" t="str">
            <v>L06-IPA-GW5-S051-01</v>
          </cell>
        </row>
        <row r="3793">
          <cell r="A3793" t="str">
            <v>L06-IPA-SHS-S110-02</v>
          </cell>
        </row>
        <row r="3794">
          <cell r="A3794" t="str">
            <v>L06-IPA-SHS-S062-04</v>
          </cell>
        </row>
        <row r="3795">
          <cell r="A3795" t="str">
            <v>L06-IPA-SHS-S062-01</v>
          </cell>
        </row>
        <row r="3796">
          <cell r="A3796" t="str">
            <v>L06-IPA-SHS-S113-01</v>
          </cell>
        </row>
        <row r="3797">
          <cell r="A3797" t="str">
            <v>L06-IPA-GW6-S014-22</v>
          </cell>
        </row>
        <row r="3798">
          <cell r="A3798" t="str">
            <v>L06-IPA-GW7-S014-01</v>
          </cell>
        </row>
        <row r="3799">
          <cell r="A3799" t="str">
            <v>L06-IPA-SHS-S113-02</v>
          </cell>
        </row>
        <row r="3800">
          <cell r="A3800" t="str">
            <v>L06-IPA-GW6-S076-01</v>
          </cell>
        </row>
        <row r="3801">
          <cell r="A3801" t="str">
            <v>L06-IPA-GW8-S093-01</v>
          </cell>
        </row>
        <row r="3802">
          <cell r="A3802" t="str">
            <v>L06-IPA-GW8-S115-03</v>
          </cell>
        </row>
        <row r="3803">
          <cell r="A3803" t="str">
            <v/>
          </cell>
        </row>
        <row r="3804">
          <cell r="A3804" t="str">
            <v>L06-IPA-GW7-S152-04</v>
          </cell>
        </row>
        <row r="3805">
          <cell r="A3805" t="str">
            <v>L06-IPA-GW7-S139-01</v>
          </cell>
        </row>
        <row r="3806">
          <cell r="A3806" t="str">
            <v>L06-IPA-GW7-S114-01</v>
          </cell>
        </row>
        <row r="3807">
          <cell r="A3807" t="str">
            <v>L06-IPA-GW7-S093-02</v>
          </cell>
        </row>
        <row r="3808">
          <cell r="A3808" t="str">
            <v>L06-IPA-GW7-S115-06</v>
          </cell>
        </row>
        <row r="3809">
          <cell r="A3809" t="str">
            <v>L06-IPA-GW6-S036-02</v>
          </cell>
        </row>
        <row r="3810">
          <cell r="A3810" t="str">
            <v>L06-IPA-GW6-S139-02</v>
          </cell>
        </row>
        <row r="3811">
          <cell r="A3811" t="str">
            <v>L06-IPA-GW6-S093-02</v>
          </cell>
        </row>
        <row r="3812">
          <cell r="A3812" t="str">
            <v>L06-IPA-GW6-S115-06</v>
          </cell>
        </row>
        <row r="3813">
          <cell r="A3813" t="str">
            <v>L06-IPA-GW5-S114-01</v>
          </cell>
        </row>
        <row r="3814">
          <cell r="A3814" t="str">
            <v/>
          </cell>
        </row>
        <row r="3815">
          <cell r="A3815" t="str">
            <v>L06-IPA-GW5-S152-04</v>
          </cell>
        </row>
        <row r="3816">
          <cell r="A3816" t="str">
            <v>L06-IPA-GW6-S114-01</v>
          </cell>
        </row>
        <row r="3817">
          <cell r="A3817" t="str">
            <v>L06-IPA-GW6-S139-01</v>
          </cell>
        </row>
        <row r="3818">
          <cell r="A3818" t="str">
            <v>L06-IPA-GW5-S093-01</v>
          </cell>
        </row>
        <row r="3819">
          <cell r="A3819" t="str">
            <v>L06-IPA-GW5-L058-01</v>
          </cell>
        </row>
        <row r="3820">
          <cell r="A3820" t="str">
            <v>L06-IPA-SHS-S057-01</v>
          </cell>
        </row>
        <row r="3821">
          <cell r="A3821" t="str">
            <v>L06-IPA-GW5-S014-12</v>
          </cell>
        </row>
        <row r="3822">
          <cell r="A3822" t="str">
            <v>L06-IPA-GW5-S014-03</v>
          </cell>
        </row>
        <row r="3823">
          <cell r="A3823" t="str">
            <v>L06-IPA-GW5-S014-02</v>
          </cell>
        </row>
        <row r="3824">
          <cell r="A3824" t="str">
            <v>L06-IPA-REM-S001-01</v>
          </cell>
        </row>
        <row r="3825">
          <cell r="A3825" t="str">
            <v>L06-CIR-CIR-C004-01</v>
          </cell>
        </row>
        <row r="3826">
          <cell r="A3826" t="str">
            <v>L06-CIR-CIR-C004-01</v>
          </cell>
        </row>
        <row r="3827">
          <cell r="A3827" t="str">
            <v>L06-CIR-CIR-C004-01</v>
          </cell>
        </row>
        <row r="3828">
          <cell r="A3828" t="str">
            <v>L06-IPA-SHS-S057-02</v>
          </cell>
        </row>
        <row r="3829">
          <cell r="A3829" t="str">
            <v>L06-IPA-GW7-S115-01</v>
          </cell>
        </row>
        <row r="3830">
          <cell r="A3830" t="str">
            <v>L06-IPA-GW8-S067-01</v>
          </cell>
        </row>
        <row r="3831">
          <cell r="A3831" t="str">
            <v>L06-IPA-GW5-S068-01</v>
          </cell>
        </row>
        <row r="3832">
          <cell r="A3832" t="str">
            <v>L06-IPA-GW8-S099-01</v>
          </cell>
        </row>
        <row r="3833">
          <cell r="A3833" t="str">
            <v>L06-IPA-SHS-S012-02</v>
          </cell>
        </row>
        <row r="3834">
          <cell r="A3834" t="str">
            <v>L06-IPA-GW5-S080-02</v>
          </cell>
        </row>
        <row r="3835">
          <cell r="A3835" t="str">
            <v>L06-IPA-GW8-L081-01</v>
          </cell>
        </row>
        <row r="3836">
          <cell r="A3836" t="str">
            <v>L06-IPA-GW8-S044-22</v>
          </cell>
        </row>
        <row r="3837">
          <cell r="A3837" t="str">
            <v>L06-IPA-GW5-S076-01</v>
          </cell>
        </row>
        <row r="3838">
          <cell r="A3838" t="str">
            <v>L06-IPA-GW7-S067-01</v>
          </cell>
        </row>
        <row r="3839">
          <cell r="A3839" t="str">
            <v>L06-IPA-GW7-S139-03</v>
          </cell>
        </row>
        <row r="3840">
          <cell r="A3840" t="str">
            <v>L06-IPA-GW7-S099-01</v>
          </cell>
        </row>
        <row r="3841">
          <cell r="A3841" t="str">
            <v>L06-IPA-ORT-S100-01</v>
          </cell>
        </row>
        <row r="3842">
          <cell r="A3842" t="str">
            <v>L06-IPA-ORT-U0011-01</v>
          </cell>
        </row>
        <row r="3843">
          <cell r="A3843" t="str">
            <v>L06-IPA-GW7-S076-01</v>
          </cell>
        </row>
        <row r="3844">
          <cell r="A3844" t="str">
            <v>L06-IPA-GW5-S014-11</v>
          </cell>
        </row>
        <row r="3845">
          <cell r="A3845" t="str">
            <v>L06-IPA-GW5-S014-10</v>
          </cell>
        </row>
        <row r="3846">
          <cell r="A3846" t="str">
            <v>L06-IPA-SHS-S062-03</v>
          </cell>
        </row>
        <row r="3847">
          <cell r="A3847" t="str">
            <v>L06-IPA-GW5-S014-07</v>
          </cell>
        </row>
        <row r="3848">
          <cell r="A3848" t="str">
            <v>L06-IPA-GW5-S014-06</v>
          </cell>
        </row>
        <row r="3849">
          <cell r="A3849" t="str">
            <v>L06-IPA-CSA-S105-01</v>
          </cell>
        </row>
        <row r="3850">
          <cell r="A3850" t="str">
            <v>L06-IPA-GW6-S014-01</v>
          </cell>
        </row>
        <row r="3851">
          <cell r="A3851" t="str">
            <v>L06-IPA-GW5-S084-01</v>
          </cell>
        </row>
        <row r="3852">
          <cell r="A3852" t="str">
            <v>L06-IPA-GW6-S056-02</v>
          </cell>
        </row>
        <row r="3853">
          <cell r="A3853" t="str">
            <v>L06-IPA-GW6-S023-02</v>
          </cell>
        </row>
        <row r="3854">
          <cell r="A3854" t="str">
            <v>L06-IPA-GW6-S107-01</v>
          </cell>
        </row>
        <row r="3855">
          <cell r="A3855" t="str">
            <v>L06-IPA-GW6-S044-11</v>
          </cell>
        </row>
        <row r="3856">
          <cell r="A3856" t="str">
            <v>L06-IPA-GW6-S019-01</v>
          </cell>
        </row>
        <row r="3857">
          <cell r="A3857" t="str">
            <v>L06-IPA-GW6-S068-01</v>
          </cell>
        </row>
        <row r="3858">
          <cell r="A3858" t="str">
            <v>L06-IPA-GW5-L002-01</v>
          </cell>
        </row>
        <row r="3859">
          <cell r="A3859" t="str">
            <v>L06-IPA-SHS-S094-01</v>
          </cell>
        </row>
        <row r="3860">
          <cell r="A3860" t="str">
            <v>L06-IPA-SHS-S022-01</v>
          </cell>
        </row>
        <row r="3861">
          <cell r="A3861" t="str">
            <v>L06-IPA-GW5-S025-01</v>
          </cell>
        </row>
        <row r="3862">
          <cell r="A3862" t="str">
            <v>L06-IPA-GW8-S068-01</v>
          </cell>
        </row>
        <row r="3863">
          <cell r="A3863" t="str">
            <v>L06-IPA-SHS-S109-01</v>
          </cell>
        </row>
        <row r="3864">
          <cell r="A3864" t="str">
            <v>L06-IPA-SHS-S012-01</v>
          </cell>
        </row>
        <row r="3865">
          <cell r="A3865" t="str">
            <v>L06-IPA-GW6-S099-01</v>
          </cell>
        </row>
        <row r="3866">
          <cell r="A3866" t="str">
            <v>L06-IPA-SHS-S094-02</v>
          </cell>
        </row>
        <row r="3867">
          <cell r="A3867" t="str">
            <v>L06-IPA-SHS-S109-02</v>
          </cell>
        </row>
        <row r="3868">
          <cell r="A3868" t="str">
            <v>L06-IPA-GW7-S068-01</v>
          </cell>
        </row>
        <row r="3869">
          <cell r="A3869" t="str">
            <v>L06-IPA-SHS-S022-02</v>
          </cell>
        </row>
        <row r="3870">
          <cell r="A3870" t="str">
            <v>L06-IPA-GW6-S025-01</v>
          </cell>
        </row>
        <row r="3871">
          <cell r="A3871" t="str">
            <v>L06-IPA-GW7-L002-01</v>
          </cell>
        </row>
        <row r="3872">
          <cell r="A3872" t="str">
            <v>L06-IPA-CIR-C001-11</v>
          </cell>
        </row>
        <row r="3873">
          <cell r="A3873" t="str">
            <v/>
          </cell>
        </row>
        <row r="3874">
          <cell r="A3874" t="str">
            <v>L06-CIR-CIR-C004-01</v>
          </cell>
        </row>
        <row r="3875">
          <cell r="A3875" t="str">
            <v/>
          </cell>
        </row>
        <row r="3876">
          <cell r="A3876" t="str">
            <v>L06-CIR-CIR-C001-01</v>
          </cell>
        </row>
        <row r="3877">
          <cell r="A3877" t="str">
            <v>L06-IPA-GW5-S007-01</v>
          </cell>
        </row>
        <row r="3878">
          <cell r="A3878" t="str">
            <v>L06-IPA-GW5-S042-01</v>
          </cell>
        </row>
        <row r="3879">
          <cell r="A3879" t="str">
            <v/>
          </cell>
        </row>
        <row r="3880">
          <cell r="A3880" t="str">
            <v>L06-IPA-GW6-S007-01</v>
          </cell>
        </row>
        <row r="3881">
          <cell r="A3881" t="str">
            <v>L06-IPA-GW7-S007-01</v>
          </cell>
        </row>
        <row r="3882">
          <cell r="A3882" t="str">
            <v>L06-IPA-GW6-S001-01</v>
          </cell>
        </row>
        <row r="3883">
          <cell r="A3883" t="str">
            <v/>
          </cell>
        </row>
        <row r="3884">
          <cell r="A3884" t="str">
            <v>L06-IPA-GW6-L002-01</v>
          </cell>
        </row>
        <row r="3885">
          <cell r="A3885" t="str">
            <v>L06-IPA-CIR-C001-04</v>
          </cell>
        </row>
        <row r="3886">
          <cell r="A3886" t="str">
            <v>L06-IPA-CSA-S053-01</v>
          </cell>
        </row>
        <row r="3887">
          <cell r="A3887" t="str">
            <v>L06-HUB-ITH-S118-02</v>
          </cell>
        </row>
        <row r="3888">
          <cell r="A3888" t="str">
            <v>L06-IPA-GW5-S056-01</v>
          </cell>
        </row>
        <row r="3889">
          <cell r="A3889" t="str">
            <v>L06-IPA-GW8-S007-01</v>
          </cell>
        </row>
        <row r="3890">
          <cell r="A3890" t="str">
            <v>L06-IPA-GW6-S067-01</v>
          </cell>
        </row>
        <row r="3891">
          <cell r="A3891" t="str">
            <v>L06-HUB-ITH-S118-03</v>
          </cell>
        </row>
        <row r="3892">
          <cell r="A3892" t="str">
            <v>L06-IPA-GW6-S056-03</v>
          </cell>
        </row>
        <row r="3893">
          <cell r="A3893" t="str">
            <v/>
          </cell>
        </row>
        <row r="3894">
          <cell r="A3894" t="str">
            <v/>
          </cell>
        </row>
        <row r="3895">
          <cell r="A3895" t="str">
            <v>L06-IPA-CIR-C001-09</v>
          </cell>
        </row>
        <row r="3896">
          <cell r="A3896" t="str">
            <v/>
          </cell>
        </row>
        <row r="3897">
          <cell r="A3897" t="str">
            <v/>
          </cell>
        </row>
        <row r="3898">
          <cell r="A3898" t="str">
            <v>L06-CIR-CIR-C006-06</v>
          </cell>
        </row>
        <row r="3899">
          <cell r="A3899" t="str">
            <v>L06-CIR-CIR-C008-04</v>
          </cell>
        </row>
        <row r="3900">
          <cell r="A3900" t="str">
            <v>L06-CIR-CIR-C001-02</v>
          </cell>
        </row>
        <row r="3901">
          <cell r="A3901" t="str">
            <v>L06-CIR-CIR-C008-01</v>
          </cell>
        </row>
        <row r="3902">
          <cell r="A3902" t="str">
            <v>L06-IPA-GW8-S084-01</v>
          </cell>
        </row>
        <row r="3903">
          <cell r="A3903" t="str">
            <v>L06-IPA-GW7-S053-01</v>
          </cell>
        </row>
        <row r="3904">
          <cell r="A3904" t="str">
            <v>L06-IPA-GW8-S053-01</v>
          </cell>
        </row>
        <row r="3905">
          <cell r="A3905" t="str">
            <v/>
          </cell>
        </row>
        <row r="3906">
          <cell r="A3906" t="str">
            <v>L06-IPA-GW5-S053-01</v>
          </cell>
        </row>
        <row r="3907">
          <cell r="A3907" t="str">
            <v>L06-IPA-GW6-S053-01</v>
          </cell>
        </row>
        <row r="3908">
          <cell r="A3908" t="str">
            <v>L06-CIR-CIR-C008-03</v>
          </cell>
        </row>
        <row r="3909">
          <cell r="A3909" t="str">
            <v>L06-HUB-ITH-S118-06</v>
          </cell>
        </row>
        <row r="3910">
          <cell r="A3910" t="str">
            <v>L06-IPA-SHS-S032-01</v>
          </cell>
        </row>
        <row r="3911">
          <cell r="A3911" t="str">
            <v>L06-HUB-ITH-S118-07</v>
          </cell>
        </row>
        <row r="3912">
          <cell r="A3912" t="str">
            <v>L06-IPA-SHS-S032-02</v>
          </cell>
        </row>
        <row r="3913">
          <cell r="A3913" t="str">
            <v>L06-IPA-GW8-S114-01</v>
          </cell>
        </row>
        <row r="3914">
          <cell r="A3914" t="str">
            <v>L06-CIR-CIR-C006-04</v>
          </cell>
        </row>
        <row r="3915">
          <cell r="A3915" t="str">
            <v>L06-CIR-CIR-C006-01</v>
          </cell>
        </row>
        <row r="3916">
          <cell r="A3916" t="str">
            <v>L06-IPA-CIR-C001-15</v>
          </cell>
        </row>
        <row r="3917">
          <cell r="A3917" t="str">
            <v/>
          </cell>
        </row>
        <row r="3918">
          <cell r="A3918" t="str">
            <v/>
          </cell>
        </row>
        <row r="3919">
          <cell r="A3919" t="str">
            <v>L06-IPA-CIR-C001-10</v>
          </cell>
        </row>
        <row r="3920">
          <cell r="A3920" t="str">
            <v/>
          </cell>
        </row>
        <row r="3921">
          <cell r="A3921" t="str">
            <v>L06-IPA-CIR-C001-20</v>
          </cell>
        </row>
        <row r="3922">
          <cell r="A3922" t="str">
            <v/>
          </cell>
        </row>
        <row r="3923">
          <cell r="A3923" t="str">
            <v/>
          </cell>
        </row>
        <row r="3924">
          <cell r="A3924" t="str">
            <v>L06-CIR-CIR-C006-02</v>
          </cell>
        </row>
        <row r="3925">
          <cell r="A3925" t="str">
            <v>L06-IPA-GW5-S001-02</v>
          </cell>
        </row>
        <row r="3926">
          <cell r="A3926" t="str">
            <v>L06-IPA-GW5-S067-01</v>
          </cell>
        </row>
        <row r="3927">
          <cell r="A3927" t="str">
            <v/>
          </cell>
        </row>
        <row r="3928">
          <cell r="A3928" t="str">
            <v>L06-CIR-CIR-C006-03</v>
          </cell>
        </row>
        <row r="3929">
          <cell r="A3929" t="str">
            <v>L06-CIR-CIR-C008-02</v>
          </cell>
        </row>
        <row r="3930">
          <cell r="A3930" t="str">
            <v>L06-IPA-CIR-C001-01</v>
          </cell>
        </row>
        <row r="3931">
          <cell r="A3931" t="str">
            <v>L06-IPA-CIR-C001-08</v>
          </cell>
        </row>
        <row r="3932">
          <cell r="A3932" t="str">
            <v>L06-IPA-GW6-S080-02</v>
          </cell>
        </row>
        <row r="3933">
          <cell r="A3933" t="str">
            <v>L06-CIR-CIR-C006-05</v>
          </cell>
        </row>
        <row r="3934">
          <cell r="A3934" t="str">
            <v/>
          </cell>
        </row>
        <row r="3935">
          <cell r="A3935" t="str">
            <v>L06-IPA-GW5-S139-01</v>
          </cell>
        </row>
        <row r="3936">
          <cell r="A3936" t="str">
            <v>L06-IPA-SHS-S038-01</v>
          </cell>
        </row>
        <row r="3937">
          <cell r="A3937" t="str">
            <v>L06-IPA-CIR-C001-03</v>
          </cell>
        </row>
        <row r="3938">
          <cell r="A3938" t="str">
            <v>L06-IPA-GW8-S152-04</v>
          </cell>
        </row>
        <row r="3939">
          <cell r="A3939" t="str">
            <v>L06-IPA-GW8-L002-01</v>
          </cell>
        </row>
        <row r="3940">
          <cell r="A3940" t="str">
            <v>L06-IPA-CIR-C001-12</v>
          </cell>
        </row>
        <row r="3941">
          <cell r="A3941" t="str">
            <v>L06-IPA-SHS-S038-02</v>
          </cell>
        </row>
        <row r="3942">
          <cell r="A3942" t="str">
            <v>L06-IPA-GW6-S139-03</v>
          </cell>
        </row>
        <row r="3943">
          <cell r="A3943" t="str">
            <v>L06-IPA-CIR-C001-16</v>
          </cell>
        </row>
        <row r="3944">
          <cell r="A3944" t="str">
            <v>L06-IPA-CIR-C001-19</v>
          </cell>
        </row>
        <row r="3945">
          <cell r="A3945" t="str">
            <v>L06-IPA-CSA-S081-01</v>
          </cell>
        </row>
        <row r="3946">
          <cell r="A3946" t="str">
            <v>L06-IPA-REM-S001-01</v>
          </cell>
        </row>
        <row r="3947">
          <cell r="A3947" t="str">
            <v>L06-IPA-GW5-S014-09</v>
          </cell>
        </row>
        <row r="3948">
          <cell r="A3948" t="str">
            <v>L06-IPA-GW5-S014-05</v>
          </cell>
        </row>
        <row r="3949">
          <cell r="A3949" t="str">
            <v/>
          </cell>
        </row>
        <row r="3950">
          <cell r="A3950" t="str">
            <v/>
          </cell>
        </row>
        <row r="3951">
          <cell r="A3951" t="str">
            <v/>
          </cell>
        </row>
        <row r="3952">
          <cell r="A3952" t="str">
            <v/>
          </cell>
        </row>
        <row r="3953">
          <cell r="A3953" t="str">
            <v>1</v>
          </cell>
        </row>
        <row r="3954">
          <cell r="A3954" t="str">
            <v>2</v>
          </cell>
        </row>
        <row r="3955">
          <cell r="A3955" t="str">
            <v/>
          </cell>
        </row>
        <row r="3956">
          <cell r="A3956" t="str">
            <v/>
          </cell>
        </row>
        <row r="3957">
          <cell r="A3957" t="str">
            <v/>
          </cell>
        </row>
        <row r="3958">
          <cell r="A3958" t="str">
            <v/>
          </cell>
        </row>
        <row r="3959">
          <cell r="A3959" t="str">
            <v/>
          </cell>
        </row>
        <row r="3960">
          <cell r="A3960" t="str">
            <v/>
          </cell>
        </row>
        <row r="3961">
          <cell r="A3961" t="str">
            <v/>
          </cell>
        </row>
        <row r="3962">
          <cell r="A3962" t="str">
            <v/>
          </cell>
        </row>
        <row r="3963">
          <cell r="A3963" t="str">
            <v/>
          </cell>
        </row>
        <row r="3964">
          <cell r="A3964" t="str">
            <v/>
          </cell>
        </row>
        <row r="3965">
          <cell r="A3965" t="str">
            <v/>
          </cell>
        </row>
        <row r="3966">
          <cell r="A3966" t="str">
            <v/>
          </cell>
        </row>
        <row r="3967">
          <cell r="A3967" t="str">
            <v/>
          </cell>
        </row>
        <row r="3968">
          <cell r="A3968" t="str">
            <v/>
          </cell>
        </row>
        <row r="3969">
          <cell r="A3969" t="str">
            <v/>
          </cell>
        </row>
        <row r="3970">
          <cell r="A3970" t="str">
            <v/>
          </cell>
        </row>
        <row r="3971">
          <cell r="A3971" t="str">
            <v/>
          </cell>
        </row>
        <row r="3972">
          <cell r="A3972" t="str">
            <v/>
          </cell>
        </row>
        <row r="3973">
          <cell r="A3973" t="str">
            <v>1571</v>
          </cell>
        </row>
        <row r="3974">
          <cell r="A3974" t="str">
            <v>0</v>
          </cell>
        </row>
        <row r="3975">
          <cell r="A3975" t="str">
            <v/>
          </cell>
        </row>
        <row r="3976">
          <cell r="A3976" t="str">
            <v>1572</v>
          </cell>
        </row>
        <row r="3977">
          <cell r="A3977" t="str">
            <v>0</v>
          </cell>
        </row>
        <row r="3978">
          <cell r="A3978" t="str">
            <v/>
          </cell>
        </row>
        <row r="3979">
          <cell r="A3979" t="str">
            <v>L00-EMG-OBS-S092-01</v>
          </cell>
        </row>
        <row r="3980">
          <cell r="A3980" t="str">
            <v>L00-EMG-OTA-U0306-01</v>
          </cell>
        </row>
        <row r="3981">
          <cell r="A3981" t="str">
            <v>L00-EMG-MRR-S092-02</v>
          </cell>
        </row>
        <row r="3982">
          <cell r="A3982" t="str">
            <v>L00-EMG-MRR-S092-01</v>
          </cell>
        </row>
        <row r="3983">
          <cell r="A3983" t="str">
            <v>L00-PHA-RET-X025-01</v>
          </cell>
        </row>
        <row r="3984">
          <cell r="A3984" t="str">
            <v>L00-IMG-SGR-U0336-01</v>
          </cell>
        </row>
        <row r="3985">
          <cell r="A3985" t="str">
            <v>L00-HUB-ITH-S118-06</v>
          </cell>
        </row>
        <row r="3986">
          <cell r="A3986" t="str">
            <v>L00-EMG-OBS-S135-01</v>
          </cell>
        </row>
        <row r="3987">
          <cell r="A3987" t="str">
            <v>L00-EMG-OBS-C099-01</v>
          </cell>
        </row>
        <row r="3988">
          <cell r="A3988" t="str">
            <v>L00-EMG-MRR-S069-03</v>
          </cell>
        </row>
        <row r="3989">
          <cell r="A3989" t="str">
            <v>L00-EMG-OBS-S041-03</v>
          </cell>
        </row>
        <row r="3990">
          <cell r="A3990" t="str">
            <v>L00-EMG-OBS-S113-02</v>
          </cell>
        </row>
        <row r="3991">
          <cell r="A3991" t="str">
            <v>L00-EMG-OBS-L030-04</v>
          </cell>
        </row>
        <row r="3992">
          <cell r="A3992" t="str">
            <v>L00-EMG-OTA-S069-10</v>
          </cell>
        </row>
        <row r="3993">
          <cell r="A3993" t="str">
            <v>L00-EMG-MRR-S069-01</v>
          </cell>
        </row>
        <row r="3994">
          <cell r="A3994" t="str">
            <v>L00-EMG-OBS-S123-06</v>
          </cell>
        </row>
        <row r="3995">
          <cell r="A3995" t="str">
            <v>L00-EMG-OBS-S123-02</v>
          </cell>
        </row>
        <row r="3996">
          <cell r="A3996" t="str">
            <v>L00-EMG-OBS-S123-03</v>
          </cell>
        </row>
        <row r="3997">
          <cell r="A3997" t="str">
            <v>L00-EMG-OBS-L030-03</v>
          </cell>
        </row>
        <row r="3998">
          <cell r="A3998" t="str">
            <v>L00-EMG-OBS-S123-04</v>
          </cell>
        </row>
        <row r="3999">
          <cell r="A3999" t="str">
            <v>L00-EMG-OBS-L030-02</v>
          </cell>
        </row>
        <row r="4000">
          <cell r="A4000" t="str">
            <v>L00-EMG-OBS-L030-01</v>
          </cell>
        </row>
        <row r="4001">
          <cell r="A4001" t="str">
            <v>L00-EMG-OBS-S053-01</v>
          </cell>
        </row>
        <row r="4002">
          <cell r="A4002" t="str">
            <v>L00-EMG-OBS-S123-01</v>
          </cell>
        </row>
        <row r="4003">
          <cell r="A4003" t="str">
            <v>L00-EMG-OBS-S109-01</v>
          </cell>
        </row>
        <row r="4004">
          <cell r="A4004" t="str">
            <v>L00-EMG-OBS-S088-01</v>
          </cell>
        </row>
        <row r="4005">
          <cell r="A4005" t="str">
            <v>L00-EMG-OBS-S001-01</v>
          </cell>
        </row>
        <row r="4006">
          <cell r="A4006" t="str">
            <v>L00-EMG-OBS-S123-10</v>
          </cell>
        </row>
        <row r="4007">
          <cell r="A4007" t="str">
            <v>L00-EMG-OBS-S123-09</v>
          </cell>
        </row>
        <row r="4008">
          <cell r="A4008" t="str">
            <v>L00-EMG-OBS-S036-01</v>
          </cell>
        </row>
        <row r="4009">
          <cell r="A4009" t="str">
            <v>L00-IMG-SGR-L087-04</v>
          </cell>
        </row>
        <row r="4010">
          <cell r="A4010" t="str">
            <v>L00-IMG-SGR-S041-01</v>
          </cell>
        </row>
        <row r="4011">
          <cell r="A4011" t="str">
            <v>L00-IMG-SGR-S041-02</v>
          </cell>
        </row>
        <row r="4012">
          <cell r="A4012" t="str">
            <v>L00-IMG-SGR-L087-05</v>
          </cell>
        </row>
        <row r="4013">
          <cell r="A4013" t="str">
            <v>L00-IMG-SGR-L031-02</v>
          </cell>
        </row>
        <row r="4014">
          <cell r="A4014" t="str">
            <v>L00-IMG-SGR-L031-01</v>
          </cell>
        </row>
        <row r="4015">
          <cell r="A4015" t="str">
            <v>L00-IMG-SGR-L087-06</v>
          </cell>
        </row>
        <row r="4016">
          <cell r="A4016" t="str">
            <v>L00-IMG-SGR-S132-01</v>
          </cell>
        </row>
        <row r="4017">
          <cell r="A4017" t="str">
            <v>L00-IMG-CIR-C001-02</v>
          </cell>
        </row>
        <row r="4018">
          <cell r="A4018" t="str">
            <v>L00-IMG-RSS-S001-02</v>
          </cell>
        </row>
        <row r="4019">
          <cell r="A4019" t="str">
            <v>L00-IMG-RSS-L043-01</v>
          </cell>
        </row>
        <row r="4020">
          <cell r="A4020" t="str">
            <v>L00-EMG-MTA-L073-06</v>
          </cell>
        </row>
        <row r="4021">
          <cell r="A4021" t="str">
            <v>L00-EMG-MRR-S069-06</v>
          </cell>
        </row>
        <row r="4022">
          <cell r="A4022" t="str">
            <v>L00-EMG-MRR-S069-08</v>
          </cell>
        </row>
        <row r="4023">
          <cell r="A4023" t="str">
            <v>L00-EMG-MRR-S069-13</v>
          </cell>
        </row>
        <row r="4024">
          <cell r="A4024" t="str">
            <v>L00-EMG-MRR-S069-11</v>
          </cell>
        </row>
        <row r="4025">
          <cell r="A4025" t="str">
            <v>L00-EMG-OTA-S113-01</v>
          </cell>
        </row>
        <row r="4026">
          <cell r="A4026" t="str">
            <v>L00-EMG-OBS-S110-01</v>
          </cell>
        </row>
        <row r="4027">
          <cell r="A4027" t="str">
            <v>L00-EMG-MTA-S092-01</v>
          </cell>
        </row>
        <row r="4028">
          <cell r="A4028" t="str">
            <v>L00-EMG-MRR-S109-01</v>
          </cell>
        </row>
        <row r="4029">
          <cell r="A4029" t="str">
            <v>L00-EMG-MRR-S044-02</v>
          </cell>
        </row>
        <row r="4030">
          <cell r="A4030" t="str">
            <v>L00-OPD-CC3-S028-19</v>
          </cell>
        </row>
        <row r="4031">
          <cell r="A4031" t="str">
            <v>L00-OPD-CC3-S028-04</v>
          </cell>
        </row>
        <row r="4032">
          <cell r="A4032" t="str">
            <v>L00-OPD-PCR-S028-02</v>
          </cell>
        </row>
        <row r="4033">
          <cell r="A4033" t="str">
            <v>L00-OPD-PCR-S028-03</v>
          </cell>
        </row>
        <row r="4034">
          <cell r="A4034" t="str">
            <v>L00-OPD-PCR-S028-04</v>
          </cell>
        </row>
        <row r="4035">
          <cell r="A4035" t="str">
            <v>L00-OPD-PCR-S028-05</v>
          </cell>
        </row>
        <row r="4036">
          <cell r="A4036" t="str">
            <v>L00-OPD-PCR-S028-06</v>
          </cell>
        </row>
        <row r="4037">
          <cell r="A4037" t="str">
            <v>L00-OPD-PCR-S028-07</v>
          </cell>
        </row>
        <row r="4038">
          <cell r="A4038" t="str">
            <v>L00-OPD-PCR-S028-08</v>
          </cell>
        </row>
        <row r="4039">
          <cell r="A4039" t="str">
            <v>L00-OPD-CC3-S028-14</v>
          </cell>
        </row>
        <row r="4040">
          <cell r="A4040" t="str">
            <v>L00-OPD-CC3-S028-15</v>
          </cell>
        </row>
        <row r="4041">
          <cell r="A4041" t="str">
            <v>L00-OPD-CC3-S028-16</v>
          </cell>
        </row>
        <row r="4042">
          <cell r="A4042" t="str">
            <v>L00-EMG-MRR-S110-01</v>
          </cell>
        </row>
        <row r="4043">
          <cell r="A4043" t="str">
            <v>L00-IMG-RSS-S023-01</v>
          </cell>
        </row>
        <row r="4044">
          <cell r="A4044" t="str">
            <v>L00-IMG-RSS-L005-02</v>
          </cell>
        </row>
        <row r="4045">
          <cell r="A4045" t="str">
            <v>L00-OPD-CC4-S028-01</v>
          </cell>
        </row>
        <row r="4046">
          <cell r="A4046" t="str">
            <v>L00-OPD-CC4-S055-01</v>
          </cell>
        </row>
        <row r="4047">
          <cell r="A4047" t="str">
            <v>L00-IMG-MIM-S144-01</v>
          </cell>
        </row>
        <row r="4048">
          <cell r="A4048" t="str">
            <v>L00-PHA-RET-X027-01</v>
          </cell>
        </row>
        <row r="4049">
          <cell r="A4049" t="str">
            <v>L00-EMG-CIR-C001-08</v>
          </cell>
        </row>
        <row r="4050">
          <cell r="A4050" t="str">
            <v>L00-OPD-CIR-C001-43</v>
          </cell>
        </row>
        <row r="4051">
          <cell r="A4051" t="str">
            <v>L00-EMG-MRR-S023-02</v>
          </cell>
        </row>
        <row r="4052">
          <cell r="A4052" t="str">
            <v>L00-EMG-MRR-S023-01</v>
          </cell>
        </row>
        <row r="4053">
          <cell r="A4053" t="str">
            <v>L00-OPD-CC4-S028-07</v>
          </cell>
        </row>
        <row r="4054">
          <cell r="A4054" t="str">
            <v>L00-OPD-CC4-S051-01</v>
          </cell>
        </row>
        <row r="4055">
          <cell r="A4055" t="str">
            <v>L00-MAI-PUB-S109-01</v>
          </cell>
        </row>
        <row r="4056">
          <cell r="A4056" t="str">
            <v>L00-MAI-PUB-S111-01</v>
          </cell>
        </row>
        <row r="4057">
          <cell r="A4057" t="str">
            <v>L00-MAI-PUB-S113-10</v>
          </cell>
        </row>
        <row r="4058">
          <cell r="A4058" t="str">
            <v>L00-MAI-PUB-S113-11</v>
          </cell>
        </row>
        <row r="4059">
          <cell r="A4059" t="str">
            <v>L00-MAI-PUB-S024-01</v>
          </cell>
        </row>
        <row r="4060">
          <cell r="A4060" t="str">
            <v>L00-MAI-PUB-S113-07</v>
          </cell>
        </row>
        <row r="4061">
          <cell r="A4061" t="str">
            <v>L00-MAI-PUB-S113-05</v>
          </cell>
        </row>
        <row r="4062">
          <cell r="A4062" t="str">
            <v>L00-MAI-PUB-S113-06</v>
          </cell>
        </row>
        <row r="4063">
          <cell r="A4063" t="str">
            <v>L00-MAI-PFO-S016-01</v>
          </cell>
        </row>
        <row r="4064">
          <cell r="A4064" t="str">
            <v>L00-MAI-PUB-U0777-01</v>
          </cell>
        </row>
        <row r="4065">
          <cell r="A4065" t="str">
            <v>L00-MAI-PUB-U0776-01</v>
          </cell>
        </row>
        <row r="4066">
          <cell r="A4066" t="str">
            <v>L00-OPD-CC3-S028-06</v>
          </cell>
        </row>
        <row r="4067">
          <cell r="A4067" t="str">
            <v>L00-OPD-CC3-S035-04</v>
          </cell>
        </row>
        <row r="4068">
          <cell r="A4068" t="str">
            <v>L00-OPD-CC3-U0187-01</v>
          </cell>
        </row>
        <row r="4069">
          <cell r="A4069" t="str">
            <v>L00-OPD-PCR-S108-01</v>
          </cell>
        </row>
        <row r="4070">
          <cell r="A4070" t="str">
            <v>L00-OPD-DC1-S055-01</v>
          </cell>
        </row>
        <row r="4071">
          <cell r="A4071" t="str">
            <v>L00-OPD-CC3-S055-01</v>
          </cell>
        </row>
        <row r="4072">
          <cell r="A4072" t="str">
            <v>L00-EMG-OTA-S023-01</v>
          </cell>
        </row>
        <row r="4073">
          <cell r="A4073" t="str">
            <v>L00-EMG-MTA-S023-01</v>
          </cell>
        </row>
        <row r="4074">
          <cell r="A4074" t="str">
            <v>L00-EMG-MTA-S090-01</v>
          </cell>
        </row>
        <row r="4075">
          <cell r="A4075" t="str">
            <v>L00-OPD-CC4-S028-06</v>
          </cell>
        </row>
        <row r="4076">
          <cell r="A4076" t="str">
            <v>L00-OPD-CC3-S028-09</v>
          </cell>
        </row>
        <row r="4077">
          <cell r="A4077" t="str">
            <v>L00-OPD-CIR-C001-44</v>
          </cell>
        </row>
        <row r="4078">
          <cell r="A4078" t="str">
            <v>L00-OPD-CC3-S010-01</v>
          </cell>
        </row>
        <row r="4079">
          <cell r="A4079" t="str">
            <v>L00-OPD-CC3-S090-03</v>
          </cell>
        </row>
        <row r="4080">
          <cell r="A4080" t="str">
            <v>L00-OPD-CC4-S028-16</v>
          </cell>
        </row>
        <row r="4081">
          <cell r="A4081" t="str">
            <v>L00-OPD-CC4-S028-15</v>
          </cell>
        </row>
        <row r="4082">
          <cell r="A4082" t="str">
            <v>L00-EMG-EDE-U0291-01</v>
          </cell>
        </row>
        <row r="4083">
          <cell r="A4083" t="str">
            <v>L00-EMG-CIR-C001-02</v>
          </cell>
        </row>
        <row r="4084">
          <cell r="A4084" t="str">
            <v>L00-EMG-MRR-S069-16</v>
          </cell>
        </row>
        <row r="4085">
          <cell r="A4085" t="str">
            <v>L00-EMG-MRR-S069-18</v>
          </cell>
        </row>
        <row r="4086">
          <cell r="A4086" t="str">
            <v>L00-EMG-SWS-S114-03</v>
          </cell>
        </row>
        <row r="4087">
          <cell r="A4087" t="str">
            <v>L00-EMG-SWS-S109-01</v>
          </cell>
        </row>
        <row r="4088">
          <cell r="A4088" t="str">
            <v>L00-EMG-SWS-S114-04</v>
          </cell>
        </row>
        <row r="4089">
          <cell r="A4089" t="str">
            <v>L00-EMG-EDI-S115-01</v>
          </cell>
        </row>
        <row r="4090">
          <cell r="A4090" t="str">
            <v>L00-EMG-SWS-S063-01</v>
          </cell>
        </row>
        <row r="4091">
          <cell r="A4091" t="str">
            <v>L00-EMG-OTA-S044-02</v>
          </cell>
        </row>
        <row r="4092">
          <cell r="A4092" t="str">
            <v>L00-EMG-OTA-S001-02</v>
          </cell>
        </row>
        <row r="4093">
          <cell r="A4093" t="str">
            <v>L00-EMG-SWS-S114-01</v>
          </cell>
        </row>
        <row r="4094">
          <cell r="A4094" t="str">
            <v>L00-EMG-SWS-S114-02</v>
          </cell>
        </row>
        <row r="4095">
          <cell r="A4095" t="str">
            <v>L00-IMG-CTS-U0371-01</v>
          </cell>
        </row>
        <row r="4096">
          <cell r="A4096" t="str">
            <v>L00-EMG-MTA-S036-01</v>
          </cell>
        </row>
        <row r="4097">
          <cell r="A4097" t="str">
            <v>L00-EMG-SWS-S109-02</v>
          </cell>
        </row>
        <row r="4098">
          <cell r="A4098" t="str">
            <v>L00-EMG-CIR-C001-12</v>
          </cell>
        </row>
        <row r="4099">
          <cell r="A4099" t="str">
            <v>L00-EMG-MTA-S071-01</v>
          </cell>
        </row>
        <row r="4100">
          <cell r="A4100" t="str">
            <v>L00-IMG-SWS-S132-01</v>
          </cell>
        </row>
        <row r="4101">
          <cell r="A4101" t="str">
            <v>L00-IMG-CTS-S142-02</v>
          </cell>
        </row>
        <row r="4102">
          <cell r="A4102" t="str">
            <v>L00-IMG-SGR-S090-02</v>
          </cell>
        </row>
        <row r="4103">
          <cell r="A4103" t="str">
            <v>L00-IMG-SGR-U0344-01</v>
          </cell>
        </row>
        <row r="4104">
          <cell r="A4104" t="str">
            <v>L00-IMG-SGR-U0343-01</v>
          </cell>
        </row>
        <row r="4105">
          <cell r="A4105" t="str">
            <v>L00-IMG-SWS-S074-02</v>
          </cell>
        </row>
        <row r="4106">
          <cell r="A4106" t="str">
            <v>L00-IMG-SWS-S114-02</v>
          </cell>
        </row>
        <row r="4107">
          <cell r="A4107" t="str">
            <v>L00-IMG-SUP-S100-01</v>
          </cell>
        </row>
        <row r="4108">
          <cell r="A4108" t="str">
            <v>L00-IMG-SUP-S124-01</v>
          </cell>
        </row>
        <row r="4109">
          <cell r="A4109" t="str">
            <v>L00-IMG-MSS-S004-02</v>
          </cell>
        </row>
        <row r="4110">
          <cell r="A4110" t="str">
            <v>L00-IMG-MSS-S142-01</v>
          </cell>
        </row>
        <row r="4111">
          <cell r="A4111" t="str">
            <v>L00-IMG-MSS-S004-01</v>
          </cell>
        </row>
        <row r="4112">
          <cell r="A4112" t="str">
            <v>L00-IMG-MSS-S021-02</v>
          </cell>
        </row>
        <row r="4113">
          <cell r="A4113" t="str">
            <v>L00-IMG-MSS-S021-01</v>
          </cell>
        </row>
        <row r="4114">
          <cell r="A4114" t="str">
            <v>L00-IMG-CIR-C001-16</v>
          </cell>
        </row>
        <row r="4115">
          <cell r="A4115" t="str">
            <v>L00-IMG-CIR-C001-05</v>
          </cell>
        </row>
        <row r="4116">
          <cell r="A4116" t="str">
            <v>L00-IMG-CTS-S008-01</v>
          </cell>
        </row>
        <row r="4117">
          <cell r="A4117" t="str">
            <v>L00-EMG-OTA-S108-01</v>
          </cell>
        </row>
        <row r="4118">
          <cell r="A4118" t="str">
            <v>L00-IMG-MIM-S113-02</v>
          </cell>
        </row>
        <row r="4119">
          <cell r="A4119" t="str">
            <v>L00-IMG-MIM-S113-01</v>
          </cell>
        </row>
        <row r="4120">
          <cell r="A4120" t="str">
            <v>L00-IMG-SGR-S109-01</v>
          </cell>
        </row>
        <row r="4121">
          <cell r="A4121" t="str">
            <v>L00-IMG-SGR-S113-02</v>
          </cell>
        </row>
        <row r="4122">
          <cell r="A4122" t="str">
            <v>L00-IMG-SGR-S113-01</v>
          </cell>
        </row>
        <row r="4123">
          <cell r="A4123" t="str">
            <v>L00-EMG-CIR-C001-09</v>
          </cell>
        </row>
        <row r="4124">
          <cell r="A4124" t="str">
            <v>L00-EMG-EDE-S109-01</v>
          </cell>
        </row>
        <row r="4125">
          <cell r="A4125" t="str">
            <v>L00-EMG-EDE-S006-01</v>
          </cell>
        </row>
        <row r="4126">
          <cell r="A4126" t="str">
            <v>L00-EMG-EDE-S113-01</v>
          </cell>
        </row>
        <row r="4127">
          <cell r="A4127" t="str">
            <v>L00-EMG-EDE-S113-02</v>
          </cell>
        </row>
        <row r="4128">
          <cell r="A4128" t="str">
            <v>L00-EMG-EDE-S113-04</v>
          </cell>
        </row>
        <row r="4129">
          <cell r="A4129" t="str">
            <v>L00-EMG-EDS-S139-03</v>
          </cell>
        </row>
        <row r="4130">
          <cell r="A4130" t="str">
            <v>L00-EMG-EDE-S143-01</v>
          </cell>
        </row>
        <row r="4131">
          <cell r="A4131" t="str">
            <v>L00-EMG-OTA-S069-03</v>
          </cell>
        </row>
        <row r="4132">
          <cell r="A4132" t="str">
            <v>L00-EMG-OTA-S069-01</v>
          </cell>
        </row>
        <row r="4133">
          <cell r="A4133" t="str">
            <v>L00-EMG-CIR-C001-11</v>
          </cell>
        </row>
        <row r="4134">
          <cell r="A4134" t="str">
            <v>L00-OPD-CC4-U0215-01</v>
          </cell>
        </row>
        <row r="4135">
          <cell r="A4135" t="str">
            <v>L00-IMG-SWS-S114-03</v>
          </cell>
        </row>
        <row r="4136">
          <cell r="A4136" t="str">
            <v>L00-IMG-SWS-S062-02</v>
          </cell>
        </row>
        <row r="4137">
          <cell r="A4137" t="str">
            <v>L00-IMG-CIR-C001-07</v>
          </cell>
        </row>
        <row r="4138">
          <cell r="A4138" t="str">
            <v>L00-OPD-CC3-S028-07</v>
          </cell>
        </row>
        <row r="4139">
          <cell r="A4139" t="str">
            <v>L00-OPD-CC3-S028-01</v>
          </cell>
        </row>
        <row r="4140">
          <cell r="A4140" t="str">
            <v>L00-EMG-OTA-S001-01</v>
          </cell>
        </row>
        <row r="4141">
          <cell r="A4141" t="str">
            <v>L00-EMG-EDE-S008-01</v>
          </cell>
        </row>
        <row r="4142">
          <cell r="A4142" t="str">
            <v>L00-EMG-OTA-S088-02</v>
          </cell>
        </row>
        <row r="4143">
          <cell r="A4143" t="str">
            <v>L00-EMG-EDS-S008-01</v>
          </cell>
        </row>
        <row r="4144">
          <cell r="A4144" t="str">
            <v>L00-OPD-PCR-S075-01</v>
          </cell>
        </row>
        <row r="4145">
          <cell r="A4145" t="str">
            <v>L00-IMG-RSS-S043-02</v>
          </cell>
        </row>
        <row r="4146">
          <cell r="A4146" t="str">
            <v>L00-IMG-RSS-S001-01</v>
          </cell>
        </row>
        <row r="4147">
          <cell r="A4147" t="str">
            <v>L00-IMG-RSS-S056-01</v>
          </cell>
        </row>
        <row r="4148">
          <cell r="A4148" t="str">
            <v>L00-IMG-RSS-S110-01</v>
          </cell>
        </row>
        <row r="4149">
          <cell r="A4149" t="str">
            <v>L00-IMG-SGR-L087-01</v>
          </cell>
        </row>
        <row r="4150">
          <cell r="A4150" t="str">
            <v>L00-IMG-SGR-S110-01</v>
          </cell>
        </row>
        <row r="4151">
          <cell r="A4151" t="str">
            <v>L00-IMG-SGR-S113-03</v>
          </cell>
        </row>
        <row r="4152">
          <cell r="A4152" t="str">
            <v>L00-IMG-SGR-S113-06</v>
          </cell>
        </row>
        <row r="4153">
          <cell r="A4153" t="str">
            <v>L00-OPD-PHC-S128-02</v>
          </cell>
        </row>
        <row r="4154">
          <cell r="A4154" t="str">
            <v>L00-OPD-PHC-S128-01</v>
          </cell>
        </row>
        <row r="4155">
          <cell r="A4155" t="str">
            <v>L00-OPD-PHC-S128-03</v>
          </cell>
        </row>
        <row r="4156">
          <cell r="A4156" t="str">
            <v>L00-OPD-CC4-S075-02</v>
          </cell>
        </row>
        <row r="4157">
          <cell r="A4157" t="str">
            <v>L00-OPD-CC4-U0222-01</v>
          </cell>
        </row>
        <row r="4158">
          <cell r="A4158" t="str">
            <v>L00-OPD-CC4-S139-01</v>
          </cell>
        </row>
        <row r="4159">
          <cell r="A4159" t="str">
            <v>L00-OPD-CC4-S108-04</v>
          </cell>
        </row>
        <row r="4160">
          <cell r="A4160" t="str">
            <v>L00-IMG-CTS-S004-01</v>
          </cell>
        </row>
        <row r="4161">
          <cell r="A4161" t="str">
            <v>L00-OPD-CC4-S036-01</v>
          </cell>
        </row>
        <row r="4162">
          <cell r="A4162" t="str">
            <v>L00-IMG-SWS-S114-08</v>
          </cell>
        </row>
        <row r="4163">
          <cell r="A4163" t="str">
            <v>L00-IMG-MSS-L005-01</v>
          </cell>
        </row>
        <row r="4164">
          <cell r="A4164" t="str">
            <v>L00-IMG-MSS-S109-02</v>
          </cell>
        </row>
        <row r="4165">
          <cell r="A4165" t="str">
            <v>L00-IMG-SWS-S114-01</v>
          </cell>
        </row>
        <row r="4166">
          <cell r="A4166" t="str">
            <v>L00-IMG-SWS-S094-01</v>
          </cell>
        </row>
        <row r="4167">
          <cell r="A4167" t="str">
            <v>L00-EMG-SWS-S114-05</v>
          </cell>
        </row>
        <row r="4168">
          <cell r="A4168" t="str">
            <v>L00-IMG-SUP-S024-01</v>
          </cell>
        </row>
        <row r="4169">
          <cell r="A4169" t="str">
            <v>L00-IMG-CTS-S103-01</v>
          </cell>
        </row>
        <row r="4170">
          <cell r="A4170" t="str">
            <v>L00-IMG-CIR-C001-04</v>
          </cell>
        </row>
        <row r="4171">
          <cell r="A4171" t="str">
            <v>L00-IMG-CTS-S133-01</v>
          </cell>
        </row>
        <row r="4172">
          <cell r="A4172" t="str">
            <v>L00-EMG-EDI-S056-01</v>
          </cell>
        </row>
        <row r="4173">
          <cell r="A4173" t="str">
            <v>L00-IMG-MSS-U0361-01</v>
          </cell>
        </row>
        <row r="4174">
          <cell r="A4174" t="str">
            <v>L00-OPD-PCR-S147-01</v>
          </cell>
        </row>
        <row r="4175">
          <cell r="A4175" t="str">
            <v>L00-IMG-SUP-S132-02</v>
          </cell>
        </row>
        <row r="4176">
          <cell r="A4176" t="str">
            <v>L00-IMG-SUP-S132-01</v>
          </cell>
        </row>
        <row r="4177">
          <cell r="A4177" t="str">
            <v>L00-OPD-CC3-S053-01</v>
          </cell>
        </row>
        <row r="4178">
          <cell r="A4178" t="str">
            <v>L00-OPD-CC3-S023-02</v>
          </cell>
        </row>
        <row r="4179">
          <cell r="A4179" t="str">
            <v>L00-OPD-CC3-S108-01</v>
          </cell>
        </row>
        <row r="4180">
          <cell r="A4180" t="str">
            <v>L00-OPD-CC3-S052-01</v>
          </cell>
        </row>
        <row r="4181">
          <cell r="A4181" t="str">
            <v>L00-OPD-CC3-S052-03</v>
          </cell>
        </row>
        <row r="4182">
          <cell r="A4182" t="str">
            <v>L00-OPD-CC3-S052-02</v>
          </cell>
        </row>
        <row r="4183">
          <cell r="A4183" t="str">
            <v>L00-OPD-CC3-S029-04</v>
          </cell>
        </row>
        <row r="4184">
          <cell r="A4184" t="str">
            <v>L00-OPD-CC3-S093-01</v>
          </cell>
        </row>
        <row r="4185">
          <cell r="A4185" t="str">
            <v>L00-OPD-CIR-C001-10</v>
          </cell>
        </row>
        <row r="4186">
          <cell r="A4186" t="str">
            <v>L00-OPD-CC3-L093-01</v>
          </cell>
        </row>
        <row r="4187">
          <cell r="A4187" t="str">
            <v>L00-OPD-CC3-S040-03</v>
          </cell>
        </row>
        <row r="4188">
          <cell r="A4188" t="str">
            <v>L00-OPD-CC3-L093-02</v>
          </cell>
        </row>
        <row r="4189">
          <cell r="A4189" t="str">
            <v>L00-OPD-CC3-S028-17</v>
          </cell>
        </row>
        <row r="4190">
          <cell r="A4190" t="str">
            <v>L00-OPD-PCR-S023-01</v>
          </cell>
        </row>
        <row r="4191">
          <cell r="A4191" t="str">
            <v>L00-OPD-DC1-S109-01</v>
          </cell>
        </row>
        <row r="4192">
          <cell r="A4192" t="str">
            <v>L00-IMG-CTS-S091-01</v>
          </cell>
        </row>
        <row r="4193">
          <cell r="A4193" t="str">
            <v>L00-IMG-CTS-S099-02</v>
          </cell>
        </row>
        <row r="4194">
          <cell r="A4194" t="str">
            <v>L00-OPD-CC4-L088-01</v>
          </cell>
        </row>
        <row r="4195">
          <cell r="A4195" t="str">
            <v>L00-EMG-MTA-S096-01</v>
          </cell>
        </row>
        <row r="4196">
          <cell r="A4196" t="str">
            <v>L00-IMG-SGR-S008-08</v>
          </cell>
        </row>
        <row r="4197">
          <cell r="A4197" t="str">
            <v>L00-IMG-CIR-C001-14</v>
          </cell>
        </row>
        <row r="4198">
          <cell r="A4198" t="str">
            <v>L00-IMG-RSS-S015-01</v>
          </cell>
        </row>
        <row r="4199">
          <cell r="A4199" t="str">
            <v>L00-IMG-SGR-S008-01</v>
          </cell>
        </row>
        <row r="4200">
          <cell r="A4200" t="str">
            <v>L00-IMG-SGR-S023-01</v>
          </cell>
        </row>
        <row r="4201">
          <cell r="A4201" t="str">
            <v>L00-IMG-SGR-S036-01</v>
          </cell>
        </row>
        <row r="4202">
          <cell r="A4202" t="str">
            <v>L00-IMG-SGR-S008-10</v>
          </cell>
        </row>
        <row r="4203">
          <cell r="A4203" t="str">
            <v>L00-IMG-SGR-S008-11</v>
          </cell>
        </row>
        <row r="4204">
          <cell r="A4204" t="str">
            <v>L00-IMG-SGR-S008-12</v>
          </cell>
        </row>
        <row r="4205">
          <cell r="A4205" t="str">
            <v>L00-IMG-RSS-S036-01</v>
          </cell>
        </row>
        <row r="4206">
          <cell r="A4206" t="str">
            <v>L00-IMG-SGR-S047-04</v>
          </cell>
        </row>
        <row r="4207">
          <cell r="A4207" t="str">
            <v>L00-IMG-SGR-S065-01</v>
          </cell>
        </row>
        <row r="4208">
          <cell r="A4208" t="str">
            <v>L00-IMG-SGR-S047-03</v>
          </cell>
        </row>
        <row r="4209">
          <cell r="A4209" t="str">
            <v>L00-IMG-SGR-S116-01</v>
          </cell>
        </row>
        <row r="4210">
          <cell r="A4210" t="str">
            <v>L00-IMG-SGR-S113-04</v>
          </cell>
        </row>
        <row r="4211">
          <cell r="A4211" t="str">
            <v>L00-EMG-EDI-U0323-01</v>
          </cell>
        </row>
        <row r="4212">
          <cell r="A4212" t="str">
            <v>L00-EMG-EDE-U0292-01</v>
          </cell>
        </row>
        <row r="4213">
          <cell r="A4213" t="str">
            <v>L00-EMG-SWS-S115-02</v>
          </cell>
        </row>
        <row r="4214">
          <cell r="A4214" t="str">
            <v>L00-EMG-CIR-C001-05</v>
          </cell>
        </row>
        <row r="4215">
          <cell r="A4215" t="str">
            <v>L00-IMG-CIR-C001-03</v>
          </cell>
        </row>
        <row r="4216">
          <cell r="A4216" t="str">
            <v>L00-OPD-DC1-S060-01</v>
          </cell>
        </row>
        <row r="4217">
          <cell r="A4217" t="str">
            <v>L00-OPD-DC1-S028-01</v>
          </cell>
        </row>
        <row r="4218">
          <cell r="A4218" t="str">
            <v>L00-OPD-CC4-S082-01</v>
          </cell>
        </row>
        <row r="4219">
          <cell r="A4219" t="str">
            <v>L00-OPD-DW1-S115-21</v>
          </cell>
        </row>
        <row r="4220">
          <cell r="A4220" t="str">
            <v>L00-IMG-SUP-S096-01</v>
          </cell>
        </row>
        <row r="4221">
          <cell r="A4221" t="str">
            <v>L00-IMG-SWS-S114-05</v>
          </cell>
        </row>
        <row r="4222">
          <cell r="A4222" t="str">
            <v>L00-IMG-SWS-S114-04</v>
          </cell>
        </row>
        <row r="4223">
          <cell r="A4223" t="str">
            <v>L00-IMG-MSS-L054-04</v>
          </cell>
        </row>
        <row r="4224">
          <cell r="A4224" t="str">
            <v>L00-IMG-MSS-S132-01</v>
          </cell>
        </row>
        <row r="4225">
          <cell r="A4225" t="str">
            <v>L00-IMG-MSS-S036-01</v>
          </cell>
        </row>
        <row r="4226">
          <cell r="A4226" t="str">
            <v>L00-IMG-MSS-L050-02</v>
          </cell>
        </row>
        <row r="4227">
          <cell r="A4227" t="str">
            <v>L00-IMG-MSS-L054-03</v>
          </cell>
        </row>
        <row r="4228">
          <cell r="A4228" t="str">
            <v>L00-IMG-MSS-L054-02</v>
          </cell>
        </row>
        <row r="4229">
          <cell r="A4229" t="str">
            <v>L00-IMG-MSS-L050-01</v>
          </cell>
        </row>
        <row r="4230">
          <cell r="A4230" t="str">
            <v>L00-IMG-MSS-L054-01</v>
          </cell>
        </row>
        <row r="4231">
          <cell r="A4231" t="str">
            <v>L00-IMG-MSS-L050-03</v>
          </cell>
        </row>
        <row r="4232">
          <cell r="A4232" t="str">
            <v>L00-IMG-RSS-L005-01</v>
          </cell>
        </row>
        <row r="4233">
          <cell r="A4233" t="str">
            <v>L00-OPD-DC1-S028-08</v>
          </cell>
        </row>
        <row r="4234">
          <cell r="A4234" t="str">
            <v>L00-OPD-DC1-S028-07</v>
          </cell>
        </row>
        <row r="4235">
          <cell r="A4235" t="str">
            <v>L00-OPD-DC1-S028-06</v>
          </cell>
        </row>
        <row r="4236">
          <cell r="A4236" t="str">
            <v>L00-OPD-DC1-S028-05</v>
          </cell>
        </row>
        <row r="4237">
          <cell r="A4237" t="str">
            <v>L00-OPD-PCR-S028-01</v>
          </cell>
        </row>
        <row r="4238">
          <cell r="A4238" t="str">
            <v>L00-IMG-MSS-S120-01</v>
          </cell>
        </row>
        <row r="4239">
          <cell r="A4239" t="str">
            <v>L00-IMG-NMD-S004-01</v>
          </cell>
        </row>
        <row r="4240">
          <cell r="A4240" t="str">
            <v>L00-IMG-NMD-U0384-01</v>
          </cell>
        </row>
        <row r="4241">
          <cell r="A4241" t="str">
            <v>L00-OPD-DC1-S156-01</v>
          </cell>
        </row>
        <row r="4242">
          <cell r="A4242" t="str">
            <v>L00-OPD-DC1-L099-01</v>
          </cell>
        </row>
        <row r="4243">
          <cell r="A4243" t="str">
            <v>L00-OPD-PCR-S114-01</v>
          </cell>
        </row>
        <row r="4244">
          <cell r="A4244" t="str">
            <v>L00-IMG-NMD-U0385-02</v>
          </cell>
        </row>
        <row r="4245">
          <cell r="A4245" t="str">
            <v>L00-IMG-NMD-U1418-02</v>
          </cell>
        </row>
        <row r="4246">
          <cell r="A4246" t="str">
            <v>L00-IMG-NMD-U0385-01</v>
          </cell>
        </row>
        <row r="4247">
          <cell r="A4247" t="str">
            <v>L00-IMG-NMD-U0386-01</v>
          </cell>
        </row>
        <row r="4248">
          <cell r="A4248" t="str">
            <v>L00-IMG-NMD-S115-01</v>
          </cell>
        </row>
        <row r="4249">
          <cell r="A4249" t="str">
            <v>L00-IMG-NMD-S109-01</v>
          </cell>
        </row>
        <row r="4250">
          <cell r="A4250" t="str">
            <v>L00-IMG-SWS-S114-06</v>
          </cell>
        </row>
        <row r="4251">
          <cell r="A4251" t="str">
            <v>L00-IMG-NMD-S151-01</v>
          </cell>
        </row>
        <row r="4252">
          <cell r="A4252" t="str">
            <v>L00-IMG-CIR-C001-15</v>
          </cell>
        </row>
        <row r="4253">
          <cell r="A4253" t="str">
            <v>L00-IMG-MSS-S113-01</v>
          </cell>
        </row>
        <row r="4254">
          <cell r="A4254" t="str">
            <v>L00-IMG-NMD-S099-01</v>
          </cell>
        </row>
        <row r="4255">
          <cell r="A4255" t="str">
            <v>L00-OPD-CC3-S035-05</v>
          </cell>
        </row>
        <row r="4256">
          <cell r="A4256" t="str">
            <v>L00-OPD-DC1-U1655-01</v>
          </cell>
        </row>
        <row r="4257">
          <cell r="A4257" t="str">
            <v>L00-OPD-CC4-S113-02</v>
          </cell>
        </row>
        <row r="4258">
          <cell r="A4258" t="str">
            <v>L00-OPD-CC4-S136-01</v>
          </cell>
        </row>
        <row r="4259">
          <cell r="A4259" t="str">
            <v>L00-OPD-CC4-S136-02</v>
          </cell>
        </row>
        <row r="4260">
          <cell r="A4260" t="str">
            <v>L00-OPD-CC4-S028-03</v>
          </cell>
        </row>
        <row r="4261">
          <cell r="A4261" t="str">
            <v>L00-OPD-CIR-C001-38</v>
          </cell>
        </row>
        <row r="4262">
          <cell r="A4262" t="str">
            <v>L00-EMG-OBS-S123-08</v>
          </cell>
        </row>
        <row r="4263">
          <cell r="A4263" t="str">
            <v>L00-EMG-OBS-S041-01</v>
          </cell>
        </row>
        <row r="4264">
          <cell r="A4264" t="str">
            <v>L00-EMG-EDE-S111-01</v>
          </cell>
        </row>
        <row r="4265">
          <cell r="A4265" t="str">
            <v>L00-EMG-EDE-S113-03</v>
          </cell>
        </row>
        <row r="4266">
          <cell r="A4266" t="str">
            <v>L00-EMG-EDE-L085-03</v>
          </cell>
        </row>
        <row r="4267">
          <cell r="A4267" t="str">
            <v>L00-EMG-EDE-L085-02</v>
          </cell>
        </row>
        <row r="4268">
          <cell r="A4268" t="str">
            <v>L00-EMG-EDE-L085-01</v>
          </cell>
        </row>
        <row r="4269">
          <cell r="A4269" t="str">
            <v>L00-EMG-EDE-L085-04</v>
          </cell>
        </row>
        <row r="4270">
          <cell r="A4270" t="str">
            <v>L00-EMG-EDE-L085-05</v>
          </cell>
        </row>
        <row r="4271">
          <cell r="A4271" t="str">
            <v>L00-EMG-CIR-C001-13</v>
          </cell>
        </row>
        <row r="4272">
          <cell r="A4272" t="str">
            <v>L00-EMG-EDE-U0297-01</v>
          </cell>
        </row>
        <row r="4273">
          <cell r="A4273" t="str">
            <v>L00-EMG-OTA-S036-01</v>
          </cell>
        </row>
        <row r="4274">
          <cell r="A4274" t="str">
            <v>L00-EMG-EDI-S047-02</v>
          </cell>
        </row>
        <row r="4275">
          <cell r="A4275" t="str">
            <v>L00-EMG-EDS-S125-01</v>
          </cell>
        </row>
        <row r="4276">
          <cell r="A4276" t="str">
            <v>L00-EMG-CIR-C001-26</v>
          </cell>
        </row>
        <row r="4277">
          <cell r="A4277" t="str">
            <v>L00-EMG-EDS-S022-01</v>
          </cell>
        </row>
        <row r="4278">
          <cell r="A4278" t="str">
            <v>L00-IMG-SUP-S022-01</v>
          </cell>
        </row>
        <row r="4279">
          <cell r="A4279" t="str">
            <v>L00-IMG-CIR-C001-08</v>
          </cell>
        </row>
        <row r="4280">
          <cell r="A4280" t="str">
            <v>L00-EMG-OTA-S056-01</v>
          </cell>
        </row>
        <row r="4281">
          <cell r="A4281" t="str">
            <v>L00-EMG-OTA-S074-01</v>
          </cell>
        </row>
        <row r="4282">
          <cell r="A4282" t="str">
            <v>L00-OPD-CC4-S111-01</v>
          </cell>
        </row>
        <row r="4283">
          <cell r="A4283" t="str">
            <v>L00-OPD-CC4-S027-01</v>
          </cell>
        </row>
        <row r="4284">
          <cell r="A4284" t="str">
            <v>L00-OPD-CC4-S036-02</v>
          </cell>
        </row>
        <row r="4285">
          <cell r="A4285" t="str">
            <v>L00-EMG-MTA-S074-01</v>
          </cell>
        </row>
        <row r="4286">
          <cell r="A4286" t="str">
            <v>L00-EMG-EDS-S024-02</v>
          </cell>
        </row>
        <row r="4287">
          <cell r="A4287" t="str">
            <v>L00-OPD-CC3-S058-01</v>
          </cell>
        </row>
        <row r="4288">
          <cell r="A4288" t="str">
            <v>L00-OPD-CC3-S104-02</v>
          </cell>
        </row>
        <row r="4289">
          <cell r="A4289" t="str">
            <v>L00-OPD-DC1-S148-01</v>
          </cell>
        </row>
        <row r="4290">
          <cell r="A4290" t="str">
            <v>L00-OPD-CC3-S058-02</v>
          </cell>
        </row>
        <row r="4291">
          <cell r="A4291" t="str">
            <v>L00-OPD-DC1-S023-01</v>
          </cell>
        </row>
        <row r="4292">
          <cell r="A4292" t="str">
            <v>L00-OPD-DC1-S029-01</v>
          </cell>
        </row>
        <row r="4293">
          <cell r="A4293" t="str">
            <v>L00-OPD-CC3-S064-02</v>
          </cell>
        </row>
        <row r="4294">
          <cell r="A4294" t="str">
            <v>L00-OPD-CC3-S029-02</v>
          </cell>
        </row>
        <row r="4295">
          <cell r="A4295" t="str">
            <v>L00-OPD-CIR-C001-12</v>
          </cell>
        </row>
        <row r="4296">
          <cell r="A4296" t="str">
            <v>L00-OPD-CC3-S156-01</v>
          </cell>
        </row>
        <row r="4297">
          <cell r="A4297" t="str">
            <v>L00-OPD-CC3-S113-05</v>
          </cell>
        </row>
        <row r="4298">
          <cell r="A4298" t="str">
            <v>L00-OPD-CC3-S156-02</v>
          </cell>
        </row>
        <row r="4299">
          <cell r="A4299" t="str">
            <v>L00-OPD-CC3-S114-03</v>
          </cell>
        </row>
        <row r="4300">
          <cell r="A4300" t="str">
            <v>L00-OPD-CC3-S021-04</v>
          </cell>
        </row>
        <row r="4301">
          <cell r="A4301" t="str">
            <v>L00-OPD-CC3-S021-03</v>
          </cell>
        </row>
        <row r="4302">
          <cell r="A4302" t="str">
            <v>L00-OPD-CC3-S021-01</v>
          </cell>
        </row>
        <row r="4303">
          <cell r="A4303" t="str">
            <v>L00-OPD-CC3-S099-02</v>
          </cell>
        </row>
        <row r="4304">
          <cell r="A4304" t="str">
            <v>L00-OPD-CC3-S109-02</v>
          </cell>
        </row>
        <row r="4305">
          <cell r="A4305" t="str">
            <v>L00-OPD-CC3-S104-01</v>
          </cell>
        </row>
        <row r="4306">
          <cell r="A4306" t="str">
            <v>L00-OPD-CC3-S029-03</v>
          </cell>
        </row>
        <row r="4307">
          <cell r="A4307" t="str">
            <v>L00-OPD-CC3-L097-01</v>
          </cell>
        </row>
        <row r="4308">
          <cell r="A4308" t="str">
            <v>L00-OPD-CIR-C001-07</v>
          </cell>
        </row>
        <row r="4309">
          <cell r="A4309" t="str">
            <v>L00-OPD-CC3-S082-01</v>
          </cell>
        </row>
        <row r="4310">
          <cell r="A4310" t="str">
            <v>L00-OPD-CC3-S156-03</v>
          </cell>
        </row>
        <row r="4311">
          <cell r="A4311" t="str">
            <v>L00-OPD-CC3-S027-01</v>
          </cell>
        </row>
        <row r="4312">
          <cell r="A4312" t="str">
            <v>L00-MAI-CRE-S139-01</v>
          </cell>
        </row>
        <row r="4313">
          <cell r="A4313" t="str">
            <v>L00-MAI-PUB-X022-01</v>
          </cell>
        </row>
        <row r="4314">
          <cell r="A4314" t="str">
            <v>L00-MAI-PUB-U0775-01</v>
          </cell>
        </row>
        <row r="4315">
          <cell r="A4315" t="str">
            <v>L00-MAI-PUB-S114-01</v>
          </cell>
        </row>
        <row r="4316">
          <cell r="A4316" t="str">
            <v>L00-MAI-PUB-S113-09</v>
          </cell>
        </row>
        <row r="4317">
          <cell r="A4317" t="str">
            <v>L00-MAI-PUB-S113-08</v>
          </cell>
        </row>
        <row r="4318">
          <cell r="A4318" t="str">
            <v>L00-OPD-CC3-S064-05</v>
          </cell>
        </row>
        <row r="4319">
          <cell r="A4319" t="str">
            <v>L00-OPD-CC3-S059-01</v>
          </cell>
        </row>
        <row r="4320">
          <cell r="A4320" t="str">
            <v>L00-OPD-CC3-S059-03</v>
          </cell>
        </row>
        <row r="4321">
          <cell r="A4321" t="str">
            <v>L00-OPD-CC3-S059-04</v>
          </cell>
        </row>
        <row r="4322">
          <cell r="A4322" t="str">
            <v>L00-OPD-C3W-S115-120</v>
          </cell>
        </row>
        <row r="4323">
          <cell r="A4323" t="str">
            <v>L00-OPD-CC3-S123-01</v>
          </cell>
        </row>
        <row r="4324">
          <cell r="A4324" t="str">
            <v>L00-OPD-CC3-S137-02</v>
          </cell>
        </row>
        <row r="4325">
          <cell r="A4325" t="str">
            <v>L00-OPD-CC3-S123-02</v>
          </cell>
        </row>
        <row r="4326">
          <cell r="A4326" t="str">
            <v>L00-OPD-CC3-S060-01</v>
          </cell>
        </row>
        <row r="4327">
          <cell r="A4327" t="str">
            <v>L00-OPD-CC3-S040-01</v>
          </cell>
        </row>
        <row r="4328">
          <cell r="A4328" t="str">
            <v>L00-OPD-CC3-S040-02</v>
          </cell>
        </row>
        <row r="4329">
          <cell r="A4329" t="str">
            <v>L00-MAI-CHI-U0782-01</v>
          </cell>
        </row>
        <row r="4330">
          <cell r="A4330" t="str">
            <v>L00-OPD-CC3-S109-04</v>
          </cell>
        </row>
        <row r="4331">
          <cell r="A4331" t="str">
            <v>L00-OPD-CC3-S090-04</v>
          </cell>
        </row>
        <row r="4332">
          <cell r="A4332" t="str">
            <v>L00-OPD-DC1-S036-01</v>
          </cell>
        </row>
        <row r="4333">
          <cell r="A4333" t="str">
            <v>L00-OPD-PCR-S081-01</v>
          </cell>
        </row>
        <row r="4334">
          <cell r="A4334" t="str">
            <v>L00-OPD-DC1-S113-01</v>
          </cell>
        </row>
        <row r="4335">
          <cell r="A4335" t="str">
            <v>L00-MAI-PUB-S121-04</v>
          </cell>
        </row>
        <row r="4336">
          <cell r="A4336" t="str">
            <v>L00-EMG-EDE-S121-02</v>
          </cell>
        </row>
        <row r="4337">
          <cell r="A4337" t="str">
            <v>L00-CIR-CIR-C008-02</v>
          </cell>
        </row>
        <row r="4338">
          <cell r="A4338" t="str">
            <v>L00-OPD-CIR-C001-11</v>
          </cell>
        </row>
        <row r="4339">
          <cell r="A4339" t="str">
            <v>L00-OPD-C3W-S115-14</v>
          </cell>
        </row>
        <row r="4340">
          <cell r="A4340" t="str">
            <v>L00-OPD-CIR-C001-14</v>
          </cell>
        </row>
        <row r="4341">
          <cell r="A4341" t="str">
            <v>L00-OPD-C4W-S115-92</v>
          </cell>
        </row>
        <row r="4342">
          <cell r="A4342" t="str">
            <v>L00-EMG-EDE-U0299-01</v>
          </cell>
        </row>
        <row r="4343">
          <cell r="A4343" t="str">
            <v>L00-EMG-EDE-S099-01</v>
          </cell>
        </row>
        <row r="4344">
          <cell r="A4344" t="str">
            <v>L00-OPD-CIR-C001-02</v>
          </cell>
        </row>
        <row r="4345">
          <cell r="A4345" t="str">
            <v>L00-OPD-CIR-C001-09</v>
          </cell>
        </row>
        <row r="4346">
          <cell r="A4346" t="str">
            <v>L00-OPD-CIR-C001-16</v>
          </cell>
        </row>
        <row r="4347">
          <cell r="A4347" t="str">
            <v>L00-MAI-PUB-S121-03</v>
          </cell>
        </row>
        <row r="4348">
          <cell r="A4348" t="str">
            <v>L00-EMG-EDE-S148-01</v>
          </cell>
        </row>
        <row r="4349">
          <cell r="A4349" t="str">
            <v>L00-OPD-C3W-S115-105</v>
          </cell>
        </row>
        <row r="4350">
          <cell r="A4350" t="str">
            <v>L00-MAI-PFO-U0783-01</v>
          </cell>
        </row>
        <row r="4351">
          <cell r="A4351" t="str">
            <v>L00-MAI-CIR-C001-01</v>
          </cell>
        </row>
        <row r="4352">
          <cell r="A4352" t="str">
            <v>L00-MAI-VOL-S115-01</v>
          </cell>
        </row>
        <row r="4353">
          <cell r="A4353" t="str">
            <v>L00-MAI-SWI-S095-01</v>
          </cell>
        </row>
        <row r="4354">
          <cell r="A4354" t="str">
            <v>L00-MAI-PUB-S021-01</v>
          </cell>
        </row>
        <row r="4355">
          <cell r="A4355" t="str">
            <v>L00-MAI-PUB-S148-01</v>
          </cell>
        </row>
        <row r="4356">
          <cell r="A4356" t="str">
            <v>L00-MAI-PUB-S113-12</v>
          </cell>
        </row>
        <row r="4357">
          <cell r="A4357" t="str">
            <v>L00-MAI-PUB-S113-13</v>
          </cell>
        </row>
        <row r="4358">
          <cell r="A4358" t="str">
            <v>L00-MAI-PUB-S113-14</v>
          </cell>
        </row>
        <row r="4359">
          <cell r="A4359" t="str">
            <v>L00-MAI-PUB-S113-01</v>
          </cell>
        </row>
        <row r="4360">
          <cell r="A4360" t="str">
            <v>L00-MAI-PUB-S113-02</v>
          </cell>
        </row>
        <row r="4361">
          <cell r="A4361" t="str">
            <v>L00-MAI-PUB-S113-03</v>
          </cell>
        </row>
        <row r="4362">
          <cell r="A4362" t="str">
            <v>L00-MAI-PUB-S113-04</v>
          </cell>
        </row>
        <row r="4363">
          <cell r="A4363" t="str">
            <v>L00-OPD-C3W-S115-106</v>
          </cell>
        </row>
        <row r="4364">
          <cell r="A4364" t="str">
            <v>L00-OPD-CC3-U0194-01</v>
          </cell>
        </row>
        <row r="4365">
          <cell r="A4365" t="str">
            <v>L00-OPD-CC3-S108-02</v>
          </cell>
        </row>
        <row r="4366">
          <cell r="A4366" t="str">
            <v>L00-OPD-DC1-U1656-01</v>
          </cell>
        </row>
        <row r="4367">
          <cell r="A4367" t="str">
            <v>L00-OPD-CC3-S099-01</v>
          </cell>
        </row>
        <row r="4368">
          <cell r="A4368" t="str">
            <v>L00-OPD-CC3-S028-20</v>
          </cell>
        </row>
        <row r="4369">
          <cell r="A4369" t="str">
            <v>L00-OPD-CC3-S036-01</v>
          </cell>
        </row>
        <row r="4370">
          <cell r="A4370" t="str">
            <v>L00-OPD-CC3-S028-03</v>
          </cell>
        </row>
        <row r="4371">
          <cell r="A4371" t="str">
            <v>L00-OPD-CC3-S109-01</v>
          </cell>
        </row>
        <row r="4372">
          <cell r="A4372" t="str">
            <v>L00-OPD-DC1-S028-03</v>
          </cell>
        </row>
        <row r="4373">
          <cell r="A4373" t="str">
            <v>L00-OPD-PCR-S036-02</v>
          </cell>
        </row>
        <row r="4374">
          <cell r="A4374" t="str">
            <v>L00-OPD-PCR-S064-01</v>
          </cell>
        </row>
        <row r="4375">
          <cell r="A4375" t="str">
            <v>L00-EMG-MRR-S096-01</v>
          </cell>
        </row>
        <row r="4376">
          <cell r="A4376" t="str">
            <v>L00-EMG-EDI-S103-01</v>
          </cell>
        </row>
        <row r="4377">
          <cell r="A4377" t="str">
            <v>L00-EMG-EDE-S147-01</v>
          </cell>
        </row>
        <row r="4378">
          <cell r="A4378" t="str">
            <v>L00-EMG-SWS-S094-01</v>
          </cell>
        </row>
        <row r="4379">
          <cell r="A4379" t="str">
            <v>L00-EMG-REA-X009-01</v>
          </cell>
        </row>
        <row r="4380">
          <cell r="A4380" t="str">
            <v>L00-EMG-OTA-S096-01</v>
          </cell>
        </row>
        <row r="4381">
          <cell r="A4381" t="str">
            <v>L00-EMG-OTA-S069-05</v>
          </cell>
        </row>
        <row r="4382">
          <cell r="A4382" t="str">
            <v>L00-EMG-SWS-U0321-01</v>
          </cell>
        </row>
        <row r="4383">
          <cell r="A4383" t="str">
            <v>L00-EMG-MRR-S069-05</v>
          </cell>
        </row>
        <row r="4384">
          <cell r="A4384" t="str">
            <v>L00-EMG-MRR-U0309-01</v>
          </cell>
        </row>
        <row r="4385">
          <cell r="A4385" t="str">
            <v>L00-EMG-MRR-S069-15</v>
          </cell>
        </row>
        <row r="4386">
          <cell r="A4386" t="str">
            <v>L00-EMG-MRR-S069-10</v>
          </cell>
        </row>
        <row r="4387">
          <cell r="A4387" t="str">
            <v>L00-EMG-MRR-S069-20</v>
          </cell>
        </row>
        <row r="4388">
          <cell r="A4388" t="str">
            <v>L00-EMG-EDI-S008-01</v>
          </cell>
        </row>
        <row r="4389">
          <cell r="A4389" t="str">
            <v>L00-EMG-OTA-S099-01</v>
          </cell>
        </row>
        <row r="4390">
          <cell r="A4390" t="str">
            <v>L00-IMG-SUP-S096-02</v>
          </cell>
        </row>
        <row r="4391">
          <cell r="A4391" t="str">
            <v>L00-IMG-SGR-S104-01</v>
          </cell>
        </row>
        <row r="4392">
          <cell r="A4392" t="str">
            <v>L00-IMG-SGR-S116-02</v>
          </cell>
        </row>
        <row r="4393">
          <cell r="A4393" t="str">
            <v>L00-IMG-SGR-S096-02</v>
          </cell>
        </row>
        <row r="4394">
          <cell r="A4394" t="str">
            <v>L00-IMG-SGR-U0351-01</v>
          </cell>
        </row>
        <row r="4395">
          <cell r="A4395" t="str">
            <v>L00-EMG-MRR-S069-04</v>
          </cell>
        </row>
        <row r="4396">
          <cell r="A4396" t="str">
            <v>L00-EMG-OBS-S059-01</v>
          </cell>
        </row>
        <row r="4397">
          <cell r="A4397" t="str">
            <v>L00-EMG-MRR-S069-14</v>
          </cell>
        </row>
        <row r="4398">
          <cell r="A4398" t="str">
            <v>L00-EMG-MRR-S069-09</v>
          </cell>
        </row>
        <row r="4399">
          <cell r="A4399" t="str">
            <v>L00-EMG-MRR-S069-19</v>
          </cell>
        </row>
        <row r="4400">
          <cell r="A4400" t="str">
            <v>L00-EMG-EDI-S047-01</v>
          </cell>
        </row>
        <row r="4401">
          <cell r="A4401" t="str">
            <v>L00-EMG-EDE-U0297-02</v>
          </cell>
        </row>
        <row r="4402">
          <cell r="A4402" t="str">
            <v>L00-EMG-OTA-S069-04</v>
          </cell>
        </row>
        <row r="4403">
          <cell r="A4403" t="str">
            <v>L00-EMG-OTA-S044-01</v>
          </cell>
        </row>
        <row r="4404">
          <cell r="A4404" t="str">
            <v>L00-EMG-MTA-L073-05</v>
          </cell>
        </row>
        <row r="4405">
          <cell r="A4405" t="str">
            <v>L00-EMG-MTA-L073-04</v>
          </cell>
        </row>
        <row r="4406">
          <cell r="A4406" t="str">
            <v>L00-IMG-CTS-S142-01</v>
          </cell>
        </row>
        <row r="4407">
          <cell r="A4407" t="str">
            <v>L00-IMG-SGR-L087-02</v>
          </cell>
        </row>
        <row r="4408">
          <cell r="A4408" t="str">
            <v>L00-IMG-SUP-U0396-01</v>
          </cell>
        </row>
        <row r="4409">
          <cell r="A4409" t="str">
            <v>L00-EMG-MRR-S104-01</v>
          </cell>
        </row>
        <row r="4410">
          <cell r="A4410" t="str">
            <v>L00-IMG-SGR-S133-01</v>
          </cell>
        </row>
        <row r="4411">
          <cell r="A4411" t="str">
            <v>L00-IMG-SUP-S132-03</v>
          </cell>
        </row>
        <row r="4412">
          <cell r="A4412" t="str">
            <v>L00-IMG-MSS-L005-02</v>
          </cell>
        </row>
        <row r="4413">
          <cell r="A4413" t="str">
            <v>L00-IMG-RSS-S091-01</v>
          </cell>
        </row>
        <row r="4414">
          <cell r="A4414" t="str">
            <v>L00-IMG-MSS-S025-01</v>
          </cell>
        </row>
        <row r="4415">
          <cell r="A4415" t="str">
            <v>L00-IMG-MSS-L053-02</v>
          </cell>
        </row>
        <row r="4416">
          <cell r="A4416" t="str">
            <v>L00-IMG-MSS-L052-02</v>
          </cell>
        </row>
        <row r="4417">
          <cell r="A4417" t="str">
            <v>L00-IMG-RSS-S011-01</v>
          </cell>
        </row>
        <row r="4418">
          <cell r="A4418" t="str">
            <v>L00-IMG-RSS-S043-01</v>
          </cell>
        </row>
        <row r="4419">
          <cell r="A4419" t="str">
            <v>L00-IMG-MSS-S103-01</v>
          </cell>
        </row>
        <row r="4420">
          <cell r="A4420" t="str">
            <v>L00-IMG-MIM-U0333-01</v>
          </cell>
        </row>
        <row r="4421">
          <cell r="A4421" t="str">
            <v>L00-IMG-MIM-S053-01</v>
          </cell>
        </row>
        <row r="4422">
          <cell r="A4422" t="str">
            <v>L00-IMG-MIM-S112-01</v>
          </cell>
        </row>
        <row r="4423">
          <cell r="A4423" t="str">
            <v>L00-IMG-SWS-S061-01</v>
          </cell>
        </row>
        <row r="4424">
          <cell r="A4424" t="str">
            <v>L00-IMG-SGR-U0345-01</v>
          </cell>
        </row>
        <row r="4425">
          <cell r="A4425" t="str">
            <v>L00-IMG-NMD-U1418-01</v>
          </cell>
        </row>
        <row r="4426">
          <cell r="A4426" t="str">
            <v>L00-IMG-MSS-L052-01</v>
          </cell>
        </row>
        <row r="4427">
          <cell r="A4427" t="str">
            <v>L00-IMG-SGR-S021-01</v>
          </cell>
        </row>
        <row r="4428">
          <cell r="A4428" t="str">
            <v>L00-EMG-OBS-S056-01</v>
          </cell>
        </row>
        <row r="4429">
          <cell r="A4429" t="str">
            <v>L00-EMG-OBS-S123-11</v>
          </cell>
        </row>
        <row r="4430">
          <cell r="A4430" t="str">
            <v>L00-EMG-OBS-S041-02</v>
          </cell>
        </row>
        <row r="4431">
          <cell r="A4431" t="str">
            <v>L00-IMG-MIM-S058-01</v>
          </cell>
        </row>
        <row r="4432">
          <cell r="A4432" t="str">
            <v>L00-IMG-MIM-S051-01</v>
          </cell>
        </row>
        <row r="4433">
          <cell r="A4433" t="str">
            <v>L00-EMG-SWS-S115-01</v>
          </cell>
        </row>
        <row r="4434">
          <cell r="A4434" t="str">
            <v>L00-EMG-OTA-S103-01</v>
          </cell>
        </row>
        <row r="4435">
          <cell r="A4435" t="str">
            <v>L00-EMG-SWS-S095-01</v>
          </cell>
        </row>
        <row r="4436">
          <cell r="A4436" t="str">
            <v>L00-EMG-EDS-S024-01</v>
          </cell>
        </row>
        <row r="4437">
          <cell r="A4437" t="str">
            <v>L00-IMG-SUP-U0394-01</v>
          </cell>
        </row>
        <row r="4438">
          <cell r="A4438" t="str">
            <v>L00-OPD-CC4-S026-01</v>
          </cell>
        </row>
        <row r="4439">
          <cell r="A4439" t="str">
            <v>L00-EMG-MRR-S069-02</v>
          </cell>
        </row>
        <row r="4440">
          <cell r="A4440" t="str">
            <v>L00-EMG-SWS-S115-03</v>
          </cell>
        </row>
        <row r="4441">
          <cell r="A4441" t="str">
            <v>L00-EMG-MRR-S069-12</v>
          </cell>
        </row>
        <row r="4442">
          <cell r="A4442" t="str">
            <v>L00-EMG-MRR-S069-07</v>
          </cell>
        </row>
        <row r="4443">
          <cell r="A4443" t="str">
            <v>L00-EMG-MRR-S069-17</v>
          </cell>
        </row>
        <row r="4444">
          <cell r="A4444" t="str">
            <v>L00-EMG-OTA-S069-02</v>
          </cell>
        </row>
        <row r="4445">
          <cell r="A4445" t="str">
            <v>L00-EMG-OTA-S088-01</v>
          </cell>
        </row>
        <row r="4446">
          <cell r="A4446" t="str">
            <v>L00-EMG-MTA-L073-02</v>
          </cell>
        </row>
        <row r="4447">
          <cell r="A4447" t="str">
            <v>L00-EMG-MTA-L073-01</v>
          </cell>
        </row>
        <row r="4448">
          <cell r="A4448" t="str">
            <v>L00-EMG-EDI-S033-01</v>
          </cell>
        </row>
        <row r="4449">
          <cell r="A4449" t="str">
            <v>L00-EMG-EDI-S030-01</v>
          </cell>
        </row>
        <row r="4450">
          <cell r="A4450" t="str">
            <v>L00-IMG-CTS-S030-01</v>
          </cell>
        </row>
        <row r="4451">
          <cell r="A4451" t="str">
            <v>L00-IMG-CTS-S033-01</v>
          </cell>
        </row>
        <row r="4452">
          <cell r="A4452" t="str">
            <v>L00-IMG-SGR-L087-03</v>
          </cell>
        </row>
        <row r="4453">
          <cell r="A4453" t="str">
            <v>L00-IMG-SWS-S062-01</v>
          </cell>
        </row>
        <row r="4454">
          <cell r="A4454" t="str">
            <v>L00-IMG-SGR-L038-02</v>
          </cell>
        </row>
        <row r="4455">
          <cell r="A4455" t="str">
            <v>L00-IMG-SGR-S047-01</v>
          </cell>
        </row>
        <row r="4456">
          <cell r="A4456" t="str">
            <v>L00-IMG-SGR-S047-02</v>
          </cell>
        </row>
        <row r="4457">
          <cell r="A4457" t="str">
            <v>L00-EMG-MTA-L073-03</v>
          </cell>
        </row>
        <row r="4458">
          <cell r="A4458" t="str">
            <v>L00-EMG-OBS-S123-07</v>
          </cell>
        </row>
        <row r="4459">
          <cell r="A4459" t="str">
            <v>L00-EMG-OTA-S069-09</v>
          </cell>
        </row>
        <row r="4460">
          <cell r="A4460" t="str">
            <v>L00-IMG-MSS-L050-05</v>
          </cell>
        </row>
        <row r="4461">
          <cell r="A4461" t="str">
            <v>L00-IMG-MSS-S011-01</v>
          </cell>
        </row>
        <row r="4462">
          <cell r="A4462" t="str">
            <v>L00-IMG-RSS-U0376-01</v>
          </cell>
        </row>
        <row r="4463">
          <cell r="A4463" t="str">
            <v>L00-IMG-RSS-U0375-01</v>
          </cell>
        </row>
        <row r="4464">
          <cell r="A4464" t="str">
            <v>L00-IMG-MSS-S110-01</v>
          </cell>
        </row>
        <row r="4465">
          <cell r="A4465" t="str">
            <v>L00-IMG-RSS-L043-02</v>
          </cell>
        </row>
        <row r="4466">
          <cell r="A4466" t="str">
            <v>L00-IMG-MSS-L050-06</v>
          </cell>
        </row>
        <row r="4467">
          <cell r="A4467" t="str">
            <v>L00-IMG-CIR-C001-17</v>
          </cell>
        </row>
        <row r="4468">
          <cell r="A4468" t="str">
            <v>L00-IMG-MSS-L050-04</v>
          </cell>
        </row>
        <row r="4469">
          <cell r="A4469" t="str">
            <v>L00-IMG-SGR-S008-05</v>
          </cell>
        </row>
        <row r="4470">
          <cell r="A4470" t="str">
            <v>L00-IMG-SGR-S008-07</v>
          </cell>
        </row>
        <row r="4471">
          <cell r="A4471" t="str">
            <v>L00-EMG-MTA-S101-01</v>
          </cell>
        </row>
        <row r="4472">
          <cell r="A4472" t="str">
            <v>L00-OPD-CC3-S064-01</v>
          </cell>
        </row>
        <row r="4473">
          <cell r="A4473" t="str">
            <v>L00-OPD-CC3-S036-02</v>
          </cell>
        </row>
        <row r="4474">
          <cell r="A4474" t="str">
            <v>L00-OPD-CC3-S028-05</v>
          </cell>
        </row>
        <row r="4475">
          <cell r="A4475" t="str">
            <v>L00-OPD-CC3-S137-01</v>
          </cell>
        </row>
        <row r="4476">
          <cell r="A4476" t="str">
            <v>L00-OPD-DC1-S113-03</v>
          </cell>
        </row>
        <row r="4477">
          <cell r="A4477" t="str">
            <v>L00-OPD-CC3-S051-01</v>
          </cell>
        </row>
        <row r="4478">
          <cell r="A4478" t="str">
            <v>L00-OPD-CC3-S075-01</v>
          </cell>
        </row>
        <row r="4479">
          <cell r="A4479" t="str">
            <v>L00-OPD-CC3-U0205-01</v>
          </cell>
        </row>
        <row r="4480">
          <cell r="A4480" t="str">
            <v>L00-OPD-CC3-S027-02</v>
          </cell>
        </row>
        <row r="4481">
          <cell r="A4481" t="str">
            <v>L00-OPD-CC4-S028-08</v>
          </cell>
        </row>
        <row r="4482">
          <cell r="A4482" t="str">
            <v>L00-OPD-CC3-S029-01</v>
          </cell>
        </row>
        <row r="4483">
          <cell r="A4483" t="str">
            <v>L00-OPD-DC1-S051-01</v>
          </cell>
        </row>
        <row r="4484">
          <cell r="A4484" t="str">
            <v>L00-OPD-CC3-S058-03</v>
          </cell>
        </row>
        <row r="4485">
          <cell r="A4485" t="str">
            <v>L00-OPD-DC1-S108-02</v>
          </cell>
        </row>
        <row r="4486">
          <cell r="A4486" t="str">
            <v>L00-OPD-DC1-U1077-01</v>
          </cell>
        </row>
        <row r="4487">
          <cell r="A4487" t="str">
            <v>L00-OPD-DC1-S026-01</v>
          </cell>
        </row>
        <row r="4488">
          <cell r="A4488" t="str">
            <v>L00-OPD-DC1-S028-02</v>
          </cell>
        </row>
        <row r="4489">
          <cell r="A4489" t="str">
            <v>L00-OPD-PCR-S109-01</v>
          </cell>
        </row>
        <row r="4490">
          <cell r="A4490" t="str">
            <v>L00-OPD-CC3-S110-01</v>
          </cell>
        </row>
        <row r="4491">
          <cell r="A4491" t="str">
            <v>L00-OPD-CC3-U0206-01</v>
          </cell>
        </row>
        <row r="4492">
          <cell r="A4492" t="str">
            <v>L00-OPD-CC3-U0201-01</v>
          </cell>
        </row>
        <row r="4493">
          <cell r="A4493" t="str">
            <v>L00-OPD-CC3-U0196-01</v>
          </cell>
        </row>
        <row r="4494">
          <cell r="A4494" t="str">
            <v>L00-OPD-CC3-S028-21</v>
          </cell>
        </row>
        <row r="4495">
          <cell r="A4495" t="str">
            <v>L00-OPD-CC3-S075-02</v>
          </cell>
        </row>
        <row r="4496">
          <cell r="A4496" t="str">
            <v>L00-OPD-CC3-S064-03</v>
          </cell>
        </row>
        <row r="4497">
          <cell r="A4497" t="str">
            <v>L00-OPD-CC3-S064-04</v>
          </cell>
        </row>
        <row r="4498">
          <cell r="A4498" t="str">
            <v>L00-OPD-CC3-S026-01</v>
          </cell>
        </row>
        <row r="4499">
          <cell r="A4499" t="str">
            <v>L00-OPD-CC3-S028-13</v>
          </cell>
        </row>
        <row r="4500">
          <cell r="A4500" t="str">
            <v>L00-OPD-CC3-S028-18</v>
          </cell>
        </row>
        <row r="4501">
          <cell r="A4501" t="str">
            <v>L00-OPD-CC3-S109-03</v>
          </cell>
        </row>
        <row r="4502">
          <cell r="A4502" t="str">
            <v>L00-OPD-CC3-S035-03</v>
          </cell>
        </row>
        <row r="4503">
          <cell r="A4503" t="str">
            <v>L00-EMG-MRR-L082-02</v>
          </cell>
        </row>
        <row r="4504">
          <cell r="A4504" t="str">
            <v>L00-IMG-SWS-S115-01</v>
          </cell>
        </row>
        <row r="4505">
          <cell r="A4505" t="str">
            <v>L00-OPD-CC4-S108-03</v>
          </cell>
        </row>
        <row r="4506">
          <cell r="A4506" t="str">
            <v>L00-OPD-CC4-S028-09</v>
          </cell>
        </row>
        <row r="4507">
          <cell r="A4507" t="str">
            <v>L00-MAI-CRE-S081-01</v>
          </cell>
        </row>
        <row r="4508">
          <cell r="A4508" t="str">
            <v>L00-MAI-CRE-S110-01</v>
          </cell>
        </row>
        <row r="4509">
          <cell r="A4509" t="str">
            <v>L00-MAI-CRE-U0829-01</v>
          </cell>
        </row>
        <row r="4510">
          <cell r="A4510" t="str">
            <v>L00-MAI-RES-U1295-01</v>
          </cell>
        </row>
        <row r="4511">
          <cell r="A4511" t="str">
            <v>L00-OPD-CC4-S091-02</v>
          </cell>
        </row>
        <row r="4512">
          <cell r="A4512" t="str">
            <v>L00-OPD-CC4-S028-17</v>
          </cell>
        </row>
        <row r="4513">
          <cell r="A4513" t="str">
            <v>L00-MAI-PUB-U0781-01</v>
          </cell>
        </row>
        <row r="4514">
          <cell r="A4514" t="str">
            <v>L00-OPD-CC3-S021-02</v>
          </cell>
        </row>
        <row r="4515">
          <cell r="A4515" t="str">
            <v>L00-OPD-CC3-S028-08</v>
          </cell>
        </row>
        <row r="4516">
          <cell r="A4516" t="str">
            <v>L00-OPD-CC3-S028-11</v>
          </cell>
        </row>
        <row r="4517">
          <cell r="A4517" t="str">
            <v>L00-OPD-CC4-S123-03</v>
          </cell>
        </row>
        <row r="4518">
          <cell r="A4518" t="str">
            <v>L00-OPD-CC4-S028-02</v>
          </cell>
        </row>
        <row r="4519">
          <cell r="A4519" t="str">
            <v>L00-EMG-EDE-S121-01</v>
          </cell>
        </row>
        <row r="4520">
          <cell r="A4520" t="str">
            <v>L00-OPD-CC4-S104-02</v>
          </cell>
        </row>
        <row r="4521">
          <cell r="A4521" t="str">
            <v>L00-IMG-SGR-S139-01</v>
          </cell>
        </row>
        <row r="4522">
          <cell r="A4522" t="str">
            <v>L00-IMG-SGR-S047-05</v>
          </cell>
        </row>
        <row r="4523">
          <cell r="A4523" t="str">
            <v>L00-IMG-CIR-C001-11</v>
          </cell>
        </row>
        <row r="4524">
          <cell r="A4524" t="str">
            <v>L00-OPD-DC1-S029-02</v>
          </cell>
        </row>
        <row r="4525">
          <cell r="A4525" t="str">
            <v>L00-OPD-CC3-S059-02</v>
          </cell>
        </row>
        <row r="4526">
          <cell r="A4526" t="str">
            <v>L00-IMG-NMD-S133-01</v>
          </cell>
        </row>
        <row r="4527">
          <cell r="A4527" t="str">
            <v>L00-IMG-NMD-L022-01</v>
          </cell>
        </row>
        <row r="4528">
          <cell r="A4528" t="str">
            <v>L00-MAI-RES-U0898-01</v>
          </cell>
        </row>
        <row r="4529">
          <cell r="A4529" t="str">
            <v>L00-MAI-RES-U0900-01</v>
          </cell>
        </row>
        <row r="4530">
          <cell r="A4530" t="str">
            <v>L00-MAI-RET-U1290-01</v>
          </cell>
        </row>
        <row r="4531">
          <cell r="A4531" t="str">
            <v>L00-MAI-SEC-U0838-01</v>
          </cell>
        </row>
        <row r="4532">
          <cell r="A4532" t="str">
            <v>L00-MAI-PUB-S006-02</v>
          </cell>
        </row>
        <row r="4533">
          <cell r="A4533" t="str">
            <v>L00-MAI-PFO-S139-01</v>
          </cell>
        </row>
        <row r="4534">
          <cell r="A4534" t="str">
            <v>L00-OPD-C3W-S115-15</v>
          </cell>
        </row>
        <row r="4535">
          <cell r="A4535" t="str">
            <v>L00-OPD-CC3-S028-02</v>
          </cell>
        </row>
        <row r="4536">
          <cell r="A4536" t="str">
            <v>L00-OPD-CIR-C001-37</v>
          </cell>
        </row>
        <row r="4537">
          <cell r="A4537" t="str">
            <v>L00-EMG-OBS-S123-05</v>
          </cell>
        </row>
        <row r="4538">
          <cell r="A4538" t="str">
            <v>L00-IMG-CIR-C001-09</v>
          </cell>
        </row>
        <row r="4539">
          <cell r="A4539" t="str">
            <v>L00-MAI-PUB-S113-15</v>
          </cell>
        </row>
        <row r="4540">
          <cell r="A4540" t="str">
            <v>L00-MAI-SWI-U0833-01</v>
          </cell>
        </row>
        <row r="4541">
          <cell r="A4541" t="str">
            <v>L00-MAI-PUB-S053-01</v>
          </cell>
        </row>
        <row r="4542">
          <cell r="A4542" t="str">
            <v>L00-MAI-RES-U0897-01</v>
          </cell>
        </row>
        <row r="4543">
          <cell r="A4543" t="str">
            <v>L00-MAI-SEC-U0837-01</v>
          </cell>
        </row>
        <row r="4544">
          <cell r="A4544" t="str">
            <v>L00-MAI-PUB-U0774-01</v>
          </cell>
        </row>
        <row r="4545">
          <cell r="A4545" t="str">
            <v>L00-MAI-RET-U0780-01</v>
          </cell>
        </row>
        <row r="4546">
          <cell r="A4546" t="str">
            <v>L00-MAI-PUB-S006-01</v>
          </cell>
        </row>
        <row r="4547">
          <cell r="A4547" t="str">
            <v>L00-COR-CSV-S016-01</v>
          </cell>
        </row>
        <row r="4548">
          <cell r="A4548" t="str">
            <v>L00-IMG-CIR-C001-10</v>
          </cell>
        </row>
        <row r="4549">
          <cell r="A4549" t="str">
            <v>L00-IMG-SGR-S103-01</v>
          </cell>
        </row>
        <row r="4550">
          <cell r="A4550" t="str">
            <v>L00-CIR-CIR-C008-03</v>
          </cell>
        </row>
        <row r="4551">
          <cell r="A4551" t="str">
            <v>L00-CIR-CIR-C006-01</v>
          </cell>
        </row>
        <row r="4552">
          <cell r="A4552" t="str">
            <v>L00-MAI-CRE-S139-02</v>
          </cell>
        </row>
        <row r="4553">
          <cell r="A4553" t="str">
            <v>L00-CIR-CIR-C008-07</v>
          </cell>
        </row>
        <row r="4554">
          <cell r="A4554" t="str">
            <v>L00-MAI-RES-S094-01</v>
          </cell>
        </row>
        <row r="4555">
          <cell r="A4555" t="str">
            <v>L00-EMG-MRR-S044-01</v>
          </cell>
        </row>
        <row r="4556">
          <cell r="A4556" t="str">
            <v>L00-EMG-MRR-S036-01</v>
          </cell>
        </row>
        <row r="4557">
          <cell r="A4557" t="str">
            <v>L00-CIR-CIR-C006-11</v>
          </cell>
        </row>
        <row r="4558">
          <cell r="A4558" t="str">
            <v>L00-MAI-PUB-S053-02</v>
          </cell>
        </row>
        <row r="4559">
          <cell r="A4559" t="str">
            <v>L00-CIR-CIR-C006-04</v>
          </cell>
        </row>
        <row r="4560">
          <cell r="A4560" t="str">
            <v>L00-EMG-CIR-C001-04</v>
          </cell>
        </row>
        <row r="4561">
          <cell r="A4561" t="str">
            <v>L00-EMG-MRR-S008-01</v>
          </cell>
        </row>
        <row r="4562">
          <cell r="A4562" t="str">
            <v>L00-HUB-ITH-S118-14</v>
          </cell>
        </row>
        <row r="4563">
          <cell r="A4563" t="str">
            <v>L00-EMG-EDS-S039-01</v>
          </cell>
        </row>
        <row r="4564">
          <cell r="A4564" t="str">
            <v>L00-EMG-MRR-L082-01</v>
          </cell>
        </row>
        <row r="4565">
          <cell r="A4565" t="str">
            <v>L00-CIR-CIR-C006-09</v>
          </cell>
        </row>
        <row r="4566">
          <cell r="A4566" t="str">
            <v>L00-IMG-SGR-S090-01</v>
          </cell>
        </row>
        <row r="4567">
          <cell r="A4567" t="str">
            <v>L00-IMG-SGR-S010-01</v>
          </cell>
        </row>
        <row r="4568">
          <cell r="A4568" t="str">
            <v>L00-IMG-SUP-S039-01</v>
          </cell>
        </row>
        <row r="4569">
          <cell r="A4569" t="str">
            <v>L00-OPD-CIR-C001-13</v>
          </cell>
        </row>
        <row r="4570">
          <cell r="A4570" t="str">
            <v>L00-OPD-CC4-S110-01</v>
          </cell>
        </row>
        <row r="4571">
          <cell r="A4571" t="str">
            <v>L00-OPD-CC4-S075-01</v>
          </cell>
        </row>
        <row r="4572">
          <cell r="A4572" t="str">
            <v>L00-CIR-CIR-C006-07</v>
          </cell>
        </row>
        <row r="4573">
          <cell r="A4573" t="str">
            <v>L00-OPD-DC1-S143-01</v>
          </cell>
        </row>
        <row r="4574">
          <cell r="A4574" t="str">
            <v>L00-OPD-PCR-S051-01</v>
          </cell>
        </row>
        <row r="4575">
          <cell r="A4575" t="str">
            <v>L00-IMG-CIR-C001-13</v>
          </cell>
        </row>
        <row r="4576">
          <cell r="A4576" t="str">
            <v>L00-IMG-MIM-S053-02</v>
          </cell>
        </row>
        <row r="4577">
          <cell r="A4577" t="str">
            <v>L00-IMG-SGR-S109-02</v>
          </cell>
        </row>
        <row r="4578">
          <cell r="A4578" t="str">
            <v>L00-IMG-SGR-L038-01</v>
          </cell>
        </row>
        <row r="4579">
          <cell r="A4579" t="str">
            <v>L00-IMG-SGR-S096-01</v>
          </cell>
        </row>
        <row r="4580">
          <cell r="A4580" t="str">
            <v>L00-IMG-SGR-S109-03</v>
          </cell>
        </row>
        <row r="4581">
          <cell r="A4581" t="str">
            <v>L00-IMG-SGR-U0338-01</v>
          </cell>
        </row>
        <row r="4582">
          <cell r="A4582" t="str">
            <v>L00-HUB-ITH-S118-09</v>
          </cell>
        </row>
        <row r="4583">
          <cell r="A4583" t="str">
            <v>L00-HUB-ITH-S118-08</v>
          </cell>
        </row>
        <row r="4584">
          <cell r="A4584" t="str">
            <v>L00-CIR-CIR-C006-12</v>
          </cell>
        </row>
        <row r="4585">
          <cell r="A4585" t="str">
            <v>L00-CIR-CIR-C008-09</v>
          </cell>
        </row>
        <row r="4586">
          <cell r="A4586" t="str">
            <v>L00-CIR-CIR-C008-06</v>
          </cell>
        </row>
        <row r="4587">
          <cell r="A4587" t="str">
            <v>L00-CIR-CIR-C008-01</v>
          </cell>
        </row>
        <row r="4588">
          <cell r="A4588" t="str">
            <v>L00-OPD-CC3-S110-02</v>
          </cell>
        </row>
        <row r="4589">
          <cell r="A4589" t="str">
            <v>L00-OPD-ORS-S038-02</v>
          </cell>
        </row>
        <row r="4590">
          <cell r="A4590" t="str">
            <v>L00-CIR-CIR-C006-02</v>
          </cell>
        </row>
        <row r="4591">
          <cell r="A4591" t="str">
            <v>L00-OPD-ORS-S022-02</v>
          </cell>
        </row>
        <row r="4592">
          <cell r="A4592" t="str">
            <v>L00-OPD-DC1-S028-04</v>
          </cell>
        </row>
        <row r="4593">
          <cell r="A4593" t="str">
            <v>L00-OPD-PCR-S027-01</v>
          </cell>
        </row>
        <row r="4594">
          <cell r="A4594" t="str">
            <v>L00-OPD-DC1-S099-01</v>
          </cell>
        </row>
        <row r="4595">
          <cell r="A4595" t="str">
            <v>L00-OPD-CIR-C001-29</v>
          </cell>
        </row>
        <row r="4596">
          <cell r="A4596" t="str">
            <v>L00-OPD-DC1-S129-01</v>
          </cell>
        </row>
        <row r="4597">
          <cell r="A4597" t="str">
            <v>L00-OPD-CC3-S111-01</v>
          </cell>
        </row>
        <row r="4598">
          <cell r="A4598" t="str">
            <v>L00-OPD-ORS-S022-01</v>
          </cell>
        </row>
        <row r="4599">
          <cell r="A4599" t="str">
            <v>L00-OPD-ORS-S038-01</v>
          </cell>
        </row>
        <row r="4600">
          <cell r="A4600" t="str">
            <v>L00-HUB-ITH-S118-02</v>
          </cell>
        </row>
        <row r="4601">
          <cell r="A4601" t="str">
            <v>L00-CIR-CIR-C006-03</v>
          </cell>
        </row>
        <row r="4602">
          <cell r="A4602" t="str">
            <v>L00-EMG-MRR-S056-01</v>
          </cell>
        </row>
        <row r="4603">
          <cell r="A4603" t="str">
            <v>L00-IMG-MSS-S109-01</v>
          </cell>
        </row>
        <row r="4604">
          <cell r="A4604" t="str">
            <v>L00-IMG-MSS-S096-01</v>
          </cell>
        </row>
        <row r="4605">
          <cell r="A4605" t="str">
            <v>L00-IMG-MSS-S113-02</v>
          </cell>
        </row>
        <row r="4606">
          <cell r="A4606" t="str">
            <v>L00-HUB-ITH-S118-07</v>
          </cell>
        </row>
        <row r="4607">
          <cell r="A4607" t="str">
            <v>L00-HUB-ITH-S118-01</v>
          </cell>
        </row>
        <row r="4608">
          <cell r="A4608" t="str">
            <v>L00-OPD-CC4-S028-04</v>
          </cell>
        </row>
        <row r="4609">
          <cell r="A4609" t="str">
            <v>L00-MAI-PUB-S022-01</v>
          </cell>
        </row>
        <row r="4610">
          <cell r="A4610" t="str">
            <v>L00-CIR-CIR-C006-06</v>
          </cell>
        </row>
        <row r="4611">
          <cell r="A4611" t="str">
            <v>L00-OPD-CC4-S109-02</v>
          </cell>
        </row>
        <row r="4612">
          <cell r="A4612" t="str">
            <v>L00-OPD-CC4-S139-02</v>
          </cell>
        </row>
        <row r="4613">
          <cell r="A4613" t="str">
            <v>L00-OPD-CC4-S114-02</v>
          </cell>
        </row>
        <row r="4614">
          <cell r="A4614" t="str">
            <v>L00-HUB-ITH-S118-12</v>
          </cell>
        </row>
        <row r="4615">
          <cell r="A4615" t="str">
            <v>L00-EMG-OTA-S069-06</v>
          </cell>
        </row>
        <row r="4616">
          <cell r="A4616" t="str">
            <v>L00-EMG-OTA-S139-01</v>
          </cell>
        </row>
        <row r="4617">
          <cell r="A4617" t="str">
            <v>L00-EMG-OTA-S110-01</v>
          </cell>
        </row>
        <row r="4618">
          <cell r="A4618" t="str">
            <v>L00-CIR-CIR-C008-08</v>
          </cell>
        </row>
        <row r="4619">
          <cell r="A4619" t="str">
            <v>L00-CIR-CIR-C006-10</v>
          </cell>
        </row>
        <row r="4620">
          <cell r="A4620" t="str">
            <v>L00-EMG-CIR-C001-30</v>
          </cell>
        </row>
        <row r="4621">
          <cell r="A4621" t="str">
            <v>L00-EMG-OTA-S114-01</v>
          </cell>
        </row>
        <row r="4622">
          <cell r="A4622" t="str">
            <v>L00-EMG-MRR-S114-01</v>
          </cell>
        </row>
        <row r="4623">
          <cell r="A4623" t="str">
            <v>L00-IMG-SWS-S114-09</v>
          </cell>
        </row>
        <row r="4624">
          <cell r="A4624" t="str">
            <v>L00-IMG-CIR-C001-18</v>
          </cell>
        </row>
        <row r="4625">
          <cell r="A4625" t="str">
            <v>L00-CIR-CIR-C006-13</v>
          </cell>
        </row>
        <row r="4626">
          <cell r="A4626" t="str">
            <v>L00-HUB-ITH-S118-04</v>
          </cell>
        </row>
        <row r="4627">
          <cell r="A4627" t="str">
            <v>L00-OPD-CIR-C001-06</v>
          </cell>
        </row>
        <row r="4628">
          <cell r="A4628" t="str">
            <v>L00-OPD-DC1-S113-02</v>
          </cell>
        </row>
        <row r="4629">
          <cell r="A4629" t="str">
            <v>L00-OPD-CC3-S099-03</v>
          </cell>
        </row>
        <row r="4630">
          <cell r="A4630" t="str">
            <v>L00-OPD-CC3-S035-02</v>
          </cell>
        </row>
        <row r="4631">
          <cell r="A4631" t="str">
            <v>L00-HUB-ITH-S118-03</v>
          </cell>
        </row>
        <row r="4632">
          <cell r="A4632" t="str">
            <v>L00-OPD-ORS-S025-02</v>
          </cell>
        </row>
        <row r="4633">
          <cell r="A4633" t="str">
            <v>L00-OPD-DC1-S112-01</v>
          </cell>
        </row>
        <row r="4634">
          <cell r="A4634" t="str">
            <v>L00-OPD-CC3-S035-01</v>
          </cell>
        </row>
        <row r="4635">
          <cell r="A4635" t="str">
            <v>L00-CIR-CIR-C008-04</v>
          </cell>
        </row>
        <row r="4636">
          <cell r="A4636" t="str">
            <v>L00-CIR-CIR-C006-08</v>
          </cell>
        </row>
        <row r="4637">
          <cell r="A4637" t="str">
            <v>L00-IMG-NMD-S103-01</v>
          </cell>
        </row>
        <row r="4638">
          <cell r="A4638" t="str">
            <v>L00-CIR-CIR-C008-10</v>
          </cell>
        </row>
        <row r="4639">
          <cell r="A4639" t="str">
            <v>L00-HUB-ITH-S118-11</v>
          </cell>
        </row>
        <row r="4640">
          <cell r="A4640" t="str">
            <v>L00-OPD-CC4-S029-01</v>
          </cell>
        </row>
        <row r="4641">
          <cell r="A4641" t="str">
            <v>L00-OPD-CIR-C001-20</v>
          </cell>
        </row>
        <row r="4642">
          <cell r="A4642" t="str">
            <v>L00-OPD-CC4-S029-01</v>
          </cell>
        </row>
        <row r="4643">
          <cell r="A4643" t="str">
            <v>L00-OPD-CIR-C001-20</v>
          </cell>
        </row>
        <row r="4644">
          <cell r="A4644" t="str">
            <v>L00-OPD-CC4-S104-03</v>
          </cell>
        </row>
        <row r="4645">
          <cell r="A4645" t="str">
            <v>L00-OPD-CC4-S104-03</v>
          </cell>
        </row>
        <row r="4646">
          <cell r="A4646" t="str">
            <v>L00-OPD-CC4-S023-01</v>
          </cell>
        </row>
        <row r="4647">
          <cell r="A4647" t="str">
            <v>L00-OPD-CC4-S029-02</v>
          </cell>
        </row>
        <row r="4648">
          <cell r="A4648" t="str">
            <v>L00-OPD-CC4-S023-01</v>
          </cell>
        </row>
        <row r="4649">
          <cell r="A4649" t="str">
            <v>L00-OPD-CIR-C001-34</v>
          </cell>
        </row>
        <row r="4650">
          <cell r="A4650" t="str">
            <v>L00-OPD-CC4-S040-01</v>
          </cell>
        </row>
        <row r="4651">
          <cell r="A4651" t="str">
            <v>L00-OPD-CIR-C001-34</v>
          </cell>
        </row>
        <row r="4652">
          <cell r="A4652" t="str">
            <v>L00-OPD-CC4-S109-01</v>
          </cell>
        </row>
        <row r="4653">
          <cell r="A4653" t="str">
            <v>L00-OPD-CC4-S028-12</v>
          </cell>
        </row>
        <row r="4654">
          <cell r="A4654" t="str">
            <v>L00-OPD-CC4-S028-12</v>
          </cell>
        </row>
        <row r="4655">
          <cell r="A4655" t="str">
            <v>L00-OPD-CIR-C001-25</v>
          </cell>
        </row>
        <row r="4656">
          <cell r="A4656" t="str">
            <v>L00-OPD-CC4-S109-01</v>
          </cell>
        </row>
        <row r="4657">
          <cell r="A4657" t="str">
            <v>L00-OPD-CC4-S123-01</v>
          </cell>
        </row>
        <row r="4658">
          <cell r="A4658" t="str">
            <v>L00-OPD-CC4-S137-02</v>
          </cell>
        </row>
        <row r="4659">
          <cell r="A4659" t="str">
            <v>L00-OPD-CC4-S060-02</v>
          </cell>
        </row>
        <row r="4660">
          <cell r="A4660" t="str">
            <v>L00-OPD-CC4-S137-02</v>
          </cell>
        </row>
        <row r="4661">
          <cell r="A4661" t="str">
            <v>L00-OPD-CC4-S137-02</v>
          </cell>
        </row>
        <row r="4662">
          <cell r="A4662" t="str">
            <v>L00-OPD-CC4-S123-01</v>
          </cell>
        </row>
        <row r="4663">
          <cell r="A4663" t="str">
            <v>L00-OPD-CC4-S113-03</v>
          </cell>
        </row>
        <row r="4664">
          <cell r="A4664" t="str">
            <v>L00-OPD-CC4-L088-02</v>
          </cell>
        </row>
        <row r="4665">
          <cell r="A4665" t="str">
            <v>L00-OPD-CC4-S040-02</v>
          </cell>
        </row>
        <row r="4666">
          <cell r="A4666" t="str">
            <v>L00-OPD-CC4-S060-03</v>
          </cell>
        </row>
        <row r="4667">
          <cell r="A4667" t="str">
            <v>L00-OPD-CC4-L088-02</v>
          </cell>
        </row>
        <row r="4668">
          <cell r="A4668" t="str">
            <v>L00-OPD-CC4-S113-03</v>
          </cell>
        </row>
        <row r="4669">
          <cell r="A4669" t="str">
            <v>L00-OPD-CC4-S028-14</v>
          </cell>
        </row>
        <row r="4670">
          <cell r="A4670" t="str">
            <v>L00-OPD-CC4-S060-02</v>
          </cell>
        </row>
        <row r="4671">
          <cell r="A4671" t="str">
            <v>L00-OPD-CC4-S137-01</v>
          </cell>
        </row>
        <row r="4672">
          <cell r="A4672" t="str">
            <v>L00-OPD-CIR-C001-20</v>
          </cell>
        </row>
        <row r="4673">
          <cell r="A4673" t="str">
            <v>L00-OPD-CIR-C001-20</v>
          </cell>
        </row>
        <row r="4674">
          <cell r="A4674" t="str">
            <v>L00-OPD-CIR-C001-35</v>
          </cell>
        </row>
        <row r="4675">
          <cell r="A4675" t="str">
            <v>L00-OPD-CIR-C001-35</v>
          </cell>
        </row>
        <row r="4676">
          <cell r="A4676" t="str">
            <v>L00-OPD-CC4-S028-13</v>
          </cell>
        </row>
        <row r="4677">
          <cell r="A4677" t="str">
            <v>L00-OPD-CIR-C001-20</v>
          </cell>
        </row>
        <row r="4678">
          <cell r="A4678" t="str">
            <v>L00-OPD-CC4-S108-02</v>
          </cell>
        </row>
        <row r="4679">
          <cell r="A4679" t="str">
            <v>L00-OPD-CC4-S108-02</v>
          </cell>
        </row>
        <row r="4680">
          <cell r="A4680" t="str">
            <v>L00-OPD-CIR-C001-20</v>
          </cell>
        </row>
        <row r="4681">
          <cell r="A4681" t="str">
            <v>L00-OPD-CC4-S028-13</v>
          </cell>
        </row>
        <row r="4682">
          <cell r="A4682" t="str">
            <v>L00-OPD-CIR-C001-20</v>
          </cell>
        </row>
        <row r="4683">
          <cell r="A4683" t="str">
            <v>L00-OPD-CC4-S113-01</v>
          </cell>
        </row>
        <row r="4684">
          <cell r="A4684" t="str">
            <v>L00-OPD-CC4-S114-01</v>
          </cell>
        </row>
        <row r="4685">
          <cell r="A4685" t="str">
            <v>L00-OPD-CIR-C001-01</v>
          </cell>
        </row>
        <row r="4686">
          <cell r="A4686" t="str">
            <v>L00-OPD-CC4-S060-01</v>
          </cell>
        </row>
        <row r="4687">
          <cell r="A4687" t="str">
            <v>L00-OPD-CC4-S029-03</v>
          </cell>
        </row>
        <row r="4688">
          <cell r="A4688" t="str">
            <v>L00-OPD-CC4-S029-04</v>
          </cell>
        </row>
        <row r="4689">
          <cell r="A4689" t="str">
            <v>L00-OPD-CC4-S060-01</v>
          </cell>
        </row>
        <row r="4690">
          <cell r="A4690" t="str">
            <v>L00-OPD-CC4-S028-18</v>
          </cell>
        </row>
        <row r="4691">
          <cell r="A4691" t="str">
            <v>L00-OPD-CC4-U0214-01</v>
          </cell>
        </row>
        <row r="4692">
          <cell r="A4692" t="str">
            <v>L00-OPD-CC4-U0214-01</v>
          </cell>
        </row>
        <row r="4693">
          <cell r="A4693" t="str">
            <v>L00-OPD-CC4-S028-11</v>
          </cell>
        </row>
        <row r="4694">
          <cell r="A4694" t="str">
            <v>L00-OPD-CC4-S028-10</v>
          </cell>
        </row>
        <row r="4695">
          <cell r="A4695" t="str">
            <v>L00-OPD-CC4-S104-01</v>
          </cell>
        </row>
        <row r="4696">
          <cell r="A4696" t="str">
            <v>L00-OPD-CC4-S091-01</v>
          </cell>
        </row>
        <row r="4697">
          <cell r="A4697" t="str">
            <v>L00-OPD-CC4-S058-01</v>
          </cell>
        </row>
        <row r="4698">
          <cell r="A4698" t="str">
            <v>L00-OPD-CC4-S058-01</v>
          </cell>
        </row>
        <row r="4699">
          <cell r="A4699" t="str">
            <v>L00-OPD-CC4-U0212-01</v>
          </cell>
        </row>
        <row r="4700">
          <cell r="A4700" t="str">
            <v>L00-OPD-CC4-S156-01</v>
          </cell>
        </row>
        <row r="4701">
          <cell r="A4701" t="str">
            <v>L00-OPD-CIR-C001-25</v>
          </cell>
        </row>
        <row r="4702">
          <cell r="A4702" t="str">
            <v>L00-OPD-CC4-S053-01</v>
          </cell>
        </row>
        <row r="4703">
          <cell r="A4703" t="str">
            <v>L00-OPD-CC4-S104-01</v>
          </cell>
        </row>
        <row r="4704">
          <cell r="A4704" t="str">
            <v>L00-OPD-CC4-S064-01</v>
          </cell>
        </row>
        <row r="4705">
          <cell r="A4705" t="str">
            <v>L00-OPD-CC4-S040-01</v>
          </cell>
        </row>
        <row r="4706">
          <cell r="A4706" t="str">
            <v>L00-OPD-CC4-S060-03</v>
          </cell>
        </row>
        <row r="4707">
          <cell r="A4707" t="str">
            <v>L00-OPD-CC4-S028-05</v>
          </cell>
        </row>
        <row r="4708">
          <cell r="A4708" t="str">
            <v>L00-OPD-CC4-S028-05</v>
          </cell>
        </row>
        <row r="4709">
          <cell r="A4709" t="str">
            <v>L00-OPD-CC4-S028-10</v>
          </cell>
        </row>
        <row r="4710">
          <cell r="A4710" t="str">
            <v>L00-OPD-CC4-S028-10</v>
          </cell>
        </row>
        <row r="4711">
          <cell r="A4711" t="str">
            <v>L00-CIR-CIR-C008-05</v>
          </cell>
        </row>
        <row r="4712">
          <cell r="A4712" t="str">
            <v>L00-OPD-CC4-U0219-01</v>
          </cell>
        </row>
        <row r="4713">
          <cell r="A4713" t="str">
            <v>L00-OPD-CC4-U0219-01</v>
          </cell>
        </row>
        <row r="4714">
          <cell r="A4714" t="str">
            <v>L00-OPD-CC4-S040-02</v>
          </cell>
        </row>
        <row r="4715">
          <cell r="A4715" t="str">
            <v>L00-OPD-CC4-S139-03</v>
          </cell>
        </row>
        <row r="4716">
          <cell r="A4716" t="str">
            <v>L00-OPD-CC4-S139-03</v>
          </cell>
        </row>
        <row r="4717">
          <cell r="A4717" t="str">
            <v>L00-OPD-CC4-S040-02</v>
          </cell>
        </row>
        <row r="4718">
          <cell r="A4718" t="str">
            <v>L00-OPD-CC4-S029-02</v>
          </cell>
        </row>
        <row r="4719">
          <cell r="A4719" t="str">
            <v>L00-OPD-CIR-C001-25</v>
          </cell>
        </row>
        <row r="4720">
          <cell r="A4720" t="str">
            <v>L00-OPD-CC4-S139-03</v>
          </cell>
        </row>
        <row r="4721">
          <cell r="A4721" t="str">
            <v>L00-OPD-CIR-C001-25</v>
          </cell>
        </row>
        <row r="4722">
          <cell r="A4722" t="str">
            <v>L00-OPD-CC4-S029-02</v>
          </cell>
        </row>
        <row r="4723">
          <cell r="A4723" t="str">
            <v>L00-MAI-CIR-C001-02</v>
          </cell>
        </row>
        <row r="4724">
          <cell r="A4724" t="str">
            <v>L00-MAI-CIR-C001-02</v>
          </cell>
        </row>
        <row r="4725">
          <cell r="A4725" t="str">
            <v>L00-MAI-RET-U1292-01</v>
          </cell>
        </row>
        <row r="4726">
          <cell r="A4726" t="str">
            <v>L00-MAI-RET-U1292-01</v>
          </cell>
        </row>
        <row r="4727">
          <cell r="A4727" t="str">
            <v>L00-CIR-CIR-C006-05</v>
          </cell>
        </row>
        <row r="4728">
          <cell r="A4728" t="str">
            <v>L00-OPD-C4W-S115-92</v>
          </cell>
        </row>
        <row r="4729">
          <cell r="A4729" t="str">
            <v>L00-CIR-CIR-C008-05</v>
          </cell>
        </row>
        <row r="4730">
          <cell r="A4730" t="str">
            <v>L00-OPD-CIR-C001-36</v>
          </cell>
        </row>
        <row r="4731">
          <cell r="A4731" t="str">
            <v>L00-OPD-CC4-S108-01</v>
          </cell>
        </row>
        <row r="4732">
          <cell r="A4732" t="str">
            <v>L00-OPD-CIR-C001-34</v>
          </cell>
        </row>
        <row r="4733">
          <cell r="A4733" t="str">
            <v>L00-OPD-CIR-C001-15</v>
          </cell>
        </row>
        <row r="4734">
          <cell r="A4734" t="str">
            <v>L00-OPD-CIR-C001-34</v>
          </cell>
        </row>
        <row r="4735">
          <cell r="A4735" t="str">
            <v>L00-OPD-C4W-S115-92</v>
          </cell>
        </row>
        <row r="4736">
          <cell r="A4736" t="str">
            <v>L00-OPD-C4W-S115-92</v>
          </cell>
        </row>
        <row r="4737">
          <cell r="A4737" t="str">
            <v>L00-OPD-CC4-S137-01</v>
          </cell>
        </row>
        <row r="4738">
          <cell r="A4738" t="str">
            <v>L00-OPD-CIR-C001-01</v>
          </cell>
        </row>
        <row r="4739">
          <cell r="A4739" t="str">
            <v>L00-OPD-CIR-C001-36</v>
          </cell>
        </row>
        <row r="4740">
          <cell r="A4740" t="str">
            <v>L00-IMG-SUP-S132-04</v>
          </cell>
        </row>
        <row r="4741">
          <cell r="A4741" t="str">
            <v>L00-IMG-CIR-C001-12</v>
          </cell>
        </row>
        <row r="4742">
          <cell r="A4742" t="str">
            <v>L00-IMG-NMD-S037-01</v>
          </cell>
        </row>
        <row r="4743">
          <cell r="A4743" t="str">
            <v>L00-IMG-NMD-S025-01</v>
          </cell>
        </row>
        <row r="4744">
          <cell r="A4744" t="str">
            <v>L00-EMG-SWS-L096-01</v>
          </cell>
        </row>
        <row r="4745">
          <cell r="A4745" t="str">
            <v>L00-EMG-OTA-S114-02</v>
          </cell>
        </row>
        <row r="4746">
          <cell r="A4746" t="str">
            <v>L00-EMG-OBS-S096-01</v>
          </cell>
        </row>
        <row r="4747">
          <cell r="A4747" t="str">
            <v>L00-EMG-CIR-C001-03</v>
          </cell>
        </row>
        <row r="4748">
          <cell r="A4748" t="str">
            <v>L00-EMG-MRR-S099-02</v>
          </cell>
        </row>
        <row r="4749">
          <cell r="A4749" t="str">
            <v>L00-EMG-MRR-S114-02</v>
          </cell>
        </row>
        <row r="4750">
          <cell r="A4750" t="str">
            <v>L00-EMG-CIR-C001-06</v>
          </cell>
        </row>
        <row r="4751">
          <cell r="A4751" t="str">
            <v>L00-EMG-SWS-L096-02</v>
          </cell>
        </row>
        <row r="4752">
          <cell r="A4752" t="str">
            <v>L00-EMG-EDE-U0300-01</v>
          </cell>
        </row>
        <row r="4753">
          <cell r="A4753" t="str">
            <v>L00-EMG-CIR-C001-10</v>
          </cell>
        </row>
        <row r="4754">
          <cell r="A4754" t="str">
            <v>L00-HUB-ITH-S118-13</v>
          </cell>
        </row>
        <row r="4755">
          <cell r="A4755" t="str">
            <v>L00-MAI-PUB-U0773-01</v>
          </cell>
        </row>
        <row r="4756">
          <cell r="A4756" t="str">
            <v>L00-OPD-ORS-S025-01</v>
          </cell>
        </row>
        <row r="4757">
          <cell r="A4757" t="str">
            <v>L00-EMG-MRR-S113-02</v>
          </cell>
        </row>
        <row r="4758">
          <cell r="A4758" t="str">
            <v>L00-EMG-MRR-S113-01</v>
          </cell>
        </row>
        <row r="4759">
          <cell r="A4759" t="str">
            <v>L00-OPD-C3W-S115-13</v>
          </cell>
        </row>
        <row r="4760">
          <cell r="A4760" t="str">
            <v>L00-IMG-NMD-U0388-01</v>
          </cell>
        </row>
        <row r="4761">
          <cell r="A4761" t="str">
            <v>L00-MAI-PUB-S038-01</v>
          </cell>
        </row>
        <row r="4762">
          <cell r="A4762" t="str">
            <v>L00-IMG-MSS-S056-01</v>
          </cell>
        </row>
        <row r="4763">
          <cell r="A4763" t="str">
            <v>L00-IMG-MSS-U0363-01</v>
          </cell>
        </row>
        <row r="4764">
          <cell r="A4764" t="str">
            <v>L00-EMG-REA-X010-01</v>
          </cell>
        </row>
        <row r="4765">
          <cell r="A4765" t="str">
            <v>L00-EMG-CIR-C001-01</v>
          </cell>
        </row>
        <row r="4766">
          <cell r="A4766" t="str">
            <v>L00-OPD-CIR-C001-46</v>
          </cell>
        </row>
        <row r="4767">
          <cell r="A4767" t="str">
            <v>L00-IMG-CIR-C001-06</v>
          </cell>
        </row>
        <row r="4768">
          <cell r="A4768" t="str">
            <v>L00-PHA-RET-X026-01</v>
          </cell>
        </row>
        <row r="4769">
          <cell r="A4769" t="str">
            <v>L00-EMG-EDE-S051-01</v>
          </cell>
        </row>
        <row r="4770">
          <cell r="A4770" t="str">
            <v>L00-EMG-EDE-S146-01</v>
          </cell>
        </row>
        <row r="4771">
          <cell r="A4771" t="str">
            <v>L00-EMG-OBS-S080-01</v>
          </cell>
        </row>
        <row r="4772">
          <cell r="A4772" t="str">
            <v>L00-EMG-OTA-S071-01</v>
          </cell>
        </row>
        <row r="4773">
          <cell r="A4773" t="str">
            <v>L00-MAI-PUB-S051-01</v>
          </cell>
        </row>
        <row r="4774">
          <cell r="A4774" t="str">
            <v>L00-EMG-OBS-S071-01</v>
          </cell>
        </row>
        <row r="4775">
          <cell r="A4775" t="str">
            <v>L00-EMG-OBS-S023-01</v>
          </cell>
        </row>
        <row r="4776">
          <cell r="A4776" t="str">
            <v>L00-EMG-MRR-S071-01</v>
          </cell>
        </row>
        <row r="4777">
          <cell r="A4777" t="str">
            <v>L00-EMG-MRR-S071-02</v>
          </cell>
        </row>
        <row r="4778">
          <cell r="A4778" t="str">
            <v>L00-EMG-OTA-S069-07</v>
          </cell>
        </row>
        <row r="4779">
          <cell r="A4779" t="str">
            <v>L00-EMG-OTA-S069-08</v>
          </cell>
        </row>
        <row r="4780">
          <cell r="A4780" t="str">
            <v>LG-EAF-CIR-C001-09</v>
          </cell>
        </row>
        <row r="4781">
          <cell r="A4781" t="str">
            <v>LG-EAF-MOR-S115-01</v>
          </cell>
        </row>
        <row r="4782">
          <cell r="A4782" t="str">
            <v>LG-EAF-CAT-U0894-01</v>
          </cell>
        </row>
        <row r="4783">
          <cell r="A4783" t="str">
            <v>LG-EAF-CAT-S139-03</v>
          </cell>
        </row>
        <row r="4784">
          <cell r="A4784" t="str">
            <v>LG-EAF-CAT-U0879-01</v>
          </cell>
        </row>
        <row r="4785">
          <cell r="A4785" t="str">
            <v>LG-EAF-CAT-S114-03</v>
          </cell>
        </row>
        <row r="4786">
          <cell r="A4786" t="str">
            <v>LG-MAI-PUB-U1830-01</v>
          </cell>
        </row>
        <row r="4787">
          <cell r="A4787" t="str">
            <v>LG-MAI-PUB-U1830-02</v>
          </cell>
        </row>
        <row r="4788">
          <cell r="A4788" t="str">
            <v>LG-EAF-CAT-U0883-01</v>
          </cell>
        </row>
        <row r="4789">
          <cell r="A4789" t="str">
            <v>LG-PLA-PLA-U1821-01</v>
          </cell>
        </row>
        <row r="4790">
          <cell r="A4790" t="str">
            <v>B01-CIR-CIR-C006-08</v>
          </cell>
        </row>
        <row r="4791">
          <cell r="A4791" t="str">
            <v>B01-CIR-CIR-C006-06</v>
          </cell>
        </row>
        <row r="4792">
          <cell r="A4792" t="str">
            <v>B01-CIR-CIR-C006-09</v>
          </cell>
        </row>
        <row r="4793">
          <cell r="A4793" t="str">
            <v>B02-PLA-PLA-U1703-01</v>
          </cell>
        </row>
        <row r="4794">
          <cell r="A4794" t="str">
            <v>B02-PLA-PLA-U1713-01</v>
          </cell>
        </row>
        <row r="4795">
          <cell r="A4795" t="str">
            <v>B02-PLA-PLA-U1711-01</v>
          </cell>
        </row>
        <row r="4796">
          <cell r="A4796" t="str">
            <v>B02-PLA-PLA-U1708-01</v>
          </cell>
        </row>
        <row r="4797">
          <cell r="A4797" t="str">
            <v>B02-PLA-PLA-U1676-01</v>
          </cell>
        </row>
        <row r="4798">
          <cell r="A4798" t="str">
            <v>B02-PLA-PLA-U1706-01</v>
          </cell>
        </row>
        <row r="4799">
          <cell r="A4799" t="str">
            <v>B02-PLA-PLA-U1710-01</v>
          </cell>
        </row>
        <row r="4800">
          <cell r="A4800" t="str">
            <v>B02-PLA-PLA-U1675-01</v>
          </cell>
        </row>
        <row r="4801">
          <cell r="A4801" t="str">
            <v>B02-PLA-PLA-U1704-01</v>
          </cell>
        </row>
        <row r="4802">
          <cell r="A4802" t="str">
            <v>B02-PLA-PLA-U1700-01</v>
          </cell>
        </row>
        <row r="4803">
          <cell r="A4803" t="str">
            <v>B02-PLA-PLA-U1701-01</v>
          </cell>
        </row>
        <row r="4804">
          <cell r="A4804" t="str">
            <v>B02-PLA-PLA-U1702-01</v>
          </cell>
        </row>
        <row r="4805">
          <cell r="A4805" t="str">
            <v>B02-PLA-PLA-U1709-01</v>
          </cell>
        </row>
        <row r="4806">
          <cell r="A4806" t="str">
            <v>B02-CIR-CIR-C006-04</v>
          </cell>
        </row>
        <row r="4807">
          <cell r="A4807" t="str">
            <v>B02-CIR-CIR-C005-02</v>
          </cell>
        </row>
        <row r="4808">
          <cell r="A4808" t="str">
            <v>L01-ICU-NCU-S097-02</v>
          </cell>
        </row>
        <row r="4809">
          <cell r="A4809" t="str">
            <v>L01-ICU-SPN-U0112-01</v>
          </cell>
        </row>
        <row r="4810">
          <cell r="A4810" t="str">
            <v>L01-ICU-SPN-U0114-01</v>
          </cell>
        </row>
        <row r="4811">
          <cell r="A4811" t="str">
            <v>L01-ICU-CIC-U1625-01</v>
          </cell>
        </row>
        <row r="4812">
          <cell r="A4812" t="str">
            <v>L01-ICU-NCU-S056-01</v>
          </cell>
        </row>
        <row r="4813">
          <cell r="A4813" t="str">
            <v>L01-OPD-CIR-C001-04</v>
          </cell>
        </row>
        <row r="4814">
          <cell r="A4814" t="str">
            <v>L01-CIR-CIR-C001-02</v>
          </cell>
        </row>
        <row r="4815">
          <cell r="A4815" t="str">
            <v>L02-CIR-CIR-C006-09</v>
          </cell>
        </row>
        <row r="4816">
          <cell r="A4816" t="str">
            <v>L02-CIR-CIR-C006-12</v>
          </cell>
        </row>
        <row r="4817">
          <cell r="A4817" t="str">
            <v>L02-CIR-CIR-C008-09</v>
          </cell>
        </row>
        <row r="4818">
          <cell r="A4818" t="str">
            <v>L02-CIR-CIR-C006-13</v>
          </cell>
        </row>
        <row r="4819">
          <cell r="A4819" t="str">
            <v>L02-CIR-CIR-C006-10</v>
          </cell>
        </row>
        <row r="4820">
          <cell r="A4820" t="str">
            <v>L02-CIR-CIR-C006-11</v>
          </cell>
        </row>
        <row r="4821">
          <cell r="A4821" t="str">
            <v>L02-PON-CIR-C001-02</v>
          </cell>
        </row>
        <row r="4822">
          <cell r="A4822" t="str">
            <v>L02-HUB-ITH-S118-03</v>
          </cell>
        </row>
        <row r="4823">
          <cell r="A4823" t="str">
            <v>L02-HUB-ITH-S118-04</v>
          </cell>
        </row>
        <row r="4824">
          <cell r="A4824" t="str">
            <v>L02-CIR-CIR-C008-10</v>
          </cell>
        </row>
        <row r="4825">
          <cell r="A4825" t="str">
            <v>L02-CIR-CIR-C008-08</v>
          </cell>
        </row>
        <row r="4826">
          <cell r="A4826" t="str">
            <v>L02-PON-ACC-S041-03</v>
          </cell>
        </row>
        <row r="4827">
          <cell r="A4827" t="str">
            <v>L02-CIR-CIR-C008-07</v>
          </cell>
        </row>
        <row r="4828">
          <cell r="A4828" t="str">
            <v>L02-CIR-CIR-C004-01</v>
          </cell>
        </row>
        <row r="4829">
          <cell r="A4829" t="str">
            <v>L02-HUB-ITH-S118-06</v>
          </cell>
        </row>
        <row r="4830">
          <cell r="A4830" t="str">
            <v>L02-HUB-ITH-S118-08</v>
          </cell>
        </row>
        <row r="4831">
          <cell r="A4831" t="str">
            <v>L02-CIR-CIR-C001-17</v>
          </cell>
        </row>
        <row r="4832">
          <cell r="A4832" t="str">
            <v>L02-HUB-ITH-S118-09</v>
          </cell>
        </row>
        <row r="4833">
          <cell r="A4833" t="str">
            <v>L02-CIR-CIR-C004-01</v>
          </cell>
        </row>
        <row r="4834">
          <cell r="A4834" t="str">
            <v>L03-MAI-PAS-S025-01</v>
          </cell>
        </row>
        <row r="4835">
          <cell r="A4835" t="str">
            <v>L03-HUB-ITH-S118-11</v>
          </cell>
        </row>
        <row r="4836">
          <cell r="A4836" t="str">
            <v>LG-CIR-CIR-C003-01</v>
          </cell>
        </row>
        <row r="4837">
          <cell r="A4837" t="str">
            <v>L02-THE-DOT-S053-05</v>
          </cell>
        </row>
        <row r="4838">
          <cell r="A4838" t="str">
            <v>L00-IMG-CIR-C001-19</v>
          </cell>
        </row>
        <row r="4839">
          <cell r="A4839" t="str">
            <v>L00-IMG-MSS-L053-01</v>
          </cell>
        </row>
        <row r="4840">
          <cell r="A4840" t="str">
            <v>L00-IMG-NMD-S093-01</v>
          </cell>
        </row>
        <row r="4841">
          <cell r="A4841" t="str">
            <v>L00-IMG-NMD-S104-01</v>
          </cell>
        </row>
        <row r="4842">
          <cell r="A4842" t="str">
            <v>L00-IMG-SWS-U0404-01</v>
          </cell>
        </row>
        <row r="4843">
          <cell r="A4843" t="str">
            <v>L00-OPD-CC3-S028-10</v>
          </cell>
        </row>
        <row r="4844">
          <cell r="A4844" t="str">
            <v>L00-OPD-CC3-S028-12</v>
          </cell>
        </row>
        <row r="4845">
          <cell r="A4845" t="str">
            <v>L00-OPD-CIR-C001-22</v>
          </cell>
        </row>
        <row r="4846">
          <cell r="A4846" t="str">
            <v>L00-OPD-CIR-C001-28</v>
          </cell>
        </row>
        <row r="4847">
          <cell r="A4847" t="str">
            <v>L00-OPD-CIR-C001-32</v>
          </cell>
        </row>
        <row r="4848">
          <cell r="A4848" t="str">
            <v>L00-OPD-PCR-S028-09</v>
          </cell>
        </row>
        <row r="4849">
          <cell r="A4849" t="str">
            <v>L01-CAM-INP-L007-11</v>
          </cell>
        </row>
        <row r="4850">
          <cell r="A4850" t="str">
            <v>L01-CAR-CIR-C001-02</v>
          </cell>
        </row>
        <row r="4851">
          <cell r="A4851" t="str">
            <v>L01-CIR-CIR-C006-01</v>
          </cell>
        </row>
        <row r="4852">
          <cell r="A4852" t="str">
            <v>L01-HUB-ITH-U1343-02</v>
          </cell>
        </row>
        <row r="4853">
          <cell r="A4853" t="str">
            <v>L01-OPD-C4W-S115-02</v>
          </cell>
        </row>
        <row r="4854">
          <cell r="A4854" t="str">
            <v>L01-OPD-DC2-L033-06</v>
          </cell>
        </row>
        <row r="4855">
          <cell r="A4855" t="str">
            <v>L01-OPD-DC2-U1368-01</v>
          </cell>
        </row>
        <row r="4856">
          <cell r="A4856" t="str">
            <v>L01-OPD-NIC-L025-04</v>
          </cell>
        </row>
        <row r="4857">
          <cell r="A4857" t="str">
            <v>L02-PON-ACC-L008-07</v>
          </cell>
        </row>
        <row r="4858">
          <cell r="A4858" t="str">
            <v>L02-PON-ACC-L008-08</v>
          </cell>
        </row>
        <row r="4859">
          <cell r="A4859" t="str">
            <v>L02-PON-ACC-L008-09</v>
          </cell>
        </row>
        <row r="4860">
          <cell r="A4860" t="str">
            <v>L02-PON-ACC-L008-10</v>
          </cell>
        </row>
        <row r="4861">
          <cell r="A4861" t="str">
            <v>L02-PON-ACC-L008-12</v>
          </cell>
        </row>
        <row r="4862">
          <cell r="A4862" t="str">
            <v>L02-PON-ACC-L008-14</v>
          </cell>
        </row>
        <row r="4863">
          <cell r="A4863" t="str">
            <v>L02-PON-ACC-L008-21</v>
          </cell>
        </row>
        <row r="4864">
          <cell r="A4864" t="str">
            <v>LG-EAF-SFK-S062-01</v>
          </cell>
        </row>
        <row r="4865">
          <cell r="A4865" t="str">
            <v>LG-OPD-CC1-S028-18</v>
          </cell>
        </row>
        <row r="4866">
          <cell r="A4866" t="str">
            <v>LG-OPD-CC1-S028-19</v>
          </cell>
        </row>
        <row r="4867">
          <cell r="A4867" t="str">
            <v>LG-OPD-CC1-S028-20</v>
          </cell>
        </row>
        <row r="4868">
          <cell r="A4868" t="str">
            <v>LG-OPD-CC1-S028-21</v>
          </cell>
        </row>
        <row r="4869">
          <cell r="A4869" t="str">
            <v>LG-OPD-CC1-S028-22</v>
          </cell>
        </row>
        <row r="4870">
          <cell r="A4870" t="str">
            <v>LG-OPD-CC1-S028-23</v>
          </cell>
        </row>
        <row r="4871">
          <cell r="A4871" t="str">
            <v>LG-OPD-CC1-S028-24</v>
          </cell>
        </row>
        <row r="4872">
          <cell r="A4872" t="str">
            <v>LG-OPD-CC1-S034-01</v>
          </cell>
        </row>
        <row r="4873">
          <cell r="A4873" t="str">
            <v>LG-OPD-CC2-S034-01</v>
          </cell>
        </row>
        <row r="4874">
          <cell r="A4874" t="str">
            <v>LG-OPD-CIR-C001-26</v>
          </cell>
        </row>
        <row r="4875">
          <cell r="A4875" t="str">
            <v>L02-PON-ACC-L008-22</v>
          </cell>
        </row>
        <row r="4876">
          <cell r="A4876" t="str">
            <v>L02-DCU-DMS-S139-06</v>
          </cell>
        </row>
        <row r="4877">
          <cell r="A4877" t="str">
            <v>L03-6-PHA-DPA-U0621-01</v>
          </cell>
        </row>
        <row r="4878">
          <cell r="A4878" t="str">
            <v>L03-PHA-PHA-U0619-01</v>
          </cell>
        </row>
        <row r="4879">
          <cell r="A4879" t="str">
            <v>L03-PHA-PHA-S016-03</v>
          </cell>
        </row>
        <row r="4880">
          <cell r="A4880" t="str">
            <v>L03-PHA-GEN-C002-03</v>
          </cell>
        </row>
        <row r="4881">
          <cell r="A4881">
            <v>1052</v>
          </cell>
        </row>
        <row r="4882">
          <cell r="A4882" t="str">
            <v>L05-IPA-CIR-C001-16</v>
          </cell>
        </row>
        <row r="4883">
          <cell r="A4883" t="str">
            <v>LG-OPD-C1W-S115-19</v>
          </cell>
        </row>
        <row r="4884">
          <cell r="A4884" t="str">
            <v>L05-IPA-CIR-C001-29</v>
          </cell>
        </row>
        <row r="4885">
          <cell r="A4885" t="str">
            <v>L05-IPA-CIR-C001-30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ia Barahona" refreshedDate="42393.541633449073" createdVersion="5" refreshedVersion="5" minRefreshableVersion="3" recordCount="3355">
  <cacheSource type="worksheet">
    <worksheetSource ref="D17:L132400" sheet="All floors"/>
  </cacheSource>
  <cacheFields count="9">
    <cacheField name="Room Code" numFmtId="0">
      <sharedItems containsBlank="1" containsMixedTypes="1" containsNumber="1" containsInteger="1" minValue="0" maxValue="3372" count="804">
        <m/>
        <s v="LG-OPD-C1W-S115-55"/>
        <s v="LG-OPD-AUD-L084-05"/>
        <s v="LG-OPD-AUD-U0444-01"/>
        <s v="LG-OPD-AUD-S115-01"/>
        <s v="none"/>
        <s v="LG-OPD-AUD-L039-08"/>
        <s v="LG-OPD-AUD-S123-08"/>
        <s v="LG-EAF-CAT-S099-02"/>
        <s v="LG-EAF-CAT-U0887-01"/>
        <s v="LG-EAF-CAT-U0888-01"/>
        <s v="LG-EAF-CAT-U0889-01"/>
        <s v="LG-EAF-CAT-U0892-01"/>
        <s v="LG-EAF-CAT-S115-02"/>
        <s v="LG-OPD-CC1-S027-01"/>
        <s v="LG-OPD-CC1-S028-01"/>
        <s v="LG-OPD-CC1-S034-01"/>
        <s v="LG-OPD-CC1-S064-01"/>
        <s v="LG-OPD-CC1-L046-01"/>
        <s v="LG-OPD-CC1-U0148-01"/>
        <s v="LG-OPD-CC1-S108-05"/>
        <s v="LG-OPD-CC1-S059-01"/>
        <s v="LG-OPD-CC1-S028-18"/>
        <s v="LG-OPD-CC1-S028-22"/>
        <s v="LG-OPD-CC1-S064-11"/>
        <s v="LG-OPD-CC1-S064-12"/>
        <s v="LG-OPD-CC1-S053-04"/>
        <s v="LG-OPD-CC1-S053-05"/>
        <s v="LG-OPD-CC1-S028-02"/>
        <s v="LG-OPD-CC1-S028-03"/>
        <s v="LG-OPD-CC1-S028-04"/>
        <s v="LG-OPD-CC1-S028-07"/>
        <s v="LG-OPD-CC1-S028-09"/>
        <s v="LG-OPD-CC1-S028-10"/>
        <s v="LG-OPD-CC1-S028-11"/>
        <s v="LG-OPD-CC1-S028-12"/>
        <s v="LG-OPD-CC1-S028-13"/>
        <s v="LG-OPD-CC1-S028-14"/>
        <s v="LG-OPD-CC1-S028-15"/>
        <s v="LG-OPD-CC1-S028-16"/>
        <s v="LG-OPD-CC1-S028-19"/>
        <s v="LG-OPD-CC1-S028-20"/>
        <s v="LG-OPD-CC1-S028-21"/>
        <s v="LG-OPD-CC1-S028-23"/>
        <s v="LG-OPD-CC1-S028-24"/>
        <s v="LG-OPD-CC1-S108-02"/>
        <s v="LG-OPD-CC1-L046-02"/>
        <s v="LG-OPD-CC2-S035-01"/>
        <s v="LG-OPD-CC2-S034-01"/>
        <s v="LG-OPD-CC2-S108-01"/>
        <s v="LG-OPD-CC2-S060-01"/>
        <s v="LG-OPD-CC2-S040-01"/>
        <s v="LG-OPD-CC2-L063-01"/>
        <s v="LG-OPD-CC2-U0174-01"/>
        <s v="LG-OPD-CC2-L067-01"/>
        <s v="LG-OPD-CC2-L067-02"/>
        <s v="LG-OPD-CC2-S029-02"/>
        <s v="LG-OPD-CC2-S029-03"/>
        <s v="LG-OPD-CC2-S029-04"/>
        <s v="LG-OPD-CC2-S029-05"/>
        <s v="LG-OPD-CC2-S029-07"/>
        <s v="LG-OPD-CC2-S029-10"/>
        <s v="LG-OPD-CC2-L063-02"/>
        <s v="LG-OPD-CC2-L063-03"/>
        <s v="LG-OPD-CC2-L063-04"/>
        <s v="LG-OPD-CC2-L062-02"/>
        <s v="LG-OPD-CC2-S108-02"/>
        <s v="LG-OPD-CC2-S040-02"/>
        <s v="LG-CST-CDU-S020-01"/>
        <s v="LG-CST-CDU-U0666-01"/>
        <s v="LG-CST-CDU-U0670-01"/>
        <s v="LG-CST-CEL-S143-01"/>
        <s v="LG-CST-CEL-S115-01"/>
        <s v="LG-CST-CEL-U0642-01"/>
        <s v="LG-CST-CEL-U0643-01"/>
        <s v="LG-CST-CEL-U0644-01"/>
        <s v="LG-CST-CEL-U0646-01"/>
        <s v="LG-EAF-FMA-S115-01"/>
        <s v="LG-EAF-FMA-U0913-01"/>
        <s v="LG-EAF-FMA-S115-04"/>
        <s v="LG-EAF-FMA-S115-06"/>
        <s v="LG-EAF-FMA-S115-09"/>
        <s v="LG-EAF-FMA-U0918-01"/>
        <s v="LG-EAF-FMA-S115-11"/>
        <s v="LG-EAF-MOR-U0865-01"/>
        <s v="LG-OPD-REC-U0142-01"/>
        <s v="LG-OPD-RED-U0428-01"/>
        <s v="LG-OPD-RED-L068-01"/>
        <s v="LG-OPD-RED-U0430-01"/>
        <s v="LG-OPD-RED-L068-02"/>
        <s v="LG-EAF-SFK-U0904-01"/>
        <s v="LG-EAF-SFK-U0905-01"/>
        <s v="LG-EAF-SFK-S139-01"/>
        <s v="LG-EAF-SFK-S062-01"/>
        <s v="LG-CST-CEL-C002-01"/>
        <s v="LG-EAF-MOR-S115-01"/>
        <s v="LG-OPD-AUD-L039-09"/>
        <s v="LG-OPD-AUD-L039-10"/>
        <s v="LG-OPD-AUD-S123-09"/>
        <s v="LG-OPD-CC1-S139-02"/>
        <s v="LG-OPD-CC2-S090-01"/>
        <s v="LG-CST-CIR-C001-04"/>
        <s v="LG-MAI-RET-U1291-01"/>
        <s v="LG-CIR-CIR-C008-01"/>
        <s v="LG-CIR-CIR-C008-07"/>
        <s v="LG-OPD-CIR-C001-26"/>
        <s v="LG-OPD-CIR-C001-28"/>
        <s v="LG-CIR-CIR-C001-02"/>
        <s v="LG-OPD-C1W-S115-49"/>
        <s v="LG-OPD-AUD-S123-10"/>
        <s v="LG-EAF-SWI-U0836-01"/>
        <s v="LG-OPD-CC2-U0169-01"/>
        <s v="LG-CIR-CIR-C006-01"/>
        <s v="LG-OPD-CC1-S156-01"/>
        <s v="LG-OPD-CC1-S156-06"/>
        <s v="LG-OPD-CC1-S156-09"/>
        <s v="LG-OPD-CC1-S156-10"/>
        <s v="LG-OPD-CC1-S156-11"/>
        <s v="LG-OPD-CC1-S156-12"/>
        <s v="LG-OPD-CC1-S156-13"/>
        <s v="LG-OPD-CC2-S156-01"/>
        <s v="LG-EAF-SFK-S017-01"/>
        <s v="LG-MAI-PUB-U1830-01"/>
        <s v="LG-MAI-PUB-U1830-03"/>
        <s v="LG-MAI-PUB-U1830-02"/>
        <s v="LG-OPD-C2W-S115-38"/>
        <s v="LG-OPD-C1W-S115-54"/>
        <s v="LG-OPD-CC2-S029-01"/>
        <n v="0"/>
        <s v="L00-OPD-CC4-S058-01"/>
        <s v="L00-OPD-CC4-S027-01"/>
        <s v="L00-OPD-CC4-S108-01"/>
        <s v="L00-OPD-CC4-S040-01"/>
        <s v="L00-OPD-CC4-S028-18"/>
        <s v="L00-OPD-CC4-U0214-01"/>
        <s v="L00-OPD-CC4-S060-02"/>
        <s v="L00-OPD-CC4-S029-03"/>
        <s v="L00-OPD-CC4-S060-03"/>
        <s v="L00-OPD-CC4-S028-05"/>
        <s v="L00-OPD-CC4-S028-06"/>
        <s v="L00-OPD-CC4-S028-07"/>
        <s v="L00-OPD-CC4-S028-10"/>
        <s v="L00-OPD-CC4-S028-11"/>
        <s v="L00-OPD-CC4-S028-12"/>
        <s v="L00-OPD-CC4-S028-16"/>
        <s v="L00-OPD-CC4-S028-17"/>
        <s v="L00-OPD-CC4-S029-02"/>
        <s v="L00-OPD-CC4-S029-04"/>
        <s v="L00-OPD-CC4-S137-02"/>
        <s v="L00-OPD-CC4-S113-03"/>
        <s v="L00-OPD-CC4-S108-02"/>
        <s v="L00-OPD-CC4-S040-02"/>
        <s v="L00-EMG-EDE-S099-01"/>
        <s v="L00-EMG-EDI-S103-01"/>
        <s v="L00-EMG-EDI-S115-01"/>
        <s v="L00-EMG-EDE-U0291-01"/>
        <s v="L00-EMG-EDE-S148-01"/>
        <s v="L00-IMG-MIM-U0333-01"/>
        <s v="L00-EMG-MRR-S104-01"/>
        <s v="L00-IMG-MSS-S103-01"/>
        <s v="L00-IMG-MSS-L053-01"/>
        <s v="L00-IMG-MSS-L050-01"/>
        <s v="L00-IMG-MSS-S132-01"/>
        <s v="L00-IMG-MSS-L054-01"/>
        <s v="L00-IMG-RSS-U0375-01"/>
        <s v="L00-IMG-NMD-S093-01"/>
        <s v="L00-IMG-NMD-S104-01"/>
        <s v="L00-IMG-NMD-S103-01"/>
        <s v="L00-IMG-NMD-S109-01"/>
        <s v="L00-IMG-NMD-U0388-01"/>
        <s v="L00-IMG-NMD-S133-01"/>
        <s v="L00-IMG-SUP-U0394-01"/>
        <s v="L00-IMG-SWS-S094-01"/>
        <s v="L00-IMG-SWS-S115-01"/>
        <s v="L00-IMG-MSS-L050-02"/>
        <s v="L00-IMG-MSS-L054-02"/>
        <s v="L00-IMG-MSS-L054-04"/>
        <s v="L00-EMG-OBS-S053-01"/>
        <s v="L00-EMG-REA-X009-01"/>
        <s v="L00-EMG-REA-X010-01"/>
        <s v="L00-EMG-OTA-S096-01"/>
        <s v="L00-EMG-OTA-S108-01"/>
        <s v="L00-EMG-OTA-S069-05"/>
        <s v="L00-OPD-PCR-S081-01"/>
        <s v="L00-OPD-PCR-S147-01"/>
        <s v="L00-OPD-PCR-S075-01"/>
        <s v="L00-OPD-PCR-S108-01"/>
        <s v="L00-OPD-PCR-S028-02"/>
        <s v="L00-OPD-PCR-S028-03"/>
        <s v="L00-OPD-PCR-S028-04"/>
        <s v="L00-OPD-PCR-S028-05"/>
        <s v="L00-OPD-PCR-S028-06"/>
        <s v="L00-OPD-PCR-S028-07"/>
        <s v="L00-OPD-PCR-S028-08"/>
        <s v="L00-OPD-PCR-S028-09"/>
        <s v="L00-EMG-SWS-S115-01"/>
        <s v="L00-EMG-SWS-S115-02"/>
        <s v="L00-EMG-SWS-S094-01"/>
        <s v="L00-EMG-SWS-S095-01"/>
        <s v="L00-EMG-SWS-S063-01"/>
        <s v="L00-OPD-DC1-S029-01"/>
        <s v="L00-OPD-DC1-S060-01"/>
        <s v="L00-OPD-DC1-S108-02"/>
        <s v="none - connecect to atrium"/>
        <s v="L00-OPD-DC1-S129-01"/>
        <s v="L00-OPD-DC1-S029-02"/>
        <s v="L00-MAI-CHI-U0782-01"/>
        <s v="L00-EMG-OTA-S103-01"/>
        <s v="L00-MAI-PUB-S053-02"/>
        <s v="L00-OPD-CC3-S028-01"/>
        <s v="L00-OPD-CC3-S029-01"/>
        <s v="L00-OPD-CC3-S035-01"/>
        <s v="L00-OPD-CC3-S108-01"/>
        <s v="L00-OPD-CC3-S060-01"/>
        <s v="L00-OPD-CC3-S040-01"/>
        <s v="L00-OPD-CC3-S137-01"/>
        <s v="L00-OPD-CC3-S035-02"/>
        <s v="L00-OPD-CC3-U0187-01"/>
        <s v="L00-OPD-CC3-S064-02"/>
        <s v="L00-OPD-CC3-S059-01"/>
        <s v="L00-OPD-CC3-S059-03"/>
        <s v="L00-OPD-CC3-S052-01"/>
        <s v="L00-OPD-CC3-S028-20"/>
        <s v="L00-OPD-CC3-S029-03"/>
        <s v="L00-OPD-CC3-U0194-01"/>
        <s v="L00-OPD-CC3-U0196-01"/>
        <s v="L00-OPD-CC3-U0201-01"/>
        <s v="L00-OPD-CC3-U0206-01"/>
        <s v="L00-OPD-CC3-S028-03"/>
        <s v="L00-OPD-CC3-S028-04"/>
        <s v="L00-OPD-CC3-S028-05"/>
        <s v="L00-OPD-CC3-S028-07"/>
        <s v="L00-OPD-CC3-S028-08"/>
        <s v="L00-OPD-CC3-S028-09"/>
        <s v="L00-OPD-CC3-S028-10"/>
        <s v="L00-OPD-CC3-S028-11"/>
        <s v="L00-OPD-CC3-S028-12"/>
        <s v="L00-OPD-CC3-S028-13"/>
        <s v="L00-OPD-CC3-S028-14"/>
        <s v="L00-OPD-CC3-S028-15"/>
        <s v="L00-OPD-CC3-S028-16"/>
        <s v="L00-OPD-CC3-S029-02"/>
        <s v="L00-OPD-CC3-S064-03"/>
        <s v="L00-OPD-CC3-S064-04"/>
        <s v="L00-OPD-CC3-S064-05"/>
        <s v="L00-OPD-CC3-S059-02"/>
        <s v="L00-OPD-CC3-S059-04"/>
        <s v="L00-OPD-CC3-S137-02"/>
        <s v="L00-OPD-CC3-S052-02"/>
        <s v="L00-OPD-CC3-S052-03"/>
        <s v="L00-OPD-CC3-S028-21"/>
        <s v="L00-OPD-CC3-S029-04"/>
        <s v="L00-OPD-CC3-S040-02"/>
        <s v="L00-EMG-CIR-C001-02"/>
        <s v="L00-IMG-NMD-U1418-01"/>
        <s v="L00-IMG-NMD-U0385-02"/>
        <s v="L00-OPD-CC4-L088-01"/>
        <s v="L00-OPD-CC4-L088-02"/>
        <s v="L00-MAI-RES-U1295-01"/>
        <s v="L00-EMG-EDE-S121-02"/>
        <s v="L00-OPD-C4W-S115-92"/>
        <s v="L00-EMG-CIR-C001-01"/>
        <s v="L00-EMG-CIR-C001-03"/>
        <s v="L00-EMG-CIR-C001-08"/>
        <s v="L00-EMG-CIR-C001-09"/>
        <s v="L00-EMG-CIR-C001-10"/>
        <s v="L00-OPD-CIR-C001-22"/>
        <s v="L00-OPD-CIR-C001-28"/>
        <s v="L00-OPD-CIR-C001-32"/>
        <s v="L00-OPD-C3W-S115-105"/>
        <s v="L00-OPD-C3W-S115-106"/>
        <s v="L00-OPD-C3W-S115-120"/>
        <s v="L00-OPD-DW1-S115-21"/>
        <s v="L00-CIR-CIR-C008-10"/>
        <s v="L00-CIR-CIR-C006-13"/>
        <s v="L00-CIR-CIR-C008-03"/>
        <s v="L00-CIR-CIR-C008-04"/>
        <n v="39"/>
        <s v="L00-EMG-OTA-S036-01"/>
        <s v="L00-EMG-SWS-U0321-01"/>
        <s v="L00-MAI-CRE-S081-01"/>
        <s v="L00-MAI-CRE-U0829-01"/>
        <s v="L00-MAI-CRE-S139-01"/>
        <s v="L00-OPD-CC4-S091-02"/>
        <s v="L00-OPD-CC4-S104-02"/>
        <s v="L00-IMG-CIR-C001-02"/>
        <s v="L00-IMG-CIR-C001-05"/>
        <s v="L00-IMG-CIR-C001-07"/>
        <s v="L00-IMG-CIR-C001-09"/>
        <s v="L00-IMG-CIR-C001-15"/>
        <s v="L00-IMG-CIR-C001-17"/>
        <s v="L00-IMG-CIR-C001-19"/>
        <s v="L00-CIR-CIR-C006-01"/>
        <s v="L00-CIR-CIR-C006-04"/>
        <s v="L00-CIR-CIR-C006-05"/>
        <s v="L00-OPD-CC3-S156-01"/>
        <s v="L00-OPD-CC3-S156-02"/>
        <s v="L00-OPD-DC1-U1077-01"/>
        <s v="L00-IMG-NMD-L022-01"/>
        <s v="L00-IMG-NMD-U1418-02"/>
        <s v="L00-OPD-DC1-U1656-01"/>
        <s v="L00-OPD-CC4-S028-15"/>
        <s v="L00-OPD-CC4-S108-04"/>
        <s v="L00-OPD-CC4-S137-01"/>
        <s v="L00-OPD-CC4-S123-01"/>
        <s v="L00-OPD-CC3-S156-03"/>
        <s v="L01-CAM-INP-L007-01"/>
        <s v="L01-CAM-INP-U0047-01"/>
        <s v="L01-CAM-INP-L007-13"/>
        <s v="L01-CAM-INP-S134-01"/>
        <s v="L01-CAM-INP-L007-02"/>
        <s v="L01-CAM-INP-L007-05"/>
        <s v="L01-CAM-INP-L007-06"/>
        <s v="L01-CAM-INP-L007-07"/>
        <s v="L01-CAM-INP-L007-08"/>
        <s v="L01-CAM-INP-L007-09"/>
        <s v="L01-CAM-INP-L007-10"/>
        <s v="L01-CAM-INP-L007-11"/>
        <s v="L01-CAM-INP-S044-05"/>
        <s v="L01-CAM-INP-L007-14"/>
        <s v="L01-CAM-INP-L007-15"/>
        <s v="L01-CAM-INP-L007-17"/>
        <s v="L01-CAM-INP-L007-18"/>
        <s v="L01-CAM-INP-L007-19"/>
        <s v="L01-CAR-INP-S014-01"/>
        <s v="none - connected to atrium"/>
        <s v="L01-CAR-INP-S019-01"/>
        <s v="L01-CAR-INP-S094-01"/>
        <s v="L01-CAR-DCU-S085-03"/>
        <s v="L01-CAR-DCU-S085-04"/>
        <s v="L01-CAR-INP-S014-02"/>
        <s v="L01-CAR-INP-S014-03"/>
        <s v="L01-CAR-INP-S014-04"/>
        <s v="L01-CAR-INP-S014-05"/>
        <s v="L01-CAR-INP-S014-06"/>
        <s v="L01-CAR-INP-S014-07"/>
        <s v="L01-CAR-INP-S014-10"/>
        <s v="L01-CAR-INP-S014-11"/>
        <s v="L01-CAR-INP-S014-12"/>
        <s v="L01-CAR-INP-S014-14"/>
        <s v="L01-CAR-INP-S014-15"/>
        <s v="L01-CAR-INP-S014-16"/>
        <s v="L01-CAR-INP-S014-17"/>
        <s v="L01-CAR-INP-S014-18"/>
        <s v="L01-CAR-INP-S014-19"/>
        <s v="L01-CAR-INP-S014-20"/>
        <s v="L01-CAR-INP-S014-21"/>
        <s v="L01-CAR-INP-S014-22"/>
        <s v="L01-CAR-INP-S014-23"/>
        <s v="L01-CAR-INP-S014-24"/>
        <s v="L01-CAR-INP-S014-25"/>
        <s v="L01-CAR-INP-S014-26"/>
        <s v="L01-OPD-DC2-L036-01"/>
        <s v="L01-OPD-DC2-L021-01"/>
        <s v="L01-OPD-DC2-U0233-01"/>
        <s v="L01-OPD-DC2-L033-01"/>
        <s v="L01-OPD-DC2-L021-02"/>
        <s v="L01-OPD-DC2-L021-04"/>
        <s v="L01-OPD-DC2-L021-06"/>
        <s v="L01-OPD-DC2-L021-07"/>
        <s v="L01-OPD-DC2-L021-10"/>
        <s v="L01-OPD-DC2-L033-02"/>
        <s v="L01-OPD-DC2-L033-03"/>
        <s v="L01-OPD-DC2-L033-04"/>
        <s v="L01-OPD-DC2-L033-06"/>
        <s v="L01-OPD-DC5-S060-01"/>
        <s v="L01-OPD-DC5-S028-02"/>
        <s v="L01-OPD-NIC-S132-01"/>
        <s v="L01-OPD-NIC-U0421-01"/>
        <s v="L01-OPD-NIC-L025-01"/>
        <s v="L01-OPD-NIC-U0426-01"/>
        <s v="L01-OPD-NIC-L025-02"/>
        <s v="L01-OPD-NIC-L025-03"/>
        <s v="L01-OPD-NIC-L025-04"/>
        <s v="L01-COR-CSV-U0794-01"/>
        <s v="L01-COR-CSV-S115-66"/>
        <s v="L01-COR-CSV-S115-67"/>
        <s v="L01-COR-CSV-U0809-01"/>
        <s v="L01-COR-CSV-S125-01"/>
        <s v="L01-COR-CSV-S053-01"/>
        <s v="L01-COR-CSV-S053-02"/>
        <s v="L01-COR-CSV-S074-08"/>
        <s v="L01-OPD-NEU-S109-01"/>
        <s v="L01-OPD-NEU-U0408-01"/>
        <s v="L01-OPD-NEU-S053-01"/>
        <s v="L01-OPD-NEU-L027-01"/>
        <s v="L01-OPD-NEU-U0411-01"/>
        <s v="L01-OPD-NEU-S015-01"/>
        <s v="L01-OPD-NEU-L027-02"/>
        <s v="L01-OPD-NEU-L027-03"/>
        <s v="L01-OPD-NEU-L027-04"/>
        <s v="L01-OPD-NEU-L027-05"/>
        <s v="L01-OPD-NEU-L027-06"/>
        <s v="L01-OPD-NEU-L028-02"/>
        <s v="L01-OPD-CIR-C001-04"/>
        <s v="L01-OPD-DC2-U1368-01"/>
        <s v="L01-CAR-CIR-C001-07"/>
        <s v="L01-CIR-CIR-C008-04"/>
        <s v="L01-CIR-CIR-C008-03"/>
        <s v="L01-CIR-CIR-C008-02"/>
        <s v="L01-CIR-CIR-C008-01"/>
        <s v="L01-CIR-CIR-C008-08"/>
        <s v="L01-CIR-CIR-C006-01"/>
        <s v="L01-HUB-ITH-U1343-02"/>
        <s v="L01-HUB-ITH-U1343-03"/>
        <s v="L01-CAR-DCU-S075-01"/>
        <s v="L01-CIR-CIR-C006-04"/>
        <s v="L01-CIR-CIR-C006-02"/>
        <s v="L01-CIR-CIR-C006-03"/>
        <s v="L01-CAR-INP-L026-01"/>
        <s v="L01-MAI-PUB-U1830-01"/>
        <s v="L01-MAI-PUB-U1830-03"/>
        <s v="L01-OPD-C4W-S115-02"/>
        <s v="L01-OPD-NEU-S132-01"/>
        <s v="L01-CAM-INP-L007-16"/>
        <s v="L01-CAM-INP-L008-01"/>
        <s v="L01-CAM-INP-L007-12"/>
        <s v="L01-OPD-NIC-U1367-01"/>
        <s v="L01-OPD-DC2-S148-01"/>
        <s v="L01-CAR-INP-U0025-01"/>
        <s v="L01-CAR-INP-S014-08"/>
        <s v="L01-CAR-INP-S014-13"/>
        <s v="L01-CAR-INP-S014-09"/>
        <s v="L02-PON-ACC-L008-01"/>
        <s v="L02-PON-ACC-L008-21"/>
        <s v="L02-PON-ACC-L008-03"/>
        <s v="L02-PON-ACC-L008-04"/>
        <s v="L02-PON-ACC-L008-05"/>
        <s v="L02-PON-ACC-L008-06"/>
        <s v="L02-PON-ACC-L008-07"/>
        <s v="L02-PON-ACC-L008-08"/>
        <s v="L02-PON-ACC-L008-09"/>
        <s v="L02-PON-ACC-L008-10"/>
        <s v="L02-PON-ACC-L008-11"/>
        <s v="L02-PON-ACC-L008-13"/>
        <s v="L02-PON-ACC-L008-14"/>
        <s v="L02-PON-ACC-L008-15"/>
        <s v="L02-PON-ACC-L008-16"/>
        <s v="L02-PON-ACC-L008-18"/>
        <s v="L02-PON-ACC-S041-02"/>
        <s v="L02-PON-ACC-S041-01"/>
        <s v="L02-PON-ACC-L008-22"/>
        <s v="L02-PON-ACC-L008-29"/>
        <s v="L02-PON-ACC-L008-30"/>
        <s v="L02-DCU-DMS-S089-04"/>
        <s v="L02-DCU-DMS-S043-04"/>
        <s v="L02-DCU-DMS-S083-01"/>
        <s v="L02-DCU-DMS-S060-01"/>
        <s v="L02-DCU-DMS-S077-01"/>
        <s v="L02-DCU-DMS-S095-01"/>
        <s v="none - connects to atrium"/>
        <s v="L02-DCU-DMS-S077-02"/>
        <s v="L02-DCU-DMS-S085-09"/>
        <s v="L02-DCU-DMS-S089-02"/>
        <s v="L02-DCU-DMS-S089-03"/>
        <s v="L02-DCU-DMS-S085-21"/>
        <s v="L02-DCU-DMS-S085-22"/>
        <s v="L02-DCU-DMS-S085-23"/>
        <s v="L02-DCU-DMS-S085-27"/>
        <s v="L02-DCU-DMS-S085-28"/>
        <s v="L02-DCU-DMS-S085-29"/>
        <s v="L02-DCU-DMS-S085-30"/>
        <s v="L02-DCU-DMS-S085-31"/>
        <s v="L02-DCU-DMS-S085-32"/>
        <s v="L02-DCU-DMS-S089-05"/>
        <s v="L02-DCU-DMS-S083-03"/>
        <s v="L02-DCU-DMS-S083-04"/>
        <s v="L02-DCU-DMS-S083-05"/>
        <s v="L02-DCU-DMS-S083-06"/>
        <s v="L02-DCU-DMS-S083-08"/>
        <s v="L02-DCU-DMS-S083-13"/>
        <s v="L02-DCU-DMS-S083-14"/>
        <s v="L02-DCU-DMS-S083-15"/>
        <s v="L02-DCU-DMS-S083-16"/>
        <s v="L02-DCU-DMS-S083-17"/>
        <s v="L02-DCU-DMS-S083-18"/>
        <s v="L02-DCU-DMS-S083-19"/>
        <s v="L02-DCU-DMS-S083-20"/>
        <s v="L02-THE-DOT-L004-02"/>
        <s v="L02-THE-DOT-S050-01"/>
        <s v="L02-THE-DOT-S115-04"/>
        <s v="L02-IPA-GW9-S014-01"/>
        <s v="L02-IPA-GW9-S013-01"/>
        <s v="L02-IPA-GW9-S014-02"/>
        <s v="L02-IPA-GW9-S014-03"/>
        <s v="L02-IPA-GW9-S014-04"/>
        <s v="L02-IPA-GW9-S014-05"/>
        <s v="L02-IPA-GW9-S014-06"/>
        <s v="L02-IPA-GW9-S014-07"/>
        <s v="L02-IPA-GW9-S014-08"/>
        <s v="L02-IPA-GW9-S014-09"/>
        <s v="L02-IPA-GW9-S014-14"/>
        <s v="L02-IPA-GW9-S014-15"/>
        <s v="L02-IPA-GW9-S014-16"/>
        <s v="L02-IPA-GW9-S014-17"/>
        <s v="L02-IPA-GW9-S014-18"/>
        <s v="L02-IPA-GW9-S014-19"/>
        <s v="L02-IPA-GW9-S014-20"/>
        <s v="L02-IPA-GW9-S014-21"/>
        <s v="L02-IPA-GW9-S014-22"/>
        <s v="L02-REE-PPR-S023-01"/>
        <s v="L02-REE-PPR-U1053-01"/>
        <s v="L02-REE-PPR-S139-01"/>
        <s v="L02-REE-PPR-U1057-01"/>
        <s v="L02-REE-PPR-S028-03"/>
        <s v="L02-REE-PPR-L018-02"/>
        <s v="L02-REE-PPR-L018-03"/>
        <s v="L02-REE-PPR-L018-04"/>
        <s v="L02-THR-RPM-S146-01"/>
        <s v="L02-THR-RPM-U0762-01"/>
        <s v="L02-THR-RPM-U0763-01"/>
        <s v="L02-THR-RPM-S075-01"/>
        <s v="L02-THR-RPM-U0766-01"/>
        <s v="L02-THR-RPM-S099-01"/>
        <s v="L02-THR-RPM-S075-02"/>
        <s v="L02-HOS-DOE-L015-01"/>
        <s v="L02-HOS-DOE-L015-02"/>
        <s v="L02-HOS-DOE-S134-01"/>
        <s v="L02-HOS-DOE-S134-02"/>
        <s v="L02-HOS-DOE-U0696-01"/>
        <s v="L02-HOS-DOE-S095-01"/>
        <s v="L02-IPA-SHS-S038-01"/>
        <s v="L02-IPA-GW9-S094-01"/>
        <s v="L02-DCU-DMS-U1108-01"/>
        <s v="L02-DCU-DMS-U1207-01"/>
        <s v="L02-DCU-DMS-S139-06"/>
        <s v="L02-PON-CIR-C001-02"/>
        <s v="L02-CIR-CIR-C008-01"/>
        <s v="L02-CIR-CIR-C008-03"/>
        <s v="L02-CIR-CIR-C008-04"/>
        <s v="L02-CIR-CIR-C008-06"/>
        <s v="L02-CIR-CIR-C006-05"/>
        <s v="L02-CIR-CIR-C006-07"/>
        <s v="L02-CIR-CIR-C006-04"/>
        <s v="L02-CIR-CIR-C006-01"/>
        <s v="L02-DCU-DMS-S132-01"/>
        <s v="L02-CIR-CIR-C001-14"/>
        <s v="L02-REE-PPR-S139-03"/>
        <s v="L03-6-PHA-DPA-U0621-01"/>
        <s v="L03-CIR-CIR-C008-05"/>
        <s v="L03-ONC-DW3-S115-43"/>
        <s v="L03-THR-MSW-S095-01"/>
        <s v="L03-THR-MSW-S115-02"/>
        <s v="L03-THR-NAD-S115-01"/>
        <s v="L03-COR-OCR-U0826-01"/>
        <s v="L03-PHA-PHA-U0609-01"/>
        <s v="L03-PHA-PHA-U0610-01"/>
        <s v="L03-PHA-PHA-S115-02"/>
        <s v="L03-PHA-PHA-S062-01"/>
        <s v="L03-PHA-PHA-U0611-01"/>
        <s v="L03-PHA-PHA-U0619-01"/>
        <s v="L03-PHA-PHA-S094-01"/>
        <s v="L03-PHA-PHA-S024-01"/>
        <s v="L03-PHA-CYT-L023-02"/>
        <s v="L03-PHA-PHA-S016-03"/>
        <s v="L03-PHA-PHA-S062-02"/>
        <s v="L03-PHA-PHA-S114-04"/>
        <s v="L03-PHA-PHA-S114-05"/>
        <s v="L03-THR-PSY-S115-23"/>
        <s v="L03-THR-POT-L023-01"/>
        <s v="L03-THR-POT-U0712-01"/>
        <s v="L03-THR-POT-U0714-01"/>
        <s v="L03-THR-POT-L086-01"/>
        <s v="L03-THR-POT-U0717-01"/>
        <s v="L03-THR-POT-U0718-01"/>
        <s v="L03-THR-POT-S109-01"/>
        <s v="L03-THR-POT-U0728-01"/>
        <s v="manual"/>
        <s v="L03-THR-POT-U0729-01"/>
        <s v="L03-THR-POT-S038-01"/>
        <s v="L03-THR-POT-S022-01"/>
        <s v="L03-THR-POT-S115-02"/>
        <s v="L03-THR-POT-S115-30"/>
        <s v="L03-THR-POT-S061-01"/>
        <s v="L03-THR-POT-L023-02"/>
        <s v="L03-THR-POT-L023-03"/>
        <s v="L03-THR-POT-L023-04"/>
        <s v="L03-EDU-ETC-L017-01"/>
        <s v="L03-EDU-ETC-L017-02"/>
        <s v="L03-EDU-ETC-L079-01"/>
        <s v="L03-EDU-ETC-L078-01"/>
        <s v="L03-EDU-ETC-U0962-01"/>
        <s v="L03-EDU-ETC-S094-01"/>
        <s v="L03-EDU-ETC-S067-01"/>
        <s v="L03-EDU-ETC-L017-03"/>
        <s v="L03-EDU-ETC-L086-02"/>
        <s v="L03-EDU-ETC-L086-03"/>
        <s v="L03-EDU-ETC-L086-04"/>
        <s v="L03-EDU-ETC-L086-06"/>
        <s v="L03-EDU-ETC-L078-02"/>
        <s v="L03-EDU-ETC-L078-03"/>
        <s v="L03-EDU-ETC-L078-04"/>
        <s v="L03-PHA-GEN-C002-01"/>
        <s v="L03-PHA-GEN-C002-03"/>
        <s v="L03-PHA-CIR-C001-01"/>
        <s v="L03-PHA-CIR-C001-04"/>
        <s v="L03-CIR-CIR-C003-06"/>
        <s v="L03-COR-CIR-C001-02"/>
        <s v="L03-CIR-CIR-C008-09"/>
        <s v="L03-CIR-CIR-C008-01"/>
        <s v="L03-PLA-PLA-U1831-01"/>
        <s v="L03-CIR-CIR-C006-07"/>
        <s v="L03-CIR-CIR-C006-01"/>
        <s v="L03-EDU-ETC-U0962-02"/>
        <s v="L03-EDU-ETC-L079-08"/>
        <s v="L03-EDU-ETC-U0973-01"/>
        <s v="L03-COR-DIR-S115-01"/>
        <s v="L03-THR-NAD-S061-01"/>
        <s v="L03-THR-SLT-S016-01"/>
        <s v="L03-THR-SLT-S115-01"/>
        <e v="#REF!"/>
        <s v="B02-EAF-EWM-S115-01"/>
        <s v="B02-EAF-EWM-S095-01"/>
        <s v="B02-EAF-TEC-U0841-01"/>
        <s v="B02-EAF-TEC-U0842-01"/>
        <s v="B02-EAF-TEC-S115-01"/>
        <s v="B02-EAF-TEC-S115-13"/>
        <s v="B02-EAF-TEC-S115-19"/>
        <s v="B02-EAF-TEC-S115-22"/>
        <s v="B02-EAF-TEC-S063-01"/>
        <s v="B02-EAF-TEC-S095-01"/>
        <s v="B02-PLA-PLA-U1690-01"/>
        <n v="1052"/>
        <s v="B01-PLA-PLA-U1665-01"/>
        <s v="LG-PAT-HIS-U0449-01"/>
        <s v="LG-PAT-HAE-U0457-01"/>
        <s v="LG-PAT-HAE-U0458-01"/>
        <s v="LG-PAT-HAE-U0465-01"/>
        <s v="LG-PAT-HAE-U0471-01"/>
        <s v="LG-PAT-HAE-U0472-01"/>
        <s v="LG-PAT-HAE-U0473-01"/>
        <s v="LG-PAT-TRA-U0478-01"/>
        <s v="LG-PAT-TRA-U0479-01"/>
        <s v="LG-PAT-TRA-U0482-01"/>
        <s v="LG-PAT-TRA-S115-06"/>
        <s v="LG-PAT-BIO-U0485-01"/>
        <s v="LG-PAT-BIO-U0486-01"/>
        <s v="LG-PAT-BIO-U0487-01"/>
        <s v="LG-PAT-BIO-S115-11"/>
        <s v="LG-PAT-MET-U0494-01"/>
        <s v="LG-PAT-MET-U0495-01"/>
        <s v="LG-PAT-NNS-S115-15"/>
        <s v="LG-PAT-MIC-U0504-01"/>
        <s v="LG-PAT-MIC-U0505-01"/>
        <s v="LG-PAT-MIC-U0506-01"/>
        <s v="LG-PAT-MOL-U0510-01"/>
        <s v="LG-PAT-MOL-U0511-01"/>
        <s v="LG-PAT-MOL-U0512-01"/>
        <s v="LG-PAT-MOL-U0514-01"/>
        <s v="LG-PAT-MOL-U0516-01"/>
        <s v="LG-PAT-MOL-U0517-01"/>
        <s v="LG-PAT-CLF-U0524-01"/>
        <s v="LG-PAT-TRA-S115-12"/>
        <s v="LG-PAT-TRA-S115-24"/>
        <s v="LG-PAT-TRA-S115-30"/>
        <s v="LG-PAT-TRA-S115-36"/>
        <s v="LG-PAT-TRA-S115-42"/>
        <n v="2678"/>
        <n v="2679"/>
        <n v="2681"/>
        <n v="2685"/>
        <n v="2686"/>
        <n v="2690"/>
        <n v="2695"/>
        <n v="2699"/>
        <n v="2700"/>
        <n v="2702"/>
        <n v="2703"/>
        <n v="2704"/>
        <n v="2705"/>
        <n v="2706"/>
        <n v="2707"/>
        <n v="2708"/>
        <n v="2709"/>
        <n v="2711"/>
        <s v="L02-THE-ABI-S115-01"/>
        <s v="L02-THE-CRU-U0605-01"/>
        <s v="L02-THE-CRU-U0602-07"/>
        <s v="L02-THE-CRU-U0602-09"/>
        <s v="L02-THE-CRU-U0602-10"/>
        <s v="L02-THE-CRU-U0602-11"/>
        <s v="L02-THE-CRU-U0602-13"/>
        <s v="L02-THE-CRU-U0602-14"/>
        <s v="L02-THE-CRU-U0602-17"/>
        <s v="L02-THE-DOT-S057-01"/>
        <s v="L02-THE-DOT-S023-01"/>
        <s v="L02-THE-DOT-U0534-01"/>
        <s v="L02-THE-DOT-S004-01"/>
        <s v="L02-THE-DOT-U0538-01"/>
        <s v="L02-THE-DOT-U0539-01"/>
        <s v="L02-THE-DOT-S066-05"/>
        <s v="L02-THE-DOT-S066-02"/>
        <s v="L02-THE-DOT-S066-03"/>
        <s v="L02-THE-DOT-U0541-01"/>
        <s v="L02-THE-DOT-U0542-01"/>
        <s v="L02-THE-DOT-U0545-01"/>
        <s v="L02-THE-DOT-U0548-01"/>
        <s v="L02-THE-DOT-S100-02"/>
        <s v="L02-THE-DOT-S004-02"/>
        <s v="L02-THE-DOT-S066-01"/>
        <s v="L02-THE-DOT-U0562-01"/>
        <s v="L02-THE-DOT-S100-01"/>
        <s v="L02-THE-DOT-U0565-01"/>
        <s v="L02-THE-DOT-U0566-01"/>
        <s v="L02-THE-DOT-U0568-01"/>
        <s v="L02-THE-DOT-S004-04"/>
        <s v="L02-THE-DOT-S004-06"/>
        <s v="L02-THE-DOT-S004-10"/>
        <s v="L02-THE-DOT-S004-12"/>
        <s v="L02-THE-DOT-S004-13"/>
        <s v="L02-THE-DOT-S066-04"/>
        <s v="L02-THE-DOT-S066-06"/>
        <s v="L02-THE-DOT-S066-08"/>
        <s v="L02-THE-DOT-S066-10"/>
        <s v="L02-THE-DOT-S066-12"/>
        <s v="L02-THE-DOT-S066-13"/>
        <s v="L02-THE-DOT-U0568-02"/>
        <s v="L02-THE-DOT-S114-08"/>
        <s v="L02-THE-DOT-U0534-02"/>
        <s v="L02-THE-DOT-S004-03"/>
        <s v="L02-THE-DOT-S004-05"/>
        <s v="L02-THE-DOT-S004-08"/>
        <s v="L02-THE-DOT-S004-09"/>
        <s v="L02-THE-DOT-S004-11"/>
        <s v="L02-THE-DOT-U0538-03"/>
        <s v="L02-THE-DOT-S066-11"/>
        <s v="L02-THE-DOT-S066-07"/>
        <s v="L02-THE-DOT-S066-09"/>
        <s v="L02-THE-IVS-U0577-01"/>
        <s v="L02-THE-IVS-U0579-01"/>
        <s v="L02-THE-IVS-U0582-01"/>
        <s v="L02-THE-IVS-U0586-01"/>
        <s v="L02-THE-IVS-S099-01"/>
        <s v="L02-THE-MRI-U0573-01"/>
        <s v="L02-THE-DOT-S066-14"/>
        <s v="L02-THE-DOT-S004-15"/>
        <n v="9"/>
        <s v="L02-THE-CRU-S131-09"/>
        <s v="L02-THE-CRU-S130-04"/>
        <n v="14"/>
        <n v="15"/>
        <s v="L01-ICU-CIC-S087-01"/>
        <s v="L01-ICU-CIC-U0100-01"/>
        <s v="L01-ICU-CIC-S057-01"/>
        <s v="L01-ICU-CIC-S087-02"/>
        <s v="L01-ICU-CIC-S087-03"/>
        <s v="L01-ICU-CIC-S087-04"/>
        <s v="L01-ICU-CIC-S087-05"/>
        <s v="L01-ICU-CIC-S087-06"/>
        <s v="L01-ICU-CIC-S087-07"/>
        <s v="L01-ICU-CIC-S087-08"/>
        <s v="L01-ICU-CIC-S087-09"/>
        <s v="L01-ICU-CIC-S087-10"/>
        <s v="L01-ICU-CIC-S087-11"/>
        <s v="L01-ICU-CIC-S087-12"/>
        <s v="L01-ICU-CIC-S087-14"/>
        <s v="L01-ICU-CIC-S087-17"/>
        <s v="L01-ICU-CIC-S087-18"/>
        <s v="L01-ICU-CIC-S044-03"/>
        <s v="L01-ICU-NCU-S046-01"/>
        <s v="L01-ICU-NCU-S087-01"/>
        <s v="L01-ICU-NCU-S086-01"/>
        <s v="L01-ICU-NCU-U0107-01"/>
        <s v="L01-ICU-NCU-S057-01"/>
        <s v="L01-ICU-NCU-S087-03"/>
        <s v="L01-ICU-NCU-S087-04"/>
        <s v="L01-ICU-NCU-S087-05"/>
        <s v="L01-ICU-NCU-S087-06"/>
        <s v="L01-ICU-NCU-S087-07"/>
        <s v="L01-ICU-NCU-S087-14"/>
        <s v="L01-ICU-NCU-S087-15"/>
        <s v="L01-ICU-NCU-S087-16"/>
        <s v="L01-ICU-NCU-S086-02"/>
        <s v="L01-ICU-NCU-S115-05"/>
        <s v="L01-ICU-PIC-U0078-01"/>
        <s v="L01-ICU-PIC-S059-01"/>
        <s v="L01-ICU-PIC-U0088-01"/>
        <s v="L01-ICU-PIC-S094-01"/>
        <s v="L01-ICU-PIC-U0090-01"/>
        <s v="L01-ICU-PIC-S087-03"/>
        <s v="L01-ICU-PIC-S087-05"/>
        <s v="L01-ICU-PIC-S087-06"/>
        <s v="L01-ICU-PIC-S087-07"/>
        <s v="L01-ICU-PIC-S087-08"/>
        <s v="L01-ICU-PIC-S087-09"/>
        <s v="L01-ICU-PIC-S087-10"/>
        <s v="L01-ICU-PIC-S087-11"/>
        <s v="L01-ICU-PIC-S087-12"/>
        <s v="L01-ICU-PIC-S087-13"/>
        <s v="L01-ICU-PIC-S087-15"/>
        <s v="L01-ICU-PIC-S087-16"/>
        <s v="L01-ICU-PIC-S087-17"/>
        <s v="L01-ICU-PIC-S087-18"/>
        <s v="L01-ICU-SPN-U0118-01"/>
        <s v="L01-ICU-SPN-U0119-01"/>
        <s v="L01-ICU-SPN-S115-01"/>
        <s v="L01-ICU-SPN-S054-01"/>
        <s v="L01-ICU-NCU-S087-17"/>
        <s v="L01-ICU-SPN-U1445-01"/>
        <s v="L01-ICU-CIC-U1451-01"/>
        <s v="L01-ICU-SPN-L009-01 (New Construction)"/>
        <s v="L01-ICU-SPN-L009-02 (New Construction)"/>
        <n v="3372"/>
        <e v="#N/A"/>
      </sharedItems>
    </cacheField>
    <cacheField name="Room and window" numFmtId="0">
      <sharedItems containsBlank="1" containsMixedTypes="1" containsNumber="1" containsInteger="1" minValue="0" maxValue="3372"/>
    </cacheField>
    <cacheField name="Orientation" numFmtId="0">
      <sharedItems containsBlank="1" containsMixedTypes="1" containsNumber="1" containsInteger="1" minValue="0" maxValue="2812508"/>
    </cacheField>
    <cacheField name="x" numFmtId="0">
      <sharedItems containsBlank="1" containsMixedTypes="1" containsNumber="1" minValue="-1" maxValue="1"/>
    </cacheField>
    <cacheField name="y" numFmtId="0">
      <sharedItems containsBlank="1" containsMixedTypes="1" containsNumber="1" minValue="-1" maxValue="1"/>
    </cacheField>
    <cacheField name="z" numFmtId="0">
      <sharedItems containsBlank="1" containsMixedTypes="1" containsNumber="1" containsInteger="1" minValue="0" maxValue="0"/>
    </cacheField>
    <cacheField name="angle" numFmtId="0">
      <sharedItems containsBlank="1" containsMixedTypes="1" containsNumber="1" minValue="-174.28940686250036" maxValue="180"/>
    </cacheField>
    <cacheField name="Orientation2" numFmtId="0">
      <sharedItems containsBlank="1" count="12">
        <m/>
        <s v="N"/>
        <s v="W"/>
        <s v="S"/>
        <e v="#DIV/0!"/>
        <s v="E"/>
        <s v="SE"/>
        <s v="WN"/>
        <s v="SW"/>
        <s v="NE"/>
        <e v="#REF!"/>
        <e v="#N/A"/>
      </sharedItems>
    </cacheField>
    <cacheField name="Area" numFmtId="0">
      <sharedItems containsBlank="1" containsMixedTypes="1" containsNumber="1" minValue="0" maxValue="41.8199999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55">
  <r>
    <x v="0"/>
    <m/>
    <m/>
    <m/>
    <m/>
    <m/>
    <m/>
    <x v="0"/>
    <m/>
  </r>
  <r>
    <x v="0"/>
    <m/>
    <m/>
    <m/>
    <m/>
    <m/>
    <m/>
    <x v="0"/>
    <m/>
  </r>
  <r>
    <x v="1"/>
    <s v="LG-OPD-C1W-S115-55"/>
    <n v="1566939"/>
    <m/>
    <m/>
    <m/>
    <m/>
    <x v="0"/>
    <m/>
  </r>
  <r>
    <x v="1"/>
    <s v="Family Type: 1950w x 3050h, Family: Window External Type 1 - Recessed"/>
    <s v="Vector(X = -0.212, Y = 0.977, Z = 0.000, Length = 1.000)"/>
    <n v="-0.2"/>
    <n v="1"/>
    <n v="0"/>
    <n v="101.3099324740202"/>
    <x v="1"/>
    <n v="5.9474999999999998"/>
  </r>
  <r>
    <x v="1"/>
    <s v="Family Type: 1500w x 3050h, Family: Window External Type 3 - Recessed and Angle"/>
    <s v="Vector(X = -0.977, Y = -0.212, Z = 0.000, Length = 1.000)"/>
    <n v="-1"/>
    <n v="-0.2"/>
    <n v="0"/>
    <n v="-168.69006752597977"/>
    <x v="2"/>
    <n v="4.5750000000000002"/>
  </r>
  <r>
    <x v="1"/>
    <s v="Family Type: 1500w x 3050h, Family: Window External Type 3 - Recessed and Angle"/>
    <s v="Vector(X = -0.977, Y = -0.212, Z = 0.000, Length = 1.000)"/>
    <n v="-1"/>
    <n v="-0.2"/>
    <n v="0"/>
    <n v="-168.69006752597977"/>
    <x v="2"/>
    <n v="4.5750000000000002"/>
  </r>
  <r>
    <x v="1"/>
    <s v="Family Type: 1500w x 3050h, Family: Window External Type 3 - Recessed and Angle"/>
    <s v="Vector(X = -0.977, Y = -0.212, Z = 0.000, Length = 1.000)"/>
    <n v="-1"/>
    <n v="-0.2"/>
    <n v="0"/>
    <n v="-168.69006752597977"/>
    <x v="2"/>
    <n v="4.5750000000000002"/>
  </r>
  <r>
    <x v="1"/>
    <s v="Family Type: 1500w x 3050h, Family: Window External Type 3 - Recessed and Angle"/>
    <s v="Vector(X = -0.977, Y = -0.212, Z = 0.000, Length = 1.000)"/>
    <n v="-1"/>
    <n v="-0.2"/>
    <n v="0"/>
    <n v="-168.69006752597977"/>
    <x v="2"/>
    <n v="4.5750000000000002"/>
  </r>
  <r>
    <x v="1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1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2"/>
    <s v="LG-OPD-AUD-L084-05"/>
    <n v="2075532"/>
    <n v="0"/>
    <n v="0"/>
    <n v="0"/>
    <e v="#DIV/0!"/>
    <x v="4"/>
    <e v="#N/A"/>
  </r>
  <r>
    <x v="2"/>
    <s v="Family Type: manual 1.5m2"/>
    <s v="Vector(X = -0.530, Y = 0.848, Z = 0.000, Length = 1.000)"/>
    <n v="-0.5"/>
    <n v="0.8"/>
    <n v="0"/>
    <n v="122.0053832080835"/>
    <x v="1"/>
    <n v="1.5"/>
  </r>
  <r>
    <x v="2"/>
    <s v="Family Type: 1000w x 3050h, Family: Window External Type 4 - Extruded"/>
    <s v="Vector(X = -0.530, Y = 0.848, Z = 0.000, Length = 1.000)"/>
    <n v="-0.5"/>
    <n v="0.8"/>
    <n v="0"/>
    <n v="122.0053832080835"/>
    <x v="1"/>
    <n v="3.05"/>
  </r>
  <r>
    <x v="3"/>
    <s v="LG-OPD-AUD-U0444-01"/>
    <n v="2075533"/>
    <n v="0"/>
    <n v="0"/>
    <n v="0"/>
    <e v="#DIV/0!"/>
    <x v="4"/>
    <e v="#N/A"/>
  </r>
  <r>
    <x v="3"/>
    <s v="Family Type: 1500w x 3050h, Family: Window External Type 3 - Recessed and Angle"/>
    <s v="Vector(X = -0.530, Y = 0.848, Z = 0.000, Length = 1.000)"/>
    <n v="-0.5"/>
    <n v="0.8"/>
    <n v="0"/>
    <n v="122.0053832080835"/>
    <x v="1"/>
    <n v="4.5750000000000002"/>
  </r>
  <r>
    <x v="4"/>
    <s v="LG-OPD-AUD-S115-01"/>
    <n v="2075536"/>
    <n v="0"/>
    <n v="0"/>
    <n v="0"/>
    <e v="#DIV/0!"/>
    <x v="4"/>
    <e v="#N/A"/>
  </r>
  <r>
    <x v="4"/>
    <s v="Family Type: 1500w x 3050h, Family: Window External Type 3 - Recessed and Angle"/>
    <s v="Vector(X = -0.848, Y = -0.530, Z = 0.000, Length = 1.000)"/>
    <n v="-0.8"/>
    <n v="-0.5"/>
    <n v="0"/>
    <n v="-147.99461679191651"/>
    <x v="2"/>
    <n v="4.5750000000000002"/>
  </r>
  <r>
    <x v="4"/>
    <s v="Family Type: 1500w x 3050h, Family: Window External Type 3 - Recessed and Angle"/>
    <s v="Vector(X = -0.848, Y = -0.530, Z = 0.000, Length = 1.000)"/>
    <n v="-0.8"/>
    <n v="-0.5"/>
    <n v="0"/>
    <n v="-147.99461679191651"/>
    <x v="2"/>
    <n v="4.5750000000000002"/>
  </r>
  <r>
    <x v="4"/>
    <s v="Family Type: 1500w x 3050h, Family: Window External Type 3 - Recessed and Angle"/>
    <s v="Vector(X = -0.848, Y = -0.530, Z = 0.000, Length = 1.000)"/>
    <n v="-0.8"/>
    <n v="-0.5"/>
    <n v="0"/>
    <n v="-147.99461679191651"/>
    <x v="2"/>
    <n v="4.5750000000000002"/>
  </r>
  <r>
    <x v="4"/>
    <s v="Family Type: 1500w x 3050h, Family: Window External Type 3 - Recessed and Angle"/>
    <s v="Vector(X = -0.848, Y = -0.530, Z = 0.000, Length = 1.000)"/>
    <n v="-0.8"/>
    <n v="-0.5"/>
    <n v="0"/>
    <n v="-147.99461679191651"/>
    <x v="2"/>
    <n v="4.5750000000000002"/>
  </r>
  <r>
    <x v="4"/>
    <s v="Family Type: 1500w x 3050h, Family: Window External Type 1 - Recessed"/>
    <s v="Vector(X = 0.530, Y = -0.848, Z = 0.000, Length = 1.000)"/>
    <n v="0.5"/>
    <n v="-0.8"/>
    <n v="0"/>
    <n v="-57.994616791916499"/>
    <x v="3"/>
    <n v="4.5750000000000002"/>
  </r>
  <r>
    <x v="5"/>
    <s v="none"/>
    <s v="Vector(X = 0.530, Y = -0.848, Z = 0.000, Length = 1.000)"/>
    <n v="0.5"/>
    <n v="-0.8"/>
    <n v="0"/>
    <n v="-57.994616791916499"/>
    <x v="3"/>
    <e v="#N/A"/>
  </r>
  <r>
    <x v="6"/>
    <s v="LG-OPD-AUD-L039-08"/>
    <n v="2075547"/>
    <n v="0"/>
    <n v="0"/>
    <n v="0"/>
    <e v="#DIV/0!"/>
    <x v="4"/>
    <e v="#N/A"/>
  </r>
  <r>
    <x v="6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6"/>
    <s v="Family Type: 1000w x 3050h, Family: Window External Type 4 - Extruded"/>
    <s v="Vector(X = -0.530, Y = 0.848, Z = 0.000, Length = 1.000)"/>
    <n v="-0.5"/>
    <n v="0.8"/>
    <n v="0"/>
    <n v="122.0053832080835"/>
    <x v="1"/>
    <n v="3.05"/>
  </r>
  <r>
    <x v="7"/>
    <s v="LG-OPD-AUD-S123-08"/>
    <n v="2075551"/>
    <n v="0"/>
    <n v="0"/>
    <n v="0"/>
    <e v="#DIV/0!"/>
    <x v="4"/>
    <e v="#N/A"/>
  </r>
  <r>
    <x v="7"/>
    <s v="Family Type: manual 1.5m2"/>
    <s v="Vector(X = -0.530, Y = 0.848, Z = 0.000, Length = 1.000)"/>
    <n v="-0.5"/>
    <n v="0.8"/>
    <n v="0"/>
    <n v="122.0053832080835"/>
    <x v="1"/>
    <n v="1.5"/>
  </r>
  <r>
    <x v="8"/>
    <s v="LG-EAF-CAT-S099-02"/>
    <n v="2075905"/>
    <n v="0"/>
    <n v="0"/>
    <n v="0"/>
    <e v="#DIV/0!"/>
    <x v="4"/>
    <e v="#N/A"/>
  </r>
  <r>
    <x v="8"/>
    <s v="Family Type: 975w x 3200h, Family: Panel External Type 1 - Flush"/>
    <s v="Vector(X = -0.212, Y = 0.977, Z = 0.000, Length = 1.000)"/>
    <n v="-0.2"/>
    <n v="1"/>
    <n v="0"/>
    <n v="101.3099324740202"/>
    <x v="1"/>
    <n v="0"/>
  </r>
  <r>
    <x v="8"/>
    <s v="Family Type: 975w x 3200h, Family: Panel External Type 1 - Flush"/>
    <s v="Vector(X = -0.212, Y = 0.977, Z = 0.000, Length = 1.000)"/>
    <n v="-0.2"/>
    <n v="1"/>
    <n v="0"/>
    <n v="101.3099324740202"/>
    <x v="1"/>
    <n v="0"/>
  </r>
  <r>
    <x v="8"/>
    <s v="Family Type: 975w x 3200h, Family: Panel External Type 1 - Flush"/>
    <s v="Vector(X = -0.212, Y = 0.977, Z = 0.000, Length = 1.000)"/>
    <n v="-0.2"/>
    <n v="1"/>
    <n v="0"/>
    <n v="101.3099324740202"/>
    <x v="1"/>
    <n v="0"/>
  </r>
  <r>
    <x v="9"/>
    <s v="LG-EAF-CAT-U0887-01"/>
    <n v="2075911"/>
    <n v="0"/>
    <n v="0"/>
    <n v="0"/>
    <e v="#DIV/0!"/>
    <x v="4"/>
    <e v="#N/A"/>
  </r>
  <r>
    <x v="9"/>
    <s v="Family Type: 975w x 2400h, Family: Panel External Type 1 - Flush"/>
    <s v="Vector(X = -0.212, Y = 0.977, Z = 0.000, Length = 1.000)"/>
    <n v="-0.2"/>
    <n v="1"/>
    <n v="0"/>
    <n v="101.3099324740202"/>
    <x v="1"/>
    <e v="#N/A"/>
  </r>
  <r>
    <x v="10"/>
    <s v="LG-EAF-CAT-U0888-01"/>
    <n v="2075912"/>
    <n v="0"/>
    <n v="0"/>
    <n v="0"/>
    <e v="#DIV/0!"/>
    <x v="4"/>
    <e v="#N/A"/>
  </r>
  <r>
    <x v="10"/>
    <s v="Family Type: 975w x 2400h, Family: Panel External Type 1 - Flush"/>
    <s v="Vector(X = -0.212, Y = 0.977, Z = 0.000, Length = 1.000)"/>
    <n v="-0.2"/>
    <n v="1"/>
    <n v="0"/>
    <n v="101.3099324740202"/>
    <x v="1"/>
    <e v="#N/A"/>
  </r>
  <r>
    <x v="11"/>
    <s v="LG-EAF-CAT-U0889-01"/>
    <n v="2075913"/>
    <n v="0"/>
    <n v="0"/>
    <n v="0"/>
    <e v="#DIV/0!"/>
    <x v="4"/>
    <e v="#N/A"/>
  </r>
  <r>
    <x v="11"/>
    <s v="Family Type: 975w x 2400h, Family: Panel External Type 1 - Flush"/>
    <s v="Vector(X = -0.212, Y = 0.977, Z = 0.000, Length = 1.000)"/>
    <n v="-0.2"/>
    <n v="1"/>
    <n v="0"/>
    <n v="101.3099324740202"/>
    <x v="1"/>
    <e v="#N/A"/>
  </r>
  <r>
    <x v="12"/>
    <s v="LG-EAF-CAT-U0892-01"/>
    <n v="2075916"/>
    <n v="0"/>
    <n v="0"/>
    <n v="0"/>
    <e v="#DIV/0!"/>
    <x v="4"/>
    <e v="#N/A"/>
  </r>
  <r>
    <x v="12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13"/>
    <s v="LG-EAF-CAT-S115-02"/>
    <n v="2075926"/>
    <n v="0"/>
    <n v="0"/>
    <n v="0"/>
    <e v="#DIV/0!"/>
    <x v="4"/>
    <e v="#N/A"/>
  </r>
  <r>
    <x v="13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14"/>
    <s v="LG-OPD-CC1-S027-01"/>
    <n v="2075941"/>
    <n v="0"/>
    <n v="0"/>
    <n v="0"/>
    <e v="#DIV/0!"/>
    <x v="4"/>
    <e v="#N/A"/>
  </r>
  <r>
    <x v="14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15"/>
    <s v="LG-OPD-CC1-S028-01"/>
    <n v="2075950"/>
    <n v="0"/>
    <n v="0"/>
    <n v="0"/>
    <e v="#DIV/0!"/>
    <x v="4"/>
    <e v="#N/A"/>
  </r>
  <r>
    <x v="15"/>
    <s v="Family Type: 975w x 3050h, Family: Window External Type 1 - Recessed"/>
    <s v="Vector(X = 0.323, Y = -0.946, Z = 0.000, Length = 1.000)"/>
    <n v="0.3"/>
    <n v="-0.9"/>
    <n v="0"/>
    <n v="-71.56505117707799"/>
    <x v="3"/>
    <n v="2.9737499999999999"/>
  </r>
  <r>
    <x v="5"/>
    <s v="none"/>
    <s v="Vector(X = 0.323, Y = -0.946, Z = 0.000, Length = 1.000)"/>
    <n v="0.3"/>
    <n v="-0.9"/>
    <n v="0"/>
    <n v="-71.56505117707799"/>
    <x v="3"/>
    <e v="#N/A"/>
  </r>
  <r>
    <x v="16"/>
    <s v="LG-OPD-CC1-S034-01"/>
    <n v="2075953"/>
    <n v="0"/>
    <n v="0"/>
    <n v="0"/>
    <e v="#DIV/0!"/>
    <x v="4"/>
    <e v="#N/A"/>
  </r>
  <r>
    <x v="16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17"/>
    <s v="LG-OPD-CC1-S064-01"/>
    <n v="2075964"/>
    <n v="0"/>
    <n v="0"/>
    <n v="0"/>
    <e v="#DIV/0!"/>
    <x v="4"/>
    <e v="#N/A"/>
  </r>
  <r>
    <x v="17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18"/>
    <s v="LG-OPD-CC1-L046-01"/>
    <n v="2075967"/>
    <n v="0"/>
    <n v="0"/>
    <n v="0"/>
    <e v="#DIV/0!"/>
    <x v="4"/>
    <e v="#N/A"/>
  </r>
  <r>
    <x v="18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18"/>
    <s v="Family Type: manual 1.5m2"/>
    <s v="Vector(X = 0.212, Y = -0.977, Z = 0.000, Length = 1.000)"/>
    <n v="0.2"/>
    <n v="-1"/>
    <n v="0"/>
    <n v="-78.690067525979785"/>
    <x v="3"/>
    <n v="1.5"/>
  </r>
  <r>
    <x v="19"/>
    <s v="LG-OPD-CC1-U0148-01"/>
    <n v="2075968"/>
    <n v="0"/>
    <n v="0"/>
    <n v="0"/>
    <e v="#DIV/0!"/>
    <x v="4"/>
    <e v="#N/A"/>
  </r>
  <r>
    <x v="19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19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20"/>
    <s v="LG-OPD-CC1-S108-05"/>
    <n v="2075973"/>
    <n v="0"/>
    <n v="0"/>
    <n v="0"/>
    <e v="#DIV/0!"/>
    <x v="4"/>
    <e v="#N/A"/>
  </r>
  <r>
    <x v="20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21"/>
    <s v="LG-OPD-CC1-S059-01"/>
    <n v="2075974"/>
    <n v="0"/>
    <n v="0"/>
    <n v="0"/>
    <e v="#DIV/0!"/>
    <x v="4"/>
    <e v="#N/A"/>
  </r>
  <r>
    <x v="21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22"/>
    <s v="LG-OPD-CC1-S028-18"/>
    <n v="2075991"/>
    <n v="0"/>
    <n v="0"/>
    <n v="0"/>
    <e v="#DIV/0!"/>
    <x v="4"/>
    <e v="#N/A"/>
  </r>
  <r>
    <x v="22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23"/>
    <s v="LG-OPD-CC1-S028-22"/>
    <n v="2075994"/>
    <n v="0"/>
    <n v="0"/>
    <n v="0"/>
    <e v="#DIV/0!"/>
    <x v="4"/>
    <e v="#N/A"/>
  </r>
  <r>
    <x v="23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23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24"/>
    <s v="LG-OPD-CC1-S064-11"/>
    <n v="2075997"/>
    <n v="0"/>
    <n v="0"/>
    <n v="0"/>
    <e v="#DIV/0!"/>
    <x v="4"/>
    <e v="#N/A"/>
  </r>
  <r>
    <x v="24"/>
    <s v="Family Type: 1950w x 3050h, Family: Window External Type 3 - Recessed and Angle"/>
    <s v="Vector(X = 0.323, Y = -0.946, Z = 0.000, Length = 1.000)"/>
    <n v="0.3"/>
    <n v="-0.9"/>
    <n v="0"/>
    <n v="-71.56505117707799"/>
    <x v="3"/>
    <n v="5.9474999999999998"/>
  </r>
  <r>
    <x v="5"/>
    <s v="none"/>
    <s v="Vector(X = 0.323, Y = -0.946, Z = 0.000, Length = 1.000)"/>
    <n v="0.3"/>
    <n v="-0.9"/>
    <n v="0"/>
    <n v="-71.56505117707799"/>
    <x v="3"/>
    <e v="#N/A"/>
  </r>
  <r>
    <x v="25"/>
    <s v="LG-OPD-CC1-S064-12"/>
    <n v="2075998"/>
    <n v="0"/>
    <n v="0"/>
    <n v="0"/>
    <e v="#DIV/0!"/>
    <x v="4"/>
    <e v="#N/A"/>
  </r>
  <r>
    <x v="25"/>
    <s v="Family Type: 1950w x 3050h, Family: Window External Type 3 - Recessed and Angle"/>
    <s v="Vector(X = 0.323, Y = -0.946, Z = 0.000, Length = 1.000)"/>
    <n v="0.3"/>
    <n v="-0.9"/>
    <n v="0"/>
    <n v="-71.56505117707799"/>
    <x v="3"/>
    <n v="5.9474999999999998"/>
  </r>
  <r>
    <x v="5"/>
    <s v="none"/>
    <s v="Vector(X = 0.323, Y = -0.946, Z = 0.000, Length = 1.000)"/>
    <n v="0.3"/>
    <n v="-0.9"/>
    <n v="0"/>
    <n v="-71.56505117707799"/>
    <x v="3"/>
    <e v="#N/A"/>
  </r>
  <r>
    <x v="26"/>
    <s v="LG-OPD-CC1-S053-04"/>
    <n v="2076004"/>
    <n v="0"/>
    <n v="0"/>
    <n v="0"/>
    <e v="#DIV/0!"/>
    <x v="4"/>
    <e v="#N/A"/>
  </r>
  <r>
    <x v="26"/>
    <s v="Family Type: 1950w x 3050h, Family: Window External Type 3 - Recessed and Angle"/>
    <s v="Vector(X = 0.323, Y = -0.946, Z = 0.000, Length = 1.000)"/>
    <n v="0.3"/>
    <n v="-0.9"/>
    <n v="0"/>
    <n v="-71.56505117707799"/>
    <x v="3"/>
    <n v="5.9474999999999998"/>
  </r>
  <r>
    <x v="27"/>
    <s v="LG-OPD-CC1-S053-05"/>
    <n v="2076005"/>
    <n v="0"/>
    <n v="0"/>
    <n v="0"/>
    <e v="#DIV/0!"/>
    <x v="4"/>
    <e v="#N/A"/>
  </r>
  <r>
    <x v="27"/>
    <s v="Family Type: 1500w x 3050h, Family: Window External Type 3 - Recessed and Angle"/>
    <s v="Vector(X = 0.323, Y = -0.946, Z = 0.000, Length = 1.000)"/>
    <n v="0.3"/>
    <n v="-0.9"/>
    <n v="0"/>
    <n v="-71.56505117707799"/>
    <x v="3"/>
    <n v="4.5750000000000002"/>
  </r>
  <r>
    <x v="5"/>
    <s v="none"/>
    <s v="Vector(X = 0.323, Y = -0.946, Z = 0.000, Length = 1.000)"/>
    <n v="0.3"/>
    <n v="-0.9"/>
    <n v="0"/>
    <n v="-71.56505117707799"/>
    <x v="3"/>
    <e v="#N/A"/>
  </r>
  <r>
    <x v="28"/>
    <s v="LG-OPD-CC1-S028-02"/>
    <n v="2076006"/>
    <n v="0"/>
    <n v="0"/>
    <n v="0"/>
    <e v="#DIV/0!"/>
    <x v="4"/>
    <e v="#N/A"/>
  </r>
  <r>
    <x v="28"/>
    <s v="Family Type: 975w x 3050h, Family: Window External Type 1 - Recessed"/>
    <s v="Vector(X = 0.323, Y = -0.946, Z = 0.000, Length = 1.000)"/>
    <n v="0.3"/>
    <n v="-0.9"/>
    <n v="0"/>
    <n v="-71.56505117707799"/>
    <x v="3"/>
    <n v="2.9737499999999999"/>
  </r>
  <r>
    <x v="28"/>
    <s v="Family Type: 975w x 3050h, Family: Window External Type 1 - Recessed"/>
    <s v="Vector(X = 0.323, Y = -0.946, Z = 0.000, Length = 1.000)"/>
    <n v="0.3"/>
    <n v="-0.9"/>
    <n v="0"/>
    <n v="-71.56505117707799"/>
    <x v="3"/>
    <n v="2.9737499999999999"/>
  </r>
  <r>
    <x v="29"/>
    <s v="LG-OPD-CC1-S028-03"/>
    <n v="2076007"/>
    <n v="0"/>
    <n v="0"/>
    <n v="0"/>
    <e v="#DIV/0!"/>
    <x v="4"/>
    <e v="#N/A"/>
  </r>
  <r>
    <x v="29"/>
    <s v="Family Type: 1500w x 3050h, Family: Window External Type 3 - Recessed and Angle"/>
    <s v="Vector(X = 0.323, Y = -0.946, Z = 0.000, Length = 1.000)"/>
    <n v="0.3"/>
    <n v="-0.9"/>
    <n v="0"/>
    <n v="-71.56505117707799"/>
    <x v="3"/>
    <n v="4.5750000000000002"/>
  </r>
  <r>
    <x v="30"/>
    <s v="LG-OPD-CC1-S028-04"/>
    <n v="2076008"/>
    <n v="0"/>
    <n v="0"/>
    <n v="0"/>
    <e v="#DIV/0!"/>
    <x v="4"/>
    <e v="#N/A"/>
  </r>
  <r>
    <x v="30"/>
    <s v="Family Type: 1500w x 3050h, Family: Window Internal Type 1 - Flush"/>
    <s v="Vector(X = -0.489, Y = 0.872, Z = 0.000, Length = 1.000)"/>
    <n v="-0.5"/>
    <n v="0.9"/>
    <n v="0"/>
    <n v="119.05460409907714"/>
    <x v="1"/>
    <n v="4.5749999999999993"/>
  </r>
  <r>
    <x v="31"/>
    <s v="LG-OPD-CC1-S028-07"/>
    <n v="2076011"/>
    <n v="0"/>
    <n v="0"/>
    <n v="0"/>
    <e v="#DIV/0!"/>
    <x v="4"/>
    <e v="#N/A"/>
  </r>
  <r>
    <x v="31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32"/>
    <s v="LG-OPD-CC1-S028-09"/>
    <n v="2076013"/>
    <n v="0"/>
    <n v="0"/>
    <n v="0"/>
    <e v="#DIV/0!"/>
    <x v="4"/>
    <e v="#N/A"/>
  </r>
  <r>
    <x v="32"/>
    <s v="Family Type: 975w x 3050h, Family: Window External Type 1 - Recessed"/>
    <s v="Vector(X = 0.323, Y = -0.946, Z = 0.000, Length = 1.000)"/>
    <n v="0.3"/>
    <n v="-0.9"/>
    <n v="0"/>
    <n v="-71.56505117707799"/>
    <x v="3"/>
    <n v="2.9737499999999999"/>
  </r>
  <r>
    <x v="33"/>
    <s v="LG-OPD-CC1-S028-10"/>
    <n v="2076014"/>
    <n v="0"/>
    <n v="0"/>
    <n v="0"/>
    <e v="#DIV/0!"/>
    <x v="4"/>
    <e v="#N/A"/>
  </r>
  <r>
    <x v="33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5"/>
    <s v="none"/>
    <s v="Vector(X = 0.212, Y = -0.977, Z = 0.000, Length = 1.000)"/>
    <n v="0.2"/>
    <n v="-1"/>
    <n v="0"/>
    <n v="-78.690067525979785"/>
    <x v="3"/>
    <e v="#N/A"/>
  </r>
  <r>
    <x v="34"/>
    <s v="LG-OPD-CC1-S028-11"/>
    <n v="2076015"/>
    <n v="0"/>
    <n v="0"/>
    <n v="0"/>
    <e v="#DIV/0!"/>
    <x v="4"/>
    <e v="#N/A"/>
  </r>
  <r>
    <x v="34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35"/>
    <s v="LG-OPD-CC1-S028-12"/>
    <n v="2076016"/>
    <n v="0"/>
    <n v="0"/>
    <n v="0"/>
    <e v="#DIV/0!"/>
    <x v="4"/>
    <e v="#N/A"/>
  </r>
  <r>
    <x v="35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36"/>
    <s v="LG-OPD-CC1-S028-13"/>
    <n v="2076017"/>
    <n v="0"/>
    <n v="0"/>
    <n v="0"/>
    <e v="#DIV/0!"/>
    <x v="4"/>
    <e v="#N/A"/>
  </r>
  <r>
    <x v="36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37"/>
    <s v="LG-OPD-CC1-S028-14"/>
    <n v="2076018"/>
    <n v="0"/>
    <n v="0"/>
    <n v="0"/>
    <e v="#DIV/0!"/>
    <x v="4"/>
    <e v="#N/A"/>
  </r>
  <r>
    <x v="37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38"/>
    <s v="LG-OPD-CC1-S028-15"/>
    <n v="2076019"/>
    <n v="0"/>
    <n v="0"/>
    <n v="0"/>
    <e v="#DIV/0!"/>
    <x v="4"/>
    <e v="#N/A"/>
  </r>
  <r>
    <x v="38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39"/>
    <s v="LG-OPD-CC1-S028-16"/>
    <n v="2076020"/>
    <n v="0"/>
    <n v="0"/>
    <n v="0"/>
    <e v="#DIV/0!"/>
    <x v="4"/>
    <e v="#N/A"/>
  </r>
  <r>
    <x v="39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39"/>
    <s v="Family Type: manual 1.5m2"/>
    <s v="Vector(X = 0.212, Y = -0.977, Z = 0.000, Length = 1.000)"/>
    <n v="0.2"/>
    <n v="-1"/>
    <n v="0"/>
    <n v="-78.690067525979785"/>
    <x v="3"/>
    <n v="1.5"/>
  </r>
  <r>
    <x v="40"/>
    <s v="LG-OPD-CC1-S028-19"/>
    <n v="2076023"/>
    <n v="0"/>
    <n v="0"/>
    <n v="0"/>
    <e v="#DIV/0!"/>
    <x v="4"/>
    <e v="#N/A"/>
  </r>
  <r>
    <x v="40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40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41"/>
    <s v="LG-OPD-CC1-S028-20"/>
    <n v="2076024"/>
    <n v="0"/>
    <n v="0"/>
    <n v="0"/>
    <e v="#DIV/0!"/>
    <x v="4"/>
    <e v="#N/A"/>
  </r>
  <r>
    <x v="41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42"/>
    <s v="LG-OPD-CC1-S028-21"/>
    <n v="2076025"/>
    <n v="0"/>
    <n v="0"/>
    <n v="0"/>
    <e v="#DIV/0!"/>
    <x v="4"/>
    <e v="#N/A"/>
  </r>
  <r>
    <x v="42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43"/>
    <s v="LG-OPD-CC1-S028-23"/>
    <n v="2076028"/>
    <n v="0"/>
    <n v="0"/>
    <n v="0"/>
    <e v="#DIV/0!"/>
    <x v="4"/>
    <e v="#N/A"/>
  </r>
  <r>
    <x v="43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44"/>
    <s v="LG-OPD-CC1-S028-24"/>
    <n v="2076029"/>
    <n v="0"/>
    <n v="0"/>
    <n v="0"/>
    <e v="#DIV/0!"/>
    <x v="4"/>
    <e v="#N/A"/>
  </r>
  <r>
    <x v="44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45"/>
    <s v="LG-OPD-CC1-S108-02"/>
    <n v="2076043"/>
    <n v="0"/>
    <n v="0"/>
    <n v="0"/>
    <e v="#DIV/0!"/>
    <x v="4"/>
    <e v="#N/A"/>
  </r>
  <r>
    <x v="45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46"/>
    <s v="LG-OPD-CC1-L046-02"/>
    <n v="2076046"/>
    <n v="0"/>
    <n v="0"/>
    <n v="0"/>
    <e v="#DIV/0!"/>
    <x v="4"/>
    <e v="#N/A"/>
  </r>
  <r>
    <x v="46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47"/>
    <s v="LG-OPD-CC2-S035-01"/>
    <n v="2076067"/>
    <n v="0"/>
    <n v="0"/>
    <n v="0"/>
    <e v="#DIV/0!"/>
    <x v="4"/>
    <e v="#N/A"/>
  </r>
  <r>
    <x v="47"/>
    <s v="Family Type: 975w x 3050h, Family: Window Internal Type 2a - Recessed"/>
    <s v="Vector(X = 0.429, Y = -0.903, Z = 0.000, Length = 1.000)"/>
    <n v="0.4"/>
    <n v="-0.9"/>
    <n v="0"/>
    <n v="-66.037511025421821"/>
    <x v="3"/>
    <n v="2.9737499999999999"/>
  </r>
  <r>
    <x v="48"/>
    <s v="LG-OPD-CC2-S034-01"/>
    <n v="2076068"/>
    <n v="0"/>
    <n v="0"/>
    <n v="0"/>
    <e v="#DIV/0!"/>
    <x v="4"/>
    <e v="#N/A"/>
  </r>
  <r>
    <x v="48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49"/>
    <s v="LG-OPD-CC2-S108-01"/>
    <n v="2076069"/>
    <n v="0"/>
    <n v="0"/>
    <n v="0"/>
    <e v="#DIV/0!"/>
    <x v="4"/>
    <e v="#N/A"/>
  </r>
  <r>
    <x v="49"/>
    <s v="Family Type: 1000w x 3050h, Family: Window External Type 2 - Recessed and Fin"/>
    <s v="Vector(X = -0.429, Y = 0.903, Z = 0.000, Length = 1.000)"/>
    <n v="-0.4"/>
    <n v="0.9"/>
    <n v="0"/>
    <n v="113.96248897457818"/>
    <x v="1"/>
    <n v="3.05"/>
  </r>
  <r>
    <x v="50"/>
    <s v="LG-OPD-CC2-S060-01"/>
    <n v="2076070"/>
    <n v="0"/>
    <n v="0"/>
    <n v="0"/>
    <e v="#DIV/0!"/>
    <x v="4"/>
    <e v="#N/A"/>
  </r>
  <r>
    <x v="50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50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51"/>
    <s v="LG-OPD-CC2-S040-01"/>
    <n v="2076074"/>
    <n v="0"/>
    <n v="0"/>
    <n v="0"/>
    <e v="#DIV/0!"/>
    <x v="4"/>
    <e v="#N/A"/>
  </r>
  <r>
    <x v="51"/>
    <s v="Family Type: 975w x 3050h, Family: Window External Type 1 - Recessed"/>
    <s v="Vector(X = 0.429, Y = -0.903, Z = 0.000, Length = 1.000)"/>
    <n v="0.4"/>
    <n v="-0.9"/>
    <n v="0"/>
    <n v="-66.037511025421821"/>
    <x v="3"/>
    <n v="2.9737499999999999"/>
  </r>
  <r>
    <x v="5"/>
    <s v="none"/>
    <s v="Vector(X = 0.429, Y = -0.903, Z = 0.000, Length = 1.000)"/>
    <n v="0.4"/>
    <n v="-0.9"/>
    <n v="0"/>
    <n v="-66.037511025421821"/>
    <x v="3"/>
    <e v="#N/A"/>
  </r>
  <r>
    <x v="52"/>
    <s v="LG-OPD-CC2-L063-01"/>
    <n v="2076086"/>
    <n v="0"/>
    <n v="0"/>
    <n v="0"/>
    <e v="#DIV/0!"/>
    <x v="4"/>
    <e v="#N/A"/>
  </r>
  <r>
    <x v="52"/>
    <s v="Family Type: 1500w x 3050h, Family: Window External Type 3 - Recessed and Angle"/>
    <s v="Vector(X = -0.323, Y = 0.946, Z = 0.000, Length = 1.000)"/>
    <n v="-0.3"/>
    <n v="0.9"/>
    <n v="0"/>
    <n v="108.43494882292201"/>
    <x v="1"/>
    <n v="4.5750000000000002"/>
  </r>
  <r>
    <x v="53"/>
    <s v="LG-OPD-CC2-U0174-01"/>
    <n v="2076087"/>
    <n v="0"/>
    <n v="0"/>
    <n v="0"/>
    <e v="#DIV/0!"/>
    <x v="4"/>
    <e v="#N/A"/>
  </r>
  <r>
    <x v="53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54"/>
    <s v="LG-OPD-CC2-L067-01"/>
    <n v="2076094"/>
    <n v="0"/>
    <n v="0"/>
    <n v="0"/>
    <e v="#DIV/0!"/>
    <x v="4"/>
    <e v="#N/A"/>
  </r>
  <r>
    <x v="54"/>
    <s v="Family Type: 975w x 3050h, Family: Window External Type 1 - Recessed"/>
    <s v="Vector(X = 0.429, Y = -0.903, Z = 0.000, Length = 1.000)"/>
    <n v="0.4"/>
    <n v="-0.9"/>
    <n v="0"/>
    <n v="-66.037511025421821"/>
    <x v="3"/>
    <n v="2.9737499999999999"/>
  </r>
  <r>
    <x v="55"/>
    <s v="LG-OPD-CC2-L067-02"/>
    <n v="2076095"/>
    <n v="0"/>
    <n v="0"/>
    <n v="0"/>
    <e v="#DIV/0!"/>
    <x v="4"/>
    <e v="#N/A"/>
  </r>
  <r>
    <x v="55"/>
    <s v="Family Type: 975w x 3050h, Family: Window Internal Type 2a - Recessed"/>
    <s v="Vector(X = 0.429, Y = -0.903, Z = 0.000, Length = 1.000)"/>
    <n v="0.4"/>
    <n v="-0.9"/>
    <n v="0"/>
    <n v="-66.037511025421821"/>
    <x v="3"/>
    <n v="2.9737499999999999"/>
  </r>
  <r>
    <x v="56"/>
    <s v="LG-OPD-CC2-S029-02"/>
    <n v="2076097"/>
    <n v="0"/>
    <n v="0"/>
    <n v="0"/>
    <e v="#DIV/0!"/>
    <x v="4"/>
    <e v="#N/A"/>
  </r>
  <r>
    <x v="56"/>
    <s v="Family Type: 975w x 3050h, Family: Window External Type 1 - Recessed"/>
    <s v="Vector(X = 0.530, Y = -0.848, Z = 0.000, Length = 1.000)"/>
    <n v="0.5"/>
    <n v="-0.8"/>
    <n v="0"/>
    <n v="-57.994616791916499"/>
    <x v="3"/>
    <n v="2.9737499999999999"/>
  </r>
  <r>
    <x v="57"/>
    <s v="LG-OPD-CC2-S029-03"/>
    <n v="2076098"/>
    <n v="0"/>
    <n v="0"/>
    <n v="0"/>
    <e v="#DIV/0!"/>
    <x v="4"/>
    <e v="#N/A"/>
  </r>
  <r>
    <x v="57"/>
    <s v="Family Type: 1500w x 3050h, Family: Window External Type 3 - Recessed and Angle"/>
    <s v="Vector(X = 0.530, Y = -0.848, Z = 0.000, Length = 1.000)"/>
    <n v="0.5"/>
    <n v="-0.8"/>
    <n v="0"/>
    <n v="-57.994616791916499"/>
    <x v="3"/>
    <n v="4.5750000000000002"/>
  </r>
  <r>
    <x v="58"/>
    <s v="LG-OPD-CC2-S029-04"/>
    <n v="2076099"/>
    <n v="0"/>
    <n v="0"/>
    <n v="0"/>
    <e v="#DIV/0!"/>
    <x v="4"/>
    <e v="#N/A"/>
  </r>
  <r>
    <x v="58"/>
    <s v="Family Type: 975w x 3050h, Family: Window External Type 1 - Recessed"/>
    <s v="Vector(X = 0.530, Y = -0.848, Z = 0.000, Length = 1.000)"/>
    <n v="0.5"/>
    <n v="-0.8"/>
    <n v="0"/>
    <n v="-57.994616791916499"/>
    <x v="3"/>
    <n v="2.9737499999999999"/>
  </r>
  <r>
    <x v="58"/>
    <s v="Family Type: 975w x 3050h, Family: Window Internal Type 2a - Recessed"/>
    <s v="Vector(X = 0.530, Y = -0.848, Z = 0.000, Length = 1.000)"/>
    <n v="0.5"/>
    <n v="-0.8"/>
    <n v="0"/>
    <n v="-57.994616791916499"/>
    <x v="3"/>
    <n v="2.9737499999999999"/>
  </r>
  <r>
    <x v="59"/>
    <s v="LG-OPD-CC2-S029-05"/>
    <n v="2076100"/>
    <n v="0"/>
    <n v="0"/>
    <n v="0"/>
    <e v="#DIV/0!"/>
    <x v="4"/>
    <e v="#N/A"/>
  </r>
  <r>
    <x v="59"/>
    <s v="Family Type: 1950w x 3050h, Family: Window External Type 3 - Recessed and Angle"/>
    <s v="Vector(X = 0.530, Y = -0.848, Z = 0.000, Length = 1.000)"/>
    <n v="0.5"/>
    <n v="-0.8"/>
    <n v="0"/>
    <n v="-57.994616791916499"/>
    <x v="3"/>
    <n v="5.9474999999999998"/>
  </r>
  <r>
    <x v="60"/>
    <s v="LG-OPD-CC2-S029-07"/>
    <n v="2076102"/>
    <n v="0"/>
    <n v="0"/>
    <n v="0"/>
    <e v="#DIV/0!"/>
    <x v="4"/>
    <e v="#N/A"/>
  </r>
  <r>
    <x v="60"/>
    <s v="Family Type: 975w x 3050h, Family: Window External Type 1 - Recessed"/>
    <s v="Vector(X = 0.530, Y = -0.848, Z = 0.000, Length = 1.000)"/>
    <n v="0.5"/>
    <n v="-0.8"/>
    <n v="0"/>
    <n v="-57.994616791916499"/>
    <x v="3"/>
    <n v="2.9737499999999999"/>
  </r>
  <r>
    <x v="61"/>
    <s v="LG-OPD-CC2-S029-10"/>
    <n v="2076108"/>
    <n v="0"/>
    <n v="0"/>
    <n v="0"/>
    <e v="#DIV/0!"/>
    <x v="4"/>
    <e v="#N/A"/>
  </r>
  <r>
    <x v="61"/>
    <s v="Family Type: 1500w x 3050h, Family: Window Internal Type 2b - Recessed and Angle"/>
    <s v="Vector(X = 0.429, Y = -0.903, Z = 0.000, Length = 1.000)"/>
    <n v="0.4"/>
    <n v="-0.9"/>
    <n v="0"/>
    <n v="-66.037511025421821"/>
    <x v="3"/>
    <n v="4.5749999999999993"/>
  </r>
  <r>
    <x v="62"/>
    <s v="LG-OPD-CC2-L063-02"/>
    <n v="2076113"/>
    <n v="0"/>
    <n v="0"/>
    <n v="0"/>
    <e v="#DIV/0!"/>
    <x v="4"/>
    <e v="#N/A"/>
  </r>
  <r>
    <x v="62"/>
    <s v="Family Type: 1500w x 3050h, Family: Window External Type 3 - Recessed and Angle"/>
    <s v="Vector(X = -0.323, Y = 0.946, Z = 0.000, Length = 1.000)"/>
    <n v="-0.3"/>
    <n v="0.9"/>
    <n v="0"/>
    <n v="108.43494882292201"/>
    <x v="1"/>
    <n v="4.5750000000000002"/>
  </r>
  <r>
    <x v="63"/>
    <s v="LG-OPD-CC2-L063-03"/>
    <n v="2076114"/>
    <n v="0"/>
    <n v="0"/>
    <n v="0"/>
    <e v="#DIV/0!"/>
    <x v="4"/>
    <e v="#N/A"/>
  </r>
  <r>
    <x v="63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64"/>
    <s v="LG-OPD-CC2-L063-04"/>
    <n v="2076115"/>
    <n v="0"/>
    <n v="0"/>
    <n v="0"/>
    <e v="#DIV/0!"/>
    <x v="4"/>
    <e v="#N/A"/>
  </r>
  <r>
    <x v="64"/>
    <s v="Family Type: 1950w x 3050h, Family: Window External Type 3 - Recessed and Angle"/>
    <s v="Vector(X = -0.323, Y = 0.946, Z = 0.000, Length = 1.000)"/>
    <n v="-0.3"/>
    <n v="0.9"/>
    <n v="0"/>
    <n v="108.43494882292201"/>
    <x v="1"/>
    <n v="5.9474999999999998"/>
  </r>
  <r>
    <x v="65"/>
    <s v="LG-OPD-CC2-L062-02"/>
    <n v="2076116"/>
    <n v="0"/>
    <n v="0"/>
    <n v="0"/>
    <e v="#DIV/0!"/>
    <x v="4"/>
    <e v="#N/A"/>
  </r>
  <r>
    <x v="65"/>
    <s v="Family Type: 975w x 3050h, Family: Window Internal Type 2a - Recessed"/>
    <s v="Vector(X = -0.323, Y = 0.946, Z = 0.000, Length = 1.000)"/>
    <n v="-0.3"/>
    <n v="0.9"/>
    <n v="0"/>
    <n v="108.43494882292201"/>
    <x v="1"/>
    <n v="2.9737499999999999"/>
  </r>
  <r>
    <x v="65"/>
    <s v="Family Type: 975w x 3050h, Family: Window Internal Type 2a - Recessed"/>
    <s v="Vector(X = -0.323, Y = 0.946, Z = 0.000, Length = 1.000)"/>
    <n v="-0.3"/>
    <n v="0.9"/>
    <n v="0"/>
    <n v="108.43494882292201"/>
    <x v="1"/>
    <n v="2.9737499999999999"/>
  </r>
  <r>
    <x v="66"/>
    <s v="LG-OPD-CC2-S108-02"/>
    <n v="2076126"/>
    <n v="0"/>
    <n v="0"/>
    <n v="0"/>
    <e v="#DIV/0!"/>
    <x v="4"/>
    <e v="#N/A"/>
  </r>
  <r>
    <x v="66"/>
    <s v="Family Type: 1500w x 3050h, Family: Window External Type 3 - Recessed and Angle"/>
    <s v="Vector(X = -0.429, Y = 0.903, Z = 0.000, Length = 1.000)"/>
    <n v="-0.4"/>
    <n v="0.9"/>
    <n v="0"/>
    <n v="113.96248897457818"/>
    <x v="1"/>
    <n v="4.5750000000000002"/>
  </r>
  <r>
    <x v="67"/>
    <s v="LG-OPD-CC2-S040-02"/>
    <n v="2076127"/>
    <n v="0"/>
    <n v="0"/>
    <n v="0"/>
    <e v="#DIV/0!"/>
    <x v="4"/>
    <e v="#N/A"/>
  </r>
  <r>
    <x v="67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68"/>
    <s v="LG-CST-CDU-S020-01"/>
    <n v="2076138"/>
    <n v="0"/>
    <n v="0"/>
    <n v="0"/>
    <e v="#DIV/0!"/>
    <x v="4"/>
    <e v="#N/A"/>
  </r>
  <r>
    <x v="68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8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9"/>
    <s v="LG-CST-CDU-U0666-01"/>
    <n v="2076145"/>
    <n v="0"/>
    <n v="0"/>
    <n v="0"/>
    <e v="#DIV/0!"/>
    <x v="4"/>
    <e v="#N/A"/>
  </r>
  <r>
    <x v="69"/>
    <s v="Family Type: 975w x 2300h, Family: Window External Type 1 - Recessed"/>
    <s v="Vector(X = 0.959, Y = 0.282, Z = 0.000, Length = 1.000)"/>
    <n v="1"/>
    <n v="0.3"/>
    <n v="0"/>
    <n v="16.699244233993621"/>
    <x v="5"/>
    <n v="2.2425000000000002"/>
  </r>
  <r>
    <x v="70"/>
    <s v="LG-CST-CDU-U0670-01"/>
    <n v="2076149"/>
    <n v="0"/>
    <n v="0"/>
    <n v="0"/>
    <e v="#DIV/0!"/>
    <x v="4"/>
    <e v="#N/A"/>
  </r>
  <r>
    <x v="70"/>
    <s v="Family Type: 1950w x 2300h, Family: Window External Type 1 - Recessed"/>
    <s v="Vector(X = 0.873, Y = 0.489, Z = 0.000, Length = 1.000)"/>
    <n v="0.9"/>
    <n v="0.5"/>
    <n v="0"/>
    <n v="29.054604099077146"/>
    <x v="5"/>
    <n v="4.4850000000000003"/>
  </r>
  <r>
    <x v="70"/>
    <s v="Family Type: 975w x 2300h, Family: Window External Type 1 - Recessed"/>
    <s v="Vector(X = 0.873, Y = 0.489, Z = 0.000, Length = 1.000)"/>
    <n v="0.9"/>
    <n v="0.5"/>
    <n v="0"/>
    <n v="29.054604099077146"/>
    <x v="5"/>
    <n v="2.2425000000000002"/>
  </r>
  <r>
    <x v="70"/>
    <s v="Family Type: 975w x 2300h, Family: Window External Type 1 - Recessed"/>
    <s v="Vector(X = 0.873, Y = 0.489, Z = 0.000, Length = 1.000)"/>
    <n v="0.9"/>
    <n v="0.5"/>
    <n v="0"/>
    <n v="29.054604099077146"/>
    <x v="5"/>
    <n v="2.2425000000000002"/>
  </r>
  <r>
    <x v="71"/>
    <s v="LG-CST-CEL-S143-01"/>
    <n v="2076187"/>
    <n v="0"/>
    <n v="0"/>
    <n v="0"/>
    <e v="#DIV/0!"/>
    <x v="4"/>
    <e v="#N/A"/>
  </r>
  <r>
    <x v="71"/>
    <s v="Family Type: 1950w x 2300h, Family: Window External Type 1 - Recessed"/>
    <s v="Vector(X = 0.873, Y = 0.489, Z = 0.000, Length = 1.000)"/>
    <n v="0.9"/>
    <n v="0.5"/>
    <n v="0"/>
    <n v="29.054604099077146"/>
    <x v="5"/>
    <n v="4.4850000000000003"/>
  </r>
  <r>
    <x v="72"/>
    <s v="LG-CST-CEL-S115-01"/>
    <n v="2076188"/>
    <n v="0"/>
    <n v="0"/>
    <n v="0"/>
    <e v="#DIV/0!"/>
    <x v="4"/>
    <e v="#N/A"/>
  </r>
  <r>
    <x v="72"/>
    <s v="Family Type: 1950w x 2300h, Family: Window External Type 1 - Recessed"/>
    <s v="Vector(X = 0.873, Y = 0.489, Z = 0.000, Length = 1.000)"/>
    <n v="0.9"/>
    <n v="0.5"/>
    <n v="0"/>
    <n v="29.054604099077146"/>
    <x v="5"/>
    <n v="4.4850000000000003"/>
  </r>
  <r>
    <x v="73"/>
    <s v="LG-CST-CEL-U0642-01"/>
    <n v="2076190"/>
    <n v="0"/>
    <n v="0"/>
    <n v="0"/>
    <e v="#DIV/0!"/>
    <x v="4"/>
    <e v="#N/A"/>
  </r>
  <r>
    <x v="73"/>
    <s v="Family Type: 975w x 2300h, Family: Window External Type 1 - Recessed"/>
    <s v="Vector(X = 0.873, Y = 0.489, Z = 0.000, Length = 1.000)"/>
    <n v="0.9"/>
    <n v="0.5"/>
    <n v="0"/>
    <n v="29.054604099077146"/>
    <x v="5"/>
    <n v="2.2425000000000002"/>
  </r>
  <r>
    <x v="73"/>
    <s v="Family Type: 1950w x 2300h, Family: Window External Type 1 - Recessed"/>
    <s v="Vector(X = 0.873, Y = 0.489, Z = 0.000, Length = 1.000)"/>
    <n v="0.9"/>
    <n v="0.5"/>
    <n v="0"/>
    <n v="29.054604099077146"/>
    <x v="5"/>
    <n v="4.4850000000000003"/>
  </r>
  <r>
    <x v="73"/>
    <s v="Family Type: 975w x 2300h, Family: Window External Type 1 - Recessed"/>
    <s v="Vector(X = 0.873, Y = 0.489, Z = 0.000, Length = 1.000)"/>
    <n v="0.9"/>
    <n v="0.5"/>
    <n v="0"/>
    <n v="29.054604099077146"/>
    <x v="5"/>
    <n v="2.2425000000000002"/>
  </r>
  <r>
    <x v="74"/>
    <s v="LG-CST-CEL-U0643-01"/>
    <n v="2076191"/>
    <n v="0"/>
    <n v="0"/>
    <n v="0"/>
    <e v="#DIV/0!"/>
    <x v="4"/>
    <e v="#N/A"/>
  </r>
  <r>
    <x v="74"/>
    <s v="Family Type: 1950w x 2300h, Family: Window External Type 1 - Recessed"/>
    <s v="Vector(X = 0.873, Y = 0.489, Z = 0.000, Length = 1.000)"/>
    <n v="0.9"/>
    <n v="0.5"/>
    <n v="0"/>
    <n v="29.054604099077146"/>
    <x v="5"/>
    <n v="4.4850000000000003"/>
  </r>
  <r>
    <x v="75"/>
    <s v="LG-CST-CEL-U0644-01"/>
    <n v="2076192"/>
    <n v="0"/>
    <n v="0"/>
    <n v="0"/>
    <e v="#DIV/0!"/>
    <x v="4"/>
    <e v="#N/A"/>
  </r>
  <r>
    <x v="75"/>
    <s v="Family Type: 1950w x 2300h, Family: Window External Type 1 - Recessed"/>
    <s v="Vector(X = 0.873, Y = 0.489, Z = 0.000, Length = 1.000)"/>
    <n v="0.9"/>
    <n v="0.5"/>
    <n v="0"/>
    <n v="29.054604099077146"/>
    <x v="5"/>
    <n v="4.4850000000000003"/>
  </r>
  <r>
    <x v="75"/>
    <s v="Family Type: 975w x 2300h, Family: Window External Type 1 - Recessed"/>
    <s v="Vector(X = 0.873, Y = 0.489, Z = 0.000, Length = 1.000)"/>
    <n v="0.9"/>
    <n v="0.5"/>
    <n v="0"/>
    <n v="29.054604099077146"/>
    <x v="5"/>
    <n v="2.2425000000000002"/>
  </r>
  <r>
    <x v="76"/>
    <s v="LG-CST-CEL-U0646-01"/>
    <n v="2076194"/>
    <n v="0"/>
    <n v="0"/>
    <n v="0"/>
    <e v="#DIV/0!"/>
    <x v="4"/>
    <e v="#N/A"/>
  </r>
  <r>
    <x v="76"/>
    <s v="Family Type: 1950w x 2300h, Family: Window External Type 1 - Recessed"/>
    <s v="Vector(X = 0.873, Y = 0.489, Z = 0.000, Length = 1.000)"/>
    <n v="0.9"/>
    <n v="0.5"/>
    <n v="0"/>
    <n v="29.054604099077146"/>
    <x v="5"/>
    <n v="4.4850000000000003"/>
  </r>
  <r>
    <x v="77"/>
    <s v="LG-EAF-FMA-S115-01"/>
    <n v="2076213"/>
    <n v="0"/>
    <n v="0"/>
    <n v="0"/>
    <e v="#DIV/0!"/>
    <x v="4"/>
    <e v="#N/A"/>
  </r>
  <r>
    <x v="77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78"/>
    <s v="LG-EAF-FMA-U0913-01"/>
    <n v="2076216"/>
    <n v="0"/>
    <n v="0"/>
    <n v="0"/>
    <e v="#DIV/0!"/>
    <x v="4"/>
    <e v="#N/A"/>
  </r>
  <r>
    <x v="78"/>
    <s v="Family Type: 1560w x 2300h, Family: Window External Type 3 - Recessed and Angle"/>
    <s v="Vector(X = 0.977, Y = 0.212, Z = 0.000, Length = 1.000)"/>
    <n v="1"/>
    <n v="0.2"/>
    <n v="0"/>
    <n v="11.309932474020215"/>
    <x v="5"/>
    <n v="3.5880000000000001"/>
  </r>
  <r>
    <x v="79"/>
    <s v="LG-EAF-FMA-S115-04"/>
    <n v="2076217"/>
    <n v="0"/>
    <n v="0"/>
    <n v="0"/>
    <e v="#DIV/0!"/>
    <x v="4"/>
    <e v="#N/A"/>
  </r>
  <r>
    <x v="79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80"/>
    <s v="LG-EAF-FMA-S115-06"/>
    <n v="2076219"/>
    <n v="0"/>
    <n v="0"/>
    <n v="0"/>
    <e v="#DIV/0!"/>
    <x v="4"/>
    <e v="#N/A"/>
  </r>
  <r>
    <x v="80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81"/>
    <s v="LG-EAF-FMA-S115-09"/>
    <n v="2076221"/>
    <n v="0"/>
    <n v="0"/>
    <n v="0"/>
    <e v="#DIV/0!"/>
    <x v="4"/>
    <e v="#N/A"/>
  </r>
  <r>
    <x v="81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82"/>
    <s v="LG-EAF-FMA-U0918-01"/>
    <n v="2076223"/>
    <n v="0"/>
    <n v="0"/>
    <n v="0"/>
    <e v="#DIV/0!"/>
    <x v="4"/>
    <e v="#N/A"/>
  </r>
  <r>
    <x v="82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83"/>
    <s v="LG-EAF-FMA-S115-11"/>
    <n v="2076248"/>
    <n v="0"/>
    <n v="0"/>
    <n v="0"/>
    <e v="#DIV/0!"/>
    <x v="4"/>
    <e v="#N/A"/>
  </r>
  <r>
    <x v="83"/>
    <s v="Family Type: 1560w x 2300h, Family: Window External Type 3 - Recessed and Angle"/>
    <s v="Vector(X = 0.977, Y = 0.212, Z = 0.000, Length = 1.000)"/>
    <n v="1"/>
    <n v="0.2"/>
    <n v="0"/>
    <n v="11.309932474020215"/>
    <x v="5"/>
    <n v="3.5880000000000001"/>
  </r>
  <r>
    <x v="83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84"/>
    <s v="LG-EAF-MOR-U0865-01"/>
    <n v="2076487"/>
    <n v="0"/>
    <n v="0"/>
    <n v="0"/>
    <e v="#DIV/0!"/>
    <x v="4"/>
    <e v="#N/A"/>
  </r>
  <r>
    <x v="84"/>
    <s v="Family Type: 1500w x 3050h, Family: Window Internal Type 1 - Flush"/>
    <s v="Vector(X = 0.212, Y = -0.977, Z = 0.000, Length = 1.000)"/>
    <n v="0.2"/>
    <n v="-1"/>
    <n v="0"/>
    <n v="-78.690067525979785"/>
    <x v="3"/>
    <n v="4.5749999999999993"/>
  </r>
  <r>
    <x v="85"/>
    <s v="LG-OPD-REC-U0142-01"/>
    <n v="2076528"/>
    <n v="0"/>
    <n v="0"/>
    <n v="0"/>
    <e v="#DIV/0!"/>
    <x v="4"/>
    <e v="#N/A"/>
  </r>
  <r>
    <x v="85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85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86"/>
    <s v="LG-OPD-RED-U0428-01"/>
    <n v="2076536"/>
    <n v="0"/>
    <n v="0"/>
    <n v="0"/>
    <e v="#DIV/0!"/>
    <x v="4"/>
    <e v="#N/A"/>
  </r>
  <r>
    <x v="86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86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87"/>
    <s v="LG-OPD-RED-L068-01"/>
    <n v="2076537"/>
    <n v="0"/>
    <n v="0"/>
    <n v="0"/>
    <e v="#DIV/0!"/>
    <x v="4"/>
    <e v="#N/A"/>
  </r>
  <r>
    <x v="87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88"/>
    <s v="LG-OPD-RED-U0430-01"/>
    <n v="2076538"/>
    <n v="0"/>
    <n v="0"/>
    <n v="0"/>
    <e v="#DIV/0!"/>
    <x v="4"/>
    <e v="#N/A"/>
  </r>
  <r>
    <x v="88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89"/>
    <s v="LG-OPD-RED-L068-02"/>
    <n v="2076548"/>
    <n v="0"/>
    <n v="0"/>
    <n v="0"/>
    <e v="#DIV/0!"/>
    <x v="4"/>
    <e v="#N/A"/>
  </r>
  <r>
    <x v="89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90"/>
    <s v="LG-EAF-SFK-U0904-01"/>
    <n v="2076552"/>
    <n v="0"/>
    <n v="0"/>
    <n v="0"/>
    <e v="#DIV/0!"/>
    <x v="4"/>
    <e v="#N/A"/>
  </r>
  <r>
    <x v="90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90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91"/>
    <s v="LG-EAF-SFK-U0905-01"/>
    <n v="2076553"/>
    <n v="0"/>
    <n v="0"/>
    <n v="0"/>
    <e v="#DIV/0!"/>
    <x v="4"/>
    <e v="#N/A"/>
  </r>
  <r>
    <x v="91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91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92"/>
    <s v="LG-EAF-SFK-S139-01"/>
    <n v="2076554"/>
    <n v="0"/>
    <n v="0"/>
    <n v="0"/>
    <e v="#DIV/0!"/>
    <x v="4"/>
    <e v="#N/A"/>
  </r>
  <r>
    <x v="92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93"/>
    <s v="LG-EAF-SFK-S062-01"/>
    <n v="2076558"/>
    <n v="0"/>
    <n v="0"/>
    <n v="0"/>
    <e v="#DIV/0!"/>
    <x v="4"/>
    <e v="#N/A"/>
  </r>
  <r>
    <x v="93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93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94"/>
    <s v="LG-CST-CEL-C002-01"/>
    <n v="2133822"/>
    <n v="0"/>
    <n v="0"/>
    <n v="0"/>
    <e v="#DIV/0!"/>
    <x v="4"/>
    <e v="#N/A"/>
  </r>
  <r>
    <x v="94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94"/>
    <s v="Family Type: 1950w x 3050h, Family: Window Internal Type 1 - Flush"/>
    <s v="Vector(X = 0.212, Y = -0.977, Z = 0.000, Length = 1.000)"/>
    <n v="0.2"/>
    <n v="-1"/>
    <n v="0"/>
    <n v="-78.690067525979785"/>
    <x v="3"/>
    <n v="5.9474999999999998"/>
  </r>
  <r>
    <x v="94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94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95"/>
    <s v="LG-EAF-MOR-S115-01"/>
    <n v="2139536"/>
    <n v="0"/>
    <n v="0"/>
    <n v="0"/>
    <e v="#DIV/0!"/>
    <x v="4"/>
    <e v="#N/A"/>
  </r>
  <r>
    <x v="95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95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96"/>
    <s v="LG-OPD-AUD-L039-09"/>
    <n v="2201531"/>
    <n v="0"/>
    <n v="0"/>
    <n v="0"/>
    <e v="#DIV/0!"/>
    <x v="4"/>
    <e v="#N/A"/>
  </r>
  <r>
    <x v="96"/>
    <s v="Family Type: 1950w x 3050h, Family: Window External Type 3 - Recessed and Angle"/>
    <s v="Vector(X = -0.530, Y = 0.848, Z = 0.000, Length = 1.000)"/>
    <n v="-0.5"/>
    <n v="0.8"/>
    <n v="0"/>
    <n v="122.0053832080835"/>
    <x v="1"/>
    <n v="5.9474999999999998"/>
  </r>
  <r>
    <x v="97"/>
    <s v="LG-OPD-AUD-L039-10"/>
    <n v="2201533"/>
    <n v="0"/>
    <n v="0"/>
    <n v="0"/>
    <e v="#DIV/0!"/>
    <x v="4"/>
    <e v="#N/A"/>
  </r>
  <r>
    <x v="97"/>
    <s v="Family Type: manual 1.5m2"/>
    <s v="Vector(X = -0.530, Y = 0.848, Z = 0.000, Length = 1.000)"/>
    <n v="-0.5"/>
    <n v="0.8"/>
    <n v="0"/>
    <n v="122.0053832080835"/>
    <x v="1"/>
    <n v="1.5"/>
  </r>
  <r>
    <x v="97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97"/>
    <s v="Family Type: 975w x 3600h, CURTAIN WALL-manual input"/>
    <s v="Vector(X = -0.992, Y = -0.128, Z = 0.000, Length = 1.000)"/>
    <n v="-0.5"/>
    <n v="0.8"/>
    <n v="0"/>
    <n v="122.0053832080835"/>
    <x v="1"/>
    <n v="3.51"/>
  </r>
  <r>
    <x v="98"/>
    <s v="LG-OPD-AUD-S123-09"/>
    <n v="2201535"/>
    <n v="0"/>
    <n v="0"/>
    <n v="0"/>
    <e v="#DIV/0!"/>
    <x v="4"/>
    <e v="#N/A"/>
  </r>
  <r>
    <x v="98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99"/>
    <s v="LG-OPD-CC1-S139-02"/>
    <n v="2201537"/>
    <n v="0"/>
    <n v="0"/>
    <n v="0"/>
    <e v="#DIV/0!"/>
    <x v="4"/>
    <e v="#N/A"/>
  </r>
  <r>
    <x v="99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100"/>
    <s v="LG-OPD-CC2-S090-01"/>
    <n v="2201539"/>
    <n v="0"/>
    <n v="0"/>
    <n v="0"/>
    <e v="#DIV/0!"/>
    <x v="4"/>
    <e v="#N/A"/>
  </r>
  <r>
    <x v="100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101"/>
    <s v="LG-CST-CIR-C001-04"/>
    <n v="2201547"/>
    <n v="0"/>
    <n v="0"/>
    <n v="0"/>
    <e v="#DIV/0!"/>
    <x v="4"/>
    <e v="#N/A"/>
  </r>
  <r>
    <x v="101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01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01"/>
    <s v="Family Type: 1950w x 3050h, Family: Window Internal Type 1 - Flush"/>
    <s v="Vector(X = -0.872, Y = -0.489, Z = 0.000, Length = 1.000)"/>
    <n v="-0.9"/>
    <n v="-0.5"/>
    <n v="0"/>
    <n v="-150.94539590092285"/>
    <x v="2"/>
    <n v="5.9474999999999998"/>
  </r>
  <r>
    <x v="101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01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01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02"/>
    <s v="LG-MAI-RET-U1291-01"/>
    <n v="2217966"/>
    <n v="0"/>
    <n v="0"/>
    <n v="0"/>
    <e v="#DIV/0!"/>
    <x v="4"/>
    <e v="#N/A"/>
  </r>
  <r>
    <x v="102"/>
    <s v="Family Type: 1950w x 3050h, Family: Window Internal Type 1 - Flush"/>
    <s v="Vector(X = 0.489, Y = -0.873, Z = 0.000, Length = 1.000)"/>
    <n v="0.5"/>
    <n v="-0.9"/>
    <n v="0"/>
    <n v="-60.945395900922861"/>
    <x v="3"/>
    <n v="5.9474999999999998"/>
  </r>
  <r>
    <x v="102"/>
    <s v="Family Type: 650w x 3050h, Family: Window Internal Type 1 - Flush"/>
    <s v="Vector(X = 0.489, Y = -0.873, Z = 0.000, Length = 1.000)"/>
    <n v="0.5"/>
    <n v="-0.9"/>
    <n v="0"/>
    <n v="-60.945395900922861"/>
    <x v="3"/>
    <n v="1.9824999999999999"/>
  </r>
  <r>
    <x v="102"/>
    <s v="Family Type: 650w x 3050h, Family: Window Internal Type 1 - Flush"/>
    <s v="Vector(X = 0.489, Y = -0.873, Z = 0.000, Length = 1.000)"/>
    <n v="0.5"/>
    <n v="-0.9"/>
    <n v="0"/>
    <n v="-60.945395900922861"/>
    <x v="3"/>
    <n v="1.9824999999999999"/>
  </r>
  <r>
    <x v="103"/>
    <s v="LG-CIR-CIR-C008-01"/>
    <n v="2260983"/>
    <n v="0"/>
    <n v="0"/>
    <n v="0"/>
    <e v="#DIV/0!"/>
    <x v="4"/>
    <e v="#N/A"/>
  </r>
  <r>
    <x v="103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103"/>
    <s v="Family Type: 975w x 3600h, CURTAIN WALL-manual input"/>
    <s v="Vector(X = 0.212, Y = -0.977, Z = 0.000, Length = 1.000)"/>
    <n v="0.2"/>
    <n v="-1"/>
    <n v="0"/>
    <n v="-78.690067525979785"/>
    <x v="3"/>
    <n v="3.51"/>
  </r>
  <r>
    <x v="104"/>
    <s v="LG-CIR-CIR-C008-07"/>
    <n v="2260985"/>
    <n v="0"/>
    <n v="0"/>
    <n v="0"/>
    <e v="#DIV/0!"/>
    <x v="4"/>
    <e v="#N/A"/>
  </r>
  <r>
    <x v="104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104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105"/>
    <s v="LG-OPD-CIR-C001-26"/>
    <n v="2261490"/>
    <n v="0"/>
    <n v="0"/>
    <n v="0"/>
    <e v="#DIV/0!"/>
    <x v="4"/>
    <e v="#N/A"/>
  </r>
  <r>
    <x v="105"/>
    <s v="Family Type: 975w x 3050h, Family: Window Internal Type 2a - Recessed"/>
    <s v="Vector(X = 0.429, Y = -0.903, Z = 0.000, Length = 1.000)"/>
    <n v="0.4"/>
    <n v="-0.9"/>
    <n v="0"/>
    <n v="-66.037511025421821"/>
    <x v="3"/>
    <n v="2.9737499999999999"/>
  </r>
  <r>
    <x v="105"/>
    <s v="Family Type: 1500w x 3050h, Family: Window Internal Type 2b - Recessed and Angle"/>
    <s v="Vector(X = 0.429, Y = -0.903, Z = 0.000, Length = 1.000)"/>
    <n v="0.4"/>
    <n v="-0.9"/>
    <n v="0"/>
    <n v="-66.037511025421821"/>
    <x v="3"/>
    <n v="4.5749999999999993"/>
  </r>
  <r>
    <x v="105"/>
    <s v="Family Type: 975w x 3050h, Family: Window Internal Type 2a - Recessed"/>
    <s v="Vector(X = -0.323, Y = 0.946, Z = 0.000, Length = 1.000)"/>
    <n v="-0.3"/>
    <n v="0.9"/>
    <n v="0"/>
    <n v="108.43494882292201"/>
    <x v="1"/>
    <n v="2.9737499999999999"/>
  </r>
  <r>
    <x v="105"/>
    <s v="Family Type: 975w x 3050h, Family: Window Internal Type 2a - Recessed"/>
    <s v="Vector(X = -0.323, Y = 0.946, Z = 0.000, Length = 1.000)"/>
    <n v="-0.3"/>
    <n v="0.9"/>
    <n v="0"/>
    <n v="108.43494882292201"/>
    <x v="1"/>
    <n v="2.9737499999999999"/>
  </r>
  <r>
    <x v="105"/>
    <s v="Family Type: 1500w x 3050h, Family: Window Internal Type 2b - Recessed and Angle"/>
    <s v="Vector(X = 0.530, Y = -0.848, Z = 0.000, Length = 1.000)"/>
    <n v="0.5"/>
    <n v="-0.8"/>
    <n v="0"/>
    <n v="-57.994616791916499"/>
    <x v="3"/>
    <n v="4.5749999999999993"/>
  </r>
  <r>
    <x v="105"/>
    <s v="Family Type: 975w x 3050h, Family: Window External Type 1 - Recessed"/>
    <s v="Vector(X = 0.530, Y = -0.848, Z = 0.000, Length = 1.000)"/>
    <n v="0.5"/>
    <n v="-0.8"/>
    <n v="0"/>
    <n v="-57.994616791916499"/>
    <x v="3"/>
    <n v="2.9737499999999999"/>
  </r>
  <r>
    <x v="105"/>
    <s v="Family Type: 975w x 3050h, Family: Window Internal Type 2a - Recessed"/>
    <s v="Vector(X = 0.429, Y = -0.903, Z = 0.000, Length = 1.000)"/>
    <n v="0.4"/>
    <n v="-0.9"/>
    <n v="0"/>
    <n v="-66.037511025421821"/>
    <x v="3"/>
    <n v="2.9737499999999999"/>
  </r>
  <r>
    <x v="105"/>
    <s v="Family Type: 975w x 3050h, Family: Window Internal Type 2a - Recessed"/>
    <s v="Vector(X = 0.530, Y = -0.848, Z = 0.000, Length = 1.000)"/>
    <n v="0.5"/>
    <n v="-0.8"/>
    <n v="0"/>
    <n v="-57.994616791916499"/>
    <x v="3"/>
    <n v="2.9737499999999999"/>
  </r>
  <r>
    <x v="105"/>
    <s v="Family Type: 975w x 3050h, Family: Window Internal Type 2a - Recessed"/>
    <s v="Vector(X = 0.530, Y = -0.848, Z = 0.000, Length = 1.000)"/>
    <n v="0.5"/>
    <n v="-0.8"/>
    <n v="0"/>
    <n v="-57.994616791916499"/>
    <x v="3"/>
    <n v="2.9737499999999999"/>
  </r>
  <r>
    <x v="106"/>
    <s v="LG-OPD-CIR-C001-28"/>
    <n v="2261492"/>
    <n v="0"/>
    <n v="0"/>
    <n v="0"/>
    <e v="#DIV/0!"/>
    <x v="4"/>
    <e v="#N/A"/>
  </r>
  <r>
    <x v="106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106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106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106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106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06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06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06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07"/>
    <s v="LG-CIR-CIR-C001-02"/>
    <n v="2261494"/>
    <n v="0"/>
    <n v="0"/>
    <n v="0"/>
    <e v="#DIV/0!"/>
    <x v="4"/>
    <e v="#N/A"/>
  </r>
  <r>
    <x v="107"/>
    <s v="Family Type: 975w x 3200h, Family: Panel External Type 1 - Flush"/>
    <s v="Vector(X = -0.212, Y = 0.977, Z = 0.000, Length = 1.000)"/>
    <n v="-0.2"/>
    <n v="1"/>
    <n v="0"/>
    <n v="101.3099324740202"/>
    <x v="1"/>
    <n v="0"/>
  </r>
  <r>
    <x v="107"/>
    <s v="Family Type: 975w x 3200h, Family: Panel External Type 1 - Flush"/>
    <s v="Vector(X = -0.212, Y = 0.977, Z = 0.000, Length = 1.000)"/>
    <n v="-0.2"/>
    <n v="1"/>
    <n v="0"/>
    <n v="101.3099324740202"/>
    <x v="1"/>
    <n v="0"/>
  </r>
  <r>
    <x v="107"/>
    <s v="Family Type: 975w x 3200h, Family: Panel External Type 1 - Flush"/>
    <s v="Vector(X = -0.212, Y = 0.977, Z = 0.000, Length = 1.000)"/>
    <n v="-0.2"/>
    <n v="1"/>
    <n v="0"/>
    <n v="101.3099324740202"/>
    <x v="1"/>
    <n v="0"/>
  </r>
  <r>
    <x v="108"/>
    <s v="LG-OPD-C1W-S115-49"/>
    <n v="2266943"/>
    <n v="0"/>
    <n v="0"/>
    <n v="0"/>
    <e v="#DIV/0!"/>
    <x v="4"/>
    <e v="#N/A"/>
  </r>
  <r>
    <x v="108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108"/>
    <s v="Family Type: 975w x 2300h, Family: Window External Type 1 - Recessed"/>
    <s v="Vector(X = 0.873, Y = 0.489, Z = 0.000, Length = 1.000)"/>
    <n v="0.9"/>
    <n v="0.5"/>
    <n v="0"/>
    <n v="29.054604099077146"/>
    <x v="5"/>
    <n v="2.2425000000000002"/>
  </r>
  <r>
    <x v="108"/>
    <s v="Family Type: 975w x 2300h, Family: Window External Type 1 - Recessed"/>
    <s v="Vector(X = 0.873, Y = 0.489, Z = 0.000, Length = 1.000)"/>
    <n v="0.9"/>
    <n v="0.5"/>
    <n v="0"/>
    <n v="29.054604099077146"/>
    <x v="5"/>
    <n v="2.2425000000000002"/>
  </r>
  <r>
    <x v="108"/>
    <s v="Family Type: 975w x 2300h, Family: Window External Type 1 - Recessed"/>
    <s v="Vector(X = 0.873, Y = 0.489, Z = 0.000, Length = 1.000)"/>
    <n v="0.9"/>
    <n v="0.5"/>
    <n v="0"/>
    <n v="29.054604099077146"/>
    <x v="5"/>
    <n v="2.2425000000000002"/>
  </r>
  <r>
    <x v="108"/>
    <s v="Family Type: 1950w x 2300h, Family: Window External Type 1 - Recessed"/>
    <s v="Vector(X = 0.872, Y = 0.489, Z = 0.000, Length = 1.000)"/>
    <n v="0.9"/>
    <n v="0.5"/>
    <n v="0"/>
    <n v="29.054604099077146"/>
    <x v="5"/>
    <n v="4.4850000000000003"/>
  </r>
  <r>
    <x v="108"/>
    <s v="Family Type: 1950w x 2300h, Family: Window External Type 1 - Recessed"/>
    <s v="Vector(X = 0.872, Y = 0.489, Z = 0.000, Length = 1.000)"/>
    <n v="0.9"/>
    <n v="0.5"/>
    <n v="0"/>
    <n v="29.054604099077146"/>
    <x v="5"/>
    <n v="4.4850000000000003"/>
  </r>
  <r>
    <x v="108"/>
    <s v="Family Type: 975w x 2300h, Family: Window External Type 1 - Recessed"/>
    <s v="Vector(X = 0.872, Y = 0.489, Z = 0.000, Length = 1.000)"/>
    <n v="0.9"/>
    <n v="0.5"/>
    <n v="0"/>
    <n v="29.054604099077146"/>
    <x v="5"/>
    <n v="2.2425000000000002"/>
  </r>
  <r>
    <x v="108"/>
    <s v="Family Type: 975w x 2300h, Family: Window External Type 1 - Recessed"/>
    <s v="Vector(X = 0.872, Y = 0.489, Z = 0.000, Length = 1.000)"/>
    <n v="0.9"/>
    <n v="0.5"/>
    <n v="0"/>
    <n v="29.054604099077146"/>
    <x v="5"/>
    <n v="2.2425000000000002"/>
  </r>
  <r>
    <x v="108"/>
    <s v="Family Type: 1950w x 2300h, Family: Window External Type 1 - Recessed"/>
    <s v="Vector(X = 0.872, Y = 0.489, Z = 0.000, Length = 1.000)"/>
    <n v="0.9"/>
    <n v="0.5"/>
    <n v="0"/>
    <n v="29.054604099077146"/>
    <x v="5"/>
    <n v="4.4850000000000003"/>
  </r>
  <r>
    <x v="108"/>
    <s v="Family Type: 975w x 2300h, Family: Window External Type 1 - Recessed"/>
    <s v="Vector(X = 0.872, Y = 0.489, Z = 0.000, Length = 1.000)"/>
    <n v="0.9"/>
    <n v="0.5"/>
    <n v="0"/>
    <n v="29.054604099077146"/>
    <x v="5"/>
    <n v="2.2425000000000002"/>
  </r>
  <r>
    <x v="108"/>
    <s v="Family Type: 975w x 2300h, Family: Window External Type 1 - Recessed"/>
    <s v="Vector(X = 0.872, Y = 0.489, Z = 0.000, Length = 1.000)"/>
    <n v="0.9"/>
    <n v="0.5"/>
    <n v="0"/>
    <n v="29.054604099077146"/>
    <x v="5"/>
    <n v="2.2425000000000002"/>
  </r>
  <r>
    <x v="109"/>
    <s v="LG-OPD-AUD-S123-10"/>
    <n v="2285686"/>
    <n v="0"/>
    <n v="0"/>
    <n v="0"/>
    <e v="#DIV/0!"/>
    <x v="4"/>
    <e v="#N/A"/>
  </r>
  <r>
    <x v="109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110"/>
    <s v="LG-EAF-SWI-U0836-01"/>
    <n v="2286838"/>
    <n v="0"/>
    <n v="0"/>
    <n v="0"/>
    <e v="#DIV/0!"/>
    <x v="4"/>
    <e v="#N/A"/>
  </r>
  <r>
    <x v="110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111"/>
    <s v="LG-OPD-CC2-U0169-01"/>
    <n v="2415409"/>
    <n v="0"/>
    <n v="0"/>
    <n v="0"/>
    <e v="#DIV/0!"/>
    <x v="4"/>
    <e v="#N/A"/>
  </r>
  <r>
    <x v="111"/>
    <s v="Family Type: 1500w x 3050h, Family: Window Internal Type 2b - Recessed and Angle"/>
    <s v="Vector(X = 0.530, Y = -0.848, Z = 0.000, Length = 1.000)"/>
    <n v="0.5"/>
    <n v="-0.8"/>
    <n v="0"/>
    <n v="-57.994616791916499"/>
    <x v="3"/>
    <n v="4.5749999999999993"/>
  </r>
  <r>
    <x v="111"/>
    <s v="Family Type: 975w x 3050h, Family: Window Internal Type 2a - Recessed"/>
    <s v="Vector(X = 0.530, Y = -0.848, Z = 0.000, Length = 1.000)"/>
    <n v="0.5"/>
    <n v="-0.8"/>
    <n v="0"/>
    <n v="-57.994616791916499"/>
    <x v="3"/>
    <n v="2.9737499999999999"/>
  </r>
  <r>
    <x v="112"/>
    <s v="LG-CIR-CIR-C006-01"/>
    <n v="2464044"/>
    <n v="0"/>
    <n v="0"/>
    <n v="0"/>
    <e v="#DIV/0!"/>
    <x v="4"/>
    <e v="#N/A"/>
  </r>
  <r>
    <x v="112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113"/>
    <s v="LG-OPD-CC1-S156-01"/>
    <n v="2465328"/>
    <n v="0"/>
    <n v="0"/>
    <n v="0"/>
    <e v="#DIV/0!"/>
    <x v="4"/>
    <e v="#N/A"/>
  </r>
  <r>
    <x v="113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5"/>
    <s v="none"/>
    <n v="2465329"/>
    <n v="0"/>
    <n v="0"/>
    <n v="0"/>
    <e v="#DIV/0!"/>
    <x v="4"/>
    <e v="#N/A"/>
  </r>
  <r>
    <x v="5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114"/>
    <s v="LG-OPD-CC1-S156-06"/>
    <n v="2465333"/>
    <n v="0"/>
    <n v="0"/>
    <n v="0"/>
    <e v="#DIV/0!"/>
    <x v="4"/>
    <e v="#N/A"/>
  </r>
  <r>
    <x v="114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114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115"/>
    <s v="LG-OPD-CC1-S156-09"/>
    <n v="2465336"/>
    <n v="0"/>
    <n v="0"/>
    <n v="0"/>
    <e v="#DIV/0!"/>
    <x v="4"/>
    <e v="#N/A"/>
  </r>
  <r>
    <x v="115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116"/>
    <s v="LG-OPD-CC1-S156-10"/>
    <n v="2465337"/>
    <n v="0"/>
    <n v="0"/>
    <n v="0"/>
    <e v="#DIV/0!"/>
    <x v="4"/>
    <e v="#N/A"/>
  </r>
  <r>
    <x v="116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116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117"/>
    <s v="LG-OPD-CC1-S156-11"/>
    <n v="2465338"/>
    <n v="0"/>
    <n v="0"/>
    <n v="0"/>
    <e v="#DIV/0!"/>
    <x v="4"/>
    <e v="#N/A"/>
  </r>
  <r>
    <x v="117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118"/>
    <s v="LG-OPD-CC1-S156-12"/>
    <n v="2465339"/>
    <n v="0"/>
    <n v="0"/>
    <n v="0"/>
    <e v="#DIV/0!"/>
    <x v="4"/>
    <e v="#N/A"/>
  </r>
  <r>
    <x v="118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119"/>
    <s v="LG-OPD-CC1-S156-13"/>
    <n v="2465340"/>
    <n v="0"/>
    <n v="0"/>
    <n v="0"/>
    <e v="#DIV/0!"/>
    <x v="4"/>
    <e v="#N/A"/>
  </r>
  <r>
    <x v="119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5"/>
    <s v="none"/>
    <s v="Vector(X = -0.212, Y = 0.977, Z = 0.000, Length = 1.000)"/>
    <n v="-0.2"/>
    <n v="1"/>
    <n v="0"/>
    <n v="101.3099324740202"/>
    <x v="1"/>
    <e v="#N/A"/>
  </r>
  <r>
    <x v="120"/>
    <s v="LG-OPD-CC2-S156-01"/>
    <n v="2465341"/>
    <n v="0"/>
    <n v="0"/>
    <n v="0"/>
    <e v="#DIV/0!"/>
    <x v="4"/>
    <e v="#N/A"/>
  </r>
  <r>
    <x v="120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121"/>
    <s v="LG-EAF-SFK-S017-01"/>
    <n v="2770002"/>
    <n v="0"/>
    <n v="0"/>
    <n v="0"/>
    <e v="#DIV/0!"/>
    <x v="4"/>
    <e v="#N/A"/>
  </r>
  <r>
    <x v="121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122"/>
    <s v="LG-MAI-PUB-U1830-01"/>
    <n v="2812486"/>
    <n v="0"/>
    <n v="0"/>
    <n v="0"/>
    <e v="#DIV/0!"/>
    <x v="4"/>
    <e v="#N/A"/>
  </r>
  <r>
    <x v="122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122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122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122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122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22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22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22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22"/>
    <s v="Family Type: 1500w x 3050h, Family: Window Internal Type 1 - Flush"/>
    <s v="Vector(X = 0.212, Y = -0.977, Z = 0.000, Length = 1.000)"/>
    <n v="0.2"/>
    <n v="-1"/>
    <n v="0"/>
    <n v="-78.690067525979785"/>
    <x v="3"/>
    <n v="4.5749999999999993"/>
  </r>
  <r>
    <x v="122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123"/>
    <s v="LG-MAI-PUB-U1830-03"/>
    <n v="2812503"/>
    <n v="0"/>
    <n v="0"/>
    <n v="0"/>
    <e v="#DIV/0!"/>
    <x v="4"/>
    <e v="#N/A"/>
  </r>
  <r>
    <x v="123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23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23"/>
    <s v="Family Type: 1950w x 3050h, Family: Window Internal Type 1 - Flush"/>
    <s v="Vector(X = -0.872, Y = -0.489, Z = 0.000, Length = 1.000)"/>
    <n v="-0.9"/>
    <n v="-0.5"/>
    <n v="0"/>
    <n v="-150.94539590092285"/>
    <x v="2"/>
    <n v="5.9474999999999998"/>
  </r>
  <r>
    <x v="123"/>
    <s v="Family Type: 1950w x 3050h, Family: Window Internal Type 1 - Flush"/>
    <s v="Vector(X = 0.489, Y = -0.873, Z = 0.000, Length = 1.000)"/>
    <n v="0.5"/>
    <n v="-0.9"/>
    <n v="0"/>
    <n v="-60.945395900922861"/>
    <x v="3"/>
    <n v="5.9474999999999998"/>
  </r>
  <r>
    <x v="123"/>
    <s v="Family Type: 650w x 3050h, Family: Window Internal Type 1 - Flush"/>
    <s v="Vector(X = 0.489, Y = -0.873, Z = 0.000, Length = 1.000)"/>
    <n v="0.5"/>
    <n v="-0.9"/>
    <n v="0"/>
    <n v="-60.945395900922861"/>
    <x v="3"/>
    <n v="1.9824999999999999"/>
  </r>
  <r>
    <x v="123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23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23"/>
    <s v="Family Type: 1500w x 3050h, Family: Window Internal Type 1 - Flush"/>
    <s v="Vector(X = -0.489, Y = 0.872, Z = 0.000, Length = 1.000)"/>
    <n v="-0.5"/>
    <n v="0.9"/>
    <n v="0"/>
    <n v="119.05460409907714"/>
    <x v="1"/>
    <n v="4.5749999999999993"/>
  </r>
  <r>
    <x v="123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23"/>
    <s v="Family Type: 650w x 3050h, Family: Window Internal Type 1 - Flush"/>
    <s v="Vector(X = 0.489, Y = -0.873, Z = 0.000, Length = 1.000)"/>
    <n v="0.5"/>
    <n v="-0.9"/>
    <n v="0"/>
    <n v="-60.945395900922861"/>
    <x v="3"/>
    <n v="1.9824999999999999"/>
  </r>
  <r>
    <x v="124"/>
    <s v="LG-MAI-PUB-U1830-02"/>
    <n v="2812508"/>
    <n v="0"/>
    <n v="0"/>
    <n v="0"/>
    <e v="#DIV/0!"/>
    <x v="4"/>
    <e v="#N/A"/>
  </r>
  <r>
    <x v="124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124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24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24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24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124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124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124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124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124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124"/>
    <s v="Family Type: 1950w x 3050h, Family: Window Internal Type 1 - Flush"/>
    <s v="Vector(X = 0.212, Y = -0.977, Z = 0.000, Length = 1.000)"/>
    <n v="0.2"/>
    <n v="-1"/>
    <n v="0"/>
    <n v="-78.690067525979785"/>
    <x v="3"/>
    <n v="5.9474999999999998"/>
  </r>
  <r>
    <x v="124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124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124"/>
    <s v="Family Type: 1500w x 3050h, Family: Window Internal Type 1 - Flush"/>
    <s v="Vector(X = 0.212, Y = -0.977, Z = 0.000, Length = 1.000)"/>
    <n v="0.2"/>
    <n v="-1"/>
    <n v="0"/>
    <n v="-78.690067525979785"/>
    <x v="3"/>
    <n v="4.5749999999999993"/>
  </r>
  <r>
    <x v="124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124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56"/>
    <s v="LG-OPD-CC2-S029-02"/>
    <s v="ID not used"/>
    <n v="0"/>
    <n v="0"/>
    <n v="0"/>
    <e v="#DIV/0!"/>
    <x v="4"/>
    <e v="#N/A"/>
  </r>
  <r>
    <x v="56"/>
    <s v="Family Type: 975w x 3600h, CURTAIN WALL-manual input"/>
    <s v="Vector(X = 0.530, Y = -0.848, Z = 0.000, Length = 1.000)"/>
    <n v="0.5"/>
    <n v="-0.8"/>
    <n v="0"/>
    <n v="-57.994616791916499"/>
    <x v="3"/>
    <n v="3.51"/>
  </r>
  <r>
    <x v="125"/>
    <s v="LG-OPD-C2W-S115-38"/>
    <s v="ID not used"/>
    <n v="0"/>
    <n v="0"/>
    <n v="0"/>
    <e v="#DIV/0!"/>
    <x v="4"/>
    <e v="#N/A"/>
  </r>
  <r>
    <x v="125"/>
    <s v="Family Type: 1500w x 3050h, Family: Window Internal Type 1 - Flush"/>
    <s v="Vector(X = -0.429, Y = 0.903, Z = 0.000, Length = 1.000)"/>
    <n v="-0.4"/>
    <n v="0.9"/>
    <n v="0"/>
    <n v="113.96248897457818"/>
    <x v="1"/>
    <n v="4.5749999999999993"/>
  </r>
  <r>
    <x v="125"/>
    <s v="Family Type: 1000w x 3050h, Family: Window External Type 2 - Recessed and Fin"/>
    <s v="Vector(X = -0.429, Y = 0.903, Z = 0.000, Length = 1.000)"/>
    <n v="-0.4"/>
    <n v="0.9"/>
    <n v="0"/>
    <n v="113.96248897457818"/>
    <x v="1"/>
    <n v="3.05"/>
  </r>
  <r>
    <x v="125"/>
    <s v="Family Type: 1500w x 3050h, Family: Window Internal Type 1 - Flush"/>
    <s v="Vector(X = -0.429, Y = 0.903, Z = 0.000, Length = 1.000)"/>
    <n v="-0.4"/>
    <n v="0.9"/>
    <n v="0"/>
    <n v="113.96248897457818"/>
    <x v="1"/>
    <n v="4.5749999999999993"/>
  </r>
  <r>
    <x v="125"/>
    <s v="Family Type: 1950w x 3050h, Family: Window Internal Type 1 - Flush"/>
    <s v="Vector(X = -0.429, Y = 0.903, Z = 0.000, Length = 1.000)"/>
    <n v="-0.4"/>
    <n v="0.9"/>
    <n v="0"/>
    <n v="113.96248897457818"/>
    <x v="1"/>
    <n v="5.9474999999999998"/>
  </r>
  <r>
    <x v="125"/>
    <s v="Family Type: 1500w x 3050h, Family: Window Internal Type 1 - Flush"/>
    <s v="Vector(X = -0.848, Y = -0.530, Z = 0.000, Length = 1.000)"/>
    <n v="-0.8"/>
    <n v="-0.5"/>
    <n v="0"/>
    <n v="-147.99461679191651"/>
    <x v="2"/>
    <n v="4.5749999999999993"/>
  </r>
  <r>
    <x v="125"/>
    <s v="Family Type: 1500w x 3050h, Family: Window Internal Type 1 - Flush"/>
    <s v="Vector(X = -0.848, Y = -0.530, Z = 0.000, Length = 1.000)"/>
    <n v="-0.8"/>
    <n v="-0.5"/>
    <n v="0"/>
    <n v="-147.99461679191651"/>
    <x v="2"/>
    <n v="4.5749999999999993"/>
  </r>
  <r>
    <x v="125"/>
    <s v="Family Type: 1500w x 3050h, Family: Window Internal Type 1 - Flush"/>
    <s v="Vector(X = -0.848, Y = -0.530, Z = 0.000, Length = 1.000)"/>
    <n v="-0.8"/>
    <n v="-0.5"/>
    <n v="0"/>
    <n v="-147.99461679191651"/>
    <x v="2"/>
    <n v="4.5749999999999993"/>
  </r>
  <r>
    <x v="125"/>
    <s v="Family Type: 1500w x 3050h, Family: Window Internal Type 1 - Flush"/>
    <s v="Vector(X = -0.848, Y = -0.530, Z = 0.000, Length = 1.000)"/>
    <n v="-0.8"/>
    <n v="-0.5"/>
    <n v="0"/>
    <n v="-147.99461679191651"/>
    <x v="2"/>
    <n v="4.5749999999999993"/>
  </r>
  <r>
    <x v="125"/>
    <s v="Family Type: 975w x 3600h, CURTAIN WALL-manual input"/>
    <s v="Vector(X = 0.429, Y = -0.903, Z = 0.000, Length = 1.000)"/>
    <n v="0.4"/>
    <n v="-0.9"/>
    <n v="0"/>
    <n v="-66.037511025421821"/>
    <x v="3"/>
    <n v="3.51"/>
  </r>
  <r>
    <x v="125"/>
    <s v="Family Type: 1500w x 3050h, Family: Window Internal Type 1 - Flush"/>
    <s v="Vector(X = 0.429, Y = -0.903, Z = 0.000, Length = 1.000)"/>
    <n v="0.4"/>
    <n v="-0.9"/>
    <n v="0"/>
    <n v="-66.037511025421821"/>
    <x v="3"/>
    <n v="4.5749999999999993"/>
  </r>
  <r>
    <x v="125"/>
    <s v="Family Type: 1500w x 3050h, Family: Window Internal Type 1 - Flush"/>
    <s v="Vector(X = 0.429, Y = -0.903, Z = 0.000, Length = 1.000)"/>
    <n v="0.4"/>
    <n v="-0.9"/>
    <n v="0"/>
    <n v="-66.037511025421821"/>
    <x v="3"/>
    <n v="4.5749999999999993"/>
  </r>
  <r>
    <x v="125"/>
    <s v="Family Type: 1500w x 3050h, Family: Window Internal Type 1 - Flush"/>
    <s v="Vector(X = 0.429, Y = -0.903, Z = 0.000, Length = 1.000)"/>
    <n v="0.4"/>
    <n v="-0.9"/>
    <n v="0"/>
    <n v="-66.037511025421821"/>
    <x v="3"/>
    <n v="4.5749999999999993"/>
  </r>
  <r>
    <x v="126"/>
    <s v="LG-OPD-C1W-S115-54"/>
    <s v="ID not used"/>
    <n v="0"/>
    <n v="0"/>
    <n v="0"/>
    <e v="#DIV/0!"/>
    <x v="4"/>
    <e v="#N/A"/>
  </r>
  <r>
    <x v="126"/>
    <s v="Family Type: 1500w x 3050h, Family: Window Internal Type 1 - Flush"/>
    <s v="Vector(X = -0.323, Y = 0.946, Z = 0.000, Length = 1.000)"/>
    <n v="-0.3"/>
    <n v="0.9"/>
    <n v="0"/>
    <n v="108.43494882292201"/>
    <x v="1"/>
    <n v="4.5749999999999993"/>
  </r>
  <r>
    <x v="126"/>
    <s v="Family Type: 1950w x 3050h, Family: Window Internal Type 1 - Flush"/>
    <s v="Vector(X = -0.323, Y = 0.946, Z = 0.000, Length = 1.000)"/>
    <n v="-0.3"/>
    <n v="0.9"/>
    <n v="0"/>
    <n v="108.43494882292201"/>
    <x v="1"/>
    <n v="5.9474999999999998"/>
  </r>
  <r>
    <x v="126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126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126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126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126"/>
    <s v="Family Type: 1500w x 3050h, Family: Window Internal Type 1 - Flush"/>
    <s v="Vector(X = -0.323, Y = 0.946, Z = 0.000, Length = 1.000)"/>
    <n v="-0.3"/>
    <n v="0.9"/>
    <n v="0"/>
    <n v="108.43494882292201"/>
    <x v="1"/>
    <n v="4.5749999999999993"/>
  </r>
  <r>
    <x v="126"/>
    <s v="Family Type: 1500w x 3050h, Family: Window Internal Type 1 - Flush"/>
    <s v="Vector(X = -0.323, Y = 0.946, Z = 0.000, Length = 1.000)"/>
    <n v="-0.3"/>
    <n v="0.9"/>
    <n v="0"/>
    <n v="108.43494882292201"/>
    <x v="1"/>
    <n v="4.5749999999999993"/>
  </r>
  <r>
    <x v="127"/>
    <s v="LG-OPD-CC2-S029-01"/>
    <s v="ID not used"/>
    <n v="0"/>
    <n v="0"/>
    <n v="0"/>
    <e v="#DIV/0!"/>
    <x v="4"/>
    <e v="#N/A"/>
  </r>
  <r>
    <x v="127"/>
    <s v="Family Type: manual 3.5m2"/>
    <s v="vector"/>
    <n v="0.5"/>
    <n v="-0.8"/>
    <n v="0"/>
    <n v="-57.994616791916499"/>
    <x v="3"/>
    <n v="3.5"/>
  </r>
  <r>
    <x v="128"/>
    <n v="0"/>
    <n v="0"/>
    <n v="0"/>
    <n v="0"/>
    <n v="0"/>
    <e v="#DIV/0!"/>
    <x v="4"/>
    <e v="#N/A"/>
  </r>
  <r>
    <x v="129"/>
    <s v="L00-OPD-CC4-S058-01"/>
    <n v="1874567"/>
    <n v="0"/>
    <n v="0"/>
    <n v="0"/>
    <e v="#DIV/0!"/>
    <x v="4"/>
    <e v="#N/A"/>
  </r>
  <r>
    <x v="129"/>
    <s v="Family Type: 975w x 3050h, Family: Window Internal Type 2a - Recessed"/>
    <s v="Vector(X = 0.977, Y = 0.212, Z = 0.000, Length = 1.000)"/>
    <n v="1"/>
    <n v="0.2"/>
    <n v="0"/>
    <n v="11.309932474020215"/>
    <x v="5"/>
    <n v="2.9737499999999999"/>
  </r>
  <r>
    <x v="130"/>
    <s v="L00-OPD-CC4-S027-01"/>
    <n v="1874575"/>
    <n v="0"/>
    <n v="0"/>
    <n v="0"/>
    <e v="#DIV/0!"/>
    <x v="4"/>
    <e v="#N/A"/>
  </r>
  <r>
    <x v="130"/>
    <s v="Family Type: 975w x 3050h, Family: Window Internal Type 2a - Recessed"/>
    <s v="Vector(X = 0.987, Y = -0.161, Z = 0.000, Length = 1.000)"/>
    <n v="1"/>
    <n v="-0.2"/>
    <n v="0"/>
    <n v="-11.309932474020215"/>
    <x v="6"/>
    <n v="2.9737499999999999"/>
  </r>
  <r>
    <x v="131"/>
    <s v="L00-OPD-CC4-S108-01"/>
    <n v="1874601"/>
    <n v="0"/>
    <n v="0"/>
    <n v="0"/>
    <e v="#DIV/0!"/>
    <x v="4"/>
    <e v="#N/A"/>
  </r>
  <r>
    <x v="131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131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132"/>
    <s v="L00-OPD-CC4-S040-01"/>
    <n v="1874611"/>
    <n v="0"/>
    <n v="0"/>
    <n v="0"/>
    <e v="#DIV/0!"/>
    <x v="4"/>
    <e v="#N/A"/>
  </r>
  <r>
    <x v="132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133"/>
    <s v="L00-OPD-CC4-S028-18"/>
    <n v="1874621"/>
    <n v="0"/>
    <n v="0"/>
    <n v="0"/>
    <e v="#DIV/0!"/>
    <x v="4"/>
    <e v="#N/A"/>
  </r>
  <r>
    <x v="133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134"/>
    <s v="L00-OPD-CC4-U0214-01"/>
    <n v="1874623"/>
    <n v="0"/>
    <n v="0"/>
    <n v="0"/>
    <e v="#DIV/0!"/>
    <x v="4"/>
    <e v="#N/A"/>
  </r>
  <r>
    <x v="134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135"/>
    <s v="L00-OPD-CC4-S060-02"/>
    <n v="1874629"/>
    <n v="0"/>
    <n v="0"/>
    <n v="0"/>
    <e v="#DIV/0!"/>
    <x v="4"/>
    <e v="#N/A"/>
  </r>
  <r>
    <x v="135"/>
    <s v="Family Type: 1500w x 3050h, Family: Window External Type 3 - Recessed and Angle"/>
    <s v="Vector(X = -0.996, Y = 0.087, Z = 0.000, Length = 1.000)"/>
    <n v="-1"/>
    <n v="0.1"/>
    <n v="0"/>
    <n v="174.28940686250036"/>
    <x v="7"/>
    <n v="4.5750000000000002"/>
  </r>
  <r>
    <x v="135"/>
    <s v="Family Type: 975w x 3050h, Family: Window Internal Type 1 - Flush"/>
    <s v="Vector(X = 0.041, Y = -0.999, Z = 0.000, Length = 1.000)"/>
    <n v="0"/>
    <n v="-1"/>
    <n v="0"/>
    <n v="-90"/>
    <x v="3"/>
    <n v="2.9737499999999999"/>
  </r>
  <r>
    <x v="135"/>
    <s v="Family Type: 975w x 3050h, Family: Window Internal Type 1 - Flush"/>
    <s v="Vector(X = 0.041, Y = -0.999, Z = 0.000, Length = 1.000)"/>
    <n v="0"/>
    <n v="-1"/>
    <n v="0"/>
    <n v="-90"/>
    <x v="3"/>
    <n v="2.9737499999999999"/>
  </r>
  <r>
    <x v="135"/>
    <s v="Family Type: 975w x 3600h, CURTAIN WALL-manual input"/>
    <s v="Vector(X = 0.041, Y = -0.999, Z = 0.000, Length = 1.000)"/>
    <n v="0"/>
    <n v="-1"/>
    <n v="0"/>
    <n v="-90"/>
    <x v="3"/>
    <n v="3.51"/>
  </r>
  <r>
    <x v="136"/>
    <s v="L00-OPD-CC4-S029-03"/>
    <n v="1874631"/>
    <n v="0"/>
    <n v="0"/>
    <n v="0"/>
    <e v="#DIV/0!"/>
    <x v="4"/>
    <e v="#N/A"/>
  </r>
  <r>
    <x v="136"/>
    <s v="Family Type: 1950w x 3050h, Family: Window External Type 3 - Recessed and Angle"/>
    <s v="Vector(X = -0.041, Y = 0.999, Z = 0.000, Length = 1.000)"/>
    <n v="0"/>
    <n v="1"/>
    <n v="0"/>
    <n v="90"/>
    <x v="1"/>
    <n v="5.9474999999999998"/>
  </r>
  <r>
    <x v="137"/>
    <s v="L00-OPD-CC4-S060-03"/>
    <n v="1874643"/>
    <n v="0"/>
    <n v="0"/>
    <n v="0"/>
    <e v="#DIV/0!"/>
    <x v="4"/>
    <e v="#N/A"/>
  </r>
  <r>
    <x v="137"/>
    <s v="Family Type: 1500w x 3050h, Family: Window External Type 3 - Recessed and Angle"/>
    <s v="Vector(X = -0.992, Y = -0.128, Z = 0.000, Length = 1.000)"/>
    <n v="-1"/>
    <n v="-0.1"/>
    <n v="0"/>
    <n v="-174.28940686250036"/>
    <x v="2"/>
    <n v="4.5750000000000002"/>
  </r>
  <r>
    <x v="137"/>
    <s v="Family Type: 1950w x 3050h, Family: Window External Type 1 - Recessed"/>
    <s v="Vector(X = 0.212, Y = -0.977, Z = 0.000, Length = 1.000)"/>
    <n v="0.2"/>
    <n v="-1"/>
    <n v="0"/>
    <n v="-78.690067525979785"/>
    <x v="3"/>
    <n v="5.9474999999999998"/>
  </r>
  <r>
    <x v="138"/>
    <s v="L00-OPD-CC4-S028-05"/>
    <n v="1874657"/>
    <n v="0"/>
    <n v="0"/>
    <n v="0"/>
    <e v="#DIV/0!"/>
    <x v="4"/>
    <e v="#N/A"/>
  </r>
  <r>
    <x v="138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139"/>
    <s v="L00-OPD-CC4-S028-06"/>
    <n v="1874659"/>
    <n v="0"/>
    <n v="0"/>
    <n v="0"/>
    <e v="#DIV/0!"/>
    <x v="4"/>
    <e v="#N/A"/>
  </r>
  <r>
    <x v="139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140"/>
    <s v="L00-OPD-CC4-S028-07"/>
    <n v="1874661"/>
    <n v="0"/>
    <n v="0"/>
    <n v="0"/>
    <e v="#DIV/0!"/>
    <x v="4"/>
    <e v="#N/A"/>
  </r>
  <r>
    <x v="140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141"/>
    <s v="L00-OPD-CC4-S028-10"/>
    <n v="1874667"/>
    <n v="0"/>
    <n v="0"/>
    <n v="0"/>
    <e v="#DIV/0!"/>
    <x v="4"/>
    <e v="#N/A"/>
  </r>
  <r>
    <x v="141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141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142"/>
    <s v="L00-OPD-CC4-S028-11"/>
    <n v="1874669"/>
    <n v="0"/>
    <n v="0"/>
    <n v="0"/>
    <e v="#DIV/0!"/>
    <x v="4"/>
    <e v="#N/A"/>
  </r>
  <r>
    <x v="142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143"/>
    <s v="L00-OPD-CC4-S028-12"/>
    <n v="1874671"/>
    <n v="0"/>
    <n v="0"/>
    <n v="0"/>
    <e v="#DIV/0!"/>
    <x v="4"/>
    <e v="#N/A"/>
  </r>
  <r>
    <x v="143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143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144"/>
    <s v="L00-OPD-CC4-S028-16"/>
    <n v="1874679"/>
    <n v="0"/>
    <n v="0"/>
    <n v="0"/>
    <e v="#DIV/0!"/>
    <x v="4"/>
    <e v="#N/A"/>
  </r>
  <r>
    <x v="144"/>
    <s v="Family Type: 1950w x 3050h, Family: Window External Type 3 - Recessed and Angle"/>
    <s v="Vector(X = 0.041, Y = -0.999, Z = 0.000, Length = 1.000)"/>
    <n v="0"/>
    <n v="-1"/>
    <n v="0"/>
    <n v="-90"/>
    <x v="3"/>
    <n v="5.9474999999999998"/>
  </r>
  <r>
    <x v="145"/>
    <s v="L00-OPD-CC4-S028-17"/>
    <n v="1874681"/>
    <n v="0"/>
    <n v="0"/>
    <n v="0"/>
    <e v="#DIV/0!"/>
    <x v="4"/>
    <e v="#N/A"/>
  </r>
  <r>
    <x v="145"/>
    <s v="Family Type: 1950w x 3050h, Family: Window External Type 3 - Recessed and Angle"/>
    <s v="Vector(X = 0.041, Y = -0.999, Z = 0.000, Length = 1.000)"/>
    <n v="0"/>
    <n v="-1"/>
    <n v="0"/>
    <n v="-90"/>
    <x v="3"/>
    <n v="5.9474999999999998"/>
  </r>
  <r>
    <x v="146"/>
    <s v="L00-OPD-CC4-S029-02"/>
    <n v="1874683"/>
    <n v="0"/>
    <n v="0"/>
    <n v="0"/>
    <e v="#DIV/0!"/>
    <x v="4"/>
    <e v="#N/A"/>
  </r>
  <r>
    <x v="146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147"/>
    <s v="L00-OPD-CC4-S029-04"/>
    <n v="1874687"/>
    <n v="0"/>
    <n v="0"/>
    <n v="0"/>
    <e v="#DIV/0!"/>
    <x v="4"/>
    <e v="#N/A"/>
  </r>
  <r>
    <x v="147"/>
    <s v="Family Type: 975w x 3050h, Family: Window External Type 1 - Recessed"/>
    <s v="Vector(X = -0.041, Y = 0.999, Z = 0.000, Length = 1.000)"/>
    <n v="0"/>
    <n v="1"/>
    <n v="0"/>
    <n v="90"/>
    <x v="1"/>
    <n v="2.9737499999999999"/>
  </r>
  <r>
    <x v="147"/>
    <s v="Family Type: 1000w x 3050h, Family: Window External Type 2 - Recessed and Fin"/>
    <s v="Vector(X = -0.041, Y = 0.999, Z = 0.000, Length = 1.000)"/>
    <n v="0"/>
    <n v="1"/>
    <n v="0"/>
    <n v="90"/>
    <x v="1"/>
    <n v="3.05"/>
  </r>
  <r>
    <x v="148"/>
    <s v="L00-OPD-CC4-S137-02"/>
    <n v="1874689"/>
    <n v="0"/>
    <n v="0"/>
    <n v="0"/>
    <e v="#DIV/0!"/>
    <x v="4"/>
    <e v="#N/A"/>
  </r>
  <r>
    <x v="148"/>
    <s v="Family Type: 1500w x 3050h, Family: Window External Type 3 - Recessed and Angle"/>
    <s v="Vector(X = -0.996, Y = 0.087, Z = 0.000, Length = 1.000)"/>
    <n v="-1"/>
    <n v="0.1"/>
    <n v="0"/>
    <n v="174.28940686250036"/>
    <x v="7"/>
    <n v="4.5750000000000002"/>
  </r>
  <r>
    <x v="148"/>
    <s v="Family Type: 1500w x 3050h, Family: Window External Type 3 - Recessed and Angle"/>
    <s v="Vector(X = -0.996, Y = 0.087, Z = 0.000, Length = 1.000)"/>
    <n v="-1"/>
    <n v="0.1"/>
    <n v="0"/>
    <n v="174.28940686250036"/>
    <x v="7"/>
    <n v="4.5750000000000002"/>
  </r>
  <r>
    <x v="149"/>
    <s v="L00-OPD-CC4-S113-03"/>
    <n v="1874699"/>
    <n v="0"/>
    <n v="0"/>
    <n v="0"/>
    <e v="#DIV/0!"/>
    <x v="4"/>
    <e v="#N/A"/>
  </r>
  <r>
    <x v="149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150"/>
    <s v="L00-OPD-CC4-S108-02"/>
    <n v="1874705"/>
    <n v="0"/>
    <n v="0"/>
    <n v="0"/>
    <e v="#DIV/0!"/>
    <x v="4"/>
    <e v="#N/A"/>
  </r>
  <r>
    <x v="150"/>
    <s v="Family Type: 1500w x 3050h, Family: Window External Type 3 - Recessed and Angle"/>
    <s v="Vector(X = 0.041, Y = -0.999, Z = 0.000, Length = 1.000)"/>
    <n v="0"/>
    <n v="-1"/>
    <n v="0"/>
    <n v="-90"/>
    <x v="3"/>
    <n v="4.5750000000000002"/>
  </r>
  <r>
    <x v="151"/>
    <s v="L00-OPD-CC4-S040-02"/>
    <n v="1874707"/>
    <n v="0"/>
    <n v="0"/>
    <n v="0"/>
    <e v="#DIV/0!"/>
    <x v="4"/>
    <e v="#N/A"/>
  </r>
  <r>
    <x v="151"/>
    <s v="Family Type: 1500w x 3050h, Family: Window External Type 3 - Recessed and Angle"/>
    <s v="Vector(X = -0.992, Y = -0.128, Z = 0.000, Length = 1.000)"/>
    <n v="-1"/>
    <n v="-0.1"/>
    <n v="0"/>
    <n v="-174.28940686250036"/>
    <x v="2"/>
    <n v="4.5750000000000002"/>
  </r>
  <r>
    <x v="152"/>
    <s v="L00-EMG-EDE-S099-01"/>
    <n v="1874717"/>
    <n v="0"/>
    <n v="0"/>
    <n v="0"/>
    <e v="#DIV/0!"/>
    <x v="4"/>
    <e v="#N/A"/>
  </r>
  <r>
    <x v="152"/>
    <s v="Family Type: Curtain Wall_585w x 3200h, Family: Window External Type 6 - Bespoke Flush, Recessed"/>
    <s v="Vector(X = 0.977, Y = 0.212, Z = 0.000, Length = 1.000)"/>
    <n v="1"/>
    <n v="0.2"/>
    <n v="0"/>
    <n v="11.309932474020215"/>
    <x v="5"/>
    <n v="0"/>
  </r>
  <r>
    <x v="153"/>
    <s v="L00-EMG-EDI-S103-01"/>
    <n v="1874719"/>
    <n v="0"/>
    <n v="0"/>
    <n v="0"/>
    <e v="#DIV/0!"/>
    <x v="4"/>
    <e v="#N/A"/>
  </r>
  <r>
    <x v="153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54"/>
    <s v="L00-EMG-EDI-S115-01"/>
    <n v="1874729"/>
    <n v="0"/>
    <n v="0"/>
    <n v="0"/>
    <e v="#DIV/0!"/>
    <x v="4"/>
    <e v="#N/A"/>
  </r>
  <r>
    <x v="154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155"/>
    <s v="L00-EMG-EDE-U0291-01"/>
    <n v="1874755"/>
    <n v="0"/>
    <n v="0"/>
    <n v="0"/>
    <e v="#DIV/0!"/>
    <x v="4"/>
    <e v="#N/A"/>
  </r>
  <r>
    <x v="155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155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155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156"/>
    <s v="L00-EMG-EDE-S148-01"/>
    <n v="1874759"/>
    <n v="0"/>
    <n v="0"/>
    <n v="0"/>
    <e v="#DIV/0!"/>
    <x v="4"/>
    <e v="#N/A"/>
  </r>
  <r>
    <x v="156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156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156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156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156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156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156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156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156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156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156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156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156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156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156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156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156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157"/>
    <s v="L00-IMG-MIM-U0333-01"/>
    <n v="1874793"/>
    <n v="0"/>
    <n v="0"/>
    <n v="0"/>
    <e v="#DIV/0!"/>
    <x v="4"/>
    <e v="#N/A"/>
  </r>
  <r>
    <x v="157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57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158"/>
    <s v="L00-EMG-MRR-S104-01"/>
    <n v="1874928"/>
    <n v="0"/>
    <n v="0"/>
    <n v="0"/>
    <e v="#DIV/0!"/>
    <x v="4"/>
    <e v="#N/A"/>
  </r>
  <r>
    <x v="158"/>
    <s v="Family Type: Curtain Wall_585w x 3200h, Family: Window External Type 6 - Bespoke Flush, Recessed"/>
    <s v="Vector(X = 0.977, Y = 0.212, Z = 0.000, Length = 1.000)"/>
    <n v="1"/>
    <n v="0.2"/>
    <n v="0"/>
    <n v="11.309932474020215"/>
    <x v="5"/>
    <n v="0"/>
  </r>
  <r>
    <x v="158"/>
    <s v="Family Type: Curtain Wall_585w x 3200h, Family: Window External Type 6 - Bespoke Flush, Recessed"/>
    <s v="Vector(X = 0.977, Y = 0.212, Z = 0.000, Length = 1.000)"/>
    <n v="1"/>
    <n v="0.2"/>
    <n v="0"/>
    <n v="11.309932474020215"/>
    <x v="5"/>
    <n v="0"/>
  </r>
  <r>
    <x v="159"/>
    <s v="L00-IMG-MSS-S103-01"/>
    <n v="1874986"/>
    <n v="0"/>
    <n v="0"/>
    <n v="0"/>
    <e v="#DIV/0!"/>
    <x v="4"/>
    <e v="#N/A"/>
  </r>
  <r>
    <x v="159"/>
    <s v="Family Type: 1950w x 3050h, Family: Window Internal Type 1 - Flush"/>
    <s v="Vector(X = -0.872, Y = -0.489, Z = 0.000, Length = 1.000)"/>
    <n v="-0.9"/>
    <n v="-0.5"/>
    <n v="0"/>
    <n v="-150.94539590092285"/>
    <x v="2"/>
    <n v="5.9474999999999998"/>
  </r>
  <r>
    <x v="159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159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60"/>
    <s v="L00-IMG-MSS-L053-01"/>
    <n v="1874988"/>
    <n v="0"/>
    <n v="0"/>
    <n v="0"/>
    <e v="#DIV/0!"/>
    <x v="4"/>
    <e v="#N/A"/>
  </r>
  <r>
    <x v="160"/>
    <s v="Family Type: 1950w x 3050h, Family: Window Internal Type 1 - Flush"/>
    <s v="Vector(X = -0.872, Y = -0.489, Z = 0.000, Length = 1.000)"/>
    <n v="-0.9"/>
    <n v="-0.5"/>
    <n v="0"/>
    <n v="-150.94539590092285"/>
    <x v="2"/>
    <n v="5.9474999999999998"/>
  </r>
  <r>
    <x v="160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160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161"/>
    <s v="L00-IMG-MSS-L050-01"/>
    <n v="1875006"/>
    <n v="0"/>
    <n v="0"/>
    <n v="0"/>
    <e v="#DIV/0!"/>
    <x v="4"/>
    <e v="#N/A"/>
  </r>
  <r>
    <x v="161"/>
    <s v="Family Type: Curtain Wall_1512w x 3200h, Family: Window External Type 6 - Flush, Recessed"/>
    <s v="Vector(X = 0.873, Y = 0.489, Z = 0.000, Length = 1.000)"/>
    <n v="0.9"/>
    <n v="0.5"/>
    <n v="0"/>
    <n v="29.054604099077146"/>
    <x v="5"/>
    <n v="4.8384"/>
  </r>
  <r>
    <x v="161"/>
    <s v="Family Type: Curtain Wall_1950w x 3200h, Family: Window External Type 6 - Flush, Recessed"/>
    <s v="Vector(X = 0.873, Y = 0.489, Z = 0.000, Length = 1.000)"/>
    <n v="0.9"/>
    <n v="0.5"/>
    <n v="0"/>
    <n v="29.054604099077146"/>
    <x v="5"/>
    <n v="6.24"/>
  </r>
  <r>
    <x v="162"/>
    <s v="L00-IMG-MSS-S132-01"/>
    <n v="1875016"/>
    <n v="0"/>
    <n v="0"/>
    <n v="0"/>
    <e v="#DIV/0!"/>
    <x v="4"/>
    <e v="#N/A"/>
  </r>
  <r>
    <x v="162"/>
    <s v="Family Type: Curtain Wall_1500w x 3200h, Family: Window External Type 6 - Flush, Recessed"/>
    <s v="Vector(X = 0.873, Y = 0.489, Z = 0.000, Length = 1.000)"/>
    <n v="0.9"/>
    <n v="0.5"/>
    <n v="0"/>
    <n v="29.054604099077146"/>
    <x v="5"/>
    <n v="4.8"/>
  </r>
  <r>
    <x v="162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162"/>
    <s v="Family Type: Curtain Wall_1950w x 3200h, Family: Window External Type 6 - Flush, Recessed"/>
    <s v="Vector(X = 0.873, Y = 0.489, Z = 0.000, Length = 1.000)"/>
    <n v="0.9"/>
    <n v="0.5"/>
    <n v="0"/>
    <n v="29.054604099077146"/>
    <x v="5"/>
    <n v="6.24"/>
  </r>
  <r>
    <x v="163"/>
    <s v="L00-IMG-MSS-L054-01"/>
    <n v="1875024"/>
    <n v="0"/>
    <n v="0"/>
    <n v="0"/>
    <e v="#DIV/0!"/>
    <x v="4"/>
    <e v="#N/A"/>
  </r>
  <r>
    <x v="163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163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163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163"/>
    <s v="Family Type: Curtain Wall_1950w x 3200h, Family: Window External Type 6 - Flush, Recessed"/>
    <s v="Vector(X = 0.873, Y = 0.489, Z = 0.000, Length = 1.000)"/>
    <n v="0.9"/>
    <n v="0.5"/>
    <n v="0"/>
    <n v="29.054604099077146"/>
    <x v="5"/>
    <n v="6.24"/>
  </r>
  <r>
    <x v="163"/>
    <s v="Family Type: Curtain Wall_1950w x 3200h, Family: Window External Type 6 - Flush, Recessed"/>
    <s v="Vector(X = 0.873, Y = 0.489, Z = 0.000, Length = 1.000)"/>
    <n v="0.9"/>
    <n v="0.5"/>
    <n v="0"/>
    <n v="29.054604099077146"/>
    <x v="5"/>
    <n v="6.24"/>
  </r>
  <r>
    <x v="163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164"/>
    <s v="L00-IMG-RSS-U0375-01"/>
    <n v="1875050"/>
    <n v="0"/>
    <n v="0"/>
    <n v="0"/>
    <e v="#DIV/0!"/>
    <x v="4"/>
    <e v="#N/A"/>
  </r>
  <r>
    <x v="164"/>
    <s v="Family Type: Curtain Wall_1500w x 3200h, Family: Window External Type 6 - Flush, Recessed"/>
    <s v="Vector(X = 0.873, Y = 0.489, Z = 0.000, Length = 1.000)"/>
    <n v="0.9"/>
    <n v="0.5"/>
    <n v="0"/>
    <n v="29.054604099077146"/>
    <x v="5"/>
    <n v="4.8"/>
  </r>
  <r>
    <x v="164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164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164"/>
    <s v="Family Type: Curtain Wall_1950w x 3200h, Family: Window External Type 6 - Flush, Recessed"/>
    <s v="Vector(X = 0.873, Y = 0.489, Z = 0.000, Length = 1.000)"/>
    <n v="0.9"/>
    <n v="0.5"/>
    <n v="0"/>
    <n v="29.054604099077146"/>
    <x v="5"/>
    <n v="6.24"/>
  </r>
  <r>
    <x v="164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164"/>
    <s v="Family Type: Curtain Wall_1500w x 3200h, Family: Window External Type 6 - Flush, Recessed"/>
    <s v="Vector(X = 0.873, Y = 0.489, Z = 0.000, Length = 1.000)"/>
    <n v="0.9"/>
    <n v="0.5"/>
    <n v="0"/>
    <n v="29.054604099077146"/>
    <x v="5"/>
    <n v="4.8"/>
  </r>
  <r>
    <x v="164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164"/>
    <s v="Family Type: Curtain Wall_1500w x 3200h, Family: Window External Type 6 - Flush, Recessed"/>
    <s v="Vector(X = 0.873, Y = 0.489, Z = 0.000, Length = 1.000)"/>
    <n v="0.9"/>
    <n v="0.5"/>
    <n v="0"/>
    <n v="29.054604099077146"/>
    <x v="5"/>
    <n v="4.8"/>
  </r>
  <r>
    <x v="164"/>
    <s v="Family Type: Curtain Wall_1500w x 3200h, Family: Window External Type 6 - Flush, Recessed"/>
    <s v="Vector(X = 0.873, Y = 0.489, Z = 0.000, Length = 1.000)"/>
    <n v="0.9"/>
    <n v="0.5"/>
    <n v="0"/>
    <n v="29.054604099077146"/>
    <x v="5"/>
    <n v="4.8"/>
  </r>
  <r>
    <x v="165"/>
    <s v="L00-IMG-NMD-S093-01"/>
    <n v="1875074"/>
    <n v="0"/>
    <n v="0"/>
    <n v="0"/>
    <e v="#DIV/0!"/>
    <x v="4"/>
    <e v="#N/A"/>
  </r>
  <r>
    <x v="165"/>
    <s v="Family Type: Curtain Wall_1950w x 3050h, Family: Window External Type 6 - Flush, Recessed"/>
    <s v="Vector(X = 0.212, Y = -0.977, Z = 0.000, Length = 1.000)"/>
    <n v="0.2"/>
    <n v="-1"/>
    <n v="0"/>
    <n v="-78.690067525979785"/>
    <x v="3"/>
    <n v="5.9474999999999998"/>
  </r>
  <r>
    <x v="165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5"/>
    <s v="Family Type: Curtain Wall_1950w x 3050h, Family: Window External Type 6 - Flush, Recessed"/>
    <s v="Vector(X = 0.212, Y = -0.977, Z = 0.000, Length = 1.000)"/>
    <n v="0.2"/>
    <n v="-1"/>
    <n v="0"/>
    <n v="-78.690067525979785"/>
    <x v="3"/>
    <n v="5.9474999999999998"/>
  </r>
  <r>
    <x v="165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5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5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5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5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5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5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5"/>
    <s v="Family Type: Curtain Wall_1500w x 3050h, Family: Window External Type 6 - Flush, Recessed"/>
    <s v="Vector(X = 0.212, Y = -0.977, Z = 0.000, Length = 1.000)"/>
    <n v="0.2"/>
    <n v="-1"/>
    <n v="0"/>
    <n v="-78.690067525979785"/>
    <x v="3"/>
    <n v="4.5749999999999993"/>
  </r>
  <r>
    <x v="165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6"/>
    <s v="L00-IMG-NMD-S104-01"/>
    <n v="1875076"/>
    <n v="0"/>
    <n v="0"/>
    <n v="0"/>
    <e v="#DIV/0!"/>
    <x v="4"/>
    <e v="#N/A"/>
  </r>
  <r>
    <x v="166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6"/>
    <s v="Family Type: Curtain Wall_1500w x 3050h, Family: Window External Type 6 - Flush, Recessed"/>
    <s v="Vector(X = 0.212, Y = -0.977, Z = 0.000, Length = 1.000)"/>
    <n v="0.2"/>
    <n v="-1"/>
    <n v="0"/>
    <n v="-78.690067525979785"/>
    <x v="3"/>
    <n v="4.5749999999999993"/>
  </r>
  <r>
    <x v="166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6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6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6"/>
    <s v="Family Type: Curtain Wall_1500w x 3050h, Family: Window External Type 6 - Flush, Recessed"/>
    <s v="Vector(X = 0.212, Y = -0.977, Z = 0.000, Length = 1.000)"/>
    <n v="0.2"/>
    <n v="-1"/>
    <n v="0"/>
    <n v="-78.690067525979785"/>
    <x v="3"/>
    <n v="4.5749999999999993"/>
  </r>
  <r>
    <x v="167"/>
    <s v="L00-IMG-NMD-S103-01"/>
    <n v="1875080"/>
    <n v="0"/>
    <n v="0"/>
    <n v="0"/>
    <e v="#DIV/0!"/>
    <x v="4"/>
    <e v="#N/A"/>
  </r>
  <r>
    <x v="167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7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7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7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7"/>
    <s v="Family Type: Curtain Wall_1500w x 3050h, Family: Window External Type 6 - Flush, Recessed"/>
    <s v="Vector(X = 0.212, Y = -0.977, Z = 0.000, Length = 1.000)"/>
    <n v="0.2"/>
    <n v="-1"/>
    <n v="0"/>
    <n v="-78.690067525979785"/>
    <x v="3"/>
    <n v="4.5749999999999993"/>
  </r>
  <r>
    <x v="168"/>
    <s v="L00-IMG-NMD-S109-01"/>
    <n v="1875082"/>
    <n v="0"/>
    <n v="0"/>
    <n v="0"/>
    <e v="#DIV/0!"/>
    <x v="4"/>
    <e v="#N/A"/>
  </r>
  <r>
    <x v="168"/>
    <s v="Family Type: Curtain Wall_1950w x 3050h, Family: Window External Type 6 - Flush, Recessed"/>
    <s v="Vector(X = 0.212, Y = -0.977, Z = 0.000, Length = 1.000)"/>
    <n v="0.2"/>
    <n v="-1"/>
    <n v="0"/>
    <n v="-78.690067525979785"/>
    <x v="3"/>
    <n v="5.9474999999999998"/>
  </r>
  <r>
    <x v="168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8"/>
    <s v="Family Type: Curtain Wall_1950w x 3050h, Family: Window External Type 6 - Flush, Recessed"/>
    <s v="Vector(X = 0.212, Y = -0.977, Z = 0.000, Length = 1.000)"/>
    <n v="0.2"/>
    <n v="-1"/>
    <n v="0"/>
    <n v="-78.690067525979785"/>
    <x v="3"/>
    <n v="5.9474999999999998"/>
  </r>
  <r>
    <x v="169"/>
    <s v="L00-IMG-NMD-U0388-01"/>
    <n v="1875094"/>
    <n v="0"/>
    <n v="0"/>
    <n v="0"/>
    <e v="#DIV/0!"/>
    <x v="4"/>
    <e v="#N/A"/>
  </r>
  <r>
    <x v="16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169"/>
    <s v="Family Type: Curtain Wall_975w x 3200h, Family: Window External Type 6 - Flush, Recessed"/>
    <s v="Vector(X = 0.872, Y = 0.489, Z = 0.000, Length = 1.000)"/>
    <n v="0.9"/>
    <n v="0.5"/>
    <n v="0"/>
    <n v="29.054604099077146"/>
    <x v="5"/>
    <n v="3.12"/>
  </r>
  <r>
    <x v="169"/>
    <s v="Family Type: Curtain Wall_1500w x 3200h, Family: Window External Type 6 - Flush, Recessed"/>
    <s v="Vector(X = 0.872, Y = 0.489, Z = 0.000, Length = 1.000)"/>
    <n v="0.9"/>
    <n v="0.5"/>
    <n v="0"/>
    <n v="29.054604099077146"/>
    <x v="5"/>
    <n v="4.8"/>
  </r>
  <r>
    <x v="169"/>
    <s v="Family Type: Curtain Wall_1950w x 3200h, Family: Window External Type 6 - Flush, Recessed"/>
    <s v="Vector(X = 0.872, Y = 0.489, Z = 0.000, Length = 1.000)"/>
    <n v="0.9"/>
    <n v="0.5"/>
    <n v="0"/>
    <n v="29.054604099077146"/>
    <x v="5"/>
    <n v="6.24"/>
  </r>
  <r>
    <x v="169"/>
    <s v="Family Type: Curtain Wall_1950w x 3200h, Family: Window External Type 6 - Flush, Recessed"/>
    <s v="Vector(X = 0.872, Y = 0.489, Z = 0.000, Length = 1.000)"/>
    <n v="0.9"/>
    <n v="0.5"/>
    <n v="0"/>
    <n v="29.054604099077146"/>
    <x v="5"/>
    <n v="6.24"/>
  </r>
  <r>
    <x v="169"/>
    <s v="Family Type: Curtain Wall_975w x 3200h, Family: Window External Type 6 - Flush, Recessed"/>
    <s v="Vector(X = 0.872, Y = 0.489, Z = 0.000, Length = 1.000)"/>
    <n v="0.9"/>
    <n v="0.5"/>
    <n v="0"/>
    <n v="29.054604099077146"/>
    <x v="5"/>
    <n v="3.12"/>
  </r>
  <r>
    <x v="170"/>
    <s v="L00-IMG-NMD-S133-01"/>
    <n v="1875098"/>
    <n v="0"/>
    <n v="0"/>
    <n v="0"/>
    <e v="#DIV/0!"/>
    <x v="4"/>
    <e v="#N/A"/>
  </r>
  <r>
    <x v="170"/>
    <s v="Family Type: Curtain Wall_1500w x 3200h, Family: Window External Type 6 - Flush, Recessed"/>
    <s v="Vector(X = 0.872, Y = 0.489, Z = 0.000, Length = 1.000)"/>
    <n v="0.9"/>
    <n v="0.5"/>
    <n v="0"/>
    <n v="29.054604099077146"/>
    <x v="5"/>
    <n v="4.8"/>
  </r>
  <r>
    <x v="170"/>
    <s v="Family Type: Curtain Wall_975w x 3200h, Family: Window External Type 6 - Flush, Recessed"/>
    <s v="Vector(X = 0.872, Y = 0.489, Z = 0.000, Length = 1.000)"/>
    <n v="0.9"/>
    <n v="0.5"/>
    <n v="0"/>
    <n v="29.054604099077146"/>
    <x v="5"/>
    <n v="3.12"/>
  </r>
  <r>
    <x v="170"/>
    <s v="Family Type: Curtain Wall_975w x 3200h, Family: Window External Type 6 - Flush, Recessed"/>
    <s v="Vector(X = 0.872, Y = 0.489, Z = 0.000, Length = 1.000)"/>
    <n v="0.9"/>
    <n v="0.5"/>
    <n v="0"/>
    <n v="29.054604099077146"/>
    <x v="5"/>
    <n v="3.12"/>
  </r>
  <r>
    <x v="170"/>
    <s v="Family Type: Curtain Wall_975w x 3200h, Family: Window External Type 6 - Flush, Recessed"/>
    <s v="Vector(X = 0.872, Y = 0.489, Z = 0.000, Length = 1.000)"/>
    <n v="0.9"/>
    <n v="0.5"/>
    <n v="0"/>
    <n v="29.054604099077146"/>
    <x v="5"/>
    <n v="3.12"/>
  </r>
  <r>
    <x v="170"/>
    <s v="Family Type: Curtain Wall_1500w x 3200h, Family: Window External Type 6 - Flush, Recessed"/>
    <s v="Vector(X = 0.872, Y = 0.489, Z = 0.000, Length = 1.000)"/>
    <n v="0.9"/>
    <n v="0.5"/>
    <n v="0"/>
    <n v="29.054604099077146"/>
    <x v="5"/>
    <n v="4.8"/>
  </r>
  <r>
    <x v="170"/>
    <s v="Family Type: Curtain Wall_975w x 3200h, Family: Window External Type 6 - Flush, Recessed"/>
    <s v="Vector(X = 0.872, Y = 0.489, Z = 0.000, Length = 1.000)"/>
    <n v="0.9"/>
    <n v="0.5"/>
    <n v="0"/>
    <n v="29.054604099077146"/>
    <x v="5"/>
    <n v="3.12"/>
  </r>
  <r>
    <x v="171"/>
    <s v="L00-IMG-SUP-U0394-01"/>
    <n v="1875108"/>
    <n v="0"/>
    <n v="0"/>
    <n v="0"/>
    <e v="#DIV/0!"/>
    <x v="4"/>
    <e v="#N/A"/>
  </r>
  <r>
    <x v="171"/>
    <s v="Family Type: 1950w x 3050h, Family: Window Internal Type 1 - Flush"/>
    <s v="Vector(X = 0.212, Y = -0.977, Z = 0.000, Length = 1.000)"/>
    <n v="0.2"/>
    <n v="-1"/>
    <n v="0"/>
    <n v="-78.690067525979785"/>
    <x v="3"/>
    <n v="5.9474999999999998"/>
  </r>
  <r>
    <x v="172"/>
    <s v="L00-IMG-SWS-S094-01"/>
    <n v="1875134"/>
    <n v="0"/>
    <n v="0"/>
    <n v="0"/>
    <e v="#DIV/0!"/>
    <x v="4"/>
    <e v="#N/A"/>
  </r>
  <r>
    <x v="172"/>
    <s v="Family Type: 1950w x 3050h, Family: Window Internal Type 1 - Flush"/>
    <s v="Vector(X = 0.212, Y = -0.977, Z = 0.000, Length = 1.000)"/>
    <n v="0.2"/>
    <n v="-1"/>
    <n v="0"/>
    <n v="-78.690067525979785"/>
    <x v="3"/>
    <n v="5.9474999999999998"/>
  </r>
  <r>
    <x v="173"/>
    <s v="L00-IMG-SWS-S115-01"/>
    <n v="1875138"/>
    <n v="0"/>
    <n v="0"/>
    <n v="0"/>
    <e v="#DIV/0!"/>
    <x v="4"/>
    <e v="#N/A"/>
  </r>
  <r>
    <x v="173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173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173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73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173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73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173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174"/>
    <s v="L00-IMG-MSS-L050-02"/>
    <n v="1875264"/>
    <n v="0"/>
    <n v="0"/>
    <n v="0"/>
    <e v="#DIV/0!"/>
    <x v="4"/>
    <e v="#N/A"/>
  </r>
  <r>
    <x v="174"/>
    <s v="Family Type: Curtain Wall_1500w x 3200h, Family: Window External Type 6 - Flush, Recessed"/>
    <s v="Vector(X = 0.872, Y = 0.489, Z = 0.000, Length = 1.000)"/>
    <n v="0.9"/>
    <n v="0.5"/>
    <n v="0"/>
    <n v="29.054604099077146"/>
    <x v="5"/>
    <n v="4.8"/>
  </r>
  <r>
    <x v="174"/>
    <s v="Family Type: Curtain Wall_1950w x 3200h, Family: Window External Type 6 - Flush, Recessed"/>
    <s v="Vector(X = 0.872, Y = 0.489, Z = 0.000, Length = 1.000)"/>
    <n v="0.9"/>
    <n v="0.5"/>
    <n v="0"/>
    <n v="29.054604099077146"/>
    <x v="5"/>
    <n v="6.24"/>
  </r>
  <r>
    <x v="175"/>
    <s v="L00-IMG-MSS-L054-02"/>
    <n v="1875276"/>
    <n v="0"/>
    <n v="0"/>
    <n v="0"/>
    <e v="#DIV/0!"/>
    <x v="4"/>
    <e v="#N/A"/>
  </r>
  <r>
    <x v="175"/>
    <s v="Family Type: Curtain Wall_1500w x 3200h, Family: Window External Type 6 - Flush, Recessed"/>
    <s v="Vector(X = 0.873, Y = 0.489, Z = 0.000, Length = 1.000)"/>
    <n v="0.9"/>
    <n v="0.5"/>
    <n v="0"/>
    <n v="29.054604099077146"/>
    <x v="5"/>
    <n v="4.8"/>
  </r>
  <r>
    <x v="175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175"/>
    <s v="Family Type: Curtain Wall_1000w x 3200h, Family: Window External Type 6 - Flush, Recessed"/>
    <s v="Vector(X = 0.873, Y = 0.489, Z = 0.000, Length = 1.000)"/>
    <n v="0.9"/>
    <n v="0.5"/>
    <n v="0"/>
    <n v="29.054604099077146"/>
    <x v="5"/>
    <n v="3.2"/>
  </r>
  <r>
    <x v="175"/>
    <s v="Family Type: Curtain Wall_1950w x 3200h, Family: Window External Type 6 - Flush, Recessed"/>
    <s v="Vector(X = 0.873, Y = 0.489, Z = 0.000, Length = 1.000)"/>
    <n v="0.9"/>
    <n v="0.5"/>
    <n v="0"/>
    <n v="29.054604099077146"/>
    <x v="5"/>
    <n v="6.24"/>
  </r>
  <r>
    <x v="175"/>
    <s v="Family Type: Curtain Wall_1950w x 3200h, Family: Window External Type 6 - Flush, Recessed"/>
    <s v="Vector(X = 0.873, Y = 0.489, Z = 0.000, Length = 1.000)"/>
    <n v="0.9"/>
    <n v="0.5"/>
    <n v="0"/>
    <n v="29.054604099077146"/>
    <x v="5"/>
    <n v="6.24"/>
  </r>
  <r>
    <x v="175"/>
    <s v="Family Type: Curtain Wall_1000w x 3200h, Family: Window External Type 6 - Flush, Recessed"/>
    <s v="Vector(X = 0.873, Y = 0.489, Z = 0.000, Length = 1.000)"/>
    <n v="0.9"/>
    <n v="0.5"/>
    <n v="0"/>
    <n v="29.054604099077146"/>
    <x v="5"/>
    <n v="3.2"/>
  </r>
  <r>
    <x v="176"/>
    <s v="L00-IMG-MSS-L054-04"/>
    <n v="1875280"/>
    <n v="0"/>
    <n v="0"/>
    <n v="0"/>
    <e v="#DIV/0!"/>
    <x v="4"/>
    <e v="#N/A"/>
  </r>
  <r>
    <x v="176"/>
    <s v="Family Type: Curtain Wall_975w x 3200h, Family: Window External Type 6 - Flush, Recessed"/>
    <s v="Vector(X = 0.872, Y = 0.489, Z = 0.000, Length = 1.000)"/>
    <n v="0.9"/>
    <n v="0.5"/>
    <n v="0"/>
    <n v="29.054604099077146"/>
    <x v="5"/>
    <n v="3.12"/>
  </r>
  <r>
    <x v="176"/>
    <s v="Family Type: Curtain Wall_1000w x 3200h, Family: Window External Type 6 - Flush, Recessed"/>
    <s v="Vector(X = 0.872, Y = 0.489, Z = 0.000, Length = 1.000)"/>
    <n v="0.9"/>
    <n v="0.5"/>
    <n v="0"/>
    <n v="29.054604099077146"/>
    <x v="5"/>
    <n v="3.2"/>
  </r>
  <r>
    <x v="176"/>
    <s v="Family Type: Curtain Wall_1950w x 3200h, Family: Window External Type 6 - Flush, Recessed"/>
    <s v="Vector(X = 0.872, Y = 0.489, Z = 0.000, Length = 1.000)"/>
    <n v="0.9"/>
    <n v="0.5"/>
    <n v="0"/>
    <n v="29.054604099077146"/>
    <x v="5"/>
    <n v="6.24"/>
  </r>
  <r>
    <x v="176"/>
    <s v="Family Type: Curtain Wall_1950w x 3200h, Family: Window External Type 6 - Flush, Recessed"/>
    <s v="Vector(X = 0.872, Y = 0.489, Z = 0.000, Length = 1.000)"/>
    <n v="0.9"/>
    <n v="0.5"/>
    <n v="0"/>
    <n v="29.054604099077146"/>
    <x v="5"/>
    <n v="6.24"/>
  </r>
  <r>
    <x v="176"/>
    <s v="Family Type: Curtain Wall_1000w x 3200h, Family: Window External Type 6 - Flush, Recessed"/>
    <s v="Vector(X = 0.872, Y = 0.489, Z = 0.000, Length = 1.000)"/>
    <n v="0.9"/>
    <n v="0.5"/>
    <n v="0"/>
    <n v="29.054604099077146"/>
    <x v="5"/>
    <n v="3.2"/>
  </r>
  <r>
    <x v="177"/>
    <s v="L00-EMG-OBS-S053-01"/>
    <n v="1875300"/>
    <n v="0"/>
    <n v="0"/>
    <n v="0"/>
    <e v="#DIV/0!"/>
    <x v="4"/>
    <e v="#N/A"/>
  </r>
  <r>
    <x v="177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177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178"/>
    <s v="L00-EMG-REA-X009-01"/>
    <n v="1875340"/>
    <n v="0"/>
    <n v="0"/>
    <n v="0"/>
    <e v="#DIV/0!"/>
    <x v="4"/>
    <e v="#N/A"/>
  </r>
  <r>
    <x v="178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79"/>
    <s v="L00-EMG-REA-X010-01"/>
    <n v="1875342"/>
    <n v="0"/>
    <n v="0"/>
    <n v="0"/>
    <e v="#DIV/0!"/>
    <x v="4"/>
    <e v="#N/A"/>
  </r>
  <r>
    <x v="179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180"/>
    <s v="L00-EMG-OTA-S096-01"/>
    <n v="1875418"/>
    <n v="0"/>
    <n v="0"/>
    <n v="0"/>
    <e v="#DIV/0!"/>
    <x v="4"/>
    <e v="#N/A"/>
  </r>
  <r>
    <x v="180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181"/>
    <s v="L00-EMG-OTA-S108-01"/>
    <n v="1875440"/>
    <n v="0"/>
    <n v="0"/>
    <n v="0"/>
    <e v="#DIV/0!"/>
    <x v="4"/>
    <e v="#N/A"/>
  </r>
  <r>
    <x v="181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182"/>
    <s v="L00-EMG-OTA-S069-05"/>
    <n v="1875464"/>
    <n v="0"/>
    <n v="0"/>
    <n v="0"/>
    <e v="#DIV/0!"/>
    <x v="4"/>
    <e v="#N/A"/>
  </r>
  <r>
    <x v="182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183"/>
    <s v="L00-OPD-PCR-S081-01"/>
    <n v="1875506"/>
    <n v="0"/>
    <n v="0"/>
    <n v="0"/>
    <e v="#DIV/0!"/>
    <x v="4"/>
    <e v="#N/A"/>
  </r>
  <r>
    <x v="183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184"/>
    <s v="L00-OPD-PCR-S147-01"/>
    <n v="1875508"/>
    <n v="0"/>
    <n v="0"/>
    <n v="0"/>
    <e v="#DIV/0!"/>
    <x v="4"/>
    <e v="#N/A"/>
  </r>
  <r>
    <x v="5"/>
    <s v="none"/>
    <s v="Vector(X = 0.212, Y = -0.977, Z = 0.000, Length = 1.000)"/>
    <n v="0.2"/>
    <n v="-1"/>
    <n v="0"/>
    <n v="-78.690067525979785"/>
    <x v="3"/>
    <e v="#N/A"/>
  </r>
  <r>
    <x v="5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185"/>
    <s v="L00-OPD-PCR-S075-01"/>
    <n v="1875510"/>
    <n v="0"/>
    <n v="0"/>
    <n v="0"/>
    <e v="#DIV/0!"/>
    <x v="4"/>
    <e v="#N/A"/>
  </r>
  <r>
    <x v="185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186"/>
    <s v="L00-OPD-PCR-S108-01"/>
    <n v="1875516"/>
    <n v="0"/>
    <n v="0"/>
    <n v="0"/>
    <e v="#DIV/0!"/>
    <x v="4"/>
    <e v="#N/A"/>
  </r>
  <r>
    <x v="186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187"/>
    <s v="L00-OPD-PCR-S028-02"/>
    <n v="1875530"/>
    <n v="0"/>
    <n v="0"/>
    <n v="0"/>
    <e v="#DIV/0!"/>
    <x v="4"/>
    <e v="#N/A"/>
  </r>
  <r>
    <x v="187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188"/>
    <s v="L00-OPD-PCR-S028-03"/>
    <n v="1875532"/>
    <n v="0"/>
    <n v="0"/>
    <n v="0"/>
    <e v="#DIV/0!"/>
    <x v="4"/>
    <e v="#N/A"/>
  </r>
  <r>
    <x v="188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189"/>
    <s v="L00-OPD-PCR-S028-04"/>
    <n v="1875534"/>
    <n v="0"/>
    <n v="0"/>
    <n v="0"/>
    <e v="#DIV/0!"/>
    <x v="4"/>
    <e v="#N/A"/>
  </r>
  <r>
    <x v="189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190"/>
    <s v="L00-OPD-PCR-S028-05"/>
    <n v="1875536"/>
    <n v="0"/>
    <n v="0"/>
    <n v="0"/>
    <e v="#DIV/0!"/>
    <x v="4"/>
    <e v="#N/A"/>
  </r>
  <r>
    <x v="190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191"/>
    <s v="L00-OPD-PCR-S028-06"/>
    <n v="1875538"/>
    <n v="0"/>
    <n v="0"/>
    <n v="0"/>
    <e v="#DIV/0!"/>
    <x v="4"/>
    <e v="#N/A"/>
  </r>
  <r>
    <x v="191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192"/>
    <s v="L00-OPD-PCR-S028-07"/>
    <n v="1875540"/>
    <n v="0"/>
    <n v="0"/>
    <n v="0"/>
    <e v="#DIV/0!"/>
    <x v="4"/>
    <e v="#N/A"/>
  </r>
  <r>
    <x v="192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193"/>
    <s v="L00-OPD-PCR-S028-08"/>
    <n v="1875542"/>
    <n v="0"/>
    <n v="0"/>
    <n v="0"/>
    <e v="#DIV/0!"/>
    <x v="4"/>
    <e v="#N/A"/>
  </r>
  <r>
    <x v="193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194"/>
    <s v="L00-OPD-PCR-S028-09"/>
    <n v="1875544"/>
    <n v="0"/>
    <n v="0"/>
    <n v="0"/>
    <e v="#DIV/0!"/>
    <x v="4"/>
    <e v="#N/A"/>
  </r>
  <r>
    <x v="194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195"/>
    <s v="L00-EMG-SWS-S115-01"/>
    <n v="1876138"/>
    <n v="0"/>
    <n v="0"/>
    <n v="0"/>
    <e v="#DIV/0!"/>
    <x v="4"/>
    <e v="#N/A"/>
  </r>
  <r>
    <x v="195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195"/>
    <s v="Family Type: 1950w x 3050h, Family: Window Internal Type 1 - Flush"/>
    <s v="Vector(X = 0.212, Y = -0.977, Z = 0.000, Length = 1.000)"/>
    <n v="0.2"/>
    <n v="-1"/>
    <n v="0"/>
    <n v="-78.690067525979785"/>
    <x v="3"/>
    <n v="5.9474999999999998"/>
  </r>
  <r>
    <x v="195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195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196"/>
    <s v="L00-EMG-SWS-S115-02"/>
    <n v="1876140"/>
    <n v="0"/>
    <n v="0"/>
    <n v="0"/>
    <e v="#DIV/0!"/>
    <x v="4"/>
    <e v="#N/A"/>
  </r>
  <r>
    <x v="196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197"/>
    <s v="L00-EMG-SWS-S094-01"/>
    <n v="1876150"/>
    <n v="0"/>
    <n v="0"/>
    <n v="0"/>
    <e v="#DIV/0!"/>
    <x v="4"/>
    <e v="#N/A"/>
  </r>
  <r>
    <x v="197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197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198"/>
    <s v="L00-EMG-SWS-S095-01"/>
    <n v="1876152"/>
    <n v="0"/>
    <n v="0"/>
    <n v="0"/>
    <e v="#DIV/0!"/>
    <x v="4"/>
    <e v="#N/A"/>
  </r>
  <r>
    <x v="198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199"/>
    <s v="L00-EMG-SWS-S063-01"/>
    <n v="1876154"/>
    <n v="0"/>
    <n v="0"/>
    <n v="0"/>
    <e v="#DIV/0!"/>
    <x v="4"/>
    <e v="#N/A"/>
  </r>
  <r>
    <x v="199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200"/>
    <s v="L00-OPD-DC1-S029-01"/>
    <n v="1876274"/>
    <n v="0"/>
    <n v="0"/>
    <n v="0"/>
    <e v="#DIV/0!"/>
    <x v="4"/>
    <e v="#N/A"/>
  </r>
  <r>
    <x v="200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200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201"/>
    <s v="L00-OPD-DC1-S060-01"/>
    <n v="1876278"/>
    <n v="0"/>
    <n v="0"/>
    <n v="0"/>
    <e v="#DIV/0!"/>
    <x v="4"/>
    <e v="#N/A"/>
  </r>
  <r>
    <x v="201"/>
    <s v="Family Type: 1950w x 3050h, Family: Window External Type 1 - Recessed"/>
    <s v="Vector(X = -0.212, Y = 0.977, Z = 0.000, Length = 1.000)"/>
    <n v="-0.2"/>
    <n v="1"/>
    <n v="0"/>
    <n v="101.3099324740202"/>
    <x v="1"/>
    <n v="5.9474999999999998"/>
  </r>
  <r>
    <x v="201"/>
    <s v="Family Type: 1500w x 3050h, Family: Window External Type 3 - Recessed and Angle"/>
    <s v="Vector(X = -0.977, Y = -0.212, Z = 0.000, Length = 1.000)"/>
    <n v="-1"/>
    <n v="-0.2"/>
    <n v="0"/>
    <n v="-168.69006752597977"/>
    <x v="2"/>
    <n v="4.5750000000000002"/>
  </r>
  <r>
    <x v="202"/>
    <s v="L00-OPD-DC1-S108-02"/>
    <n v="1876288"/>
    <n v="0"/>
    <n v="0"/>
    <n v="0"/>
    <e v="#DIV/0!"/>
    <x v="4"/>
    <e v="#N/A"/>
  </r>
  <r>
    <x v="203"/>
    <s v="none - connecect to atrium"/>
    <s v="Vector(X = -0.212, Y = 0.977, Z = 0.000, Length = 1.000)"/>
    <n v="-0.2"/>
    <n v="1"/>
    <n v="0"/>
    <n v="101.3099324740202"/>
    <x v="1"/>
    <e v="#N/A"/>
  </r>
  <r>
    <x v="204"/>
    <s v="L00-OPD-DC1-S129-01"/>
    <n v="1876290"/>
    <n v="0"/>
    <n v="0"/>
    <n v="0"/>
    <e v="#DIV/0!"/>
    <x v="4"/>
    <e v="#N/A"/>
  </r>
  <r>
    <x v="203"/>
    <s v="none - connecect to atrium"/>
    <s v="Vector(X = -0.212, Y = 0.977, Z = 0.000, Length = 1.000)"/>
    <n v="-0.2"/>
    <n v="1"/>
    <n v="0"/>
    <n v="101.3099324740202"/>
    <x v="1"/>
    <e v="#N/A"/>
  </r>
  <r>
    <x v="203"/>
    <s v="none - connecect to atrium"/>
    <s v="Vector(X = 0.973, Y = 0.232, Z = 0.000, Length = 1.000)"/>
    <n v="1"/>
    <n v="0.2"/>
    <n v="0"/>
    <n v="11.309932474020215"/>
    <x v="5"/>
    <e v="#N/A"/>
  </r>
  <r>
    <x v="203"/>
    <s v="none - connecect to atrium"/>
    <s v="Vector(X = 0.964, Y = 0.264, Z = 0.000, Length = 1.000)"/>
    <n v="1"/>
    <n v="0.3"/>
    <n v="0"/>
    <n v="16.699244233993621"/>
    <x v="5"/>
    <e v="#N/A"/>
  </r>
  <r>
    <x v="203"/>
    <s v="none - connecect to atrium"/>
    <s v="Vector(X = 0.967, Y = 0.253, Z = 0.000, Length = 1.000)"/>
    <n v="1"/>
    <n v="0.3"/>
    <n v="0"/>
    <n v="16.699244233993621"/>
    <x v="5"/>
    <e v="#N/A"/>
  </r>
  <r>
    <x v="203"/>
    <s v="none - connecect to atrium"/>
    <s v="Vector(X = -0.212, Y = 0.977, Z = 0.000, Length = 1.000)"/>
    <n v="-0.2"/>
    <n v="1"/>
    <n v="0"/>
    <n v="101.3099324740202"/>
    <x v="1"/>
    <e v="#N/A"/>
  </r>
  <r>
    <x v="203"/>
    <s v="none - connecect to atrium"/>
    <s v="Vector(X = 0.970, Y = 0.245, Z = 0.000, Length = 1.000)"/>
    <n v="1"/>
    <n v="0.2"/>
    <n v="0"/>
    <n v="11.309932474020215"/>
    <x v="5"/>
    <e v="#N/A"/>
  </r>
  <r>
    <x v="205"/>
    <s v="L00-OPD-DC1-S029-02"/>
    <n v="1876306"/>
    <n v="0"/>
    <n v="0"/>
    <n v="0"/>
    <e v="#DIV/0!"/>
    <x v="4"/>
    <e v="#N/A"/>
  </r>
  <r>
    <x v="205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206"/>
    <s v="L00-MAI-CHI-U0782-01"/>
    <n v="1882449"/>
    <n v="0"/>
    <n v="0"/>
    <n v="0"/>
    <e v="#DIV/0!"/>
    <x v="4"/>
    <e v="#N/A"/>
  </r>
  <r>
    <x v="203"/>
    <s v="none - connecect to atrium"/>
    <s v="Vector(X = 0.901, Y = 0.434, Z = 0.000, Length = 1.000)"/>
    <n v="0.9"/>
    <n v="0.4"/>
    <n v="0"/>
    <n v="23.962488974578186"/>
    <x v="5"/>
    <e v="#N/A"/>
  </r>
  <r>
    <x v="207"/>
    <s v="L00-EMG-OTA-S103-01"/>
    <n v="1882481"/>
    <n v="0"/>
    <n v="0"/>
    <n v="0"/>
    <e v="#DIV/0!"/>
    <x v="4"/>
    <e v="#N/A"/>
  </r>
  <r>
    <x v="207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08"/>
    <s v="L00-MAI-PUB-S053-02"/>
    <n v="1882551"/>
    <n v="0"/>
    <n v="0"/>
    <n v="0"/>
    <e v="#DIV/0!"/>
    <x v="4"/>
    <e v="#N/A"/>
  </r>
  <r>
    <x v="203"/>
    <s v="none - connecect to atrium"/>
    <s v="Vector(X = 0.948, Y = 0.319, Z = 0.000, Length = 1.000)"/>
    <n v="0.9"/>
    <n v="0.3"/>
    <n v="0"/>
    <n v="18.43494882292201"/>
    <x v="5"/>
    <e v="#N/A"/>
  </r>
  <r>
    <x v="203"/>
    <s v="none - connecect to atrium"/>
    <s v="Vector(X = 0.941, Y = 0.339, Z = 0.000, Length = 1.000)"/>
    <n v="0.9"/>
    <n v="0.3"/>
    <n v="0"/>
    <n v="18.43494882292201"/>
    <x v="5"/>
    <e v="#N/A"/>
  </r>
  <r>
    <x v="209"/>
    <s v="L00-OPD-CC3-S028-01"/>
    <n v="1891213"/>
    <n v="0"/>
    <n v="0"/>
    <n v="0"/>
    <e v="#DIV/0!"/>
    <x v="4"/>
    <e v="#N/A"/>
  </r>
  <r>
    <x v="209"/>
    <s v="Family Type: 1500w x 3050h, Family: Window External Type 3 - Recessed and Angle"/>
    <s v="Vector(X = -0.530, Y = 0.848, Z = 0.000, Length = 1.000)"/>
    <n v="-0.5"/>
    <n v="0.8"/>
    <n v="0"/>
    <n v="122.0053832080835"/>
    <x v="1"/>
    <n v="4.5750000000000002"/>
  </r>
  <r>
    <x v="210"/>
    <s v="L00-OPD-CC3-S029-01"/>
    <n v="1891215"/>
    <n v="0"/>
    <n v="0"/>
    <n v="0"/>
    <e v="#DIV/0!"/>
    <x v="4"/>
    <e v="#N/A"/>
  </r>
  <r>
    <x v="210"/>
    <s v="Family Type: 975w x 3050h, Family: Window External Type 1 - Recessed"/>
    <s v="Vector(X = 0.323, Y = -0.946, Z = 0.000, Length = 1.000)"/>
    <n v="0.3"/>
    <n v="-0.9"/>
    <n v="0"/>
    <n v="-71.56505117707799"/>
    <x v="3"/>
    <n v="2.9737499999999999"/>
  </r>
  <r>
    <x v="211"/>
    <s v="L00-OPD-CC3-S035-01"/>
    <n v="1891217"/>
    <n v="0"/>
    <n v="0"/>
    <n v="0"/>
    <e v="#DIV/0!"/>
    <x v="4"/>
    <e v="#N/A"/>
  </r>
  <r>
    <x v="203"/>
    <s v="none - connecect to atrium"/>
    <s v="Vector(X = 0.914, Y = 0.405, Z = 0.000, Length = 1.000)"/>
    <n v="0.9"/>
    <n v="0.4"/>
    <n v="0"/>
    <n v="23.962488974578186"/>
    <x v="5"/>
    <e v="#N/A"/>
  </r>
  <r>
    <x v="212"/>
    <s v="L00-OPD-CC3-S108-01"/>
    <n v="1891221"/>
    <n v="0"/>
    <n v="0"/>
    <n v="0"/>
    <e v="#DIV/0!"/>
    <x v="4"/>
    <e v="#N/A"/>
  </r>
  <r>
    <x v="212"/>
    <s v="Family Type: 1500w x 3050h, Family: Window External Type 3 - Recessed and Angle"/>
    <s v="Vector(X = -0.429, Y = 0.903, Z = 0.000, Length = 1.000)"/>
    <n v="-0.4"/>
    <n v="0.9"/>
    <n v="0"/>
    <n v="113.96248897457818"/>
    <x v="1"/>
    <n v="4.5750000000000002"/>
  </r>
  <r>
    <x v="213"/>
    <s v="L00-OPD-CC3-S060-01"/>
    <n v="1891223"/>
    <n v="0"/>
    <n v="0"/>
    <n v="0"/>
    <e v="#DIV/0!"/>
    <x v="4"/>
    <e v="#N/A"/>
  </r>
  <r>
    <x v="213"/>
    <s v="Family Type: 1500w x 3050h, Family: Window External Type 3 - Recessed and Angle"/>
    <s v="Vector(X = -0.530, Y = 0.848, Z = 0.000, Length = 1.000)"/>
    <n v="-0.5"/>
    <n v="0.8"/>
    <n v="0"/>
    <n v="122.0053832080835"/>
    <x v="1"/>
    <n v="4.5750000000000002"/>
  </r>
  <r>
    <x v="213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214"/>
    <s v="L00-OPD-CC3-S040-01"/>
    <n v="1891231"/>
    <n v="0"/>
    <n v="0"/>
    <n v="0"/>
    <e v="#DIV/0!"/>
    <x v="4"/>
    <e v="#N/A"/>
  </r>
  <r>
    <x v="214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215"/>
    <s v="L00-OPD-CC3-S137-01"/>
    <n v="1891235"/>
    <n v="0"/>
    <n v="0"/>
    <n v="0"/>
    <e v="#DIV/0!"/>
    <x v="4"/>
    <e v="#N/A"/>
  </r>
  <r>
    <x v="203"/>
    <s v="none - connecect to atrium"/>
    <s v="Vector(X = 0.530, Y = -0.848, Z = 0.000, Length = 1.000)"/>
    <n v="0.5"/>
    <n v="-0.8"/>
    <n v="0"/>
    <n v="-57.994616791916499"/>
    <x v="3"/>
    <e v="#N/A"/>
  </r>
  <r>
    <x v="203"/>
    <s v="none - connecect to atrium"/>
    <s v="Vector(X = 0.530, Y = -0.848, Z = 0.000, Length = 1.000)"/>
    <n v="0.5"/>
    <n v="-0.8"/>
    <n v="0"/>
    <n v="-57.994616791916499"/>
    <x v="3"/>
    <e v="#N/A"/>
  </r>
  <r>
    <x v="216"/>
    <s v="L00-OPD-CC3-S035-02"/>
    <n v="1891239"/>
    <n v="0"/>
    <n v="0"/>
    <n v="0"/>
    <e v="#DIV/0!"/>
    <x v="4"/>
    <e v="#N/A"/>
  </r>
  <r>
    <x v="216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217"/>
    <s v="L00-OPD-CC3-U0187-01"/>
    <n v="1891243"/>
    <n v="0"/>
    <n v="0"/>
    <n v="0"/>
    <e v="#DIV/0!"/>
    <x v="4"/>
    <e v="#N/A"/>
  </r>
  <r>
    <x v="217"/>
    <s v="Family Type: 1500w x 3050h, Family: Window External Type 3 - Recessed and Angle"/>
    <s v="Vector(X = -0.323, Y = 0.946, Z = 0.000, Length = 1.000)"/>
    <n v="-0.3"/>
    <n v="0.9"/>
    <n v="0"/>
    <n v="108.43494882292201"/>
    <x v="1"/>
    <n v="4.5750000000000002"/>
  </r>
  <r>
    <x v="217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218"/>
    <s v="L00-OPD-CC3-S064-02"/>
    <n v="1891245"/>
    <n v="0"/>
    <n v="0"/>
    <n v="0"/>
    <e v="#DIV/0!"/>
    <x v="4"/>
    <e v="#N/A"/>
  </r>
  <r>
    <x v="203"/>
    <s v="none - connecect to atrium"/>
    <s v="Vector(X = -0.323, Y = 0.946, Z = 0.000, Length = 1.000)"/>
    <n v="-0.3"/>
    <n v="0.9"/>
    <n v="0"/>
    <n v="108.43494882292201"/>
    <x v="1"/>
    <e v="#N/A"/>
  </r>
  <r>
    <x v="219"/>
    <s v="L00-OPD-CC3-S059-01"/>
    <n v="1891247"/>
    <n v="0"/>
    <n v="0"/>
    <n v="0"/>
    <e v="#DIV/0!"/>
    <x v="4"/>
    <e v="#N/A"/>
  </r>
  <r>
    <x v="219"/>
    <s v="Family Type: 975w x 3050h, Family: Window External Type 1 - Recessed"/>
    <s v="Vector(X = 0.323, Y = -0.946, Z = 0.000, Length = 1.000)"/>
    <n v="0.3"/>
    <n v="-0.9"/>
    <n v="0"/>
    <n v="-71.56505117707799"/>
    <x v="3"/>
    <n v="2.9737499999999999"/>
  </r>
  <r>
    <x v="220"/>
    <s v="L00-OPD-CC3-S059-03"/>
    <n v="1891249"/>
    <n v="0"/>
    <n v="0"/>
    <n v="0"/>
    <e v="#DIV/0!"/>
    <x v="4"/>
    <e v="#N/A"/>
  </r>
  <r>
    <x v="220"/>
    <s v="Family Type: 1950w x 3050h, Family: Window External Type 3 - Recessed and Angle"/>
    <s v="Vector(X = 0.323, Y = -0.946, Z = 0.000, Length = 1.000)"/>
    <n v="0.3"/>
    <n v="-0.9"/>
    <n v="0"/>
    <n v="-71.56505117707799"/>
    <x v="3"/>
    <n v="5.9474999999999998"/>
  </r>
  <r>
    <x v="221"/>
    <s v="L00-OPD-CC3-S052-01"/>
    <n v="1891257"/>
    <n v="0"/>
    <n v="0"/>
    <n v="0"/>
    <e v="#DIV/0!"/>
    <x v="4"/>
    <e v="#N/A"/>
  </r>
  <r>
    <x v="221"/>
    <s v="Family Type: 1000w x 3050h, Family: Window External Type 2 - Recessed and Fin"/>
    <s v="Vector(X = -0.429, Y = 0.903, Z = 0.000, Length = 1.000)"/>
    <n v="-0.4"/>
    <n v="0.9"/>
    <n v="0"/>
    <n v="113.96248897457818"/>
    <x v="1"/>
    <n v="3.05"/>
  </r>
  <r>
    <x v="222"/>
    <s v="L00-OPD-CC3-S028-20"/>
    <n v="1891263"/>
    <n v="0"/>
    <n v="0"/>
    <n v="0"/>
    <e v="#DIV/0!"/>
    <x v="4"/>
    <e v="#N/A"/>
  </r>
  <r>
    <x v="222"/>
    <s v="Family Type: 975w x 3050h, Family: Window External Type 1 - Recessed"/>
    <s v="Vector(X = 0.429, Y = -0.903, Z = 0.000, Length = 1.000)"/>
    <n v="0.4"/>
    <n v="-0.9"/>
    <n v="0"/>
    <n v="-66.037511025421821"/>
    <x v="3"/>
    <n v="2.9737499999999999"/>
  </r>
  <r>
    <x v="223"/>
    <s v="L00-OPD-CC3-S029-03"/>
    <n v="1891265"/>
    <n v="0"/>
    <n v="0"/>
    <n v="0"/>
    <e v="#DIV/0!"/>
    <x v="4"/>
    <e v="#N/A"/>
  </r>
  <r>
    <x v="223"/>
    <s v="Family Type: 975w x 3050h, Family: Window External Type 1 - Recessed"/>
    <s v="Vector(X = -0.429, Y = 0.903, Z = 0.000, Length = 1.000)"/>
    <n v="-0.4"/>
    <n v="0.9"/>
    <n v="0"/>
    <n v="113.96248897457818"/>
    <x v="1"/>
    <n v="2.9737499999999999"/>
  </r>
  <r>
    <x v="224"/>
    <s v="L00-OPD-CC3-U0194-01"/>
    <n v="1891267"/>
    <n v="0"/>
    <n v="0"/>
    <n v="0"/>
    <e v="#DIV/0!"/>
    <x v="4"/>
    <e v="#N/A"/>
  </r>
  <r>
    <x v="224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224"/>
    <s v="Family Type: 975w x 3050h, Family: Window External Type 1 - Recessed"/>
    <s v="Vector(X = 0.429, Y = -0.903, Z = 0.000, Length = 1.000)"/>
    <n v="0.4"/>
    <n v="-0.9"/>
    <n v="0"/>
    <n v="-66.037511025421821"/>
    <x v="3"/>
    <n v="2.9737499999999999"/>
  </r>
  <r>
    <x v="225"/>
    <s v="L00-OPD-CC3-U0196-01"/>
    <n v="1891271"/>
    <n v="0"/>
    <n v="0"/>
    <n v="0"/>
    <e v="#DIV/0!"/>
    <x v="4"/>
    <e v="#N/A"/>
  </r>
  <r>
    <x v="203"/>
    <s v="none - connecect to atrium"/>
    <s v="Vector(X = 0.429, Y = -0.903, Z = 0.000, Length = 1.000)"/>
    <n v="0.4"/>
    <n v="-0.9"/>
    <n v="0"/>
    <n v="-66.037511025421821"/>
    <x v="3"/>
    <e v="#N/A"/>
  </r>
  <r>
    <x v="226"/>
    <s v="L00-OPD-CC3-U0201-01"/>
    <n v="1891287"/>
    <n v="0"/>
    <n v="0"/>
    <n v="0"/>
    <e v="#DIV/0!"/>
    <x v="4"/>
    <e v="#N/A"/>
  </r>
  <r>
    <x v="203"/>
    <s v="none - connecect to atrium"/>
    <s v="Vector(X = 0.429, Y = -0.903, Z = 0.000, Length = 1.000)"/>
    <n v="0.4"/>
    <n v="-0.9"/>
    <n v="0"/>
    <n v="-66.037511025421821"/>
    <x v="3"/>
    <e v="#N/A"/>
  </r>
  <r>
    <x v="227"/>
    <s v="L00-OPD-CC3-U0206-01"/>
    <n v="1891301"/>
    <n v="0"/>
    <n v="0"/>
    <n v="0"/>
    <e v="#DIV/0!"/>
    <x v="4"/>
    <e v="#N/A"/>
  </r>
  <r>
    <x v="203"/>
    <s v="none - connecect to atrium"/>
    <s v="Vector(X = 0.429, Y = -0.903, Z = 0.000, Length = 1.000)"/>
    <n v="0.4"/>
    <n v="-0.9"/>
    <n v="0"/>
    <n v="-66.037511025421821"/>
    <x v="3"/>
    <e v="#N/A"/>
  </r>
  <r>
    <x v="203"/>
    <s v="Family Type: 975w x 3050h, Family: Window Internal Type 2a - Recessed"/>
    <s v="Vector(X = 0.429, Y = -0.903, Z = 0.000, Length = 1.000)"/>
    <n v="0.4"/>
    <n v="-0.9"/>
    <n v="0"/>
    <n v="-66.037511025421821"/>
    <x v="3"/>
    <n v="2.9737499999999999"/>
  </r>
  <r>
    <x v="228"/>
    <s v="L00-OPD-CC3-S028-03"/>
    <n v="1891305"/>
    <n v="0"/>
    <n v="0"/>
    <n v="0"/>
    <e v="#DIV/0!"/>
    <x v="4"/>
    <e v="#N/A"/>
  </r>
  <r>
    <x v="228"/>
    <s v="Family Type: 975w x 3050h, Family: Window External Type 1 - Recessed"/>
    <s v="Vector(X = 0.530, Y = -0.848, Z = 0.000, Length = 1.000)"/>
    <n v="0.5"/>
    <n v="-0.8"/>
    <n v="0"/>
    <n v="-57.994616791916499"/>
    <x v="3"/>
    <n v="2.9737499999999999"/>
  </r>
  <r>
    <x v="229"/>
    <s v="L00-OPD-CC3-S028-04"/>
    <n v="1891307"/>
    <n v="0"/>
    <n v="0"/>
    <n v="0"/>
    <e v="#DIV/0!"/>
    <x v="4"/>
    <e v="#N/A"/>
  </r>
  <r>
    <x v="229"/>
    <s v="Family Type: 1950w x 3050h, Family: Window External Type 3 - Recessed and Angle"/>
    <s v="Vector(X = 0.530, Y = -0.848, Z = 0.000, Length = 1.000)"/>
    <n v="0.5"/>
    <n v="-0.8"/>
    <n v="0"/>
    <n v="-57.994616791916499"/>
    <x v="3"/>
    <n v="5.9474999999999998"/>
  </r>
  <r>
    <x v="230"/>
    <s v="L00-OPD-CC3-S028-05"/>
    <n v="1891309"/>
    <n v="0"/>
    <n v="0"/>
    <n v="0"/>
    <e v="#DIV/0!"/>
    <x v="4"/>
    <e v="#N/A"/>
  </r>
  <r>
    <x v="230"/>
    <s v="Family Type: 975w x 3050h, Family: Window External Type 1 - Recessed"/>
    <s v="Vector(X = 0.530, Y = -0.848, Z = 0.000, Length = 1.000)"/>
    <n v="0.5"/>
    <n v="-0.8"/>
    <n v="0"/>
    <n v="-57.994616791916499"/>
    <x v="3"/>
    <n v="2.9737499999999999"/>
  </r>
  <r>
    <x v="231"/>
    <s v="L00-OPD-CC3-S028-07"/>
    <n v="1891313"/>
    <n v="0"/>
    <n v="0"/>
    <n v="0"/>
    <e v="#DIV/0!"/>
    <x v="4"/>
    <e v="#N/A"/>
  </r>
  <r>
    <x v="231"/>
    <s v="Family Type: 1950w x 3050h, Family: Window External Type 3 - Recessed and Angle"/>
    <s v="Vector(X = -0.530, Y = 0.848, Z = 0.000, Length = 1.000)"/>
    <n v="-0.5"/>
    <n v="0.8"/>
    <n v="0"/>
    <n v="122.0053832080835"/>
    <x v="1"/>
    <n v="5.9474999999999998"/>
  </r>
  <r>
    <x v="232"/>
    <s v="L00-OPD-CC3-S028-08"/>
    <n v="1891315"/>
    <n v="0"/>
    <n v="0"/>
    <n v="0"/>
    <e v="#DIV/0!"/>
    <x v="4"/>
    <e v="#N/A"/>
  </r>
  <r>
    <x v="232"/>
    <s v="Family Type: 975w x 3050h, Family: Window External Type 1 - Recessed"/>
    <s v="Vector(X = -0.429, Y = 0.903, Z = 0.000, Length = 1.000)"/>
    <n v="-0.4"/>
    <n v="0.9"/>
    <n v="0"/>
    <n v="113.96248897457818"/>
    <x v="1"/>
    <n v="2.9737499999999999"/>
  </r>
  <r>
    <x v="233"/>
    <s v="L00-OPD-CC3-S028-09"/>
    <n v="1891317"/>
    <n v="0"/>
    <n v="0"/>
    <n v="0"/>
    <e v="#DIV/0!"/>
    <x v="4"/>
    <e v="#N/A"/>
  </r>
  <r>
    <x v="233"/>
    <s v="Family Type: 1950w x 3050h, Family: Window External Type 3 - Recessed and Angle"/>
    <s v="Vector(X = 0.429, Y = -0.903, Z = 0.000, Length = 1.000)"/>
    <n v="0.4"/>
    <n v="-0.9"/>
    <n v="0"/>
    <n v="-66.037511025421821"/>
    <x v="3"/>
    <n v="5.9474999999999998"/>
  </r>
  <r>
    <x v="234"/>
    <s v="L00-OPD-CC3-S028-10"/>
    <n v="1891319"/>
    <n v="0"/>
    <n v="0"/>
    <n v="0"/>
    <e v="#DIV/0!"/>
    <x v="4"/>
    <e v="#N/A"/>
  </r>
  <r>
    <x v="234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235"/>
    <s v="L00-OPD-CC3-S028-11"/>
    <n v="1891321"/>
    <n v="0"/>
    <n v="0"/>
    <n v="0"/>
    <e v="#DIV/0!"/>
    <x v="4"/>
    <e v="#N/A"/>
  </r>
  <r>
    <x v="203"/>
    <s v="none - connecect to atrium"/>
    <s v="Vector(X = 0.916, Y = 0.401, Z = 0.000, Length = 1.000)"/>
    <n v="0.9"/>
    <n v="0.4"/>
    <n v="0"/>
    <n v="23.962488974578186"/>
    <x v="5"/>
    <e v="#N/A"/>
  </r>
  <r>
    <x v="236"/>
    <s v="L00-OPD-CC3-S028-12"/>
    <n v="1891323"/>
    <n v="0"/>
    <n v="0"/>
    <n v="0"/>
    <e v="#DIV/0!"/>
    <x v="4"/>
    <e v="#N/A"/>
  </r>
  <r>
    <x v="236"/>
    <s v="Family Type: 1500w x 3050h, Family: Window External Type 3 - Recessed and Angle"/>
    <s v="Vector(X = -0.323, Y = 0.946, Z = 0.000, Length = 1.000)"/>
    <n v="-0.3"/>
    <n v="0.9"/>
    <n v="0"/>
    <n v="108.43494882292201"/>
    <x v="1"/>
    <n v="4.5750000000000002"/>
  </r>
  <r>
    <x v="237"/>
    <s v="L00-OPD-CC3-S028-13"/>
    <n v="1891325"/>
    <n v="0"/>
    <n v="0"/>
    <n v="0"/>
    <e v="#DIV/0!"/>
    <x v="4"/>
    <e v="#N/A"/>
  </r>
  <r>
    <x v="237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238"/>
    <s v="L00-OPD-CC3-S028-14"/>
    <n v="1891327"/>
    <n v="0"/>
    <n v="0"/>
    <n v="0"/>
    <e v="#DIV/0!"/>
    <x v="4"/>
    <e v="#N/A"/>
  </r>
  <r>
    <x v="238"/>
    <s v="Family Type: 1950w x 3050h, Family: Window External Type 3 - Recessed and Angle"/>
    <s v="Vector(X = -0.323, Y = 0.946, Z = 0.000, Length = 1.000)"/>
    <n v="-0.3"/>
    <n v="0.9"/>
    <n v="0"/>
    <n v="108.43494882292201"/>
    <x v="1"/>
    <n v="5.9474999999999998"/>
  </r>
  <r>
    <x v="239"/>
    <s v="L00-OPD-CC3-S028-15"/>
    <n v="1891329"/>
    <n v="0"/>
    <n v="0"/>
    <n v="0"/>
    <e v="#DIV/0!"/>
    <x v="4"/>
    <e v="#N/A"/>
  </r>
  <r>
    <x v="239"/>
    <s v="Family Type: 1500w x 3050h, Family: Window External Type 3 - Recessed and Angle"/>
    <s v="Vector(X = -0.323, Y = 0.946, Z = 0.000, Length = 1.000)"/>
    <n v="-0.3"/>
    <n v="0.9"/>
    <n v="0"/>
    <n v="108.43494882292201"/>
    <x v="1"/>
    <n v="4.5750000000000002"/>
  </r>
  <r>
    <x v="240"/>
    <s v="L00-OPD-CC3-S028-16"/>
    <n v="1891331"/>
    <n v="0"/>
    <n v="0"/>
    <n v="0"/>
    <e v="#DIV/0!"/>
    <x v="4"/>
    <e v="#N/A"/>
  </r>
  <r>
    <x v="240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241"/>
    <s v="L00-OPD-CC3-S029-02"/>
    <n v="1891337"/>
    <n v="0"/>
    <n v="0"/>
    <n v="0"/>
    <e v="#DIV/0!"/>
    <x v="4"/>
    <e v="#N/A"/>
  </r>
  <r>
    <x v="241"/>
    <s v="Family Type: 1500w x 3050h, Family: Window External Type 3 - Recessed and Angle"/>
    <s v="Vector(X = 0.323, Y = -0.946, Z = 0.000, Length = 1.000)"/>
    <n v="0.3"/>
    <n v="-0.9"/>
    <n v="0"/>
    <n v="-71.56505117707799"/>
    <x v="3"/>
    <n v="4.5750000000000002"/>
  </r>
  <r>
    <x v="242"/>
    <s v="L00-OPD-CC3-S064-03"/>
    <n v="1891339"/>
    <n v="0"/>
    <n v="0"/>
    <n v="0"/>
    <e v="#DIV/0!"/>
    <x v="4"/>
    <e v="#N/A"/>
  </r>
  <r>
    <x v="203"/>
    <s v="none - connecect to atrium"/>
    <s v="Vector(X = -0.323, Y = 0.946, Z = 0.000, Length = 1.000)"/>
    <n v="-0.3"/>
    <n v="0.9"/>
    <n v="0"/>
    <n v="108.43494882292201"/>
    <x v="1"/>
    <e v="#N/A"/>
  </r>
  <r>
    <x v="243"/>
    <s v="L00-OPD-CC3-S064-04"/>
    <n v="1891341"/>
    <n v="0"/>
    <n v="0"/>
    <n v="0"/>
    <e v="#DIV/0!"/>
    <x v="4"/>
    <e v="#N/A"/>
  </r>
  <r>
    <x v="203"/>
    <s v="none - connecect to atrium"/>
    <s v="Vector(X = -0.323, Y = 0.946, Z = 0.000, Length = 1.000)"/>
    <n v="-0.3"/>
    <n v="0.9"/>
    <n v="0"/>
    <n v="108.43494882292201"/>
    <x v="1"/>
    <e v="#N/A"/>
  </r>
  <r>
    <x v="244"/>
    <s v="L00-OPD-CC3-S064-05"/>
    <n v="1891343"/>
    <n v="0"/>
    <n v="0"/>
    <n v="0"/>
    <e v="#DIV/0!"/>
    <x v="4"/>
    <e v="#N/A"/>
  </r>
  <r>
    <x v="244"/>
    <s v="Family Type: 1950w x 3050h, Family: Window External Type 3 - Recessed and Angle"/>
    <s v="Vector(X = 0.323, Y = -0.946, Z = 0.000, Length = 1.000)"/>
    <n v="0.3"/>
    <n v="-0.9"/>
    <n v="0"/>
    <n v="-71.56505117707799"/>
    <x v="3"/>
    <n v="5.9474999999999998"/>
  </r>
  <r>
    <x v="245"/>
    <s v="L00-OPD-CC3-S059-02"/>
    <n v="1891345"/>
    <n v="0"/>
    <n v="0"/>
    <n v="0"/>
    <e v="#DIV/0!"/>
    <x v="4"/>
    <e v="#N/A"/>
  </r>
  <r>
    <x v="245"/>
    <s v="Family Type: 1500w x 3050h, Family: Window External Type 3 - Recessed and Angle"/>
    <s v="Vector(X = 0.323, Y = -0.946, Z = 0.000, Length = 1.000)"/>
    <n v="0.3"/>
    <n v="-0.9"/>
    <n v="0"/>
    <n v="-71.56505117707799"/>
    <x v="3"/>
    <n v="4.5750000000000002"/>
  </r>
  <r>
    <x v="246"/>
    <s v="L00-OPD-CC3-S059-04"/>
    <n v="1891347"/>
    <n v="0"/>
    <n v="0"/>
    <n v="0"/>
    <e v="#DIV/0!"/>
    <x v="4"/>
    <e v="#N/A"/>
  </r>
  <r>
    <x v="246"/>
    <s v="Family Type: 1500w x 3050h, Family: Window External Type 3 - Recessed and Angle"/>
    <s v="Vector(X = 0.323, Y = -0.946, Z = 0.000, Length = 1.000)"/>
    <n v="0.3"/>
    <n v="-0.9"/>
    <n v="0"/>
    <n v="-71.56505117707799"/>
    <x v="3"/>
    <n v="4.5750000000000002"/>
  </r>
  <r>
    <x v="247"/>
    <s v="L00-OPD-CC3-S137-02"/>
    <n v="1891351"/>
    <n v="0"/>
    <n v="0"/>
    <n v="0"/>
    <e v="#DIV/0!"/>
    <x v="4"/>
    <e v="#N/A"/>
  </r>
  <r>
    <x v="203"/>
    <s v="none - connecect to atrium"/>
    <s v="Vector(X = 0.530, Y = -0.848, Z = 0.000, Length = 1.000)"/>
    <n v="0.5"/>
    <n v="-0.8"/>
    <n v="0"/>
    <n v="-57.994616791916499"/>
    <x v="3"/>
    <e v="#N/A"/>
  </r>
  <r>
    <x v="248"/>
    <s v="L00-OPD-CC3-S052-02"/>
    <n v="1891355"/>
    <n v="0"/>
    <n v="0"/>
    <n v="0"/>
    <e v="#DIV/0!"/>
    <x v="4"/>
    <e v="#N/A"/>
  </r>
  <r>
    <x v="248"/>
    <s v="Family Type: 1000w x 3050h, Family: Window External Type 2 - Recessed and Fin"/>
    <s v="Vector(X = -0.429, Y = 0.903, Z = 0.000, Length = 1.000)"/>
    <n v="-0.4"/>
    <n v="0.9"/>
    <n v="0"/>
    <n v="113.96248897457818"/>
    <x v="1"/>
    <n v="3.05"/>
  </r>
  <r>
    <x v="249"/>
    <s v="L00-OPD-CC3-S052-03"/>
    <n v="1891357"/>
    <n v="0"/>
    <n v="0"/>
    <n v="0"/>
    <e v="#DIV/0!"/>
    <x v="4"/>
    <e v="#N/A"/>
  </r>
  <r>
    <x v="249"/>
    <s v="Family Type: 975w x 3050h, Family: Window External Type 1 - Recessed"/>
    <s v="Vector(X = -0.429, Y = 0.903, Z = 0.000, Length = 1.000)"/>
    <n v="-0.4"/>
    <n v="0.9"/>
    <n v="0"/>
    <n v="113.96248897457818"/>
    <x v="1"/>
    <n v="2.9737499999999999"/>
  </r>
  <r>
    <x v="250"/>
    <s v="L00-OPD-CC3-S028-21"/>
    <n v="1891359"/>
    <n v="0"/>
    <n v="0"/>
    <n v="0"/>
    <e v="#DIV/0!"/>
    <x v="4"/>
    <e v="#N/A"/>
  </r>
  <r>
    <x v="250"/>
    <s v="Family Type: 975w x 3050h, Family: Window External Type 1 - Recessed"/>
    <s v="Vector(X = 0.429, Y = -0.903, Z = 0.000, Length = 1.000)"/>
    <n v="0.4"/>
    <n v="-0.9"/>
    <n v="0"/>
    <n v="-66.037511025421821"/>
    <x v="3"/>
    <n v="2.9737499999999999"/>
  </r>
  <r>
    <x v="251"/>
    <s v="L00-OPD-CC3-S029-04"/>
    <n v="1891361"/>
    <n v="0"/>
    <n v="0"/>
    <n v="0"/>
    <e v="#DIV/0!"/>
    <x v="4"/>
    <e v="#N/A"/>
  </r>
  <r>
    <x v="251"/>
    <s v="Family Type: 975w x 3050h, Family: Window External Type 1 - Recessed"/>
    <s v="Vector(X = 0.429, Y = -0.903, Z = 0.000, Length = 1.000)"/>
    <n v="0.4"/>
    <n v="-0.9"/>
    <n v="0"/>
    <n v="-66.037511025421821"/>
    <x v="3"/>
    <n v="2.9737499999999999"/>
  </r>
  <r>
    <x v="251"/>
    <s v="Family Type: 975w x 3050h, Family: Window External Type 1 - Recessed"/>
    <s v="Vector(X = 0.429, Y = -0.903, Z = 0.000, Length = 1.000)"/>
    <n v="0.4"/>
    <n v="-0.9"/>
    <n v="0"/>
    <n v="-66.037511025421821"/>
    <x v="3"/>
    <n v="2.9737499999999999"/>
  </r>
  <r>
    <x v="252"/>
    <s v="L00-OPD-CC3-S040-02"/>
    <n v="1891395"/>
    <n v="0"/>
    <n v="0"/>
    <n v="0"/>
    <e v="#DIV/0!"/>
    <x v="4"/>
    <e v="#N/A"/>
  </r>
  <r>
    <x v="252"/>
    <s v="Family Type: 1950w x 3050h, Family: Window External Type 3 - Recessed and Angle"/>
    <s v="Vector(X = -0.530, Y = 0.848, Z = 0.000, Length = 1.000)"/>
    <n v="-0.5"/>
    <n v="0.8"/>
    <n v="0"/>
    <n v="122.0053832080835"/>
    <x v="1"/>
    <n v="5.9474999999999998"/>
  </r>
  <r>
    <x v="253"/>
    <s v="L00-EMG-CIR-C001-02"/>
    <n v="1900752"/>
    <n v="0"/>
    <n v="0"/>
    <n v="0"/>
    <e v="#DIV/0!"/>
    <x v="4"/>
    <e v="#N/A"/>
  </r>
  <r>
    <x v="253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53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53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53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53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53"/>
    <s v="Family Type: Curtain Wall_585w x 3200h, Family: Window External Type 6 - Bespoke Flush, Recessed"/>
    <s v="Vector(X = 0.977, Y = 0.212, Z = 0.000, Length = 1.000)"/>
    <n v="1"/>
    <n v="0.2"/>
    <n v="0"/>
    <n v="11.309932474020215"/>
    <x v="5"/>
    <n v="0"/>
  </r>
  <r>
    <x v="253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53"/>
    <s v="Family Type: Curtain Wall_585w x 3200h, Family: Window External Type 6 - Bespoke Flush, Recessed"/>
    <s v="Vector(X = 0.977, Y = 0.212, Z = 0.000, Length = 1.000)"/>
    <n v="1"/>
    <n v="0.2"/>
    <n v="0"/>
    <n v="11.309932474020215"/>
    <x v="5"/>
    <n v="0"/>
  </r>
  <r>
    <x v="254"/>
    <s v="L00-IMG-NMD-U1418-01"/>
    <n v="2042307"/>
    <n v="0"/>
    <n v="0"/>
    <n v="0"/>
    <e v="#DIV/0!"/>
    <x v="4"/>
    <e v="#N/A"/>
  </r>
  <r>
    <x v="254"/>
    <s v="Family Type: Curtain Wall_1950w x 3050h, Family: Window External Type 6 - Flush, Recessed"/>
    <s v="Vector(X = 0.212, Y = -0.977, Z = 0.000, Length = 1.000)"/>
    <n v="0.2"/>
    <n v="-1"/>
    <n v="0"/>
    <n v="-78.690067525979785"/>
    <x v="3"/>
    <n v="5.9474999999999998"/>
  </r>
  <r>
    <x v="254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54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55"/>
    <s v="L00-IMG-NMD-U0385-02"/>
    <n v="2042309"/>
    <n v="0"/>
    <n v="0"/>
    <n v="0"/>
    <e v="#DIV/0!"/>
    <x v="4"/>
    <e v="#N/A"/>
  </r>
  <r>
    <x v="255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55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55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56"/>
    <s v="L00-OPD-CC4-L088-01"/>
    <n v="2096295"/>
    <n v="0"/>
    <n v="0"/>
    <n v="0"/>
    <e v="#DIV/0!"/>
    <x v="4"/>
    <e v="#N/A"/>
  </r>
  <r>
    <x v="256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256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257"/>
    <s v="L00-OPD-CC4-L088-02"/>
    <n v="2096297"/>
    <n v="0"/>
    <n v="0"/>
    <n v="0"/>
    <e v="#DIV/0!"/>
    <x v="4"/>
    <e v="#N/A"/>
  </r>
  <r>
    <x v="257"/>
    <s v="Family Type: 1500w x 3050h, Family: Window External Type 3 - Recessed and Angle"/>
    <s v="Vector(X = -0.992, Y = -0.128, Z = 0.000, Length = 1.000)"/>
    <n v="-1"/>
    <n v="-0.1"/>
    <n v="0"/>
    <n v="-174.28940686250036"/>
    <x v="2"/>
    <n v="4.5750000000000002"/>
  </r>
  <r>
    <x v="258"/>
    <s v="L00-MAI-RES-U1295-01"/>
    <n v="2127124"/>
    <n v="0"/>
    <n v="0"/>
    <n v="0"/>
    <e v="#DIV/0!"/>
    <x v="4"/>
    <e v="#N/A"/>
  </r>
  <r>
    <x v="258"/>
    <s v="Family Type: 1950w x 3050h, Family: Window Internal Type 2b - Recessed and Angle"/>
    <s v="Vector(X = 0.041, Y = -0.999, Z = 0.000, Length = 1.000)"/>
    <n v="0"/>
    <n v="-1"/>
    <n v="0"/>
    <n v="-90"/>
    <x v="3"/>
    <n v="5.9474999999999998"/>
  </r>
  <r>
    <x v="258"/>
    <s v="Family Type: 975w x 3050h, Family: Window Internal Type 2a - Recessed"/>
    <s v="Vector(X = 0.041, Y = -0.999, Z = 0.000, Length = 1.000)"/>
    <n v="0"/>
    <n v="-1"/>
    <n v="0"/>
    <n v="-90"/>
    <x v="3"/>
    <n v="2.9737499999999999"/>
  </r>
  <r>
    <x v="258"/>
    <s v="Family Type: 975w x 3050h, Family: Window Internal Type 2a - Recessed"/>
    <s v="Vector(X = 0.041, Y = -0.999, Z = 0.000, Length = 1.000)"/>
    <n v="0"/>
    <n v="-1"/>
    <n v="0"/>
    <n v="-90"/>
    <x v="3"/>
    <n v="2.9737499999999999"/>
  </r>
  <r>
    <x v="259"/>
    <s v="L00-EMG-EDE-S121-02"/>
    <n v="2142010"/>
    <n v="0"/>
    <n v="0"/>
    <n v="0"/>
    <e v="#DIV/0!"/>
    <x v="4"/>
    <e v="#N/A"/>
  </r>
  <r>
    <x v="259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59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128"/>
    <n v="0"/>
    <n v="2158647"/>
    <n v="0"/>
    <n v="0"/>
    <n v="0"/>
    <e v="#DIV/0!"/>
    <x v="4"/>
    <e v="#N/A"/>
  </r>
  <r>
    <x v="128"/>
    <s v="Family Type: Curtain Wall_975w x 3050h 2, Family: Window External Type 6 - Flush, Recessed"/>
    <s v="Vector(X = -0.872, Y = -0.489, Z = 0.000, Length = 1.000)"/>
    <n v="-0.9"/>
    <n v="-0.5"/>
    <n v="0"/>
    <n v="-150.94539590092285"/>
    <x v="2"/>
    <n v="2.9737499999999999"/>
  </r>
  <r>
    <x v="128"/>
    <n v="0"/>
    <n v="2158668"/>
    <n v="0"/>
    <n v="0"/>
    <n v="0"/>
    <e v="#DIV/0!"/>
    <x v="4"/>
    <e v="#N/A"/>
  </r>
  <r>
    <x v="128"/>
    <s v="Family Type: 975w x 3050h, Family: Window Internal Type 2a - Recessed"/>
    <s v="Vector(X = 0.530, Y = -0.848, Z = 0.000, Length = 1.000)"/>
    <n v="0.5"/>
    <n v="-0.8"/>
    <n v="0"/>
    <n v="-57.994616791916499"/>
    <x v="3"/>
    <n v="2.9737499999999999"/>
  </r>
  <r>
    <x v="260"/>
    <s v="L00-OPD-C4W-S115-92"/>
    <n v="2160625"/>
    <n v="0"/>
    <n v="0"/>
    <n v="0"/>
    <e v="#DIV/0!"/>
    <x v="4"/>
    <e v="#N/A"/>
  </r>
  <r>
    <x v="260"/>
    <s v="Family Type: 1000w x 3050h, Family: Window External Type 4 - Extruded"/>
    <s v="Vector(X = -0.130, Y = -0.991, Z = 0.000, Length = 1.000)"/>
    <n v="-0.1"/>
    <n v="-1"/>
    <n v="0"/>
    <n v="-95.710593137499629"/>
    <x v="8"/>
    <n v="3.05"/>
  </r>
  <r>
    <x v="260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260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260"/>
    <s v="Family Type: 1000w x 3050h, Family: Window External Type 4 - Extruded"/>
    <s v="Vector(X = -0.130, Y = -0.991, Z = 0.000, Length = 1.000)"/>
    <n v="-0.1"/>
    <n v="-1"/>
    <n v="0"/>
    <n v="-95.710593137499629"/>
    <x v="8"/>
    <n v="3.05"/>
  </r>
  <r>
    <x v="260"/>
    <s v="Family Type: 1000w x 3050h, Family: Window External Type 4 - Extruded"/>
    <s v="Vector(X = -0.130, Y = -0.991, Z = 0.000, Length = 1.000)"/>
    <n v="-0.1"/>
    <n v="-1"/>
    <n v="0"/>
    <n v="-95.710593137499629"/>
    <x v="8"/>
    <n v="3.05"/>
  </r>
  <r>
    <x v="260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260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260"/>
    <s v="Family Type: 1950w x 3050h, Family: Window External Type 3 - Recessed and Angle"/>
    <s v="Vector(X = -0.130, Y = -0.991, Z = 0.000, Length = 1.000)"/>
    <n v="-0.1"/>
    <n v="-1"/>
    <n v="0"/>
    <n v="-95.710593137499629"/>
    <x v="8"/>
    <n v="5.9474999999999998"/>
  </r>
  <r>
    <x v="260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260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260"/>
    <s v="Family Type: 1500w x 3050h, Family: Window External Type 3 - Recessed and Angle"/>
    <s v="Vector(X = 0.130, Y = 0.991, Z = 0.000, Length = 1.000)"/>
    <n v="0.1"/>
    <n v="1"/>
    <n v="0"/>
    <n v="84.289406862500371"/>
    <x v="9"/>
    <n v="4.5750000000000002"/>
  </r>
  <r>
    <x v="260"/>
    <s v="Family Type: 1000w x 3050h, Family: Window External Type 4 - Extruded"/>
    <s v="Vector(X = 0.130, Y = 0.991, Z = 0.000, Length = 1.000)"/>
    <n v="0.1"/>
    <n v="1"/>
    <n v="0"/>
    <n v="84.289406862500371"/>
    <x v="9"/>
    <n v="3.05"/>
  </r>
  <r>
    <x v="260"/>
    <s v="Family Type: 1500w x 3050h, Family: Window External Type 3 - Recessed and Angle"/>
    <s v="Vector(X = 0.130, Y = 0.991, Z = 0.000, Length = 1.000)"/>
    <n v="0.1"/>
    <n v="1"/>
    <n v="0"/>
    <n v="84.289406862500371"/>
    <x v="9"/>
    <n v="4.5750000000000002"/>
  </r>
  <r>
    <x v="260"/>
    <s v="Family Type: 1500w x 3050h, Family: Window External Type 3 - Recessed and Angle"/>
    <s v="Vector(X = 0.130, Y = 0.991, Z = 0.000, Length = 1.000)"/>
    <n v="0.1"/>
    <n v="1"/>
    <n v="0"/>
    <n v="84.289406862500371"/>
    <x v="9"/>
    <n v="4.5750000000000002"/>
  </r>
  <r>
    <x v="260"/>
    <s v="Family Type: 1500w x 3050h, Family: Window External Type 3 - Recessed and Angle"/>
    <s v="Vector(X = -0.991, Y = 0.132, Z = 0.000, Length = 1.000)"/>
    <n v="-1"/>
    <n v="0.1"/>
    <n v="0"/>
    <n v="174.28940686250036"/>
    <x v="7"/>
    <n v="4.5750000000000002"/>
  </r>
  <r>
    <x v="260"/>
    <s v="Family Type: 1500w x 3050h, Family: Window External Type 3 - Recessed and Angle"/>
    <s v="Vector(X = -0.991, Y = 0.132, Z = 0.000, Length = 1.000)"/>
    <n v="-1"/>
    <n v="0.1"/>
    <n v="0"/>
    <n v="174.28940686250036"/>
    <x v="7"/>
    <n v="4.5750000000000002"/>
  </r>
  <r>
    <x v="260"/>
    <s v="Family Type: 1500w x 3050h, Family: Window External Type 3 - Recessed and Angle"/>
    <s v="Vector(X = -0.991, Y = 0.132, Z = 0.000, Length = 1.000)"/>
    <n v="-1"/>
    <n v="0.1"/>
    <n v="0"/>
    <n v="174.28940686250036"/>
    <x v="7"/>
    <n v="4.5750000000000002"/>
  </r>
  <r>
    <x v="260"/>
    <s v="Family Type: 1500w x 3050h, Family: Window External Type 3 - Recessed and Angle"/>
    <s v="Vector(X = 0.130, Y = 0.991, Z = 0.000, Length = 1.000)"/>
    <n v="0.1"/>
    <n v="1"/>
    <n v="0"/>
    <n v="84.289406862500371"/>
    <x v="9"/>
    <n v="4.5750000000000002"/>
  </r>
  <r>
    <x v="261"/>
    <s v="L00-EMG-CIR-C001-01"/>
    <n v="2160632"/>
    <n v="0"/>
    <n v="0"/>
    <n v="0"/>
    <e v="#DIV/0!"/>
    <x v="4"/>
    <e v="#N/A"/>
  </r>
  <r>
    <x v="261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1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61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1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61"/>
    <s v="Family Type: Curtain Wall_840w x 3200h, Family: Window External Type 6 - Flush, Recessed"/>
    <s v="Vector(X = 0.977, Y = 0.212, Z = 0.000, Length = 1.000)"/>
    <n v="1"/>
    <n v="0.2"/>
    <n v="0"/>
    <n v="11.309932474020215"/>
    <x v="5"/>
    <n v="2.6880000000000002"/>
  </r>
  <r>
    <x v="261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1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61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1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61"/>
    <s v="Family Type: 1950w x 3050h, Family: Window External Type 3 - Recessed and Angle"/>
    <s v="Vector(X = -0.977, Y = -0.212, Z = 0.000, Length = 1.000)"/>
    <n v="-1"/>
    <n v="-0.2"/>
    <n v="0"/>
    <n v="-168.69006752597977"/>
    <x v="2"/>
    <n v="5.9474999999999998"/>
  </r>
  <r>
    <x v="262"/>
    <s v="L00-EMG-CIR-C001-03"/>
    <n v="2160638"/>
    <n v="0"/>
    <n v="0"/>
    <n v="0"/>
    <e v="#DIV/0!"/>
    <x v="4"/>
    <e v="#N/A"/>
  </r>
  <r>
    <x v="262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62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3"/>
    <s v="L00-EMG-CIR-C001-08"/>
    <n v="2160648"/>
    <n v="0"/>
    <n v="0"/>
    <n v="0"/>
    <e v="#DIV/0!"/>
    <x v="4"/>
    <e v="#N/A"/>
  </r>
  <r>
    <x v="263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3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63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63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3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3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3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3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63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3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63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4"/>
    <s v="L00-EMG-CIR-C001-09"/>
    <n v="2160650"/>
    <n v="0"/>
    <n v="0"/>
    <n v="0"/>
    <e v="#DIV/0!"/>
    <x v="4"/>
    <e v="#N/A"/>
  </r>
  <r>
    <x v="264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4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5"/>
    <s v="L00-EMG-CIR-C001-10"/>
    <n v="2160652"/>
    <n v="0"/>
    <n v="0"/>
    <n v="0"/>
    <e v="#DIV/0!"/>
    <x v="4"/>
    <e v="#N/A"/>
  </r>
  <r>
    <x v="265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5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5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65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5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65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5"/>
    <s v="Family Type: Curtain Wall_585w x 3200h, Family: Window External Type 6 - Bespoke Flush, Recessed"/>
    <s v="Vector(X = 0.977, Y = 0.212, Z = 0.000, Length = 1.000)"/>
    <n v="1"/>
    <n v="0.2"/>
    <n v="0"/>
    <n v="11.309932474020215"/>
    <x v="5"/>
    <n v="0"/>
  </r>
  <r>
    <x v="266"/>
    <s v="L00-OPD-CIR-C001-22"/>
    <n v="2160680"/>
    <n v="0"/>
    <n v="0"/>
    <n v="0"/>
    <e v="#DIV/0!"/>
    <x v="4"/>
    <e v="#N/A"/>
  </r>
  <r>
    <x v="266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266"/>
    <s v="Family Type: Curtain Wall_585w x 3200h, Family: Window External Type 6 - Flush, Recessed"/>
    <s v="Vector(X = 0.873, Y = 0.489, Z = 0.000, Length = 1.000)"/>
    <n v="0.9"/>
    <n v="0.5"/>
    <n v="0"/>
    <n v="29.054604099077146"/>
    <x v="5"/>
    <n v="1.8720000000000001"/>
  </r>
  <r>
    <x v="266"/>
    <s v="Family Type: Curtain Wall_1500w x 3200h, Family: Window External Type 6 - Flush, Recessed"/>
    <s v="Vector(X = 0.873, Y = 0.489, Z = 0.000, Length = 1.000)"/>
    <n v="0.9"/>
    <n v="0.5"/>
    <n v="0"/>
    <n v="29.054604099077146"/>
    <x v="5"/>
    <n v="4.8"/>
  </r>
  <r>
    <x v="266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267"/>
    <s v="L00-OPD-CIR-C001-28"/>
    <n v="2160690"/>
    <n v="0"/>
    <n v="0"/>
    <n v="0"/>
    <e v="#DIV/0!"/>
    <x v="4"/>
    <e v="#N/A"/>
  </r>
  <r>
    <x v="267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67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7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67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7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67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67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7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8"/>
    <s v="L00-OPD-CIR-C001-32"/>
    <n v="2160698"/>
    <n v="0"/>
    <n v="0"/>
    <n v="0"/>
    <e v="#DIV/0!"/>
    <x v="4"/>
    <e v="#N/A"/>
  </r>
  <r>
    <x v="268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8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8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8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68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68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68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8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68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68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69"/>
    <s v="L00-OPD-C3W-S115-105"/>
    <n v="2160717"/>
    <n v="0"/>
    <n v="0"/>
    <n v="0"/>
    <e v="#DIV/0!"/>
    <x v="4"/>
    <e v="#N/A"/>
  </r>
  <r>
    <x v="269"/>
    <s v="Family Type: 1500w x 3050h, Family: Window External Type 1 - Recessed"/>
    <s v="Vector(X = 0.530, Y = -0.848, Z = 0.000, Length = 1.000)"/>
    <n v="0.5"/>
    <n v="-0.8"/>
    <n v="0"/>
    <n v="-57.994616791916499"/>
    <x v="3"/>
    <n v="4.5750000000000002"/>
  </r>
  <r>
    <x v="269"/>
    <s v="Family Type: 1500w x 3050h, Family: Window External Type 3 - Recessed and Angle"/>
    <s v="Vector(X = 0.530, Y = -0.848, Z = 0.000, Length = 1.000)"/>
    <n v="0.5"/>
    <n v="-0.8"/>
    <n v="0"/>
    <n v="-57.994616791916499"/>
    <x v="3"/>
    <n v="4.5750000000000002"/>
  </r>
  <r>
    <x v="269"/>
    <s v="Family Type: 1950w x 3050h, Family: Window External Type 3 - Recessed and Angle"/>
    <s v="Vector(X = 0.530, Y = -0.848, Z = 0.000, Length = 1.000)"/>
    <n v="0.5"/>
    <n v="-0.8"/>
    <n v="0"/>
    <n v="-57.994616791916499"/>
    <x v="3"/>
    <n v="5.9474999999999998"/>
  </r>
  <r>
    <x v="269"/>
    <s v="Family Type: 1500w x 3050h, Family: Window External Type 3 - Recessed and Angle"/>
    <s v="Vector(X = -0.848, Y = -0.530, Z = 0.000, Length = 1.000)"/>
    <n v="-0.8"/>
    <n v="-0.5"/>
    <n v="0"/>
    <n v="-147.99461679191651"/>
    <x v="2"/>
    <n v="4.5750000000000002"/>
  </r>
  <r>
    <x v="269"/>
    <s v="Family Type: 1500w x 3050h, Family: Window External Type 3 - Recessed and Angle"/>
    <s v="Vector(X = -0.848, Y = -0.530, Z = 0.000, Length = 1.000)"/>
    <n v="-0.8"/>
    <n v="-0.5"/>
    <n v="0"/>
    <n v="-147.99461679191651"/>
    <x v="2"/>
    <n v="4.5750000000000002"/>
  </r>
  <r>
    <x v="269"/>
    <s v="Family Type: 1500w x 3050h, Family: Window External Type 3 - Recessed and Angle"/>
    <s v="Vector(X = -0.848, Y = -0.530, Z = 0.000, Length = 1.000)"/>
    <n v="-0.8"/>
    <n v="-0.5"/>
    <n v="0"/>
    <n v="-147.99461679191651"/>
    <x v="2"/>
    <n v="4.5750000000000002"/>
  </r>
  <r>
    <x v="269"/>
    <s v="Family Type: 1500w x 3050h, Family: Window External Type 3 - Recessed and Angle"/>
    <s v="Vector(X = -0.848, Y = -0.530, Z = 0.000, Length = 1.000)"/>
    <n v="-0.8"/>
    <n v="-0.5"/>
    <n v="0"/>
    <n v="-147.99461679191651"/>
    <x v="2"/>
    <n v="4.5750000000000002"/>
  </r>
  <r>
    <x v="269"/>
    <s v="Family Type: 487.5w x 3050H, Family: Window External Type 1 - Recessed"/>
    <s v="Vector(X = 0.530, Y = -0.848, Z = 0.000, Length = 1.000)"/>
    <n v="0.5"/>
    <n v="-0.8"/>
    <n v="0"/>
    <n v="-57.994616791916499"/>
    <x v="3"/>
    <n v="1.4868749999999999"/>
  </r>
  <r>
    <x v="269"/>
    <s v="Family Type: 1000w x 3050h, Family: Window External Type 4 - Extruded"/>
    <s v="Vector(X = -0.530, Y = 0.848, Z = 0.000, Length = 1.000)"/>
    <n v="-0.5"/>
    <n v="0.8"/>
    <n v="0"/>
    <n v="122.0053832080835"/>
    <x v="1"/>
    <n v="3.05"/>
  </r>
  <r>
    <x v="269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269"/>
    <s v="Family Type: 1000w x 3050h, Family: Window External Type 4 - Extruded"/>
    <s v="Vector(X = -0.530, Y = 0.848, Z = 0.000, Length = 1.000)"/>
    <n v="-0.5"/>
    <n v="0.8"/>
    <n v="0"/>
    <n v="122.0053832080835"/>
    <x v="1"/>
    <n v="3.05"/>
  </r>
  <r>
    <x v="269"/>
    <s v="Family Type: 975w x 3600h, CURTAIN WALL-manual input"/>
    <s v="Vector(X = -0.530, Y = 0.848, Z = 0.000, Length = 1.000)"/>
    <n v="-0.5"/>
    <n v="0.8"/>
    <n v="0"/>
    <n v="122.0053832080835"/>
    <x v="1"/>
    <n v="3.51"/>
  </r>
  <r>
    <x v="269"/>
    <s v="Family Type: 975w x 3600h, CURTAIN WALL-manual input"/>
    <s v="Vector(X = -0.530, Y = 0.848, Z = 0.000, Length = 1.000)"/>
    <n v="-0.5"/>
    <n v="0.8"/>
    <n v="0"/>
    <n v="122.0053832080835"/>
    <x v="1"/>
    <n v="3.51"/>
  </r>
  <r>
    <x v="270"/>
    <s v="L00-OPD-C3W-S115-106"/>
    <n v="2160718"/>
    <n v="0"/>
    <n v="0"/>
    <n v="0"/>
    <e v="#DIV/0!"/>
    <x v="4"/>
    <e v="#N/A"/>
  </r>
  <r>
    <x v="270"/>
    <s v="Family Type: 1500w x 3050h, Family: Window External Type 3 - Recessed and Angle"/>
    <s v="Vector(X = -0.429, Y = 0.903, Z = 0.000, Length = 1.000)"/>
    <n v="-0.4"/>
    <n v="0.9"/>
    <n v="0"/>
    <n v="113.96248897457818"/>
    <x v="1"/>
    <n v="4.5750000000000002"/>
  </r>
  <r>
    <x v="270"/>
    <s v="Family Type: 1950w x 3050h, Family: Window External Type 1 - Recessed"/>
    <s v="Vector(X = -0.429, Y = 0.903, Z = 0.000, Length = 1.000)"/>
    <n v="-0.4"/>
    <n v="0.9"/>
    <n v="0"/>
    <n v="113.96248897457818"/>
    <x v="1"/>
    <n v="5.9474999999999998"/>
  </r>
  <r>
    <x v="270"/>
    <s v="Family Type: 1500w x 3050h, Family: Window External Type 3 - Recessed and Angle"/>
    <s v="Vector(X = -0.903, Y = -0.429, Z = 0.000, Length = 1.000)"/>
    <n v="-0.9"/>
    <n v="-0.4"/>
    <n v="0"/>
    <n v="-156.03751102542182"/>
    <x v="2"/>
    <n v="4.5750000000000002"/>
  </r>
  <r>
    <x v="270"/>
    <s v="Family Type: 1500w x 3050h, Family: Window External Type 3 - Recessed and Angle"/>
    <s v="Vector(X = -0.903, Y = -0.429, Z = 0.000, Length = 1.000)"/>
    <n v="-0.9"/>
    <n v="-0.4"/>
    <n v="0"/>
    <n v="-156.03751102542182"/>
    <x v="2"/>
    <n v="4.5750000000000002"/>
  </r>
  <r>
    <x v="270"/>
    <s v="Family Type: 1500w x 3050h, Family: Window External Type 3 - Recessed and Angle"/>
    <s v="Vector(X = -0.903, Y = -0.429, Z = 0.000, Length = 1.000)"/>
    <n v="-0.9"/>
    <n v="-0.4"/>
    <n v="0"/>
    <n v="-156.03751102542182"/>
    <x v="2"/>
    <n v="4.5750000000000002"/>
  </r>
  <r>
    <x v="270"/>
    <s v="Family Type: 1500w x 3050h, Family: Window External Type 3 - Recessed and Angle"/>
    <s v="Vector(X = -0.903, Y = -0.429, Z = 0.000, Length = 1.000)"/>
    <n v="-0.9"/>
    <n v="-0.4"/>
    <n v="0"/>
    <n v="-156.03751102542182"/>
    <x v="2"/>
    <n v="4.5750000000000002"/>
  </r>
  <r>
    <x v="270"/>
    <s v="Family Type: 975w x 3600h, CURTAIN WALL-manual input"/>
    <s v="Vector(X = 0.429, Y = -0.903, Z = 0.000, Length = 1.000)"/>
    <n v="0.4"/>
    <n v="-0.9"/>
    <n v="0"/>
    <n v="-66.037511025421821"/>
    <x v="3"/>
    <n v="3.51"/>
  </r>
  <r>
    <x v="271"/>
    <s v="L00-OPD-C3W-S115-120"/>
    <n v="2160719"/>
    <n v="0"/>
    <n v="0"/>
    <n v="0"/>
    <e v="#DIV/0!"/>
    <x v="4"/>
    <e v="#N/A"/>
  </r>
  <r>
    <x v="271"/>
    <s v="Family Type: 1950w x 3050h, Family: Window External Type 3 - Recessed and Angle"/>
    <s v="Vector(X = -0.323, Y = 0.946, Z = 0.000, Length = 1.000)"/>
    <n v="-0.3"/>
    <n v="0.9"/>
    <n v="0"/>
    <n v="108.43494882292201"/>
    <x v="1"/>
    <n v="5.9474999999999998"/>
  </r>
  <r>
    <x v="271"/>
    <s v="Family Type: 975w x 3050h, Family: Window External Type 1 - Recessed"/>
    <s v="Vector(X = 0.323, Y = -0.946, Z = 0.000, Length = 1.000)"/>
    <n v="0.3"/>
    <n v="-0.9"/>
    <n v="0"/>
    <n v="-71.56505117707799"/>
    <x v="3"/>
    <n v="2.9737499999999999"/>
  </r>
  <r>
    <x v="271"/>
    <s v="Family Type: 1950w x 3050h, Family: Window External Type 1 - Recessed"/>
    <s v="Vector(X = -0.323, Y = 0.946, Z = 0.000, Length = 1.000)"/>
    <n v="-0.3"/>
    <n v="0.9"/>
    <n v="0"/>
    <n v="108.43494882292201"/>
    <x v="1"/>
    <n v="5.9474999999999998"/>
  </r>
  <r>
    <x v="271"/>
    <s v="Family Type: 1500w x 3050h, Family: Window External Type 3 - Recessed and Angle"/>
    <s v="Vector(X = -0.946, Y = -0.323, Z = 0.000, Length = 1.000)"/>
    <n v="-0.9"/>
    <n v="-0.3"/>
    <n v="0"/>
    <n v="-161.565051177078"/>
    <x v="2"/>
    <n v="4.5750000000000002"/>
  </r>
  <r>
    <x v="271"/>
    <s v="Family Type: 1500w x 3050h, Family: Window External Type 3 - Recessed and Angle"/>
    <s v="Vector(X = -0.946, Y = -0.323, Z = 0.000, Length = 1.000)"/>
    <n v="-0.9"/>
    <n v="-0.3"/>
    <n v="0"/>
    <n v="-161.565051177078"/>
    <x v="2"/>
    <n v="4.5750000000000002"/>
  </r>
  <r>
    <x v="271"/>
    <s v="Family Type: 1500w x 3050h, Family: Window External Type 3 - Recessed and Angle"/>
    <s v="Vector(X = -0.946, Y = -0.323, Z = 0.000, Length = 1.000)"/>
    <n v="-0.9"/>
    <n v="-0.3"/>
    <n v="0"/>
    <n v="-161.565051177078"/>
    <x v="2"/>
    <n v="4.5750000000000002"/>
  </r>
  <r>
    <x v="271"/>
    <s v="Family Type: 1500w x 3050h, Family: Window External Type 3 - Recessed and Angle"/>
    <s v="Vector(X = -0.946, Y = -0.323, Z = 0.000, Length = 1.000)"/>
    <n v="-0.9"/>
    <n v="-0.3"/>
    <n v="0"/>
    <n v="-161.565051177078"/>
    <x v="2"/>
    <n v="4.5750000000000002"/>
  </r>
  <r>
    <x v="271"/>
    <s v="Family Type: 1500w x 3050h, Family: Window External Type 3 - Recessed and Angle"/>
    <s v="Vector(X = 0.323, Y = -0.946, Z = 0.000, Length = 1.000)"/>
    <n v="0.3"/>
    <n v="-0.9"/>
    <n v="0"/>
    <n v="-71.56505117707799"/>
    <x v="3"/>
    <n v="4.5750000000000002"/>
  </r>
  <r>
    <x v="272"/>
    <s v="L00-OPD-DW1-S115-21"/>
    <n v="2160746"/>
    <n v="0"/>
    <n v="0"/>
    <n v="0"/>
    <e v="#DIV/0!"/>
    <x v="4"/>
    <e v="#N/A"/>
  </r>
  <r>
    <x v="272"/>
    <s v="Family Type: 1500w x 3050h, Family: Window External Type 3 - Recessed and Angle"/>
    <s v="Vector(X = -0.977, Y = -0.212, Z = 0.000, Length = 1.000)"/>
    <n v="-1"/>
    <n v="-0.2"/>
    <n v="0"/>
    <n v="-168.69006752597977"/>
    <x v="2"/>
    <n v="4.5750000000000002"/>
  </r>
  <r>
    <x v="272"/>
    <s v="Family Type: 1500w x 3050h, Family: Window External Type 3 - Recessed and Angle"/>
    <s v="Vector(X = -0.977, Y = -0.212, Z = 0.000, Length = 1.000)"/>
    <n v="-1"/>
    <n v="-0.2"/>
    <n v="0"/>
    <n v="-168.69006752597977"/>
    <x v="2"/>
    <n v="4.5750000000000002"/>
  </r>
  <r>
    <x v="272"/>
    <s v="Family Type: 1500w x 3050h, Family: Window External Type 3 - Recessed and Angle"/>
    <s v="Vector(X = -0.977, Y = -0.212, Z = 0.000, Length = 1.000)"/>
    <n v="-1"/>
    <n v="-0.2"/>
    <n v="0"/>
    <n v="-168.69006752597977"/>
    <x v="2"/>
    <n v="4.5750000000000002"/>
  </r>
  <r>
    <x v="272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272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272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273"/>
    <s v="L00-CIR-CIR-C008-10"/>
    <n v="2161356"/>
    <n v="0"/>
    <n v="0"/>
    <n v="0"/>
    <e v="#DIV/0!"/>
    <x v="4"/>
    <e v="#N/A"/>
  </r>
  <r>
    <x v="273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73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73"/>
    <s v="Family Type: Curtain Wall_1950w x 3050h, Family: Window External Type 6 - Flush, Recessed"/>
    <s v="Vector(X = 0.212, Y = -0.977, Z = 0.000, Length = 1.000)"/>
    <n v="0.2"/>
    <n v="-1"/>
    <n v="0"/>
    <n v="-78.690067525979785"/>
    <x v="3"/>
    <n v="5.9474999999999998"/>
  </r>
  <r>
    <x v="273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73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73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73"/>
    <s v="Family Type: Curtain Wall_1500w x 3050h, Family: Window External Type 6 - Flush, Recessed"/>
    <s v="Vector(X = 0.212, Y = -0.977, Z = 0.000, Length = 1.000)"/>
    <n v="0.2"/>
    <n v="-1"/>
    <n v="0"/>
    <n v="-78.690067525979785"/>
    <x v="3"/>
    <n v="4.5749999999999993"/>
  </r>
  <r>
    <x v="273"/>
    <s v="Family Type: Curtain Wall_975x1950x3800 2, Family: Window External Type 5 - Flush Corner 2"/>
    <s v="Vector(X = -0.212, Y = 0.977, Z = 0.000, Length = 1.000)"/>
    <n v="-0.2"/>
    <n v="1"/>
    <n v="0"/>
    <n v="101.3099324740202"/>
    <x v="1"/>
    <n v="0"/>
  </r>
  <r>
    <x v="273"/>
    <s v="Family Type: Curtain Wall_975w x 3050h 2, Family: Window External Type 6 - Flush, Recessed"/>
    <s v="Vector(X = -0.872, Y = -0.489, Z = 0.000, Length = 1.000)"/>
    <n v="-0.9"/>
    <n v="-0.5"/>
    <n v="0"/>
    <n v="-150.94539590092285"/>
    <x v="2"/>
    <n v="2.9737499999999999"/>
  </r>
  <r>
    <x v="273"/>
    <s v="Family Type: Curtain Wall_975w x 3050h 2, Family: Window External Type 6 - Flush, Recessed"/>
    <s v="Vector(X = -0.872, Y = -0.489, Z = 0.000, Length = 1.000)"/>
    <n v="-0.9"/>
    <n v="-0.5"/>
    <n v="0"/>
    <n v="-150.94539590092285"/>
    <x v="2"/>
    <n v="2.9737499999999999"/>
  </r>
  <r>
    <x v="274"/>
    <s v="L00-CIR-CIR-C006-13"/>
    <n v="2161362"/>
    <n v="0"/>
    <n v="0"/>
    <n v="0"/>
    <e v="#DIV/0!"/>
    <x v="4"/>
    <e v="#N/A"/>
  </r>
  <r>
    <x v="274"/>
    <s v="Family Type: Curtain Wall_1500w x 3050h, Family: Window External Type 6 - Flush, Recessed"/>
    <s v="Vector(X = -0.872, Y = -0.489, Z = 0.000, Length = 1.000)"/>
    <n v="-0.9"/>
    <n v="-0.5"/>
    <n v="0"/>
    <n v="-150.94539590092285"/>
    <x v="2"/>
    <n v="4.5749999999999993"/>
  </r>
  <r>
    <x v="274"/>
    <s v="Family Type: Curtain Wall_1500w x 3050h, Family: Window External Type 6 - Flush, Recessed"/>
    <s v="Vector(X = -0.872, Y = -0.489, Z = 0.000, Length = 1.000)"/>
    <n v="-0.9"/>
    <n v="-0.5"/>
    <n v="0"/>
    <n v="-150.94539590092285"/>
    <x v="2"/>
    <n v="4.5749999999999993"/>
  </r>
  <r>
    <x v="274"/>
    <s v="Family Type: Curtain Wall_975w x 3050h 2, Family: Window External Type 6 - Flush, Recessed"/>
    <s v="Vector(X = -0.872, Y = -0.489, Z = 0.000, Length = 1.000)"/>
    <n v="-0.9"/>
    <n v="-0.5"/>
    <n v="0"/>
    <n v="-150.94539590092285"/>
    <x v="2"/>
    <n v="2.9737499999999999"/>
  </r>
  <r>
    <x v="275"/>
    <s v="L00-CIR-CIR-C008-03"/>
    <n v="2161407"/>
    <n v="0"/>
    <n v="0"/>
    <n v="0"/>
    <e v="#DIV/0!"/>
    <x v="4"/>
    <e v="#N/A"/>
  </r>
  <r>
    <x v="275"/>
    <s v="Family Type: 1000w x 3050h, Family: Window External Type 4 - Extruded"/>
    <s v="Vector(X = -0.530, Y = 0.848, Z = 0.000, Length = 1.000)"/>
    <n v="-0.5"/>
    <n v="0.8"/>
    <n v="0"/>
    <n v="122.0053832080835"/>
    <x v="1"/>
    <n v="3.05"/>
  </r>
  <r>
    <x v="276"/>
    <s v="L00-CIR-CIR-C008-04"/>
    <n v="2161517"/>
    <n v="0"/>
    <n v="0"/>
    <n v="0"/>
    <e v="#DIV/0!"/>
    <x v="4"/>
    <e v="#N/A"/>
  </r>
  <r>
    <x v="276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277"/>
    <n v="39"/>
    <n v="2161547"/>
    <n v="0"/>
    <n v="0"/>
    <n v="0"/>
    <e v="#DIV/0!"/>
    <x v="4"/>
    <e v="#N/A"/>
  </r>
  <r>
    <x v="277"/>
    <s v="Family Type: Curtain Wall_975w x 3050h 2, Family: Window External Type 6 - Flush, Recessed"/>
    <s v="Vector(X = -0.872, Y = -0.489, Z = 0.000, Length = 1.000)"/>
    <n v="-0.9"/>
    <n v="-0.5"/>
    <n v="0"/>
    <n v="-150.94539590092285"/>
    <x v="2"/>
    <n v="2.9737499999999999"/>
  </r>
  <r>
    <x v="277"/>
    <s v="Family Type: Curtain Wall_1500w x 3050h, Family: Window External Type 6 - Flush, Recessed"/>
    <s v="Vector(X = -0.872, Y = -0.489, Z = 0.000, Length = 1.000)"/>
    <n v="-0.9"/>
    <n v="-0.5"/>
    <n v="0"/>
    <n v="-150.94539590092285"/>
    <x v="2"/>
    <n v="4.5749999999999993"/>
  </r>
  <r>
    <x v="278"/>
    <s v="L00-EMG-OTA-S036-01"/>
    <n v="2219166"/>
    <n v="0"/>
    <n v="0"/>
    <n v="0"/>
    <e v="#DIV/0!"/>
    <x v="4"/>
    <e v="#N/A"/>
  </r>
  <r>
    <x v="278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279"/>
    <s v="L00-EMG-SWS-U0321-01"/>
    <n v="2219842"/>
    <n v="0"/>
    <n v="0"/>
    <n v="0"/>
    <e v="#DIV/0!"/>
    <x v="4"/>
    <e v="#N/A"/>
  </r>
  <r>
    <x v="279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280"/>
    <s v="L00-MAI-CRE-S081-01"/>
    <n v="2355772"/>
    <n v="0"/>
    <n v="0"/>
    <n v="0"/>
    <e v="#DIV/0!"/>
    <x v="4"/>
    <e v="#N/A"/>
  </r>
  <r>
    <x v="280"/>
    <s v="Family Type: 1500w x 3050h, Family: Window Internal Type 2b - Recessed and Angle"/>
    <s v="Vector(X = 0.130, Y = 0.991, Z = 0.000, Length = 1.000)"/>
    <n v="0.1"/>
    <n v="1"/>
    <n v="0"/>
    <n v="84.289406862500371"/>
    <x v="9"/>
    <n v="4.5749999999999993"/>
  </r>
  <r>
    <x v="281"/>
    <s v="L00-MAI-CRE-U0829-01"/>
    <n v="2355776"/>
    <n v="0"/>
    <n v="0"/>
    <n v="0"/>
    <e v="#DIV/0!"/>
    <x v="4"/>
    <e v="#N/A"/>
  </r>
  <r>
    <x v="281"/>
    <s v="Family Type: 1950w x 3050h, Family: Window Internal Type 2b - Recessed and Angle"/>
    <s v="Vector(X = 0.130, Y = 0.991, Z = 0.000, Length = 1.000)"/>
    <n v="0.1"/>
    <n v="1"/>
    <n v="0"/>
    <n v="84.289406862500371"/>
    <x v="9"/>
    <n v="5.9474999999999998"/>
  </r>
  <r>
    <x v="281"/>
    <s v="Family Type: 1500w x 3050h, Family: Window Internal Type 2b - Recessed and Angle"/>
    <s v="Vector(X = 0.130, Y = 0.991, Z = 0.000, Length = 1.000)"/>
    <n v="0.1"/>
    <n v="1"/>
    <n v="0"/>
    <n v="84.289406862500371"/>
    <x v="9"/>
    <n v="4.5749999999999993"/>
  </r>
  <r>
    <x v="281"/>
    <s v="Family Type: 975w x 3050h, Family: Window Internal Type 2a - Recessed"/>
    <s v="Vector(X = 0.130, Y = 0.991, Z = 0.000, Length = 1.000)"/>
    <n v="0.1"/>
    <n v="1"/>
    <n v="0"/>
    <n v="84.289406862500371"/>
    <x v="9"/>
    <n v="2.9737499999999999"/>
  </r>
  <r>
    <x v="282"/>
    <s v="L00-MAI-CRE-S139-01"/>
    <n v="2355779"/>
    <n v="0"/>
    <n v="0"/>
    <n v="0"/>
    <e v="#DIV/0!"/>
    <x v="4"/>
    <e v="#N/A"/>
  </r>
  <r>
    <x v="282"/>
    <s v="Family Type: 975w x 3050h, Family: Window Internal Type 2a - Recessed"/>
    <s v="Vector(X = 0.130, Y = 0.991, Z = 0.000, Length = 1.000)"/>
    <n v="0.1"/>
    <n v="1"/>
    <n v="0"/>
    <n v="84.289406862500371"/>
    <x v="9"/>
    <n v="2.9737499999999999"/>
  </r>
  <r>
    <x v="283"/>
    <s v="L00-OPD-CC4-S091-02"/>
    <n v="2399895"/>
    <n v="0"/>
    <n v="0"/>
    <n v="0"/>
    <e v="#DIV/0!"/>
    <x v="4"/>
    <e v="#N/A"/>
  </r>
  <r>
    <x v="283"/>
    <s v="Family Type: 1950w x 3050h, Family: Window Internal Type 2b - Recessed and Angle"/>
    <s v="Vector(X = 0.041, Y = -0.999, Z = 0.000, Length = 1.000)"/>
    <n v="0"/>
    <n v="-1"/>
    <n v="0"/>
    <n v="-90"/>
    <x v="3"/>
    <n v="5.9474999999999998"/>
  </r>
  <r>
    <x v="284"/>
    <s v="L00-OPD-CC4-S104-02"/>
    <n v="2399897"/>
    <n v="0"/>
    <n v="0"/>
    <n v="0"/>
    <e v="#DIV/0!"/>
    <x v="4"/>
    <e v="#N/A"/>
  </r>
  <r>
    <x v="284"/>
    <s v="Family Type: 1950w x 3050h, Family: Window Internal Type 2b - Recessed and Angle"/>
    <s v="Vector(X = 0.041, Y = -0.999, Z = 0.000, Length = 1.000)"/>
    <n v="0"/>
    <n v="-1"/>
    <n v="0"/>
    <n v="-90"/>
    <x v="3"/>
    <n v="5.9474999999999998"/>
  </r>
  <r>
    <x v="285"/>
    <s v="L00-IMG-CIR-C001-02"/>
    <n v="2410188"/>
    <n v="0"/>
    <n v="0"/>
    <n v="0"/>
    <e v="#DIV/0!"/>
    <x v="4"/>
    <e v="#N/A"/>
  </r>
  <r>
    <x v="285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5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5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5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5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85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5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85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5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85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85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5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5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5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5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85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5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85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5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85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85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6"/>
    <s v="L00-IMG-CIR-C001-05"/>
    <n v="2410191"/>
    <n v="0"/>
    <n v="0"/>
    <n v="0"/>
    <e v="#DIV/0!"/>
    <x v="4"/>
    <e v="#N/A"/>
  </r>
  <r>
    <x v="286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6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6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6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86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6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86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6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86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86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7"/>
    <s v="L00-IMG-CIR-C001-07"/>
    <n v="2410193"/>
    <n v="0"/>
    <n v="0"/>
    <n v="0"/>
    <e v="#DIV/0!"/>
    <x v="4"/>
    <e v="#N/A"/>
  </r>
  <r>
    <x v="287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87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7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87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7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87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87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7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8"/>
    <s v="L00-IMG-CIR-C001-09"/>
    <n v="2410195"/>
    <n v="0"/>
    <n v="0"/>
    <n v="0"/>
    <e v="#DIV/0!"/>
    <x v="4"/>
    <e v="#N/A"/>
  </r>
  <r>
    <x v="288"/>
    <s v="Family Type: Curtain Wall_975w x 3200h, Family: Window External Type 6 - Flush, Recessed"/>
    <s v="Vector(X = 0.948, Y = 0.320, Z = 0.000, Length = 1.000)"/>
    <n v="0.9"/>
    <n v="0.3"/>
    <n v="0"/>
    <n v="18.43494882292201"/>
    <x v="5"/>
    <n v="3.12"/>
  </r>
  <r>
    <x v="288"/>
    <s v="Family Type: Curtain Wall_1500w x 3200h, Family: Window External Type 6 - Flush, Recessed"/>
    <s v="Vector(X = 0.955, Y = 0.297, Z = 0.000, Length = 1.000)"/>
    <n v="1"/>
    <n v="0.3"/>
    <n v="0"/>
    <n v="16.699244233993621"/>
    <x v="5"/>
    <n v="4.8"/>
  </r>
  <r>
    <x v="288"/>
    <s v="Family Type: Curtain Wall_1150w x 3200h, Family: Window External Type 6 - Flush, Recessed"/>
    <s v="Vector(X = 0.962, Y = 0.272, Z = 0.000, Length = 1.000)"/>
    <n v="1"/>
    <n v="0.3"/>
    <n v="0"/>
    <n v="16.699244233993621"/>
    <x v="5"/>
    <n v="3.68"/>
  </r>
  <r>
    <x v="288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88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8"/>
    <s v="Family Type: Curtain Wall_1950w x 3200h, Family: Window External Type 6 - Flush, Recessed"/>
    <s v="Vector(X = 0.977, Y = 0.212, Z = 0.000, Length = 1.000)"/>
    <n v="1"/>
    <n v="0.2"/>
    <n v="0"/>
    <n v="11.309932474020215"/>
    <x v="5"/>
    <n v="6.24"/>
  </r>
  <r>
    <x v="288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88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8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8"/>
    <s v="Family Type: Curtain Wall_975w x 3200h, Family: Window External Type 6 - Flush, Recessed"/>
    <s v="Vector(X = 0.977, Y = 0.212, Z = 0.000, Length = 1.000)"/>
    <n v="1"/>
    <n v="0.2"/>
    <n v="0"/>
    <n v="11.309932474020215"/>
    <x v="5"/>
    <n v="3.12"/>
  </r>
  <r>
    <x v="288"/>
    <s v="Family Type: Curtain Wall_1500w x 3200h, Family: Window External Type 6 - Flush, Recessed"/>
    <s v="Vector(X = 0.977, Y = 0.212, Z = 0.000, Length = 1.000)"/>
    <n v="1"/>
    <n v="0.2"/>
    <n v="0"/>
    <n v="11.309932474020215"/>
    <x v="5"/>
    <n v="4.8"/>
  </r>
  <r>
    <x v="288"/>
    <s v="Family Type: Curtain Wall_585w x 3200h, Family: Window External Type 6 - Flush, Recessed"/>
    <s v="Vector(X = 0.977, Y = 0.212, Z = 0.000, Length = 1.000)"/>
    <n v="1"/>
    <n v="0.2"/>
    <n v="0"/>
    <n v="11.309932474020215"/>
    <x v="5"/>
    <n v="1.8720000000000001"/>
  </r>
  <r>
    <x v="289"/>
    <s v="L00-IMG-CIR-C001-15"/>
    <n v="2410201"/>
    <n v="0"/>
    <n v="0"/>
    <n v="0"/>
    <e v="#DIV/0!"/>
    <x v="4"/>
    <e v="#N/A"/>
  </r>
  <r>
    <x v="289"/>
    <s v="Family Type: Curtain Wall_1500w x 3050h, Family: Window External Type 6 - Flush, Recessed"/>
    <s v="Vector(X = 0.212, Y = -0.977, Z = 0.000, Length = 1.000)"/>
    <n v="0.2"/>
    <n v="-1"/>
    <n v="0"/>
    <n v="-78.690067525979785"/>
    <x v="3"/>
    <n v="4.5749999999999993"/>
  </r>
  <r>
    <x v="28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89"/>
    <s v="Family Type: Curtain Wall_1950w x 3050h, Family: Window External Type 6 - Flush, Recessed"/>
    <s v="Vector(X = 0.212, Y = -0.977, Z = 0.000, Length = 1.000)"/>
    <n v="0.2"/>
    <n v="-1"/>
    <n v="0"/>
    <n v="-78.690067525979785"/>
    <x v="3"/>
    <n v="5.9474999999999998"/>
  </r>
  <r>
    <x v="289"/>
    <s v="Family Type: Curtain Wall_1950w x 3200h, Family: Window External Type 6 - Flush, Recessed"/>
    <s v="Vector(X = 0.872, Y = 0.489, Z = 0.000, Length = 1.000)"/>
    <n v="0.9"/>
    <n v="0.5"/>
    <n v="0"/>
    <n v="29.054604099077146"/>
    <x v="5"/>
    <n v="6.24"/>
  </r>
  <r>
    <x v="289"/>
    <s v="Family Type: Curtain Wall_975w x 3200h, Family: Window External Type 6 - Flush, Recessed"/>
    <s v="Vector(X = 0.872, Y = 0.489, Z = 0.000, Length = 1.000)"/>
    <n v="0.9"/>
    <n v="0.5"/>
    <n v="0"/>
    <n v="29.054604099077146"/>
    <x v="5"/>
    <n v="3.12"/>
  </r>
  <r>
    <x v="290"/>
    <s v="L00-IMG-CIR-C001-17"/>
    <n v="2410203"/>
    <n v="0"/>
    <n v="0"/>
    <n v="0"/>
    <e v="#DIV/0!"/>
    <x v="4"/>
    <e v="#N/A"/>
  </r>
  <r>
    <x v="290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290"/>
    <s v="Family Type: Curtain Wall_585w x 3200h, Family: Window External Type 6 - Flush, Recessed"/>
    <s v="Vector(X = 0.873, Y = 0.489, Z = 0.000, Length = 1.000)"/>
    <n v="0.9"/>
    <n v="0.5"/>
    <n v="0"/>
    <n v="29.054604099077146"/>
    <x v="5"/>
    <n v="1.8720000000000001"/>
  </r>
  <r>
    <x v="290"/>
    <s v="Family Type: Curtain Wall_1500w x 3200h, Family: Window External Type 6 - Flush, Recessed"/>
    <s v="Vector(X = 0.873, Y = 0.489, Z = 0.000, Length = 1.000)"/>
    <n v="0.9"/>
    <n v="0.5"/>
    <n v="0"/>
    <n v="29.054604099077146"/>
    <x v="5"/>
    <n v="4.8"/>
  </r>
  <r>
    <x v="290"/>
    <s v="Family Type: Curtain Wall_975w x 3200h, Family: Window External Type 6 - Flush, Recessed"/>
    <s v="Vector(X = 0.873, Y = 0.489, Z = 0.000, Length = 1.000)"/>
    <n v="0.9"/>
    <n v="0.5"/>
    <n v="0"/>
    <n v="29.054604099077146"/>
    <x v="5"/>
    <n v="3.12"/>
  </r>
  <r>
    <x v="291"/>
    <s v="L00-IMG-CIR-C001-19"/>
    <n v="2410205"/>
    <n v="0"/>
    <n v="0"/>
    <n v="0"/>
    <e v="#DIV/0!"/>
    <x v="4"/>
    <e v="#N/A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1500w x 3050h, Family: Window External Type 6 - Flush, Recessed"/>
    <s v="Vector(X = 0.212, Y = -0.977, Z = 0.000, Length = 1.000)"/>
    <n v="0.2"/>
    <n v="-1"/>
    <n v="0"/>
    <n v="-78.690067525979785"/>
    <x v="3"/>
    <n v="4.5749999999999993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1500w x 3050h, Family: Window External Type 6 - Flush, Recessed"/>
    <s v="Vector(X = 0.212, Y = -0.977, Z = 0.000, Length = 1.000)"/>
    <n v="0.2"/>
    <n v="-1"/>
    <n v="0"/>
    <n v="-78.690067525979785"/>
    <x v="3"/>
    <n v="4.5749999999999993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1950w x 3050h, Family: Window External Type 6 - Flush, Recessed"/>
    <s v="Vector(X = 0.212, Y = -0.977, Z = 0.000, Length = 1.000)"/>
    <n v="0.2"/>
    <n v="-1"/>
    <n v="0"/>
    <n v="-78.690067525979785"/>
    <x v="3"/>
    <n v="5.9474999999999998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1950w x 3050h, Family: Window External Type 6 - Flush, Recessed"/>
    <s v="Vector(X = 0.212, Y = -0.977, Z = 0.000, Length = 1.000)"/>
    <n v="0.2"/>
    <n v="-1"/>
    <n v="0"/>
    <n v="-78.690067525979785"/>
    <x v="3"/>
    <n v="5.9474999999999998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1"/>
    <s v="Family Type: Curtain Wall_1500w x 3050h, Family: Window External Type 6 - Flush, Recessed"/>
    <s v="Vector(X = 0.212, Y = -0.977, Z = 0.000, Length = 1.000)"/>
    <n v="0.2"/>
    <n v="-1"/>
    <n v="0"/>
    <n v="-78.690067525979785"/>
    <x v="3"/>
    <n v="4.5749999999999993"/>
  </r>
  <r>
    <x v="291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2"/>
    <s v="L00-CIR-CIR-C006-01"/>
    <n v="2417607"/>
    <n v="0"/>
    <n v="0"/>
    <n v="0"/>
    <e v="#DIV/0!"/>
    <x v="4"/>
    <e v="#N/A"/>
  </r>
  <r>
    <x v="292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293"/>
    <s v="L00-CIR-CIR-C006-04"/>
    <n v="2418172"/>
    <n v="0"/>
    <n v="0"/>
    <n v="0"/>
    <e v="#DIV/0!"/>
    <x v="4"/>
    <e v="#N/A"/>
  </r>
  <r>
    <x v="293"/>
    <s v="Family Type: 1500w x 3050h, Family: Window External Type 3 - Recessed and Angle"/>
    <s v="Vector(X = -0.530, Y = 0.848, Z = 0.000, Length = 1.000)"/>
    <n v="-0.5"/>
    <n v="0.8"/>
    <n v="0"/>
    <n v="122.0053832080835"/>
    <x v="1"/>
    <n v="4.5750000000000002"/>
  </r>
  <r>
    <x v="294"/>
    <s v="L00-CIR-CIR-C006-05"/>
    <n v="2418479"/>
    <n v="0"/>
    <n v="0"/>
    <n v="0"/>
    <e v="#DIV/0!"/>
    <x v="4"/>
    <e v="#N/A"/>
  </r>
  <r>
    <x v="294"/>
    <s v="Family Type: 1000w x 3050h, Family: Window External Type 4 - Extruded"/>
    <s v="Vector(X = -0.130, Y = -0.991, Z = 0.000, Length = 1.000)"/>
    <n v="-0.1"/>
    <n v="-1"/>
    <n v="0"/>
    <n v="-95.710593137499629"/>
    <x v="8"/>
    <n v="3.05"/>
  </r>
  <r>
    <x v="295"/>
    <s v="L00-OPD-CC3-S156-01"/>
    <n v="2426594"/>
    <n v="0"/>
    <n v="0"/>
    <n v="0"/>
    <e v="#DIV/0!"/>
    <x v="4"/>
    <e v="#N/A"/>
  </r>
  <r>
    <x v="295"/>
    <s v="Family Type: 1500w x 3050h, Family: Window External Type 3 - Recessed and Angle"/>
    <s v="Vector(X = -0.323, Y = 0.946, Z = 0.000, Length = 1.000)"/>
    <n v="-0.3"/>
    <n v="0.9"/>
    <n v="0"/>
    <n v="108.43494882292201"/>
    <x v="1"/>
    <n v="4.5750000000000002"/>
  </r>
  <r>
    <x v="296"/>
    <s v="L00-OPD-CC3-S156-02"/>
    <n v="2426595"/>
    <n v="0"/>
    <n v="0"/>
    <n v="0"/>
    <e v="#DIV/0!"/>
    <x v="4"/>
    <e v="#N/A"/>
  </r>
  <r>
    <x v="296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297"/>
    <s v="L00-OPD-DC1-U1077-01"/>
    <n v="2448874"/>
    <n v="0"/>
    <n v="0"/>
    <n v="0"/>
    <e v="#DIV/0!"/>
    <x v="4"/>
    <e v="#N/A"/>
  </r>
  <r>
    <x v="5"/>
    <s v="none"/>
    <s v="Vector(X = -0.212, Y = 0.977, Z = 0.000, Length = 1.000)"/>
    <n v="-0.2"/>
    <n v="1"/>
    <n v="0"/>
    <n v="101.3099324740202"/>
    <x v="1"/>
    <e v="#N/A"/>
  </r>
  <r>
    <x v="298"/>
    <s v="L00-IMG-NMD-L022-01"/>
    <n v="2632790"/>
    <n v="0"/>
    <n v="0"/>
    <n v="0"/>
    <e v="#DIV/0!"/>
    <x v="4"/>
    <e v="#N/A"/>
  </r>
  <r>
    <x v="298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8"/>
    <s v="Family Type: Curtain Wall_1500w x 3050h, Family: Window External Type 6 - Flush, Recessed"/>
    <s v="Vector(X = 0.212, Y = -0.977, Z = 0.000, Length = 1.000)"/>
    <n v="0.2"/>
    <n v="-1"/>
    <n v="0"/>
    <n v="-78.690067525979785"/>
    <x v="3"/>
    <n v="4.5749999999999993"/>
  </r>
  <r>
    <x v="298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9"/>
    <s v="L00-IMG-NMD-U1418-02"/>
    <n v="2632792"/>
    <n v="0"/>
    <n v="0"/>
    <n v="0"/>
    <e v="#DIV/0!"/>
    <x v="4"/>
    <e v="#N/A"/>
  </r>
  <r>
    <x v="29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299"/>
    <s v="Family Type: Curtain Wall_975w x 3050h 2, Family: Window External Type 6 - Flush, Recessed"/>
    <s v="Vector(X = 0.212, Y = -0.977, Z = 0.000, Length = 1.000)"/>
    <n v="0.2"/>
    <n v="-1"/>
    <n v="0"/>
    <n v="-78.690067525979785"/>
    <x v="3"/>
    <n v="2.9737499999999999"/>
  </r>
  <r>
    <x v="300"/>
    <s v="L00-OPD-DC1-U1656-01"/>
    <n v="2641896"/>
    <n v="0"/>
    <n v="0"/>
    <n v="0"/>
    <e v="#DIV/0!"/>
    <x v="4"/>
    <e v="#N/A"/>
  </r>
  <r>
    <x v="300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300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300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300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300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301"/>
    <s v="L00-OPD-CC4-S028-15"/>
    <s v="ID not used"/>
    <n v="0"/>
    <n v="0"/>
    <n v="0"/>
    <e v="#DIV/0!"/>
    <x v="4"/>
    <e v="#N/A"/>
  </r>
  <r>
    <x v="301"/>
    <s v="Family Type: 1500w x 3050h, Family: Window External Type 3 - Recessed and Angle"/>
    <s v="Vector(X = 0.041, Y = -0.999, Z = 0.000, Length = 1.000)"/>
    <n v="0"/>
    <n v="-1"/>
    <n v="0"/>
    <n v="-90"/>
    <x v="3"/>
    <n v="4.5750000000000002"/>
  </r>
  <r>
    <x v="302"/>
    <s v="L00-OPD-CC4-S108-04"/>
    <s v="ID not used"/>
    <n v="0"/>
    <n v="0"/>
    <n v="0"/>
    <e v="#DIV/0!"/>
    <x v="4"/>
    <e v="#N/A"/>
  </r>
  <r>
    <x v="302"/>
    <s v="Family Type: 1500w x 3050h, Family: Window External Type 3 - Recessed and Angle"/>
    <s v="Vector(X = -0.041, Y = 0.999, Z = 0.000, Length = 1.000)"/>
    <n v="0"/>
    <n v="1"/>
    <n v="0"/>
    <n v="90"/>
    <x v="1"/>
    <n v="4.5750000000000002"/>
  </r>
  <r>
    <x v="302"/>
    <s v="Family Type: 1000w x 3050h, Family: Window External Type 4 - Extruded"/>
    <s v="Vector(X = -0.041, Y = 0.999, Z = 0.000, Length = 1.000)"/>
    <n v="0"/>
    <n v="1"/>
    <n v="0"/>
    <n v="90"/>
    <x v="1"/>
    <n v="3.05"/>
  </r>
  <r>
    <x v="303"/>
    <s v="L00-OPD-CC4-S137-01"/>
    <s v="ID not used"/>
    <n v="0"/>
    <n v="0"/>
    <n v="0"/>
    <e v="#DIV/0!"/>
    <x v="4"/>
    <e v="#N/A"/>
  </r>
  <r>
    <x v="303"/>
    <s v="Family Type: 975w x 3050h, Family: Window External Type 1 - Recessed"/>
    <s v="Vector(X = -0.041, Y = 0.999, Z = 0.000, Length = 1.000)"/>
    <n v="0"/>
    <n v="1"/>
    <n v="0"/>
    <n v="90"/>
    <x v="1"/>
    <n v="2.9737499999999999"/>
  </r>
  <r>
    <x v="303"/>
    <s v="Family Type: 1500w x 3050h, Family: Window External Type 3 - Recessed and Angle"/>
    <s v="Vector(X = -0.041, Y = 0.999, Z = 0.000, Length = 1.000)"/>
    <n v="0"/>
    <n v="1"/>
    <n v="0"/>
    <n v="90"/>
    <x v="1"/>
    <n v="4.5750000000000002"/>
  </r>
  <r>
    <x v="304"/>
    <s v="L00-OPD-CC4-S123-01"/>
    <s v="ID not used"/>
    <n v="0"/>
    <n v="0"/>
    <n v="0"/>
    <e v="#DIV/0!"/>
    <x v="4"/>
    <e v="#N/A"/>
  </r>
  <r>
    <x v="304"/>
    <s v="Family Type: 975w x 3600h, CURTAIN WALL-manual input"/>
    <s v="Vector(X = -0.041, Y = 0.999, Z = 0.000, Length = 1.000)"/>
    <n v="0"/>
    <n v="1"/>
    <n v="0"/>
    <n v="90"/>
    <x v="1"/>
    <n v="3.51"/>
  </r>
  <r>
    <x v="280"/>
    <s v="L00-MAI-CRE-S081-01"/>
    <s v="ID not used"/>
    <n v="0"/>
    <n v="0"/>
    <n v="0"/>
    <e v="#DIV/0!"/>
    <x v="4"/>
    <e v="#N/A"/>
  </r>
  <r>
    <x v="280"/>
    <s v="Family Type: 1500w x 3050h, Family: Window Internal Type 2b - Recessed and Angle"/>
    <s v="Vector(X = 0.130, Y = 0.991, Z = 0.000, Length = 1.000)"/>
    <n v="0.1"/>
    <n v="1"/>
    <n v="0"/>
    <n v="84.289406862500371"/>
    <x v="9"/>
    <n v="4.5749999999999993"/>
  </r>
  <r>
    <x v="280"/>
    <s v="Family Type: 1500w x 3050h, Family: Window Internal Type 2b - Recessed and Angle"/>
    <s v="Vector(X = 0.130, Y = 0.991, Z = 0.000, Length = 1.000)"/>
    <n v="0.1"/>
    <n v="1"/>
    <n v="0"/>
    <n v="84.289406862500371"/>
    <x v="9"/>
    <n v="4.5749999999999993"/>
  </r>
  <r>
    <x v="280"/>
    <s v="Family Type: 1000w x 3050h, Family: Window External Type 4 - Extruded"/>
    <s v="Vector(X = 0.130, Y = 0.991, Z = 0.000, Length = 1.000)"/>
    <n v="0.1"/>
    <n v="1"/>
    <n v="0"/>
    <n v="84.289406862500371"/>
    <x v="9"/>
    <n v="3.05"/>
  </r>
  <r>
    <x v="280"/>
    <s v="Family Type: 1500w x 3050h, Family: Window Internal Type 2b - Recessed and Angle"/>
    <s v="Vector(X = 0.130, Y = 0.991, Z = 0.000, Length = 1.000)"/>
    <n v="0.1"/>
    <n v="1"/>
    <n v="0"/>
    <n v="84.289406862500371"/>
    <x v="9"/>
    <n v="4.5749999999999993"/>
  </r>
  <r>
    <x v="280"/>
    <s v="Family Type: 1500w x 3050h, Family: Window Internal Type 2b - Recessed and Angle"/>
    <s v="Vector(X = 0.130, Y = 0.991, Z = 0.000, Length = 1.000)"/>
    <n v="0.1"/>
    <n v="1"/>
    <n v="0"/>
    <n v="84.289406862500371"/>
    <x v="9"/>
    <n v="4.5749999999999993"/>
  </r>
  <r>
    <x v="280"/>
    <s v="Family Type: 975w x 3600h, CURTAIN WALL-manual input"/>
    <s v="Vector(X = 0.130, Y = 0.991, Z = 0.000, Length = 1.000)"/>
    <n v="0.1"/>
    <n v="1"/>
    <n v="0"/>
    <n v="84.289406862500371"/>
    <x v="9"/>
    <n v="3.51"/>
  </r>
  <r>
    <x v="280"/>
    <s v="Family Type: 975w x 3600h, CURTAIN WALL-manual input"/>
    <s v="Vector(X = 0.130, Y = 0.991, Z = 0.000, Length = 1.000)"/>
    <n v="0.1"/>
    <n v="1"/>
    <n v="0"/>
    <n v="84.289406862500371"/>
    <x v="9"/>
    <n v="3.51"/>
  </r>
  <r>
    <x v="280"/>
    <s v="Family Type: 1500w x 3050h, Family: Window External Type 3 - Recessed and Angle"/>
    <s v="Vector(X = -0.996, Y = 0.087, Z = 0.000, Length = 1.000)"/>
    <n v="-1"/>
    <n v="0.1"/>
    <n v="0"/>
    <n v="174.28940686250036"/>
    <x v="7"/>
    <n v="4.5750000000000002"/>
  </r>
  <r>
    <x v="280"/>
    <s v="Family Type: 1500w x 3050h, Family: Window External Type 3 - Recessed and Angle"/>
    <s v="Vector(X = -0.996, Y = 0.087, Z = 0.000, Length = 1.000)"/>
    <n v="-1"/>
    <n v="0.1"/>
    <n v="0"/>
    <n v="174.28940686250036"/>
    <x v="7"/>
    <n v="4.5750000000000002"/>
  </r>
  <r>
    <x v="280"/>
    <s v="Family Type: 1500w x 3050h, Family: Window External Type 3 - Recessed and Angle"/>
    <s v="Vector(X = -0.996, Y = 0.087, Z = 0.000, Length = 1.000)"/>
    <n v="-1"/>
    <n v="0.1"/>
    <n v="0"/>
    <n v="174.28940686250036"/>
    <x v="7"/>
    <n v="4.5750000000000002"/>
  </r>
  <r>
    <x v="280"/>
    <s v="Family Type: 1000w x 3050h, Family: Window External Type 4 - Extruded"/>
    <s v="Vector(X = -0.130, Y = -0.991, Z = 0.000, Length = 1.000)"/>
    <n v="-0.1"/>
    <n v="-1"/>
    <n v="0"/>
    <n v="-95.710593137499629"/>
    <x v="8"/>
    <n v="3.05"/>
  </r>
  <r>
    <x v="280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280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280"/>
    <s v="Family Type: 1000w x 3050h, Family: Window External Type 4 - Extruded"/>
    <s v="Vector(X = -0.130, Y = -0.991, Z = 0.000, Length = 1.000)"/>
    <n v="-0.1"/>
    <n v="-1"/>
    <n v="0"/>
    <n v="-95.710593137499629"/>
    <x v="8"/>
    <n v="3.05"/>
  </r>
  <r>
    <x v="280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280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280"/>
    <s v="Family Type: 1000w x 3050h, Family: Window External Type 4 - Extruded"/>
    <s v="Vector(X = -0.130, Y = -0.991, Z = 0.000, Length = 1.000)"/>
    <n v="-0.1"/>
    <n v="-1"/>
    <n v="0"/>
    <n v="-95.710593137499629"/>
    <x v="8"/>
    <n v="3.05"/>
  </r>
  <r>
    <x v="280"/>
    <s v="Family Type: 1950w x 3050h, Family: Window External Type 3 - Recessed and Angle"/>
    <s v="Vector(X = -0.130, Y = -0.991, Z = 0.000, Length = 1.000)"/>
    <n v="-0.1"/>
    <n v="-1"/>
    <n v="0"/>
    <n v="-95.710593137499629"/>
    <x v="8"/>
    <n v="5.9474999999999998"/>
  </r>
  <r>
    <x v="280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280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305"/>
    <s v="L00-OPD-CC3-S156-03"/>
    <s v="ID not used"/>
    <n v="0"/>
    <n v="0"/>
    <n v="0"/>
    <e v="#DIV/0!"/>
    <x v="4"/>
    <e v="#N/A"/>
  </r>
  <r>
    <x v="305"/>
    <s v="Family Type: 975w x 3600h, CURTAIN WALL-manual input"/>
    <s v="Vector(X = 0.530, Y = -0.848, Z = 0.000, Length = 1.000)"/>
    <n v="0.5"/>
    <n v="-0.8"/>
    <n v="0"/>
    <n v="-57.994616791916499"/>
    <x v="3"/>
    <n v="3.51"/>
  </r>
  <r>
    <x v="128"/>
    <n v="0"/>
    <n v="0"/>
    <n v="0"/>
    <n v="0"/>
    <n v="0"/>
    <e v="#DIV/0!"/>
    <x v="4"/>
    <e v="#N/A"/>
  </r>
  <r>
    <x v="306"/>
    <s v="L01-CAM-INP-L007-01"/>
    <n v="1420927"/>
    <n v="0"/>
    <n v="0"/>
    <n v="0"/>
    <e v="#DIV/0!"/>
    <x v="4"/>
    <e v="#N/A"/>
  </r>
  <r>
    <x v="306"/>
    <s v="Family Type: 3000w x 3050h, Family: Window External Type 3 - Recessed and Angle with Type 1 Flush"/>
    <s v="Vector(X = -0.130, Y = -0.991, Z = 0.000, Length = 1.000)"/>
    <n v="-0.1"/>
    <n v="-1"/>
    <n v="0"/>
    <n v="-95.710593137499629"/>
    <x v="8"/>
    <n v="6.1762499999999996"/>
  </r>
  <r>
    <x v="307"/>
    <s v="L01-CAM-INP-U0047-01"/>
    <n v="1420937"/>
    <n v="0"/>
    <n v="0"/>
    <n v="0"/>
    <e v="#DIV/0!"/>
    <x v="4"/>
    <e v="#N/A"/>
  </r>
  <r>
    <x v="307"/>
    <s v="Family Type: 1950w x 3050h, Family: Window External Type 3 - Recessed and Angle"/>
    <s v="Vector(X = 0.130, Y = 0.991, Z = 0.000, Length = 1.000)"/>
    <n v="0.1"/>
    <n v="1"/>
    <n v="0"/>
    <n v="84.289406862500371"/>
    <x v="9"/>
    <n v="5.9474999999999998"/>
  </r>
  <r>
    <x v="308"/>
    <s v="L01-CAM-INP-L007-13"/>
    <n v="1420983"/>
    <n v="0"/>
    <n v="0"/>
    <n v="0"/>
    <e v="#DIV/0!"/>
    <x v="4"/>
    <e v="#N/A"/>
  </r>
  <r>
    <x v="308"/>
    <s v="Family Type: 3490w x 3050h, Family: Window External Type 3 - Recessed and Angle with Type 1 Flush"/>
    <s v="Vector(X = -0.041, Y = 0.999, Z = 0.000, Length = 1.000)"/>
    <n v="0"/>
    <n v="1"/>
    <n v="0"/>
    <n v="90"/>
    <x v="1"/>
    <n v="7.67075"/>
  </r>
  <r>
    <x v="309"/>
    <s v="L01-CAM-INP-S134-01"/>
    <n v="1421027"/>
    <n v="0"/>
    <n v="0"/>
    <n v="0"/>
    <e v="#DIV/0!"/>
    <x v="4"/>
    <e v="#N/A"/>
  </r>
  <r>
    <x v="309"/>
    <s v="Family Type: 975w x 3050h, Family: Window Internal Type 2a - Recessed"/>
    <s v="Vector(X = 0.980, Y = -0.200, Z = 0.000, Length = 1.000)"/>
    <n v="1"/>
    <n v="-0.2"/>
    <n v="0"/>
    <n v="-11.309932474020215"/>
    <x v="6"/>
    <n v="2.9737499999999999"/>
  </r>
  <r>
    <x v="309"/>
    <s v="Family Type: 1950w x 3050h, Family: Window Internal Type 2a - Recessed"/>
    <s v="Vector(X = 0.984, Y = -0.175, Z = 0.000, Length = 1.000)"/>
    <n v="1"/>
    <n v="-0.2"/>
    <n v="0"/>
    <n v="-11.309932474020215"/>
    <x v="6"/>
    <n v="5.9474999999999998"/>
  </r>
  <r>
    <x v="310"/>
    <s v="L01-CAM-INP-L007-02"/>
    <n v="1421071"/>
    <n v="0"/>
    <n v="0"/>
    <n v="0"/>
    <e v="#DIV/0!"/>
    <x v="4"/>
    <e v="#N/A"/>
  </r>
  <r>
    <x v="310"/>
    <s v="Family Type: 3000w x 3050h, Family: Window External Type 3 - Recessed and Angle with Type 1 Flush"/>
    <s v="Vector(X = -0.130, Y = -0.991, Z = 0.000, Length = 1.000)"/>
    <n v="-0.1"/>
    <n v="-1"/>
    <n v="0"/>
    <n v="-95.710593137499629"/>
    <x v="8"/>
    <n v="6.1762499999999996"/>
  </r>
  <r>
    <x v="311"/>
    <s v="L01-CAM-INP-L007-05"/>
    <n v="1421077"/>
    <n v="0"/>
    <n v="0"/>
    <n v="0"/>
    <e v="#DIV/0!"/>
    <x v="4"/>
    <e v="#N/A"/>
  </r>
  <r>
    <x v="311"/>
    <s v="Family Type: 3000w x 3050h, Family: Window External Type 3 - Recessed and Angle with Type 1 Flush"/>
    <s v="Vector(X = 0.130, Y = 0.991, Z = 0.000, Length = 1.000)"/>
    <n v="0.1"/>
    <n v="1"/>
    <n v="0"/>
    <n v="84.289406862500371"/>
    <x v="9"/>
    <n v="6.1762499999999996"/>
  </r>
  <r>
    <x v="312"/>
    <s v="L01-CAM-INP-L007-06"/>
    <n v="1421079"/>
    <n v="0"/>
    <n v="0"/>
    <n v="0"/>
    <e v="#DIV/0!"/>
    <x v="4"/>
    <e v="#N/A"/>
  </r>
  <r>
    <x v="312"/>
    <s v="Family Type: 3000w x 3050h, Family: Window External Type 3 - Recessed and Angle with Type 1 Flush"/>
    <s v="Vector(X = 0.130, Y = 0.991, Z = 0.000, Length = 1.000)"/>
    <n v="0.1"/>
    <n v="1"/>
    <n v="0"/>
    <n v="84.289406862500371"/>
    <x v="9"/>
    <n v="6.1762499999999996"/>
  </r>
  <r>
    <x v="313"/>
    <s v="L01-CAM-INP-L007-07"/>
    <n v="1421081"/>
    <n v="0"/>
    <n v="0"/>
    <n v="0"/>
    <e v="#DIV/0!"/>
    <x v="4"/>
    <e v="#N/A"/>
  </r>
  <r>
    <x v="313"/>
    <s v="Family Type: 3000w x 3050h, Family: Window External Type 3 - Recessed and Angle with Type 1 Flush"/>
    <s v="Vector(X = -0.130, Y = -0.991, Z = 0.000, Length = 1.000)"/>
    <n v="-0.1"/>
    <n v="-1"/>
    <n v="0"/>
    <n v="-95.710593137499629"/>
    <x v="8"/>
    <n v="6.1762499999999996"/>
  </r>
  <r>
    <x v="314"/>
    <s v="L01-CAM-INP-L007-08"/>
    <n v="1421083"/>
    <n v="0"/>
    <n v="0"/>
    <n v="0"/>
    <e v="#DIV/0!"/>
    <x v="4"/>
    <e v="#N/A"/>
  </r>
  <r>
    <x v="314"/>
    <s v="Family Type: 1500w x 3050h, Family: Window External Type 3 - Recessed and Angle"/>
    <s v="Vector(X = 0.130, Y = 0.991, Z = 0.000, Length = 1.000)"/>
    <n v="0.1"/>
    <n v="1"/>
    <n v="0"/>
    <n v="84.289406862500371"/>
    <x v="9"/>
    <n v="4.5750000000000002"/>
  </r>
  <r>
    <x v="315"/>
    <s v="L01-CAM-INP-L007-09"/>
    <n v="1421085"/>
    <n v="0"/>
    <n v="0"/>
    <n v="0"/>
    <e v="#DIV/0!"/>
    <x v="4"/>
    <e v="#N/A"/>
  </r>
  <r>
    <x v="315"/>
    <s v="Family Type: 3000w x 3050h, Family: Window External Type 3 - Recessed and Angle with Type 1 Flush"/>
    <s v="Vector(X = -0.130, Y = -0.991, Z = 0.000, Length = 1.000)"/>
    <n v="-0.1"/>
    <n v="-1"/>
    <n v="0"/>
    <n v="-95.710593137499629"/>
    <x v="8"/>
    <n v="6.1762499999999996"/>
  </r>
  <r>
    <x v="316"/>
    <s v="L01-CAM-INP-L007-10"/>
    <n v="1421087"/>
    <n v="0"/>
    <n v="0"/>
    <n v="0"/>
    <e v="#DIV/0!"/>
    <x v="4"/>
    <e v="#N/A"/>
  </r>
  <r>
    <x v="316"/>
    <s v="Family Type: 3000w x 3050h, Family: Window External Type 3 - Recessed and Angle with Type 1 Flush"/>
    <s v="Vector(X = -0.130, Y = -0.991, Z = 0.000, Length = 1.000)"/>
    <n v="-0.1"/>
    <n v="-1"/>
    <n v="0"/>
    <n v="-95.710593137499629"/>
    <x v="8"/>
    <n v="6.1762499999999996"/>
  </r>
  <r>
    <x v="317"/>
    <s v="L01-CAM-INP-L007-11"/>
    <n v="1421089"/>
    <n v="0"/>
    <n v="0"/>
    <n v="0"/>
    <e v="#DIV/0!"/>
    <x v="4"/>
    <e v="#N/A"/>
  </r>
  <r>
    <x v="317"/>
    <s v="Family Type: 3000w x 3050h, Family: Window External Type 3 - Recessed and Angle with Type 1 Flush"/>
    <s v="Vector(X = -0.130, Y = -0.991, Z = 0.000, Length = 1.000)"/>
    <n v="-0.1"/>
    <n v="-1"/>
    <n v="0"/>
    <n v="-95.710593137499629"/>
    <x v="8"/>
    <n v="6.1762499999999996"/>
  </r>
  <r>
    <x v="318"/>
    <s v="L01-CAM-INP-S044-05"/>
    <n v="1421099"/>
    <n v="0"/>
    <n v="0"/>
    <n v="0"/>
    <e v="#DIV/0!"/>
    <x v="4"/>
    <e v="#N/A"/>
  </r>
  <r>
    <x v="318"/>
    <s v="Family Type: 3000w x 3050h, Family: Window External Type 3 - Recessed and Angle with Type 1 Flush"/>
    <s v="Vector(X = 0.130, Y = 0.991, Z = 0.000, Length = 1.000)"/>
    <n v="0.1"/>
    <n v="1"/>
    <n v="0"/>
    <n v="84.289406862500371"/>
    <x v="9"/>
    <n v="6.1762499999999996"/>
  </r>
  <r>
    <x v="319"/>
    <s v="L01-CAM-INP-L007-14"/>
    <n v="1421113"/>
    <n v="0"/>
    <n v="0"/>
    <n v="0"/>
    <e v="#DIV/0!"/>
    <x v="4"/>
    <e v="#N/A"/>
  </r>
  <r>
    <x v="319"/>
    <s v="Family Type: 1950w x 3050h, Family: Window External Type 3 - Recessed and Angle"/>
    <s v="Vector(X = -0.041, Y = 0.999, Z = 0.000, Length = 1.000)"/>
    <n v="0"/>
    <n v="1"/>
    <n v="0"/>
    <n v="90"/>
    <x v="1"/>
    <n v="5.9474999999999998"/>
  </r>
  <r>
    <x v="320"/>
    <s v="L01-CAM-INP-L007-15"/>
    <n v="1421115"/>
    <n v="0"/>
    <n v="0"/>
    <n v="0"/>
    <e v="#DIV/0!"/>
    <x v="4"/>
    <e v="#N/A"/>
  </r>
  <r>
    <x v="320"/>
    <s v="Family Type: 3000w x 3050h, Family: Window External Type 3 - Recessed and Angle with Type 1 Flush"/>
    <s v="Vector(X = -0.041, Y = 0.999, Z = 0.000, Length = 1.000)"/>
    <n v="0"/>
    <n v="1"/>
    <n v="0"/>
    <n v="90"/>
    <x v="1"/>
    <n v="6.1762499999999996"/>
  </r>
  <r>
    <x v="321"/>
    <s v="L01-CAM-INP-L007-17"/>
    <n v="1421119"/>
    <n v="0"/>
    <n v="0"/>
    <n v="0"/>
    <e v="#DIV/0!"/>
    <x v="4"/>
    <e v="#N/A"/>
  </r>
  <r>
    <x v="321"/>
    <s v="Family Type: 1950w x 3050h, Family: Window External Type 3 - Recessed and Angle"/>
    <s v="Vector(X = 0.041, Y = -0.999, Z = 0.000, Length = 1.000)"/>
    <n v="0"/>
    <n v="-1"/>
    <n v="0"/>
    <n v="-90"/>
    <x v="3"/>
    <n v="5.9474999999999998"/>
  </r>
  <r>
    <x v="322"/>
    <s v="L01-CAM-INP-L007-18"/>
    <n v="1421121"/>
    <n v="0"/>
    <n v="0"/>
    <n v="0"/>
    <e v="#DIV/0!"/>
    <x v="4"/>
    <e v="#N/A"/>
  </r>
  <r>
    <x v="322"/>
    <s v="Family Type: 3000w x 3050h, Family: Window External Type 3 - Recessed and Angle with Type 1 Flush"/>
    <s v="Vector(X = 0.041, Y = -0.999, Z = 0.000, Length = 1.000)"/>
    <n v="0"/>
    <n v="-1"/>
    <n v="0"/>
    <n v="-90"/>
    <x v="3"/>
    <n v="6.1762499999999996"/>
  </r>
  <r>
    <x v="323"/>
    <s v="L01-CAM-INP-L007-19"/>
    <n v="1421123"/>
    <n v="0"/>
    <n v="0"/>
    <n v="0"/>
    <e v="#DIV/0!"/>
    <x v="4"/>
    <e v="#N/A"/>
  </r>
  <r>
    <x v="323"/>
    <s v="Family Type: 3000w x 3050h, Family: Window External Type 3 - Recessed and Angle with Type 1 Flush"/>
    <s v="Vector(X = 0.041, Y = -0.999, Z = 0.000, Length = 1.000)"/>
    <n v="0"/>
    <n v="-1"/>
    <n v="0"/>
    <n v="-90"/>
    <x v="3"/>
    <n v="6.1762499999999996"/>
  </r>
  <r>
    <x v="324"/>
    <s v="L01-CAR-INP-S014-01"/>
    <n v="1421162"/>
    <n v="0"/>
    <n v="0"/>
    <n v="0"/>
    <e v="#DIV/0!"/>
    <x v="4"/>
    <e v="#N/A"/>
  </r>
  <r>
    <x v="325"/>
    <s v="none - connected to atrium"/>
    <s v="Vector(X = -0.323, Y = 0.946, Z = 0.000, Length = 1.000)"/>
    <n v="-0.3"/>
    <n v="0.9"/>
    <n v="0"/>
    <n v="108.43494882292201"/>
    <x v="1"/>
    <e v="#N/A"/>
  </r>
  <r>
    <x v="326"/>
    <s v="L01-CAR-INP-S019-01"/>
    <n v="1421190"/>
    <n v="0"/>
    <n v="0"/>
    <n v="0"/>
    <e v="#DIV/0!"/>
    <x v="4"/>
    <e v="#N/A"/>
  </r>
  <r>
    <x v="325"/>
    <s v="none - connected to atrium"/>
    <s v="Vector(X = 0.936, Y = 0.352, Z = 0.000, Length = 1.000)"/>
    <n v="0.9"/>
    <n v="0.4"/>
    <n v="0"/>
    <n v="23.962488974578186"/>
    <x v="5"/>
    <e v="#N/A"/>
  </r>
  <r>
    <x v="327"/>
    <s v="L01-CAR-INP-S094-01"/>
    <n v="1421246"/>
    <n v="0"/>
    <n v="0"/>
    <n v="0"/>
    <e v="#DIV/0!"/>
    <x v="4"/>
    <e v="#N/A"/>
  </r>
  <r>
    <x v="325"/>
    <s v="none - connected to atrium"/>
    <s v="Vector(X = 0.921, Y = 0.390, Z = 0.000, Length = 1.000)"/>
    <n v="0.9"/>
    <n v="0.4"/>
    <n v="0"/>
    <n v="23.962488974578186"/>
    <x v="5"/>
    <e v="#N/A"/>
  </r>
  <r>
    <x v="328"/>
    <s v="L01-CAR-DCU-S085-03"/>
    <n v="1421272"/>
    <n v="0"/>
    <n v="0"/>
    <n v="0"/>
    <e v="#DIV/0!"/>
    <x v="4"/>
    <e v="#N/A"/>
  </r>
  <r>
    <x v="325"/>
    <s v="none - connected to atrium"/>
    <s v="Vector(X = 0.964, Y = 0.264, Z = 0.000, Length = 1.000)"/>
    <n v="1"/>
    <n v="0.3"/>
    <n v="0"/>
    <n v="16.699244233993621"/>
    <x v="5"/>
    <e v="#N/A"/>
  </r>
  <r>
    <x v="329"/>
    <s v="L01-CAR-DCU-S085-04"/>
    <n v="1421274"/>
    <n v="0"/>
    <n v="0"/>
    <n v="0"/>
    <e v="#DIV/0!"/>
    <x v="4"/>
    <e v="#N/A"/>
  </r>
  <r>
    <x v="325"/>
    <s v="none - connected to atrium"/>
    <s v="Vector(X = 0.967, Y = 0.254, Z = 0.000, Length = 1.000)"/>
    <n v="1"/>
    <n v="0.3"/>
    <n v="0"/>
    <n v="16.699244233993621"/>
    <x v="5"/>
    <e v="#N/A"/>
  </r>
  <r>
    <x v="330"/>
    <s v="L01-CAR-INP-S014-02"/>
    <n v="1421286"/>
    <n v="0"/>
    <n v="0"/>
    <n v="0"/>
    <e v="#DIV/0!"/>
    <x v="4"/>
    <e v="#N/A"/>
  </r>
  <r>
    <x v="325"/>
    <s v="none - connected to atrium"/>
    <s v="Vector(X = -0.323, Y = 0.946, Z = 0.000, Length = 1.000)"/>
    <n v="-0.3"/>
    <n v="0.9"/>
    <n v="0"/>
    <n v="108.43494882292201"/>
    <x v="1"/>
    <e v="#N/A"/>
  </r>
  <r>
    <x v="331"/>
    <s v="L01-CAR-INP-S014-03"/>
    <n v="1421288"/>
    <n v="0"/>
    <n v="0"/>
    <n v="0"/>
    <e v="#DIV/0!"/>
    <x v="4"/>
    <e v="#N/A"/>
  </r>
  <r>
    <x v="331"/>
    <s v="Family Type: 3490w x 3050h, Family: Window External Type 3 - Recessed and Angle with Type 1 Flush"/>
    <s v="Vector(X = -0.323, Y = 0.946, Z = 0.000, Length = 1.000)"/>
    <n v="-0.3"/>
    <n v="0.9"/>
    <n v="0"/>
    <n v="108.43494882292201"/>
    <x v="1"/>
    <n v="7.67075"/>
  </r>
  <r>
    <x v="331"/>
    <s v="Family Type: manual 2.6m2"/>
    <s v="Vector(X = -0.323, Y = 0.946, Z = 0.000, Length = 1.000)"/>
    <n v="-0.3"/>
    <n v="0.9"/>
    <n v="0"/>
    <n v="108.43494882292201"/>
    <x v="1"/>
    <n v="2.6"/>
  </r>
  <r>
    <x v="332"/>
    <s v="L01-CAR-INP-S014-04"/>
    <n v="1421290"/>
    <n v="0"/>
    <n v="0"/>
    <n v="0"/>
    <e v="#DIV/0!"/>
    <x v="4"/>
    <e v="#N/A"/>
  </r>
  <r>
    <x v="332"/>
    <s v="Family Type: 1950w x 3050h, Family: Window External Type 3 - Recessed and Angle"/>
    <s v="Vector(X = -0.323, Y = 0.946, Z = 0.000, Length = 1.000)"/>
    <n v="-0.3"/>
    <n v="0.9"/>
    <n v="0"/>
    <n v="108.43494882292201"/>
    <x v="1"/>
    <n v="5.9474999999999998"/>
  </r>
  <r>
    <x v="333"/>
    <s v="L01-CAR-INP-S014-05"/>
    <n v="1421292"/>
    <n v="0"/>
    <n v="0"/>
    <n v="0"/>
    <e v="#DIV/0!"/>
    <x v="4"/>
    <e v="#N/A"/>
  </r>
  <r>
    <x v="333"/>
    <s v="Family Type: 3490w x 3050h, Family: Window External Type 3 - Recessed and Angle with Type 1 Flush"/>
    <s v="Vector(X = -0.323, Y = 0.946, Z = 0.000, Length = 1.000)"/>
    <n v="-0.3"/>
    <n v="0.9"/>
    <n v="0"/>
    <n v="108.43494882292201"/>
    <x v="1"/>
    <n v="7.67075"/>
  </r>
  <r>
    <x v="333"/>
    <s v="Family Type: manual 2.6m2"/>
    <s v="Vector(X = -0.323, Y = 0.946, Z = 0.000, Length = 1.000)"/>
    <n v="-0.3"/>
    <n v="0.9"/>
    <n v="0"/>
    <n v="108.43494882292201"/>
    <x v="1"/>
    <n v="2.6"/>
  </r>
  <r>
    <x v="334"/>
    <s v="L01-CAR-INP-S014-06"/>
    <n v="1421294"/>
    <n v="0"/>
    <n v="0"/>
    <n v="0"/>
    <e v="#DIV/0!"/>
    <x v="4"/>
    <e v="#N/A"/>
  </r>
  <r>
    <x v="334"/>
    <s v="Family Type: 3490w x 3050h, Family: Window External Type 3 - Recessed and Angle with Type 1 Flush"/>
    <s v="Vector(X = -0.323, Y = 0.946, Z = 0.000, Length = 1.000)"/>
    <n v="-0.3"/>
    <n v="0.9"/>
    <n v="0"/>
    <n v="108.43494882292201"/>
    <x v="1"/>
    <n v="7.67075"/>
  </r>
  <r>
    <x v="334"/>
    <s v="Family Type: manual 2.6m2"/>
    <s v="Vector(X = -0.323, Y = 0.946, Z = 0.000, Length = 1.000)"/>
    <n v="-0.3"/>
    <n v="0.9"/>
    <n v="0"/>
    <n v="108.43494882292201"/>
    <x v="1"/>
    <n v="2.6"/>
  </r>
  <r>
    <x v="335"/>
    <s v="L01-CAR-INP-S014-07"/>
    <n v="1421296"/>
    <n v="0"/>
    <n v="0"/>
    <n v="0"/>
    <e v="#DIV/0!"/>
    <x v="4"/>
    <e v="#N/A"/>
  </r>
  <r>
    <x v="335"/>
    <s v="Family Type: 3490w x 3050h, Family: Window External Type 3 - Recessed and Angle with Type 1 Flush"/>
    <s v="Vector(X = -0.323, Y = 0.946, Z = 0.000, Length = 1.000)"/>
    <n v="-0.3"/>
    <n v="0.9"/>
    <n v="0"/>
    <n v="108.43494882292201"/>
    <x v="1"/>
    <n v="7.67075"/>
  </r>
  <r>
    <x v="335"/>
    <s v="Family Type: manual 2.6m2"/>
    <s v="Vector(X = -0.323, Y = 0.946, Z = 0.000, Length = 1.000)"/>
    <n v="-0.3"/>
    <n v="0.9"/>
    <n v="0"/>
    <n v="108.43494882292201"/>
    <x v="1"/>
    <n v="2.6"/>
  </r>
  <r>
    <x v="336"/>
    <s v="L01-CAR-INP-S014-10"/>
    <n v="1421302"/>
    <n v="0"/>
    <n v="0"/>
    <n v="0"/>
    <e v="#DIV/0!"/>
    <x v="4"/>
    <e v="#N/A"/>
  </r>
  <r>
    <x v="336"/>
    <s v="Family Type: manual 2.6m2"/>
    <s v="Vector(X = -0.323, Y = 0.946, Z = 0.000, Length = 1.000)"/>
    <n v="0.3"/>
    <n v="-0.9"/>
    <n v="0"/>
    <n v="-71.56505117707799"/>
    <x v="3"/>
    <n v="2.6"/>
  </r>
  <r>
    <x v="336"/>
    <s v="Family Type: 3490w x 3050h, Family: Window External Type 3 - Recessed and Angle with Type 1 Flush"/>
    <s v="Vector(X = 0.323, Y = -0.946, Z = 0.000, Length = 1.000)"/>
    <n v="0.3"/>
    <n v="-0.9"/>
    <n v="0"/>
    <n v="-71.56505117707799"/>
    <x v="3"/>
    <n v="7.67075"/>
  </r>
  <r>
    <x v="337"/>
    <s v="L01-CAR-INP-S014-11"/>
    <n v="1421304"/>
    <n v="0"/>
    <n v="0"/>
    <n v="0"/>
    <e v="#DIV/0!"/>
    <x v="4"/>
    <e v="#N/A"/>
  </r>
  <r>
    <x v="337"/>
    <s v="Family Type: 3490w x 3050h, Family: Window External Type 3 - Recessed and Angle with Type 1 Flush"/>
    <s v="Vector(X = 0.323, Y = -0.946, Z = 0.000, Length = 1.000)"/>
    <n v="0.3"/>
    <n v="-0.9"/>
    <n v="0"/>
    <n v="-71.56505117707799"/>
    <x v="3"/>
    <n v="7.67075"/>
  </r>
  <r>
    <x v="337"/>
    <s v="Family Type: manual 2.6m2"/>
    <s v="Vector(X = -0.323, Y = 0.946, Z = 0.000, Length = 1.000)"/>
    <n v="0.3"/>
    <n v="-0.9"/>
    <n v="0"/>
    <n v="-71.56505117707799"/>
    <x v="3"/>
    <n v="2.6"/>
  </r>
  <r>
    <x v="338"/>
    <s v="L01-CAR-INP-S014-12"/>
    <n v="1421306"/>
    <n v="0"/>
    <n v="0"/>
    <n v="0"/>
    <e v="#DIV/0!"/>
    <x v="4"/>
    <e v="#N/A"/>
  </r>
  <r>
    <x v="338"/>
    <s v="Family Type: 3490w x 3050h, Family: Window External Type 3 - Recessed and Angle with Type 1 Flush"/>
    <s v="Vector(X = 0.323, Y = -0.946, Z = 0.000, Length = 1.000)"/>
    <n v="0.3"/>
    <n v="-0.9"/>
    <n v="0"/>
    <n v="-71.56505117707799"/>
    <x v="3"/>
    <n v="7.67075"/>
  </r>
  <r>
    <x v="338"/>
    <s v="Family Type: manual 2.6m2"/>
    <s v="Vector(X = -0.323, Y = 0.946, Z = 0.000, Length = 1.000)"/>
    <n v="0.3"/>
    <n v="-0.9"/>
    <n v="0"/>
    <n v="-71.56505117707799"/>
    <x v="3"/>
    <n v="2.6"/>
  </r>
  <r>
    <x v="339"/>
    <s v="L01-CAR-INP-S014-14"/>
    <n v="1421310"/>
    <n v="0"/>
    <n v="0"/>
    <n v="0"/>
    <e v="#DIV/0!"/>
    <x v="4"/>
    <e v="#N/A"/>
  </r>
  <r>
    <x v="339"/>
    <s v="Family Type: 3490w x 3050h, Family: Window External Type 3 - Recessed and Angle with Type 1 Flush"/>
    <s v="Vector(X = -0.212, Y = 0.977, Z = 0.000, Length = 1.000)"/>
    <n v="-0.2"/>
    <n v="1"/>
    <n v="0"/>
    <n v="101.3099324740202"/>
    <x v="1"/>
    <n v="7.67075"/>
  </r>
  <r>
    <x v="339"/>
    <s v="Family Type: manual 2.6m2"/>
    <s v="Vector(X = -0.323, Y = 0.946, Z = 0.000, Length = 1.000)"/>
    <n v="-0.2"/>
    <n v="1"/>
    <n v="0"/>
    <n v="101.3099324740202"/>
    <x v="1"/>
    <n v="2.6"/>
  </r>
  <r>
    <x v="340"/>
    <s v="L01-CAR-INP-S014-15"/>
    <n v="1421312"/>
    <n v="0"/>
    <n v="0"/>
    <n v="0"/>
    <e v="#DIV/0!"/>
    <x v="4"/>
    <e v="#N/A"/>
  </r>
  <r>
    <x v="340"/>
    <s v="Family Type: 3490w x 3050h, Family: Window External Type 3 - Recessed and Angle with Type 1 Flush"/>
    <s v="Vector(X = -0.212, Y = 0.977, Z = 0.000, Length = 1.000)"/>
    <n v="-0.2"/>
    <n v="1"/>
    <n v="0"/>
    <n v="101.3099324740202"/>
    <x v="1"/>
    <n v="7.67075"/>
  </r>
  <r>
    <x v="340"/>
    <s v="Family Type: manual 2.6m2"/>
    <s v="Vector(X = -0.323, Y = 0.946, Z = 0.000, Length = 1.000)"/>
    <n v="-0.2"/>
    <n v="1"/>
    <n v="0"/>
    <n v="101.3099324740202"/>
    <x v="1"/>
    <n v="2.6"/>
  </r>
  <r>
    <x v="341"/>
    <s v="L01-CAR-INP-S014-16"/>
    <n v="1421314"/>
    <n v="0"/>
    <n v="0"/>
    <n v="0"/>
    <e v="#DIV/0!"/>
    <x v="4"/>
    <e v="#N/A"/>
  </r>
  <r>
    <x v="341"/>
    <s v="Family Type: 3490w x 3050h, Family: Window External Type 3 - Recessed and Angle with Type 1 Flush"/>
    <s v="Vector(X = -0.212, Y = 0.977, Z = 0.000, Length = 1.000)"/>
    <n v="-0.2"/>
    <n v="1"/>
    <n v="0"/>
    <n v="101.3099324740202"/>
    <x v="1"/>
    <n v="7.67075"/>
  </r>
  <r>
    <x v="341"/>
    <s v="Family Type: manual 2.6m2"/>
    <s v="Vector(X = -0.323, Y = 0.946, Z = 0.000, Length = 1.000)"/>
    <n v="-0.2"/>
    <n v="1"/>
    <n v="0"/>
    <n v="101.3099324740202"/>
    <x v="1"/>
    <n v="2.6"/>
  </r>
  <r>
    <x v="342"/>
    <s v="L01-CAR-INP-S014-17"/>
    <n v="1421316"/>
    <n v="0"/>
    <n v="0"/>
    <n v="0"/>
    <e v="#DIV/0!"/>
    <x v="4"/>
    <e v="#N/A"/>
  </r>
  <r>
    <x v="342"/>
    <s v="Family Type: 3490w x 3050h, Family: Window External Type 3 - Recessed and Angle with Type 1 Flush"/>
    <s v="Vector(X = -0.212, Y = 0.977, Z = 0.000, Length = 1.000)"/>
    <n v="-0.2"/>
    <n v="1"/>
    <n v="0"/>
    <n v="101.3099324740202"/>
    <x v="1"/>
    <n v="7.67075"/>
  </r>
  <r>
    <x v="342"/>
    <s v="Family Type: manual 2.6m2"/>
    <s v="Vector(X = -0.323, Y = 0.946, Z = 0.000, Length = 1.000)"/>
    <n v="-0.2"/>
    <n v="1"/>
    <n v="0"/>
    <n v="101.3099324740202"/>
    <x v="1"/>
    <n v="2.6"/>
  </r>
  <r>
    <x v="343"/>
    <s v="L01-CAR-INP-S014-18"/>
    <n v="1421318"/>
    <n v="0"/>
    <n v="0"/>
    <n v="0"/>
    <e v="#DIV/0!"/>
    <x v="4"/>
    <e v="#N/A"/>
  </r>
  <r>
    <x v="343"/>
    <s v="Family Type: 1950w x 3050h, Family: Window External Type 1 - Recessed"/>
    <s v="Vector(X = -0.212, Y = 0.977, Z = 0.000, Length = 1.000)"/>
    <n v="-0.2"/>
    <n v="1"/>
    <n v="0"/>
    <n v="101.3099324740202"/>
    <x v="1"/>
    <n v="5.9474999999999998"/>
  </r>
  <r>
    <x v="344"/>
    <s v="L01-CAR-INP-S014-19"/>
    <n v="1421320"/>
    <n v="0"/>
    <n v="0"/>
    <n v="0"/>
    <e v="#DIV/0!"/>
    <x v="4"/>
    <e v="#N/A"/>
  </r>
  <r>
    <x v="344"/>
    <s v="Family Type: 3490w x 3050h, Family: Window External Type 3 - Recessed and Angle with Type 1 Flush"/>
    <s v="Vector(X = 0.212, Y = -0.977, Z = 0.000, Length = 1.000)"/>
    <n v="0.2"/>
    <n v="-1"/>
    <n v="0"/>
    <n v="-78.690067525979785"/>
    <x v="3"/>
    <n v="7.67075"/>
  </r>
  <r>
    <x v="344"/>
    <s v="Family Type: manual 2.6m2"/>
    <s v="Vector(X = -0.323, Y = 0.946, Z = 0.000, Length = 1.000)"/>
    <n v="-0.2"/>
    <n v="1"/>
    <n v="0"/>
    <n v="101.3099324740202"/>
    <x v="1"/>
    <n v="2.6"/>
  </r>
  <r>
    <x v="345"/>
    <s v="L01-CAR-INP-S014-20"/>
    <n v="1421322"/>
    <n v="0"/>
    <n v="0"/>
    <n v="0"/>
    <e v="#DIV/0!"/>
    <x v="4"/>
    <e v="#N/A"/>
  </r>
  <r>
    <x v="345"/>
    <s v="Family Type: 3490w x 3050h, Family: Window External Type 3 - Recessed and Angle with Type 1 Flush"/>
    <s v="Vector(X = 0.212, Y = -0.977, Z = 0.000, Length = 1.000)"/>
    <n v="0.2"/>
    <n v="-1"/>
    <n v="0"/>
    <n v="-78.690067525979785"/>
    <x v="3"/>
    <n v="7.67075"/>
  </r>
  <r>
    <x v="345"/>
    <s v="Family Type: manual 2.6m2"/>
    <s v="Vector(X = -0.323, Y = 0.946, Z = 0.000, Length = 1.000)"/>
    <n v="-0.2"/>
    <n v="1"/>
    <n v="0"/>
    <n v="101.3099324740202"/>
    <x v="1"/>
    <n v="2.6"/>
  </r>
  <r>
    <x v="346"/>
    <s v="L01-CAR-INP-S014-21"/>
    <n v="1421324"/>
    <n v="0"/>
    <n v="0"/>
    <n v="0"/>
    <e v="#DIV/0!"/>
    <x v="4"/>
    <e v="#N/A"/>
  </r>
  <r>
    <x v="346"/>
    <s v="Family Type: 3490w x 3050h, Family: Window External Type 3 - Recessed and Angle with Type 1 Flush"/>
    <s v="Vector(X = 0.212, Y = -0.977, Z = 0.000, Length = 1.000)"/>
    <n v="0.2"/>
    <n v="-1"/>
    <n v="0"/>
    <n v="-78.690067525979785"/>
    <x v="3"/>
    <n v="7.67075"/>
  </r>
  <r>
    <x v="346"/>
    <s v="Family Type: manual 2.6m2"/>
    <s v="Vector(X = -0.323, Y = 0.946, Z = 0.000, Length = 1.000)"/>
    <n v="-0.2"/>
    <n v="1"/>
    <n v="0"/>
    <n v="101.3099324740202"/>
    <x v="1"/>
    <n v="2.6"/>
  </r>
  <r>
    <x v="347"/>
    <s v="L01-CAR-INP-S014-22"/>
    <n v="1421326"/>
    <n v="0"/>
    <n v="0"/>
    <n v="0"/>
    <e v="#DIV/0!"/>
    <x v="4"/>
    <e v="#N/A"/>
  </r>
  <r>
    <x v="347"/>
    <s v="Family Type: 3490w x 3050h, Family: Window External Type 3 - Recessed and Angle with Type 1 Flush"/>
    <s v="Vector(X = 0.212, Y = -0.977, Z = 0.000, Length = 1.000)"/>
    <n v="0.2"/>
    <n v="-1"/>
    <n v="0"/>
    <n v="-78.690067525979785"/>
    <x v="3"/>
    <n v="7.67075"/>
  </r>
  <r>
    <x v="347"/>
    <s v="Family Type: manual 2.6m2"/>
    <s v="Vector(X = -0.323, Y = 0.946, Z = 0.000, Length = 1.000)"/>
    <n v="-0.2"/>
    <n v="1"/>
    <n v="0"/>
    <n v="101.3099324740202"/>
    <x v="1"/>
    <n v="2.6"/>
  </r>
  <r>
    <x v="348"/>
    <s v="L01-CAR-INP-S014-23"/>
    <n v="1421328"/>
    <n v="0"/>
    <n v="0"/>
    <n v="0"/>
    <e v="#DIV/0!"/>
    <x v="4"/>
    <e v="#N/A"/>
  </r>
  <r>
    <x v="348"/>
    <s v="Family Type: 3490w x 3050h, Family: Window External Type 3 - Recessed and Angle with Type 1 Flush"/>
    <s v="Vector(X = 0.212, Y = -0.977, Z = 0.000, Length = 1.000)"/>
    <n v="0.2"/>
    <n v="-1"/>
    <n v="0"/>
    <n v="-78.690067525979785"/>
    <x v="3"/>
    <n v="7.67075"/>
  </r>
  <r>
    <x v="348"/>
    <s v="Family Type: manual 2.6m2"/>
    <s v="Vector(X = -0.323, Y = 0.946, Z = 0.000, Length = 1.000)"/>
    <n v="-0.2"/>
    <n v="1"/>
    <n v="0"/>
    <n v="101.3099324740202"/>
    <x v="1"/>
    <n v="2.6"/>
  </r>
  <r>
    <x v="349"/>
    <s v="L01-CAR-INP-S014-24"/>
    <n v="1421330"/>
    <n v="0"/>
    <n v="0"/>
    <n v="0"/>
    <e v="#DIV/0!"/>
    <x v="4"/>
    <e v="#N/A"/>
  </r>
  <r>
    <x v="349"/>
    <s v="Family Type: 3490w x 3050h, Family: Window External Type 3 - Recessed and Angle with Type 1 Flush"/>
    <s v="Vector(X = 0.212, Y = -0.977, Z = 0.000, Length = 1.000)"/>
    <n v="0.2"/>
    <n v="-1"/>
    <n v="0"/>
    <n v="-78.690067525979785"/>
    <x v="3"/>
    <n v="7.67075"/>
  </r>
  <r>
    <x v="349"/>
    <s v="Family Type: manual 2.6m2"/>
    <s v="Vector(X = -0.323, Y = 0.946, Z = 0.000, Length = 1.000)"/>
    <n v="-0.2"/>
    <n v="1"/>
    <n v="0"/>
    <n v="101.3099324740202"/>
    <x v="1"/>
    <n v="2.6"/>
  </r>
  <r>
    <x v="350"/>
    <s v="L01-CAR-INP-S014-25"/>
    <n v="1421332"/>
    <n v="0"/>
    <n v="0"/>
    <n v="0"/>
    <e v="#DIV/0!"/>
    <x v="4"/>
    <e v="#N/A"/>
  </r>
  <r>
    <x v="350"/>
    <s v="Family Type: 3490w x 3050h, Family: Window External Type 3 - Recessed and Angle with Type 1 Flush"/>
    <s v="Vector(X = 0.212, Y = -0.977, Z = 0.000, Length = 1.000)"/>
    <n v="0.2"/>
    <n v="-1"/>
    <n v="0"/>
    <n v="-78.690067525979785"/>
    <x v="3"/>
    <n v="7.67075"/>
  </r>
  <r>
    <x v="350"/>
    <s v="Family Type: manual 2.6m2"/>
    <s v="Vector(X = -0.323, Y = 0.946, Z = 0.000, Length = 1.000)"/>
    <n v="-0.2"/>
    <n v="1"/>
    <n v="0"/>
    <n v="101.3099324740202"/>
    <x v="1"/>
    <n v="2.6"/>
  </r>
  <r>
    <x v="351"/>
    <s v="L01-CAR-INP-S014-26"/>
    <n v="1421334"/>
    <n v="0"/>
    <n v="0"/>
    <n v="0"/>
    <e v="#DIV/0!"/>
    <x v="4"/>
    <e v="#N/A"/>
  </r>
  <r>
    <x v="351"/>
    <s v="Family Type: 3490w x 3050h, Family: Window External Type 3 - Recessed and Angle with Type 1 Flush"/>
    <s v="Vector(X = 0.212, Y = -0.977, Z = 0.000, Length = 1.000)"/>
    <n v="0.2"/>
    <n v="-1"/>
    <n v="0"/>
    <n v="-78.690067525979785"/>
    <x v="3"/>
    <n v="7.67075"/>
  </r>
  <r>
    <x v="351"/>
    <s v="Family Type: manual 2.6m2"/>
    <s v="Vector(X = -0.323, Y = 0.946, Z = 0.000, Length = 1.000)"/>
    <n v="-0.2"/>
    <n v="1"/>
    <n v="0"/>
    <n v="101.3099324740202"/>
    <x v="1"/>
    <n v="2.6"/>
  </r>
  <r>
    <x v="352"/>
    <s v="L01-OPD-DC2-L036-01"/>
    <n v="1421442"/>
    <n v="0"/>
    <n v="0"/>
    <n v="0"/>
    <e v="#DIV/0!"/>
    <x v="4"/>
    <e v="#N/A"/>
  </r>
  <r>
    <x v="352"/>
    <s v="Family Type: 1950w x 3050h, Family: Window External Type 1 - Recessed"/>
    <s v="Vector(X = -0.530, Y = 0.848, Z = 0.000, Length = 1.000)"/>
    <n v="-0.5"/>
    <n v="0.8"/>
    <n v="0"/>
    <n v="122.0053832080835"/>
    <x v="1"/>
    <n v="5.9474999999999998"/>
  </r>
  <r>
    <x v="353"/>
    <s v="L01-OPD-DC2-L021-01"/>
    <n v="1421454"/>
    <n v="0"/>
    <n v="0"/>
    <n v="0"/>
    <e v="#DIV/0!"/>
    <x v="4"/>
    <e v="#N/A"/>
  </r>
  <r>
    <x v="353"/>
    <s v="Family Type: 975w x 3050h, Family: Window External Type 1 - Recessed"/>
    <s v="Vector(X = 0.530, Y = -0.848, Z = 0.000, Length = 1.000)"/>
    <n v="0.5"/>
    <n v="-0.8"/>
    <n v="0"/>
    <n v="-57.994616791916499"/>
    <x v="3"/>
    <n v="2.9737499999999999"/>
  </r>
  <r>
    <x v="354"/>
    <s v="L01-OPD-DC2-U0233-01"/>
    <n v="1421460"/>
    <n v="0"/>
    <n v="0"/>
    <n v="0"/>
    <e v="#DIV/0!"/>
    <x v="4"/>
    <e v="#N/A"/>
  </r>
  <r>
    <x v="354"/>
    <s v="Family Type: 1500w x 3050h, Family: Window External Type 3 - Recessed and Angle"/>
    <s v="Vector(X = 0.530, Y = -0.848, Z = 0.000, Length = 1.000)"/>
    <n v="0.5"/>
    <n v="-0.8"/>
    <n v="0"/>
    <n v="-57.994616791916499"/>
    <x v="3"/>
    <n v="4.5750000000000002"/>
  </r>
  <r>
    <x v="355"/>
    <s v="L01-OPD-DC2-L033-01"/>
    <n v="1421472"/>
    <n v="0"/>
    <n v="0"/>
    <n v="0"/>
    <e v="#DIV/0!"/>
    <x v="4"/>
    <e v="#N/A"/>
  </r>
  <r>
    <x v="355"/>
    <s v="Family Type: 1950w x 3050h, Family: Window External Type 3 - Recessed and Angle"/>
    <s v="Vector(X = -0.530, Y = 0.848, Z = 0.000, Length = 1.000)"/>
    <n v="-0.5"/>
    <n v="0.8"/>
    <n v="0"/>
    <n v="122.0053832080835"/>
    <x v="1"/>
    <n v="5.9474999999999998"/>
  </r>
  <r>
    <x v="356"/>
    <s v="L01-OPD-DC2-L021-02"/>
    <n v="1421478"/>
    <n v="0"/>
    <n v="0"/>
    <n v="0"/>
    <e v="#DIV/0!"/>
    <x v="4"/>
    <e v="#N/A"/>
  </r>
  <r>
    <x v="356"/>
    <s v="Family Type: 1500w x 3050h, Family: Window External Type 3 - Recessed and Angle"/>
    <s v="Vector(X = -0.530, Y = 0.848, Z = 0.000, Length = 1.000)"/>
    <n v="-0.5"/>
    <n v="0.8"/>
    <n v="0"/>
    <n v="122.0053832080835"/>
    <x v="1"/>
    <n v="4.5750000000000002"/>
  </r>
  <r>
    <x v="357"/>
    <s v="L01-OPD-DC2-L021-04"/>
    <n v="1421482"/>
    <n v="0"/>
    <n v="0"/>
    <n v="0"/>
    <e v="#DIV/0!"/>
    <x v="4"/>
    <e v="#N/A"/>
  </r>
  <r>
    <x v="357"/>
    <s v="Family Type: 1500w x 3050h, Family: Window External Type 3 - Recessed and Angle"/>
    <s v="Vector(X = -0.530, Y = 0.848, Z = 0.000, Length = 1.000)"/>
    <n v="-0.5"/>
    <n v="0.8"/>
    <n v="0"/>
    <n v="122.0053832080835"/>
    <x v="1"/>
    <n v="4.5750000000000002"/>
  </r>
  <r>
    <x v="358"/>
    <s v="L01-OPD-DC2-L021-06"/>
    <n v="1421486"/>
    <n v="0"/>
    <n v="0"/>
    <n v="0"/>
    <e v="#DIV/0!"/>
    <x v="4"/>
    <e v="#N/A"/>
  </r>
  <r>
    <x v="358"/>
    <s v="Family Type: 1500w x 3050h, Family: Window External Type 3 - Recessed and Angle"/>
    <s v="Vector(X = 0.530, Y = -0.848, Z = 0.000, Length = 1.000)"/>
    <n v="0.5"/>
    <n v="-0.8"/>
    <n v="0"/>
    <n v="-57.994616791916499"/>
    <x v="3"/>
    <n v="4.5750000000000002"/>
  </r>
  <r>
    <x v="359"/>
    <s v="L01-OPD-DC2-L021-07"/>
    <n v="1421488"/>
    <n v="0"/>
    <n v="0"/>
    <n v="0"/>
    <e v="#DIV/0!"/>
    <x v="4"/>
    <e v="#N/A"/>
  </r>
  <r>
    <x v="359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360"/>
    <s v="L01-OPD-DC2-L021-10"/>
    <n v="1421494"/>
    <n v="0"/>
    <n v="0"/>
    <n v="0"/>
    <e v="#DIV/0!"/>
    <x v="4"/>
    <e v="#N/A"/>
  </r>
  <r>
    <x v="360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361"/>
    <s v="L01-OPD-DC2-L033-02"/>
    <n v="1421512"/>
    <n v="0"/>
    <n v="0"/>
    <n v="0"/>
    <e v="#DIV/0!"/>
    <x v="4"/>
    <e v="#N/A"/>
  </r>
  <r>
    <x v="361"/>
    <s v="Family Type: 1950w x 3050h, Family: Window External Type 3 - Recessed and Angle"/>
    <s v="Vector(X = -0.530, Y = 0.848, Z = 0.000, Length = 1.000)"/>
    <n v="-0.5"/>
    <n v="0.8"/>
    <n v="0"/>
    <n v="122.0053832080835"/>
    <x v="1"/>
    <n v="5.9474999999999998"/>
  </r>
  <r>
    <x v="362"/>
    <s v="L01-OPD-DC2-L033-03"/>
    <n v="1421514"/>
    <n v="0"/>
    <n v="0"/>
    <n v="0"/>
    <e v="#DIV/0!"/>
    <x v="4"/>
    <e v="#N/A"/>
  </r>
  <r>
    <x v="362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363"/>
    <s v="L01-OPD-DC2-L033-04"/>
    <n v="1421516"/>
    <n v="0"/>
    <n v="0"/>
    <n v="0"/>
    <e v="#DIV/0!"/>
    <x v="4"/>
    <e v="#N/A"/>
  </r>
  <r>
    <x v="363"/>
    <s v="Family Type: 975w x 3050h, Family: Window External Type 1 - Recessed"/>
    <s v="Vector(X = -0.530, Y = 0.848, Z = 0.000, Length = 1.000)"/>
    <n v="-0.5"/>
    <n v="0.8"/>
    <n v="0"/>
    <n v="122.0053832080835"/>
    <x v="1"/>
    <n v="2.9737499999999999"/>
  </r>
  <r>
    <x v="364"/>
    <s v="L01-OPD-DC2-L033-06"/>
    <n v="1421520"/>
    <n v="0"/>
    <n v="0"/>
    <n v="0"/>
    <e v="#DIV/0!"/>
    <x v="4"/>
    <e v="#N/A"/>
  </r>
  <r>
    <x v="364"/>
    <s v="Family Type: 1000w x 3050h, Family: Window External Type 2 - Recessed and Fin"/>
    <s v="Vector(X = 0.530, Y = -0.848, Z = 0.000, Length = 1.000)"/>
    <n v="0.5"/>
    <n v="-0.8"/>
    <n v="0"/>
    <n v="-57.994616791916499"/>
    <x v="3"/>
    <n v="3.05"/>
  </r>
  <r>
    <x v="365"/>
    <s v="L01-OPD-DC5-S060-01"/>
    <n v="1421554"/>
    <n v="0"/>
    <n v="0"/>
    <n v="0"/>
    <e v="#DIV/0!"/>
    <x v="4"/>
    <e v="#N/A"/>
  </r>
  <r>
    <x v="365"/>
    <s v="Family Type: 1950w x 3050h, Family: Window External Type 3 - Recessed and Angle"/>
    <s v="Vector(X = -0.429, Y = 0.903, Z = 0.000, Length = 1.000)"/>
    <n v="-0.4"/>
    <n v="0.9"/>
    <n v="0"/>
    <n v="113.96248897457818"/>
    <x v="1"/>
    <n v="5.9474999999999998"/>
  </r>
  <r>
    <x v="365"/>
    <s v="Family Type: 975w x 3050h, Family: Window External Type 1 - Recessed"/>
    <s v="Vector(X = -0.429, Y = 0.903, Z = 0.000, Length = 1.000)"/>
    <n v="-0.4"/>
    <n v="0.9"/>
    <n v="0"/>
    <n v="113.96248897457818"/>
    <x v="1"/>
    <n v="2.9737499999999999"/>
  </r>
  <r>
    <x v="366"/>
    <s v="L01-OPD-DC5-S028-02"/>
    <n v="1421556"/>
    <n v="0"/>
    <n v="0"/>
    <n v="0"/>
    <e v="#DIV/0!"/>
    <x v="4"/>
    <e v="#N/A"/>
  </r>
  <r>
    <x v="325"/>
    <s v="none - connected to atrium"/>
    <s v="Vector(X = 0.429, Y = -0.903, Z = 0.000, Length = 1.000)"/>
    <n v="0.4"/>
    <n v="-0.9"/>
    <n v="0"/>
    <n v="-66.037511025421821"/>
    <x v="3"/>
    <e v="#N/A"/>
  </r>
  <r>
    <x v="367"/>
    <s v="L01-OPD-NIC-S132-01"/>
    <n v="1421721"/>
    <n v="0"/>
    <n v="0"/>
    <n v="0"/>
    <e v="#DIV/0!"/>
    <x v="4"/>
    <e v="#N/A"/>
  </r>
  <r>
    <x v="367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367"/>
    <s v="Family Type: 975w x 3050h, Family: Window External Type 1 - Recessed"/>
    <s v="Vector(X = 0.429, Y = -0.903, Z = 0.000, Length = 1.000)"/>
    <n v="0.4"/>
    <n v="-0.9"/>
    <n v="0"/>
    <n v="-66.037511025421821"/>
    <x v="3"/>
    <n v="2.9737499999999999"/>
  </r>
  <r>
    <x v="368"/>
    <s v="L01-OPD-NIC-U0421-01"/>
    <n v="1421725"/>
    <n v="0"/>
    <n v="0"/>
    <n v="0"/>
    <e v="#DIV/0!"/>
    <x v="4"/>
    <e v="#N/A"/>
  </r>
  <r>
    <x v="368"/>
    <s v="Family Type: 1500w x 3050h, Family: Window External Type 3 - Recessed and Angle"/>
    <s v="Vector(X = -0.429, Y = 0.903, Z = 0.000, Length = 1.000)"/>
    <n v="-0.4"/>
    <n v="0.9"/>
    <n v="0"/>
    <n v="113.96248897457818"/>
    <x v="1"/>
    <n v="4.5750000000000002"/>
  </r>
  <r>
    <x v="368"/>
    <s v="Family Type: 975w x 3050h, Family: Window External Type 1 - Recessed"/>
    <s v="Vector(X = -0.429, Y = 0.903, Z = 0.000, Length = 1.000)"/>
    <n v="-0.4"/>
    <n v="0.9"/>
    <n v="0"/>
    <n v="113.96248897457818"/>
    <x v="1"/>
    <n v="2.9737499999999999"/>
  </r>
  <r>
    <x v="369"/>
    <s v="L01-OPD-NIC-L025-01"/>
    <n v="1421729"/>
    <n v="0"/>
    <n v="0"/>
    <n v="0"/>
    <e v="#DIV/0!"/>
    <x v="4"/>
    <e v="#N/A"/>
  </r>
  <r>
    <x v="325"/>
    <s v="none - connected to atrium"/>
    <s v="Vector(X = 0.429, Y = -0.903, Z = 0.000, Length = 1.000)"/>
    <n v="0.4"/>
    <n v="-0.9"/>
    <n v="0"/>
    <n v="-66.037511025421821"/>
    <x v="3"/>
    <e v="#N/A"/>
  </r>
  <r>
    <x v="370"/>
    <s v="L01-OPD-NIC-U0426-01"/>
    <n v="1421735"/>
    <n v="0"/>
    <n v="0"/>
    <n v="0"/>
    <e v="#DIV/0!"/>
    <x v="4"/>
    <e v="#N/A"/>
  </r>
  <r>
    <x v="370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370"/>
    <s v="Family Type: 2850w x 3850h, CURTAIN WALL-manual input"/>
    <s v="Vector(X = -0.992, Y = -0.128, Z = 0.000, Length = 1.000)"/>
    <n v="-1"/>
    <n v="-0.1"/>
    <n v="0"/>
    <n v="-174.28940686250036"/>
    <x v="2"/>
    <n v="10.9725"/>
  </r>
  <r>
    <x v="371"/>
    <s v="L01-OPD-NIC-L025-02"/>
    <n v="1421765"/>
    <n v="0"/>
    <n v="0"/>
    <n v="0"/>
    <e v="#DIV/0!"/>
    <x v="4"/>
    <e v="#N/A"/>
  </r>
  <r>
    <x v="325"/>
    <s v="none - connected to atrium"/>
    <s v="Vector(X = 0.429, Y = -0.903, Z = 0.000, Length = 1.000)"/>
    <n v="0.4"/>
    <n v="-0.9"/>
    <n v="0"/>
    <n v="-66.037511025421821"/>
    <x v="3"/>
    <e v="#N/A"/>
  </r>
  <r>
    <x v="372"/>
    <s v="L01-OPD-NIC-L025-03"/>
    <n v="1421767"/>
    <n v="0"/>
    <n v="0"/>
    <n v="0"/>
    <e v="#DIV/0!"/>
    <x v="4"/>
    <e v="#N/A"/>
  </r>
  <r>
    <x v="325"/>
    <s v="none - connected to atrium"/>
    <s v="Vector(X = 0.429, Y = -0.903, Z = 0.000, Length = 1.000)"/>
    <n v="0.4"/>
    <n v="-0.9"/>
    <n v="0"/>
    <n v="-66.037511025421821"/>
    <x v="3"/>
    <e v="#N/A"/>
  </r>
  <r>
    <x v="373"/>
    <s v="L01-OPD-NIC-L025-04"/>
    <n v="1421769"/>
    <n v="0"/>
    <n v="0"/>
    <n v="0"/>
    <e v="#DIV/0!"/>
    <x v="4"/>
    <e v="#N/A"/>
  </r>
  <r>
    <x v="325"/>
    <s v="none - connected to atrium"/>
    <s v="Vector(X = 0.429, Y = -0.903, Z = 0.000, Length = 1.000)"/>
    <n v="0.4"/>
    <n v="-0.9"/>
    <n v="0"/>
    <n v="-66.037511025421821"/>
    <x v="3"/>
    <e v="#N/A"/>
  </r>
  <r>
    <x v="374"/>
    <s v="L01-COR-CSV-U0794-01"/>
    <n v="1426499"/>
    <n v="0"/>
    <n v="0"/>
    <n v="0"/>
    <e v="#DIV/0!"/>
    <x v="4"/>
    <e v="#N/A"/>
  </r>
  <r>
    <x v="374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374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375"/>
    <s v="L01-COR-CSV-S115-66"/>
    <n v="1426685"/>
    <n v="0"/>
    <n v="0"/>
    <n v="0"/>
    <e v="#DIV/0!"/>
    <x v="4"/>
    <e v="#N/A"/>
  </r>
  <r>
    <x v="375"/>
    <s v="Family Type: 1950w x 3050h, Family: Window External Type 3 - Recessed and Angle"/>
    <s v="Vector(X = -0.977, Y = -0.212, Z = 0.000, Length = 1.000)"/>
    <n v="-1"/>
    <n v="-0.2"/>
    <n v="0"/>
    <n v="-168.69006752597977"/>
    <x v="2"/>
    <n v="5.9474999999999998"/>
  </r>
  <r>
    <x v="376"/>
    <s v="L01-COR-CSV-S115-67"/>
    <n v="1426687"/>
    <n v="0"/>
    <n v="0"/>
    <n v="0"/>
    <e v="#DIV/0!"/>
    <x v="4"/>
    <e v="#N/A"/>
  </r>
  <r>
    <x v="376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376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376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377"/>
    <s v="L01-COR-CSV-U0809-01"/>
    <n v="1426805"/>
    <n v="0"/>
    <n v="0"/>
    <n v="0"/>
    <e v="#DIV/0!"/>
    <x v="4"/>
    <e v="#N/A"/>
  </r>
  <r>
    <x v="377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377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377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377"/>
    <s v="Family Type: 1950w x 3050h, Family: Window External Type 3 - Recessed and Angle"/>
    <s v="Vector(X = -0.977, Y = -0.212, Z = 0.000, Length = 1.000)"/>
    <n v="-1"/>
    <n v="-0.2"/>
    <n v="0"/>
    <n v="-168.69006752597977"/>
    <x v="2"/>
    <n v="5.9474999999999998"/>
  </r>
  <r>
    <x v="377"/>
    <s v="Family Type: 975w x 3050h, Family: Window External Type 1 - Recessed"/>
    <s v="Vector(X = -0.977, Y = -0.212, Z = 0.000, Length = 1.000)"/>
    <n v="-1"/>
    <n v="-0.2"/>
    <n v="0"/>
    <n v="-168.69006752597977"/>
    <x v="2"/>
    <n v="2.9737499999999999"/>
  </r>
  <r>
    <x v="378"/>
    <s v="L01-COR-CSV-S125-01"/>
    <n v="1426807"/>
    <n v="0"/>
    <n v="0"/>
    <n v="0"/>
    <e v="#DIV/0!"/>
    <x v="4"/>
    <e v="#N/A"/>
  </r>
  <r>
    <x v="378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379"/>
    <s v="L01-COR-CSV-S053-01"/>
    <n v="1426817"/>
    <n v="0"/>
    <n v="0"/>
    <n v="0"/>
    <e v="#DIV/0!"/>
    <x v="4"/>
    <e v="#N/A"/>
  </r>
  <r>
    <x v="379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379"/>
    <s v="Family Type: 1500w x 3050h, Family: Window External Type 3 - Recessed and Angle"/>
    <s v="Vector(X = 0.977, Y = 0.212, Z = 0.000, Length = 1.000)"/>
    <n v="1"/>
    <n v="0.2"/>
    <n v="0"/>
    <n v="11.309932474020215"/>
    <x v="5"/>
    <n v="4.5750000000000002"/>
  </r>
  <r>
    <x v="380"/>
    <s v="L01-COR-CSV-S053-02"/>
    <n v="1426819"/>
    <n v="0"/>
    <n v="0"/>
    <n v="0"/>
    <e v="#DIV/0!"/>
    <x v="4"/>
    <e v="#N/A"/>
  </r>
  <r>
    <x v="380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380"/>
    <s v="Family Type: 1500w x 3050h, Family: Window External Type 3 - Recessed and Angle"/>
    <s v="Vector(X = 0.977, Y = 0.212, Z = 0.000, Length = 1.000)"/>
    <n v="1"/>
    <n v="0.2"/>
    <n v="0"/>
    <n v="11.309932474020215"/>
    <x v="5"/>
    <n v="4.5750000000000002"/>
  </r>
  <r>
    <x v="381"/>
    <s v="L01-COR-CSV-S074-08"/>
    <n v="1426843"/>
    <n v="0"/>
    <n v="0"/>
    <n v="0"/>
    <e v="#DIV/0!"/>
    <x v="4"/>
    <e v="#N/A"/>
  </r>
  <r>
    <x v="381"/>
    <s v="Family Type: 1500w x 3050h, Family: Window External Type 3 - Recessed and Angle"/>
    <s v="Vector(X = 0.977, Y = 0.212, Z = 0.000, Length = 1.000)"/>
    <n v="1"/>
    <n v="0.2"/>
    <n v="0"/>
    <n v="11.309932474020215"/>
    <x v="5"/>
    <n v="4.5750000000000002"/>
  </r>
  <r>
    <x v="382"/>
    <s v="L01-OPD-NEU-S109-01"/>
    <n v="1512587"/>
    <n v="0"/>
    <n v="0"/>
    <n v="0"/>
    <e v="#DIV/0!"/>
    <x v="4"/>
    <e v="#N/A"/>
  </r>
  <r>
    <x v="382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383"/>
    <s v="L01-OPD-NEU-U0408-01"/>
    <n v="1512590"/>
    <n v="0"/>
    <n v="0"/>
    <n v="0"/>
    <e v="#DIV/0!"/>
    <x v="4"/>
    <e v="#N/A"/>
  </r>
  <r>
    <x v="383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384"/>
    <s v="L01-OPD-NEU-S053-01"/>
    <n v="1512591"/>
    <n v="0"/>
    <n v="0"/>
    <n v="0"/>
    <e v="#DIV/0!"/>
    <x v="4"/>
    <e v="#N/A"/>
  </r>
  <r>
    <x v="384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385"/>
    <s v="L01-OPD-NEU-L027-01"/>
    <n v="1512592"/>
    <n v="0"/>
    <n v="0"/>
    <n v="0"/>
    <e v="#DIV/0!"/>
    <x v="4"/>
    <e v="#N/A"/>
  </r>
  <r>
    <x v="385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386"/>
    <s v="L01-OPD-NEU-U0411-01"/>
    <n v="1512594"/>
    <n v="0"/>
    <n v="0"/>
    <n v="0"/>
    <e v="#DIV/0!"/>
    <x v="4"/>
    <e v="#N/A"/>
  </r>
  <r>
    <x v="386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387"/>
    <s v="L01-OPD-NEU-S015-01"/>
    <n v="1512600"/>
    <n v="0"/>
    <n v="0"/>
    <n v="0"/>
    <e v="#DIV/0!"/>
    <x v="4"/>
    <e v="#N/A"/>
  </r>
  <r>
    <x v="387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388"/>
    <s v="L01-OPD-NEU-L027-02"/>
    <n v="1512601"/>
    <n v="0"/>
    <n v="0"/>
    <n v="0"/>
    <e v="#DIV/0!"/>
    <x v="4"/>
    <e v="#N/A"/>
  </r>
  <r>
    <x v="388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389"/>
    <s v="L01-OPD-NEU-L027-03"/>
    <n v="1512602"/>
    <n v="0"/>
    <n v="0"/>
    <n v="0"/>
    <e v="#DIV/0!"/>
    <x v="4"/>
    <e v="#N/A"/>
  </r>
  <r>
    <x v="389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390"/>
    <s v="L01-OPD-NEU-L027-04"/>
    <n v="1512603"/>
    <n v="0"/>
    <n v="0"/>
    <n v="0"/>
    <e v="#DIV/0!"/>
    <x v="4"/>
    <e v="#N/A"/>
  </r>
  <r>
    <x v="390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391"/>
    <s v="L01-OPD-NEU-L027-05"/>
    <n v="1512604"/>
    <n v="0"/>
    <n v="0"/>
    <n v="0"/>
    <e v="#DIV/0!"/>
    <x v="4"/>
    <e v="#N/A"/>
  </r>
  <r>
    <x v="391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392"/>
    <s v="L01-OPD-NEU-L027-06"/>
    <n v="1512605"/>
    <n v="0"/>
    <n v="0"/>
    <n v="0"/>
    <e v="#DIV/0!"/>
    <x v="4"/>
    <e v="#N/A"/>
  </r>
  <r>
    <x v="392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393"/>
    <s v="L01-OPD-NEU-L028-02"/>
    <n v="1512607"/>
    <n v="0"/>
    <n v="0"/>
    <n v="0"/>
    <e v="#DIV/0!"/>
    <x v="4"/>
    <e v="#N/A"/>
  </r>
  <r>
    <x v="393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394"/>
    <s v="L01-OPD-CIR-C001-04"/>
    <n v="1605284"/>
    <n v="0"/>
    <n v="0"/>
    <n v="0"/>
    <e v="#DIV/0!"/>
    <x v="4"/>
    <e v="#N/A"/>
  </r>
  <r>
    <x v="325"/>
    <s v="none - connected to atrium"/>
    <s v="Vector(X = 0.941, Y = 0.339, Z = 0.000, Length = 1.000)"/>
    <n v="0.9"/>
    <n v="0.3"/>
    <n v="0"/>
    <n v="18.43494882292201"/>
    <x v="5"/>
    <e v="#N/A"/>
  </r>
  <r>
    <x v="325"/>
    <s v="none - connected to atrium"/>
    <s v="Vector(X = 0.931, Y = 0.364, Z = 0.000, Length = 1.000)"/>
    <n v="0.9"/>
    <n v="0.4"/>
    <n v="0"/>
    <n v="23.962488974578186"/>
    <x v="5"/>
    <e v="#N/A"/>
  </r>
  <r>
    <x v="325"/>
    <s v="none - connected to atrium"/>
    <s v="Vector(X = 0.947, Y = 0.321, Z = 0.000, Length = 1.000)"/>
    <n v="0.9"/>
    <n v="0.3"/>
    <n v="0"/>
    <n v="18.43494882292201"/>
    <x v="5"/>
    <e v="#N/A"/>
  </r>
  <r>
    <x v="395"/>
    <s v="L01-OPD-DC2-U1368-01"/>
    <n v="1605302"/>
    <n v="0"/>
    <n v="0"/>
    <n v="0"/>
    <e v="#DIV/0!"/>
    <x v="4"/>
    <e v="#N/A"/>
  </r>
  <r>
    <x v="395"/>
    <s v="Family Type: 1500w x 3050h, Family: Window External Type 3 - Recessed and Angle"/>
    <s v="Vector(X = 0.530, Y = -0.848, Z = 0.000, Length = 1.000)"/>
    <n v="0.5"/>
    <n v="-0.8"/>
    <n v="0"/>
    <n v="-57.994616791916499"/>
    <x v="3"/>
    <n v="4.5750000000000002"/>
  </r>
  <r>
    <x v="395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396"/>
    <s v="L01-CAR-CIR-C001-07"/>
    <n v="1605759"/>
    <n v="0"/>
    <n v="0"/>
    <n v="0"/>
    <e v="#DIV/0!"/>
    <x v="4"/>
    <e v="#N/A"/>
  </r>
  <r>
    <x v="396"/>
    <s v="Family Type: 3490w x 3050h, Family: Window External Type 3 - Recessed and Angle with Type 1 Flush"/>
    <s v="Vector(X = 0.323, Y = -0.946, Z = 0.000, Length = 1.000)"/>
    <n v="0.3"/>
    <n v="-0.9"/>
    <n v="0"/>
    <n v="-71.56505117707799"/>
    <x v="3"/>
    <n v="7.67075"/>
  </r>
  <r>
    <x v="397"/>
    <s v="L01-CIR-CIR-C008-04"/>
    <n v="1605937"/>
    <n v="0"/>
    <n v="0"/>
    <n v="0"/>
    <e v="#DIV/0!"/>
    <x v="4"/>
    <e v="#N/A"/>
  </r>
  <r>
    <x v="397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397"/>
    <s v="Family Type: 975w x 3600h, CURTAIN WALL-manual input"/>
    <s v="Vector(X = 0.130, Y = 0.991, Z = 0.000, Length = 1.000)"/>
    <n v="0.1"/>
    <n v="1"/>
    <n v="0"/>
    <n v="84.289406862500371"/>
    <x v="9"/>
    <n v="3.51"/>
  </r>
  <r>
    <x v="398"/>
    <s v="L01-CIR-CIR-C008-03"/>
    <n v="1605940"/>
    <n v="0"/>
    <n v="0"/>
    <n v="0"/>
    <e v="#DIV/0!"/>
    <x v="4"/>
    <e v="#N/A"/>
  </r>
  <r>
    <x v="398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398"/>
    <s v="Family Type: 1000w x 3050h, Family: Window External Type 4 - Extruded"/>
    <s v="Vector(X = -0.130, Y = -0.991, Z = 0.000, Length = 1.000)"/>
    <n v="-0.1"/>
    <n v="-1"/>
    <n v="0"/>
    <n v="-95.710593137499629"/>
    <x v="8"/>
    <n v="3.05"/>
  </r>
  <r>
    <x v="399"/>
    <s v="L01-CIR-CIR-C008-02"/>
    <n v="1605943"/>
    <n v="0"/>
    <n v="0"/>
    <n v="0"/>
    <e v="#DIV/0!"/>
    <x v="4"/>
    <e v="#N/A"/>
  </r>
  <r>
    <x v="399"/>
    <s v="Family Type: 1950w x 3050h, Family: Window External Type 3 - Recessed and Angle"/>
    <s v="Vector(X = -0.530, Y = 0.848, Z = 0.000, Length = 1.000)"/>
    <n v="-0.5"/>
    <n v="0.8"/>
    <n v="0"/>
    <n v="122.0053832080835"/>
    <x v="1"/>
    <n v="5.9474999999999998"/>
  </r>
  <r>
    <x v="399"/>
    <s v="Family Type: 975w x 3050h, Family: Window External Type 1 - Recessed"/>
    <s v="Vector(X = -0.530, Y = 0.848, Z = 0.000, Length = 1.000)"/>
    <n v="-0.5"/>
    <n v="0.8"/>
    <n v="0"/>
    <n v="122.0053832080835"/>
    <x v="1"/>
    <n v="2.9737499999999999"/>
  </r>
  <r>
    <x v="400"/>
    <s v="L01-CIR-CIR-C008-01"/>
    <n v="1605946"/>
    <n v="0"/>
    <n v="0"/>
    <n v="0"/>
    <e v="#DIV/0!"/>
    <x v="4"/>
    <e v="#N/A"/>
  </r>
  <r>
    <x v="400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401"/>
    <s v="L01-CIR-CIR-C008-08"/>
    <n v="1605949"/>
    <n v="0"/>
    <n v="0"/>
    <n v="0"/>
    <e v="#DIV/0!"/>
    <x v="4"/>
    <e v="#N/A"/>
  </r>
  <r>
    <x v="401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402"/>
    <s v="L01-CIR-CIR-C006-01"/>
    <n v="1627937"/>
    <n v="0"/>
    <n v="0"/>
    <n v="0"/>
    <e v="#DIV/0!"/>
    <x v="4"/>
    <e v="#N/A"/>
  </r>
  <r>
    <x v="402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403"/>
    <s v="L01-HUB-ITH-U1343-02"/>
    <n v="1628003"/>
    <n v="0"/>
    <n v="0"/>
    <n v="0"/>
    <e v="#DIV/0!"/>
    <x v="4"/>
    <e v="#N/A"/>
  </r>
  <r>
    <x v="403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403"/>
    <s v="Family Type: 1500w x 3050h, Family: Window Internal Type 1 - Flush"/>
    <s v="Vector(X = -0.872, Y = -0.489, Z = 0.000, Length = 1.000)"/>
    <n v="-0.9"/>
    <n v="-0.5"/>
    <n v="0"/>
    <n v="-150.94539590092285"/>
    <x v="2"/>
    <n v="4.5749999999999993"/>
  </r>
  <r>
    <x v="403"/>
    <s v="Family Type: 1500w x 3050h, Family: Window Internal Type 1 - Flush"/>
    <s v="Vector(X = -0.872, Y = -0.489, Z = 0.000, Length = 1.000)"/>
    <n v="-0.9"/>
    <n v="-0.5"/>
    <n v="0"/>
    <n v="-150.94539590092285"/>
    <x v="2"/>
    <n v="4.5749999999999993"/>
  </r>
  <r>
    <x v="403"/>
    <s v="Family Type: 650w x 3050h, Family: Window Internal Type 1 - Flush"/>
    <s v="Vector(X = 0.489, Y = -0.873, Z = 0.000, Length = 1.000)"/>
    <n v="0.5"/>
    <n v="-0.9"/>
    <n v="0"/>
    <n v="-60.945395900922861"/>
    <x v="3"/>
    <n v="1.9824999999999999"/>
  </r>
  <r>
    <x v="403"/>
    <s v="Family Type: 1500w x 3050h, Family: Window Internal Type 1 - Flush"/>
    <s v="Vector(X = 0.489, Y = -0.873, Z = 0.000, Length = 1.000)"/>
    <n v="0.5"/>
    <n v="-0.9"/>
    <n v="0"/>
    <n v="-60.945395900922861"/>
    <x v="3"/>
    <n v="4.5749999999999993"/>
  </r>
  <r>
    <x v="403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403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403"/>
    <s v="Family Type: 650w x 3050h, Family: Window Internal Type 1 - Flush"/>
    <s v="Vector(X = 0.489, Y = -0.873, Z = 0.000, Length = 1.000)"/>
    <n v="0.5"/>
    <n v="-0.9"/>
    <n v="0"/>
    <n v="-60.945395900922861"/>
    <x v="3"/>
    <n v="1.9824999999999999"/>
  </r>
  <r>
    <x v="404"/>
    <s v="L01-HUB-ITH-U1343-03"/>
    <n v="1628030"/>
    <n v="0"/>
    <n v="0"/>
    <n v="0"/>
    <e v="#DIV/0!"/>
    <x v="4"/>
    <e v="#N/A"/>
  </r>
  <r>
    <x v="404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404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404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404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404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404"/>
    <s v="Family Type: 1500w x 3050h, Family: Window Internal Type 1 - Flush"/>
    <s v="Vector(X = 0.212, Y = -0.977, Z = 0.000, Length = 1.000)"/>
    <n v="0.2"/>
    <n v="-1"/>
    <n v="0"/>
    <n v="-78.690067525979785"/>
    <x v="3"/>
    <n v="4.5749999999999993"/>
  </r>
  <r>
    <x v="405"/>
    <s v="L01-CAR-DCU-S075-01"/>
    <n v="1668530"/>
    <n v="0"/>
    <n v="0"/>
    <n v="0"/>
    <e v="#DIV/0!"/>
    <x v="4"/>
    <e v="#N/A"/>
  </r>
  <r>
    <x v="325"/>
    <s v="none - connected to atrium"/>
    <s v="Vector(X = 0.973, Y = 0.231, Z = 0.000, Length = 1.000)"/>
    <n v="1"/>
    <n v="0.2"/>
    <n v="0"/>
    <n v="11.309932474020215"/>
    <x v="5"/>
    <e v="#N/A"/>
  </r>
  <r>
    <x v="406"/>
    <s v="L01-CIR-CIR-C006-04"/>
    <n v="1696036"/>
    <n v="0"/>
    <n v="0"/>
    <n v="0"/>
    <e v="#DIV/0!"/>
    <x v="4"/>
    <e v="#N/A"/>
  </r>
  <r>
    <x v="406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407"/>
    <s v="L01-CIR-CIR-C006-02"/>
    <n v="1698609"/>
    <n v="0"/>
    <n v="0"/>
    <n v="0"/>
    <e v="#DIV/0!"/>
    <x v="4"/>
    <e v="#N/A"/>
  </r>
  <r>
    <x v="407"/>
    <s v="Family Type: 975w x 3050h, Family: Window External Type 1 - Recessed"/>
    <s v="Vector(X = -0.530, Y = 0.848, Z = 0.000, Length = 1.000)"/>
    <n v="-0.5"/>
    <n v="0.8"/>
    <n v="0"/>
    <n v="122.0053832080835"/>
    <x v="1"/>
    <n v="2.9737499999999999"/>
  </r>
  <r>
    <x v="408"/>
    <s v="L01-CIR-CIR-C006-03"/>
    <n v="1709809"/>
    <n v="0"/>
    <n v="0"/>
    <n v="0"/>
    <e v="#DIV/0!"/>
    <x v="4"/>
    <e v="#N/A"/>
  </r>
  <r>
    <x v="408"/>
    <s v="Family Type: 1950w x 3050h, Family: Window External Type 1 - Recessed"/>
    <s v="Vector(X = -0.130, Y = -0.991, Z = 0.000, Length = 1.000)"/>
    <n v="-0.1"/>
    <n v="-1"/>
    <n v="0"/>
    <n v="-95.710593137499629"/>
    <x v="8"/>
    <n v="5.9474999999999998"/>
  </r>
  <r>
    <x v="409"/>
    <s v="L01-CAR-INP-L026-01"/>
    <n v="1839046"/>
    <n v="0"/>
    <n v="0"/>
    <n v="0"/>
    <e v="#DIV/0!"/>
    <x v="4"/>
    <e v="#N/A"/>
  </r>
  <r>
    <x v="325"/>
    <s v="none - connected to atrium"/>
    <s v="Vector(X = 0.977, Y = 0.213, Z = 0.000, Length = 1.000)"/>
    <n v="1"/>
    <n v="0.2"/>
    <n v="0"/>
    <n v="11.309932474020215"/>
    <x v="5"/>
    <e v="#N/A"/>
  </r>
  <r>
    <x v="410"/>
    <s v="L01-MAI-PUB-U1830-01"/>
    <n v="1887053"/>
    <n v="0"/>
    <n v="0"/>
    <n v="0"/>
    <e v="#DIV/0!"/>
    <x v="4"/>
    <e v="#N/A"/>
  </r>
  <r>
    <x v="410"/>
    <s v="Family Type: 650w x 3050h, Family: Window Internal Type 1 - Flush"/>
    <s v="Vector(X = -0.977, Y = -0.212, Z = 0.000, Length = 1.000)"/>
    <n v="-1"/>
    <n v="-0.2"/>
    <n v="0"/>
    <n v="-168.69006752597977"/>
    <x v="2"/>
    <n v="1.9824999999999999"/>
  </r>
  <r>
    <x v="410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410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410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410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410"/>
    <s v="Family Type: 1500w x 3050h, Family: Window Internal Type 1 - Flush"/>
    <s v="Vector(X = 0.212, Y = -0.977, Z = 0.000, Length = 1.000)"/>
    <n v="0.2"/>
    <n v="-1"/>
    <n v="0"/>
    <n v="-78.690067525979785"/>
    <x v="3"/>
    <n v="4.5749999999999993"/>
  </r>
  <r>
    <x v="411"/>
    <s v="L01-MAI-PUB-U1830-03"/>
    <n v="1887055"/>
    <n v="0"/>
    <n v="0"/>
    <n v="0"/>
    <e v="#DIV/0!"/>
    <x v="4"/>
    <e v="#N/A"/>
  </r>
  <r>
    <x v="411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411"/>
    <s v="Family Type: 1500w x 3050h, Family: Window Internal Type 1 - Flush"/>
    <s v="Vector(X = -0.872, Y = -0.489, Z = 0.000, Length = 1.000)"/>
    <n v="-0.9"/>
    <n v="-0.5"/>
    <n v="0"/>
    <n v="-150.94539590092285"/>
    <x v="2"/>
    <n v="4.5749999999999993"/>
  </r>
  <r>
    <x v="411"/>
    <s v="Family Type: 1500w x 3050h, Family: Window Internal Type 1 - Flush"/>
    <s v="Vector(X = -0.872, Y = -0.489, Z = 0.000, Length = 1.000)"/>
    <n v="-0.9"/>
    <n v="-0.5"/>
    <n v="0"/>
    <n v="-150.94539590092285"/>
    <x v="2"/>
    <n v="4.5749999999999993"/>
  </r>
  <r>
    <x v="411"/>
    <s v="Family Type: 650w x 3050h, Family: Window Internal Type 1 - Flush"/>
    <s v="Vector(X = 0.489, Y = -0.873, Z = 0.000, Length = 1.000)"/>
    <n v="0.5"/>
    <n v="-0.9"/>
    <n v="0"/>
    <n v="-60.945395900922861"/>
    <x v="3"/>
    <n v="1.9824999999999999"/>
  </r>
  <r>
    <x v="411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411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411"/>
    <s v="Family Type: 650w x 3050h, Family: Window Internal Type 1 - Flush"/>
    <s v="Vector(X = 0.489, Y = -0.873, Z = 0.000, Length = 1.000)"/>
    <n v="0.5"/>
    <n v="-0.9"/>
    <n v="0"/>
    <n v="-60.945395900922861"/>
    <x v="3"/>
    <n v="1.9824999999999999"/>
  </r>
  <r>
    <x v="412"/>
    <s v="L01-OPD-C4W-S115-02"/>
    <s v="ID not used"/>
    <n v="0"/>
    <n v="0"/>
    <n v="0"/>
    <e v="#DIV/0!"/>
    <x v="4"/>
    <e v="#N/A"/>
  </r>
  <r>
    <x v="412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412"/>
    <s v="Family Type: 1500w x 3050h, Family: Window Internal Type 1 - Flush"/>
    <s v="Vector(X = -0.212, Y = 0.977, Z = 0.000, Length = 1.000)"/>
    <n v="-0.2"/>
    <n v="1"/>
    <n v="0"/>
    <n v="101.3099324740202"/>
    <x v="1"/>
    <n v="4.5749999999999993"/>
  </r>
  <r>
    <x v="412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412"/>
    <s v="Family Type: 1950w x 3050h, Family: Window External Type 3 - Recessed and Angle"/>
    <s v="Vector(X = 0.977, Y = 0.212, Z = 0.000, Length = 1.000)"/>
    <n v="1"/>
    <n v="0.2"/>
    <n v="0"/>
    <n v="11.309932474020215"/>
    <x v="5"/>
    <n v="5.9474999999999998"/>
  </r>
  <r>
    <x v="413"/>
    <s v="L01-OPD-NEU-S132-01"/>
    <s v="ID not used"/>
    <n v="0"/>
    <n v="0"/>
    <n v="0"/>
    <e v="#DIV/0!"/>
    <x v="4"/>
    <e v="#N/A"/>
  </r>
  <r>
    <x v="413"/>
    <s v="Family Type: 2850w x 3850h, CURTAIN WALL-manual input"/>
    <s v="Vector(X = -0.992, Y = -0.128, Z = 0.000, Length = 1.000)"/>
    <n v="-1"/>
    <n v="-0.1"/>
    <n v="0"/>
    <n v="-174.28940686250036"/>
    <x v="2"/>
    <n v="10.9725"/>
  </r>
  <r>
    <x v="414"/>
    <s v="L01-CAM-INP-L007-16"/>
    <s v="ID not used"/>
    <n v="0"/>
    <n v="0"/>
    <n v="0"/>
    <e v="#DIV/0!"/>
    <x v="4"/>
    <e v="#N/A"/>
  </r>
  <r>
    <x v="414"/>
    <s v="Family Type: 975w x 3600h, CURTAIN WALL-manual input"/>
    <s v="Vector(X = -0.041, Y = 0.999, Z = 0.000, Length = 1.000)"/>
    <n v="0"/>
    <n v="1"/>
    <n v="0"/>
    <n v="90"/>
    <x v="1"/>
    <n v="3.51"/>
  </r>
  <r>
    <x v="415"/>
    <s v="L01-CAM-INP-L008-01"/>
    <s v="ID not used"/>
    <n v="0"/>
    <n v="0"/>
    <n v="0"/>
    <e v="#DIV/0!"/>
    <x v="4"/>
    <e v="#N/A"/>
  </r>
  <r>
    <x v="415"/>
    <s v="Family Type: 975w x 3600h, CURTAIN WALL-manual input"/>
    <s v="Vector(X = 0.041, Y = -0.999, Z = 0.000, Length = 1.000)"/>
    <n v="0"/>
    <n v="-1"/>
    <n v="0"/>
    <n v="-90"/>
    <x v="3"/>
    <n v="3.51"/>
  </r>
  <r>
    <x v="416"/>
    <s v="L01-CAM-INP-L007-12"/>
    <s v="ID not used"/>
    <n v="0"/>
    <n v="0"/>
    <n v="0"/>
    <e v="#DIV/0!"/>
    <x v="4"/>
    <e v="#N/A"/>
  </r>
  <r>
    <x v="416"/>
    <s v="Family Type: 975w x 3600h, CURTAIN WALL-manual input"/>
    <s v="Vector(X = 0.130, Y = 0.991, Z = 0.000, Length = 1.000)"/>
    <n v="0.1"/>
    <n v="1"/>
    <n v="0"/>
    <n v="84.289406862500371"/>
    <x v="9"/>
    <n v="3.51"/>
  </r>
  <r>
    <x v="416"/>
    <s v="Family Type: 975w x 3600h, CURTAIN WALL-manual input"/>
    <s v="Vector(X = 0.130, Y = 0.991, Z = 0.000, Length = 1.000)"/>
    <n v="0.1"/>
    <n v="1"/>
    <n v="0"/>
    <n v="84.289406862500371"/>
    <x v="9"/>
    <n v="3.51"/>
  </r>
  <r>
    <x v="417"/>
    <s v="L01-OPD-NIC-U1367-01"/>
    <s v="ID not used"/>
    <n v="0"/>
    <n v="0"/>
    <n v="0"/>
    <e v="#DIV/0!"/>
    <x v="4"/>
    <e v="#N/A"/>
  </r>
  <r>
    <x v="417"/>
    <s v="Family Type: 975w x 3050h, Family: Window Internal Type 1 - Flush"/>
    <s v="Vector(X = -0.429, Y = 0.903, Z = 0.000, Length = 1.000)"/>
    <n v="-0.4"/>
    <n v="0.9"/>
    <n v="0"/>
    <n v="113.96248897457818"/>
    <x v="1"/>
    <n v="2.9737499999999999"/>
  </r>
  <r>
    <x v="417"/>
    <s v="Family Type: 1000w x 3050h, Family: Window External Type 4 - Extruded"/>
    <s v="Vector(X = -0.429, Y = 0.903, Z = 0.000, Length = 1.000)"/>
    <n v="-0.4"/>
    <n v="0.9"/>
    <n v="0"/>
    <n v="113.96248897457818"/>
    <x v="1"/>
    <n v="3.05"/>
  </r>
  <r>
    <x v="417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417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417"/>
    <s v="Family Type: 1000w x 3050h, Family: Window External Type 4 - Extruded"/>
    <s v="Vector(X = 0.429, Y = -0.903, Z = 0.000, Length = 1.000)"/>
    <n v="0.4"/>
    <n v="-0.9"/>
    <n v="0"/>
    <n v="-66.037511025421821"/>
    <x v="3"/>
    <n v="3.05"/>
  </r>
  <r>
    <x v="417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417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417"/>
    <s v="Family Type: 1500w x 3050h, Family: Window External Type 3 - Recessed and Angle"/>
    <s v="Vector(X = 0.429, Y = -0.903, Z = 0.000, Length = 1.000)"/>
    <n v="0.4"/>
    <n v="-0.9"/>
    <n v="0"/>
    <n v="-66.037511025421821"/>
    <x v="3"/>
    <n v="4.5750000000000002"/>
  </r>
  <r>
    <x v="418"/>
    <s v="L01-OPD-DC2-S148-01"/>
    <s v="ID not used"/>
    <n v="0"/>
    <n v="0"/>
    <n v="0"/>
    <e v="#DIV/0!"/>
    <x v="4"/>
    <e v="#N/A"/>
  </r>
  <r>
    <x v="325"/>
    <s v="none - connected to atrium"/>
    <s v="Vector(X = 0.931, Y = 0.364, Z = 0.000, Length = 1.000)"/>
    <n v="0.9"/>
    <n v="0.4"/>
    <n v="0"/>
    <n v="23.962488974578186"/>
    <x v="5"/>
    <e v="#N/A"/>
  </r>
  <r>
    <x v="325"/>
    <s v="none - connected to atrium"/>
    <s v="Vector(X = 0.931, Y = 0.364, Z = 0.000, Length = 1.000)"/>
    <n v="0.9"/>
    <n v="0.4"/>
    <n v="0"/>
    <n v="23.962488974578186"/>
    <x v="5"/>
    <e v="#N/A"/>
  </r>
  <r>
    <x v="325"/>
    <s v="none - connected to atrium"/>
    <s v="Vector(X = 0.931, Y = 0.364, Z = 0.000, Length = 1.000)"/>
    <n v="0.9"/>
    <n v="0.4"/>
    <n v="0"/>
    <n v="23.962488974578186"/>
    <x v="5"/>
    <e v="#N/A"/>
  </r>
  <r>
    <x v="419"/>
    <s v="L01-CAR-INP-U0025-01"/>
    <s v="ID not used"/>
    <n v="0"/>
    <n v="0"/>
    <n v="0"/>
    <e v="#DIV/0!"/>
    <x v="4"/>
    <e v="#N/A"/>
  </r>
  <r>
    <x v="419"/>
    <s v="Family Type: 975w x 3050h, Family: Window Internal Type 2a - Recessed"/>
    <s v="Vector(X = 0.921, Y = 0.390, Z = 0.000, Length = 1.000)"/>
    <n v="0.9"/>
    <n v="0.4"/>
    <n v="0"/>
    <n v="23.962488974578186"/>
    <x v="5"/>
    <n v="2.9737499999999999"/>
  </r>
  <r>
    <x v="419"/>
    <s v="Family Type: 975w x 3050h, Family: Window Internal Type 2a - Recessed"/>
    <s v="Vector(X = 0.921, Y = 0.390, Z = 0.000, Length = 1.000)"/>
    <n v="0.9"/>
    <n v="0.4"/>
    <n v="0"/>
    <n v="23.962488974578186"/>
    <x v="5"/>
    <n v="2.9737499999999999"/>
  </r>
  <r>
    <x v="419"/>
    <s v="Family Type: 1950w x 3050h, Family: Window Internal Type 2b - Recessed and Angle"/>
    <s v="Vector(X = 0.921, Y = 0.390, Z = 0.000, Length = 1.000)"/>
    <n v="0.9"/>
    <n v="0.4"/>
    <n v="0"/>
    <n v="23.962488974578186"/>
    <x v="5"/>
    <n v="5.9474999999999998"/>
  </r>
  <r>
    <x v="420"/>
    <s v="L01-CAR-INP-S014-08"/>
    <s v="ID not used"/>
    <n v="0"/>
    <n v="0"/>
    <n v="0"/>
    <e v="#DIV/0!"/>
    <x v="4"/>
    <e v="#N/A"/>
  </r>
  <r>
    <x v="420"/>
    <s v="Family Type: 3490w x 3050h, Family: Window External Type 3 - Recessed and Angle with Type 1 Flush"/>
    <s v="Vector(X = -0.323, Y = 0.946, Z = 0.000, Length = 1.000)"/>
    <n v="-0.3"/>
    <n v="0.9"/>
    <n v="0"/>
    <n v="108.43494882292201"/>
    <x v="1"/>
    <n v="7.67075"/>
  </r>
  <r>
    <x v="420"/>
    <s v="Family Type: manual 2.6m2"/>
    <s v="Vector(X = -0.323, Y = 0.946, Z = 0.000, Length = 1.000)"/>
    <n v="-0.3"/>
    <n v="0.9"/>
    <n v="0"/>
    <n v="108.43494882292201"/>
    <x v="1"/>
    <n v="2.6"/>
  </r>
  <r>
    <x v="421"/>
    <s v="L01-CAR-INP-S014-13"/>
    <s v="ID not used"/>
    <n v="0"/>
    <n v="0"/>
    <n v="0"/>
    <e v="#DIV/0!"/>
    <x v="4"/>
    <e v="#N/A"/>
  </r>
  <r>
    <x v="421"/>
    <s v="Family Type: 1500w x 3050h, Family: Window External Type 3 - Recessed and Angle"/>
    <s v="Vector(X = 0.323, Y = -0.946, Z = 0.000, Length = 1.000)"/>
    <n v="0.3"/>
    <n v="-0.9"/>
    <n v="0"/>
    <n v="-71.56505117707799"/>
    <x v="3"/>
    <n v="4.5750000000000002"/>
  </r>
  <r>
    <x v="422"/>
    <s v="L01-CAR-INP-S014-09"/>
    <s v="ID not used"/>
    <n v="0"/>
    <n v="0"/>
    <n v="0"/>
    <e v="#DIV/0!"/>
    <x v="4"/>
    <e v="#N/A"/>
  </r>
  <r>
    <x v="422"/>
    <s v="Family Type: 3490w x 3050h, Family: Window External Type 3 - Recessed and Angle with Type 1 Flush"/>
    <s v="Vector(X = 0.323, Y = -0.946, Z = 0.000, Length = 1.000)"/>
    <n v="0.3"/>
    <n v="-0.9"/>
    <n v="0"/>
    <n v="-71.56505117707799"/>
    <x v="3"/>
    <n v="7.67075"/>
  </r>
  <r>
    <x v="422"/>
    <s v="Family Type: manual 2.6m2"/>
    <s v="Vector(X = -0.323, Y = 0.946, Z = 0.000, Length = 1.000)"/>
    <n v="0.3"/>
    <n v="-0.9"/>
    <n v="0"/>
    <n v="-71.56505117707799"/>
    <x v="3"/>
    <n v="2.6"/>
  </r>
  <r>
    <x v="128"/>
    <n v="0"/>
    <n v="0"/>
    <n v="0"/>
    <n v="0"/>
    <n v="0"/>
    <e v="#DIV/0!"/>
    <x v="4"/>
    <e v="#N/A"/>
  </r>
  <r>
    <x v="423"/>
    <s v="L02-PON-ACC-L008-01"/>
    <n v="1543445"/>
    <n v="0"/>
    <n v="0"/>
    <n v="0"/>
    <e v="#DIV/0!"/>
    <x v="4"/>
    <e v="#N/A"/>
  </r>
  <r>
    <x v="423"/>
    <s v="Family Type: 1500w x 3050h, Family: Window External Type 3 - Recessed and Angle"/>
    <s v="Vector(X = -0.977, Y = -0.212, Z = 0.000, Length = 1.000)"/>
    <n v="-1"/>
    <n v="-0.2"/>
    <n v="0"/>
    <n v="-168.69006752597977"/>
    <x v="2"/>
    <n v="4.5750000000000002"/>
  </r>
  <r>
    <x v="424"/>
    <s v="L02-PON-ACC-L008-21"/>
    <n v="1543449"/>
    <n v="0"/>
    <n v="0"/>
    <n v="0"/>
    <e v="#DIV/0!"/>
    <x v="4"/>
    <e v="#N/A"/>
  </r>
  <r>
    <x v="424"/>
    <s v="Family Type: 1500w x 3050h, Family: Window External Type 1 - Recessed"/>
    <s v="Vector(X = 0.212, Y = -0.977, Z = 0.000, Length = 1.000)"/>
    <n v="0.2"/>
    <n v="-1"/>
    <n v="0"/>
    <n v="-78.690067525979785"/>
    <x v="3"/>
    <n v="4.5750000000000002"/>
  </r>
  <r>
    <x v="425"/>
    <s v="L02-PON-ACC-L008-03"/>
    <n v="1543469"/>
    <n v="0"/>
    <n v="0"/>
    <n v="0"/>
    <e v="#DIV/0!"/>
    <x v="4"/>
    <e v="#N/A"/>
  </r>
  <r>
    <x v="425"/>
    <s v="Family Type: 975w x 3050h, Family: Window External Type 1 - Recessed"/>
    <s v="Vector(X = -0.977, Y = -0.212, Z = 0.000, Length = 1.000)"/>
    <n v="-1"/>
    <n v="-0.2"/>
    <n v="0"/>
    <n v="-168.69006752597977"/>
    <x v="2"/>
    <n v="2.9737499999999999"/>
  </r>
  <r>
    <x v="426"/>
    <s v="L02-PON-ACC-L008-04"/>
    <n v="1543471"/>
    <n v="0"/>
    <n v="0"/>
    <n v="0"/>
    <e v="#DIV/0!"/>
    <x v="4"/>
    <e v="#N/A"/>
  </r>
  <r>
    <x v="426"/>
    <s v="Family Type: 1500w x 3050h, Family: Window External Type 3 - Recessed and Angle"/>
    <s v="Vector(X = 0.977, Y = 0.212, Z = 0.000, Length = 1.000)"/>
    <n v="1"/>
    <n v="0.2"/>
    <n v="0"/>
    <n v="11.309932474020215"/>
    <x v="5"/>
    <n v="4.5750000000000002"/>
  </r>
  <r>
    <x v="427"/>
    <s v="L02-PON-ACC-L008-05"/>
    <n v="1543473"/>
    <n v="0"/>
    <n v="0"/>
    <n v="0"/>
    <e v="#DIV/0!"/>
    <x v="4"/>
    <e v="#N/A"/>
  </r>
  <r>
    <x v="427"/>
    <s v="Family Type: 1950w x 3050h, Family: Window External Type 3 - Recessed and Angle"/>
    <s v="Vector(X = 0.977, Y = 0.212, Z = 0.000, Length = 1.000)"/>
    <n v="1"/>
    <n v="0.2"/>
    <n v="0"/>
    <n v="11.309932474020215"/>
    <x v="5"/>
    <n v="5.9474999999999998"/>
  </r>
  <r>
    <x v="428"/>
    <s v="L02-PON-ACC-L008-06"/>
    <n v="1543475"/>
    <n v="0"/>
    <n v="0"/>
    <n v="0"/>
    <e v="#DIV/0!"/>
    <x v="4"/>
    <e v="#N/A"/>
  </r>
  <r>
    <x v="428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429"/>
    <s v="L02-PON-ACC-L008-07"/>
    <n v="1543477"/>
    <n v="0"/>
    <n v="0"/>
    <n v="0"/>
    <e v="#DIV/0!"/>
    <x v="4"/>
    <e v="#N/A"/>
  </r>
  <r>
    <x v="429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430"/>
    <s v="L02-PON-ACC-L008-08"/>
    <n v="1543479"/>
    <n v="0"/>
    <n v="0"/>
    <n v="0"/>
    <e v="#DIV/0!"/>
    <x v="4"/>
    <e v="#N/A"/>
  </r>
  <r>
    <x v="430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431"/>
    <s v="L02-PON-ACC-L008-09"/>
    <n v="1543481"/>
    <n v="0"/>
    <n v="0"/>
    <n v="0"/>
    <e v="#DIV/0!"/>
    <x v="4"/>
    <e v="#N/A"/>
  </r>
  <r>
    <x v="431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432"/>
    <s v="L02-PON-ACC-L008-10"/>
    <n v="1543483"/>
    <n v="0"/>
    <n v="0"/>
    <n v="0"/>
    <e v="#DIV/0!"/>
    <x v="4"/>
    <e v="#N/A"/>
  </r>
  <r>
    <x v="432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433"/>
    <s v="L02-PON-ACC-L008-11"/>
    <n v="1543485"/>
    <n v="0"/>
    <n v="0"/>
    <n v="0"/>
    <e v="#DIV/0!"/>
    <x v="4"/>
    <e v="#N/A"/>
  </r>
  <r>
    <x v="433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434"/>
    <s v="L02-PON-ACC-L008-13"/>
    <n v="1543489"/>
    <n v="0"/>
    <n v="0"/>
    <n v="0"/>
    <e v="#DIV/0!"/>
    <x v="4"/>
    <e v="#N/A"/>
  </r>
  <r>
    <x v="434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435"/>
    <s v="L02-PON-ACC-L008-14"/>
    <n v="1543491"/>
    <n v="0"/>
    <n v="0"/>
    <n v="0"/>
    <e v="#DIV/0!"/>
    <x v="4"/>
    <e v="#N/A"/>
  </r>
  <r>
    <x v="435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436"/>
    <s v="L02-PON-ACC-L008-15"/>
    <n v="1543493"/>
    <n v="0"/>
    <n v="0"/>
    <n v="0"/>
    <e v="#DIV/0!"/>
    <x v="4"/>
    <e v="#N/A"/>
  </r>
  <r>
    <x v="436"/>
    <s v="Family Type: 1500w x 3050h, Family: Window External Type 1 - Recessed"/>
    <s v="Vector(X = 0.212, Y = -0.977, Z = 0.000, Length = 1.000)"/>
    <n v="0.2"/>
    <n v="-1"/>
    <n v="0"/>
    <n v="-78.690067525979785"/>
    <x v="3"/>
    <n v="4.5750000000000002"/>
  </r>
  <r>
    <x v="437"/>
    <s v="L02-PON-ACC-L008-16"/>
    <n v="1543495"/>
    <n v="0"/>
    <n v="0"/>
    <n v="0"/>
    <e v="#DIV/0!"/>
    <x v="4"/>
    <e v="#N/A"/>
  </r>
  <r>
    <x v="437"/>
    <s v="Family Type: 1500w x 3050h, Family: Window External Type 1 - Recessed"/>
    <s v="Vector(X = 0.212, Y = -0.977, Z = 0.000, Length = 1.000)"/>
    <n v="0.2"/>
    <n v="-1"/>
    <n v="0"/>
    <n v="-78.690067525979785"/>
    <x v="3"/>
    <n v="4.5750000000000002"/>
  </r>
  <r>
    <x v="438"/>
    <s v="L02-PON-ACC-L008-18"/>
    <n v="1543499"/>
    <n v="0"/>
    <n v="0"/>
    <n v="0"/>
    <e v="#DIV/0!"/>
    <x v="4"/>
    <e v="#N/A"/>
  </r>
  <r>
    <x v="438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439"/>
    <s v="L02-PON-ACC-S041-02"/>
    <n v="1543531"/>
    <n v="0"/>
    <n v="0"/>
    <n v="0"/>
    <e v="#DIV/0!"/>
    <x v="4"/>
    <e v="#N/A"/>
  </r>
  <r>
    <x v="439"/>
    <s v="Family Type: 487.5w x 3050H, Family: Window External Type 1 - Recessed"/>
    <s v="Vector(X = 0.212, Y = -0.977, Z = 0.000, Length = 1.000)"/>
    <n v="0.2"/>
    <n v="-1"/>
    <n v="0"/>
    <n v="-78.690067525979785"/>
    <x v="3"/>
    <n v="1.4868749999999999"/>
  </r>
  <r>
    <x v="440"/>
    <s v="L02-PON-ACC-S041-01"/>
    <n v="1543533"/>
    <n v="0"/>
    <n v="0"/>
    <n v="0"/>
    <e v="#DIV/0!"/>
    <x v="4"/>
    <e v="#N/A"/>
  </r>
  <r>
    <x v="440"/>
    <s v="Family Type: 487.5w x 3050H, Family: Window External Type 1 - Recessed"/>
    <s v="Vector(X = 0.212, Y = -0.977, Z = 0.000, Length = 1.000)"/>
    <n v="0.2"/>
    <n v="-1"/>
    <n v="0"/>
    <n v="-78.690067525979785"/>
    <x v="3"/>
    <n v="1.4868749999999999"/>
  </r>
  <r>
    <x v="441"/>
    <s v="L02-PON-ACC-L008-22"/>
    <n v="1543543"/>
    <n v="0"/>
    <n v="0"/>
    <n v="0"/>
    <e v="#DIV/0!"/>
    <x v="4"/>
    <e v="#N/A"/>
  </r>
  <r>
    <x v="441"/>
    <s v="Family Type: 1500w x 3050h, Family: Window External Type 1 - Recessed"/>
    <s v="Vector(X = 0.212, Y = -0.977, Z = 0.000, Length = 1.000)"/>
    <n v="0.2"/>
    <n v="-1"/>
    <n v="0"/>
    <n v="-78.690067525979785"/>
    <x v="3"/>
    <n v="4.5750000000000002"/>
  </r>
  <r>
    <x v="442"/>
    <s v="L02-PON-ACC-L008-29"/>
    <n v="1543557"/>
    <n v="0"/>
    <n v="0"/>
    <n v="0"/>
    <e v="#DIV/0!"/>
    <x v="4"/>
    <e v="#N/A"/>
  </r>
  <r>
    <x v="442"/>
    <s v="Family Type: 975w x 3050h, Family: Window External Type 1 - Recessed"/>
    <s v="Vector(X = -0.977, Y = -0.212, Z = 0.000, Length = 1.000)"/>
    <n v="-1"/>
    <n v="-0.2"/>
    <n v="0"/>
    <n v="-168.69006752597977"/>
    <x v="2"/>
    <n v="2.9737499999999999"/>
  </r>
  <r>
    <x v="443"/>
    <s v="L02-PON-ACC-L008-30"/>
    <n v="1543559"/>
    <n v="0"/>
    <n v="0"/>
    <n v="0"/>
    <e v="#DIV/0!"/>
    <x v="4"/>
    <e v="#N/A"/>
  </r>
  <r>
    <x v="443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444"/>
    <s v="L02-DCU-DMS-S089-04"/>
    <n v="1543751"/>
    <n v="0"/>
    <n v="0"/>
    <n v="0"/>
    <e v="#DIV/0!"/>
    <x v="4"/>
    <e v="#N/A"/>
  </r>
  <r>
    <x v="444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445"/>
    <s v="L02-DCU-DMS-S043-04"/>
    <n v="1543753"/>
    <n v="0"/>
    <n v="0"/>
    <n v="0"/>
    <e v="#DIV/0!"/>
    <x v="4"/>
    <e v="#N/A"/>
  </r>
  <r>
    <x v="445"/>
    <s v="Family Type: 1950w x 3050h, Family: Window External Type 3 - Recessed and Angle"/>
    <s v="Vector(X = -0.323, Y = 0.946, Z = 0.000, Length = 1.000)"/>
    <n v="-0.3"/>
    <n v="0.9"/>
    <n v="0"/>
    <n v="108.43494882292201"/>
    <x v="1"/>
    <n v="5.9474999999999998"/>
  </r>
  <r>
    <x v="446"/>
    <s v="L02-DCU-DMS-S083-01"/>
    <n v="1543771"/>
    <n v="0"/>
    <n v="0"/>
    <n v="0"/>
    <e v="#DIV/0!"/>
    <x v="4"/>
    <e v="#N/A"/>
  </r>
  <r>
    <x v="446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447"/>
    <s v="L02-DCU-DMS-S060-01"/>
    <n v="1543787"/>
    <n v="0"/>
    <n v="0"/>
    <n v="0"/>
    <e v="#DIV/0!"/>
    <x v="4"/>
    <e v="#N/A"/>
  </r>
  <r>
    <x v="447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448"/>
    <s v="L02-DCU-DMS-S077-01"/>
    <n v="1543789"/>
    <n v="0"/>
    <n v="0"/>
    <n v="0"/>
    <e v="#DIV/0!"/>
    <x v="4"/>
    <e v="#N/A"/>
  </r>
  <r>
    <x v="448"/>
    <s v="Family Type: 975w x 3050h, Family: Window External Type 1 - Recessed"/>
    <s v="Vector(X = 0.323, Y = -0.946, Z = 0.000, Length = 1.000)"/>
    <n v="0.3"/>
    <n v="-0.9"/>
    <n v="0"/>
    <n v="-71.56505117707799"/>
    <x v="3"/>
    <n v="2.9737499999999999"/>
  </r>
  <r>
    <x v="449"/>
    <s v="L02-DCU-DMS-S095-01"/>
    <n v="1543805"/>
    <n v="0"/>
    <n v="0"/>
    <n v="0"/>
    <e v="#DIV/0!"/>
    <x v="4"/>
    <e v="#N/A"/>
  </r>
  <r>
    <x v="450"/>
    <s v="none - connects to atrium"/>
    <s v="Vector(X = 0.921, Y = 0.390, Z = 0.000, Length = 1.000)"/>
    <n v="0.9"/>
    <n v="0.4"/>
    <n v="0"/>
    <n v="23.962488974578186"/>
    <x v="5"/>
    <e v="#N/A"/>
  </r>
  <r>
    <x v="451"/>
    <s v="L02-DCU-DMS-S077-02"/>
    <n v="1543845"/>
    <n v="0"/>
    <n v="0"/>
    <n v="0"/>
    <e v="#DIV/0!"/>
    <x v="4"/>
    <e v="#N/A"/>
  </r>
  <r>
    <x v="451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452"/>
    <s v="L02-DCU-DMS-S085-09"/>
    <n v="1543865"/>
    <n v="0"/>
    <n v="0"/>
    <n v="0"/>
    <e v="#DIV/0!"/>
    <x v="4"/>
    <e v="#N/A"/>
  </r>
  <r>
    <x v="450"/>
    <s v="none - connects to atrium"/>
    <s v="Vector(X = 0.909, Y = 0.417, Z = 0.000, Length = 1.000)"/>
    <n v="0.9"/>
    <n v="0.4"/>
    <n v="0"/>
    <n v="23.962488974578186"/>
    <x v="5"/>
    <e v="#N/A"/>
  </r>
  <r>
    <x v="453"/>
    <s v="L02-DCU-DMS-S089-02"/>
    <n v="1543883"/>
    <n v="0"/>
    <n v="0"/>
    <n v="0"/>
    <e v="#DIV/0!"/>
    <x v="4"/>
    <e v="#N/A"/>
  </r>
  <r>
    <x v="450"/>
    <s v="none - connects to atrium"/>
    <s v="Vector(X = 0.866, Y = 0.499, Z = 0.000, Length = 1.000)"/>
    <n v="0.9"/>
    <n v="0.5"/>
    <n v="0"/>
    <n v="29.054604099077146"/>
    <x v="5"/>
    <e v="#N/A"/>
  </r>
  <r>
    <x v="454"/>
    <s v="L02-DCU-DMS-S089-03"/>
    <n v="1543885"/>
    <n v="0"/>
    <n v="0"/>
    <n v="0"/>
    <e v="#DIV/0!"/>
    <x v="4"/>
    <e v="#N/A"/>
  </r>
  <r>
    <x v="454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454"/>
    <s v="Family Type: 1950w x 3050h, Family: Window External Type 3 - Recessed and Angle"/>
    <s v="Vector(X = -0.323, Y = 0.946, Z = 0.000, Length = 1.000)"/>
    <n v="-0.3"/>
    <n v="0.9"/>
    <n v="0"/>
    <n v="108.43494882292201"/>
    <x v="1"/>
    <n v="5.9474999999999998"/>
  </r>
  <r>
    <x v="455"/>
    <s v="L02-DCU-DMS-S085-21"/>
    <n v="1543899"/>
    <n v="0"/>
    <n v="0"/>
    <n v="0"/>
    <e v="#DIV/0!"/>
    <x v="4"/>
    <e v="#N/A"/>
  </r>
  <r>
    <x v="455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456"/>
    <s v="L02-DCU-DMS-S085-22"/>
    <n v="1543901"/>
    <n v="0"/>
    <n v="0"/>
    <n v="0"/>
    <e v="#DIV/0!"/>
    <x v="4"/>
    <e v="#N/A"/>
  </r>
  <r>
    <x v="456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457"/>
    <s v="L02-DCU-DMS-S085-23"/>
    <n v="1543903"/>
    <n v="0"/>
    <n v="0"/>
    <n v="0"/>
    <e v="#DIV/0!"/>
    <x v="4"/>
    <e v="#N/A"/>
  </r>
  <r>
    <x v="457"/>
    <s v="Family Type: 1950w x 3050h, Family: Window External Type 3 - Recessed and Angle"/>
    <s v="Vector(X = -0.323, Y = 0.946, Z = 0.000, Length = 1.000)"/>
    <n v="-0.3"/>
    <n v="0.9"/>
    <n v="0"/>
    <n v="108.43494882292201"/>
    <x v="1"/>
    <n v="5.9474999999999998"/>
  </r>
  <r>
    <x v="458"/>
    <s v="L02-DCU-DMS-S085-27"/>
    <n v="1543911"/>
    <n v="0"/>
    <n v="0"/>
    <n v="0"/>
    <e v="#DIV/0!"/>
    <x v="4"/>
    <e v="#N/A"/>
  </r>
  <r>
    <x v="458"/>
    <s v="Family Type: 1500w x 3050h, Family: Window External Type 3 - Recessed and Angle"/>
    <s v="Vector(X = 0.323, Y = -0.946, Z = 0.000, Length = 1.000)"/>
    <n v="0.3"/>
    <n v="-0.9"/>
    <n v="0"/>
    <n v="-71.56505117707799"/>
    <x v="3"/>
    <n v="4.5750000000000002"/>
  </r>
  <r>
    <x v="459"/>
    <s v="L02-DCU-DMS-S085-28"/>
    <n v="1543913"/>
    <n v="0"/>
    <n v="0"/>
    <n v="0"/>
    <e v="#DIV/0!"/>
    <x v="4"/>
    <e v="#N/A"/>
  </r>
  <r>
    <x v="459"/>
    <s v="Family Type: 975w x 3050h, Family: Window External Type 1 - Recessed"/>
    <s v="Vector(X = 0.323, Y = -0.946, Z = 0.000, Length = 1.000)"/>
    <n v="0.3"/>
    <n v="-0.9"/>
    <n v="0"/>
    <n v="-71.56505117707799"/>
    <x v="3"/>
    <n v="2.9737499999999999"/>
  </r>
  <r>
    <x v="460"/>
    <s v="L02-DCU-DMS-S085-29"/>
    <n v="1543915"/>
    <n v="0"/>
    <n v="0"/>
    <n v="0"/>
    <e v="#DIV/0!"/>
    <x v="4"/>
    <e v="#N/A"/>
  </r>
  <r>
    <x v="460"/>
    <s v="Family Type: 1950w x 3050h, Family: Window External Type 3 - Recessed and Angle"/>
    <s v="Vector(X = 0.323, Y = -0.946, Z = 0.000, Length = 1.000)"/>
    <n v="0.3"/>
    <n v="-0.9"/>
    <n v="0"/>
    <n v="-71.56505117707799"/>
    <x v="3"/>
    <n v="5.9474999999999998"/>
  </r>
  <r>
    <x v="461"/>
    <s v="L02-DCU-DMS-S085-30"/>
    <n v="1543917"/>
    <n v="0"/>
    <n v="0"/>
    <n v="0"/>
    <e v="#DIV/0!"/>
    <x v="4"/>
    <e v="#N/A"/>
  </r>
  <r>
    <x v="461"/>
    <s v="Family Type: 975w x 3050h, Family: Window External Type 1 - Recessed"/>
    <s v="Vector(X = 0.323, Y = -0.946, Z = 0.000, Length = 1.000)"/>
    <n v="0.3"/>
    <n v="-0.9"/>
    <n v="0"/>
    <n v="-71.56505117707799"/>
    <x v="3"/>
    <n v="2.9737499999999999"/>
  </r>
  <r>
    <x v="462"/>
    <s v="L02-DCU-DMS-S085-31"/>
    <n v="1543919"/>
    <n v="0"/>
    <n v="0"/>
    <n v="0"/>
    <e v="#DIV/0!"/>
    <x v="4"/>
    <e v="#N/A"/>
  </r>
  <r>
    <x v="462"/>
    <s v="Family Type: 975w x 3050h, Family: Window External Type 1 - Recessed"/>
    <s v="Vector(X = 0.323, Y = -0.946, Z = 0.000, Length = 1.000)"/>
    <n v="0.3"/>
    <n v="-0.9"/>
    <n v="0"/>
    <n v="-71.56505117707799"/>
    <x v="3"/>
    <n v="2.9737499999999999"/>
  </r>
  <r>
    <x v="463"/>
    <s v="L02-DCU-DMS-S085-32"/>
    <n v="1543921"/>
    <n v="0"/>
    <n v="0"/>
    <n v="0"/>
    <e v="#DIV/0!"/>
    <x v="4"/>
    <m/>
  </r>
  <r>
    <x v="463"/>
    <s v="Family Type: 1950w x 3050h, Family: Window External Type 3 - Recessed and Angle"/>
    <s v="Vector(X = 0.323, Y = -0.946, Z = 0.000, Length = 1.000)"/>
    <n v="0.3"/>
    <n v="-0.9"/>
    <n v="0"/>
    <n v="-71.56505117707799"/>
    <x v="3"/>
    <n v="5.9474999999999998"/>
  </r>
  <r>
    <x v="464"/>
    <s v="L02-DCU-DMS-S089-05"/>
    <n v="1543927"/>
    <n v="0"/>
    <n v="0"/>
    <n v="0"/>
    <e v="#DIV/0!"/>
    <x v="4"/>
    <e v="#N/A"/>
  </r>
  <r>
    <x v="464"/>
    <s v="Family Type: 1500w x 3050h, Family: Window External Type 3 - Recessed and Angle"/>
    <s v="Vector(X = 0.323, Y = -0.946, Z = 0.000, Length = 1.000)"/>
    <n v="0.3"/>
    <n v="-0.9"/>
    <n v="0"/>
    <n v="-71.56505117707799"/>
    <x v="3"/>
    <n v="4.5750000000000002"/>
  </r>
  <r>
    <x v="465"/>
    <s v="L02-DCU-DMS-S083-03"/>
    <n v="1543941"/>
    <n v="0"/>
    <n v="0"/>
    <n v="0"/>
    <e v="#DIV/0!"/>
    <x v="4"/>
    <e v="#N/A"/>
  </r>
  <r>
    <x v="465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466"/>
    <s v="L02-DCU-DMS-S083-04"/>
    <n v="1543943"/>
    <n v="0"/>
    <n v="0"/>
    <n v="0"/>
    <e v="#DIV/0!"/>
    <x v="4"/>
    <e v="#N/A"/>
  </r>
  <r>
    <x v="466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467"/>
    <s v="L02-DCU-DMS-S083-05"/>
    <n v="1543945"/>
    <n v="0"/>
    <n v="0"/>
    <n v="0"/>
    <e v="#DIV/0!"/>
    <x v="4"/>
    <e v="#N/A"/>
  </r>
  <r>
    <x v="467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468"/>
    <s v="L02-DCU-DMS-S083-06"/>
    <n v="1543947"/>
    <n v="0"/>
    <n v="0"/>
    <n v="0"/>
    <e v="#DIV/0!"/>
    <x v="4"/>
    <e v="#N/A"/>
  </r>
  <r>
    <x v="468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468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469"/>
    <s v="L02-DCU-DMS-S083-08"/>
    <n v="1543951"/>
    <n v="0"/>
    <n v="0"/>
    <n v="0"/>
    <e v="#DIV/0!"/>
    <x v="4"/>
    <e v="#N/A"/>
  </r>
  <r>
    <x v="469"/>
    <s v="Family Type: 975w x 3050h, Family: Window External Type 1 - Recessed"/>
    <s v="Vector(X = -0.212, Y = 0.977, Z = 0.000, Length = 1.000)"/>
    <n v="-0.2"/>
    <n v="1"/>
    <n v="0"/>
    <n v="101.3099324740202"/>
    <x v="1"/>
    <n v="2.9737499999999999"/>
  </r>
  <r>
    <x v="470"/>
    <s v="L02-DCU-DMS-S083-13"/>
    <n v="1543961"/>
    <n v="0"/>
    <n v="0"/>
    <n v="0"/>
    <e v="#DIV/0!"/>
    <x v="4"/>
    <e v="#N/A"/>
  </r>
  <r>
    <x v="470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471"/>
    <s v="L02-DCU-DMS-S083-14"/>
    <n v="1543963"/>
    <n v="0"/>
    <n v="0"/>
    <n v="0"/>
    <e v="#DIV/0!"/>
    <x v="4"/>
    <e v="#N/A"/>
  </r>
  <r>
    <x v="471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472"/>
    <s v="L02-DCU-DMS-S083-15"/>
    <n v="1543965"/>
    <n v="0"/>
    <n v="0"/>
    <n v="0"/>
    <e v="#DIV/0!"/>
    <x v="4"/>
    <e v="#N/A"/>
  </r>
  <r>
    <x v="472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473"/>
    <s v="L02-DCU-DMS-S083-16"/>
    <n v="1543967"/>
    <n v="0"/>
    <n v="0"/>
    <n v="0"/>
    <e v="#DIV/0!"/>
    <x v="4"/>
    <e v="#N/A"/>
  </r>
  <r>
    <x v="473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473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474"/>
    <s v="L02-DCU-DMS-S083-17"/>
    <n v="1543969"/>
    <n v="0"/>
    <n v="0"/>
    <n v="0"/>
    <e v="#DIV/0!"/>
    <x v="4"/>
    <e v="#N/A"/>
  </r>
  <r>
    <x v="474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475"/>
    <s v="L02-DCU-DMS-S083-18"/>
    <n v="1543971"/>
    <n v="0"/>
    <n v="0"/>
    <n v="0"/>
    <e v="#DIV/0!"/>
    <x v="4"/>
    <e v="#N/A"/>
  </r>
  <r>
    <x v="475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476"/>
    <s v="L02-DCU-DMS-S083-19"/>
    <n v="1543973"/>
    <n v="0"/>
    <n v="0"/>
    <n v="0"/>
    <e v="#DIV/0!"/>
    <x v="4"/>
    <e v="#N/A"/>
  </r>
  <r>
    <x v="476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477"/>
    <s v="L02-DCU-DMS-S083-20"/>
    <n v="1543975"/>
    <n v="0"/>
    <n v="0"/>
    <n v="0"/>
    <e v="#DIV/0!"/>
    <x v="4"/>
    <e v="#N/A"/>
  </r>
  <r>
    <x v="477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478"/>
    <s v="L02-THE-DOT-L004-02"/>
    <n v="1544018"/>
    <n v="0"/>
    <n v="0"/>
    <n v="0"/>
    <e v="#DIV/0!"/>
    <x v="4"/>
    <e v="#N/A"/>
  </r>
  <r>
    <x v="450"/>
    <s v="none - connects to atrium"/>
    <s v="Vector(X = 0.966, Y = 0.260, Z = 0.000, Length = 1.000)"/>
    <n v="1"/>
    <n v="0.3"/>
    <n v="0"/>
    <n v="16.699244233993621"/>
    <x v="5"/>
    <e v="#N/A"/>
  </r>
  <r>
    <x v="479"/>
    <s v="L02-THE-DOT-S050-01"/>
    <n v="1544034"/>
    <n v="0"/>
    <n v="0"/>
    <n v="0"/>
    <e v="#DIV/0!"/>
    <x v="4"/>
    <e v="#N/A"/>
  </r>
  <r>
    <x v="450"/>
    <s v="none - connects to atrium"/>
    <s v="Vector(X = 0.834, Y = 0.552, Z = 0.000, Length = 1.000)"/>
    <n v="0.8"/>
    <n v="0.6"/>
    <n v="0"/>
    <n v="36.86989764584402"/>
    <x v="5"/>
    <e v="#N/A"/>
  </r>
  <r>
    <x v="480"/>
    <s v="L02-THE-DOT-S115-04"/>
    <n v="1544348"/>
    <n v="0"/>
    <n v="0"/>
    <n v="0"/>
    <e v="#DIV/0!"/>
    <x v="4"/>
    <e v="#N/A"/>
  </r>
  <r>
    <x v="450"/>
    <s v="none - connects to atrium"/>
    <s v="Vector(X = 0.937, Y = 0.350, Z = 0.000, Length = 1.000)"/>
    <n v="0.9"/>
    <n v="0.4"/>
    <n v="0"/>
    <n v="23.962488974578186"/>
    <x v="5"/>
    <e v="#N/A"/>
  </r>
  <r>
    <x v="481"/>
    <s v="L02-IPA-GW9-S014-01"/>
    <n v="1544445"/>
    <n v="0"/>
    <n v="0"/>
    <n v="0"/>
    <e v="#DIV/0!"/>
    <x v="4"/>
    <e v="#N/A"/>
  </r>
  <r>
    <x v="481"/>
    <s v="Family Type: 3490w x 3050h, Family: Window External Type 3 - Recessed and Angle with Type 1 Flush"/>
    <s v="Vector(X = -0.530, Y = 0.848, Z = 0.000, Length = 1.000)"/>
    <n v="-0.5"/>
    <n v="0.8"/>
    <n v="0"/>
    <n v="122.0053832080835"/>
    <x v="1"/>
    <n v="7.67075"/>
  </r>
  <r>
    <x v="481"/>
    <s v="Family Type: manual 2.6m2"/>
    <s v="Vector(X = -0.530, Y = 0.848, Z = 0.000, Length = 1.000)"/>
    <n v="-0.5"/>
    <n v="0.8"/>
    <n v="0"/>
    <n v="122.0053832080835"/>
    <x v="1"/>
    <n v="2.6"/>
  </r>
  <r>
    <x v="482"/>
    <s v="L02-IPA-GW9-S013-01"/>
    <n v="1544447"/>
    <n v="0"/>
    <n v="0"/>
    <n v="0"/>
    <e v="#DIV/0!"/>
    <x v="4"/>
    <e v="#N/A"/>
  </r>
  <r>
    <x v="450"/>
    <s v="none - connects to atrium"/>
    <s v="Vector(X = 0.889, Y = 0.458, Z = 0.000, Length = 1.000)"/>
    <n v="0.9"/>
    <n v="0.5"/>
    <n v="0"/>
    <n v="29.054604099077146"/>
    <x v="5"/>
    <e v="#N/A"/>
  </r>
  <r>
    <x v="483"/>
    <s v="L02-IPA-GW9-S014-02"/>
    <n v="1544513"/>
    <n v="0"/>
    <n v="0"/>
    <n v="0"/>
    <e v="#DIV/0!"/>
    <x v="4"/>
    <e v="#N/A"/>
  </r>
  <r>
    <x v="483"/>
    <s v="Family Type: 3490w x 3050h, Family: Window External Type 3 - Recessed and Angle with Type 1 Flush"/>
    <s v="Vector(X = -0.530, Y = 0.848, Z = 0.000, Length = 1.000)"/>
    <n v="-0.5"/>
    <n v="0.8"/>
    <n v="0"/>
    <n v="122.0053832080835"/>
    <x v="1"/>
    <n v="7.67075"/>
  </r>
  <r>
    <x v="483"/>
    <s v="Family Type: manual 2.6m2"/>
    <s v="Vector(X = -0.530, Y = 0.848, Z = 0.000, Length = 1.000)"/>
    <n v="-0.5"/>
    <n v="0.8"/>
    <n v="0"/>
    <n v="122.0053832080835"/>
    <x v="1"/>
    <n v="2.6"/>
  </r>
  <r>
    <x v="484"/>
    <s v="L02-IPA-GW9-S014-03"/>
    <n v="1544515"/>
    <n v="0"/>
    <n v="0"/>
    <n v="0"/>
    <e v="#DIV/0!"/>
    <x v="4"/>
    <e v="#N/A"/>
  </r>
  <r>
    <x v="484"/>
    <s v="Family Type: 3490w x 3050h, Family: Window External Type 3 - Recessed and Angle with Type 1 Flush"/>
    <s v="Vector(X = -0.530, Y = 0.848, Z = 0.000, Length = 1.000)"/>
    <n v="-0.5"/>
    <n v="0.8"/>
    <n v="0"/>
    <n v="122.0053832080835"/>
    <x v="1"/>
    <n v="7.67075"/>
  </r>
  <r>
    <x v="484"/>
    <s v="Family Type: manual 2.6m2"/>
    <s v="Vector(X = -0.530, Y = 0.848, Z = 0.000, Length = 1.000)"/>
    <n v="-0.5"/>
    <n v="0.8"/>
    <n v="0"/>
    <n v="122.0053832080835"/>
    <x v="1"/>
    <n v="2.6"/>
  </r>
  <r>
    <x v="485"/>
    <s v="L02-IPA-GW9-S014-04"/>
    <n v="1544517"/>
    <n v="0"/>
    <n v="0"/>
    <n v="0"/>
    <e v="#DIV/0!"/>
    <x v="4"/>
    <e v="#N/A"/>
  </r>
  <r>
    <x v="485"/>
    <s v="Family Type: 3490w x 3050h, Family: Window External Type 3 - Recessed and Angle with Type 1 Flush"/>
    <s v="Vector(X = -0.530, Y = 0.848, Z = 0.000, Length = 1.000)"/>
    <n v="-0.5"/>
    <n v="0.8"/>
    <n v="0"/>
    <n v="122.0053832080835"/>
    <x v="1"/>
    <n v="7.67075"/>
  </r>
  <r>
    <x v="485"/>
    <s v="Family Type: manual 2.6m2"/>
    <s v="Vector(X = -0.530, Y = 0.848, Z = 0.000, Length = 1.000)"/>
    <n v="-0.5"/>
    <n v="0.8"/>
    <n v="0"/>
    <n v="122.0053832080835"/>
    <x v="1"/>
    <n v="2.6"/>
  </r>
  <r>
    <x v="486"/>
    <s v="L02-IPA-GW9-S014-05"/>
    <n v="1544519"/>
    <n v="0"/>
    <n v="0"/>
    <n v="0"/>
    <e v="#DIV/0!"/>
    <x v="4"/>
    <e v="#N/A"/>
  </r>
  <r>
    <x v="486"/>
    <s v="Family Type: 3490w x 3050h, Family: Window External Type 3 - Recessed and Angle with Type 1 Flush"/>
    <s v="Vector(X = -0.530, Y = 0.848, Z = 0.000, Length = 1.000)"/>
    <n v="-0.5"/>
    <n v="0.8"/>
    <n v="0"/>
    <n v="122.0053832080835"/>
    <x v="1"/>
    <n v="7.67075"/>
  </r>
  <r>
    <x v="486"/>
    <s v="Family Type: manual 2.6m2"/>
    <s v="Vector(X = -0.530, Y = 0.848, Z = 0.000, Length = 1.000)"/>
    <n v="-0.5"/>
    <n v="0.8"/>
    <n v="0"/>
    <n v="122.0053832080835"/>
    <x v="1"/>
    <n v="2.6"/>
  </r>
  <r>
    <x v="487"/>
    <s v="L02-IPA-GW9-S014-06"/>
    <n v="1544521"/>
    <n v="0"/>
    <n v="0"/>
    <n v="0"/>
    <e v="#DIV/0!"/>
    <x v="4"/>
    <e v="#N/A"/>
  </r>
  <r>
    <x v="487"/>
    <s v="Family Type: 975w x 3050h, Family: Window External Type 1 - Recessed"/>
    <s v="Vector(X = 0.530, Y = -0.848, Z = 0.000, Length = 1.000)"/>
    <n v="0.5"/>
    <n v="-0.8"/>
    <n v="0"/>
    <n v="-57.994616791916499"/>
    <x v="3"/>
    <n v="2.9737499999999999"/>
  </r>
  <r>
    <x v="487"/>
    <s v="Family Type: 2515w x 3050h, Family: Window External Type 3 - Recessed and Angle"/>
    <s v="Vector(X = 0.530, Y = -0.848, Z = 0.000, Length = 1.000)"/>
    <n v="0.5"/>
    <n v="-0.8"/>
    <n v="0"/>
    <n v="-57.994616791916499"/>
    <x v="3"/>
    <n v="7.67075"/>
  </r>
  <r>
    <x v="488"/>
    <s v="L02-IPA-GW9-S014-07"/>
    <n v="1544523"/>
    <n v="0"/>
    <n v="0"/>
    <n v="0"/>
    <e v="#DIV/0!"/>
    <x v="4"/>
    <e v="#N/A"/>
  </r>
  <r>
    <x v="488"/>
    <s v="Family Type: 3490w x 3050h, Family: Window External Type 3 - Recessed and Angle with Type 1 Flush"/>
    <s v="Vector(X = 0.530, Y = -0.848, Z = 0.000, Length = 1.000)"/>
    <n v="0.5"/>
    <n v="-0.8"/>
    <n v="0"/>
    <n v="-57.994616791916499"/>
    <x v="3"/>
    <n v="7.67075"/>
  </r>
  <r>
    <x v="488"/>
    <s v="Family Type: manual 2.6m2"/>
    <s v="Vector(X = -0.530, Y = 0.848, Z = 0.000, Length = 1.000)"/>
    <n v="-0.5"/>
    <n v="0.8"/>
    <n v="0"/>
    <n v="122.0053832080835"/>
    <x v="1"/>
    <n v="2.6"/>
  </r>
  <r>
    <x v="489"/>
    <s v="L02-IPA-GW9-S014-08"/>
    <n v="1544525"/>
    <n v="0"/>
    <n v="0"/>
    <n v="0"/>
    <e v="#DIV/0!"/>
    <x v="4"/>
    <e v="#N/A"/>
  </r>
  <r>
    <x v="489"/>
    <s v="Family Type: 3490w x 3050h, Family: Window External Type 3 - Recessed and Angle with Type 1 Flush"/>
    <s v="Vector(X = 0.530, Y = -0.848, Z = 0.000, Length = 1.000)"/>
    <n v="0.5"/>
    <n v="-0.8"/>
    <n v="0"/>
    <n v="-57.994616791916499"/>
    <x v="3"/>
    <n v="7.67075"/>
  </r>
  <r>
    <x v="489"/>
    <s v="Family Type: manual 2.6m2"/>
    <s v="Vector(X = -0.530, Y = 0.848, Z = 0.000, Length = 1.000)"/>
    <n v="-0.5"/>
    <n v="0.8"/>
    <n v="0"/>
    <n v="122.0053832080835"/>
    <x v="1"/>
    <n v="2.6"/>
  </r>
  <r>
    <x v="490"/>
    <s v="L02-IPA-GW9-S014-09"/>
    <n v="1544527"/>
    <n v="0"/>
    <n v="0"/>
    <n v="0"/>
    <e v="#DIV/0!"/>
    <x v="4"/>
    <e v="#N/A"/>
  </r>
  <r>
    <x v="490"/>
    <s v="Family Type: 2515w x 3050h, Family: Window External Type 3 - Recessed and Angle"/>
    <s v="Vector(X = 0.530, Y = -0.848, Z = 0.000, Length = 1.000)"/>
    <n v="0.5"/>
    <n v="-0.8"/>
    <n v="0"/>
    <n v="-57.994616791916499"/>
    <x v="3"/>
    <n v="7.67075"/>
  </r>
  <r>
    <x v="491"/>
    <s v="L02-IPA-GW9-S014-14"/>
    <n v="1544537"/>
    <n v="0"/>
    <n v="0"/>
    <n v="0"/>
    <e v="#DIV/0!"/>
    <x v="4"/>
    <e v="#N/A"/>
  </r>
  <r>
    <x v="491"/>
    <s v="Family Type: 2515w x 3050h, Family: Window External Type 3 - Recessed and Angle"/>
    <s v="Vector(X = -0.429, Y = 0.903, Z = 0.000, Length = 1.000)"/>
    <n v="-0.4"/>
    <n v="0.9"/>
    <n v="0"/>
    <n v="113.96248897457818"/>
    <x v="1"/>
    <n v="7.67075"/>
  </r>
  <r>
    <x v="492"/>
    <s v="L02-IPA-GW9-S014-15"/>
    <n v="1544539"/>
    <n v="0"/>
    <n v="0"/>
    <n v="0"/>
    <e v="#DIV/0!"/>
    <x v="4"/>
    <e v="#N/A"/>
  </r>
  <r>
    <x v="492"/>
    <s v="Family Type: 3490w x 3050h, Family: Window External Type 3 - Recessed and Angle with Type 1 Flush"/>
    <s v="Vector(X = -0.429, Y = 0.903, Z = 0.000, Length = 1.000)"/>
    <n v="-0.4"/>
    <n v="0.9"/>
    <n v="0"/>
    <n v="113.96248897457818"/>
    <x v="1"/>
    <n v="7.67075"/>
  </r>
  <r>
    <x v="492"/>
    <s v="Family Type: manual 2.6m2"/>
    <s v="Vector(X = -0.530, Y = 0.848, Z = 0.000, Length = 1.000)"/>
    <n v="-0.4"/>
    <n v="0.9"/>
    <n v="0"/>
    <n v="113.96248897457818"/>
    <x v="1"/>
    <n v="2.6"/>
  </r>
  <r>
    <x v="493"/>
    <s v="L02-IPA-GW9-S014-16"/>
    <n v="1544541"/>
    <n v="0"/>
    <n v="0"/>
    <n v="0"/>
    <e v="#DIV/0!"/>
    <x v="4"/>
    <e v="#N/A"/>
  </r>
  <r>
    <x v="493"/>
    <s v="Family Type: 3490w x 3050h, Family: Window External Type 3 - Recessed and Angle with Type 1 Flush"/>
    <s v="Vector(X = -0.429, Y = 0.903, Z = 0.000, Length = 1.000)"/>
    <n v="-0.4"/>
    <n v="0.9"/>
    <n v="0"/>
    <n v="113.96248897457818"/>
    <x v="1"/>
    <n v="7.67075"/>
  </r>
  <r>
    <x v="493"/>
    <s v="Family Type: manual 2.6m2"/>
    <s v="Vector(X = -0.530, Y = 0.848, Z = 0.000, Length = 1.000)"/>
    <n v="-0.4"/>
    <n v="0.9"/>
    <n v="0"/>
    <n v="113.96248897457818"/>
    <x v="1"/>
    <n v="2.6"/>
  </r>
  <r>
    <x v="494"/>
    <s v="L02-IPA-GW9-S014-17"/>
    <n v="1544543"/>
    <n v="0"/>
    <n v="0"/>
    <n v="0"/>
    <e v="#DIV/0!"/>
    <x v="4"/>
    <e v="#N/A"/>
  </r>
  <r>
    <x v="494"/>
    <s v="Family Type: 3490w x 3050h, Family: Window External Type 3 - Recessed and Angle with Type 1 Flush"/>
    <s v="Vector(X = -0.429, Y = 0.903, Z = 0.000, Length = 1.000)"/>
    <n v="-0.4"/>
    <n v="0.9"/>
    <n v="0"/>
    <n v="113.96248897457818"/>
    <x v="1"/>
    <n v="7.67075"/>
  </r>
  <r>
    <x v="494"/>
    <s v="Family Type: manual 2.6m2"/>
    <s v="Vector(X = -0.530, Y = 0.848, Z = 0.000, Length = 1.000)"/>
    <n v="-0.4"/>
    <n v="0.9"/>
    <n v="0"/>
    <n v="113.96248897457818"/>
    <x v="1"/>
    <n v="2.6"/>
  </r>
  <r>
    <x v="495"/>
    <s v="L02-IPA-GW9-S014-18"/>
    <n v="1544545"/>
    <n v="0"/>
    <n v="0"/>
    <n v="0"/>
    <e v="#DIV/0!"/>
    <x v="4"/>
    <e v="#N/A"/>
  </r>
  <r>
    <x v="495"/>
    <s v="Family Type: 3490w x 3050h, Family: Window External Type 3 - Recessed and Angle with Type 1 Flush"/>
    <s v="Vector(X = 0.429, Y = -0.903, Z = 0.000, Length = 1.000)"/>
    <n v="0.4"/>
    <n v="-0.9"/>
    <n v="0"/>
    <n v="-66.037511025421821"/>
    <x v="3"/>
    <n v="7.67075"/>
  </r>
  <r>
    <x v="495"/>
    <s v="Family Type: manual 2.6m2"/>
    <s v="Vector(X = -0.530, Y = 0.848, Z = 0.000, Length = 1.000)"/>
    <n v="-0.4"/>
    <n v="0.9"/>
    <n v="0"/>
    <n v="113.96248897457818"/>
    <x v="1"/>
    <n v="2.6"/>
  </r>
  <r>
    <x v="496"/>
    <s v="L02-IPA-GW9-S014-19"/>
    <n v="1544547"/>
    <n v="0"/>
    <n v="0"/>
    <n v="0"/>
    <e v="#DIV/0!"/>
    <x v="4"/>
    <e v="#N/A"/>
  </r>
  <r>
    <x v="496"/>
    <s v="Family Type: 3490w x 3050h, Family: Window External Type 3 - Recessed and Angle with Type 1 Flush"/>
    <s v="Vector(X = 0.429, Y = -0.903, Z = 0.000, Length = 1.000)"/>
    <n v="0.4"/>
    <n v="-0.9"/>
    <n v="0"/>
    <n v="-66.037511025421821"/>
    <x v="3"/>
    <n v="7.67075"/>
  </r>
  <r>
    <x v="496"/>
    <s v="Family Type: manual 2.6m2"/>
    <s v="Vector(X = -0.530, Y = 0.848, Z = 0.000, Length = 1.000)"/>
    <n v="-0.4"/>
    <n v="0.9"/>
    <n v="0"/>
    <n v="113.96248897457818"/>
    <x v="1"/>
    <n v="2.6"/>
  </r>
  <r>
    <x v="497"/>
    <s v="L02-IPA-GW9-S014-20"/>
    <n v="1544549"/>
    <n v="0"/>
    <n v="0"/>
    <n v="0"/>
    <e v="#DIV/0!"/>
    <x v="4"/>
    <e v="#N/A"/>
  </r>
  <r>
    <x v="497"/>
    <s v="Family Type: 3490w x 3050h, Family: Window External Type 3 - Recessed and Angle with Type 1 Flush"/>
    <s v="Vector(X = 0.429, Y = -0.903, Z = 0.000, Length = 1.000)"/>
    <n v="0.4"/>
    <n v="-0.9"/>
    <n v="0"/>
    <n v="-66.037511025421821"/>
    <x v="3"/>
    <n v="7.67075"/>
  </r>
  <r>
    <x v="497"/>
    <s v="Family Type: manual 2.6m2"/>
    <s v="Vector(X = -0.530, Y = 0.848, Z = 0.000, Length = 1.000)"/>
    <n v="-0.4"/>
    <n v="0.9"/>
    <n v="0"/>
    <n v="113.96248897457818"/>
    <x v="1"/>
    <n v="2.6"/>
  </r>
  <r>
    <x v="498"/>
    <s v="L02-IPA-GW9-S014-21"/>
    <n v="1544551"/>
    <n v="0"/>
    <n v="0"/>
    <n v="0"/>
    <e v="#DIV/0!"/>
    <x v="4"/>
    <e v="#N/A"/>
  </r>
  <r>
    <x v="498"/>
    <s v="Family Type: 3490w x 3050h, Family: Window External Type 3 - Recessed and Angle with Type 1 Flush"/>
    <s v="Vector(X = -0.530, Y = 0.848, Z = 0.000, Length = 1.000)"/>
    <n v="-0.5"/>
    <n v="0.8"/>
    <n v="0"/>
    <n v="122.0053832080835"/>
    <x v="1"/>
    <n v="7.67075"/>
  </r>
  <r>
    <x v="498"/>
    <s v="Family Type: manual 2.6m2"/>
    <s v="Vector(X = -0.530, Y = 0.848, Z = 0.000, Length = 1.000)"/>
    <n v="-0.5"/>
    <n v="0.8"/>
    <n v="0"/>
    <n v="122.0053832080835"/>
    <x v="1"/>
    <n v="2.6"/>
  </r>
  <r>
    <x v="499"/>
    <s v="L02-IPA-GW9-S014-22"/>
    <n v="1544553"/>
    <n v="0"/>
    <n v="0"/>
    <n v="0"/>
    <e v="#DIV/0!"/>
    <x v="4"/>
    <e v="#N/A"/>
  </r>
  <r>
    <x v="499"/>
    <s v="Family Type: 3490w x 3050h, Family: Window External Type 3 - Recessed and Angle with Type 1 Flush"/>
    <s v="Vector(X = 0.429, Y = -0.903, Z = 0.000, Length = 1.000)"/>
    <n v="0.4"/>
    <n v="-0.9"/>
    <n v="0"/>
    <n v="-66.037511025421821"/>
    <x v="3"/>
    <n v="7.67075"/>
  </r>
  <r>
    <x v="499"/>
    <s v="Family Type: manual 2.6m2"/>
    <s v="Vector(X = -0.530, Y = 0.848, Z = 0.000, Length = 1.000)"/>
    <n v="-0.4"/>
    <n v="0.9"/>
    <n v="0"/>
    <n v="113.96248897457818"/>
    <x v="1"/>
    <n v="2.6"/>
  </r>
  <r>
    <x v="500"/>
    <s v="L02-REE-PPR-S023-01"/>
    <n v="1544802"/>
    <n v="0"/>
    <n v="0"/>
    <n v="0"/>
    <e v="#DIV/0!"/>
    <x v="4"/>
    <e v="#N/A"/>
  </r>
  <r>
    <x v="450"/>
    <s v="none - connects to atrium"/>
    <s v="Vector(X = 0.212, Y = -0.977, Z = 0.000, Length = 1.000)"/>
    <n v="0.2"/>
    <n v="-1"/>
    <n v="0"/>
    <n v="-78.690067525979785"/>
    <x v="3"/>
    <e v="#N/A"/>
  </r>
  <r>
    <x v="501"/>
    <s v="L02-REE-PPR-U1053-01"/>
    <n v="1544810"/>
    <n v="0"/>
    <n v="0"/>
    <n v="0"/>
    <e v="#DIV/0!"/>
    <x v="4"/>
    <e v="#N/A"/>
  </r>
  <r>
    <x v="501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501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502"/>
    <s v="L02-REE-PPR-S139-01"/>
    <n v="1544812"/>
    <n v="0"/>
    <n v="0"/>
    <n v="0"/>
    <e v="#DIV/0!"/>
    <x v="4"/>
    <e v="#N/A"/>
  </r>
  <r>
    <x v="502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503"/>
    <s v="L02-REE-PPR-U1057-01"/>
    <n v="1544818"/>
    <n v="0"/>
    <n v="0"/>
    <n v="0"/>
    <e v="#DIV/0!"/>
    <x v="4"/>
    <e v="#N/A"/>
  </r>
  <r>
    <x v="503"/>
    <s v="Family"/>
    <s v="Vector(X = 0.973, Y = 0.232, Z = 0.000, Length = 1.000)"/>
    <n v="1"/>
    <n v="0.2"/>
    <n v="0"/>
    <n v="11.309932474020215"/>
    <x v="5"/>
    <e v="#N/A"/>
  </r>
  <r>
    <x v="503"/>
    <s v="Family"/>
    <s v="Vector(X = 0.977, Y = 0.213, Z = 0.000, Length = 1.000)"/>
    <n v="1"/>
    <n v="0.2"/>
    <n v="0"/>
    <n v="11.309932474020215"/>
    <x v="5"/>
    <e v="#N/A"/>
  </r>
  <r>
    <x v="504"/>
    <s v="L02-REE-PPR-S028-03"/>
    <n v="1544840"/>
    <n v="0"/>
    <n v="0"/>
    <n v="0"/>
    <e v="#DIV/0!"/>
    <x v="4"/>
    <e v="#N/A"/>
  </r>
  <r>
    <x v="450"/>
    <s v="none - connects to atrium"/>
    <s v="Vector(X = 0.973, Y = 0.232, Z = 0.000, Length = 1.000)"/>
    <n v="1"/>
    <n v="0.2"/>
    <n v="0"/>
    <n v="11.309932474020215"/>
    <x v="5"/>
    <e v="#N/A"/>
  </r>
  <r>
    <x v="505"/>
    <s v="L02-REE-PPR-L018-02"/>
    <n v="1544842"/>
    <n v="0"/>
    <n v="0"/>
    <n v="0"/>
    <e v="#DIV/0!"/>
    <x v="4"/>
    <e v="#N/A"/>
  </r>
  <r>
    <x v="505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506"/>
    <s v="L02-REE-PPR-L018-03"/>
    <n v="1544844"/>
    <n v="0"/>
    <n v="0"/>
    <n v="0"/>
    <e v="#DIV/0!"/>
    <x v="4"/>
    <e v="#N/A"/>
  </r>
  <r>
    <x v="506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507"/>
    <s v="L02-REE-PPR-L018-04"/>
    <n v="1544846"/>
    <n v="0"/>
    <n v="0"/>
    <n v="0"/>
    <e v="#DIV/0!"/>
    <x v="4"/>
    <e v="#N/A"/>
  </r>
  <r>
    <x v="507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508"/>
    <s v="L02-THR-RPM-S146-01"/>
    <n v="1544892"/>
    <n v="0"/>
    <n v="0"/>
    <n v="0"/>
    <e v="#DIV/0!"/>
    <x v="4"/>
    <e v="#N/A"/>
  </r>
  <r>
    <x v="508"/>
    <s v="Family Type: 1950w x 3050h, Family: Window Internal Type 2a - Recessed"/>
    <s v="Vector(X = 0.979, Y = -0.206, Z = 0.000, Length = 1.000)"/>
    <n v="1"/>
    <n v="-0.2"/>
    <n v="0"/>
    <n v="-11.309932474020215"/>
    <x v="6"/>
    <n v="5.9474999999999998"/>
  </r>
  <r>
    <x v="509"/>
    <s v="L02-THR-RPM-U0762-01"/>
    <n v="1544904"/>
    <n v="0"/>
    <n v="0"/>
    <n v="0"/>
    <e v="#DIV/0!"/>
    <x v="4"/>
    <e v="#N/A"/>
  </r>
  <r>
    <x v="509"/>
    <s v="Family Type: 975w x 3050h, Family: Window External Type 1 - Recessed"/>
    <s v="Vector(X = -0.041, Y = 0.999, Z = 0.000, Length = 1.000)"/>
    <n v="0"/>
    <n v="1"/>
    <n v="0"/>
    <n v="90"/>
    <x v="1"/>
    <n v="2.9737499999999999"/>
  </r>
  <r>
    <x v="510"/>
    <s v="L02-THR-RPM-U0763-01"/>
    <n v="1544908"/>
    <n v="0"/>
    <n v="0"/>
    <n v="0"/>
    <e v="#DIV/0!"/>
    <x v="4"/>
    <e v="#N/A"/>
  </r>
  <r>
    <x v="510"/>
    <s v="Family Type: 1950w x 3050h, Family: Window External Type 3 - Recessed and Angle"/>
    <s v="Vector(X = 0.041, Y = -0.999, Z = 0.000, Length = 1.000)"/>
    <n v="0"/>
    <n v="-1"/>
    <n v="0"/>
    <n v="-90"/>
    <x v="3"/>
    <n v="5.9474999999999998"/>
  </r>
  <r>
    <x v="510"/>
    <s v="Family Type: 975w x 3050h, Family: Window External Type 1 - Recessed"/>
    <s v="Vector(X = 0.041, Y = -0.999, Z = 0.000, Length = 1.000)"/>
    <n v="0"/>
    <n v="-1"/>
    <n v="0"/>
    <n v="-90"/>
    <x v="3"/>
    <n v="2.9737499999999999"/>
  </r>
  <r>
    <x v="511"/>
    <s v="L02-THR-RPM-S075-01"/>
    <n v="1544912"/>
    <n v="0"/>
    <n v="0"/>
    <n v="0"/>
    <e v="#DIV/0!"/>
    <x v="4"/>
    <e v="#N/A"/>
  </r>
  <r>
    <x v="511"/>
    <s v="Family Type: 1950w x 3050h, Family: Window External Type 3 - Recessed and Angle"/>
    <s v="Vector(X = -0.041, Y = 0.999, Z = 0.000, Length = 1.000)"/>
    <n v="0"/>
    <n v="1"/>
    <n v="0"/>
    <n v="90"/>
    <x v="1"/>
    <n v="5.9474999999999998"/>
  </r>
  <r>
    <x v="512"/>
    <s v="L02-THR-RPM-U0766-01"/>
    <n v="1544916"/>
    <n v="0"/>
    <n v="0"/>
    <n v="0"/>
    <e v="#DIV/0!"/>
    <x v="4"/>
    <e v="#N/A"/>
  </r>
  <r>
    <x v="512"/>
    <s v="Family Type: 1500w x 3050h, Family: Window External Type 3 - Recessed and Angle"/>
    <s v="Vector(X = -0.041, Y = 0.999, Z = 0.000, Length = 1.000)"/>
    <n v="0"/>
    <n v="1"/>
    <n v="0"/>
    <n v="90"/>
    <x v="1"/>
    <n v="4.5750000000000002"/>
  </r>
  <r>
    <x v="512"/>
    <s v="Family Type: 975w x 3050h, Family: Window External Type 1 - Recessed"/>
    <s v="Vector(X = -0.041, Y = 0.999, Z = 0.000, Length = 1.000)"/>
    <n v="0"/>
    <n v="1"/>
    <n v="0"/>
    <n v="90"/>
    <x v="1"/>
    <n v="2.9737499999999999"/>
  </r>
  <r>
    <x v="513"/>
    <s v="L02-THR-RPM-S099-01"/>
    <n v="1544918"/>
    <n v="0"/>
    <n v="0"/>
    <n v="0"/>
    <e v="#DIV/0!"/>
    <x v="4"/>
    <e v="#N/A"/>
  </r>
  <r>
    <x v="513"/>
    <s v="Family Type: 975w x 3050h, Family: Window External Type 1 - Recessed"/>
    <s v="Vector(X = -0.041, Y = 0.999, Z = 0.000, Length = 1.000)"/>
    <n v="0"/>
    <n v="1"/>
    <n v="0"/>
    <n v="90"/>
    <x v="1"/>
    <n v="2.9737499999999999"/>
  </r>
  <r>
    <x v="514"/>
    <s v="L02-THR-RPM-S075-02"/>
    <n v="1544940"/>
    <n v="0"/>
    <n v="0"/>
    <n v="0"/>
    <e v="#DIV/0!"/>
    <x v="4"/>
    <e v="#N/A"/>
  </r>
  <r>
    <x v="514"/>
    <s v="Family Type: 1500w x 3050h, Family: Window External Type 3 - Recessed and Angle"/>
    <s v="Vector(X = 0.041, Y = -0.999, Z = 0.000, Length = 1.000)"/>
    <n v="0"/>
    <n v="-1"/>
    <n v="0"/>
    <n v="-90"/>
    <x v="3"/>
    <n v="4.5750000000000002"/>
  </r>
  <r>
    <x v="514"/>
    <s v="Family Type: 1950w x 3050h, Family: Window External Type 3 - Recessed and Angle"/>
    <s v="Vector(X = 0.041, Y = -0.999, Z = 0.000, Length = 1.000)"/>
    <n v="0"/>
    <n v="-1"/>
    <n v="0"/>
    <n v="-90"/>
    <x v="3"/>
    <n v="5.9474999999999998"/>
  </r>
  <r>
    <x v="515"/>
    <s v="L02-HOS-DOE-L015-01"/>
    <n v="1544952"/>
    <n v="0"/>
    <n v="0"/>
    <n v="0"/>
    <e v="#DIV/0!"/>
    <x v="4"/>
    <e v="#N/A"/>
  </r>
  <r>
    <x v="515"/>
    <s v="Family Type: 1950w x 3050h, Family: Window External Type 3 - Recessed and Angle"/>
    <s v="Vector(X = -0.130, Y = -0.991, Z = 0.000, Length = 1.000)"/>
    <n v="-0.1"/>
    <n v="-1"/>
    <n v="0"/>
    <n v="-95.710593137499629"/>
    <x v="8"/>
    <n v="5.9474999999999998"/>
  </r>
  <r>
    <x v="515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516"/>
    <s v="L02-HOS-DOE-L015-02"/>
    <n v="1544954"/>
    <n v="0"/>
    <n v="0"/>
    <n v="0"/>
    <e v="#DIV/0!"/>
    <x v="4"/>
    <e v="#N/A"/>
  </r>
  <r>
    <x v="516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516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516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517"/>
    <s v="L02-HOS-DOE-S134-01"/>
    <n v="1544960"/>
    <n v="0"/>
    <n v="0"/>
    <n v="0"/>
    <e v="#DIV/0!"/>
    <x v="4"/>
    <e v="#N/A"/>
  </r>
  <r>
    <x v="517"/>
    <s v="Family Type: 1950w x 3050h, Family: Window External Type 3 - Recessed and Angle"/>
    <s v="Vector(X = 0.130, Y = 0.991, Z = 0.000, Length = 1.000)"/>
    <n v="0.1"/>
    <n v="1"/>
    <n v="0"/>
    <n v="84.289406862500371"/>
    <x v="9"/>
    <n v="5.9474999999999998"/>
  </r>
  <r>
    <x v="517"/>
    <s v="Family Type: 1500w x 3050h, Family: Window External Type 3 - Recessed and Angle"/>
    <s v="Vector(X = 0.130, Y = 0.991, Z = 0.000, Length = 1.000)"/>
    <n v="0.1"/>
    <n v="1"/>
    <n v="0"/>
    <n v="84.289406862500371"/>
    <x v="9"/>
    <n v="4.5750000000000002"/>
  </r>
  <r>
    <x v="518"/>
    <s v="L02-HOS-DOE-S134-02"/>
    <n v="1544962"/>
    <n v="0"/>
    <n v="0"/>
    <n v="0"/>
    <e v="#DIV/0!"/>
    <x v="4"/>
    <e v="#N/A"/>
  </r>
  <r>
    <x v="518"/>
    <s v="Family Type: 1950w x 3050h, Family: Window External Type 3 - Recessed and Angle"/>
    <s v="Vector(X = 0.130, Y = 0.991, Z = 0.000, Length = 1.000)"/>
    <n v="0.1"/>
    <n v="1"/>
    <n v="0"/>
    <n v="84.289406862500371"/>
    <x v="9"/>
    <n v="5.9474999999999998"/>
  </r>
  <r>
    <x v="518"/>
    <s v="Family Type: 975w x 3050h, Family: Window External Type 1 - Recessed"/>
    <s v="Vector(X = 0.130, Y = 0.991, Z = 0.000, Length = 1.000)"/>
    <n v="0.1"/>
    <n v="1"/>
    <n v="0"/>
    <n v="84.289406862500371"/>
    <x v="9"/>
    <n v="2.9737499999999999"/>
  </r>
  <r>
    <x v="519"/>
    <s v="L02-HOS-DOE-U0696-01"/>
    <n v="1544970"/>
    <n v="0"/>
    <n v="0"/>
    <n v="0"/>
    <e v="#DIV/0!"/>
    <x v="4"/>
    <e v="#N/A"/>
  </r>
  <r>
    <x v="519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520"/>
    <s v="L02-HOS-DOE-S095-01"/>
    <n v="1544976"/>
    <n v="0"/>
    <n v="0"/>
    <n v="0"/>
    <e v="#DIV/0!"/>
    <x v="4"/>
    <e v="#N/A"/>
  </r>
  <r>
    <x v="520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521"/>
    <s v="L02-IPA-SHS-S038-01"/>
    <n v="1545042"/>
    <n v="0"/>
    <n v="0"/>
    <n v="0"/>
    <e v="#DIV/0!"/>
    <x v="4"/>
    <e v="#N/A"/>
  </r>
  <r>
    <x v="450"/>
    <s v="none - connects to atrium"/>
    <s v="Vector(X = 0.829, Y = 0.559, Z = 0.000, Length = 1.000)"/>
    <n v="0.8"/>
    <n v="0.6"/>
    <n v="0"/>
    <n v="36.86989764584402"/>
    <x v="5"/>
    <e v="#N/A"/>
  </r>
  <r>
    <x v="128"/>
    <n v="0"/>
    <n v="1634473"/>
    <n v="0"/>
    <n v="0"/>
    <n v="0"/>
    <e v="#DIV/0!"/>
    <x v="4"/>
    <e v="#N/A"/>
  </r>
  <r>
    <x v="128"/>
    <s v="Family Type: 1500w x 3050h, Family: Window External Type 1 - Recessed"/>
    <s v="Vector(X = 0.212, Y = -0.977, Z = 0.000, Length = 1.000)"/>
    <n v="0.2"/>
    <n v="-1"/>
    <n v="0"/>
    <n v="-78.690067525979785"/>
    <x v="3"/>
    <n v="4.5750000000000002"/>
  </r>
  <r>
    <x v="128"/>
    <s v="Family Type: 1500w x 3050h, Family: Window External Type 1 - Recessed"/>
    <s v="Vector(X = 0.212, Y = -0.977, Z = 0.000, Length = 1.000)"/>
    <n v="0.2"/>
    <n v="-1"/>
    <n v="0"/>
    <n v="-78.690067525979785"/>
    <x v="3"/>
    <n v="4.5750000000000002"/>
  </r>
  <r>
    <x v="128"/>
    <s v="Family Type: 487.5w x 3050H, Family: Window External Type 1 - Recessed"/>
    <s v="Vector(X = 0.212, Y = -0.977, Z = 0.000, Length = 1.000)"/>
    <n v="0.2"/>
    <n v="-1"/>
    <n v="0"/>
    <n v="-78.690067525979785"/>
    <x v="3"/>
    <n v="1.4868749999999999"/>
  </r>
  <r>
    <x v="128"/>
    <s v="Family Type: 487.5w x 3050H, Family: Window External Type 1 - Recessed"/>
    <s v="Vector(X = 0.212, Y = -0.977, Z = 0.000, Length = 1.000)"/>
    <n v="0.2"/>
    <n v="-1"/>
    <n v="0"/>
    <n v="-78.690067525979785"/>
    <x v="3"/>
    <n v="1.4868749999999999"/>
  </r>
  <r>
    <x v="522"/>
    <s v="L02-IPA-GW9-S094-01"/>
    <n v="1666257"/>
    <n v="0"/>
    <n v="0"/>
    <n v="0"/>
    <e v="#DIV/0!"/>
    <x v="4"/>
    <e v="#N/A"/>
  </r>
  <r>
    <x v="450"/>
    <s v="none - connects to atrium"/>
    <s v="Vector(X = 0.920, Y = 0.393, Z = 0.000, Length = 1.000)"/>
    <n v="0.9"/>
    <n v="0.4"/>
    <n v="0"/>
    <n v="23.962488974578186"/>
    <x v="5"/>
    <e v="#N/A"/>
  </r>
  <r>
    <x v="523"/>
    <s v="L02-DCU-DMS-U1108-01"/>
    <n v="1666277"/>
    <n v="0"/>
    <n v="0"/>
    <n v="0"/>
    <e v="#DIV/0!"/>
    <x v="4"/>
    <e v="#N/A"/>
  </r>
  <r>
    <x v="450"/>
    <s v="none - connects to atrium"/>
    <s v="Vector(X = 0.850, Y = 0.526, Z = 0.000, Length = 1.000)"/>
    <n v="0.9"/>
    <n v="0.5"/>
    <n v="0"/>
    <n v="29.054604099077146"/>
    <x v="5"/>
    <e v="#N/A"/>
  </r>
  <r>
    <x v="524"/>
    <s v="L02-DCU-DMS-U1207-01"/>
    <n v="1666287"/>
    <n v="0"/>
    <n v="0"/>
    <n v="0"/>
    <e v="#DIV/0!"/>
    <x v="4"/>
    <e v="#N/A"/>
  </r>
  <r>
    <x v="450"/>
    <s v="none - connects to atrium"/>
    <s v="Vector(X = 0.834, Y = 0.552, Z = 0.000, Length = 1.000)"/>
    <n v="0.8"/>
    <n v="0.6"/>
    <n v="0"/>
    <n v="36.86989764584402"/>
    <x v="5"/>
    <e v="#N/A"/>
  </r>
  <r>
    <x v="450"/>
    <s v="none - connects to atrium"/>
    <s v="Vector(X = 0.840, Y = 0.543, Z = 0.000, Length = 1.000)"/>
    <n v="0.8"/>
    <n v="0.5"/>
    <n v="0"/>
    <n v="32.005383208083494"/>
    <x v="5"/>
    <e v="#N/A"/>
  </r>
  <r>
    <x v="525"/>
    <s v="L02-DCU-DMS-S139-06"/>
    <n v="1666299"/>
    <n v="0"/>
    <n v="0"/>
    <n v="0"/>
    <e v="#DIV/0!"/>
    <x v="4"/>
    <e v="#N/A"/>
  </r>
  <r>
    <x v="525"/>
    <s v="Family Type: 1950w x 3050h, Family: Window External Type 3 - Recessed and Angle"/>
    <s v="Vector(X = -0.323, Y = 0.946, Z = 0.000, Length = 1.000)"/>
    <n v="-0.3"/>
    <n v="0.9"/>
    <n v="0"/>
    <n v="108.43494882292201"/>
    <x v="1"/>
    <n v="5.9474999999999998"/>
  </r>
  <r>
    <x v="525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525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525"/>
    <s v="Family Type: 1500w x 3050h, Family: Window External Type 3 - Recessed and Angle"/>
    <s v="Vector(X = -0.323, Y = 0.946, Z = 0.000, Length = 1.000)"/>
    <n v="-0.3"/>
    <n v="0.9"/>
    <n v="0"/>
    <n v="108.43494882292201"/>
    <x v="1"/>
    <n v="4.5750000000000002"/>
  </r>
  <r>
    <x v="525"/>
    <s v="Family Type: 975w x 3050h, Family: Window External Type 1 - Recessed"/>
    <s v="Vector(X = -0.323, Y = 0.946, Z = 0.000, Length = 1.000)"/>
    <n v="-0.3"/>
    <n v="0.9"/>
    <n v="0"/>
    <n v="108.43494882292201"/>
    <x v="1"/>
    <n v="2.9737499999999999"/>
  </r>
  <r>
    <x v="525"/>
    <s v="Family Type: 1950w x 3050h, Family: Window External Type 3 - Recessed and Angle"/>
    <s v="Vector(X = -0.323, Y = 0.946, Z = 0.000, Length = 1.000)"/>
    <n v="-0.3"/>
    <n v="0.9"/>
    <n v="0"/>
    <n v="108.43494882292201"/>
    <x v="1"/>
    <n v="5.9474999999999998"/>
  </r>
  <r>
    <x v="525"/>
    <s v="Family Type: 3490w x 3050h, Family: Window External Type 3 - Recessed and Angle with Type 1 Flush"/>
    <s v="Vector(X = 0.429, Y = -0.903, Z = 0.000, Length = 1.000)"/>
    <n v="0.4"/>
    <n v="-0.9"/>
    <n v="0"/>
    <n v="-66.037511025421821"/>
    <x v="3"/>
    <n v="7.67075"/>
  </r>
  <r>
    <x v="525"/>
    <s v="Family Type: 3490w x 3050h, Family: Window External Type 3 - Recessed and Angle with Type 1 Flush"/>
    <s v="Vector(X = 0.429, Y = -0.903, Z = 0.000, Length = 1.000)"/>
    <n v="0.4"/>
    <n v="-0.9"/>
    <n v="0"/>
    <n v="-66.037511025421821"/>
    <x v="3"/>
    <n v="7.67075"/>
  </r>
  <r>
    <x v="525"/>
    <s v="Family Type: 3490w x 3050h, Family: Window External Type 3 - Recessed and Angle with Type 1 Flush"/>
    <s v="Vector(X = 0.429, Y = -0.903, Z = 0.000, Length = 1.000)"/>
    <n v="0.4"/>
    <n v="-0.9"/>
    <n v="0"/>
    <n v="-66.037511025421821"/>
    <x v="3"/>
    <n v="7.67075"/>
  </r>
  <r>
    <x v="128"/>
    <n v="0"/>
    <n v="1676453"/>
    <n v="0"/>
    <n v="0"/>
    <n v="0"/>
    <e v="#DIV/0!"/>
    <x v="4"/>
    <e v="#N/A"/>
  </r>
  <r>
    <x v="128"/>
    <s v="Family Type: 1950w x 3050h, Family: Window External Type 3 - Recessed and Angle"/>
    <s v="Vector(X = 0.041, Y = -0.999, Z = 0.000, Length = 1.000)"/>
    <n v="0"/>
    <n v="-1"/>
    <n v="0"/>
    <n v="-90"/>
    <x v="3"/>
    <n v="5.9474999999999998"/>
  </r>
  <r>
    <x v="526"/>
    <s v="L02-PON-CIR-C001-02"/>
    <n v="1686817"/>
    <n v="0"/>
    <n v="0"/>
    <n v="0"/>
    <e v="#DIV/0!"/>
    <x v="4"/>
    <e v="#N/A"/>
  </r>
  <r>
    <x v="526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128"/>
    <n v="0"/>
    <n v="1687895"/>
    <n v="0"/>
    <n v="0"/>
    <n v="0"/>
    <e v="#DIV/0!"/>
    <x v="4"/>
    <e v="#N/A"/>
  </r>
  <r>
    <x v="128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128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527"/>
    <s v="L02-CIR-CIR-C008-01"/>
    <n v="1687921"/>
    <n v="0"/>
    <n v="0"/>
    <n v="0"/>
    <e v="#DIV/0!"/>
    <x v="4"/>
    <e v="#N/A"/>
  </r>
  <r>
    <x v="527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528"/>
    <s v="L02-CIR-CIR-C008-03"/>
    <n v="1687931"/>
    <n v="0"/>
    <n v="0"/>
    <n v="0"/>
    <e v="#DIV/0!"/>
    <x v="4"/>
    <e v="#N/A"/>
  </r>
  <r>
    <x v="528"/>
    <s v="Family Type: 1000w x 3050h, Family: Window External Type 2 - Recessed and Fin"/>
    <s v="Vector(X = -0.530, Y = 0.848, Z = 0.000, Length = 1.000)"/>
    <n v="-0.5"/>
    <n v="0.8"/>
    <n v="0"/>
    <n v="122.0053832080835"/>
    <x v="1"/>
    <n v="3.05"/>
  </r>
  <r>
    <x v="528"/>
    <s v="Family Type: 1500w x 3050h, Family: Window External Type 3 - Recessed and Angle"/>
    <s v="Vector(X = -0.530, Y = 0.848, Z = 0.000, Length = 1.000)"/>
    <n v="-0.5"/>
    <n v="0.8"/>
    <n v="0"/>
    <n v="122.0053832080835"/>
    <x v="1"/>
    <n v="4.5750000000000002"/>
  </r>
  <r>
    <x v="529"/>
    <s v="L02-CIR-CIR-C008-04"/>
    <n v="1687933"/>
    <n v="0"/>
    <n v="0"/>
    <n v="0"/>
    <e v="#DIV/0!"/>
    <x v="4"/>
    <e v="#N/A"/>
  </r>
  <r>
    <x v="529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529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530"/>
    <s v="L02-CIR-CIR-C008-06"/>
    <n v="1687939"/>
    <n v="0"/>
    <n v="0"/>
    <n v="0"/>
    <e v="#DIV/0!"/>
    <x v="4"/>
    <e v="#N/A"/>
  </r>
  <r>
    <x v="530"/>
    <s v="Family Type: 1500w x 3050h, Family: Window External Type 3 - Recessed and Angle"/>
    <s v="Vector(X = 0.977, Y = 0.212, Z = 0.000, Length = 1.000)"/>
    <n v="1"/>
    <n v="0.2"/>
    <n v="0"/>
    <n v="11.309932474020215"/>
    <x v="5"/>
    <n v="4.5750000000000002"/>
  </r>
  <r>
    <x v="128"/>
    <n v="0"/>
    <n v="1714073"/>
    <n v="0"/>
    <n v="0"/>
    <n v="0"/>
    <e v="#DIV/0!"/>
    <x v="4"/>
    <e v="#N/A"/>
  </r>
  <r>
    <x v="128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128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531"/>
    <s v="L02-CIR-CIR-C006-05"/>
    <n v="1775251"/>
    <n v="0"/>
    <n v="0"/>
    <n v="0"/>
    <e v="#DIV/0!"/>
    <x v="4"/>
    <e v="#N/A"/>
  </r>
  <r>
    <x v="531"/>
    <s v="Family Type: 1950w x 3050h, Family: Window External Type 3 - Recessed and Angle"/>
    <s v="Vector(X = -0.130, Y = -0.991, Z = 0.000, Length = 1.000)"/>
    <n v="-0.1"/>
    <n v="-1"/>
    <n v="0"/>
    <n v="-95.710593137499629"/>
    <x v="8"/>
    <n v="5.9474999999999998"/>
  </r>
  <r>
    <x v="532"/>
    <s v="L02-CIR-CIR-C006-07"/>
    <n v="1778842"/>
    <n v="0"/>
    <n v="0"/>
    <n v="0"/>
    <e v="#DIV/0!"/>
    <x v="4"/>
    <e v="#N/A"/>
  </r>
  <r>
    <x v="532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533"/>
    <s v="L02-CIR-CIR-C006-04"/>
    <n v="1778927"/>
    <n v="0"/>
    <n v="0"/>
    <n v="0"/>
    <e v="#DIV/0!"/>
    <x v="4"/>
    <e v="#N/A"/>
  </r>
  <r>
    <x v="533"/>
    <s v="Family Type: 1950w x 3050h, Family: Window External Type 1 - Recessed"/>
    <s v="Vector(X = -0.530, Y = 0.848, Z = 0.000, Length = 1.000)"/>
    <n v="-0.5"/>
    <n v="0.8"/>
    <n v="0"/>
    <n v="122.0053832080835"/>
    <x v="1"/>
    <n v="5.9474999999999998"/>
  </r>
  <r>
    <x v="534"/>
    <s v="L02-CIR-CIR-C006-01"/>
    <n v="1779017"/>
    <n v="0"/>
    <n v="0"/>
    <n v="0"/>
    <e v="#DIV/0!"/>
    <x v="4"/>
    <e v="#N/A"/>
  </r>
  <r>
    <x v="534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535"/>
    <s v="L02-DCU-DMS-S132-01"/>
    <n v="1924672"/>
    <n v="0"/>
    <n v="0"/>
    <n v="0"/>
    <e v="#DIV/0!"/>
    <x v="4"/>
    <e v="#N/A"/>
  </r>
  <r>
    <x v="535"/>
    <s v="Family Type: 1500w x 3050h, Family: Window External Type 3 - Recessed and Angle"/>
    <s v="Vector(X = -0.323, Y = 0.946, Z = 0.000, Length = 1.000)"/>
    <n v="-0.3"/>
    <n v="0.9"/>
    <n v="0"/>
    <n v="108.43494882292201"/>
    <x v="1"/>
    <n v="4.5750000000000002"/>
  </r>
  <r>
    <x v="536"/>
    <s v="L02-CIR-CIR-C001-14"/>
    <n v="1933601"/>
    <n v="0"/>
    <n v="0"/>
    <n v="0"/>
    <e v="#DIV/0!"/>
    <x v="4"/>
    <e v="#N/A"/>
  </r>
  <r>
    <x v="450"/>
    <s v="none - connects to atrium"/>
    <s v="Vector(X = 0.948, Y = 0.317, Z = 0.000, Length = 1.000)"/>
    <n v="0.9"/>
    <n v="0.3"/>
    <n v="0"/>
    <n v="18.43494882292201"/>
    <x v="5"/>
    <e v="#N/A"/>
  </r>
  <r>
    <x v="450"/>
    <s v="none - connects to atrium"/>
    <s v="Vector(X = 0.931, Y = 0.364, Z = 0.000, Length = 1.000)"/>
    <n v="0.9"/>
    <n v="0.4"/>
    <n v="0"/>
    <n v="23.962488974578186"/>
    <x v="5"/>
    <e v="#N/A"/>
  </r>
  <r>
    <x v="450"/>
    <s v="none - connects to atrium"/>
    <s v="Vector(X = 0.938, Y = 0.347, Z = 0.000, Length = 1.000)"/>
    <n v="0.9"/>
    <n v="0.3"/>
    <n v="0"/>
    <n v="18.43494882292201"/>
    <x v="5"/>
    <e v="#N/A"/>
  </r>
  <r>
    <x v="128"/>
    <n v="0"/>
    <n v="1969730"/>
    <n v="0"/>
    <n v="0"/>
    <n v="0"/>
    <e v="#DIV/0!"/>
    <x v="4"/>
    <e v="#N/A"/>
  </r>
  <r>
    <x v="128"/>
    <s v="Family Type: 975w x 3050h, Family: Window Internal Type 2a - Recessed"/>
    <s v="Vector(X = 0.977, Y = 0.213, Z = 0.000, Length = 1.000)"/>
    <n v="1"/>
    <n v="0.2"/>
    <n v="0"/>
    <n v="11.309932474020215"/>
    <x v="5"/>
    <n v="2.9737499999999999"/>
  </r>
  <r>
    <x v="537"/>
    <s v="L02-REE-PPR-S139-03"/>
    <n v="1980072"/>
    <n v="0"/>
    <n v="0"/>
    <n v="0"/>
    <e v="#DIV/0!"/>
    <x v="4"/>
    <e v="#N/A"/>
  </r>
  <r>
    <x v="450"/>
    <s v="none - connects to atrium"/>
    <s v="Vector(X = 0.977, Y = 0.213, Z = 0.000, Length = 1.000)"/>
    <n v="1"/>
    <n v="0.2"/>
    <n v="0"/>
    <n v="11.309932474020215"/>
    <x v="5"/>
    <e v="#N/A"/>
  </r>
  <r>
    <x v="128"/>
    <n v="0"/>
    <n v="0"/>
    <n v="0"/>
    <n v="0"/>
    <n v="0"/>
    <e v="#DIV/0!"/>
    <x v="4"/>
    <e v="#N/A"/>
  </r>
  <r>
    <x v="538"/>
    <s v="L03-6-PHA-DPA-U0621-01"/>
    <n v="1133530"/>
    <n v="0"/>
    <n v="0"/>
    <n v="0"/>
    <e v="#DIV/0!"/>
    <x v="4"/>
    <e v="#N/A"/>
  </r>
  <r>
    <x v="538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38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39"/>
    <s v="L03-CIR-CIR-C008-05"/>
    <n v="1202652"/>
    <n v="0"/>
    <n v="0"/>
    <n v="0"/>
    <e v="#DIV/0!"/>
    <x v="4"/>
    <e v="#N/A"/>
  </r>
  <r>
    <x v="539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6.1100249999997951"/>
  </r>
  <r>
    <x v="539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39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39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39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39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39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40"/>
    <s v="L03-ONC-DW3-S115-43"/>
    <n v="1295814"/>
    <n v="0"/>
    <n v="0"/>
    <n v="0"/>
    <e v="#DIV/0!"/>
    <x v="4"/>
    <e v="#N/A"/>
  </r>
  <r>
    <x v="540"/>
    <s v="Family Type: Curtain Wall_1950w x 3800h, Family: Window External Type 5 - Flush"/>
    <s v="Vector(X = -0.953, Y = -0.302, Z = 0.000, Length = 1.000)"/>
    <n v="-1"/>
    <n v="-0.3"/>
    <n v="0"/>
    <n v="-163.30075576600638"/>
    <x v="2"/>
    <n v="7.9950000000000001"/>
  </r>
  <r>
    <x v="540"/>
    <s v="Family Type: Curtain Wall_Bespoke 1 - 1979.5 x 3800, Family: Window External Type 5 - Flush Instance Width"/>
    <s v="Vector(X = -0.953, Y = -0.302, Z = 0.000, Length = 1.000)"/>
    <n v="-1"/>
    <n v="-0.3"/>
    <n v="0"/>
    <n v="-163.30075576600638"/>
    <x v="2"/>
    <n v="7.9950000000000001"/>
  </r>
  <r>
    <x v="540"/>
    <s v="Family Type: Curtain Wall_1950w x 3800h, Family: Window External Type 5 - Flush"/>
    <s v="Vector(X = -0.953, Y = -0.302, Z = 0.000, Length = 1.000)"/>
    <n v="-1"/>
    <n v="-0.3"/>
    <n v="0"/>
    <n v="-163.30075576600638"/>
    <x v="2"/>
    <n v="7.9950000000000001"/>
  </r>
  <r>
    <x v="540"/>
    <s v="Family Type: Curtain Wall_1950w x 3800h, Family: Window External Type 5 - Flush"/>
    <s v="Vector(X = -0.953, Y = -0.302, Z = 0.000, Length = 1.000)"/>
    <n v="-1"/>
    <n v="-0.3"/>
    <n v="0"/>
    <n v="-163.30075576600638"/>
    <x v="2"/>
    <n v="7.9950000000000001"/>
  </r>
  <r>
    <x v="540"/>
    <s v="Family Type: Curtain Wall_Bespoke 1 - 1979.5 x 3800, Family: Window External Type 5 - Flush Instance Width"/>
    <s v="Vector(X = -0.953, Y = -0.302, Z = 0.000, Length = 1.000)"/>
    <n v="-1"/>
    <n v="-0.3"/>
    <n v="0"/>
    <n v="-163.30075576600638"/>
    <x v="2"/>
    <n v="7.9950000000000001"/>
  </r>
  <r>
    <x v="540"/>
    <s v="Family Type: Curtain Wall_Bespoke 1 - 1979.5 x 3800, Family: Window External Type 5 - Flush Instance Width"/>
    <s v="Vector(X = -0.953, Y = -0.302, Z = 0.000, Length = 1.000)"/>
    <n v="-1"/>
    <n v="-0.3"/>
    <n v="0"/>
    <n v="-163.30075576600638"/>
    <x v="2"/>
    <n v="7.9950000000000001"/>
  </r>
  <r>
    <x v="540"/>
    <s v="Family Type: Curtain Wall_Bespoke 1 - 1979.5 x 3800, Family: Window External Type 5 - Flush Instance Width"/>
    <s v="Vector(X = -0.953, Y = -0.302, Z = 0.000, Length = 1.000)"/>
    <n v="-1"/>
    <n v="-0.3"/>
    <n v="0"/>
    <n v="-163.30075576600638"/>
    <x v="2"/>
    <n v="6.8613499999999998"/>
  </r>
  <r>
    <x v="540"/>
    <s v="Family Type: Curtain Wall_Bespoke 1 - 1979.5 x 3800, Family: Window External Type 5 - Flush Instance Width"/>
    <s v="Vector(X = -0.953, Y = -0.302, Z = 0.000, Length = 1.000)"/>
    <n v="-1"/>
    <n v="-0.3"/>
    <n v="0"/>
    <n v="-163.30075576600638"/>
    <x v="2"/>
    <n v="1.95"/>
  </r>
  <r>
    <x v="540"/>
    <s v="Family Type: Curtain Wall_Bespoke 1 - 1979.5 x 3800, Family: Window External Type 5 - Flush Instance Width"/>
    <s v="Vector(X = -0.953, Y = -0.302, Z = 0.000, Length = 1.000)"/>
    <n v="-1"/>
    <n v="-0.3"/>
    <n v="0"/>
    <n v="-163.30075576600638"/>
    <x v="2"/>
    <n v="1.95"/>
  </r>
  <r>
    <x v="540"/>
    <s v="Family Type: Curtain Wall_Bespoke 1 - 1979.5 x 3800, Family: Window External Type 5 - Flush Instance Width"/>
    <s v="Vector(X = -0.953, Y = -0.302, Z = 0.000, Length = 1.000)"/>
    <n v="-1"/>
    <n v="-0.3"/>
    <n v="0"/>
    <n v="-163.30075576600638"/>
    <x v="2"/>
    <n v="1.95"/>
  </r>
  <r>
    <x v="540"/>
    <s v="Family Type: Curtain Wall_Bespoke 1 - 1979.5 x 3800, Family: Window External Type 5 - Flush Instance Width"/>
    <s v="Vector(X = -0.953, Y = -0.302, Z = 0.000, Length = 1.000)"/>
    <n v="-1"/>
    <n v="-0.3"/>
    <n v="0"/>
    <n v="-163.30075576600638"/>
    <x v="2"/>
    <n v="1.95"/>
  </r>
  <r>
    <x v="540"/>
    <s v="Family Type: Curtain Wall_Bespoke 1 - 1979.5 x 3800, Family: Window External Type 5 - Flush Instance Width"/>
    <s v="Vector(X = -0.953, Y = -0.302, Z = 0.000, Length = 1.000)"/>
    <n v="-1"/>
    <n v="-0.3"/>
    <n v="0"/>
    <n v="-163.30075576600638"/>
    <x v="2"/>
    <n v="1.95"/>
  </r>
  <r>
    <x v="540"/>
    <s v="Family Type: Curtain Wall_Bespoke 1 - 1979.5 x 3800, Family: Window External Type 5 - Flush Instance Width"/>
    <s v="Vector(X = -0.953, Y = -0.302, Z = 0.000, Length = 1.000)"/>
    <n v="-1"/>
    <n v="-0.3"/>
    <n v="0"/>
    <n v="-163.30075576600638"/>
    <x v="2"/>
    <n v="1.95"/>
  </r>
  <r>
    <x v="540"/>
    <s v="Family Type: Curtain Wall_Bespoke 1 - 1979.5 x 3800, Family: Window External Type 5 - Flush Instance Width"/>
    <s v="Vector(X = -0.953, Y = -0.302, Z = 0.000, Length = 1.000)"/>
    <n v="-1"/>
    <n v="-0.3"/>
    <n v="0"/>
    <n v="-163.30075576600638"/>
    <x v="2"/>
    <n v="1.6735"/>
  </r>
  <r>
    <x v="541"/>
    <s v="L03-THR-MSW-S095-01"/>
    <n v="1295976"/>
    <n v="0"/>
    <n v="0"/>
    <n v="0"/>
    <e v="#DIV/0!"/>
    <x v="4"/>
    <e v="#N/A"/>
  </r>
  <r>
    <x v="541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541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7.9950000000000001"/>
  </r>
  <r>
    <x v="541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7.9950000000000001"/>
  </r>
  <r>
    <x v="541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1.94975442974914"/>
  </r>
  <r>
    <x v="542"/>
    <s v="L03-THR-MSW-S115-02"/>
    <n v="1295992"/>
    <n v="0"/>
    <n v="0"/>
    <n v="0"/>
    <e v="#DIV/0!"/>
    <x v="4"/>
    <e v="#N/A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7.9950000000000001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7.9950000000000001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7.9950000000000001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7.9950000000000001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7.9950000000000001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7.9950000000000001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7.8310000000000004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1.95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1.95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1.95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1.95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1.95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1.95"/>
  </r>
  <r>
    <x v="542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1.91"/>
  </r>
  <r>
    <x v="543"/>
    <s v="L03-THR-NAD-S115-01"/>
    <n v="1296071"/>
    <n v="0"/>
    <n v="0"/>
    <n v="0"/>
    <e v="#DIV/0!"/>
    <x v="4"/>
    <e v="#N/A"/>
  </r>
  <r>
    <x v="543"/>
    <s v="Family Type: Curtain Wall_1950x1950x3800, Family: Window External Type 5 - Flush Corner 2"/>
    <s v="Vector(X = -0.985, Y = -0.170, Z = 0.000, Length = 1.000)"/>
    <n v="-1"/>
    <n v="-0.2"/>
    <n v="0"/>
    <n v="-168.69006752597977"/>
    <x v="2"/>
    <n v="0"/>
  </r>
  <r>
    <x v="543"/>
    <s v="Family Type: Curtain Wall_1950w x 3800h, Family: Window External Type 5 - Flush"/>
    <s v="Vector(X = -0.985, Y = -0.170, Z = 0.000, Length = 1.000)"/>
    <n v="-1"/>
    <n v="-0.2"/>
    <n v="0"/>
    <n v="-168.69006752597977"/>
    <x v="2"/>
    <n v="7.9950000000000001"/>
  </r>
  <r>
    <x v="543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543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543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543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543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543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543"/>
    <s v="Family Type: Curtain Wall_1950w x 3800h, Family: Window External Type 5 - Flush"/>
    <s v="Vector(X = -0.985, Y = -0.170, Z = 0.000, Length = 1.000)"/>
    <n v="-1"/>
    <n v="-0.2"/>
    <n v="0"/>
    <n v="-168.69006752597977"/>
    <x v="2"/>
    <n v="7.9950000000000001"/>
  </r>
  <r>
    <x v="543"/>
    <s v="Family Type: Curtain Wall_1950w x 3800h, Family: Window External Type 5 - Flush"/>
    <s v="Vector(X = 0.323, Y = -0.946, Z = 0.000, Length = 1.000)"/>
    <n v="0.3"/>
    <n v="-0.9"/>
    <n v="0"/>
    <n v="-71.56505117707799"/>
    <x v="3"/>
    <n v="7.9950000000000001"/>
  </r>
  <r>
    <x v="543"/>
    <s v="Family Type: Curtain Wall_1950w x 3800h, Family: Window External Type 5 - Flush"/>
    <s v="Vector(X = 0.323, Y = -0.946, Z = 0.000, Length = 1.000)"/>
    <n v="0.3"/>
    <n v="-0.9"/>
    <n v="0"/>
    <n v="-71.56505117707799"/>
    <x v="3"/>
    <n v="7.9950000000000001"/>
  </r>
  <r>
    <x v="543"/>
    <s v="Family Type: Curtain Wall_1950w x 3800h, Family: Window External Type 5 - Flush"/>
    <s v="Vector(X = 0.323, Y = -0.946, Z = 0.000, Length = 1.000)"/>
    <n v="0.3"/>
    <n v="-0.9"/>
    <n v="0"/>
    <n v="-71.56505117707799"/>
    <x v="3"/>
    <n v="7.9950000000000001"/>
  </r>
  <r>
    <x v="543"/>
    <s v="Family Type: Curtain Wall_Bespoke 1 - 1979.5 x 3800, Family: Window External Type 5 - Flush Instance Width"/>
    <s v="Vector(X = 0.323, Y = -0.946, Z = 0.000, Length = 1.000)"/>
    <n v="0.3"/>
    <n v="-0.9"/>
    <n v="0"/>
    <n v="-71.56505117707799"/>
    <x v="3"/>
    <n v="9.4004330933600109"/>
  </r>
  <r>
    <x v="543"/>
    <s v="Family Type: Curtain Wall_Bespoke 1 - 1979.5 x 3800, Family: Window External Type 5 - Flush Instance Width"/>
    <s v="Vector(X = -1.000, Y = -0.010, Z = 0.000, Length = 1.000)"/>
    <n v="-1"/>
    <n v="0"/>
    <n v="0"/>
    <n v="180"/>
    <x v="2"/>
    <n v="6.0331706472066866"/>
  </r>
  <r>
    <x v="544"/>
    <s v="L03-COR-OCR-U0826-01"/>
    <n v="1296155"/>
    <n v="0"/>
    <n v="0"/>
    <n v="0"/>
    <e v="#DIV/0!"/>
    <x v="4"/>
    <e v="#N/A"/>
  </r>
  <r>
    <x v="544"/>
    <s v="Family Type: 1950w x 3050h, Family: Window Internal Type 1 - Flush"/>
    <s v="Vector(X = 0.212, Y = -0.977, Z = 0.000, Length = 1.000)"/>
    <n v="0.2"/>
    <n v="-1"/>
    <n v="0"/>
    <n v="-78.690067525979785"/>
    <x v="3"/>
    <n v="5.9474999999999998"/>
  </r>
  <r>
    <x v="544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545"/>
    <s v="L03-PHA-PHA-U0609-01"/>
    <n v="1296191"/>
    <n v="0"/>
    <n v="0"/>
    <n v="0"/>
    <e v="#DIV/0!"/>
    <x v="4"/>
    <e v="#N/A"/>
  </r>
  <r>
    <x v="545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45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45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45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45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45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45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45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45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4.979450000002255"/>
  </r>
  <r>
    <x v="546"/>
    <s v="L03-PHA-PHA-U0610-01"/>
    <n v="1296195"/>
    <n v="0"/>
    <n v="0"/>
    <n v="0"/>
    <e v="#DIV/0!"/>
    <x v="4"/>
    <e v="#N/A"/>
  </r>
  <r>
    <x v="546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46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46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46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46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47"/>
    <s v="L03-PHA-PHA-S115-02"/>
    <n v="1296197"/>
    <n v="0"/>
    <n v="0"/>
    <n v="0"/>
    <e v="#DIV/0!"/>
    <x v="4"/>
    <e v="#N/A"/>
  </r>
  <r>
    <x v="54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4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4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47"/>
    <s v="Family Type: Curtain Wall_975x1950x4100, Family: Window External Type 5 - Flush Corner 5"/>
    <s v="Vector(X = -0.212, Y = 0.977, Z = 0.000, Length = 1.000)"/>
    <n v="-0.2"/>
    <n v="1"/>
    <n v="0"/>
    <n v="101.3099324740202"/>
    <x v="1"/>
    <n v="0"/>
  </r>
  <r>
    <x v="547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47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47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47"/>
    <s v="Family Type: Curtain Wall_975w x 3800h, Family: Window External Type 5 - Flush"/>
    <s v="Vector(X = -0.962, Y = 0.271, Z = 0.000, Length = 1.000)"/>
    <n v="-1"/>
    <n v="0.3"/>
    <n v="0"/>
    <n v="163.30075576600638"/>
    <x v="7"/>
    <n v="3.9975000000000001"/>
  </r>
  <r>
    <x v="547"/>
    <s v="Family Type: Curtain Wall_975w x 3800h, Family: Window External Type 5 - Flush"/>
    <s v="Vector(X = -0.962, Y = 0.271, Z = 0.000, Length = 1.000)"/>
    <n v="-1"/>
    <n v="0.3"/>
    <n v="0"/>
    <n v="163.30075576600638"/>
    <x v="7"/>
    <n v="3.9975000000000001"/>
  </r>
  <r>
    <x v="547"/>
    <s v="Family Type: Curtain Wall_975w x 3800h, Family: Window External Type 5 - Flush"/>
    <s v="Vector(X = -0.962, Y = 0.271, Z = 0.000, Length = 1.000)"/>
    <n v="-1"/>
    <n v="0.3"/>
    <n v="0"/>
    <n v="163.30075576600638"/>
    <x v="7"/>
    <n v="3.9975000000000001"/>
  </r>
  <r>
    <x v="547"/>
    <s v="Family Type: Curtain Wall_1950w x 3800h, Family: Window External Type 5 - Flush"/>
    <s v="Vector(X = -0.962, Y = 0.271, Z = 0.000, Length = 1.000)"/>
    <n v="-1"/>
    <n v="0.3"/>
    <n v="0"/>
    <n v="163.30075576600638"/>
    <x v="7"/>
    <n v="7.9950000000000001"/>
  </r>
  <r>
    <x v="547"/>
    <s v="Family Type: Curtain Wall_975w x 3800h, Family: Window External Type 5 - Flush"/>
    <s v="Vector(X = -0.962, Y = 0.271, Z = 0.000, Length = 1.000)"/>
    <n v="-1"/>
    <n v="0.3"/>
    <n v="0"/>
    <n v="163.30075576600638"/>
    <x v="7"/>
    <n v="3.9975000000000001"/>
  </r>
  <r>
    <x v="547"/>
    <s v="Family Type: Curtain Wall_975w x 3800h, Family: Window External Type 5 - Flush"/>
    <s v="Vector(X = -0.962, Y = 0.271, Z = 0.000, Length = 1.000)"/>
    <n v="-1"/>
    <n v="0.3"/>
    <n v="0"/>
    <n v="163.30075576600638"/>
    <x v="7"/>
    <n v="3.9975000000000001"/>
  </r>
  <r>
    <x v="547"/>
    <s v="Family Type: Curtain Wall_975w x 3800h, Family: Window External Type 5 - Flush"/>
    <s v="Vector(X = -0.962, Y = 0.271, Z = 0.000, Length = 1.000)"/>
    <n v="-1"/>
    <n v="0.3"/>
    <n v="0"/>
    <n v="163.30075576600638"/>
    <x v="7"/>
    <n v="3.9975000000000001"/>
  </r>
  <r>
    <x v="547"/>
    <s v="Family Type: Curtain Wall_1950w x 3800h, Family: Window External Type 5 - Flush"/>
    <s v="Vector(X = -0.962, Y = 0.271, Z = 0.000, Length = 1.000)"/>
    <n v="-1"/>
    <n v="0.3"/>
    <n v="0"/>
    <n v="163.30075576600638"/>
    <x v="7"/>
    <n v="7.9950000000000001"/>
  </r>
  <r>
    <x v="54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5.0025740000000001"/>
  </r>
  <r>
    <x v="54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4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4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4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22014"/>
  </r>
  <r>
    <x v="548"/>
    <s v="L03-PHA-PHA-S062-01"/>
    <n v="1296205"/>
    <n v="0"/>
    <n v="0"/>
    <n v="0"/>
    <e v="#DIV/0!"/>
    <x v="4"/>
    <e v="#N/A"/>
  </r>
  <r>
    <x v="548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48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48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49"/>
    <s v="L03-PHA-PHA-U0611-01"/>
    <n v="1296207"/>
    <n v="0"/>
    <n v="0"/>
    <n v="0"/>
    <e v="#DIV/0!"/>
    <x v="4"/>
    <e v="#N/A"/>
  </r>
  <r>
    <x v="549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49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4.979450000002255"/>
  </r>
  <r>
    <x v="550"/>
    <s v="L03-PHA-PHA-U0619-01"/>
    <n v="1296225"/>
    <n v="0"/>
    <n v="0"/>
    <n v="0"/>
    <e v="#DIV/0!"/>
    <x v="4"/>
    <e v="#N/A"/>
  </r>
  <r>
    <x v="550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0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0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1"/>
    <s v="L03-PHA-PHA-S094-01"/>
    <n v="1296239"/>
    <n v="0"/>
    <n v="0"/>
    <n v="0"/>
    <e v="#DIV/0!"/>
    <x v="4"/>
    <e v="#N/A"/>
  </r>
  <r>
    <x v="551"/>
    <s v="Family Type: Curtain Wall_975w x 3800h, Family: Window External Type 5 - Flush"/>
    <s v="Vector(X = -0.962, Y = 0.271, Z = 0.000, Length = 1.000)"/>
    <n v="-1"/>
    <n v="0.3"/>
    <n v="0"/>
    <n v="163.30075576600638"/>
    <x v="7"/>
    <n v="3.9975000000000001"/>
  </r>
  <r>
    <x v="551"/>
    <s v="Family Type: Curtain Wall_1950w x 3800h, Family: Window External Type 5 - Flush"/>
    <s v="Vector(X = -0.962, Y = 0.271, Z = 0.000, Length = 1.000)"/>
    <n v="-1"/>
    <n v="0.3"/>
    <n v="0"/>
    <n v="163.30075576600638"/>
    <x v="7"/>
    <n v="7.9950000000000001"/>
  </r>
  <r>
    <x v="551"/>
    <s v="Family Type: Curtain Wall_975w x 3800h, Family: Window External Type 5 - Flush"/>
    <s v="Vector(X = -0.962, Y = 0.271, Z = 0.000, Length = 1.000)"/>
    <n v="-1"/>
    <n v="0.3"/>
    <n v="0"/>
    <n v="163.30075576600638"/>
    <x v="7"/>
    <n v="3.9975000000000001"/>
  </r>
  <r>
    <x v="551"/>
    <s v="Family Type: Curtain Wall_1950w x 3800h, Family: Window External Type 5 - Flush"/>
    <s v="Vector(X = -0.962, Y = 0.271, Z = 0.000, Length = 1.000)"/>
    <n v="-1"/>
    <n v="0.3"/>
    <n v="0"/>
    <n v="163.30075576600638"/>
    <x v="7"/>
    <n v="7.9950000000000001"/>
  </r>
  <r>
    <x v="551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1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2"/>
    <s v="L03-PHA-PHA-S024-01"/>
    <n v="1296241"/>
    <n v="0"/>
    <n v="0"/>
    <n v="0"/>
    <e v="#DIV/0!"/>
    <x v="4"/>
    <e v="#N/A"/>
  </r>
  <r>
    <x v="552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2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2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2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3"/>
    <s v="L03-PHA-CYT-L023-02"/>
    <n v="1296283"/>
    <n v="0"/>
    <n v="0"/>
    <n v="0"/>
    <e v="#DIV/0!"/>
    <x v="4"/>
    <e v="#N/A"/>
  </r>
  <r>
    <x v="55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5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5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5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5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5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5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53"/>
    <s v="Family Type: Curtain Wall_Bespoke 1 - 1979.5 x 3800, Family: Window External Type 5 - Flush Instance Width"/>
    <s v="Vector(X = 0.977, Y = 0.212, Z = 0.000, Length = 1.000)"/>
    <n v="1"/>
    <n v="0.2"/>
    <n v="0"/>
    <n v="11.309932474020215"/>
    <x v="5"/>
    <n v="7.4619999999999997"/>
  </r>
  <r>
    <x v="553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553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554"/>
    <s v="L03-PHA-PHA-S016-03"/>
    <n v="1296393"/>
    <n v="0"/>
    <n v="0"/>
    <n v="0"/>
    <e v="#DIV/0!"/>
    <x v="4"/>
    <e v="#N/A"/>
  </r>
  <r>
    <x v="554"/>
    <s v="Family Type: Curtain Wall_975w x 3800h, Family: Window External Type 5 - Flush"/>
    <s v="Vector(X = -0.962, Y = 0.271, Z = 0.000, Length = 1.000)"/>
    <n v="-1"/>
    <n v="0.3"/>
    <n v="0"/>
    <n v="163.30075576600638"/>
    <x v="7"/>
    <n v="3.9975000000000001"/>
  </r>
  <r>
    <x v="554"/>
    <s v="Family Type: Curtain Wall_975w x 3800h, Family: Window External Type 5 - Flush"/>
    <s v="Vector(X = -0.962, Y = 0.271, Z = 0.000, Length = 1.000)"/>
    <n v="-1"/>
    <n v="0.3"/>
    <n v="0"/>
    <n v="163.30075576600638"/>
    <x v="7"/>
    <n v="3.9975000000000001"/>
  </r>
  <r>
    <x v="554"/>
    <s v="Family Type: Curtain Wall_1950w x 3800h, Family: Window External Type 5 - Flush"/>
    <s v="Vector(X = -0.962, Y = 0.271, Z = 0.000, Length = 1.000)"/>
    <n v="-1"/>
    <n v="0.3"/>
    <n v="0"/>
    <n v="163.30075576600638"/>
    <x v="7"/>
    <n v="7.9950000000000001"/>
  </r>
  <r>
    <x v="554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4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4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4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4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4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4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4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4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4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4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4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4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6.1100249999997951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4.979450000002255"/>
  </r>
  <r>
    <x v="554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555"/>
    <s v="L03-PHA-PHA-S062-02"/>
    <n v="1296403"/>
    <n v="0"/>
    <n v="0"/>
    <n v="0"/>
    <e v="#DIV/0!"/>
    <x v="4"/>
    <e v="#N/A"/>
  </r>
  <r>
    <x v="555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5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55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56"/>
    <s v="L03-PHA-PHA-S114-04"/>
    <n v="1296413"/>
    <n v="0"/>
    <n v="0"/>
    <n v="0"/>
    <e v="#DIV/0!"/>
    <x v="4"/>
    <e v="#N/A"/>
  </r>
  <r>
    <x v="556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6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6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6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6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6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7"/>
    <s v="L03-PHA-PHA-S114-05"/>
    <n v="1296415"/>
    <n v="0"/>
    <n v="0"/>
    <n v="0"/>
    <e v="#DIV/0!"/>
    <x v="4"/>
    <e v="#N/A"/>
  </r>
  <r>
    <x v="557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6.1100249999997951"/>
  </r>
  <r>
    <x v="557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7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57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7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58"/>
    <s v="L03-THR-PSY-S115-23"/>
    <n v="1296451"/>
    <n v="0"/>
    <n v="0"/>
    <n v="0"/>
    <e v="#DIV/0!"/>
    <x v="4"/>
    <e v="#N/A"/>
  </r>
  <r>
    <x v="558"/>
    <s v="Family Type: Curtain Wall_1950w x 3800h, Family: Window External Type 5 - Flush"/>
    <s v="Vector(X = -0.985, Y = -0.170, Z = 0.000, Length = 1.000)"/>
    <n v="-1"/>
    <n v="-0.2"/>
    <n v="0"/>
    <n v="-168.69006752597977"/>
    <x v="2"/>
    <n v="7.9950000000000001"/>
  </r>
  <r>
    <x v="558"/>
    <s v="Family Type: Curtain Wall_975w x 3800h, Family: Window External Type 5 - Flush"/>
    <s v="Vector(X = -0.985, Y = -0.170, Z = 0.000, Length = 1.000)"/>
    <n v="-1"/>
    <n v="-0.2"/>
    <n v="0"/>
    <n v="-168.69006752597977"/>
    <x v="2"/>
    <m/>
  </r>
  <r>
    <x v="558"/>
    <s v="Family Type: Curtain Wall_975w x 3800h, Family: Window External Type 5 - Flush"/>
    <s v="Vector(X = -0.985, Y = -0.170, Z = 0.000, Length = 1.000)"/>
    <n v="-1"/>
    <n v="-0.2"/>
    <n v="0"/>
    <n v="-168.69006752597977"/>
    <x v="2"/>
    <m/>
  </r>
  <r>
    <x v="558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m/>
  </r>
  <r>
    <x v="558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558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7.9950000000000001"/>
  </r>
  <r>
    <x v="559"/>
    <s v="L03-THR-POT-L023-01"/>
    <n v="1296660"/>
    <n v="0"/>
    <n v="0"/>
    <n v="0"/>
    <e v="#DIV/0!"/>
    <x v="4"/>
    <e v="#N/A"/>
  </r>
  <r>
    <x v="559"/>
    <s v="Family Type: Curtain Wall_1950w x 3800h, Family: Window External Type 5 - Flush - modified"/>
    <s v="Vector(X = 0.212, Y = -0.977, Z = 0.000, Length = 1.000)"/>
    <n v="0.2"/>
    <n v="-1"/>
    <n v="0"/>
    <n v="-78.690067525979785"/>
    <x v="3"/>
    <n v="10.098947368421053"/>
  </r>
  <r>
    <x v="5"/>
    <s v="none"/>
    <s v="Vector(X = 0.212, Y = -0.977, Z = 0.000, Length = 1.000)"/>
    <n v="0.2"/>
    <n v="-1"/>
    <n v="0"/>
    <n v="-78.690067525979785"/>
    <x v="3"/>
    <e v="#N/A"/>
  </r>
  <r>
    <x v="560"/>
    <s v="L03-THR-POT-U0712-01"/>
    <n v="1296666"/>
    <n v="0"/>
    <n v="0"/>
    <n v="0"/>
    <e v="#DIV/0!"/>
    <x v="4"/>
    <e v="#N/A"/>
  </r>
  <r>
    <x v="560"/>
    <s v="Family Type: Curtain Wall_2264x1950x4100, Family: Window External Type 5 - Flush Corner 2"/>
    <s v="Vector(X = 1.000, Y = 0.008, Z = 0.000, Length = 1.000)"/>
    <n v="1"/>
    <n v="0"/>
    <n v="0"/>
    <n v="0"/>
    <x v="5"/>
    <n v="0"/>
  </r>
  <r>
    <x v="560"/>
    <s v="Family Type: Curtain Wall_975w x 3800h, Family: Window External Type 5 - Flush"/>
    <s v="Vector(X = -1.000, Y = -0.010, Z = 0.000, Length = 1.000)"/>
    <n v="-1"/>
    <n v="0"/>
    <n v="0"/>
    <n v="180"/>
    <x v="2"/>
    <n v="3.9975000000000001"/>
  </r>
  <r>
    <x v="560"/>
    <s v="Family Type: Curtain Wall_975w x 3800h, Family: Window External Type 5 - Flush"/>
    <s v="Vector(X = -1.000, Y = -0.010, Z = 0.000, Length = 1.000)"/>
    <n v="-1"/>
    <n v="0"/>
    <n v="0"/>
    <n v="180"/>
    <x v="2"/>
    <n v="3.9975000000000001"/>
  </r>
  <r>
    <x v="560"/>
    <s v="Family Type: Curtain Wall_975w x 3800h, Family: Window External Type 5 - Flush"/>
    <s v="Vector(X = -1.000, Y = -0.010, Z = 0.000, Length = 1.000)"/>
    <n v="-1"/>
    <n v="0"/>
    <n v="0"/>
    <n v="180"/>
    <x v="2"/>
    <n v="3.9975000000000001"/>
  </r>
  <r>
    <x v="560"/>
    <s v="Family Type: Curtain Wall_1950w x 3800h, Family: Window External Type 5 - Flush"/>
    <s v="Vector(X = -1.000, Y = -0.010, Z = 0.000, Length = 1.000)"/>
    <n v="-1"/>
    <n v="0"/>
    <n v="0"/>
    <n v="180"/>
    <x v="2"/>
    <n v="7.9950000000000001"/>
  </r>
  <r>
    <x v="560"/>
    <s v="Family Type: Curtain Wall_975w x 3800h, Family: Window External Type 5 - Flush"/>
    <s v="Vector(X = -1.000, Y = -0.010, Z = 0.000, Length = 1.000)"/>
    <n v="-1"/>
    <n v="0"/>
    <n v="0"/>
    <n v="180"/>
    <x v="2"/>
    <n v="3.9975000000000001"/>
  </r>
  <r>
    <x v="560"/>
    <s v="Family Type: Curtain Wall_975w x 3800h, Family: Window External Type 5 - Flush"/>
    <s v="Vector(X = -1.000, Y = -0.010, Z = 0.000, Length = 1.000)"/>
    <n v="-1"/>
    <n v="0"/>
    <n v="0"/>
    <n v="180"/>
    <x v="2"/>
    <n v="3.9975000000000001"/>
  </r>
  <r>
    <x v="560"/>
    <s v="Family Type: Curtain Wall_1950w x 3800h, Family: Window External Type 5 - Flush"/>
    <s v="Vector(X = -1.000, Y = -0.010, Z = 0.000, Length = 1.000)"/>
    <n v="-1"/>
    <n v="0"/>
    <n v="0"/>
    <n v="180"/>
    <x v="2"/>
    <n v="7.9950000000000001"/>
  </r>
  <r>
    <x v="560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60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0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0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0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1"/>
    <s v="L03-THR-POT-U0714-01"/>
    <n v="1296670"/>
    <n v="0"/>
    <n v="0"/>
    <n v="0"/>
    <e v="#DIV/0!"/>
    <x v="4"/>
    <e v="#N/A"/>
  </r>
  <r>
    <x v="561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1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2"/>
    <s v="L03-THR-POT-L086-01"/>
    <n v="1296672"/>
    <n v="0"/>
    <n v="0"/>
    <n v="0"/>
    <e v="#DIV/0!"/>
    <x v="4"/>
    <e v="#N/A"/>
  </r>
  <r>
    <x v="562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2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3"/>
    <s v="L03-THR-POT-U0717-01"/>
    <n v="1296676"/>
    <n v="0"/>
    <n v="0"/>
    <n v="0"/>
    <e v="#DIV/0!"/>
    <x v="4"/>
    <e v="#N/A"/>
  </r>
  <r>
    <x v="563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3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4"/>
    <s v="L03-THR-POT-U0718-01"/>
    <n v="1296678"/>
    <n v="0"/>
    <n v="0"/>
    <n v="0"/>
    <e v="#DIV/0!"/>
    <x v="4"/>
    <e v="#N/A"/>
  </r>
  <r>
    <x v="564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4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4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5"/>
    <s v="L03-THR-POT-S109-01"/>
    <n v="1296698"/>
    <n v="0"/>
    <n v="0"/>
    <n v="0"/>
    <e v="#DIV/0!"/>
    <x v="4"/>
    <e v="#N/A"/>
  </r>
  <r>
    <x v="565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5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65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65"/>
    <s v="Family Type: Curtain Wall_975w x 1000h, Family: Window External Type 5 - Flush"/>
    <s v="Vector(X = 0.212, Y = -0.977, Z = 0.000, Length = 1.000)"/>
    <n v="0.2"/>
    <n v="-1"/>
    <n v="0"/>
    <n v="-78.690067525979785"/>
    <x v="3"/>
    <n v="0.97499999999999998"/>
  </r>
  <r>
    <x v="565"/>
    <s v="Family Type: Curtain Wall_975w x 1000h, Family: Window External Type 5 - Flush"/>
    <s v="Vector(X = 0.212, Y = -0.977, Z = 0.000, Length = 1.000)"/>
    <n v="0.2"/>
    <n v="-1"/>
    <n v="0"/>
    <n v="-78.690067525979785"/>
    <x v="3"/>
    <n v="0.97499999999999998"/>
  </r>
  <r>
    <x v="565"/>
    <s v="Family Type: Curtain Wall_1950w x 1000h, Family: Window External Type 5 - Flush"/>
    <s v="Vector(X = 0.212, Y = -0.977, Z = 0.000, Length = 1.000)"/>
    <n v="0.2"/>
    <n v="-1"/>
    <n v="0"/>
    <n v="-78.690067525979785"/>
    <x v="3"/>
    <n v="1.95"/>
  </r>
  <r>
    <x v="566"/>
    <s v="L03-THR-POT-U0728-01"/>
    <n v="1296702"/>
    <n v="0"/>
    <n v="0"/>
    <n v="0"/>
    <e v="#DIV/0!"/>
    <x v="4"/>
    <e v="#N/A"/>
  </r>
  <r>
    <x v="566"/>
    <s v="Family Type: manual 41.8m2"/>
    <s v="Vector(X = 0.212, Y = -0.977, Z = 0.000, Length = 1.000)"/>
    <n v="0.2"/>
    <n v="-1"/>
    <n v="0"/>
    <n v="-78.690067525979785"/>
    <x v="3"/>
    <n v="41.819999999999993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8"/>
    <s v="L03-THR-POT-U0729-01"/>
    <n v="1296704"/>
    <n v="0"/>
    <n v="0"/>
    <n v="0"/>
    <e v="#DIV/0!"/>
    <x v="4"/>
    <e v="#N/A"/>
  </r>
  <r>
    <x v="568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68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68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68"/>
    <s v="Family Type: Curtain Wall_975w x 1000h, Family: Window External Type 5 - Flush"/>
    <s v="Vector(X = 0.212, Y = -0.977, Z = 0.000, Length = 1.000)"/>
    <n v="0.2"/>
    <n v="-1"/>
    <n v="0"/>
    <n v="-78.690067525979785"/>
    <x v="3"/>
    <n v="0.97499999999999998"/>
  </r>
  <r>
    <x v="568"/>
    <s v="Family Type: Curtain Wall_975w x 1000h, Family: Window External Type 5 - Flush"/>
    <s v="Vector(X = 0.212, Y = -0.977, Z = 0.000, Length = 1.000)"/>
    <n v="0.2"/>
    <n v="-1"/>
    <n v="0"/>
    <n v="-78.690067525979785"/>
    <x v="3"/>
    <n v="0.97499999999999998"/>
  </r>
  <r>
    <x v="568"/>
    <s v="Family Type: Curtain Wall_975w x 1000h, Family: Window External Type 5 - Flush"/>
    <s v="Vector(X = 0.212, Y = -0.977, Z = 0.000, Length = 1.000)"/>
    <n v="0.2"/>
    <n v="-1"/>
    <n v="0"/>
    <n v="-78.690067525979785"/>
    <x v="3"/>
    <n v="0.97499999999999998"/>
  </r>
  <r>
    <x v="569"/>
    <s v="L03-THR-POT-S038-01"/>
    <n v="1296710"/>
    <n v="0"/>
    <n v="0"/>
    <n v="0"/>
    <e v="#DIV/0!"/>
    <x v="4"/>
    <e v="#N/A"/>
  </r>
  <r>
    <x v="569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69"/>
    <s v="Family Type: manual 18.8m2"/>
    <s v="Vector(X = 0.212, Y = -0.977, Z = 0.000, Length = 1.000)"/>
    <n v="0.2"/>
    <n v="-1"/>
    <n v="0"/>
    <n v="-78.690067525979785"/>
    <x v="3"/>
    <n v="18.859999999999996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67"/>
    <s v="manual"/>
    <s v="Vector(X = 0.212, Y = -0.977, Z = 0.000, Length = 1.000)"/>
    <n v="0.2"/>
    <n v="-1"/>
    <n v="0"/>
    <n v="-78.690067525979785"/>
    <x v="3"/>
    <e v="#N/A"/>
  </r>
  <r>
    <x v="570"/>
    <s v="L03-THR-POT-S022-01"/>
    <n v="1296712"/>
    <n v="0"/>
    <n v="0"/>
    <n v="0"/>
    <e v="#DIV/0!"/>
    <x v="4"/>
    <e v="#N/A"/>
  </r>
  <r>
    <x v="570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71"/>
    <s v="L03-THR-POT-S115-02"/>
    <n v="1296714"/>
    <n v="0"/>
    <n v="0"/>
    <n v="0"/>
    <e v="#DIV/0!"/>
    <x v="4"/>
    <e v="#N/A"/>
  </r>
  <r>
    <x v="571"/>
    <s v="Family Type: Curtain Wall_2210w x 3800h, Family: Window External Type 5 - Flush"/>
    <s v="Vector(X = 0.212, Y = -0.977, Z = 0.000, Length = 1.000)"/>
    <n v="0.2"/>
    <n v="-1"/>
    <n v="0"/>
    <n v="-78.690067525979785"/>
    <x v="3"/>
    <n v="9.0609999999999999"/>
  </r>
  <r>
    <x v="571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71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71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71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71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71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71"/>
    <s v="Family Type: Curtain Wall_1950w x 3800h, Family: Window External Type 5 - Flush"/>
    <s v="Vector(X = 0.873, Y = 0.489, Z = 0.000, Length = 1.000)"/>
    <n v="0.9"/>
    <n v="0.5"/>
    <n v="0"/>
    <n v="29.054604099077146"/>
    <x v="5"/>
    <n v="7.9950000000000001"/>
  </r>
  <r>
    <x v="571"/>
    <s v="Family Type: Curtain Wall_975w x 3800h, Family: Window External Type 5 - Flush"/>
    <s v="Vector(X = 0.873, Y = 0.489, Z = 0.000, Length = 1.000)"/>
    <n v="0.9"/>
    <n v="0.5"/>
    <n v="0"/>
    <n v="29.054604099077146"/>
    <x v="5"/>
    <n v="3.9975000000000001"/>
  </r>
  <r>
    <x v="571"/>
    <s v="Family Type: Curtain Wall_975w x 3800h, Family: Window External Type 5 - Flush"/>
    <s v="Vector(X = 0.873, Y = 0.489, Z = 0.000, Length = 1.000)"/>
    <n v="0.9"/>
    <n v="0.5"/>
    <n v="0"/>
    <n v="29.054604099077146"/>
    <x v="5"/>
    <n v="3.9975000000000001"/>
  </r>
  <r>
    <x v="571"/>
    <s v="Family Type: Curtain Wall_975w x 3800h, Family: Window External Type 5 - Flush"/>
    <s v="Vector(X = 0.873, Y = 0.489, Z = 0.000, Length = 1.000)"/>
    <n v="0.9"/>
    <n v="0.5"/>
    <n v="0"/>
    <n v="29.054604099077146"/>
    <x v="5"/>
    <n v="3.9975000000000001"/>
  </r>
  <r>
    <x v="571"/>
    <s v="Family Type: Curtain Wall_975w x 3800h, Family: Window External Type 5 - Flush"/>
    <s v="Vector(X = 0.873, Y = 0.489, Z = 0.000, Length = 1.000)"/>
    <n v="0.9"/>
    <n v="0.5"/>
    <n v="0"/>
    <n v="29.054604099077146"/>
    <x v="5"/>
    <n v="3.9975000000000001"/>
  </r>
  <r>
    <x v="571"/>
    <s v="Family Type: Curtain Wall_975w x 3800h, Family: Window External Type 5 - Flush"/>
    <s v="Vector(X = 0.873, Y = 0.489, Z = 0.000, Length = 1.000)"/>
    <n v="0.9"/>
    <n v="0.5"/>
    <n v="0"/>
    <n v="29.054604099077146"/>
    <x v="5"/>
    <n v="3.9975000000000001"/>
  </r>
  <r>
    <x v="571"/>
    <s v="Family Type: Curtain Wall_1950w x 3800h, Family: Window External Type 5 - Flush"/>
    <s v="Vector(X = 0.873, Y = 0.489, Z = 0.000, Length = 1.000)"/>
    <n v="0.9"/>
    <n v="0.5"/>
    <n v="0"/>
    <n v="29.054604099077146"/>
    <x v="5"/>
    <n v="7.9950000000000001"/>
  </r>
  <r>
    <x v="571"/>
    <s v="Family Type: Curtain Wall_975w x 3800h, Family: Window External Type 5 - Flush"/>
    <s v="Vector(X = 0.873, Y = 0.489, Z = 0.000, Length = 1.000)"/>
    <n v="0.9"/>
    <n v="0.5"/>
    <n v="0"/>
    <n v="29.054604099077146"/>
    <x v="5"/>
    <n v="3.9975000000000001"/>
  </r>
  <r>
    <x v="571"/>
    <s v="Family Type: Curtain Wall_1950w x 3800h, Family: Window External Type 5 - Flush"/>
    <s v="Vector(X = 0.873, Y = 0.489, Z = 0.000, Length = 1.000)"/>
    <n v="0.9"/>
    <n v="0.5"/>
    <n v="0"/>
    <n v="29.054604099077146"/>
    <x v="5"/>
    <n v="7.9950000000000001"/>
  </r>
  <r>
    <x v="571"/>
    <s v="Family Type: Curtain Wall_975w x 3800h, Family: Window External Type 5 - Flush"/>
    <s v="Vector(X = 0.873, Y = 0.489, Z = 0.000, Length = 1.000)"/>
    <n v="0.9"/>
    <n v="0.5"/>
    <n v="0"/>
    <n v="29.054604099077146"/>
    <x v="5"/>
    <n v="3.9975000000000001"/>
  </r>
  <r>
    <x v="571"/>
    <s v="Family Type: Curtain Wall_1950w x 3800h, Family: Window External Type 5 - Flush"/>
    <s v="Vector(X = 0.873, Y = 0.489, Z = 0.000, Length = 1.000)"/>
    <n v="0.9"/>
    <n v="0.5"/>
    <n v="0"/>
    <n v="29.054604099077146"/>
    <x v="5"/>
    <n v="7.9950000000000001"/>
  </r>
  <r>
    <x v="571"/>
    <s v="Family Type: Curtain Wall_1950w x 3800h, Family: Window External Type 5 - Flush"/>
    <s v="Vector(X = 0.873, Y = 0.489, Z = 0.000, Length = 1.000)"/>
    <n v="0.9"/>
    <n v="0.5"/>
    <n v="0"/>
    <n v="29.054604099077146"/>
    <x v="5"/>
    <n v="7.9950000000000001"/>
  </r>
  <r>
    <x v="572"/>
    <s v="L03-THR-POT-S115-30"/>
    <n v="1296716"/>
    <n v="0"/>
    <n v="0"/>
    <n v="0"/>
    <e v="#DIV/0!"/>
    <x v="4"/>
    <e v="#N/A"/>
  </r>
  <r>
    <x v="572"/>
    <s v="Family Type: Curtain Wall_1950w x 3800h, Family: Window External Type 5 - Flush"/>
    <s v="Vector(X = 0.873, Y = 0.489, Z = 0.000, Length = 1.000)"/>
    <n v="0.9"/>
    <n v="0.5"/>
    <n v="0"/>
    <n v="29.054604099077146"/>
    <x v="5"/>
    <n v="7.9950000000000001"/>
  </r>
  <r>
    <x v="572"/>
    <s v="Family Type: Curtain Wall_975w x 3800h, Family: Window External Type 5 - Flush"/>
    <s v="Vector(X = 0.873, Y = 0.489, Z = 0.000, Length = 1.000)"/>
    <n v="0.9"/>
    <n v="0.5"/>
    <n v="0"/>
    <n v="29.054604099077146"/>
    <x v="5"/>
    <n v="3.9975000000000001"/>
  </r>
  <r>
    <x v="572"/>
    <s v="Family Type: Curtain Wall_1950w x 3800h, Family: Window External Type 5 - Flush"/>
    <s v="Vector(X = 0.873, Y = 0.489, Z = 0.000, Length = 1.000)"/>
    <n v="0.9"/>
    <n v="0.5"/>
    <n v="0"/>
    <n v="29.054604099077146"/>
    <x v="5"/>
    <n v="7.9950000000000001"/>
  </r>
  <r>
    <x v="572"/>
    <s v="Family Type: Curtain Wall_1950w x 3800h, Family: Window External Type 5 - Flush"/>
    <s v="Vector(X = 0.873, Y = 0.489, Z = 0.000, Length = 1.000)"/>
    <n v="0.9"/>
    <n v="0.5"/>
    <n v="0"/>
    <n v="29.054604099077146"/>
    <x v="5"/>
    <n v="7.9950000000000001"/>
  </r>
  <r>
    <x v="572"/>
    <s v="Family Type: Curtain Wall_1950w x 3800h, Family: Window External Type 5 - Flush"/>
    <s v="Vector(X = 0.873, Y = 0.489, Z = 0.000, Length = 1.000)"/>
    <n v="0.9"/>
    <n v="0.5"/>
    <n v="0"/>
    <n v="29.054604099077146"/>
    <x v="5"/>
    <n v="7.9950000000000001"/>
  </r>
  <r>
    <x v="572"/>
    <s v="Family Type: Curtain Wall_Bespoke 1 - 1979.5 x 3800, Family: Window External Type 5 - Flush Instance Width"/>
    <s v="Vector(X = 0.872, Y = 0.489, Z = 0.000, Length = 1.000)"/>
    <n v="0.9"/>
    <n v="0.5"/>
    <n v="0"/>
    <n v="29.054604099077146"/>
    <x v="5"/>
    <n v="6.681200334917003"/>
  </r>
  <r>
    <x v="572"/>
    <s v="Family Type: Curtain Wall_Bespoke 1 - 1979.5 x 3800, Family: Window External Type 5 - Flush Instance Width"/>
    <s v="Vector(X = 0.872, Y = 0.489, Z = 0.000, Length = 1.000)"/>
    <n v="0.9"/>
    <n v="0.5"/>
    <n v="0"/>
    <n v="29.054604099077146"/>
    <x v="5"/>
    <n v="6.5800513758382344"/>
  </r>
  <r>
    <x v="572"/>
    <s v="Family Type: Curtain Wall_Bespoke 1 - 1979.5 x 3800, Family: Window External Type 5 - Flush Instance Width"/>
    <s v="Vector(X = 0.872, Y = 0.489, Z = 0.000, Length = 1.000)"/>
    <n v="0.9"/>
    <n v="0.5"/>
    <n v="0"/>
    <n v="29.054604099077146"/>
    <x v="5"/>
    <n v="1.604890579472706"/>
  </r>
  <r>
    <x v="572"/>
    <s v="Family Type: Curtain Wall_Bespoke 1 - 1979.5 x 3800, Family: Window External Type 5 - Flush Instance Width"/>
    <s v="Vector(X = 0.872, Y = 0.489, Z = 0.000, Length = 1.000)"/>
    <n v="0.9"/>
    <n v="0.5"/>
    <n v="0"/>
    <n v="29.054604099077146"/>
    <x v="5"/>
    <n v="1.6295610572969261"/>
  </r>
  <r>
    <x v="572"/>
    <s v="Family Type: Curtain Wall_650w x 3800h, Family: Window External Type 5 - Flush"/>
    <s v="Vector(X = 0.873, Y = 0.489, Z = 0.000, Length = 1.000)"/>
    <n v="0.9"/>
    <n v="0.5"/>
    <n v="0"/>
    <n v="29.054604099077146"/>
    <x v="5"/>
    <n v="2.4700000000000002"/>
  </r>
  <r>
    <x v="573"/>
    <s v="L03-THR-POT-S061-01"/>
    <n v="1296728"/>
    <n v="0"/>
    <n v="0"/>
    <n v="0"/>
    <e v="#DIV/0!"/>
    <x v="4"/>
    <e v="#N/A"/>
  </r>
  <r>
    <x v="573"/>
    <s v="Family Type: Curtain Wall_Bespoke 1 - 1979.5 x 3800, Family: Window External Type 5 - Flush Instance Width"/>
    <s v="Vector(X = 0.872, Y = 0.489, Z = 0.000, Length = 1.000)"/>
    <n v="0.9"/>
    <n v="0.5"/>
    <n v="0"/>
    <n v="29.054604099077146"/>
    <x v="5"/>
    <n v="6.5800513758382344"/>
  </r>
  <r>
    <x v="573"/>
    <s v="Family Type: Curtain Wall_Bespoke 1 - 1979.5 x 3800, Family: Window External Type 5 - Flush Instance Width"/>
    <s v="Vector(X = 0.872, Y = 0.489, Z = 0.000, Length = 1.000)"/>
    <n v="0.9"/>
    <n v="0.5"/>
    <n v="0"/>
    <n v="29.054604099077146"/>
    <x v="5"/>
    <n v="6.5800513758381936"/>
  </r>
  <r>
    <x v="573"/>
    <s v="Family Type: Curtain Wall_Bespoke 1 - 1979.5 x 3800, Family: Window External Type 5 - Flush Instance Width"/>
    <s v="Vector(X = 0.872, Y = 0.489, Z = 0.000, Length = 1.000)"/>
    <n v="0.9"/>
    <n v="0.5"/>
    <n v="0"/>
    <n v="29.054604099077146"/>
    <x v="5"/>
    <n v="1.604890579472706"/>
  </r>
  <r>
    <x v="573"/>
    <s v="Family Type: Curtain Wall_Bespoke 1 - 1979.5 x 3800, Family: Window External Type 5 - Flush Instance Width"/>
    <s v="Vector(X = 0.872, Y = 0.489, Z = 0.000, Length = 1.000)"/>
    <n v="0.9"/>
    <n v="0.5"/>
    <n v="0"/>
    <n v="29.054604099077146"/>
    <x v="5"/>
    <n v="6.5798070022769926"/>
  </r>
  <r>
    <x v="573"/>
    <s v="Family Type: Curtain Wall_975w x 3050h, Family: Panel External Type 1 - Flush"/>
    <s v="Vector(X = 0.872, Y = 0.489, Z = 0.000, Length = 1.000)"/>
    <n v="0.9"/>
    <n v="0.5"/>
    <n v="0"/>
    <n v="29.054604099077146"/>
    <x v="5"/>
    <n v="2.2735155180172195"/>
  </r>
  <r>
    <x v="573"/>
    <s v="Family Type: Curtain Wall_Bespoke 1 - 1979.5 x 3800, Family: Window External Type 5 - Flush Instance Width"/>
    <s v="Vector(X = 0.872, Y = 0.489, Z = 0.000, Length = 1.000)"/>
    <n v="0.9"/>
    <n v="0.5"/>
    <n v="0"/>
    <n v="29.054604099077146"/>
    <x v="5"/>
    <n v="1.6048905794726798"/>
  </r>
  <r>
    <x v="573"/>
    <s v="Family Type: Curtain Wall_Bespoke 1 - 1979.5 x 3800, Family: Window External Type 5 - Flush Instance Width"/>
    <s v="Vector(X = 0.872, Y = 0.489, Z = 0.000, Length = 1.000)"/>
    <n v="0.9"/>
    <n v="0.5"/>
    <n v="0"/>
    <n v="29.054604099077146"/>
    <x v="5"/>
    <n v="1.6048905794726782"/>
  </r>
  <r>
    <x v="574"/>
    <s v="L03-THR-POT-L023-02"/>
    <n v="1296842"/>
    <n v="0"/>
    <n v="0"/>
    <n v="0"/>
    <e v="#DIV/0!"/>
    <x v="4"/>
    <e v="#N/A"/>
  </r>
  <r>
    <x v="574"/>
    <s v="Family Type: Curtain Wall_1950w x 3800h, Family: Window External Type 5 - Flush - modified"/>
    <s v="Vector(X = 0.212, Y = -0.977, Z = 0.000, Length = 1.000)"/>
    <n v="0.2"/>
    <n v="-1"/>
    <n v="0"/>
    <n v="-78.690067525979785"/>
    <x v="3"/>
    <n v="10.098947368421053"/>
  </r>
  <r>
    <x v="5"/>
    <s v="none"/>
    <s v="Vector(X = 0.212, Y = -0.977, Z = 0.000, Length = 1.000)"/>
    <n v="0.2"/>
    <n v="-1"/>
    <n v="0"/>
    <n v="-78.690067525979785"/>
    <x v="3"/>
    <e v="#N/A"/>
  </r>
  <r>
    <x v="575"/>
    <s v="L03-THR-POT-L023-03"/>
    <n v="1296844"/>
    <n v="0"/>
    <n v="0"/>
    <n v="0"/>
    <e v="#DIV/0!"/>
    <x v="4"/>
    <e v="#N/A"/>
  </r>
  <r>
    <x v="575"/>
    <s v="Family Type: Curtain Wall_1950w x 3800h, Family: Window External Type 5 - Flush - modified"/>
    <s v="Vector(X = 0.212, Y = -0.977, Z = 0.000, Length = 1.000)"/>
    <n v="0.2"/>
    <n v="-1"/>
    <n v="0"/>
    <n v="-78.690067525979785"/>
    <x v="3"/>
    <n v="10.098947368421053"/>
  </r>
  <r>
    <x v="5"/>
    <s v="none"/>
    <s v="Vector(X = 0.212, Y = -0.977, Z = 0.000, Length = 1.000)"/>
    <n v="0.2"/>
    <n v="-1"/>
    <n v="0"/>
    <n v="-78.690067525979785"/>
    <x v="3"/>
    <e v="#N/A"/>
  </r>
  <r>
    <x v="5"/>
    <s v="none"/>
    <s v="Vector(X = 0.212, Y = -0.977, Z = 0.000, Length = 1.000)"/>
    <n v="0.2"/>
    <n v="-1"/>
    <n v="0"/>
    <n v="-78.690067525979785"/>
    <x v="3"/>
    <e v="#N/A"/>
  </r>
  <r>
    <x v="576"/>
    <s v="L03-THR-POT-L023-04"/>
    <n v="1296846"/>
    <n v="0"/>
    <n v="0"/>
    <n v="0"/>
    <e v="#DIV/0!"/>
    <x v="4"/>
    <e v="#N/A"/>
  </r>
  <r>
    <x v="576"/>
    <s v="Family Type: Curtain Wall_1950w x 3800h, Family: Window External Type 5 - Flush - modified"/>
    <s v="Vector(X = 0.212, Y = -0.977, Z = 0.000, Length = 1.000)"/>
    <n v="0.2"/>
    <n v="-1"/>
    <n v="0"/>
    <n v="-78.690067525979785"/>
    <x v="3"/>
    <n v="10.098947368421053"/>
  </r>
  <r>
    <x v="5"/>
    <s v="none"/>
    <s v="Vector(X = 0.212, Y = -0.977, Z = 0.000, Length = 1.000)"/>
    <n v="0.2"/>
    <n v="-1"/>
    <n v="0"/>
    <n v="-78.690067525979785"/>
    <x v="3"/>
    <e v="#N/A"/>
  </r>
  <r>
    <x v="577"/>
    <s v="L03-EDU-ETC-L017-01"/>
    <n v="1300860"/>
    <n v="0"/>
    <n v="0"/>
    <n v="0"/>
    <e v="#DIV/0!"/>
    <x v="4"/>
    <e v="#N/A"/>
  </r>
  <r>
    <x v="57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7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7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7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7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7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7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7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78"/>
    <s v="L03-EDU-ETC-L017-02"/>
    <n v="1300861"/>
    <n v="0"/>
    <n v="0"/>
    <n v="0"/>
    <e v="#DIV/0!"/>
    <x v="4"/>
    <e v="#N/A"/>
  </r>
  <r>
    <x v="578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78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78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78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78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2.0991999999998523"/>
  </r>
  <r>
    <x v="578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78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78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78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78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0.51199999999997403"/>
  </r>
  <r>
    <x v="579"/>
    <s v="L03-EDU-ETC-L079-01"/>
    <n v="1300863"/>
    <n v="0"/>
    <n v="0"/>
    <n v="0"/>
    <e v="#DIV/0!"/>
    <x v="4"/>
    <e v="#N/A"/>
  </r>
  <r>
    <x v="579"/>
    <s v="Family Type: Curtain Wall_1950w x 3800h, Family: Window External Type 5 - Flush"/>
    <s v="Vector(X = -0.956, Y = 0.294, Z = 0.000, Length = 1.000)"/>
    <n v="-1"/>
    <n v="0.3"/>
    <n v="0"/>
    <n v="163.30075576600638"/>
    <x v="7"/>
    <n v="7.9950000000000001"/>
  </r>
  <r>
    <x v="579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79"/>
    <s v="Family Type: Curtain Wall_1950w x 3800h, Family: Window External Type 5 - Flush"/>
    <s v="Vector(X = -0.956, Y = 0.294, Z = 0.000, Length = 1.000)"/>
    <n v="-1"/>
    <n v="0.3"/>
    <n v="0"/>
    <n v="163.30075576600638"/>
    <x v="7"/>
    <n v="7.9950000000000001"/>
  </r>
  <r>
    <x v="579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3.9975000000001963"/>
  </r>
  <r>
    <x v="579"/>
    <s v="Family Type: Curtain Wall_Bespoke 1 - 975 x 1050, Family: Window External Type 5 - Flush Instance Width"/>
    <s v="Vector(X = -0.956, Y = 0.294, Z = 0.000, Length = 1.000)"/>
    <n v="-1"/>
    <n v="0.3"/>
    <n v="0"/>
    <n v="163.30075576600638"/>
    <x v="7"/>
    <n v="0.97500000000004794"/>
  </r>
  <r>
    <x v="580"/>
    <s v="L03-EDU-ETC-L078-01"/>
    <n v="1300864"/>
    <n v="0"/>
    <n v="0"/>
    <n v="0"/>
    <e v="#DIV/0!"/>
    <x v="4"/>
    <e v="#N/A"/>
  </r>
  <r>
    <x v="58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58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58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3.9975000000000001"/>
  </r>
  <r>
    <x v="58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58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6.8470000000001638"/>
  </r>
  <r>
    <x v="58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500000000000099"/>
  </r>
  <r>
    <x v="58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500000000000199"/>
  </r>
  <r>
    <x v="58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0.97499999999999998"/>
  </r>
  <r>
    <x v="58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5"/>
  </r>
  <r>
    <x v="58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6700000000000401"/>
  </r>
  <r>
    <x v="581"/>
    <s v="L03-EDU-ETC-U0962-01"/>
    <n v="1300866"/>
    <n v="0"/>
    <n v="0"/>
    <n v="0"/>
    <e v="#DIV/0!"/>
    <x v="4"/>
    <e v="#N/A"/>
  </r>
  <r>
    <x v="581"/>
    <s v="Family Type: Curtain Wall_1950w x 3800h, Family: Window External Type 5 - Flush"/>
    <s v="Vector(X = -0.956, Y = 0.294, Z = 0.000, Length = 1.000)"/>
    <n v="-1"/>
    <n v="0.3"/>
    <n v="0"/>
    <n v="163.30075576600638"/>
    <x v="7"/>
    <n v="7.9950000000000001"/>
  </r>
  <r>
    <x v="581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1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1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1"/>
    <s v="Family Type: Curtain Wall_1950w x 3800h, Family: Window External Type 5 - Flush"/>
    <s v="Vector(X = -0.956, Y = 0.294, Z = 0.000, Length = 1.000)"/>
    <n v="-1"/>
    <n v="0.3"/>
    <n v="0"/>
    <n v="163.30075576600638"/>
    <x v="7"/>
    <n v="7.9950000000000001"/>
  </r>
  <r>
    <x v="581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1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1"/>
    <s v="Family Type: Curtain Wall_1950w x 3800h, Family: Window External Type 5 - Flush"/>
    <s v="Vector(X = -0.956, Y = 0.294, Z = 0.000, Length = 1.000)"/>
    <n v="-1"/>
    <n v="0.3"/>
    <n v="0"/>
    <n v="163.30075576600638"/>
    <x v="7"/>
    <n v="7.9950000000000001"/>
  </r>
  <r>
    <x v="582"/>
    <s v="L03-EDU-ETC-S094-01"/>
    <n v="1300872"/>
    <n v="0"/>
    <n v="0"/>
    <n v="0"/>
    <e v="#DIV/0!"/>
    <x v="4"/>
    <e v="#N/A"/>
  </r>
  <r>
    <x v="582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582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8.148749999999918"/>
  </r>
  <r>
    <x v="582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8.1487500000000406"/>
  </r>
  <r>
    <x v="582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4999999999999"/>
  </r>
  <r>
    <x v="582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875"/>
  </r>
  <r>
    <x v="582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8750000000003"/>
  </r>
  <r>
    <x v="583"/>
    <s v="L03-EDU-ETC-S067-01"/>
    <n v="1300875"/>
    <n v="0"/>
    <n v="0"/>
    <n v="0"/>
    <e v="#DIV/0!"/>
    <x v="4"/>
    <e v="#N/A"/>
  </r>
  <r>
    <x v="583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3389999999996718"/>
  </r>
  <r>
    <x v="583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7899999999998799"/>
  </r>
  <r>
    <x v="584"/>
    <s v="L03-EDU-ETC-L017-03"/>
    <n v="1300922"/>
    <n v="0"/>
    <n v="0"/>
    <n v="0"/>
    <e v="#DIV/0!"/>
    <x v="4"/>
    <e v="#N/A"/>
  </r>
  <r>
    <x v="584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1635"/>
  </r>
  <r>
    <x v="584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84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84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84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84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00000000000401"/>
  </r>
  <r>
    <x v="584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84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2.1015184497788324"/>
  </r>
  <r>
    <x v="584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84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85"/>
    <s v="L03-EDU-ETC-L086-02"/>
    <n v="1300923"/>
    <n v="0"/>
    <n v="0"/>
    <n v="0"/>
    <e v="#DIV/0!"/>
    <x v="4"/>
    <e v="#N/A"/>
  </r>
  <r>
    <x v="585"/>
    <s v="Family Type: Curtain Wall_2264x1950x4100, Family: Window External Type 5 - Flush Corner 2"/>
    <s v="Vector(X = -0.041, Y = 0.999, Z = 0.000, Length = 1.000)"/>
    <n v="0"/>
    <n v="1"/>
    <n v="0"/>
    <n v="90"/>
    <x v="1"/>
    <n v="0"/>
  </r>
  <r>
    <x v="585"/>
    <s v="Family Type: Curtain Wall_1950w x 3800h, Family: Window External Type 5 - Flush"/>
    <s v="Vector(X = 0.041, Y = -0.999, Z = 0.000, Length = 1.000)"/>
    <n v="0"/>
    <n v="-1"/>
    <n v="0"/>
    <n v="-90"/>
    <x v="3"/>
    <n v="7.9950000000000001"/>
  </r>
  <r>
    <x v="585"/>
    <s v="Family Type: Curtain Wall_1950w x 3800h, Family: Window External Type 5 - Flush"/>
    <s v="Vector(X = 0.041, Y = -0.999, Z = 0.000, Length = 1.000)"/>
    <n v="0"/>
    <n v="-1"/>
    <n v="0"/>
    <n v="-90"/>
    <x v="3"/>
    <n v="7.9950000000000001"/>
  </r>
  <r>
    <x v="585"/>
    <s v="Family Type: Curtain Wall_1950w x 3800h, Family: Window External Type 5 - Flush"/>
    <s v="Vector(X = 0.041, Y = -0.999, Z = 0.000, Length = 1.000)"/>
    <n v="0"/>
    <n v="-1"/>
    <n v="0"/>
    <n v="-90"/>
    <x v="3"/>
    <n v="7.9950000000000001"/>
  </r>
  <r>
    <x v="585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5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5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5"/>
    <s v="Family Type: Curtain Wall_1950w x 3800h, Family: Window External Type 5 - Flush"/>
    <s v="Vector(X = -0.956, Y = 0.294, Z = 0.000, Length = 1.000)"/>
    <n v="-1"/>
    <n v="0.3"/>
    <n v="0"/>
    <n v="163.30075576600638"/>
    <x v="7"/>
    <n v="7.9950000000000001"/>
  </r>
  <r>
    <x v="586"/>
    <s v="L03-EDU-ETC-L086-03"/>
    <n v="1300924"/>
    <n v="0"/>
    <n v="0"/>
    <n v="0"/>
    <e v="#DIV/0!"/>
    <x v="4"/>
    <e v="#N/A"/>
  </r>
  <r>
    <x v="586"/>
    <s v="Family Type: Curtain Wall_1950w x 3800h, Family: Window External Type 5 - Flush"/>
    <s v="Vector(X = 0.041, Y = -0.999, Z = 0.000, Length = 1.000)"/>
    <n v="0"/>
    <n v="-1"/>
    <n v="0"/>
    <n v="-90"/>
    <x v="3"/>
    <n v="7.9950000000000001"/>
  </r>
  <r>
    <x v="587"/>
    <s v="L03-EDU-ETC-L086-04"/>
    <n v="1300925"/>
    <n v="0"/>
    <n v="0"/>
    <n v="0"/>
    <e v="#DIV/0!"/>
    <x v="4"/>
    <e v="#N/A"/>
  </r>
  <r>
    <x v="587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7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7"/>
    <s v="Family Type: Curtain Wall_1950w x 3800h, Family: Window External Type 5 - Flush"/>
    <s v="Vector(X = -0.956, Y = 0.294, Z = 0.000, Length = 1.000)"/>
    <n v="-1"/>
    <n v="0.3"/>
    <n v="0"/>
    <n v="163.30075576600638"/>
    <x v="7"/>
    <n v="7.9950000000000001"/>
  </r>
  <r>
    <x v="587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1635"/>
  </r>
  <r>
    <x v="587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00000000000401"/>
  </r>
  <r>
    <x v="588"/>
    <s v="L03-EDU-ETC-L086-06"/>
    <n v="1300927"/>
    <n v="0"/>
    <n v="0"/>
    <n v="0"/>
    <e v="#DIV/0!"/>
    <x v="4"/>
    <e v="#N/A"/>
  </r>
  <r>
    <x v="588"/>
    <s v="Family Type: Curtain Wall_2264x1950x4100, Family: Window External Type 5 - Flush Corner 2"/>
    <s v="Vector(X = 0.130, Y = 0.991, Z = 0.000, Length = 1.000)"/>
    <n v="0.1"/>
    <n v="1"/>
    <n v="0"/>
    <n v="84.289406862500371"/>
    <x v="9"/>
    <n v="0"/>
  </r>
  <r>
    <x v="588"/>
    <s v="Family Type: Curtain Wall_1950w x 3800h, Family: Window External Type 5 - Flush"/>
    <s v="Vector(X = -0.130, Y = -0.991, Z = 0.000, Length = 1.000)"/>
    <n v="-0.1"/>
    <n v="-1"/>
    <n v="0"/>
    <n v="-95.710593137499629"/>
    <x v="8"/>
    <n v="7.9950000000000001"/>
  </r>
  <r>
    <x v="588"/>
    <s v="Family Type: Curtain Wall_1950w x 3800h, Family: Window External Type 5 - Flush"/>
    <s v="Vector(X = -0.130, Y = -0.991, Z = 0.000, Length = 1.000)"/>
    <n v="-0.1"/>
    <n v="-1"/>
    <n v="0"/>
    <n v="-95.710593137499629"/>
    <x v="8"/>
    <n v="7.9950000000000001"/>
  </r>
  <r>
    <x v="588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8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589"/>
    <s v="L03-EDU-ETC-L078-02"/>
    <n v="1300935"/>
    <n v="0"/>
    <n v="0"/>
    <n v="0"/>
    <e v="#DIV/0!"/>
    <x v="4"/>
    <e v="#N/A"/>
  </r>
  <r>
    <x v="589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589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589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3.9975000000000613"/>
  </r>
  <r>
    <x v="589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589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589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5.2060570000000412"/>
  </r>
  <r>
    <x v="589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500000000001503"/>
  </r>
  <r>
    <x v="589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500000000000099"/>
  </r>
  <r>
    <x v="589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0.97499999999988196"/>
  </r>
  <r>
    <x v="589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4999999999999"/>
  </r>
  <r>
    <x v="589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500000000000099"/>
  </r>
  <r>
    <x v="589"/>
    <s v="Family Type: Curtain Wall_Bespoke 1 - 975 x 1050, Family: Window External Type 5 - Flush Instance Width"/>
    <s v="Vector(X = -0.988, Y = -0.155, Z = 0.000, Length = 1.000)"/>
    <n v="-1"/>
    <n v="-0.2"/>
    <n v="0"/>
    <n v="-168.69006752597977"/>
    <x v="2"/>
    <n v="1.26977000000002"/>
  </r>
  <r>
    <x v="590"/>
    <s v="L03-EDU-ETC-L078-03"/>
    <n v="1300936"/>
    <n v="0"/>
    <n v="0"/>
    <n v="0"/>
    <e v="#DIV/0!"/>
    <x v="4"/>
    <e v="#N/A"/>
  </r>
  <r>
    <x v="59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59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59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3.9975000000000001"/>
  </r>
  <r>
    <x v="59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59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59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500000000000099"/>
  </r>
  <r>
    <x v="59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500000000000099"/>
  </r>
  <r>
    <x v="59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0.97499999999998999"/>
  </r>
  <r>
    <x v="59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500000000000501"/>
  </r>
  <r>
    <x v="590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5"/>
  </r>
  <r>
    <x v="591"/>
    <s v="L03-EDU-ETC-L078-04"/>
    <n v="1300937"/>
    <n v="0"/>
    <n v="0"/>
    <n v="0"/>
    <e v="#DIV/0!"/>
    <x v="4"/>
    <e v="#N/A"/>
  </r>
  <r>
    <x v="591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3.9975000000001963"/>
  </r>
  <r>
    <x v="591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91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91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7.9950000000000001"/>
  </r>
  <r>
    <x v="591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91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91"/>
    <s v="Family Type: Curtain Wall_Bespoke 1 - 1979.5 x 3800, Family: Window External Type 5 - Flush Instance Width"/>
    <s v="Vector(X = -0.956, Y = 0.294, Z = 0.000, Length = 1.000)"/>
    <n v="-1"/>
    <n v="0.3"/>
    <n v="0"/>
    <n v="163.30075576600638"/>
    <x v="7"/>
    <n v="1.95"/>
  </r>
  <r>
    <x v="591"/>
    <s v="Family Type: Curtain Wall_Bespoke 1 - 975 x 1050, Family: Window External Type 5 - Flush Instance Width"/>
    <s v="Vector(X = -0.956, Y = 0.294, Z = 0.000, Length = 1.000)"/>
    <n v="-1"/>
    <n v="0.3"/>
    <n v="0"/>
    <n v="163.30075576600638"/>
    <x v="7"/>
    <n v="0.97500000000004794"/>
  </r>
  <r>
    <x v="592"/>
    <s v="L03-PHA-GEN-C002-01"/>
    <n v="1415061"/>
    <n v="0"/>
    <n v="0"/>
    <n v="0"/>
    <e v="#DIV/0!"/>
    <x v="4"/>
    <e v="#N/A"/>
  </r>
  <r>
    <x v="592"/>
    <s v="Family Type: Curtain Wall_1950w x 3800h, Family: Window External Type 5 - Flush"/>
    <s v="Vector(X = -0.962, Y = 0.271, Z = 0.000, Length = 1.000)"/>
    <n v="-1"/>
    <n v="0.3"/>
    <n v="0"/>
    <n v="163.30075576600638"/>
    <x v="7"/>
    <n v="7.9950000000000001"/>
  </r>
  <r>
    <x v="592"/>
    <s v="Family Type: Curtain Wall_975w x 3800h, Family: Window External Type 5 - Flush"/>
    <s v="Vector(X = -0.962, Y = 0.271, Z = 0.000, Length = 1.000)"/>
    <n v="-1"/>
    <n v="0.3"/>
    <n v="0"/>
    <n v="163.30075576600638"/>
    <x v="7"/>
    <n v="3.9975000000000001"/>
  </r>
  <r>
    <x v="592"/>
    <s v="Family Type: Curtain Wall_975w x 3800h, Family: Window External Type 5 - Flush"/>
    <s v="Vector(X = -0.962, Y = 0.271, Z = 0.000, Length = 1.000)"/>
    <n v="-1"/>
    <n v="0.3"/>
    <n v="0"/>
    <n v="163.30075576600638"/>
    <x v="7"/>
    <n v="3.9975000000000001"/>
  </r>
  <r>
    <x v="593"/>
    <s v="L03-PHA-GEN-C002-03"/>
    <n v="1415063"/>
    <n v="0"/>
    <n v="0"/>
    <n v="0"/>
    <e v="#DIV/0!"/>
    <x v="4"/>
    <e v="#N/A"/>
  </r>
  <r>
    <x v="59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9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9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9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9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9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9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9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9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9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9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9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93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59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9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93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59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9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9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9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9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9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93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593"/>
    <s v="Family Type: Curtain Wall_Bespoke 1 - 1979.5 x 3800, Family: Window External Type 5 - Flush Instance Width"/>
    <s v="Vector(X = 0.977, Y = 0.212, Z = 0.000, Length = 1.000)"/>
    <n v="1"/>
    <n v="0.2"/>
    <n v="0"/>
    <n v="11.309932474020215"/>
    <x v="5"/>
    <n v="7.4619999999999997"/>
  </r>
  <r>
    <x v="593"/>
    <s v="Family Type: Curtain Wall_1275w x 4100h, Family: Window External Type 5 - Flush"/>
    <s v="Vector(X = 0.977, Y = 0.212, Z = 0.000, Length = 1.000)"/>
    <n v="1"/>
    <n v="0.2"/>
    <n v="0"/>
    <n v="11.309932474020215"/>
    <x v="5"/>
    <n v="5.2275"/>
  </r>
  <r>
    <x v="593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593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594"/>
    <s v="L03-PHA-CIR-C001-01"/>
    <n v="1438078"/>
    <n v="0"/>
    <n v="0"/>
    <n v="0"/>
    <e v="#DIV/0!"/>
    <x v="4"/>
    <e v="#N/A"/>
  </r>
  <r>
    <x v="59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9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5.1044999999999998"/>
  </r>
  <r>
    <x v="59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94"/>
    <s v="Family Type: Curtain Wall_Bespoke 1 - 1979.5 x 3800, Family: Window External Type 5 - Flush Instance Width"/>
    <s v="Vector(X = -0.212, Y = 0.977, Z = 0.000, Length = 1.000)"/>
    <n v="-0.2"/>
    <n v="1"/>
    <n v="0"/>
    <n v="101.3099324740202"/>
    <x v="1"/>
    <n v="1.2450000000000001"/>
  </r>
  <r>
    <x v="595"/>
    <s v="L03-PHA-CIR-C001-04"/>
    <n v="1438086"/>
    <n v="0"/>
    <n v="0"/>
    <n v="0"/>
    <e v="#DIV/0!"/>
    <x v="4"/>
    <e v="#N/A"/>
  </r>
  <r>
    <x v="595"/>
    <s v="Family Type: Curtain Wall_1950 x 4100, Family: Panel External Type 1 - Flush"/>
    <s v="Vector(X = -0.212, Y = 0.977, Z = 0.000, Length = 1.000)"/>
    <n v="-0.2"/>
    <n v="1"/>
    <n v="0"/>
    <n v="101.3099324740202"/>
    <x v="1"/>
    <n v="8.7125000000000004"/>
  </r>
  <r>
    <x v="596"/>
    <s v="L03-CIR-CIR-C003-06"/>
    <n v="1499517"/>
    <n v="0"/>
    <n v="0"/>
    <n v="0"/>
    <e v="#DIV/0!"/>
    <x v="4"/>
    <e v="#N/A"/>
  </r>
  <r>
    <x v="596"/>
    <s v="Family Type: Curtain Wall_975w x 3050h, Family: Panel External Type 1 - Flush"/>
    <s v="Vector(X = 0.872, Y = 0.489, Z = 0.000, Length = 1.000)"/>
    <n v="0.9"/>
    <n v="0.5"/>
    <n v="0"/>
    <n v="29.054604099077146"/>
    <x v="5"/>
    <n v="2.9737499999999999"/>
  </r>
  <r>
    <x v="596"/>
    <s v="Family Type: Curtain Wall_975w x 3050h, Family: Panel External Type 1 - Flush"/>
    <s v="Vector(X = 0.872, Y = 0.489, Z = 0.000, Length = 1.000)"/>
    <n v="0.9"/>
    <n v="0.5"/>
    <n v="0"/>
    <n v="29.054604099077146"/>
    <x v="5"/>
    <n v="2.9737499999999999"/>
  </r>
  <r>
    <x v="596"/>
    <s v="Family Type: Curtain Wall_975w x 3050h, Family: Panel External Type 1 - Flush"/>
    <s v="Vector(X = 0.872, Y = 0.489, Z = 0.000, Length = 1.000)"/>
    <n v="0.9"/>
    <n v="0.5"/>
    <n v="0"/>
    <n v="29.054604099077146"/>
    <x v="5"/>
    <n v="2.9737499999999999"/>
  </r>
  <r>
    <x v="596"/>
    <s v="Family Type: 1500w x 3050h, Family: Window Internal Type 1 - Flush"/>
    <s v="Vector(X = -0.488, Y = 0.873, Z = 0.000, Length = 1.000)"/>
    <n v="-0.5"/>
    <n v="0.9"/>
    <n v="0"/>
    <n v="119.05460409907714"/>
    <x v="1"/>
    <n v="4.5749999999999993"/>
  </r>
  <r>
    <x v="596"/>
    <s v="Family Type: 975w x 3050h, Family: Window Internal Type 1 - Flush"/>
    <s v="Vector(X = -0.488, Y = 0.873, Z = 0.000, Length = 1.000)"/>
    <n v="-0.5"/>
    <n v="0.9"/>
    <n v="0"/>
    <n v="119.05460409907714"/>
    <x v="1"/>
    <n v="2.9737499999999999"/>
  </r>
  <r>
    <x v="596"/>
    <s v="Family Type: 975w x 3050h, Family: Window Internal Type 1 - Flush"/>
    <s v="Vector(X = -0.488, Y = 0.873, Z = 0.000, Length = 1.000)"/>
    <n v="-0.5"/>
    <n v="0.9"/>
    <n v="0"/>
    <n v="119.05460409907714"/>
    <x v="1"/>
    <n v="2.9737499999999999"/>
  </r>
  <r>
    <x v="597"/>
    <s v="L03-COR-CIR-C001-02"/>
    <n v="1500907"/>
    <n v="0"/>
    <n v="0"/>
    <n v="0"/>
    <e v="#DIV/0!"/>
    <x v="4"/>
    <e v="#N/A"/>
  </r>
  <r>
    <x v="597"/>
    <s v="Family Type: 1500w x 3050h, Family: Window Internal Type 1 - Flush"/>
    <s v="Vector(X = 0.489, Y = -0.873, Z = 0.000, Length = 1.000)"/>
    <n v="0.5"/>
    <n v="-0.9"/>
    <n v="0"/>
    <n v="-60.945395900922861"/>
    <x v="3"/>
    <n v="4.5749999999999993"/>
  </r>
  <r>
    <x v="598"/>
    <s v="L03-CIR-CIR-C008-09"/>
    <n v="1500933"/>
    <n v="0"/>
    <n v="0"/>
    <n v="0"/>
    <e v="#DIV/0!"/>
    <x v="4"/>
    <e v="#N/A"/>
  </r>
  <r>
    <x v="598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98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98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98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98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98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99"/>
    <s v="L03-CIR-CIR-C008-01"/>
    <n v="1500937"/>
    <n v="0"/>
    <n v="0"/>
    <n v="0"/>
    <e v="#DIV/0!"/>
    <x v="4"/>
    <e v="#N/A"/>
  </r>
  <r>
    <x v="599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99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99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99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599"/>
    <s v="Family Type: Curtain Wall_975w x 3800h, Family: Window External Type 5 - Flush"/>
    <s v="Vector(X = 0.212, Y = -0.977, Z = 0.000, Length = 1.000)"/>
    <n v="0.2"/>
    <n v="-1"/>
    <n v="0"/>
    <n v="-78.690067525979785"/>
    <x v="3"/>
    <n v="3.9975000000000001"/>
  </r>
  <r>
    <x v="599"/>
    <s v="Family Type: Curtain Wall_1950w x 3800h, Family: Window External Type 5 - Flush"/>
    <s v="Vector(X = 0.212, Y = -0.977, Z = 0.000, Length = 1.000)"/>
    <n v="0.2"/>
    <n v="-1"/>
    <n v="0"/>
    <n v="-78.690067525979785"/>
    <x v="3"/>
    <n v="7.9950000000000001"/>
  </r>
  <r>
    <x v="600"/>
    <s v="L03-PLA-PLA-U1831-01"/>
    <n v="1516135"/>
    <n v="0"/>
    <n v="0"/>
    <n v="0"/>
    <e v="#DIV/0!"/>
    <x v="4"/>
    <e v="#N/A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4.0412499999999998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2.9737499999999999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7.9950000000000001"/>
  </r>
  <r>
    <x v="600"/>
    <s v="Family Type: Curtain Wall_1950 x 4100, Family: Panel External Type 1 - Flush"/>
    <s v="Vector(X = 0.977, Y = 0.212, Z = 0.000, Length = 1.000)"/>
    <n v="1"/>
    <n v="0.2"/>
    <n v="0"/>
    <n v="11.309932474020215"/>
    <x v="5"/>
    <n v="8.7125000000000004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3.355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3.355"/>
  </r>
  <r>
    <x v="600"/>
    <s v="Family Type: Curtain Wall_975w x 3050h, Family: Panel External Type 1 - Flush"/>
    <s v="Vector(X = 0.977, Y = 0.212, Z = 0.000, Length = 1.000)"/>
    <n v="1"/>
    <n v="0.2"/>
    <n v="0"/>
    <n v="11.309932474020215"/>
    <x v="5"/>
    <n v="3.355"/>
  </r>
  <r>
    <x v="600"/>
    <s v="Family Type: Curtain Wall_1950 x 4100, Family: Panel External Type 1 - Flush"/>
    <s v="Vector(X = -0.212, Y = 0.977, Z = 0.000, Length = 1.000)"/>
    <n v="-0.2"/>
    <n v="1"/>
    <n v="0"/>
    <n v="101.3099324740202"/>
    <x v="1"/>
    <n v="8.7125000000000004"/>
  </r>
  <r>
    <x v="600"/>
    <s v="Family Type: Curtain Wall_1950 x 4100, Family: Panel External Type 1 - Flush"/>
    <s v="Vector(X = -0.212, Y = 0.977, Z = 0.000, Length = 1.000)"/>
    <n v="-0.2"/>
    <n v="1"/>
    <n v="0"/>
    <n v="101.3099324740202"/>
    <x v="1"/>
    <n v="8.7125000000000004"/>
  </r>
  <r>
    <x v="600"/>
    <s v="Family Type: Curtain Wall_1950 x 4100, Family: Panel External Type 1 - Flush"/>
    <s v="Vector(X = -0.212, Y = 0.977, Z = 0.000, Length = 1.000)"/>
    <n v="-0.2"/>
    <n v="1"/>
    <n v="0"/>
    <n v="101.3099324740202"/>
    <x v="1"/>
    <n v="8.7125000000000004"/>
  </r>
  <r>
    <x v="600"/>
    <s v="Family Type: Curtain Wall_975w x 3050h, Family: Panel External Type 1 - Flush"/>
    <s v="Vector(X = -0.212, Y = 0.977, Z = 0.000, Length = 1.000)"/>
    <n v="-0.2"/>
    <n v="1"/>
    <n v="0"/>
    <n v="101.3099324740202"/>
    <x v="1"/>
    <n v="2.9737499999999999"/>
  </r>
  <r>
    <x v="600"/>
    <s v="Family Type: Curtain Wall_975w x 3050h, Family: Panel External Type 1 - Flush"/>
    <s v="Vector(X = -0.212, Y = 0.977, Z = 0.000, Length = 1.000)"/>
    <n v="-0.2"/>
    <n v="1"/>
    <n v="0"/>
    <n v="101.3099324740202"/>
    <x v="1"/>
    <n v="2.9737499999999999"/>
  </r>
  <r>
    <x v="600"/>
    <s v="Family Type: Curtain Wall_975w x 3050h, Family: Panel External Type 1 - Flush"/>
    <s v="Vector(X = -0.212, Y = 0.977, Z = 0.000, Length = 1.000)"/>
    <n v="-0.2"/>
    <n v="1"/>
    <n v="0"/>
    <n v="101.3099324740202"/>
    <x v="1"/>
    <n v="2.9737499999999999"/>
  </r>
  <r>
    <x v="600"/>
    <s v="Family Type: Curtain Wall_975w x 3050h, Family: Panel External Type 1 - Flush"/>
    <s v="Vector(X = -0.212, Y = 0.977, Z = 0.000, Length = 1.000)"/>
    <n v="-0.2"/>
    <n v="1"/>
    <n v="0"/>
    <n v="101.3099324740202"/>
    <x v="1"/>
    <n v="2.9737499999999999"/>
  </r>
  <r>
    <x v="600"/>
    <s v="Family Type: Curtain Wall_1950 x 4100, Family: Panel External Type 1 - Flush"/>
    <s v="Vector(X = -0.212, Y = 0.977, Z = 0.000, Length = 1.000)"/>
    <n v="-0.2"/>
    <n v="1"/>
    <n v="0"/>
    <n v="101.3099324740202"/>
    <x v="1"/>
    <n v="8.7125000000000004"/>
  </r>
  <r>
    <x v="128"/>
    <n v="0"/>
    <n v="1527327"/>
    <n v="0"/>
    <n v="0"/>
    <n v="0"/>
    <e v="#DIV/0!"/>
    <x v="4"/>
    <e v="#N/A"/>
  </r>
  <r>
    <x v="128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128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128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128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128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128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128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128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128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128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128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128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128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128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128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128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128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128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128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128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128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128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128"/>
    <s v="Family Type: Curtain Wall_1950w x 3800h, Family: Window External Type 5 - Flush"/>
    <s v="Vector(X = 0.977, Y = 0.212, Z = 0.000, Length = 1.000)"/>
    <n v="1"/>
    <n v="0.2"/>
    <n v="0"/>
    <n v="11.309932474020215"/>
    <x v="5"/>
    <n v="7.9950000000000001"/>
  </r>
  <r>
    <x v="128"/>
    <s v="Family Type: Curtain Wall_Bespoke 1 - 1979.5 x 3800, Family: Window External Type 5 - Flush Instance Width"/>
    <s v="Vector(X = 0.977, Y = 0.212, Z = 0.000, Length = 1.000)"/>
    <n v="1"/>
    <n v="0.2"/>
    <n v="0"/>
    <n v="11.309932474020215"/>
    <x v="5"/>
    <n v="7.4619999999999997"/>
  </r>
  <r>
    <x v="128"/>
    <s v="Family Type: Curtain Wall_1275w x 4100h, Family: Window External Type 5 - Flush"/>
    <s v="Vector(X = 0.977, Y = 0.212, Z = 0.000, Length = 1.000)"/>
    <n v="1"/>
    <n v="0.2"/>
    <n v="0"/>
    <n v="11.309932474020215"/>
    <x v="5"/>
    <n v="5.2275"/>
  </r>
  <r>
    <x v="128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128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601"/>
    <s v="L03-CIR-CIR-C006-07"/>
    <n v="1575476"/>
    <n v="0"/>
    <n v="0"/>
    <n v="0"/>
    <e v="#DIV/0!"/>
    <x v="4"/>
    <e v="#N/A"/>
  </r>
  <r>
    <x v="601"/>
    <s v="Family Type: Curtain Wall_1950w x 3800h, Family: Window External Type 5 - Flush"/>
    <s v="Vector(X = -0.212, Y = 0.977, Z = 0.000, Length = 1.000)"/>
    <n v="-0.2"/>
    <n v="1"/>
    <n v="0"/>
    <n v="101.3099324740202"/>
    <x v="1"/>
    <n v="7.9950000000000001"/>
  </r>
  <r>
    <x v="601"/>
    <s v="Family Type: Curtain Wall_975w x 3800h, Family: Window External Type 5 - Flush"/>
    <s v="Vector(X = -0.212, Y = 0.977, Z = 0.000, Length = 1.000)"/>
    <n v="-0.2"/>
    <n v="1"/>
    <n v="0"/>
    <n v="101.3099324740202"/>
    <x v="1"/>
    <n v="3.9975000000000001"/>
  </r>
  <r>
    <x v="602"/>
    <s v="L03-CIR-CIR-C006-01"/>
    <n v="1576474"/>
    <n v="0"/>
    <n v="0"/>
    <n v="0"/>
    <e v="#DIV/0!"/>
    <x v="4"/>
    <e v="#N/A"/>
  </r>
  <r>
    <x v="602"/>
    <s v="Family Type: Curtain Wall_1950w x 3800h, Family: Window External Type 5 - Flush - modified"/>
    <s v="Vector(X = 0.212, Y = -0.977, Z = 0.000, Length = 1.000)"/>
    <n v="0.2"/>
    <n v="-1"/>
    <n v="0"/>
    <n v="-78.690067525979785"/>
    <x v="3"/>
    <n v="10.098947368421053"/>
  </r>
  <r>
    <x v="5"/>
    <s v="none"/>
    <s v="Vector(X = 0.212, Y = -0.977, Z = 0.000, Length = 1.000)"/>
    <n v="0.2"/>
    <n v="-1"/>
    <n v="0"/>
    <n v="-78.690067525979785"/>
    <x v="3"/>
    <e v="#N/A"/>
  </r>
  <r>
    <x v="603"/>
    <s v="L03-EDU-ETC-U0962-02"/>
    <n v="1586753"/>
    <n v="0"/>
    <n v="0"/>
    <n v="0"/>
    <e v="#DIV/0!"/>
    <x v="4"/>
    <e v="#N/A"/>
  </r>
  <r>
    <x v="603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603"/>
    <s v="Family Type: Curtain Wall_1950w x 3800h, Family: Window External Type 5 - Flush"/>
    <s v="Vector(X = -0.956, Y = 0.294, Z = 0.000, Length = 1.000)"/>
    <n v="-1"/>
    <n v="0.3"/>
    <n v="0"/>
    <n v="163.30075576600638"/>
    <x v="7"/>
    <n v="7.9950000000000001"/>
  </r>
  <r>
    <x v="603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603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603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603"/>
    <s v="Family Type: Curtain Wall_1950w x 3800h, Family: Window External Type 5 - Flush"/>
    <s v="Vector(X = -0.956, Y = 0.294, Z = 0.000, Length = 1.000)"/>
    <n v="-1"/>
    <n v="0.3"/>
    <n v="0"/>
    <n v="163.30075576600638"/>
    <x v="7"/>
    <n v="7.9950000000000001"/>
  </r>
  <r>
    <x v="603"/>
    <s v="Family Type: Curtain Wall_975w x 3800h, Family: Window External Type 5 - Flush"/>
    <s v="Vector(X = -0.956, Y = 0.294, Z = 0.000, Length = 1.000)"/>
    <n v="-1"/>
    <n v="0.3"/>
    <n v="0"/>
    <n v="163.30075576600638"/>
    <x v="7"/>
    <n v="3.9975000000000001"/>
  </r>
  <r>
    <x v="604"/>
    <s v="L03-EDU-ETC-L079-08"/>
    <n v="1586755"/>
    <n v="0"/>
    <n v="0"/>
    <n v="0"/>
    <e v="#DIV/0!"/>
    <x v="4"/>
    <e v="#N/A"/>
  </r>
  <r>
    <x v="604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604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604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6.4370000000001637"/>
  </r>
  <r>
    <x v="604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5"/>
  </r>
  <r>
    <x v="604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4999999999999"/>
  </r>
  <r>
    <x v="604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57000000000005"/>
  </r>
  <r>
    <x v="605"/>
    <s v="L03-EDU-ETC-U0973-01"/>
    <s v="ID not used"/>
    <n v="0"/>
    <n v="0"/>
    <n v="0"/>
    <e v="#DIV/0!"/>
    <x v="4"/>
    <e v="#N/A"/>
  </r>
  <r>
    <x v="605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3389999999996718"/>
  </r>
  <r>
    <x v="605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7899999999998799"/>
  </r>
  <r>
    <x v="605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605"/>
    <s v="Family Type: Curtain Wall_Bespoke 1 - 975 x 1050, Family: Window External Type 5 - Flush Instance Width"/>
    <s v="Vector(X = -0.988, Y = -0.155, Z = 0.000, Length = 1.000)"/>
    <n v="-1"/>
    <n v="-0.2"/>
    <n v="0"/>
    <n v="-168.69006752597977"/>
    <x v="2"/>
    <n v="1.95"/>
  </r>
  <r>
    <x v="605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7.9950000000000001"/>
  </r>
  <r>
    <x v="605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1.95"/>
  </r>
  <r>
    <x v="605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3.9975000000000613"/>
  </r>
  <r>
    <x v="605"/>
    <s v="Family Type: Curtain Wall_Bespoke 1 - 1979.5 x 3800, Family: Window External Type 5 - Flush Instance Width"/>
    <s v="Vector(X = -0.988, Y = -0.155, Z = 0.000, Length = 1.000)"/>
    <n v="-1"/>
    <n v="-0.2"/>
    <n v="0"/>
    <n v="-168.69006752597977"/>
    <x v="2"/>
    <n v="0.97500000000001497"/>
  </r>
  <r>
    <x v="605"/>
    <s v="Family Type: Curtain Wall_1950w x 3800h, Family: Window External Type 5 - Flush"/>
    <s v="Vector(X = -0.988, Y = -0.155, Z = 0.000, Length = 1.000)"/>
    <n v="-1"/>
    <n v="-0.2"/>
    <n v="0"/>
    <n v="-168.69006752597977"/>
    <x v="2"/>
    <n v="7.9950000000000001"/>
  </r>
  <r>
    <x v="605"/>
    <s v="Family Type: Curtain Wall_1950w x 3800h, Family: Window External Type 5 - Flush"/>
    <s v="Vector(X = -0.988, Y = -0.155, Z = 0.000, Length = 1.000)"/>
    <n v="-1"/>
    <n v="-0.2"/>
    <n v="0"/>
    <n v="-168.69006752597977"/>
    <x v="2"/>
    <n v="7.9950000000000001"/>
  </r>
  <r>
    <x v="605"/>
    <s v="Family Type: Curtain Wall_975w x 3800h, Family: Window External Type 5 - Flush"/>
    <s v="Vector(X = -0.988, Y = -0.155, Z = 0.000, Length = 1.000)"/>
    <n v="-1"/>
    <n v="-0.2"/>
    <n v="0"/>
    <n v="-168.69006752597977"/>
    <x v="2"/>
    <n v="3.9975000000000001"/>
  </r>
  <r>
    <x v="605"/>
    <s v="Family Type: Curtain Wall_1950w x 3800h, Family: Window External Type 5 - Flush"/>
    <s v="Vector(X = -0.988, Y = -0.155, Z = 0.000, Length = 1.000)"/>
    <n v="-1"/>
    <n v="-0.2"/>
    <n v="0"/>
    <n v="-168.69006752597977"/>
    <x v="2"/>
    <n v="7.9950000000000001"/>
  </r>
  <r>
    <x v="605"/>
    <s v="Family Type: Curtain Wall_975w x 3800h, Family: Window External Type 5 - Flush"/>
    <s v="Vector(X = -0.988, Y = -0.155, Z = 0.000, Length = 1.000)"/>
    <n v="-1"/>
    <n v="-0.2"/>
    <n v="0"/>
    <n v="-168.69006752597977"/>
    <x v="2"/>
    <n v="3.9975000000000001"/>
  </r>
  <r>
    <x v="605"/>
    <s v="Family Type: Curtain Wall_1950w x 3800h, Family: Window External Type 5 - Flush"/>
    <s v="Vector(X = -0.988, Y = -0.155, Z = 0.000, Length = 1.000)"/>
    <n v="-1"/>
    <n v="-0.2"/>
    <n v="0"/>
    <n v="-168.69006752597977"/>
    <x v="2"/>
    <n v="7.9950000000000001"/>
  </r>
  <r>
    <x v="605"/>
    <s v="Family Type: Curtain Wall_975w x 3800h, Family: Window External Type 5 - Flush"/>
    <s v="Vector(X = -0.988, Y = -0.155, Z = 0.000, Length = 1.000)"/>
    <n v="-1"/>
    <n v="-0.2"/>
    <n v="0"/>
    <n v="-168.69006752597977"/>
    <x v="2"/>
    <n v="3.9975000000000001"/>
  </r>
  <r>
    <x v="605"/>
    <s v="Family Type: Curtain Wall_975w x 3800h, Family: Window External Type 5 - Flush"/>
    <s v="Vector(X = -0.988, Y = -0.155, Z = 0.000, Length = 1.000)"/>
    <n v="-1"/>
    <n v="-0.2"/>
    <n v="0"/>
    <n v="-168.69006752597977"/>
    <x v="2"/>
    <n v="3.9975000000000001"/>
  </r>
  <r>
    <x v="605"/>
    <s v="Family Type: Curtain Wall_1950w x 3800h, Family: Window External Type 5 - Flush"/>
    <s v="Vector(X = -0.988, Y = -0.155, Z = 0.000, Length = 1.000)"/>
    <n v="-1"/>
    <n v="-0.2"/>
    <n v="0"/>
    <n v="-168.69006752597977"/>
    <x v="2"/>
    <n v="7.9950000000000001"/>
  </r>
  <r>
    <x v="605"/>
    <s v="Family Type: Curtain Wall_975w x 3800h, Family: Window External Type 5 - Flush"/>
    <s v="Vector(X = -0.988, Y = -0.155, Z = 0.000, Length = 1.000)"/>
    <n v="-1"/>
    <n v="-0.2"/>
    <n v="0"/>
    <n v="-168.69006752597977"/>
    <x v="2"/>
    <n v="3.9975000000000001"/>
  </r>
  <r>
    <x v="605"/>
    <s v="Family Type: Curtain Wall_975w x 3800h, Family: Window External Type 5 - Flush"/>
    <s v="Vector(X = -0.988, Y = -0.155, Z = 0.000, Length = 1.000)"/>
    <n v="-1"/>
    <n v="-0.2"/>
    <n v="0"/>
    <n v="-168.69006752597977"/>
    <x v="2"/>
    <n v="3.9975000000000001"/>
  </r>
  <r>
    <x v="605"/>
    <s v="Family Type: Curtain Wall_975w x 3800h, Family: Window External Type 5 - Flush"/>
    <s v="Vector(X = -0.988, Y = -0.155, Z = 0.000, Length = 1.000)"/>
    <n v="-1"/>
    <n v="-0.2"/>
    <n v="0"/>
    <n v="-168.69006752597977"/>
    <x v="2"/>
    <n v="3.9975000000000001"/>
  </r>
  <r>
    <x v="605"/>
    <s v="Family Type: Curtain Wall_1950w x 3800h, Family: Window External Type 5 - Flush"/>
    <s v="Vector(X = -0.988, Y = -0.155, Z = 0.000, Length = 1.000)"/>
    <n v="-1"/>
    <n v="-0.2"/>
    <n v="0"/>
    <n v="-168.69006752597977"/>
    <x v="2"/>
    <n v="7.9950000000000001"/>
  </r>
  <r>
    <x v="605"/>
    <s v="Family Type: Curtain Wall_975w x 3800h, Family: Window External Type 5 - Flush"/>
    <s v="Vector(X = -0.988, Y = -0.155, Z = 0.000, Length = 1.000)"/>
    <n v="-1"/>
    <n v="-0.2"/>
    <n v="0"/>
    <n v="-168.69006752597977"/>
    <x v="2"/>
    <n v="3.9975000000000001"/>
  </r>
  <r>
    <x v="605"/>
    <s v="Family Type: Curtain Wall_975w x 3800h, Family: Window External Type 5 - Flush"/>
    <s v="Vector(X = -0.988, Y = -0.155, Z = 0.000, Length = 1.000)"/>
    <n v="-1"/>
    <n v="-0.2"/>
    <n v="0"/>
    <n v="-168.69006752597977"/>
    <x v="2"/>
    <n v="3.9975000000000001"/>
  </r>
  <r>
    <x v="605"/>
    <s v="Family Type: Curtain Wall_975w x 3800h, Family: Window External Type 5 - Flush"/>
    <s v="Vector(X = -0.988, Y = -0.155, Z = 0.000, Length = 1.000)"/>
    <n v="-1"/>
    <n v="-0.2"/>
    <n v="0"/>
    <n v="-168.69006752597977"/>
    <x v="2"/>
    <n v="3.9975000000000001"/>
  </r>
  <r>
    <x v="605"/>
    <s v="Family Type: Curtain Wall_2264x1950x4100, Family: Window External Type 5 - Flush Corner 2"/>
    <s v="Vector(X = 0.323, Y = -0.946, Z = 0.000, Length = 1.000)"/>
    <n v="0.3"/>
    <n v="-0.9"/>
    <n v="0"/>
    <n v="-71.56505117707799"/>
    <x v="3"/>
    <n v="0"/>
  </r>
  <r>
    <x v="605"/>
    <s v="Family Type: Curtain Wall_1950w x 3800h, Family: Window External Type 5 - Flush"/>
    <s v="Vector(X = 0.323, Y = -0.946, Z = 0.000, Length = 1.000)"/>
    <n v="0.3"/>
    <n v="-0.9"/>
    <n v="0"/>
    <n v="-71.56505117707799"/>
    <x v="3"/>
    <n v="7.9950000000000001"/>
  </r>
  <r>
    <x v="605"/>
    <s v="Family Type: Curtain Wall_1950w x 3800h, Family: Window External Type 5 - Flush"/>
    <s v="Vector(X = 0.323, Y = -0.946, Z = 0.000, Length = 1.000)"/>
    <n v="0.3"/>
    <n v="-0.9"/>
    <n v="0"/>
    <n v="-71.56505117707799"/>
    <x v="3"/>
    <n v="7.9950000000000001"/>
  </r>
  <r>
    <x v="605"/>
    <s v="Family Type: Curtain Wall_1950w x 3800h, Family: Window External Type 5 - Flush"/>
    <s v="Vector(X = 0.323, Y = -0.946, Z = 0.000, Length = 1.000)"/>
    <n v="0.3"/>
    <n v="-0.9"/>
    <n v="0"/>
    <n v="-71.56505117707799"/>
    <x v="3"/>
    <n v="7.9950000000000001"/>
  </r>
  <r>
    <x v="605"/>
    <s v="Family Type: Curtain Wall_1950w x 3800h, Family: Window External Type 5 - Flush"/>
    <s v="Vector(X = 0.323, Y = -0.946, Z = 0.000, Length = 1.000)"/>
    <n v="0.3"/>
    <n v="-0.9"/>
    <n v="0"/>
    <n v="-71.56505117707799"/>
    <x v="3"/>
    <n v="7.9950000000000001"/>
  </r>
  <r>
    <x v="606"/>
    <s v="L03-COR-DIR-S115-01"/>
    <s v="ID not used"/>
    <n v="0"/>
    <n v="0"/>
    <n v="0"/>
    <e v="#DIV/0!"/>
    <x v="4"/>
    <e v="#N/A"/>
  </r>
  <r>
    <x v="606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7.9950000000000001"/>
  </r>
  <r>
    <x v="606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1.95"/>
  </r>
  <r>
    <x v="606"/>
    <s v="Family Type: Curtain Wall_1950w x 3800h, Family: Window External Type 5 - Flush"/>
    <s v="Vector(X = -0.985, Y = -0.170, Z = 0.000, Length = 1.000)"/>
    <n v="-1"/>
    <n v="-0.2"/>
    <n v="0"/>
    <n v="-168.69006752597977"/>
    <x v="2"/>
    <n v="7.9950000000000001"/>
  </r>
  <r>
    <x v="606"/>
    <s v="Family Type: Curtain Wall_Bespoke 1 - 1979.5 x 3800, Family: Window External Type 5 - Flush Instance Width"/>
    <s v="Vector(X = -0.985, Y = -0.170, Z = 0.000, Length = 1.000)"/>
    <n v="-1"/>
    <n v="-0.2"/>
    <n v="0"/>
    <n v="-168.69006752597977"/>
    <x v="2"/>
    <n v="1.95"/>
  </r>
  <r>
    <x v="606"/>
    <s v="Family Type: Curtain Wall_1950w x 3800h, Family: Window External Type 5 - Flush"/>
    <s v="Vector(X = -0.985, Y = -0.170, Z = 0.000, Length = 1.000)"/>
    <n v="-1"/>
    <n v="-0.2"/>
    <n v="0"/>
    <n v="-168.69006752597977"/>
    <x v="2"/>
    <n v="7.9950000000000001"/>
  </r>
  <r>
    <x v="606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606"/>
    <s v="Family Type: Curtain Wall_1950w x 3800h, Family: Window External Type 5 - Flush"/>
    <s v="Vector(X = -0.985, Y = -0.170, Z = 0.000, Length = 1.000)"/>
    <n v="-1"/>
    <n v="-0.2"/>
    <n v="0"/>
    <n v="-168.69006752597977"/>
    <x v="2"/>
    <n v="7.9950000000000001"/>
  </r>
  <r>
    <x v="606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606"/>
    <s v="Family Type: Curtain Wall_1950w x 3800h, Family: Window External Type 5 - Flush"/>
    <s v="Vector(X = -0.985, Y = -0.170, Z = 0.000, Length = 1.000)"/>
    <n v="-1"/>
    <n v="-0.2"/>
    <n v="0"/>
    <n v="-168.69006752597977"/>
    <x v="2"/>
    <n v="7.9950000000000001"/>
  </r>
  <r>
    <x v="606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606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606"/>
    <s v="Family Type: Curtain Wall_1950w x 3800h, Family: Window External Type 5 - Flush"/>
    <s v="Vector(X = -0.985, Y = -0.170, Z = 0.000, Length = 1.000)"/>
    <n v="-1"/>
    <n v="-0.2"/>
    <n v="0"/>
    <n v="-168.69006752597977"/>
    <x v="2"/>
    <n v="7.9950000000000001"/>
  </r>
  <r>
    <x v="606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606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606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606"/>
    <s v="Family Type: Curtain Wall_1950w x 3800h, Family: Window External Type 5 - Flush"/>
    <s v="Vector(X = -0.985, Y = -0.170, Z = 0.000, Length = 1.000)"/>
    <n v="-1"/>
    <n v="-0.2"/>
    <n v="0"/>
    <n v="-168.69006752597977"/>
    <x v="2"/>
    <n v="7.9950000000000001"/>
  </r>
  <r>
    <x v="606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606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606"/>
    <s v="Family Type: Curtain Wall_975w x 3800h, Family: Window External Type 5 - Flush"/>
    <s v="Vector(X = -0.985, Y = -0.170, Z = 0.000, Length = 1.000)"/>
    <n v="-1"/>
    <n v="-0.2"/>
    <n v="0"/>
    <n v="-168.69006752597977"/>
    <x v="2"/>
    <n v="3.9975000000000001"/>
  </r>
  <r>
    <x v="606"/>
    <s v="Family Type: Curtain Wall_2264x1950x4100, Family: Window External Type 5 - Flush Corner 2"/>
    <s v="Vector(X = 0.323, Y = -0.946, Z = 0.000, Length = 1.000)"/>
    <n v="0.3"/>
    <n v="-0.9"/>
    <n v="0"/>
    <n v="-71.56505117707799"/>
    <x v="3"/>
    <n v="0"/>
  </r>
  <r>
    <x v="606"/>
    <s v="Family Type: Curtain Wall_1950w x 3800h, Family: Window External Type 5 - Flush"/>
    <s v="Vector(X = 0.323, Y = -0.946, Z = 0.000, Length = 1.000)"/>
    <n v="0.3"/>
    <n v="-0.9"/>
    <n v="0"/>
    <n v="-71.56505117707799"/>
    <x v="3"/>
    <n v="7.9950000000000001"/>
  </r>
  <r>
    <x v="606"/>
    <s v="Family Type: Curtain Wall_1950w x 3800h, Family: Window External Type 5 - Flush"/>
    <s v="Vector(X = 0.323, Y = -0.946, Z = 0.000, Length = 1.000)"/>
    <n v="0.3"/>
    <n v="-0.9"/>
    <n v="0"/>
    <n v="-71.56505117707799"/>
    <x v="3"/>
    <n v="7.9950000000000001"/>
  </r>
  <r>
    <x v="606"/>
    <s v="Family Type: Curtain Wall_1950w x 3800h, Family: Window External Type 5 - Flush"/>
    <s v="Vector(X = 0.323, Y = -0.946, Z = 0.000, Length = 1.000)"/>
    <n v="0.3"/>
    <n v="-0.9"/>
    <n v="0"/>
    <n v="-71.56505117707799"/>
    <x v="3"/>
    <n v="7.9950000000000001"/>
  </r>
  <r>
    <x v="606"/>
    <s v="Family Type: Curtain Wall_1950w x 3800h, Family: Window External Type 5 - Flush"/>
    <s v="Vector(X = 0.323, Y = -0.946, Z = 0.000, Length = 1.000)"/>
    <n v="0.3"/>
    <n v="-0.9"/>
    <n v="0"/>
    <n v="-71.56505117707799"/>
    <x v="3"/>
    <n v="7.9950000000000001"/>
  </r>
  <r>
    <x v="607"/>
    <s v="L03-THR-NAD-S061-01"/>
    <s v="ID not used"/>
    <n v="0"/>
    <n v="0"/>
    <n v="0"/>
    <e v="#DIV/0!"/>
    <x v="4"/>
    <e v="#N/A"/>
  </r>
  <r>
    <x v="607"/>
    <s v="Family Type: Curtain Wall_Bespoke 1 - 1979.5 x 3800, Family: Window External Type 5 - Flush Instance Width"/>
    <s v="Vector(X = 1.000, Y = 0.008, Z = 0.000, Length = 1.000)"/>
    <n v="1"/>
    <n v="0"/>
    <n v="0"/>
    <n v="0"/>
    <x v="5"/>
    <n v="7.8310000000000004"/>
  </r>
  <r>
    <x v="607"/>
    <s v="Family Type: Curtain Wall_Bespoke 1 - 1979.5 x 3800, Family: Window External Type 5 - Flush Instance Width"/>
    <s v="Vector(X = 1.000, Y = 0.008, Z = 0.000, Length = 1.000)"/>
    <n v="1"/>
    <n v="0"/>
    <n v="0"/>
    <n v="0"/>
    <x v="5"/>
    <n v="1.91"/>
  </r>
  <r>
    <x v="607"/>
    <s v="Family Type: Curtain Wall_Bespoke 1 - 1979.5 x 3800, Family: Window External Type 5 - Flush Instance Width"/>
    <s v="Vector(X = 1.000, Y = 0.008, Z = 0.000, Length = 1.000)"/>
    <n v="1"/>
    <n v="0"/>
    <n v="0"/>
    <n v="0"/>
    <x v="5"/>
    <n v="7.9950000000000001"/>
  </r>
  <r>
    <x v="607"/>
    <s v="Family Type: Curtain Wall_Bespoke 1 - 1979.5 x 3800, Family: Window External Type 5 - Flush Instance Width"/>
    <s v="Vector(X = 1.000, Y = 0.008, Z = 0.000, Length = 1.000)"/>
    <n v="1"/>
    <n v="0"/>
    <n v="0"/>
    <n v="0"/>
    <x v="5"/>
    <n v="1.95"/>
  </r>
  <r>
    <x v="607"/>
    <s v="Family Type: Curtain Wall_Bespoke 1 - 1979.5 x 3800, Family: Window External Type 5 - Flush Instance Width"/>
    <s v="Vector(X = 1.000, Y = 0.008, Z = 0.000, Length = 1.000)"/>
    <n v="1"/>
    <n v="0"/>
    <n v="0"/>
    <n v="0"/>
    <x v="5"/>
    <n v="7.9950000000000001"/>
  </r>
  <r>
    <x v="607"/>
    <s v="Family Type: Curtain Wall_Bespoke 1 - 1979.5 x 3800, Family: Window External Type 5 - Flush Instance Width"/>
    <s v="Vector(X = 1.000, Y = 0.008, Z = 0.000, Length = 1.000)"/>
    <n v="1"/>
    <n v="0"/>
    <n v="0"/>
    <n v="0"/>
    <x v="5"/>
    <n v="1.95"/>
  </r>
  <r>
    <x v="608"/>
    <s v="L03-THR-SLT-S016-01"/>
    <s v="ID not used"/>
    <n v="0"/>
    <n v="0"/>
    <n v="0"/>
    <e v="#DIV/0!"/>
    <x v="4"/>
    <e v="#N/A"/>
  </r>
  <r>
    <x v="608"/>
    <s v="Family Type: Curtain Wall_Bespoke 1 - 1979.5 x 3800, Family: Window External Type 5 - Flush Instance Width"/>
    <s v="Vector(X = 1.000, Y = 0.008, Z = 0.000, Length = 1.000)"/>
    <n v="1"/>
    <n v="0"/>
    <n v="0"/>
    <n v="0"/>
    <x v="5"/>
    <n v="7.9950000000000001"/>
  </r>
  <r>
    <x v="608"/>
    <s v="Family Type: Curtain Wall_Bespoke 1 - 1979.5 x 3800, Family: Window External Type 5 - Flush Instance Width"/>
    <s v="Vector(X = 1.000, Y = 0.008, Z = 0.000, Length = 1.000)"/>
    <n v="1"/>
    <n v="0"/>
    <n v="0"/>
    <n v="0"/>
    <x v="5"/>
    <n v="1.95"/>
  </r>
  <r>
    <x v="608"/>
    <s v="Family Type: Curtain Wall_Bespoke 1 - 1979.5 x 3800, Family: Window External Type 5 - Flush Instance Width"/>
    <s v="Vector(X = 1.000, Y = 0.008, Z = 0.000, Length = 1.000)"/>
    <n v="1"/>
    <n v="0"/>
    <n v="0"/>
    <n v="0"/>
    <x v="5"/>
    <n v="7.9950000000000001"/>
  </r>
  <r>
    <x v="608"/>
    <s v="Family Type: Curtain Wall_Bespoke 1 - 1979.5 x 3800, Family: Window External Type 5 - Flush Instance Width"/>
    <s v="Vector(X = 1.000, Y = 0.008, Z = 0.000, Length = 1.000)"/>
    <n v="1"/>
    <n v="0"/>
    <n v="0"/>
    <n v="0"/>
    <x v="5"/>
    <n v="1.95"/>
  </r>
  <r>
    <x v="609"/>
    <s v="L03-THR-SLT-S115-01"/>
    <s v="ID not used"/>
    <n v="0"/>
    <n v="0"/>
    <n v="0"/>
    <e v="#DIV/0!"/>
    <x v="4"/>
    <e v="#N/A"/>
  </r>
  <r>
    <x v="609"/>
    <s v="Family Type: Curtain Wall_Bespoke 1 - 1979.5 x 3800, Family: Window External Type 5 - Flush Instance Width"/>
    <s v="Vector(X = 1.000, Y = 0.008, Z = 0.000, Length = 1.000)"/>
    <n v="1"/>
    <n v="0"/>
    <n v="0"/>
    <n v="0"/>
    <x v="5"/>
    <n v="7.9950000000000001"/>
  </r>
  <r>
    <x v="609"/>
    <s v="Family Type: Curtain Wall_Bespoke 1 - 1979.5 x 3800, Family: Window External Type 5 - Flush Instance Width"/>
    <s v="Vector(X = 1.000, Y = 0.008, Z = 0.000, Length = 1.000)"/>
    <n v="1"/>
    <n v="0"/>
    <n v="0"/>
    <n v="0"/>
    <x v="5"/>
    <n v="1.95"/>
  </r>
  <r>
    <x v="609"/>
    <s v="Family Type: Curtain Wall_Bespoke 1 - 1979.5 x 3800, Family: Window External Type 5 - Flush Instance Width"/>
    <s v="Vector(X = 1.000, Y = 0.008, Z = 0.000, Length = 1.000)"/>
    <n v="1"/>
    <n v="0"/>
    <n v="0"/>
    <n v="0"/>
    <x v="5"/>
    <n v="7.9950000000000001"/>
  </r>
  <r>
    <x v="609"/>
    <s v="Family Type: Curtain Wall_Bespoke 1 - 1979.5 x 3800, Family: Window External Type 5 - Flush Instance Width"/>
    <s v="Vector(X = 1.000, Y = 0.008, Z = 0.000, Length = 1.000)"/>
    <n v="1"/>
    <n v="0"/>
    <n v="0"/>
    <n v="0"/>
    <x v="5"/>
    <n v="1.95"/>
  </r>
  <r>
    <x v="609"/>
    <s v="Family Type: Curtain Wall_Bespoke 1 - 1979.5 x 3800, Family: Window External Type 5 - Flush Instance Width"/>
    <s v="Vector(X = 1.000, Y = 0.008, Z = 0.000, Length = 1.000)"/>
    <n v="1"/>
    <n v="0"/>
    <n v="0"/>
    <n v="0"/>
    <x v="5"/>
    <n v="7.9950000000000001"/>
  </r>
  <r>
    <x v="609"/>
    <s v="Family Type: Curtain Wall_Bespoke 1 - 1979.5 x 3800, Family: Window External Type 5 - Flush Instance Width"/>
    <s v="Vector(X = 1.000, Y = 0.008, Z = 0.000, Length = 1.000)"/>
    <n v="1"/>
    <n v="0"/>
    <n v="0"/>
    <n v="0"/>
    <x v="5"/>
    <n v="1.94975442974914"/>
  </r>
  <r>
    <x v="610"/>
    <e v="#REF!"/>
    <e v="#REF!"/>
    <e v="#REF!"/>
    <e v="#REF!"/>
    <e v="#REF!"/>
    <e v="#REF!"/>
    <x v="10"/>
    <e v="#REF!"/>
  </r>
  <r>
    <x v="610"/>
    <e v="#REF!"/>
    <e v="#REF!"/>
    <e v="#REF!"/>
    <e v="#REF!"/>
    <e v="#REF!"/>
    <e v="#REF!"/>
    <x v="10"/>
    <e v="#REF!"/>
  </r>
  <r>
    <x v="610"/>
    <e v="#REF!"/>
    <e v="#REF!"/>
    <e v="#REF!"/>
    <e v="#REF!"/>
    <e v="#REF!"/>
    <e v="#REF!"/>
    <x v="10"/>
    <e v="#REF!"/>
  </r>
  <r>
    <x v="610"/>
    <e v="#REF!"/>
    <e v="#REF!"/>
    <e v="#REF!"/>
    <e v="#REF!"/>
    <e v="#REF!"/>
    <e v="#REF!"/>
    <x v="10"/>
    <e v="#REF!"/>
  </r>
  <r>
    <x v="610"/>
    <e v="#REF!"/>
    <e v="#REF!"/>
    <e v="#REF!"/>
    <e v="#REF!"/>
    <e v="#REF!"/>
    <e v="#REF!"/>
    <x v="10"/>
    <e v="#REF!"/>
  </r>
  <r>
    <x v="610"/>
    <e v="#REF!"/>
    <e v="#REF!"/>
    <e v="#REF!"/>
    <e v="#REF!"/>
    <e v="#REF!"/>
    <e v="#REF!"/>
    <x v="10"/>
    <e v="#REF!"/>
  </r>
  <r>
    <x v="610"/>
    <e v="#REF!"/>
    <e v="#REF!"/>
    <e v="#REF!"/>
    <e v="#REF!"/>
    <e v="#REF!"/>
    <e v="#REF!"/>
    <x v="10"/>
    <e v="#REF!"/>
  </r>
  <r>
    <x v="610"/>
    <e v="#REF!"/>
    <e v="#REF!"/>
    <e v="#REF!"/>
    <e v="#REF!"/>
    <e v="#REF!"/>
    <e v="#REF!"/>
    <x v="10"/>
    <e v="#REF!"/>
  </r>
  <r>
    <x v="128"/>
    <n v="0"/>
    <n v="0"/>
    <n v="0"/>
    <n v="0"/>
    <n v="0"/>
    <e v="#DIV/0!"/>
    <x v="4"/>
    <e v="#N/A"/>
  </r>
  <r>
    <x v="611"/>
    <s v="B02-EAF-EWM-S115-01"/>
    <n v="1476939"/>
    <n v="0"/>
    <n v="0"/>
    <n v="0"/>
    <e v="#DIV/0!"/>
    <x v="4"/>
    <e v="#N/A"/>
  </r>
  <r>
    <x v="611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12"/>
    <s v="B02-EAF-EWM-S095-01"/>
    <n v="1476949"/>
    <n v="0"/>
    <n v="0"/>
    <n v="0"/>
    <e v="#DIV/0!"/>
    <x v="4"/>
    <e v="#N/A"/>
  </r>
  <r>
    <x v="612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13"/>
    <s v="B02-EAF-TEC-U0841-01"/>
    <n v="1638454"/>
    <n v="0"/>
    <n v="0"/>
    <n v="0"/>
    <e v="#DIV/0!"/>
    <x v="4"/>
    <e v="#N/A"/>
  </r>
  <r>
    <x v="613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13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14"/>
    <s v="B02-EAF-TEC-U0842-01"/>
    <n v="1638455"/>
    <n v="0"/>
    <n v="0"/>
    <n v="0"/>
    <e v="#DIV/0!"/>
    <x v="4"/>
    <e v="#N/A"/>
  </r>
  <r>
    <x v="614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15"/>
    <s v="B02-EAF-TEC-S115-01"/>
    <n v="1638461"/>
    <n v="0"/>
    <n v="0"/>
    <n v="0"/>
    <e v="#DIV/0!"/>
    <x v="4"/>
    <e v="#N/A"/>
  </r>
  <r>
    <x v="615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15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15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16"/>
    <s v="B02-EAF-TEC-S115-13"/>
    <n v="1638462"/>
    <n v="0"/>
    <n v="0"/>
    <n v="0"/>
    <e v="#DIV/0!"/>
    <x v="4"/>
    <e v="#N/A"/>
  </r>
  <r>
    <x v="616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16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17"/>
    <s v="B02-EAF-TEC-S115-19"/>
    <n v="1638463"/>
    <n v="0"/>
    <n v="0"/>
    <n v="0"/>
    <e v="#DIV/0!"/>
    <x v="4"/>
    <e v="#N/A"/>
  </r>
  <r>
    <x v="617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18"/>
    <s v="B02-EAF-TEC-S115-22"/>
    <n v="1638466"/>
    <n v="0"/>
    <n v="0"/>
    <n v="0"/>
    <e v="#DIV/0!"/>
    <x v="4"/>
    <e v="#N/A"/>
  </r>
  <r>
    <x v="618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19"/>
    <s v="B02-EAF-TEC-S063-01"/>
    <n v="1638467"/>
    <n v="0"/>
    <n v="0"/>
    <n v="0"/>
    <e v="#DIV/0!"/>
    <x v="4"/>
    <e v="#N/A"/>
  </r>
  <r>
    <x v="619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20"/>
    <s v="B02-EAF-TEC-S095-01"/>
    <n v="1638468"/>
    <n v="0"/>
    <n v="0"/>
    <n v="0"/>
    <e v="#DIV/0!"/>
    <x v="4"/>
    <e v="#N/A"/>
  </r>
  <r>
    <x v="620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21"/>
    <s v="B02-PLA-PLA-U1690-01"/>
    <n v="1860861"/>
    <n v="0"/>
    <n v="0"/>
    <n v="0"/>
    <e v="#DIV/0!"/>
    <x v="4"/>
    <e v="#N/A"/>
  </r>
  <r>
    <x v="621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128"/>
    <n v="0"/>
    <n v="0"/>
    <n v="0"/>
    <n v="0"/>
    <n v="0"/>
    <e v="#DIV/0!"/>
    <x v="4"/>
    <e v="#N/A"/>
  </r>
  <r>
    <x v="622"/>
    <n v="1052"/>
    <n v="1330373"/>
    <n v="0"/>
    <n v="0"/>
    <n v="0"/>
    <e v="#DIV/0!"/>
    <x v="4"/>
    <e v="#N/A"/>
  </r>
  <r>
    <x v="622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22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22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22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23"/>
    <s v="B01-PLA-PLA-U1665-01"/>
    <n v="1689065"/>
    <n v="0"/>
    <n v="0"/>
    <n v="0"/>
    <e v="#DIV/0!"/>
    <x v="4"/>
    <e v="#N/A"/>
  </r>
  <r>
    <x v="623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23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23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23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128"/>
    <n v="0"/>
    <n v="0"/>
    <n v="0"/>
    <n v="0"/>
    <n v="0"/>
    <e v="#DIV/0!"/>
    <x v="4"/>
    <e v="#N/A"/>
  </r>
  <r>
    <x v="624"/>
    <s v="LG-PAT-HIS-U0449-01"/>
    <n v="1644978"/>
    <n v="0"/>
    <n v="0"/>
    <n v="0"/>
    <e v="#DIV/0!"/>
    <x v="4"/>
    <e v="#N/A"/>
  </r>
  <r>
    <x v="624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624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624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25"/>
    <s v="LG-PAT-HAE-U0457-01"/>
    <n v="1644991"/>
    <n v="0"/>
    <n v="0"/>
    <n v="0"/>
    <e v="#DIV/0!"/>
    <x v="4"/>
    <e v="#N/A"/>
  </r>
  <r>
    <x v="625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26"/>
    <s v="LG-PAT-HAE-U0458-01"/>
    <n v="1644992"/>
    <n v="0"/>
    <n v="0"/>
    <n v="0"/>
    <e v="#DIV/0!"/>
    <x v="4"/>
    <e v="#N/A"/>
  </r>
  <r>
    <x v="626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27"/>
    <s v="LG-PAT-HAE-U0465-01"/>
    <n v="1644997"/>
    <n v="0"/>
    <n v="0"/>
    <n v="0"/>
    <e v="#DIV/0!"/>
    <x v="4"/>
    <e v="#N/A"/>
  </r>
  <r>
    <x v="627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27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28"/>
    <s v="LG-PAT-HAE-U0471-01"/>
    <n v="1645003"/>
    <n v="0"/>
    <n v="0"/>
    <n v="0"/>
    <e v="#DIV/0!"/>
    <x v="4"/>
    <e v="#N/A"/>
  </r>
  <r>
    <x v="628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28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29"/>
    <s v="LG-PAT-HAE-U0472-01"/>
    <n v="1645004"/>
    <n v="0"/>
    <n v="0"/>
    <n v="0"/>
    <e v="#DIV/0!"/>
    <x v="4"/>
    <e v="#N/A"/>
  </r>
  <r>
    <x v="629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30"/>
    <s v="LG-PAT-HAE-U0473-01"/>
    <n v="1645005"/>
    <n v="0"/>
    <n v="0"/>
    <n v="0"/>
    <e v="#DIV/0!"/>
    <x v="4"/>
    <e v="#N/A"/>
  </r>
  <r>
    <x v="630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31"/>
    <s v="LG-PAT-TRA-U0478-01"/>
    <n v="1645010"/>
    <n v="0"/>
    <n v="0"/>
    <n v="0"/>
    <e v="#DIV/0!"/>
    <x v="4"/>
    <e v="#N/A"/>
  </r>
  <r>
    <x v="631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31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32"/>
    <s v="LG-PAT-TRA-U0479-01"/>
    <n v="1645011"/>
    <n v="0"/>
    <n v="0"/>
    <n v="0"/>
    <e v="#DIV/0!"/>
    <x v="4"/>
    <e v="#N/A"/>
  </r>
  <r>
    <x v="632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633"/>
    <s v="LG-PAT-TRA-U0482-01"/>
    <n v="1645014"/>
    <n v="0"/>
    <n v="0"/>
    <n v="0"/>
    <e v="#DIV/0!"/>
    <x v="4"/>
    <e v="#N/A"/>
  </r>
  <r>
    <x v="633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34"/>
    <s v="LG-PAT-TRA-S115-06"/>
    <n v="1645016"/>
    <n v="0"/>
    <n v="0"/>
    <n v="0"/>
    <e v="#DIV/0!"/>
    <x v="4"/>
    <e v="#N/A"/>
  </r>
  <r>
    <x v="634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635"/>
    <s v="LG-PAT-BIO-U0485-01"/>
    <n v="1645018"/>
    <n v="0"/>
    <n v="0"/>
    <n v="0"/>
    <e v="#DIV/0!"/>
    <x v="4"/>
    <e v="#N/A"/>
  </r>
  <r>
    <x v="635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35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36"/>
    <s v="LG-PAT-BIO-U0486-01"/>
    <n v="1645019"/>
    <n v="0"/>
    <n v="0"/>
    <n v="0"/>
    <e v="#DIV/0!"/>
    <x v="4"/>
    <e v="#N/A"/>
  </r>
  <r>
    <x v="636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37"/>
    <s v="LG-PAT-BIO-U0487-01"/>
    <n v="1645020"/>
    <n v="0"/>
    <n v="0"/>
    <n v="0"/>
    <e v="#DIV/0!"/>
    <x v="4"/>
    <e v="#N/A"/>
  </r>
  <r>
    <x v="637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37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37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38"/>
    <s v="LG-PAT-BIO-S115-11"/>
    <n v="1645026"/>
    <n v="0"/>
    <n v="0"/>
    <n v="0"/>
    <e v="#DIV/0!"/>
    <x v="4"/>
    <e v="#N/A"/>
  </r>
  <r>
    <x v="638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639"/>
    <s v="LG-PAT-MET-U0494-01"/>
    <n v="1645032"/>
    <n v="0"/>
    <n v="0"/>
    <n v="0"/>
    <e v="#DIV/0!"/>
    <x v="4"/>
    <e v="#N/A"/>
  </r>
  <r>
    <x v="639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40"/>
    <s v="LG-PAT-MET-U0495-01"/>
    <n v="1645033"/>
    <n v="0"/>
    <n v="0"/>
    <n v="0"/>
    <e v="#DIV/0!"/>
    <x v="4"/>
    <e v="#N/A"/>
  </r>
  <r>
    <x v="640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41"/>
    <s v="LG-PAT-NNS-S115-15"/>
    <n v="1645036"/>
    <n v="0"/>
    <n v="0"/>
    <n v="0"/>
    <e v="#DIV/0!"/>
    <x v="4"/>
    <e v="#N/A"/>
  </r>
  <r>
    <x v="641"/>
    <s v="Family Type: 1500w x 3050h, Family: Window Internal Type 1 - Flush"/>
    <s v="Vector(X = 0.212, Y = -0.977, Z = 0.000, Length = 1.000)"/>
    <n v="0.2"/>
    <n v="-1"/>
    <n v="0"/>
    <n v="-78.690067525979785"/>
    <x v="3"/>
    <n v="4.5749999999999993"/>
  </r>
  <r>
    <x v="642"/>
    <s v="LG-PAT-MIC-U0504-01"/>
    <n v="1645042"/>
    <n v="0"/>
    <n v="0"/>
    <n v="0"/>
    <e v="#DIV/0!"/>
    <x v="4"/>
    <e v="#N/A"/>
  </r>
  <r>
    <x v="642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42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43"/>
    <s v="LG-PAT-MIC-U0505-01"/>
    <n v="1645043"/>
    <n v="0"/>
    <n v="0"/>
    <n v="0"/>
    <e v="#DIV/0!"/>
    <x v="4"/>
    <e v="#N/A"/>
  </r>
  <r>
    <x v="643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43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44"/>
    <s v="LG-PAT-MIC-U0506-01"/>
    <n v="1645044"/>
    <n v="0"/>
    <n v="0"/>
    <n v="0"/>
    <e v="#DIV/0!"/>
    <x v="4"/>
    <e v="#N/A"/>
  </r>
  <r>
    <x v="644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44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45"/>
    <s v="LG-PAT-MOL-U0510-01"/>
    <n v="1645052"/>
    <n v="0"/>
    <n v="0"/>
    <n v="0"/>
    <e v="#DIV/0!"/>
    <x v="4"/>
    <e v="#N/A"/>
  </r>
  <r>
    <x v="645"/>
    <s v="Family Type: 1560w x 2300h, Family: Window External Type 3 - Recessed and Angle"/>
    <s v="Vector(X = 0.977, Y = 0.212, Z = 0.000, Length = 1.000)"/>
    <n v="1"/>
    <n v="0.2"/>
    <n v="0"/>
    <n v="11.309932474020215"/>
    <x v="5"/>
    <n v="3.5880000000000001"/>
  </r>
  <r>
    <x v="645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46"/>
    <s v="LG-PAT-MOL-U0511-01"/>
    <n v="1645053"/>
    <n v="0"/>
    <n v="0"/>
    <n v="0"/>
    <e v="#DIV/0!"/>
    <x v="4"/>
    <e v="#N/A"/>
  </r>
  <r>
    <x v="646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47"/>
    <s v="LG-PAT-MOL-U0512-01"/>
    <n v="1645054"/>
    <n v="0"/>
    <n v="0"/>
    <n v="0"/>
    <e v="#DIV/0!"/>
    <x v="4"/>
    <e v="#N/A"/>
  </r>
  <r>
    <x v="647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47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48"/>
    <s v="LG-PAT-MOL-U0514-01"/>
    <n v="1645056"/>
    <n v="0"/>
    <n v="0"/>
    <n v="0"/>
    <e v="#DIV/0!"/>
    <x v="4"/>
    <e v="#N/A"/>
  </r>
  <r>
    <x v="648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49"/>
    <s v="LG-PAT-MOL-U0516-01"/>
    <n v="1645058"/>
    <n v="0"/>
    <n v="0"/>
    <n v="0"/>
    <e v="#DIV/0!"/>
    <x v="4"/>
    <e v="#N/A"/>
  </r>
  <r>
    <x v="649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49"/>
    <s v="Family Type: 1560w x 2300h, Family: Window External Type 3 - Recessed and Angle"/>
    <s v="Vector(X = 0.977, Y = 0.212, Z = 0.000, Length = 1.000)"/>
    <n v="1"/>
    <n v="0.2"/>
    <n v="0"/>
    <n v="11.309932474020215"/>
    <x v="5"/>
    <n v="3.5880000000000001"/>
  </r>
  <r>
    <x v="650"/>
    <s v="LG-PAT-MOL-U0517-01"/>
    <n v="1645059"/>
    <n v="0"/>
    <n v="0"/>
    <n v="0"/>
    <e v="#DIV/0!"/>
    <x v="4"/>
    <e v="#N/A"/>
  </r>
  <r>
    <x v="650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51"/>
    <s v="LG-PAT-CLF-U0524-01"/>
    <n v="1645071"/>
    <n v="0"/>
    <n v="0"/>
    <n v="0"/>
    <e v="#DIV/0!"/>
    <x v="4"/>
    <e v="#N/A"/>
  </r>
  <r>
    <x v="651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652"/>
    <s v="LG-PAT-TRA-S115-12"/>
    <n v="1645075"/>
    <n v="0"/>
    <n v="0"/>
    <n v="0"/>
    <e v="#DIV/0!"/>
    <x v="4"/>
    <e v="#N/A"/>
  </r>
  <r>
    <x v="652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653"/>
    <s v="LG-PAT-TRA-S115-24"/>
    <n v="1645077"/>
    <n v="0"/>
    <n v="0"/>
    <n v="0"/>
    <e v="#DIV/0!"/>
    <x v="4"/>
    <e v="#N/A"/>
  </r>
  <r>
    <x v="653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654"/>
    <s v="LG-PAT-TRA-S115-30"/>
    <n v="1645078"/>
    <n v="0"/>
    <n v="0"/>
    <n v="0"/>
    <e v="#DIV/0!"/>
    <x v="4"/>
    <e v="#N/A"/>
  </r>
  <r>
    <x v="654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55"/>
    <s v="LG-PAT-TRA-S115-36"/>
    <n v="1645079"/>
    <n v="0"/>
    <n v="0"/>
    <n v="0"/>
    <e v="#DIV/0!"/>
    <x v="4"/>
    <e v="#N/A"/>
  </r>
  <r>
    <x v="655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655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55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55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56"/>
    <s v="LG-PAT-TRA-S115-42"/>
    <n v="1645080"/>
    <n v="0"/>
    <n v="0"/>
    <n v="0"/>
    <e v="#DIV/0!"/>
    <x v="4"/>
    <e v="#N/A"/>
  </r>
  <r>
    <x v="656"/>
    <s v="Family Type: 1950w x 2300h, Family: Window External Type 1 - Recessed"/>
    <s v="Vector(X = 0.977, Y = 0.212, Z = 0.000, Length = 1.000)"/>
    <n v="1"/>
    <n v="0.2"/>
    <n v="0"/>
    <n v="11.309932474020215"/>
    <x v="5"/>
    <n v="4.4850000000000003"/>
  </r>
  <r>
    <x v="656"/>
    <s v="Family Type: 975w x 2300h, Family: Window External Type 1 - Recessed"/>
    <s v="Vector(X = 0.977, Y = 0.212, Z = 0.000, Length = 1.000)"/>
    <n v="1"/>
    <n v="0.2"/>
    <n v="0"/>
    <n v="11.309932474020215"/>
    <x v="5"/>
    <n v="2.2425000000000002"/>
  </r>
  <r>
    <x v="128"/>
    <n v="0"/>
    <n v="0"/>
    <n v="0"/>
    <n v="0"/>
    <n v="0"/>
    <e v="#DIV/0!"/>
    <x v="4"/>
    <e v="#N/A"/>
  </r>
  <r>
    <x v="657"/>
    <n v="2678"/>
    <n v="1439470"/>
    <n v="0"/>
    <n v="0"/>
    <n v="0"/>
    <e v="#DIV/0!"/>
    <x v="4"/>
    <e v="#N/A"/>
  </r>
  <r>
    <x v="657"/>
    <s v="Family Type: 1950w x 3050h, Family: Window External Type 3 - Recessed and Angle"/>
    <s v="Vector(X = -0.041, Y = 0.999, Z = 0.000, Length = 1.000)"/>
    <n v="0"/>
    <n v="1"/>
    <n v="0"/>
    <n v="90"/>
    <x v="1"/>
    <n v="5.9474999999999998"/>
  </r>
  <r>
    <x v="657"/>
    <s v="Family Type: 1000w x 3050h, Family: Window External Type 2 - Recessed and Fin"/>
    <s v="Vector(X = -0.041, Y = 0.999, Z = 0.000, Length = 1.000)"/>
    <n v="0"/>
    <n v="1"/>
    <n v="0"/>
    <n v="90"/>
    <x v="1"/>
    <n v="3.05"/>
  </r>
  <r>
    <x v="657"/>
    <s v="Family Type: 1500w x 3050h, Family: Window External Type 3 - Recessed and Angle"/>
    <s v="Vector(X = -0.041, Y = 0.999, Z = 0.000, Length = 1.000)"/>
    <n v="0"/>
    <n v="1"/>
    <n v="0"/>
    <n v="90"/>
    <x v="1"/>
    <n v="4.5750000000000002"/>
  </r>
  <r>
    <x v="657"/>
    <s v="Family Type: 975w x 3050h, Family: Window External Type 1 - Recessed"/>
    <s v="Vector(X = -0.041, Y = 0.999, Z = 0.000, Length = 1.000)"/>
    <n v="0"/>
    <n v="1"/>
    <n v="0"/>
    <n v="90"/>
    <x v="1"/>
    <n v="2.9737499999999999"/>
  </r>
  <r>
    <x v="657"/>
    <s v="Family Type: 1000w x 3050h, Family: Window External Type 2 - Recessed and Fin"/>
    <s v="Vector(X = -0.041, Y = 0.999, Z = 0.000, Length = 1.000)"/>
    <n v="0"/>
    <n v="1"/>
    <n v="0"/>
    <n v="90"/>
    <x v="1"/>
    <n v="3.05"/>
  </r>
  <r>
    <x v="658"/>
    <n v="2679"/>
    <n v="1439586"/>
    <n v="0"/>
    <n v="0"/>
    <n v="0"/>
    <e v="#DIV/0!"/>
    <x v="4"/>
    <e v="#N/A"/>
  </r>
  <r>
    <x v="658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659"/>
    <n v="2681"/>
    <n v="1440260"/>
    <n v="0"/>
    <n v="0"/>
    <n v="0"/>
    <e v="#DIV/0!"/>
    <x v="4"/>
    <e v="#N/A"/>
  </r>
  <r>
    <x v="659"/>
    <s v="Family Type: 1000w x 3050h, Family: Window External Type 4 - Extruded"/>
    <s v="Vector(X = -0.130, Y = -0.991, Z = 0.000, Length = 1.000)"/>
    <n v="-0.1"/>
    <n v="-1"/>
    <n v="0"/>
    <n v="-95.710593137499629"/>
    <x v="8"/>
    <n v="3.05"/>
  </r>
  <r>
    <x v="659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659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659"/>
    <s v="Family Type: 1500w x 3050h, Family: Window External Type 3 - Recessed and Angle"/>
    <s v="Vector(X = -0.991, Y = 0.132, Z = 0.000, Length = 1.000)"/>
    <n v="-1"/>
    <n v="0.1"/>
    <n v="0"/>
    <n v="174.28940686250036"/>
    <x v="7"/>
    <n v="4.5750000000000002"/>
  </r>
  <r>
    <x v="659"/>
    <s v="Family Type: 1500w x 3050h, Family: Window External Type 3 - Recessed and Angle"/>
    <s v="Vector(X = -0.991, Y = 0.132, Z = 0.000, Length = 1.000)"/>
    <n v="-1"/>
    <n v="0.1"/>
    <n v="0"/>
    <n v="174.28940686250036"/>
    <x v="7"/>
    <n v="4.5750000000000002"/>
  </r>
  <r>
    <x v="659"/>
    <s v="Family Type: 1500w x 3050h, Family: Window External Type 3 - Recessed and Angle"/>
    <s v="Vector(X = -0.991, Y = 0.132, Z = 0.000, Length = 1.000)"/>
    <n v="-1"/>
    <n v="0.1"/>
    <n v="0"/>
    <n v="174.28940686250036"/>
    <x v="7"/>
    <n v="4.5750000000000002"/>
  </r>
  <r>
    <x v="660"/>
    <n v="2685"/>
    <n v="1440919"/>
    <n v="0"/>
    <n v="0"/>
    <n v="0"/>
    <e v="#DIV/0!"/>
    <x v="4"/>
    <e v="#N/A"/>
  </r>
  <r>
    <x v="660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660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661"/>
    <n v="2686"/>
    <n v="1441302"/>
    <n v="0"/>
    <n v="0"/>
    <n v="0"/>
    <e v="#DIV/0!"/>
    <x v="4"/>
    <e v="#N/A"/>
  </r>
  <r>
    <x v="661"/>
    <s v="Family Type: 1500w x 3050h, Family: Window External Type 3 - Recessed and Angle"/>
    <s v="Vector(X = -0.996, Y = 0.087, Z = 0.000, Length = 1.000)"/>
    <n v="-1"/>
    <n v="0.1"/>
    <n v="0"/>
    <n v="174.28940686250036"/>
    <x v="7"/>
    <n v="4.5750000000000002"/>
  </r>
  <r>
    <x v="662"/>
    <n v="2690"/>
    <n v="1442409"/>
    <n v="0"/>
    <n v="0"/>
    <n v="0"/>
    <e v="#DIV/0!"/>
    <x v="4"/>
    <e v="#N/A"/>
  </r>
  <r>
    <x v="662"/>
    <s v="Family Type: 1500w x 3050h, Family: Window External Type 3 - Recessed and Angle"/>
    <s v="Vector(X = -0.996, Y = 0.087, Z = 0.000, Length = 1.000)"/>
    <n v="-1"/>
    <n v="0.1"/>
    <n v="0"/>
    <n v="174.28940686250036"/>
    <x v="7"/>
    <n v="4.5750000000000002"/>
  </r>
  <r>
    <x v="662"/>
    <s v="Family Type: 1500w x 3050h, Family: Window External Type 3 - Recessed and Angle"/>
    <s v="Vector(X = -0.996, Y = 0.087, Z = 0.000, Length = 1.000)"/>
    <n v="-1"/>
    <n v="0.1"/>
    <n v="0"/>
    <n v="174.28940686250036"/>
    <x v="7"/>
    <n v="4.5750000000000002"/>
  </r>
  <r>
    <x v="662"/>
    <s v="Family Type: 1500w x 3050h, Family: Window External Type 3 - Recessed and Angle"/>
    <s v="Vector(X = -0.041, Y = 0.999, Z = 0.000, Length = 1.000)"/>
    <n v="0"/>
    <n v="1"/>
    <n v="0"/>
    <n v="90"/>
    <x v="1"/>
    <n v="4.5750000000000002"/>
  </r>
  <r>
    <x v="663"/>
    <n v="2695"/>
    <n v="1464339"/>
    <n v="0"/>
    <n v="0"/>
    <n v="0"/>
    <e v="#DIV/0!"/>
    <x v="4"/>
    <e v="#N/A"/>
  </r>
  <r>
    <x v="663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663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663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663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663"/>
    <s v="Family Type: 1500w x 3050h, Family: Window External Type 3 - Recessed and Angle"/>
    <s v="Vector(X = -0.992, Y = -0.128, Z = 0.000, Length = 1.000)"/>
    <n v="-1"/>
    <n v="-0.1"/>
    <n v="0"/>
    <n v="-174.28940686250036"/>
    <x v="2"/>
    <n v="4.5750000000000002"/>
  </r>
  <r>
    <x v="663"/>
    <s v="Family Type: 1500w x 3050h, Family: Window External Type 3 - Recessed and Angle"/>
    <s v="Vector(X = -0.992, Y = -0.128, Z = 0.000, Length = 1.000)"/>
    <n v="-1"/>
    <n v="-0.1"/>
    <n v="0"/>
    <n v="-174.28940686250036"/>
    <x v="2"/>
    <n v="4.5750000000000002"/>
  </r>
  <r>
    <x v="663"/>
    <s v="Family Type: 1500w x 3050h, Family: Window External Type 3 - Recessed and Angle"/>
    <s v="Vector(X = -0.992, Y = -0.128, Z = 0.000, Length = 1.000)"/>
    <n v="-1"/>
    <n v="-0.1"/>
    <n v="0"/>
    <n v="-174.28940686250036"/>
    <x v="2"/>
    <n v="4.5750000000000002"/>
  </r>
  <r>
    <x v="663"/>
    <s v="Family Type: 1950w x 3050h, Family: Window External Type 1 - Recessed"/>
    <s v="Vector(X = 0.212, Y = -0.977, Z = 0.000, Length = 1.000)"/>
    <n v="0.2"/>
    <n v="-1"/>
    <n v="0"/>
    <n v="-78.690067525979785"/>
    <x v="3"/>
    <n v="5.9474999999999998"/>
  </r>
  <r>
    <x v="663"/>
    <s v="Family Type: 1500w x 3050h, Family: Window External Type 3 - Recessed and Angle"/>
    <s v="Vector(X = -0.041, Y = 0.999, Z = 0.000, Length = 1.000)"/>
    <n v="0"/>
    <n v="1"/>
    <n v="0"/>
    <n v="90"/>
    <x v="1"/>
    <n v="4.5750000000000002"/>
  </r>
  <r>
    <x v="663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663"/>
    <s v="Family Type: 975w x 3050h, Family: Window External Type 1 - Recessed"/>
    <s v="Vector(X = -0.041, Y = 0.999, Z = 0.000, Length = 1.000)"/>
    <n v="0"/>
    <n v="1"/>
    <n v="0"/>
    <n v="90"/>
    <x v="1"/>
    <n v="2.9737499999999999"/>
  </r>
  <r>
    <x v="664"/>
    <n v="2699"/>
    <n v="1467413"/>
    <n v="0"/>
    <n v="0"/>
    <n v="0"/>
    <e v="#DIV/0!"/>
    <x v="4"/>
    <e v="#N/A"/>
  </r>
  <r>
    <x v="664"/>
    <s v="Family Type: 975w x 3050h, Family: Window External Type 1 - Recessed"/>
    <s v="Vector(X = -0.130, Y = -0.991, Z = 0.000, Length = 1.000)"/>
    <n v="-0.1"/>
    <n v="-1"/>
    <n v="0"/>
    <n v="-95.710593137499629"/>
    <x v="8"/>
    <n v="2.9737499999999999"/>
  </r>
  <r>
    <x v="664"/>
    <s v="Family Type: 1000w x 3050h, Family: Window External Type 4 - Extruded"/>
    <s v="Vector(X = -0.130, Y = -0.991, Z = 0.000, Length = 1.000)"/>
    <n v="-0.1"/>
    <n v="-1"/>
    <n v="0"/>
    <n v="-95.710593137499629"/>
    <x v="8"/>
    <n v="3.05"/>
  </r>
  <r>
    <x v="664"/>
    <s v="Family Type: 1500w x 3050h, Family: Window External Type 3 - Recessed and Angle"/>
    <s v="Vector(X = -0.130, Y = -0.991, Z = 0.000, Length = 1.000)"/>
    <n v="-0.1"/>
    <n v="-1"/>
    <n v="0"/>
    <n v="-95.710593137499629"/>
    <x v="8"/>
    <n v="4.5750000000000002"/>
  </r>
  <r>
    <x v="664"/>
    <s v="Family Type: 1950w x 3050h, Family: Window External Type 3 - Recessed and Angle"/>
    <s v="Vector(X = -0.130, Y = -0.991, Z = 0.000, Length = 1.000)"/>
    <n v="-0.1"/>
    <n v="-1"/>
    <n v="0"/>
    <n v="-95.710593137499629"/>
    <x v="8"/>
    <n v="5.9474999999999998"/>
  </r>
  <r>
    <x v="665"/>
    <n v="2700"/>
    <n v="1499939"/>
    <n v="0"/>
    <n v="0"/>
    <n v="0"/>
    <e v="#DIV/0!"/>
    <x v="4"/>
    <e v="#N/A"/>
  </r>
  <r>
    <x v="665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665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666"/>
    <n v="2702"/>
    <n v="1515008"/>
    <n v="0"/>
    <n v="0"/>
    <n v="0"/>
    <e v="#DIV/0!"/>
    <x v="4"/>
    <e v="#N/A"/>
  </r>
  <r>
    <x v="666"/>
    <s v="Family Type: 975w x 3050h, Family: Window External Type 1 - Recessed"/>
    <s v="Vector(X = 0.041, Y = -0.999, Z = 0.000, Length = 1.000)"/>
    <n v="0"/>
    <n v="-1"/>
    <n v="0"/>
    <n v="-90"/>
    <x v="3"/>
    <n v="2.9737499999999999"/>
  </r>
  <r>
    <x v="666"/>
    <s v="Family Type: 975w x 3050h, Family: Window External Type 1 - Recessed"/>
    <s v="Vector(X = 0.041, Y = -0.999, Z = 0.000, Length = 1.000)"/>
    <n v="0"/>
    <n v="-1"/>
    <n v="0"/>
    <n v="-90"/>
    <x v="3"/>
    <n v="2.9737499999999999"/>
  </r>
  <r>
    <x v="667"/>
    <n v="2703"/>
    <n v="1515175"/>
    <n v="0"/>
    <n v="0"/>
    <n v="0"/>
    <e v="#DIV/0!"/>
    <x v="4"/>
    <e v="#N/A"/>
  </r>
  <r>
    <x v="667"/>
    <s v="Family Type: 1000w x 3050h, Family: Window External Type 4 - Extruded"/>
    <s v="Vector(X = -0.130, Y = -0.991, Z = 0.000, Length = 1.000)"/>
    <n v="-0.1"/>
    <n v="-1"/>
    <n v="0"/>
    <n v="-95.710593137499629"/>
    <x v="8"/>
    <n v="3.05"/>
  </r>
  <r>
    <x v="667"/>
    <s v="Family Type: 3000w x 3050h, Family: Window External Type 3 - Recessed and Angle with Type 1 Flush"/>
    <s v="Vector(X = -0.130, Y = -0.991, Z = 0.000, Length = 1.000)"/>
    <n v="-0.1"/>
    <n v="-1"/>
    <n v="0"/>
    <n v="-95.710593137499629"/>
    <x v="8"/>
    <n v="6.1762499999999996"/>
  </r>
  <r>
    <x v="667"/>
    <s v="Family Type: 3000w x 3050h, Family: Window External Type 3 - Recessed and Angle with Type 1 Flush"/>
    <s v="Vector(X = -0.130, Y = -0.991, Z = 0.000, Length = 1.000)"/>
    <n v="-0.1"/>
    <n v="-1"/>
    <n v="0"/>
    <n v="-95.710593137499629"/>
    <x v="8"/>
    <n v="6.1762499999999996"/>
  </r>
  <r>
    <x v="668"/>
    <n v="2704"/>
    <n v="1529295"/>
    <n v="0"/>
    <n v="0"/>
    <n v="0"/>
    <e v="#DIV/0!"/>
    <x v="4"/>
    <e v="#N/A"/>
  </r>
  <r>
    <x v="668"/>
    <s v="Family Type: 975w x 3050h, Family: Window External Type 1 - Recessed"/>
    <s v="Vector(X = 0.130, Y = 0.991, Z = 0.000, Length = 1.000)"/>
    <n v="0.1"/>
    <n v="1"/>
    <n v="0"/>
    <n v="84.289406862500371"/>
    <x v="9"/>
    <n v="2.9737499999999999"/>
  </r>
  <r>
    <x v="669"/>
    <n v="2705"/>
    <n v="1529298"/>
    <n v="0"/>
    <n v="0"/>
    <n v="0"/>
    <e v="#DIV/0!"/>
    <x v="4"/>
    <e v="#N/A"/>
  </r>
  <r>
    <x v="669"/>
    <s v="Family Type: 1000w x 3050h, Family: Window External Type 4 - Extruded"/>
    <s v="Vector(X = 0.130, Y = 0.991, Z = 0.000, Length = 1.000)"/>
    <n v="0.1"/>
    <n v="1"/>
    <n v="0"/>
    <n v="84.289406862500371"/>
    <x v="9"/>
    <n v="3.05"/>
  </r>
  <r>
    <x v="669"/>
    <s v="Family Type: 3000w x 3050h, Family: Window External Type 3 - Recessed and Angle with Type 1 Flush"/>
    <s v="Vector(X = 0.130, Y = 0.991, Z = 0.000, Length = 1.000)"/>
    <n v="0.1"/>
    <n v="1"/>
    <n v="0"/>
    <n v="84.289406862500371"/>
    <x v="9"/>
    <n v="6.1762499999999996"/>
  </r>
  <r>
    <x v="670"/>
    <n v="2706"/>
    <n v="1529301"/>
    <n v="0"/>
    <n v="0"/>
    <n v="0"/>
    <e v="#DIV/0!"/>
    <x v="4"/>
    <e v="#N/A"/>
  </r>
  <r>
    <x v="670"/>
    <s v="Family Type: 1500w x 3050h, Family: Window External Type 3 - Recessed and Angle"/>
    <s v="Vector(X = 0.130, Y = 0.991, Z = 0.000, Length = 1.000)"/>
    <n v="0.1"/>
    <n v="1"/>
    <n v="0"/>
    <n v="84.289406862500371"/>
    <x v="9"/>
    <n v="4.5750000000000002"/>
  </r>
  <r>
    <x v="670"/>
    <s v="Family Type: 3000w x 3050h, Family: Window External Type 3 - Recessed and Angle with Type 1 Flush"/>
    <s v="Vector(X = 0.130, Y = 0.991, Z = 0.000, Length = 1.000)"/>
    <n v="0.1"/>
    <n v="1"/>
    <n v="0"/>
    <n v="84.289406862500371"/>
    <x v="9"/>
    <n v="6.1762499999999996"/>
  </r>
  <r>
    <x v="670"/>
    <s v="Family Type: 3000w x 3050h, Family: Window External Type 3 - Recessed and Angle with Type 1 Flush"/>
    <s v="Vector(X = 0.130, Y = 0.991, Z = 0.000, Length = 1.000)"/>
    <n v="0.1"/>
    <n v="1"/>
    <n v="0"/>
    <n v="84.289406862500371"/>
    <x v="9"/>
    <n v="6.1762499999999996"/>
  </r>
  <r>
    <x v="671"/>
    <n v="2707"/>
    <n v="1529304"/>
    <n v="0"/>
    <n v="0"/>
    <n v="0"/>
    <e v="#DIV/0!"/>
    <x v="4"/>
    <e v="#N/A"/>
  </r>
  <r>
    <x v="671"/>
    <s v="Family Type: 1500w x 3050h, Family: Window External Type 3 - Recessed and Angle"/>
    <s v="Vector(X = 0.130, Y = 0.991, Z = 0.000, Length = 1.000)"/>
    <n v="0.1"/>
    <n v="1"/>
    <n v="0"/>
    <n v="84.289406862500371"/>
    <x v="9"/>
    <n v="4.5750000000000002"/>
  </r>
  <r>
    <x v="671"/>
    <s v="Family Type: 3000w x 3050h, Family: Window External Type 3 - Recessed and Angle with Type 1 Flush"/>
    <s v="Vector(X = 0.130, Y = 0.991, Z = 0.000, Length = 1.000)"/>
    <n v="0.1"/>
    <n v="1"/>
    <n v="0"/>
    <n v="84.289406862500371"/>
    <x v="9"/>
    <n v="6.1762499999999996"/>
  </r>
  <r>
    <x v="672"/>
    <n v="2708"/>
    <n v="1529307"/>
    <n v="0"/>
    <n v="0"/>
    <n v="0"/>
    <e v="#DIV/0!"/>
    <x v="4"/>
    <e v="#N/A"/>
  </r>
  <r>
    <x v="672"/>
    <s v="Family Type: 1950w x 3050h, Family: Window External Type 3 - Recessed and Angle"/>
    <s v="Vector(X = 0.130, Y = 0.991, Z = 0.000, Length = 1.000)"/>
    <n v="0.1"/>
    <n v="1"/>
    <n v="0"/>
    <n v="84.289406862500371"/>
    <x v="9"/>
    <n v="5.9474999999999998"/>
  </r>
  <r>
    <x v="672"/>
    <s v="Family Type: 1500w x 3050h, Family: Window External Type 3 - Recessed and Angle"/>
    <s v="Vector(X = 0.130, Y = 0.991, Z = 0.000, Length = 1.000)"/>
    <n v="0.1"/>
    <n v="1"/>
    <n v="0"/>
    <n v="84.289406862500371"/>
    <x v="9"/>
    <n v="4.5750000000000002"/>
  </r>
  <r>
    <x v="673"/>
    <n v="2709"/>
    <n v="1529310"/>
    <n v="0"/>
    <n v="0"/>
    <n v="0"/>
    <e v="#DIV/0!"/>
    <x v="4"/>
    <e v="#N/A"/>
  </r>
  <r>
    <x v="673"/>
    <s v="Family Type: 1500w x 3050h, Family: Window External Type 3 - Recessed and Angle"/>
    <s v="Vector(X = 0.130, Y = 0.991, Z = 0.000, Length = 1.000)"/>
    <n v="0.1"/>
    <n v="1"/>
    <n v="0"/>
    <n v="84.289406862500371"/>
    <x v="9"/>
    <n v="4.5750000000000002"/>
  </r>
  <r>
    <x v="674"/>
    <n v="2711"/>
    <n v="1531930"/>
    <n v="0"/>
    <n v="0"/>
    <n v="0"/>
    <e v="#DIV/0!"/>
    <x v="4"/>
    <e v="#N/A"/>
  </r>
  <r>
    <x v="674"/>
    <s v="Family Type: 3000w x 3050h, Family: Window External Type 3 - Recessed and Angle with Type 1 Flush"/>
    <s v="Vector(X = -0.130, Y = -0.991, Z = 0.000, Length = 1.000)"/>
    <n v="-0.1"/>
    <n v="-1"/>
    <n v="0"/>
    <n v="-95.710593137499629"/>
    <x v="8"/>
    <n v="6.1762499999999996"/>
  </r>
  <r>
    <x v="128"/>
    <n v="0"/>
    <n v="0"/>
    <n v="0"/>
    <n v="0"/>
    <n v="0"/>
    <e v="#DIV/0!"/>
    <x v="4"/>
    <e v="#N/A"/>
  </r>
  <r>
    <x v="675"/>
    <s v="L02-THE-ABI-S115-01"/>
    <n v="1809683"/>
    <n v="0"/>
    <n v="0"/>
    <n v="0"/>
    <e v="#DIV/0!"/>
    <x v="4"/>
    <e v="#N/A"/>
  </r>
  <r>
    <x v="675"/>
    <s v="Family Type: 1500w x 3050h, Family: Window External Type 3 - Recessed and Angle"/>
    <s v="Vector(X = -0.212, Y = 0.977, Z = 0.000, Length = 1.000)"/>
    <n v="-0.2"/>
    <n v="1"/>
    <n v="0"/>
    <n v="101.3099324740202"/>
    <x v="1"/>
    <n v="4.5750000000000002"/>
  </r>
  <r>
    <x v="675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675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675"/>
    <s v="Family Type: 1500w x 3050h, Family: Window External Type 3 - Recessed and Angle"/>
    <s v="Vector(X = 0.977, Y = 0.212, Z = 0.000, Length = 1.000)"/>
    <n v="1"/>
    <n v="0.2"/>
    <n v="0"/>
    <n v="11.309932474020215"/>
    <x v="5"/>
    <n v="4.5750000000000002"/>
  </r>
  <r>
    <x v="675"/>
    <s v="Family Type: 1500w x 3050h, Family: Window External Type 3 - Recessed and Angle"/>
    <s v="Vector(X = 0.977, Y = 0.212, Z = 0.000, Length = 1.000)"/>
    <n v="1"/>
    <n v="0.2"/>
    <n v="0"/>
    <n v="11.309932474020215"/>
    <x v="5"/>
    <n v="4.5750000000000002"/>
  </r>
  <r>
    <x v="675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675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676"/>
    <s v="L02-THE-CRU-U0605-01"/>
    <n v="1809692"/>
    <n v="0"/>
    <n v="0"/>
    <n v="0"/>
    <e v="#DIV/0!"/>
    <x v="4"/>
    <e v="#N/A"/>
  </r>
  <r>
    <x v="676"/>
    <s v="Family Type: 1500w x 3050h, Family: Window Internal Type 1 - Flush"/>
    <s v="Vector(X = 0.212, Y = -0.977, Z = 0.000, Length = 1.000)"/>
    <n v="0.2"/>
    <n v="-1"/>
    <n v="0"/>
    <n v="-78.690067525979785"/>
    <x v="3"/>
    <n v="4.5749999999999993"/>
  </r>
  <r>
    <x v="677"/>
    <s v="L02-THE-CRU-U0602-07"/>
    <n v="1809712"/>
    <n v="0"/>
    <n v="0"/>
    <n v="0"/>
    <e v="#DIV/0!"/>
    <x v="4"/>
    <e v="#N/A"/>
  </r>
  <r>
    <x v="677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678"/>
    <s v="L02-THE-CRU-U0602-09"/>
    <n v="1809714"/>
    <n v="0"/>
    <n v="0"/>
    <n v="0"/>
    <e v="#DIV/0!"/>
    <x v="4"/>
    <e v="#N/A"/>
  </r>
  <r>
    <x v="678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79"/>
    <s v="L02-THE-CRU-U0602-10"/>
    <n v="1809715"/>
    <n v="0"/>
    <n v="0"/>
    <n v="0"/>
    <e v="#DIV/0!"/>
    <x v="4"/>
    <e v="#N/A"/>
  </r>
  <r>
    <x v="679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80"/>
    <s v="L02-THE-CRU-U0602-11"/>
    <n v="1809716"/>
    <n v="0"/>
    <n v="0"/>
    <n v="0"/>
    <e v="#DIV/0!"/>
    <x v="4"/>
    <e v="#N/A"/>
  </r>
  <r>
    <x v="680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681"/>
    <s v="L02-THE-CRU-U0602-13"/>
    <n v="1809718"/>
    <n v="0"/>
    <n v="0"/>
    <n v="0"/>
    <e v="#DIV/0!"/>
    <x v="4"/>
    <e v="#N/A"/>
  </r>
  <r>
    <x v="681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682"/>
    <s v="L02-THE-CRU-U0602-14"/>
    <n v="1809719"/>
    <n v="0"/>
    <n v="0"/>
    <n v="0"/>
    <e v="#DIV/0!"/>
    <x v="4"/>
    <e v="#N/A"/>
  </r>
  <r>
    <x v="682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83"/>
    <s v="L02-THE-CRU-U0602-17"/>
    <n v="1809721"/>
    <n v="0"/>
    <n v="0"/>
    <n v="0"/>
    <e v="#DIV/0!"/>
    <x v="4"/>
    <e v="#N/A"/>
  </r>
  <r>
    <x v="683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684"/>
    <s v="L02-THE-DOT-S057-01"/>
    <n v="1809742"/>
    <n v="0"/>
    <n v="0"/>
    <n v="0"/>
    <e v="#DIV/0!"/>
    <x v="4"/>
    <e v="#N/A"/>
  </r>
  <r>
    <x v="684"/>
    <s v="Family Type: 1950w x 3050h, Family: Window Internal Type 1 - Flush"/>
    <s v="Vector(X = 0.212, Y = -0.977, Z = 0.000, Length = 1.000)"/>
    <n v="0.2"/>
    <n v="-1"/>
    <n v="0"/>
    <n v="-78.690067525979785"/>
    <x v="3"/>
    <n v="5.9474999999999998"/>
  </r>
  <r>
    <x v="685"/>
    <s v="L02-THE-DOT-S023-01"/>
    <n v="1809749"/>
    <n v="0"/>
    <n v="0"/>
    <n v="0"/>
    <e v="#DIV/0!"/>
    <x v="4"/>
    <e v="#N/A"/>
  </r>
  <r>
    <x v="685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86"/>
    <s v="L02-THE-DOT-U0534-01"/>
    <n v="1809753"/>
    <n v="0"/>
    <n v="0"/>
    <n v="0"/>
    <e v="#DIV/0!"/>
    <x v="4"/>
    <e v="#N/A"/>
  </r>
  <r>
    <x v="686"/>
    <s v="Family Type: 1500w x 3050h, Family: Window External Type 1 - Recessed"/>
    <s v="Vector(X = 0.977, Y = 0.212, Z = 0.000, Length = 1.000)"/>
    <n v="1"/>
    <n v="0.2"/>
    <n v="0"/>
    <n v="11.309932474020215"/>
    <x v="5"/>
    <n v="4.5750000000000002"/>
  </r>
  <r>
    <x v="687"/>
    <s v="L02-THE-DOT-S004-01"/>
    <n v="1809754"/>
    <n v="0"/>
    <n v="0"/>
    <n v="0"/>
    <e v="#DIV/0!"/>
    <x v="4"/>
    <e v="#N/A"/>
  </r>
  <r>
    <x v="687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688"/>
    <s v="L02-THE-DOT-U0538-01"/>
    <n v="1809759"/>
    <n v="0"/>
    <n v="0"/>
    <n v="0"/>
    <e v="#DIV/0!"/>
    <x v="4"/>
    <e v="#N/A"/>
  </r>
  <r>
    <x v="688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88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688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89"/>
    <s v="L02-THE-DOT-U0539-01"/>
    <n v="1809760"/>
    <n v="0"/>
    <n v="0"/>
    <n v="0"/>
    <e v="#DIV/0!"/>
    <x v="4"/>
    <e v="#N/A"/>
  </r>
  <r>
    <x v="689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690"/>
    <s v="L02-THE-DOT-S066-05"/>
    <n v="1809761"/>
    <n v="0"/>
    <n v="0"/>
    <n v="0"/>
    <e v="#DIV/0!"/>
    <x v="4"/>
    <e v="#N/A"/>
  </r>
  <r>
    <x v="690"/>
    <s v="Family Type: 975w x 3050h, Family: Window External Type 1 - Recessed"/>
    <s v="Vector(X = 0.872, Y = 0.489, Z = 0.000, Length = 1.000)"/>
    <n v="0.9"/>
    <n v="0.5"/>
    <n v="0"/>
    <n v="29.054604099077146"/>
    <x v="5"/>
    <n v="2.9737499999999999"/>
  </r>
  <r>
    <x v="690"/>
    <s v="Family Type: 1500w x 3050h, Family: Window External Type 1 - Recessed"/>
    <s v="Vector(X = 0.872, Y = 0.489, Z = 0.000, Length = 1.000)"/>
    <n v="0.9"/>
    <n v="0.5"/>
    <n v="0"/>
    <n v="29.054604099077146"/>
    <x v="5"/>
    <n v="4.5750000000000002"/>
  </r>
  <r>
    <x v="691"/>
    <s v="L02-THE-DOT-S066-02"/>
    <n v="1809762"/>
    <n v="0"/>
    <n v="0"/>
    <n v="0"/>
    <e v="#DIV/0!"/>
    <x v="4"/>
    <e v="#N/A"/>
  </r>
  <r>
    <x v="691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691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692"/>
    <s v="L02-THE-DOT-S066-03"/>
    <n v="1809763"/>
    <n v="0"/>
    <n v="0"/>
    <n v="0"/>
    <e v="#DIV/0!"/>
    <x v="4"/>
    <e v="#N/A"/>
  </r>
  <r>
    <x v="692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692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693"/>
    <s v="L02-THE-DOT-U0541-01"/>
    <n v="1809765"/>
    <n v="0"/>
    <n v="0"/>
    <n v="0"/>
    <e v="#DIV/0!"/>
    <x v="4"/>
    <e v="#N/A"/>
  </r>
  <r>
    <x v="693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94"/>
    <s v="L02-THE-DOT-U0542-01"/>
    <n v="1809766"/>
    <n v="0"/>
    <n v="0"/>
    <n v="0"/>
    <e v="#DIV/0!"/>
    <x v="4"/>
    <e v="#N/A"/>
  </r>
  <r>
    <x v="694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695"/>
    <s v="L02-THE-DOT-U0545-01"/>
    <n v="1809769"/>
    <n v="0"/>
    <n v="0"/>
    <n v="0"/>
    <e v="#DIV/0!"/>
    <x v="4"/>
    <e v="#N/A"/>
  </r>
  <r>
    <x v="695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696"/>
    <s v="L02-THE-DOT-U0548-01"/>
    <n v="1809772"/>
    <n v="0"/>
    <n v="0"/>
    <n v="0"/>
    <e v="#DIV/0!"/>
    <x v="4"/>
    <e v="#N/A"/>
  </r>
  <r>
    <x v="696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697"/>
    <s v="L02-THE-DOT-S100-02"/>
    <n v="1809776"/>
    <n v="0"/>
    <n v="0"/>
    <n v="0"/>
    <e v="#DIV/0!"/>
    <x v="4"/>
    <e v="#N/A"/>
  </r>
  <r>
    <x v="697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698"/>
    <s v="L02-THE-DOT-S004-02"/>
    <n v="1809779"/>
    <n v="0"/>
    <n v="0"/>
    <n v="0"/>
    <e v="#DIV/0!"/>
    <x v="4"/>
    <e v="#N/A"/>
  </r>
  <r>
    <x v="698"/>
    <s v="Family Type: 1500w x 3050h, Family: Window Internal Type 1 - Flush"/>
    <s v="Vector(X = -0.872, Y = -0.489, Z = 0.000, Length = 1.000)"/>
    <n v="-0.9"/>
    <n v="-0.5"/>
    <n v="0"/>
    <n v="-150.94539590092285"/>
    <x v="2"/>
    <n v="4.5749999999999993"/>
  </r>
  <r>
    <x v="699"/>
    <s v="L02-THE-DOT-S066-01"/>
    <n v="1809780"/>
    <n v="0"/>
    <n v="0"/>
    <n v="0"/>
    <e v="#DIV/0!"/>
    <x v="4"/>
    <e v="#N/A"/>
  </r>
  <r>
    <x v="699"/>
    <s v="Family Type: 1500w x 3050h, Family: Window External Type 1 - Recessed"/>
    <s v="Vector(X = 0.873, Y = 0.489, Z = 0.000, Length = 1.000)"/>
    <n v="0.9"/>
    <n v="0.5"/>
    <n v="0"/>
    <n v="29.054604099077146"/>
    <x v="5"/>
    <n v="4.5750000000000002"/>
  </r>
  <r>
    <x v="699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00"/>
    <s v="L02-THE-DOT-U0562-01"/>
    <n v="1809789"/>
    <n v="0"/>
    <n v="0"/>
    <n v="0"/>
    <e v="#DIV/0!"/>
    <x v="4"/>
    <e v="#N/A"/>
  </r>
  <r>
    <x v="700"/>
    <s v="Family Type: 975w x 3050h, Family: Window External Type 1 - Recessed"/>
    <s v="Vector(X = 0.955, Y = 0.297, Z = 0.000, Length = 1.000)"/>
    <n v="1"/>
    <n v="0.3"/>
    <n v="0"/>
    <n v="16.699244233993621"/>
    <x v="5"/>
    <n v="2.9737499999999999"/>
  </r>
  <r>
    <x v="701"/>
    <s v="L02-THE-DOT-S100-01"/>
    <n v="1809790"/>
    <n v="0"/>
    <n v="0"/>
    <n v="0"/>
    <e v="#DIV/0!"/>
    <x v="4"/>
    <e v="#N/A"/>
  </r>
  <r>
    <x v="701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02"/>
    <s v="L02-THE-DOT-U0565-01"/>
    <n v="1809797"/>
    <n v="0"/>
    <n v="0"/>
    <n v="0"/>
    <e v="#DIV/0!"/>
    <x v="4"/>
    <e v="#N/A"/>
  </r>
  <r>
    <x v="702"/>
    <s v="Family Type: 1950w x 3050h, Family: Window Internal Type 1 - Flush"/>
    <s v="Vector(X = -0.872, Y = -0.489, Z = 0.000, Length = 1.000)"/>
    <n v="-0.9"/>
    <n v="-0.5"/>
    <n v="0"/>
    <n v="-150.94539590092285"/>
    <x v="2"/>
    <n v="5.9474999999999998"/>
  </r>
  <r>
    <x v="702"/>
    <s v="Family Type: 975w x 3050h, Family: Window Internal Type 1 - Flush"/>
    <s v="Vector(X = 0.489, Y = -0.873, Z = 0.000, Length = 1.000)"/>
    <n v="0.5"/>
    <n v="-0.9"/>
    <n v="0"/>
    <n v="-60.945395900922861"/>
    <x v="3"/>
    <n v="2.9737499999999999"/>
  </r>
  <r>
    <x v="702"/>
    <s v="Family Type: 975w x 3050h, Family: Window Internal Type 1 - Flush"/>
    <s v="Vector(X = 0.489, Y = -0.873, Z = 0.000, Length = 1.000)"/>
    <n v="0.5"/>
    <n v="-0.9"/>
    <n v="0"/>
    <n v="-60.945395900922861"/>
    <x v="3"/>
    <n v="2.9737499999999999"/>
  </r>
  <r>
    <x v="702"/>
    <s v="Family Type: 650w x 3050h, Family: Window Internal Type 1 - Flush"/>
    <s v="Vector(X = 0.489, Y = -0.873, Z = 0.000, Length = 1.000)"/>
    <n v="0.5"/>
    <n v="-0.9"/>
    <n v="0"/>
    <n v="-60.945395900922861"/>
    <x v="3"/>
    <n v="1.9824999999999999"/>
  </r>
  <r>
    <x v="703"/>
    <s v="L02-THE-DOT-U0566-01"/>
    <n v="1809798"/>
    <n v="0"/>
    <n v="0"/>
    <n v="0"/>
    <e v="#DIV/0!"/>
    <x v="4"/>
    <e v="#N/A"/>
  </r>
  <r>
    <x v="703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703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04"/>
    <s v="L02-THE-DOT-U0568-01"/>
    <n v="1809800"/>
    <n v="0"/>
    <n v="0"/>
    <n v="0"/>
    <e v="#DIV/0!"/>
    <x v="4"/>
    <e v="#N/A"/>
  </r>
  <r>
    <x v="704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705"/>
    <s v="L02-THE-DOT-S004-04"/>
    <n v="1809806"/>
    <n v="0"/>
    <n v="0"/>
    <n v="0"/>
    <e v="#DIV/0!"/>
    <x v="4"/>
    <e v="#N/A"/>
  </r>
  <r>
    <x v="705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706"/>
    <s v="L02-THE-DOT-S004-06"/>
    <n v="1809807"/>
    <n v="0"/>
    <n v="0"/>
    <n v="0"/>
    <e v="#DIV/0!"/>
    <x v="4"/>
    <e v="#N/A"/>
  </r>
  <r>
    <x v="706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706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707"/>
    <s v="L02-THE-DOT-S004-10"/>
    <n v="1809809"/>
    <n v="0"/>
    <n v="0"/>
    <n v="0"/>
    <e v="#DIV/0!"/>
    <x v="4"/>
    <e v="#N/A"/>
  </r>
  <r>
    <x v="707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08"/>
    <s v="L02-THE-DOT-S004-12"/>
    <n v="1809810"/>
    <n v="0"/>
    <n v="0"/>
    <n v="0"/>
    <e v="#DIV/0!"/>
    <x v="4"/>
    <e v="#N/A"/>
  </r>
  <r>
    <x v="708"/>
    <s v="Family Type: 1500w x 3050h, Family: Window External Type 1 - Recessed"/>
    <s v="Vector(X = 0.873, Y = 0.489, Z = 0.000, Length = 1.000)"/>
    <n v="0.9"/>
    <n v="0.5"/>
    <n v="0"/>
    <n v="29.054604099077146"/>
    <x v="5"/>
    <n v="4.5750000000000002"/>
  </r>
  <r>
    <x v="709"/>
    <s v="L02-THE-DOT-S004-13"/>
    <n v="1809811"/>
    <n v="0"/>
    <n v="0"/>
    <n v="0"/>
    <e v="#DIV/0!"/>
    <x v="4"/>
    <e v="#N/A"/>
  </r>
  <r>
    <x v="709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10"/>
    <s v="L02-THE-DOT-S066-04"/>
    <n v="1809813"/>
    <n v="0"/>
    <n v="0"/>
    <n v="0"/>
    <e v="#DIV/0!"/>
    <x v="4"/>
    <e v="#N/A"/>
  </r>
  <r>
    <x v="710"/>
    <s v="Family Type: 1500w x 3050h, Family: Window External Type 1 - Recessed"/>
    <s v="Vector(X = 0.873, Y = 0.489, Z = 0.000, Length = 1.000)"/>
    <n v="0.9"/>
    <n v="0.5"/>
    <n v="0"/>
    <n v="29.054604099077146"/>
    <x v="5"/>
    <n v="4.5750000000000002"/>
  </r>
  <r>
    <x v="710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11"/>
    <s v="L02-THE-DOT-S066-06"/>
    <n v="1809814"/>
    <n v="0"/>
    <n v="0"/>
    <n v="0"/>
    <e v="#DIV/0!"/>
    <x v="4"/>
    <e v="#N/A"/>
  </r>
  <r>
    <x v="711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11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11"/>
    <s v="Family Type: 1950w x 3050h, Family: Window External Type 1 - Recessed"/>
    <s v="Vector(X = 0.873, Y = 0.489, Z = 0.000, Length = 1.000)"/>
    <n v="0.9"/>
    <n v="0.5"/>
    <n v="0"/>
    <n v="29.054604099077146"/>
    <x v="5"/>
    <n v="5.9474999999999998"/>
  </r>
  <r>
    <x v="712"/>
    <s v="L02-THE-DOT-S066-08"/>
    <n v="1809815"/>
    <n v="0"/>
    <n v="0"/>
    <n v="0"/>
    <e v="#DIV/0!"/>
    <x v="4"/>
    <e v="#N/A"/>
  </r>
  <r>
    <x v="712"/>
    <s v="Family Type: 1500w x 3050h, Family: Window Internal Type 1 - Flush"/>
    <s v="Vector(X = -0.872, Y = -0.489, Z = 0.000, Length = 1.000)"/>
    <n v="-0.9"/>
    <n v="-0.5"/>
    <n v="0"/>
    <n v="-150.94539590092285"/>
    <x v="2"/>
    <n v="4.5749999999999993"/>
  </r>
  <r>
    <x v="712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713"/>
    <s v="L02-THE-DOT-S066-10"/>
    <n v="1809816"/>
    <n v="0"/>
    <n v="0"/>
    <n v="0"/>
    <e v="#DIV/0!"/>
    <x v="4"/>
    <e v="#N/A"/>
  </r>
  <r>
    <x v="713"/>
    <s v="Family Type: 1950w x 3050h, Family: Window Internal Type 1 - Flush"/>
    <s v="Vector(X = -0.872, Y = -0.489, Z = 0.000, Length = 1.000)"/>
    <n v="-0.9"/>
    <n v="-0.5"/>
    <n v="0"/>
    <n v="-150.94539590092285"/>
    <x v="2"/>
    <n v="5.9474999999999998"/>
  </r>
  <r>
    <x v="713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714"/>
    <s v="L02-THE-DOT-S066-12"/>
    <n v="1809817"/>
    <n v="0"/>
    <n v="0"/>
    <n v="0"/>
    <e v="#DIV/0!"/>
    <x v="4"/>
    <e v="#N/A"/>
  </r>
  <r>
    <x v="714"/>
    <s v="Family Type: 1950w x 3050h, Family: Window Internal Type 1 - Flush"/>
    <s v="Vector(X = -0.872, Y = -0.489, Z = 0.000, Length = 1.000)"/>
    <n v="-0.9"/>
    <n v="-0.5"/>
    <n v="0"/>
    <n v="-150.94539590092285"/>
    <x v="2"/>
    <n v="5.9474999999999998"/>
  </r>
  <r>
    <x v="714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715"/>
    <s v="L02-THE-DOT-S066-13"/>
    <n v="1809818"/>
    <n v="0"/>
    <n v="0"/>
    <n v="0"/>
    <e v="#DIV/0!"/>
    <x v="4"/>
    <e v="#N/A"/>
  </r>
  <r>
    <x v="715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715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16"/>
    <s v="L02-THE-DOT-U0568-02"/>
    <n v="1809846"/>
    <n v="0"/>
    <n v="0"/>
    <n v="0"/>
    <e v="#DIV/0!"/>
    <x v="4"/>
    <e v="#N/A"/>
  </r>
  <r>
    <x v="716"/>
    <s v="Family Type: 1950w x 3050h, Family: Window External Type 3 - Recessed and Angle"/>
    <s v="Vector(X = -0.212, Y = 0.977, Z = 0.000, Length = 1.000)"/>
    <n v="-0.2"/>
    <n v="1"/>
    <n v="0"/>
    <n v="101.3099324740202"/>
    <x v="1"/>
    <n v="5.9474999999999998"/>
  </r>
  <r>
    <x v="716"/>
    <s v="Family Type: 1000w x 3050h, Family: Window External Type 2 - Recessed and Fin"/>
    <s v="Vector(X = -0.212, Y = 0.977, Z = 0.000, Length = 1.000)"/>
    <n v="-0.2"/>
    <n v="1"/>
    <n v="0"/>
    <n v="101.3099324740202"/>
    <x v="1"/>
    <n v="3.05"/>
  </r>
  <r>
    <x v="717"/>
    <s v="L02-THE-DOT-S114-08"/>
    <n v="1809851"/>
    <n v="0"/>
    <n v="0"/>
    <n v="0"/>
    <e v="#DIV/0!"/>
    <x v="4"/>
    <e v="#N/A"/>
  </r>
  <r>
    <x v="717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717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718"/>
    <s v="L02-THE-DOT-U0534-02"/>
    <n v="1809859"/>
    <n v="0"/>
    <n v="0"/>
    <n v="0"/>
    <e v="#DIV/0!"/>
    <x v="4"/>
    <e v="#N/A"/>
  </r>
  <r>
    <x v="718"/>
    <s v="Family Type: 1500w x 3050h, Family: Window External Type 1 - Recessed"/>
    <s v="Vector(X = 0.977, Y = 0.212, Z = 0.000, Length = 1.000)"/>
    <n v="1"/>
    <n v="0.2"/>
    <n v="0"/>
    <n v="11.309932474020215"/>
    <x v="5"/>
    <n v="4.5750000000000002"/>
  </r>
  <r>
    <x v="718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19"/>
    <s v="L02-THE-DOT-S004-03"/>
    <n v="1809862"/>
    <n v="0"/>
    <n v="0"/>
    <n v="0"/>
    <e v="#DIV/0!"/>
    <x v="4"/>
    <e v="#N/A"/>
  </r>
  <r>
    <x v="719"/>
    <s v="Family Type: 1500w x 3050h, Family: Window External Type 3 - Recessed and Angle"/>
    <s v="Vector(X = 0.977, Y = 0.212, Z = 0.000, Length = 1.000)"/>
    <n v="1"/>
    <n v="0.2"/>
    <n v="0"/>
    <n v="11.309932474020215"/>
    <x v="5"/>
    <n v="4.5750000000000002"/>
  </r>
  <r>
    <x v="720"/>
    <s v="L02-THE-DOT-S004-05"/>
    <n v="1809863"/>
    <n v="0"/>
    <n v="0"/>
    <n v="0"/>
    <e v="#DIV/0!"/>
    <x v="4"/>
    <e v="#N/A"/>
  </r>
  <r>
    <x v="720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21"/>
    <s v="L02-THE-DOT-S004-08"/>
    <n v="1809864"/>
    <n v="0"/>
    <n v="0"/>
    <n v="0"/>
    <e v="#DIV/0!"/>
    <x v="4"/>
    <e v="#N/A"/>
  </r>
  <r>
    <x v="721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22"/>
    <s v="L02-THE-DOT-S004-09"/>
    <n v="1809865"/>
    <n v="0"/>
    <n v="0"/>
    <n v="0"/>
    <e v="#DIV/0!"/>
    <x v="4"/>
    <e v="#N/A"/>
  </r>
  <r>
    <x v="722"/>
    <s v="Family Type: 1500w x 3050h, Family: Window External Type 1 - Recessed"/>
    <s v="Vector(X = 0.977, Y = 0.212, Z = 0.000, Length = 1.000)"/>
    <n v="1"/>
    <n v="0.2"/>
    <n v="0"/>
    <n v="11.309932474020215"/>
    <x v="5"/>
    <n v="4.5750000000000002"/>
  </r>
  <r>
    <x v="723"/>
    <s v="L02-THE-DOT-S004-11"/>
    <n v="1809866"/>
    <n v="0"/>
    <n v="0"/>
    <n v="0"/>
    <e v="#DIV/0!"/>
    <x v="4"/>
    <e v="#N/A"/>
  </r>
  <r>
    <x v="723"/>
    <s v="Family Type: 1500w x 3050h, Family: Window External Type 1 - Recessed"/>
    <s v="Vector(X = 0.977, Y = 0.212, Z = 0.000, Length = 1.000)"/>
    <n v="1"/>
    <n v="0.2"/>
    <n v="0"/>
    <n v="11.309932474020215"/>
    <x v="5"/>
    <n v="4.5750000000000002"/>
  </r>
  <r>
    <x v="724"/>
    <s v="L02-THE-DOT-U0538-03"/>
    <n v="1809898"/>
    <n v="0"/>
    <n v="0"/>
    <n v="0"/>
    <e v="#DIV/0!"/>
    <x v="4"/>
    <e v="#N/A"/>
  </r>
  <r>
    <x v="724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724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25"/>
    <s v="L02-THE-DOT-S066-11"/>
    <n v="1809899"/>
    <n v="0"/>
    <n v="0"/>
    <n v="0"/>
    <e v="#DIV/0!"/>
    <x v="4"/>
    <e v="#N/A"/>
  </r>
  <r>
    <x v="725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25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25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26"/>
    <s v="L02-THE-DOT-S066-07"/>
    <n v="1809900"/>
    <n v="0"/>
    <n v="0"/>
    <n v="0"/>
    <e v="#DIV/0!"/>
    <x v="4"/>
    <e v="#N/A"/>
  </r>
  <r>
    <x v="726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26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26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27"/>
    <s v="L02-THE-DOT-S066-09"/>
    <n v="1809901"/>
    <n v="0"/>
    <n v="0"/>
    <n v="0"/>
    <e v="#DIV/0!"/>
    <x v="4"/>
    <e v="#N/A"/>
  </r>
  <r>
    <x v="727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27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728"/>
    <s v="L02-THE-IVS-U0577-01"/>
    <n v="1809910"/>
    <n v="0"/>
    <n v="0"/>
    <n v="0"/>
    <e v="#DIV/0!"/>
    <x v="4"/>
    <e v="#N/A"/>
  </r>
  <r>
    <x v="728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728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28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29"/>
    <s v="L02-THE-IVS-U0579-01"/>
    <n v="1809912"/>
    <n v="0"/>
    <n v="0"/>
    <n v="0"/>
    <e v="#DIV/0!"/>
    <x v="4"/>
    <e v="#N/A"/>
  </r>
  <r>
    <x v="729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30"/>
    <s v="L02-THE-IVS-U0582-01"/>
    <n v="1809916"/>
    <n v="0"/>
    <n v="0"/>
    <n v="0"/>
    <e v="#DIV/0!"/>
    <x v="4"/>
    <e v="#N/A"/>
  </r>
  <r>
    <x v="730"/>
    <s v="Family Type: 975w x 3050h, Family: Window External Type 1 - Recessed"/>
    <s v="Vector(X = 0.872, Y = 0.489, Z = 0.000, Length = 1.000)"/>
    <n v="0.9"/>
    <n v="0.5"/>
    <n v="0"/>
    <n v="29.054604099077146"/>
    <x v="5"/>
    <n v="2.9737499999999999"/>
  </r>
  <r>
    <x v="731"/>
    <s v="L02-THE-IVS-U0586-01"/>
    <n v="1809920"/>
    <n v="0"/>
    <n v="0"/>
    <n v="0"/>
    <e v="#DIV/0!"/>
    <x v="4"/>
    <e v="#N/A"/>
  </r>
  <r>
    <x v="731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732"/>
    <s v="L02-THE-IVS-S099-01"/>
    <n v="1809922"/>
    <n v="0"/>
    <n v="0"/>
    <n v="0"/>
    <e v="#DIV/0!"/>
    <x v="4"/>
    <e v="#N/A"/>
  </r>
  <r>
    <x v="732"/>
    <s v="Family Type: 975w x 3050h, Family: Window External Type 1 - Recessed"/>
    <s v="Vector(X = 0.872, Y = 0.489, Z = 0.000, Length = 1.000)"/>
    <n v="0.9"/>
    <n v="0.5"/>
    <n v="0"/>
    <n v="29.054604099077146"/>
    <x v="5"/>
    <n v="2.9737499999999999"/>
  </r>
  <r>
    <x v="733"/>
    <s v="L02-THE-MRI-U0573-01"/>
    <n v="1809928"/>
    <n v="0"/>
    <n v="0"/>
    <n v="0"/>
    <e v="#DIV/0!"/>
    <x v="4"/>
    <e v="#N/A"/>
  </r>
  <r>
    <x v="733"/>
    <s v="Family Type: 975w x 3050h, Family: Window External Type 1 - Recessed"/>
    <s v="Vector(X = 0.212, Y = -0.977, Z = 0.000, Length = 1.000)"/>
    <n v="0.2"/>
    <n v="-1"/>
    <n v="0"/>
    <n v="-78.690067525979785"/>
    <x v="3"/>
    <n v="2.9737499999999999"/>
  </r>
  <r>
    <x v="734"/>
    <s v="L02-THE-DOT-S066-14"/>
    <n v="1810185"/>
    <n v="0"/>
    <n v="0"/>
    <n v="0"/>
    <e v="#DIV/0!"/>
    <x v="4"/>
    <e v="#N/A"/>
  </r>
  <r>
    <x v="734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34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34"/>
    <s v="Family Type: 1500w x 3050h, Family: Window External Type 1 - Recessed"/>
    <s v="Vector(X = 0.977, Y = 0.212, Z = 0.000, Length = 1.000)"/>
    <n v="1"/>
    <n v="0.2"/>
    <n v="0"/>
    <n v="11.309932474020215"/>
    <x v="5"/>
    <n v="4.5750000000000002"/>
  </r>
  <r>
    <x v="735"/>
    <s v="L02-THE-DOT-S004-15"/>
    <n v="1810186"/>
    <n v="0"/>
    <n v="0"/>
    <n v="0"/>
    <e v="#DIV/0!"/>
    <x v="4"/>
    <e v="#N/A"/>
  </r>
  <r>
    <x v="735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36"/>
    <n v="9"/>
    <n v="1810236"/>
    <n v="0"/>
    <n v="0"/>
    <n v="0"/>
    <e v="#DIV/0!"/>
    <x v="4"/>
    <e v="#N/A"/>
  </r>
  <r>
    <x v="736"/>
    <s v="Family Type: 1950w x 3050h, Family: Window Internal Type 1 - Flush"/>
    <s v="Vector(X = 0.212, Y = -0.977, Z = 0.000, Length = 1.000)"/>
    <n v="0.2"/>
    <n v="-1"/>
    <n v="0"/>
    <n v="-78.690067525979785"/>
    <x v="3"/>
    <n v="5.9474999999999998"/>
  </r>
  <r>
    <x v="736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736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737"/>
    <s v="L02-THE-CRU-S131-09"/>
    <n v="1853669"/>
    <n v="0"/>
    <n v="0"/>
    <n v="0"/>
    <e v="#DIV/0!"/>
    <x v="4"/>
    <e v="#N/A"/>
  </r>
  <r>
    <x v="737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738"/>
    <s v="L02-THE-CRU-S130-04"/>
    <n v="1853676"/>
    <n v="0"/>
    <n v="0"/>
    <n v="0"/>
    <e v="#DIV/0!"/>
    <x v="4"/>
    <e v="#N/A"/>
  </r>
  <r>
    <x v="738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739"/>
    <n v="14"/>
    <n v="1879682"/>
    <n v="0"/>
    <n v="0"/>
    <n v="0"/>
    <e v="#DIV/0!"/>
    <x v="4"/>
    <e v="#N/A"/>
  </r>
  <r>
    <x v="739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739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740"/>
    <n v="15"/>
    <n v="1879685"/>
    <n v="0"/>
    <n v="0"/>
    <n v="0"/>
    <e v="#DIV/0!"/>
    <x v="4"/>
    <e v="#N/A"/>
  </r>
  <r>
    <x v="740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740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128"/>
    <n v="0"/>
    <n v="0"/>
    <n v="0"/>
    <n v="0"/>
    <n v="0"/>
    <e v="#DIV/0!"/>
    <x v="4"/>
    <e v="#N/A"/>
  </r>
  <r>
    <x v="741"/>
    <s v="L01-ICU-CIC-S087-01"/>
    <n v="1864907"/>
    <n v="0"/>
    <n v="0"/>
    <n v="0"/>
    <e v="#DIV/0!"/>
    <x v="4"/>
    <e v="#N/A"/>
  </r>
  <r>
    <x v="741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41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42"/>
    <s v="L01-ICU-CIC-U0100-01"/>
    <n v="1864933"/>
    <n v="0"/>
    <n v="0"/>
    <n v="0"/>
    <e v="#DIV/0!"/>
    <x v="4"/>
    <e v="#N/A"/>
  </r>
  <r>
    <x v="742"/>
    <s v="Family Type: 1950w x 3050h, Family: Window External Type 3 - Recessed and Angle"/>
    <s v="Vector(X = 0.212, Y = -0.977, Z = 0.000, Length = 1.000)"/>
    <n v="0.2"/>
    <n v="-1"/>
    <n v="0"/>
    <n v="-78.690067525979785"/>
    <x v="3"/>
    <n v="5.9474999999999998"/>
  </r>
  <r>
    <x v="742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742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743"/>
    <s v="L01-ICU-CIC-S057-01"/>
    <n v="1864937"/>
    <n v="0"/>
    <n v="0"/>
    <n v="0"/>
    <e v="#DIV/0!"/>
    <x v="4"/>
    <e v="#N/A"/>
  </r>
  <r>
    <x v="743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744"/>
    <s v="L01-ICU-CIC-S087-02"/>
    <n v="1864960"/>
    <n v="0"/>
    <n v="0"/>
    <n v="0"/>
    <e v="#DIV/0!"/>
    <x v="4"/>
    <e v="#N/A"/>
  </r>
  <r>
    <x v="744"/>
    <s v="Family Type: 1500w x 3050h, Family: Window External Type 1 - Recessed"/>
    <s v="Vector(X = 0.977, Y = 0.212, Z = 0.000, Length = 1.000)"/>
    <n v="1"/>
    <n v="0.2"/>
    <n v="0"/>
    <n v="11.309932474020215"/>
    <x v="5"/>
    <n v="4.5750000000000002"/>
  </r>
  <r>
    <x v="744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45"/>
    <s v="L01-ICU-CIC-S087-03"/>
    <n v="1864961"/>
    <n v="0"/>
    <n v="0"/>
    <n v="0"/>
    <e v="#DIV/0!"/>
    <x v="4"/>
    <e v="#N/A"/>
  </r>
  <r>
    <x v="745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746"/>
    <s v="L01-ICU-CIC-S087-04"/>
    <n v="1864962"/>
    <n v="0"/>
    <n v="0"/>
    <n v="0"/>
    <e v="#DIV/0!"/>
    <x v="4"/>
    <e v="#N/A"/>
  </r>
  <r>
    <x v="746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47"/>
    <s v="L01-ICU-CIC-S087-05"/>
    <n v="1864963"/>
    <n v="0"/>
    <n v="0"/>
    <n v="0"/>
    <e v="#DIV/0!"/>
    <x v="4"/>
    <e v="#N/A"/>
  </r>
  <r>
    <x v="747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747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48"/>
    <s v="L01-ICU-CIC-S087-06"/>
    <n v="1864964"/>
    <n v="0"/>
    <n v="0"/>
    <n v="0"/>
    <e v="#DIV/0!"/>
    <x v="4"/>
    <e v="#N/A"/>
  </r>
  <r>
    <x v="748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749"/>
    <s v="L01-ICU-CIC-S087-07"/>
    <n v="1864965"/>
    <n v="0"/>
    <n v="0"/>
    <n v="0"/>
    <e v="#DIV/0!"/>
    <x v="4"/>
    <e v="#N/A"/>
  </r>
  <r>
    <x v="749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750"/>
    <s v="L01-ICU-CIC-S087-08"/>
    <n v="1864966"/>
    <n v="0"/>
    <n v="0"/>
    <n v="0"/>
    <e v="#DIV/0!"/>
    <x v="4"/>
    <e v="#N/A"/>
  </r>
  <r>
    <x v="750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51"/>
    <s v="L01-ICU-CIC-S087-09"/>
    <n v="1864967"/>
    <n v="0"/>
    <n v="0"/>
    <n v="0"/>
    <e v="#DIV/0!"/>
    <x v="4"/>
    <e v="#N/A"/>
  </r>
  <r>
    <x v="751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752"/>
    <s v="L01-ICU-CIC-S087-10"/>
    <n v="1864968"/>
    <n v="0"/>
    <n v="0"/>
    <n v="0"/>
    <e v="#DIV/0!"/>
    <x v="4"/>
    <e v="#N/A"/>
  </r>
  <r>
    <x v="752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753"/>
    <s v="L01-ICU-CIC-S087-11"/>
    <n v="1864969"/>
    <n v="0"/>
    <n v="0"/>
    <n v="0"/>
    <e v="#DIV/0!"/>
    <x v="4"/>
    <e v="#N/A"/>
  </r>
  <r>
    <x v="753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53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54"/>
    <s v="L01-ICU-CIC-S087-12"/>
    <n v="1864970"/>
    <n v="0"/>
    <n v="0"/>
    <n v="0"/>
    <e v="#DIV/0!"/>
    <x v="4"/>
    <e v="#N/A"/>
  </r>
  <r>
    <x v="754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754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755"/>
    <s v="L01-ICU-CIC-S087-14"/>
    <n v="1864972"/>
    <n v="0"/>
    <n v="0"/>
    <n v="0"/>
    <e v="#DIV/0!"/>
    <x v="4"/>
    <e v="#N/A"/>
  </r>
  <r>
    <x v="755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756"/>
    <s v="L01-ICU-CIC-S087-17"/>
    <n v="1864975"/>
    <n v="0"/>
    <n v="0"/>
    <n v="0"/>
    <e v="#DIV/0!"/>
    <x v="4"/>
    <e v="#N/A"/>
  </r>
  <r>
    <x v="756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56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57"/>
    <s v="L01-ICU-CIC-S087-18"/>
    <n v="1864976"/>
    <n v="0"/>
    <n v="0"/>
    <n v="0"/>
    <e v="#DIV/0!"/>
    <x v="4"/>
    <e v="#N/A"/>
  </r>
  <r>
    <x v="757"/>
    <s v="Family Type: 1500w x 3050h, Family: Window External Type 1 - Recessed"/>
    <s v="Vector(X = 0.977, Y = 0.212, Z = 0.000, Length = 1.000)"/>
    <n v="1"/>
    <n v="0.2"/>
    <n v="0"/>
    <n v="11.309932474020215"/>
    <x v="5"/>
    <n v="4.5750000000000002"/>
  </r>
  <r>
    <x v="757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58"/>
    <s v="L01-ICU-CIC-S044-03"/>
    <n v="1864979"/>
    <n v="0"/>
    <n v="0"/>
    <n v="0"/>
    <e v="#DIV/0!"/>
    <x v="4"/>
    <e v="#N/A"/>
  </r>
  <r>
    <x v="758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59"/>
    <s v="L01-ICU-NCU-S046-01"/>
    <n v="1864992"/>
    <n v="0"/>
    <n v="0"/>
    <n v="0"/>
    <e v="#DIV/0!"/>
    <x v="4"/>
    <e v="#N/A"/>
  </r>
  <r>
    <x v="759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760"/>
    <s v="L01-ICU-NCU-S087-01"/>
    <n v="1864995"/>
    <n v="0"/>
    <n v="0"/>
    <n v="0"/>
    <e v="#DIV/0!"/>
    <x v="4"/>
    <e v="#N/A"/>
  </r>
  <r>
    <x v="760"/>
    <s v="Family Type: 1500w x 3050h, Family: Window External Type 1 - Recessed"/>
    <s v="Vector(X = 0.977, Y = 0.212, Z = 0.000, Length = 1.000)"/>
    <n v="1"/>
    <n v="0.2"/>
    <n v="0"/>
    <n v="11.309932474020215"/>
    <x v="5"/>
    <n v="4.5750000000000002"/>
  </r>
  <r>
    <x v="761"/>
    <s v="L01-ICU-NCU-S086-01"/>
    <n v="1864996"/>
    <n v="0"/>
    <n v="0"/>
    <n v="0"/>
    <e v="#DIV/0!"/>
    <x v="4"/>
    <e v="#N/A"/>
  </r>
  <r>
    <x v="761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762"/>
    <s v="L01-ICU-NCU-U0107-01"/>
    <n v="1865016"/>
    <n v="0"/>
    <n v="0"/>
    <n v="0"/>
    <e v="#DIV/0!"/>
    <x v="4"/>
    <e v="#N/A"/>
  </r>
  <r>
    <x v="762"/>
    <s v="Family Type: 975w x 3050h, Family: Window External Type 1 - Recessed"/>
    <s v="Vector(X = 0.872, Y = 0.489, Z = 0.000, Length = 1.000)"/>
    <n v="0.9"/>
    <n v="0.5"/>
    <n v="0"/>
    <n v="29.054604099077146"/>
    <x v="5"/>
    <n v="2.9737499999999999"/>
  </r>
  <r>
    <x v="763"/>
    <s v="L01-ICU-NCU-S057-01"/>
    <n v="1865019"/>
    <n v="0"/>
    <n v="0"/>
    <n v="0"/>
    <e v="#DIV/0!"/>
    <x v="4"/>
    <e v="#N/A"/>
  </r>
  <r>
    <x v="763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764"/>
    <s v="L01-ICU-NCU-S087-03"/>
    <n v="1865043"/>
    <n v="0"/>
    <n v="0"/>
    <n v="0"/>
    <e v="#DIV/0!"/>
    <x v="4"/>
    <e v="#N/A"/>
  </r>
  <r>
    <x v="764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764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765"/>
    <s v="L01-ICU-NCU-S087-04"/>
    <n v="1865044"/>
    <n v="0"/>
    <n v="0"/>
    <n v="0"/>
    <e v="#DIV/0!"/>
    <x v="4"/>
    <e v="#N/A"/>
  </r>
  <r>
    <x v="765"/>
    <s v="Family Type: 1500w x 3050h, Family: Window Internal Type 1 - Flush"/>
    <s v="Vector(X = -0.977, Y = -0.212, Z = 0.000, Length = 1.000)"/>
    <n v="-1"/>
    <n v="-0.2"/>
    <n v="0"/>
    <n v="-168.69006752597977"/>
    <x v="2"/>
    <n v="4.5749999999999993"/>
  </r>
  <r>
    <x v="766"/>
    <s v="L01-ICU-NCU-S087-05"/>
    <n v="1865045"/>
    <n v="0"/>
    <n v="0"/>
    <n v="0"/>
    <e v="#DIV/0!"/>
    <x v="4"/>
    <e v="#N/A"/>
  </r>
  <r>
    <x v="766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767"/>
    <s v="L01-ICU-NCU-S087-06"/>
    <n v="1865046"/>
    <n v="0"/>
    <n v="0"/>
    <n v="0"/>
    <e v="#DIV/0!"/>
    <x v="4"/>
    <e v="#N/A"/>
  </r>
  <r>
    <x v="767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768"/>
    <s v="L01-ICU-NCU-S087-07"/>
    <n v="1865047"/>
    <n v="0"/>
    <n v="0"/>
    <n v="0"/>
    <e v="#DIV/0!"/>
    <x v="4"/>
    <e v="#N/A"/>
  </r>
  <r>
    <x v="768"/>
    <s v="Family Type: 975w x 3050h, Family: Window Internal Type 1 - Flush"/>
    <s v="Vector(X = -0.977, Y = -0.212, Z = 0.000, Length = 1.000)"/>
    <n v="-1"/>
    <n v="-0.2"/>
    <n v="0"/>
    <n v="-168.69006752597977"/>
    <x v="2"/>
    <n v="2.9737499999999999"/>
  </r>
  <r>
    <x v="769"/>
    <s v="L01-ICU-NCU-S087-14"/>
    <n v="1865054"/>
    <n v="0"/>
    <n v="0"/>
    <n v="0"/>
    <e v="#DIV/0!"/>
    <x v="4"/>
    <e v="#N/A"/>
  </r>
  <r>
    <x v="769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770"/>
    <s v="L01-ICU-NCU-S087-15"/>
    <n v="1865055"/>
    <n v="0"/>
    <n v="0"/>
    <n v="0"/>
    <e v="#DIV/0!"/>
    <x v="4"/>
    <e v="#N/A"/>
  </r>
  <r>
    <x v="770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70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71"/>
    <s v="L01-ICU-NCU-S087-16"/>
    <n v="1865056"/>
    <n v="0"/>
    <n v="0"/>
    <n v="0"/>
    <e v="#DIV/0!"/>
    <x v="4"/>
    <e v="#N/A"/>
  </r>
  <r>
    <x v="771"/>
    <s v="Family Type: 1500w x 3050h, Family: Window External Type 1 - Recessed"/>
    <s v="Vector(X = 0.977, Y = 0.212, Z = 0.000, Length = 1.000)"/>
    <n v="1"/>
    <n v="0.2"/>
    <n v="0"/>
    <n v="11.309932474020215"/>
    <x v="5"/>
    <n v="4.5750000000000002"/>
  </r>
  <r>
    <x v="772"/>
    <s v="L01-ICU-NCU-S086-02"/>
    <n v="1865057"/>
    <n v="0"/>
    <n v="0"/>
    <n v="0"/>
    <e v="#DIV/0!"/>
    <x v="4"/>
    <e v="#N/A"/>
  </r>
  <r>
    <x v="772"/>
    <s v="Family Type: 1500w x 3050h, Family: Window External Type 1 - Recessed"/>
    <s v="Vector(X = 0.977, Y = 0.212, Z = 0.000, Length = 1.000)"/>
    <n v="1"/>
    <n v="0.2"/>
    <n v="0"/>
    <n v="11.309932474020215"/>
    <x v="5"/>
    <n v="4.5750000000000002"/>
  </r>
  <r>
    <x v="772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73"/>
    <s v="L01-ICU-NCU-S115-05"/>
    <n v="1865062"/>
    <n v="0"/>
    <n v="0"/>
    <n v="0"/>
    <e v="#DIV/0!"/>
    <x v="4"/>
    <e v="#N/A"/>
  </r>
  <r>
    <x v="773"/>
    <s v="Family Type: 1950w x 3050h, Family: Window Internal Type 1 - Flush"/>
    <s v="Vector(X = -0.977, Y = -0.212, Z = 0.000, Length = 1.000)"/>
    <n v="-1"/>
    <n v="-0.2"/>
    <n v="0"/>
    <n v="-168.69006752597977"/>
    <x v="2"/>
    <n v="5.9474999999999998"/>
  </r>
  <r>
    <x v="774"/>
    <s v="L01-ICU-PIC-U0078-01"/>
    <n v="1865065"/>
    <n v="0"/>
    <n v="0"/>
    <n v="0"/>
    <e v="#DIV/0!"/>
    <x v="4"/>
    <e v="#N/A"/>
  </r>
  <r>
    <x v="774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775"/>
    <s v="L01-ICU-PIC-S059-01"/>
    <n v="1865079"/>
    <n v="0"/>
    <n v="0"/>
    <n v="0"/>
    <e v="#DIV/0!"/>
    <x v="4"/>
    <e v="#N/A"/>
  </r>
  <r>
    <x v="775"/>
    <s v="Family Type: 1950w x 3050h, Family: Window External Type 1 - Recessed"/>
    <s v="Vector(X = 0.977, Y = 0.212, Z = 0.000, Length = 1.000)"/>
    <n v="1"/>
    <n v="0.2"/>
    <n v="0"/>
    <n v="11.309932474020215"/>
    <x v="5"/>
    <n v="5.9474999999999998"/>
  </r>
  <r>
    <x v="776"/>
    <s v="L01-ICU-PIC-U0088-01"/>
    <n v="1865093"/>
    <n v="0"/>
    <n v="0"/>
    <n v="0"/>
    <e v="#DIV/0!"/>
    <x v="4"/>
    <e v="#N/A"/>
  </r>
  <r>
    <x v="776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776"/>
    <s v="Family Type: 975w x 3050h, Family: Window External Type 1 - Recessed"/>
    <s v="Vector(X = 0.872, Y = 0.489, Z = 0.000, Length = 1.000)"/>
    <n v="0.9"/>
    <n v="0.5"/>
    <n v="0"/>
    <n v="29.054604099077146"/>
    <x v="5"/>
    <n v="2.9737499999999999"/>
  </r>
  <r>
    <x v="776"/>
    <s v="Family Type: 975w x 3050h, Family: Window External Type 1 - Recessed"/>
    <s v="Vector(X = 0.872, Y = 0.489, Z = 0.000, Length = 1.000)"/>
    <n v="0.9"/>
    <n v="0.5"/>
    <n v="0"/>
    <n v="29.054604099077146"/>
    <x v="5"/>
    <n v="2.9737499999999999"/>
  </r>
  <r>
    <x v="777"/>
    <s v="L01-ICU-PIC-S094-01"/>
    <n v="1865094"/>
    <n v="0"/>
    <n v="0"/>
    <n v="0"/>
    <e v="#DIV/0!"/>
    <x v="4"/>
    <e v="#N/A"/>
  </r>
  <r>
    <x v="777"/>
    <s v="Family Type: 1500w x 3050h, Family: Window External Type 1 - Recessed"/>
    <s v="Vector(X = 0.977, Y = 0.212, Z = 0.000, Length = 1.000)"/>
    <n v="1"/>
    <n v="0.2"/>
    <n v="0"/>
    <n v="11.309932474020215"/>
    <x v="5"/>
    <n v="4.5750000000000002"/>
  </r>
  <r>
    <x v="777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77"/>
    <s v="Family Type: 975w x 3050h, Family: Window External Type 1 - Recessed"/>
    <s v="Vector(X = 0.977, Y = 0.212, Z = 0.000, Length = 1.000)"/>
    <n v="1"/>
    <n v="0.2"/>
    <n v="0"/>
    <n v="11.309932474020215"/>
    <x v="5"/>
    <n v="2.9737499999999999"/>
  </r>
  <r>
    <x v="777"/>
    <s v="Family Type: 1950w x 3050h, Family: Window External Type 1 - Recessed"/>
    <s v="Vector(X = 0.958, Y = 0.288, Z = 0.000, Length = 1.000)"/>
    <n v="1"/>
    <n v="0.3"/>
    <n v="0"/>
    <n v="16.699244233993621"/>
    <x v="5"/>
    <n v="5.9474999999999998"/>
  </r>
  <r>
    <x v="778"/>
    <s v="L01-ICU-PIC-U0090-01"/>
    <n v="1865096"/>
    <n v="0"/>
    <n v="0"/>
    <n v="0"/>
    <e v="#DIV/0!"/>
    <x v="4"/>
    <e v="#N/A"/>
  </r>
  <r>
    <x v="778"/>
    <s v="Family Type: 650w x 3050h, Family: Window Internal Type 1 - Flush"/>
    <s v="Vector(X = 0.212, Y = -0.977, Z = 0.000, Length = 1.000)"/>
    <n v="0.2"/>
    <n v="-1"/>
    <n v="0"/>
    <n v="-78.690067525979785"/>
    <x v="3"/>
    <n v="1.9824999999999999"/>
  </r>
  <r>
    <x v="778"/>
    <s v="Family Type: 975w x 3050h, Family: Window Internal Type 1 - Flush"/>
    <s v="Vector(X = 0.212, Y = -0.977, Z = 0.000, Length = 1.000)"/>
    <n v="0.2"/>
    <n v="-1"/>
    <n v="0"/>
    <n v="-78.690067525979785"/>
    <x v="3"/>
    <n v="2.9737499999999999"/>
  </r>
  <r>
    <x v="778"/>
    <s v="Family Type: 1500w x 3050h, Family: Window Internal Type 1 - Flush"/>
    <s v="Vector(X = 0.212, Y = -0.977, Z = 0.000, Length = 1.000)"/>
    <n v="0.2"/>
    <n v="-1"/>
    <n v="0"/>
    <n v="-78.690067525979785"/>
    <x v="3"/>
    <n v="4.5749999999999993"/>
  </r>
  <r>
    <x v="779"/>
    <s v="L01-ICU-PIC-S087-03"/>
    <n v="1865115"/>
    <n v="0"/>
    <n v="0"/>
    <n v="0"/>
    <e v="#DIV/0!"/>
    <x v="4"/>
    <e v="#N/A"/>
  </r>
  <r>
    <x v="779"/>
    <s v="Family Type: 1950w x 3050h, Family: Window Internal Type 1 - Flush"/>
    <s v="Vector(X = -0.872, Y = -0.489, Z = 0.000, Length = 1.000)"/>
    <n v="-0.9"/>
    <n v="-0.5"/>
    <n v="0"/>
    <n v="-150.94539590092285"/>
    <x v="2"/>
    <n v="5.9474999999999998"/>
  </r>
  <r>
    <x v="780"/>
    <s v="L01-ICU-PIC-S087-05"/>
    <n v="1865117"/>
    <n v="0"/>
    <n v="0"/>
    <n v="0"/>
    <e v="#DIV/0!"/>
    <x v="4"/>
    <e v="#N/A"/>
  </r>
  <r>
    <x v="780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80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81"/>
    <s v="L01-ICU-PIC-S087-06"/>
    <n v="1865118"/>
    <n v="0"/>
    <n v="0"/>
    <n v="0"/>
    <e v="#DIV/0!"/>
    <x v="4"/>
    <e v="#N/A"/>
  </r>
  <r>
    <x v="781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81"/>
    <s v="Family Type: 1950w x 3050h, Family: Window External Type 1 - Recessed"/>
    <s v="Vector(X = 0.873, Y = 0.489, Z = 0.000, Length = 1.000)"/>
    <n v="0.9"/>
    <n v="0.5"/>
    <n v="0"/>
    <n v="29.054604099077146"/>
    <x v="5"/>
    <n v="5.9474999999999998"/>
  </r>
  <r>
    <x v="782"/>
    <s v="L01-ICU-PIC-S087-07"/>
    <n v="1865119"/>
    <n v="0"/>
    <n v="0"/>
    <n v="0"/>
    <e v="#DIV/0!"/>
    <x v="4"/>
    <e v="#N/A"/>
  </r>
  <r>
    <x v="782"/>
    <s v="Family Type: 1500w x 3050h, Family: Window External Type 1 - Recessed"/>
    <s v="Vector(X = 0.873, Y = 0.489, Z = 0.000, Length = 1.000)"/>
    <n v="0.9"/>
    <n v="0.5"/>
    <n v="0"/>
    <n v="29.054604099077146"/>
    <x v="5"/>
    <n v="4.5750000000000002"/>
  </r>
  <r>
    <x v="783"/>
    <s v="L01-ICU-PIC-S087-08"/>
    <n v="1865120"/>
    <n v="0"/>
    <n v="0"/>
    <n v="0"/>
    <e v="#DIV/0!"/>
    <x v="4"/>
    <e v="#N/A"/>
  </r>
  <r>
    <x v="783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84"/>
    <s v="L01-ICU-PIC-S087-09"/>
    <n v="1865121"/>
    <n v="0"/>
    <n v="0"/>
    <n v="0"/>
    <e v="#DIV/0!"/>
    <x v="4"/>
    <e v="#N/A"/>
  </r>
  <r>
    <x v="784"/>
    <s v="Family Type: 1950w x 3050h, Family: Window External Type 1 - Recessed"/>
    <s v="Vector(X = 0.873, Y = 0.489, Z = 0.000, Length = 1.000)"/>
    <n v="0.9"/>
    <n v="0.5"/>
    <n v="0"/>
    <n v="29.054604099077146"/>
    <x v="5"/>
    <n v="5.9474999999999998"/>
  </r>
  <r>
    <x v="784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85"/>
    <s v="L01-ICU-PIC-S087-10"/>
    <n v="1865122"/>
    <n v="0"/>
    <n v="0"/>
    <n v="0"/>
    <e v="#DIV/0!"/>
    <x v="4"/>
    <e v="#N/A"/>
  </r>
  <r>
    <x v="785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85"/>
    <s v="Family Type: 1500w x 3050h, Family: Window External Type 1 - Recessed"/>
    <s v="Vector(X = 0.873, Y = 0.489, Z = 0.000, Length = 1.000)"/>
    <n v="0.9"/>
    <n v="0.5"/>
    <n v="0"/>
    <n v="29.054604099077146"/>
    <x v="5"/>
    <n v="4.5750000000000002"/>
  </r>
  <r>
    <x v="786"/>
    <s v="L01-ICU-PIC-S087-11"/>
    <n v="1865123"/>
    <n v="0"/>
    <n v="0"/>
    <n v="0"/>
    <e v="#DIV/0!"/>
    <x v="4"/>
    <e v="#N/A"/>
  </r>
  <r>
    <x v="786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86"/>
    <s v="Family Type: 975w x 3050h, Family: Window External Type 1 - Recessed"/>
    <s v="Vector(X = 0.873, Y = 0.489, Z = 0.000, Length = 1.000)"/>
    <n v="0.9"/>
    <n v="0.5"/>
    <n v="0"/>
    <n v="29.054604099077146"/>
    <x v="5"/>
    <n v="2.9737499999999999"/>
  </r>
  <r>
    <x v="787"/>
    <s v="L01-ICU-PIC-S087-12"/>
    <n v="1865124"/>
    <n v="0"/>
    <n v="0"/>
    <n v="0"/>
    <e v="#DIV/0!"/>
    <x v="4"/>
    <e v="#N/A"/>
  </r>
  <r>
    <x v="787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787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788"/>
    <s v="L01-ICU-PIC-S087-13"/>
    <n v="1865125"/>
    <n v="0"/>
    <n v="0"/>
    <n v="0"/>
    <e v="#DIV/0!"/>
    <x v="4"/>
    <e v="#N/A"/>
  </r>
  <r>
    <x v="788"/>
    <s v="Family Type: 1500w x 3050h, Family: Window Internal Type 1 - Flush"/>
    <s v="Vector(X = -0.872, Y = -0.489, Z = 0.000, Length = 1.000)"/>
    <n v="-0.9"/>
    <n v="-0.5"/>
    <n v="0"/>
    <n v="-150.94539590092285"/>
    <x v="2"/>
    <n v="4.5749999999999993"/>
  </r>
  <r>
    <x v="789"/>
    <s v="L01-ICU-PIC-S087-15"/>
    <n v="1865126"/>
    <n v="0"/>
    <n v="0"/>
    <n v="0"/>
    <e v="#DIV/0!"/>
    <x v="4"/>
    <e v="#N/A"/>
  </r>
  <r>
    <x v="789"/>
    <s v="Family Type: 1950w x 3050h, Family: Window Internal Type 1 - Flush"/>
    <s v="Vector(X = -0.872, Y = -0.489, Z = 0.000, Length = 1.000)"/>
    <n v="-0.9"/>
    <n v="-0.5"/>
    <n v="0"/>
    <n v="-150.94539590092285"/>
    <x v="2"/>
    <n v="5.9474999999999998"/>
  </r>
  <r>
    <x v="790"/>
    <s v="L01-ICU-PIC-S087-16"/>
    <n v="1865127"/>
    <n v="0"/>
    <n v="0"/>
    <n v="0"/>
    <e v="#DIV/0!"/>
    <x v="4"/>
    <e v="#N/A"/>
  </r>
  <r>
    <x v="790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790"/>
    <s v="Family Type: 975w x 3050h, Family: Window Internal Type 1 - Flush"/>
    <s v="Vector(X = -0.872, Y = -0.489, Z = 0.000, Length = 1.000)"/>
    <n v="-0.9"/>
    <n v="-0.5"/>
    <n v="0"/>
    <n v="-150.94539590092285"/>
    <x v="2"/>
    <n v="2.9737499999999999"/>
  </r>
  <r>
    <x v="791"/>
    <s v="L01-ICU-PIC-S087-17"/>
    <n v="1865128"/>
    <n v="0"/>
    <n v="0"/>
    <n v="0"/>
    <e v="#DIV/0!"/>
    <x v="4"/>
    <e v="#N/A"/>
  </r>
  <r>
    <x v="791"/>
    <s v="Family Type: 1950w x 3050h, Family: Window Internal Type 1 - Flush"/>
    <s v="Vector(X = -0.872, Y = -0.489, Z = 0.000, Length = 1.000)"/>
    <n v="-0.9"/>
    <n v="-0.5"/>
    <n v="0"/>
    <n v="-150.94539590092285"/>
    <x v="2"/>
    <n v="5.9474999999999998"/>
  </r>
  <r>
    <x v="792"/>
    <s v="L01-ICU-PIC-S087-18"/>
    <n v="1865129"/>
    <n v="0"/>
    <n v="0"/>
    <n v="0"/>
    <e v="#DIV/0!"/>
    <x v="4"/>
    <e v="#N/A"/>
  </r>
  <r>
    <x v="792"/>
    <s v="Family Type: 1500w x 3050h, Family: Window Internal Type 1 - Flush"/>
    <s v="Vector(X = -0.872, Y = -0.489, Z = 0.000, Length = 1.000)"/>
    <n v="-0.9"/>
    <n v="-0.5"/>
    <n v="0"/>
    <n v="-150.94539590092285"/>
    <x v="2"/>
    <n v="4.5749999999999993"/>
  </r>
  <r>
    <x v="792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793"/>
    <s v="L01-ICU-SPN-U0118-01"/>
    <n v="1865372"/>
    <n v="0"/>
    <n v="0"/>
    <n v="0"/>
    <e v="#DIV/0!"/>
    <x v="4"/>
    <e v="#N/A"/>
  </r>
  <r>
    <x v="793"/>
    <s v="Family Type: 1500w x 3050h, Family: Window External Type 3 - Recessed and Angle"/>
    <s v="Vector(X = 0.212, Y = -0.977, Z = 0.000, Length = 1.000)"/>
    <n v="0.2"/>
    <n v="-1"/>
    <n v="0"/>
    <n v="-78.690067525979785"/>
    <x v="3"/>
    <n v="4.5750000000000002"/>
  </r>
  <r>
    <x v="794"/>
    <s v="L01-ICU-SPN-U0119-01"/>
    <n v="1865392"/>
    <n v="0"/>
    <n v="0"/>
    <n v="0"/>
    <e v="#DIV/0!"/>
    <x v="4"/>
    <e v="#N/A"/>
  </r>
  <r>
    <x v="794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795"/>
    <s v="L01-ICU-SPN-S115-01"/>
    <n v="1865400"/>
    <n v="0"/>
    <n v="0"/>
    <n v="0"/>
    <e v="#DIV/0!"/>
    <x v="4"/>
    <e v="#N/A"/>
  </r>
  <r>
    <x v="795"/>
    <s v="Family Type: 975w x 3050h, Family: Window External Type 1 - Recessed"/>
    <s v="Vector(X = 0.872, Y = 0.489, Z = 0.000, Length = 1.000)"/>
    <n v="0.9"/>
    <n v="0.5"/>
    <n v="0"/>
    <n v="29.054604099077146"/>
    <x v="5"/>
    <n v="2.9737499999999999"/>
  </r>
  <r>
    <x v="795"/>
    <s v="Family Type: 975w x 3050h, Family: Window External Type 1 - Recessed"/>
    <s v="Vector(X = 0.872, Y = 0.489, Z = 0.000, Length = 1.000)"/>
    <n v="0.9"/>
    <n v="0.5"/>
    <n v="0"/>
    <n v="29.054604099077146"/>
    <x v="5"/>
    <n v="2.9737499999999999"/>
  </r>
  <r>
    <x v="795"/>
    <s v="Family Type: 1500w x 3050h, Family: Window External Type 1 - Recessed"/>
    <s v="Vector(X = 0.872, Y = 0.489, Z = 0.000, Length = 1.000)"/>
    <n v="0.9"/>
    <n v="0.5"/>
    <n v="0"/>
    <n v="29.054604099077146"/>
    <x v="5"/>
    <n v="4.5750000000000002"/>
  </r>
  <r>
    <x v="796"/>
    <s v="L01-ICU-SPN-S054-01"/>
    <n v="1865404"/>
    <n v="0"/>
    <n v="0"/>
    <n v="0"/>
    <e v="#DIV/0!"/>
    <x v="4"/>
    <e v="#N/A"/>
  </r>
  <r>
    <x v="796"/>
    <s v="Family Type: 1000w x 3050h, Family: Window External Type 4 - Extruded"/>
    <s v="Vector(X = 0.212, Y = -0.977, Z = 0.000, Length = 1.000)"/>
    <n v="0.2"/>
    <n v="-1"/>
    <n v="0"/>
    <n v="-78.690067525979785"/>
    <x v="3"/>
    <n v="3.05"/>
  </r>
  <r>
    <x v="796"/>
    <s v="Family Type: 1000w x 3050h, Family: Window External Type 2 - Recessed and Fin"/>
    <s v="Vector(X = 0.212, Y = -0.977, Z = 0.000, Length = 1.000)"/>
    <n v="0.2"/>
    <n v="-1"/>
    <n v="0"/>
    <n v="-78.690067525979785"/>
    <x v="3"/>
    <n v="3.05"/>
  </r>
  <r>
    <x v="797"/>
    <s v="L01-ICU-NCU-S087-17"/>
    <n v="1865418"/>
    <n v="0"/>
    <n v="0"/>
    <n v="0"/>
    <e v="#DIV/0!"/>
    <x v="4"/>
    <e v="#N/A"/>
  </r>
  <r>
    <x v="797"/>
    <s v="Family Type: 1500w x 3050h, Family: Window Internal Type 1 - Flush"/>
    <s v="Vector(X = -0.872, Y = -0.489, Z = 0.000, Length = 1.000)"/>
    <n v="-0.9"/>
    <n v="-0.5"/>
    <n v="0"/>
    <n v="-150.94539590092285"/>
    <x v="2"/>
    <n v="4.5749999999999993"/>
  </r>
  <r>
    <x v="797"/>
    <s v="Family Type: 650w x 3050h, Family: Window Internal Type 1 - Flush"/>
    <s v="Vector(X = -0.872, Y = -0.489, Z = 0.000, Length = 1.000)"/>
    <n v="-0.9"/>
    <n v="-0.5"/>
    <n v="0"/>
    <n v="-150.94539590092285"/>
    <x v="2"/>
    <n v="1.9824999999999999"/>
  </r>
  <r>
    <x v="798"/>
    <s v="L01-ICU-SPN-U1445-01"/>
    <n v="1865426"/>
    <n v="0"/>
    <n v="0"/>
    <n v="0"/>
    <e v="#DIV/0!"/>
    <x v="4"/>
    <e v="#N/A"/>
  </r>
  <r>
    <x v="798"/>
    <s v="Family Type: 975w x 3050h, Family: Window External Type 1 - Recessed"/>
    <s v="Vector(X = 0.872, Y = 0.489, Z = 0.000, Length = 1.000)"/>
    <n v="0.9"/>
    <n v="0.5"/>
    <n v="0"/>
    <n v="29.054604099077146"/>
    <x v="5"/>
    <n v="2.9737499999999999"/>
  </r>
  <r>
    <x v="799"/>
    <s v="L01-ICU-CIC-U1451-01"/>
    <n v="1865428"/>
    <n v="0"/>
    <n v="0"/>
    <n v="0"/>
    <e v="#DIV/0!"/>
    <x v="4"/>
    <e v="#N/A"/>
  </r>
  <r>
    <x v="799"/>
    <s v="Family Type: 1500w x 3050h, Family: Window Internal Type 1 - Flush"/>
    <s v="Vector(X = 0.489, Y = -0.873, Z = 0.000, Length = 1.000)"/>
    <n v="0.5"/>
    <n v="-0.9"/>
    <n v="0"/>
    <n v="-60.945395900922861"/>
    <x v="3"/>
    <n v="4.5749999999999993"/>
  </r>
  <r>
    <x v="800"/>
    <s v="L01-ICU-SPN-L009-01 (New Construction)"/>
    <n v="1933969"/>
    <n v="0"/>
    <n v="0"/>
    <n v="0"/>
    <e v="#DIV/0!"/>
    <x v="4"/>
    <e v="#N/A"/>
  </r>
  <r>
    <x v="800"/>
    <s v="Family Type: 1950w x 3050h, Family: Window External Type 1 - Recessed"/>
    <s v="Vector(X = 0.872, Y = 0.489, Z = 0.000, Length = 1.000)"/>
    <n v="0.9"/>
    <n v="0.5"/>
    <n v="0"/>
    <n v="29.054604099077146"/>
    <x v="5"/>
    <n v="5.9474999999999998"/>
  </r>
  <r>
    <x v="801"/>
    <s v="L01-ICU-SPN-L009-02 (New Construction)"/>
    <n v="1933970"/>
    <n v="0"/>
    <n v="0"/>
    <n v="0"/>
    <e v="#DIV/0!"/>
    <x v="4"/>
    <e v="#N/A"/>
  </r>
  <r>
    <x v="801"/>
    <s v="Family Type: 1950w x 3050h, Family: Window External Type 1 - Recessed"/>
    <s v="Vector(X = 0.872, Y = 0.489, Z = 0.000, Length = 1.000)"/>
    <n v="0.9"/>
    <n v="0.5"/>
    <n v="0"/>
    <n v="29.054604099077146"/>
    <x v="5"/>
    <n v="5.9474999999999998"/>
  </r>
  <r>
    <x v="802"/>
    <n v="3372"/>
    <n v="1933978"/>
    <n v="0"/>
    <n v="0"/>
    <n v="0"/>
    <e v="#DIV/0!"/>
    <x v="4"/>
    <e v="#N/A"/>
  </r>
  <r>
    <x v="802"/>
    <s v="Family Type: 1500w x 3050h, Family: Window External Type 1 - Recessed"/>
    <s v="Vector(X = 0.872, Y = 0.489, Z = 0.000, Length = 1.000)"/>
    <n v="0.9"/>
    <n v="0.5"/>
    <n v="0"/>
    <n v="29.054604099077146"/>
    <x v="5"/>
    <n v="4.5750000000000002"/>
  </r>
  <r>
    <x v="610"/>
    <e v="#REF!"/>
    <e v="#REF!"/>
    <e v="#REF!"/>
    <e v="#REF!"/>
    <e v="#REF!"/>
    <e v="#REF!"/>
    <x v="10"/>
    <e v="#REF!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803"/>
    <e v="#N/A"/>
    <e v="#N/A"/>
    <e v="#N/A"/>
    <e v="#N/A"/>
    <e v="#N/A"/>
    <e v="#N/A"/>
    <x v="11"/>
    <e v="#N/A"/>
  </r>
  <r>
    <x v="0"/>
    <m/>
    <m/>
    <m/>
    <m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5:S763" firstHeaderRow="1" firstDataRow="3" firstDataCol="1"/>
  <pivotFields count="9">
    <pivotField axis="axisRow" showAll="0">
      <items count="805">
        <item x="128"/>
        <item x="277"/>
        <item x="292"/>
        <item x="293"/>
        <item x="294"/>
        <item x="274"/>
        <item x="275"/>
        <item x="276"/>
        <item x="273"/>
        <item x="261"/>
        <item x="253"/>
        <item x="262"/>
        <item x="263"/>
        <item x="264"/>
        <item x="265"/>
        <item x="152"/>
        <item x="259"/>
        <item x="156"/>
        <item x="155"/>
        <item x="158"/>
        <item x="177"/>
        <item x="207"/>
        <item x="199"/>
        <item x="195"/>
        <item x="279"/>
        <item x="285"/>
        <item x="286"/>
        <item x="287"/>
        <item x="288"/>
        <item x="289"/>
        <item x="290"/>
        <item x="291"/>
        <item x="157"/>
        <item x="161"/>
        <item x="174"/>
        <item x="160"/>
        <item x="163"/>
        <item x="175"/>
        <item x="176"/>
        <item x="159"/>
        <item x="162"/>
        <item x="298"/>
        <item x="165"/>
        <item x="167"/>
        <item x="166"/>
        <item x="168"/>
        <item x="170"/>
        <item x="255"/>
        <item x="169"/>
        <item x="254"/>
        <item x="299"/>
        <item x="164"/>
        <item x="171"/>
        <item x="172"/>
        <item x="173"/>
        <item x="206"/>
        <item x="280"/>
        <item x="282"/>
        <item x="281"/>
        <item x="208"/>
        <item x="258"/>
        <item x="269"/>
        <item x="270"/>
        <item x="271"/>
        <item x="209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22"/>
        <item x="250"/>
        <item x="210"/>
        <item x="241"/>
        <item x="223"/>
        <item x="251"/>
        <item x="211"/>
        <item x="216"/>
        <item x="214"/>
        <item x="252"/>
        <item x="221"/>
        <item x="248"/>
        <item x="249"/>
        <item x="219"/>
        <item x="245"/>
        <item x="220"/>
        <item x="246"/>
        <item x="213"/>
        <item x="218"/>
        <item x="242"/>
        <item x="243"/>
        <item x="244"/>
        <item x="212"/>
        <item x="215"/>
        <item x="247"/>
        <item x="295"/>
        <item x="296"/>
        <item x="217"/>
        <item x="224"/>
        <item x="225"/>
        <item x="226"/>
        <item x="227"/>
        <item x="256"/>
        <item x="257"/>
        <item x="130"/>
        <item x="138"/>
        <item x="139"/>
        <item x="140"/>
        <item x="141"/>
        <item x="142"/>
        <item x="143"/>
        <item x="301"/>
        <item x="145"/>
        <item x="133"/>
        <item x="146"/>
        <item x="136"/>
        <item x="147"/>
        <item x="132"/>
        <item x="151"/>
        <item x="129"/>
        <item x="135"/>
        <item x="137"/>
        <item x="283"/>
        <item x="284"/>
        <item x="131"/>
        <item x="150"/>
        <item x="149"/>
        <item x="148"/>
        <item x="134"/>
        <item x="266"/>
        <item x="267"/>
        <item x="268"/>
        <item x="200"/>
        <item x="205"/>
        <item x="201"/>
        <item x="202"/>
        <item x="204"/>
        <item x="297"/>
        <item x="300"/>
        <item x="272"/>
        <item x="187"/>
        <item x="188"/>
        <item x="189"/>
        <item x="190"/>
        <item x="191"/>
        <item x="192"/>
        <item x="193"/>
        <item x="194"/>
        <item x="185"/>
        <item x="183"/>
        <item x="186"/>
        <item x="184"/>
        <item x="306"/>
        <item x="310"/>
        <item x="311"/>
        <item x="312"/>
        <item x="313"/>
        <item x="314"/>
        <item x="315"/>
        <item x="316"/>
        <item x="317"/>
        <item x="308"/>
        <item x="319"/>
        <item x="320"/>
        <item x="321"/>
        <item x="322"/>
        <item x="323"/>
        <item x="309"/>
        <item x="307"/>
        <item x="405"/>
        <item x="328"/>
        <item x="329"/>
        <item x="409"/>
        <item x="324"/>
        <item x="330"/>
        <item x="331"/>
        <item x="332"/>
        <item x="333"/>
        <item x="334"/>
        <item x="335"/>
        <item x="420"/>
        <item x="422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26"/>
        <item x="327"/>
        <item x="402"/>
        <item x="407"/>
        <item x="408"/>
        <item x="406"/>
        <item x="400"/>
        <item x="399"/>
        <item x="398"/>
        <item x="397"/>
        <item x="401"/>
        <item x="379"/>
        <item x="380"/>
        <item x="381"/>
        <item x="375"/>
        <item x="376"/>
        <item x="378"/>
        <item x="374"/>
        <item x="377"/>
        <item x="403"/>
        <item x="412"/>
        <item x="394"/>
        <item x="353"/>
        <item x="356"/>
        <item x="357"/>
        <item x="358"/>
        <item x="359"/>
        <item x="360"/>
        <item x="355"/>
        <item x="361"/>
        <item x="362"/>
        <item x="363"/>
        <item x="364"/>
        <item x="352"/>
        <item x="418"/>
        <item x="354"/>
        <item x="395"/>
        <item x="366"/>
        <item x="365"/>
        <item x="385"/>
        <item x="388"/>
        <item x="389"/>
        <item x="390"/>
        <item x="391"/>
        <item x="392"/>
        <item x="393"/>
        <item x="387"/>
        <item x="384"/>
        <item x="382"/>
        <item x="383"/>
        <item x="386"/>
        <item x="369"/>
        <item x="371"/>
        <item x="372"/>
        <item x="373"/>
        <item x="367"/>
        <item x="368"/>
        <item x="370"/>
        <item x="423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24"/>
        <item x="107"/>
        <item x="112"/>
        <item x="103"/>
        <item x="104"/>
        <item x="68"/>
        <item x="69"/>
        <item x="70"/>
        <item x="72"/>
        <item x="71"/>
        <item x="73"/>
        <item x="74"/>
        <item x="75"/>
        <item x="76"/>
        <item x="101"/>
        <item x="8"/>
        <item x="13"/>
        <item x="9"/>
        <item x="10"/>
        <item x="11"/>
        <item x="12"/>
        <item x="77"/>
        <item x="79"/>
        <item x="80"/>
        <item x="81"/>
        <item x="83"/>
        <item x="78"/>
        <item x="82"/>
        <item x="93"/>
        <item x="92"/>
        <item x="90"/>
        <item x="91"/>
        <item x="110"/>
        <item x="123"/>
        <item x="102"/>
        <item x="6"/>
        <item x="96"/>
        <item x="97"/>
        <item x="2"/>
        <item x="4"/>
        <item x="7"/>
        <item x="98"/>
        <item x="109"/>
        <item x="3"/>
        <item x="108"/>
        <item x="1"/>
        <item x="18"/>
        <item x="46"/>
        <item x="14"/>
        <item x="1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22"/>
        <item x="40"/>
        <item x="41"/>
        <item x="42"/>
        <item x="23"/>
        <item x="43"/>
        <item x="44"/>
        <item x="16"/>
        <item x="26"/>
        <item x="27"/>
        <item x="21"/>
        <item x="17"/>
        <item x="24"/>
        <item x="25"/>
        <item x="45"/>
        <item x="20"/>
        <item x="99"/>
        <item x="113"/>
        <item x="114"/>
        <item x="115"/>
        <item x="116"/>
        <item x="117"/>
        <item x="118"/>
        <item x="119"/>
        <item x="19"/>
        <item x="65"/>
        <item x="52"/>
        <item x="62"/>
        <item x="63"/>
        <item x="64"/>
        <item x="54"/>
        <item x="55"/>
        <item x="56"/>
        <item x="57"/>
        <item x="58"/>
        <item x="59"/>
        <item x="60"/>
        <item x="61"/>
        <item x="48"/>
        <item x="47"/>
        <item x="51"/>
        <item x="67"/>
        <item x="50"/>
        <item x="100"/>
        <item x="49"/>
        <item x="66"/>
        <item x="120"/>
        <item x="111"/>
        <item x="53"/>
        <item x="105"/>
        <item x="85"/>
        <item x="87"/>
        <item x="89"/>
        <item x="86"/>
        <item x="88"/>
        <item x="0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8"/>
        <item x="539"/>
        <item x="540"/>
        <item x="541"/>
        <item x="542"/>
        <item x="543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605"/>
        <item x="583"/>
        <item x="584"/>
        <item x="585"/>
        <item x="586"/>
        <item x="587"/>
        <item x="588"/>
        <item x="589"/>
        <item x="590"/>
        <item x="591"/>
        <item x="606"/>
        <item x="592"/>
        <item x="593"/>
        <item x="594"/>
        <item x="595"/>
        <item x="596"/>
        <item x="598"/>
        <item x="599"/>
        <item x="600"/>
        <item x="601"/>
        <item x="602"/>
        <item x="603"/>
        <item x="604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803"/>
        <item x="84"/>
        <item x="94"/>
        <item x="95"/>
        <item x="106"/>
        <item x="121"/>
        <item x="122"/>
        <item x="124"/>
        <item x="125"/>
        <item x="126"/>
        <item x="144"/>
        <item x="153"/>
        <item x="154"/>
        <item x="178"/>
        <item x="179"/>
        <item x="180"/>
        <item x="181"/>
        <item x="182"/>
        <item x="196"/>
        <item x="197"/>
        <item x="198"/>
        <item x="260"/>
        <item x="278"/>
        <item x="302"/>
        <item x="303"/>
        <item x="304"/>
        <item x="305"/>
        <item x="318"/>
        <item x="396"/>
        <item x="404"/>
        <item x="410"/>
        <item x="411"/>
        <item x="413"/>
        <item x="414"/>
        <item x="415"/>
        <item x="416"/>
        <item x="417"/>
        <item x="419"/>
        <item x="421"/>
        <item x="451"/>
        <item x="500"/>
        <item x="537"/>
        <item x="544"/>
        <item x="597"/>
        <item x="607"/>
        <item x="608"/>
        <item x="609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5"/>
        <item x="127"/>
        <item x="203"/>
        <item x="325"/>
        <item x="450"/>
        <item x="567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3">
        <item x="5"/>
        <item x="1"/>
        <item x="9"/>
        <item x="2"/>
        <item x="7"/>
        <item h="1" x="0"/>
        <item h="1" x="10"/>
        <item h="1" x="11"/>
        <item x="3"/>
        <item x="8"/>
        <item x="6"/>
        <item h="1" x="4"/>
        <item t="default"/>
      </items>
    </pivotField>
    <pivotField dataField="1" showAll="0"/>
  </pivotFields>
  <rowFields count="1">
    <field x="0"/>
  </rowFields>
  <rowItems count="7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6"/>
    </i>
    <i>
      <x v="57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9"/>
    </i>
    <i>
      <x v="100"/>
    </i>
    <i>
      <x v="103"/>
    </i>
    <i>
      <x v="104"/>
    </i>
    <i>
      <x v="105"/>
    </i>
    <i>
      <x v="106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1"/>
    </i>
    <i>
      <x v="242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7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 t="grand">
      <x/>
    </i>
  </rowItems>
  <colFields count="2">
    <field x="7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Area" fld="8" baseField="0" baseItem="0"/>
    <dataField name="Count of Area" fld="8" subtotal="count" baseField="0" baseItem="0"/>
  </dataFields>
  <formats count="14">
    <format dxfId="27">
      <pivotArea outline="0" collapsedLevelsAreSubtotals="1" fieldPosition="0"/>
    </format>
    <format dxfId="26">
      <pivotArea field="-2" type="button" dataOnly="0" labelOnly="1" outline="0" axis="axisCol" fieldPosition="1"/>
    </format>
    <format dxfId="25">
      <pivotArea dataOnly="0" labelOnly="1" fieldPosition="0">
        <references count="1">
          <reference field="0" count="4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</reference>
        </references>
      </pivotArea>
    </format>
    <format dxfId="24">
      <pivotArea dataOnly="0" labelOnly="1" fieldPosition="0">
        <references count="1">
          <reference field="0" count="49"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</reference>
        </references>
      </pivotArea>
    </format>
    <format dxfId="23">
      <pivotArea dataOnly="0" labelOnly="1" fieldPosition="0">
        <references count="1">
          <reference field="0" count="50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</reference>
        </references>
      </pivotArea>
    </format>
    <format dxfId="22">
      <pivotArea dataOnly="0" labelOnly="1" fieldPosition="0">
        <references count="1">
          <reference field="0" count="48"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</reference>
        </references>
      </pivotArea>
    </format>
    <format dxfId="21">
      <pivotArea dataOnly="0" labelOnly="1" fieldPosition="0">
        <references count="1">
          <reference field="0" count="49"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</reference>
        </references>
      </pivotArea>
    </format>
    <format dxfId="20">
      <pivotArea dataOnly="0" labelOnly="1" fieldPosition="0">
        <references count="1">
          <reference field="0" count="47">
            <x v="244"/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</reference>
        </references>
      </pivotArea>
    </format>
    <format dxfId="19">
      <pivotArea dataOnly="0" labelOnly="1" fieldPosition="0">
        <references count="1">
          <reference field="0" count="49"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</reference>
        </references>
      </pivotArea>
    </format>
    <format dxfId="18">
      <pivotArea dataOnly="0" labelOnly="1" fieldPosition="0">
        <references count="1">
          <reference field="0" count="49"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</reference>
        </references>
      </pivotArea>
    </format>
    <format dxfId="17">
      <pivotArea dataOnly="0" labelOnly="1" fieldPosition="0">
        <references count="1">
          <reference field="0" count="49">
            <x v="389"/>
            <x v="390"/>
            <x v="391"/>
            <x v="392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</reference>
        </references>
      </pivotArea>
    </format>
    <format dxfId="16">
      <pivotArea dataOnly="0" labelOnly="1" fieldPosition="0">
        <references count="1">
          <reference field="0" count="47"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</reference>
        </references>
      </pivotArea>
    </format>
    <format dxfId="15">
      <pivotArea dataOnly="0" labelOnly="1" fieldPosition="0">
        <references count="1">
          <reference field="0" count="50"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</reference>
        </references>
      </pivotArea>
    </format>
    <format dxfId="14">
      <pivotArea dataOnly="0" labelOnly="1" fieldPosition="0">
        <references count="1">
          <reference field="0" count="35"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4.bin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4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T806"/>
  <sheetViews>
    <sheetView tabSelected="1" zoomScale="85" zoomScaleNormal="85" workbookViewId="0">
      <pane xSplit="1" ySplit="7" topLeftCell="B516" activePane="bottomRight" state="frozen"/>
      <selection pane="topRight" activeCell="B1" sqref="B1"/>
      <selection pane="bottomLeft" activeCell="A8" sqref="A8"/>
      <selection pane="bottomRight" activeCell="B530" sqref="B530"/>
    </sheetView>
  </sheetViews>
  <sheetFormatPr defaultRowHeight="15" x14ac:dyDescent="0.25"/>
  <cols>
    <col min="1" max="1" width="37.85546875" bestFit="1" customWidth="1"/>
    <col min="2" max="2" width="16.28515625" bestFit="1" customWidth="1"/>
    <col min="3" max="3" width="13.28515625" style="17" customWidth="1"/>
    <col min="4" max="4" width="11.7109375" customWidth="1"/>
    <col min="5" max="5" width="13.28515625" style="17" customWidth="1"/>
    <col min="6" max="6" width="11.7109375" customWidth="1"/>
    <col min="7" max="7" width="13.28515625" style="17" customWidth="1"/>
    <col min="8" max="8" width="11.7109375" customWidth="1"/>
    <col min="9" max="9" width="13.28515625" style="17" customWidth="1"/>
    <col min="10" max="10" width="11.7109375" customWidth="1"/>
    <col min="11" max="11" width="13.28515625" style="17" customWidth="1"/>
    <col min="12" max="12" width="11.7109375" customWidth="1"/>
    <col min="13" max="13" width="13.28515625" customWidth="1"/>
    <col min="14" max="14" width="11.7109375" customWidth="1"/>
    <col min="15" max="15" width="13.28515625" customWidth="1"/>
    <col min="16" max="16" width="11.7109375" customWidth="1"/>
    <col min="17" max="17" width="13.28515625" customWidth="1"/>
    <col min="18" max="18" width="16.7109375" bestFit="1" customWidth="1"/>
    <col min="19" max="19" width="18.28515625" bestFit="1" customWidth="1"/>
  </cols>
  <sheetData>
    <row r="5" spans="1:20" x14ac:dyDescent="0.25">
      <c r="B5" s="15" t="s">
        <v>753</v>
      </c>
      <c r="E5"/>
      <c r="G5"/>
      <c r="I5"/>
      <c r="K5"/>
    </row>
    <row r="6" spans="1:20" x14ac:dyDescent="0.25">
      <c r="B6" t="s">
        <v>728</v>
      </c>
      <c r="C6"/>
      <c r="D6" t="s">
        <v>726</v>
      </c>
      <c r="E6"/>
      <c r="F6" t="s">
        <v>727</v>
      </c>
      <c r="G6"/>
      <c r="H6" t="s">
        <v>724</v>
      </c>
      <c r="I6"/>
      <c r="J6" t="s">
        <v>725</v>
      </c>
      <c r="K6"/>
      <c r="L6" t="s">
        <v>722</v>
      </c>
      <c r="N6" t="s">
        <v>723</v>
      </c>
      <c r="P6" t="s">
        <v>729</v>
      </c>
      <c r="R6" t="s">
        <v>755</v>
      </c>
      <c r="S6" t="s">
        <v>772</v>
      </c>
      <c r="T6" t="s">
        <v>1074</v>
      </c>
    </row>
    <row r="7" spans="1:20" x14ac:dyDescent="0.25">
      <c r="A7" s="15" t="s">
        <v>751</v>
      </c>
      <c r="B7" t="s">
        <v>754</v>
      </c>
      <c r="C7" t="s">
        <v>771</v>
      </c>
      <c r="D7" t="s">
        <v>754</v>
      </c>
      <c r="E7" t="s">
        <v>771</v>
      </c>
      <c r="F7" t="s">
        <v>754</v>
      </c>
      <c r="G7" t="s">
        <v>771</v>
      </c>
      <c r="H7" t="s">
        <v>754</v>
      </c>
      <c r="I7" t="s">
        <v>771</v>
      </c>
      <c r="J7" t="s">
        <v>754</v>
      </c>
      <c r="K7" t="s">
        <v>771</v>
      </c>
      <c r="L7" t="s">
        <v>754</v>
      </c>
      <c r="M7" t="s">
        <v>771</v>
      </c>
      <c r="N7" t="s">
        <v>754</v>
      </c>
      <c r="O7" t="s">
        <v>771</v>
      </c>
      <c r="P7" t="s">
        <v>754</v>
      </c>
      <c r="Q7" t="s">
        <v>771</v>
      </c>
    </row>
    <row r="8" spans="1:20" x14ac:dyDescent="0.25">
      <c r="A8" s="25">
        <v>0</v>
      </c>
      <c r="B8" s="18">
        <v>71.628249999999994</v>
      </c>
      <c r="C8" s="18">
        <v>10</v>
      </c>
      <c r="D8" s="18">
        <v>91.94250000000001</v>
      </c>
      <c r="E8" s="18">
        <v>16</v>
      </c>
      <c r="F8" s="18"/>
      <c r="G8" s="18"/>
      <c r="H8" s="18">
        <v>2.9737499999999999</v>
      </c>
      <c r="I8" s="18">
        <v>1</v>
      </c>
      <c r="J8" s="18"/>
      <c r="K8" s="18"/>
      <c r="L8" s="18">
        <v>48.037500000000001</v>
      </c>
      <c r="M8" s="18">
        <v>12</v>
      </c>
      <c r="N8" s="18"/>
      <c r="O8" s="18"/>
      <c r="P8" s="18"/>
      <c r="Q8" s="18"/>
      <c r="R8" s="18">
        <v>214.58199999999994</v>
      </c>
      <c r="S8" s="18">
        <v>39</v>
      </c>
      <c r="T8" t="e">
        <f>+COUNTIF('[1]Facade Heat Loss'!$A:$A,A8)</f>
        <v>#VALUE!</v>
      </c>
    </row>
    <row r="9" spans="1:20" x14ac:dyDescent="0.25">
      <c r="A9" s="25">
        <v>39</v>
      </c>
      <c r="B9" s="18"/>
      <c r="C9" s="18"/>
      <c r="D9" s="18"/>
      <c r="E9" s="18"/>
      <c r="F9" s="18"/>
      <c r="G9" s="18"/>
      <c r="H9" s="18">
        <v>7.5487499999999992</v>
      </c>
      <c r="I9" s="18">
        <v>2</v>
      </c>
      <c r="J9" s="18"/>
      <c r="K9" s="18"/>
      <c r="L9" s="18"/>
      <c r="M9" s="18"/>
      <c r="N9" s="18"/>
      <c r="O9" s="18"/>
      <c r="P9" s="18"/>
      <c r="Q9" s="18"/>
      <c r="R9" s="18">
        <v>7.5487499999999992</v>
      </c>
      <c r="S9" s="18">
        <v>2</v>
      </c>
      <c r="T9" t="e">
        <f>+COUNTIF('[1]Facade Heat Loss'!$A:$A,A9)</f>
        <v>#VALUE!</v>
      </c>
    </row>
    <row r="10" spans="1:20" x14ac:dyDescent="0.25">
      <c r="A10" s="25" t="s">
        <v>354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>
        <v>3.05</v>
      </c>
      <c r="M10" s="18">
        <v>1</v>
      </c>
      <c r="N10" s="18"/>
      <c r="O10" s="18"/>
      <c r="P10" s="18"/>
      <c r="Q10" s="18"/>
      <c r="R10" s="18">
        <v>3.05</v>
      </c>
      <c r="S10" s="18">
        <v>1</v>
      </c>
      <c r="T10" t="e">
        <f>+COUNTIF('[1]Facade Heat Loss'!$A:$A,A10)</f>
        <v>#VALUE!</v>
      </c>
    </row>
    <row r="11" spans="1:20" x14ac:dyDescent="0.25">
      <c r="A11" s="25" t="s">
        <v>355</v>
      </c>
      <c r="B11" s="18"/>
      <c r="C11" s="18"/>
      <c r="D11" s="18">
        <v>4.5750000000000002</v>
      </c>
      <c r="E11" s="18">
        <v>1</v>
      </c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>
        <v>4.5750000000000002</v>
      </c>
      <c r="S11" s="18">
        <v>1</v>
      </c>
      <c r="T11" t="e">
        <f>+COUNTIF('[1]Facade Heat Loss'!$A:$A,A11)</f>
        <v>#VALUE!</v>
      </c>
    </row>
    <row r="12" spans="1:20" x14ac:dyDescent="0.25">
      <c r="A12" s="25" t="s">
        <v>356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>
        <v>3.05</v>
      </c>
      <c r="O12" s="18">
        <v>1</v>
      </c>
      <c r="P12" s="18"/>
      <c r="Q12" s="18"/>
      <c r="R12" s="18">
        <v>3.05</v>
      </c>
      <c r="S12" s="18">
        <v>1</v>
      </c>
      <c r="T12" t="e">
        <f>+COUNTIF('[1]Facade Heat Loss'!$A:$A,A12)</f>
        <v>#VALUE!</v>
      </c>
    </row>
    <row r="13" spans="1:20" x14ac:dyDescent="0.25">
      <c r="A13" s="25" t="s">
        <v>333</v>
      </c>
      <c r="B13" s="18"/>
      <c r="C13" s="18"/>
      <c r="D13" s="18"/>
      <c r="E13" s="18"/>
      <c r="F13" s="18"/>
      <c r="G13" s="18"/>
      <c r="H13" s="18">
        <v>12.123749999999998</v>
      </c>
      <c r="I13" s="18">
        <v>3</v>
      </c>
      <c r="J13" s="18"/>
      <c r="K13" s="18"/>
      <c r="L13" s="18"/>
      <c r="M13" s="18"/>
      <c r="N13" s="18"/>
      <c r="O13" s="18"/>
      <c r="P13" s="18"/>
      <c r="Q13" s="18"/>
      <c r="R13" s="18">
        <v>12.123749999999998</v>
      </c>
      <c r="S13" s="18">
        <v>3</v>
      </c>
      <c r="T13" t="e">
        <f>+COUNTIF('[1]Facade Heat Loss'!$A:$A,A13)</f>
        <v>#VALUE!</v>
      </c>
    </row>
    <row r="14" spans="1:20" x14ac:dyDescent="0.25">
      <c r="A14" s="25" t="s">
        <v>334</v>
      </c>
      <c r="B14" s="18"/>
      <c r="C14" s="18"/>
      <c r="D14" s="18">
        <v>3.05</v>
      </c>
      <c r="E14" s="18">
        <v>1</v>
      </c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>
        <v>3.05</v>
      </c>
      <c r="S14" s="18">
        <v>1</v>
      </c>
      <c r="T14" t="e">
        <f>+COUNTIF('[1]Facade Heat Loss'!$A:$A,A14)</f>
        <v>#VALUE!</v>
      </c>
    </row>
    <row r="15" spans="1:20" x14ac:dyDescent="0.25">
      <c r="A15" s="25" t="s">
        <v>335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>
        <v>2.9737499999999999</v>
      </c>
      <c r="O15" s="18">
        <v>1</v>
      </c>
      <c r="P15" s="18"/>
      <c r="Q15" s="18"/>
      <c r="R15" s="18">
        <v>2.9737499999999999</v>
      </c>
      <c r="S15" s="18">
        <v>1</v>
      </c>
      <c r="T15" t="e">
        <f>+COUNTIF('[1]Facade Heat Loss'!$A:$A,A15)</f>
        <v>#VALUE!</v>
      </c>
    </row>
    <row r="16" spans="1:20" x14ac:dyDescent="0.25">
      <c r="A16" s="25" t="s">
        <v>331</v>
      </c>
      <c r="B16" s="18"/>
      <c r="C16" s="18"/>
      <c r="D16" s="18">
        <v>0</v>
      </c>
      <c r="E16" s="18">
        <v>1</v>
      </c>
      <c r="F16" s="18"/>
      <c r="G16" s="18"/>
      <c r="H16" s="18">
        <v>5.9474999999999998</v>
      </c>
      <c r="I16" s="18">
        <v>2</v>
      </c>
      <c r="J16" s="18"/>
      <c r="K16" s="18"/>
      <c r="L16" s="18">
        <v>25.391249999999996</v>
      </c>
      <c r="M16" s="18">
        <v>7</v>
      </c>
      <c r="N16" s="18"/>
      <c r="O16" s="18"/>
      <c r="P16" s="18"/>
      <c r="Q16" s="18"/>
      <c r="R16" s="18">
        <v>31.338749999999997</v>
      </c>
      <c r="S16" s="18">
        <v>10</v>
      </c>
      <c r="T16" t="e">
        <f>+COUNTIF('[1]Facade Heat Loss'!$A:$A,A16)</f>
        <v>#VALUE!</v>
      </c>
    </row>
    <row r="17" spans="1:20" x14ac:dyDescent="0.25">
      <c r="A17" s="25" t="s">
        <v>315</v>
      </c>
      <c r="B17" s="18">
        <v>39.119999999999997</v>
      </c>
      <c r="C17" s="18">
        <v>9</v>
      </c>
      <c r="D17" s="18"/>
      <c r="E17" s="18"/>
      <c r="F17" s="18"/>
      <c r="G17" s="18"/>
      <c r="H17" s="18">
        <v>5.9474999999999998</v>
      </c>
      <c r="I17" s="18">
        <v>1</v>
      </c>
      <c r="J17" s="18"/>
      <c r="K17" s="18"/>
      <c r="L17" s="18"/>
      <c r="M17" s="18"/>
      <c r="N17" s="18"/>
      <c r="O17" s="18"/>
      <c r="P17" s="18"/>
      <c r="Q17" s="18"/>
      <c r="R17" s="18">
        <v>45.067499999999995</v>
      </c>
      <c r="S17" s="18">
        <v>10</v>
      </c>
      <c r="T17" t="e">
        <f>+COUNTIF('[1]Facade Heat Loss'!$A:$A,A17)</f>
        <v>#VALUE!</v>
      </c>
    </row>
    <row r="18" spans="1:20" x14ac:dyDescent="0.25">
      <c r="A18" s="25" t="s">
        <v>308</v>
      </c>
      <c r="B18" s="18">
        <v>21.024000000000001</v>
      </c>
      <c r="C18" s="18">
        <v>8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>
        <v>21.024000000000001</v>
      </c>
      <c r="S18" s="18">
        <v>8</v>
      </c>
      <c r="T18" t="e">
        <f>+COUNTIF('[1]Facade Heat Loss'!$A:$A,A18)</f>
        <v>#VALUE!</v>
      </c>
    </row>
    <row r="19" spans="1:20" x14ac:dyDescent="0.25">
      <c r="A19" s="25" t="s">
        <v>317</v>
      </c>
      <c r="B19" s="18">
        <v>6.6719999999999997</v>
      </c>
      <c r="C19" s="18">
        <v>2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>
        <v>6.6719999999999997</v>
      </c>
      <c r="S19" s="18">
        <v>2</v>
      </c>
      <c r="T19" t="e">
        <f>+COUNTIF('[1]Facade Heat Loss'!$A:$A,A19)</f>
        <v>#VALUE!</v>
      </c>
    </row>
    <row r="20" spans="1:20" x14ac:dyDescent="0.25">
      <c r="A20" s="25" t="s">
        <v>318</v>
      </c>
      <c r="B20" s="18">
        <v>43.103999999999999</v>
      </c>
      <c r="C20" s="18">
        <v>11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>
        <v>43.103999999999999</v>
      </c>
      <c r="S20" s="18">
        <v>11</v>
      </c>
      <c r="T20" t="e">
        <f>+COUNTIF('[1]Facade Heat Loss'!$A:$A,A20)</f>
        <v>#VALUE!</v>
      </c>
    </row>
    <row r="21" spans="1:20" x14ac:dyDescent="0.25">
      <c r="A21" s="25" t="s">
        <v>319</v>
      </c>
      <c r="B21" s="18">
        <v>7.92</v>
      </c>
      <c r="C21" s="18">
        <v>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>
        <v>7.92</v>
      </c>
      <c r="S21" s="18">
        <v>2</v>
      </c>
      <c r="T21" t="e">
        <f>+COUNTIF('[1]Facade Heat Loss'!$A:$A,A21)</f>
        <v>#VALUE!</v>
      </c>
    </row>
    <row r="22" spans="1:20" x14ac:dyDescent="0.25">
      <c r="A22" s="25" t="s">
        <v>321</v>
      </c>
      <c r="B22" s="18">
        <v>22.272000000000002</v>
      </c>
      <c r="C22" s="18">
        <v>7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>
        <v>22.272000000000002</v>
      </c>
      <c r="S22" s="18">
        <v>7</v>
      </c>
      <c r="T22" t="e">
        <f>+COUNTIF('[1]Facade Heat Loss'!$A:$A,A22)</f>
        <v>#VALUE!</v>
      </c>
    </row>
    <row r="23" spans="1:20" x14ac:dyDescent="0.25">
      <c r="A23" s="25" t="s">
        <v>196</v>
      </c>
      <c r="B23" s="18">
        <v>0</v>
      </c>
      <c r="C23" s="18">
        <v>1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>
        <v>0</v>
      </c>
      <c r="S23" s="18">
        <v>1</v>
      </c>
      <c r="T23" t="e">
        <f>+COUNTIF('[1]Facade Heat Loss'!$A:$A,A23)</f>
        <v>#VALUE!</v>
      </c>
    </row>
    <row r="24" spans="1:20" x14ac:dyDescent="0.25">
      <c r="A24" s="25" t="s">
        <v>314</v>
      </c>
      <c r="B24" s="18">
        <v>7.92</v>
      </c>
      <c r="C24" s="18">
        <v>2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>
        <v>7.92</v>
      </c>
      <c r="S24" s="18">
        <v>2</v>
      </c>
      <c r="T24" t="e">
        <f>+COUNTIF('[1]Facade Heat Loss'!$A:$A,A24)</f>
        <v>#VALUE!</v>
      </c>
    </row>
    <row r="25" spans="1:20" x14ac:dyDescent="0.25">
      <c r="A25" s="25" t="s">
        <v>201</v>
      </c>
      <c r="B25" s="18">
        <v>61.199999999999996</v>
      </c>
      <c r="C25" s="18">
        <v>17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>
        <v>61.199999999999996</v>
      </c>
      <c r="S25" s="18">
        <v>17</v>
      </c>
      <c r="T25" t="e">
        <f>+COUNTIF('[1]Facade Heat Loss'!$A:$A,A25)</f>
        <v>#VALUE!</v>
      </c>
    </row>
    <row r="26" spans="1:20" x14ac:dyDescent="0.25">
      <c r="A26" s="25" t="s">
        <v>198</v>
      </c>
      <c r="B26" s="18">
        <v>11.472</v>
      </c>
      <c r="C26" s="18">
        <v>3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>
        <v>11.472</v>
      </c>
      <c r="S26" s="18">
        <v>3</v>
      </c>
      <c r="T26" t="e">
        <f>+COUNTIF('[1]Facade Heat Loss'!$A:$A,A26)</f>
        <v>#VALUE!</v>
      </c>
    </row>
    <row r="27" spans="1:20" x14ac:dyDescent="0.25">
      <c r="A27" s="25" t="s">
        <v>207</v>
      </c>
      <c r="B27" s="18">
        <v>0</v>
      </c>
      <c r="C27" s="18">
        <v>2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>
        <v>0</v>
      </c>
      <c r="S27" s="18">
        <v>2</v>
      </c>
      <c r="T27" t="e">
        <f>+COUNTIF('[1]Facade Heat Loss'!$A:$A,A27)</f>
        <v>#VALUE!</v>
      </c>
    </row>
    <row r="28" spans="1:20" x14ac:dyDescent="0.25">
      <c r="A28" s="25" t="s">
        <v>232</v>
      </c>
      <c r="B28" s="18">
        <v>9.36</v>
      </c>
      <c r="C28" s="18">
        <v>2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>
        <v>9.36</v>
      </c>
      <c r="S28" s="18">
        <v>2</v>
      </c>
      <c r="T28" t="e">
        <f>+COUNTIF('[1]Facade Heat Loss'!$A:$A,A28)</f>
        <v>#VALUE!</v>
      </c>
    </row>
    <row r="29" spans="1:20" x14ac:dyDescent="0.25">
      <c r="A29" s="25" t="s">
        <v>258</v>
      </c>
      <c r="B29" s="18">
        <v>6.24</v>
      </c>
      <c r="C29" s="18">
        <v>1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>
        <v>6.24</v>
      </c>
      <c r="S29" s="18">
        <v>1</v>
      </c>
      <c r="T29" t="e">
        <f>+COUNTIF('[1]Facade Heat Loss'!$A:$A,A29)</f>
        <v>#VALUE!</v>
      </c>
    </row>
    <row r="30" spans="1:20" x14ac:dyDescent="0.25">
      <c r="A30" s="25" t="s">
        <v>246</v>
      </c>
      <c r="B30" s="18"/>
      <c r="C30" s="18"/>
      <c r="D30" s="18"/>
      <c r="E30" s="18"/>
      <c r="F30" s="18"/>
      <c r="G30" s="18"/>
      <c r="H30" s="18">
        <v>2.9737499999999999</v>
      </c>
      <c r="I30" s="18">
        <v>1</v>
      </c>
      <c r="J30" s="18"/>
      <c r="K30" s="18"/>
      <c r="L30" s="18"/>
      <c r="M30" s="18"/>
      <c r="N30" s="18"/>
      <c r="O30" s="18"/>
      <c r="P30" s="18"/>
      <c r="Q30" s="18"/>
      <c r="R30" s="18">
        <v>2.9737499999999999</v>
      </c>
      <c r="S30" s="18">
        <v>1</v>
      </c>
      <c r="T30" t="e">
        <f>+COUNTIF('[1]Facade Heat Loss'!$A:$A,A30)</f>
        <v>#VALUE!</v>
      </c>
    </row>
    <row r="31" spans="1:20" x14ac:dyDescent="0.25">
      <c r="A31" s="25" t="s">
        <v>245</v>
      </c>
      <c r="B31" s="18"/>
      <c r="C31" s="18"/>
      <c r="D31" s="18"/>
      <c r="E31" s="18"/>
      <c r="F31" s="18"/>
      <c r="G31" s="18"/>
      <c r="H31" s="18">
        <v>5.9474999999999998</v>
      </c>
      <c r="I31" s="18">
        <v>1</v>
      </c>
      <c r="J31" s="18"/>
      <c r="K31" s="18"/>
      <c r="L31" s="18">
        <v>10.90375</v>
      </c>
      <c r="M31" s="18">
        <v>3</v>
      </c>
      <c r="N31" s="18"/>
      <c r="O31" s="18"/>
      <c r="P31" s="18"/>
      <c r="Q31" s="18"/>
      <c r="R31" s="18">
        <v>16.85125</v>
      </c>
      <c r="S31" s="18">
        <v>4</v>
      </c>
      <c r="T31" t="e">
        <f>+COUNTIF('[1]Facade Heat Loss'!$A:$A,A31)</f>
        <v>#VALUE!</v>
      </c>
    </row>
    <row r="32" spans="1:20" x14ac:dyDescent="0.25">
      <c r="A32" s="25" t="s">
        <v>336</v>
      </c>
      <c r="B32" s="18"/>
      <c r="C32" s="18"/>
      <c r="D32" s="18"/>
      <c r="E32" s="18"/>
      <c r="F32" s="18"/>
      <c r="G32" s="18"/>
      <c r="H32" s="18">
        <v>4.5749999999999993</v>
      </c>
      <c r="I32" s="18">
        <v>1</v>
      </c>
      <c r="J32" s="18"/>
      <c r="K32" s="18"/>
      <c r="L32" s="18"/>
      <c r="M32" s="18"/>
      <c r="N32" s="18"/>
      <c r="O32" s="18"/>
      <c r="P32" s="18"/>
      <c r="Q32" s="18"/>
      <c r="R32" s="18">
        <v>4.5749999999999993</v>
      </c>
      <c r="S32" s="18">
        <v>1</v>
      </c>
      <c r="T32" t="e">
        <f>+COUNTIF('[1]Facade Heat Loss'!$A:$A,A32)</f>
        <v>#VALUE!</v>
      </c>
    </row>
    <row r="33" spans="1:20" x14ac:dyDescent="0.25">
      <c r="A33" s="25" t="s">
        <v>343</v>
      </c>
      <c r="B33" s="18">
        <v>83.087999999999994</v>
      </c>
      <c r="C33" s="18">
        <v>21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>
        <v>83.087999999999994</v>
      </c>
      <c r="S33" s="18">
        <v>21</v>
      </c>
      <c r="T33" t="e">
        <f>+COUNTIF('[1]Facade Heat Loss'!$A:$A,A33)</f>
        <v>#VALUE!</v>
      </c>
    </row>
    <row r="34" spans="1:20" x14ac:dyDescent="0.25">
      <c r="A34" s="25" t="s">
        <v>344</v>
      </c>
      <c r="B34" s="18">
        <v>39.983999999999995</v>
      </c>
      <c r="C34" s="18">
        <v>10</v>
      </c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>
        <v>39.983999999999995</v>
      </c>
      <c r="S34" s="18">
        <v>10</v>
      </c>
      <c r="T34" t="e">
        <f>+COUNTIF('[1]Facade Heat Loss'!$A:$A,A34)</f>
        <v>#VALUE!</v>
      </c>
    </row>
    <row r="35" spans="1:20" x14ac:dyDescent="0.25">
      <c r="A35" s="25" t="s">
        <v>345</v>
      </c>
      <c r="B35" s="18">
        <v>32.064</v>
      </c>
      <c r="C35" s="18">
        <v>8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>
        <v>32.064</v>
      </c>
      <c r="S35" s="18">
        <v>8</v>
      </c>
      <c r="T35" t="e">
        <f>+COUNTIF('[1]Facade Heat Loss'!$A:$A,A35)</f>
        <v>#VALUE!</v>
      </c>
    </row>
    <row r="36" spans="1:20" x14ac:dyDescent="0.25">
      <c r="A36" s="25" t="s">
        <v>346</v>
      </c>
      <c r="B36" s="18">
        <v>46.783999999999992</v>
      </c>
      <c r="C36" s="18">
        <v>12</v>
      </c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>
        <v>46.783999999999992</v>
      </c>
      <c r="S36" s="18">
        <v>12</v>
      </c>
      <c r="T36" t="e">
        <f>+COUNTIF('[1]Facade Heat Loss'!$A:$A,A36)</f>
        <v>#VALUE!</v>
      </c>
    </row>
    <row r="37" spans="1:20" x14ac:dyDescent="0.25">
      <c r="A37" s="25" t="s">
        <v>351</v>
      </c>
      <c r="B37" s="18">
        <v>9.36</v>
      </c>
      <c r="C37" s="18">
        <v>2</v>
      </c>
      <c r="D37" s="18"/>
      <c r="E37" s="18"/>
      <c r="F37" s="18"/>
      <c r="G37" s="18"/>
      <c r="H37" s="18"/>
      <c r="I37" s="18"/>
      <c r="J37" s="18"/>
      <c r="K37" s="18"/>
      <c r="L37" s="18">
        <v>13.49625</v>
      </c>
      <c r="M37" s="18">
        <v>3</v>
      </c>
      <c r="N37" s="18"/>
      <c r="O37" s="18"/>
      <c r="P37" s="18"/>
      <c r="Q37" s="18"/>
      <c r="R37" s="18">
        <v>22.856249999999996</v>
      </c>
      <c r="S37" s="18">
        <v>5</v>
      </c>
      <c r="T37" t="e">
        <f>+COUNTIF('[1]Facade Heat Loss'!$A:$A,A37)</f>
        <v>#VALUE!</v>
      </c>
    </row>
    <row r="38" spans="1:20" x14ac:dyDescent="0.25">
      <c r="A38" s="25" t="s">
        <v>352</v>
      </c>
      <c r="B38" s="18">
        <v>12.911999999999999</v>
      </c>
      <c r="C38" s="18">
        <v>4</v>
      </c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>
        <v>12.911999999999999</v>
      </c>
      <c r="S38" s="18">
        <v>4</v>
      </c>
      <c r="T38" t="e">
        <f>+COUNTIF('[1]Facade Heat Loss'!$A:$A,A38)</f>
        <v>#VALUE!</v>
      </c>
    </row>
    <row r="39" spans="1:20" x14ac:dyDescent="0.25">
      <c r="A39" s="25" t="s">
        <v>353</v>
      </c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>
        <v>67.252500000000012</v>
      </c>
      <c r="M39" s="18">
        <v>19</v>
      </c>
      <c r="N39" s="18"/>
      <c r="O39" s="18"/>
      <c r="P39" s="18"/>
      <c r="Q39" s="18"/>
      <c r="R39" s="18">
        <v>67.252500000000012</v>
      </c>
      <c r="S39" s="18">
        <v>19</v>
      </c>
      <c r="T39" t="e">
        <f>+COUNTIF('[1]Facade Heat Loss'!$A:$A,A39)</f>
        <v>#VALUE!</v>
      </c>
    </row>
    <row r="40" spans="1:20" x14ac:dyDescent="0.25">
      <c r="A40" s="25" t="s">
        <v>205</v>
      </c>
      <c r="B40" s="18"/>
      <c r="C40" s="18"/>
      <c r="D40" s="18"/>
      <c r="E40" s="18"/>
      <c r="F40" s="18"/>
      <c r="G40" s="18"/>
      <c r="H40" s="18">
        <v>4.9562499999999998</v>
      </c>
      <c r="I40" s="18">
        <v>2</v>
      </c>
      <c r="J40" s="18"/>
      <c r="K40" s="18"/>
      <c r="L40" s="18"/>
      <c r="M40" s="18"/>
      <c r="N40" s="18"/>
      <c r="O40" s="18"/>
      <c r="P40" s="18"/>
      <c r="Q40" s="18"/>
      <c r="R40" s="18">
        <v>4.9562499999999998</v>
      </c>
      <c r="S40" s="18">
        <v>2</v>
      </c>
      <c r="T40" t="e">
        <f>+COUNTIF('[1]Facade Heat Loss'!$A:$A,A40)</f>
        <v>#VALUE!</v>
      </c>
    </row>
    <row r="41" spans="1:20" x14ac:dyDescent="0.25">
      <c r="A41" s="25" t="s">
        <v>210</v>
      </c>
      <c r="B41" s="18">
        <v>11.0784</v>
      </c>
      <c r="C41" s="18">
        <v>2</v>
      </c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>
        <v>11.0784</v>
      </c>
      <c r="S41" s="18">
        <v>2</v>
      </c>
      <c r="T41" t="e">
        <f>+COUNTIF('[1]Facade Heat Loss'!$A:$A,A41)</f>
        <v>#VALUE!</v>
      </c>
    </row>
    <row r="42" spans="1:20" x14ac:dyDescent="0.25">
      <c r="A42" s="25" t="s">
        <v>227</v>
      </c>
      <c r="B42" s="18">
        <v>11.04</v>
      </c>
      <c r="C42" s="18">
        <v>2</v>
      </c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>
        <v>11.04</v>
      </c>
      <c r="S42" s="18">
        <v>2</v>
      </c>
      <c r="T42" t="e">
        <f>+COUNTIF('[1]Facade Heat Loss'!$A:$A,A42)</f>
        <v>#VALUE!</v>
      </c>
    </row>
    <row r="43" spans="1:20" x14ac:dyDescent="0.25">
      <c r="A43" s="25" t="s">
        <v>209</v>
      </c>
      <c r="B43" s="18"/>
      <c r="C43" s="18"/>
      <c r="D43" s="18"/>
      <c r="E43" s="18"/>
      <c r="F43" s="18"/>
      <c r="G43" s="18"/>
      <c r="H43" s="18">
        <v>10.90375</v>
      </c>
      <c r="I43" s="18">
        <v>3</v>
      </c>
      <c r="J43" s="18"/>
      <c r="K43" s="18"/>
      <c r="L43" s="18"/>
      <c r="M43" s="18"/>
      <c r="N43" s="18"/>
      <c r="O43" s="18"/>
      <c r="P43" s="18"/>
      <c r="Q43" s="18"/>
      <c r="R43" s="18">
        <v>10.90375</v>
      </c>
      <c r="S43" s="18">
        <v>3</v>
      </c>
      <c r="T43" t="e">
        <f>+COUNTIF('[1]Facade Heat Loss'!$A:$A,A43)</f>
        <v>#VALUE!</v>
      </c>
    </row>
    <row r="44" spans="1:20" x14ac:dyDescent="0.25">
      <c r="A44" s="25" t="s">
        <v>214</v>
      </c>
      <c r="B44" s="18">
        <v>24.96</v>
      </c>
      <c r="C44" s="18">
        <v>6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>
        <v>24.96</v>
      </c>
      <c r="S44" s="18">
        <v>6</v>
      </c>
      <c r="T44" t="e">
        <f>+COUNTIF('[1]Facade Heat Loss'!$A:$A,A44)</f>
        <v>#VALUE!</v>
      </c>
    </row>
    <row r="45" spans="1:20" x14ac:dyDescent="0.25">
      <c r="A45" s="25" t="s">
        <v>228</v>
      </c>
      <c r="B45" s="18">
        <v>26.8</v>
      </c>
      <c r="C45" s="18">
        <v>6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>
        <v>26.8</v>
      </c>
      <c r="S45" s="18">
        <v>6</v>
      </c>
      <c r="T45" t="e">
        <f>+COUNTIF('[1]Facade Heat Loss'!$A:$A,A45)</f>
        <v>#VALUE!</v>
      </c>
    </row>
    <row r="46" spans="1:20" x14ac:dyDescent="0.25">
      <c r="A46" s="25" t="s">
        <v>231</v>
      </c>
      <c r="B46" s="18">
        <v>22</v>
      </c>
      <c r="C46" s="18">
        <v>5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>
        <v>22</v>
      </c>
      <c r="S46" s="18">
        <v>5</v>
      </c>
      <c r="T46" t="e">
        <f>+COUNTIF('[1]Facade Heat Loss'!$A:$A,A46)</f>
        <v>#VALUE!</v>
      </c>
    </row>
    <row r="47" spans="1:20" x14ac:dyDescent="0.25">
      <c r="A47" s="25" t="s">
        <v>208</v>
      </c>
      <c r="B47" s="18"/>
      <c r="C47" s="18"/>
      <c r="D47" s="18"/>
      <c r="E47" s="18"/>
      <c r="F47" s="18"/>
      <c r="G47" s="18"/>
      <c r="H47" s="18">
        <v>10.90375</v>
      </c>
      <c r="I47" s="18">
        <v>3</v>
      </c>
      <c r="J47" s="18"/>
      <c r="K47" s="18"/>
      <c r="L47" s="18"/>
      <c r="M47" s="18"/>
      <c r="N47" s="18"/>
      <c r="O47" s="18"/>
      <c r="P47" s="18"/>
      <c r="Q47" s="18"/>
      <c r="R47" s="18">
        <v>10.90375</v>
      </c>
      <c r="S47" s="18">
        <v>3</v>
      </c>
      <c r="T47" t="e">
        <f>+COUNTIF('[1]Facade Heat Loss'!$A:$A,A47)</f>
        <v>#VALUE!</v>
      </c>
    </row>
    <row r="48" spans="1:20" x14ac:dyDescent="0.25">
      <c r="A48" s="25" t="s">
        <v>213</v>
      </c>
      <c r="B48" s="18">
        <v>14.16</v>
      </c>
      <c r="C48" s="18">
        <v>3</v>
      </c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>
        <v>14.16</v>
      </c>
      <c r="S48" s="18">
        <v>3</v>
      </c>
      <c r="T48" t="e">
        <f>+COUNTIF('[1]Facade Heat Loss'!$A:$A,A48)</f>
        <v>#VALUE!</v>
      </c>
    </row>
    <row r="49" spans="1:20" x14ac:dyDescent="0.25">
      <c r="A49" s="25" t="s">
        <v>361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>
        <v>10.522499999999999</v>
      </c>
      <c r="M49" s="18">
        <v>3</v>
      </c>
      <c r="N49" s="18"/>
      <c r="O49" s="18"/>
      <c r="P49" s="18"/>
      <c r="Q49" s="18"/>
      <c r="R49" s="18">
        <v>10.522499999999999</v>
      </c>
      <c r="S49" s="18">
        <v>3</v>
      </c>
      <c r="T49" t="e">
        <f>+COUNTIF('[1]Facade Heat Loss'!$A:$A,A49)</f>
        <v>#VALUE!</v>
      </c>
    </row>
    <row r="50" spans="1:20" x14ac:dyDescent="0.25">
      <c r="A50" s="25" t="s">
        <v>216</v>
      </c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>
        <v>43.233750000000008</v>
      </c>
      <c r="M50" s="18">
        <v>12</v>
      </c>
      <c r="N50" s="18"/>
      <c r="O50" s="18"/>
      <c r="P50" s="18"/>
      <c r="Q50" s="18"/>
      <c r="R50" s="18">
        <v>43.233750000000008</v>
      </c>
      <c r="S50" s="18">
        <v>12</v>
      </c>
      <c r="T50" t="e">
        <f>+COUNTIF('[1]Facade Heat Loss'!$A:$A,A50)</f>
        <v>#VALUE!</v>
      </c>
    </row>
    <row r="51" spans="1:20" x14ac:dyDescent="0.25">
      <c r="A51" s="25" t="s">
        <v>219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>
        <v>16.47</v>
      </c>
      <c r="M51" s="18">
        <v>5</v>
      </c>
      <c r="N51" s="18"/>
      <c r="O51" s="18"/>
      <c r="P51" s="18"/>
      <c r="Q51" s="18"/>
      <c r="R51" s="18">
        <v>16.47</v>
      </c>
      <c r="S51" s="18">
        <v>5</v>
      </c>
      <c r="T51" t="e">
        <f>+COUNTIF('[1]Facade Heat Loss'!$A:$A,A51)</f>
        <v>#VALUE!</v>
      </c>
    </row>
    <row r="52" spans="1:20" x14ac:dyDescent="0.25">
      <c r="A52" s="25" t="s">
        <v>218</v>
      </c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>
        <v>21.044999999999998</v>
      </c>
      <c r="M52" s="18">
        <v>6</v>
      </c>
      <c r="N52" s="18"/>
      <c r="O52" s="18"/>
      <c r="P52" s="18"/>
      <c r="Q52" s="18"/>
      <c r="R52" s="18">
        <v>21.044999999999998</v>
      </c>
      <c r="S52" s="18">
        <v>6</v>
      </c>
      <c r="T52" t="e">
        <f>+COUNTIF('[1]Facade Heat Loss'!$A:$A,A52)</f>
        <v>#VALUE!</v>
      </c>
    </row>
    <row r="53" spans="1:20" x14ac:dyDescent="0.25">
      <c r="A53" s="25" t="s">
        <v>220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>
        <v>14.86875</v>
      </c>
      <c r="M53" s="18">
        <v>3</v>
      </c>
      <c r="N53" s="18"/>
      <c r="O53" s="18"/>
      <c r="P53" s="18"/>
      <c r="Q53" s="18"/>
      <c r="R53" s="18">
        <v>14.86875</v>
      </c>
      <c r="S53" s="18">
        <v>3</v>
      </c>
      <c r="T53" t="e">
        <f>+COUNTIF('[1]Facade Heat Loss'!$A:$A,A53)</f>
        <v>#VALUE!</v>
      </c>
    </row>
    <row r="54" spans="1:20" x14ac:dyDescent="0.25">
      <c r="A54" s="25" t="s">
        <v>222</v>
      </c>
      <c r="B54" s="18">
        <v>22.080000000000002</v>
      </c>
      <c r="C54" s="18">
        <v>6</v>
      </c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>
        <v>22.080000000000002</v>
      </c>
      <c r="S54" s="18">
        <v>6</v>
      </c>
      <c r="T54" t="e">
        <f>+COUNTIF('[1]Facade Heat Loss'!$A:$A,A54)</f>
        <v>#VALUE!</v>
      </c>
    </row>
    <row r="55" spans="1:20" x14ac:dyDescent="0.25">
      <c r="A55" s="25" t="s">
        <v>310</v>
      </c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>
        <v>8.9212500000000006</v>
      </c>
      <c r="M55" s="18">
        <v>3</v>
      </c>
      <c r="N55" s="18"/>
      <c r="O55" s="18"/>
      <c r="P55" s="18"/>
      <c r="Q55" s="18"/>
      <c r="R55" s="18">
        <v>8.9212500000000006</v>
      </c>
      <c r="S55" s="18">
        <v>3</v>
      </c>
      <c r="T55" t="e">
        <f>+COUNTIF('[1]Facade Heat Loss'!$A:$A,A55)</f>
        <v>#VALUE!</v>
      </c>
    </row>
    <row r="56" spans="1:20" x14ac:dyDescent="0.25">
      <c r="A56" s="25" t="s">
        <v>221</v>
      </c>
      <c r="B56" s="18">
        <v>23.52</v>
      </c>
      <c r="C56" s="18">
        <v>5</v>
      </c>
      <c r="D56" s="18"/>
      <c r="E56" s="18"/>
      <c r="F56" s="18"/>
      <c r="G56" s="18"/>
      <c r="H56" s="18"/>
      <c r="I56" s="18"/>
      <c r="J56" s="18"/>
      <c r="K56" s="18"/>
      <c r="L56" s="18">
        <v>26.763749999999995</v>
      </c>
      <c r="M56" s="18">
        <v>9</v>
      </c>
      <c r="N56" s="18"/>
      <c r="O56" s="18"/>
      <c r="P56" s="18"/>
      <c r="Q56" s="18"/>
      <c r="R56" s="18">
        <v>50.283750000000012</v>
      </c>
      <c r="S56" s="18">
        <v>14</v>
      </c>
      <c r="T56" t="e">
        <f>+COUNTIF('[1]Facade Heat Loss'!$A:$A,A56)</f>
        <v>#VALUE!</v>
      </c>
    </row>
    <row r="57" spans="1:20" x14ac:dyDescent="0.25">
      <c r="A57" s="25" t="s">
        <v>309</v>
      </c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>
        <v>11.895</v>
      </c>
      <c r="M57" s="18">
        <v>3</v>
      </c>
      <c r="N57" s="18"/>
      <c r="O57" s="18"/>
      <c r="P57" s="18"/>
      <c r="Q57" s="18"/>
      <c r="R57" s="18">
        <v>11.895</v>
      </c>
      <c r="S57" s="18">
        <v>3</v>
      </c>
      <c r="T57" t="e">
        <f>+COUNTIF('[1]Facade Heat Loss'!$A:$A,A57)</f>
        <v>#VALUE!</v>
      </c>
    </row>
    <row r="58" spans="1:20" x14ac:dyDescent="0.25">
      <c r="A58" s="25" t="s">
        <v>362</v>
      </c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>
        <v>11.895</v>
      </c>
      <c r="M58" s="18">
        <v>4</v>
      </c>
      <c r="N58" s="18"/>
      <c r="O58" s="18"/>
      <c r="P58" s="18"/>
      <c r="Q58" s="18"/>
      <c r="R58" s="18">
        <v>11.895</v>
      </c>
      <c r="S58" s="18">
        <v>4</v>
      </c>
      <c r="T58" t="e">
        <f>+COUNTIF('[1]Facade Heat Loss'!$A:$A,A58)</f>
        <v>#VALUE!</v>
      </c>
    </row>
    <row r="59" spans="1:20" x14ac:dyDescent="0.25">
      <c r="A59" s="25" t="s">
        <v>215</v>
      </c>
      <c r="B59" s="18">
        <v>37.92</v>
      </c>
      <c r="C59" s="18">
        <v>9</v>
      </c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>
        <v>37.92</v>
      </c>
      <c r="S59" s="18">
        <v>9</v>
      </c>
      <c r="T59" t="e">
        <f>+COUNTIF('[1]Facade Heat Loss'!$A:$A,A59)</f>
        <v>#VALUE!</v>
      </c>
    </row>
    <row r="60" spans="1:20" x14ac:dyDescent="0.25">
      <c r="A60" s="25" t="s">
        <v>223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>
        <v>5.9474999999999998</v>
      </c>
      <c r="M60" s="18">
        <v>1</v>
      </c>
      <c r="N60" s="18"/>
      <c r="O60" s="18"/>
      <c r="P60" s="18"/>
      <c r="Q60" s="18"/>
      <c r="R60" s="18">
        <v>5.9474999999999998</v>
      </c>
      <c r="S60" s="18">
        <v>1</v>
      </c>
      <c r="T60" t="e">
        <f>+COUNTIF('[1]Facade Heat Loss'!$A:$A,A60)</f>
        <v>#VALUE!</v>
      </c>
    </row>
    <row r="61" spans="1:20" x14ac:dyDescent="0.25">
      <c r="A61" s="25" t="s">
        <v>224</v>
      </c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>
        <v>5.9474999999999998</v>
      </c>
      <c r="M61" s="18">
        <v>1</v>
      </c>
      <c r="N61" s="18"/>
      <c r="O61" s="18"/>
      <c r="P61" s="18"/>
      <c r="Q61" s="18"/>
      <c r="R61" s="18">
        <v>5.9474999999999998</v>
      </c>
      <c r="S61" s="18">
        <v>1</v>
      </c>
      <c r="T61" t="e">
        <f>+COUNTIF('[1]Facade Heat Loss'!$A:$A,A61)</f>
        <v>#VALUE!</v>
      </c>
    </row>
    <row r="62" spans="1:20" x14ac:dyDescent="0.25">
      <c r="A62" s="25" t="s">
        <v>225</v>
      </c>
      <c r="B62" s="18"/>
      <c r="C62" s="18"/>
      <c r="D62" s="18"/>
      <c r="E62" s="18"/>
      <c r="F62" s="18"/>
      <c r="G62" s="18"/>
      <c r="H62" s="18">
        <v>19.825000000000003</v>
      </c>
      <c r="I62" s="18">
        <v>7</v>
      </c>
      <c r="J62" s="18"/>
      <c r="K62" s="18"/>
      <c r="L62" s="18"/>
      <c r="M62" s="18"/>
      <c r="N62" s="18"/>
      <c r="O62" s="18"/>
      <c r="P62" s="18"/>
      <c r="Q62" s="18"/>
      <c r="R62" s="18">
        <v>19.825000000000003</v>
      </c>
      <c r="S62" s="18">
        <v>7</v>
      </c>
      <c r="T62" t="e">
        <f>+COUNTIF('[1]Facade Heat Loss'!$A:$A,A62)</f>
        <v>#VALUE!</v>
      </c>
    </row>
    <row r="63" spans="1:20" x14ac:dyDescent="0.25">
      <c r="A63" s="25" t="s">
        <v>337</v>
      </c>
      <c r="B63" s="18"/>
      <c r="C63" s="18"/>
      <c r="D63" s="18"/>
      <c r="E63" s="18"/>
      <c r="F63" s="18">
        <v>32.944999999999993</v>
      </c>
      <c r="G63" s="18">
        <v>8</v>
      </c>
      <c r="H63" s="18"/>
      <c r="I63" s="18"/>
      <c r="J63" s="18">
        <v>13.725000000000001</v>
      </c>
      <c r="K63" s="18">
        <v>3</v>
      </c>
      <c r="L63" s="18"/>
      <c r="M63" s="18"/>
      <c r="N63" s="18">
        <v>37.743750000000006</v>
      </c>
      <c r="O63" s="18">
        <v>10</v>
      </c>
      <c r="P63" s="18"/>
      <c r="Q63" s="18"/>
      <c r="R63" s="18">
        <v>84.413750000000007</v>
      </c>
      <c r="S63" s="18">
        <v>21</v>
      </c>
      <c r="T63" t="e">
        <f>+COUNTIF('[1]Facade Heat Loss'!$A:$A,A63)</f>
        <v>#VALUE!</v>
      </c>
    </row>
    <row r="64" spans="1:20" x14ac:dyDescent="0.25">
      <c r="A64" s="25" t="s">
        <v>340</v>
      </c>
      <c r="B64" s="18"/>
      <c r="C64" s="18"/>
      <c r="D64" s="18"/>
      <c r="E64" s="18"/>
      <c r="F64" s="18">
        <v>2.9737499999999999</v>
      </c>
      <c r="G64" s="18">
        <v>1</v>
      </c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>
        <v>2.9737499999999999</v>
      </c>
      <c r="S64" s="18">
        <v>1</v>
      </c>
      <c r="T64" t="e">
        <f>+COUNTIF('[1]Facade Heat Loss'!$A:$A,A64)</f>
        <v>#VALUE!</v>
      </c>
    </row>
    <row r="65" spans="1:20" x14ac:dyDescent="0.25">
      <c r="A65" s="25" t="s">
        <v>339</v>
      </c>
      <c r="B65" s="18"/>
      <c r="C65" s="18"/>
      <c r="D65" s="18"/>
      <c r="E65" s="18"/>
      <c r="F65" s="18">
        <v>13.49625</v>
      </c>
      <c r="G65" s="18">
        <v>3</v>
      </c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>
        <v>13.49625</v>
      </c>
      <c r="S65" s="18">
        <v>3</v>
      </c>
      <c r="T65" t="e">
        <f>+COUNTIF('[1]Facade Heat Loss'!$A:$A,A65)</f>
        <v>#VALUE!</v>
      </c>
    </row>
    <row r="66" spans="1:20" x14ac:dyDescent="0.25">
      <c r="A66" s="25" t="s">
        <v>313</v>
      </c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>
        <v>11.895</v>
      </c>
      <c r="M66" s="18">
        <v>3</v>
      </c>
      <c r="N66" s="18"/>
      <c r="O66" s="18"/>
      <c r="P66" s="18"/>
      <c r="Q66" s="18"/>
      <c r="R66" s="18">
        <v>11.895</v>
      </c>
      <c r="S66" s="18">
        <v>3</v>
      </c>
      <c r="T66" t="e">
        <f>+COUNTIF('[1]Facade Heat Loss'!$A:$A,A66)</f>
        <v>#VALUE!</v>
      </c>
    </row>
    <row r="67" spans="1:20" x14ac:dyDescent="0.25">
      <c r="A67" s="25" t="s">
        <v>325</v>
      </c>
      <c r="B67" s="18"/>
      <c r="C67" s="18"/>
      <c r="D67" s="18">
        <v>16.169999999999998</v>
      </c>
      <c r="E67" s="18">
        <v>5</v>
      </c>
      <c r="F67" s="18"/>
      <c r="G67" s="18"/>
      <c r="H67" s="18">
        <v>18.3</v>
      </c>
      <c r="I67" s="18">
        <v>4</v>
      </c>
      <c r="J67" s="18"/>
      <c r="K67" s="18"/>
      <c r="L67" s="18">
        <v>16.584375000000001</v>
      </c>
      <c r="M67" s="18">
        <v>4</v>
      </c>
      <c r="N67" s="18"/>
      <c r="O67" s="18"/>
      <c r="P67" s="18"/>
      <c r="Q67" s="18"/>
      <c r="R67" s="18">
        <v>51.054375</v>
      </c>
      <c r="S67" s="18">
        <v>13</v>
      </c>
      <c r="T67" t="e">
        <f>+COUNTIF('[1]Facade Heat Loss'!$A:$A,A67)</f>
        <v>#VALUE!</v>
      </c>
    </row>
    <row r="68" spans="1:20" x14ac:dyDescent="0.25">
      <c r="A68" s="25" t="s">
        <v>326</v>
      </c>
      <c r="B68" s="18"/>
      <c r="C68" s="18"/>
      <c r="D68" s="18">
        <v>10.522500000000001</v>
      </c>
      <c r="E68" s="18">
        <v>2</v>
      </c>
      <c r="F68" s="18"/>
      <c r="G68" s="18"/>
      <c r="H68" s="18">
        <v>18.3</v>
      </c>
      <c r="I68" s="18">
        <v>4</v>
      </c>
      <c r="J68" s="18"/>
      <c r="K68" s="18"/>
      <c r="L68" s="18">
        <v>3.51</v>
      </c>
      <c r="M68" s="18">
        <v>1</v>
      </c>
      <c r="N68" s="18"/>
      <c r="O68" s="18"/>
      <c r="P68" s="18"/>
      <c r="Q68" s="18"/>
      <c r="R68" s="18">
        <v>32.332499999999996</v>
      </c>
      <c r="S68" s="18">
        <v>7</v>
      </c>
      <c r="T68" t="e">
        <f>+COUNTIF('[1]Facade Heat Loss'!$A:$A,A68)</f>
        <v>#VALUE!</v>
      </c>
    </row>
    <row r="69" spans="1:20" x14ac:dyDescent="0.25">
      <c r="A69" s="25" t="s">
        <v>328</v>
      </c>
      <c r="B69" s="18"/>
      <c r="C69" s="18"/>
      <c r="D69" s="18">
        <v>11.895</v>
      </c>
      <c r="E69" s="18">
        <v>2</v>
      </c>
      <c r="F69" s="18"/>
      <c r="G69" s="18"/>
      <c r="H69" s="18">
        <v>18.3</v>
      </c>
      <c r="I69" s="18">
        <v>4</v>
      </c>
      <c r="J69" s="18"/>
      <c r="K69" s="18"/>
      <c r="L69" s="18">
        <v>7.5487500000000001</v>
      </c>
      <c r="M69" s="18">
        <v>2</v>
      </c>
      <c r="N69" s="18"/>
      <c r="O69" s="18"/>
      <c r="P69" s="18"/>
      <c r="Q69" s="18"/>
      <c r="R69" s="18">
        <v>37.743749999999999</v>
      </c>
      <c r="S69" s="18">
        <v>8</v>
      </c>
      <c r="T69" t="e">
        <f>+COUNTIF('[1]Facade Heat Loss'!$A:$A,A69)</f>
        <v>#VALUE!</v>
      </c>
    </row>
    <row r="70" spans="1:20" x14ac:dyDescent="0.25">
      <c r="A70" s="25" t="s">
        <v>262</v>
      </c>
      <c r="B70" s="18"/>
      <c r="C70" s="18"/>
      <c r="D70" s="18">
        <v>4.5750000000000002</v>
      </c>
      <c r="E70" s="18">
        <v>1</v>
      </c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>
        <v>4.5750000000000002</v>
      </c>
      <c r="S70" s="18">
        <v>1</v>
      </c>
      <c r="T70" t="e">
        <f>+COUNTIF('[1]Facade Heat Loss'!$A:$A,A70)</f>
        <v>#VALUE!</v>
      </c>
    </row>
    <row r="71" spans="1:20" x14ac:dyDescent="0.25">
      <c r="A71" s="25" t="s">
        <v>282</v>
      </c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>
        <v>2.9737499999999999</v>
      </c>
      <c r="M71" s="18">
        <v>1</v>
      </c>
      <c r="N71" s="18"/>
      <c r="O71" s="18"/>
      <c r="P71" s="18"/>
      <c r="Q71" s="18"/>
      <c r="R71" s="18">
        <v>2.9737499999999999</v>
      </c>
      <c r="S71" s="18">
        <v>1</v>
      </c>
      <c r="T71" t="e">
        <f>+COUNTIF('[1]Facade Heat Loss'!$A:$A,A71)</f>
        <v>#VALUE!</v>
      </c>
    </row>
    <row r="72" spans="1:20" x14ac:dyDescent="0.25">
      <c r="A72" s="25" t="s">
        <v>283</v>
      </c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>
        <v>5.9474999999999998</v>
      </c>
      <c r="M72" s="18">
        <v>1</v>
      </c>
      <c r="N72" s="18"/>
      <c r="O72" s="18"/>
      <c r="P72" s="18"/>
      <c r="Q72" s="18"/>
      <c r="R72" s="18">
        <v>5.9474999999999998</v>
      </c>
      <c r="S72" s="18">
        <v>1</v>
      </c>
      <c r="T72" t="e">
        <f>+COUNTIF('[1]Facade Heat Loss'!$A:$A,A72)</f>
        <v>#VALUE!</v>
      </c>
    </row>
    <row r="73" spans="1:20" x14ac:dyDescent="0.25">
      <c r="A73" s="25" t="s">
        <v>284</v>
      </c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>
        <v>2.9737499999999999</v>
      </c>
      <c r="M73" s="18">
        <v>1</v>
      </c>
      <c r="N73" s="18"/>
      <c r="O73" s="18"/>
      <c r="P73" s="18"/>
      <c r="Q73" s="18"/>
      <c r="R73" s="18">
        <v>2.9737499999999999</v>
      </c>
      <c r="S73" s="18">
        <v>1</v>
      </c>
      <c r="T73" t="e">
        <f>+COUNTIF('[1]Facade Heat Loss'!$A:$A,A73)</f>
        <v>#VALUE!</v>
      </c>
    </row>
    <row r="74" spans="1:20" x14ac:dyDescent="0.25">
      <c r="A74" s="25" t="s">
        <v>285</v>
      </c>
      <c r="B74" s="18"/>
      <c r="C74" s="18"/>
      <c r="D74" s="18">
        <v>5.9474999999999998</v>
      </c>
      <c r="E74" s="18">
        <v>1</v>
      </c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>
        <v>5.9474999999999998</v>
      </c>
      <c r="S74" s="18">
        <v>1</v>
      </c>
      <c r="T74" t="e">
        <f>+COUNTIF('[1]Facade Heat Loss'!$A:$A,A74)</f>
        <v>#VALUE!</v>
      </c>
    </row>
    <row r="75" spans="1:20" x14ac:dyDescent="0.25">
      <c r="A75" s="25" t="s">
        <v>286</v>
      </c>
      <c r="B75" s="18"/>
      <c r="C75" s="18"/>
      <c r="D75" s="18">
        <v>2.9737499999999999</v>
      </c>
      <c r="E75" s="18">
        <v>1</v>
      </c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>
        <v>2.9737499999999999</v>
      </c>
      <c r="S75" s="18">
        <v>1</v>
      </c>
      <c r="T75" t="e">
        <f>+COUNTIF('[1]Facade Heat Loss'!$A:$A,A75)</f>
        <v>#VALUE!</v>
      </c>
    </row>
    <row r="76" spans="1:20" x14ac:dyDescent="0.25">
      <c r="A76" s="25" t="s">
        <v>287</v>
      </c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>
        <v>5.9474999999999998</v>
      </c>
      <c r="M76" s="18">
        <v>1</v>
      </c>
      <c r="N76" s="18"/>
      <c r="O76" s="18"/>
      <c r="P76" s="18"/>
      <c r="Q76" s="18"/>
      <c r="R76" s="18">
        <v>5.9474999999999998</v>
      </c>
      <c r="S76" s="18">
        <v>1</v>
      </c>
      <c r="T76" t="e">
        <f>+COUNTIF('[1]Facade Heat Loss'!$A:$A,A76)</f>
        <v>#VALUE!</v>
      </c>
    </row>
    <row r="77" spans="1:20" x14ac:dyDescent="0.25">
      <c r="A77" s="25" t="s">
        <v>288</v>
      </c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>
        <v>4.5750000000000002</v>
      </c>
      <c r="M77" s="18">
        <v>1</v>
      </c>
      <c r="N77" s="18"/>
      <c r="O77" s="18"/>
      <c r="P77" s="18"/>
      <c r="Q77" s="18"/>
      <c r="R77" s="18">
        <v>4.5750000000000002</v>
      </c>
      <c r="S77" s="18">
        <v>1</v>
      </c>
      <c r="T77" t="e">
        <f>+COUNTIF('[1]Facade Heat Loss'!$A:$A,A77)</f>
        <v>#VALUE!</v>
      </c>
    </row>
    <row r="78" spans="1:20" x14ac:dyDescent="0.25">
      <c r="A78" s="25" t="s">
        <v>291</v>
      </c>
      <c r="B78" s="18"/>
      <c r="C78" s="18"/>
      <c r="D78" s="18">
        <v>4.5750000000000002</v>
      </c>
      <c r="E78" s="18">
        <v>1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>
        <v>4.5750000000000002</v>
      </c>
      <c r="S78" s="18">
        <v>1</v>
      </c>
      <c r="T78" t="e">
        <f>+COUNTIF('[1]Facade Heat Loss'!$A:$A,A78)</f>
        <v>#VALUE!</v>
      </c>
    </row>
    <row r="79" spans="1:20" x14ac:dyDescent="0.25">
      <c r="A79" s="25" t="s">
        <v>292</v>
      </c>
      <c r="B79" s="18"/>
      <c r="C79" s="18"/>
      <c r="D79" s="18">
        <v>2.9737499999999999</v>
      </c>
      <c r="E79" s="18">
        <v>1</v>
      </c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>
        <v>2.9737499999999999</v>
      </c>
      <c r="S79" s="18">
        <v>1</v>
      </c>
      <c r="T79" t="e">
        <f>+COUNTIF('[1]Facade Heat Loss'!$A:$A,A79)</f>
        <v>#VALUE!</v>
      </c>
    </row>
    <row r="80" spans="1:20" x14ac:dyDescent="0.25">
      <c r="A80" s="25" t="s">
        <v>293</v>
      </c>
      <c r="B80" s="18"/>
      <c r="C80" s="18"/>
      <c r="D80" s="18">
        <v>5.9474999999999998</v>
      </c>
      <c r="E80" s="18">
        <v>1</v>
      </c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>
        <v>5.9474999999999998</v>
      </c>
      <c r="S80" s="18">
        <v>1</v>
      </c>
      <c r="T80" t="e">
        <f>+COUNTIF('[1]Facade Heat Loss'!$A:$A,A80)</f>
        <v>#VALUE!</v>
      </c>
    </row>
    <row r="81" spans="1:20" x14ac:dyDescent="0.25">
      <c r="A81" s="25" t="s">
        <v>294</v>
      </c>
      <c r="B81" s="18"/>
      <c r="C81" s="18"/>
      <c r="D81" s="18">
        <v>4.5750000000000002</v>
      </c>
      <c r="E81" s="18">
        <v>1</v>
      </c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>
        <v>4.5750000000000002</v>
      </c>
      <c r="S81" s="18">
        <v>1</v>
      </c>
      <c r="T81" t="e">
        <f>+COUNTIF('[1]Facade Heat Loss'!$A:$A,A81)</f>
        <v>#VALUE!</v>
      </c>
    </row>
    <row r="82" spans="1:20" x14ac:dyDescent="0.25">
      <c r="A82" s="25" t="s">
        <v>295</v>
      </c>
      <c r="B82" s="18"/>
      <c r="C82" s="18"/>
      <c r="D82" s="18">
        <v>2.9737499999999999</v>
      </c>
      <c r="E82" s="18">
        <v>1</v>
      </c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>
        <v>2.9737499999999999</v>
      </c>
      <c r="S82" s="18">
        <v>1</v>
      </c>
      <c r="T82" t="e">
        <f>+COUNTIF('[1]Facade Heat Loss'!$A:$A,A82)</f>
        <v>#VALUE!</v>
      </c>
    </row>
    <row r="83" spans="1:20" x14ac:dyDescent="0.25">
      <c r="A83" s="25" t="s">
        <v>276</v>
      </c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>
        <v>2.9737499999999999</v>
      </c>
      <c r="M83" s="18">
        <v>1</v>
      </c>
      <c r="N83" s="18"/>
      <c r="O83" s="18"/>
      <c r="P83" s="18"/>
      <c r="Q83" s="18"/>
      <c r="R83" s="18">
        <v>2.9737499999999999</v>
      </c>
      <c r="S83" s="18">
        <v>1</v>
      </c>
      <c r="T83" t="e">
        <f>+COUNTIF('[1]Facade Heat Loss'!$A:$A,A83)</f>
        <v>#VALUE!</v>
      </c>
    </row>
    <row r="84" spans="1:20" x14ac:dyDescent="0.25">
      <c r="A84" s="25" t="s">
        <v>305</v>
      </c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>
        <v>2.9737499999999999</v>
      </c>
      <c r="M84" s="18">
        <v>1</v>
      </c>
      <c r="N84" s="18"/>
      <c r="O84" s="18"/>
      <c r="P84" s="18"/>
      <c r="Q84" s="18"/>
      <c r="R84" s="18">
        <v>2.9737499999999999</v>
      </c>
      <c r="S84" s="18">
        <v>1</v>
      </c>
      <c r="T84" t="e">
        <f>+COUNTIF('[1]Facade Heat Loss'!$A:$A,A84)</f>
        <v>#VALUE!</v>
      </c>
    </row>
    <row r="85" spans="1:20" x14ac:dyDescent="0.25">
      <c r="A85" s="25" t="s">
        <v>263</v>
      </c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>
        <v>2.9737499999999999</v>
      </c>
      <c r="M85" s="18">
        <v>1</v>
      </c>
      <c r="N85" s="18"/>
      <c r="O85" s="18"/>
      <c r="P85" s="18"/>
      <c r="Q85" s="18"/>
      <c r="R85" s="18">
        <v>2.9737499999999999</v>
      </c>
      <c r="S85" s="18">
        <v>1</v>
      </c>
      <c r="T85" t="e">
        <f>+COUNTIF('[1]Facade Heat Loss'!$A:$A,A85)</f>
        <v>#VALUE!</v>
      </c>
    </row>
    <row r="86" spans="1:20" x14ac:dyDescent="0.25">
      <c r="A86" s="25" t="s">
        <v>296</v>
      </c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>
        <v>4.5750000000000002</v>
      </c>
      <c r="M86" s="18">
        <v>1</v>
      </c>
      <c r="N86" s="18"/>
      <c r="O86" s="18"/>
      <c r="P86" s="18"/>
      <c r="Q86" s="18"/>
      <c r="R86" s="18">
        <v>4.5750000000000002</v>
      </c>
      <c r="S86" s="18">
        <v>1</v>
      </c>
      <c r="T86" t="e">
        <f>+COUNTIF('[1]Facade Heat Loss'!$A:$A,A86)</f>
        <v>#VALUE!</v>
      </c>
    </row>
    <row r="87" spans="1:20" x14ac:dyDescent="0.25">
      <c r="A87" s="25" t="s">
        <v>277</v>
      </c>
      <c r="B87" s="18"/>
      <c r="C87" s="18"/>
      <c r="D87" s="18">
        <v>2.9737499999999999</v>
      </c>
      <c r="E87" s="18">
        <v>1</v>
      </c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>
        <v>2.9737499999999999</v>
      </c>
      <c r="S87" s="18">
        <v>1</v>
      </c>
      <c r="T87" t="e">
        <f>+COUNTIF('[1]Facade Heat Loss'!$A:$A,A87)</f>
        <v>#VALUE!</v>
      </c>
    </row>
    <row r="88" spans="1:20" x14ac:dyDescent="0.25">
      <c r="A88" s="25" t="s">
        <v>306</v>
      </c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>
        <v>5.9474999999999998</v>
      </c>
      <c r="M88" s="18">
        <v>2</v>
      </c>
      <c r="N88" s="18"/>
      <c r="O88" s="18"/>
      <c r="P88" s="18"/>
      <c r="Q88" s="18"/>
      <c r="R88" s="18">
        <v>5.9474999999999998</v>
      </c>
      <c r="S88" s="18">
        <v>2</v>
      </c>
      <c r="T88" t="e">
        <f>+COUNTIF('[1]Facade Heat Loss'!$A:$A,A88)</f>
        <v>#VALUE!</v>
      </c>
    </row>
    <row r="89" spans="1:20" x14ac:dyDescent="0.25">
      <c r="A89" s="25" t="s">
        <v>270</v>
      </c>
      <c r="B89" s="18"/>
      <c r="C89" s="18"/>
      <c r="D89" s="18">
        <v>3.05</v>
      </c>
      <c r="E89" s="18">
        <v>1</v>
      </c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>
        <v>3.05</v>
      </c>
      <c r="S89" s="18">
        <v>1</v>
      </c>
      <c r="T89" t="e">
        <f>+COUNTIF('[1]Facade Heat Loss'!$A:$A,A89)</f>
        <v>#VALUE!</v>
      </c>
    </row>
    <row r="90" spans="1:20" x14ac:dyDescent="0.25">
      <c r="A90" s="25" t="s">
        <v>268</v>
      </c>
      <c r="B90" s="18"/>
      <c r="C90" s="18"/>
      <c r="D90" s="18">
        <v>3.05</v>
      </c>
      <c r="E90" s="18">
        <v>1</v>
      </c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>
        <v>3.05</v>
      </c>
      <c r="S90" s="18">
        <v>1</v>
      </c>
      <c r="T90" t="e">
        <f>+COUNTIF('[1]Facade Heat Loss'!$A:$A,A90)</f>
        <v>#VALUE!</v>
      </c>
    </row>
    <row r="91" spans="1:20" x14ac:dyDescent="0.25">
      <c r="A91" s="25" t="s">
        <v>307</v>
      </c>
      <c r="B91" s="18"/>
      <c r="C91" s="18"/>
      <c r="D91" s="18">
        <v>5.9474999999999998</v>
      </c>
      <c r="E91" s="18">
        <v>1</v>
      </c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>
        <v>5.9474999999999998</v>
      </c>
      <c r="S91" s="18">
        <v>1</v>
      </c>
      <c r="T91" t="e">
        <f>+COUNTIF('[1]Facade Heat Loss'!$A:$A,A91)</f>
        <v>#VALUE!</v>
      </c>
    </row>
    <row r="92" spans="1:20" x14ac:dyDescent="0.25">
      <c r="A92" s="25" t="s">
        <v>275</v>
      </c>
      <c r="B92" s="18"/>
      <c r="C92" s="18"/>
      <c r="D92" s="18">
        <v>3.05</v>
      </c>
      <c r="E92" s="18">
        <v>1</v>
      </c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>
        <v>3.05</v>
      </c>
      <c r="S92" s="18">
        <v>1</v>
      </c>
      <c r="T92" t="e">
        <f>+COUNTIF('[1]Facade Heat Loss'!$A:$A,A92)</f>
        <v>#VALUE!</v>
      </c>
    </row>
    <row r="93" spans="1:20" x14ac:dyDescent="0.25">
      <c r="A93" s="25" t="s">
        <v>303</v>
      </c>
      <c r="B93" s="18"/>
      <c r="C93" s="18"/>
      <c r="D93" s="18">
        <v>3.05</v>
      </c>
      <c r="E93" s="18">
        <v>1</v>
      </c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>
        <v>3.05</v>
      </c>
      <c r="S93" s="18">
        <v>1</v>
      </c>
      <c r="T93" t="e">
        <f>+COUNTIF('[1]Facade Heat Loss'!$A:$A,A93)</f>
        <v>#VALUE!</v>
      </c>
    </row>
    <row r="94" spans="1:20" x14ac:dyDescent="0.25">
      <c r="A94" s="25" t="s">
        <v>304</v>
      </c>
      <c r="B94" s="18"/>
      <c r="C94" s="18"/>
      <c r="D94" s="18">
        <v>2.9737499999999999</v>
      </c>
      <c r="E94" s="18">
        <v>1</v>
      </c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>
        <v>2.9737499999999999</v>
      </c>
      <c r="S94" s="18">
        <v>1</v>
      </c>
      <c r="T94" t="e">
        <f>+COUNTIF('[1]Facade Heat Loss'!$A:$A,A94)</f>
        <v>#VALUE!</v>
      </c>
    </row>
    <row r="95" spans="1:20" x14ac:dyDescent="0.25">
      <c r="A95" s="25" t="s">
        <v>273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>
        <v>2.9737499999999999</v>
      </c>
      <c r="M95" s="18">
        <v>1</v>
      </c>
      <c r="N95" s="18"/>
      <c r="O95" s="18"/>
      <c r="P95" s="18"/>
      <c r="Q95" s="18"/>
      <c r="R95" s="18">
        <v>2.9737499999999999</v>
      </c>
      <c r="S95" s="18">
        <v>1</v>
      </c>
      <c r="T95" t="e">
        <f>+COUNTIF('[1]Facade Heat Loss'!$A:$A,A95)</f>
        <v>#VALUE!</v>
      </c>
    </row>
    <row r="96" spans="1:20" x14ac:dyDescent="0.25">
      <c r="A96" s="25" t="s">
        <v>300</v>
      </c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>
        <v>4.5750000000000002</v>
      </c>
      <c r="M96" s="18">
        <v>1</v>
      </c>
      <c r="N96" s="18"/>
      <c r="O96" s="18"/>
      <c r="P96" s="18"/>
      <c r="Q96" s="18"/>
      <c r="R96" s="18">
        <v>4.5750000000000002</v>
      </c>
      <c r="S96" s="18">
        <v>1</v>
      </c>
      <c r="T96" t="e">
        <f>+COUNTIF('[1]Facade Heat Loss'!$A:$A,A96)</f>
        <v>#VALUE!</v>
      </c>
    </row>
    <row r="97" spans="1:20" x14ac:dyDescent="0.25">
      <c r="A97" s="25" t="s">
        <v>274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>
        <v>5.9474999999999998</v>
      </c>
      <c r="M97" s="18">
        <v>1</v>
      </c>
      <c r="N97" s="18"/>
      <c r="O97" s="18"/>
      <c r="P97" s="18"/>
      <c r="Q97" s="18"/>
      <c r="R97" s="18">
        <v>5.9474999999999998</v>
      </c>
      <c r="S97" s="18">
        <v>1</v>
      </c>
      <c r="T97" t="e">
        <f>+COUNTIF('[1]Facade Heat Loss'!$A:$A,A97)</f>
        <v>#VALUE!</v>
      </c>
    </row>
    <row r="98" spans="1:20" x14ac:dyDescent="0.25">
      <c r="A98" s="25" t="s">
        <v>301</v>
      </c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>
        <v>4.5750000000000002</v>
      </c>
      <c r="M98" s="18">
        <v>1</v>
      </c>
      <c r="N98" s="18"/>
      <c r="O98" s="18"/>
      <c r="P98" s="18"/>
      <c r="Q98" s="18"/>
      <c r="R98" s="18">
        <v>4.5750000000000002</v>
      </c>
      <c r="S98" s="18">
        <v>1</v>
      </c>
      <c r="T98" t="e">
        <f>+COUNTIF('[1]Facade Heat Loss'!$A:$A,A98)</f>
        <v>#VALUE!</v>
      </c>
    </row>
    <row r="99" spans="1:20" x14ac:dyDescent="0.25">
      <c r="A99" s="25" t="s">
        <v>267</v>
      </c>
      <c r="B99" s="18"/>
      <c r="C99" s="18"/>
      <c r="D99" s="18">
        <v>7.625</v>
      </c>
      <c r="E99" s="18">
        <v>2</v>
      </c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>
        <v>7.625</v>
      </c>
      <c r="S99" s="18">
        <v>2</v>
      </c>
      <c r="T99" t="e">
        <f>+COUNTIF('[1]Facade Heat Loss'!$A:$A,A99)</f>
        <v>#VALUE!</v>
      </c>
    </row>
    <row r="100" spans="1:20" x14ac:dyDescent="0.25">
      <c r="A100" s="25" t="s">
        <v>299</v>
      </c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>
        <v>5.9474999999999998</v>
      </c>
      <c r="M100" s="18">
        <v>1</v>
      </c>
      <c r="N100" s="18"/>
      <c r="O100" s="18"/>
      <c r="P100" s="18"/>
      <c r="Q100" s="18"/>
      <c r="R100" s="18">
        <v>5.9474999999999998</v>
      </c>
      <c r="S100" s="18">
        <v>1</v>
      </c>
      <c r="T100" t="e">
        <f>+COUNTIF('[1]Facade Heat Loss'!$A:$A,A100)</f>
        <v>#VALUE!</v>
      </c>
    </row>
    <row r="101" spans="1:20" x14ac:dyDescent="0.25">
      <c r="A101" s="25" t="s">
        <v>266</v>
      </c>
      <c r="B101" s="18"/>
      <c r="C101" s="18"/>
      <c r="D101" s="18">
        <v>4.5750000000000002</v>
      </c>
      <c r="E101" s="18">
        <v>1</v>
      </c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>
        <v>4.5750000000000002</v>
      </c>
      <c r="S101" s="18">
        <v>1</v>
      </c>
      <c r="T101" t="e">
        <f>+COUNTIF('[1]Facade Heat Loss'!$A:$A,A101)</f>
        <v>#VALUE!</v>
      </c>
    </row>
    <row r="102" spans="1:20" x14ac:dyDescent="0.25">
      <c r="A102" s="25" t="s">
        <v>358</v>
      </c>
      <c r="B102" s="18"/>
      <c r="C102" s="18"/>
      <c r="D102" s="18">
        <v>4.5750000000000002</v>
      </c>
      <c r="E102" s="18">
        <v>1</v>
      </c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>
        <v>4.5750000000000002</v>
      </c>
      <c r="S102" s="18">
        <v>1</v>
      </c>
      <c r="T102" t="e">
        <f>+COUNTIF('[1]Facade Heat Loss'!$A:$A,A102)</f>
        <v>#VALUE!</v>
      </c>
    </row>
    <row r="103" spans="1:20" x14ac:dyDescent="0.25">
      <c r="A103" s="25" t="s">
        <v>359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>
        <v>4.5750000000000002</v>
      </c>
      <c r="M103" s="18">
        <v>1</v>
      </c>
      <c r="N103" s="18"/>
      <c r="O103" s="18"/>
      <c r="P103" s="18"/>
      <c r="Q103" s="18"/>
      <c r="R103" s="18">
        <v>4.5750000000000002</v>
      </c>
      <c r="S103" s="18">
        <v>1</v>
      </c>
      <c r="T103" t="e">
        <f>+COUNTIF('[1]Facade Heat Loss'!$A:$A,A103)</f>
        <v>#VALUE!</v>
      </c>
    </row>
    <row r="104" spans="1:20" x14ac:dyDescent="0.25">
      <c r="A104" s="25" t="s">
        <v>271</v>
      </c>
      <c r="B104" s="18"/>
      <c r="C104" s="18"/>
      <c r="D104" s="18">
        <v>7.5487500000000001</v>
      </c>
      <c r="E104" s="18">
        <v>2</v>
      </c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>
        <v>7.5487500000000001</v>
      </c>
      <c r="S104" s="18">
        <v>2</v>
      </c>
      <c r="T104" t="e">
        <f>+COUNTIF('[1]Facade Heat Loss'!$A:$A,A104)</f>
        <v>#VALUE!</v>
      </c>
    </row>
    <row r="105" spans="1:20" x14ac:dyDescent="0.25">
      <c r="A105" s="25" t="s">
        <v>278</v>
      </c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>
        <v>7.5487500000000001</v>
      </c>
      <c r="M105" s="18">
        <v>2</v>
      </c>
      <c r="N105" s="18"/>
      <c r="O105" s="18"/>
      <c r="P105" s="18"/>
      <c r="Q105" s="18"/>
      <c r="R105" s="18">
        <v>7.5487500000000001</v>
      </c>
      <c r="S105" s="18">
        <v>2</v>
      </c>
      <c r="T105" t="e">
        <f>+COUNTIF('[1]Facade Heat Loss'!$A:$A,A105)</f>
        <v>#VALUE!</v>
      </c>
    </row>
    <row r="106" spans="1:20" x14ac:dyDescent="0.25">
      <c r="A106" s="25" t="s">
        <v>311</v>
      </c>
      <c r="B106" s="18"/>
      <c r="C106" s="18"/>
      <c r="D106" s="18">
        <v>6.1</v>
      </c>
      <c r="E106" s="18">
        <v>2</v>
      </c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>
        <v>6.1</v>
      </c>
      <c r="S106" s="18">
        <v>2</v>
      </c>
      <c r="T106" t="e">
        <f>+COUNTIF('[1]Facade Heat Loss'!$A:$A,A106)</f>
        <v>#VALUE!</v>
      </c>
    </row>
    <row r="107" spans="1:20" x14ac:dyDescent="0.25">
      <c r="A107" s="25" t="s">
        <v>312</v>
      </c>
      <c r="B107" s="18"/>
      <c r="C107" s="18"/>
      <c r="D107" s="18"/>
      <c r="E107" s="18"/>
      <c r="F107" s="18"/>
      <c r="G107" s="18"/>
      <c r="H107" s="18">
        <v>4.5750000000000002</v>
      </c>
      <c r="I107" s="18">
        <v>1</v>
      </c>
      <c r="J107" s="18"/>
      <c r="K107" s="18"/>
      <c r="L107" s="18"/>
      <c r="M107" s="18"/>
      <c r="N107" s="18"/>
      <c r="O107" s="18"/>
      <c r="P107" s="18"/>
      <c r="Q107" s="18"/>
      <c r="R107" s="18">
        <v>4.5750000000000002</v>
      </c>
      <c r="S107" s="18">
        <v>1</v>
      </c>
      <c r="T107" t="e">
        <f>+COUNTIF('[1]Facade Heat Loss'!$A:$A,A107)</f>
        <v>#VALUE!</v>
      </c>
    </row>
    <row r="108" spans="1:20" x14ac:dyDescent="0.25">
      <c r="A108" s="25" t="s">
        <v>171</v>
      </c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>
        <v>2.9737499999999999</v>
      </c>
      <c r="Q108" s="18">
        <v>1</v>
      </c>
      <c r="R108" s="18">
        <v>2.9737499999999999</v>
      </c>
      <c r="S108" s="18">
        <v>1</v>
      </c>
      <c r="T108" t="e">
        <f>+COUNTIF('[1]Facade Heat Loss'!$A:$A,A108)</f>
        <v>#VALUE!</v>
      </c>
    </row>
    <row r="109" spans="1:20" x14ac:dyDescent="0.25">
      <c r="A109" s="25" t="s">
        <v>182</v>
      </c>
      <c r="B109" s="18"/>
      <c r="C109" s="18"/>
      <c r="D109" s="18">
        <v>3.05</v>
      </c>
      <c r="E109" s="18">
        <v>1</v>
      </c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>
        <v>3.05</v>
      </c>
      <c r="S109" s="18">
        <v>1</v>
      </c>
      <c r="T109" t="e">
        <f>+COUNTIF('[1]Facade Heat Loss'!$A:$A,A109)</f>
        <v>#VALUE!</v>
      </c>
    </row>
    <row r="110" spans="1:20" x14ac:dyDescent="0.25">
      <c r="A110" s="25" t="s">
        <v>183</v>
      </c>
      <c r="B110" s="18"/>
      <c r="C110" s="18"/>
      <c r="D110" s="18">
        <v>5.9474999999999998</v>
      </c>
      <c r="E110" s="18">
        <v>1</v>
      </c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>
        <v>5.9474999999999998</v>
      </c>
      <c r="S110" s="18">
        <v>1</v>
      </c>
      <c r="T110" t="e">
        <f>+COUNTIF('[1]Facade Heat Loss'!$A:$A,A110)</f>
        <v>#VALUE!</v>
      </c>
    </row>
    <row r="111" spans="1:20" x14ac:dyDescent="0.25">
      <c r="A111" s="25" t="s">
        <v>184</v>
      </c>
      <c r="B111" s="18"/>
      <c r="C111" s="18"/>
      <c r="D111" s="18">
        <v>5.9474999999999998</v>
      </c>
      <c r="E111" s="18">
        <v>1</v>
      </c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>
        <v>5.9474999999999998</v>
      </c>
      <c r="S111" s="18">
        <v>1</v>
      </c>
      <c r="T111" t="e">
        <f>+COUNTIF('[1]Facade Heat Loss'!$A:$A,A111)</f>
        <v>#VALUE!</v>
      </c>
    </row>
    <row r="112" spans="1:20" x14ac:dyDescent="0.25">
      <c r="A112" s="25" t="s">
        <v>185</v>
      </c>
      <c r="B112" s="18"/>
      <c r="C112" s="18"/>
      <c r="D112" s="18">
        <v>7.625</v>
      </c>
      <c r="E112" s="18">
        <v>2</v>
      </c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>
        <v>7.625</v>
      </c>
      <c r="S112" s="18">
        <v>2</v>
      </c>
      <c r="T112" t="e">
        <f>+COUNTIF('[1]Facade Heat Loss'!$A:$A,A112)</f>
        <v>#VALUE!</v>
      </c>
    </row>
    <row r="113" spans="1:20" x14ac:dyDescent="0.25">
      <c r="A113" s="25" t="s">
        <v>186</v>
      </c>
      <c r="B113" s="18"/>
      <c r="C113" s="18"/>
      <c r="D113" s="18">
        <v>3.05</v>
      </c>
      <c r="E113" s="18">
        <v>1</v>
      </c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>
        <v>3.05</v>
      </c>
      <c r="S113" s="18">
        <v>1</v>
      </c>
      <c r="T113" t="e">
        <f>+COUNTIF('[1]Facade Heat Loss'!$A:$A,A113)</f>
        <v>#VALUE!</v>
      </c>
    </row>
    <row r="114" spans="1:20" x14ac:dyDescent="0.25">
      <c r="A114" s="25" t="s">
        <v>187</v>
      </c>
      <c r="B114" s="18"/>
      <c r="C114" s="18"/>
      <c r="D114" s="18">
        <v>7.625</v>
      </c>
      <c r="E114" s="18">
        <v>2</v>
      </c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>
        <v>7.625</v>
      </c>
      <c r="S114" s="18">
        <v>2</v>
      </c>
      <c r="T114" t="e">
        <f>+COUNTIF('[1]Facade Heat Loss'!$A:$A,A114)</f>
        <v>#VALUE!</v>
      </c>
    </row>
    <row r="115" spans="1:20" x14ac:dyDescent="0.25">
      <c r="A115" s="25" t="s">
        <v>188</v>
      </c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>
        <v>4.5750000000000002</v>
      </c>
      <c r="M115" s="18">
        <v>1</v>
      </c>
      <c r="N115" s="18"/>
      <c r="O115" s="18"/>
      <c r="P115" s="18"/>
      <c r="Q115" s="18"/>
      <c r="R115" s="18">
        <v>4.5750000000000002</v>
      </c>
      <c r="S115" s="18">
        <v>1</v>
      </c>
      <c r="T115" t="e">
        <f>+COUNTIF('[1]Facade Heat Loss'!$A:$A,A115)</f>
        <v>#VALUE!</v>
      </c>
    </row>
    <row r="116" spans="1:20" x14ac:dyDescent="0.25">
      <c r="A116" s="25" t="s">
        <v>189</v>
      </c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>
        <v>5.9474999999999998</v>
      </c>
      <c r="M116" s="18">
        <v>1</v>
      </c>
      <c r="N116" s="18"/>
      <c r="O116" s="18"/>
      <c r="P116" s="18"/>
      <c r="Q116" s="18"/>
      <c r="R116" s="18">
        <v>5.9474999999999998</v>
      </c>
      <c r="S116" s="18">
        <v>1</v>
      </c>
      <c r="T116" t="e">
        <f>+COUNTIF('[1]Facade Heat Loss'!$A:$A,A116)</f>
        <v>#VALUE!</v>
      </c>
    </row>
    <row r="117" spans="1:20" x14ac:dyDescent="0.25">
      <c r="A117" s="25" t="s">
        <v>175</v>
      </c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>
        <v>5.9474999999999998</v>
      </c>
      <c r="M117" s="18">
        <v>1</v>
      </c>
      <c r="N117" s="18"/>
      <c r="O117" s="18"/>
      <c r="P117" s="18"/>
      <c r="Q117" s="18"/>
      <c r="R117" s="18">
        <v>5.9474999999999998</v>
      </c>
      <c r="S117" s="18">
        <v>1</v>
      </c>
      <c r="T117" t="e">
        <f>+COUNTIF('[1]Facade Heat Loss'!$A:$A,A117)</f>
        <v>#VALUE!</v>
      </c>
    </row>
    <row r="118" spans="1:20" x14ac:dyDescent="0.25">
      <c r="A118" s="25" t="s">
        <v>190</v>
      </c>
      <c r="B118" s="18"/>
      <c r="C118" s="18"/>
      <c r="D118" s="18">
        <v>4.5750000000000002</v>
      </c>
      <c r="E118" s="18">
        <v>1</v>
      </c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>
        <v>4.5750000000000002</v>
      </c>
      <c r="S118" s="18">
        <v>1</v>
      </c>
      <c r="T118" t="e">
        <f>+COUNTIF('[1]Facade Heat Loss'!$A:$A,A118)</f>
        <v>#VALUE!</v>
      </c>
    </row>
    <row r="119" spans="1:20" x14ac:dyDescent="0.25">
      <c r="A119" s="25" t="s">
        <v>179</v>
      </c>
      <c r="B119" s="18"/>
      <c r="C119" s="18"/>
      <c r="D119" s="18">
        <v>5.9474999999999998</v>
      </c>
      <c r="E119" s="18">
        <v>1</v>
      </c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>
        <v>5.9474999999999998</v>
      </c>
      <c r="S119" s="18">
        <v>1</v>
      </c>
      <c r="T119" t="e">
        <f>+COUNTIF('[1]Facade Heat Loss'!$A:$A,A119)</f>
        <v>#VALUE!</v>
      </c>
    </row>
    <row r="120" spans="1:20" x14ac:dyDescent="0.25">
      <c r="A120" s="25" t="s">
        <v>191</v>
      </c>
      <c r="B120" s="18"/>
      <c r="C120" s="18"/>
      <c r="D120" s="18">
        <v>6.0237499999999997</v>
      </c>
      <c r="E120" s="18">
        <v>2</v>
      </c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>
        <v>6.0237499999999997</v>
      </c>
      <c r="S120" s="18">
        <v>2</v>
      </c>
      <c r="T120" t="e">
        <f>+COUNTIF('[1]Facade Heat Loss'!$A:$A,A120)</f>
        <v>#VALUE!</v>
      </c>
    </row>
    <row r="121" spans="1:20" x14ac:dyDescent="0.25">
      <c r="A121" s="25" t="s">
        <v>174</v>
      </c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>
        <v>5.9474999999999998</v>
      </c>
      <c r="M121" s="18">
        <v>1</v>
      </c>
      <c r="N121" s="18"/>
      <c r="O121" s="18"/>
      <c r="P121" s="18"/>
      <c r="Q121" s="18"/>
      <c r="R121" s="18">
        <v>5.9474999999999998</v>
      </c>
      <c r="S121" s="18">
        <v>1</v>
      </c>
      <c r="T121" t="e">
        <f>+COUNTIF('[1]Facade Heat Loss'!$A:$A,A121)</f>
        <v>#VALUE!</v>
      </c>
    </row>
    <row r="122" spans="1:20" x14ac:dyDescent="0.25">
      <c r="A122" s="25" t="s">
        <v>195</v>
      </c>
      <c r="B122" s="18"/>
      <c r="C122" s="18"/>
      <c r="D122" s="18"/>
      <c r="E122" s="18"/>
      <c r="F122" s="18"/>
      <c r="G122" s="18"/>
      <c r="H122" s="18">
        <v>4.5750000000000002</v>
      </c>
      <c r="I122" s="18">
        <v>1</v>
      </c>
      <c r="J122" s="18"/>
      <c r="K122" s="18"/>
      <c r="L122" s="18"/>
      <c r="M122" s="18"/>
      <c r="N122" s="18"/>
      <c r="O122" s="18"/>
      <c r="P122" s="18"/>
      <c r="Q122" s="18"/>
      <c r="R122" s="18">
        <v>4.5750000000000002</v>
      </c>
      <c r="S122" s="18">
        <v>1</v>
      </c>
      <c r="T122" t="e">
        <f>+COUNTIF('[1]Facade Heat Loss'!$A:$A,A122)</f>
        <v>#VALUE!</v>
      </c>
    </row>
    <row r="123" spans="1:20" x14ac:dyDescent="0.25">
      <c r="A123" s="25" t="s">
        <v>170</v>
      </c>
      <c r="B123" s="18">
        <v>2.9737499999999999</v>
      </c>
      <c r="C123" s="18">
        <v>1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>
        <v>2.9737499999999999</v>
      </c>
      <c r="S123" s="18">
        <v>1</v>
      </c>
      <c r="T123" t="e">
        <f>+COUNTIF('[1]Facade Heat Loss'!$A:$A,A123)</f>
        <v>#VALUE!</v>
      </c>
    </row>
    <row r="124" spans="1:20" x14ac:dyDescent="0.25">
      <c r="A124" s="25" t="s">
        <v>177</v>
      </c>
      <c r="B124" s="18"/>
      <c r="C124" s="18"/>
      <c r="D124" s="18"/>
      <c r="E124" s="18"/>
      <c r="F124" s="18"/>
      <c r="G124" s="18"/>
      <c r="H124" s="18"/>
      <c r="I124" s="18"/>
      <c r="J124" s="18">
        <v>4.5750000000000002</v>
      </c>
      <c r="K124" s="18">
        <v>1</v>
      </c>
      <c r="L124" s="18">
        <v>9.4574999999999996</v>
      </c>
      <c r="M124" s="18">
        <v>3</v>
      </c>
      <c r="N124" s="18"/>
      <c r="O124" s="18"/>
      <c r="P124" s="18"/>
      <c r="Q124" s="18"/>
      <c r="R124" s="18">
        <v>14.032500000000001</v>
      </c>
      <c r="S124" s="18">
        <v>4</v>
      </c>
      <c r="T124" t="e">
        <f>+COUNTIF('[1]Facade Heat Loss'!$A:$A,A124)</f>
        <v>#VALUE!</v>
      </c>
    </row>
    <row r="125" spans="1:20" x14ac:dyDescent="0.25">
      <c r="A125" s="25" t="s">
        <v>180</v>
      </c>
      <c r="B125" s="18"/>
      <c r="C125" s="18"/>
      <c r="D125" s="18"/>
      <c r="E125" s="18"/>
      <c r="F125" s="18"/>
      <c r="G125" s="18"/>
      <c r="H125" s="18">
        <v>4.5750000000000002</v>
      </c>
      <c r="I125" s="18">
        <v>1</v>
      </c>
      <c r="J125" s="18"/>
      <c r="K125" s="18"/>
      <c r="L125" s="18">
        <v>5.9474999999999998</v>
      </c>
      <c r="M125" s="18">
        <v>1</v>
      </c>
      <c r="N125" s="18"/>
      <c r="O125" s="18"/>
      <c r="P125" s="18"/>
      <c r="Q125" s="18"/>
      <c r="R125" s="18">
        <v>10.522500000000001</v>
      </c>
      <c r="S125" s="18">
        <v>2</v>
      </c>
      <c r="T125" t="e">
        <f>+COUNTIF('[1]Facade Heat Loss'!$A:$A,A125)</f>
        <v>#VALUE!</v>
      </c>
    </row>
    <row r="126" spans="1:20" x14ac:dyDescent="0.25">
      <c r="A126" s="25" t="s">
        <v>341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>
        <v>5.9474999999999998</v>
      </c>
      <c r="M126" s="18">
        <v>1</v>
      </c>
      <c r="N126" s="18"/>
      <c r="O126" s="18"/>
      <c r="P126" s="18"/>
      <c r="Q126" s="18"/>
      <c r="R126" s="18">
        <v>5.9474999999999998</v>
      </c>
      <c r="S126" s="18">
        <v>1</v>
      </c>
      <c r="T126" t="e">
        <f>+COUNTIF('[1]Facade Heat Loss'!$A:$A,A126)</f>
        <v>#VALUE!</v>
      </c>
    </row>
    <row r="127" spans="1:20" x14ac:dyDescent="0.25">
      <c r="A127" s="25" t="s">
        <v>342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>
        <v>5.9474999999999998</v>
      </c>
      <c r="M127" s="18">
        <v>1</v>
      </c>
      <c r="N127" s="18"/>
      <c r="O127" s="18"/>
      <c r="P127" s="18"/>
      <c r="Q127" s="18"/>
      <c r="R127" s="18">
        <v>5.9474999999999998</v>
      </c>
      <c r="S127" s="18">
        <v>1</v>
      </c>
      <c r="T127" t="e">
        <f>+COUNTIF('[1]Facade Heat Loss'!$A:$A,A127)</f>
        <v>#VALUE!</v>
      </c>
    </row>
    <row r="128" spans="1:20" x14ac:dyDescent="0.25">
      <c r="A128" s="25" t="s">
        <v>173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>
        <v>7.5487500000000001</v>
      </c>
      <c r="M128" s="18">
        <v>2</v>
      </c>
      <c r="N128" s="18"/>
      <c r="O128" s="18"/>
      <c r="P128" s="18"/>
      <c r="Q128" s="18"/>
      <c r="R128" s="18">
        <v>7.5487500000000001</v>
      </c>
      <c r="S128" s="18">
        <v>2</v>
      </c>
      <c r="T128" t="e">
        <f>+COUNTIF('[1]Facade Heat Loss'!$A:$A,A128)</f>
        <v>#VALUE!</v>
      </c>
    </row>
    <row r="129" spans="1:20" x14ac:dyDescent="0.25">
      <c r="A129" s="25" t="s">
        <v>194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>
        <v>4.5750000000000002</v>
      </c>
      <c r="M129" s="18">
        <v>1</v>
      </c>
      <c r="N129" s="18"/>
      <c r="O129" s="18"/>
      <c r="P129" s="18"/>
      <c r="Q129" s="18"/>
      <c r="R129" s="18">
        <v>4.5750000000000002</v>
      </c>
      <c r="S129" s="18">
        <v>1</v>
      </c>
      <c r="T129" t="e">
        <f>+COUNTIF('[1]Facade Heat Loss'!$A:$A,A129)</f>
        <v>#VALUE!</v>
      </c>
    </row>
    <row r="130" spans="1:20" x14ac:dyDescent="0.25">
      <c r="A130" s="25" t="s">
        <v>193</v>
      </c>
      <c r="B130" s="18"/>
      <c r="C130" s="18"/>
      <c r="D130" s="18">
        <v>5.9474999999999998</v>
      </c>
      <c r="E130" s="18">
        <v>1</v>
      </c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>
        <v>5.9474999999999998</v>
      </c>
      <c r="S130" s="18">
        <v>1</v>
      </c>
      <c r="T130" t="e">
        <f>+COUNTIF('[1]Facade Heat Loss'!$A:$A,A130)</f>
        <v>#VALUE!</v>
      </c>
    </row>
    <row r="131" spans="1:20" x14ac:dyDescent="0.25">
      <c r="A131" s="25" t="s">
        <v>192</v>
      </c>
      <c r="B131" s="18"/>
      <c r="C131" s="18"/>
      <c r="D131" s="18"/>
      <c r="E131" s="18"/>
      <c r="F131" s="18"/>
      <c r="G131" s="18"/>
      <c r="H131" s="18"/>
      <c r="I131" s="18"/>
      <c r="J131" s="18">
        <v>9.15</v>
      </c>
      <c r="K131" s="18">
        <v>2</v>
      </c>
      <c r="L131" s="18"/>
      <c r="M131" s="18"/>
      <c r="N131" s="18"/>
      <c r="O131" s="18"/>
      <c r="P131" s="18"/>
      <c r="Q131" s="18"/>
      <c r="R131" s="18">
        <v>9.15</v>
      </c>
      <c r="S131" s="18">
        <v>2</v>
      </c>
      <c r="T131" t="e">
        <f>+COUNTIF('[1]Facade Heat Loss'!$A:$A,A131)</f>
        <v>#VALUE!</v>
      </c>
    </row>
    <row r="132" spans="1:20" x14ac:dyDescent="0.25">
      <c r="A132" s="25" t="s">
        <v>176</v>
      </c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>
        <v>4.5750000000000002</v>
      </c>
      <c r="M132" s="18">
        <v>1</v>
      </c>
      <c r="N132" s="18"/>
      <c r="O132" s="18"/>
      <c r="P132" s="18"/>
      <c r="Q132" s="18"/>
      <c r="R132" s="18">
        <v>4.5750000000000002</v>
      </c>
      <c r="S132" s="18">
        <v>1</v>
      </c>
      <c r="T132" t="e">
        <f>+COUNTIF('[1]Facade Heat Loss'!$A:$A,A132)</f>
        <v>#VALUE!</v>
      </c>
    </row>
    <row r="133" spans="1:20" x14ac:dyDescent="0.25">
      <c r="A133" s="25" t="s">
        <v>322</v>
      </c>
      <c r="B133" s="18">
        <v>12.911999999999999</v>
      </c>
      <c r="C133" s="18">
        <v>4</v>
      </c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>
        <v>12.911999999999999</v>
      </c>
      <c r="S133" s="18">
        <v>4</v>
      </c>
      <c r="T133" t="e">
        <f>+COUNTIF('[1]Facade Heat Loss'!$A:$A,A133)</f>
        <v>#VALUE!</v>
      </c>
    </row>
    <row r="134" spans="1:20" x14ac:dyDescent="0.25">
      <c r="A134" s="25" t="s">
        <v>323</v>
      </c>
      <c r="B134" s="18">
        <v>32.064</v>
      </c>
      <c r="C134" s="18">
        <v>8</v>
      </c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>
        <v>32.064</v>
      </c>
      <c r="S134" s="18">
        <v>8</v>
      </c>
      <c r="T134" t="e">
        <f>+COUNTIF('[1]Facade Heat Loss'!$A:$A,A134)</f>
        <v>#VALUE!</v>
      </c>
    </row>
    <row r="135" spans="1:20" x14ac:dyDescent="0.25">
      <c r="A135" s="25" t="s">
        <v>324</v>
      </c>
      <c r="B135" s="18">
        <v>39.983999999999995</v>
      </c>
      <c r="C135" s="18">
        <v>10</v>
      </c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>
        <v>39.983999999999995</v>
      </c>
      <c r="S135" s="18">
        <v>10</v>
      </c>
      <c r="T135" t="e">
        <f>+COUNTIF('[1]Facade Heat Loss'!$A:$A,A135)</f>
        <v>#VALUE!</v>
      </c>
    </row>
    <row r="136" spans="1:20" x14ac:dyDescent="0.25">
      <c r="A136" s="25" t="s">
        <v>247</v>
      </c>
      <c r="B136" s="18"/>
      <c r="C136" s="18"/>
      <c r="D136" s="18">
        <v>7.5487500000000001</v>
      </c>
      <c r="E136" s="18">
        <v>2</v>
      </c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>
        <v>7.5487500000000001</v>
      </c>
      <c r="S136" s="18">
        <v>2</v>
      </c>
      <c r="T136" t="e">
        <f>+COUNTIF('[1]Facade Heat Loss'!$A:$A,A136)</f>
        <v>#VALUE!</v>
      </c>
    </row>
    <row r="137" spans="1:20" x14ac:dyDescent="0.25">
      <c r="A137" s="25" t="s">
        <v>255</v>
      </c>
      <c r="B137" s="18"/>
      <c r="C137" s="18"/>
      <c r="D137" s="18">
        <v>2.9737499999999999</v>
      </c>
      <c r="E137" s="18">
        <v>1</v>
      </c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>
        <v>2.9737499999999999</v>
      </c>
      <c r="S137" s="18">
        <v>1</v>
      </c>
      <c r="T137" t="e">
        <f>+COUNTIF('[1]Facade Heat Loss'!$A:$A,A137)</f>
        <v>#VALUE!</v>
      </c>
    </row>
    <row r="138" spans="1:20" x14ac:dyDescent="0.25">
      <c r="A138" s="25" t="s">
        <v>248</v>
      </c>
      <c r="B138" s="18"/>
      <c r="C138" s="18"/>
      <c r="D138" s="18">
        <v>5.9474999999999998</v>
      </c>
      <c r="E138" s="18">
        <v>1</v>
      </c>
      <c r="F138" s="18"/>
      <c r="G138" s="18"/>
      <c r="H138" s="18">
        <v>4.5750000000000002</v>
      </c>
      <c r="I138" s="18">
        <v>1</v>
      </c>
      <c r="J138" s="18"/>
      <c r="K138" s="18"/>
      <c r="L138" s="18"/>
      <c r="M138" s="18"/>
      <c r="N138" s="18"/>
      <c r="O138" s="18"/>
      <c r="P138" s="18"/>
      <c r="Q138" s="18"/>
      <c r="R138" s="18">
        <v>10.522500000000001</v>
      </c>
      <c r="S138" s="18">
        <v>2</v>
      </c>
      <c r="T138" t="e">
        <f>+COUNTIF('[1]Facade Heat Loss'!$A:$A,A138)</f>
        <v>#VALUE!</v>
      </c>
    </row>
    <row r="139" spans="1:20" x14ac:dyDescent="0.25">
      <c r="A139" s="25" t="s">
        <v>363</v>
      </c>
      <c r="B139" s="18"/>
      <c r="C139" s="18"/>
      <c r="D139" s="18">
        <v>22.4175</v>
      </c>
      <c r="E139" s="18">
        <v>5</v>
      </c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>
        <v>22.4175</v>
      </c>
      <c r="S139" s="18">
        <v>5</v>
      </c>
      <c r="T139" t="e">
        <f>+COUNTIF('[1]Facade Heat Loss'!$A:$A,A139)</f>
        <v>#VALUE!</v>
      </c>
    </row>
    <row r="140" spans="1:20" x14ac:dyDescent="0.25">
      <c r="A140" s="25" t="s">
        <v>330</v>
      </c>
      <c r="B140" s="18"/>
      <c r="C140" s="18"/>
      <c r="D140" s="18"/>
      <c r="E140" s="18"/>
      <c r="F140" s="18"/>
      <c r="G140" s="18"/>
      <c r="H140" s="18">
        <v>13.725000000000001</v>
      </c>
      <c r="I140" s="18">
        <v>3</v>
      </c>
      <c r="J140" s="18"/>
      <c r="K140" s="18"/>
      <c r="L140" s="18">
        <v>10.675000000000001</v>
      </c>
      <c r="M140" s="18">
        <v>3</v>
      </c>
      <c r="N140" s="18"/>
      <c r="O140" s="18"/>
      <c r="P140" s="18"/>
      <c r="Q140" s="18"/>
      <c r="R140" s="18">
        <v>24.400000000000002</v>
      </c>
      <c r="S140" s="18">
        <v>6</v>
      </c>
      <c r="T140" t="e">
        <f>+COUNTIF('[1]Facade Heat Loss'!$A:$A,A140)</f>
        <v>#VALUE!</v>
      </c>
    </row>
    <row r="141" spans="1:20" x14ac:dyDescent="0.25">
      <c r="A141" s="25" t="s">
        <v>237</v>
      </c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>
        <v>3.05</v>
      </c>
      <c r="M141" s="18">
        <v>1</v>
      </c>
      <c r="N141" s="18"/>
      <c r="O141" s="18"/>
      <c r="P141" s="18"/>
      <c r="Q141" s="18"/>
      <c r="R141" s="18">
        <v>3.05</v>
      </c>
      <c r="S141" s="18">
        <v>1</v>
      </c>
      <c r="T141" t="e">
        <f>+COUNTIF('[1]Facade Heat Loss'!$A:$A,A141)</f>
        <v>#VALUE!</v>
      </c>
    </row>
    <row r="142" spans="1:20" x14ac:dyDescent="0.25">
      <c r="A142" s="25" t="s">
        <v>238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>
        <v>5.9474999999999998</v>
      </c>
      <c r="M142" s="18">
        <v>1</v>
      </c>
      <c r="N142" s="18"/>
      <c r="O142" s="18"/>
      <c r="P142" s="18"/>
      <c r="Q142" s="18"/>
      <c r="R142" s="18">
        <v>5.9474999999999998</v>
      </c>
      <c r="S142" s="18">
        <v>1</v>
      </c>
      <c r="T142" t="e">
        <f>+COUNTIF('[1]Facade Heat Loss'!$A:$A,A142)</f>
        <v>#VALUE!</v>
      </c>
    </row>
    <row r="143" spans="1:20" x14ac:dyDescent="0.25">
      <c r="A143" s="25" t="s">
        <v>239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>
        <v>4.5750000000000002</v>
      </c>
      <c r="M143" s="18">
        <v>1</v>
      </c>
      <c r="N143" s="18"/>
      <c r="O143" s="18"/>
      <c r="P143" s="18"/>
      <c r="Q143" s="18"/>
      <c r="R143" s="18">
        <v>4.5750000000000002</v>
      </c>
      <c r="S143" s="18">
        <v>1</v>
      </c>
      <c r="T143" t="e">
        <f>+COUNTIF('[1]Facade Heat Loss'!$A:$A,A143)</f>
        <v>#VALUE!</v>
      </c>
    </row>
    <row r="144" spans="1:20" x14ac:dyDescent="0.25">
      <c r="A144" s="25" t="s">
        <v>240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>
        <v>2.9737499999999999</v>
      </c>
      <c r="M144" s="18">
        <v>1</v>
      </c>
      <c r="N144" s="18"/>
      <c r="O144" s="18"/>
      <c r="P144" s="18"/>
      <c r="Q144" s="18"/>
      <c r="R144" s="18">
        <v>2.9737499999999999</v>
      </c>
      <c r="S144" s="18">
        <v>1</v>
      </c>
      <c r="T144" t="e">
        <f>+COUNTIF('[1]Facade Heat Loss'!$A:$A,A144)</f>
        <v>#VALUE!</v>
      </c>
    </row>
    <row r="145" spans="1:20" x14ac:dyDescent="0.25">
      <c r="A145" s="25" t="s">
        <v>241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>
        <v>5.9474999999999998</v>
      </c>
      <c r="M145" s="18">
        <v>1</v>
      </c>
      <c r="N145" s="18"/>
      <c r="O145" s="18"/>
      <c r="P145" s="18"/>
      <c r="Q145" s="18"/>
      <c r="R145" s="18">
        <v>5.9474999999999998</v>
      </c>
      <c r="S145" s="18">
        <v>1</v>
      </c>
      <c r="T145" t="e">
        <f>+COUNTIF('[1]Facade Heat Loss'!$A:$A,A145)</f>
        <v>#VALUE!</v>
      </c>
    </row>
    <row r="146" spans="1:20" x14ac:dyDescent="0.25">
      <c r="A146" s="25" t="s">
        <v>242</v>
      </c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>
        <v>4.5750000000000002</v>
      </c>
      <c r="M146" s="18">
        <v>1</v>
      </c>
      <c r="N146" s="18"/>
      <c r="O146" s="18"/>
      <c r="P146" s="18"/>
      <c r="Q146" s="18"/>
      <c r="R146" s="18">
        <v>4.5750000000000002</v>
      </c>
      <c r="S146" s="18">
        <v>1</v>
      </c>
      <c r="T146" t="e">
        <f>+COUNTIF('[1]Facade Heat Loss'!$A:$A,A146)</f>
        <v>#VALUE!</v>
      </c>
    </row>
    <row r="147" spans="1:20" x14ac:dyDescent="0.25">
      <c r="A147" s="25" t="s">
        <v>243</v>
      </c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>
        <v>2.9737499999999999</v>
      </c>
      <c r="M147" s="18">
        <v>1</v>
      </c>
      <c r="N147" s="18"/>
      <c r="O147" s="18"/>
      <c r="P147" s="18"/>
      <c r="Q147" s="18"/>
      <c r="R147" s="18">
        <v>2.9737499999999999</v>
      </c>
      <c r="S147" s="18">
        <v>1</v>
      </c>
      <c r="T147" t="e">
        <f>+COUNTIF('[1]Facade Heat Loss'!$A:$A,A147)</f>
        <v>#VALUE!</v>
      </c>
    </row>
    <row r="148" spans="1:20" x14ac:dyDescent="0.25">
      <c r="A148" s="25" t="s">
        <v>244</v>
      </c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>
        <v>4.5750000000000002</v>
      </c>
      <c r="M148" s="18">
        <v>1</v>
      </c>
      <c r="N148" s="18"/>
      <c r="O148" s="18"/>
      <c r="P148" s="18"/>
      <c r="Q148" s="18"/>
      <c r="R148" s="18">
        <v>4.5750000000000002</v>
      </c>
      <c r="S148" s="18">
        <v>1</v>
      </c>
      <c r="T148" t="e">
        <f>+COUNTIF('[1]Facade Heat Loss'!$A:$A,A148)</f>
        <v>#VALUE!</v>
      </c>
    </row>
    <row r="149" spans="1:20" x14ac:dyDescent="0.25">
      <c r="A149" s="25" t="s">
        <v>235</v>
      </c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>
        <v>3.05</v>
      </c>
      <c r="M149" s="18">
        <v>1</v>
      </c>
      <c r="N149" s="18"/>
      <c r="O149" s="18"/>
      <c r="P149" s="18"/>
      <c r="Q149" s="18"/>
      <c r="R149" s="18">
        <v>3.05</v>
      </c>
      <c r="S149" s="18">
        <v>1</v>
      </c>
      <c r="T149" t="e">
        <f>+COUNTIF('[1]Facade Heat Loss'!$A:$A,A149)</f>
        <v>#VALUE!</v>
      </c>
    </row>
    <row r="150" spans="1:20" x14ac:dyDescent="0.25">
      <c r="A150" s="25" t="s">
        <v>233</v>
      </c>
      <c r="B150" s="18"/>
      <c r="C150" s="18"/>
      <c r="D150" s="18">
        <v>2.9737499999999999</v>
      </c>
      <c r="E150" s="18">
        <v>1</v>
      </c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>
        <v>2.9737499999999999</v>
      </c>
      <c r="S150" s="18">
        <v>1</v>
      </c>
      <c r="T150" t="e">
        <f>+COUNTIF('[1]Facade Heat Loss'!$A:$A,A150)</f>
        <v>#VALUE!</v>
      </c>
    </row>
    <row r="151" spans="1:20" x14ac:dyDescent="0.25">
      <c r="A151" s="25" t="s">
        <v>236</v>
      </c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>
        <v>4.5750000000000002</v>
      </c>
      <c r="M151" s="18">
        <v>1</v>
      </c>
      <c r="N151" s="18"/>
      <c r="O151" s="18"/>
      <c r="P151" s="18"/>
      <c r="Q151" s="18"/>
      <c r="R151" s="18">
        <v>4.5750000000000002</v>
      </c>
      <c r="S151" s="18">
        <v>1</v>
      </c>
      <c r="T151" t="e">
        <f>+COUNTIF('[1]Facade Heat Loss'!$A:$A,A151)</f>
        <v>#VALUE!</v>
      </c>
    </row>
    <row r="152" spans="1:20" x14ac:dyDescent="0.25">
      <c r="A152" s="25" t="s">
        <v>364</v>
      </c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>
        <v>6.1762499999999996</v>
      </c>
      <c r="O152" s="18">
        <v>1</v>
      </c>
      <c r="P152" s="18"/>
      <c r="Q152" s="18"/>
      <c r="R152" s="18">
        <v>6.1762499999999996</v>
      </c>
      <c r="S152" s="18">
        <v>1</v>
      </c>
      <c r="T152" t="e">
        <f>+COUNTIF('[1]Facade Heat Loss'!$A:$A,A152)</f>
        <v>#VALUE!</v>
      </c>
    </row>
    <row r="153" spans="1:20" x14ac:dyDescent="0.25">
      <c r="A153" s="25" t="s">
        <v>370</v>
      </c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>
        <v>6.1762499999999996</v>
      </c>
      <c r="O153" s="18">
        <v>1</v>
      </c>
      <c r="P153" s="18"/>
      <c r="Q153" s="18"/>
      <c r="R153" s="18">
        <v>6.1762499999999996</v>
      </c>
      <c r="S153" s="18">
        <v>1</v>
      </c>
      <c r="T153" t="e">
        <f>+COUNTIF('[1]Facade Heat Loss'!$A:$A,A153)</f>
        <v>#VALUE!</v>
      </c>
    </row>
    <row r="154" spans="1:20" x14ac:dyDescent="0.25">
      <c r="A154" s="25" t="s">
        <v>371</v>
      </c>
      <c r="B154" s="18"/>
      <c r="C154" s="18"/>
      <c r="D154" s="18"/>
      <c r="E154" s="18"/>
      <c r="F154" s="18">
        <v>6.1762499999999996</v>
      </c>
      <c r="G154" s="18">
        <v>1</v>
      </c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>
        <v>6.1762499999999996</v>
      </c>
      <c r="S154" s="18">
        <v>1</v>
      </c>
      <c r="T154" t="e">
        <f>+COUNTIF('[1]Facade Heat Loss'!$A:$A,A154)</f>
        <v>#VALUE!</v>
      </c>
    </row>
    <row r="155" spans="1:20" x14ac:dyDescent="0.25">
      <c r="A155" s="25" t="s">
        <v>372</v>
      </c>
      <c r="B155" s="18"/>
      <c r="C155" s="18"/>
      <c r="D155" s="18"/>
      <c r="E155" s="18"/>
      <c r="F155" s="18">
        <v>6.1762499999999996</v>
      </c>
      <c r="G155" s="18">
        <v>1</v>
      </c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>
        <v>6.1762499999999996</v>
      </c>
      <c r="S155" s="18">
        <v>1</v>
      </c>
      <c r="T155" t="e">
        <f>+COUNTIF('[1]Facade Heat Loss'!$A:$A,A155)</f>
        <v>#VALUE!</v>
      </c>
    </row>
    <row r="156" spans="1:20" x14ac:dyDescent="0.25">
      <c r="A156" s="25" t="s">
        <v>373</v>
      </c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>
        <v>6.1762499999999996</v>
      </c>
      <c r="O156" s="18">
        <v>1</v>
      </c>
      <c r="P156" s="18"/>
      <c r="Q156" s="18"/>
      <c r="R156" s="18">
        <v>6.1762499999999996</v>
      </c>
      <c r="S156" s="18">
        <v>1</v>
      </c>
      <c r="T156" t="e">
        <f>+COUNTIF('[1]Facade Heat Loss'!$A:$A,A156)</f>
        <v>#VALUE!</v>
      </c>
    </row>
    <row r="157" spans="1:20" x14ac:dyDescent="0.25">
      <c r="A157" s="25" t="s">
        <v>374</v>
      </c>
      <c r="B157" s="18"/>
      <c r="C157" s="18"/>
      <c r="D157" s="18"/>
      <c r="E157" s="18"/>
      <c r="F157" s="18">
        <v>4.5750000000000002</v>
      </c>
      <c r="G157" s="18">
        <v>1</v>
      </c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>
        <v>4.5750000000000002</v>
      </c>
      <c r="S157" s="18">
        <v>1</v>
      </c>
      <c r="T157" t="e">
        <f>+COUNTIF('[1]Facade Heat Loss'!$A:$A,A157)</f>
        <v>#VALUE!</v>
      </c>
    </row>
    <row r="158" spans="1:20" x14ac:dyDescent="0.25">
      <c r="A158" s="25" t="s">
        <v>375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>
        <v>6.1762499999999996</v>
      </c>
      <c r="O158" s="18">
        <v>1</v>
      </c>
      <c r="P158" s="18"/>
      <c r="Q158" s="18"/>
      <c r="R158" s="18">
        <v>6.1762499999999996</v>
      </c>
      <c r="S158" s="18">
        <v>1</v>
      </c>
      <c r="T158" t="e">
        <f>+COUNTIF('[1]Facade Heat Loss'!$A:$A,A158)</f>
        <v>#VALUE!</v>
      </c>
    </row>
    <row r="159" spans="1:20" x14ac:dyDescent="0.25">
      <c r="A159" s="25" t="s">
        <v>376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>
        <v>6.1762499999999996</v>
      </c>
      <c r="O159" s="18">
        <v>1</v>
      </c>
      <c r="P159" s="18"/>
      <c r="Q159" s="18"/>
      <c r="R159" s="18">
        <v>6.1762499999999996</v>
      </c>
      <c r="S159" s="18">
        <v>1</v>
      </c>
      <c r="T159" t="e">
        <f>+COUNTIF('[1]Facade Heat Loss'!$A:$A,A159)</f>
        <v>#VALUE!</v>
      </c>
    </row>
    <row r="160" spans="1:20" x14ac:dyDescent="0.25">
      <c r="A160" s="25" t="s">
        <v>377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>
        <v>6.1762499999999996</v>
      </c>
      <c r="O160" s="18">
        <v>1</v>
      </c>
      <c r="P160" s="18"/>
      <c r="Q160" s="18"/>
      <c r="R160" s="18">
        <v>6.1762499999999996</v>
      </c>
      <c r="S160" s="18">
        <v>1</v>
      </c>
      <c r="T160" t="e">
        <f>+COUNTIF('[1]Facade Heat Loss'!$A:$A,A160)</f>
        <v>#VALUE!</v>
      </c>
    </row>
    <row r="161" spans="1:20" x14ac:dyDescent="0.25">
      <c r="A161" s="25" t="s">
        <v>366</v>
      </c>
      <c r="B161" s="18"/>
      <c r="C161" s="18"/>
      <c r="D161" s="18">
        <v>7.67075</v>
      </c>
      <c r="E161" s="18">
        <v>1</v>
      </c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>
        <v>7.67075</v>
      </c>
      <c r="S161" s="18">
        <v>1</v>
      </c>
      <c r="T161" t="e">
        <f>+COUNTIF('[1]Facade Heat Loss'!$A:$A,A161)</f>
        <v>#VALUE!</v>
      </c>
    </row>
    <row r="162" spans="1:20" x14ac:dyDescent="0.25">
      <c r="A162" s="25" t="s">
        <v>378</v>
      </c>
      <c r="B162" s="18"/>
      <c r="C162" s="18"/>
      <c r="D162" s="18">
        <v>5.9474999999999998</v>
      </c>
      <c r="E162" s="18">
        <v>1</v>
      </c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>
        <v>5.9474999999999998</v>
      </c>
      <c r="S162" s="18">
        <v>1</v>
      </c>
      <c r="T162" t="e">
        <f>+COUNTIF('[1]Facade Heat Loss'!$A:$A,A162)</f>
        <v>#VALUE!</v>
      </c>
    </row>
    <row r="163" spans="1:20" x14ac:dyDescent="0.25">
      <c r="A163" s="25" t="s">
        <v>379</v>
      </c>
      <c r="B163" s="18"/>
      <c r="C163" s="18"/>
      <c r="D163" s="18">
        <v>6.1762499999999996</v>
      </c>
      <c r="E163" s="18">
        <v>1</v>
      </c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>
        <v>6.1762499999999996</v>
      </c>
      <c r="S163" s="18">
        <v>1</v>
      </c>
      <c r="T163" t="e">
        <f>+COUNTIF('[1]Facade Heat Loss'!$A:$A,A163)</f>
        <v>#VALUE!</v>
      </c>
    </row>
    <row r="164" spans="1:20" x14ac:dyDescent="0.25">
      <c r="A164" s="25" t="s">
        <v>380</v>
      </c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>
        <v>5.9474999999999998</v>
      </c>
      <c r="M164" s="18">
        <v>1</v>
      </c>
      <c r="N164" s="18"/>
      <c r="O164" s="18"/>
      <c r="P164" s="18"/>
      <c r="Q164" s="18"/>
      <c r="R164" s="18">
        <v>5.9474999999999998</v>
      </c>
      <c r="S164" s="18">
        <v>1</v>
      </c>
      <c r="T164" t="e">
        <f>+COUNTIF('[1]Facade Heat Loss'!$A:$A,A164)</f>
        <v>#VALUE!</v>
      </c>
    </row>
    <row r="165" spans="1:20" x14ac:dyDescent="0.25">
      <c r="A165" s="25" t="s">
        <v>381</v>
      </c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>
        <v>6.1762499999999996</v>
      </c>
      <c r="M165" s="18">
        <v>1</v>
      </c>
      <c r="N165" s="18"/>
      <c r="O165" s="18"/>
      <c r="P165" s="18"/>
      <c r="Q165" s="18"/>
      <c r="R165" s="18">
        <v>6.1762499999999996</v>
      </c>
      <c r="S165" s="18">
        <v>1</v>
      </c>
      <c r="T165" t="e">
        <f>+COUNTIF('[1]Facade Heat Loss'!$A:$A,A165)</f>
        <v>#VALUE!</v>
      </c>
    </row>
    <row r="166" spans="1:20" x14ac:dyDescent="0.25">
      <c r="A166" s="25" t="s">
        <v>382</v>
      </c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>
        <v>6.1762499999999996</v>
      </c>
      <c r="M166" s="18">
        <v>1</v>
      </c>
      <c r="N166" s="18"/>
      <c r="O166" s="18"/>
      <c r="P166" s="18"/>
      <c r="Q166" s="18"/>
      <c r="R166" s="18">
        <v>6.1762499999999996</v>
      </c>
      <c r="S166" s="18">
        <v>1</v>
      </c>
      <c r="T166" t="e">
        <f>+COUNTIF('[1]Facade Heat Loss'!$A:$A,A166)</f>
        <v>#VALUE!</v>
      </c>
    </row>
    <row r="167" spans="1:20" x14ac:dyDescent="0.25">
      <c r="A167" s="25" t="s">
        <v>367</v>
      </c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>
        <v>8.9212500000000006</v>
      </c>
      <c r="Q167" s="18">
        <v>2</v>
      </c>
      <c r="R167" s="18">
        <v>8.9212500000000006</v>
      </c>
      <c r="S167" s="18">
        <v>2</v>
      </c>
      <c r="T167" t="e">
        <f>+COUNTIF('[1]Facade Heat Loss'!$A:$A,A167)</f>
        <v>#VALUE!</v>
      </c>
    </row>
    <row r="168" spans="1:20" x14ac:dyDescent="0.25">
      <c r="A168" s="25" t="s">
        <v>365</v>
      </c>
      <c r="B168" s="18"/>
      <c r="C168" s="18"/>
      <c r="D168" s="18"/>
      <c r="E168" s="18"/>
      <c r="F168" s="18">
        <v>5.9474999999999998</v>
      </c>
      <c r="G168" s="18">
        <v>1</v>
      </c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>
        <v>5.9474999999999998</v>
      </c>
      <c r="S168" s="18">
        <v>1</v>
      </c>
      <c r="T168" t="e">
        <f>+COUNTIF('[1]Facade Heat Loss'!$A:$A,A168)</f>
        <v>#VALUE!</v>
      </c>
    </row>
    <row r="169" spans="1:20" x14ac:dyDescent="0.25">
      <c r="A169" s="25" t="s">
        <v>392</v>
      </c>
      <c r="B169" s="18"/>
      <c r="C169" s="18"/>
      <c r="D169" s="18">
        <v>10.27075</v>
      </c>
      <c r="E169" s="18">
        <v>2</v>
      </c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>
        <v>10.27075</v>
      </c>
      <c r="S169" s="18">
        <v>2</v>
      </c>
      <c r="T169" t="e">
        <f>+COUNTIF('[1]Facade Heat Loss'!$A:$A,A169)</f>
        <v>#VALUE!</v>
      </c>
    </row>
    <row r="170" spans="1:20" x14ac:dyDescent="0.25">
      <c r="A170" s="25" t="s">
        <v>393</v>
      </c>
      <c r="B170" s="18"/>
      <c r="C170" s="18"/>
      <c r="D170" s="18">
        <v>5.9474999999999998</v>
      </c>
      <c r="E170" s="18">
        <v>1</v>
      </c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>
        <v>5.9474999999999998</v>
      </c>
      <c r="S170" s="18">
        <v>1</v>
      </c>
      <c r="T170" t="e">
        <f>+COUNTIF('[1]Facade Heat Loss'!$A:$A,A170)</f>
        <v>#VALUE!</v>
      </c>
    </row>
    <row r="171" spans="1:20" x14ac:dyDescent="0.25">
      <c r="A171" s="25" t="s">
        <v>394</v>
      </c>
      <c r="B171" s="18"/>
      <c r="C171" s="18"/>
      <c r="D171" s="18">
        <v>10.27075</v>
      </c>
      <c r="E171" s="18">
        <v>2</v>
      </c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>
        <v>10.27075</v>
      </c>
      <c r="S171" s="18">
        <v>2</v>
      </c>
      <c r="T171" t="e">
        <f>+COUNTIF('[1]Facade Heat Loss'!$A:$A,A171)</f>
        <v>#VALUE!</v>
      </c>
    </row>
    <row r="172" spans="1:20" x14ac:dyDescent="0.25">
      <c r="A172" s="25" t="s">
        <v>395</v>
      </c>
      <c r="B172" s="18"/>
      <c r="C172" s="18"/>
      <c r="D172" s="18">
        <v>10.27075</v>
      </c>
      <c r="E172" s="18">
        <v>2</v>
      </c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>
        <v>10.27075</v>
      </c>
      <c r="S172" s="18">
        <v>2</v>
      </c>
      <c r="T172" t="e">
        <f>+COUNTIF('[1]Facade Heat Loss'!$A:$A,A172)</f>
        <v>#VALUE!</v>
      </c>
    </row>
    <row r="173" spans="1:20" x14ac:dyDescent="0.25">
      <c r="A173" s="25" t="s">
        <v>396</v>
      </c>
      <c r="B173" s="18"/>
      <c r="C173" s="18"/>
      <c r="D173" s="18">
        <v>10.27075</v>
      </c>
      <c r="E173" s="18">
        <v>2</v>
      </c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>
        <v>10.27075</v>
      </c>
      <c r="S173" s="18">
        <v>2</v>
      </c>
      <c r="T173" t="e">
        <f>+COUNTIF('[1]Facade Heat Loss'!$A:$A,A173)</f>
        <v>#VALUE!</v>
      </c>
    </row>
    <row r="174" spans="1:20" x14ac:dyDescent="0.25">
      <c r="A174" s="25" t="s">
        <v>397</v>
      </c>
      <c r="B174" s="18"/>
      <c r="C174" s="18"/>
      <c r="D174" s="18">
        <v>10.27075</v>
      </c>
      <c r="E174" s="18">
        <v>2</v>
      </c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>
        <v>10.27075</v>
      </c>
      <c r="S174" s="18">
        <v>2</v>
      </c>
      <c r="T174" t="e">
        <f>+COUNTIF('[1]Facade Heat Loss'!$A:$A,A174)</f>
        <v>#VALUE!</v>
      </c>
    </row>
    <row r="175" spans="1:20" x14ac:dyDescent="0.25">
      <c r="A175" s="25" t="s">
        <v>398</v>
      </c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>
        <v>10.27075</v>
      </c>
      <c r="M175" s="18">
        <v>2</v>
      </c>
      <c r="N175" s="18"/>
      <c r="O175" s="18"/>
      <c r="P175" s="18"/>
      <c r="Q175" s="18"/>
      <c r="R175" s="18">
        <v>10.27075</v>
      </c>
      <c r="S175" s="18">
        <v>2</v>
      </c>
      <c r="T175" t="e">
        <f>+COUNTIF('[1]Facade Heat Loss'!$A:$A,A175)</f>
        <v>#VALUE!</v>
      </c>
    </row>
    <row r="176" spans="1:20" x14ac:dyDescent="0.25">
      <c r="A176" s="25" t="s">
        <v>399</v>
      </c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>
        <v>10.27075</v>
      </c>
      <c r="M176" s="18">
        <v>2</v>
      </c>
      <c r="N176" s="18"/>
      <c r="O176" s="18"/>
      <c r="P176" s="18"/>
      <c r="Q176" s="18"/>
      <c r="R176" s="18">
        <v>10.27075</v>
      </c>
      <c r="S176" s="18">
        <v>2</v>
      </c>
      <c r="T176" t="e">
        <f>+COUNTIF('[1]Facade Heat Loss'!$A:$A,A176)</f>
        <v>#VALUE!</v>
      </c>
    </row>
    <row r="177" spans="1:20" x14ac:dyDescent="0.25">
      <c r="A177" s="25" t="s">
        <v>400</v>
      </c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>
        <v>10.27075</v>
      </c>
      <c r="M177" s="18">
        <v>2</v>
      </c>
      <c r="N177" s="18"/>
      <c r="O177" s="18"/>
      <c r="P177" s="18"/>
      <c r="Q177" s="18"/>
      <c r="R177" s="18">
        <v>10.27075</v>
      </c>
      <c r="S177" s="18">
        <v>2</v>
      </c>
      <c r="T177" t="e">
        <f>+COUNTIF('[1]Facade Heat Loss'!$A:$A,A177)</f>
        <v>#VALUE!</v>
      </c>
    </row>
    <row r="178" spans="1:20" x14ac:dyDescent="0.25">
      <c r="A178" s="25" t="s">
        <v>401</v>
      </c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>
        <v>10.27075</v>
      </c>
      <c r="M178" s="18">
        <v>2</v>
      </c>
      <c r="N178" s="18"/>
      <c r="O178" s="18"/>
      <c r="P178" s="18"/>
      <c r="Q178" s="18"/>
      <c r="R178" s="18">
        <v>10.27075</v>
      </c>
      <c r="S178" s="18">
        <v>2</v>
      </c>
      <c r="T178" t="e">
        <f>+COUNTIF('[1]Facade Heat Loss'!$A:$A,A178)</f>
        <v>#VALUE!</v>
      </c>
    </row>
    <row r="179" spans="1:20" x14ac:dyDescent="0.25">
      <c r="A179" s="25" t="s">
        <v>402</v>
      </c>
      <c r="B179" s="18"/>
      <c r="C179" s="18"/>
      <c r="D179" s="18">
        <v>10.27075</v>
      </c>
      <c r="E179" s="18">
        <v>2</v>
      </c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>
        <v>10.27075</v>
      </c>
      <c r="S179" s="18">
        <v>2</v>
      </c>
      <c r="T179" t="e">
        <f>+COUNTIF('[1]Facade Heat Loss'!$A:$A,A179)</f>
        <v>#VALUE!</v>
      </c>
    </row>
    <row r="180" spans="1:20" x14ac:dyDescent="0.25">
      <c r="A180" s="25" t="s">
        <v>403</v>
      </c>
      <c r="B180" s="18"/>
      <c r="C180" s="18"/>
      <c r="D180" s="18">
        <v>10.27075</v>
      </c>
      <c r="E180" s="18">
        <v>2</v>
      </c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>
        <v>10.27075</v>
      </c>
      <c r="S180" s="18">
        <v>2</v>
      </c>
      <c r="T180" t="e">
        <f>+COUNTIF('[1]Facade Heat Loss'!$A:$A,A180)</f>
        <v>#VALUE!</v>
      </c>
    </row>
    <row r="181" spans="1:20" x14ac:dyDescent="0.25">
      <c r="A181" s="25" t="s">
        <v>404</v>
      </c>
      <c r="B181" s="18"/>
      <c r="C181" s="18"/>
      <c r="D181" s="18">
        <v>10.27075</v>
      </c>
      <c r="E181" s="18">
        <v>2</v>
      </c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>
        <v>10.27075</v>
      </c>
      <c r="S181" s="18">
        <v>2</v>
      </c>
      <c r="T181" t="e">
        <f>+COUNTIF('[1]Facade Heat Loss'!$A:$A,A181)</f>
        <v>#VALUE!</v>
      </c>
    </row>
    <row r="182" spans="1:20" x14ac:dyDescent="0.25">
      <c r="A182" s="25" t="s">
        <v>405</v>
      </c>
      <c r="B182" s="18"/>
      <c r="C182" s="18"/>
      <c r="D182" s="18">
        <v>10.27075</v>
      </c>
      <c r="E182" s="18">
        <v>2</v>
      </c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>
        <v>10.27075</v>
      </c>
      <c r="S182" s="18">
        <v>2</v>
      </c>
      <c r="T182" t="e">
        <f>+COUNTIF('[1]Facade Heat Loss'!$A:$A,A182)</f>
        <v>#VALUE!</v>
      </c>
    </row>
    <row r="183" spans="1:20" x14ac:dyDescent="0.25">
      <c r="A183" s="25" t="s">
        <v>406</v>
      </c>
      <c r="B183" s="18"/>
      <c r="C183" s="18"/>
      <c r="D183" s="18">
        <v>5.9474999999999998</v>
      </c>
      <c r="E183" s="18">
        <v>1</v>
      </c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>
        <v>5.9474999999999998</v>
      </c>
      <c r="S183" s="18">
        <v>1</v>
      </c>
      <c r="T183" t="e">
        <f>+COUNTIF('[1]Facade Heat Loss'!$A:$A,A183)</f>
        <v>#VALUE!</v>
      </c>
    </row>
    <row r="184" spans="1:20" x14ac:dyDescent="0.25">
      <c r="A184" s="25" t="s">
        <v>407</v>
      </c>
      <c r="B184" s="18"/>
      <c r="C184" s="18"/>
      <c r="D184" s="18">
        <v>2.6</v>
      </c>
      <c r="E184" s="18">
        <v>1</v>
      </c>
      <c r="F184" s="18"/>
      <c r="G184" s="18"/>
      <c r="H184" s="18"/>
      <c r="I184" s="18"/>
      <c r="J184" s="18"/>
      <c r="K184" s="18"/>
      <c r="L184" s="18">
        <v>7.67075</v>
      </c>
      <c r="M184" s="18">
        <v>1</v>
      </c>
      <c r="N184" s="18"/>
      <c r="O184" s="18"/>
      <c r="P184" s="18"/>
      <c r="Q184" s="18"/>
      <c r="R184" s="18">
        <v>10.27075</v>
      </c>
      <c r="S184" s="18">
        <v>2</v>
      </c>
      <c r="T184" t="e">
        <f>+COUNTIF('[1]Facade Heat Loss'!$A:$A,A184)</f>
        <v>#VALUE!</v>
      </c>
    </row>
    <row r="185" spans="1:20" x14ac:dyDescent="0.25">
      <c r="A185" s="25" t="s">
        <v>408</v>
      </c>
      <c r="B185" s="18"/>
      <c r="C185" s="18"/>
      <c r="D185" s="18">
        <v>2.6</v>
      </c>
      <c r="E185" s="18">
        <v>1</v>
      </c>
      <c r="F185" s="18"/>
      <c r="G185" s="18"/>
      <c r="H185" s="18"/>
      <c r="I185" s="18"/>
      <c r="J185" s="18"/>
      <c r="K185" s="18"/>
      <c r="L185" s="18">
        <v>7.67075</v>
      </c>
      <c r="M185" s="18">
        <v>1</v>
      </c>
      <c r="N185" s="18"/>
      <c r="O185" s="18"/>
      <c r="P185" s="18"/>
      <c r="Q185" s="18"/>
      <c r="R185" s="18">
        <v>10.27075</v>
      </c>
      <c r="S185" s="18">
        <v>2</v>
      </c>
      <c r="T185" t="e">
        <f>+COUNTIF('[1]Facade Heat Loss'!$A:$A,A185)</f>
        <v>#VALUE!</v>
      </c>
    </row>
    <row r="186" spans="1:20" x14ac:dyDescent="0.25">
      <c r="A186" s="25" t="s">
        <v>409</v>
      </c>
      <c r="B186" s="18"/>
      <c r="C186" s="18"/>
      <c r="D186" s="18">
        <v>2.6</v>
      </c>
      <c r="E186" s="18">
        <v>1</v>
      </c>
      <c r="F186" s="18"/>
      <c r="G186" s="18"/>
      <c r="H186" s="18"/>
      <c r="I186" s="18"/>
      <c r="J186" s="18"/>
      <c r="K186" s="18"/>
      <c r="L186" s="18">
        <v>7.67075</v>
      </c>
      <c r="M186" s="18">
        <v>1</v>
      </c>
      <c r="N186" s="18"/>
      <c r="O186" s="18"/>
      <c r="P186" s="18"/>
      <c r="Q186" s="18"/>
      <c r="R186" s="18">
        <v>10.27075</v>
      </c>
      <c r="S186" s="18">
        <v>2</v>
      </c>
      <c r="T186" t="e">
        <f>+COUNTIF('[1]Facade Heat Loss'!$A:$A,A186)</f>
        <v>#VALUE!</v>
      </c>
    </row>
    <row r="187" spans="1:20" x14ac:dyDescent="0.25">
      <c r="A187" s="25" t="s">
        <v>410</v>
      </c>
      <c r="B187" s="18"/>
      <c r="C187" s="18"/>
      <c r="D187" s="18">
        <v>2.6</v>
      </c>
      <c r="E187" s="18">
        <v>1</v>
      </c>
      <c r="F187" s="18"/>
      <c r="G187" s="18"/>
      <c r="H187" s="18"/>
      <c r="I187" s="18"/>
      <c r="J187" s="18"/>
      <c r="K187" s="18"/>
      <c r="L187" s="18">
        <v>7.67075</v>
      </c>
      <c r="M187" s="18">
        <v>1</v>
      </c>
      <c r="N187" s="18"/>
      <c r="O187" s="18"/>
      <c r="P187" s="18"/>
      <c r="Q187" s="18"/>
      <c r="R187" s="18">
        <v>10.27075</v>
      </c>
      <c r="S187" s="18">
        <v>2</v>
      </c>
      <c r="T187" t="e">
        <f>+COUNTIF('[1]Facade Heat Loss'!$A:$A,A187)</f>
        <v>#VALUE!</v>
      </c>
    </row>
    <row r="188" spans="1:20" x14ac:dyDescent="0.25">
      <c r="A188" s="25" t="s">
        <v>411</v>
      </c>
      <c r="B188" s="18"/>
      <c r="C188" s="18"/>
      <c r="D188" s="18">
        <v>2.6</v>
      </c>
      <c r="E188" s="18">
        <v>1</v>
      </c>
      <c r="F188" s="18"/>
      <c r="G188" s="18"/>
      <c r="H188" s="18"/>
      <c r="I188" s="18"/>
      <c r="J188" s="18"/>
      <c r="K188" s="18"/>
      <c r="L188" s="18">
        <v>7.67075</v>
      </c>
      <c r="M188" s="18">
        <v>1</v>
      </c>
      <c r="N188" s="18"/>
      <c r="O188" s="18"/>
      <c r="P188" s="18"/>
      <c r="Q188" s="18"/>
      <c r="R188" s="18">
        <v>10.27075</v>
      </c>
      <c r="S188" s="18">
        <v>2</v>
      </c>
      <c r="T188" t="e">
        <f>+COUNTIF('[1]Facade Heat Loss'!$A:$A,A188)</f>
        <v>#VALUE!</v>
      </c>
    </row>
    <row r="189" spans="1:20" x14ac:dyDescent="0.25">
      <c r="A189" s="25" t="s">
        <v>412</v>
      </c>
      <c r="B189" s="18"/>
      <c r="C189" s="18"/>
      <c r="D189" s="18">
        <v>2.6</v>
      </c>
      <c r="E189" s="18">
        <v>1</v>
      </c>
      <c r="F189" s="18"/>
      <c r="G189" s="18"/>
      <c r="H189" s="18"/>
      <c r="I189" s="18"/>
      <c r="J189" s="18"/>
      <c r="K189" s="18"/>
      <c r="L189" s="18">
        <v>7.67075</v>
      </c>
      <c r="M189" s="18">
        <v>1</v>
      </c>
      <c r="N189" s="18"/>
      <c r="O189" s="18"/>
      <c r="P189" s="18"/>
      <c r="Q189" s="18"/>
      <c r="R189" s="18">
        <v>10.27075</v>
      </c>
      <c r="S189" s="18">
        <v>2</v>
      </c>
      <c r="T189" t="e">
        <f>+COUNTIF('[1]Facade Heat Loss'!$A:$A,A189)</f>
        <v>#VALUE!</v>
      </c>
    </row>
    <row r="190" spans="1:20" x14ac:dyDescent="0.25">
      <c r="A190" s="25" t="s">
        <v>413</v>
      </c>
      <c r="B190" s="18"/>
      <c r="C190" s="18"/>
      <c r="D190" s="18">
        <v>2.6</v>
      </c>
      <c r="E190" s="18">
        <v>1</v>
      </c>
      <c r="F190" s="18"/>
      <c r="G190" s="18"/>
      <c r="H190" s="18"/>
      <c r="I190" s="18"/>
      <c r="J190" s="18"/>
      <c r="K190" s="18"/>
      <c r="L190" s="18">
        <v>7.67075</v>
      </c>
      <c r="M190" s="18">
        <v>1</v>
      </c>
      <c r="N190" s="18"/>
      <c r="O190" s="18"/>
      <c r="P190" s="18"/>
      <c r="Q190" s="18"/>
      <c r="R190" s="18">
        <v>10.27075</v>
      </c>
      <c r="S190" s="18">
        <v>2</v>
      </c>
      <c r="T190" t="e">
        <f>+COUNTIF('[1]Facade Heat Loss'!$A:$A,A190)</f>
        <v>#VALUE!</v>
      </c>
    </row>
    <row r="191" spans="1:20" x14ac:dyDescent="0.25">
      <c r="A191" s="25" t="s">
        <v>414</v>
      </c>
      <c r="B191" s="18"/>
      <c r="C191" s="18"/>
      <c r="D191" s="18">
        <v>2.6</v>
      </c>
      <c r="E191" s="18">
        <v>1</v>
      </c>
      <c r="F191" s="18"/>
      <c r="G191" s="18"/>
      <c r="H191" s="18"/>
      <c r="I191" s="18"/>
      <c r="J191" s="18"/>
      <c r="K191" s="18"/>
      <c r="L191" s="18">
        <v>7.67075</v>
      </c>
      <c r="M191" s="18">
        <v>1</v>
      </c>
      <c r="N191" s="18"/>
      <c r="O191" s="18"/>
      <c r="P191" s="18"/>
      <c r="Q191" s="18"/>
      <c r="R191" s="18">
        <v>10.27075</v>
      </c>
      <c r="S191" s="18">
        <v>2</v>
      </c>
      <c r="T191" t="e">
        <f>+COUNTIF('[1]Facade Heat Loss'!$A:$A,A191)</f>
        <v>#VALUE!</v>
      </c>
    </row>
    <row r="192" spans="1:20" x14ac:dyDescent="0.25">
      <c r="A192" s="25" t="s">
        <v>475</v>
      </c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>
        <v>3.05</v>
      </c>
      <c r="M192" s="18">
        <v>1</v>
      </c>
      <c r="N192" s="18"/>
      <c r="O192" s="18"/>
      <c r="P192" s="18"/>
      <c r="Q192" s="18"/>
      <c r="R192" s="18">
        <v>3.05</v>
      </c>
      <c r="S192" s="18">
        <v>1</v>
      </c>
      <c r="T192" t="e">
        <f>+COUNTIF('[1]Facade Heat Loss'!$A:$A,A192)</f>
        <v>#VALUE!</v>
      </c>
    </row>
    <row r="193" spans="1:20" x14ac:dyDescent="0.25">
      <c r="A193" s="25" t="s">
        <v>486</v>
      </c>
      <c r="B193" s="18"/>
      <c r="C193" s="18"/>
      <c r="D193" s="18">
        <v>2.9737499999999999</v>
      </c>
      <c r="E193" s="18">
        <v>1</v>
      </c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>
        <v>2.9737499999999999</v>
      </c>
      <c r="S193" s="18">
        <v>1</v>
      </c>
      <c r="T193" t="e">
        <f>+COUNTIF('[1]Facade Heat Loss'!$A:$A,A193)</f>
        <v>#VALUE!</v>
      </c>
    </row>
    <row r="194" spans="1:20" x14ac:dyDescent="0.25">
      <c r="A194" s="25" t="s">
        <v>487</v>
      </c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>
        <v>5.9474999999999998</v>
      </c>
      <c r="O194" s="18">
        <v>1</v>
      </c>
      <c r="P194" s="18"/>
      <c r="Q194" s="18"/>
      <c r="R194" s="18">
        <v>5.9474999999999998</v>
      </c>
      <c r="S194" s="18">
        <v>1</v>
      </c>
      <c r="T194" t="e">
        <f>+COUNTIF('[1]Facade Heat Loss'!$A:$A,A194)</f>
        <v>#VALUE!</v>
      </c>
    </row>
    <row r="195" spans="1:20" x14ac:dyDescent="0.25">
      <c r="A195" s="25" t="s">
        <v>485</v>
      </c>
      <c r="B195" s="18"/>
      <c r="C195" s="18"/>
      <c r="D195" s="18">
        <v>5.9474999999999998</v>
      </c>
      <c r="E195" s="18">
        <v>1</v>
      </c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>
        <v>5.9474999999999998</v>
      </c>
      <c r="S195" s="18">
        <v>1</v>
      </c>
      <c r="T195" t="e">
        <f>+COUNTIF('[1]Facade Heat Loss'!$A:$A,A195)</f>
        <v>#VALUE!</v>
      </c>
    </row>
    <row r="196" spans="1:20" x14ac:dyDescent="0.25">
      <c r="A196" s="25" t="s">
        <v>473</v>
      </c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>
        <v>3.05</v>
      </c>
      <c r="M196" s="18">
        <v>1</v>
      </c>
      <c r="N196" s="18"/>
      <c r="O196" s="18"/>
      <c r="P196" s="18"/>
      <c r="Q196" s="18"/>
      <c r="R196" s="18">
        <v>3.05</v>
      </c>
      <c r="S196" s="18">
        <v>1</v>
      </c>
      <c r="T196" t="e">
        <f>+COUNTIF('[1]Facade Heat Loss'!$A:$A,A196)</f>
        <v>#VALUE!</v>
      </c>
    </row>
    <row r="197" spans="1:20" x14ac:dyDescent="0.25">
      <c r="A197" s="25" t="s">
        <v>472</v>
      </c>
      <c r="B197" s="18"/>
      <c r="C197" s="18"/>
      <c r="D197" s="18">
        <v>8.9212500000000006</v>
      </c>
      <c r="E197" s="18">
        <v>2</v>
      </c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>
        <v>8.9212500000000006</v>
      </c>
      <c r="S197" s="18">
        <v>2</v>
      </c>
      <c r="T197" t="e">
        <f>+COUNTIF('[1]Facade Heat Loss'!$A:$A,A197)</f>
        <v>#VALUE!</v>
      </c>
    </row>
    <row r="198" spans="1:20" x14ac:dyDescent="0.25">
      <c r="A198" s="25" t="s">
        <v>471</v>
      </c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>
        <v>6.0237499999999997</v>
      </c>
      <c r="O198" s="18">
        <v>2</v>
      </c>
      <c r="P198" s="18"/>
      <c r="Q198" s="18"/>
      <c r="R198" s="18">
        <v>6.0237499999999997</v>
      </c>
      <c r="S198" s="18">
        <v>2</v>
      </c>
      <c r="T198" t="e">
        <f>+COUNTIF('[1]Facade Heat Loss'!$A:$A,A198)</f>
        <v>#VALUE!</v>
      </c>
    </row>
    <row r="199" spans="1:20" x14ac:dyDescent="0.25">
      <c r="A199" s="25" t="s">
        <v>470</v>
      </c>
      <c r="B199" s="18">
        <v>2.9737499999999999</v>
      </c>
      <c r="C199" s="18">
        <v>1</v>
      </c>
      <c r="D199" s="18"/>
      <c r="E199" s="18"/>
      <c r="F199" s="18">
        <v>3.51</v>
      </c>
      <c r="G199" s="18">
        <v>1</v>
      </c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>
        <v>6.4837499999999997</v>
      </c>
      <c r="S199" s="18">
        <v>2</v>
      </c>
      <c r="T199" t="e">
        <f>+COUNTIF('[1]Facade Heat Loss'!$A:$A,A199)</f>
        <v>#VALUE!</v>
      </c>
    </row>
    <row r="200" spans="1:20" x14ac:dyDescent="0.25">
      <c r="A200" s="25" t="s">
        <v>474</v>
      </c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>
        <v>3.05</v>
      </c>
      <c r="M200" s="18">
        <v>1</v>
      </c>
      <c r="N200" s="18"/>
      <c r="O200" s="18"/>
      <c r="P200" s="18"/>
      <c r="Q200" s="18"/>
      <c r="R200" s="18">
        <v>3.05</v>
      </c>
      <c r="S200" s="18">
        <v>1</v>
      </c>
      <c r="T200" t="e">
        <f>+COUNTIF('[1]Facade Heat Loss'!$A:$A,A200)</f>
        <v>#VALUE!</v>
      </c>
    </row>
    <row r="201" spans="1:20" x14ac:dyDescent="0.25">
      <c r="A201" s="25" t="s">
        <v>446</v>
      </c>
      <c r="B201" s="18">
        <v>7.5487500000000001</v>
      </c>
      <c r="C201" s="18">
        <v>2</v>
      </c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>
        <v>7.5487500000000001</v>
      </c>
      <c r="S201" s="18">
        <v>2</v>
      </c>
      <c r="T201" t="e">
        <f>+COUNTIF('[1]Facade Heat Loss'!$A:$A,A201)</f>
        <v>#VALUE!</v>
      </c>
    </row>
    <row r="202" spans="1:20" x14ac:dyDescent="0.25">
      <c r="A202" s="25" t="s">
        <v>447</v>
      </c>
      <c r="B202" s="18">
        <v>7.5487500000000001</v>
      </c>
      <c r="C202" s="18">
        <v>2</v>
      </c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>
        <v>7.5487500000000001</v>
      </c>
      <c r="S202" s="18">
        <v>2</v>
      </c>
      <c r="T202" t="e">
        <f>+COUNTIF('[1]Facade Heat Loss'!$A:$A,A202)</f>
        <v>#VALUE!</v>
      </c>
    </row>
    <row r="203" spans="1:20" x14ac:dyDescent="0.25">
      <c r="A203" s="25" t="s">
        <v>448</v>
      </c>
      <c r="B203" s="18">
        <v>4.5750000000000002</v>
      </c>
      <c r="C203" s="18">
        <v>1</v>
      </c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>
        <v>4.5750000000000002</v>
      </c>
      <c r="S203" s="18">
        <v>1</v>
      </c>
      <c r="T203" t="e">
        <f>+COUNTIF('[1]Facade Heat Loss'!$A:$A,A203)</f>
        <v>#VALUE!</v>
      </c>
    </row>
    <row r="204" spans="1:20" x14ac:dyDescent="0.25">
      <c r="A204" s="25" t="s">
        <v>442</v>
      </c>
      <c r="B204" s="18"/>
      <c r="C204" s="18"/>
      <c r="D204" s="18"/>
      <c r="E204" s="18"/>
      <c r="F204" s="18"/>
      <c r="G204" s="18"/>
      <c r="H204" s="18">
        <v>5.9474999999999998</v>
      </c>
      <c r="I204" s="18">
        <v>1</v>
      </c>
      <c r="J204" s="18"/>
      <c r="K204" s="18"/>
      <c r="L204" s="18"/>
      <c r="M204" s="18"/>
      <c r="N204" s="18"/>
      <c r="O204" s="18"/>
      <c r="P204" s="18"/>
      <c r="Q204" s="18"/>
      <c r="R204" s="18">
        <v>5.9474999999999998</v>
      </c>
      <c r="S204" s="18">
        <v>1</v>
      </c>
      <c r="T204" t="e">
        <f>+COUNTIF('[1]Facade Heat Loss'!$A:$A,A204)</f>
        <v>#VALUE!</v>
      </c>
    </row>
    <row r="205" spans="1:20" x14ac:dyDescent="0.25">
      <c r="A205" s="25" t="s">
        <v>443</v>
      </c>
      <c r="B205" s="18"/>
      <c r="C205" s="18"/>
      <c r="D205" s="18">
        <v>10.675000000000001</v>
      </c>
      <c r="E205" s="18">
        <v>3</v>
      </c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>
        <v>10.675000000000001</v>
      </c>
      <c r="S205" s="18">
        <v>3</v>
      </c>
      <c r="T205" t="e">
        <f>+COUNTIF('[1]Facade Heat Loss'!$A:$A,A205)</f>
        <v>#VALUE!</v>
      </c>
    </row>
    <row r="206" spans="1:20" x14ac:dyDescent="0.25">
      <c r="A206" s="25" t="s">
        <v>445</v>
      </c>
      <c r="B206" s="18"/>
      <c r="C206" s="18"/>
      <c r="D206" s="18">
        <v>5.9474999999999998</v>
      </c>
      <c r="E206" s="18">
        <v>1</v>
      </c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>
        <v>5.9474999999999998</v>
      </c>
      <c r="S206" s="18">
        <v>1</v>
      </c>
      <c r="T206" t="e">
        <f>+COUNTIF('[1]Facade Heat Loss'!$A:$A,A206)</f>
        <v>#VALUE!</v>
      </c>
    </row>
    <row r="207" spans="1:20" x14ac:dyDescent="0.25">
      <c r="A207" s="25" t="s">
        <v>441</v>
      </c>
      <c r="B207" s="18"/>
      <c r="C207" s="18"/>
      <c r="D207" s="18">
        <v>6.0237499999999997</v>
      </c>
      <c r="E207" s="18">
        <v>2</v>
      </c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>
        <v>6.0237499999999997</v>
      </c>
      <c r="S207" s="18">
        <v>2</v>
      </c>
      <c r="T207" t="e">
        <f>+COUNTIF('[1]Facade Heat Loss'!$A:$A,A207)</f>
        <v>#VALUE!</v>
      </c>
    </row>
    <row r="208" spans="1:20" x14ac:dyDescent="0.25">
      <c r="A208" s="25" t="s">
        <v>444</v>
      </c>
      <c r="B208" s="18"/>
      <c r="C208" s="18"/>
      <c r="D208" s="18">
        <v>10.675000000000001</v>
      </c>
      <c r="E208" s="18">
        <v>3</v>
      </c>
      <c r="F208" s="18"/>
      <c r="G208" s="18"/>
      <c r="H208" s="18">
        <v>8.9212500000000006</v>
      </c>
      <c r="I208" s="18">
        <v>2</v>
      </c>
      <c r="J208" s="18"/>
      <c r="K208" s="18"/>
      <c r="L208" s="18"/>
      <c r="M208" s="18"/>
      <c r="N208" s="18"/>
      <c r="O208" s="18"/>
      <c r="P208" s="18"/>
      <c r="Q208" s="18"/>
      <c r="R208" s="18">
        <v>19.596250000000001</v>
      </c>
      <c r="S208" s="18">
        <v>5</v>
      </c>
      <c r="T208" t="e">
        <f>+COUNTIF('[1]Facade Heat Loss'!$A:$A,A208)</f>
        <v>#VALUE!</v>
      </c>
    </row>
    <row r="209" spans="1:20" x14ac:dyDescent="0.25">
      <c r="A209" s="25" t="s">
        <v>476</v>
      </c>
      <c r="B209" s="18"/>
      <c r="C209" s="18"/>
      <c r="D209" s="18"/>
      <c r="E209" s="18"/>
      <c r="F209" s="18"/>
      <c r="G209" s="18"/>
      <c r="H209" s="18">
        <v>17.079999999999998</v>
      </c>
      <c r="I209" s="18">
        <v>5</v>
      </c>
      <c r="J209" s="18"/>
      <c r="K209" s="18"/>
      <c r="L209" s="18">
        <v>8.5399999999999991</v>
      </c>
      <c r="M209" s="18">
        <v>3</v>
      </c>
      <c r="N209" s="18"/>
      <c r="O209" s="18"/>
      <c r="P209" s="18"/>
      <c r="Q209" s="18"/>
      <c r="R209" s="18">
        <v>25.619999999999997</v>
      </c>
      <c r="S209" s="18">
        <v>8</v>
      </c>
      <c r="T209" t="e">
        <f>+COUNTIF('[1]Facade Heat Loss'!$A:$A,A209)</f>
        <v>#VALUE!</v>
      </c>
    </row>
    <row r="210" spans="1:20" x14ac:dyDescent="0.25">
      <c r="A210" s="25" t="s">
        <v>480</v>
      </c>
      <c r="B210" s="18">
        <v>8.9212500000000006</v>
      </c>
      <c r="C210" s="18">
        <v>2</v>
      </c>
      <c r="D210" s="18">
        <v>10.522499999999999</v>
      </c>
      <c r="E210" s="18">
        <v>2</v>
      </c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>
        <v>19.443750000000001</v>
      </c>
      <c r="S210" s="18">
        <v>4</v>
      </c>
      <c r="T210" t="e">
        <f>+COUNTIF('[1]Facade Heat Loss'!$A:$A,A210)</f>
        <v>#VALUE!</v>
      </c>
    </row>
    <row r="211" spans="1:20" x14ac:dyDescent="0.25">
      <c r="A211" s="25" t="s">
        <v>419</v>
      </c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>
        <v>2.9737499999999999</v>
      </c>
      <c r="M211" s="18">
        <v>1</v>
      </c>
      <c r="N211" s="18"/>
      <c r="O211" s="18"/>
      <c r="P211" s="18"/>
      <c r="Q211" s="18"/>
      <c r="R211" s="18">
        <v>2.9737499999999999</v>
      </c>
      <c r="S211" s="18">
        <v>1</v>
      </c>
      <c r="T211" t="e">
        <f>+COUNTIF('[1]Facade Heat Loss'!$A:$A,A211)</f>
        <v>#VALUE!</v>
      </c>
    </row>
    <row r="212" spans="1:20" x14ac:dyDescent="0.25">
      <c r="A212" s="25" t="s">
        <v>422</v>
      </c>
      <c r="B212" s="18"/>
      <c r="C212" s="18"/>
      <c r="D212" s="18">
        <v>4.5750000000000002</v>
      </c>
      <c r="E212" s="18">
        <v>1</v>
      </c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>
        <v>4.5750000000000002</v>
      </c>
      <c r="S212" s="18">
        <v>1</v>
      </c>
      <c r="T212" t="e">
        <f>+COUNTIF('[1]Facade Heat Loss'!$A:$A,A212)</f>
        <v>#VALUE!</v>
      </c>
    </row>
    <row r="213" spans="1:20" x14ac:dyDescent="0.25">
      <c r="A213" s="25" t="s">
        <v>423</v>
      </c>
      <c r="B213" s="18"/>
      <c r="C213" s="18"/>
      <c r="D213" s="18">
        <v>4.5750000000000002</v>
      </c>
      <c r="E213" s="18">
        <v>1</v>
      </c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>
        <v>4.5750000000000002</v>
      </c>
      <c r="S213" s="18">
        <v>1</v>
      </c>
      <c r="T213" t="e">
        <f>+COUNTIF('[1]Facade Heat Loss'!$A:$A,A213)</f>
        <v>#VALUE!</v>
      </c>
    </row>
    <row r="214" spans="1:20" x14ac:dyDescent="0.25">
      <c r="A214" s="25" t="s">
        <v>424</v>
      </c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>
        <v>4.5750000000000002</v>
      </c>
      <c r="M214" s="18">
        <v>1</v>
      </c>
      <c r="N214" s="18"/>
      <c r="O214" s="18"/>
      <c r="P214" s="18"/>
      <c r="Q214" s="18"/>
      <c r="R214" s="18">
        <v>4.5750000000000002</v>
      </c>
      <c r="S214" s="18">
        <v>1</v>
      </c>
      <c r="T214" t="e">
        <f>+COUNTIF('[1]Facade Heat Loss'!$A:$A,A214)</f>
        <v>#VALUE!</v>
      </c>
    </row>
    <row r="215" spans="1:20" x14ac:dyDescent="0.25">
      <c r="A215" s="25" t="s">
        <v>425</v>
      </c>
      <c r="B215" s="18"/>
      <c r="C215" s="18"/>
      <c r="D215" s="18">
        <v>3.05</v>
      </c>
      <c r="E215" s="18">
        <v>1</v>
      </c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>
        <v>3.05</v>
      </c>
      <c r="S215" s="18">
        <v>1</v>
      </c>
      <c r="T215" t="e">
        <f>+COUNTIF('[1]Facade Heat Loss'!$A:$A,A215)</f>
        <v>#VALUE!</v>
      </c>
    </row>
    <row r="216" spans="1:20" x14ac:dyDescent="0.25">
      <c r="A216" s="25" t="s">
        <v>426</v>
      </c>
      <c r="B216" s="18"/>
      <c r="C216" s="18"/>
      <c r="D216" s="18">
        <v>3.05</v>
      </c>
      <c r="E216" s="18">
        <v>1</v>
      </c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>
        <v>3.05</v>
      </c>
      <c r="S216" s="18">
        <v>1</v>
      </c>
      <c r="T216" t="e">
        <f>+COUNTIF('[1]Facade Heat Loss'!$A:$A,A216)</f>
        <v>#VALUE!</v>
      </c>
    </row>
    <row r="217" spans="1:20" x14ac:dyDescent="0.25">
      <c r="A217" s="25" t="s">
        <v>421</v>
      </c>
      <c r="B217" s="18"/>
      <c r="C217" s="18"/>
      <c r="D217" s="18">
        <v>5.9474999999999998</v>
      </c>
      <c r="E217" s="18">
        <v>1</v>
      </c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>
        <v>5.9474999999999998</v>
      </c>
      <c r="S217" s="18">
        <v>1</v>
      </c>
      <c r="T217" t="e">
        <f>+COUNTIF('[1]Facade Heat Loss'!$A:$A,A217)</f>
        <v>#VALUE!</v>
      </c>
    </row>
    <row r="218" spans="1:20" x14ac:dyDescent="0.25">
      <c r="A218" s="25" t="s">
        <v>427</v>
      </c>
      <c r="B218" s="18"/>
      <c r="C218" s="18"/>
      <c r="D218" s="18">
        <v>5.9474999999999998</v>
      </c>
      <c r="E218" s="18">
        <v>1</v>
      </c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>
        <v>5.9474999999999998</v>
      </c>
      <c r="S218" s="18">
        <v>1</v>
      </c>
      <c r="T218" t="e">
        <f>+COUNTIF('[1]Facade Heat Loss'!$A:$A,A218)</f>
        <v>#VALUE!</v>
      </c>
    </row>
    <row r="219" spans="1:20" x14ac:dyDescent="0.25">
      <c r="A219" s="25" t="s">
        <v>428</v>
      </c>
      <c r="B219" s="18"/>
      <c r="C219" s="18"/>
      <c r="D219" s="18">
        <v>3.05</v>
      </c>
      <c r="E219" s="18">
        <v>1</v>
      </c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>
        <v>3.05</v>
      </c>
      <c r="S219" s="18">
        <v>1</v>
      </c>
      <c r="T219" t="e">
        <f>+COUNTIF('[1]Facade Heat Loss'!$A:$A,A219)</f>
        <v>#VALUE!</v>
      </c>
    </row>
    <row r="220" spans="1:20" x14ac:dyDescent="0.25">
      <c r="A220" s="25" t="s">
        <v>429</v>
      </c>
      <c r="B220" s="18"/>
      <c r="C220" s="18"/>
      <c r="D220" s="18">
        <v>2.9737499999999999</v>
      </c>
      <c r="E220" s="18">
        <v>1</v>
      </c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>
        <v>2.9737499999999999</v>
      </c>
      <c r="S220" s="18">
        <v>1</v>
      </c>
      <c r="T220" t="e">
        <f>+COUNTIF('[1]Facade Heat Loss'!$A:$A,A220)</f>
        <v>#VALUE!</v>
      </c>
    </row>
    <row r="221" spans="1:20" x14ac:dyDescent="0.25">
      <c r="A221" s="25" t="s">
        <v>430</v>
      </c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>
        <v>3.05</v>
      </c>
      <c r="M221" s="18">
        <v>1</v>
      </c>
      <c r="N221" s="18"/>
      <c r="O221" s="18"/>
      <c r="P221" s="18"/>
      <c r="Q221" s="18"/>
      <c r="R221" s="18">
        <v>3.05</v>
      </c>
      <c r="S221" s="18">
        <v>1</v>
      </c>
      <c r="T221" t="e">
        <f>+COUNTIF('[1]Facade Heat Loss'!$A:$A,A221)</f>
        <v>#VALUE!</v>
      </c>
    </row>
    <row r="222" spans="1:20" x14ac:dyDescent="0.25">
      <c r="A222" s="25" t="s">
        <v>418</v>
      </c>
      <c r="B222" s="18"/>
      <c r="C222" s="18"/>
      <c r="D222" s="18">
        <v>5.9474999999999998</v>
      </c>
      <c r="E222" s="18">
        <v>1</v>
      </c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>
        <v>5.9474999999999998</v>
      </c>
      <c r="S222" s="18">
        <v>1</v>
      </c>
      <c r="T222" t="e">
        <f>+COUNTIF('[1]Facade Heat Loss'!$A:$A,A222)</f>
        <v>#VALUE!</v>
      </c>
    </row>
    <row r="223" spans="1:20" x14ac:dyDescent="0.25">
      <c r="A223" s="25" t="s">
        <v>420</v>
      </c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>
        <v>4.5750000000000002</v>
      </c>
      <c r="M223" s="18">
        <v>1</v>
      </c>
      <c r="N223" s="18"/>
      <c r="O223" s="18"/>
      <c r="P223" s="18"/>
      <c r="Q223" s="18"/>
      <c r="R223" s="18">
        <v>4.5750000000000002</v>
      </c>
      <c r="S223" s="18">
        <v>1</v>
      </c>
      <c r="T223" t="e">
        <f>+COUNTIF('[1]Facade Heat Loss'!$A:$A,A223)</f>
        <v>#VALUE!</v>
      </c>
    </row>
    <row r="224" spans="1:20" x14ac:dyDescent="0.25">
      <c r="A224" s="25" t="s">
        <v>466</v>
      </c>
      <c r="B224" s="18"/>
      <c r="C224" s="18"/>
      <c r="D224" s="18">
        <v>3.05</v>
      </c>
      <c r="E224" s="18">
        <v>1</v>
      </c>
      <c r="F224" s="18"/>
      <c r="G224" s="18"/>
      <c r="H224" s="18"/>
      <c r="I224" s="18"/>
      <c r="J224" s="18"/>
      <c r="K224" s="18"/>
      <c r="L224" s="18">
        <v>4.5750000000000002</v>
      </c>
      <c r="M224" s="18">
        <v>1</v>
      </c>
      <c r="N224" s="18"/>
      <c r="O224" s="18"/>
      <c r="P224" s="18"/>
      <c r="Q224" s="18"/>
      <c r="R224" s="18">
        <v>7.625</v>
      </c>
      <c r="S224" s="18">
        <v>2</v>
      </c>
      <c r="T224" t="e">
        <f>+COUNTIF('[1]Facade Heat Loss'!$A:$A,A224)</f>
        <v>#VALUE!</v>
      </c>
    </row>
    <row r="225" spans="1:20" x14ac:dyDescent="0.25">
      <c r="A225" s="25" t="s">
        <v>432</v>
      </c>
      <c r="B225" s="18"/>
      <c r="C225" s="18"/>
      <c r="D225" s="18">
        <v>8.9212500000000006</v>
      </c>
      <c r="E225" s="18">
        <v>2</v>
      </c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>
        <v>8.9212500000000006</v>
      </c>
      <c r="S225" s="18">
        <v>2</v>
      </c>
      <c r="T225" t="e">
        <f>+COUNTIF('[1]Facade Heat Loss'!$A:$A,A225)</f>
        <v>#VALUE!</v>
      </c>
    </row>
    <row r="226" spans="1:20" x14ac:dyDescent="0.25">
      <c r="A226" s="25" t="s">
        <v>452</v>
      </c>
      <c r="B226" s="18"/>
      <c r="C226" s="18"/>
      <c r="D226" s="18">
        <v>3.05</v>
      </c>
      <c r="E226" s="18">
        <v>1</v>
      </c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>
        <v>3.05</v>
      </c>
      <c r="S226" s="18">
        <v>1</v>
      </c>
      <c r="T226" t="e">
        <f>+COUNTIF('[1]Facade Heat Loss'!$A:$A,A226)</f>
        <v>#VALUE!</v>
      </c>
    </row>
    <row r="227" spans="1:20" x14ac:dyDescent="0.25">
      <c r="A227" s="25" t="s">
        <v>455</v>
      </c>
      <c r="B227" s="18"/>
      <c r="C227" s="18"/>
      <c r="D227" s="18">
        <v>4.5750000000000002</v>
      </c>
      <c r="E227" s="18">
        <v>1</v>
      </c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>
        <v>4.5750000000000002</v>
      </c>
      <c r="S227" s="18">
        <v>1</v>
      </c>
      <c r="T227" t="e">
        <f>+COUNTIF('[1]Facade Heat Loss'!$A:$A,A227)</f>
        <v>#VALUE!</v>
      </c>
    </row>
    <row r="228" spans="1:20" x14ac:dyDescent="0.25">
      <c r="A228" s="25" t="s">
        <v>456</v>
      </c>
      <c r="B228" s="18"/>
      <c r="C228" s="18"/>
      <c r="D228" s="18">
        <v>4.5750000000000002</v>
      </c>
      <c r="E228" s="18">
        <v>1</v>
      </c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>
        <v>4.5750000000000002</v>
      </c>
      <c r="S228" s="18">
        <v>1</v>
      </c>
      <c r="T228" t="e">
        <f>+COUNTIF('[1]Facade Heat Loss'!$A:$A,A228)</f>
        <v>#VALUE!</v>
      </c>
    </row>
    <row r="229" spans="1:20" x14ac:dyDescent="0.25">
      <c r="A229" s="25" t="s">
        <v>457</v>
      </c>
      <c r="B229" s="18"/>
      <c r="C229" s="18"/>
      <c r="D229" s="18">
        <v>3.05</v>
      </c>
      <c r="E229" s="18">
        <v>1</v>
      </c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>
        <v>3.05</v>
      </c>
      <c r="S229" s="18">
        <v>1</v>
      </c>
      <c r="T229" t="e">
        <f>+COUNTIF('[1]Facade Heat Loss'!$A:$A,A229)</f>
        <v>#VALUE!</v>
      </c>
    </row>
    <row r="230" spans="1:20" x14ac:dyDescent="0.25">
      <c r="A230" s="25" t="s">
        <v>458</v>
      </c>
      <c r="B230" s="18"/>
      <c r="C230" s="18"/>
      <c r="D230" s="18">
        <v>3.05</v>
      </c>
      <c r="E230" s="18">
        <v>1</v>
      </c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>
        <v>3.05</v>
      </c>
      <c r="S230" s="18">
        <v>1</v>
      </c>
      <c r="T230" t="e">
        <f>+COUNTIF('[1]Facade Heat Loss'!$A:$A,A230)</f>
        <v>#VALUE!</v>
      </c>
    </row>
    <row r="231" spans="1:20" x14ac:dyDescent="0.25">
      <c r="A231" s="25" t="s">
        <v>459</v>
      </c>
      <c r="B231" s="18"/>
      <c r="C231" s="18"/>
      <c r="D231" s="18">
        <v>5.9474999999999998</v>
      </c>
      <c r="E231" s="18">
        <v>1</v>
      </c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>
        <v>5.9474999999999998</v>
      </c>
      <c r="S231" s="18">
        <v>1</v>
      </c>
      <c r="T231" t="e">
        <f>+COUNTIF('[1]Facade Heat Loss'!$A:$A,A231)</f>
        <v>#VALUE!</v>
      </c>
    </row>
    <row r="232" spans="1:20" x14ac:dyDescent="0.25">
      <c r="A232" s="25" t="s">
        <v>460</v>
      </c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>
        <v>2.9737499999999999</v>
      </c>
      <c r="M232" s="18">
        <v>1</v>
      </c>
      <c r="N232" s="18"/>
      <c r="O232" s="18"/>
      <c r="P232" s="18"/>
      <c r="Q232" s="18"/>
      <c r="R232" s="18">
        <v>2.9737499999999999</v>
      </c>
      <c r="S232" s="18">
        <v>1</v>
      </c>
      <c r="T232" t="e">
        <f>+COUNTIF('[1]Facade Heat Loss'!$A:$A,A232)</f>
        <v>#VALUE!</v>
      </c>
    </row>
    <row r="233" spans="1:20" x14ac:dyDescent="0.25">
      <c r="A233" s="25" t="s">
        <v>454</v>
      </c>
      <c r="B233" s="18"/>
      <c r="C233" s="18"/>
      <c r="D233" s="18">
        <v>3.05</v>
      </c>
      <c r="E233" s="18">
        <v>1</v>
      </c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>
        <v>3.05</v>
      </c>
      <c r="S233" s="18">
        <v>1</v>
      </c>
      <c r="T233" t="e">
        <f>+COUNTIF('[1]Facade Heat Loss'!$A:$A,A233)</f>
        <v>#VALUE!</v>
      </c>
    </row>
    <row r="234" spans="1:20" x14ac:dyDescent="0.25">
      <c r="A234" s="25" t="s">
        <v>451</v>
      </c>
      <c r="B234" s="18"/>
      <c r="C234" s="18"/>
      <c r="D234" s="18">
        <v>4.5750000000000002</v>
      </c>
      <c r="E234" s="18">
        <v>1</v>
      </c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>
        <v>4.5750000000000002</v>
      </c>
      <c r="S234" s="18">
        <v>1</v>
      </c>
      <c r="T234" t="e">
        <f>+COUNTIF('[1]Facade Heat Loss'!$A:$A,A234)</f>
        <v>#VALUE!</v>
      </c>
    </row>
    <row r="235" spans="1:20" x14ac:dyDescent="0.25">
      <c r="A235" s="25" t="s">
        <v>449</v>
      </c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>
        <v>3.05</v>
      </c>
      <c r="M235" s="18">
        <v>1</v>
      </c>
      <c r="N235" s="18"/>
      <c r="O235" s="18"/>
      <c r="P235" s="18"/>
      <c r="Q235" s="18"/>
      <c r="R235" s="18">
        <v>3.05</v>
      </c>
      <c r="S235" s="18">
        <v>1</v>
      </c>
      <c r="T235" t="e">
        <f>+COUNTIF('[1]Facade Heat Loss'!$A:$A,A235)</f>
        <v>#VALUE!</v>
      </c>
    </row>
    <row r="236" spans="1:20" x14ac:dyDescent="0.25">
      <c r="A236" s="25" t="s">
        <v>450</v>
      </c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>
        <v>5.9474999999999998</v>
      </c>
      <c r="M236" s="18">
        <v>1</v>
      </c>
      <c r="N236" s="18"/>
      <c r="O236" s="18"/>
      <c r="P236" s="18"/>
      <c r="Q236" s="18"/>
      <c r="R236" s="18">
        <v>5.9474999999999998</v>
      </c>
      <c r="S236" s="18">
        <v>1</v>
      </c>
      <c r="T236" t="e">
        <f>+COUNTIF('[1]Facade Heat Loss'!$A:$A,A236)</f>
        <v>#VALUE!</v>
      </c>
    </row>
    <row r="237" spans="1:20" x14ac:dyDescent="0.25">
      <c r="A237" s="25" t="s">
        <v>453</v>
      </c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>
        <v>4.5750000000000002</v>
      </c>
      <c r="M237" s="18">
        <v>1</v>
      </c>
      <c r="N237" s="18"/>
      <c r="O237" s="18"/>
      <c r="P237" s="18"/>
      <c r="Q237" s="18"/>
      <c r="R237" s="18">
        <v>4.5750000000000002</v>
      </c>
      <c r="S237" s="18">
        <v>1</v>
      </c>
      <c r="T237" t="e">
        <f>+COUNTIF('[1]Facade Heat Loss'!$A:$A,A237)</f>
        <v>#VALUE!</v>
      </c>
    </row>
    <row r="238" spans="1:20" x14ac:dyDescent="0.25">
      <c r="A238" s="25" t="s">
        <v>434</v>
      </c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>
        <v>7.5487500000000001</v>
      </c>
      <c r="M238" s="18">
        <v>2</v>
      </c>
      <c r="N238" s="18"/>
      <c r="O238" s="18"/>
      <c r="P238" s="18"/>
      <c r="Q238" s="18"/>
      <c r="R238" s="18">
        <v>7.5487500000000001</v>
      </c>
      <c r="S238" s="18">
        <v>2</v>
      </c>
      <c r="T238" t="e">
        <f>+COUNTIF('[1]Facade Heat Loss'!$A:$A,A238)</f>
        <v>#VALUE!</v>
      </c>
    </row>
    <row r="239" spans="1:20" x14ac:dyDescent="0.25">
      <c r="A239" s="25" t="s">
        <v>435</v>
      </c>
      <c r="B239" s="18"/>
      <c r="C239" s="18"/>
      <c r="D239" s="18">
        <v>7.5487500000000001</v>
      </c>
      <c r="E239" s="18">
        <v>2</v>
      </c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>
        <v>7.5487500000000001</v>
      </c>
      <c r="S239" s="18">
        <v>2</v>
      </c>
      <c r="T239" t="e">
        <f>+COUNTIF('[1]Facade Heat Loss'!$A:$A,A239)</f>
        <v>#VALUE!</v>
      </c>
    </row>
    <row r="240" spans="1:20" x14ac:dyDescent="0.25">
      <c r="A240" s="25" t="s">
        <v>437</v>
      </c>
      <c r="B240" s="18"/>
      <c r="C240" s="18"/>
      <c r="D240" s="18"/>
      <c r="E240" s="18"/>
      <c r="F240" s="18"/>
      <c r="G240" s="18"/>
      <c r="H240" s="18">
        <v>10.9725</v>
      </c>
      <c r="I240" s="18">
        <v>1</v>
      </c>
      <c r="J240" s="18"/>
      <c r="K240" s="18"/>
      <c r="L240" s="18">
        <v>5.9474999999999998</v>
      </c>
      <c r="M240" s="18">
        <v>1</v>
      </c>
      <c r="N240" s="18"/>
      <c r="O240" s="18"/>
      <c r="P240" s="18"/>
      <c r="Q240" s="18"/>
      <c r="R240" s="18">
        <v>16.920000000000002</v>
      </c>
      <c r="S240" s="18">
        <v>2</v>
      </c>
      <c r="T240" t="e">
        <f>+COUNTIF('[1]Facade Heat Loss'!$A:$A,A240)</f>
        <v>#VALUE!</v>
      </c>
    </row>
    <row r="241" spans="1:20" x14ac:dyDescent="0.25">
      <c r="A241" s="25" t="s">
        <v>490</v>
      </c>
      <c r="B241" s="18"/>
      <c r="C241" s="18"/>
      <c r="D241" s="18"/>
      <c r="E241" s="18"/>
      <c r="F241" s="18"/>
      <c r="G241" s="18"/>
      <c r="H241" s="18">
        <v>4.5750000000000002</v>
      </c>
      <c r="I241" s="18">
        <v>1</v>
      </c>
      <c r="J241" s="18"/>
      <c r="K241" s="18"/>
      <c r="L241" s="18"/>
      <c r="M241" s="18"/>
      <c r="N241" s="18"/>
      <c r="O241" s="18"/>
      <c r="P241" s="18"/>
      <c r="Q241" s="18"/>
      <c r="R241" s="18">
        <v>4.5750000000000002</v>
      </c>
      <c r="S241" s="18">
        <v>1</v>
      </c>
      <c r="T241" t="e">
        <f>+COUNTIF('[1]Facade Heat Loss'!$A:$A,A241)</f>
        <v>#VALUE!</v>
      </c>
    </row>
    <row r="242" spans="1:20" x14ac:dyDescent="0.25">
      <c r="A242" s="25" t="s">
        <v>492</v>
      </c>
      <c r="B242" s="18"/>
      <c r="C242" s="18"/>
      <c r="D242" s="18"/>
      <c r="E242" s="18"/>
      <c r="F242" s="18"/>
      <c r="G242" s="18"/>
      <c r="H242" s="18">
        <v>2.9737499999999999</v>
      </c>
      <c r="I242" s="18">
        <v>1</v>
      </c>
      <c r="J242" s="18"/>
      <c r="K242" s="18"/>
      <c r="L242" s="18"/>
      <c r="M242" s="18"/>
      <c r="N242" s="18"/>
      <c r="O242" s="18"/>
      <c r="P242" s="18"/>
      <c r="Q242" s="18"/>
      <c r="R242" s="18">
        <v>2.9737499999999999</v>
      </c>
      <c r="S242" s="18">
        <v>1</v>
      </c>
      <c r="T242" t="e">
        <f>+COUNTIF('[1]Facade Heat Loss'!$A:$A,A242)</f>
        <v>#VALUE!</v>
      </c>
    </row>
    <row r="243" spans="1:20" x14ac:dyDescent="0.25">
      <c r="A243" s="25" t="s">
        <v>493</v>
      </c>
      <c r="B243" s="18">
        <v>4.5750000000000002</v>
      </c>
      <c r="C243" s="18">
        <v>1</v>
      </c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>
        <v>4.5750000000000002</v>
      </c>
      <c r="S243" s="18">
        <v>1</v>
      </c>
      <c r="T243" t="e">
        <f>+COUNTIF('[1]Facade Heat Loss'!$A:$A,A243)</f>
        <v>#VALUE!</v>
      </c>
    </row>
    <row r="244" spans="1:20" x14ac:dyDescent="0.25">
      <c r="A244" s="25" t="s">
        <v>494</v>
      </c>
      <c r="B244" s="18">
        <v>5.9474999999999998</v>
      </c>
      <c r="C244" s="18">
        <v>1</v>
      </c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>
        <v>5.9474999999999998</v>
      </c>
      <c r="S244" s="18">
        <v>1</v>
      </c>
      <c r="T244" t="e">
        <f>+COUNTIF('[1]Facade Heat Loss'!$A:$A,A244)</f>
        <v>#VALUE!</v>
      </c>
    </row>
    <row r="245" spans="1:20" x14ac:dyDescent="0.25">
      <c r="A245" s="25" t="s">
        <v>495</v>
      </c>
      <c r="B245" s="18"/>
      <c r="C245" s="18"/>
      <c r="D245" s="18">
        <v>3.05</v>
      </c>
      <c r="E245" s="18">
        <v>1</v>
      </c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>
        <v>3.05</v>
      </c>
      <c r="S245" s="18">
        <v>1</v>
      </c>
      <c r="T245" t="e">
        <f>+COUNTIF('[1]Facade Heat Loss'!$A:$A,A245)</f>
        <v>#VALUE!</v>
      </c>
    </row>
    <row r="246" spans="1:20" x14ac:dyDescent="0.25">
      <c r="A246" s="25" t="s">
        <v>496</v>
      </c>
      <c r="B246" s="18"/>
      <c r="C246" s="18"/>
      <c r="D246" s="18">
        <v>4.5750000000000002</v>
      </c>
      <c r="E246" s="18">
        <v>1</v>
      </c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>
        <v>4.5750000000000002</v>
      </c>
      <c r="S246" s="18">
        <v>1</v>
      </c>
      <c r="T246" t="e">
        <f>+COUNTIF('[1]Facade Heat Loss'!$A:$A,A246)</f>
        <v>#VALUE!</v>
      </c>
    </row>
    <row r="247" spans="1:20" x14ac:dyDescent="0.25">
      <c r="A247" s="25" t="s">
        <v>497</v>
      </c>
      <c r="B247" s="18"/>
      <c r="C247" s="18"/>
      <c r="D247" s="18">
        <v>3.05</v>
      </c>
      <c r="E247" s="18">
        <v>1</v>
      </c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>
        <v>3.05</v>
      </c>
      <c r="S247" s="18">
        <v>1</v>
      </c>
      <c r="T247" t="e">
        <f>+COUNTIF('[1]Facade Heat Loss'!$A:$A,A247)</f>
        <v>#VALUE!</v>
      </c>
    </row>
    <row r="248" spans="1:20" x14ac:dyDescent="0.25">
      <c r="A248" s="25" t="s">
        <v>498</v>
      </c>
      <c r="B248" s="18"/>
      <c r="C248" s="18"/>
      <c r="D248" s="18">
        <v>2.9737499999999999</v>
      </c>
      <c r="E248" s="18">
        <v>1</v>
      </c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>
        <v>2.9737499999999999</v>
      </c>
      <c r="S248" s="18">
        <v>1</v>
      </c>
      <c r="T248" t="e">
        <f>+COUNTIF('[1]Facade Heat Loss'!$A:$A,A248)</f>
        <v>#VALUE!</v>
      </c>
    </row>
    <row r="249" spans="1:20" x14ac:dyDescent="0.25">
      <c r="A249" s="25" t="s">
        <v>499</v>
      </c>
      <c r="B249" s="18"/>
      <c r="C249" s="18"/>
      <c r="D249" s="18">
        <v>4.5750000000000002</v>
      </c>
      <c r="E249" s="18">
        <v>1</v>
      </c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>
        <v>4.5750000000000002</v>
      </c>
      <c r="S249" s="18">
        <v>1</v>
      </c>
      <c r="T249" t="e">
        <f>+COUNTIF('[1]Facade Heat Loss'!$A:$A,A249)</f>
        <v>#VALUE!</v>
      </c>
    </row>
    <row r="250" spans="1:20" x14ac:dyDescent="0.25">
      <c r="A250" s="25" t="s">
        <v>500</v>
      </c>
      <c r="B250" s="18"/>
      <c r="C250" s="18"/>
      <c r="D250" s="18">
        <v>3.05</v>
      </c>
      <c r="E250" s="18">
        <v>1</v>
      </c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>
        <v>3.05</v>
      </c>
      <c r="S250" s="18">
        <v>1</v>
      </c>
      <c r="T250" t="e">
        <f>+COUNTIF('[1]Facade Heat Loss'!$A:$A,A250)</f>
        <v>#VALUE!</v>
      </c>
    </row>
    <row r="251" spans="1:20" x14ac:dyDescent="0.25">
      <c r="A251" s="25" t="s">
        <v>502</v>
      </c>
      <c r="B251" s="18"/>
      <c r="C251" s="18"/>
      <c r="D251" s="18">
        <v>5.9474999999999998</v>
      </c>
      <c r="E251" s="18">
        <v>1</v>
      </c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>
        <v>5.9474999999999998</v>
      </c>
      <c r="S251" s="18">
        <v>1</v>
      </c>
      <c r="T251" t="e">
        <f>+COUNTIF('[1]Facade Heat Loss'!$A:$A,A251)</f>
        <v>#VALUE!</v>
      </c>
    </row>
    <row r="252" spans="1:20" x14ac:dyDescent="0.25">
      <c r="A252" s="25" t="s">
        <v>503</v>
      </c>
      <c r="B252" s="18"/>
      <c r="C252" s="18"/>
      <c r="D252" s="18">
        <v>4.5750000000000002</v>
      </c>
      <c r="E252" s="18">
        <v>1</v>
      </c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>
        <v>4.5750000000000002</v>
      </c>
      <c r="S252" s="18">
        <v>1</v>
      </c>
      <c r="T252" t="e">
        <f>+COUNTIF('[1]Facade Heat Loss'!$A:$A,A252)</f>
        <v>#VALUE!</v>
      </c>
    </row>
    <row r="253" spans="1:20" x14ac:dyDescent="0.25">
      <c r="A253" s="25" t="s">
        <v>491</v>
      </c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>
        <v>4.5750000000000002</v>
      </c>
      <c r="M253" s="18">
        <v>1</v>
      </c>
      <c r="N253" s="18"/>
      <c r="O253" s="18"/>
      <c r="P253" s="18"/>
      <c r="Q253" s="18"/>
      <c r="R253" s="18">
        <v>4.5750000000000002</v>
      </c>
      <c r="S253" s="18">
        <v>1</v>
      </c>
      <c r="T253" t="e">
        <f>+COUNTIF('[1]Facade Heat Loss'!$A:$A,A253)</f>
        <v>#VALUE!</v>
      </c>
    </row>
    <row r="254" spans="1:20" x14ac:dyDescent="0.25">
      <c r="A254" s="25" t="s">
        <v>159</v>
      </c>
      <c r="B254" s="18"/>
      <c r="C254" s="18"/>
      <c r="D254" s="18">
        <v>0</v>
      </c>
      <c r="E254" s="18">
        <v>3</v>
      </c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>
        <v>0</v>
      </c>
      <c r="S254" s="18">
        <v>3</v>
      </c>
      <c r="T254" t="e">
        <f>+COUNTIF('[1]Facade Heat Loss'!$A:$A,A254)</f>
        <v>#VALUE!</v>
      </c>
    </row>
    <row r="255" spans="1:20" x14ac:dyDescent="0.25">
      <c r="A255" s="25" t="s">
        <v>162</v>
      </c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>
        <v>5.9474999999999998</v>
      </c>
      <c r="M255" s="18">
        <v>1</v>
      </c>
      <c r="N255" s="18"/>
      <c r="O255" s="18"/>
      <c r="P255" s="18"/>
      <c r="Q255" s="18"/>
      <c r="R255" s="18">
        <v>5.9474999999999998</v>
      </c>
      <c r="S255" s="18">
        <v>1</v>
      </c>
      <c r="T255" t="e">
        <f>+COUNTIF('[1]Facade Heat Loss'!$A:$A,A255)</f>
        <v>#VALUE!</v>
      </c>
    </row>
    <row r="256" spans="1:20" x14ac:dyDescent="0.25">
      <c r="A256" s="25" t="s">
        <v>147</v>
      </c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>
        <v>8.0850000000000009</v>
      </c>
      <c r="M256" s="18">
        <v>2</v>
      </c>
      <c r="N256" s="18"/>
      <c r="O256" s="18"/>
      <c r="P256" s="18"/>
      <c r="Q256" s="18"/>
      <c r="R256" s="18">
        <v>8.0850000000000009</v>
      </c>
      <c r="S256" s="18">
        <v>2</v>
      </c>
      <c r="T256" t="e">
        <f>+COUNTIF('[1]Facade Heat Loss'!$A:$A,A256)</f>
        <v>#VALUE!</v>
      </c>
    </row>
    <row r="257" spans="1:20" x14ac:dyDescent="0.25">
      <c r="A257" s="25" t="s">
        <v>156</v>
      </c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>
        <v>7.625</v>
      </c>
      <c r="M257" s="18">
        <v>2</v>
      </c>
      <c r="N257" s="18"/>
      <c r="O257" s="18"/>
      <c r="P257" s="18"/>
      <c r="Q257" s="18"/>
      <c r="R257" s="18">
        <v>7.625</v>
      </c>
      <c r="S257" s="18">
        <v>2</v>
      </c>
      <c r="T257" t="e">
        <f>+COUNTIF('[1]Facade Heat Loss'!$A:$A,A257)</f>
        <v>#VALUE!</v>
      </c>
    </row>
    <row r="258" spans="1:20" x14ac:dyDescent="0.25">
      <c r="A258" s="25" t="s">
        <v>113</v>
      </c>
      <c r="B258" s="18">
        <v>6.7275000000000009</v>
      </c>
      <c r="C258" s="18">
        <v>2</v>
      </c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>
        <v>6.7275000000000009</v>
      </c>
      <c r="S258" s="18">
        <v>2</v>
      </c>
      <c r="T258" t="e">
        <f>+COUNTIF('[1]Facade Heat Loss'!$A:$A,A258)</f>
        <v>#VALUE!</v>
      </c>
    </row>
    <row r="259" spans="1:20" x14ac:dyDescent="0.25">
      <c r="A259" s="25" t="s">
        <v>114</v>
      </c>
      <c r="B259" s="18">
        <v>2.2425000000000002</v>
      </c>
      <c r="C259" s="18">
        <v>1</v>
      </c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>
        <v>2.2425000000000002</v>
      </c>
      <c r="S259" s="18">
        <v>1</v>
      </c>
      <c r="T259" t="e">
        <f>+COUNTIF('[1]Facade Heat Loss'!$A:$A,A259)</f>
        <v>#VALUE!</v>
      </c>
    </row>
    <row r="260" spans="1:20" x14ac:dyDescent="0.25">
      <c r="A260" s="25" t="s">
        <v>116</v>
      </c>
      <c r="B260" s="18">
        <v>8.9700000000000006</v>
      </c>
      <c r="C260" s="18">
        <v>3</v>
      </c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>
        <v>8.9700000000000006</v>
      </c>
      <c r="S260" s="18">
        <v>3</v>
      </c>
      <c r="T260" t="e">
        <f>+COUNTIF('[1]Facade Heat Loss'!$A:$A,A260)</f>
        <v>#VALUE!</v>
      </c>
    </row>
    <row r="261" spans="1:20" x14ac:dyDescent="0.25">
      <c r="A261" s="25" t="s">
        <v>119</v>
      </c>
      <c r="B261" s="18">
        <v>4.4850000000000003</v>
      </c>
      <c r="C261" s="18">
        <v>1</v>
      </c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>
        <v>4.4850000000000003</v>
      </c>
      <c r="S261" s="18">
        <v>1</v>
      </c>
      <c r="T261" t="e">
        <f>+COUNTIF('[1]Facade Heat Loss'!$A:$A,A261)</f>
        <v>#VALUE!</v>
      </c>
    </row>
    <row r="262" spans="1:20" x14ac:dyDescent="0.25">
      <c r="A262" s="25" t="s">
        <v>118</v>
      </c>
      <c r="B262" s="18">
        <v>4.4850000000000003</v>
      </c>
      <c r="C262" s="18">
        <v>1</v>
      </c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>
        <v>4.4850000000000003</v>
      </c>
      <c r="S262" s="18">
        <v>1</v>
      </c>
      <c r="T262" t="e">
        <f>+COUNTIF('[1]Facade Heat Loss'!$A:$A,A262)</f>
        <v>#VALUE!</v>
      </c>
    </row>
    <row r="263" spans="1:20" x14ac:dyDescent="0.25">
      <c r="A263" s="25" t="s">
        <v>120</v>
      </c>
      <c r="B263" s="18">
        <v>8.9700000000000006</v>
      </c>
      <c r="C263" s="18">
        <v>3</v>
      </c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>
        <v>8.9700000000000006</v>
      </c>
      <c r="S263" s="18">
        <v>3</v>
      </c>
      <c r="T263" t="e">
        <f>+COUNTIF('[1]Facade Heat Loss'!$A:$A,A263)</f>
        <v>#VALUE!</v>
      </c>
    </row>
    <row r="264" spans="1:20" x14ac:dyDescent="0.25">
      <c r="A264" s="25" t="s">
        <v>121</v>
      </c>
      <c r="B264" s="18">
        <v>4.4850000000000003</v>
      </c>
      <c r="C264" s="18">
        <v>1</v>
      </c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>
        <v>4.4850000000000003</v>
      </c>
      <c r="S264" s="18">
        <v>1</v>
      </c>
      <c r="T264" t="e">
        <f>+COUNTIF('[1]Facade Heat Loss'!$A:$A,A264)</f>
        <v>#VALUE!</v>
      </c>
    </row>
    <row r="265" spans="1:20" x14ac:dyDescent="0.25">
      <c r="A265" s="25" t="s">
        <v>122</v>
      </c>
      <c r="B265" s="18">
        <v>6.7275000000000009</v>
      </c>
      <c r="C265" s="18">
        <v>2</v>
      </c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>
        <v>6.7275000000000009</v>
      </c>
      <c r="S265" s="18">
        <v>2</v>
      </c>
      <c r="T265" t="e">
        <f>+COUNTIF('[1]Facade Heat Loss'!$A:$A,A265)</f>
        <v>#VALUE!</v>
      </c>
    </row>
    <row r="266" spans="1:20" x14ac:dyDescent="0.25">
      <c r="A266" s="25" t="s">
        <v>123</v>
      </c>
      <c r="B266" s="18">
        <v>4.4850000000000003</v>
      </c>
      <c r="C266" s="18">
        <v>1</v>
      </c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>
        <v>4.4850000000000003</v>
      </c>
      <c r="S266" s="18">
        <v>1</v>
      </c>
      <c r="T266" t="e">
        <f>+COUNTIF('[1]Facade Heat Loss'!$A:$A,A266)</f>
        <v>#VALUE!</v>
      </c>
    </row>
    <row r="267" spans="1:20" x14ac:dyDescent="0.25">
      <c r="A267" s="25" t="s">
        <v>154</v>
      </c>
      <c r="B267" s="18"/>
      <c r="C267" s="18"/>
      <c r="D267" s="18"/>
      <c r="E267" s="18"/>
      <c r="F267" s="18"/>
      <c r="G267" s="18"/>
      <c r="H267" s="18">
        <v>15.86</v>
      </c>
      <c r="I267" s="18">
        <v>6</v>
      </c>
      <c r="J267" s="18"/>
      <c r="K267" s="18"/>
      <c r="L267" s="18"/>
      <c r="M267" s="18"/>
      <c r="N267" s="18"/>
      <c r="O267" s="18"/>
      <c r="P267" s="18"/>
      <c r="Q267" s="18"/>
      <c r="R267" s="18">
        <v>15.86</v>
      </c>
      <c r="S267" s="18">
        <v>6</v>
      </c>
      <c r="T267" t="e">
        <f>+COUNTIF('[1]Facade Heat Loss'!$A:$A,A267)</f>
        <v>#VALUE!</v>
      </c>
    </row>
    <row r="268" spans="1:20" x14ac:dyDescent="0.25">
      <c r="A268" s="25" t="s">
        <v>46</v>
      </c>
      <c r="B268" s="18"/>
      <c r="C268" s="18"/>
      <c r="D268" s="18">
        <v>0</v>
      </c>
      <c r="E268" s="18">
        <v>3</v>
      </c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>
        <v>0</v>
      </c>
      <c r="S268" s="18">
        <v>3</v>
      </c>
      <c r="T268" t="e">
        <f>+COUNTIF('[1]Facade Heat Loss'!$A:$A,A268)</f>
        <v>#VALUE!</v>
      </c>
    </row>
    <row r="269" spans="1:20" x14ac:dyDescent="0.25">
      <c r="A269" s="25" t="s">
        <v>55</v>
      </c>
      <c r="B269" s="18">
        <v>2.2425000000000002</v>
      </c>
      <c r="C269" s="18">
        <v>1</v>
      </c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>
        <v>2.2425000000000002</v>
      </c>
      <c r="S269" s="18">
        <v>1</v>
      </c>
      <c r="T269" t="e">
        <f>+COUNTIF('[1]Facade Heat Loss'!$A:$A,A269)</f>
        <v>#VALUE!</v>
      </c>
    </row>
    <row r="270" spans="1:20" x14ac:dyDescent="0.25">
      <c r="A270" s="25" t="s">
        <v>48</v>
      </c>
      <c r="B270" s="18"/>
      <c r="C270" s="18"/>
      <c r="D270" s="18" t="e">
        <v>#N/A</v>
      </c>
      <c r="E270" s="18">
        <v>1</v>
      </c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 t="e">
        <v>#N/A</v>
      </c>
      <c r="S270" s="18" t="e">
        <v>#N/A</v>
      </c>
      <c r="T270" t="e">
        <f>+COUNTIF('[1]Facade Heat Loss'!$A:$A,A270)</f>
        <v>#VALUE!</v>
      </c>
    </row>
    <row r="271" spans="1:20" x14ac:dyDescent="0.25">
      <c r="A271" s="25" t="s">
        <v>50</v>
      </c>
      <c r="B271" s="18"/>
      <c r="C271" s="18"/>
      <c r="D271" s="18" t="e">
        <v>#N/A</v>
      </c>
      <c r="E271" s="18">
        <v>1</v>
      </c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 t="e">
        <v>#N/A</v>
      </c>
      <c r="S271" s="18" t="e">
        <v>#N/A</v>
      </c>
      <c r="T271" t="e">
        <f>+COUNTIF('[1]Facade Heat Loss'!$A:$A,A271)</f>
        <v>#VALUE!</v>
      </c>
    </row>
    <row r="272" spans="1:20" x14ac:dyDescent="0.25">
      <c r="A272" s="25" t="s">
        <v>51</v>
      </c>
      <c r="B272" s="18"/>
      <c r="C272" s="18"/>
      <c r="D272" s="18" t="e">
        <v>#N/A</v>
      </c>
      <c r="E272" s="18">
        <v>1</v>
      </c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 t="e">
        <v>#N/A</v>
      </c>
      <c r="S272" s="18" t="e">
        <v>#N/A</v>
      </c>
      <c r="T272" t="e">
        <f>+COUNTIF('[1]Facade Heat Loss'!$A:$A,A272)</f>
        <v>#VALUE!</v>
      </c>
    </row>
    <row r="273" spans="1:20" x14ac:dyDescent="0.25">
      <c r="A273" s="25" t="s">
        <v>52</v>
      </c>
      <c r="B273" s="18">
        <v>4.4850000000000003</v>
      </c>
      <c r="C273" s="18">
        <v>1</v>
      </c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>
        <v>4.4850000000000003</v>
      </c>
      <c r="S273" s="18">
        <v>1</v>
      </c>
      <c r="T273" t="e">
        <f>+COUNTIF('[1]Facade Heat Loss'!$A:$A,A273)</f>
        <v>#VALUE!</v>
      </c>
    </row>
    <row r="274" spans="1:20" x14ac:dyDescent="0.25">
      <c r="A274" s="25" t="s">
        <v>124</v>
      </c>
      <c r="B274" s="18">
        <v>2.2425000000000002</v>
      </c>
      <c r="C274" s="18">
        <v>1</v>
      </c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>
        <v>2.2425000000000002</v>
      </c>
      <c r="S274" s="18">
        <v>1</v>
      </c>
      <c r="T274" t="e">
        <f>+COUNTIF('[1]Facade Heat Loss'!$A:$A,A274)</f>
        <v>#VALUE!</v>
      </c>
    </row>
    <row r="275" spans="1:20" x14ac:dyDescent="0.25">
      <c r="A275" s="25" t="s">
        <v>127</v>
      </c>
      <c r="B275" s="18">
        <v>2.2425000000000002</v>
      </c>
      <c r="C275" s="18">
        <v>1</v>
      </c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>
        <v>2.2425000000000002</v>
      </c>
      <c r="S275" s="18">
        <v>1</v>
      </c>
      <c r="T275" t="e">
        <f>+COUNTIF('[1]Facade Heat Loss'!$A:$A,A275)</f>
        <v>#VALUE!</v>
      </c>
    </row>
    <row r="276" spans="1:20" x14ac:dyDescent="0.25">
      <c r="A276" s="25" t="s">
        <v>128</v>
      </c>
      <c r="B276" s="18">
        <v>4.4850000000000003</v>
      </c>
      <c r="C276" s="18">
        <v>1</v>
      </c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>
        <v>4.4850000000000003</v>
      </c>
      <c r="S276" s="18">
        <v>1</v>
      </c>
      <c r="T276" t="e">
        <f>+COUNTIF('[1]Facade Heat Loss'!$A:$A,A276)</f>
        <v>#VALUE!</v>
      </c>
    </row>
    <row r="277" spans="1:20" x14ac:dyDescent="0.25">
      <c r="A277" s="25" t="s">
        <v>129</v>
      </c>
      <c r="B277" s="18">
        <v>2.2425000000000002</v>
      </c>
      <c r="C277" s="18">
        <v>1</v>
      </c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>
        <v>2.2425000000000002</v>
      </c>
      <c r="S277" s="18">
        <v>1</v>
      </c>
      <c r="T277" t="e">
        <f>+COUNTIF('[1]Facade Heat Loss'!$A:$A,A277)</f>
        <v>#VALUE!</v>
      </c>
    </row>
    <row r="278" spans="1:20" x14ac:dyDescent="0.25">
      <c r="A278" s="25" t="s">
        <v>131</v>
      </c>
      <c r="B278" s="18">
        <v>5.8305000000000007</v>
      </c>
      <c r="C278" s="18">
        <v>2</v>
      </c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>
        <v>5.8305000000000007</v>
      </c>
      <c r="S278" s="18">
        <v>2</v>
      </c>
      <c r="T278" t="e">
        <f>+COUNTIF('[1]Facade Heat Loss'!$A:$A,A278)</f>
        <v>#VALUE!</v>
      </c>
    </row>
    <row r="279" spans="1:20" x14ac:dyDescent="0.25">
      <c r="A279" s="25" t="s">
        <v>125</v>
      </c>
      <c r="B279" s="18">
        <v>3.5880000000000001</v>
      </c>
      <c r="C279" s="18">
        <v>1</v>
      </c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>
        <v>3.5880000000000001</v>
      </c>
      <c r="S279" s="18">
        <v>1</v>
      </c>
      <c r="T279" t="e">
        <f>+COUNTIF('[1]Facade Heat Loss'!$A:$A,A279)</f>
        <v>#VALUE!</v>
      </c>
    </row>
    <row r="280" spans="1:20" x14ac:dyDescent="0.25">
      <c r="A280" s="25" t="s">
        <v>130</v>
      </c>
      <c r="B280" s="18">
        <v>2.2425000000000002</v>
      </c>
      <c r="C280" s="18">
        <v>1</v>
      </c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>
        <v>2.2425000000000002</v>
      </c>
      <c r="S280" s="18">
        <v>1</v>
      </c>
      <c r="T280" t="e">
        <f>+COUNTIF('[1]Facade Heat Loss'!$A:$A,A280)</f>
        <v>#VALUE!</v>
      </c>
    </row>
    <row r="281" spans="1:20" x14ac:dyDescent="0.25">
      <c r="A281" s="25" t="s">
        <v>140</v>
      </c>
      <c r="B281" s="18">
        <v>8.9700000000000006</v>
      </c>
      <c r="C281" s="18">
        <v>2</v>
      </c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>
        <v>8.9700000000000006</v>
      </c>
      <c r="S281" s="18">
        <v>2</v>
      </c>
      <c r="T281" t="e">
        <f>+COUNTIF('[1]Facade Heat Loss'!$A:$A,A281)</f>
        <v>#VALUE!</v>
      </c>
    </row>
    <row r="282" spans="1:20" x14ac:dyDescent="0.25">
      <c r="A282" s="25" t="s">
        <v>139</v>
      </c>
      <c r="B282" s="18">
        <v>2.2425000000000002</v>
      </c>
      <c r="C282" s="18">
        <v>1</v>
      </c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>
        <v>2.2425000000000002</v>
      </c>
      <c r="S282" s="18">
        <v>1</v>
      </c>
      <c r="T282" t="e">
        <f>+COUNTIF('[1]Facade Heat Loss'!$A:$A,A282)</f>
        <v>#VALUE!</v>
      </c>
    </row>
    <row r="283" spans="1:20" x14ac:dyDescent="0.25">
      <c r="A283" s="25" t="s">
        <v>137</v>
      </c>
      <c r="B283" s="18">
        <v>4.4850000000000003</v>
      </c>
      <c r="C283" s="18">
        <v>2</v>
      </c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>
        <v>4.4850000000000003</v>
      </c>
      <c r="S283" s="18">
        <v>2</v>
      </c>
      <c r="T283" t="e">
        <f>+COUNTIF('[1]Facade Heat Loss'!$A:$A,A283)</f>
        <v>#VALUE!</v>
      </c>
    </row>
    <row r="284" spans="1:20" x14ac:dyDescent="0.25">
      <c r="A284" s="25" t="s">
        <v>138</v>
      </c>
      <c r="B284" s="18">
        <v>4.4850000000000003</v>
      </c>
      <c r="C284" s="18">
        <v>2</v>
      </c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>
        <v>4.4850000000000003</v>
      </c>
      <c r="S284" s="18">
        <v>2</v>
      </c>
      <c r="T284" t="e">
        <f>+COUNTIF('[1]Facade Heat Loss'!$A:$A,A284)</f>
        <v>#VALUE!</v>
      </c>
    </row>
    <row r="285" spans="1:20" x14ac:dyDescent="0.25">
      <c r="A285" s="25" t="s">
        <v>160</v>
      </c>
      <c r="B285" s="18">
        <v>4.4850000000000003</v>
      </c>
      <c r="C285" s="18">
        <v>1</v>
      </c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>
        <v>4.4850000000000003</v>
      </c>
      <c r="S285" s="18">
        <v>1</v>
      </c>
      <c r="T285" t="e">
        <f>+COUNTIF('[1]Facade Heat Loss'!$A:$A,A285)</f>
        <v>#VALUE!</v>
      </c>
    </row>
    <row r="286" spans="1:20" x14ac:dyDescent="0.25">
      <c r="A286" s="25" t="s">
        <v>169</v>
      </c>
      <c r="B286" s="18"/>
      <c r="C286" s="18"/>
      <c r="D286" s="18">
        <v>4.5749999999999993</v>
      </c>
      <c r="E286" s="18">
        <v>1</v>
      </c>
      <c r="F286" s="18"/>
      <c r="G286" s="18"/>
      <c r="H286" s="18">
        <v>15.86</v>
      </c>
      <c r="I286" s="18">
        <v>6</v>
      </c>
      <c r="J286" s="18"/>
      <c r="K286" s="18"/>
      <c r="L286" s="18">
        <v>9.9124999999999996</v>
      </c>
      <c r="M286" s="18">
        <v>3</v>
      </c>
      <c r="N286" s="18"/>
      <c r="O286" s="18"/>
      <c r="P286" s="18"/>
      <c r="Q286" s="18"/>
      <c r="R286" s="18">
        <v>30.347500000000004</v>
      </c>
      <c r="S286" s="18">
        <v>10</v>
      </c>
      <c r="T286" t="e">
        <f>+COUNTIF('[1]Facade Heat Loss'!$A:$A,A286)</f>
        <v>#VALUE!</v>
      </c>
    </row>
    <row r="287" spans="1:20" x14ac:dyDescent="0.25">
      <c r="A287" s="25" t="s">
        <v>155</v>
      </c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>
        <v>9.9124999999999996</v>
      </c>
      <c r="M287" s="18">
        <v>3</v>
      </c>
      <c r="N287" s="18"/>
      <c r="O287" s="18"/>
      <c r="P287" s="18"/>
      <c r="Q287" s="18"/>
      <c r="R287" s="18">
        <v>9.9124999999999996</v>
      </c>
      <c r="S287" s="18">
        <v>3</v>
      </c>
      <c r="T287" t="e">
        <f>+COUNTIF('[1]Facade Heat Loss'!$A:$A,A287)</f>
        <v>#VALUE!</v>
      </c>
    </row>
    <row r="288" spans="1:20" x14ac:dyDescent="0.25">
      <c r="A288" s="25" t="s">
        <v>44</v>
      </c>
      <c r="B288" s="18"/>
      <c r="C288" s="18"/>
      <c r="D288" s="18">
        <v>6.1</v>
      </c>
      <c r="E288" s="18">
        <v>2</v>
      </c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>
        <v>6.1</v>
      </c>
      <c r="S288" s="18">
        <v>2</v>
      </c>
      <c r="T288" t="e">
        <f>+COUNTIF('[1]Facade Heat Loss'!$A:$A,A288)</f>
        <v>#VALUE!</v>
      </c>
    </row>
    <row r="289" spans="1:20" x14ac:dyDescent="0.25">
      <c r="A289" s="25" t="s">
        <v>141</v>
      </c>
      <c r="B289" s="18"/>
      <c r="C289" s="18"/>
      <c r="D289" s="18">
        <v>5.9474999999999998</v>
      </c>
      <c r="E289" s="18">
        <v>1</v>
      </c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>
        <v>5.9474999999999998</v>
      </c>
      <c r="S289" s="18">
        <v>1</v>
      </c>
      <c r="T289" t="e">
        <f>+COUNTIF('[1]Facade Heat Loss'!$A:$A,A289)</f>
        <v>#VALUE!</v>
      </c>
    </row>
    <row r="290" spans="1:20" x14ac:dyDescent="0.25">
      <c r="A290" s="25" t="s">
        <v>142</v>
      </c>
      <c r="B290" s="18"/>
      <c r="C290" s="18"/>
      <c r="D290" s="18">
        <v>8.0599999999999987</v>
      </c>
      <c r="E290" s="18">
        <v>3</v>
      </c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>
        <v>8.0599999999999987</v>
      </c>
      <c r="S290" s="18">
        <v>3</v>
      </c>
      <c r="T290" t="e">
        <f>+COUNTIF('[1]Facade Heat Loss'!$A:$A,A290)</f>
        <v>#VALUE!</v>
      </c>
    </row>
    <row r="291" spans="1:20" x14ac:dyDescent="0.25">
      <c r="A291" s="25" t="s">
        <v>39</v>
      </c>
      <c r="B291" s="18"/>
      <c r="C291" s="18"/>
      <c r="D291" s="18">
        <v>4.55</v>
      </c>
      <c r="E291" s="18">
        <v>2</v>
      </c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>
        <v>4.55</v>
      </c>
      <c r="S291" s="18">
        <v>2</v>
      </c>
      <c r="T291" t="e">
        <f>+COUNTIF('[1]Facade Heat Loss'!$A:$A,A291)</f>
        <v>#VALUE!</v>
      </c>
    </row>
    <row r="292" spans="1:20" x14ac:dyDescent="0.25">
      <c r="A292" s="25" t="s">
        <v>41</v>
      </c>
      <c r="B292" s="18"/>
      <c r="C292" s="18"/>
      <c r="D292" s="18"/>
      <c r="E292" s="18"/>
      <c r="F292" s="18"/>
      <c r="G292" s="18"/>
      <c r="H292" s="18">
        <v>18.3</v>
      </c>
      <c r="I292" s="18">
        <v>4</v>
      </c>
      <c r="J292" s="18"/>
      <c r="K292" s="18"/>
      <c r="L292" s="18">
        <v>4.5750000000000002</v>
      </c>
      <c r="M292" s="18">
        <v>1</v>
      </c>
      <c r="N292" s="18"/>
      <c r="O292" s="18"/>
      <c r="P292" s="18"/>
      <c r="Q292" s="18"/>
      <c r="R292" s="18">
        <v>22.875</v>
      </c>
      <c r="S292" s="18">
        <v>5</v>
      </c>
      <c r="T292" t="e">
        <f>+COUNTIF('[1]Facade Heat Loss'!$A:$A,A292)</f>
        <v>#VALUE!</v>
      </c>
    </row>
    <row r="293" spans="1:20" x14ac:dyDescent="0.25">
      <c r="A293" s="25" t="s">
        <v>45</v>
      </c>
      <c r="B293" s="18"/>
      <c r="C293" s="18"/>
      <c r="D293" s="18">
        <v>1.5</v>
      </c>
      <c r="E293" s="18">
        <v>1</v>
      </c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>
        <v>1.5</v>
      </c>
      <c r="S293" s="18">
        <v>1</v>
      </c>
      <c r="T293" t="e">
        <f>+COUNTIF('[1]Facade Heat Loss'!$A:$A,A293)</f>
        <v>#VALUE!</v>
      </c>
    </row>
    <row r="294" spans="1:20" x14ac:dyDescent="0.25">
      <c r="A294" s="25" t="s">
        <v>143</v>
      </c>
      <c r="B294" s="18"/>
      <c r="C294" s="18"/>
      <c r="D294" s="18">
        <v>3.05</v>
      </c>
      <c r="E294" s="18">
        <v>1</v>
      </c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>
        <v>3.05</v>
      </c>
      <c r="S294" s="18">
        <v>1</v>
      </c>
      <c r="T294" t="e">
        <f>+COUNTIF('[1]Facade Heat Loss'!$A:$A,A294)</f>
        <v>#VALUE!</v>
      </c>
    </row>
    <row r="295" spans="1:20" x14ac:dyDescent="0.25">
      <c r="A295" s="25" t="s">
        <v>149</v>
      </c>
      <c r="B295" s="18"/>
      <c r="C295" s="18"/>
      <c r="D295" s="18">
        <v>3.05</v>
      </c>
      <c r="E295" s="18">
        <v>1</v>
      </c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>
        <v>3.05</v>
      </c>
      <c r="S295" s="18">
        <v>1</v>
      </c>
      <c r="T295" t="e">
        <f>+COUNTIF('[1]Facade Heat Loss'!$A:$A,A295)</f>
        <v>#VALUE!</v>
      </c>
    </row>
    <row r="296" spans="1:20" x14ac:dyDescent="0.25">
      <c r="A296" s="25" t="s">
        <v>40</v>
      </c>
      <c r="B296" s="18"/>
      <c r="C296" s="18"/>
      <c r="D296" s="18">
        <v>4.5750000000000002</v>
      </c>
      <c r="E296" s="18">
        <v>1</v>
      </c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>
        <v>4.5750000000000002</v>
      </c>
      <c r="S296" s="18">
        <v>1</v>
      </c>
      <c r="T296" t="e">
        <f>+COUNTIF('[1]Facade Heat Loss'!$A:$A,A296)</f>
        <v>#VALUE!</v>
      </c>
    </row>
    <row r="297" spans="1:20" x14ac:dyDescent="0.25">
      <c r="A297" s="25" t="s">
        <v>148</v>
      </c>
      <c r="B297" s="18">
        <v>29.1525</v>
      </c>
      <c r="C297" s="18">
        <v>10</v>
      </c>
      <c r="D297" s="18"/>
      <c r="E297" s="18"/>
      <c r="F297" s="18"/>
      <c r="G297" s="18"/>
      <c r="H297" s="18"/>
      <c r="I297" s="18"/>
      <c r="J297" s="18"/>
      <c r="K297" s="18"/>
      <c r="L297" s="18">
        <v>5.9474999999999998</v>
      </c>
      <c r="M297" s="18">
        <v>1</v>
      </c>
      <c r="N297" s="18"/>
      <c r="O297" s="18"/>
      <c r="P297" s="18"/>
      <c r="Q297" s="18"/>
      <c r="R297" s="18">
        <v>35.1</v>
      </c>
      <c r="S297" s="18">
        <v>11</v>
      </c>
      <c r="T297" t="e">
        <f>+COUNTIF('[1]Facade Heat Loss'!$A:$A,A297)</f>
        <v>#VALUE!</v>
      </c>
    </row>
    <row r="298" spans="1:20" x14ac:dyDescent="0.25">
      <c r="A298" s="25" t="s">
        <v>37</v>
      </c>
      <c r="B298" s="18"/>
      <c r="C298" s="18"/>
      <c r="D298" s="18">
        <v>5.9474999999999998</v>
      </c>
      <c r="E298" s="18">
        <v>1</v>
      </c>
      <c r="F298" s="18"/>
      <c r="G298" s="18"/>
      <c r="H298" s="18">
        <v>18.3</v>
      </c>
      <c r="I298" s="18">
        <v>4</v>
      </c>
      <c r="J298" s="18"/>
      <c r="K298" s="18"/>
      <c r="L298" s="18">
        <v>7.625</v>
      </c>
      <c r="M298" s="18">
        <v>2</v>
      </c>
      <c r="N298" s="18"/>
      <c r="O298" s="18"/>
      <c r="P298" s="18"/>
      <c r="Q298" s="18"/>
      <c r="R298" s="18">
        <v>31.872499999999999</v>
      </c>
      <c r="S298" s="18">
        <v>7</v>
      </c>
      <c r="T298" t="e">
        <f>+COUNTIF('[1]Facade Heat Loss'!$A:$A,A298)</f>
        <v>#VALUE!</v>
      </c>
    </row>
    <row r="299" spans="1:20" x14ac:dyDescent="0.25">
      <c r="A299" s="25" t="s">
        <v>60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>
        <v>4.55</v>
      </c>
      <c r="M299" s="18">
        <v>2</v>
      </c>
      <c r="N299" s="18"/>
      <c r="O299" s="18"/>
      <c r="P299" s="18"/>
      <c r="Q299" s="18"/>
      <c r="R299" s="18">
        <v>4.55</v>
      </c>
      <c r="S299" s="18">
        <v>2</v>
      </c>
      <c r="T299" t="e">
        <f>+COUNTIF('[1]Facade Heat Loss'!$A:$A,A299)</f>
        <v>#VALUE!</v>
      </c>
    </row>
    <row r="300" spans="1:20" x14ac:dyDescent="0.25">
      <c r="A300" s="25" t="s">
        <v>91</v>
      </c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>
        <v>5.9474999999999998</v>
      </c>
      <c r="M300" s="18">
        <v>1</v>
      </c>
      <c r="N300" s="18"/>
      <c r="O300" s="18"/>
      <c r="P300" s="18"/>
      <c r="Q300" s="18"/>
      <c r="R300" s="18">
        <v>5.9474999999999998</v>
      </c>
      <c r="S300" s="18">
        <v>1</v>
      </c>
      <c r="T300" t="e">
        <f>+COUNTIF('[1]Facade Heat Loss'!$A:$A,A300)</f>
        <v>#VALUE!</v>
      </c>
    </row>
    <row r="301" spans="1:20" x14ac:dyDescent="0.25">
      <c r="A301" s="25" t="s">
        <v>56</v>
      </c>
      <c r="B301" s="18"/>
      <c r="C301" s="18"/>
      <c r="D301" s="18">
        <v>2.9737499999999999</v>
      </c>
      <c r="E301" s="18">
        <v>1</v>
      </c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>
        <v>2.9737499999999999</v>
      </c>
      <c r="S301" s="18">
        <v>1</v>
      </c>
      <c r="T301" t="e">
        <f>+COUNTIF('[1]Facade Heat Loss'!$A:$A,A301)</f>
        <v>#VALUE!</v>
      </c>
    </row>
    <row r="302" spans="1:20" x14ac:dyDescent="0.25">
      <c r="A302" s="25" t="s">
        <v>57</v>
      </c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>
        <v>2.9737499999999999</v>
      </c>
      <c r="M302" s="18">
        <v>1</v>
      </c>
      <c r="N302" s="18"/>
      <c r="O302" s="18"/>
      <c r="P302" s="18"/>
      <c r="Q302" s="18"/>
      <c r="R302" s="18">
        <v>2.9737499999999999</v>
      </c>
      <c r="S302" s="18">
        <v>1</v>
      </c>
      <c r="T302" t="e">
        <f>+COUNTIF('[1]Facade Heat Loss'!$A:$A,A302)</f>
        <v>#VALUE!</v>
      </c>
    </row>
    <row r="303" spans="1:20" x14ac:dyDescent="0.25">
      <c r="A303" s="25" t="s">
        <v>70</v>
      </c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>
        <v>5.9474999999999998</v>
      </c>
      <c r="M303" s="18">
        <v>2</v>
      </c>
      <c r="N303" s="18"/>
      <c r="O303" s="18"/>
      <c r="P303" s="18"/>
      <c r="Q303" s="18"/>
      <c r="R303" s="18">
        <v>5.9474999999999998</v>
      </c>
      <c r="S303" s="18">
        <v>2</v>
      </c>
      <c r="T303" t="e">
        <f>+COUNTIF('[1]Facade Heat Loss'!$A:$A,A303)</f>
        <v>#VALUE!</v>
      </c>
    </row>
    <row r="304" spans="1:20" x14ac:dyDescent="0.25">
      <c r="A304" s="25" t="s">
        <v>71</v>
      </c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>
        <v>4.5750000000000002</v>
      </c>
      <c r="M304" s="18">
        <v>1</v>
      </c>
      <c r="N304" s="18"/>
      <c r="O304" s="18"/>
      <c r="P304" s="18"/>
      <c r="Q304" s="18"/>
      <c r="R304" s="18">
        <v>4.5750000000000002</v>
      </c>
      <c r="S304" s="18">
        <v>1</v>
      </c>
      <c r="T304" t="e">
        <f>+COUNTIF('[1]Facade Heat Loss'!$A:$A,A304)</f>
        <v>#VALUE!</v>
      </c>
    </row>
    <row r="305" spans="1:20" x14ac:dyDescent="0.25">
      <c r="A305" s="25" t="s">
        <v>72</v>
      </c>
      <c r="B305" s="18"/>
      <c r="C305" s="18"/>
      <c r="D305" s="18">
        <v>4.5749999999999993</v>
      </c>
      <c r="E305" s="18">
        <v>1</v>
      </c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>
        <v>4.5749999999999993</v>
      </c>
      <c r="S305" s="18">
        <v>1</v>
      </c>
      <c r="T305" t="e">
        <f>+COUNTIF('[1]Facade Heat Loss'!$A:$A,A305)</f>
        <v>#VALUE!</v>
      </c>
    </row>
    <row r="306" spans="1:20" x14ac:dyDescent="0.25">
      <c r="A306" s="25" t="s">
        <v>75</v>
      </c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>
        <v>3.05</v>
      </c>
      <c r="M306" s="18">
        <v>1</v>
      </c>
      <c r="N306" s="18"/>
      <c r="O306" s="18"/>
      <c r="P306" s="18"/>
      <c r="Q306" s="18"/>
      <c r="R306" s="18">
        <v>3.05</v>
      </c>
      <c r="S306" s="18">
        <v>1</v>
      </c>
      <c r="T306" t="e">
        <f>+COUNTIF('[1]Facade Heat Loss'!$A:$A,A306)</f>
        <v>#VALUE!</v>
      </c>
    </row>
    <row r="307" spans="1:20" x14ac:dyDescent="0.25">
      <c r="A307" s="25" t="s">
        <v>76</v>
      </c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>
        <v>2.9737499999999999</v>
      </c>
      <c r="M307" s="18">
        <v>1</v>
      </c>
      <c r="N307" s="18"/>
      <c r="O307" s="18"/>
      <c r="P307" s="18"/>
      <c r="Q307" s="18"/>
      <c r="R307" s="18">
        <v>2.9737499999999999</v>
      </c>
      <c r="S307" s="18">
        <v>1</v>
      </c>
      <c r="T307" t="e">
        <f>+COUNTIF('[1]Facade Heat Loss'!$A:$A,A307)</f>
        <v>#VALUE!</v>
      </c>
    </row>
    <row r="308" spans="1:20" x14ac:dyDescent="0.25">
      <c r="A308" s="25" t="s">
        <v>77</v>
      </c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>
        <v>3.05</v>
      </c>
      <c r="M308" s="18">
        <v>1</v>
      </c>
      <c r="N308" s="18"/>
      <c r="O308" s="18"/>
      <c r="P308" s="18"/>
      <c r="Q308" s="18"/>
      <c r="R308" s="18">
        <v>3.05</v>
      </c>
      <c r="S308" s="18">
        <v>1</v>
      </c>
      <c r="T308" t="e">
        <f>+COUNTIF('[1]Facade Heat Loss'!$A:$A,A308)</f>
        <v>#VALUE!</v>
      </c>
    </row>
    <row r="309" spans="1:20" x14ac:dyDescent="0.25">
      <c r="A309" s="25" t="s">
        <v>78</v>
      </c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>
        <v>4.5750000000000002</v>
      </c>
      <c r="M309" s="18">
        <v>1</v>
      </c>
      <c r="N309" s="18"/>
      <c r="O309" s="18"/>
      <c r="P309" s="18"/>
      <c r="Q309" s="18"/>
      <c r="R309" s="18">
        <v>4.5750000000000002</v>
      </c>
      <c r="S309" s="18">
        <v>1</v>
      </c>
      <c r="T309" t="e">
        <f>+COUNTIF('[1]Facade Heat Loss'!$A:$A,A309)</f>
        <v>#VALUE!</v>
      </c>
    </row>
    <row r="310" spans="1:20" x14ac:dyDescent="0.25">
      <c r="A310" s="25" t="s">
        <v>79</v>
      </c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>
        <v>3.05</v>
      </c>
      <c r="M310" s="18">
        <v>1</v>
      </c>
      <c r="N310" s="18"/>
      <c r="O310" s="18"/>
      <c r="P310" s="18"/>
      <c r="Q310" s="18"/>
      <c r="R310" s="18">
        <v>3.05</v>
      </c>
      <c r="S310" s="18">
        <v>1</v>
      </c>
      <c r="T310" t="e">
        <f>+COUNTIF('[1]Facade Heat Loss'!$A:$A,A310)</f>
        <v>#VALUE!</v>
      </c>
    </row>
    <row r="311" spans="1:20" x14ac:dyDescent="0.25">
      <c r="A311" s="25" t="s">
        <v>80</v>
      </c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>
        <v>5.9474999999999998</v>
      </c>
      <c r="M311" s="18">
        <v>1</v>
      </c>
      <c r="N311" s="18"/>
      <c r="O311" s="18"/>
      <c r="P311" s="18"/>
      <c r="Q311" s="18"/>
      <c r="R311" s="18">
        <v>5.9474999999999998</v>
      </c>
      <c r="S311" s="18">
        <v>1</v>
      </c>
      <c r="T311" t="e">
        <f>+COUNTIF('[1]Facade Heat Loss'!$A:$A,A311)</f>
        <v>#VALUE!</v>
      </c>
    </row>
    <row r="312" spans="1:20" x14ac:dyDescent="0.25">
      <c r="A312" s="25" t="s">
        <v>81</v>
      </c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>
        <v>3.05</v>
      </c>
      <c r="M312" s="18">
        <v>1</v>
      </c>
      <c r="N312" s="18"/>
      <c r="O312" s="18"/>
      <c r="P312" s="18"/>
      <c r="Q312" s="18"/>
      <c r="R312" s="18">
        <v>3.05</v>
      </c>
      <c r="S312" s="18">
        <v>1</v>
      </c>
      <c r="T312" t="e">
        <f>+COUNTIF('[1]Facade Heat Loss'!$A:$A,A312)</f>
        <v>#VALUE!</v>
      </c>
    </row>
    <row r="313" spans="1:20" x14ac:dyDescent="0.25">
      <c r="A313" s="25" t="s">
        <v>82</v>
      </c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>
        <v>4.5750000000000002</v>
      </c>
      <c r="M313" s="18">
        <v>1</v>
      </c>
      <c r="N313" s="18"/>
      <c r="O313" s="18"/>
      <c r="P313" s="18"/>
      <c r="Q313" s="18"/>
      <c r="R313" s="18">
        <v>4.5750000000000002</v>
      </c>
      <c r="S313" s="18">
        <v>1</v>
      </c>
      <c r="T313" t="e">
        <f>+COUNTIF('[1]Facade Heat Loss'!$A:$A,A313)</f>
        <v>#VALUE!</v>
      </c>
    </row>
    <row r="314" spans="1:20" x14ac:dyDescent="0.25">
      <c r="A314" s="25" t="s">
        <v>83</v>
      </c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>
        <v>4.55</v>
      </c>
      <c r="M314" s="18">
        <v>2</v>
      </c>
      <c r="N314" s="18"/>
      <c r="O314" s="18"/>
      <c r="P314" s="18"/>
      <c r="Q314" s="18"/>
      <c r="R314" s="18">
        <v>4.55</v>
      </c>
      <c r="S314" s="18">
        <v>2</v>
      </c>
      <c r="T314" t="e">
        <f>+COUNTIF('[1]Facade Heat Loss'!$A:$A,A314)</f>
        <v>#VALUE!</v>
      </c>
    </row>
    <row r="315" spans="1:20" x14ac:dyDescent="0.25">
      <c r="A315" s="25" t="s">
        <v>64</v>
      </c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>
        <v>5.9474999999999998</v>
      </c>
      <c r="M315" s="18">
        <v>1</v>
      </c>
      <c r="N315" s="18"/>
      <c r="O315" s="18"/>
      <c r="P315" s="18"/>
      <c r="Q315" s="18"/>
      <c r="R315" s="18">
        <v>5.9474999999999998</v>
      </c>
      <c r="S315" s="18">
        <v>1</v>
      </c>
      <c r="T315" t="e">
        <f>+COUNTIF('[1]Facade Heat Loss'!$A:$A,A315)</f>
        <v>#VALUE!</v>
      </c>
    </row>
    <row r="316" spans="1:20" x14ac:dyDescent="0.25">
      <c r="A316" s="25" t="s">
        <v>85</v>
      </c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>
        <v>6.1</v>
      </c>
      <c r="M316" s="18">
        <v>2</v>
      </c>
      <c r="N316" s="18"/>
      <c r="O316" s="18"/>
      <c r="P316" s="18"/>
      <c r="Q316" s="18"/>
      <c r="R316" s="18">
        <v>6.1</v>
      </c>
      <c r="S316" s="18">
        <v>2</v>
      </c>
      <c r="T316" t="e">
        <f>+COUNTIF('[1]Facade Heat Loss'!$A:$A,A316)</f>
        <v>#VALUE!</v>
      </c>
    </row>
    <row r="317" spans="1:20" x14ac:dyDescent="0.25">
      <c r="A317" s="25" t="s">
        <v>86</v>
      </c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>
        <v>4.5750000000000002</v>
      </c>
      <c r="M317" s="18">
        <v>1</v>
      </c>
      <c r="N317" s="18"/>
      <c r="O317" s="18"/>
      <c r="P317" s="18"/>
      <c r="Q317" s="18"/>
      <c r="R317" s="18">
        <v>4.5750000000000002</v>
      </c>
      <c r="S317" s="18">
        <v>1</v>
      </c>
      <c r="T317" t="e">
        <f>+COUNTIF('[1]Facade Heat Loss'!$A:$A,A317)</f>
        <v>#VALUE!</v>
      </c>
    </row>
    <row r="318" spans="1:20" x14ac:dyDescent="0.25">
      <c r="A318" s="25" t="s">
        <v>87</v>
      </c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>
        <v>3.05</v>
      </c>
      <c r="M318" s="18">
        <v>1</v>
      </c>
      <c r="N318" s="18"/>
      <c r="O318" s="18"/>
      <c r="P318" s="18"/>
      <c r="Q318" s="18"/>
      <c r="R318" s="18">
        <v>3.05</v>
      </c>
      <c r="S318" s="18">
        <v>1</v>
      </c>
      <c r="T318" t="e">
        <f>+COUNTIF('[1]Facade Heat Loss'!$A:$A,A318)</f>
        <v>#VALUE!</v>
      </c>
    </row>
    <row r="319" spans="1:20" x14ac:dyDescent="0.25">
      <c r="A319" s="25" t="s">
        <v>65</v>
      </c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>
        <v>8.9974999999999987</v>
      </c>
      <c r="M319" s="18">
        <v>2</v>
      </c>
      <c r="N319" s="18"/>
      <c r="O319" s="18"/>
      <c r="P319" s="18"/>
      <c r="Q319" s="18"/>
      <c r="R319" s="18">
        <v>8.9974999999999987</v>
      </c>
      <c r="S319" s="18">
        <v>2</v>
      </c>
      <c r="T319" t="e">
        <f>+COUNTIF('[1]Facade Heat Loss'!$A:$A,A319)</f>
        <v>#VALUE!</v>
      </c>
    </row>
    <row r="320" spans="1:20" x14ac:dyDescent="0.25">
      <c r="A320" s="25" t="s">
        <v>88</v>
      </c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>
        <v>3.05</v>
      </c>
      <c r="M320" s="18">
        <v>1</v>
      </c>
      <c r="N320" s="18"/>
      <c r="O320" s="18"/>
      <c r="P320" s="18"/>
      <c r="Q320" s="18"/>
      <c r="R320" s="18">
        <v>3.05</v>
      </c>
      <c r="S320" s="18">
        <v>1</v>
      </c>
      <c r="T320" t="e">
        <f>+COUNTIF('[1]Facade Heat Loss'!$A:$A,A320)</f>
        <v>#VALUE!</v>
      </c>
    </row>
    <row r="321" spans="1:20" x14ac:dyDescent="0.25">
      <c r="A321" s="25" t="s">
        <v>89</v>
      </c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>
        <v>3.05</v>
      </c>
      <c r="M321" s="18">
        <v>1</v>
      </c>
      <c r="N321" s="18"/>
      <c r="O321" s="18"/>
      <c r="P321" s="18"/>
      <c r="Q321" s="18"/>
      <c r="R321" s="18">
        <v>3.05</v>
      </c>
      <c r="S321" s="18">
        <v>1</v>
      </c>
      <c r="T321" t="e">
        <f>+COUNTIF('[1]Facade Heat Loss'!$A:$A,A321)</f>
        <v>#VALUE!</v>
      </c>
    </row>
    <row r="322" spans="1:20" x14ac:dyDescent="0.25">
      <c r="A322" s="25" t="s">
        <v>58</v>
      </c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>
        <v>5.9474999999999998</v>
      </c>
      <c r="M322" s="18">
        <v>1</v>
      </c>
      <c r="N322" s="18"/>
      <c r="O322" s="18"/>
      <c r="P322" s="18"/>
      <c r="Q322" s="18"/>
      <c r="R322" s="18">
        <v>5.9474999999999998</v>
      </c>
      <c r="S322" s="18">
        <v>1</v>
      </c>
      <c r="T322" t="e">
        <f>+COUNTIF('[1]Facade Heat Loss'!$A:$A,A322)</f>
        <v>#VALUE!</v>
      </c>
    </row>
    <row r="323" spans="1:20" x14ac:dyDescent="0.25">
      <c r="A323" s="25" t="s">
        <v>68</v>
      </c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>
        <v>5.9474999999999998</v>
      </c>
      <c r="M323" s="18">
        <v>1</v>
      </c>
      <c r="N323" s="18"/>
      <c r="O323" s="18"/>
      <c r="P323" s="18"/>
      <c r="Q323" s="18"/>
      <c r="R323" s="18">
        <v>5.9474999999999998</v>
      </c>
      <c r="S323" s="18">
        <v>1</v>
      </c>
      <c r="T323" t="e">
        <f>+COUNTIF('[1]Facade Heat Loss'!$A:$A,A323)</f>
        <v>#VALUE!</v>
      </c>
    </row>
    <row r="324" spans="1:20" x14ac:dyDescent="0.25">
      <c r="A324" s="25" t="s">
        <v>69</v>
      </c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>
        <v>4.5750000000000002</v>
      </c>
      <c r="M324" s="18">
        <v>1</v>
      </c>
      <c r="N324" s="18"/>
      <c r="O324" s="18"/>
      <c r="P324" s="18"/>
      <c r="Q324" s="18"/>
      <c r="R324" s="18">
        <v>4.5750000000000002</v>
      </c>
      <c r="S324" s="18">
        <v>1</v>
      </c>
      <c r="T324" t="e">
        <f>+COUNTIF('[1]Facade Heat Loss'!$A:$A,A324)</f>
        <v>#VALUE!</v>
      </c>
    </row>
    <row r="325" spans="1:20" x14ac:dyDescent="0.25">
      <c r="A325" s="25" t="s">
        <v>63</v>
      </c>
      <c r="B325" s="18"/>
      <c r="C325" s="18"/>
      <c r="D325" s="18">
        <v>2.9737499999999999</v>
      </c>
      <c r="E325" s="18">
        <v>1</v>
      </c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>
        <v>2.9737499999999999</v>
      </c>
      <c r="S325" s="18">
        <v>1</v>
      </c>
      <c r="T325" t="e">
        <f>+COUNTIF('[1]Facade Heat Loss'!$A:$A,A325)</f>
        <v>#VALUE!</v>
      </c>
    </row>
    <row r="326" spans="1:20" x14ac:dyDescent="0.25">
      <c r="A326" s="25" t="s">
        <v>59</v>
      </c>
      <c r="B326" s="18"/>
      <c r="C326" s="18"/>
      <c r="D326" s="18">
        <v>2.9737499999999999</v>
      </c>
      <c r="E326" s="18">
        <v>1</v>
      </c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>
        <v>2.9737499999999999</v>
      </c>
      <c r="S326" s="18">
        <v>1</v>
      </c>
      <c r="T326" t="e">
        <f>+COUNTIF('[1]Facade Heat Loss'!$A:$A,A326)</f>
        <v>#VALUE!</v>
      </c>
    </row>
    <row r="327" spans="1:20" x14ac:dyDescent="0.25">
      <c r="A327" s="25" t="s">
        <v>66</v>
      </c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>
        <v>5.9474999999999998</v>
      </c>
      <c r="M327" s="18">
        <v>1</v>
      </c>
      <c r="N327" s="18"/>
      <c r="O327" s="18"/>
      <c r="P327" s="18"/>
      <c r="Q327" s="18"/>
      <c r="R327" s="18">
        <v>5.9474999999999998</v>
      </c>
      <c r="S327" s="18">
        <v>1</v>
      </c>
      <c r="T327" t="e">
        <f>+COUNTIF('[1]Facade Heat Loss'!$A:$A,A327)</f>
        <v>#VALUE!</v>
      </c>
    </row>
    <row r="328" spans="1:20" x14ac:dyDescent="0.25">
      <c r="A328" s="25" t="s">
        <v>67</v>
      </c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>
        <v>5.9474999999999998</v>
      </c>
      <c r="M328" s="18">
        <v>1</v>
      </c>
      <c r="N328" s="18"/>
      <c r="O328" s="18"/>
      <c r="P328" s="18"/>
      <c r="Q328" s="18"/>
      <c r="R328" s="18">
        <v>5.9474999999999998</v>
      </c>
      <c r="S328" s="18">
        <v>1</v>
      </c>
      <c r="T328" t="e">
        <f>+COUNTIF('[1]Facade Heat Loss'!$A:$A,A328)</f>
        <v>#VALUE!</v>
      </c>
    </row>
    <row r="329" spans="1:20" x14ac:dyDescent="0.25">
      <c r="A329" s="25" t="s">
        <v>90</v>
      </c>
      <c r="B329" s="18"/>
      <c r="C329" s="18"/>
      <c r="D329" s="18">
        <v>4.5750000000000002</v>
      </c>
      <c r="E329" s="18">
        <v>1</v>
      </c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>
        <v>4.5750000000000002</v>
      </c>
      <c r="S329" s="18">
        <v>1</v>
      </c>
      <c r="T329" t="e">
        <f>+COUNTIF('[1]Facade Heat Loss'!$A:$A,A329)</f>
        <v>#VALUE!</v>
      </c>
    </row>
    <row r="330" spans="1:20" x14ac:dyDescent="0.25">
      <c r="A330" s="25" t="s">
        <v>62</v>
      </c>
      <c r="B330" s="18"/>
      <c r="C330" s="18"/>
      <c r="D330" s="18">
        <v>5.9474999999999998</v>
      </c>
      <c r="E330" s="18">
        <v>1</v>
      </c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>
        <v>5.9474999999999998</v>
      </c>
      <c r="S330" s="18">
        <v>1</v>
      </c>
      <c r="T330" t="e">
        <f>+COUNTIF('[1]Facade Heat Loss'!$A:$A,A330)</f>
        <v>#VALUE!</v>
      </c>
    </row>
    <row r="331" spans="1:20" x14ac:dyDescent="0.25">
      <c r="A331" s="25" t="s">
        <v>144</v>
      </c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>
        <v>3.05</v>
      </c>
      <c r="M331" s="18">
        <v>1</v>
      </c>
      <c r="N331" s="18"/>
      <c r="O331" s="18"/>
      <c r="P331" s="18"/>
      <c r="Q331" s="18"/>
      <c r="R331" s="18">
        <v>3.05</v>
      </c>
      <c r="S331" s="18">
        <v>1</v>
      </c>
      <c r="T331" t="e">
        <f>+COUNTIF('[1]Facade Heat Loss'!$A:$A,A331)</f>
        <v>#VALUE!</v>
      </c>
    </row>
    <row r="332" spans="1:20" x14ac:dyDescent="0.25">
      <c r="A332" s="25" t="s">
        <v>150</v>
      </c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>
        <v>3.05</v>
      </c>
      <c r="M332" s="18">
        <v>1</v>
      </c>
      <c r="N332" s="18"/>
      <c r="O332" s="18"/>
      <c r="P332" s="18"/>
      <c r="Q332" s="18"/>
      <c r="R332" s="18">
        <v>3.05</v>
      </c>
      <c r="S332" s="18">
        <v>1</v>
      </c>
      <c r="T332" t="e">
        <f>+COUNTIF('[1]Facade Heat Loss'!$A:$A,A332)</f>
        <v>#VALUE!</v>
      </c>
    </row>
    <row r="333" spans="1:20" x14ac:dyDescent="0.25">
      <c r="A333" s="25" t="s">
        <v>151</v>
      </c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>
        <v>8.9974999999999987</v>
      </c>
      <c r="M333" s="18">
        <v>2</v>
      </c>
      <c r="N333" s="18"/>
      <c r="O333" s="18"/>
      <c r="P333" s="18"/>
      <c r="Q333" s="18"/>
      <c r="R333" s="18">
        <v>8.9974999999999987</v>
      </c>
      <c r="S333" s="18">
        <v>2</v>
      </c>
      <c r="T333" t="e">
        <f>+COUNTIF('[1]Facade Heat Loss'!$A:$A,A333)</f>
        <v>#VALUE!</v>
      </c>
    </row>
    <row r="334" spans="1:20" x14ac:dyDescent="0.25">
      <c r="A334" s="25" t="s">
        <v>152</v>
      </c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>
        <v>4.5750000000000002</v>
      </c>
      <c r="M334" s="18">
        <v>1</v>
      </c>
      <c r="N334" s="18"/>
      <c r="O334" s="18"/>
      <c r="P334" s="18"/>
      <c r="Q334" s="18"/>
      <c r="R334" s="18">
        <v>4.5750000000000002</v>
      </c>
      <c r="S334" s="18">
        <v>1</v>
      </c>
      <c r="T334" t="e">
        <f>+COUNTIF('[1]Facade Heat Loss'!$A:$A,A334)</f>
        <v>#VALUE!</v>
      </c>
    </row>
    <row r="335" spans="1:20" x14ac:dyDescent="0.25">
      <c r="A335" s="25" t="s">
        <v>164</v>
      </c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>
        <v>6.1</v>
      </c>
      <c r="M335" s="18">
        <v>2</v>
      </c>
      <c r="N335" s="18"/>
      <c r="O335" s="18"/>
      <c r="P335" s="18"/>
      <c r="Q335" s="18"/>
      <c r="R335" s="18">
        <v>6.1</v>
      </c>
      <c r="S335" s="18">
        <v>2</v>
      </c>
      <c r="T335" t="e">
        <f>+COUNTIF('[1]Facade Heat Loss'!$A:$A,A335)</f>
        <v>#VALUE!</v>
      </c>
    </row>
    <row r="336" spans="1:20" x14ac:dyDescent="0.25">
      <c r="A336" s="25" t="s">
        <v>165</v>
      </c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>
        <v>3.05</v>
      </c>
      <c r="M336" s="18">
        <v>1</v>
      </c>
      <c r="N336" s="18"/>
      <c r="O336" s="18"/>
      <c r="P336" s="18"/>
      <c r="Q336" s="18"/>
      <c r="R336" s="18">
        <v>3.05</v>
      </c>
      <c r="S336" s="18">
        <v>1</v>
      </c>
      <c r="T336" t="e">
        <f>+COUNTIF('[1]Facade Heat Loss'!$A:$A,A336)</f>
        <v>#VALUE!</v>
      </c>
    </row>
    <row r="337" spans="1:20" x14ac:dyDescent="0.25">
      <c r="A337" s="25" t="s">
        <v>166</v>
      </c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>
        <v>5.9474999999999998</v>
      </c>
      <c r="M337" s="18">
        <v>1</v>
      </c>
      <c r="N337" s="18"/>
      <c r="O337" s="18"/>
      <c r="P337" s="18"/>
      <c r="Q337" s="18"/>
      <c r="R337" s="18">
        <v>5.9474999999999998</v>
      </c>
      <c r="S337" s="18">
        <v>1</v>
      </c>
      <c r="T337" t="e">
        <f>+COUNTIF('[1]Facade Heat Loss'!$A:$A,A337)</f>
        <v>#VALUE!</v>
      </c>
    </row>
    <row r="338" spans="1:20" x14ac:dyDescent="0.25">
      <c r="A338" s="25" t="s">
        <v>167</v>
      </c>
      <c r="B338" s="18"/>
      <c r="C338" s="18"/>
      <c r="D338" s="18">
        <v>2.9737499999999999</v>
      </c>
      <c r="E338" s="18">
        <v>1</v>
      </c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>
        <v>2.9737499999999999</v>
      </c>
      <c r="S338" s="18">
        <v>1</v>
      </c>
      <c r="T338" t="e">
        <f>+COUNTIF('[1]Facade Heat Loss'!$A:$A,A338)</f>
        <v>#VALUE!</v>
      </c>
    </row>
    <row r="339" spans="1:20" x14ac:dyDescent="0.25">
      <c r="A339" s="25" t="s">
        <v>61</v>
      </c>
      <c r="B339" s="18"/>
      <c r="C339" s="18"/>
      <c r="D339" s="18">
        <v>7.5487500000000001</v>
      </c>
      <c r="E339" s="18">
        <v>2</v>
      </c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>
        <v>7.5487500000000001</v>
      </c>
      <c r="S339" s="18">
        <v>2</v>
      </c>
      <c r="T339" t="e">
        <f>+COUNTIF('[1]Facade Heat Loss'!$A:$A,A339)</f>
        <v>#VALUE!</v>
      </c>
    </row>
    <row r="340" spans="1:20" x14ac:dyDescent="0.25">
      <c r="A340" s="25" t="s">
        <v>110</v>
      </c>
      <c r="B340" s="18"/>
      <c r="C340" s="18"/>
      <c r="D340" s="18">
        <v>5.9474999999999998</v>
      </c>
      <c r="E340" s="18">
        <v>2</v>
      </c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>
        <v>5.9474999999999998</v>
      </c>
      <c r="S340" s="18">
        <v>2</v>
      </c>
      <c r="T340" t="e">
        <f>+COUNTIF('[1]Facade Heat Loss'!$A:$A,A340)</f>
        <v>#VALUE!</v>
      </c>
    </row>
    <row r="341" spans="1:20" x14ac:dyDescent="0.25">
      <c r="A341" s="25" t="s">
        <v>97</v>
      </c>
      <c r="B341" s="18"/>
      <c r="C341" s="18"/>
      <c r="D341" s="18">
        <v>4.5750000000000002</v>
      </c>
      <c r="E341" s="18">
        <v>1</v>
      </c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>
        <v>4.5750000000000002</v>
      </c>
      <c r="S341" s="18">
        <v>1</v>
      </c>
      <c r="T341" t="e">
        <f>+COUNTIF('[1]Facade Heat Loss'!$A:$A,A341)</f>
        <v>#VALUE!</v>
      </c>
    </row>
    <row r="342" spans="1:20" x14ac:dyDescent="0.25">
      <c r="A342" s="25" t="s">
        <v>107</v>
      </c>
      <c r="B342" s="18"/>
      <c r="C342" s="18"/>
      <c r="D342" s="18">
        <v>4.5750000000000002</v>
      </c>
      <c r="E342" s="18">
        <v>1</v>
      </c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>
        <v>4.5750000000000002</v>
      </c>
      <c r="S342" s="18">
        <v>1</v>
      </c>
      <c r="T342" t="e">
        <f>+COUNTIF('[1]Facade Heat Loss'!$A:$A,A342)</f>
        <v>#VALUE!</v>
      </c>
    </row>
    <row r="343" spans="1:20" x14ac:dyDescent="0.25">
      <c r="A343" s="25" t="s">
        <v>108</v>
      </c>
      <c r="B343" s="18"/>
      <c r="C343" s="18"/>
      <c r="D343" s="18">
        <v>2.9737499999999999</v>
      </c>
      <c r="E343" s="18">
        <v>1</v>
      </c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>
        <v>2.9737499999999999</v>
      </c>
      <c r="S343" s="18">
        <v>1</v>
      </c>
      <c r="T343" t="e">
        <f>+COUNTIF('[1]Facade Heat Loss'!$A:$A,A343)</f>
        <v>#VALUE!</v>
      </c>
    </row>
    <row r="344" spans="1:20" x14ac:dyDescent="0.25">
      <c r="A344" s="25" t="s">
        <v>109</v>
      </c>
      <c r="B344" s="18"/>
      <c r="C344" s="18"/>
      <c r="D344" s="18">
        <v>5.9474999999999998</v>
      </c>
      <c r="E344" s="18">
        <v>1</v>
      </c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>
        <v>5.9474999999999998</v>
      </c>
      <c r="S344" s="18">
        <v>1</v>
      </c>
      <c r="T344" t="e">
        <f>+COUNTIF('[1]Facade Heat Loss'!$A:$A,A344)</f>
        <v>#VALUE!</v>
      </c>
    </row>
    <row r="345" spans="1:20" x14ac:dyDescent="0.25">
      <c r="A345" s="25" t="s">
        <v>99</v>
      </c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>
        <v>2.9737499999999999</v>
      </c>
      <c r="M345" s="18">
        <v>1</v>
      </c>
      <c r="N345" s="18"/>
      <c r="O345" s="18"/>
      <c r="P345" s="18"/>
      <c r="Q345" s="18"/>
      <c r="R345" s="18">
        <v>2.9737499999999999</v>
      </c>
      <c r="S345" s="18">
        <v>1</v>
      </c>
      <c r="T345" t="e">
        <f>+COUNTIF('[1]Facade Heat Loss'!$A:$A,A345)</f>
        <v>#VALUE!</v>
      </c>
    </row>
    <row r="346" spans="1:20" x14ac:dyDescent="0.25">
      <c r="A346" s="25" t="s">
        <v>100</v>
      </c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>
        <v>2.9737499999999999</v>
      </c>
      <c r="M346" s="18">
        <v>1</v>
      </c>
      <c r="N346" s="18"/>
      <c r="O346" s="18"/>
      <c r="P346" s="18"/>
      <c r="Q346" s="18"/>
      <c r="R346" s="18">
        <v>2.9737499999999999</v>
      </c>
      <c r="S346" s="18">
        <v>1</v>
      </c>
      <c r="T346" t="e">
        <f>+COUNTIF('[1]Facade Heat Loss'!$A:$A,A346)</f>
        <v>#VALUE!</v>
      </c>
    </row>
    <row r="347" spans="1:20" x14ac:dyDescent="0.25">
      <c r="A347" s="25" t="s">
        <v>101</v>
      </c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>
        <v>6.4837499999999997</v>
      </c>
      <c r="M347" s="18">
        <v>2</v>
      </c>
      <c r="N347" s="18"/>
      <c r="O347" s="18"/>
      <c r="P347" s="18"/>
      <c r="Q347" s="18"/>
      <c r="R347" s="18">
        <v>6.4837499999999997</v>
      </c>
      <c r="S347" s="18">
        <v>2</v>
      </c>
      <c r="T347" t="e">
        <f>+COUNTIF('[1]Facade Heat Loss'!$A:$A,A347)</f>
        <v>#VALUE!</v>
      </c>
    </row>
    <row r="348" spans="1:20" x14ac:dyDescent="0.25">
      <c r="A348" s="25" t="s">
        <v>102</v>
      </c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>
        <v>4.5750000000000002</v>
      </c>
      <c r="M348" s="18">
        <v>1</v>
      </c>
      <c r="N348" s="18"/>
      <c r="O348" s="18"/>
      <c r="P348" s="18"/>
      <c r="Q348" s="18"/>
      <c r="R348" s="18">
        <v>4.5750000000000002</v>
      </c>
      <c r="S348" s="18">
        <v>1</v>
      </c>
      <c r="T348" t="e">
        <f>+COUNTIF('[1]Facade Heat Loss'!$A:$A,A348)</f>
        <v>#VALUE!</v>
      </c>
    </row>
    <row r="349" spans="1:20" x14ac:dyDescent="0.25">
      <c r="A349" s="25" t="s">
        <v>103</v>
      </c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>
        <v>5.9474999999999998</v>
      </c>
      <c r="M349" s="18">
        <v>2</v>
      </c>
      <c r="N349" s="18"/>
      <c r="O349" s="18"/>
      <c r="P349" s="18"/>
      <c r="Q349" s="18"/>
      <c r="R349" s="18">
        <v>5.9474999999999998</v>
      </c>
      <c r="S349" s="18">
        <v>2</v>
      </c>
      <c r="T349" t="e">
        <f>+COUNTIF('[1]Facade Heat Loss'!$A:$A,A349)</f>
        <v>#VALUE!</v>
      </c>
    </row>
    <row r="350" spans="1:20" x14ac:dyDescent="0.25">
      <c r="A350" s="25" t="s">
        <v>104</v>
      </c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>
        <v>5.9474999999999998</v>
      </c>
      <c r="M350" s="18">
        <v>1</v>
      </c>
      <c r="N350" s="18"/>
      <c r="O350" s="18"/>
      <c r="P350" s="18"/>
      <c r="Q350" s="18"/>
      <c r="R350" s="18">
        <v>5.9474999999999998</v>
      </c>
      <c r="S350" s="18">
        <v>1</v>
      </c>
      <c r="T350" t="e">
        <f>+COUNTIF('[1]Facade Heat Loss'!$A:$A,A350)</f>
        <v>#VALUE!</v>
      </c>
    </row>
    <row r="351" spans="1:20" x14ac:dyDescent="0.25">
      <c r="A351" s="25" t="s">
        <v>105</v>
      </c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>
        <v>2.9737499999999999</v>
      </c>
      <c r="M351" s="18">
        <v>1</v>
      </c>
      <c r="N351" s="18"/>
      <c r="O351" s="18"/>
      <c r="P351" s="18"/>
      <c r="Q351" s="18"/>
      <c r="R351" s="18">
        <v>2.9737499999999999</v>
      </c>
      <c r="S351" s="18">
        <v>1</v>
      </c>
      <c r="T351" t="e">
        <f>+COUNTIF('[1]Facade Heat Loss'!$A:$A,A351)</f>
        <v>#VALUE!</v>
      </c>
    </row>
    <row r="352" spans="1:20" x14ac:dyDescent="0.25">
      <c r="A352" s="25" t="s">
        <v>106</v>
      </c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>
        <v>4.5749999999999993</v>
      </c>
      <c r="M352" s="18">
        <v>1</v>
      </c>
      <c r="N352" s="18"/>
      <c r="O352" s="18"/>
      <c r="P352" s="18"/>
      <c r="Q352" s="18"/>
      <c r="R352" s="18">
        <v>4.5749999999999993</v>
      </c>
      <c r="S352" s="18">
        <v>1</v>
      </c>
      <c r="T352" t="e">
        <f>+COUNTIF('[1]Facade Heat Loss'!$A:$A,A352)</f>
        <v>#VALUE!</v>
      </c>
    </row>
    <row r="353" spans="1:20" x14ac:dyDescent="0.25">
      <c r="A353" s="25" t="s">
        <v>93</v>
      </c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>
        <v>4.5750000000000002</v>
      </c>
      <c r="M353" s="18">
        <v>1</v>
      </c>
      <c r="N353" s="18"/>
      <c r="O353" s="18"/>
      <c r="P353" s="18"/>
      <c r="Q353" s="18"/>
      <c r="R353" s="18">
        <v>4.5750000000000002</v>
      </c>
      <c r="S353" s="18">
        <v>1</v>
      </c>
      <c r="T353" t="e">
        <f>+COUNTIF('[1]Facade Heat Loss'!$A:$A,A353)</f>
        <v>#VALUE!</v>
      </c>
    </row>
    <row r="354" spans="1:20" x14ac:dyDescent="0.25">
      <c r="A354" s="25" t="s">
        <v>92</v>
      </c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>
        <v>2.9737499999999999</v>
      </c>
      <c r="M354" s="18">
        <v>1</v>
      </c>
      <c r="N354" s="18"/>
      <c r="O354" s="18"/>
      <c r="P354" s="18"/>
      <c r="Q354" s="18"/>
      <c r="R354" s="18">
        <v>2.9737499999999999</v>
      </c>
      <c r="S354" s="18">
        <v>1</v>
      </c>
      <c r="T354" t="e">
        <f>+COUNTIF('[1]Facade Heat Loss'!$A:$A,A354)</f>
        <v>#VALUE!</v>
      </c>
    </row>
    <row r="355" spans="1:20" x14ac:dyDescent="0.25">
      <c r="A355" s="25" t="s">
        <v>96</v>
      </c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>
        <v>2.9737499999999999</v>
      </c>
      <c r="M355" s="18">
        <v>1</v>
      </c>
      <c r="N355" s="18"/>
      <c r="O355" s="18"/>
      <c r="P355" s="18"/>
      <c r="Q355" s="18"/>
      <c r="R355" s="18">
        <v>2.9737499999999999</v>
      </c>
      <c r="S355" s="18">
        <v>1</v>
      </c>
      <c r="T355" t="e">
        <f>+COUNTIF('[1]Facade Heat Loss'!$A:$A,A355)</f>
        <v>#VALUE!</v>
      </c>
    </row>
    <row r="356" spans="1:20" x14ac:dyDescent="0.25">
      <c r="A356" s="25" t="s">
        <v>112</v>
      </c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>
        <v>4.5750000000000002</v>
      </c>
      <c r="M356" s="18">
        <v>1</v>
      </c>
      <c r="N356" s="18"/>
      <c r="O356" s="18"/>
      <c r="P356" s="18"/>
      <c r="Q356" s="18"/>
      <c r="R356" s="18">
        <v>4.5750000000000002</v>
      </c>
      <c r="S356" s="18">
        <v>1</v>
      </c>
      <c r="T356" t="e">
        <f>+COUNTIF('[1]Facade Heat Loss'!$A:$A,A356)</f>
        <v>#VALUE!</v>
      </c>
    </row>
    <row r="357" spans="1:20" x14ac:dyDescent="0.25">
      <c r="A357" s="25" t="s">
        <v>95</v>
      </c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>
        <v>9.15</v>
      </c>
      <c r="M357" s="18">
        <v>2</v>
      </c>
      <c r="N357" s="18"/>
      <c r="O357" s="18"/>
      <c r="P357" s="18"/>
      <c r="Q357" s="18"/>
      <c r="R357" s="18">
        <v>9.15</v>
      </c>
      <c r="S357" s="18">
        <v>2</v>
      </c>
      <c r="T357" t="e">
        <f>+COUNTIF('[1]Facade Heat Loss'!$A:$A,A357)</f>
        <v>#VALUE!</v>
      </c>
    </row>
    <row r="358" spans="1:20" x14ac:dyDescent="0.25">
      <c r="A358" s="25" t="s">
        <v>153</v>
      </c>
      <c r="B358" s="18"/>
      <c r="C358" s="18"/>
      <c r="D358" s="18">
        <v>2.9737499999999999</v>
      </c>
      <c r="E358" s="18">
        <v>1</v>
      </c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>
        <v>2.9737499999999999</v>
      </c>
      <c r="S358" s="18">
        <v>1</v>
      </c>
      <c r="T358" t="e">
        <f>+COUNTIF('[1]Facade Heat Loss'!$A:$A,A358)</f>
        <v>#VALUE!</v>
      </c>
    </row>
    <row r="359" spans="1:20" x14ac:dyDescent="0.25">
      <c r="A359" s="25" t="s">
        <v>94</v>
      </c>
      <c r="B359" s="18"/>
      <c r="C359" s="18"/>
      <c r="D359" s="18">
        <v>3.05</v>
      </c>
      <c r="E359" s="18">
        <v>1</v>
      </c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>
        <v>3.05</v>
      </c>
      <c r="S359" s="18">
        <v>1</v>
      </c>
      <c r="T359" t="e">
        <f>+COUNTIF('[1]Facade Heat Loss'!$A:$A,A359)</f>
        <v>#VALUE!</v>
      </c>
    </row>
    <row r="360" spans="1:20" x14ac:dyDescent="0.25">
      <c r="A360" s="25" t="s">
        <v>111</v>
      </c>
      <c r="B360" s="18"/>
      <c r="C360" s="18"/>
      <c r="D360" s="18">
        <v>4.5750000000000002</v>
      </c>
      <c r="E360" s="18">
        <v>1</v>
      </c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>
        <v>4.5750000000000002</v>
      </c>
      <c r="S360" s="18">
        <v>1</v>
      </c>
      <c r="T360" t="e">
        <f>+COUNTIF('[1]Facade Heat Loss'!$A:$A,A360)</f>
        <v>#VALUE!</v>
      </c>
    </row>
    <row r="361" spans="1:20" x14ac:dyDescent="0.25">
      <c r="A361" s="25" t="s">
        <v>168</v>
      </c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>
        <v>4.5750000000000002</v>
      </c>
      <c r="M361" s="18">
        <v>1</v>
      </c>
      <c r="N361" s="18"/>
      <c r="O361" s="18"/>
      <c r="P361" s="18"/>
      <c r="Q361" s="18"/>
      <c r="R361" s="18">
        <v>4.5750000000000002</v>
      </c>
      <c r="S361" s="18">
        <v>1</v>
      </c>
      <c r="T361" t="e">
        <f>+COUNTIF('[1]Facade Heat Loss'!$A:$A,A361)</f>
        <v>#VALUE!</v>
      </c>
    </row>
    <row r="362" spans="1:20" x14ac:dyDescent="0.25">
      <c r="A362" s="25" t="s">
        <v>161</v>
      </c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>
        <v>7.5487499999999992</v>
      </c>
      <c r="M362" s="18">
        <v>2</v>
      </c>
      <c r="N362" s="18"/>
      <c r="O362" s="18"/>
      <c r="P362" s="18"/>
      <c r="Q362" s="18"/>
      <c r="R362" s="18">
        <v>7.5487499999999992</v>
      </c>
      <c r="S362" s="18">
        <v>2</v>
      </c>
      <c r="T362" t="e">
        <f>+COUNTIF('[1]Facade Heat Loss'!$A:$A,A362)</f>
        <v>#VALUE!</v>
      </c>
    </row>
    <row r="363" spans="1:20" x14ac:dyDescent="0.25">
      <c r="A363" s="25" t="s">
        <v>98</v>
      </c>
      <c r="B363" s="18"/>
      <c r="C363" s="18"/>
      <c r="D363" s="18">
        <v>2.9737499999999999</v>
      </c>
      <c r="E363" s="18">
        <v>1</v>
      </c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>
        <v>2.9737499999999999</v>
      </c>
      <c r="S363" s="18">
        <v>1</v>
      </c>
      <c r="T363" t="e">
        <f>+COUNTIF('[1]Facade Heat Loss'!$A:$A,A363)</f>
        <v>#VALUE!</v>
      </c>
    </row>
    <row r="364" spans="1:20" x14ac:dyDescent="0.25">
      <c r="A364" s="25" t="s">
        <v>158</v>
      </c>
      <c r="B364" s="18"/>
      <c r="C364" s="18"/>
      <c r="D364" s="18">
        <v>5.9474999999999998</v>
      </c>
      <c r="E364" s="18">
        <v>2</v>
      </c>
      <c r="F364" s="18"/>
      <c r="G364" s="18"/>
      <c r="H364" s="18"/>
      <c r="I364" s="18"/>
      <c r="J364" s="18"/>
      <c r="K364" s="18"/>
      <c r="L364" s="18">
        <v>24.018749999999994</v>
      </c>
      <c r="M364" s="18">
        <v>7</v>
      </c>
      <c r="N364" s="18"/>
      <c r="O364" s="18"/>
      <c r="P364" s="18"/>
      <c r="Q364" s="18"/>
      <c r="R364" s="18">
        <v>29.966249999999995</v>
      </c>
      <c r="S364" s="18">
        <v>9</v>
      </c>
      <c r="T364" t="e">
        <f>+COUNTIF('[1]Facade Heat Loss'!$A:$A,A364)</f>
        <v>#VALUE!</v>
      </c>
    </row>
    <row r="365" spans="1:20" x14ac:dyDescent="0.25">
      <c r="A365" s="25" t="s">
        <v>132</v>
      </c>
      <c r="B365" s="18">
        <v>4.4850000000000003</v>
      </c>
      <c r="C365" s="18">
        <v>2</v>
      </c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>
        <v>4.4850000000000003</v>
      </c>
      <c r="S365" s="18">
        <v>2</v>
      </c>
      <c r="T365" t="e">
        <f>+COUNTIF('[1]Facade Heat Loss'!$A:$A,A365)</f>
        <v>#VALUE!</v>
      </c>
    </row>
    <row r="366" spans="1:20" x14ac:dyDescent="0.25">
      <c r="A366" s="25" t="s">
        <v>134</v>
      </c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>
        <v>3.05</v>
      </c>
      <c r="M366" s="18">
        <v>1</v>
      </c>
      <c r="N366" s="18"/>
      <c r="O366" s="18"/>
      <c r="P366" s="18"/>
      <c r="Q366" s="18"/>
      <c r="R366" s="18">
        <v>3.05</v>
      </c>
      <c r="S366" s="18">
        <v>1</v>
      </c>
      <c r="T366" t="e">
        <f>+COUNTIF('[1]Facade Heat Loss'!$A:$A,A366)</f>
        <v>#VALUE!</v>
      </c>
    </row>
    <row r="367" spans="1:20" x14ac:dyDescent="0.25">
      <c r="A367" s="25" t="s">
        <v>136</v>
      </c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>
        <v>3.05</v>
      </c>
      <c r="M367" s="18">
        <v>1</v>
      </c>
      <c r="N367" s="18"/>
      <c r="O367" s="18"/>
      <c r="P367" s="18"/>
      <c r="Q367" s="18"/>
      <c r="R367" s="18">
        <v>3.05</v>
      </c>
      <c r="S367" s="18">
        <v>1</v>
      </c>
      <c r="T367" t="e">
        <f>+COUNTIF('[1]Facade Heat Loss'!$A:$A,A367)</f>
        <v>#VALUE!</v>
      </c>
    </row>
    <row r="368" spans="1:20" x14ac:dyDescent="0.25">
      <c r="A368" s="25" t="s">
        <v>133</v>
      </c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>
        <v>8.9974999999999987</v>
      </c>
      <c r="M368" s="18">
        <v>2</v>
      </c>
      <c r="N368" s="18"/>
      <c r="O368" s="18"/>
      <c r="P368" s="18"/>
      <c r="Q368" s="18"/>
      <c r="R368" s="18">
        <v>8.9974999999999987</v>
      </c>
      <c r="S368" s="18">
        <v>2</v>
      </c>
      <c r="T368" t="e">
        <f>+COUNTIF('[1]Facade Heat Loss'!$A:$A,A368)</f>
        <v>#VALUE!</v>
      </c>
    </row>
    <row r="369" spans="1:20" x14ac:dyDescent="0.25">
      <c r="A369" s="25" t="s">
        <v>135</v>
      </c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>
        <v>5.9474999999999998</v>
      </c>
      <c r="M369" s="18">
        <v>1</v>
      </c>
      <c r="N369" s="18"/>
      <c r="O369" s="18"/>
      <c r="P369" s="18"/>
      <c r="Q369" s="18"/>
      <c r="R369" s="18">
        <v>5.9474999999999998</v>
      </c>
      <c r="S369" s="18">
        <v>1</v>
      </c>
      <c r="T369" t="e">
        <f>+COUNTIF('[1]Facade Heat Loss'!$A:$A,A369)</f>
        <v>#VALUE!</v>
      </c>
    </row>
    <row r="370" spans="1:20" x14ac:dyDescent="0.25">
      <c r="A370" s="25" t="s">
        <v>504</v>
      </c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>
        <v>4.5750000000000002</v>
      </c>
      <c r="M370" s="18">
        <v>1</v>
      </c>
      <c r="N370" s="18"/>
      <c r="O370" s="18"/>
      <c r="P370" s="18"/>
      <c r="Q370" s="18"/>
      <c r="R370" s="18">
        <v>4.5750000000000002</v>
      </c>
      <c r="S370" s="18">
        <v>1</v>
      </c>
      <c r="T370" t="e">
        <f>+COUNTIF('[1]Facade Heat Loss'!$A:$A,A370)</f>
        <v>#VALUE!</v>
      </c>
    </row>
    <row r="371" spans="1:20" x14ac:dyDescent="0.25">
      <c r="A371" s="25" t="s">
        <v>505</v>
      </c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>
        <v>4.5750000000000002</v>
      </c>
      <c r="M371" s="18">
        <v>1</v>
      </c>
      <c r="N371" s="18"/>
      <c r="O371" s="18"/>
      <c r="P371" s="18"/>
      <c r="Q371" s="18"/>
      <c r="R371" s="18">
        <v>4.5750000000000002</v>
      </c>
      <c r="S371" s="18">
        <v>1</v>
      </c>
      <c r="T371" t="e">
        <f>+COUNTIF('[1]Facade Heat Loss'!$A:$A,A371)</f>
        <v>#VALUE!</v>
      </c>
    </row>
    <row r="372" spans="1:20" x14ac:dyDescent="0.25">
      <c r="A372" s="25" t="s">
        <v>506</v>
      </c>
      <c r="B372" s="18"/>
      <c r="C372" s="18"/>
      <c r="D372" s="18">
        <v>4.5750000000000002</v>
      </c>
      <c r="E372" s="18">
        <v>1</v>
      </c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>
        <v>4.5750000000000002</v>
      </c>
      <c r="S372" s="18">
        <v>1</v>
      </c>
      <c r="T372" t="e">
        <f>+COUNTIF('[1]Facade Heat Loss'!$A:$A,A372)</f>
        <v>#VALUE!</v>
      </c>
    </row>
    <row r="373" spans="1:20" x14ac:dyDescent="0.25">
      <c r="A373" s="25" t="s">
        <v>507</v>
      </c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>
        <v>1.4868749999999999</v>
      </c>
      <c r="M373" s="18">
        <v>1</v>
      </c>
      <c r="N373" s="18"/>
      <c r="O373" s="18"/>
      <c r="P373" s="18"/>
      <c r="Q373" s="18"/>
      <c r="R373" s="18">
        <v>1.4868749999999999</v>
      </c>
      <c r="S373" s="18">
        <v>1</v>
      </c>
      <c r="T373" t="e">
        <f>+COUNTIF('[1]Facade Heat Loss'!$A:$A,A373)</f>
        <v>#VALUE!</v>
      </c>
    </row>
    <row r="374" spans="1:20" x14ac:dyDescent="0.25">
      <c r="A374" s="25" t="s">
        <v>508</v>
      </c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>
        <v>1.4868749999999999</v>
      </c>
      <c r="M374" s="18">
        <v>1</v>
      </c>
      <c r="N374" s="18"/>
      <c r="O374" s="18"/>
      <c r="P374" s="18"/>
      <c r="Q374" s="18"/>
      <c r="R374" s="18">
        <v>1.4868749999999999</v>
      </c>
      <c r="S374" s="18">
        <v>1</v>
      </c>
      <c r="T374" t="e">
        <f>+COUNTIF('[1]Facade Heat Loss'!$A:$A,A374)</f>
        <v>#VALUE!</v>
      </c>
    </row>
    <row r="375" spans="1:20" x14ac:dyDescent="0.25">
      <c r="A375" s="25" t="s">
        <v>509</v>
      </c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>
        <v>4.5750000000000002</v>
      </c>
      <c r="M375" s="18">
        <v>1</v>
      </c>
      <c r="N375" s="18"/>
      <c r="O375" s="18"/>
      <c r="P375" s="18"/>
      <c r="Q375" s="18"/>
      <c r="R375" s="18">
        <v>4.5750000000000002</v>
      </c>
      <c r="S375" s="18">
        <v>1</v>
      </c>
      <c r="T375" t="e">
        <f>+COUNTIF('[1]Facade Heat Loss'!$A:$A,A375)</f>
        <v>#VALUE!</v>
      </c>
    </row>
    <row r="376" spans="1:20" x14ac:dyDescent="0.25">
      <c r="A376" s="25" t="s">
        <v>510</v>
      </c>
      <c r="B376" s="18"/>
      <c r="C376" s="18"/>
      <c r="D376" s="18"/>
      <c r="E376" s="18"/>
      <c r="F376" s="18"/>
      <c r="G376" s="18"/>
      <c r="H376" s="18">
        <v>2.9737499999999999</v>
      </c>
      <c r="I376" s="18">
        <v>1</v>
      </c>
      <c r="J376" s="18"/>
      <c r="K376" s="18"/>
      <c r="L376" s="18"/>
      <c r="M376" s="18"/>
      <c r="N376" s="18"/>
      <c r="O376" s="18"/>
      <c r="P376" s="18"/>
      <c r="Q376" s="18"/>
      <c r="R376" s="18">
        <v>2.9737499999999999</v>
      </c>
      <c r="S376" s="18">
        <v>1</v>
      </c>
      <c r="T376" t="e">
        <f>+COUNTIF('[1]Facade Heat Loss'!$A:$A,A376)</f>
        <v>#VALUE!</v>
      </c>
    </row>
    <row r="377" spans="1:20" x14ac:dyDescent="0.25">
      <c r="A377" s="25" t="s">
        <v>511</v>
      </c>
      <c r="B377" s="18"/>
      <c r="C377" s="18"/>
      <c r="D377" s="18">
        <v>4.5750000000000002</v>
      </c>
      <c r="E377" s="18">
        <v>1</v>
      </c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>
        <v>4.5750000000000002</v>
      </c>
      <c r="S377" s="18">
        <v>1</v>
      </c>
      <c r="T377" t="e">
        <f>+COUNTIF('[1]Facade Heat Loss'!$A:$A,A377)</f>
        <v>#VALUE!</v>
      </c>
    </row>
    <row r="378" spans="1:20" x14ac:dyDescent="0.25">
      <c r="A378" s="25" t="s">
        <v>512</v>
      </c>
      <c r="B378" s="18"/>
      <c r="C378" s="18"/>
      <c r="D378" s="18">
        <v>2.9737499999999999</v>
      </c>
      <c r="E378" s="18">
        <v>1</v>
      </c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>
        <v>2.9737499999999999</v>
      </c>
      <c r="S378" s="18">
        <v>1</v>
      </c>
      <c r="T378" t="e">
        <f>+COUNTIF('[1]Facade Heat Loss'!$A:$A,A378)</f>
        <v>#VALUE!</v>
      </c>
    </row>
    <row r="379" spans="1:20" x14ac:dyDescent="0.25">
      <c r="A379" s="25" t="s">
        <v>513</v>
      </c>
      <c r="B379" s="18"/>
      <c r="C379" s="18"/>
      <c r="D379" s="18">
        <v>5.9474999999999998</v>
      </c>
      <c r="E379" s="18">
        <v>1</v>
      </c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>
        <v>5.9474999999999998</v>
      </c>
      <c r="S379" s="18">
        <v>1</v>
      </c>
      <c r="T379" t="e">
        <f>+COUNTIF('[1]Facade Heat Loss'!$A:$A,A379)</f>
        <v>#VALUE!</v>
      </c>
    </row>
    <row r="380" spans="1:20" x14ac:dyDescent="0.25">
      <c r="A380" s="25" t="s">
        <v>514</v>
      </c>
      <c r="B380" s="18"/>
      <c r="C380" s="18"/>
      <c r="D380" s="18">
        <v>2.9737499999999999</v>
      </c>
      <c r="E380" s="18">
        <v>1</v>
      </c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>
        <v>2.9737499999999999</v>
      </c>
      <c r="S380" s="18">
        <v>1</v>
      </c>
      <c r="T380" t="e">
        <f>+COUNTIF('[1]Facade Heat Loss'!$A:$A,A380)</f>
        <v>#VALUE!</v>
      </c>
    </row>
    <row r="381" spans="1:20" x14ac:dyDescent="0.25">
      <c r="A381" s="25" t="s">
        <v>515</v>
      </c>
      <c r="B381" s="18"/>
      <c r="C381" s="18"/>
      <c r="D381" s="18">
        <v>5.9474999999999998</v>
      </c>
      <c r="E381" s="18">
        <v>1</v>
      </c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>
        <v>5.9474999999999998</v>
      </c>
      <c r="S381" s="18">
        <v>1</v>
      </c>
      <c r="T381" t="e">
        <f>+COUNTIF('[1]Facade Heat Loss'!$A:$A,A381)</f>
        <v>#VALUE!</v>
      </c>
    </row>
    <row r="382" spans="1:20" x14ac:dyDescent="0.25">
      <c r="A382" s="25" t="s">
        <v>516</v>
      </c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>
        <v>2.9737499999999999</v>
      </c>
      <c r="M382" s="18">
        <v>1</v>
      </c>
      <c r="N382" s="18"/>
      <c r="O382" s="18"/>
      <c r="P382" s="18"/>
      <c r="Q382" s="18"/>
      <c r="R382" s="18">
        <v>2.9737499999999999</v>
      </c>
      <c r="S382" s="18">
        <v>1</v>
      </c>
      <c r="T382" t="e">
        <f>+COUNTIF('[1]Facade Heat Loss'!$A:$A,A382)</f>
        <v>#VALUE!</v>
      </c>
    </row>
    <row r="383" spans="1:20" x14ac:dyDescent="0.25">
      <c r="A383" s="25" t="s">
        <v>521</v>
      </c>
      <c r="B383" s="18"/>
      <c r="C383" s="18"/>
      <c r="D383" s="18">
        <v>8.9212500000000006</v>
      </c>
      <c r="E383" s="18">
        <v>2</v>
      </c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>
        <v>8.9212500000000006</v>
      </c>
      <c r="S383" s="18">
        <v>2</v>
      </c>
      <c r="T383" t="e">
        <f>+COUNTIF('[1]Facade Heat Loss'!$A:$A,A383)</f>
        <v>#VALUE!</v>
      </c>
    </row>
    <row r="384" spans="1:20" x14ac:dyDescent="0.25">
      <c r="A384" s="25" t="s">
        <v>523</v>
      </c>
      <c r="B384" s="18"/>
      <c r="C384" s="18"/>
      <c r="D384" s="18">
        <v>2.9737499999999999</v>
      </c>
      <c r="E384" s="18">
        <v>1</v>
      </c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>
        <v>2.9737499999999999</v>
      </c>
      <c r="S384" s="18">
        <v>1</v>
      </c>
      <c r="T384" t="e">
        <f>+COUNTIF('[1]Facade Heat Loss'!$A:$A,A384)</f>
        <v>#VALUE!</v>
      </c>
    </row>
    <row r="385" spans="1:20" x14ac:dyDescent="0.25">
      <c r="A385" s="25" t="s">
        <v>524</v>
      </c>
      <c r="B385" s="18"/>
      <c r="C385" s="18"/>
      <c r="D385" s="18">
        <v>2.9737499999999999</v>
      </c>
      <c r="E385" s="18">
        <v>1</v>
      </c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>
        <v>2.9737499999999999</v>
      </c>
      <c r="S385" s="18">
        <v>1</v>
      </c>
      <c r="T385" t="e">
        <f>+COUNTIF('[1]Facade Heat Loss'!$A:$A,A385)</f>
        <v>#VALUE!</v>
      </c>
    </row>
    <row r="386" spans="1:20" x14ac:dyDescent="0.25">
      <c r="A386" s="25" t="s">
        <v>525</v>
      </c>
      <c r="B386" s="18"/>
      <c r="C386" s="18"/>
      <c r="D386" s="18">
        <v>5.9474999999999998</v>
      </c>
      <c r="E386" s="18">
        <v>1</v>
      </c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>
        <v>5.9474999999999998</v>
      </c>
      <c r="S386" s="18">
        <v>1</v>
      </c>
      <c r="T386" t="e">
        <f>+COUNTIF('[1]Facade Heat Loss'!$A:$A,A386)</f>
        <v>#VALUE!</v>
      </c>
    </row>
    <row r="387" spans="1:20" x14ac:dyDescent="0.25">
      <c r="A387" s="25" t="s">
        <v>526</v>
      </c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>
        <v>4.5750000000000002</v>
      </c>
      <c r="M387" s="18">
        <v>1</v>
      </c>
      <c r="N387" s="18"/>
      <c r="O387" s="18"/>
      <c r="P387" s="18"/>
      <c r="Q387" s="18"/>
      <c r="R387" s="18">
        <v>4.5750000000000002</v>
      </c>
      <c r="S387" s="18">
        <v>1</v>
      </c>
      <c r="T387" t="e">
        <f>+COUNTIF('[1]Facade Heat Loss'!$A:$A,A387)</f>
        <v>#VALUE!</v>
      </c>
    </row>
    <row r="388" spans="1:20" x14ac:dyDescent="0.25">
      <c r="A388" s="25" t="s">
        <v>527</v>
      </c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>
        <v>2.9737499999999999</v>
      </c>
      <c r="M388" s="18">
        <v>1</v>
      </c>
      <c r="N388" s="18"/>
      <c r="O388" s="18"/>
      <c r="P388" s="18"/>
      <c r="Q388" s="18"/>
      <c r="R388" s="18">
        <v>2.9737499999999999</v>
      </c>
      <c r="S388" s="18">
        <v>1</v>
      </c>
      <c r="T388" t="e">
        <f>+COUNTIF('[1]Facade Heat Loss'!$A:$A,A388)</f>
        <v>#VALUE!</v>
      </c>
    </row>
    <row r="389" spans="1:20" x14ac:dyDescent="0.25">
      <c r="A389" s="25" t="s">
        <v>528</v>
      </c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>
        <v>5.9474999999999998</v>
      </c>
      <c r="M389" s="18">
        <v>1</v>
      </c>
      <c r="N389" s="18"/>
      <c r="O389" s="18"/>
      <c r="P389" s="18"/>
      <c r="Q389" s="18"/>
      <c r="R389" s="18">
        <v>5.9474999999999998</v>
      </c>
      <c r="S389" s="18">
        <v>1</v>
      </c>
      <c r="T389" t="e">
        <f>+COUNTIF('[1]Facade Heat Loss'!$A:$A,A389)</f>
        <v>#VALUE!</v>
      </c>
    </row>
    <row r="390" spans="1:20" x14ac:dyDescent="0.25">
      <c r="A390" s="25" t="s">
        <v>529</v>
      </c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>
        <v>2.9737499999999999</v>
      </c>
      <c r="M390" s="18">
        <v>1</v>
      </c>
      <c r="N390" s="18"/>
      <c r="O390" s="18"/>
      <c r="P390" s="18"/>
      <c r="Q390" s="18"/>
      <c r="R390" s="18">
        <v>2.9737499999999999</v>
      </c>
      <c r="S390" s="18">
        <v>1</v>
      </c>
      <c r="T390" t="e">
        <f>+COUNTIF('[1]Facade Heat Loss'!$A:$A,A390)</f>
        <v>#VALUE!</v>
      </c>
    </row>
    <row r="391" spans="1:20" x14ac:dyDescent="0.25">
      <c r="A391" s="25" t="s">
        <v>530</v>
      </c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>
        <v>2.9737499999999999</v>
      </c>
      <c r="M391" s="18">
        <v>1</v>
      </c>
      <c r="N391" s="18"/>
      <c r="O391" s="18"/>
      <c r="P391" s="18"/>
      <c r="Q391" s="18"/>
      <c r="R391" s="18">
        <v>2.9737499999999999</v>
      </c>
      <c r="S391" s="18">
        <v>1</v>
      </c>
      <c r="T391" t="e">
        <f>+COUNTIF('[1]Facade Heat Loss'!$A:$A,A391)</f>
        <v>#VALUE!</v>
      </c>
    </row>
    <row r="392" spans="1:20" x14ac:dyDescent="0.25">
      <c r="A392" s="25" t="s">
        <v>531</v>
      </c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>
        <v>5.9474999999999998</v>
      </c>
      <c r="M392" s="18">
        <v>1</v>
      </c>
      <c r="N392" s="18"/>
      <c r="O392" s="18"/>
      <c r="P392" s="18"/>
      <c r="Q392" s="18"/>
      <c r="R392" s="18">
        <v>5.9474999999999998</v>
      </c>
      <c r="S392" s="18">
        <v>1</v>
      </c>
      <c r="T392" t="e">
        <f>+COUNTIF('[1]Facade Heat Loss'!$A:$A,A392)</f>
        <v>#VALUE!</v>
      </c>
    </row>
    <row r="393" spans="1:20" x14ac:dyDescent="0.25">
      <c r="A393" s="25" t="s">
        <v>532</v>
      </c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>
        <v>4.5750000000000002</v>
      </c>
      <c r="M393" s="18">
        <v>1</v>
      </c>
      <c r="N393" s="18"/>
      <c r="O393" s="18"/>
      <c r="P393" s="18"/>
      <c r="Q393" s="18"/>
      <c r="R393" s="18">
        <v>4.5750000000000002</v>
      </c>
      <c r="S393" s="18">
        <v>1</v>
      </c>
      <c r="T393" t="e">
        <f>+COUNTIF('[1]Facade Heat Loss'!$A:$A,A393)</f>
        <v>#VALUE!</v>
      </c>
    </row>
    <row r="394" spans="1:20" x14ac:dyDescent="0.25">
      <c r="A394" s="25" t="s">
        <v>533</v>
      </c>
      <c r="B394" s="18"/>
      <c r="C394" s="18"/>
      <c r="D394" s="18">
        <v>4.5750000000000002</v>
      </c>
      <c r="E394" s="18">
        <v>1</v>
      </c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>
        <v>4.5750000000000002</v>
      </c>
      <c r="S394" s="18">
        <v>1</v>
      </c>
      <c r="T394" t="e">
        <f>+COUNTIF('[1]Facade Heat Loss'!$A:$A,A394)</f>
        <v>#VALUE!</v>
      </c>
    </row>
    <row r="395" spans="1:20" x14ac:dyDescent="0.25">
      <c r="A395" s="25" t="s">
        <v>534</v>
      </c>
      <c r="B395" s="18"/>
      <c r="C395" s="18"/>
      <c r="D395" s="18">
        <v>2.9737499999999999</v>
      </c>
      <c r="E395" s="18">
        <v>1</v>
      </c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>
        <v>2.9737499999999999</v>
      </c>
      <c r="S395" s="18">
        <v>1</v>
      </c>
      <c r="T395" t="e">
        <f>+COUNTIF('[1]Facade Heat Loss'!$A:$A,A395)</f>
        <v>#VALUE!</v>
      </c>
    </row>
    <row r="396" spans="1:20" x14ac:dyDescent="0.25">
      <c r="A396" s="25" t="s">
        <v>535</v>
      </c>
      <c r="B396" s="18"/>
      <c r="C396" s="18"/>
      <c r="D396" s="18">
        <v>4.5750000000000002</v>
      </c>
      <c r="E396" s="18">
        <v>1</v>
      </c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>
        <v>4.5750000000000002</v>
      </c>
      <c r="S396" s="18">
        <v>1</v>
      </c>
      <c r="T396" t="e">
        <f>+COUNTIF('[1]Facade Heat Loss'!$A:$A,A396)</f>
        <v>#VALUE!</v>
      </c>
    </row>
    <row r="397" spans="1:20" x14ac:dyDescent="0.25">
      <c r="A397" s="25" t="s">
        <v>536</v>
      </c>
      <c r="B397" s="18"/>
      <c r="C397" s="18"/>
      <c r="D397" s="18">
        <v>5.9474999999999998</v>
      </c>
      <c r="E397" s="18">
        <v>2</v>
      </c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>
        <v>5.9474999999999998</v>
      </c>
      <c r="S397" s="18">
        <v>2</v>
      </c>
      <c r="T397" t="e">
        <f>+COUNTIF('[1]Facade Heat Loss'!$A:$A,A397)</f>
        <v>#VALUE!</v>
      </c>
    </row>
    <row r="398" spans="1:20" x14ac:dyDescent="0.25">
      <c r="A398" s="25" t="s">
        <v>537</v>
      </c>
      <c r="B398" s="18"/>
      <c r="C398" s="18"/>
      <c r="D398" s="18">
        <v>2.9737499999999999</v>
      </c>
      <c r="E398" s="18">
        <v>1</v>
      </c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>
        <v>2.9737499999999999</v>
      </c>
      <c r="S398" s="18">
        <v>1</v>
      </c>
      <c r="T398" t="e">
        <f>+COUNTIF('[1]Facade Heat Loss'!$A:$A,A398)</f>
        <v>#VALUE!</v>
      </c>
    </row>
    <row r="399" spans="1:20" x14ac:dyDescent="0.25">
      <c r="A399" s="25" t="s">
        <v>538</v>
      </c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>
        <v>4.5750000000000002</v>
      </c>
      <c r="M399" s="18">
        <v>1</v>
      </c>
      <c r="N399" s="18"/>
      <c r="O399" s="18"/>
      <c r="P399" s="18"/>
      <c r="Q399" s="18"/>
      <c r="R399" s="18">
        <v>4.5750000000000002</v>
      </c>
      <c r="S399" s="18">
        <v>1</v>
      </c>
      <c r="T399" t="e">
        <f>+COUNTIF('[1]Facade Heat Loss'!$A:$A,A399)</f>
        <v>#VALUE!</v>
      </c>
    </row>
    <row r="400" spans="1:20" x14ac:dyDescent="0.25">
      <c r="A400" s="25" t="s">
        <v>539</v>
      </c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>
        <v>3.05</v>
      </c>
      <c r="M400" s="18">
        <v>1</v>
      </c>
      <c r="N400" s="18"/>
      <c r="O400" s="18"/>
      <c r="P400" s="18"/>
      <c r="Q400" s="18"/>
      <c r="R400" s="18">
        <v>3.05</v>
      </c>
      <c r="S400" s="18">
        <v>1</v>
      </c>
      <c r="T400" t="e">
        <f>+COUNTIF('[1]Facade Heat Loss'!$A:$A,A400)</f>
        <v>#VALUE!</v>
      </c>
    </row>
    <row r="401" spans="1:20" x14ac:dyDescent="0.25">
      <c r="A401" s="25" t="s">
        <v>540</v>
      </c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>
        <v>3.05</v>
      </c>
      <c r="M401" s="18">
        <v>1</v>
      </c>
      <c r="N401" s="18"/>
      <c r="O401" s="18"/>
      <c r="P401" s="18"/>
      <c r="Q401" s="18"/>
      <c r="R401" s="18">
        <v>3.05</v>
      </c>
      <c r="S401" s="18">
        <v>1</v>
      </c>
      <c r="T401" t="e">
        <f>+COUNTIF('[1]Facade Heat Loss'!$A:$A,A401)</f>
        <v>#VALUE!</v>
      </c>
    </row>
    <row r="402" spans="1:20" x14ac:dyDescent="0.25">
      <c r="A402" s="25" t="s">
        <v>541</v>
      </c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>
        <v>6.1</v>
      </c>
      <c r="M402" s="18">
        <v>2</v>
      </c>
      <c r="N402" s="18"/>
      <c r="O402" s="18"/>
      <c r="P402" s="18"/>
      <c r="Q402" s="18"/>
      <c r="R402" s="18">
        <v>6.1</v>
      </c>
      <c r="S402" s="18">
        <v>2</v>
      </c>
      <c r="T402" t="e">
        <f>+COUNTIF('[1]Facade Heat Loss'!$A:$A,A402)</f>
        <v>#VALUE!</v>
      </c>
    </row>
    <row r="403" spans="1:20" x14ac:dyDescent="0.25">
      <c r="A403" s="25" t="s">
        <v>542</v>
      </c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>
        <v>3.05</v>
      </c>
      <c r="M403" s="18">
        <v>1</v>
      </c>
      <c r="N403" s="18"/>
      <c r="O403" s="18"/>
      <c r="P403" s="18"/>
      <c r="Q403" s="18"/>
      <c r="R403" s="18">
        <v>3.05</v>
      </c>
      <c r="S403" s="18">
        <v>1</v>
      </c>
      <c r="T403" t="e">
        <f>+COUNTIF('[1]Facade Heat Loss'!$A:$A,A403)</f>
        <v>#VALUE!</v>
      </c>
    </row>
    <row r="404" spans="1:20" x14ac:dyDescent="0.25">
      <c r="A404" s="25" t="s">
        <v>543</v>
      </c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>
        <v>4.5750000000000002</v>
      </c>
      <c r="M404" s="18">
        <v>1</v>
      </c>
      <c r="N404" s="18"/>
      <c r="O404" s="18"/>
      <c r="P404" s="18"/>
      <c r="Q404" s="18"/>
      <c r="R404" s="18">
        <v>4.5750000000000002</v>
      </c>
      <c r="S404" s="18">
        <v>1</v>
      </c>
      <c r="T404" t="e">
        <f>+COUNTIF('[1]Facade Heat Loss'!$A:$A,A404)</f>
        <v>#VALUE!</v>
      </c>
    </row>
    <row r="405" spans="1:20" x14ac:dyDescent="0.25">
      <c r="A405" s="25" t="s">
        <v>544</v>
      </c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>
        <v>3.05</v>
      </c>
      <c r="M405" s="18">
        <v>1</v>
      </c>
      <c r="N405" s="18"/>
      <c r="O405" s="18"/>
      <c r="P405" s="18"/>
      <c r="Q405" s="18"/>
      <c r="R405" s="18">
        <v>3.05</v>
      </c>
      <c r="S405" s="18">
        <v>1</v>
      </c>
      <c r="T405" t="e">
        <f>+COUNTIF('[1]Facade Heat Loss'!$A:$A,A405)</f>
        <v>#VALUE!</v>
      </c>
    </row>
    <row r="406" spans="1:20" x14ac:dyDescent="0.25">
      <c r="A406" s="25" t="s">
        <v>545</v>
      </c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>
        <v>5.9474999999999998</v>
      </c>
      <c r="M406" s="18">
        <v>1</v>
      </c>
      <c r="N406" s="18"/>
      <c r="O406" s="18"/>
      <c r="P406" s="18"/>
      <c r="Q406" s="18"/>
      <c r="R406" s="18">
        <v>5.9474999999999998</v>
      </c>
      <c r="S406" s="18">
        <v>1</v>
      </c>
      <c r="T406" t="e">
        <f>+COUNTIF('[1]Facade Heat Loss'!$A:$A,A406)</f>
        <v>#VALUE!</v>
      </c>
    </row>
    <row r="407" spans="1:20" x14ac:dyDescent="0.25">
      <c r="A407" s="25" t="s">
        <v>552</v>
      </c>
      <c r="B407" s="18"/>
      <c r="C407" s="18"/>
      <c r="D407" s="18">
        <v>10.27075</v>
      </c>
      <c r="E407" s="18">
        <v>2</v>
      </c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>
        <v>10.27075</v>
      </c>
      <c r="S407" s="18">
        <v>2</v>
      </c>
      <c r="T407" t="e">
        <f>+COUNTIF('[1]Facade Heat Loss'!$A:$A,A407)</f>
        <v>#VALUE!</v>
      </c>
    </row>
    <row r="408" spans="1:20" x14ac:dyDescent="0.25">
      <c r="A408" s="25" t="s">
        <v>555</v>
      </c>
      <c r="B408" s="18"/>
      <c r="C408" s="18"/>
      <c r="D408" s="18">
        <v>10.27075</v>
      </c>
      <c r="E408" s="18">
        <v>2</v>
      </c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>
        <v>10.27075</v>
      </c>
      <c r="S408" s="18">
        <v>2</v>
      </c>
      <c r="T408" t="e">
        <f>+COUNTIF('[1]Facade Heat Loss'!$A:$A,A408)</f>
        <v>#VALUE!</v>
      </c>
    </row>
    <row r="409" spans="1:20" x14ac:dyDescent="0.25">
      <c r="A409" s="25" t="s">
        <v>556</v>
      </c>
      <c r="B409" s="18"/>
      <c r="C409" s="18"/>
      <c r="D409" s="18">
        <v>10.27075</v>
      </c>
      <c r="E409" s="18">
        <v>2</v>
      </c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>
        <v>10.27075</v>
      </c>
      <c r="S409" s="18">
        <v>2</v>
      </c>
      <c r="T409" t="e">
        <f>+COUNTIF('[1]Facade Heat Loss'!$A:$A,A409)</f>
        <v>#VALUE!</v>
      </c>
    </row>
    <row r="410" spans="1:20" x14ac:dyDescent="0.25">
      <c r="A410" s="25" t="s">
        <v>557</v>
      </c>
      <c r="B410" s="18"/>
      <c r="C410" s="18"/>
      <c r="D410" s="18">
        <v>10.27075</v>
      </c>
      <c r="E410" s="18">
        <v>2</v>
      </c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>
        <v>10.27075</v>
      </c>
      <c r="S410" s="18">
        <v>2</v>
      </c>
      <c r="T410" t="e">
        <f>+COUNTIF('[1]Facade Heat Loss'!$A:$A,A410)</f>
        <v>#VALUE!</v>
      </c>
    </row>
    <row r="411" spans="1:20" x14ac:dyDescent="0.25">
      <c r="A411" s="25" t="s">
        <v>558</v>
      </c>
      <c r="B411" s="18"/>
      <c r="C411" s="18"/>
      <c r="D411" s="18">
        <v>10.27075</v>
      </c>
      <c r="E411" s="18">
        <v>2</v>
      </c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>
        <v>10.27075</v>
      </c>
      <c r="S411" s="18">
        <v>2</v>
      </c>
      <c r="T411" t="e">
        <f>+COUNTIF('[1]Facade Heat Loss'!$A:$A,A411)</f>
        <v>#VALUE!</v>
      </c>
    </row>
    <row r="412" spans="1:20" x14ac:dyDescent="0.25">
      <c r="A412" s="25" t="s">
        <v>559</v>
      </c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>
        <v>10.644500000000001</v>
      </c>
      <c r="M412" s="18">
        <v>2</v>
      </c>
      <c r="N412" s="18"/>
      <c r="O412" s="18"/>
      <c r="P412" s="18"/>
      <c r="Q412" s="18"/>
      <c r="R412" s="18">
        <v>10.644500000000001</v>
      </c>
      <c r="S412" s="18">
        <v>2</v>
      </c>
      <c r="T412" t="e">
        <f>+COUNTIF('[1]Facade Heat Loss'!$A:$A,A412)</f>
        <v>#VALUE!</v>
      </c>
    </row>
    <row r="413" spans="1:20" x14ac:dyDescent="0.25">
      <c r="A413" s="25" t="s">
        <v>560</v>
      </c>
      <c r="B413" s="18"/>
      <c r="C413" s="18"/>
      <c r="D413" s="18">
        <v>2.6</v>
      </c>
      <c r="E413" s="18">
        <v>1</v>
      </c>
      <c r="F413" s="18"/>
      <c r="G413" s="18"/>
      <c r="H413" s="18"/>
      <c r="I413" s="18"/>
      <c r="J413" s="18"/>
      <c r="K413" s="18"/>
      <c r="L413" s="18">
        <v>7.67075</v>
      </c>
      <c r="M413" s="18">
        <v>1</v>
      </c>
      <c r="N413" s="18"/>
      <c r="O413" s="18"/>
      <c r="P413" s="18"/>
      <c r="Q413" s="18"/>
      <c r="R413" s="18">
        <v>10.27075</v>
      </c>
      <c r="S413" s="18">
        <v>2</v>
      </c>
      <c r="T413" t="e">
        <f>+COUNTIF('[1]Facade Heat Loss'!$A:$A,A413)</f>
        <v>#VALUE!</v>
      </c>
    </row>
    <row r="414" spans="1:20" x14ac:dyDescent="0.25">
      <c r="A414" s="25" t="s">
        <v>561</v>
      </c>
      <c r="B414" s="18"/>
      <c r="C414" s="18"/>
      <c r="D414" s="18">
        <v>2.6</v>
      </c>
      <c r="E414" s="18">
        <v>1</v>
      </c>
      <c r="F414" s="18"/>
      <c r="G414" s="18"/>
      <c r="H414" s="18"/>
      <c r="I414" s="18"/>
      <c r="J414" s="18"/>
      <c r="K414" s="18"/>
      <c r="L414" s="18">
        <v>7.67075</v>
      </c>
      <c r="M414" s="18">
        <v>1</v>
      </c>
      <c r="N414" s="18"/>
      <c r="O414" s="18"/>
      <c r="P414" s="18"/>
      <c r="Q414" s="18"/>
      <c r="R414" s="18">
        <v>10.27075</v>
      </c>
      <c r="S414" s="18">
        <v>2</v>
      </c>
      <c r="T414" t="e">
        <f>+COUNTIF('[1]Facade Heat Loss'!$A:$A,A414)</f>
        <v>#VALUE!</v>
      </c>
    </row>
    <row r="415" spans="1:20" x14ac:dyDescent="0.25">
      <c r="A415" s="25" t="s">
        <v>562</v>
      </c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>
        <v>7.67075</v>
      </c>
      <c r="M415" s="18">
        <v>1</v>
      </c>
      <c r="N415" s="18"/>
      <c r="O415" s="18"/>
      <c r="P415" s="18"/>
      <c r="Q415" s="18"/>
      <c r="R415" s="18">
        <v>7.67075</v>
      </c>
      <c r="S415" s="18">
        <v>1</v>
      </c>
      <c r="T415" t="e">
        <f>+COUNTIF('[1]Facade Heat Loss'!$A:$A,A415)</f>
        <v>#VALUE!</v>
      </c>
    </row>
    <row r="416" spans="1:20" x14ac:dyDescent="0.25">
      <c r="A416" s="25" t="s">
        <v>563</v>
      </c>
      <c r="B416" s="18"/>
      <c r="C416" s="18"/>
      <c r="D416" s="18">
        <v>7.67075</v>
      </c>
      <c r="E416" s="18">
        <v>1</v>
      </c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>
        <v>7.67075</v>
      </c>
      <c r="S416" s="18">
        <v>1</v>
      </c>
      <c r="T416" t="e">
        <f>+COUNTIF('[1]Facade Heat Loss'!$A:$A,A416)</f>
        <v>#VALUE!</v>
      </c>
    </row>
    <row r="417" spans="1:20" x14ac:dyDescent="0.25">
      <c r="A417" s="25" t="s">
        <v>564</v>
      </c>
      <c r="B417" s="18"/>
      <c r="C417" s="18"/>
      <c r="D417" s="18">
        <v>10.27075</v>
      </c>
      <c r="E417" s="18">
        <v>2</v>
      </c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>
        <v>10.27075</v>
      </c>
      <c r="S417" s="18">
        <v>2</v>
      </c>
      <c r="T417" t="e">
        <f>+COUNTIF('[1]Facade Heat Loss'!$A:$A,A417)</f>
        <v>#VALUE!</v>
      </c>
    </row>
    <row r="418" spans="1:20" x14ac:dyDescent="0.25">
      <c r="A418" s="25" t="s">
        <v>565</v>
      </c>
      <c r="B418" s="18"/>
      <c r="C418" s="18"/>
      <c r="D418" s="18">
        <v>10.27075</v>
      </c>
      <c r="E418" s="18">
        <v>2</v>
      </c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>
        <v>10.27075</v>
      </c>
      <c r="S418" s="18">
        <v>2</v>
      </c>
      <c r="T418" t="e">
        <f>+COUNTIF('[1]Facade Heat Loss'!$A:$A,A418)</f>
        <v>#VALUE!</v>
      </c>
    </row>
    <row r="419" spans="1:20" x14ac:dyDescent="0.25">
      <c r="A419" s="25" t="s">
        <v>566</v>
      </c>
      <c r="B419" s="18"/>
      <c r="C419" s="18"/>
      <c r="D419" s="18">
        <v>10.27075</v>
      </c>
      <c r="E419" s="18">
        <v>2</v>
      </c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>
        <v>10.27075</v>
      </c>
      <c r="S419" s="18">
        <v>2</v>
      </c>
      <c r="T419" t="e">
        <f>+COUNTIF('[1]Facade Heat Loss'!$A:$A,A419)</f>
        <v>#VALUE!</v>
      </c>
    </row>
    <row r="420" spans="1:20" x14ac:dyDescent="0.25">
      <c r="A420" s="25" t="s">
        <v>567</v>
      </c>
      <c r="B420" s="18"/>
      <c r="C420" s="18"/>
      <c r="D420" s="18">
        <v>2.6</v>
      </c>
      <c r="E420" s="18">
        <v>1</v>
      </c>
      <c r="F420" s="18"/>
      <c r="G420" s="18"/>
      <c r="H420" s="18"/>
      <c r="I420" s="18"/>
      <c r="J420" s="18"/>
      <c r="K420" s="18"/>
      <c r="L420" s="18">
        <v>7.67075</v>
      </c>
      <c r="M420" s="18">
        <v>1</v>
      </c>
      <c r="N420" s="18"/>
      <c r="O420" s="18"/>
      <c r="P420" s="18"/>
      <c r="Q420" s="18"/>
      <c r="R420" s="18">
        <v>10.27075</v>
      </c>
      <c r="S420" s="18">
        <v>2</v>
      </c>
      <c r="T420" t="e">
        <f>+COUNTIF('[1]Facade Heat Loss'!$A:$A,A420)</f>
        <v>#VALUE!</v>
      </c>
    </row>
    <row r="421" spans="1:20" x14ac:dyDescent="0.25">
      <c r="A421" s="25" t="s">
        <v>568</v>
      </c>
      <c r="B421" s="18"/>
      <c r="C421" s="18"/>
      <c r="D421" s="18">
        <v>2.6</v>
      </c>
      <c r="E421" s="18">
        <v>1</v>
      </c>
      <c r="F421" s="18"/>
      <c r="G421" s="18"/>
      <c r="H421" s="18"/>
      <c r="I421" s="18"/>
      <c r="J421" s="18"/>
      <c r="K421" s="18"/>
      <c r="L421" s="18">
        <v>7.67075</v>
      </c>
      <c r="M421" s="18">
        <v>1</v>
      </c>
      <c r="N421" s="18"/>
      <c r="O421" s="18"/>
      <c r="P421" s="18"/>
      <c r="Q421" s="18"/>
      <c r="R421" s="18">
        <v>10.27075</v>
      </c>
      <c r="S421" s="18">
        <v>2</v>
      </c>
      <c r="T421" t="e">
        <f>+COUNTIF('[1]Facade Heat Loss'!$A:$A,A421)</f>
        <v>#VALUE!</v>
      </c>
    </row>
    <row r="422" spans="1:20" x14ac:dyDescent="0.25">
      <c r="A422" s="25" t="s">
        <v>569</v>
      </c>
      <c r="B422" s="18"/>
      <c r="C422" s="18"/>
      <c r="D422" s="18">
        <v>2.6</v>
      </c>
      <c r="E422" s="18">
        <v>1</v>
      </c>
      <c r="F422" s="18"/>
      <c r="G422" s="18"/>
      <c r="H422" s="18"/>
      <c r="I422" s="18"/>
      <c r="J422" s="18"/>
      <c r="K422" s="18"/>
      <c r="L422" s="18">
        <v>7.67075</v>
      </c>
      <c r="M422" s="18">
        <v>1</v>
      </c>
      <c r="N422" s="18"/>
      <c r="O422" s="18"/>
      <c r="P422" s="18"/>
      <c r="Q422" s="18"/>
      <c r="R422" s="18">
        <v>10.27075</v>
      </c>
      <c r="S422" s="18">
        <v>2</v>
      </c>
      <c r="T422" t="e">
        <f>+COUNTIF('[1]Facade Heat Loss'!$A:$A,A422)</f>
        <v>#VALUE!</v>
      </c>
    </row>
    <row r="423" spans="1:20" x14ac:dyDescent="0.25">
      <c r="A423" s="25" t="s">
        <v>570</v>
      </c>
      <c r="B423" s="18"/>
      <c r="C423" s="18"/>
      <c r="D423" s="18">
        <v>10.27075</v>
      </c>
      <c r="E423" s="18">
        <v>2</v>
      </c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>
        <v>10.27075</v>
      </c>
      <c r="S423" s="18">
        <v>2</v>
      </c>
      <c r="T423" t="e">
        <f>+COUNTIF('[1]Facade Heat Loss'!$A:$A,A423)</f>
        <v>#VALUE!</v>
      </c>
    </row>
    <row r="424" spans="1:20" x14ac:dyDescent="0.25">
      <c r="A424" s="25" t="s">
        <v>571</v>
      </c>
      <c r="B424" s="18"/>
      <c r="C424" s="18"/>
      <c r="D424" s="18">
        <v>2.6</v>
      </c>
      <c r="E424" s="18">
        <v>1</v>
      </c>
      <c r="F424" s="18"/>
      <c r="G424" s="18"/>
      <c r="H424" s="18"/>
      <c r="I424" s="18"/>
      <c r="J424" s="18"/>
      <c r="K424" s="18"/>
      <c r="L424" s="18">
        <v>7.67075</v>
      </c>
      <c r="M424" s="18">
        <v>1</v>
      </c>
      <c r="N424" s="18"/>
      <c r="O424" s="18"/>
      <c r="P424" s="18"/>
      <c r="Q424" s="18"/>
      <c r="R424" s="18">
        <v>10.27075</v>
      </c>
      <c r="S424" s="18">
        <v>2</v>
      </c>
      <c r="T424" t="e">
        <f>+COUNTIF('[1]Facade Heat Loss'!$A:$A,A424)</f>
        <v>#VALUE!</v>
      </c>
    </row>
    <row r="425" spans="1:20" x14ac:dyDescent="0.25">
      <c r="A425" s="25" t="s">
        <v>573</v>
      </c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>
        <v>6.1</v>
      </c>
      <c r="M425" s="18">
        <v>2</v>
      </c>
      <c r="N425" s="18"/>
      <c r="O425" s="18"/>
      <c r="P425" s="18"/>
      <c r="Q425" s="18"/>
      <c r="R425" s="18">
        <v>6.1</v>
      </c>
      <c r="S425" s="18">
        <v>2</v>
      </c>
      <c r="T425" t="e">
        <f>+COUNTIF('[1]Facade Heat Loss'!$A:$A,A425)</f>
        <v>#VALUE!</v>
      </c>
    </row>
    <row r="426" spans="1:20" x14ac:dyDescent="0.25">
      <c r="A426" s="25" t="s">
        <v>574</v>
      </c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>
        <v>5.9474999999999998</v>
      </c>
      <c r="M426" s="18">
        <v>1</v>
      </c>
      <c r="N426" s="18"/>
      <c r="O426" s="18"/>
      <c r="P426" s="18"/>
      <c r="Q426" s="18"/>
      <c r="R426" s="18">
        <v>5.9474999999999998</v>
      </c>
      <c r="S426" s="18">
        <v>1</v>
      </c>
      <c r="T426" t="e">
        <f>+COUNTIF('[1]Facade Heat Loss'!$A:$A,A426)</f>
        <v>#VALUE!</v>
      </c>
    </row>
    <row r="427" spans="1:20" x14ac:dyDescent="0.25">
      <c r="A427" s="25" t="s">
        <v>575</v>
      </c>
      <c r="B427" s="18" t="e">
        <v>#N/A</v>
      </c>
      <c r="C427" s="18">
        <v>2</v>
      </c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 t="e">
        <v>#N/A</v>
      </c>
      <c r="S427" s="18" t="e">
        <v>#N/A</v>
      </c>
      <c r="T427" t="e">
        <f>+COUNTIF('[1]Facade Heat Loss'!$A:$A,A427)</f>
        <v>#VALUE!</v>
      </c>
    </row>
    <row r="428" spans="1:20" x14ac:dyDescent="0.25">
      <c r="A428" s="25" t="s">
        <v>577</v>
      </c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>
        <v>4.5750000000000002</v>
      </c>
      <c r="M428" s="18">
        <v>1</v>
      </c>
      <c r="N428" s="18"/>
      <c r="O428" s="18"/>
      <c r="P428" s="18"/>
      <c r="Q428" s="18"/>
      <c r="R428" s="18">
        <v>4.5750000000000002</v>
      </c>
      <c r="S428" s="18">
        <v>1</v>
      </c>
      <c r="T428" t="e">
        <f>+COUNTIF('[1]Facade Heat Loss'!$A:$A,A428)</f>
        <v>#VALUE!</v>
      </c>
    </row>
    <row r="429" spans="1:20" x14ac:dyDescent="0.25">
      <c r="A429" s="25" t="s">
        <v>578</v>
      </c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>
        <v>3.05</v>
      </c>
      <c r="M429" s="18">
        <v>1</v>
      </c>
      <c r="N429" s="18"/>
      <c r="O429" s="18"/>
      <c r="P429" s="18"/>
      <c r="Q429" s="18"/>
      <c r="R429" s="18">
        <v>3.05</v>
      </c>
      <c r="S429" s="18">
        <v>1</v>
      </c>
      <c r="T429" t="e">
        <f>+COUNTIF('[1]Facade Heat Loss'!$A:$A,A429)</f>
        <v>#VALUE!</v>
      </c>
    </row>
    <row r="430" spans="1:20" x14ac:dyDescent="0.25">
      <c r="A430" s="25" t="s">
        <v>579</v>
      </c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>
        <v>3.05</v>
      </c>
      <c r="M430" s="18">
        <v>1</v>
      </c>
      <c r="N430" s="18"/>
      <c r="O430" s="18"/>
      <c r="P430" s="18"/>
      <c r="Q430" s="18"/>
      <c r="R430" s="18">
        <v>3.05</v>
      </c>
      <c r="S430" s="18">
        <v>1</v>
      </c>
      <c r="T430" t="e">
        <f>+COUNTIF('[1]Facade Heat Loss'!$A:$A,A430)</f>
        <v>#VALUE!</v>
      </c>
    </row>
    <row r="431" spans="1:20" x14ac:dyDescent="0.25">
      <c r="A431" s="25" t="s">
        <v>580</v>
      </c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>
        <v>5.9474999999999998</v>
      </c>
      <c r="Q431" s="18">
        <v>1</v>
      </c>
      <c r="R431" s="18">
        <v>5.9474999999999998</v>
      </c>
      <c r="S431" s="18">
        <v>1</v>
      </c>
      <c r="T431" t="e">
        <f>+COUNTIF('[1]Facade Heat Loss'!$A:$A,A431)</f>
        <v>#VALUE!</v>
      </c>
    </row>
    <row r="432" spans="1:20" x14ac:dyDescent="0.25">
      <c r="A432" s="25" t="s">
        <v>582</v>
      </c>
      <c r="B432" s="18"/>
      <c r="C432" s="18"/>
      <c r="D432" s="18">
        <v>2.9737499999999999</v>
      </c>
      <c r="E432" s="18">
        <v>1</v>
      </c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>
        <v>2.9737499999999999</v>
      </c>
      <c r="S432" s="18">
        <v>1</v>
      </c>
      <c r="T432" t="e">
        <f>+COUNTIF('[1]Facade Heat Loss'!$A:$A,A432)</f>
        <v>#VALUE!</v>
      </c>
    </row>
    <row r="433" spans="1:20" x14ac:dyDescent="0.25">
      <c r="A433" s="25" t="s">
        <v>583</v>
      </c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>
        <v>8.9212500000000006</v>
      </c>
      <c r="M433" s="18">
        <v>2</v>
      </c>
      <c r="N433" s="18"/>
      <c r="O433" s="18"/>
      <c r="P433" s="18"/>
      <c r="Q433" s="18"/>
      <c r="R433" s="18">
        <v>8.9212500000000006</v>
      </c>
      <c r="S433" s="18">
        <v>2</v>
      </c>
      <c r="T433" t="e">
        <f>+COUNTIF('[1]Facade Heat Loss'!$A:$A,A433)</f>
        <v>#VALUE!</v>
      </c>
    </row>
    <row r="434" spans="1:20" x14ac:dyDescent="0.25">
      <c r="A434" s="25" t="s">
        <v>584</v>
      </c>
      <c r="B434" s="18"/>
      <c r="C434" s="18"/>
      <c r="D434" s="18">
        <v>5.9474999999999998</v>
      </c>
      <c r="E434" s="18">
        <v>1</v>
      </c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>
        <v>5.9474999999999998</v>
      </c>
      <c r="S434" s="18">
        <v>1</v>
      </c>
      <c r="T434" t="e">
        <f>+COUNTIF('[1]Facade Heat Loss'!$A:$A,A434)</f>
        <v>#VALUE!</v>
      </c>
    </row>
    <row r="435" spans="1:20" x14ac:dyDescent="0.25">
      <c r="A435" s="25" t="s">
        <v>585</v>
      </c>
      <c r="B435" s="18"/>
      <c r="C435" s="18"/>
      <c r="D435" s="18">
        <v>7.5487500000000001</v>
      </c>
      <c r="E435" s="18">
        <v>2</v>
      </c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>
        <v>7.5487500000000001</v>
      </c>
      <c r="S435" s="18">
        <v>2</v>
      </c>
      <c r="T435" t="e">
        <f>+COUNTIF('[1]Facade Heat Loss'!$A:$A,A435)</f>
        <v>#VALUE!</v>
      </c>
    </row>
    <row r="436" spans="1:20" x14ac:dyDescent="0.25">
      <c r="A436" s="25" t="s">
        <v>586</v>
      </c>
      <c r="B436" s="18"/>
      <c r="C436" s="18"/>
      <c r="D436" s="18">
        <v>2.9737499999999999</v>
      </c>
      <c r="E436" s="18">
        <v>1</v>
      </c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>
        <v>2.9737499999999999</v>
      </c>
      <c r="S436" s="18">
        <v>1</v>
      </c>
      <c r="T436" t="e">
        <f>+COUNTIF('[1]Facade Heat Loss'!$A:$A,A436)</f>
        <v>#VALUE!</v>
      </c>
    </row>
    <row r="437" spans="1:20" x14ac:dyDescent="0.25">
      <c r="A437" s="25" t="s">
        <v>587</v>
      </c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>
        <v>10.522500000000001</v>
      </c>
      <c r="M437" s="18">
        <v>2</v>
      </c>
      <c r="N437" s="18"/>
      <c r="O437" s="18"/>
      <c r="P437" s="18"/>
      <c r="Q437" s="18"/>
      <c r="R437" s="18">
        <v>10.522500000000001</v>
      </c>
      <c r="S437" s="18">
        <v>2</v>
      </c>
      <c r="T437" t="e">
        <f>+COUNTIF('[1]Facade Heat Loss'!$A:$A,A437)</f>
        <v>#VALUE!</v>
      </c>
    </row>
    <row r="438" spans="1:20" x14ac:dyDescent="0.25">
      <c r="A438" s="25" t="s">
        <v>588</v>
      </c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>
        <v>10.522500000000001</v>
      </c>
      <c r="O438" s="18">
        <v>2</v>
      </c>
      <c r="P438" s="18"/>
      <c r="Q438" s="18"/>
      <c r="R438" s="18">
        <v>10.522500000000001</v>
      </c>
      <c r="S438" s="18">
        <v>2</v>
      </c>
      <c r="T438" t="e">
        <f>+COUNTIF('[1]Facade Heat Loss'!$A:$A,A438)</f>
        <v>#VALUE!</v>
      </c>
    </row>
    <row r="439" spans="1:20" x14ac:dyDescent="0.25">
      <c r="A439" s="25" t="s">
        <v>589</v>
      </c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>
        <v>10.522500000000001</v>
      </c>
      <c r="O439" s="18">
        <v>3</v>
      </c>
      <c r="P439" s="18"/>
      <c r="Q439" s="18"/>
      <c r="R439" s="18">
        <v>10.522500000000001</v>
      </c>
      <c r="S439" s="18">
        <v>3</v>
      </c>
      <c r="T439" t="e">
        <f>+COUNTIF('[1]Facade Heat Loss'!$A:$A,A439)</f>
        <v>#VALUE!</v>
      </c>
    </row>
    <row r="440" spans="1:20" x14ac:dyDescent="0.25">
      <c r="A440" s="25" t="s">
        <v>590</v>
      </c>
      <c r="B440" s="18"/>
      <c r="C440" s="18"/>
      <c r="D440" s="18"/>
      <c r="E440" s="18"/>
      <c r="F440" s="18">
        <v>10.522500000000001</v>
      </c>
      <c r="G440" s="18">
        <v>2</v>
      </c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>
        <v>10.522500000000001</v>
      </c>
      <c r="S440" s="18">
        <v>2</v>
      </c>
      <c r="T440" t="e">
        <f>+COUNTIF('[1]Facade Heat Loss'!$A:$A,A440)</f>
        <v>#VALUE!</v>
      </c>
    </row>
    <row r="441" spans="1:20" x14ac:dyDescent="0.25">
      <c r="A441" s="25" t="s">
        <v>591</v>
      </c>
      <c r="B441" s="18"/>
      <c r="C441" s="18"/>
      <c r="D441" s="18"/>
      <c r="E441" s="18"/>
      <c r="F441" s="18">
        <v>8.9212500000000006</v>
      </c>
      <c r="G441" s="18">
        <v>2</v>
      </c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>
        <v>8.9212500000000006</v>
      </c>
      <c r="S441" s="18">
        <v>2</v>
      </c>
      <c r="T441" t="e">
        <f>+COUNTIF('[1]Facade Heat Loss'!$A:$A,A441)</f>
        <v>#VALUE!</v>
      </c>
    </row>
    <row r="442" spans="1:20" x14ac:dyDescent="0.25">
      <c r="A442" s="25" t="s">
        <v>592</v>
      </c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>
        <v>2.9737499999999999</v>
      </c>
      <c r="O442" s="18">
        <v>1</v>
      </c>
      <c r="P442" s="18"/>
      <c r="Q442" s="18"/>
      <c r="R442" s="18">
        <v>2.9737499999999999</v>
      </c>
      <c r="S442" s="18">
        <v>1</v>
      </c>
      <c r="T442" t="e">
        <f>+COUNTIF('[1]Facade Heat Loss'!$A:$A,A442)</f>
        <v>#VALUE!</v>
      </c>
    </row>
    <row r="443" spans="1:20" x14ac:dyDescent="0.25">
      <c r="A443" s="25" t="s">
        <v>593</v>
      </c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>
        <v>4.5750000000000002</v>
      </c>
      <c r="O443" s="18">
        <v>1</v>
      </c>
      <c r="P443" s="18"/>
      <c r="Q443" s="18"/>
      <c r="R443" s="18">
        <v>4.5750000000000002</v>
      </c>
      <c r="S443" s="18">
        <v>1</v>
      </c>
      <c r="T443" t="e">
        <f>+COUNTIF('[1]Facade Heat Loss'!$A:$A,A443)</f>
        <v>#VALUE!</v>
      </c>
    </row>
    <row r="444" spans="1:20" x14ac:dyDescent="0.25">
      <c r="A444" s="25" t="s">
        <v>601</v>
      </c>
      <c r="B444" s="18"/>
      <c r="C444" s="18"/>
      <c r="D444" s="18">
        <v>25.391249999999999</v>
      </c>
      <c r="E444" s="18">
        <v>6</v>
      </c>
      <c r="F444" s="18"/>
      <c r="G444" s="18"/>
      <c r="H444" s="18"/>
      <c r="I444" s="18"/>
      <c r="J444" s="18"/>
      <c r="K444" s="18"/>
      <c r="L444" s="18">
        <v>23.012250000000002</v>
      </c>
      <c r="M444" s="18">
        <v>3</v>
      </c>
      <c r="N444" s="18"/>
      <c r="O444" s="18"/>
      <c r="P444" s="18"/>
      <c r="Q444" s="18"/>
      <c r="R444" s="18">
        <v>48.403499999999994</v>
      </c>
      <c r="S444" s="18">
        <v>9</v>
      </c>
      <c r="T444" t="e">
        <f>+COUNTIF('[1]Facade Heat Loss'!$A:$A,A444)</f>
        <v>#VALUE!</v>
      </c>
    </row>
    <row r="445" spans="1:20" x14ac:dyDescent="0.25">
      <c r="A445" s="25" t="s">
        <v>602</v>
      </c>
      <c r="B445" s="18"/>
      <c r="C445" s="18"/>
      <c r="D445" s="18">
        <v>3.05</v>
      </c>
      <c r="E445" s="18">
        <v>1</v>
      </c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>
        <v>3.05</v>
      </c>
      <c r="S445" s="18">
        <v>1</v>
      </c>
      <c r="T445" t="e">
        <f>+COUNTIF('[1]Facade Heat Loss'!$A:$A,A445)</f>
        <v>#VALUE!</v>
      </c>
    </row>
    <row r="446" spans="1:20" x14ac:dyDescent="0.25">
      <c r="A446" s="25" t="s">
        <v>604</v>
      </c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>
        <v>3.05</v>
      </c>
      <c r="M446" s="18">
        <v>1</v>
      </c>
      <c r="N446" s="18"/>
      <c r="O446" s="18"/>
      <c r="P446" s="18"/>
      <c r="Q446" s="18"/>
      <c r="R446" s="18">
        <v>3.05</v>
      </c>
      <c r="S446" s="18">
        <v>1</v>
      </c>
      <c r="T446" t="e">
        <f>+COUNTIF('[1]Facade Heat Loss'!$A:$A,A446)</f>
        <v>#VALUE!</v>
      </c>
    </row>
    <row r="447" spans="1:20" x14ac:dyDescent="0.25">
      <c r="A447" s="25" t="s">
        <v>605</v>
      </c>
      <c r="B447" s="18"/>
      <c r="C447" s="18"/>
      <c r="D447" s="18">
        <v>7.625</v>
      </c>
      <c r="E447" s="18">
        <v>2</v>
      </c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>
        <v>7.625</v>
      </c>
      <c r="S447" s="18">
        <v>2</v>
      </c>
      <c r="T447" t="e">
        <f>+COUNTIF('[1]Facade Heat Loss'!$A:$A,A447)</f>
        <v>#VALUE!</v>
      </c>
    </row>
    <row r="448" spans="1:20" x14ac:dyDescent="0.25">
      <c r="A448" s="25" t="s">
        <v>606</v>
      </c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>
        <v>9.15</v>
      </c>
      <c r="O448" s="18">
        <v>2</v>
      </c>
      <c r="P448" s="18"/>
      <c r="Q448" s="18"/>
      <c r="R448" s="18">
        <v>9.15</v>
      </c>
      <c r="S448" s="18">
        <v>2</v>
      </c>
      <c r="T448" t="e">
        <f>+COUNTIF('[1]Facade Heat Loss'!$A:$A,A448)</f>
        <v>#VALUE!</v>
      </c>
    </row>
    <row r="449" spans="1:20" x14ac:dyDescent="0.25">
      <c r="A449" s="25" t="s">
        <v>607</v>
      </c>
      <c r="B449" s="18">
        <v>4.5750000000000002</v>
      </c>
      <c r="C449" s="18">
        <v>1</v>
      </c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>
        <v>4.5750000000000002</v>
      </c>
      <c r="S449" s="18">
        <v>1</v>
      </c>
      <c r="T449" t="e">
        <f>+COUNTIF('[1]Facade Heat Loss'!$A:$A,A449)</f>
        <v>#VALUE!</v>
      </c>
    </row>
    <row r="450" spans="1:20" x14ac:dyDescent="0.25">
      <c r="A450" s="25" t="s">
        <v>609</v>
      </c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>
        <v>5.9474999999999998</v>
      </c>
      <c r="O450" s="18">
        <v>1</v>
      </c>
      <c r="P450" s="18"/>
      <c r="Q450" s="18"/>
      <c r="R450" s="18">
        <v>5.9474999999999998</v>
      </c>
      <c r="S450" s="18">
        <v>1</v>
      </c>
      <c r="T450" t="e">
        <f>+COUNTIF('[1]Facade Heat Loss'!$A:$A,A450)</f>
        <v>#VALUE!</v>
      </c>
    </row>
    <row r="451" spans="1:20" x14ac:dyDescent="0.25">
      <c r="A451" s="25" t="s">
        <v>610</v>
      </c>
      <c r="B451" s="18"/>
      <c r="C451" s="18"/>
      <c r="D451" s="18">
        <v>4.5750000000000002</v>
      </c>
      <c r="E451" s="18">
        <v>1</v>
      </c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>
        <v>4.5750000000000002</v>
      </c>
      <c r="S451" s="18">
        <v>1</v>
      </c>
      <c r="T451" t="e">
        <f>+COUNTIF('[1]Facade Heat Loss'!$A:$A,A451)</f>
        <v>#VALUE!</v>
      </c>
    </row>
    <row r="452" spans="1:20" x14ac:dyDescent="0.25">
      <c r="A452" s="25" t="s">
        <v>611</v>
      </c>
      <c r="B452" s="18"/>
      <c r="C452" s="18"/>
      <c r="D452" s="18">
        <v>5.9474999999999998</v>
      </c>
      <c r="E452" s="18">
        <v>1</v>
      </c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>
        <v>5.9474999999999998</v>
      </c>
      <c r="S452" s="18">
        <v>1</v>
      </c>
      <c r="T452" t="e">
        <f>+COUNTIF('[1]Facade Heat Loss'!$A:$A,A452)</f>
        <v>#VALUE!</v>
      </c>
    </row>
    <row r="453" spans="1:20" x14ac:dyDescent="0.25">
      <c r="A453" s="25" t="s">
        <v>612</v>
      </c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>
        <v>5.9474999999999998</v>
      </c>
      <c r="M453" s="18">
        <v>1</v>
      </c>
      <c r="N453" s="18"/>
      <c r="O453" s="18"/>
      <c r="P453" s="18"/>
      <c r="Q453" s="18"/>
      <c r="R453" s="18">
        <v>5.9474999999999998</v>
      </c>
      <c r="S453" s="18">
        <v>1</v>
      </c>
      <c r="T453" t="e">
        <f>+COUNTIF('[1]Facade Heat Loss'!$A:$A,A453)</f>
        <v>#VALUE!</v>
      </c>
    </row>
    <row r="454" spans="1:20" x14ac:dyDescent="0.25">
      <c r="A454" s="25" t="s">
        <v>613</v>
      </c>
      <c r="B454" s="18"/>
      <c r="C454" s="18"/>
      <c r="D454" s="18">
        <v>4.5750000000000002</v>
      </c>
      <c r="E454" s="18">
        <v>1</v>
      </c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>
        <v>4.5750000000000002</v>
      </c>
      <c r="S454" s="18">
        <v>1</v>
      </c>
      <c r="T454" t="e">
        <f>+COUNTIF('[1]Facade Heat Loss'!$A:$A,A454)</f>
        <v>#VALUE!</v>
      </c>
    </row>
    <row r="455" spans="1:20" x14ac:dyDescent="0.25">
      <c r="A455" s="25" t="s">
        <v>618</v>
      </c>
      <c r="B455" s="18"/>
      <c r="C455" s="18"/>
      <c r="D455" s="18">
        <v>15.99</v>
      </c>
      <c r="E455" s="18">
        <v>2</v>
      </c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>
        <v>15.99</v>
      </c>
      <c r="S455" s="18">
        <v>2</v>
      </c>
      <c r="T455" t="e">
        <f>+COUNTIF('[1]Facade Heat Loss'!$A:$A,A455)</f>
        <v>#VALUE!</v>
      </c>
    </row>
    <row r="456" spans="1:20" x14ac:dyDescent="0.25">
      <c r="A456" s="25" t="s">
        <v>620</v>
      </c>
      <c r="B456" s="18"/>
      <c r="C456" s="18"/>
      <c r="D456" s="18">
        <v>34.092524999999796</v>
      </c>
      <c r="E456" s="18">
        <v>7</v>
      </c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>
        <v>34.092524999999796</v>
      </c>
      <c r="S456" s="18">
        <v>7</v>
      </c>
      <c r="T456" t="e">
        <f>+COUNTIF('[1]Facade Heat Loss'!$A:$A,A456)</f>
        <v>#VALUE!</v>
      </c>
    </row>
    <row r="457" spans="1:20" x14ac:dyDescent="0.25">
      <c r="A457" s="25" t="s">
        <v>623</v>
      </c>
      <c r="B457" s="18"/>
      <c r="C457" s="18"/>
      <c r="D457" s="18"/>
      <c r="E457" s="18"/>
      <c r="F457" s="18"/>
      <c r="G457" s="18"/>
      <c r="H457" s="18">
        <v>68.204850000000022</v>
      </c>
      <c r="I457" s="18">
        <v>14</v>
      </c>
      <c r="J457" s="18"/>
      <c r="K457" s="18"/>
      <c r="L457" s="18"/>
      <c r="M457" s="18"/>
      <c r="N457" s="18"/>
      <c r="O457" s="18"/>
      <c r="P457" s="18"/>
      <c r="Q457" s="18"/>
      <c r="R457" s="18">
        <v>68.204850000000022</v>
      </c>
      <c r="S457" s="18">
        <v>14</v>
      </c>
      <c r="T457" t="e">
        <f>+COUNTIF('[1]Facade Heat Loss'!$A:$A,A457)</f>
        <v>#VALUE!</v>
      </c>
    </row>
    <row r="458" spans="1:20" x14ac:dyDescent="0.25">
      <c r="A458" s="25" t="s">
        <v>625</v>
      </c>
      <c r="B458" s="18"/>
      <c r="C458" s="18"/>
      <c r="D458" s="18"/>
      <c r="E458" s="18"/>
      <c r="F458" s="18"/>
      <c r="G458" s="18"/>
      <c r="H458" s="18">
        <v>21.937254429749142</v>
      </c>
      <c r="I458" s="18">
        <v>4</v>
      </c>
      <c r="J458" s="18"/>
      <c r="K458" s="18"/>
      <c r="L458" s="18"/>
      <c r="M458" s="18"/>
      <c r="N458" s="18"/>
      <c r="O458" s="18"/>
      <c r="P458" s="18"/>
      <c r="Q458" s="18"/>
      <c r="R458" s="18">
        <v>21.937254429749142</v>
      </c>
      <c r="S458" s="18">
        <v>4</v>
      </c>
      <c r="T458" t="e">
        <f>+COUNTIF('[1]Facade Heat Loss'!$A:$A,A458)</f>
        <v>#VALUE!</v>
      </c>
    </row>
    <row r="459" spans="1:20" x14ac:dyDescent="0.25">
      <c r="A459" s="25" t="s">
        <v>627</v>
      </c>
      <c r="B459" s="18"/>
      <c r="C459" s="18"/>
      <c r="D459" s="18"/>
      <c r="E459" s="18"/>
      <c r="F459" s="18"/>
      <c r="G459" s="18"/>
      <c r="H459" s="18">
        <v>69.411000000000016</v>
      </c>
      <c r="I459" s="18">
        <v>14</v>
      </c>
      <c r="J459" s="18"/>
      <c r="K459" s="18"/>
      <c r="L459" s="18"/>
      <c r="M459" s="18"/>
      <c r="N459" s="18"/>
      <c r="O459" s="18"/>
      <c r="P459" s="18"/>
      <c r="Q459" s="18"/>
      <c r="R459" s="18">
        <v>69.411000000000016</v>
      </c>
      <c r="S459" s="18">
        <v>14</v>
      </c>
      <c r="T459" t="e">
        <f>+COUNTIF('[1]Facade Heat Loss'!$A:$A,A459)</f>
        <v>#VALUE!</v>
      </c>
    </row>
    <row r="460" spans="1:20" x14ac:dyDescent="0.25">
      <c r="A460" s="25" t="s">
        <v>628</v>
      </c>
      <c r="B460" s="18"/>
      <c r="C460" s="18"/>
      <c r="D460" s="18"/>
      <c r="E460" s="18"/>
      <c r="F460" s="18"/>
      <c r="G460" s="18"/>
      <c r="H460" s="18">
        <v>46.008170647206683</v>
      </c>
      <c r="I460" s="18">
        <v>10</v>
      </c>
      <c r="J460" s="18"/>
      <c r="K460" s="18"/>
      <c r="L460" s="18">
        <v>33.385433093360007</v>
      </c>
      <c r="M460" s="18">
        <v>4</v>
      </c>
      <c r="N460" s="18"/>
      <c r="O460" s="18"/>
      <c r="P460" s="18"/>
      <c r="Q460" s="18"/>
      <c r="R460" s="18">
        <v>79.393603740566689</v>
      </c>
      <c r="S460" s="18">
        <v>14</v>
      </c>
      <c r="T460" t="e">
        <f>+COUNTIF('[1]Facade Heat Loss'!$A:$A,A460)</f>
        <v>#VALUE!</v>
      </c>
    </row>
    <row r="461" spans="1:20" x14ac:dyDescent="0.25">
      <c r="A461" s="25" t="s">
        <v>631</v>
      </c>
      <c r="B461" s="18"/>
      <c r="C461" s="18"/>
      <c r="D461" s="18">
        <v>30.377450000002259</v>
      </c>
      <c r="E461" s="18">
        <v>9</v>
      </c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>
        <v>30.377450000002259</v>
      </c>
      <c r="S461" s="18">
        <v>9</v>
      </c>
      <c r="T461" t="e">
        <f>+COUNTIF('[1]Facade Heat Loss'!$A:$A,A461)</f>
        <v>#VALUE!</v>
      </c>
    </row>
    <row r="462" spans="1:20" x14ac:dyDescent="0.25">
      <c r="A462" s="25" t="s">
        <v>632</v>
      </c>
      <c r="B462" s="18"/>
      <c r="C462" s="18"/>
      <c r="D462" s="18">
        <v>35.977499999999999</v>
      </c>
      <c r="E462" s="18">
        <v>5</v>
      </c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>
        <v>35.977499999999999</v>
      </c>
      <c r="S462" s="18">
        <v>5</v>
      </c>
      <c r="T462" t="e">
        <f>+COUNTIF('[1]Facade Heat Loss'!$A:$A,A462)</f>
        <v>#VALUE!</v>
      </c>
    </row>
    <row r="463" spans="1:20" x14ac:dyDescent="0.25">
      <c r="A463" s="25" t="s">
        <v>633</v>
      </c>
      <c r="B463" s="18"/>
      <c r="C463" s="18"/>
      <c r="D463" s="18">
        <v>0</v>
      </c>
      <c r="E463" s="18">
        <v>1</v>
      </c>
      <c r="F463" s="18"/>
      <c r="G463" s="18"/>
      <c r="H463" s="18"/>
      <c r="I463" s="18"/>
      <c r="J463" s="18">
        <v>76.032714000000013</v>
      </c>
      <c r="K463" s="18">
        <v>16</v>
      </c>
      <c r="L463" s="18">
        <v>23.984999999999999</v>
      </c>
      <c r="M463" s="18">
        <v>3</v>
      </c>
      <c r="N463" s="18"/>
      <c r="O463" s="18"/>
      <c r="P463" s="18"/>
      <c r="Q463" s="18"/>
      <c r="R463" s="18">
        <v>100.01771400000003</v>
      </c>
      <c r="S463" s="18">
        <v>20</v>
      </c>
      <c r="T463" t="e">
        <f>+COUNTIF('[1]Facade Heat Loss'!$A:$A,A463)</f>
        <v>#VALUE!</v>
      </c>
    </row>
    <row r="464" spans="1:20" x14ac:dyDescent="0.25">
      <c r="A464" s="25" t="s">
        <v>635</v>
      </c>
      <c r="B464" s="18"/>
      <c r="C464" s="18"/>
      <c r="D464" s="18">
        <v>15.99</v>
      </c>
      <c r="E464" s="18">
        <v>3</v>
      </c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>
        <v>15.99</v>
      </c>
      <c r="S464" s="18">
        <v>3</v>
      </c>
      <c r="T464" t="e">
        <f>+COUNTIF('[1]Facade Heat Loss'!$A:$A,A464)</f>
        <v>#VALUE!</v>
      </c>
    </row>
    <row r="465" spans="1:20" x14ac:dyDescent="0.25">
      <c r="A465" s="25" t="s">
        <v>636</v>
      </c>
      <c r="B465" s="18"/>
      <c r="C465" s="18"/>
      <c r="D465" s="18">
        <v>12.974450000002255</v>
      </c>
      <c r="E465" s="18">
        <v>2</v>
      </c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>
        <v>12.974450000002255</v>
      </c>
      <c r="S465" s="18">
        <v>2</v>
      </c>
      <c r="T465" t="e">
        <f>+COUNTIF('[1]Facade Heat Loss'!$A:$A,A465)</f>
        <v>#VALUE!</v>
      </c>
    </row>
    <row r="466" spans="1:20" x14ac:dyDescent="0.25">
      <c r="A466" s="25" t="s">
        <v>637</v>
      </c>
      <c r="B466" s="18"/>
      <c r="C466" s="18"/>
      <c r="D466" s="18">
        <v>23.984999999999999</v>
      </c>
      <c r="E466" s="18">
        <v>3</v>
      </c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>
        <v>23.984999999999999</v>
      </c>
      <c r="S466" s="18">
        <v>3</v>
      </c>
      <c r="T466" t="e">
        <f>+COUNTIF('[1]Facade Heat Loss'!$A:$A,A466)</f>
        <v>#VALUE!</v>
      </c>
    </row>
    <row r="467" spans="1:20" x14ac:dyDescent="0.25">
      <c r="A467" s="25" t="s">
        <v>638</v>
      </c>
      <c r="B467" s="18"/>
      <c r="C467" s="18"/>
      <c r="D467" s="18">
        <v>11.9925</v>
      </c>
      <c r="E467" s="18">
        <v>2</v>
      </c>
      <c r="F467" s="18"/>
      <c r="G467" s="18"/>
      <c r="H467" s="18"/>
      <c r="I467" s="18"/>
      <c r="J467" s="18">
        <v>23.984999999999999</v>
      </c>
      <c r="K467" s="18">
        <v>4</v>
      </c>
      <c r="L467" s="18"/>
      <c r="M467" s="18"/>
      <c r="N467" s="18"/>
      <c r="O467" s="18"/>
      <c r="P467" s="18"/>
      <c r="Q467" s="18"/>
      <c r="R467" s="18">
        <v>35.977499999999999</v>
      </c>
      <c r="S467" s="18">
        <v>6</v>
      </c>
      <c r="T467" t="e">
        <f>+COUNTIF('[1]Facade Heat Loss'!$A:$A,A467)</f>
        <v>#VALUE!</v>
      </c>
    </row>
    <row r="468" spans="1:20" x14ac:dyDescent="0.25">
      <c r="A468" s="25" t="s">
        <v>639</v>
      </c>
      <c r="B468" s="18"/>
      <c r="C468" s="18"/>
      <c r="D468" s="18">
        <v>31.98</v>
      </c>
      <c r="E468" s="18">
        <v>4</v>
      </c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>
        <v>31.98</v>
      </c>
      <c r="S468" s="18">
        <v>4</v>
      </c>
      <c r="T468" t="e">
        <f>+COUNTIF('[1]Facade Heat Loss'!$A:$A,A468)</f>
        <v>#VALUE!</v>
      </c>
    </row>
    <row r="469" spans="1:20" x14ac:dyDescent="0.25">
      <c r="A469" s="25" t="s">
        <v>640</v>
      </c>
      <c r="B469" s="18">
        <v>63.426999999999992</v>
      </c>
      <c r="C469" s="18">
        <v>8</v>
      </c>
      <c r="D469" s="18">
        <v>91.94250000000001</v>
      </c>
      <c r="E469" s="18">
        <v>16</v>
      </c>
      <c r="F469" s="18"/>
      <c r="G469" s="18"/>
      <c r="H469" s="18"/>
      <c r="I469" s="18"/>
      <c r="J469" s="18"/>
      <c r="K469" s="18"/>
      <c r="L469" s="18">
        <v>5.9474999999999998</v>
      </c>
      <c r="M469" s="18">
        <v>2</v>
      </c>
      <c r="N469" s="18"/>
      <c r="O469" s="18"/>
      <c r="P469" s="18"/>
      <c r="Q469" s="18"/>
      <c r="R469" s="18">
        <v>161.31700000000004</v>
      </c>
      <c r="S469" s="18">
        <v>26</v>
      </c>
      <c r="T469" t="e">
        <f>+COUNTIF('[1]Facade Heat Loss'!$A:$A,A469)</f>
        <v>#VALUE!</v>
      </c>
    </row>
    <row r="470" spans="1:20" x14ac:dyDescent="0.25">
      <c r="A470" s="25" t="s">
        <v>641</v>
      </c>
      <c r="B470" s="18"/>
      <c r="C470" s="18"/>
      <c r="D470" s="18">
        <v>153.82797500000211</v>
      </c>
      <c r="E470" s="18">
        <v>31</v>
      </c>
      <c r="F470" s="18"/>
      <c r="G470" s="18"/>
      <c r="H470" s="18"/>
      <c r="I470" s="18"/>
      <c r="J470" s="18">
        <v>15.99</v>
      </c>
      <c r="K470" s="18">
        <v>3</v>
      </c>
      <c r="L470" s="18">
        <v>2.9737499999999999</v>
      </c>
      <c r="M470" s="18">
        <v>1</v>
      </c>
      <c r="N470" s="18"/>
      <c r="O470" s="18"/>
      <c r="P470" s="18"/>
      <c r="Q470" s="18"/>
      <c r="R470" s="18">
        <v>172.79172500000212</v>
      </c>
      <c r="S470" s="18">
        <v>35</v>
      </c>
      <c r="T470" t="e">
        <f>+COUNTIF('[1]Facade Heat Loss'!$A:$A,A470)</f>
        <v>#VALUE!</v>
      </c>
    </row>
    <row r="471" spans="1:20" x14ac:dyDescent="0.25">
      <c r="A471" s="25" t="s">
        <v>642</v>
      </c>
      <c r="B471" s="18"/>
      <c r="C471" s="18"/>
      <c r="D471" s="18">
        <v>19.987500000000001</v>
      </c>
      <c r="E471" s="18">
        <v>3</v>
      </c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>
        <v>19.987500000000001</v>
      </c>
      <c r="S471" s="18">
        <v>3</v>
      </c>
      <c r="T471" t="e">
        <f>+COUNTIF('[1]Facade Heat Loss'!$A:$A,A471)</f>
        <v>#VALUE!</v>
      </c>
    </row>
    <row r="472" spans="1:20" x14ac:dyDescent="0.25">
      <c r="A472" s="25" t="s">
        <v>643</v>
      </c>
      <c r="B472" s="18"/>
      <c r="C472" s="18"/>
      <c r="D472" s="18">
        <v>19.048500000000001</v>
      </c>
      <c r="E472" s="18">
        <v>6</v>
      </c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>
        <v>19.048500000000001</v>
      </c>
      <c r="S472" s="18">
        <v>6</v>
      </c>
      <c r="T472" t="e">
        <f>+COUNTIF('[1]Facade Heat Loss'!$A:$A,A472)</f>
        <v>#VALUE!</v>
      </c>
    </row>
    <row r="473" spans="1:20" x14ac:dyDescent="0.25">
      <c r="A473" s="25" t="s">
        <v>644</v>
      </c>
      <c r="B473" s="18"/>
      <c r="C473" s="18"/>
      <c r="D473" s="18">
        <v>18.809024999999799</v>
      </c>
      <c r="E473" s="18">
        <v>5</v>
      </c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>
        <v>18.809024999999799</v>
      </c>
      <c r="S473" s="18">
        <v>5</v>
      </c>
      <c r="T473" t="e">
        <f>+COUNTIF('[1]Facade Heat Loss'!$A:$A,A473)</f>
        <v>#VALUE!</v>
      </c>
    </row>
    <row r="474" spans="1:20" x14ac:dyDescent="0.25">
      <c r="A474" s="25" t="s">
        <v>645</v>
      </c>
      <c r="B474" s="18"/>
      <c r="C474" s="18"/>
      <c r="D474" s="18"/>
      <c r="E474" s="18"/>
      <c r="F474" s="18"/>
      <c r="G474" s="18"/>
      <c r="H474" s="18">
        <v>19.987500000000001</v>
      </c>
      <c r="I474" s="18">
        <v>3</v>
      </c>
      <c r="J474" s="18"/>
      <c r="K474" s="18"/>
      <c r="L474" s="18"/>
      <c r="M474" s="18"/>
      <c r="N474" s="18"/>
      <c r="O474" s="18"/>
      <c r="P474" s="18"/>
      <c r="Q474" s="18"/>
      <c r="R474" s="18">
        <v>19.987500000000001</v>
      </c>
      <c r="S474" s="18">
        <v>3</v>
      </c>
      <c r="T474" t="e">
        <f>+COUNTIF('[1]Facade Heat Loss'!$A:$A,A474)</f>
        <v>#VALUE!</v>
      </c>
    </row>
    <row r="475" spans="1:20" x14ac:dyDescent="0.25">
      <c r="A475" s="25" t="s">
        <v>646</v>
      </c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>
        <v>10.098947368421053</v>
      </c>
      <c r="M475" s="18">
        <v>1</v>
      </c>
      <c r="N475" s="18"/>
      <c r="O475" s="18"/>
      <c r="P475" s="18"/>
      <c r="Q475" s="18"/>
      <c r="R475" s="18">
        <v>10.098947368421053</v>
      </c>
      <c r="S475" s="18">
        <v>1</v>
      </c>
      <c r="T475" t="e">
        <f>+COUNTIF('[1]Facade Heat Loss'!$A:$A,A475)</f>
        <v>#VALUE!</v>
      </c>
    </row>
    <row r="476" spans="1:20" x14ac:dyDescent="0.25">
      <c r="A476" s="25" t="s">
        <v>647</v>
      </c>
      <c r="B476" s="18">
        <v>0</v>
      </c>
      <c r="C476" s="18">
        <v>1</v>
      </c>
      <c r="D476" s="18"/>
      <c r="E476" s="18"/>
      <c r="F476" s="18"/>
      <c r="G476" s="18"/>
      <c r="H476" s="18">
        <v>35.977499999999999</v>
      </c>
      <c r="I476" s="18">
        <v>7</v>
      </c>
      <c r="J476" s="18"/>
      <c r="K476" s="18"/>
      <c r="L476" s="18">
        <v>35.977499999999999</v>
      </c>
      <c r="M476" s="18">
        <v>5</v>
      </c>
      <c r="N476" s="18"/>
      <c r="O476" s="18"/>
      <c r="P476" s="18"/>
      <c r="Q476" s="18"/>
      <c r="R476" s="18">
        <v>71.954999999999998</v>
      </c>
      <c r="S476" s="18">
        <v>13</v>
      </c>
      <c r="T476" t="e">
        <f>+COUNTIF('[1]Facade Heat Loss'!$A:$A,A476)</f>
        <v>#VALUE!</v>
      </c>
    </row>
    <row r="477" spans="1:20" x14ac:dyDescent="0.25">
      <c r="A477" s="25" t="s">
        <v>649</v>
      </c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>
        <v>15.99</v>
      </c>
      <c r="M477" s="18">
        <v>2</v>
      </c>
      <c r="N477" s="18"/>
      <c r="O477" s="18"/>
      <c r="P477" s="18"/>
      <c r="Q477" s="18"/>
      <c r="R477" s="18">
        <v>15.99</v>
      </c>
      <c r="S477" s="18">
        <v>2</v>
      </c>
      <c r="T477" t="e">
        <f>+COUNTIF('[1]Facade Heat Loss'!$A:$A,A477)</f>
        <v>#VALUE!</v>
      </c>
    </row>
    <row r="478" spans="1:20" x14ac:dyDescent="0.25">
      <c r="A478" s="25" t="s">
        <v>650</v>
      </c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>
        <v>15.99</v>
      </c>
      <c r="M478" s="18">
        <v>2</v>
      </c>
      <c r="N478" s="18"/>
      <c r="O478" s="18"/>
      <c r="P478" s="18"/>
      <c r="Q478" s="18"/>
      <c r="R478" s="18">
        <v>15.99</v>
      </c>
      <c r="S478" s="18">
        <v>2</v>
      </c>
      <c r="T478" t="e">
        <f>+COUNTIF('[1]Facade Heat Loss'!$A:$A,A478)</f>
        <v>#VALUE!</v>
      </c>
    </row>
    <row r="479" spans="1:20" x14ac:dyDescent="0.25">
      <c r="A479" s="25" t="s">
        <v>651</v>
      </c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>
        <v>15.99</v>
      </c>
      <c r="M479" s="18">
        <v>2</v>
      </c>
      <c r="N479" s="18"/>
      <c r="O479" s="18"/>
      <c r="P479" s="18"/>
      <c r="Q479" s="18"/>
      <c r="R479" s="18">
        <v>15.99</v>
      </c>
      <c r="S479" s="18">
        <v>2</v>
      </c>
      <c r="T479" t="e">
        <f>+COUNTIF('[1]Facade Heat Loss'!$A:$A,A479)</f>
        <v>#VALUE!</v>
      </c>
    </row>
    <row r="480" spans="1:20" x14ac:dyDescent="0.25">
      <c r="A480" s="25" t="s">
        <v>652</v>
      </c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>
        <v>23.984999999999999</v>
      </c>
      <c r="M480" s="18">
        <v>3</v>
      </c>
      <c r="N480" s="18"/>
      <c r="O480" s="18"/>
      <c r="P480" s="18"/>
      <c r="Q480" s="18"/>
      <c r="R480" s="18">
        <v>23.984999999999999</v>
      </c>
      <c r="S480" s="18">
        <v>3</v>
      </c>
      <c r="T480" t="e">
        <f>+COUNTIF('[1]Facade Heat Loss'!$A:$A,A480)</f>
        <v>#VALUE!</v>
      </c>
    </row>
    <row r="481" spans="1:20" x14ac:dyDescent="0.25">
      <c r="A481" s="25" t="s">
        <v>653</v>
      </c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>
        <v>19.89</v>
      </c>
      <c r="M481" s="18">
        <v>6</v>
      </c>
      <c r="N481" s="18"/>
      <c r="O481" s="18"/>
      <c r="P481" s="18"/>
      <c r="Q481" s="18"/>
      <c r="R481" s="18">
        <v>19.89</v>
      </c>
      <c r="S481" s="18">
        <v>6</v>
      </c>
      <c r="T481" t="e">
        <f>+COUNTIF('[1]Facade Heat Loss'!$A:$A,A481)</f>
        <v>#VALUE!</v>
      </c>
    </row>
    <row r="482" spans="1:20" x14ac:dyDescent="0.25">
      <c r="A482" s="25" t="s">
        <v>656</v>
      </c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>
        <v>41.819999999999993</v>
      </c>
      <c r="M482" s="18">
        <v>1</v>
      </c>
      <c r="N482" s="18"/>
      <c r="O482" s="18"/>
      <c r="P482" s="18"/>
      <c r="Q482" s="18"/>
      <c r="R482" s="18">
        <v>41.819999999999993</v>
      </c>
      <c r="S482" s="18">
        <v>1</v>
      </c>
      <c r="T482" t="e">
        <f>+COUNTIF('[1]Facade Heat Loss'!$A:$A,A482)</f>
        <v>#VALUE!</v>
      </c>
    </row>
    <row r="483" spans="1:20" x14ac:dyDescent="0.25">
      <c r="A483" s="25" t="s">
        <v>657</v>
      </c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>
        <v>14.917499999999999</v>
      </c>
      <c r="M483" s="18">
        <v>6</v>
      </c>
      <c r="N483" s="18"/>
      <c r="O483" s="18"/>
      <c r="P483" s="18"/>
      <c r="Q483" s="18"/>
      <c r="R483" s="18">
        <v>14.917499999999999</v>
      </c>
      <c r="S483" s="18">
        <v>6</v>
      </c>
      <c r="T483" t="e">
        <f>+COUNTIF('[1]Facade Heat Loss'!$A:$A,A483)</f>
        <v>#VALUE!</v>
      </c>
    </row>
    <row r="484" spans="1:20" x14ac:dyDescent="0.25">
      <c r="A484" s="25" t="s">
        <v>658</v>
      </c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>
        <v>26.854999999999997</v>
      </c>
      <c r="M484" s="18">
        <v>2</v>
      </c>
      <c r="N484" s="18"/>
      <c r="O484" s="18"/>
      <c r="P484" s="18"/>
      <c r="Q484" s="18"/>
      <c r="R484" s="18">
        <v>26.854999999999997</v>
      </c>
      <c r="S484" s="18">
        <v>2</v>
      </c>
      <c r="T484" t="e">
        <f>+COUNTIF('[1]Facade Heat Loss'!$A:$A,A484)</f>
        <v>#VALUE!</v>
      </c>
    </row>
    <row r="485" spans="1:20" x14ac:dyDescent="0.25">
      <c r="A485" s="25" t="s">
        <v>659</v>
      </c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>
        <v>7.9950000000000001</v>
      </c>
      <c r="M485" s="18">
        <v>1</v>
      </c>
      <c r="N485" s="18"/>
      <c r="O485" s="18"/>
      <c r="P485" s="18"/>
      <c r="Q485" s="18"/>
      <c r="R485" s="18">
        <v>7.9950000000000001</v>
      </c>
      <c r="S485" s="18">
        <v>1</v>
      </c>
      <c r="T485" t="e">
        <f>+COUNTIF('[1]Facade Heat Loss'!$A:$A,A485)</f>
        <v>#VALUE!</v>
      </c>
    </row>
    <row r="486" spans="1:20" x14ac:dyDescent="0.25">
      <c r="A486" s="25" t="s">
        <v>660</v>
      </c>
      <c r="B486" s="18">
        <v>67.957499999999996</v>
      </c>
      <c r="C486" s="18">
        <v>12</v>
      </c>
      <c r="D486" s="18"/>
      <c r="E486" s="18"/>
      <c r="F486" s="18"/>
      <c r="G486" s="18"/>
      <c r="H486" s="18"/>
      <c r="I486" s="18"/>
      <c r="J486" s="18"/>
      <c r="K486" s="18"/>
      <c r="L486" s="18">
        <v>53.033499999999997</v>
      </c>
      <c r="M486" s="18">
        <v>7</v>
      </c>
      <c r="N486" s="18"/>
      <c r="O486" s="18"/>
      <c r="P486" s="18"/>
      <c r="Q486" s="18"/>
      <c r="R486" s="18">
        <v>120.99100000000001</v>
      </c>
      <c r="S486" s="18">
        <v>19</v>
      </c>
      <c r="T486" t="e">
        <f>+COUNTIF('[1]Facade Heat Loss'!$A:$A,A486)</f>
        <v>#VALUE!</v>
      </c>
    </row>
    <row r="487" spans="1:20" x14ac:dyDescent="0.25">
      <c r="A487" s="25" t="s">
        <v>662</v>
      </c>
      <c r="B487" s="18">
        <v>54.943203347524872</v>
      </c>
      <c r="C487" s="18">
        <v>10</v>
      </c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>
        <v>54.943203347524872</v>
      </c>
      <c r="S487" s="18">
        <v>10</v>
      </c>
      <c r="T487" t="e">
        <f>+COUNTIF('[1]Facade Heat Loss'!$A:$A,A487)</f>
        <v>#VALUE!</v>
      </c>
    </row>
    <row r="488" spans="1:20" x14ac:dyDescent="0.25">
      <c r="A488" s="25" t="s">
        <v>666</v>
      </c>
      <c r="B488" s="18">
        <v>26.828097010388703</v>
      </c>
      <c r="C488" s="18">
        <v>7</v>
      </c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>
        <v>26.828097010388703</v>
      </c>
      <c r="S488" s="18">
        <v>7</v>
      </c>
      <c r="T488" t="e">
        <f>+COUNTIF('[1]Facade Heat Loss'!$A:$A,A488)</f>
        <v>#VALUE!</v>
      </c>
    </row>
    <row r="489" spans="1:20" x14ac:dyDescent="0.25">
      <c r="A489" s="25" t="s">
        <v>669</v>
      </c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>
        <v>10.098947368421053</v>
      </c>
      <c r="M489" s="18">
        <v>1</v>
      </c>
      <c r="N489" s="18"/>
      <c r="O489" s="18"/>
      <c r="P489" s="18"/>
      <c r="Q489" s="18"/>
      <c r="R489" s="18">
        <v>10.098947368421053</v>
      </c>
      <c r="S489" s="18">
        <v>1</v>
      </c>
      <c r="T489" t="e">
        <f>+COUNTIF('[1]Facade Heat Loss'!$A:$A,A489)</f>
        <v>#VALUE!</v>
      </c>
    </row>
    <row r="490" spans="1:20" x14ac:dyDescent="0.25">
      <c r="A490" s="25" t="s">
        <v>670</v>
      </c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>
        <v>10.098947368421053</v>
      </c>
      <c r="M490" s="18">
        <v>1</v>
      </c>
      <c r="N490" s="18"/>
      <c r="O490" s="18"/>
      <c r="P490" s="18"/>
      <c r="Q490" s="18"/>
      <c r="R490" s="18">
        <v>10.098947368421053</v>
      </c>
      <c r="S490" s="18">
        <v>1</v>
      </c>
      <c r="T490" t="e">
        <f>+COUNTIF('[1]Facade Heat Loss'!$A:$A,A490)</f>
        <v>#VALUE!</v>
      </c>
    </row>
    <row r="491" spans="1:20" x14ac:dyDescent="0.25">
      <c r="A491" s="25" t="s">
        <v>671</v>
      </c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>
        <v>10.098947368421053</v>
      </c>
      <c r="M491" s="18">
        <v>1</v>
      </c>
      <c r="N491" s="18"/>
      <c r="O491" s="18"/>
      <c r="P491" s="18"/>
      <c r="Q491" s="18"/>
      <c r="R491" s="18">
        <v>10.098947368421053</v>
      </c>
      <c r="S491" s="18">
        <v>1</v>
      </c>
      <c r="T491" t="e">
        <f>+COUNTIF('[1]Facade Heat Loss'!$A:$A,A491)</f>
        <v>#VALUE!</v>
      </c>
    </row>
    <row r="492" spans="1:20" x14ac:dyDescent="0.25">
      <c r="A492" s="25" t="s">
        <v>672</v>
      </c>
      <c r="B492" s="18"/>
      <c r="C492" s="18"/>
      <c r="D492" s="18"/>
      <c r="E492" s="18"/>
      <c r="F492" s="18"/>
      <c r="G492" s="18"/>
      <c r="H492" s="18"/>
      <c r="I492" s="18"/>
      <c r="J492" s="18">
        <v>39.780000000000008</v>
      </c>
      <c r="K492" s="18">
        <v>8</v>
      </c>
      <c r="L492" s="18"/>
      <c r="M492" s="18"/>
      <c r="N492" s="18"/>
      <c r="O492" s="18"/>
      <c r="P492" s="18"/>
      <c r="Q492" s="18"/>
      <c r="R492" s="18">
        <v>39.780000000000008</v>
      </c>
      <c r="S492" s="18">
        <v>8</v>
      </c>
      <c r="T492" t="e">
        <f>+COUNTIF('[1]Facade Heat Loss'!$A:$A,A492)</f>
        <v>#VALUE!</v>
      </c>
    </row>
    <row r="493" spans="1:20" x14ac:dyDescent="0.25">
      <c r="A493" s="25" t="s">
        <v>673</v>
      </c>
      <c r="B493" s="18"/>
      <c r="C493" s="18"/>
      <c r="D493" s="18"/>
      <c r="E493" s="18"/>
      <c r="F493" s="18"/>
      <c r="G493" s="18"/>
      <c r="H493" s="18"/>
      <c r="I493" s="18"/>
      <c r="J493" s="18">
        <v>42.391199999999834</v>
      </c>
      <c r="K493" s="18">
        <v>10</v>
      </c>
      <c r="L493" s="18"/>
      <c r="M493" s="18"/>
      <c r="N493" s="18"/>
      <c r="O493" s="18"/>
      <c r="P493" s="18"/>
      <c r="Q493" s="18"/>
      <c r="R493" s="18">
        <v>42.391199999999834</v>
      </c>
      <c r="S493" s="18">
        <v>10</v>
      </c>
      <c r="T493" t="e">
        <f>+COUNTIF('[1]Facade Heat Loss'!$A:$A,A493)</f>
        <v>#VALUE!</v>
      </c>
    </row>
    <row r="494" spans="1:20" x14ac:dyDescent="0.25">
      <c r="A494" s="25" t="s">
        <v>674</v>
      </c>
      <c r="B494" s="18"/>
      <c r="C494" s="18"/>
      <c r="D494" s="18"/>
      <c r="E494" s="18"/>
      <c r="F494" s="18"/>
      <c r="G494" s="18"/>
      <c r="H494" s="18"/>
      <c r="I494" s="18"/>
      <c r="J494" s="18">
        <v>24.960000000000246</v>
      </c>
      <c r="K494" s="18">
        <v>5</v>
      </c>
      <c r="L494" s="18"/>
      <c r="M494" s="18"/>
      <c r="N494" s="18"/>
      <c r="O494" s="18"/>
      <c r="P494" s="18"/>
      <c r="Q494" s="18"/>
      <c r="R494" s="18">
        <v>24.960000000000246</v>
      </c>
      <c r="S494" s="18">
        <v>5</v>
      </c>
      <c r="T494" t="e">
        <f>+COUNTIF('[1]Facade Heat Loss'!$A:$A,A494)</f>
        <v>#VALUE!</v>
      </c>
    </row>
    <row r="495" spans="1:20" x14ac:dyDescent="0.25">
      <c r="A495" s="25" t="s">
        <v>676</v>
      </c>
      <c r="B495" s="18"/>
      <c r="C495" s="18"/>
      <c r="D495" s="18"/>
      <c r="E495" s="18"/>
      <c r="F495" s="18"/>
      <c r="G495" s="18"/>
      <c r="H495" s="18">
        <v>43.324500000000235</v>
      </c>
      <c r="I495" s="18">
        <v>10</v>
      </c>
      <c r="J495" s="18"/>
      <c r="K495" s="18"/>
      <c r="L495" s="18"/>
      <c r="M495" s="18"/>
      <c r="N495" s="18"/>
      <c r="O495" s="18"/>
      <c r="P495" s="18"/>
      <c r="Q495" s="18"/>
      <c r="R495" s="18">
        <v>43.324500000000235</v>
      </c>
      <c r="S495" s="18">
        <v>10</v>
      </c>
      <c r="T495" t="e">
        <f>+COUNTIF('[1]Facade Heat Loss'!$A:$A,A495)</f>
        <v>#VALUE!</v>
      </c>
    </row>
    <row r="496" spans="1:20" x14ac:dyDescent="0.25">
      <c r="A496" s="25" t="s">
        <v>677</v>
      </c>
      <c r="B496" s="18"/>
      <c r="C496" s="18"/>
      <c r="D496" s="18"/>
      <c r="E496" s="18"/>
      <c r="F496" s="18"/>
      <c r="G496" s="18"/>
      <c r="H496" s="18"/>
      <c r="I496" s="18"/>
      <c r="J496" s="18">
        <v>43.972499999999997</v>
      </c>
      <c r="K496" s="18">
        <v>8</v>
      </c>
      <c r="L496" s="18"/>
      <c r="M496" s="18"/>
      <c r="N496" s="18"/>
      <c r="O496" s="18"/>
      <c r="P496" s="18"/>
      <c r="Q496" s="18"/>
      <c r="R496" s="18">
        <v>43.972499999999997</v>
      </c>
      <c r="S496" s="18">
        <v>8</v>
      </c>
      <c r="T496" t="e">
        <f>+COUNTIF('[1]Facade Heat Loss'!$A:$A,A496)</f>
        <v>#VALUE!</v>
      </c>
    </row>
    <row r="497" spans="1:20" x14ac:dyDescent="0.25">
      <c r="A497" s="25" t="s">
        <v>678</v>
      </c>
      <c r="B497" s="18"/>
      <c r="C497" s="18"/>
      <c r="D497" s="18"/>
      <c r="E497" s="18"/>
      <c r="F497" s="18"/>
      <c r="G497" s="18"/>
      <c r="H497" s="18">
        <v>30.21749999999998</v>
      </c>
      <c r="I497" s="18">
        <v>6</v>
      </c>
      <c r="J497" s="18"/>
      <c r="K497" s="18"/>
      <c r="L497" s="18"/>
      <c r="M497" s="18"/>
      <c r="N497" s="18"/>
      <c r="O497" s="18"/>
      <c r="P497" s="18"/>
      <c r="Q497" s="18"/>
      <c r="R497" s="18">
        <v>30.21749999999998</v>
      </c>
      <c r="S497" s="18">
        <v>6</v>
      </c>
      <c r="T497" t="e">
        <f>+COUNTIF('[1]Facade Heat Loss'!$A:$A,A497)</f>
        <v>#VALUE!</v>
      </c>
    </row>
    <row r="498" spans="1:20" x14ac:dyDescent="0.25">
      <c r="A498" s="25" t="s">
        <v>679</v>
      </c>
      <c r="B498" s="18"/>
      <c r="C498" s="18"/>
      <c r="D498" s="18"/>
      <c r="E498" s="18"/>
      <c r="F498" s="18"/>
      <c r="G498" s="18"/>
      <c r="H498" s="18">
        <v>121.93649999999964</v>
      </c>
      <c r="I498" s="18">
        <v>24</v>
      </c>
      <c r="J498" s="18"/>
      <c r="K498" s="18"/>
      <c r="L498" s="18">
        <v>31.98</v>
      </c>
      <c r="M498" s="18">
        <v>5</v>
      </c>
      <c r="N498" s="18"/>
      <c r="O498" s="18"/>
      <c r="P498" s="18"/>
      <c r="Q498" s="18"/>
      <c r="R498" s="18">
        <v>153.91649999999964</v>
      </c>
      <c r="S498" s="18">
        <v>29</v>
      </c>
      <c r="T498" t="e">
        <f>+COUNTIF('[1]Facade Heat Loss'!$A:$A,A498)</f>
        <v>#VALUE!</v>
      </c>
    </row>
    <row r="499" spans="1:20" x14ac:dyDescent="0.25">
      <c r="A499" s="25" t="s">
        <v>680</v>
      </c>
      <c r="B499" s="18"/>
      <c r="C499" s="18"/>
      <c r="D499" s="18"/>
      <c r="E499" s="18"/>
      <c r="F499" s="18"/>
      <c r="G499" s="18"/>
      <c r="H499" s="18">
        <v>9.1289999999995519</v>
      </c>
      <c r="I499" s="18">
        <v>2</v>
      </c>
      <c r="J499" s="18"/>
      <c r="K499" s="18"/>
      <c r="L499" s="18"/>
      <c r="M499" s="18"/>
      <c r="N499" s="18"/>
      <c r="O499" s="18"/>
      <c r="P499" s="18"/>
      <c r="Q499" s="18"/>
      <c r="R499" s="18">
        <v>9.1289999999995519</v>
      </c>
      <c r="S499" s="18">
        <v>2</v>
      </c>
      <c r="T499" t="e">
        <f>+COUNTIF('[1]Facade Heat Loss'!$A:$A,A499)</f>
        <v>#VALUE!</v>
      </c>
    </row>
    <row r="500" spans="1:20" x14ac:dyDescent="0.25">
      <c r="A500" s="25" t="s">
        <v>681</v>
      </c>
      <c r="B500" s="18"/>
      <c r="C500" s="18"/>
      <c r="D500" s="18"/>
      <c r="E500" s="18"/>
      <c r="F500" s="18"/>
      <c r="G500" s="18"/>
      <c r="H500" s="18"/>
      <c r="I500" s="18"/>
      <c r="J500" s="18">
        <v>49.876518449779041</v>
      </c>
      <c r="K500" s="18">
        <v>10</v>
      </c>
      <c r="L500" s="18"/>
      <c r="M500" s="18"/>
      <c r="N500" s="18"/>
      <c r="O500" s="18"/>
      <c r="P500" s="18"/>
      <c r="Q500" s="18"/>
      <c r="R500" s="18">
        <v>49.876518449779041</v>
      </c>
      <c r="S500" s="18">
        <v>10</v>
      </c>
      <c r="T500" t="e">
        <f>+COUNTIF('[1]Facade Heat Loss'!$A:$A,A500)</f>
        <v>#VALUE!</v>
      </c>
    </row>
    <row r="501" spans="1:20" x14ac:dyDescent="0.25">
      <c r="A501" s="25" t="s">
        <v>682</v>
      </c>
      <c r="B501" s="18"/>
      <c r="C501" s="18"/>
      <c r="D501" s="18">
        <v>0</v>
      </c>
      <c r="E501" s="18">
        <v>1</v>
      </c>
      <c r="F501" s="18"/>
      <c r="G501" s="18"/>
      <c r="H501" s="18"/>
      <c r="I501" s="18"/>
      <c r="J501" s="18">
        <v>19.987500000000001</v>
      </c>
      <c r="K501" s="18">
        <v>4</v>
      </c>
      <c r="L501" s="18">
        <v>23.984999999999999</v>
      </c>
      <c r="M501" s="18">
        <v>3</v>
      </c>
      <c r="N501" s="18"/>
      <c r="O501" s="18"/>
      <c r="P501" s="18"/>
      <c r="Q501" s="18"/>
      <c r="R501" s="18">
        <v>43.972499999999997</v>
      </c>
      <c r="S501" s="18">
        <v>8</v>
      </c>
      <c r="T501" t="e">
        <f>+COUNTIF('[1]Facade Heat Loss'!$A:$A,A501)</f>
        <v>#VALUE!</v>
      </c>
    </row>
    <row r="502" spans="1:20" x14ac:dyDescent="0.25">
      <c r="A502" s="25" t="s">
        <v>683</v>
      </c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>
        <v>7.9950000000000001</v>
      </c>
      <c r="M502" s="18">
        <v>1</v>
      </c>
      <c r="N502" s="18"/>
      <c r="O502" s="18"/>
      <c r="P502" s="18"/>
      <c r="Q502" s="18"/>
      <c r="R502" s="18">
        <v>7.9950000000000001</v>
      </c>
      <c r="S502" s="18">
        <v>1</v>
      </c>
      <c r="T502" t="e">
        <f>+COUNTIF('[1]Facade Heat Loss'!$A:$A,A502)</f>
        <v>#VALUE!</v>
      </c>
    </row>
    <row r="503" spans="1:20" x14ac:dyDescent="0.25">
      <c r="A503" s="25" t="s">
        <v>684</v>
      </c>
      <c r="B503" s="18"/>
      <c r="C503" s="18"/>
      <c r="D503" s="18"/>
      <c r="E503" s="18"/>
      <c r="F503" s="18"/>
      <c r="G503" s="18"/>
      <c r="H503" s="18"/>
      <c r="I503" s="18"/>
      <c r="J503" s="18">
        <v>29.9325000000002</v>
      </c>
      <c r="K503" s="18">
        <v>6</v>
      </c>
      <c r="L503" s="18"/>
      <c r="M503" s="18"/>
      <c r="N503" s="18"/>
      <c r="O503" s="18"/>
      <c r="P503" s="18"/>
      <c r="Q503" s="18"/>
      <c r="R503" s="18">
        <v>29.9325000000002</v>
      </c>
      <c r="S503" s="18">
        <v>6</v>
      </c>
      <c r="T503" t="e">
        <f>+COUNTIF('[1]Facade Heat Loss'!$A:$A,A503)</f>
        <v>#VALUE!</v>
      </c>
    </row>
    <row r="504" spans="1:20" x14ac:dyDescent="0.25">
      <c r="A504" s="25" t="s">
        <v>685</v>
      </c>
      <c r="B504" s="18"/>
      <c r="C504" s="18"/>
      <c r="D504" s="18"/>
      <c r="E504" s="18"/>
      <c r="F504" s="18">
        <v>0</v>
      </c>
      <c r="G504" s="18">
        <v>1</v>
      </c>
      <c r="H504" s="18"/>
      <c r="I504" s="18"/>
      <c r="J504" s="18">
        <v>7.9950000000000001</v>
      </c>
      <c r="K504" s="18">
        <v>2</v>
      </c>
      <c r="L504" s="18"/>
      <c r="M504" s="18"/>
      <c r="N504" s="18">
        <v>15.99</v>
      </c>
      <c r="O504" s="18">
        <v>2</v>
      </c>
      <c r="P504" s="18"/>
      <c r="Q504" s="18"/>
      <c r="R504" s="18">
        <v>23.984999999999999</v>
      </c>
      <c r="S504" s="18">
        <v>5</v>
      </c>
      <c r="T504" t="e">
        <f>+COUNTIF('[1]Facade Heat Loss'!$A:$A,A504)</f>
        <v>#VALUE!</v>
      </c>
    </row>
    <row r="505" spans="1:20" x14ac:dyDescent="0.25">
      <c r="A505" s="25" t="s">
        <v>686</v>
      </c>
      <c r="B505" s="18"/>
      <c r="C505" s="18"/>
      <c r="D505" s="18"/>
      <c r="E505" s="18"/>
      <c r="F505" s="18"/>
      <c r="G505" s="18"/>
      <c r="H505" s="18">
        <v>51.228327000000164</v>
      </c>
      <c r="I505" s="18">
        <v>12</v>
      </c>
      <c r="J505" s="18"/>
      <c r="K505" s="18"/>
      <c r="L505" s="18"/>
      <c r="M505" s="18"/>
      <c r="N505" s="18"/>
      <c r="O505" s="18"/>
      <c r="P505" s="18"/>
      <c r="Q505" s="18"/>
      <c r="R505" s="18">
        <v>51.228327000000164</v>
      </c>
      <c r="S505" s="18">
        <v>12</v>
      </c>
      <c r="T505" t="e">
        <f>+COUNTIF('[1]Facade Heat Loss'!$A:$A,A505)</f>
        <v>#VALUE!</v>
      </c>
    </row>
    <row r="506" spans="1:20" x14ac:dyDescent="0.25">
      <c r="A506" s="25" t="s">
        <v>687</v>
      </c>
      <c r="B506" s="18"/>
      <c r="C506" s="18"/>
      <c r="D506" s="18"/>
      <c r="E506" s="18"/>
      <c r="F506" s="18"/>
      <c r="G506" s="18"/>
      <c r="H506" s="18">
        <v>44.752500000000055</v>
      </c>
      <c r="I506" s="18">
        <v>10</v>
      </c>
      <c r="J506" s="18"/>
      <c r="K506" s="18"/>
      <c r="L506" s="18"/>
      <c r="M506" s="18"/>
      <c r="N506" s="18"/>
      <c r="O506" s="18"/>
      <c r="P506" s="18"/>
      <c r="Q506" s="18"/>
      <c r="R506" s="18">
        <v>44.752500000000055</v>
      </c>
      <c r="S506" s="18">
        <v>10</v>
      </c>
      <c r="T506" t="e">
        <f>+COUNTIF('[1]Facade Heat Loss'!$A:$A,A506)</f>
        <v>#VALUE!</v>
      </c>
    </row>
    <row r="507" spans="1:20" x14ac:dyDescent="0.25">
      <c r="A507" s="25" t="s">
        <v>688</v>
      </c>
      <c r="B507" s="18"/>
      <c r="C507" s="18"/>
      <c r="D507" s="18"/>
      <c r="E507" s="18"/>
      <c r="F507" s="18"/>
      <c r="G507" s="18"/>
      <c r="H507" s="18"/>
      <c r="I507" s="18"/>
      <c r="J507" s="18">
        <v>34.807500000000246</v>
      </c>
      <c r="K507" s="18">
        <v>8</v>
      </c>
      <c r="L507" s="18"/>
      <c r="M507" s="18"/>
      <c r="N507" s="18"/>
      <c r="O507" s="18"/>
      <c r="P507" s="18"/>
      <c r="Q507" s="18"/>
      <c r="R507" s="18">
        <v>34.807500000000246</v>
      </c>
      <c r="S507" s="18">
        <v>8</v>
      </c>
      <c r="T507" t="e">
        <f>+COUNTIF('[1]Facade Heat Loss'!$A:$A,A507)</f>
        <v>#VALUE!</v>
      </c>
    </row>
    <row r="508" spans="1:20" x14ac:dyDescent="0.25">
      <c r="A508" s="25" t="s">
        <v>689</v>
      </c>
      <c r="B508" s="18"/>
      <c r="C508" s="18"/>
      <c r="D508" s="18"/>
      <c r="E508" s="18"/>
      <c r="F508" s="18"/>
      <c r="G508" s="18"/>
      <c r="H508" s="18">
        <v>99.840000000000018</v>
      </c>
      <c r="I508" s="18">
        <v>19</v>
      </c>
      <c r="J508" s="18"/>
      <c r="K508" s="18"/>
      <c r="L508" s="18">
        <v>31.98</v>
      </c>
      <c r="M508" s="18">
        <v>5</v>
      </c>
      <c r="N508" s="18"/>
      <c r="O508" s="18"/>
      <c r="P508" s="18"/>
      <c r="Q508" s="18"/>
      <c r="R508" s="18">
        <v>131.82000000000002</v>
      </c>
      <c r="S508" s="18">
        <v>24</v>
      </c>
      <c r="T508" t="e">
        <f>+COUNTIF('[1]Facade Heat Loss'!$A:$A,A508)</f>
        <v>#VALUE!</v>
      </c>
    </row>
    <row r="509" spans="1:20" x14ac:dyDescent="0.25">
      <c r="A509" s="25" t="s">
        <v>691</v>
      </c>
      <c r="B509" s="18"/>
      <c r="C509" s="18"/>
      <c r="D509" s="18"/>
      <c r="E509" s="18"/>
      <c r="F509" s="18"/>
      <c r="G509" s="18"/>
      <c r="H509" s="18"/>
      <c r="I509" s="18"/>
      <c r="J509" s="18">
        <v>15.99</v>
      </c>
      <c r="K509" s="18">
        <v>3</v>
      </c>
      <c r="L509" s="18"/>
      <c r="M509" s="18"/>
      <c r="N509" s="18"/>
      <c r="O509" s="18"/>
      <c r="P509" s="18"/>
      <c r="Q509" s="18"/>
      <c r="R509" s="18">
        <v>15.99</v>
      </c>
      <c r="S509" s="18">
        <v>3</v>
      </c>
      <c r="T509" t="e">
        <f>+COUNTIF('[1]Facade Heat Loss'!$A:$A,A509)</f>
        <v>#VALUE!</v>
      </c>
    </row>
    <row r="510" spans="1:20" x14ac:dyDescent="0.25">
      <c r="A510" s="25" t="s">
        <v>692</v>
      </c>
      <c r="B510" s="18">
        <v>68.654499999999999</v>
      </c>
      <c r="C510" s="18">
        <v>9</v>
      </c>
      <c r="D510" s="18">
        <v>91.94250000000001</v>
      </c>
      <c r="E510" s="18">
        <v>16</v>
      </c>
      <c r="F510" s="18"/>
      <c r="G510" s="18"/>
      <c r="H510" s="18"/>
      <c r="I510" s="18"/>
      <c r="J510" s="18"/>
      <c r="K510" s="18"/>
      <c r="L510" s="18">
        <v>5.9474999999999998</v>
      </c>
      <c r="M510" s="18">
        <v>2</v>
      </c>
      <c r="N510" s="18"/>
      <c r="O510" s="18"/>
      <c r="P510" s="18"/>
      <c r="Q510" s="18"/>
      <c r="R510" s="18">
        <v>166.54450000000003</v>
      </c>
      <c r="S510" s="18">
        <v>27</v>
      </c>
      <c r="T510" t="e">
        <f>+COUNTIF('[1]Facade Heat Loss'!$A:$A,A510)</f>
        <v>#VALUE!</v>
      </c>
    </row>
    <row r="511" spans="1:20" x14ac:dyDescent="0.25">
      <c r="A511" s="25" t="s">
        <v>694</v>
      </c>
      <c r="B511" s="18"/>
      <c r="C511" s="18"/>
      <c r="D511" s="18">
        <v>12.699</v>
      </c>
      <c r="E511" s="18">
        <v>4</v>
      </c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>
        <v>12.699</v>
      </c>
      <c r="S511" s="18">
        <v>4</v>
      </c>
      <c r="T511" t="e">
        <f>+COUNTIF('[1]Facade Heat Loss'!$A:$A,A511)</f>
        <v>#VALUE!</v>
      </c>
    </row>
    <row r="512" spans="1:20" x14ac:dyDescent="0.25">
      <c r="A512" s="25" t="s">
        <v>695</v>
      </c>
      <c r="B512" s="18"/>
      <c r="C512" s="18"/>
      <c r="D512" s="18">
        <v>8.7125000000000004</v>
      </c>
      <c r="E512" s="18">
        <v>1</v>
      </c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>
        <v>8.7125000000000004</v>
      </c>
      <c r="S512" s="18">
        <v>1</v>
      </c>
      <c r="T512" t="e">
        <f>+COUNTIF('[1]Facade Heat Loss'!$A:$A,A512)</f>
        <v>#VALUE!</v>
      </c>
    </row>
    <row r="513" spans="1:20" x14ac:dyDescent="0.25">
      <c r="A513" s="25" t="s">
        <v>697</v>
      </c>
      <c r="B513" s="18">
        <v>8.9212500000000006</v>
      </c>
      <c r="C513" s="18">
        <v>3</v>
      </c>
      <c r="D513" s="18">
        <v>10.522499999999999</v>
      </c>
      <c r="E513" s="18">
        <v>3</v>
      </c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>
        <v>19.443749999999998</v>
      </c>
      <c r="S513" s="18">
        <v>6</v>
      </c>
      <c r="T513" t="e">
        <f>+COUNTIF('[1]Facade Heat Loss'!$A:$A,A513)</f>
        <v>#VALUE!</v>
      </c>
    </row>
    <row r="514" spans="1:20" x14ac:dyDescent="0.25">
      <c r="A514" s="25" t="s">
        <v>698</v>
      </c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>
        <v>35.977499999999999</v>
      </c>
      <c r="M514" s="18">
        <v>6</v>
      </c>
      <c r="N514" s="18"/>
      <c r="O514" s="18"/>
      <c r="P514" s="18"/>
      <c r="Q514" s="18"/>
      <c r="R514" s="18">
        <v>35.977499999999999</v>
      </c>
      <c r="S514" s="18">
        <v>6</v>
      </c>
      <c r="T514" t="e">
        <f>+COUNTIF('[1]Facade Heat Loss'!$A:$A,A514)</f>
        <v>#VALUE!</v>
      </c>
    </row>
    <row r="515" spans="1:20" x14ac:dyDescent="0.25">
      <c r="A515" s="25" t="s">
        <v>699</v>
      </c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>
        <v>35.977499999999999</v>
      </c>
      <c r="M515" s="18">
        <v>6</v>
      </c>
      <c r="N515" s="18"/>
      <c r="O515" s="18"/>
      <c r="P515" s="18"/>
      <c r="Q515" s="18"/>
      <c r="R515" s="18">
        <v>35.977499999999999</v>
      </c>
      <c r="S515" s="18">
        <v>6</v>
      </c>
      <c r="T515" t="e">
        <f>+COUNTIF('[1]Facade Heat Loss'!$A:$A,A515)</f>
        <v>#VALUE!</v>
      </c>
    </row>
    <row r="516" spans="1:20" x14ac:dyDescent="0.25">
      <c r="A516" s="25" t="s">
        <v>700</v>
      </c>
      <c r="B516" s="18">
        <v>244.24124999999995</v>
      </c>
      <c r="C516" s="18">
        <v>44</v>
      </c>
      <c r="D516" s="18">
        <v>46.744999999999997</v>
      </c>
      <c r="E516" s="18">
        <v>8</v>
      </c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>
        <v>290.98624999999987</v>
      </c>
      <c r="S516" s="18">
        <v>52</v>
      </c>
      <c r="T516" t="e">
        <f>+COUNTIF('[1]Facade Heat Loss'!$A:$A,A516)</f>
        <v>#VALUE!</v>
      </c>
    </row>
    <row r="517" spans="1:20" x14ac:dyDescent="0.25">
      <c r="A517" s="25" t="s">
        <v>701</v>
      </c>
      <c r="B517" s="18"/>
      <c r="C517" s="18"/>
      <c r="D517" s="18">
        <v>11.9925</v>
      </c>
      <c r="E517" s="18">
        <v>2</v>
      </c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>
        <v>11.9925</v>
      </c>
      <c r="S517" s="18">
        <v>2</v>
      </c>
      <c r="T517" t="e">
        <f>+COUNTIF('[1]Facade Heat Loss'!$A:$A,A517)</f>
        <v>#VALUE!</v>
      </c>
    </row>
    <row r="518" spans="1:20" x14ac:dyDescent="0.25">
      <c r="A518" s="25" t="s">
        <v>702</v>
      </c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>
        <v>10.098947368421053</v>
      </c>
      <c r="M518" s="18">
        <v>1</v>
      </c>
      <c r="N518" s="18"/>
      <c r="O518" s="18"/>
      <c r="P518" s="18"/>
      <c r="Q518" s="18"/>
      <c r="R518" s="18">
        <v>10.098947368421053</v>
      </c>
      <c r="S518" s="18">
        <v>1</v>
      </c>
      <c r="T518" t="e">
        <f>+COUNTIF('[1]Facade Heat Loss'!$A:$A,A518)</f>
        <v>#VALUE!</v>
      </c>
    </row>
    <row r="519" spans="1:20" x14ac:dyDescent="0.25">
      <c r="A519" s="25" t="s">
        <v>703</v>
      </c>
      <c r="B519" s="18"/>
      <c r="C519" s="18"/>
      <c r="D519" s="18"/>
      <c r="E519" s="18"/>
      <c r="F519" s="18"/>
      <c r="G519" s="18"/>
      <c r="H519" s="18"/>
      <c r="I519" s="18"/>
      <c r="J519" s="18">
        <v>35.977499999999999</v>
      </c>
      <c r="K519" s="18">
        <v>7</v>
      </c>
      <c r="L519" s="18"/>
      <c r="M519" s="18"/>
      <c r="N519" s="18"/>
      <c r="O519" s="18"/>
      <c r="P519" s="18"/>
      <c r="Q519" s="18"/>
      <c r="R519" s="18">
        <v>35.977499999999999</v>
      </c>
      <c r="S519" s="18">
        <v>7</v>
      </c>
      <c r="T519" t="e">
        <f>+COUNTIF('[1]Facade Heat Loss'!$A:$A,A519)</f>
        <v>#VALUE!</v>
      </c>
    </row>
    <row r="520" spans="1:20" x14ac:dyDescent="0.25">
      <c r="A520" s="25" t="s">
        <v>704</v>
      </c>
      <c r="B520" s="18"/>
      <c r="C520" s="18"/>
      <c r="D520" s="18"/>
      <c r="E520" s="18"/>
      <c r="F520" s="18"/>
      <c r="G520" s="18"/>
      <c r="H520" s="18">
        <v>27.897000000000205</v>
      </c>
      <c r="I520" s="18">
        <v>6</v>
      </c>
      <c r="J520" s="18"/>
      <c r="K520" s="18"/>
      <c r="L520" s="18"/>
      <c r="M520" s="18"/>
      <c r="N520" s="18"/>
      <c r="O520" s="18"/>
      <c r="P520" s="18"/>
      <c r="Q520" s="18"/>
      <c r="R520" s="18">
        <v>27.897000000000205</v>
      </c>
      <c r="S520" s="18">
        <v>6</v>
      </c>
      <c r="T520" t="e">
        <f>+COUNTIF('[1]Facade Heat Loss'!$A:$A,A520)</f>
        <v>#VALUE!</v>
      </c>
    </row>
    <row r="521" spans="1:20" x14ac:dyDescent="0.25">
      <c r="A521" s="25" t="s">
        <v>757</v>
      </c>
      <c r="B521" s="18">
        <v>2.2425000000000002</v>
      </c>
      <c r="C521" s="18">
        <v>1</v>
      </c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>
        <v>2.2425000000000002</v>
      </c>
      <c r="S521" s="18">
        <v>1</v>
      </c>
      <c r="T521" t="e">
        <f>+COUNTIF('[1]Facade Heat Loss'!$A:$A,A521)</f>
        <v>#VALUE!</v>
      </c>
    </row>
    <row r="522" spans="1:20" x14ac:dyDescent="0.25">
      <c r="A522" s="25" t="s">
        <v>758</v>
      </c>
      <c r="B522" s="18">
        <v>4.4850000000000003</v>
      </c>
      <c r="C522" s="18">
        <v>1</v>
      </c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>
        <v>4.4850000000000003</v>
      </c>
      <c r="S522" s="18">
        <v>1</v>
      </c>
      <c r="T522" t="e">
        <f>+COUNTIF('[1]Facade Heat Loss'!$A:$A,A522)</f>
        <v>#VALUE!</v>
      </c>
    </row>
    <row r="523" spans="1:20" x14ac:dyDescent="0.25">
      <c r="A523" s="25" t="s">
        <v>759</v>
      </c>
      <c r="B523" s="18">
        <v>4.4850000000000003</v>
      </c>
      <c r="C523" s="18">
        <v>2</v>
      </c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>
        <v>4.4850000000000003</v>
      </c>
      <c r="S523" s="18">
        <v>2</v>
      </c>
      <c r="T523" t="e">
        <f>+COUNTIF('[1]Facade Heat Loss'!$A:$A,A523)</f>
        <v>#VALUE!</v>
      </c>
    </row>
    <row r="524" spans="1:20" x14ac:dyDescent="0.25">
      <c r="A524" s="25" t="s">
        <v>760</v>
      </c>
      <c r="B524" s="18">
        <v>2.2425000000000002</v>
      </c>
      <c r="C524" s="18">
        <v>1</v>
      </c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>
        <v>2.2425000000000002</v>
      </c>
      <c r="S524" s="18">
        <v>1</v>
      </c>
      <c r="T524" t="e">
        <f>+COUNTIF('[1]Facade Heat Loss'!$A:$A,A524)</f>
        <v>#VALUE!</v>
      </c>
    </row>
    <row r="525" spans="1:20" x14ac:dyDescent="0.25">
      <c r="A525" s="25" t="s">
        <v>761</v>
      </c>
      <c r="B525" s="18">
        <v>8.9700000000000006</v>
      </c>
      <c r="C525" s="18">
        <v>3</v>
      </c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>
        <v>8.9700000000000006</v>
      </c>
      <c r="S525" s="18">
        <v>3</v>
      </c>
      <c r="T525" t="e">
        <f>+COUNTIF('[1]Facade Heat Loss'!$A:$A,A525)</f>
        <v>#VALUE!</v>
      </c>
    </row>
    <row r="526" spans="1:20" x14ac:dyDescent="0.25">
      <c r="A526" s="25" t="s">
        <v>762</v>
      </c>
      <c r="B526" s="18">
        <v>6.7275000000000009</v>
      </c>
      <c r="C526" s="18">
        <v>2</v>
      </c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>
        <v>6.7275000000000009</v>
      </c>
      <c r="S526" s="18">
        <v>2</v>
      </c>
      <c r="T526" t="e">
        <f>+COUNTIF('[1]Facade Heat Loss'!$A:$A,A526)</f>
        <v>#VALUE!</v>
      </c>
    </row>
    <row r="527" spans="1:20" x14ac:dyDescent="0.25">
      <c r="A527" s="25" t="s">
        <v>763</v>
      </c>
      <c r="B527" s="18">
        <v>2.2425000000000002</v>
      </c>
      <c r="C527" s="18">
        <v>1</v>
      </c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>
        <v>2.2425000000000002</v>
      </c>
      <c r="S527" s="18">
        <v>1</v>
      </c>
      <c r="T527" t="e">
        <f>+COUNTIF('[1]Facade Heat Loss'!$A:$A,A527)</f>
        <v>#VALUE!</v>
      </c>
    </row>
    <row r="528" spans="1:20" x14ac:dyDescent="0.25">
      <c r="A528" s="25" t="s">
        <v>764</v>
      </c>
      <c r="B528" s="18">
        <v>2.2425000000000002</v>
      </c>
      <c r="C528" s="18">
        <v>1</v>
      </c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>
        <v>2.2425000000000002</v>
      </c>
      <c r="S528" s="18">
        <v>1</v>
      </c>
      <c r="T528" t="e">
        <f>+COUNTIF('[1]Facade Heat Loss'!$A:$A,A528)</f>
        <v>#VALUE!</v>
      </c>
    </row>
    <row r="529" spans="1:20" x14ac:dyDescent="0.25">
      <c r="A529" s="25" t="s">
        <v>765</v>
      </c>
      <c r="B529" s="18">
        <v>4.4850000000000003</v>
      </c>
      <c r="C529" s="18">
        <v>1</v>
      </c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>
        <v>4.4850000000000003</v>
      </c>
      <c r="S529" s="18">
        <v>1</v>
      </c>
      <c r="T529" t="e">
        <f>+COUNTIF('[1]Facade Heat Loss'!$A:$A,A529)</f>
        <v>#VALUE!</v>
      </c>
    </row>
    <row r="530" spans="1:20" x14ac:dyDescent="0.25">
      <c r="A530" s="25" t="s">
        <v>766</v>
      </c>
      <c r="B530" s="18">
        <v>2.2425000000000002</v>
      </c>
      <c r="C530" s="18">
        <v>1</v>
      </c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>
        <v>2.2425000000000002</v>
      </c>
      <c r="S530" s="18">
        <v>1</v>
      </c>
      <c r="T530" t="e">
        <f>+COUNTIF('[1]Facade Heat Loss'!$A:$A,A530)</f>
        <v>#VALUE!</v>
      </c>
    </row>
    <row r="531" spans="1:20" x14ac:dyDescent="0.25">
      <c r="A531" s="25" t="s">
        <v>767</v>
      </c>
      <c r="B531" s="18">
        <v>2.2425000000000002</v>
      </c>
      <c r="C531" s="18">
        <v>1</v>
      </c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>
        <v>2.2425000000000002</v>
      </c>
      <c r="S531" s="18">
        <v>1</v>
      </c>
      <c r="T531" t="e">
        <f>+COUNTIF('[1]Facade Heat Loss'!$A:$A,A531)</f>
        <v>#VALUE!</v>
      </c>
    </row>
    <row r="532" spans="1:20" x14ac:dyDescent="0.25">
      <c r="A532" s="25">
        <v>1052</v>
      </c>
      <c r="B532" s="18">
        <v>8.9700000000000006</v>
      </c>
      <c r="C532" s="18">
        <v>4</v>
      </c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>
        <v>8.9700000000000006</v>
      </c>
      <c r="S532" s="18">
        <v>4</v>
      </c>
      <c r="T532" t="e">
        <f>+COUNTIF('[1]Facade Heat Loss'!$A:$A,A532)</f>
        <v>#VALUE!</v>
      </c>
    </row>
    <row r="533" spans="1:20" x14ac:dyDescent="0.25">
      <c r="A533" s="25" t="s">
        <v>756</v>
      </c>
      <c r="B533" s="18">
        <v>8.9700000000000006</v>
      </c>
      <c r="C533" s="18">
        <v>4</v>
      </c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>
        <v>8.9700000000000006</v>
      </c>
      <c r="S533" s="18">
        <v>4</v>
      </c>
      <c r="T533" t="e">
        <f>+COUNTIF('[1]Facade Heat Loss'!$A:$A,A533)</f>
        <v>#VALUE!</v>
      </c>
    </row>
    <row r="534" spans="1:20" x14ac:dyDescent="0.25">
      <c r="A534" s="16" t="s">
        <v>876</v>
      </c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>
        <v>4.5749999999999993</v>
      </c>
      <c r="M534" s="18">
        <v>1</v>
      </c>
      <c r="N534" s="18"/>
      <c r="O534" s="18"/>
      <c r="P534" s="18"/>
      <c r="Q534" s="18"/>
      <c r="R534" s="18">
        <v>4.5749999999999993</v>
      </c>
      <c r="S534" s="18">
        <v>1</v>
      </c>
      <c r="T534" t="e">
        <f>+COUNTIF('[1]Facade Heat Loss'!$A:$A,A534)</f>
        <v>#VALUE!</v>
      </c>
    </row>
    <row r="535" spans="1:20" x14ac:dyDescent="0.25">
      <c r="A535" s="16" t="s">
        <v>877</v>
      </c>
      <c r="B535" s="18">
        <v>2.2425000000000002</v>
      </c>
      <c r="C535" s="18">
        <v>1</v>
      </c>
      <c r="D535" s="18"/>
      <c r="E535" s="18"/>
      <c r="F535" s="18"/>
      <c r="G535" s="18"/>
      <c r="H535" s="18"/>
      <c r="I535" s="18"/>
      <c r="J535" s="18"/>
      <c r="K535" s="18"/>
      <c r="L535" s="18">
        <v>9.9124999999999996</v>
      </c>
      <c r="M535" s="18">
        <v>3</v>
      </c>
      <c r="N535" s="18"/>
      <c r="O535" s="18"/>
      <c r="P535" s="18"/>
      <c r="Q535" s="18"/>
      <c r="R535" s="18">
        <v>12.154999999999999</v>
      </c>
      <c r="S535" s="18">
        <v>4</v>
      </c>
      <c r="T535" t="e">
        <f>+COUNTIF('[1]Facade Heat Loss'!$A:$A,A535)</f>
        <v>#VALUE!</v>
      </c>
    </row>
    <row r="536" spans="1:20" x14ac:dyDescent="0.25">
      <c r="A536" s="16" t="s">
        <v>878</v>
      </c>
      <c r="B536" s="18"/>
      <c r="C536" s="18"/>
      <c r="D536" s="18"/>
      <c r="E536" s="18"/>
      <c r="F536" s="18"/>
      <c r="G536" s="18"/>
      <c r="H536" s="18">
        <v>5.9474999999999998</v>
      </c>
      <c r="I536" s="18">
        <v>1</v>
      </c>
      <c r="J536" s="18"/>
      <c r="K536" s="18"/>
      <c r="L536" s="18">
        <v>1.9824999999999999</v>
      </c>
      <c r="M536" s="18">
        <v>1</v>
      </c>
      <c r="N536" s="18"/>
      <c r="O536" s="18"/>
      <c r="P536" s="18"/>
      <c r="Q536" s="18"/>
      <c r="R536" s="18">
        <v>7.93</v>
      </c>
      <c r="S536" s="18">
        <v>2</v>
      </c>
      <c r="T536" t="e">
        <f>+COUNTIF('[1]Facade Heat Loss'!$A:$A,A536)</f>
        <v>#VALUE!</v>
      </c>
    </row>
    <row r="537" spans="1:20" x14ac:dyDescent="0.25">
      <c r="A537" s="16" t="s">
        <v>879</v>
      </c>
      <c r="B537" s="18"/>
      <c r="C537" s="18"/>
      <c r="D537" s="18"/>
      <c r="E537" s="18"/>
      <c r="F537" s="18"/>
      <c r="G537" s="18"/>
      <c r="H537" s="18">
        <v>30.347499999999997</v>
      </c>
      <c r="I537" s="18">
        <v>8</v>
      </c>
      <c r="J537" s="18"/>
      <c r="K537" s="18"/>
      <c r="L537" s="18"/>
      <c r="M537" s="18"/>
      <c r="N537" s="18"/>
      <c r="O537" s="18"/>
      <c r="P537" s="18"/>
      <c r="Q537" s="18"/>
      <c r="R537" s="18">
        <v>30.347499999999997</v>
      </c>
      <c r="S537" s="18">
        <v>8</v>
      </c>
      <c r="T537" t="e">
        <f>+COUNTIF('[1]Facade Heat Loss'!$A:$A,A537)</f>
        <v>#VALUE!</v>
      </c>
    </row>
    <row r="538" spans="1:20" x14ac:dyDescent="0.25">
      <c r="A538" s="16" t="s">
        <v>880</v>
      </c>
      <c r="B538" s="18">
        <v>4.4850000000000003</v>
      </c>
      <c r="C538" s="18">
        <v>1</v>
      </c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>
        <v>4.4850000000000003</v>
      </c>
      <c r="S538" s="18">
        <v>1</v>
      </c>
      <c r="T538" t="e">
        <f>+COUNTIF('[1]Facade Heat Loss'!$A:$A,A538)</f>
        <v>#VALUE!</v>
      </c>
    </row>
    <row r="539" spans="1:20" x14ac:dyDescent="0.25">
      <c r="A539" s="16" t="s">
        <v>881</v>
      </c>
      <c r="B539" s="18"/>
      <c r="C539" s="18"/>
      <c r="D539" s="18"/>
      <c r="E539" s="18"/>
      <c r="F539" s="18"/>
      <c r="G539" s="18"/>
      <c r="H539" s="18">
        <v>30.347499999999997</v>
      </c>
      <c r="I539" s="18">
        <v>8</v>
      </c>
      <c r="J539" s="18"/>
      <c r="K539" s="18"/>
      <c r="L539" s="18">
        <v>6.5574999999999992</v>
      </c>
      <c r="M539" s="18">
        <v>2</v>
      </c>
      <c r="N539" s="18"/>
      <c r="O539" s="18"/>
      <c r="P539" s="18"/>
      <c r="Q539" s="18"/>
      <c r="R539" s="18">
        <v>36.905000000000001</v>
      </c>
      <c r="S539" s="18">
        <v>10</v>
      </c>
      <c r="T539" t="e">
        <f>+COUNTIF('[1]Facade Heat Loss'!$A:$A,A539)</f>
        <v>#VALUE!</v>
      </c>
    </row>
    <row r="540" spans="1:20" x14ac:dyDescent="0.25">
      <c r="A540" s="16" t="s">
        <v>882</v>
      </c>
      <c r="B540" s="18"/>
      <c r="C540" s="18"/>
      <c r="D540" s="18"/>
      <c r="E540" s="18"/>
      <c r="F540" s="18"/>
      <c r="G540" s="18"/>
      <c r="H540" s="18">
        <v>35.913749999999993</v>
      </c>
      <c r="I540" s="18">
        <v>10</v>
      </c>
      <c r="J540" s="18"/>
      <c r="K540" s="18"/>
      <c r="L540" s="18">
        <v>19.443749999999998</v>
      </c>
      <c r="M540" s="18">
        <v>6</v>
      </c>
      <c r="N540" s="18"/>
      <c r="O540" s="18"/>
      <c r="P540" s="18"/>
      <c r="Q540" s="18"/>
      <c r="R540" s="18">
        <v>55.357499999999995</v>
      </c>
      <c r="S540" s="18">
        <v>16</v>
      </c>
      <c r="T540" t="e">
        <f>+COUNTIF('[1]Facade Heat Loss'!$A:$A,A540)</f>
        <v>#VALUE!</v>
      </c>
    </row>
    <row r="541" spans="1:20" x14ac:dyDescent="0.25">
      <c r="A541" s="16" t="s">
        <v>1064</v>
      </c>
      <c r="B541" s="18"/>
      <c r="C541" s="18"/>
      <c r="D541" s="18">
        <v>18.147500000000001</v>
      </c>
      <c r="E541" s="18">
        <v>4</v>
      </c>
      <c r="F541" s="18"/>
      <c r="G541" s="18"/>
      <c r="H541" s="18">
        <v>18.299999999999997</v>
      </c>
      <c r="I541" s="18">
        <v>4</v>
      </c>
      <c r="J541" s="18"/>
      <c r="K541" s="18"/>
      <c r="L541" s="18">
        <v>17.234999999999999</v>
      </c>
      <c r="M541" s="18">
        <v>4</v>
      </c>
      <c r="N541" s="18"/>
      <c r="O541" s="18"/>
      <c r="P541" s="18"/>
      <c r="Q541" s="18"/>
      <c r="R541" s="18">
        <v>53.682500000000005</v>
      </c>
      <c r="S541" s="18">
        <v>12</v>
      </c>
      <c r="T541" t="e">
        <f>+COUNTIF('[1]Facade Heat Loss'!$A:$A,A541)</f>
        <v>#VALUE!</v>
      </c>
    </row>
    <row r="542" spans="1:20" x14ac:dyDescent="0.25">
      <c r="A542" s="16" t="s">
        <v>1066</v>
      </c>
      <c r="B542" s="18"/>
      <c r="C542" s="18"/>
      <c r="D542" s="18">
        <v>19.672499999999999</v>
      </c>
      <c r="E542" s="18">
        <v>4</v>
      </c>
      <c r="F542" s="18"/>
      <c r="G542" s="18"/>
      <c r="H542" s="18">
        <v>18.299999999999997</v>
      </c>
      <c r="I542" s="18">
        <v>4</v>
      </c>
      <c r="J542" s="18"/>
      <c r="K542" s="18"/>
      <c r="L542" s="18"/>
      <c r="M542" s="18"/>
      <c r="N542" s="18"/>
      <c r="O542" s="18"/>
      <c r="P542" s="18"/>
      <c r="Q542" s="18"/>
      <c r="R542" s="18">
        <v>37.972499999999997</v>
      </c>
      <c r="S542" s="18">
        <v>8</v>
      </c>
      <c r="T542" t="e">
        <f>+COUNTIF('[1]Facade Heat Loss'!$A:$A,A542)</f>
        <v>#VALUE!</v>
      </c>
    </row>
    <row r="543" spans="1:20" x14ac:dyDescent="0.25">
      <c r="A543" s="16" t="s">
        <v>848</v>
      </c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>
        <v>5.9474999999999998</v>
      </c>
      <c r="M543" s="18">
        <v>1</v>
      </c>
      <c r="N543" s="18"/>
      <c r="O543" s="18"/>
      <c r="P543" s="18"/>
      <c r="Q543" s="18"/>
      <c r="R543" s="18">
        <v>5.9474999999999998</v>
      </c>
      <c r="S543" s="18">
        <v>1</v>
      </c>
      <c r="T543" t="e">
        <f>+COUNTIF('[1]Facade Heat Loss'!$A:$A,A543)</f>
        <v>#VALUE!</v>
      </c>
    </row>
    <row r="544" spans="1:20" x14ac:dyDescent="0.25">
      <c r="A544" s="16" t="s">
        <v>849</v>
      </c>
      <c r="B544" s="18"/>
      <c r="C544" s="18"/>
      <c r="D544" s="18"/>
      <c r="E544" s="18"/>
      <c r="F544" s="18"/>
      <c r="G544" s="18"/>
      <c r="H544" s="18">
        <v>2.9737499999999999</v>
      </c>
      <c r="I544" s="18">
        <v>1</v>
      </c>
      <c r="J544" s="18"/>
      <c r="K544" s="18"/>
      <c r="L544" s="18"/>
      <c r="M544" s="18"/>
      <c r="N544" s="18"/>
      <c r="O544" s="18"/>
      <c r="P544" s="18"/>
      <c r="Q544" s="18"/>
      <c r="R544" s="18">
        <v>2.9737499999999999</v>
      </c>
      <c r="S544" s="18">
        <v>1</v>
      </c>
      <c r="T544" t="e">
        <f>+COUNTIF('[1]Facade Heat Loss'!$A:$A,A544)</f>
        <v>#VALUE!</v>
      </c>
    </row>
    <row r="545" spans="1:20" x14ac:dyDescent="0.25">
      <c r="A545" s="16" t="s">
        <v>850</v>
      </c>
      <c r="B545" s="18"/>
      <c r="C545" s="18"/>
      <c r="D545" s="18"/>
      <c r="E545" s="18"/>
      <c r="F545" s="18"/>
      <c r="G545" s="18"/>
      <c r="H545" s="18">
        <v>1.9824999999999999</v>
      </c>
      <c r="I545" s="18">
        <v>1</v>
      </c>
      <c r="J545" s="18"/>
      <c r="K545" s="18"/>
      <c r="L545" s="18"/>
      <c r="M545" s="18"/>
      <c r="N545" s="18"/>
      <c r="O545" s="18"/>
      <c r="P545" s="18"/>
      <c r="Q545" s="18"/>
      <c r="R545" s="18">
        <v>1.9824999999999999</v>
      </c>
      <c r="S545" s="18">
        <v>1</v>
      </c>
      <c r="T545" t="e">
        <f>+COUNTIF('[1]Facade Heat Loss'!$A:$A,A545)</f>
        <v>#VALUE!</v>
      </c>
    </row>
    <row r="546" spans="1:20" x14ac:dyDescent="0.25">
      <c r="A546" s="16" t="s">
        <v>854</v>
      </c>
      <c r="B546" s="18"/>
      <c r="C546" s="18"/>
      <c r="D546" s="18"/>
      <c r="E546" s="18"/>
      <c r="F546" s="18"/>
      <c r="G546" s="18"/>
      <c r="H546" s="18">
        <v>2.9737499999999999</v>
      </c>
      <c r="I546" s="18">
        <v>1</v>
      </c>
      <c r="J546" s="18"/>
      <c r="K546" s="18"/>
      <c r="L546" s="18"/>
      <c r="M546" s="18"/>
      <c r="N546" s="18"/>
      <c r="O546" s="18"/>
      <c r="P546" s="18"/>
      <c r="Q546" s="18"/>
      <c r="R546" s="18">
        <v>2.9737499999999999</v>
      </c>
      <c r="S546" s="18">
        <v>1</v>
      </c>
      <c r="T546" t="e">
        <f>+COUNTIF('[1]Facade Heat Loss'!$A:$A,A546)</f>
        <v>#VALUE!</v>
      </c>
    </row>
    <row r="547" spans="1:20" x14ac:dyDescent="0.25">
      <c r="A547" s="16" t="s">
        <v>855</v>
      </c>
      <c r="B547" s="18"/>
      <c r="C547" s="18"/>
      <c r="D547" s="18"/>
      <c r="E547" s="18"/>
      <c r="F547" s="18"/>
      <c r="G547" s="18"/>
      <c r="H547" s="18">
        <v>1.9824999999999999</v>
      </c>
      <c r="I547" s="18">
        <v>1</v>
      </c>
      <c r="J547" s="18"/>
      <c r="K547" s="18"/>
      <c r="L547" s="18"/>
      <c r="M547" s="18"/>
      <c r="N547" s="18"/>
      <c r="O547" s="18"/>
      <c r="P547" s="18"/>
      <c r="Q547" s="18"/>
      <c r="R547" s="18">
        <v>1.9824999999999999</v>
      </c>
      <c r="S547" s="18">
        <v>1</v>
      </c>
      <c r="T547" t="e">
        <f>+COUNTIF('[1]Facade Heat Loss'!$A:$A,A547)</f>
        <v>#VALUE!</v>
      </c>
    </row>
    <row r="548" spans="1:20" x14ac:dyDescent="0.25">
      <c r="A548" s="16" t="s">
        <v>856</v>
      </c>
      <c r="B548" s="18"/>
      <c r="C548" s="18"/>
      <c r="D548" s="18"/>
      <c r="E548" s="18"/>
      <c r="F548" s="18"/>
      <c r="G548" s="18"/>
      <c r="H548" s="18">
        <v>1.9824999999999999</v>
      </c>
      <c r="I548" s="18">
        <v>1</v>
      </c>
      <c r="J548" s="18"/>
      <c r="K548" s="18"/>
      <c r="L548" s="18"/>
      <c r="M548" s="18"/>
      <c r="N548" s="18"/>
      <c r="O548" s="18"/>
      <c r="P548" s="18"/>
      <c r="Q548" s="18"/>
      <c r="R548" s="18">
        <v>1.9824999999999999</v>
      </c>
      <c r="S548" s="18">
        <v>1</v>
      </c>
      <c r="T548" t="e">
        <f>+COUNTIF('[1]Facade Heat Loss'!$A:$A,A548)</f>
        <v>#VALUE!</v>
      </c>
    </row>
    <row r="549" spans="1:20" x14ac:dyDescent="0.25">
      <c r="A549" s="16" t="s">
        <v>857</v>
      </c>
      <c r="B549" s="18"/>
      <c r="C549" s="18"/>
      <c r="D549" s="18"/>
      <c r="E549" s="18"/>
      <c r="F549" s="18"/>
      <c r="G549" s="18"/>
      <c r="H549" s="18">
        <v>4.5749999999999993</v>
      </c>
      <c r="I549" s="18">
        <v>1</v>
      </c>
      <c r="J549" s="18"/>
      <c r="K549" s="18"/>
      <c r="L549" s="18"/>
      <c r="M549" s="18"/>
      <c r="N549" s="18"/>
      <c r="O549" s="18"/>
      <c r="P549" s="18"/>
      <c r="Q549" s="18"/>
      <c r="R549" s="18">
        <v>4.5749999999999993</v>
      </c>
      <c r="S549" s="18">
        <v>1</v>
      </c>
      <c r="T549" t="e">
        <f>+COUNTIF('[1]Facade Heat Loss'!$A:$A,A549)</f>
        <v>#VALUE!</v>
      </c>
    </row>
    <row r="550" spans="1:20" x14ac:dyDescent="0.25">
      <c r="A550" s="16" t="s">
        <v>858</v>
      </c>
      <c r="B550" s="18"/>
      <c r="C550" s="18"/>
      <c r="D550" s="18"/>
      <c r="E550" s="18"/>
      <c r="F550" s="18"/>
      <c r="G550" s="18"/>
      <c r="H550" s="18">
        <v>5.9474999999999998</v>
      </c>
      <c r="I550" s="18">
        <v>1</v>
      </c>
      <c r="J550" s="18"/>
      <c r="K550" s="18"/>
      <c r="L550" s="18"/>
      <c r="M550" s="18"/>
      <c r="N550" s="18"/>
      <c r="O550" s="18"/>
      <c r="P550" s="18"/>
      <c r="Q550" s="18"/>
      <c r="R550" s="18">
        <v>5.9474999999999998</v>
      </c>
      <c r="S550" s="18">
        <v>1</v>
      </c>
      <c r="T550" t="e">
        <f>+COUNTIF('[1]Facade Heat Loss'!$A:$A,A550)</f>
        <v>#VALUE!</v>
      </c>
    </row>
    <row r="551" spans="1:20" x14ac:dyDescent="0.25">
      <c r="A551" s="16" t="s">
        <v>859</v>
      </c>
      <c r="B551" s="18"/>
      <c r="C551" s="18"/>
      <c r="D551" s="18"/>
      <c r="E551" s="18"/>
      <c r="F551" s="18"/>
      <c r="G551" s="18"/>
      <c r="H551" s="18">
        <v>2.9737499999999999</v>
      </c>
      <c r="I551" s="18">
        <v>1</v>
      </c>
      <c r="J551" s="18"/>
      <c r="K551" s="18"/>
      <c r="L551" s="18"/>
      <c r="M551" s="18"/>
      <c r="N551" s="18"/>
      <c r="O551" s="18"/>
      <c r="P551" s="18"/>
      <c r="Q551" s="18"/>
      <c r="R551" s="18">
        <v>2.9737499999999999</v>
      </c>
      <c r="S551" s="18">
        <v>1</v>
      </c>
      <c r="T551" t="e">
        <f>+COUNTIF('[1]Facade Heat Loss'!$A:$A,A551)</f>
        <v>#VALUE!</v>
      </c>
    </row>
    <row r="552" spans="1:20" x14ac:dyDescent="0.25">
      <c r="A552" s="16" t="s">
        <v>860</v>
      </c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>
        <v>4.9562499999999998</v>
      </c>
      <c r="M552" s="18">
        <v>2</v>
      </c>
      <c r="N552" s="18"/>
      <c r="O552" s="18"/>
      <c r="P552" s="18"/>
      <c r="Q552" s="18"/>
      <c r="R552" s="18">
        <v>4.9562499999999998</v>
      </c>
      <c r="S552" s="18">
        <v>2</v>
      </c>
      <c r="T552" t="e">
        <f>+COUNTIF('[1]Facade Heat Loss'!$A:$A,A552)</f>
        <v>#VALUE!</v>
      </c>
    </row>
    <row r="553" spans="1:20" x14ac:dyDescent="0.25">
      <c r="A553" s="16" t="s">
        <v>861</v>
      </c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>
        <v>2.9737499999999999</v>
      </c>
      <c r="M553" s="18">
        <v>1</v>
      </c>
      <c r="N553" s="18"/>
      <c r="O553" s="18"/>
      <c r="P553" s="18"/>
      <c r="Q553" s="18"/>
      <c r="R553" s="18">
        <v>2.9737499999999999</v>
      </c>
      <c r="S553" s="18">
        <v>1</v>
      </c>
      <c r="T553" t="e">
        <f>+COUNTIF('[1]Facade Heat Loss'!$A:$A,A553)</f>
        <v>#VALUE!</v>
      </c>
    </row>
    <row r="554" spans="1:20" x14ac:dyDescent="0.25">
      <c r="A554" s="16" t="s">
        <v>868</v>
      </c>
      <c r="B554" s="18"/>
      <c r="C554" s="18"/>
      <c r="D554" s="18"/>
      <c r="E554" s="18"/>
      <c r="F554" s="18">
        <v>21.349999999999998</v>
      </c>
      <c r="G554" s="18">
        <v>5</v>
      </c>
      <c r="H554" s="18"/>
      <c r="I554" s="18"/>
      <c r="J554" s="18">
        <v>13.725000000000001</v>
      </c>
      <c r="K554" s="18">
        <v>3</v>
      </c>
      <c r="L554" s="18"/>
      <c r="M554" s="18"/>
      <c r="N554" s="18">
        <v>37.743750000000006</v>
      </c>
      <c r="O554" s="18">
        <v>10</v>
      </c>
      <c r="P554" s="18"/>
      <c r="Q554" s="18"/>
      <c r="R554" s="18">
        <v>72.818749999999994</v>
      </c>
      <c r="S554" s="18">
        <v>18</v>
      </c>
      <c r="T554" t="e">
        <f>+COUNTIF('[1]Facade Heat Loss'!$A:$A,A554)</f>
        <v>#VALUE!</v>
      </c>
    </row>
    <row r="555" spans="1:20" x14ac:dyDescent="0.25">
      <c r="A555" s="16" t="s">
        <v>870</v>
      </c>
      <c r="B555" s="18"/>
      <c r="C555" s="18"/>
      <c r="D555" s="18"/>
      <c r="E555" s="18"/>
      <c r="F555" s="18"/>
      <c r="G555" s="18"/>
      <c r="H555" s="18">
        <v>1.9824999999999999</v>
      </c>
      <c r="I555" s="18">
        <v>1</v>
      </c>
      <c r="J555" s="18"/>
      <c r="K555" s="18"/>
      <c r="L555" s="18"/>
      <c r="M555" s="18"/>
      <c r="N555" s="18"/>
      <c r="O555" s="18"/>
      <c r="P555" s="18"/>
      <c r="Q555" s="18"/>
      <c r="R555" s="18">
        <v>1.9824999999999999</v>
      </c>
      <c r="S555" s="18">
        <v>1</v>
      </c>
      <c r="T555" t="e">
        <f>+COUNTIF('[1]Facade Heat Loss'!$A:$A,A555)</f>
        <v>#VALUE!</v>
      </c>
    </row>
    <row r="556" spans="1:20" x14ac:dyDescent="0.25">
      <c r="A556" s="16" t="s">
        <v>1051</v>
      </c>
      <c r="B556" s="18"/>
      <c r="C556" s="18"/>
      <c r="D556" s="18">
        <v>7.625</v>
      </c>
      <c r="E556" s="18">
        <v>2</v>
      </c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>
        <v>7.625</v>
      </c>
      <c r="S556" s="18">
        <v>2</v>
      </c>
      <c r="T556" t="e">
        <f>+COUNTIF('[1]Facade Heat Loss'!$A:$A,A556)</f>
        <v>#VALUE!</v>
      </c>
    </row>
    <row r="557" spans="1:20" x14ac:dyDescent="0.25">
      <c r="A557" s="16" t="s">
        <v>1052</v>
      </c>
      <c r="B557" s="18"/>
      <c r="C557" s="18"/>
      <c r="D557" s="18">
        <v>7.5487500000000001</v>
      </c>
      <c r="E557" s="18">
        <v>2</v>
      </c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>
        <v>7.5487500000000001</v>
      </c>
      <c r="S557" s="18">
        <v>2</v>
      </c>
      <c r="T557" t="e">
        <f>+COUNTIF('[1]Facade Heat Loss'!$A:$A,A557)</f>
        <v>#VALUE!</v>
      </c>
    </row>
    <row r="558" spans="1:20" x14ac:dyDescent="0.25">
      <c r="A558" s="16" t="s">
        <v>1054</v>
      </c>
      <c r="B558" s="18"/>
      <c r="C558" s="18"/>
      <c r="D558" s="18">
        <v>3.51</v>
      </c>
      <c r="E558" s="18">
        <v>1</v>
      </c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>
        <v>3.51</v>
      </c>
      <c r="S558" s="18">
        <v>1</v>
      </c>
      <c r="T558" t="e">
        <f>+COUNTIF('[1]Facade Heat Loss'!$A:$A,A558)</f>
        <v>#VALUE!</v>
      </c>
    </row>
    <row r="559" spans="1:20" x14ac:dyDescent="0.25">
      <c r="A559" s="16" t="s">
        <v>1067</v>
      </c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>
        <v>3.51</v>
      </c>
      <c r="M559" s="18">
        <v>1</v>
      </c>
      <c r="N559" s="18"/>
      <c r="O559" s="18"/>
      <c r="P559" s="18"/>
      <c r="Q559" s="18"/>
      <c r="R559" s="18">
        <v>3.51</v>
      </c>
      <c r="S559" s="18">
        <v>1</v>
      </c>
      <c r="T559" t="e">
        <f>+COUNTIF('[1]Facade Heat Loss'!$A:$A,A559)</f>
        <v>#VALUE!</v>
      </c>
    </row>
    <row r="560" spans="1:20" x14ac:dyDescent="0.25">
      <c r="A560" s="16" t="s">
        <v>833</v>
      </c>
      <c r="B560" s="18"/>
      <c r="C560" s="18"/>
      <c r="D560" s="18"/>
      <c r="E560" s="18"/>
      <c r="F560" s="18">
        <v>6.1762499999999996</v>
      </c>
      <c r="G560" s="18">
        <v>1</v>
      </c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>
        <v>6.1762499999999996</v>
      </c>
      <c r="S560" s="18">
        <v>1</v>
      </c>
      <c r="T560" t="e">
        <f>+COUNTIF('[1]Facade Heat Loss'!$A:$A,A560)</f>
        <v>#VALUE!</v>
      </c>
    </row>
    <row r="561" spans="1:20" x14ac:dyDescent="0.25">
      <c r="A561" s="16" t="s">
        <v>839</v>
      </c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>
        <v>7.67075</v>
      </c>
      <c r="M561" s="18">
        <v>1</v>
      </c>
      <c r="N561" s="18"/>
      <c r="O561" s="18"/>
      <c r="P561" s="18"/>
      <c r="Q561" s="18"/>
      <c r="R561" s="18">
        <v>7.67075</v>
      </c>
      <c r="S561" s="18">
        <v>1</v>
      </c>
      <c r="T561" t="e">
        <f>+COUNTIF('[1]Facade Heat Loss'!$A:$A,A561)</f>
        <v>#VALUE!</v>
      </c>
    </row>
    <row r="562" spans="1:20" x14ac:dyDescent="0.25">
      <c r="A562" s="16" t="s">
        <v>841</v>
      </c>
      <c r="B562" s="18"/>
      <c r="C562" s="18"/>
      <c r="D562" s="18"/>
      <c r="E562" s="18"/>
      <c r="F562" s="18"/>
      <c r="G562" s="18"/>
      <c r="H562" s="18">
        <v>7.93</v>
      </c>
      <c r="I562" s="18">
        <v>3</v>
      </c>
      <c r="J562" s="18"/>
      <c r="K562" s="18"/>
      <c r="L562" s="18">
        <v>9.53125</v>
      </c>
      <c r="M562" s="18">
        <v>3</v>
      </c>
      <c r="N562" s="18"/>
      <c r="O562" s="18"/>
      <c r="P562" s="18"/>
      <c r="Q562" s="18"/>
      <c r="R562" s="18">
        <v>17.46125</v>
      </c>
      <c r="S562" s="18">
        <v>6</v>
      </c>
      <c r="T562" t="e">
        <f>+COUNTIF('[1]Facade Heat Loss'!$A:$A,A562)</f>
        <v>#VALUE!</v>
      </c>
    </row>
    <row r="563" spans="1:20" x14ac:dyDescent="0.25">
      <c r="A563" s="16" t="s">
        <v>843</v>
      </c>
      <c r="B563" s="18"/>
      <c r="C563" s="18"/>
      <c r="D563" s="18"/>
      <c r="E563" s="18"/>
      <c r="F563" s="18"/>
      <c r="G563" s="18"/>
      <c r="H563" s="18">
        <v>7.93</v>
      </c>
      <c r="I563" s="18">
        <v>3</v>
      </c>
      <c r="J563" s="18"/>
      <c r="K563" s="18"/>
      <c r="L563" s="18">
        <v>9.53125</v>
      </c>
      <c r="M563" s="18">
        <v>3</v>
      </c>
      <c r="N563" s="18"/>
      <c r="O563" s="18"/>
      <c r="P563" s="18"/>
      <c r="Q563" s="18"/>
      <c r="R563" s="18">
        <v>17.46125</v>
      </c>
      <c r="S563" s="18">
        <v>6</v>
      </c>
      <c r="T563" t="e">
        <f>+COUNTIF('[1]Facade Heat Loss'!$A:$A,A563)</f>
        <v>#VALUE!</v>
      </c>
    </row>
    <row r="564" spans="1:20" x14ac:dyDescent="0.25">
      <c r="A564" s="16" t="s">
        <v>844</v>
      </c>
      <c r="B564" s="18"/>
      <c r="C564" s="18"/>
      <c r="D564" s="18"/>
      <c r="E564" s="18"/>
      <c r="F564" s="18"/>
      <c r="G564" s="18"/>
      <c r="H564" s="18">
        <v>17.079999999999998</v>
      </c>
      <c r="I564" s="18">
        <v>5</v>
      </c>
      <c r="J564" s="18"/>
      <c r="K564" s="18"/>
      <c r="L564" s="18">
        <v>3.9649999999999999</v>
      </c>
      <c r="M564" s="18">
        <v>2</v>
      </c>
      <c r="N564" s="18"/>
      <c r="O564" s="18"/>
      <c r="P564" s="18"/>
      <c r="Q564" s="18"/>
      <c r="R564" s="18">
        <v>21.045000000000002</v>
      </c>
      <c r="S564" s="18">
        <v>7</v>
      </c>
      <c r="T564" t="e">
        <f>+COUNTIF('[1]Facade Heat Loss'!$A:$A,A564)</f>
        <v>#VALUE!</v>
      </c>
    </row>
    <row r="565" spans="1:20" x14ac:dyDescent="0.25">
      <c r="A565" s="16" t="s">
        <v>1057</v>
      </c>
      <c r="B565" s="18"/>
      <c r="C565" s="18"/>
      <c r="D565" s="18"/>
      <c r="E565" s="18"/>
      <c r="F565" s="18"/>
      <c r="G565" s="18"/>
      <c r="H565" s="18">
        <v>10.9725</v>
      </c>
      <c r="I565" s="18">
        <v>1</v>
      </c>
      <c r="J565" s="18"/>
      <c r="K565" s="18"/>
      <c r="L565" s="18"/>
      <c r="M565" s="18"/>
      <c r="N565" s="18"/>
      <c r="O565" s="18"/>
      <c r="P565" s="18"/>
      <c r="Q565" s="18"/>
      <c r="R565" s="18">
        <v>10.9725</v>
      </c>
      <c r="S565" s="18">
        <v>1</v>
      </c>
      <c r="T565" t="e">
        <f>+COUNTIF('[1]Facade Heat Loss'!$A:$A,A565)</f>
        <v>#VALUE!</v>
      </c>
    </row>
    <row r="566" spans="1:20" x14ac:dyDescent="0.25">
      <c r="A566" s="16" t="s">
        <v>1061</v>
      </c>
      <c r="B566" s="18"/>
      <c r="C566" s="18"/>
      <c r="D566" s="18">
        <v>3.51</v>
      </c>
      <c r="E566" s="18">
        <v>1</v>
      </c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>
        <v>3.51</v>
      </c>
      <c r="S566" s="18">
        <v>1</v>
      </c>
      <c r="T566" t="e">
        <f>+COUNTIF('[1]Facade Heat Loss'!$A:$A,A566)</f>
        <v>#VALUE!</v>
      </c>
    </row>
    <row r="567" spans="1:20" x14ac:dyDescent="0.25">
      <c r="A567" s="16" t="s">
        <v>1062</v>
      </c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>
        <v>3.51</v>
      </c>
      <c r="M567" s="18">
        <v>1</v>
      </c>
      <c r="N567" s="18"/>
      <c r="O567" s="18"/>
      <c r="P567" s="18"/>
      <c r="Q567" s="18"/>
      <c r="R567" s="18">
        <v>3.51</v>
      </c>
      <c r="S567" s="18">
        <v>1</v>
      </c>
      <c r="T567" t="e">
        <f>+COUNTIF('[1]Facade Heat Loss'!$A:$A,A567)</f>
        <v>#VALUE!</v>
      </c>
    </row>
    <row r="568" spans="1:20" x14ac:dyDescent="0.25">
      <c r="A568" s="16" t="s">
        <v>1063</v>
      </c>
      <c r="B568" s="18"/>
      <c r="C568" s="18"/>
      <c r="D568" s="18"/>
      <c r="E568" s="18"/>
      <c r="F568" s="18">
        <v>7.02</v>
      </c>
      <c r="G568" s="18">
        <v>2</v>
      </c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>
        <v>7.02</v>
      </c>
      <c r="S568" s="18">
        <v>2</v>
      </c>
      <c r="T568" t="e">
        <f>+COUNTIF('[1]Facade Heat Loss'!$A:$A,A568)</f>
        <v>#VALUE!</v>
      </c>
    </row>
    <row r="569" spans="1:20" x14ac:dyDescent="0.25">
      <c r="A569" s="16" t="s">
        <v>1068</v>
      </c>
      <c r="B569" s="18"/>
      <c r="C569" s="18"/>
      <c r="D569" s="18">
        <v>6.0237499999999997</v>
      </c>
      <c r="E569" s="18">
        <v>2</v>
      </c>
      <c r="F569" s="18"/>
      <c r="G569" s="18"/>
      <c r="H569" s="18"/>
      <c r="I569" s="18"/>
      <c r="J569" s="18"/>
      <c r="K569" s="18"/>
      <c r="L569" s="18">
        <v>25.924999999999997</v>
      </c>
      <c r="M569" s="18">
        <v>6</v>
      </c>
      <c r="N569" s="18"/>
      <c r="O569" s="18"/>
      <c r="P569" s="18"/>
      <c r="Q569" s="18"/>
      <c r="R569" s="18">
        <v>31.948749999999997</v>
      </c>
      <c r="S569" s="18">
        <v>8</v>
      </c>
      <c r="T569" t="e">
        <f>+COUNTIF('[1]Facade Heat Loss'!$A:$A,A569)</f>
        <v>#VALUE!</v>
      </c>
    </row>
    <row r="570" spans="1:20" x14ac:dyDescent="0.25">
      <c r="A570" s="16" t="s">
        <v>1069</v>
      </c>
      <c r="B570" s="18">
        <v>11.895</v>
      </c>
      <c r="C570" s="18">
        <v>3</v>
      </c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>
        <v>11.895</v>
      </c>
      <c r="S570" s="18">
        <v>3</v>
      </c>
      <c r="T570" t="e">
        <f>+COUNTIF('[1]Facade Heat Loss'!$A:$A,A570)</f>
        <v>#VALUE!</v>
      </c>
    </row>
    <row r="571" spans="1:20" x14ac:dyDescent="0.25">
      <c r="A571" s="16" t="s">
        <v>1070</v>
      </c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>
        <v>4.5750000000000002</v>
      </c>
      <c r="M571" s="18">
        <v>1</v>
      </c>
      <c r="N571" s="18"/>
      <c r="O571" s="18"/>
      <c r="P571" s="18"/>
      <c r="Q571" s="18"/>
      <c r="R571" s="18">
        <v>4.5750000000000002</v>
      </c>
      <c r="S571" s="18">
        <v>1</v>
      </c>
      <c r="T571" t="e">
        <f>+COUNTIF('[1]Facade Heat Loss'!$A:$A,A571)</f>
        <v>#VALUE!</v>
      </c>
    </row>
    <row r="572" spans="1:20" x14ac:dyDescent="0.25">
      <c r="A572" s="16" t="s">
        <v>805</v>
      </c>
      <c r="B572" s="18"/>
      <c r="C572" s="18"/>
      <c r="D572" s="18">
        <v>4.5750000000000002</v>
      </c>
      <c r="E572" s="18">
        <v>1</v>
      </c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>
        <v>4.5750000000000002</v>
      </c>
      <c r="S572" s="18">
        <v>1</v>
      </c>
      <c r="T572" t="e">
        <f>+COUNTIF('[1]Facade Heat Loss'!$A:$A,A572)</f>
        <v>#VALUE!</v>
      </c>
    </row>
    <row r="573" spans="1:20" x14ac:dyDescent="0.25">
      <c r="A573" s="16" t="s">
        <v>785</v>
      </c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>
        <v>8.9212500000000006</v>
      </c>
      <c r="M573" s="18">
        <v>2</v>
      </c>
      <c r="N573" s="18"/>
      <c r="O573" s="18"/>
      <c r="P573" s="18"/>
      <c r="Q573" s="18"/>
      <c r="R573" s="18">
        <v>8.9212500000000006</v>
      </c>
      <c r="S573" s="18">
        <v>2</v>
      </c>
      <c r="T573" t="e">
        <f>+COUNTIF('[1]Facade Heat Loss'!$A:$A,A573)</f>
        <v>#VALUE!</v>
      </c>
    </row>
    <row r="574" spans="1:20" x14ac:dyDescent="0.25">
      <c r="A574" s="16" t="s">
        <v>799</v>
      </c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>
        <v>4.5749999999999993</v>
      </c>
      <c r="M574" s="18">
        <v>1</v>
      </c>
      <c r="N574" s="18"/>
      <c r="O574" s="18"/>
      <c r="P574" s="18"/>
      <c r="Q574" s="18"/>
      <c r="R574" s="18">
        <v>4.5749999999999993</v>
      </c>
      <c r="S574" s="18">
        <v>1</v>
      </c>
      <c r="T574" t="e">
        <f>+COUNTIF('[1]Facade Heat Loss'!$A:$A,A574)</f>
        <v>#VALUE!</v>
      </c>
    </row>
    <row r="575" spans="1:20" x14ac:dyDescent="0.25">
      <c r="A575" s="16" t="s">
        <v>1075</v>
      </c>
      <c r="B575" s="18">
        <v>29.631</v>
      </c>
      <c r="C575" s="18">
        <v>6</v>
      </c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>
        <v>29.631</v>
      </c>
      <c r="S575" s="18">
        <v>6</v>
      </c>
      <c r="T575" t="e">
        <f>+COUNTIF('[1]Facade Heat Loss'!$A:$A,A575)</f>
        <v>#VALUE!</v>
      </c>
    </row>
    <row r="576" spans="1:20" x14ac:dyDescent="0.25">
      <c r="A576" s="16" t="s">
        <v>1076</v>
      </c>
      <c r="B576" s="18">
        <v>19.89</v>
      </c>
      <c r="C576" s="18">
        <v>4</v>
      </c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>
        <v>19.89</v>
      </c>
      <c r="S576" s="18">
        <v>4</v>
      </c>
      <c r="T576" t="e">
        <f>+COUNTIF('[1]Facade Heat Loss'!$A:$A,A576)</f>
        <v>#VALUE!</v>
      </c>
    </row>
    <row r="577" spans="1:20" x14ac:dyDescent="0.25">
      <c r="A577" s="16" t="s">
        <v>1077</v>
      </c>
      <c r="B577" s="18">
        <v>29.83475442974914</v>
      </c>
      <c r="C577" s="18">
        <v>6</v>
      </c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>
        <v>29.83475442974914</v>
      </c>
      <c r="S577" s="18">
        <v>6</v>
      </c>
      <c r="T577" t="e">
        <f>+COUNTIF('[1]Facade Heat Loss'!$A:$A,A577)</f>
        <v>#VALUE!</v>
      </c>
    </row>
    <row r="578" spans="1:20" x14ac:dyDescent="0.25">
      <c r="A578" s="16" t="s">
        <v>884</v>
      </c>
      <c r="B578" s="18"/>
      <c r="C578" s="18"/>
      <c r="D578" s="18"/>
      <c r="E578" s="18"/>
      <c r="F578" s="18"/>
      <c r="G578" s="18"/>
      <c r="H578" s="18">
        <v>13.49625</v>
      </c>
      <c r="I578" s="18">
        <v>3</v>
      </c>
      <c r="J578" s="18"/>
      <c r="K578" s="18"/>
      <c r="L578" s="18"/>
      <c r="M578" s="18"/>
      <c r="N578" s="18"/>
      <c r="O578" s="18"/>
      <c r="P578" s="18"/>
      <c r="Q578" s="18"/>
      <c r="R578" s="18">
        <v>13.49625</v>
      </c>
      <c r="S578" s="18">
        <v>3</v>
      </c>
      <c r="T578" t="e">
        <f>+COUNTIF('[1]Facade Heat Loss'!$A:$A,A578)</f>
        <v>#VALUE!</v>
      </c>
    </row>
    <row r="579" spans="1:20" x14ac:dyDescent="0.25">
      <c r="A579" s="16" t="s">
        <v>885</v>
      </c>
      <c r="B579" s="18">
        <v>4.4850000000000003</v>
      </c>
      <c r="C579" s="18">
        <v>1</v>
      </c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>
        <v>4.4850000000000003</v>
      </c>
      <c r="S579" s="18">
        <v>1</v>
      </c>
      <c r="T579" t="e">
        <f>+COUNTIF('[1]Facade Heat Loss'!$A:$A,A579)</f>
        <v>#VALUE!</v>
      </c>
    </row>
    <row r="580" spans="1:20" x14ac:dyDescent="0.25">
      <c r="A580" s="16" t="s">
        <v>886</v>
      </c>
      <c r="B580" s="18">
        <v>4.4850000000000003</v>
      </c>
      <c r="C580" s="18">
        <v>1</v>
      </c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>
        <v>4.4850000000000003</v>
      </c>
      <c r="S580" s="18">
        <v>1</v>
      </c>
      <c r="T580" t="e">
        <f>+COUNTIF('[1]Facade Heat Loss'!$A:$A,A580)</f>
        <v>#VALUE!</v>
      </c>
    </row>
    <row r="581" spans="1:20" x14ac:dyDescent="0.25">
      <c r="A581" s="16" t="s">
        <v>887</v>
      </c>
      <c r="B581" s="18">
        <v>4.4850000000000003</v>
      </c>
      <c r="C581" s="18">
        <v>2</v>
      </c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>
        <v>4.4850000000000003</v>
      </c>
      <c r="S581" s="18">
        <v>2</v>
      </c>
      <c r="T581" t="e">
        <f>+COUNTIF('[1]Facade Heat Loss'!$A:$A,A581)</f>
        <v>#VALUE!</v>
      </c>
    </row>
    <row r="582" spans="1:20" x14ac:dyDescent="0.25">
      <c r="A582" s="16" t="s">
        <v>888</v>
      </c>
      <c r="B582" s="18">
        <v>6.7275000000000009</v>
      </c>
      <c r="C582" s="18">
        <v>2</v>
      </c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>
        <v>6.7275000000000009</v>
      </c>
      <c r="S582" s="18">
        <v>2</v>
      </c>
      <c r="T582" t="e">
        <f>+COUNTIF('[1]Facade Heat Loss'!$A:$A,A582)</f>
        <v>#VALUE!</v>
      </c>
    </row>
    <row r="583" spans="1:20" x14ac:dyDescent="0.25">
      <c r="A583" s="16" t="s">
        <v>889</v>
      </c>
      <c r="B583" s="18">
        <v>2.2425000000000002</v>
      </c>
      <c r="C583" s="18">
        <v>1</v>
      </c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>
        <v>2.2425000000000002</v>
      </c>
      <c r="S583" s="18">
        <v>1</v>
      </c>
      <c r="T583" t="e">
        <f>+COUNTIF('[1]Facade Heat Loss'!$A:$A,A583)</f>
        <v>#VALUE!</v>
      </c>
    </row>
    <row r="584" spans="1:20" x14ac:dyDescent="0.25">
      <c r="A584" s="16" t="s">
        <v>890</v>
      </c>
      <c r="B584" s="18">
        <v>2.2425000000000002</v>
      </c>
      <c r="C584" s="18">
        <v>1</v>
      </c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>
        <v>2.2425000000000002</v>
      </c>
      <c r="S584" s="18">
        <v>1</v>
      </c>
      <c r="T584" t="e">
        <f>+COUNTIF('[1]Facade Heat Loss'!$A:$A,A584)</f>
        <v>#VALUE!</v>
      </c>
    </row>
    <row r="585" spans="1:20" x14ac:dyDescent="0.25">
      <c r="A585" s="16" t="s">
        <v>891</v>
      </c>
      <c r="B585" s="18"/>
      <c r="C585" s="18"/>
      <c r="D585" s="18"/>
      <c r="E585" s="18"/>
      <c r="F585" s="18"/>
      <c r="G585" s="18"/>
      <c r="H585" s="18">
        <v>5.9474999999999998</v>
      </c>
      <c r="I585" s="18">
        <v>2</v>
      </c>
      <c r="J585" s="18"/>
      <c r="K585" s="18"/>
      <c r="L585" s="18"/>
      <c r="M585" s="18"/>
      <c r="N585" s="18"/>
      <c r="O585" s="18"/>
      <c r="P585" s="18"/>
      <c r="Q585" s="18"/>
      <c r="R585" s="18">
        <v>5.9474999999999998</v>
      </c>
      <c r="S585" s="18">
        <v>2</v>
      </c>
      <c r="T585" t="e">
        <f>+COUNTIF('[1]Facade Heat Loss'!$A:$A,A585)</f>
        <v>#VALUE!</v>
      </c>
    </row>
    <row r="586" spans="1:20" x14ac:dyDescent="0.25">
      <c r="A586" s="16" t="s">
        <v>892</v>
      </c>
      <c r="B586" s="18"/>
      <c r="C586" s="18"/>
      <c r="D586" s="18"/>
      <c r="E586" s="18"/>
      <c r="F586" s="18"/>
      <c r="G586" s="18"/>
      <c r="H586" s="18">
        <v>5.9474999999999998</v>
      </c>
      <c r="I586" s="18">
        <v>1</v>
      </c>
      <c r="J586" s="18"/>
      <c r="K586" s="18"/>
      <c r="L586" s="18"/>
      <c r="M586" s="18"/>
      <c r="N586" s="18"/>
      <c r="O586" s="18"/>
      <c r="P586" s="18"/>
      <c r="Q586" s="18"/>
      <c r="R586" s="18">
        <v>5.9474999999999998</v>
      </c>
      <c r="S586" s="18">
        <v>1</v>
      </c>
      <c r="T586" t="e">
        <f>+COUNTIF('[1]Facade Heat Loss'!$A:$A,A586)</f>
        <v>#VALUE!</v>
      </c>
    </row>
    <row r="587" spans="1:20" x14ac:dyDescent="0.25">
      <c r="A587" s="16" t="s">
        <v>893</v>
      </c>
      <c r="B587" s="18"/>
      <c r="C587" s="18"/>
      <c r="D587" s="18"/>
      <c r="E587" s="18"/>
      <c r="F587" s="18"/>
      <c r="G587" s="18"/>
      <c r="H587" s="18">
        <v>2.9737499999999999</v>
      </c>
      <c r="I587" s="18">
        <v>1</v>
      </c>
      <c r="J587" s="18"/>
      <c r="K587" s="18"/>
      <c r="L587" s="18"/>
      <c r="M587" s="18"/>
      <c r="N587" s="18"/>
      <c r="O587" s="18"/>
      <c r="P587" s="18"/>
      <c r="Q587" s="18"/>
      <c r="R587" s="18">
        <v>2.9737499999999999</v>
      </c>
      <c r="S587" s="18">
        <v>1</v>
      </c>
      <c r="T587" t="e">
        <f>+COUNTIF('[1]Facade Heat Loss'!$A:$A,A587)</f>
        <v>#VALUE!</v>
      </c>
    </row>
    <row r="588" spans="1:20" x14ac:dyDescent="0.25">
      <c r="A588" s="16" t="s">
        <v>894</v>
      </c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>
        <v>2.9737499999999999</v>
      </c>
      <c r="M588" s="18">
        <v>1</v>
      </c>
      <c r="N588" s="18"/>
      <c r="O588" s="18"/>
      <c r="P588" s="18"/>
      <c r="Q588" s="18"/>
      <c r="R588" s="18">
        <v>2.9737499999999999</v>
      </c>
      <c r="S588" s="18">
        <v>1</v>
      </c>
      <c r="T588" t="e">
        <f>+COUNTIF('[1]Facade Heat Loss'!$A:$A,A588)</f>
        <v>#VALUE!</v>
      </c>
    </row>
    <row r="589" spans="1:20" x14ac:dyDescent="0.25">
      <c r="A589" s="16" t="s">
        <v>895</v>
      </c>
      <c r="B589" s="18">
        <v>4.4850000000000003</v>
      </c>
      <c r="C589" s="18">
        <v>2</v>
      </c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>
        <v>4.4850000000000003</v>
      </c>
      <c r="S589" s="18">
        <v>2</v>
      </c>
      <c r="T589" t="e">
        <f>+COUNTIF('[1]Facade Heat Loss'!$A:$A,A589)</f>
        <v>#VALUE!</v>
      </c>
    </row>
    <row r="590" spans="1:20" x14ac:dyDescent="0.25">
      <c r="A590" s="16" t="s">
        <v>896</v>
      </c>
      <c r="B590" s="18">
        <v>2.2425000000000002</v>
      </c>
      <c r="C590" s="18">
        <v>1</v>
      </c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>
        <v>2.2425000000000002</v>
      </c>
      <c r="S590" s="18">
        <v>1</v>
      </c>
      <c r="T590" t="e">
        <f>+COUNTIF('[1]Facade Heat Loss'!$A:$A,A590)</f>
        <v>#VALUE!</v>
      </c>
    </row>
    <row r="591" spans="1:20" x14ac:dyDescent="0.25">
      <c r="A591" s="16" t="s">
        <v>897</v>
      </c>
      <c r="B591" s="18">
        <v>8.9700000000000006</v>
      </c>
      <c r="C591" s="18">
        <v>3</v>
      </c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>
        <v>8.9700000000000006</v>
      </c>
      <c r="S591" s="18">
        <v>3</v>
      </c>
      <c r="T591" t="e">
        <f>+COUNTIF('[1]Facade Heat Loss'!$A:$A,A591)</f>
        <v>#VALUE!</v>
      </c>
    </row>
    <row r="592" spans="1:20" x14ac:dyDescent="0.25">
      <c r="A592" s="16" t="s">
        <v>898</v>
      </c>
      <c r="B592" s="18"/>
      <c r="C592" s="18"/>
      <c r="D592" s="18"/>
      <c r="E592" s="18"/>
      <c r="F592" s="18"/>
      <c r="G592" s="18"/>
      <c r="H592" s="18">
        <v>4.5749999999999993</v>
      </c>
      <c r="I592" s="18">
        <v>1</v>
      </c>
      <c r="J592" s="18"/>
      <c r="K592" s="18"/>
      <c r="L592" s="18"/>
      <c r="M592" s="18"/>
      <c r="N592" s="18"/>
      <c r="O592" s="18"/>
      <c r="P592" s="18"/>
      <c r="Q592" s="18"/>
      <c r="R592" s="18">
        <v>4.5749999999999993</v>
      </c>
      <c r="S592" s="18">
        <v>1</v>
      </c>
      <c r="T592" t="e">
        <f>+COUNTIF('[1]Facade Heat Loss'!$A:$A,A592)</f>
        <v>#VALUE!</v>
      </c>
    </row>
    <row r="593" spans="1:20" x14ac:dyDescent="0.25">
      <c r="A593" s="16" t="s">
        <v>899</v>
      </c>
      <c r="B593" s="18">
        <v>4.4850000000000003</v>
      </c>
      <c r="C593" s="18">
        <v>1</v>
      </c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>
        <v>4.4850000000000003</v>
      </c>
      <c r="S593" s="18">
        <v>1</v>
      </c>
      <c r="T593" t="e">
        <f>+COUNTIF('[1]Facade Heat Loss'!$A:$A,A593)</f>
        <v>#VALUE!</v>
      </c>
    </row>
    <row r="594" spans="1:20" x14ac:dyDescent="0.25">
      <c r="A594" s="16" t="s">
        <v>900</v>
      </c>
      <c r="B594" s="18">
        <v>4.4850000000000003</v>
      </c>
      <c r="C594" s="18">
        <v>1</v>
      </c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>
        <v>4.4850000000000003</v>
      </c>
      <c r="S594" s="18">
        <v>1</v>
      </c>
    </row>
    <row r="595" spans="1:20" x14ac:dyDescent="0.25">
      <c r="A595" s="16" t="s">
        <v>901</v>
      </c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>
        <v>4.5749999999999993</v>
      </c>
      <c r="M595" s="18">
        <v>1</v>
      </c>
      <c r="N595" s="18"/>
      <c r="O595" s="18"/>
      <c r="P595" s="18"/>
      <c r="Q595" s="18"/>
      <c r="R595" s="18">
        <v>4.5749999999999993</v>
      </c>
      <c r="S595" s="18">
        <v>1</v>
      </c>
    </row>
    <row r="596" spans="1:20" x14ac:dyDescent="0.25">
      <c r="A596" s="16" t="s">
        <v>902</v>
      </c>
      <c r="B596" s="18">
        <v>8.9700000000000006</v>
      </c>
      <c r="C596" s="18">
        <v>2</v>
      </c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>
        <v>8.9700000000000006</v>
      </c>
      <c r="S596" s="18">
        <v>2</v>
      </c>
    </row>
    <row r="597" spans="1:20" x14ac:dyDescent="0.25">
      <c r="A597" s="16" t="s">
        <v>903</v>
      </c>
      <c r="B597" s="18">
        <v>8.9700000000000006</v>
      </c>
      <c r="C597" s="18">
        <v>2</v>
      </c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>
        <v>8.9700000000000006</v>
      </c>
      <c r="S597" s="18">
        <v>2</v>
      </c>
    </row>
    <row r="598" spans="1:20" x14ac:dyDescent="0.25">
      <c r="A598" s="16" t="s">
        <v>904</v>
      </c>
      <c r="B598" s="18">
        <v>6.7275000000000009</v>
      </c>
      <c r="C598" s="18">
        <v>2</v>
      </c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>
        <v>6.7275000000000009</v>
      </c>
      <c r="S598" s="18">
        <v>2</v>
      </c>
    </row>
    <row r="599" spans="1:20" x14ac:dyDescent="0.25">
      <c r="A599" s="16" t="s">
        <v>905</v>
      </c>
      <c r="B599" s="18">
        <v>8.0730000000000004</v>
      </c>
      <c r="C599" s="18">
        <v>2</v>
      </c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>
        <v>8.0730000000000004</v>
      </c>
      <c r="S599" s="18">
        <v>2</v>
      </c>
    </row>
    <row r="600" spans="1:20" x14ac:dyDescent="0.25">
      <c r="A600" s="16" t="s">
        <v>906</v>
      </c>
      <c r="B600" s="18">
        <v>4.4850000000000003</v>
      </c>
      <c r="C600" s="18">
        <v>1</v>
      </c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>
        <v>4.4850000000000003</v>
      </c>
      <c r="S600" s="18">
        <v>1</v>
      </c>
    </row>
    <row r="601" spans="1:20" x14ac:dyDescent="0.25">
      <c r="A601" s="16" t="s">
        <v>907</v>
      </c>
      <c r="B601" s="18">
        <v>4.4850000000000003</v>
      </c>
      <c r="C601" s="18">
        <v>2</v>
      </c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>
        <v>4.4850000000000003</v>
      </c>
      <c r="S601" s="18">
        <v>2</v>
      </c>
    </row>
    <row r="602" spans="1:20" x14ac:dyDescent="0.25">
      <c r="A602" s="16" t="s">
        <v>908</v>
      </c>
      <c r="B602" s="18">
        <v>2.2425000000000002</v>
      </c>
      <c r="C602" s="18">
        <v>1</v>
      </c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>
        <v>2.2425000000000002</v>
      </c>
      <c r="S602" s="18">
        <v>1</v>
      </c>
    </row>
    <row r="603" spans="1:20" x14ac:dyDescent="0.25">
      <c r="A603" s="16" t="s">
        <v>909</v>
      </c>
      <c r="B603" s="18">
        <v>5.8305000000000007</v>
      </c>
      <c r="C603" s="18">
        <v>2</v>
      </c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>
        <v>5.8305000000000007</v>
      </c>
      <c r="S603" s="18">
        <v>2</v>
      </c>
    </row>
    <row r="604" spans="1:20" x14ac:dyDescent="0.25">
      <c r="A604" s="16" t="s">
        <v>910</v>
      </c>
      <c r="B604" s="18">
        <v>2.2425000000000002</v>
      </c>
      <c r="C604" s="18">
        <v>1</v>
      </c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>
        <v>2.2425000000000002</v>
      </c>
      <c r="S604" s="18">
        <v>1</v>
      </c>
    </row>
    <row r="605" spans="1:20" x14ac:dyDescent="0.25">
      <c r="A605" s="16" t="s">
        <v>911</v>
      </c>
      <c r="B605" s="18"/>
      <c r="C605" s="18"/>
      <c r="D605" s="18"/>
      <c r="E605" s="18"/>
      <c r="F605" s="18"/>
      <c r="G605" s="18"/>
      <c r="H605" s="18">
        <v>5.9474999999999998</v>
      </c>
      <c r="I605" s="18">
        <v>1</v>
      </c>
      <c r="J605" s="18"/>
      <c r="K605" s="18"/>
      <c r="L605" s="18"/>
      <c r="M605" s="18"/>
      <c r="N605" s="18"/>
      <c r="O605" s="18"/>
      <c r="P605" s="18"/>
      <c r="Q605" s="18"/>
      <c r="R605" s="18">
        <v>5.9474999999999998</v>
      </c>
      <c r="S605" s="18">
        <v>1</v>
      </c>
    </row>
    <row r="606" spans="1:20" x14ac:dyDescent="0.25">
      <c r="A606" s="16" t="s">
        <v>912</v>
      </c>
      <c r="B606" s="18"/>
      <c r="C606" s="18"/>
      <c r="D606" s="18"/>
      <c r="E606" s="18"/>
      <c r="F606" s="18"/>
      <c r="G606" s="18"/>
      <c r="H606" s="18">
        <v>4.5749999999999993</v>
      </c>
      <c r="I606" s="18">
        <v>1</v>
      </c>
      <c r="J606" s="18"/>
      <c r="K606" s="18"/>
      <c r="L606" s="18"/>
      <c r="M606" s="18"/>
      <c r="N606" s="18"/>
      <c r="O606" s="18"/>
      <c r="P606" s="18"/>
      <c r="Q606" s="18"/>
      <c r="R606" s="18">
        <v>4.5749999999999993</v>
      </c>
      <c r="S606" s="18">
        <v>1</v>
      </c>
    </row>
    <row r="607" spans="1:20" x14ac:dyDescent="0.25">
      <c r="A607" s="16" t="s">
        <v>913</v>
      </c>
      <c r="B607" s="18">
        <v>2.2425000000000002</v>
      </c>
      <c r="C607" s="18">
        <v>1</v>
      </c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>
        <v>2.2425000000000002</v>
      </c>
      <c r="S607" s="18">
        <v>1</v>
      </c>
    </row>
    <row r="608" spans="1:20" x14ac:dyDescent="0.25">
      <c r="A608" s="16" t="s">
        <v>914</v>
      </c>
      <c r="B608" s="18">
        <v>4.4850000000000003</v>
      </c>
      <c r="C608" s="18">
        <v>1</v>
      </c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>
        <v>4.4850000000000003</v>
      </c>
      <c r="S608" s="18">
        <v>1</v>
      </c>
    </row>
    <row r="609" spans="1:19" x14ac:dyDescent="0.25">
      <c r="A609" s="16" t="s">
        <v>915</v>
      </c>
      <c r="B609" s="18"/>
      <c r="C609" s="18"/>
      <c r="D609" s="18"/>
      <c r="E609" s="18"/>
      <c r="F609" s="18"/>
      <c r="G609" s="18"/>
      <c r="H609" s="18">
        <v>14.86875</v>
      </c>
      <c r="I609" s="18">
        <v>4</v>
      </c>
      <c r="J609" s="18"/>
      <c r="K609" s="18"/>
      <c r="L609" s="18"/>
      <c r="M609" s="18"/>
      <c r="N609" s="18"/>
      <c r="O609" s="18"/>
      <c r="P609" s="18"/>
      <c r="Q609" s="18"/>
      <c r="R609" s="18">
        <v>14.86875</v>
      </c>
      <c r="S609" s="18">
        <v>4</v>
      </c>
    </row>
    <row r="610" spans="1:19" x14ac:dyDescent="0.25">
      <c r="A610" s="16" t="s">
        <v>916</v>
      </c>
      <c r="B610" s="18">
        <v>6.7275000000000009</v>
      </c>
      <c r="C610" s="18">
        <v>2</v>
      </c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>
        <v>6.7275000000000009</v>
      </c>
      <c r="S610" s="18">
        <v>2</v>
      </c>
    </row>
    <row r="611" spans="1:19" x14ac:dyDescent="0.25">
      <c r="A611" s="16">
        <v>2678</v>
      </c>
      <c r="B611" s="18"/>
      <c r="C611" s="18"/>
      <c r="D611" s="18">
        <v>19.596249999999998</v>
      </c>
      <c r="E611" s="18">
        <v>5</v>
      </c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>
        <v>19.596249999999998</v>
      </c>
      <c r="S611" s="18">
        <v>5</v>
      </c>
    </row>
    <row r="612" spans="1:19" x14ac:dyDescent="0.25">
      <c r="A612" s="16">
        <v>2679</v>
      </c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>
        <v>4.5750000000000002</v>
      </c>
      <c r="M612" s="18">
        <v>1</v>
      </c>
      <c r="N612" s="18"/>
      <c r="O612" s="18"/>
      <c r="P612" s="18"/>
      <c r="Q612" s="18"/>
      <c r="R612" s="18">
        <v>4.5750000000000002</v>
      </c>
      <c r="S612" s="18">
        <v>1</v>
      </c>
    </row>
    <row r="613" spans="1:19" x14ac:dyDescent="0.25">
      <c r="A613" s="16">
        <v>2681</v>
      </c>
      <c r="B613" s="18"/>
      <c r="C613" s="18"/>
      <c r="D613" s="18"/>
      <c r="E613" s="18"/>
      <c r="F613" s="18"/>
      <c r="G613" s="18"/>
      <c r="H613" s="18"/>
      <c r="I613" s="18"/>
      <c r="J613" s="18">
        <v>13.725000000000001</v>
      </c>
      <c r="K613" s="18">
        <v>3</v>
      </c>
      <c r="L613" s="18"/>
      <c r="M613" s="18"/>
      <c r="N613" s="18">
        <v>10.598749999999999</v>
      </c>
      <c r="O613" s="18">
        <v>3</v>
      </c>
      <c r="P613" s="18"/>
      <c r="Q613" s="18"/>
      <c r="R613" s="18">
        <v>24.32375</v>
      </c>
      <c r="S613" s="18">
        <v>6</v>
      </c>
    </row>
    <row r="614" spans="1:19" x14ac:dyDescent="0.25">
      <c r="A614" s="16">
        <v>2685</v>
      </c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>
        <v>7.5487500000000001</v>
      </c>
      <c r="M614" s="18">
        <v>2</v>
      </c>
      <c r="N614" s="18"/>
      <c r="O614" s="18"/>
      <c r="P614" s="18"/>
      <c r="Q614" s="18"/>
      <c r="R614" s="18">
        <v>7.5487500000000001</v>
      </c>
      <c r="S614" s="18">
        <v>2</v>
      </c>
    </row>
    <row r="615" spans="1:19" x14ac:dyDescent="0.25">
      <c r="A615" s="16">
        <v>2686</v>
      </c>
      <c r="B615" s="18"/>
      <c r="C615" s="18"/>
      <c r="D615" s="18"/>
      <c r="E615" s="18"/>
      <c r="F615" s="18"/>
      <c r="G615" s="18"/>
      <c r="H615" s="18"/>
      <c r="I615" s="18"/>
      <c r="J615" s="18">
        <v>4.5750000000000002</v>
      </c>
      <c r="K615" s="18">
        <v>1</v>
      </c>
      <c r="L615" s="18"/>
      <c r="M615" s="18"/>
      <c r="N615" s="18"/>
      <c r="O615" s="18"/>
      <c r="P615" s="18"/>
      <c r="Q615" s="18"/>
      <c r="R615" s="18">
        <v>4.5750000000000002</v>
      </c>
      <c r="S615" s="18">
        <v>1</v>
      </c>
    </row>
    <row r="616" spans="1:19" x14ac:dyDescent="0.25">
      <c r="A616" s="16">
        <v>2690</v>
      </c>
      <c r="B616" s="18"/>
      <c r="C616" s="18"/>
      <c r="D616" s="18">
        <v>4.5750000000000002</v>
      </c>
      <c r="E616" s="18">
        <v>1</v>
      </c>
      <c r="F616" s="18"/>
      <c r="G616" s="18"/>
      <c r="H616" s="18"/>
      <c r="I616" s="18"/>
      <c r="J616" s="18">
        <v>9.15</v>
      </c>
      <c r="K616" s="18">
        <v>2</v>
      </c>
      <c r="L616" s="18"/>
      <c r="M616" s="18"/>
      <c r="N616" s="18"/>
      <c r="O616" s="18"/>
      <c r="P616" s="18"/>
      <c r="Q616" s="18"/>
      <c r="R616" s="18">
        <v>13.725000000000001</v>
      </c>
      <c r="S616" s="18">
        <v>3</v>
      </c>
    </row>
    <row r="617" spans="1:19" x14ac:dyDescent="0.25">
      <c r="A617" s="16">
        <v>2695</v>
      </c>
      <c r="B617" s="18"/>
      <c r="C617" s="18"/>
      <c r="D617" s="18">
        <v>24.171250000000001</v>
      </c>
      <c r="E617" s="18">
        <v>6</v>
      </c>
      <c r="F617" s="18"/>
      <c r="G617" s="18"/>
      <c r="H617" s="18">
        <v>13.725000000000001</v>
      </c>
      <c r="I617" s="18">
        <v>3</v>
      </c>
      <c r="J617" s="18"/>
      <c r="K617" s="18"/>
      <c r="L617" s="18">
        <v>11.895</v>
      </c>
      <c r="M617" s="18">
        <v>2</v>
      </c>
      <c r="N617" s="18"/>
      <c r="O617" s="18"/>
      <c r="P617" s="18"/>
      <c r="Q617" s="18"/>
      <c r="R617" s="18">
        <v>49.791249999999998</v>
      </c>
      <c r="S617" s="18">
        <v>11</v>
      </c>
    </row>
    <row r="618" spans="1:19" x14ac:dyDescent="0.25">
      <c r="A618" s="16">
        <v>2699</v>
      </c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>
        <v>16.546250000000001</v>
      </c>
      <c r="O618" s="18">
        <v>4</v>
      </c>
      <c r="P618" s="18"/>
      <c r="Q618" s="18"/>
      <c r="R618" s="18">
        <v>16.546250000000001</v>
      </c>
      <c r="S618" s="18">
        <v>4</v>
      </c>
    </row>
    <row r="619" spans="1:19" x14ac:dyDescent="0.25">
      <c r="A619" s="16">
        <v>2700</v>
      </c>
      <c r="B619" s="18"/>
      <c r="C619" s="18"/>
      <c r="D619" s="18">
        <v>10.522500000000001</v>
      </c>
      <c r="E619" s="18">
        <v>2</v>
      </c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>
        <v>10.522500000000001</v>
      </c>
      <c r="S619" s="18">
        <v>2</v>
      </c>
    </row>
    <row r="620" spans="1:19" x14ac:dyDescent="0.25">
      <c r="A620" s="16">
        <v>2702</v>
      </c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>
        <v>5.9474999999999998</v>
      </c>
      <c r="M620" s="18">
        <v>2</v>
      </c>
      <c r="N620" s="18"/>
      <c r="O620" s="18"/>
      <c r="P620" s="18"/>
      <c r="Q620" s="18"/>
      <c r="R620" s="18">
        <v>5.9474999999999998</v>
      </c>
      <c r="S620" s="18">
        <v>2</v>
      </c>
    </row>
    <row r="621" spans="1:19" x14ac:dyDescent="0.25">
      <c r="A621" s="16">
        <v>2703</v>
      </c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>
        <v>15.4025</v>
      </c>
      <c r="O621" s="18">
        <v>3</v>
      </c>
      <c r="P621" s="18"/>
      <c r="Q621" s="18"/>
      <c r="R621" s="18">
        <v>15.4025</v>
      </c>
      <c r="S621" s="18">
        <v>3</v>
      </c>
    </row>
    <row r="622" spans="1:19" x14ac:dyDescent="0.25">
      <c r="A622" s="16">
        <v>2704</v>
      </c>
      <c r="B622" s="18"/>
      <c r="C622" s="18"/>
      <c r="D622" s="18"/>
      <c r="E622" s="18"/>
      <c r="F622" s="18">
        <v>2.9737499999999999</v>
      </c>
      <c r="G622" s="18">
        <v>1</v>
      </c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>
        <v>2.9737499999999999</v>
      </c>
      <c r="S622" s="18">
        <v>1</v>
      </c>
    </row>
    <row r="623" spans="1:19" x14ac:dyDescent="0.25">
      <c r="A623" s="16">
        <v>2705</v>
      </c>
      <c r="B623" s="18"/>
      <c r="C623" s="18"/>
      <c r="D623" s="18"/>
      <c r="E623" s="18"/>
      <c r="F623" s="18">
        <v>9.2262500000000003</v>
      </c>
      <c r="G623" s="18">
        <v>2</v>
      </c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>
        <v>9.2262500000000003</v>
      </c>
      <c r="S623" s="18">
        <v>2</v>
      </c>
    </row>
    <row r="624" spans="1:19" x14ac:dyDescent="0.25">
      <c r="A624" s="16">
        <v>2706</v>
      </c>
      <c r="B624" s="18"/>
      <c r="C624" s="18"/>
      <c r="D624" s="18"/>
      <c r="E624" s="18"/>
      <c r="F624" s="18">
        <v>16.927499999999998</v>
      </c>
      <c r="G624" s="18">
        <v>3</v>
      </c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>
        <v>16.927499999999998</v>
      </c>
      <c r="S624" s="18">
        <v>3</v>
      </c>
    </row>
    <row r="625" spans="1:19" x14ac:dyDescent="0.25">
      <c r="A625" s="16">
        <v>2707</v>
      </c>
      <c r="B625" s="18"/>
      <c r="C625" s="18"/>
      <c r="D625" s="18"/>
      <c r="E625" s="18"/>
      <c r="F625" s="18">
        <v>10.751249999999999</v>
      </c>
      <c r="G625" s="18">
        <v>2</v>
      </c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>
        <v>10.751249999999999</v>
      </c>
      <c r="S625" s="18">
        <v>2</v>
      </c>
    </row>
    <row r="626" spans="1:19" x14ac:dyDescent="0.25">
      <c r="A626" s="16">
        <v>2708</v>
      </c>
      <c r="B626" s="18"/>
      <c r="C626" s="18"/>
      <c r="D626" s="18"/>
      <c r="E626" s="18"/>
      <c r="F626" s="18">
        <v>10.522500000000001</v>
      </c>
      <c r="G626" s="18">
        <v>2</v>
      </c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>
        <v>10.522500000000001</v>
      </c>
      <c r="S626" s="18">
        <v>2</v>
      </c>
    </row>
    <row r="627" spans="1:19" x14ac:dyDescent="0.25">
      <c r="A627" s="16">
        <v>2709</v>
      </c>
      <c r="B627" s="18"/>
      <c r="C627" s="18"/>
      <c r="D627" s="18"/>
      <c r="E627" s="18"/>
      <c r="F627" s="18">
        <v>4.5750000000000002</v>
      </c>
      <c r="G627" s="18">
        <v>1</v>
      </c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>
        <v>4.5750000000000002</v>
      </c>
      <c r="S627" s="18">
        <v>1</v>
      </c>
    </row>
    <row r="628" spans="1:19" x14ac:dyDescent="0.25">
      <c r="A628" s="16">
        <v>2711</v>
      </c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>
        <v>6.1762499999999996</v>
      </c>
      <c r="O628" s="18">
        <v>1</v>
      </c>
      <c r="P628" s="18"/>
      <c r="Q628" s="18"/>
      <c r="R628" s="18">
        <v>6.1762499999999996</v>
      </c>
      <c r="S628" s="18">
        <v>1</v>
      </c>
    </row>
    <row r="629" spans="1:19" x14ac:dyDescent="0.25">
      <c r="A629" s="16" t="s">
        <v>917</v>
      </c>
      <c r="B629" s="18">
        <v>15.0975</v>
      </c>
      <c r="C629" s="18">
        <v>4</v>
      </c>
      <c r="D629" s="18">
        <v>4.5750000000000002</v>
      </c>
      <c r="E629" s="18">
        <v>1</v>
      </c>
      <c r="F629" s="18"/>
      <c r="G629" s="18"/>
      <c r="H629" s="18"/>
      <c r="I629" s="18"/>
      <c r="J629" s="18"/>
      <c r="K629" s="18"/>
      <c r="L629" s="18">
        <v>9.15</v>
      </c>
      <c r="M629" s="18">
        <v>2</v>
      </c>
      <c r="N629" s="18"/>
      <c r="O629" s="18"/>
      <c r="P629" s="18"/>
      <c r="Q629" s="18"/>
      <c r="R629" s="18">
        <v>28.822499999999998</v>
      </c>
      <c r="S629" s="18">
        <v>7</v>
      </c>
    </row>
    <row r="630" spans="1:19" x14ac:dyDescent="0.25">
      <c r="A630" s="16" t="s">
        <v>918</v>
      </c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>
        <v>4.5749999999999993</v>
      </c>
      <c r="M630" s="18">
        <v>1</v>
      </c>
      <c r="N630" s="18"/>
      <c r="O630" s="18"/>
      <c r="P630" s="18"/>
      <c r="Q630" s="18"/>
      <c r="R630" s="18">
        <v>4.5749999999999993</v>
      </c>
      <c r="S630" s="18">
        <v>1</v>
      </c>
    </row>
    <row r="631" spans="1:19" x14ac:dyDescent="0.25">
      <c r="A631" s="16" t="s">
        <v>919</v>
      </c>
      <c r="B631" s="18"/>
      <c r="C631" s="18"/>
      <c r="D631" s="18"/>
      <c r="E631" s="18"/>
      <c r="F631" s="18"/>
      <c r="G631" s="18"/>
      <c r="H631" s="18">
        <v>4.5749999999999993</v>
      </c>
      <c r="I631" s="18">
        <v>1</v>
      </c>
      <c r="J631" s="18"/>
      <c r="K631" s="18"/>
      <c r="L631" s="18"/>
      <c r="M631" s="18"/>
      <c r="N631" s="18"/>
      <c r="O631" s="18"/>
      <c r="P631" s="18"/>
      <c r="Q631" s="18"/>
      <c r="R631" s="18">
        <v>4.5749999999999993</v>
      </c>
      <c r="S631" s="18">
        <v>1</v>
      </c>
    </row>
    <row r="632" spans="1:19" x14ac:dyDescent="0.25">
      <c r="A632" s="16" t="s">
        <v>920</v>
      </c>
      <c r="B632" s="18"/>
      <c r="C632" s="18"/>
      <c r="D632" s="18"/>
      <c r="E632" s="18"/>
      <c r="F632" s="18"/>
      <c r="G632" s="18"/>
      <c r="H632" s="18">
        <v>2.9737499999999999</v>
      </c>
      <c r="I632" s="18">
        <v>1</v>
      </c>
      <c r="J632" s="18"/>
      <c r="K632" s="18"/>
      <c r="L632" s="18"/>
      <c r="M632" s="18"/>
      <c r="N632" s="18"/>
      <c r="O632" s="18"/>
      <c r="P632" s="18"/>
      <c r="Q632" s="18"/>
      <c r="R632" s="18">
        <v>2.9737499999999999</v>
      </c>
      <c r="S632" s="18">
        <v>1</v>
      </c>
    </row>
    <row r="633" spans="1:19" x14ac:dyDescent="0.25">
      <c r="A633" s="16" t="s">
        <v>921</v>
      </c>
      <c r="B633" s="18"/>
      <c r="C633" s="18"/>
      <c r="D633" s="18"/>
      <c r="E633" s="18"/>
      <c r="F633" s="18"/>
      <c r="G633" s="18"/>
      <c r="H633" s="18">
        <v>2.9737499999999999</v>
      </c>
      <c r="I633" s="18">
        <v>1</v>
      </c>
      <c r="J633" s="18"/>
      <c r="K633" s="18"/>
      <c r="L633" s="18"/>
      <c r="M633" s="18"/>
      <c r="N633" s="18"/>
      <c r="O633" s="18"/>
      <c r="P633" s="18"/>
      <c r="Q633" s="18"/>
      <c r="R633" s="18">
        <v>2.9737499999999999</v>
      </c>
      <c r="S633" s="18">
        <v>1</v>
      </c>
    </row>
    <row r="634" spans="1:19" x14ac:dyDescent="0.25">
      <c r="A634" s="16" t="s">
        <v>922</v>
      </c>
      <c r="B634" s="18"/>
      <c r="C634" s="18"/>
      <c r="D634" s="18"/>
      <c r="E634" s="18"/>
      <c r="F634" s="18"/>
      <c r="G634" s="18"/>
      <c r="H634" s="18">
        <v>4.5749999999999993</v>
      </c>
      <c r="I634" s="18">
        <v>1</v>
      </c>
      <c r="J634" s="18"/>
      <c r="K634" s="18"/>
      <c r="L634" s="18"/>
      <c r="M634" s="18"/>
      <c r="N634" s="18"/>
      <c r="O634" s="18"/>
      <c r="P634" s="18"/>
      <c r="Q634" s="18"/>
      <c r="R634" s="18">
        <v>4.5749999999999993</v>
      </c>
      <c r="S634" s="18">
        <v>1</v>
      </c>
    </row>
    <row r="635" spans="1:19" x14ac:dyDescent="0.25">
      <c r="A635" s="16" t="s">
        <v>923</v>
      </c>
      <c r="B635" s="18"/>
      <c r="C635" s="18"/>
      <c r="D635" s="18"/>
      <c r="E635" s="18"/>
      <c r="F635" s="18"/>
      <c r="G635" s="18"/>
      <c r="H635" s="18">
        <v>4.5749999999999993</v>
      </c>
      <c r="I635" s="18">
        <v>1</v>
      </c>
      <c r="J635" s="18"/>
      <c r="K635" s="18"/>
      <c r="L635" s="18"/>
      <c r="M635" s="18"/>
      <c r="N635" s="18"/>
      <c r="O635" s="18"/>
      <c r="P635" s="18"/>
      <c r="Q635" s="18"/>
      <c r="R635" s="18">
        <v>4.5749999999999993</v>
      </c>
      <c r="S635" s="18">
        <v>1</v>
      </c>
    </row>
    <row r="636" spans="1:19" x14ac:dyDescent="0.25">
      <c r="A636" s="16" t="s">
        <v>924</v>
      </c>
      <c r="B636" s="18"/>
      <c r="C636" s="18"/>
      <c r="D636" s="18"/>
      <c r="E636" s="18"/>
      <c r="F636" s="18"/>
      <c r="G636" s="18"/>
      <c r="H636" s="18">
        <v>2.9737499999999999</v>
      </c>
      <c r="I636" s="18">
        <v>1</v>
      </c>
      <c r="J636" s="18"/>
      <c r="K636" s="18"/>
      <c r="L636" s="18"/>
      <c r="M636" s="18"/>
      <c r="N636" s="18"/>
      <c r="O636" s="18"/>
      <c r="P636" s="18"/>
      <c r="Q636" s="18"/>
      <c r="R636" s="18">
        <v>2.9737499999999999</v>
      </c>
      <c r="S636" s="18">
        <v>1</v>
      </c>
    </row>
    <row r="637" spans="1:19" x14ac:dyDescent="0.25">
      <c r="A637" s="16" t="s">
        <v>925</v>
      </c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>
        <v>2.9737499999999999</v>
      </c>
      <c r="M637" s="18">
        <v>1</v>
      </c>
      <c r="N637" s="18"/>
      <c r="O637" s="18"/>
      <c r="P637" s="18"/>
      <c r="Q637" s="18"/>
      <c r="R637" s="18">
        <v>2.9737499999999999</v>
      </c>
      <c r="S637" s="18">
        <v>1</v>
      </c>
    </row>
    <row r="638" spans="1:19" x14ac:dyDescent="0.25">
      <c r="A638" s="16" t="s">
        <v>926</v>
      </c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>
        <v>5.9474999999999998</v>
      </c>
      <c r="M638" s="18">
        <v>1</v>
      </c>
      <c r="N638" s="18"/>
      <c r="O638" s="18"/>
      <c r="P638" s="18"/>
      <c r="Q638" s="18"/>
      <c r="R638" s="18">
        <v>5.9474999999999998</v>
      </c>
      <c r="S638" s="18">
        <v>1</v>
      </c>
    </row>
    <row r="639" spans="1:19" x14ac:dyDescent="0.25">
      <c r="A639" s="16" t="s">
        <v>927</v>
      </c>
      <c r="B639" s="18"/>
      <c r="C639" s="18"/>
      <c r="D639" s="18"/>
      <c r="E639" s="18"/>
      <c r="F639" s="18"/>
      <c r="G639" s="18"/>
      <c r="H639" s="18">
        <v>2.9737499999999999</v>
      </c>
      <c r="I639" s="18">
        <v>1</v>
      </c>
      <c r="J639" s="18"/>
      <c r="K639" s="18"/>
      <c r="L639" s="18"/>
      <c r="M639" s="18"/>
      <c r="N639" s="18"/>
      <c r="O639" s="18"/>
      <c r="P639" s="18"/>
      <c r="Q639" s="18"/>
      <c r="R639" s="18">
        <v>2.9737499999999999</v>
      </c>
      <c r="S639" s="18">
        <v>1</v>
      </c>
    </row>
    <row r="640" spans="1:19" x14ac:dyDescent="0.25">
      <c r="A640" s="16" t="s">
        <v>928</v>
      </c>
      <c r="B640" s="18">
        <v>4.5750000000000002</v>
      </c>
      <c r="C640" s="18">
        <v>1</v>
      </c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>
        <v>4.5750000000000002</v>
      </c>
      <c r="S640" s="18">
        <v>1</v>
      </c>
    </row>
    <row r="641" spans="1:19" x14ac:dyDescent="0.25">
      <c r="A641" s="16" t="s">
        <v>929</v>
      </c>
      <c r="B641" s="18">
        <v>2.9737499999999999</v>
      </c>
      <c r="C641" s="18">
        <v>1</v>
      </c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>
        <v>2.9737499999999999</v>
      </c>
      <c r="S641" s="18">
        <v>1</v>
      </c>
    </row>
    <row r="642" spans="1:19" x14ac:dyDescent="0.25">
      <c r="A642" s="16" t="s">
        <v>930</v>
      </c>
      <c r="B642" s="18"/>
      <c r="C642" s="18"/>
      <c r="D642" s="18"/>
      <c r="E642" s="18"/>
      <c r="F642" s="18"/>
      <c r="G642" s="18"/>
      <c r="H642" s="18">
        <v>10.522499999999999</v>
      </c>
      <c r="I642" s="18">
        <v>3</v>
      </c>
      <c r="J642" s="18"/>
      <c r="K642" s="18"/>
      <c r="L642" s="18"/>
      <c r="M642" s="18"/>
      <c r="N642" s="18"/>
      <c r="O642" s="18"/>
      <c r="P642" s="18"/>
      <c r="Q642" s="18"/>
      <c r="R642" s="18">
        <v>10.522499999999999</v>
      </c>
      <c r="S642" s="18">
        <v>3</v>
      </c>
    </row>
    <row r="643" spans="1:19" x14ac:dyDescent="0.25">
      <c r="A643" s="16" t="s">
        <v>931</v>
      </c>
      <c r="B643" s="18"/>
      <c r="C643" s="18"/>
      <c r="D643" s="18"/>
      <c r="E643" s="18"/>
      <c r="F643" s="18"/>
      <c r="G643" s="18"/>
      <c r="H643" s="18">
        <v>5.9474999999999998</v>
      </c>
      <c r="I643" s="18">
        <v>1</v>
      </c>
      <c r="J643" s="18"/>
      <c r="K643" s="18"/>
      <c r="L643" s="18"/>
      <c r="M643" s="18"/>
      <c r="N643" s="18"/>
      <c r="O643" s="18"/>
      <c r="P643" s="18"/>
      <c r="Q643" s="18"/>
      <c r="R643" s="18">
        <v>5.9474999999999998</v>
      </c>
      <c r="S643" s="18">
        <v>1</v>
      </c>
    </row>
    <row r="644" spans="1:19" x14ac:dyDescent="0.25">
      <c r="A644" s="16" t="s">
        <v>932</v>
      </c>
      <c r="B644" s="18">
        <v>7.5487500000000001</v>
      </c>
      <c r="C644" s="18">
        <v>2</v>
      </c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>
        <v>7.5487500000000001</v>
      </c>
      <c r="S644" s="18">
        <v>2</v>
      </c>
    </row>
    <row r="645" spans="1:19" x14ac:dyDescent="0.25">
      <c r="A645" s="16" t="s">
        <v>933</v>
      </c>
      <c r="B645" s="18">
        <v>8.9212500000000006</v>
      </c>
      <c r="C645" s="18">
        <v>2</v>
      </c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>
        <v>8.9212500000000006</v>
      </c>
      <c r="S645" s="18">
        <v>2</v>
      </c>
    </row>
    <row r="646" spans="1:19" x14ac:dyDescent="0.25">
      <c r="A646" s="16" t="s">
        <v>934</v>
      </c>
      <c r="B646" s="18">
        <v>8.9212500000000006</v>
      </c>
      <c r="C646" s="18">
        <v>2</v>
      </c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>
        <v>8.9212500000000006</v>
      </c>
      <c r="S646" s="18">
        <v>2</v>
      </c>
    </row>
    <row r="647" spans="1:19" x14ac:dyDescent="0.25">
      <c r="A647" s="16" t="s">
        <v>935</v>
      </c>
      <c r="B647" s="18"/>
      <c r="C647" s="18"/>
      <c r="D647" s="18"/>
      <c r="E647" s="18"/>
      <c r="F647" s="18"/>
      <c r="G647" s="18"/>
      <c r="H647" s="18">
        <v>2.9737499999999999</v>
      </c>
      <c r="I647" s="18">
        <v>1</v>
      </c>
      <c r="J647" s="18"/>
      <c r="K647" s="18"/>
      <c r="L647" s="18"/>
      <c r="M647" s="18"/>
      <c r="N647" s="18"/>
      <c r="O647" s="18"/>
      <c r="P647" s="18"/>
      <c r="Q647" s="18"/>
      <c r="R647" s="18">
        <v>2.9737499999999999</v>
      </c>
      <c r="S647" s="18">
        <v>1</v>
      </c>
    </row>
    <row r="648" spans="1:19" x14ac:dyDescent="0.25">
      <c r="A648" s="16" t="s">
        <v>936</v>
      </c>
      <c r="B648" s="18"/>
      <c r="C648" s="18"/>
      <c r="D648" s="18"/>
      <c r="E648" s="18"/>
      <c r="F648" s="18"/>
      <c r="G648" s="18"/>
      <c r="H648" s="18">
        <v>5.9474999999999998</v>
      </c>
      <c r="I648" s="18">
        <v>1</v>
      </c>
      <c r="J648" s="18"/>
      <c r="K648" s="18"/>
      <c r="L648" s="18"/>
      <c r="M648" s="18"/>
      <c r="N648" s="18"/>
      <c r="O648" s="18"/>
      <c r="P648" s="18"/>
      <c r="Q648" s="18"/>
      <c r="R648" s="18">
        <v>5.9474999999999998</v>
      </c>
      <c r="S648" s="18">
        <v>1</v>
      </c>
    </row>
    <row r="649" spans="1:19" x14ac:dyDescent="0.25">
      <c r="A649" s="16" t="s">
        <v>937</v>
      </c>
      <c r="B649" s="18"/>
      <c r="C649" s="18"/>
      <c r="D649" s="18">
        <v>3.05</v>
      </c>
      <c r="E649" s="18">
        <v>1</v>
      </c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>
        <v>3.05</v>
      </c>
      <c r="S649" s="18">
        <v>1</v>
      </c>
    </row>
    <row r="650" spans="1:19" x14ac:dyDescent="0.25">
      <c r="A650" s="16" t="s">
        <v>938</v>
      </c>
      <c r="B650" s="18">
        <v>5.9474999999999998</v>
      </c>
      <c r="C650" s="18">
        <v>1</v>
      </c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>
        <v>5.9474999999999998</v>
      </c>
      <c r="S650" s="18">
        <v>1</v>
      </c>
    </row>
    <row r="651" spans="1:19" x14ac:dyDescent="0.25">
      <c r="A651" s="16" t="s">
        <v>939</v>
      </c>
      <c r="B651" s="18"/>
      <c r="C651" s="18"/>
      <c r="D651" s="18"/>
      <c r="E651" s="18"/>
      <c r="F651" s="18"/>
      <c r="G651" s="18"/>
      <c r="H651" s="18">
        <v>2.9737499999999999</v>
      </c>
      <c r="I651" s="18">
        <v>1</v>
      </c>
      <c r="J651" s="18"/>
      <c r="K651" s="18"/>
      <c r="L651" s="18"/>
      <c r="M651" s="18"/>
      <c r="N651" s="18"/>
      <c r="O651" s="18"/>
      <c r="P651" s="18"/>
      <c r="Q651" s="18"/>
      <c r="R651" s="18">
        <v>2.9737499999999999</v>
      </c>
      <c r="S651" s="18">
        <v>1</v>
      </c>
    </row>
    <row r="652" spans="1:19" x14ac:dyDescent="0.25">
      <c r="A652" s="16" t="s">
        <v>940</v>
      </c>
      <c r="B652" s="18"/>
      <c r="C652" s="18"/>
      <c r="D652" s="18"/>
      <c r="E652" s="18"/>
      <c r="F652" s="18"/>
      <c r="G652" s="18"/>
      <c r="H652" s="18">
        <v>4.5749999999999993</v>
      </c>
      <c r="I652" s="18">
        <v>1</v>
      </c>
      <c r="J652" s="18"/>
      <c r="K652" s="18"/>
      <c r="L652" s="18"/>
      <c r="M652" s="18"/>
      <c r="N652" s="18"/>
      <c r="O652" s="18"/>
      <c r="P652" s="18"/>
      <c r="Q652" s="18"/>
      <c r="R652" s="18">
        <v>4.5749999999999993</v>
      </c>
      <c r="S652" s="18">
        <v>1</v>
      </c>
    </row>
    <row r="653" spans="1:19" x14ac:dyDescent="0.25">
      <c r="A653" s="16" t="s">
        <v>941</v>
      </c>
      <c r="B653" s="18">
        <v>7.5487500000000001</v>
      </c>
      <c r="C653" s="18">
        <v>2</v>
      </c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>
        <v>7.5487500000000001</v>
      </c>
      <c r="S653" s="18">
        <v>2</v>
      </c>
    </row>
    <row r="654" spans="1:19" x14ac:dyDescent="0.25">
      <c r="A654" s="16" t="s">
        <v>942</v>
      </c>
      <c r="B654" s="18">
        <v>2.9737499999999999</v>
      </c>
      <c r="C654" s="18">
        <v>1</v>
      </c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>
        <v>2.9737499999999999</v>
      </c>
      <c r="S654" s="18">
        <v>1</v>
      </c>
    </row>
    <row r="655" spans="1:19" x14ac:dyDescent="0.25">
      <c r="A655" s="16" t="s">
        <v>943</v>
      </c>
      <c r="B655" s="18">
        <v>2.9737499999999999</v>
      </c>
      <c r="C655" s="18">
        <v>1</v>
      </c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>
        <v>2.9737499999999999</v>
      </c>
      <c r="S655" s="18">
        <v>1</v>
      </c>
    </row>
    <row r="656" spans="1:19" x14ac:dyDescent="0.25">
      <c r="A656" s="16" t="s">
        <v>944</v>
      </c>
      <c r="B656" s="18"/>
      <c r="C656" s="18"/>
      <c r="D656" s="18"/>
      <c r="E656" s="18"/>
      <c r="F656" s="18"/>
      <c r="G656" s="18"/>
      <c r="H656" s="18">
        <v>5.9474999999999998</v>
      </c>
      <c r="I656" s="18">
        <v>1</v>
      </c>
      <c r="J656" s="18"/>
      <c r="K656" s="18"/>
      <c r="L656" s="18">
        <v>7.93</v>
      </c>
      <c r="M656" s="18">
        <v>3</v>
      </c>
      <c r="N656" s="18"/>
      <c r="O656" s="18"/>
      <c r="P656" s="18"/>
      <c r="Q656" s="18"/>
      <c r="R656" s="18">
        <v>13.877499999999998</v>
      </c>
      <c r="S656" s="18">
        <v>4</v>
      </c>
    </row>
    <row r="657" spans="1:19" x14ac:dyDescent="0.25">
      <c r="A657" s="16" t="s">
        <v>945</v>
      </c>
      <c r="B657" s="18">
        <v>8.9212500000000006</v>
      </c>
      <c r="C657" s="18">
        <v>2</v>
      </c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>
        <v>8.9212500000000006</v>
      </c>
      <c r="S657" s="18">
        <v>2</v>
      </c>
    </row>
    <row r="658" spans="1:19" x14ac:dyDescent="0.25">
      <c r="A658" s="16" t="s">
        <v>946</v>
      </c>
      <c r="B658" s="18"/>
      <c r="C658" s="18"/>
      <c r="D658" s="18">
        <v>5.9474999999999998</v>
      </c>
      <c r="E658" s="18">
        <v>1</v>
      </c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>
        <v>5.9474999999999998</v>
      </c>
      <c r="S658" s="18">
        <v>1</v>
      </c>
    </row>
    <row r="659" spans="1:19" x14ac:dyDescent="0.25">
      <c r="A659" s="16" t="s">
        <v>947</v>
      </c>
      <c r="B659" s="18"/>
      <c r="C659" s="18"/>
      <c r="D659" s="18"/>
      <c r="E659" s="18"/>
      <c r="F659" s="18"/>
      <c r="G659" s="18"/>
      <c r="H659" s="18">
        <v>2.9737499999999999</v>
      </c>
      <c r="I659" s="18">
        <v>1</v>
      </c>
      <c r="J659" s="18"/>
      <c r="K659" s="18"/>
      <c r="L659" s="18"/>
      <c r="M659" s="18"/>
      <c r="N659" s="18"/>
      <c r="O659" s="18"/>
      <c r="P659" s="18"/>
      <c r="Q659" s="18"/>
      <c r="R659" s="18">
        <v>2.9737499999999999</v>
      </c>
      <c r="S659" s="18">
        <v>1</v>
      </c>
    </row>
    <row r="660" spans="1:19" x14ac:dyDescent="0.25">
      <c r="A660" s="16" t="s">
        <v>948</v>
      </c>
      <c r="B660" s="18"/>
      <c r="C660" s="18"/>
      <c r="D660" s="18"/>
      <c r="E660" s="18"/>
      <c r="F660" s="18"/>
      <c r="G660" s="18"/>
      <c r="H660" s="18">
        <v>4.9562499999999998</v>
      </c>
      <c r="I660" s="18">
        <v>2</v>
      </c>
      <c r="J660" s="18"/>
      <c r="K660" s="18"/>
      <c r="L660" s="18"/>
      <c r="M660" s="18"/>
      <c r="N660" s="18"/>
      <c r="O660" s="18"/>
      <c r="P660" s="18"/>
      <c r="Q660" s="18"/>
      <c r="R660" s="18">
        <v>4.9562499999999998</v>
      </c>
      <c r="S660" s="18">
        <v>2</v>
      </c>
    </row>
    <row r="661" spans="1:19" x14ac:dyDescent="0.25">
      <c r="A661" s="16" t="s">
        <v>949</v>
      </c>
      <c r="B661" s="18">
        <v>2.9737499999999999</v>
      </c>
      <c r="C661" s="18">
        <v>1</v>
      </c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>
        <v>2.9737499999999999</v>
      </c>
      <c r="S661" s="18">
        <v>1</v>
      </c>
    </row>
    <row r="662" spans="1:19" x14ac:dyDescent="0.25">
      <c r="A662" s="16" t="s">
        <v>950</v>
      </c>
      <c r="B662" s="18">
        <v>4.5750000000000002</v>
      </c>
      <c r="C662" s="18">
        <v>1</v>
      </c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>
        <v>4.5750000000000002</v>
      </c>
      <c r="S662" s="18">
        <v>1</v>
      </c>
    </row>
    <row r="663" spans="1:19" x14ac:dyDescent="0.25">
      <c r="A663" s="16" t="s">
        <v>951</v>
      </c>
      <c r="B663" s="18">
        <v>2.9737499999999999</v>
      </c>
      <c r="C663" s="18">
        <v>1</v>
      </c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>
        <v>2.9737499999999999</v>
      </c>
      <c r="S663" s="18">
        <v>1</v>
      </c>
    </row>
    <row r="664" spans="1:19" x14ac:dyDescent="0.25">
      <c r="A664" s="16" t="s">
        <v>952</v>
      </c>
      <c r="B664" s="18">
        <v>7.5487500000000001</v>
      </c>
      <c r="C664" s="18">
        <v>2</v>
      </c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>
        <v>7.5487500000000001</v>
      </c>
      <c r="S664" s="18">
        <v>2</v>
      </c>
    </row>
    <row r="665" spans="1:19" x14ac:dyDescent="0.25">
      <c r="A665" s="16" t="s">
        <v>953</v>
      </c>
      <c r="B665" s="18">
        <v>11.895</v>
      </c>
      <c r="C665" s="18">
        <v>3</v>
      </c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>
        <v>11.895</v>
      </c>
      <c r="S665" s="18">
        <v>3</v>
      </c>
    </row>
    <row r="666" spans="1:19" x14ac:dyDescent="0.25">
      <c r="A666" s="16" t="s">
        <v>954</v>
      </c>
      <c r="B666" s="18"/>
      <c r="C666" s="18"/>
      <c r="D666" s="18"/>
      <c r="E666" s="18"/>
      <c r="F666" s="18"/>
      <c r="G666" s="18"/>
      <c r="H666" s="18">
        <v>7.5487499999999992</v>
      </c>
      <c r="I666" s="18">
        <v>2</v>
      </c>
      <c r="J666" s="18"/>
      <c r="K666" s="18"/>
      <c r="L666" s="18"/>
      <c r="M666" s="18"/>
      <c r="N666" s="18"/>
      <c r="O666" s="18"/>
      <c r="P666" s="18"/>
      <c r="Q666" s="18"/>
      <c r="R666" s="18">
        <v>7.5487499999999992</v>
      </c>
      <c r="S666" s="18">
        <v>2</v>
      </c>
    </row>
    <row r="667" spans="1:19" x14ac:dyDescent="0.25">
      <c r="A667" s="16" t="s">
        <v>955</v>
      </c>
      <c r="B667" s="18"/>
      <c r="C667" s="18"/>
      <c r="D667" s="18"/>
      <c r="E667" s="18"/>
      <c r="F667" s="18"/>
      <c r="G667" s="18"/>
      <c r="H667" s="18">
        <v>8.9212500000000006</v>
      </c>
      <c r="I667" s="18">
        <v>2</v>
      </c>
      <c r="J667" s="18"/>
      <c r="K667" s="18"/>
      <c r="L667" s="18"/>
      <c r="M667" s="18"/>
      <c r="N667" s="18"/>
      <c r="O667" s="18"/>
      <c r="P667" s="18"/>
      <c r="Q667" s="18"/>
      <c r="R667" s="18">
        <v>8.9212500000000006</v>
      </c>
      <c r="S667" s="18">
        <v>2</v>
      </c>
    </row>
    <row r="668" spans="1:19" x14ac:dyDescent="0.25">
      <c r="A668" s="16" t="s">
        <v>956</v>
      </c>
      <c r="B668" s="18"/>
      <c r="C668" s="18"/>
      <c r="D668" s="18"/>
      <c r="E668" s="18"/>
      <c r="F668" s="18"/>
      <c r="G668" s="18"/>
      <c r="H668" s="18">
        <v>8.9212500000000006</v>
      </c>
      <c r="I668" s="18">
        <v>2</v>
      </c>
      <c r="J668" s="18"/>
      <c r="K668" s="18"/>
      <c r="L668" s="18"/>
      <c r="M668" s="18"/>
      <c r="N668" s="18"/>
      <c r="O668" s="18"/>
      <c r="P668" s="18"/>
      <c r="Q668" s="18"/>
      <c r="R668" s="18">
        <v>8.9212500000000006</v>
      </c>
      <c r="S668" s="18">
        <v>2</v>
      </c>
    </row>
    <row r="669" spans="1:19" x14ac:dyDescent="0.25">
      <c r="A669" s="16" t="s">
        <v>957</v>
      </c>
      <c r="B669" s="18">
        <v>8.9212500000000006</v>
      </c>
      <c r="C669" s="18">
        <v>2</v>
      </c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>
        <v>8.9212500000000006</v>
      </c>
      <c r="S669" s="18">
        <v>2</v>
      </c>
    </row>
    <row r="670" spans="1:19" x14ac:dyDescent="0.25">
      <c r="A670" s="16" t="s">
        <v>958</v>
      </c>
      <c r="B670" s="18"/>
      <c r="C670" s="18"/>
      <c r="D670" s="18">
        <v>8.9974999999999987</v>
      </c>
      <c r="E670" s="18">
        <v>2</v>
      </c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>
        <v>8.9974999999999987</v>
      </c>
      <c r="S670" s="18">
        <v>2</v>
      </c>
    </row>
    <row r="671" spans="1:19" x14ac:dyDescent="0.25">
      <c r="A671" s="16" t="s">
        <v>959</v>
      </c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>
        <v>10.522500000000001</v>
      </c>
      <c r="M671" s="18">
        <v>2</v>
      </c>
      <c r="N671" s="18"/>
      <c r="O671" s="18"/>
      <c r="P671" s="18"/>
      <c r="Q671" s="18"/>
      <c r="R671" s="18">
        <v>10.522500000000001</v>
      </c>
      <c r="S671" s="18">
        <v>2</v>
      </c>
    </row>
    <row r="672" spans="1:19" x14ac:dyDescent="0.25">
      <c r="A672" s="16" t="s">
        <v>960</v>
      </c>
      <c r="B672" s="18">
        <v>7.5487500000000001</v>
      </c>
      <c r="C672" s="18">
        <v>2</v>
      </c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>
        <v>7.5487500000000001</v>
      </c>
      <c r="S672" s="18">
        <v>2</v>
      </c>
    </row>
    <row r="673" spans="1:19" x14ac:dyDescent="0.25">
      <c r="A673" s="16" t="s">
        <v>961</v>
      </c>
      <c r="B673" s="18">
        <v>4.5750000000000002</v>
      </c>
      <c r="C673" s="18">
        <v>1</v>
      </c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>
        <v>4.5750000000000002</v>
      </c>
      <c r="S673" s="18">
        <v>1</v>
      </c>
    </row>
    <row r="674" spans="1:19" x14ac:dyDescent="0.25">
      <c r="A674" s="16" t="s">
        <v>962</v>
      </c>
      <c r="B674" s="18">
        <v>2.9737499999999999</v>
      </c>
      <c r="C674" s="18">
        <v>1</v>
      </c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>
        <v>2.9737499999999999</v>
      </c>
      <c r="S674" s="18">
        <v>1</v>
      </c>
    </row>
    <row r="675" spans="1:19" x14ac:dyDescent="0.25">
      <c r="A675" s="16" t="s">
        <v>963</v>
      </c>
      <c r="B675" s="18">
        <v>2.9737499999999999</v>
      </c>
      <c r="C675" s="18">
        <v>1</v>
      </c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>
        <v>2.9737499999999999</v>
      </c>
      <c r="S675" s="18">
        <v>1</v>
      </c>
    </row>
    <row r="676" spans="1:19" x14ac:dyDescent="0.25">
      <c r="A676" s="16" t="s">
        <v>964</v>
      </c>
      <c r="B676" s="18">
        <v>4.5750000000000002</v>
      </c>
      <c r="C676" s="18">
        <v>1</v>
      </c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>
        <v>4.5750000000000002</v>
      </c>
      <c r="S676" s="18">
        <v>1</v>
      </c>
    </row>
    <row r="677" spans="1:19" x14ac:dyDescent="0.25">
      <c r="A677" s="16" t="s">
        <v>965</v>
      </c>
      <c r="B677" s="18">
        <v>4.5750000000000002</v>
      </c>
      <c r="C677" s="18">
        <v>1</v>
      </c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>
        <v>4.5750000000000002</v>
      </c>
      <c r="S677" s="18">
        <v>1</v>
      </c>
    </row>
    <row r="678" spans="1:19" x14ac:dyDescent="0.25">
      <c r="A678" s="16" t="s">
        <v>966</v>
      </c>
      <c r="B678" s="18">
        <v>8.9212500000000006</v>
      </c>
      <c r="C678" s="18">
        <v>2</v>
      </c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>
        <v>8.9212500000000006</v>
      </c>
      <c r="S678" s="18">
        <v>2</v>
      </c>
    </row>
    <row r="679" spans="1:19" x14ac:dyDescent="0.25">
      <c r="A679" s="16" t="s">
        <v>967</v>
      </c>
      <c r="B679" s="18">
        <v>8.9212500000000006</v>
      </c>
      <c r="C679" s="18">
        <v>3</v>
      </c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>
        <v>8.9212500000000006</v>
      </c>
      <c r="S679" s="18">
        <v>3</v>
      </c>
    </row>
    <row r="680" spans="1:19" x14ac:dyDescent="0.25">
      <c r="A680" s="16" t="s">
        <v>968</v>
      </c>
      <c r="B680" s="18">
        <v>8.9212500000000006</v>
      </c>
      <c r="C680" s="18">
        <v>3</v>
      </c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>
        <v>8.9212500000000006</v>
      </c>
      <c r="S680" s="18">
        <v>3</v>
      </c>
    </row>
    <row r="681" spans="1:19" x14ac:dyDescent="0.25">
      <c r="A681" s="16" t="s">
        <v>969</v>
      </c>
      <c r="B681" s="18">
        <v>8.9212500000000006</v>
      </c>
      <c r="C681" s="18">
        <v>2</v>
      </c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>
        <v>8.9212500000000006</v>
      </c>
      <c r="S681" s="18">
        <v>2</v>
      </c>
    </row>
    <row r="682" spans="1:19" x14ac:dyDescent="0.25">
      <c r="A682" s="16" t="s">
        <v>970</v>
      </c>
      <c r="B682" s="18">
        <v>11.895</v>
      </c>
      <c r="C682" s="18">
        <v>3</v>
      </c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>
        <v>11.895</v>
      </c>
      <c r="S682" s="18">
        <v>3</v>
      </c>
    </row>
    <row r="683" spans="1:19" x14ac:dyDescent="0.25">
      <c r="A683" s="16" t="s">
        <v>971</v>
      </c>
      <c r="B683" s="18">
        <v>2.9737499999999999</v>
      </c>
      <c r="C683" s="18">
        <v>1</v>
      </c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>
        <v>2.9737499999999999</v>
      </c>
      <c r="S683" s="18">
        <v>1</v>
      </c>
    </row>
    <row r="684" spans="1:19" x14ac:dyDescent="0.25">
      <c r="A684" s="16" t="s">
        <v>972</v>
      </c>
      <c r="B684" s="18">
        <v>2.9737499999999999</v>
      </c>
      <c r="C684" s="18">
        <v>1</v>
      </c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>
        <v>2.9737499999999999</v>
      </c>
      <c r="S684" s="18">
        <v>1</v>
      </c>
    </row>
    <row r="685" spans="1:19" x14ac:dyDescent="0.25">
      <c r="A685" s="16" t="s">
        <v>973</v>
      </c>
      <c r="B685" s="18"/>
      <c r="C685" s="18"/>
      <c r="D685" s="18"/>
      <c r="E685" s="18"/>
      <c r="F685" s="18"/>
      <c r="G685" s="18"/>
      <c r="H685" s="18">
        <v>2.9737499999999999</v>
      </c>
      <c r="I685" s="18">
        <v>1</v>
      </c>
      <c r="J685" s="18"/>
      <c r="K685" s="18"/>
      <c r="L685" s="18"/>
      <c r="M685" s="18"/>
      <c r="N685" s="18"/>
      <c r="O685" s="18"/>
      <c r="P685" s="18"/>
      <c r="Q685" s="18"/>
      <c r="R685" s="18">
        <v>2.9737499999999999</v>
      </c>
      <c r="S685" s="18">
        <v>1</v>
      </c>
    </row>
    <row r="686" spans="1:19" x14ac:dyDescent="0.25">
      <c r="A686" s="16" t="s">
        <v>974</v>
      </c>
      <c r="B686" s="18">
        <v>2.9737499999999999</v>
      </c>
      <c r="C686" s="18">
        <v>1</v>
      </c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>
        <v>2.9737499999999999</v>
      </c>
      <c r="S686" s="18">
        <v>1</v>
      </c>
    </row>
    <row r="687" spans="1:19" x14ac:dyDescent="0.25">
      <c r="A687" s="16" t="s">
        <v>975</v>
      </c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>
        <v>2.9737499999999999</v>
      </c>
      <c r="M687" s="18">
        <v>1</v>
      </c>
      <c r="N687" s="18"/>
      <c r="O687" s="18"/>
      <c r="P687" s="18"/>
      <c r="Q687" s="18"/>
      <c r="R687" s="18">
        <v>2.9737499999999999</v>
      </c>
      <c r="S687" s="18">
        <v>1</v>
      </c>
    </row>
    <row r="688" spans="1:19" x14ac:dyDescent="0.25">
      <c r="A688" s="16" t="s">
        <v>976</v>
      </c>
      <c r="B688" s="18">
        <v>10.522500000000001</v>
      </c>
      <c r="C688" s="18">
        <v>3</v>
      </c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>
        <v>10.522500000000001</v>
      </c>
      <c r="S688" s="18">
        <v>3</v>
      </c>
    </row>
    <row r="689" spans="1:19" x14ac:dyDescent="0.25">
      <c r="A689" s="16" t="s">
        <v>977</v>
      </c>
      <c r="B689" s="18">
        <v>2.9737499999999999</v>
      </c>
      <c r="C689" s="18">
        <v>1</v>
      </c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>
        <v>2.9737499999999999</v>
      </c>
      <c r="S689" s="18">
        <v>1</v>
      </c>
    </row>
    <row r="690" spans="1:19" x14ac:dyDescent="0.25">
      <c r="A690" s="16">
        <v>9</v>
      </c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>
        <v>9.9124999999999996</v>
      </c>
      <c r="M690" s="18">
        <v>3</v>
      </c>
      <c r="N690" s="18"/>
      <c r="O690" s="18"/>
      <c r="P690" s="18"/>
      <c r="Q690" s="18"/>
      <c r="R690" s="18">
        <v>9.9124999999999996</v>
      </c>
      <c r="S690" s="18">
        <v>3</v>
      </c>
    </row>
    <row r="691" spans="1:19" x14ac:dyDescent="0.25">
      <c r="A691" s="16" t="s">
        <v>978</v>
      </c>
      <c r="B691" s="18"/>
      <c r="C691" s="18"/>
      <c r="D691" s="18"/>
      <c r="E691" s="18"/>
      <c r="F691" s="18"/>
      <c r="G691" s="18"/>
      <c r="H691" s="18">
        <v>2.9737499999999999</v>
      </c>
      <c r="I691" s="18">
        <v>1</v>
      </c>
      <c r="J691" s="18"/>
      <c r="K691" s="18"/>
      <c r="L691" s="18"/>
      <c r="M691" s="18"/>
      <c r="N691" s="18"/>
      <c r="O691" s="18"/>
      <c r="P691" s="18"/>
      <c r="Q691" s="18"/>
      <c r="R691" s="18">
        <v>2.9737499999999999</v>
      </c>
      <c r="S691" s="18">
        <v>1</v>
      </c>
    </row>
    <row r="692" spans="1:19" x14ac:dyDescent="0.25">
      <c r="A692" s="16" t="s">
        <v>979</v>
      </c>
      <c r="B692" s="18"/>
      <c r="C692" s="18"/>
      <c r="D692" s="18"/>
      <c r="E692" s="18"/>
      <c r="F692" s="18"/>
      <c r="G692" s="18"/>
      <c r="H692" s="18">
        <v>2.9737499999999999</v>
      </c>
      <c r="I692" s="18">
        <v>1</v>
      </c>
      <c r="J692" s="18"/>
      <c r="K692" s="18"/>
      <c r="L692" s="18"/>
      <c r="M692" s="18"/>
      <c r="N692" s="18"/>
      <c r="O692" s="18"/>
      <c r="P692" s="18"/>
      <c r="Q692" s="18"/>
      <c r="R692" s="18">
        <v>2.9737499999999999</v>
      </c>
      <c r="S692" s="18">
        <v>1</v>
      </c>
    </row>
    <row r="693" spans="1:19" x14ac:dyDescent="0.25">
      <c r="A693" s="16">
        <v>14</v>
      </c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>
        <v>10.522500000000001</v>
      </c>
      <c r="M693" s="18">
        <v>2</v>
      </c>
      <c r="N693" s="18"/>
      <c r="O693" s="18"/>
      <c r="P693" s="18"/>
      <c r="Q693" s="18"/>
      <c r="R693" s="18">
        <v>10.522500000000001</v>
      </c>
      <c r="S693" s="18">
        <v>2</v>
      </c>
    </row>
    <row r="694" spans="1:19" x14ac:dyDescent="0.25">
      <c r="A694" s="16">
        <v>15</v>
      </c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>
        <v>10.522500000000001</v>
      </c>
      <c r="M694" s="18">
        <v>2</v>
      </c>
      <c r="N694" s="18"/>
      <c r="O694" s="18"/>
      <c r="P694" s="18"/>
      <c r="Q694" s="18"/>
      <c r="R694" s="18">
        <v>10.522500000000001</v>
      </c>
      <c r="S694" s="18">
        <v>2</v>
      </c>
    </row>
    <row r="695" spans="1:19" x14ac:dyDescent="0.25">
      <c r="A695" s="16" t="s">
        <v>980</v>
      </c>
      <c r="B695" s="18">
        <v>5.9474999999999998</v>
      </c>
      <c r="C695" s="18">
        <v>2</v>
      </c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>
        <v>5.9474999999999998</v>
      </c>
      <c r="S695" s="18">
        <v>2</v>
      </c>
    </row>
    <row r="696" spans="1:19" x14ac:dyDescent="0.25">
      <c r="A696" s="16" t="s">
        <v>981</v>
      </c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>
        <v>13.5725</v>
      </c>
      <c r="M696" s="18">
        <v>3</v>
      </c>
      <c r="N696" s="18"/>
      <c r="O696" s="18"/>
      <c r="P696" s="18"/>
      <c r="Q696" s="18"/>
      <c r="R696" s="18">
        <v>13.5725</v>
      </c>
      <c r="S696" s="18">
        <v>3</v>
      </c>
    </row>
    <row r="697" spans="1:19" x14ac:dyDescent="0.25">
      <c r="A697" s="16" t="s">
        <v>982</v>
      </c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>
        <v>2.9737499999999999</v>
      </c>
      <c r="M697" s="18">
        <v>1</v>
      </c>
      <c r="N697" s="18"/>
      <c r="O697" s="18"/>
      <c r="P697" s="18"/>
      <c r="Q697" s="18"/>
      <c r="R697" s="18">
        <v>2.9737499999999999</v>
      </c>
      <c r="S697" s="18">
        <v>1</v>
      </c>
    </row>
    <row r="698" spans="1:19" x14ac:dyDescent="0.25">
      <c r="A698" s="16" t="s">
        <v>983</v>
      </c>
      <c r="B698" s="18">
        <v>7.5487500000000001</v>
      </c>
      <c r="C698" s="18">
        <v>2</v>
      </c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>
        <v>7.5487500000000001</v>
      </c>
      <c r="S698" s="18">
        <v>2</v>
      </c>
    </row>
    <row r="699" spans="1:19" x14ac:dyDescent="0.25">
      <c r="A699" s="16" t="s">
        <v>984</v>
      </c>
      <c r="B699" s="18">
        <v>5.9474999999999998</v>
      </c>
      <c r="C699" s="18">
        <v>1</v>
      </c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>
        <v>5.9474999999999998</v>
      </c>
      <c r="S699" s="18">
        <v>1</v>
      </c>
    </row>
    <row r="700" spans="1:19" x14ac:dyDescent="0.25">
      <c r="A700" s="16" t="s">
        <v>985</v>
      </c>
      <c r="B700" s="18">
        <v>2.9737499999999999</v>
      </c>
      <c r="C700" s="18">
        <v>1</v>
      </c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>
        <v>2.9737499999999999</v>
      </c>
      <c r="S700" s="18">
        <v>1</v>
      </c>
    </row>
    <row r="701" spans="1:19" x14ac:dyDescent="0.25">
      <c r="A701" s="16" t="s">
        <v>986</v>
      </c>
      <c r="B701" s="18">
        <v>8.9212500000000006</v>
      </c>
      <c r="C701" s="18">
        <v>2</v>
      </c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>
        <v>8.9212500000000006</v>
      </c>
      <c r="S701" s="18">
        <v>2</v>
      </c>
    </row>
    <row r="702" spans="1:19" x14ac:dyDescent="0.25">
      <c r="A702" s="16" t="s">
        <v>987</v>
      </c>
      <c r="B702" s="18"/>
      <c r="C702" s="18"/>
      <c r="D702" s="18"/>
      <c r="E702" s="18"/>
      <c r="F702" s="18"/>
      <c r="G702" s="18"/>
      <c r="H702" s="18">
        <v>2.9737499999999999</v>
      </c>
      <c r="I702" s="18">
        <v>1</v>
      </c>
      <c r="J702" s="18"/>
      <c r="K702" s="18"/>
      <c r="L702" s="18"/>
      <c r="M702" s="18"/>
      <c r="N702" s="18"/>
      <c r="O702" s="18"/>
      <c r="P702" s="18"/>
      <c r="Q702" s="18"/>
      <c r="R702" s="18">
        <v>2.9737499999999999</v>
      </c>
      <c r="S702" s="18">
        <v>1</v>
      </c>
    </row>
    <row r="703" spans="1:19" x14ac:dyDescent="0.25">
      <c r="A703" s="16" t="s">
        <v>988</v>
      </c>
      <c r="B703" s="18"/>
      <c r="C703" s="18"/>
      <c r="D703" s="18"/>
      <c r="E703" s="18"/>
      <c r="F703" s="18"/>
      <c r="G703" s="18"/>
      <c r="H703" s="18">
        <v>2.9737499999999999</v>
      </c>
      <c r="I703" s="18">
        <v>1</v>
      </c>
      <c r="J703" s="18"/>
      <c r="K703" s="18"/>
      <c r="L703" s="18"/>
      <c r="M703" s="18"/>
      <c r="N703" s="18"/>
      <c r="O703" s="18"/>
      <c r="P703" s="18"/>
      <c r="Q703" s="18"/>
      <c r="R703" s="18">
        <v>2.9737499999999999</v>
      </c>
      <c r="S703" s="18">
        <v>1</v>
      </c>
    </row>
    <row r="704" spans="1:19" x14ac:dyDescent="0.25">
      <c r="A704" s="16" t="s">
        <v>989</v>
      </c>
      <c r="B704" s="18">
        <v>2.9737499999999999</v>
      </c>
      <c r="C704" s="18">
        <v>1</v>
      </c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>
        <v>2.9737499999999999</v>
      </c>
      <c r="S704" s="18">
        <v>1</v>
      </c>
    </row>
    <row r="705" spans="1:19" x14ac:dyDescent="0.25">
      <c r="A705" s="16" t="s">
        <v>990</v>
      </c>
      <c r="B705" s="18"/>
      <c r="C705" s="18"/>
      <c r="D705" s="18"/>
      <c r="E705" s="18"/>
      <c r="F705" s="18"/>
      <c r="G705" s="18"/>
      <c r="H705" s="18">
        <v>2.9737499999999999</v>
      </c>
      <c r="I705" s="18">
        <v>1</v>
      </c>
      <c r="J705" s="18"/>
      <c r="K705" s="18"/>
      <c r="L705" s="18"/>
      <c r="M705" s="18"/>
      <c r="N705" s="18"/>
      <c r="O705" s="18"/>
      <c r="P705" s="18"/>
      <c r="Q705" s="18"/>
      <c r="R705" s="18">
        <v>2.9737499999999999</v>
      </c>
      <c r="S705" s="18">
        <v>1</v>
      </c>
    </row>
    <row r="706" spans="1:19" x14ac:dyDescent="0.25">
      <c r="A706" s="16" t="s">
        <v>991</v>
      </c>
      <c r="B706" s="18">
        <v>5.9474999999999998</v>
      </c>
      <c r="C706" s="18">
        <v>1</v>
      </c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>
        <v>5.9474999999999998</v>
      </c>
      <c r="S706" s="18">
        <v>1</v>
      </c>
    </row>
    <row r="707" spans="1:19" x14ac:dyDescent="0.25">
      <c r="A707" s="16" t="s">
        <v>992</v>
      </c>
      <c r="B707" s="18">
        <v>5.9474999999999998</v>
      </c>
      <c r="C707" s="18">
        <v>2</v>
      </c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>
        <v>5.9474999999999998</v>
      </c>
      <c r="S707" s="18">
        <v>2</v>
      </c>
    </row>
    <row r="708" spans="1:19" x14ac:dyDescent="0.25">
      <c r="A708" s="16" t="s">
        <v>993</v>
      </c>
      <c r="B708" s="18"/>
      <c r="C708" s="18"/>
      <c r="D708" s="18"/>
      <c r="E708" s="18"/>
      <c r="F708" s="18"/>
      <c r="G708" s="18"/>
      <c r="H708" s="18">
        <v>5.9474999999999998</v>
      </c>
      <c r="I708" s="18">
        <v>2</v>
      </c>
      <c r="J708" s="18"/>
      <c r="K708" s="18"/>
      <c r="L708" s="18"/>
      <c r="M708" s="18"/>
      <c r="N708" s="18"/>
      <c r="O708" s="18"/>
      <c r="P708" s="18"/>
      <c r="Q708" s="18"/>
      <c r="R708" s="18">
        <v>5.9474999999999998</v>
      </c>
      <c r="S708" s="18">
        <v>2</v>
      </c>
    </row>
    <row r="709" spans="1:19" x14ac:dyDescent="0.25">
      <c r="A709" s="16" t="s">
        <v>994</v>
      </c>
      <c r="B709" s="18"/>
      <c r="C709" s="18"/>
      <c r="D709" s="18"/>
      <c r="E709" s="18"/>
      <c r="F709" s="18"/>
      <c r="G709" s="18"/>
      <c r="H709" s="18">
        <v>4.5749999999999993</v>
      </c>
      <c r="I709" s="18">
        <v>1</v>
      </c>
      <c r="J709" s="18"/>
      <c r="K709" s="18"/>
      <c r="L709" s="18"/>
      <c r="M709" s="18"/>
      <c r="N709" s="18"/>
      <c r="O709" s="18"/>
      <c r="P709" s="18"/>
      <c r="Q709" s="18"/>
      <c r="R709" s="18">
        <v>4.5749999999999993</v>
      </c>
      <c r="S709" s="18">
        <v>1</v>
      </c>
    </row>
    <row r="710" spans="1:19" x14ac:dyDescent="0.25">
      <c r="A710" s="16" t="s">
        <v>995</v>
      </c>
      <c r="B710" s="18">
        <v>5.9474999999999998</v>
      </c>
      <c r="C710" s="18">
        <v>2</v>
      </c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>
        <v>5.9474999999999998</v>
      </c>
      <c r="S710" s="18">
        <v>2</v>
      </c>
    </row>
    <row r="711" spans="1:19" x14ac:dyDescent="0.25">
      <c r="A711" s="16" t="s">
        <v>996</v>
      </c>
      <c r="B711" s="18">
        <v>7.5487500000000001</v>
      </c>
      <c r="C711" s="18">
        <v>2</v>
      </c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>
        <v>7.5487500000000001</v>
      </c>
      <c r="S711" s="18">
        <v>2</v>
      </c>
    </row>
    <row r="712" spans="1:19" x14ac:dyDescent="0.25">
      <c r="A712" s="16" t="s">
        <v>997</v>
      </c>
      <c r="B712" s="18">
        <v>2.9737499999999999</v>
      </c>
      <c r="C712" s="18">
        <v>1</v>
      </c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>
        <v>2.9737499999999999</v>
      </c>
      <c r="S712" s="18">
        <v>1</v>
      </c>
    </row>
    <row r="713" spans="1:19" x14ac:dyDescent="0.25">
      <c r="A713" s="16" t="s">
        <v>998</v>
      </c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>
        <v>2.9737499999999999</v>
      </c>
      <c r="M713" s="18">
        <v>1</v>
      </c>
      <c r="N713" s="18"/>
      <c r="O713" s="18"/>
      <c r="P713" s="18"/>
      <c r="Q713" s="18"/>
      <c r="R713" s="18">
        <v>2.9737499999999999</v>
      </c>
      <c r="S713" s="18">
        <v>1</v>
      </c>
    </row>
    <row r="714" spans="1:19" x14ac:dyDescent="0.25">
      <c r="A714" s="16" t="s">
        <v>999</v>
      </c>
      <c r="B714" s="18">
        <v>4.5750000000000002</v>
      </c>
      <c r="C714" s="18">
        <v>1</v>
      </c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>
        <v>4.5750000000000002</v>
      </c>
      <c r="S714" s="18">
        <v>1</v>
      </c>
    </row>
    <row r="715" spans="1:19" x14ac:dyDescent="0.25">
      <c r="A715" s="16" t="s">
        <v>1000</v>
      </c>
      <c r="B715" s="18">
        <v>5.9474999999999998</v>
      </c>
      <c r="C715" s="18">
        <v>1</v>
      </c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>
        <v>5.9474999999999998</v>
      </c>
      <c r="S715" s="18">
        <v>1</v>
      </c>
    </row>
    <row r="716" spans="1:19" x14ac:dyDescent="0.25">
      <c r="A716" s="16" t="s">
        <v>1001</v>
      </c>
      <c r="B716" s="18">
        <v>2.9737499999999999</v>
      </c>
      <c r="C716" s="18">
        <v>1</v>
      </c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>
        <v>2.9737499999999999</v>
      </c>
      <c r="S716" s="18">
        <v>1</v>
      </c>
    </row>
    <row r="717" spans="1:19" x14ac:dyDescent="0.25">
      <c r="A717" s="16" t="s">
        <v>1002</v>
      </c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>
        <v>2.9737499999999999</v>
      </c>
      <c r="M717" s="18">
        <v>1</v>
      </c>
      <c r="N717" s="18"/>
      <c r="O717" s="18"/>
      <c r="P717" s="18"/>
      <c r="Q717" s="18"/>
      <c r="R717" s="18">
        <v>2.9737499999999999</v>
      </c>
      <c r="S717" s="18">
        <v>1</v>
      </c>
    </row>
    <row r="718" spans="1:19" x14ac:dyDescent="0.25">
      <c r="A718" s="16" t="s">
        <v>1003</v>
      </c>
      <c r="B718" s="18"/>
      <c r="C718" s="18"/>
      <c r="D718" s="18"/>
      <c r="E718" s="18"/>
      <c r="F718" s="18"/>
      <c r="G718" s="18"/>
      <c r="H718" s="18">
        <v>5.9474999999999998</v>
      </c>
      <c r="I718" s="18">
        <v>2</v>
      </c>
      <c r="J718" s="18"/>
      <c r="K718" s="18"/>
      <c r="L718" s="18"/>
      <c r="M718" s="18"/>
      <c r="N718" s="18"/>
      <c r="O718" s="18"/>
      <c r="P718" s="18"/>
      <c r="Q718" s="18"/>
      <c r="R718" s="18">
        <v>5.9474999999999998</v>
      </c>
      <c r="S718" s="18">
        <v>2</v>
      </c>
    </row>
    <row r="719" spans="1:19" x14ac:dyDescent="0.25">
      <c r="A719" s="16" t="s">
        <v>1004</v>
      </c>
      <c r="B719" s="18"/>
      <c r="C719" s="18"/>
      <c r="D719" s="18"/>
      <c r="E719" s="18"/>
      <c r="F719" s="18"/>
      <c r="G719" s="18"/>
      <c r="H719" s="18">
        <v>4.5749999999999993</v>
      </c>
      <c r="I719" s="18">
        <v>1</v>
      </c>
      <c r="J719" s="18"/>
      <c r="K719" s="18"/>
      <c r="L719" s="18"/>
      <c r="M719" s="18"/>
      <c r="N719" s="18"/>
      <c r="O719" s="18"/>
      <c r="P719" s="18"/>
      <c r="Q719" s="18"/>
      <c r="R719" s="18">
        <v>4.5749999999999993</v>
      </c>
      <c r="S719" s="18">
        <v>1</v>
      </c>
    </row>
    <row r="720" spans="1:19" x14ac:dyDescent="0.25">
      <c r="A720" s="16" t="s">
        <v>1005</v>
      </c>
      <c r="B720" s="18"/>
      <c r="C720" s="18"/>
      <c r="D720" s="18"/>
      <c r="E720" s="18"/>
      <c r="F720" s="18"/>
      <c r="G720" s="18"/>
      <c r="H720" s="18">
        <v>5.9474999999999998</v>
      </c>
      <c r="I720" s="18">
        <v>1</v>
      </c>
      <c r="J720" s="18"/>
      <c r="K720" s="18"/>
      <c r="L720" s="18"/>
      <c r="M720" s="18"/>
      <c r="N720" s="18"/>
      <c r="O720" s="18"/>
      <c r="P720" s="18"/>
      <c r="Q720" s="18"/>
      <c r="R720" s="18">
        <v>5.9474999999999998</v>
      </c>
      <c r="S720" s="18">
        <v>1</v>
      </c>
    </row>
    <row r="721" spans="1:19" x14ac:dyDescent="0.25">
      <c r="A721" s="16" t="s">
        <v>1006</v>
      </c>
      <c r="B721" s="18"/>
      <c r="C721" s="18"/>
      <c r="D721" s="18"/>
      <c r="E721" s="18"/>
      <c r="F721" s="18"/>
      <c r="G721" s="18"/>
      <c r="H721" s="18">
        <v>5.9474999999999998</v>
      </c>
      <c r="I721" s="18">
        <v>1</v>
      </c>
      <c r="J721" s="18"/>
      <c r="K721" s="18"/>
      <c r="L721" s="18"/>
      <c r="M721" s="18"/>
      <c r="N721" s="18"/>
      <c r="O721" s="18"/>
      <c r="P721" s="18"/>
      <c r="Q721" s="18"/>
      <c r="R721" s="18">
        <v>5.9474999999999998</v>
      </c>
      <c r="S721" s="18">
        <v>1</v>
      </c>
    </row>
    <row r="722" spans="1:19" x14ac:dyDescent="0.25">
      <c r="A722" s="16" t="s">
        <v>1007</v>
      </c>
      <c r="B722" s="18"/>
      <c r="C722" s="18"/>
      <c r="D722" s="18"/>
      <c r="E722" s="18"/>
      <c r="F722" s="18"/>
      <c r="G722" s="18"/>
      <c r="H722" s="18">
        <v>2.9737499999999999</v>
      </c>
      <c r="I722" s="18">
        <v>1</v>
      </c>
      <c r="J722" s="18"/>
      <c r="K722" s="18"/>
      <c r="L722" s="18"/>
      <c r="M722" s="18"/>
      <c r="N722" s="18"/>
      <c r="O722" s="18"/>
      <c r="P722" s="18"/>
      <c r="Q722" s="18"/>
      <c r="R722" s="18">
        <v>2.9737499999999999</v>
      </c>
      <c r="S722" s="18">
        <v>1</v>
      </c>
    </row>
    <row r="723" spans="1:19" x14ac:dyDescent="0.25">
      <c r="A723" s="16" t="s">
        <v>1008</v>
      </c>
      <c r="B723" s="18">
        <v>5.9474999999999998</v>
      </c>
      <c r="C723" s="18">
        <v>1</v>
      </c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>
        <v>5.9474999999999998</v>
      </c>
      <c r="S723" s="18">
        <v>1</v>
      </c>
    </row>
    <row r="724" spans="1:19" x14ac:dyDescent="0.25">
      <c r="A724" s="16" t="s">
        <v>1009</v>
      </c>
      <c r="B724" s="18">
        <v>5.9474999999999998</v>
      </c>
      <c r="C724" s="18">
        <v>2</v>
      </c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>
        <v>5.9474999999999998</v>
      </c>
      <c r="S724" s="18">
        <v>2</v>
      </c>
    </row>
    <row r="725" spans="1:19" x14ac:dyDescent="0.25">
      <c r="A725" s="16" t="s">
        <v>1010</v>
      </c>
      <c r="B725" s="18">
        <v>4.5750000000000002</v>
      </c>
      <c r="C725" s="18">
        <v>1</v>
      </c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>
        <v>4.5750000000000002</v>
      </c>
      <c r="S725" s="18">
        <v>1</v>
      </c>
    </row>
    <row r="726" spans="1:19" x14ac:dyDescent="0.25">
      <c r="A726" s="16" t="s">
        <v>1011</v>
      </c>
      <c r="B726" s="18">
        <v>7.5487500000000001</v>
      </c>
      <c r="C726" s="18">
        <v>2</v>
      </c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>
        <v>7.5487500000000001</v>
      </c>
      <c r="S726" s="18">
        <v>2</v>
      </c>
    </row>
    <row r="727" spans="1:19" x14ac:dyDescent="0.25">
      <c r="A727" s="16" t="s">
        <v>1012</v>
      </c>
      <c r="B727" s="18"/>
      <c r="C727" s="18"/>
      <c r="D727" s="18"/>
      <c r="E727" s="18"/>
      <c r="F727" s="18"/>
      <c r="G727" s="18"/>
      <c r="H727" s="18">
        <v>5.9474999999999998</v>
      </c>
      <c r="I727" s="18">
        <v>1</v>
      </c>
      <c r="J727" s="18"/>
      <c r="K727" s="18"/>
      <c r="L727" s="18"/>
      <c r="M727" s="18"/>
      <c r="N727" s="18"/>
      <c r="O727" s="18"/>
      <c r="P727" s="18"/>
      <c r="Q727" s="18"/>
      <c r="R727" s="18">
        <v>5.9474999999999998</v>
      </c>
      <c r="S727" s="18">
        <v>1</v>
      </c>
    </row>
    <row r="728" spans="1:19" x14ac:dyDescent="0.25">
      <c r="A728" s="16" t="s">
        <v>1013</v>
      </c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>
        <v>2.9737499999999999</v>
      </c>
      <c r="M728" s="18">
        <v>1</v>
      </c>
      <c r="N728" s="18"/>
      <c r="O728" s="18"/>
      <c r="P728" s="18"/>
      <c r="Q728" s="18"/>
      <c r="R728" s="18">
        <v>2.9737499999999999</v>
      </c>
      <c r="S728" s="18">
        <v>1</v>
      </c>
    </row>
    <row r="729" spans="1:19" x14ac:dyDescent="0.25">
      <c r="A729" s="16" t="s">
        <v>1014</v>
      </c>
      <c r="B729" s="18">
        <v>5.9474999999999998</v>
      </c>
      <c r="C729" s="18">
        <v>1</v>
      </c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>
        <v>5.9474999999999998</v>
      </c>
      <c r="S729" s="18">
        <v>1</v>
      </c>
    </row>
    <row r="730" spans="1:19" x14ac:dyDescent="0.25">
      <c r="A730" s="16" t="s">
        <v>1015</v>
      </c>
      <c r="B730" s="18">
        <v>5.9474999999999998</v>
      </c>
      <c r="C730" s="18">
        <v>2</v>
      </c>
      <c r="D730" s="18"/>
      <c r="E730" s="18"/>
      <c r="F730" s="18"/>
      <c r="G730" s="18"/>
      <c r="H730" s="18"/>
      <c r="I730" s="18"/>
      <c r="J730" s="18"/>
      <c r="K730" s="18"/>
      <c r="L730" s="18">
        <v>4.5750000000000002</v>
      </c>
      <c r="M730" s="18">
        <v>1</v>
      </c>
      <c r="N730" s="18"/>
      <c r="O730" s="18"/>
      <c r="P730" s="18"/>
      <c r="Q730" s="18"/>
      <c r="R730" s="18">
        <v>10.522500000000001</v>
      </c>
      <c r="S730" s="18">
        <v>3</v>
      </c>
    </row>
    <row r="731" spans="1:19" x14ac:dyDescent="0.25">
      <c r="A731" s="16" t="s">
        <v>1016</v>
      </c>
      <c r="B731" s="18">
        <v>16.47</v>
      </c>
      <c r="C731" s="18">
        <v>4</v>
      </c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>
        <v>16.47</v>
      </c>
      <c r="S731" s="18">
        <v>4</v>
      </c>
    </row>
    <row r="732" spans="1:19" x14ac:dyDescent="0.25">
      <c r="A732" s="16" t="s">
        <v>1018</v>
      </c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>
        <v>9.53125</v>
      </c>
      <c r="M732" s="18">
        <v>3</v>
      </c>
      <c r="N732" s="18"/>
      <c r="O732" s="18"/>
      <c r="P732" s="18"/>
      <c r="Q732" s="18"/>
      <c r="R732" s="18">
        <v>9.53125</v>
      </c>
      <c r="S732" s="18">
        <v>3</v>
      </c>
    </row>
    <row r="733" spans="1:19" x14ac:dyDescent="0.25">
      <c r="A733" s="16" t="s">
        <v>1019</v>
      </c>
      <c r="B733" s="18"/>
      <c r="C733" s="18"/>
      <c r="D733" s="18"/>
      <c r="E733" s="18"/>
      <c r="F733" s="18"/>
      <c r="G733" s="18"/>
      <c r="H733" s="18">
        <v>5.9474999999999998</v>
      </c>
      <c r="I733" s="18">
        <v>1</v>
      </c>
      <c r="J733" s="18"/>
      <c r="K733" s="18"/>
      <c r="L733" s="18"/>
      <c r="M733" s="18"/>
      <c r="N733" s="18"/>
      <c r="O733" s="18"/>
      <c r="P733" s="18"/>
      <c r="Q733" s="18"/>
      <c r="R733" s="18">
        <v>5.9474999999999998</v>
      </c>
      <c r="S733" s="18">
        <v>1</v>
      </c>
    </row>
    <row r="734" spans="1:19" x14ac:dyDescent="0.25">
      <c r="A734" s="16" t="s">
        <v>1020</v>
      </c>
      <c r="B734" s="18">
        <v>5.9474999999999998</v>
      </c>
      <c r="C734" s="18">
        <v>2</v>
      </c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>
        <v>5.9474999999999998</v>
      </c>
      <c r="S734" s="18">
        <v>2</v>
      </c>
    </row>
    <row r="735" spans="1:19" x14ac:dyDescent="0.25">
      <c r="A735" s="16" t="s">
        <v>1021</v>
      </c>
      <c r="B735" s="18">
        <v>8.9212500000000006</v>
      </c>
      <c r="C735" s="18">
        <v>2</v>
      </c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>
        <v>8.9212500000000006</v>
      </c>
      <c r="S735" s="18">
        <v>2</v>
      </c>
    </row>
    <row r="736" spans="1:19" x14ac:dyDescent="0.25">
      <c r="A736" s="16" t="s">
        <v>1022</v>
      </c>
      <c r="B736" s="18">
        <v>4.5750000000000002</v>
      </c>
      <c r="C736" s="18">
        <v>1</v>
      </c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>
        <v>4.5750000000000002</v>
      </c>
      <c r="S736" s="18">
        <v>1</v>
      </c>
    </row>
    <row r="737" spans="1:19" x14ac:dyDescent="0.25">
      <c r="A737" s="16" t="s">
        <v>1023</v>
      </c>
      <c r="B737" s="18">
        <v>2.9737499999999999</v>
      </c>
      <c r="C737" s="18">
        <v>1</v>
      </c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>
        <v>2.9737499999999999</v>
      </c>
      <c r="S737" s="18">
        <v>1</v>
      </c>
    </row>
    <row r="738" spans="1:19" x14ac:dyDescent="0.25">
      <c r="A738" s="16" t="s">
        <v>1024</v>
      </c>
      <c r="B738" s="18">
        <v>8.9212500000000006</v>
      </c>
      <c r="C738" s="18">
        <v>2</v>
      </c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>
        <v>8.9212500000000006</v>
      </c>
      <c r="S738" s="18">
        <v>2</v>
      </c>
    </row>
    <row r="739" spans="1:19" x14ac:dyDescent="0.25">
      <c r="A739" s="16" t="s">
        <v>1025</v>
      </c>
      <c r="B739" s="18">
        <v>7.5487500000000001</v>
      </c>
      <c r="C739" s="18">
        <v>2</v>
      </c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>
        <v>7.5487500000000001</v>
      </c>
      <c r="S739" s="18">
        <v>2</v>
      </c>
    </row>
    <row r="740" spans="1:19" x14ac:dyDescent="0.25">
      <c r="A740" s="16" t="s">
        <v>1026</v>
      </c>
      <c r="B740" s="18">
        <v>5.9474999999999998</v>
      </c>
      <c r="C740" s="18">
        <v>2</v>
      </c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>
        <v>5.9474999999999998</v>
      </c>
      <c r="S740" s="18">
        <v>2</v>
      </c>
    </row>
    <row r="741" spans="1:19" x14ac:dyDescent="0.25">
      <c r="A741" s="16" t="s">
        <v>1027</v>
      </c>
      <c r="B741" s="18"/>
      <c r="C741" s="18"/>
      <c r="D741" s="18"/>
      <c r="E741" s="18"/>
      <c r="F741" s="18"/>
      <c r="G741" s="18"/>
      <c r="H741" s="18">
        <v>5.9474999999999998</v>
      </c>
      <c r="I741" s="18">
        <v>2</v>
      </c>
      <c r="J741" s="18"/>
      <c r="K741" s="18"/>
      <c r="L741" s="18"/>
      <c r="M741" s="18"/>
      <c r="N741" s="18"/>
      <c r="O741" s="18"/>
      <c r="P741" s="18"/>
      <c r="Q741" s="18"/>
      <c r="R741" s="18">
        <v>5.9474999999999998</v>
      </c>
      <c r="S741" s="18">
        <v>2</v>
      </c>
    </row>
    <row r="742" spans="1:19" x14ac:dyDescent="0.25">
      <c r="A742" s="16" t="s">
        <v>1028</v>
      </c>
      <c r="B742" s="18"/>
      <c r="C742" s="18"/>
      <c r="D742" s="18"/>
      <c r="E742" s="18"/>
      <c r="F742" s="18"/>
      <c r="G742" s="18"/>
      <c r="H742" s="18">
        <v>4.5749999999999993</v>
      </c>
      <c r="I742" s="18">
        <v>1</v>
      </c>
      <c r="J742" s="18"/>
      <c r="K742" s="18"/>
      <c r="L742" s="18"/>
      <c r="M742" s="18"/>
      <c r="N742" s="18"/>
      <c r="O742" s="18"/>
      <c r="P742" s="18"/>
      <c r="Q742" s="18"/>
      <c r="R742" s="18">
        <v>4.5749999999999993</v>
      </c>
      <c r="S742" s="18">
        <v>1</v>
      </c>
    </row>
    <row r="743" spans="1:19" x14ac:dyDescent="0.25">
      <c r="A743" s="16" t="s">
        <v>1029</v>
      </c>
      <c r="B743" s="18"/>
      <c r="C743" s="18"/>
      <c r="D743" s="18"/>
      <c r="E743" s="18"/>
      <c r="F743" s="18"/>
      <c r="G743" s="18"/>
      <c r="H743" s="18">
        <v>5.9474999999999998</v>
      </c>
      <c r="I743" s="18">
        <v>1</v>
      </c>
      <c r="J743" s="18"/>
      <c r="K743" s="18"/>
      <c r="L743" s="18"/>
      <c r="M743" s="18"/>
      <c r="N743" s="18"/>
      <c r="O743" s="18"/>
      <c r="P743" s="18"/>
      <c r="Q743" s="18"/>
      <c r="R743" s="18">
        <v>5.9474999999999998</v>
      </c>
      <c r="S743" s="18">
        <v>1</v>
      </c>
    </row>
    <row r="744" spans="1:19" x14ac:dyDescent="0.25">
      <c r="A744" s="16" t="s">
        <v>1030</v>
      </c>
      <c r="B744" s="18"/>
      <c r="C744" s="18"/>
      <c r="D744" s="18"/>
      <c r="E744" s="18"/>
      <c r="F744" s="18"/>
      <c r="G744" s="18"/>
      <c r="H744" s="18">
        <v>5.9474999999999998</v>
      </c>
      <c r="I744" s="18">
        <v>2</v>
      </c>
      <c r="J744" s="18"/>
      <c r="K744" s="18"/>
      <c r="L744" s="18"/>
      <c r="M744" s="18"/>
      <c r="N744" s="18"/>
      <c r="O744" s="18"/>
      <c r="P744" s="18"/>
      <c r="Q744" s="18"/>
      <c r="R744" s="18">
        <v>5.9474999999999998</v>
      </c>
      <c r="S744" s="18">
        <v>2</v>
      </c>
    </row>
    <row r="745" spans="1:19" x14ac:dyDescent="0.25">
      <c r="A745" s="16" t="s">
        <v>1031</v>
      </c>
      <c r="B745" s="18"/>
      <c r="C745" s="18"/>
      <c r="D745" s="18"/>
      <c r="E745" s="18"/>
      <c r="F745" s="18"/>
      <c r="G745" s="18"/>
      <c r="H745" s="18">
        <v>5.9474999999999998</v>
      </c>
      <c r="I745" s="18">
        <v>1</v>
      </c>
      <c r="J745" s="18"/>
      <c r="K745" s="18"/>
      <c r="L745" s="18"/>
      <c r="M745" s="18"/>
      <c r="N745" s="18"/>
      <c r="O745" s="18"/>
      <c r="P745" s="18"/>
      <c r="Q745" s="18"/>
      <c r="R745" s="18">
        <v>5.9474999999999998</v>
      </c>
      <c r="S745" s="18">
        <v>1</v>
      </c>
    </row>
    <row r="746" spans="1:19" x14ac:dyDescent="0.25">
      <c r="A746" s="16" t="s">
        <v>1032</v>
      </c>
      <c r="B746" s="18"/>
      <c r="C746" s="18"/>
      <c r="D746" s="18"/>
      <c r="E746" s="18"/>
      <c r="F746" s="18"/>
      <c r="G746" s="18"/>
      <c r="H746" s="18">
        <v>6.5574999999999992</v>
      </c>
      <c r="I746" s="18">
        <v>2</v>
      </c>
      <c r="J746" s="18"/>
      <c r="K746" s="18"/>
      <c r="L746" s="18"/>
      <c r="M746" s="18"/>
      <c r="N746" s="18"/>
      <c r="O746" s="18"/>
      <c r="P746" s="18"/>
      <c r="Q746" s="18"/>
      <c r="R746" s="18">
        <v>6.5574999999999992</v>
      </c>
      <c r="S746" s="18">
        <v>2</v>
      </c>
    </row>
    <row r="747" spans="1:19" x14ac:dyDescent="0.25">
      <c r="A747" s="16" t="s">
        <v>1033</v>
      </c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>
        <v>4.5750000000000002</v>
      </c>
      <c r="M747" s="18">
        <v>1</v>
      </c>
      <c r="N747" s="18"/>
      <c r="O747" s="18"/>
      <c r="P747" s="18"/>
      <c r="Q747" s="18"/>
      <c r="R747" s="18">
        <v>4.5750000000000002</v>
      </c>
      <c r="S747" s="18">
        <v>1</v>
      </c>
    </row>
    <row r="748" spans="1:19" x14ac:dyDescent="0.25">
      <c r="A748" s="16" t="s">
        <v>1034</v>
      </c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>
        <v>3.05</v>
      </c>
      <c r="M748" s="18">
        <v>1</v>
      </c>
      <c r="N748" s="18"/>
      <c r="O748" s="18"/>
      <c r="P748" s="18"/>
      <c r="Q748" s="18"/>
      <c r="R748" s="18">
        <v>3.05</v>
      </c>
      <c r="S748" s="18">
        <v>1</v>
      </c>
    </row>
    <row r="749" spans="1:19" x14ac:dyDescent="0.25">
      <c r="A749" s="16" t="s">
        <v>1035</v>
      </c>
      <c r="B749" s="18">
        <v>10.522500000000001</v>
      </c>
      <c r="C749" s="18">
        <v>3</v>
      </c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>
        <v>10.522500000000001</v>
      </c>
      <c r="S749" s="18">
        <v>3</v>
      </c>
    </row>
    <row r="750" spans="1:19" x14ac:dyDescent="0.25">
      <c r="A750" s="16" t="s">
        <v>1036</v>
      </c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>
        <v>6.1</v>
      </c>
      <c r="M750" s="18">
        <v>2</v>
      </c>
      <c r="N750" s="18"/>
      <c r="O750" s="18"/>
      <c r="P750" s="18"/>
      <c r="Q750" s="18"/>
      <c r="R750" s="18">
        <v>6.1</v>
      </c>
      <c r="S750" s="18">
        <v>2</v>
      </c>
    </row>
    <row r="751" spans="1:19" x14ac:dyDescent="0.25">
      <c r="A751" s="16" t="s">
        <v>1037</v>
      </c>
      <c r="B751" s="18"/>
      <c r="C751" s="18"/>
      <c r="D751" s="18"/>
      <c r="E751" s="18"/>
      <c r="F751" s="18"/>
      <c r="G751" s="18"/>
      <c r="H751" s="18">
        <v>6.5574999999999992</v>
      </c>
      <c r="I751" s="18">
        <v>2</v>
      </c>
      <c r="J751" s="18"/>
      <c r="K751" s="18"/>
      <c r="L751" s="18"/>
      <c r="M751" s="18"/>
      <c r="N751" s="18"/>
      <c r="O751" s="18"/>
      <c r="P751" s="18"/>
      <c r="Q751" s="18"/>
      <c r="R751" s="18">
        <v>6.5574999999999992</v>
      </c>
      <c r="S751" s="18">
        <v>2</v>
      </c>
    </row>
    <row r="752" spans="1:19" x14ac:dyDescent="0.25">
      <c r="A752" s="16" t="s">
        <v>1038</v>
      </c>
      <c r="B752" s="18">
        <v>2.9737499999999999</v>
      </c>
      <c r="C752" s="18">
        <v>1</v>
      </c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>
        <v>2.9737499999999999</v>
      </c>
      <c r="S752" s="18">
        <v>1</v>
      </c>
    </row>
    <row r="753" spans="1:19" x14ac:dyDescent="0.25">
      <c r="A753" s="16" t="s">
        <v>1039</v>
      </c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>
        <v>4.5749999999999993</v>
      </c>
      <c r="M753" s="18">
        <v>1</v>
      </c>
      <c r="N753" s="18"/>
      <c r="O753" s="18"/>
      <c r="P753" s="18"/>
      <c r="Q753" s="18"/>
      <c r="R753" s="18">
        <v>4.5749999999999993</v>
      </c>
      <c r="S753" s="18">
        <v>1</v>
      </c>
    </row>
    <row r="754" spans="1:19" x14ac:dyDescent="0.25">
      <c r="A754" s="16" t="s">
        <v>1040</v>
      </c>
      <c r="B754" s="18">
        <v>5.9474999999999998</v>
      </c>
      <c r="C754" s="18">
        <v>1</v>
      </c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>
        <v>5.9474999999999998</v>
      </c>
      <c r="S754" s="18">
        <v>1</v>
      </c>
    </row>
    <row r="755" spans="1:19" x14ac:dyDescent="0.25">
      <c r="A755" s="16" t="s">
        <v>1041</v>
      </c>
      <c r="B755" s="18">
        <v>5.9474999999999998</v>
      </c>
      <c r="C755" s="18">
        <v>1</v>
      </c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>
        <v>5.9474999999999998</v>
      </c>
      <c r="S755" s="18">
        <v>1</v>
      </c>
    </row>
    <row r="756" spans="1:19" x14ac:dyDescent="0.25">
      <c r="A756" s="16">
        <v>3372</v>
      </c>
      <c r="B756" s="18">
        <v>4.5750000000000002</v>
      </c>
      <c r="C756" s="18">
        <v>1</v>
      </c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>
        <v>4.5750000000000002</v>
      </c>
      <c r="S756" s="18">
        <v>1</v>
      </c>
    </row>
    <row r="757" spans="1:19" x14ac:dyDescent="0.25">
      <c r="A757" s="16" t="s">
        <v>1081</v>
      </c>
      <c r="B757" s="18"/>
      <c r="C757" s="18"/>
      <c r="D757" s="18" t="e">
        <v>#N/A</v>
      </c>
      <c r="E757" s="18">
        <v>2</v>
      </c>
      <c r="F757" s="18"/>
      <c r="G757" s="18"/>
      <c r="H757" s="18"/>
      <c r="I757" s="18"/>
      <c r="J757" s="18"/>
      <c r="K757" s="18"/>
      <c r="L757" s="18" t="e">
        <v>#N/A</v>
      </c>
      <c r="M757" s="18">
        <v>16</v>
      </c>
      <c r="N757" s="18"/>
      <c r="O757" s="18"/>
      <c r="P757" s="18"/>
      <c r="Q757" s="18"/>
      <c r="R757" s="18" t="e">
        <v>#N/A</v>
      </c>
      <c r="S757" s="18" t="e">
        <v>#N/A</v>
      </c>
    </row>
    <row r="758" spans="1:19" x14ac:dyDescent="0.25">
      <c r="A758" s="16" t="s">
        <v>1082</v>
      </c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>
        <v>3.5</v>
      </c>
      <c r="M758" s="18">
        <v>1</v>
      </c>
      <c r="N758" s="18"/>
      <c r="O758" s="18"/>
      <c r="P758" s="18"/>
      <c r="Q758" s="18"/>
      <c r="R758" s="18">
        <v>3.5</v>
      </c>
      <c r="S758" s="18">
        <v>1</v>
      </c>
    </row>
    <row r="759" spans="1:19" x14ac:dyDescent="0.25">
      <c r="A759" s="16" t="s">
        <v>1085</v>
      </c>
      <c r="B759" s="18" t="e">
        <v>#N/A</v>
      </c>
      <c r="C759" s="18">
        <v>9</v>
      </c>
      <c r="D759" s="18" t="e">
        <v>#N/A</v>
      </c>
      <c r="E759" s="18">
        <v>6</v>
      </c>
      <c r="F759" s="18"/>
      <c r="G759" s="18"/>
      <c r="H759" s="18"/>
      <c r="I759" s="18"/>
      <c r="J759" s="18"/>
      <c r="K759" s="18"/>
      <c r="L759" s="18" t="e">
        <v>#N/A</v>
      </c>
      <c r="M759" s="18">
        <v>7</v>
      </c>
      <c r="N759" s="18"/>
      <c r="O759" s="18"/>
      <c r="P759" s="18"/>
      <c r="Q759" s="18"/>
      <c r="R759" s="18" t="e">
        <v>#N/A</v>
      </c>
      <c r="S759" s="18" t="e">
        <v>#N/A</v>
      </c>
    </row>
    <row r="760" spans="1:19" x14ac:dyDescent="0.25">
      <c r="A760" s="16" t="s">
        <v>1086</v>
      </c>
      <c r="B760" s="18" t="e">
        <v>#N/A</v>
      </c>
      <c r="C760" s="18">
        <v>12</v>
      </c>
      <c r="D760" s="18" t="e">
        <v>#N/A</v>
      </c>
      <c r="E760" s="18">
        <v>2</v>
      </c>
      <c r="F760" s="18"/>
      <c r="G760" s="18"/>
      <c r="H760" s="18"/>
      <c r="I760" s="18"/>
      <c r="J760" s="18"/>
      <c r="K760" s="18"/>
      <c r="L760" s="18" t="e">
        <v>#N/A</v>
      </c>
      <c r="M760" s="18">
        <v>5</v>
      </c>
      <c r="N760" s="18"/>
      <c r="O760" s="18"/>
      <c r="P760" s="18"/>
      <c r="Q760" s="18"/>
      <c r="R760" s="18" t="e">
        <v>#N/A</v>
      </c>
      <c r="S760" s="18" t="e">
        <v>#N/A</v>
      </c>
    </row>
    <row r="761" spans="1:19" x14ac:dyDescent="0.25">
      <c r="A761" s="16" t="s">
        <v>1088</v>
      </c>
      <c r="B761" s="18" t="e">
        <v>#N/A</v>
      </c>
      <c r="C761" s="18">
        <v>17</v>
      </c>
      <c r="D761" s="18"/>
      <c r="E761" s="18"/>
      <c r="F761" s="18"/>
      <c r="G761" s="18"/>
      <c r="H761" s="18"/>
      <c r="I761" s="18"/>
      <c r="J761" s="18"/>
      <c r="K761" s="18"/>
      <c r="L761" s="18" t="e">
        <v>#N/A</v>
      </c>
      <c r="M761" s="18">
        <v>1</v>
      </c>
      <c r="N761" s="18"/>
      <c r="O761" s="18"/>
      <c r="P761" s="18"/>
      <c r="Q761" s="18"/>
      <c r="R761" s="18" t="e">
        <v>#N/A</v>
      </c>
      <c r="S761" s="18" t="e">
        <v>#N/A</v>
      </c>
    </row>
    <row r="762" spans="1:19" x14ac:dyDescent="0.25">
      <c r="A762" s="16" t="s">
        <v>1091</v>
      </c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 t="e">
        <v>#N/A</v>
      </c>
      <c r="M762" s="18">
        <v>22</v>
      </c>
      <c r="N762" s="18"/>
      <c r="O762" s="18"/>
      <c r="P762" s="18"/>
      <c r="Q762" s="18"/>
      <c r="R762" s="18" t="e">
        <v>#N/A</v>
      </c>
      <c r="S762" s="18" t="e">
        <v>#N/A</v>
      </c>
    </row>
    <row r="763" spans="1:19" x14ac:dyDescent="0.25">
      <c r="A763" s="16" t="s">
        <v>752</v>
      </c>
      <c r="B763" s="18" t="e">
        <v>#N/A</v>
      </c>
      <c r="C763" s="18" t="e">
        <v>#N/A</v>
      </c>
      <c r="D763" s="18" t="e">
        <v>#N/A</v>
      </c>
      <c r="E763" s="18" t="e">
        <v>#N/A</v>
      </c>
      <c r="F763" s="18">
        <v>184.76625000000001</v>
      </c>
      <c r="G763" s="18">
        <v>41</v>
      </c>
      <c r="H763" s="18">
        <v>1480.6253520769628</v>
      </c>
      <c r="I763" s="18">
        <v>345</v>
      </c>
      <c r="J763" s="18">
        <v>530.30293244977975</v>
      </c>
      <c r="K763" s="18">
        <v>109</v>
      </c>
      <c r="L763" s="18" t="e">
        <v>#N/A</v>
      </c>
      <c r="M763" s="18" t="e">
        <v>#N/A</v>
      </c>
      <c r="N763" s="18">
        <v>238.94499999999999</v>
      </c>
      <c r="O763" s="18">
        <v>54</v>
      </c>
      <c r="P763" s="18">
        <v>17.842500000000001</v>
      </c>
      <c r="Q763" s="18">
        <v>4</v>
      </c>
      <c r="R763" s="18" t="e">
        <v>#N/A</v>
      </c>
      <c r="S763" s="18" t="e">
        <v>#N/A</v>
      </c>
    </row>
    <row r="764" spans="1:19" x14ac:dyDescent="0.25">
      <c r="C764"/>
      <c r="E764"/>
      <c r="G764"/>
      <c r="I764"/>
      <c r="K764"/>
    </row>
    <row r="765" spans="1:19" x14ac:dyDescent="0.25">
      <c r="C765"/>
      <c r="E765"/>
      <c r="G765"/>
      <c r="I765"/>
      <c r="K765"/>
    </row>
    <row r="766" spans="1:19" x14ac:dyDescent="0.25">
      <c r="C766"/>
      <c r="E766"/>
      <c r="G766"/>
      <c r="I766"/>
      <c r="K766"/>
    </row>
    <row r="767" spans="1:19" x14ac:dyDescent="0.25">
      <c r="C767"/>
      <c r="E767"/>
      <c r="G767"/>
      <c r="I767"/>
      <c r="K767"/>
    </row>
    <row r="768" spans="1:19" x14ac:dyDescent="0.25">
      <c r="C768"/>
      <c r="E768"/>
      <c r="G768"/>
      <c r="I768"/>
      <c r="K768"/>
    </row>
    <row r="769" spans="3:11" x14ac:dyDescent="0.25">
      <c r="C769"/>
      <c r="E769"/>
      <c r="G769"/>
      <c r="I769"/>
      <c r="K769"/>
    </row>
    <row r="770" spans="3:11" x14ac:dyDescent="0.25">
      <c r="C770"/>
      <c r="E770"/>
      <c r="G770"/>
      <c r="I770"/>
      <c r="K770"/>
    </row>
    <row r="771" spans="3:11" x14ac:dyDescent="0.25">
      <c r="C771"/>
      <c r="E771"/>
      <c r="G771"/>
      <c r="I771"/>
      <c r="K771"/>
    </row>
    <row r="772" spans="3:11" x14ac:dyDescent="0.25">
      <c r="C772"/>
      <c r="E772"/>
      <c r="G772"/>
      <c r="I772"/>
      <c r="K772"/>
    </row>
    <row r="773" spans="3:11" x14ac:dyDescent="0.25">
      <c r="C773"/>
      <c r="E773"/>
      <c r="G773"/>
      <c r="I773"/>
      <c r="K773"/>
    </row>
    <row r="774" spans="3:11" x14ac:dyDescent="0.25">
      <c r="C774"/>
      <c r="E774"/>
      <c r="G774"/>
      <c r="I774"/>
      <c r="K774"/>
    </row>
    <row r="775" spans="3:11" x14ac:dyDescent="0.25">
      <c r="C775"/>
      <c r="E775"/>
      <c r="G775"/>
      <c r="I775"/>
      <c r="K775"/>
    </row>
    <row r="776" spans="3:11" x14ac:dyDescent="0.25">
      <c r="C776"/>
      <c r="E776"/>
      <c r="G776"/>
      <c r="I776"/>
      <c r="K776"/>
    </row>
    <row r="777" spans="3:11" x14ac:dyDescent="0.25">
      <c r="C777"/>
      <c r="E777"/>
      <c r="G777"/>
      <c r="I777"/>
      <c r="K777"/>
    </row>
    <row r="778" spans="3:11" x14ac:dyDescent="0.25">
      <c r="C778"/>
      <c r="E778"/>
      <c r="G778"/>
      <c r="I778"/>
      <c r="K778"/>
    </row>
    <row r="779" spans="3:11" x14ac:dyDescent="0.25">
      <c r="C779"/>
      <c r="E779"/>
      <c r="G779"/>
      <c r="I779"/>
      <c r="K779"/>
    </row>
    <row r="780" spans="3:11" x14ac:dyDescent="0.25">
      <c r="C780"/>
      <c r="E780"/>
      <c r="G780"/>
      <c r="I780"/>
      <c r="K780"/>
    </row>
    <row r="781" spans="3:11" x14ac:dyDescent="0.25">
      <c r="C781"/>
      <c r="E781"/>
      <c r="G781"/>
      <c r="I781"/>
      <c r="K781"/>
    </row>
    <row r="782" spans="3:11" x14ac:dyDescent="0.25">
      <c r="C782"/>
      <c r="E782"/>
      <c r="G782"/>
      <c r="I782"/>
      <c r="K782"/>
    </row>
    <row r="783" spans="3:11" x14ac:dyDescent="0.25">
      <c r="C783"/>
      <c r="E783"/>
      <c r="G783"/>
      <c r="I783"/>
      <c r="K783"/>
    </row>
    <row r="784" spans="3:11" x14ac:dyDescent="0.25">
      <c r="C784"/>
      <c r="E784"/>
      <c r="G784"/>
      <c r="I784"/>
      <c r="K784"/>
    </row>
    <row r="785" spans="3:11" x14ac:dyDescent="0.25">
      <c r="C785"/>
      <c r="E785"/>
      <c r="G785"/>
      <c r="I785"/>
      <c r="K785"/>
    </row>
    <row r="786" spans="3:11" x14ac:dyDescent="0.25">
      <c r="C786"/>
      <c r="E786"/>
      <c r="G786"/>
      <c r="I786"/>
      <c r="K786"/>
    </row>
    <row r="787" spans="3:11" x14ac:dyDescent="0.25">
      <c r="C787"/>
      <c r="E787"/>
      <c r="G787"/>
      <c r="I787"/>
      <c r="K787"/>
    </row>
    <row r="788" spans="3:11" x14ac:dyDescent="0.25">
      <c r="C788"/>
      <c r="E788"/>
      <c r="G788"/>
      <c r="I788"/>
      <c r="K788"/>
    </row>
    <row r="789" spans="3:11" x14ac:dyDescent="0.25">
      <c r="C789"/>
      <c r="E789"/>
      <c r="G789"/>
      <c r="I789"/>
      <c r="K789"/>
    </row>
    <row r="790" spans="3:11" x14ac:dyDescent="0.25">
      <c r="C790"/>
      <c r="E790"/>
      <c r="G790"/>
      <c r="I790"/>
      <c r="K790"/>
    </row>
    <row r="791" spans="3:11" x14ac:dyDescent="0.25">
      <c r="C791"/>
      <c r="E791"/>
      <c r="G791"/>
      <c r="I791"/>
      <c r="K791"/>
    </row>
    <row r="792" spans="3:11" x14ac:dyDescent="0.25">
      <c r="C792"/>
      <c r="E792"/>
      <c r="G792"/>
      <c r="I792"/>
      <c r="K792"/>
    </row>
    <row r="793" spans="3:11" x14ac:dyDescent="0.25">
      <c r="C793"/>
      <c r="E793"/>
      <c r="G793"/>
      <c r="I793"/>
      <c r="K793"/>
    </row>
    <row r="794" spans="3:11" x14ac:dyDescent="0.25">
      <c r="C794"/>
      <c r="E794"/>
      <c r="G794"/>
      <c r="I794"/>
      <c r="K794"/>
    </row>
    <row r="795" spans="3:11" x14ac:dyDescent="0.25">
      <c r="C795"/>
      <c r="E795"/>
      <c r="G795"/>
      <c r="I795"/>
      <c r="K795"/>
    </row>
    <row r="796" spans="3:11" x14ac:dyDescent="0.25">
      <c r="C796"/>
      <c r="E796"/>
      <c r="G796"/>
      <c r="I796"/>
      <c r="K796"/>
    </row>
    <row r="797" spans="3:11" x14ac:dyDescent="0.25">
      <c r="C797"/>
      <c r="E797"/>
      <c r="G797"/>
      <c r="I797"/>
      <c r="K797"/>
    </row>
    <row r="798" spans="3:11" x14ac:dyDescent="0.25">
      <c r="C798"/>
      <c r="E798"/>
      <c r="G798"/>
      <c r="I798"/>
      <c r="K798"/>
    </row>
    <row r="799" spans="3:11" x14ac:dyDescent="0.25">
      <c r="C799"/>
      <c r="E799"/>
      <c r="G799"/>
      <c r="I799"/>
      <c r="K799"/>
    </row>
    <row r="800" spans="3:11" x14ac:dyDescent="0.25">
      <c r="C800"/>
      <c r="E800"/>
      <c r="G800"/>
      <c r="I800"/>
      <c r="K800"/>
    </row>
    <row r="801" spans="3:11" x14ac:dyDescent="0.25">
      <c r="C801"/>
      <c r="E801"/>
      <c r="G801"/>
      <c r="I801"/>
      <c r="K801"/>
    </row>
    <row r="802" spans="3:11" x14ac:dyDescent="0.25">
      <c r="C802"/>
      <c r="E802"/>
      <c r="G802"/>
      <c r="I802"/>
      <c r="K802"/>
    </row>
    <row r="803" spans="3:11" x14ac:dyDescent="0.25">
      <c r="C803"/>
      <c r="E803"/>
      <c r="G803"/>
      <c r="I803"/>
      <c r="K803"/>
    </row>
    <row r="804" spans="3:11" x14ac:dyDescent="0.25">
      <c r="C804"/>
      <c r="E804"/>
      <c r="G804"/>
      <c r="I804"/>
      <c r="K804"/>
    </row>
    <row r="805" spans="3:11" x14ac:dyDescent="0.25">
      <c r="C805"/>
      <c r="E805"/>
      <c r="G805"/>
      <c r="I805"/>
      <c r="K805"/>
    </row>
    <row r="806" spans="3:11" x14ac:dyDescent="0.25">
      <c r="C806"/>
      <c r="E806"/>
      <c r="G806"/>
      <c r="I806"/>
      <c r="K806"/>
    </row>
  </sheetData>
  <customSheetViews>
    <customSheetView guid="{561E68F6-21E3-461A-ACB1-9392AEDA3331}" scale="85">
      <pane xSplit="1" ySplit="7" topLeftCell="B523" activePane="bottomRight" state="frozen"/>
      <selection pane="bottomRight" activeCell="E555" sqref="E555"/>
      <pageMargins left="0.7" right="0.7" top="0.75" bottom="0.75" header="0.3" footer="0.3"/>
      <pageSetup paperSize="9" orientation="portrait" verticalDpi="0" r:id="rId2"/>
    </customSheetView>
    <customSheetView guid="{2A8AA8A9-D849-43BE-B128-2DCE8081808F}">
      <pageMargins left="0.7" right="0.7" top="0.75" bottom="0.75" header="0.3" footer="0.3"/>
      <pageSetup paperSize="9" orientation="portrait" verticalDpi="0" r:id="rId3"/>
    </customSheetView>
    <customSheetView guid="{E07775A8-4E8E-4F0F-ABD4-8C1611285DFF}" scale="130">
      <pane xSplit="1" ySplit="7" topLeftCell="H8" activePane="bottomRight" state="frozen"/>
      <selection pane="bottomRight" activeCell="J13" sqref="J13"/>
      <pageMargins left="0.7" right="0.7" top="0.75" bottom="0.75" header="0.3" footer="0.3"/>
      <pageSetup paperSize="9" orientation="portrait" verticalDpi="0" r:id="rId4"/>
    </customSheetView>
  </customSheetViews>
  <pageMargins left="0.7" right="0.7" top="0.75" bottom="0.75" header="0.3" footer="0.3"/>
  <pageSetup paperSize="9" orientation="portrait" verticalDpi="0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3371"/>
  <sheetViews>
    <sheetView zoomScale="70" workbookViewId="0">
      <pane xSplit="4" ySplit="19" topLeftCell="H1979" activePane="bottomRight" state="frozen"/>
      <selection activeCell="A17" sqref="A17"/>
      <selection pane="topRight" activeCell="E17" sqref="E17"/>
      <selection pane="bottomLeft" activeCell="A20" sqref="A20"/>
      <selection pane="bottomRight" activeCell="O1984" sqref="O1984"/>
    </sheetView>
  </sheetViews>
  <sheetFormatPr defaultRowHeight="15" x14ac:dyDescent="0.25"/>
  <cols>
    <col min="1" max="1" width="39" customWidth="1"/>
    <col min="2" max="2" width="6" bestFit="1" customWidth="1"/>
    <col min="3" max="3" width="27.5703125" customWidth="1"/>
    <col min="4" max="4" width="43" bestFit="1" customWidth="1"/>
    <col min="5" max="5" width="83.140625" customWidth="1"/>
    <col min="6" max="6" width="19.7109375" customWidth="1"/>
    <col min="13" max="13" width="13.5703125" customWidth="1"/>
  </cols>
  <sheetData>
    <row r="1" spans="1:14" x14ac:dyDescent="0.25">
      <c r="A1" t="s">
        <v>705</v>
      </c>
      <c r="B1">
        <f ca="1">+COUNTA(INDIRECT("'"&amp;A1&amp;"'!C:C"))</f>
        <v>395</v>
      </c>
    </row>
    <row r="2" spans="1:14" x14ac:dyDescent="0.25">
      <c r="A2" t="s">
        <v>706</v>
      </c>
      <c r="B2">
        <f t="shared" ref="B2:B15" ca="1" si="0">+COUNTA(INDIRECT("'"&amp;A2&amp;"'!C:C"))</f>
        <v>707</v>
      </c>
      <c r="H2" t="s">
        <v>719</v>
      </c>
      <c r="I2" t="s">
        <v>720</v>
      </c>
    </row>
    <row r="3" spans="1:14" x14ac:dyDescent="0.25">
      <c r="A3" t="s">
        <v>707</v>
      </c>
      <c r="B3">
        <f t="shared" ca="1" si="0"/>
        <v>311</v>
      </c>
      <c r="G3" t="s">
        <v>726</v>
      </c>
      <c r="H3">
        <v>1</v>
      </c>
      <c r="I3">
        <v>0</v>
      </c>
      <c r="K3" s="9">
        <f>+ATAN2(H3,I3)</f>
        <v>0</v>
      </c>
      <c r="L3">
        <f>+DEGREES(K3)</f>
        <v>0</v>
      </c>
      <c r="N3" s="9" t="str">
        <f>+IF(J3&gt;=COS(PI()/8),"N",IF(AND(COS(PI()*3/8)&lt;=J3&lt;COS(PI()/8)),K3&gt;0,"NO"))</f>
        <v>NO</v>
      </c>
    </row>
    <row r="4" spans="1:14" x14ac:dyDescent="0.25">
      <c r="A4" t="s">
        <v>708</v>
      </c>
      <c r="B4">
        <f t="shared" ca="1" si="0"/>
        <v>285</v>
      </c>
      <c r="G4" t="s">
        <v>727</v>
      </c>
      <c r="H4">
        <v>1</v>
      </c>
      <c r="I4">
        <v>-1</v>
      </c>
      <c r="K4" s="9">
        <f t="shared" ref="K4:K10" si="1">+ATAN2(H4,I4)</f>
        <v>-0.78539816339744828</v>
      </c>
      <c r="L4">
        <f t="shared" ref="L4:L10" si="2">+DEGREES(K4)</f>
        <v>-45</v>
      </c>
    </row>
    <row r="5" spans="1:14" x14ac:dyDescent="0.25">
      <c r="A5" t="s">
        <v>709</v>
      </c>
      <c r="B5">
        <f t="shared" ca="1" si="0"/>
        <v>695</v>
      </c>
      <c r="G5" t="s">
        <v>728</v>
      </c>
      <c r="H5">
        <v>0</v>
      </c>
      <c r="I5">
        <v>-1</v>
      </c>
      <c r="K5" s="9">
        <f t="shared" si="1"/>
        <v>-1.5707963267948966</v>
      </c>
      <c r="L5">
        <f t="shared" si="2"/>
        <v>-90</v>
      </c>
    </row>
    <row r="6" spans="1:14" x14ac:dyDescent="0.25">
      <c r="A6" t="s">
        <v>710</v>
      </c>
      <c r="B6">
        <f t="shared" ca="1" si="0"/>
        <v>1</v>
      </c>
      <c r="G6" t="s">
        <v>729</v>
      </c>
      <c r="H6">
        <v>-1</v>
      </c>
      <c r="I6">
        <v>-1</v>
      </c>
      <c r="K6" s="9">
        <f t="shared" si="1"/>
        <v>-2.3561944901923448</v>
      </c>
      <c r="L6">
        <f t="shared" si="2"/>
        <v>-135</v>
      </c>
    </row>
    <row r="7" spans="1:14" x14ac:dyDescent="0.25">
      <c r="A7" t="s">
        <v>711</v>
      </c>
      <c r="B7">
        <f t="shared" ca="1" si="0"/>
        <v>1</v>
      </c>
      <c r="G7" t="s">
        <v>722</v>
      </c>
      <c r="H7">
        <v>-1</v>
      </c>
      <c r="I7">
        <v>0</v>
      </c>
      <c r="K7" s="9">
        <f t="shared" si="1"/>
        <v>3.1415926535897931</v>
      </c>
      <c r="L7">
        <f t="shared" si="2"/>
        <v>180</v>
      </c>
    </row>
    <row r="8" spans="1:14" x14ac:dyDescent="0.25">
      <c r="A8" t="s">
        <v>712</v>
      </c>
      <c r="B8">
        <f t="shared" ca="1" si="0"/>
        <v>1</v>
      </c>
      <c r="G8" t="s">
        <v>768</v>
      </c>
      <c r="H8">
        <v>-1</v>
      </c>
      <c r="I8">
        <v>1</v>
      </c>
      <c r="K8" s="9">
        <f t="shared" si="1"/>
        <v>2.3561944901923448</v>
      </c>
      <c r="L8">
        <f t="shared" si="2"/>
        <v>135</v>
      </c>
    </row>
    <row r="9" spans="1:14" x14ac:dyDescent="0.25">
      <c r="A9" t="s">
        <v>713</v>
      </c>
      <c r="B9">
        <f t="shared" ca="1" si="0"/>
        <v>1</v>
      </c>
      <c r="G9" t="s">
        <v>769</v>
      </c>
      <c r="H9">
        <v>0</v>
      </c>
      <c r="I9">
        <v>1</v>
      </c>
      <c r="K9" s="9">
        <f t="shared" si="1"/>
        <v>1.5707963267948966</v>
      </c>
      <c r="L9">
        <f t="shared" si="2"/>
        <v>90</v>
      </c>
    </row>
    <row r="10" spans="1:14" x14ac:dyDescent="0.25">
      <c r="A10" t="s">
        <v>714</v>
      </c>
      <c r="B10">
        <f t="shared" ca="1" si="0"/>
        <v>26</v>
      </c>
      <c r="G10" t="s">
        <v>770</v>
      </c>
      <c r="H10">
        <v>1</v>
      </c>
      <c r="I10">
        <v>1</v>
      </c>
      <c r="K10" s="9">
        <f t="shared" si="1"/>
        <v>0.78539816339744828</v>
      </c>
      <c r="L10">
        <f t="shared" si="2"/>
        <v>45</v>
      </c>
    </row>
    <row r="11" spans="1:14" x14ac:dyDescent="0.25">
      <c r="A11" t="s">
        <v>715</v>
      </c>
      <c r="B11">
        <f t="shared" ca="1" si="0"/>
        <v>10</v>
      </c>
    </row>
    <row r="12" spans="1:14" x14ac:dyDescent="0.25">
      <c r="A12" t="s">
        <v>1042</v>
      </c>
      <c r="B12">
        <f t="shared" ca="1" si="0"/>
        <v>84</v>
      </c>
      <c r="F12">
        <f>+DEGREES(PI()/8)</f>
        <v>22.5</v>
      </c>
    </row>
    <row r="13" spans="1:14" x14ac:dyDescent="0.25">
      <c r="A13" t="s">
        <v>1043</v>
      </c>
      <c r="B13">
        <f t="shared" ca="1" si="0"/>
        <v>70</v>
      </c>
    </row>
    <row r="14" spans="1:14" x14ac:dyDescent="0.25">
      <c r="A14" t="s">
        <v>1044</v>
      </c>
      <c r="B14">
        <f t="shared" ca="1" si="0"/>
        <v>173</v>
      </c>
    </row>
    <row r="15" spans="1:14" x14ac:dyDescent="0.25">
      <c r="A15" t="s">
        <v>1045</v>
      </c>
      <c r="B15">
        <f t="shared" ca="1" si="0"/>
        <v>155</v>
      </c>
    </row>
    <row r="17" spans="1:22" s="1" customFormat="1" ht="57.75" thickBot="1" x14ac:dyDescent="0.5">
      <c r="D17" s="2" t="s">
        <v>716</v>
      </c>
      <c r="E17" s="2" t="s">
        <v>717</v>
      </c>
      <c r="F17" s="3" t="s">
        <v>718</v>
      </c>
      <c r="G17" s="3" t="s">
        <v>719</v>
      </c>
      <c r="H17" s="3" t="s">
        <v>720</v>
      </c>
      <c r="I17" s="3" t="s">
        <v>721</v>
      </c>
      <c r="J17" s="4" t="s">
        <v>749</v>
      </c>
      <c r="K17" s="5" t="s">
        <v>750</v>
      </c>
      <c r="L17" s="12" t="s">
        <v>0</v>
      </c>
      <c r="M17" s="1" t="s">
        <v>800</v>
      </c>
    </row>
    <row r="18" spans="1:22" ht="15.75" thickBot="1" x14ac:dyDescent="0.3">
      <c r="D18" s="6"/>
      <c r="J18" s="8"/>
      <c r="K18" s="9"/>
      <c r="O18" s="19"/>
      <c r="P18" s="7"/>
    </row>
    <row r="19" spans="1:22" ht="15.75" thickBot="1" x14ac:dyDescent="0.3">
      <c r="A19">
        <v>1</v>
      </c>
      <c r="B19">
        <v>2</v>
      </c>
      <c r="D19" s="6"/>
      <c r="J19" s="8"/>
      <c r="K19" s="9"/>
      <c r="O19" s="19"/>
      <c r="P19" s="7"/>
      <c r="T19" t="s">
        <v>883</v>
      </c>
    </row>
    <row r="20" spans="1:22" x14ac:dyDescent="0.25">
      <c r="A20">
        <f t="shared" ref="A20:A83" ca="1" si="3">+IF(B19&lt;=VLOOKUP(MID(C20,2,26),TABS,2,FALSE),A19,+A19+1)</f>
        <v>1</v>
      </c>
      <c r="B20">
        <f t="shared" ref="B20:B83" ca="1" si="4">+IF(B19&lt;=VLOOKUP(MID(C20,2,26),TABS,2,FALSE),B19+1,1)</f>
        <v>3</v>
      </c>
      <c r="C20" t="str">
        <f ca="1">+"'"&amp;INDIRECT("a"&amp;A19)&amp;"'!B"&amp;B19</f>
        <v>'WINDOWS-NCH-A-BDP-M3-LG-00'!B2</v>
      </c>
      <c r="D20" s="6" t="str">
        <f t="shared" ref="D20:D51" ca="1" si="5">+IF(IFERROR(FIND("Family",E20)&gt;0,FALSE),D19,E20)</f>
        <v>LG-OPD-C1W-S115-55</v>
      </c>
      <c r="E20" t="str">
        <f ca="1">+OFFSET(INDIRECT(C20),0,0)</f>
        <v>LG-OPD-C1W-S115-55</v>
      </c>
      <c r="F20">
        <f t="shared" ref="F20" ca="1" si="6">+OFFSET(INDIRECT(C20),0,1)</f>
        <v>1566939</v>
      </c>
      <c r="J20" s="8"/>
      <c r="K20" s="9"/>
      <c r="O20" s="22">
        <f t="shared" ref="O20:O26" si="7">O21-22.5</f>
        <v>-180</v>
      </c>
      <c r="P20" s="7" t="s">
        <v>724</v>
      </c>
      <c r="T20" s="22">
        <f t="shared" ref="T20:T26" si="8">T21-22.5</f>
        <v>-180</v>
      </c>
      <c r="U20" s="7" t="s">
        <v>722</v>
      </c>
      <c r="V20" t="s">
        <v>724</v>
      </c>
    </row>
    <row r="21" spans="1:22" x14ac:dyDescent="0.25">
      <c r="A21">
        <f t="shared" ca="1" si="3"/>
        <v>1</v>
      </c>
      <c r="B21">
        <f t="shared" ca="1" si="4"/>
        <v>4</v>
      </c>
      <c r="C21" t="str">
        <f ca="1">+"'"&amp;INDIRECT("a"&amp;A20)&amp;"'!B"&amp;B20</f>
        <v>'WINDOWS-NCH-A-BDP-M3-LG-00'!B3</v>
      </c>
      <c r="D21" s="6" t="str">
        <f t="shared" ca="1" si="5"/>
        <v>LG-OPD-C1W-S115-55</v>
      </c>
      <c r="E21" t="str">
        <f t="shared" ref="E21:E83" ca="1" si="9">+OFFSET(INDIRECT(C21),0,0)</f>
        <v>Family Type: 1950w x 3050h, Family: Window External Type 1 - Recessed</v>
      </c>
      <c r="F21" t="str">
        <f ca="1">+OFFSET(INDIRECT(C21),0,1)</f>
        <v>Vector(X = -0.212, Y = 0.977, Z = 0.000, Length = 1.000)</v>
      </c>
      <c r="G21">
        <f ca="1">+OFFSET(INDIRECT(C21),0,2)</f>
        <v>-0.2</v>
      </c>
      <c r="H21">
        <f ca="1">+OFFSET(INDIRECT(C21),0,3)</f>
        <v>1</v>
      </c>
      <c r="I21">
        <f ca="1">+OFFSET(INDIRECT(C21),0,4)</f>
        <v>0</v>
      </c>
      <c r="J21" s="8">
        <f ca="1">+DEGREES(ATAN2(G21,H21))</f>
        <v>101.3099324740202</v>
      </c>
      <c r="K21" s="9" t="str">
        <f ca="1">VLOOKUP(J21,$O$20:$P$36,2,-1)</f>
        <v>N</v>
      </c>
      <c r="L21">
        <f ca="1">+_xlfn.IFNA(VLOOKUP(M21,BespokeWindowsAreas!$A$1:$E$1999,1,FALSE),VLOOKUP(E21,WindowTypeArea!$B$2:$C$2000,2,FALSE))</f>
        <v>5.9474999999999998</v>
      </c>
      <c r="M21">
        <f ca="1">+OFFSET(INDIRECT(C21),0,5)</f>
        <v>4839850</v>
      </c>
      <c r="O21" s="23">
        <f t="shared" si="7"/>
        <v>-157.5</v>
      </c>
      <c r="P21" s="10" t="s">
        <v>724</v>
      </c>
      <c r="T21" s="23">
        <f t="shared" si="8"/>
        <v>-157.5</v>
      </c>
      <c r="U21" s="10" t="s">
        <v>723</v>
      </c>
      <c r="V21" t="s">
        <v>725</v>
      </c>
    </row>
    <row r="22" spans="1:22" x14ac:dyDescent="0.25">
      <c r="A22">
        <f t="shared" ca="1" si="3"/>
        <v>1</v>
      </c>
      <c r="B22">
        <f t="shared" ca="1" si="4"/>
        <v>5</v>
      </c>
      <c r="C22" t="str">
        <f ca="1">+"'"&amp;INDIRECT("a"&amp;A21)&amp;"'!B"&amp;B21</f>
        <v>'WINDOWS-NCH-A-BDP-M3-LG-00'!B4</v>
      </c>
      <c r="D22" s="6" t="str">
        <f t="shared" ca="1" si="5"/>
        <v>LG-OPD-C1W-S115-55</v>
      </c>
      <c r="E22" t="str">
        <f t="shared" ca="1" si="9"/>
        <v>Family Type: 1500w x 3050h, Family: Window External Type 3 - Recessed and Angle</v>
      </c>
      <c r="F22" t="str">
        <f t="shared" ref="F22:F85" ca="1" si="10">+OFFSET(INDIRECT(C22),0,1)</f>
        <v>Vector(X = -0.977, Y = -0.212, Z = 0.000, Length = 1.000)</v>
      </c>
      <c r="G22">
        <f t="shared" ref="G22:G85" ca="1" si="11">+OFFSET(INDIRECT(C22),0,2)</f>
        <v>-1</v>
      </c>
      <c r="H22">
        <f t="shared" ref="H22:H85" ca="1" si="12">+OFFSET(INDIRECT(C22),0,3)</f>
        <v>-0.2</v>
      </c>
      <c r="I22">
        <f t="shared" ref="I22:I85" ca="1" si="13">+OFFSET(INDIRECT(C22),0,4)</f>
        <v>0</v>
      </c>
      <c r="J22" s="8">
        <f t="shared" ref="J22:J85" ca="1" si="14">+DEGREES(ATAN2(G22,H22))</f>
        <v>-168.69006752597977</v>
      </c>
      <c r="K22" s="9" t="str">
        <f t="shared" ref="K22:K85" ca="1" si="15">VLOOKUP(J22,$O$20:$P$36,2,-1)</f>
        <v>W</v>
      </c>
      <c r="L22">
        <f ca="1">+_xlfn.IFNA(VLOOKUP(M22,BespokeWindowsAreas!$A$1:$E$1999,1,FALSE),VLOOKUP(E22,WindowTypeArea!$B$2:$C$2000,2,FALSE))</f>
        <v>4.5750000000000002</v>
      </c>
      <c r="M22">
        <f t="shared" ref="M22:M85" ca="1" si="16">+OFFSET(INDIRECT(C22),0,5)</f>
        <v>4860389</v>
      </c>
      <c r="O22" s="23">
        <f t="shared" si="7"/>
        <v>-135</v>
      </c>
      <c r="P22" s="10" t="s">
        <v>723</v>
      </c>
      <c r="T22" s="23">
        <f t="shared" si="8"/>
        <v>-135</v>
      </c>
      <c r="U22" s="10" t="s">
        <v>723</v>
      </c>
      <c r="V22" t="s">
        <v>725</v>
      </c>
    </row>
    <row r="23" spans="1:22" x14ac:dyDescent="0.25">
      <c r="A23">
        <f t="shared" ca="1" si="3"/>
        <v>1</v>
      </c>
      <c r="B23">
        <f t="shared" ca="1" si="4"/>
        <v>6</v>
      </c>
      <c r="C23" t="str">
        <f t="shared" ref="C23:C86" ca="1" si="17">+"'"&amp;INDIRECT("a"&amp;A22)&amp;"'!B"&amp;B22</f>
        <v>'WINDOWS-NCH-A-BDP-M3-LG-00'!B5</v>
      </c>
      <c r="D23" s="6" t="str">
        <f t="shared" ca="1" si="5"/>
        <v>LG-OPD-C1W-S115-55</v>
      </c>
      <c r="E23" t="str">
        <f t="shared" ca="1" si="9"/>
        <v>Family Type: 1500w x 3050h, Family: Window External Type 3 - Recessed and Angle</v>
      </c>
      <c r="F23" t="str">
        <f t="shared" ref="F23:F27" ca="1" si="18">+OFFSET(INDIRECT(C23),0,1)</f>
        <v>Vector(X = -0.977, Y = -0.212, Z = 0.000, Length = 1.000)</v>
      </c>
      <c r="G23">
        <f t="shared" ca="1" si="11"/>
        <v>-1</v>
      </c>
      <c r="H23">
        <f t="shared" ca="1" si="12"/>
        <v>-0.2</v>
      </c>
      <c r="I23">
        <f t="shared" ca="1" si="13"/>
        <v>0</v>
      </c>
      <c r="J23" s="8">
        <f t="shared" ca="1" si="14"/>
        <v>-168.69006752597977</v>
      </c>
      <c r="K23" s="9" t="str">
        <f t="shared" ca="1" si="15"/>
        <v>W</v>
      </c>
      <c r="L23">
        <f ca="1">+_xlfn.IFNA(VLOOKUP(M23,BespokeWindowsAreas!$A$1:$E$1999,1,FALSE),VLOOKUP(E23,WindowTypeArea!$B$2:$C$2000,2,FALSE))</f>
        <v>4.5750000000000002</v>
      </c>
      <c r="M23">
        <f t="shared" ca="1" si="16"/>
        <v>4860434</v>
      </c>
      <c r="O23" s="23">
        <f t="shared" si="7"/>
        <v>-112.5</v>
      </c>
      <c r="P23" s="10" t="s">
        <v>723</v>
      </c>
      <c r="T23" s="23">
        <f t="shared" si="8"/>
        <v>-112.5</v>
      </c>
      <c r="U23" s="10" t="s">
        <v>724</v>
      </c>
      <c r="V23" t="s">
        <v>726</v>
      </c>
    </row>
    <row r="24" spans="1:22" x14ac:dyDescent="0.25">
      <c r="A24">
        <f t="shared" ca="1" si="3"/>
        <v>1</v>
      </c>
      <c r="B24">
        <f t="shared" ca="1" si="4"/>
        <v>7</v>
      </c>
      <c r="C24" t="str">
        <f t="shared" ca="1" si="17"/>
        <v>'WINDOWS-NCH-A-BDP-M3-LG-00'!B6</v>
      </c>
      <c r="D24" s="6" t="str">
        <f t="shared" ca="1" si="5"/>
        <v>LG-OPD-C1W-S115-55</v>
      </c>
      <c r="E24" t="str">
        <f t="shared" ca="1" si="9"/>
        <v>Family Type: 1500w x 3050h, Family: Window External Type 3 - Recessed and Angle</v>
      </c>
      <c r="F24" t="str">
        <f t="shared" ca="1" si="18"/>
        <v>Vector(X = -0.977, Y = -0.212, Z = 0.000, Length = 1.000)</v>
      </c>
      <c r="G24">
        <f t="shared" ca="1" si="11"/>
        <v>-1</v>
      </c>
      <c r="H24">
        <f t="shared" ca="1" si="12"/>
        <v>-0.2</v>
      </c>
      <c r="I24">
        <f t="shared" ca="1" si="13"/>
        <v>0</v>
      </c>
      <c r="J24" s="8">
        <f t="shared" ca="1" si="14"/>
        <v>-168.69006752597977</v>
      </c>
      <c r="K24" s="9" t="str">
        <f t="shared" ca="1" si="15"/>
        <v>W</v>
      </c>
      <c r="L24">
        <f ca="1">+_xlfn.IFNA(VLOOKUP(M24,BespokeWindowsAreas!$A$1:$E$1999,1,FALSE),VLOOKUP(E24,WindowTypeArea!$B$2:$C$2000,2,FALSE))</f>
        <v>4.5750000000000002</v>
      </c>
      <c r="M24">
        <f t="shared" ca="1" si="16"/>
        <v>4860477</v>
      </c>
      <c r="O24" s="23">
        <f t="shared" si="7"/>
        <v>-90</v>
      </c>
      <c r="P24" s="10" t="s">
        <v>722</v>
      </c>
      <c r="T24" s="23">
        <f t="shared" si="8"/>
        <v>-90</v>
      </c>
      <c r="U24" s="10" t="s">
        <v>724</v>
      </c>
      <c r="V24" t="s">
        <v>726</v>
      </c>
    </row>
    <row r="25" spans="1:22" x14ac:dyDescent="0.25">
      <c r="A25">
        <f t="shared" ca="1" si="3"/>
        <v>1</v>
      </c>
      <c r="B25">
        <f t="shared" ca="1" si="4"/>
        <v>8</v>
      </c>
      <c r="C25" t="str">
        <f t="shared" ca="1" si="17"/>
        <v>'WINDOWS-NCH-A-BDP-M3-LG-00'!B7</v>
      </c>
      <c r="D25" s="6" t="str">
        <f t="shared" ca="1" si="5"/>
        <v>LG-OPD-C1W-S115-55</v>
      </c>
      <c r="E25" t="str">
        <f t="shared" ca="1" si="9"/>
        <v>Family Type: 1500w x 3050h, Family: Window External Type 3 - Recessed and Angle</v>
      </c>
      <c r="F25" t="str">
        <f t="shared" ca="1" si="18"/>
        <v>Vector(X = -0.977, Y = -0.212, Z = 0.000, Length = 1.000)</v>
      </c>
      <c r="G25">
        <f t="shared" ca="1" si="11"/>
        <v>-1</v>
      </c>
      <c r="H25">
        <f t="shared" ca="1" si="12"/>
        <v>-0.2</v>
      </c>
      <c r="I25">
        <f t="shared" ca="1" si="13"/>
        <v>0</v>
      </c>
      <c r="J25" s="8">
        <f t="shared" ca="1" si="14"/>
        <v>-168.69006752597977</v>
      </c>
      <c r="K25" s="9" t="str">
        <f t="shared" ca="1" si="15"/>
        <v>W</v>
      </c>
      <c r="L25">
        <f ca="1">+_xlfn.IFNA(VLOOKUP(M25,BespokeWindowsAreas!$A$1:$E$1999,1,FALSE),VLOOKUP(E25,WindowTypeArea!$B$2:$C$2000,2,FALSE))</f>
        <v>4.5750000000000002</v>
      </c>
      <c r="M25">
        <f t="shared" ca="1" si="16"/>
        <v>4860555</v>
      </c>
      <c r="O25" s="23">
        <f t="shared" si="7"/>
        <v>-67.5</v>
      </c>
      <c r="P25" s="10" t="s">
        <v>722</v>
      </c>
      <c r="T25" s="23">
        <f t="shared" si="8"/>
        <v>-67.5</v>
      </c>
      <c r="U25" s="10" t="s">
        <v>725</v>
      </c>
      <c r="V25" t="s">
        <v>727</v>
      </c>
    </row>
    <row r="26" spans="1:22" x14ac:dyDescent="0.25">
      <c r="A26">
        <f t="shared" ca="1" si="3"/>
        <v>1</v>
      </c>
      <c r="B26">
        <f t="shared" ca="1" si="4"/>
        <v>9</v>
      </c>
      <c r="C26" t="str">
        <f t="shared" ca="1" si="17"/>
        <v>'WINDOWS-NCH-A-BDP-M3-LG-00'!B8</v>
      </c>
      <c r="D26" s="6" t="str">
        <f t="shared" ca="1" si="5"/>
        <v>LG-OPD-C1W-S115-55</v>
      </c>
      <c r="E26" t="str">
        <f t="shared" ca="1" si="9"/>
        <v>Family Type: 1000w x 3050h, Family: Window External Type 2 - Recessed and Fin</v>
      </c>
      <c r="F26" t="str">
        <f t="shared" ca="1" si="18"/>
        <v>Vector(X = 0.212, Y = -0.977, Z = 0.000, Length = 1.000)</v>
      </c>
      <c r="G26">
        <f t="shared" ca="1" si="11"/>
        <v>0.2</v>
      </c>
      <c r="H26">
        <f t="shared" ca="1" si="12"/>
        <v>-1</v>
      </c>
      <c r="I26">
        <f t="shared" ca="1" si="13"/>
        <v>0</v>
      </c>
      <c r="J26" s="8">
        <f t="shared" ca="1" si="14"/>
        <v>-78.690067525979785</v>
      </c>
      <c r="K26" s="9" t="str">
        <f t="shared" ca="1" si="15"/>
        <v>S</v>
      </c>
      <c r="L26">
        <f ca="1">+_xlfn.IFNA(VLOOKUP(M26,BespokeWindowsAreas!$A$1:$E$1999,1,FALSE),VLOOKUP(E26,WindowTypeArea!$B$2:$C$2000,2,FALSE))</f>
        <v>3.05</v>
      </c>
      <c r="M26">
        <f t="shared" ca="1" si="16"/>
        <v>4865756</v>
      </c>
      <c r="O26" s="23">
        <f t="shared" si="7"/>
        <v>-45</v>
      </c>
      <c r="P26" s="10" t="s">
        <v>729</v>
      </c>
      <c r="T26" s="23">
        <f t="shared" si="8"/>
        <v>-45</v>
      </c>
      <c r="U26" s="10" t="s">
        <v>725</v>
      </c>
      <c r="V26" t="s">
        <v>727</v>
      </c>
    </row>
    <row r="27" spans="1:22" x14ac:dyDescent="0.25">
      <c r="A27">
        <f t="shared" ca="1" si="3"/>
        <v>1</v>
      </c>
      <c r="B27">
        <f t="shared" ca="1" si="4"/>
        <v>10</v>
      </c>
      <c r="C27" t="str">
        <f t="shared" ca="1" si="17"/>
        <v>'WINDOWS-NCH-A-BDP-M3-LG-00'!B9</v>
      </c>
      <c r="D27" s="6" t="str">
        <f t="shared" ca="1" si="5"/>
        <v>LG-OPD-C1W-S115-55</v>
      </c>
      <c r="E27" t="str">
        <f t="shared" ca="1" si="9"/>
        <v>Family Type: 1500w x 3050h, Family: Window External Type 3 - Recessed and Angle</v>
      </c>
      <c r="F27" t="str">
        <f t="shared" ca="1" si="18"/>
        <v>Vector(X = 0.212, Y = -0.977, Z = 0.000, Length = 1.000)</v>
      </c>
      <c r="G27">
        <f t="shared" ca="1" si="11"/>
        <v>0.2</v>
      </c>
      <c r="H27">
        <f t="shared" ca="1" si="12"/>
        <v>-1</v>
      </c>
      <c r="I27">
        <f t="shared" ca="1" si="13"/>
        <v>0</v>
      </c>
      <c r="J27" s="8">
        <f t="shared" ca="1" si="14"/>
        <v>-78.690067525979785</v>
      </c>
      <c r="K27" s="9" t="str">
        <f t="shared" ca="1" si="15"/>
        <v>S</v>
      </c>
      <c r="L27">
        <f ca="1">+_xlfn.IFNA(VLOOKUP(M27,BespokeWindowsAreas!$A$1:$E$1999,1,FALSE),VLOOKUP(E27,WindowTypeArea!$B$2:$C$2000,2,FALSE))</f>
        <v>4.5750000000000002</v>
      </c>
      <c r="M27">
        <f t="shared" ca="1" si="16"/>
        <v>4865810</v>
      </c>
      <c r="O27" s="23">
        <f>O28-22.5</f>
        <v>-22.5</v>
      </c>
      <c r="P27" s="10" t="s">
        <v>729</v>
      </c>
      <c r="T27" s="23">
        <f>T28-22.5</f>
        <v>-22.5</v>
      </c>
      <c r="U27" s="10" t="s">
        <v>726</v>
      </c>
      <c r="V27" t="s">
        <v>728</v>
      </c>
    </row>
    <row r="28" spans="1:22" x14ac:dyDescent="0.25">
      <c r="A28">
        <f t="shared" ca="1" si="3"/>
        <v>1</v>
      </c>
      <c r="B28">
        <f t="shared" ca="1" si="4"/>
        <v>11</v>
      </c>
      <c r="C28" t="str">
        <f t="shared" ca="1" si="17"/>
        <v>'WINDOWS-NCH-A-BDP-M3-LG-00'!B10</v>
      </c>
      <c r="D28" s="6" t="str">
        <f t="shared" ca="1" si="5"/>
        <v>LG-OPD-AUD-L084-05</v>
      </c>
      <c r="E28" t="str">
        <f t="shared" ca="1" si="9"/>
        <v>LG-OPD-AUD-L084-05</v>
      </c>
      <c r="F28">
        <f t="shared" ca="1" si="10"/>
        <v>2075532</v>
      </c>
      <c r="G28">
        <f t="shared" ca="1" si="11"/>
        <v>0</v>
      </c>
      <c r="H28">
        <f t="shared" ca="1" si="12"/>
        <v>0</v>
      </c>
      <c r="I28">
        <f t="shared" ca="1" si="13"/>
        <v>0</v>
      </c>
      <c r="J28" s="8" t="e">
        <f t="shared" ca="1" si="14"/>
        <v>#DIV/0!</v>
      </c>
      <c r="K28" s="9" t="e">
        <f t="shared" ca="1" si="15"/>
        <v>#DIV/0!</v>
      </c>
      <c r="L28" t="e">
        <f ca="1">+_xlfn.IFNA(VLOOKUP(M28,BespokeWindowsAreas!$A$1:$E$1999,1,FALSE),VLOOKUP(E28,WindowTypeArea!$B$2:$C$2000,2,FALSE))</f>
        <v>#N/A</v>
      </c>
      <c r="M28">
        <f t="shared" ca="1" si="16"/>
        <v>0</v>
      </c>
      <c r="O28" s="23">
        <v>0</v>
      </c>
      <c r="P28" s="10" t="s">
        <v>728</v>
      </c>
      <c r="T28" s="23">
        <v>0</v>
      </c>
      <c r="U28" s="10" t="s">
        <v>726</v>
      </c>
      <c r="V28" t="s">
        <v>728</v>
      </c>
    </row>
    <row r="29" spans="1:22" x14ac:dyDescent="0.25">
      <c r="A29">
        <f t="shared" ca="1" si="3"/>
        <v>1</v>
      </c>
      <c r="B29">
        <f t="shared" ca="1" si="4"/>
        <v>12</v>
      </c>
      <c r="C29" t="str">
        <f t="shared" ca="1" si="17"/>
        <v>'WINDOWS-NCH-A-BDP-M3-LG-00'!B11</v>
      </c>
      <c r="D29" s="6" t="str">
        <f t="shared" ca="1" si="5"/>
        <v>LG-OPD-AUD-L084-05</v>
      </c>
      <c r="E29" t="str">
        <f t="shared" ca="1" si="9"/>
        <v>Family Type: manual 1.5m2</v>
      </c>
      <c r="F29" t="str">
        <f t="shared" ca="1" si="10"/>
        <v>Vector(X = -0.530, Y = 0.848, Z = 0.000, Length = 1.000)</v>
      </c>
      <c r="G29">
        <f t="shared" ca="1" si="11"/>
        <v>-0.5</v>
      </c>
      <c r="H29">
        <f t="shared" ca="1" si="12"/>
        <v>0.8</v>
      </c>
      <c r="I29">
        <f t="shared" ca="1" si="13"/>
        <v>0</v>
      </c>
      <c r="J29" s="8">
        <f t="shared" ca="1" si="14"/>
        <v>122.0053832080835</v>
      </c>
      <c r="K29" s="9" t="str">
        <f t="shared" ca="1" si="15"/>
        <v>N</v>
      </c>
      <c r="L29">
        <f ca="1">+_xlfn.IFNA(VLOOKUP(M29,BespokeWindowsAreas!$A$1:$E$1999,1,FALSE),VLOOKUP(E29,WindowTypeArea!$B$2:$C$2000,2,FALSE))</f>
        <v>1.5</v>
      </c>
      <c r="M29">
        <f t="shared" ca="1" si="16"/>
        <v>6091429</v>
      </c>
      <c r="O29" s="23">
        <f>O28+22.5</f>
        <v>22.5</v>
      </c>
      <c r="P29" s="10" t="s">
        <v>728</v>
      </c>
      <c r="T29" s="23">
        <f>T28+22.5</f>
        <v>22.5</v>
      </c>
      <c r="U29" s="10" t="s">
        <v>727</v>
      </c>
      <c r="V29" t="s">
        <v>729</v>
      </c>
    </row>
    <row r="30" spans="1:22" x14ac:dyDescent="0.25">
      <c r="A30">
        <f t="shared" ca="1" si="3"/>
        <v>1</v>
      </c>
      <c r="B30">
        <f t="shared" ca="1" si="4"/>
        <v>13</v>
      </c>
      <c r="C30" t="str">
        <f t="shared" ca="1" si="17"/>
        <v>'WINDOWS-NCH-A-BDP-M3-LG-00'!B12</v>
      </c>
      <c r="D30" s="6" t="str">
        <f t="shared" ca="1" si="5"/>
        <v>LG-OPD-AUD-L084-05</v>
      </c>
      <c r="E30" t="str">
        <f t="shared" ca="1" si="9"/>
        <v>Family Type: 1000w x 3050h, Family: Window External Type 4 - Extruded</v>
      </c>
      <c r="F30" t="str">
        <f t="shared" ca="1" si="10"/>
        <v>Vector(X = -0.530, Y = 0.848, Z = 0.000, Length = 1.000)</v>
      </c>
      <c r="G30">
        <f t="shared" ca="1" si="11"/>
        <v>-0.5</v>
      </c>
      <c r="H30">
        <f t="shared" ca="1" si="12"/>
        <v>0.8</v>
      </c>
      <c r="I30">
        <f t="shared" ca="1" si="13"/>
        <v>0</v>
      </c>
      <c r="J30" s="8">
        <f t="shared" ca="1" si="14"/>
        <v>122.0053832080835</v>
      </c>
      <c r="K30" s="9" t="str">
        <f t="shared" ca="1" si="15"/>
        <v>N</v>
      </c>
      <c r="L30">
        <f ca="1">+_xlfn.IFNA(VLOOKUP(M30,BespokeWindowsAreas!$A$1:$E$1999,1,FALSE),VLOOKUP(E30,WindowTypeArea!$B$2:$C$2000,2,FALSE))</f>
        <v>3.05</v>
      </c>
      <c r="M30">
        <f t="shared" ca="1" si="16"/>
        <v>6091434</v>
      </c>
      <c r="O30" s="23">
        <f t="shared" ref="O30:O36" si="19">O29+22.5</f>
        <v>45</v>
      </c>
      <c r="P30" s="10" t="s">
        <v>727</v>
      </c>
      <c r="T30" s="23">
        <f t="shared" ref="T30:T36" si="20">T29+22.5</f>
        <v>45</v>
      </c>
      <c r="U30" s="10" t="s">
        <v>727</v>
      </c>
      <c r="V30" t="s">
        <v>729</v>
      </c>
    </row>
    <row r="31" spans="1:22" x14ac:dyDescent="0.25">
      <c r="A31">
        <f t="shared" ca="1" si="3"/>
        <v>1</v>
      </c>
      <c r="B31">
        <f t="shared" ca="1" si="4"/>
        <v>14</v>
      </c>
      <c r="C31" t="str">
        <f t="shared" ca="1" si="17"/>
        <v>'WINDOWS-NCH-A-BDP-M3-LG-00'!B13</v>
      </c>
      <c r="D31" s="6" t="str">
        <f t="shared" ca="1" si="5"/>
        <v>LG-OPD-AUD-U0444-01</v>
      </c>
      <c r="E31" t="str">
        <f t="shared" ca="1" si="9"/>
        <v>LG-OPD-AUD-U0444-01</v>
      </c>
      <c r="F31">
        <f t="shared" ca="1" si="10"/>
        <v>2075533</v>
      </c>
      <c r="G31">
        <f t="shared" ca="1" si="11"/>
        <v>0</v>
      </c>
      <c r="H31">
        <f t="shared" ca="1" si="12"/>
        <v>0</v>
      </c>
      <c r="I31">
        <f t="shared" ca="1" si="13"/>
        <v>0</v>
      </c>
      <c r="J31" s="8" t="e">
        <f t="shared" ca="1" si="14"/>
        <v>#DIV/0!</v>
      </c>
      <c r="K31" s="9" t="e">
        <f t="shared" ca="1" si="15"/>
        <v>#DIV/0!</v>
      </c>
      <c r="L31" t="e">
        <f ca="1">+_xlfn.IFNA(VLOOKUP(M31,BespokeWindowsAreas!$A$1:$E$1999,1,FALSE),VLOOKUP(E31,WindowTypeArea!$B$2:$C$2000,2,FALSE))</f>
        <v>#N/A</v>
      </c>
      <c r="M31">
        <f t="shared" ca="1" si="16"/>
        <v>0</v>
      </c>
      <c r="O31" s="23">
        <f t="shared" si="19"/>
        <v>67.5</v>
      </c>
      <c r="P31" s="10" t="s">
        <v>727</v>
      </c>
      <c r="T31" s="23">
        <f t="shared" si="20"/>
        <v>67.5</v>
      </c>
      <c r="U31" s="10" t="s">
        <v>728</v>
      </c>
      <c r="V31" t="s">
        <v>722</v>
      </c>
    </row>
    <row r="32" spans="1:22" x14ac:dyDescent="0.25">
      <c r="A32">
        <f t="shared" ca="1" si="3"/>
        <v>1</v>
      </c>
      <c r="B32">
        <f t="shared" ca="1" si="4"/>
        <v>15</v>
      </c>
      <c r="C32" t="str">
        <f t="shared" ca="1" si="17"/>
        <v>'WINDOWS-NCH-A-BDP-M3-LG-00'!B14</v>
      </c>
      <c r="D32" s="6" t="str">
        <f t="shared" ca="1" si="5"/>
        <v>LG-OPD-AUD-U0444-01</v>
      </c>
      <c r="E32" t="str">
        <f t="shared" ca="1" si="9"/>
        <v>Family Type: 1500w x 3050h, Family: Window External Type 3 - Recessed and Angle</v>
      </c>
      <c r="F32" t="str">
        <f t="shared" ca="1" si="10"/>
        <v>Vector(X = -0.530, Y = 0.848, Z = 0.000, Length = 1.000)</v>
      </c>
      <c r="G32">
        <f t="shared" ca="1" si="11"/>
        <v>-0.5</v>
      </c>
      <c r="H32">
        <f t="shared" ca="1" si="12"/>
        <v>0.8</v>
      </c>
      <c r="I32">
        <f t="shared" ca="1" si="13"/>
        <v>0</v>
      </c>
      <c r="J32" s="8">
        <f t="shared" ca="1" si="14"/>
        <v>122.0053832080835</v>
      </c>
      <c r="K32" s="9" t="str">
        <f t="shared" ca="1" si="15"/>
        <v>N</v>
      </c>
      <c r="L32">
        <f ca="1">+_xlfn.IFNA(VLOOKUP(M32,BespokeWindowsAreas!$A$1:$E$1999,1,FALSE),VLOOKUP(E32,WindowTypeArea!$B$2:$C$2000,2,FALSE))</f>
        <v>4.5750000000000002</v>
      </c>
      <c r="M32">
        <f t="shared" ca="1" si="16"/>
        <v>6091432</v>
      </c>
      <c r="O32" s="23">
        <f t="shared" si="19"/>
        <v>90</v>
      </c>
      <c r="P32" s="10" t="s">
        <v>726</v>
      </c>
      <c r="T32" s="23">
        <f t="shared" si="20"/>
        <v>90</v>
      </c>
      <c r="U32" s="10" t="s">
        <v>728</v>
      </c>
      <c r="V32" t="s">
        <v>722</v>
      </c>
    </row>
    <row r="33" spans="1:38" x14ac:dyDescent="0.25">
      <c r="A33">
        <f t="shared" ca="1" si="3"/>
        <v>1</v>
      </c>
      <c r="B33">
        <f t="shared" ca="1" si="4"/>
        <v>16</v>
      </c>
      <c r="C33" t="str">
        <f t="shared" ca="1" si="17"/>
        <v>'WINDOWS-NCH-A-BDP-M3-LG-00'!B15</v>
      </c>
      <c r="D33" s="6" t="str">
        <f t="shared" ca="1" si="5"/>
        <v>LG-OPD-AUD-S115-01</v>
      </c>
      <c r="E33" t="str">
        <f t="shared" ca="1" si="9"/>
        <v>LG-OPD-AUD-S115-01</v>
      </c>
      <c r="F33">
        <f t="shared" ca="1" si="10"/>
        <v>2075536</v>
      </c>
      <c r="G33">
        <f t="shared" ca="1" si="11"/>
        <v>0</v>
      </c>
      <c r="H33">
        <f t="shared" ca="1" si="12"/>
        <v>0</v>
      </c>
      <c r="I33">
        <f t="shared" ca="1" si="13"/>
        <v>0</v>
      </c>
      <c r="J33" s="8" t="e">
        <f t="shared" ca="1" si="14"/>
        <v>#DIV/0!</v>
      </c>
      <c r="K33" s="9" t="e">
        <f t="shared" ca="1" si="15"/>
        <v>#DIV/0!</v>
      </c>
      <c r="L33" t="e">
        <f ca="1">+_xlfn.IFNA(VLOOKUP(M33,BespokeWindowsAreas!$A$1:$E$1999,1,FALSE),VLOOKUP(E33,WindowTypeArea!$B$2:$C$2000,2,FALSE))</f>
        <v>#N/A</v>
      </c>
      <c r="M33">
        <f t="shared" ca="1" si="16"/>
        <v>0</v>
      </c>
      <c r="O33" s="23">
        <f t="shared" si="19"/>
        <v>112.5</v>
      </c>
      <c r="P33" s="10" t="s">
        <v>726</v>
      </c>
      <c r="T33" s="23">
        <f t="shared" si="20"/>
        <v>112.5</v>
      </c>
      <c r="U33" s="10" t="s">
        <v>729</v>
      </c>
      <c r="V33" t="s">
        <v>723</v>
      </c>
    </row>
    <row r="34" spans="1:38" x14ac:dyDescent="0.25">
      <c r="A34">
        <f t="shared" ca="1" si="3"/>
        <v>1</v>
      </c>
      <c r="B34">
        <f t="shared" ca="1" si="4"/>
        <v>17</v>
      </c>
      <c r="C34" t="str">
        <f t="shared" ca="1" si="17"/>
        <v>'WINDOWS-NCH-A-BDP-M3-LG-00'!B16</v>
      </c>
      <c r="D34" s="6" t="str">
        <f t="shared" ca="1" si="5"/>
        <v>LG-OPD-AUD-S115-01</v>
      </c>
      <c r="E34" t="str">
        <f t="shared" ca="1" si="9"/>
        <v>Family Type: 1500w x 3050h, Family: Window External Type 3 - Recessed and Angle</v>
      </c>
      <c r="F34" t="str">
        <f t="shared" ca="1" si="10"/>
        <v>Vector(X = -0.848, Y = -0.530, Z = 0.000, Length = 1.000)</v>
      </c>
      <c r="G34">
        <f t="shared" ca="1" si="11"/>
        <v>-0.8</v>
      </c>
      <c r="H34">
        <f t="shared" ca="1" si="12"/>
        <v>-0.5</v>
      </c>
      <c r="I34">
        <f t="shared" ca="1" si="13"/>
        <v>0</v>
      </c>
      <c r="J34" s="8">
        <f t="shared" ca="1" si="14"/>
        <v>-147.99461679191651</v>
      </c>
      <c r="K34" s="9" t="str">
        <f t="shared" ca="1" si="15"/>
        <v>W</v>
      </c>
      <c r="L34">
        <f ca="1">+_xlfn.IFNA(VLOOKUP(M34,BespokeWindowsAreas!$A$1:$E$1999,1,FALSE),VLOOKUP(E34,WindowTypeArea!$B$2:$C$2000,2,FALSE))</f>
        <v>4.5750000000000002</v>
      </c>
      <c r="M34">
        <f t="shared" ca="1" si="16"/>
        <v>4858445</v>
      </c>
      <c r="O34" s="23">
        <f t="shared" si="19"/>
        <v>135</v>
      </c>
      <c r="P34" s="10" t="s">
        <v>725</v>
      </c>
      <c r="T34" s="23">
        <f t="shared" si="20"/>
        <v>135</v>
      </c>
      <c r="U34" s="10" t="s">
        <v>729</v>
      </c>
      <c r="V34" t="s">
        <v>723</v>
      </c>
    </row>
    <row r="35" spans="1:38" x14ac:dyDescent="0.25">
      <c r="A35">
        <f t="shared" ca="1" si="3"/>
        <v>1</v>
      </c>
      <c r="B35">
        <f t="shared" ca="1" si="4"/>
        <v>18</v>
      </c>
      <c r="C35" t="str">
        <f t="shared" ca="1" si="17"/>
        <v>'WINDOWS-NCH-A-BDP-M3-LG-00'!B17</v>
      </c>
      <c r="D35" s="6" t="str">
        <f t="shared" ca="1" si="5"/>
        <v>LG-OPD-AUD-S115-01</v>
      </c>
      <c r="E35" t="str">
        <f t="shared" ca="1" si="9"/>
        <v>Family Type: 1500w x 3050h, Family: Window External Type 3 - Recessed and Angle</v>
      </c>
      <c r="F35" t="str">
        <f t="shared" ca="1" si="10"/>
        <v>Vector(X = -0.848, Y = -0.530, Z = 0.000, Length = 1.000)</v>
      </c>
      <c r="G35">
        <f t="shared" ca="1" si="11"/>
        <v>-0.8</v>
      </c>
      <c r="H35">
        <f t="shared" ca="1" si="12"/>
        <v>-0.5</v>
      </c>
      <c r="I35">
        <f t="shared" ca="1" si="13"/>
        <v>0</v>
      </c>
      <c r="J35" s="8">
        <f t="shared" ca="1" si="14"/>
        <v>-147.99461679191651</v>
      </c>
      <c r="K35" s="9" t="str">
        <f t="shared" ca="1" si="15"/>
        <v>W</v>
      </c>
      <c r="L35">
        <f ca="1">+_xlfn.IFNA(VLOOKUP(M35,BespokeWindowsAreas!$A$1:$E$1999,1,FALSE),VLOOKUP(E35,WindowTypeArea!$B$2:$C$2000,2,FALSE))</f>
        <v>4.5750000000000002</v>
      </c>
      <c r="M35">
        <f t="shared" ca="1" si="16"/>
        <v>4858781</v>
      </c>
      <c r="O35" s="23">
        <f t="shared" si="19"/>
        <v>157.5</v>
      </c>
      <c r="P35" s="10" t="s">
        <v>725</v>
      </c>
      <c r="T35" s="23">
        <f t="shared" si="20"/>
        <v>157.5</v>
      </c>
      <c r="U35" s="10" t="s">
        <v>722</v>
      </c>
      <c r="V35" t="s">
        <v>724</v>
      </c>
    </row>
    <row r="36" spans="1:38" ht="15.75" thickBot="1" x14ac:dyDescent="0.3">
      <c r="A36">
        <f t="shared" ca="1" si="3"/>
        <v>1</v>
      </c>
      <c r="B36">
        <f t="shared" ca="1" si="4"/>
        <v>19</v>
      </c>
      <c r="C36" t="str">
        <f t="shared" ca="1" si="17"/>
        <v>'WINDOWS-NCH-A-BDP-M3-LG-00'!B18</v>
      </c>
      <c r="D36" s="6" t="str">
        <f t="shared" ca="1" si="5"/>
        <v>LG-OPD-AUD-S115-01</v>
      </c>
      <c r="E36" t="str">
        <f t="shared" ca="1" si="9"/>
        <v>Family Type: 1500w x 3050h, Family: Window External Type 3 - Recessed and Angle</v>
      </c>
      <c r="F36" t="str">
        <f t="shared" ca="1" si="10"/>
        <v>Vector(X = -0.848, Y = -0.530, Z = 0.000, Length = 1.000)</v>
      </c>
      <c r="G36">
        <f t="shared" ca="1" si="11"/>
        <v>-0.8</v>
      </c>
      <c r="H36">
        <f t="shared" ca="1" si="12"/>
        <v>-0.5</v>
      </c>
      <c r="I36">
        <f t="shared" ca="1" si="13"/>
        <v>0</v>
      </c>
      <c r="J36" s="8">
        <f t="shared" ca="1" si="14"/>
        <v>-147.99461679191651</v>
      </c>
      <c r="K36" s="9" t="str">
        <f t="shared" ca="1" si="15"/>
        <v>W</v>
      </c>
      <c r="L36">
        <f ca="1">+_xlfn.IFNA(VLOOKUP(M36,BespokeWindowsAreas!$A$1:$E$1999,1,FALSE),VLOOKUP(E36,WindowTypeArea!$B$2:$C$2000,2,FALSE))</f>
        <v>4.5750000000000002</v>
      </c>
      <c r="M36">
        <f t="shared" ca="1" si="16"/>
        <v>4858862</v>
      </c>
      <c r="O36" s="24">
        <f t="shared" si="19"/>
        <v>180</v>
      </c>
      <c r="P36" s="11" t="s">
        <v>724</v>
      </c>
      <c r="T36" s="24">
        <f t="shared" si="20"/>
        <v>180</v>
      </c>
      <c r="U36" s="11" t="s">
        <v>722</v>
      </c>
      <c r="V36" t="s">
        <v>724</v>
      </c>
    </row>
    <row r="37" spans="1:38" x14ac:dyDescent="0.25">
      <c r="A37">
        <f t="shared" ca="1" si="3"/>
        <v>1</v>
      </c>
      <c r="B37">
        <f t="shared" ca="1" si="4"/>
        <v>20</v>
      </c>
      <c r="C37" t="str">
        <f t="shared" ca="1" si="17"/>
        <v>'WINDOWS-NCH-A-BDP-M3-LG-00'!B19</v>
      </c>
      <c r="D37" s="6" t="str">
        <f t="shared" ca="1" si="5"/>
        <v>LG-OPD-AUD-S115-01</v>
      </c>
      <c r="E37" t="str">
        <f t="shared" ca="1" si="9"/>
        <v>Family Type: 1500w x 3050h, Family: Window External Type 3 - Recessed and Angle</v>
      </c>
      <c r="F37" t="str">
        <f t="shared" ca="1" si="10"/>
        <v>Vector(X = -0.848, Y = -0.530, Z = 0.000, Length = 1.000)</v>
      </c>
      <c r="G37">
        <f t="shared" ca="1" si="11"/>
        <v>-0.8</v>
      </c>
      <c r="H37">
        <f t="shared" ca="1" si="12"/>
        <v>-0.5</v>
      </c>
      <c r="I37">
        <f t="shared" ca="1" si="13"/>
        <v>0</v>
      </c>
      <c r="J37" s="8">
        <f t="shared" ca="1" si="14"/>
        <v>-147.99461679191651</v>
      </c>
      <c r="K37" s="9" t="str">
        <f t="shared" ca="1" si="15"/>
        <v>W</v>
      </c>
      <c r="L37">
        <f ca="1">+_xlfn.IFNA(VLOOKUP(M37,BespokeWindowsAreas!$A$1:$E$1999,1,FALSE),VLOOKUP(E37,WindowTypeArea!$B$2:$C$2000,2,FALSE))</f>
        <v>4.5750000000000002</v>
      </c>
      <c r="M37">
        <f t="shared" ca="1" si="16"/>
        <v>4858969</v>
      </c>
    </row>
    <row r="38" spans="1:38" x14ac:dyDescent="0.25">
      <c r="A38">
        <f t="shared" ca="1" si="3"/>
        <v>1</v>
      </c>
      <c r="B38">
        <f t="shared" ca="1" si="4"/>
        <v>21</v>
      </c>
      <c r="C38" t="str">
        <f t="shared" ca="1" si="17"/>
        <v>'WINDOWS-NCH-A-BDP-M3-LG-00'!B20</v>
      </c>
      <c r="D38" s="6" t="str">
        <f t="shared" ca="1" si="5"/>
        <v>LG-OPD-AUD-S115-01</v>
      </c>
      <c r="E38" t="str">
        <f t="shared" ca="1" si="9"/>
        <v>Family Type: 1500w x 3050h, Family: Window External Type 1 - Recessed</v>
      </c>
      <c r="F38" t="str">
        <f t="shared" ca="1" si="10"/>
        <v>Vector(X = 0.530, Y = -0.848, Z = 0.000, Length = 1.000)</v>
      </c>
      <c r="G38">
        <f t="shared" ca="1" si="11"/>
        <v>0.5</v>
      </c>
      <c r="H38">
        <f t="shared" ca="1" si="12"/>
        <v>-0.8</v>
      </c>
      <c r="I38">
        <f t="shared" ca="1" si="13"/>
        <v>0</v>
      </c>
      <c r="J38" s="8">
        <f t="shared" ca="1" si="14"/>
        <v>-57.994616791916499</v>
      </c>
      <c r="K38" s="9" t="str">
        <f t="shared" ca="1" si="15"/>
        <v>S</v>
      </c>
      <c r="L38">
        <f ca="1">+_xlfn.IFNA(VLOOKUP(M38,BespokeWindowsAreas!$A$1:$E$1999,1,FALSE),VLOOKUP(E38,WindowTypeArea!$B$2:$C$2000,2,FALSE))</f>
        <v>4.5750000000000002</v>
      </c>
      <c r="M38">
        <f t="shared" ca="1" si="16"/>
        <v>4982482</v>
      </c>
    </row>
    <row r="39" spans="1:38" x14ac:dyDescent="0.25">
      <c r="A39">
        <f t="shared" ca="1" si="3"/>
        <v>1</v>
      </c>
      <c r="B39">
        <f t="shared" ca="1" si="4"/>
        <v>22</v>
      </c>
      <c r="C39" t="str">
        <f t="shared" ca="1" si="17"/>
        <v>'WINDOWS-NCH-A-BDP-M3-LG-00'!B21</v>
      </c>
      <c r="D39" s="6" t="str">
        <f t="shared" ca="1" si="5"/>
        <v>none</v>
      </c>
      <c r="E39" t="str">
        <f t="shared" ca="1" si="9"/>
        <v>none</v>
      </c>
      <c r="F39" t="str">
        <f t="shared" ca="1" si="10"/>
        <v>Vector(X = 0.530, Y = -0.848, Z = 0.000, Length = 1.000)</v>
      </c>
      <c r="G39">
        <f t="shared" ca="1" si="11"/>
        <v>0.5</v>
      </c>
      <c r="H39">
        <f t="shared" ca="1" si="12"/>
        <v>-0.8</v>
      </c>
      <c r="I39">
        <f t="shared" ca="1" si="13"/>
        <v>0</v>
      </c>
      <c r="J39" s="8">
        <f t="shared" ca="1" si="14"/>
        <v>-57.994616791916499</v>
      </c>
      <c r="K39" s="9" t="str">
        <f t="shared" ca="1" si="15"/>
        <v>S</v>
      </c>
      <c r="L39" t="e">
        <f ca="1">+_xlfn.IFNA(VLOOKUP(M39,BespokeWindowsAreas!$A$1:$E$1999,1,FALSE),VLOOKUP(E39,WindowTypeArea!$B$2:$C$2000,2,FALSE))</f>
        <v>#N/A</v>
      </c>
      <c r="M39">
        <f t="shared" ca="1" si="16"/>
        <v>4982502</v>
      </c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</row>
    <row r="40" spans="1:38" x14ac:dyDescent="0.25">
      <c r="A40">
        <f t="shared" ca="1" si="3"/>
        <v>1</v>
      </c>
      <c r="B40">
        <f t="shared" ca="1" si="4"/>
        <v>23</v>
      </c>
      <c r="C40" t="str">
        <f t="shared" ca="1" si="17"/>
        <v>'WINDOWS-NCH-A-BDP-M3-LG-00'!B22</v>
      </c>
      <c r="D40" s="6" t="str">
        <f t="shared" ca="1" si="5"/>
        <v>LG-OPD-AUD-L039-08</v>
      </c>
      <c r="E40" t="str">
        <f t="shared" ca="1" si="9"/>
        <v>LG-OPD-AUD-L039-08</v>
      </c>
      <c r="F40">
        <f t="shared" ca="1" si="10"/>
        <v>2075547</v>
      </c>
      <c r="G40">
        <f t="shared" ca="1" si="11"/>
        <v>0</v>
      </c>
      <c r="H40">
        <f t="shared" ca="1" si="12"/>
        <v>0</v>
      </c>
      <c r="I40">
        <f t="shared" ca="1" si="13"/>
        <v>0</v>
      </c>
      <c r="J40" s="8" t="e">
        <f t="shared" ca="1" si="14"/>
        <v>#DIV/0!</v>
      </c>
      <c r="K40" s="9" t="e">
        <f t="shared" ca="1" si="15"/>
        <v>#DIV/0!</v>
      </c>
      <c r="L40" t="e">
        <f ca="1">+_xlfn.IFNA(VLOOKUP(M40,BespokeWindowsAreas!$A$1:$E$1999,1,FALSE),VLOOKUP(E40,WindowTypeArea!$B$2:$C$2000,2,FALSE))</f>
        <v>#N/A</v>
      </c>
      <c r="M40">
        <f t="shared" ca="1" si="16"/>
        <v>0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</row>
    <row r="41" spans="1:38" x14ac:dyDescent="0.25">
      <c r="A41">
        <f t="shared" ca="1" si="3"/>
        <v>1</v>
      </c>
      <c r="B41">
        <f t="shared" ca="1" si="4"/>
        <v>24</v>
      </c>
      <c r="C41" t="str">
        <f t="shared" ca="1" si="17"/>
        <v>'WINDOWS-NCH-A-BDP-M3-LG-00'!B23</v>
      </c>
      <c r="D41" s="6" t="str">
        <f t="shared" ca="1" si="5"/>
        <v>LG-OPD-AUD-L039-08</v>
      </c>
      <c r="E41" t="str">
        <f t="shared" ca="1" si="9"/>
        <v>Family Type: 1000w x 3050h, Family: Window External Type 2 - Recessed and Fin</v>
      </c>
      <c r="F41" t="str">
        <f t="shared" ca="1" si="10"/>
        <v>Vector(X = -0.530, Y = 0.848, Z = 0.000, Length = 1.000)</v>
      </c>
      <c r="G41">
        <f t="shared" ca="1" si="11"/>
        <v>-0.5</v>
      </c>
      <c r="H41">
        <f t="shared" ca="1" si="12"/>
        <v>0.8</v>
      </c>
      <c r="I41">
        <f t="shared" ca="1" si="13"/>
        <v>0</v>
      </c>
      <c r="J41" s="8">
        <f t="shared" ca="1" si="14"/>
        <v>122.0053832080835</v>
      </c>
      <c r="K41" s="9" t="str">
        <f t="shared" ca="1" si="15"/>
        <v>N</v>
      </c>
      <c r="L41">
        <f ca="1">+_xlfn.IFNA(VLOOKUP(M41,BespokeWindowsAreas!$A$1:$E$1999,1,FALSE),VLOOKUP(E41,WindowTypeArea!$B$2:$C$2000,2,FALSE))</f>
        <v>3.05</v>
      </c>
      <c r="M41">
        <f t="shared" ca="1" si="16"/>
        <v>6091420</v>
      </c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</row>
    <row r="42" spans="1:38" x14ac:dyDescent="0.25">
      <c r="A42">
        <f t="shared" ca="1" si="3"/>
        <v>1</v>
      </c>
      <c r="B42">
        <f t="shared" ca="1" si="4"/>
        <v>25</v>
      </c>
      <c r="C42" t="str">
        <f t="shared" ca="1" si="17"/>
        <v>'WINDOWS-NCH-A-BDP-M3-LG-00'!B24</v>
      </c>
      <c r="D42" s="6" t="str">
        <f t="shared" ca="1" si="5"/>
        <v>LG-OPD-AUD-L039-08</v>
      </c>
      <c r="E42" t="str">
        <f t="shared" ca="1" si="9"/>
        <v>Family Type: 1000w x 3050h, Family: Window External Type 4 - Extruded</v>
      </c>
      <c r="F42" t="str">
        <f t="shared" ca="1" si="10"/>
        <v>Vector(X = -0.530, Y = 0.848, Z = 0.000, Length = 1.000)</v>
      </c>
      <c r="G42">
        <f t="shared" ca="1" si="11"/>
        <v>-0.5</v>
      </c>
      <c r="H42">
        <f t="shared" ca="1" si="12"/>
        <v>0.8</v>
      </c>
      <c r="I42">
        <f t="shared" ca="1" si="13"/>
        <v>0</v>
      </c>
      <c r="J42" s="8">
        <f t="shared" ca="1" si="14"/>
        <v>122.0053832080835</v>
      </c>
      <c r="K42" s="9" t="str">
        <f t="shared" ca="1" si="15"/>
        <v>N</v>
      </c>
      <c r="L42">
        <f ca="1">+_xlfn.IFNA(VLOOKUP(M42,BespokeWindowsAreas!$A$1:$E$1999,1,FALSE),VLOOKUP(E42,WindowTypeArea!$B$2:$C$2000,2,FALSE))</f>
        <v>3.05</v>
      </c>
      <c r="M42">
        <f t="shared" ca="1" si="16"/>
        <v>6091423</v>
      </c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</row>
    <row r="43" spans="1:38" x14ac:dyDescent="0.25">
      <c r="A43">
        <f t="shared" ca="1" si="3"/>
        <v>1</v>
      </c>
      <c r="B43">
        <f t="shared" ca="1" si="4"/>
        <v>26</v>
      </c>
      <c r="C43" t="str">
        <f t="shared" ca="1" si="17"/>
        <v>'WINDOWS-NCH-A-BDP-M3-LG-00'!B25</v>
      </c>
      <c r="D43" s="6" t="str">
        <f t="shared" ca="1" si="5"/>
        <v>LG-OPD-AUD-S123-08</v>
      </c>
      <c r="E43" t="str">
        <f t="shared" ca="1" si="9"/>
        <v>LG-OPD-AUD-S123-08</v>
      </c>
      <c r="F43">
        <f t="shared" ca="1" si="10"/>
        <v>2075551</v>
      </c>
      <c r="G43">
        <f t="shared" ca="1" si="11"/>
        <v>0</v>
      </c>
      <c r="H43">
        <f t="shared" ca="1" si="12"/>
        <v>0</v>
      </c>
      <c r="I43">
        <f t="shared" ca="1" si="13"/>
        <v>0</v>
      </c>
      <c r="J43" s="8" t="e">
        <f t="shared" ca="1" si="14"/>
        <v>#DIV/0!</v>
      </c>
      <c r="K43" s="9" t="e">
        <f t="shared" ca="1" si="15"/>
        <v>#DIV/0!</v>
      </c>
      <c r="L43" t="e">
        <f ca="1">+_xlfn.IFNA(VLOOKUP(M43,BespokeWindowsAreas!$A$1:$E$1999,1,FALSE),VLOOKUP(E43,WindowTypeArea!$B$2:$C$2000,2,FALSE))</f>
        <v>#N/A</v>
      </c>
      <c r="M43">
        <f t="shared" ca="1" si="16"/>
        <v>0</v>
      </c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</row>
    <row r="44" spans="1:38" x14ac:dyDescent="0.25">
      <c r="A44">
        <f t="shared" ca="1" si="3"/>
        <v>1</v>
      </c>
      <c r="B44">
        <f t="shared" ca="1" si="4"/>
        <v>27</v>
      </c>
      <c r="C44" t="str">
        <f t="shared" ca="1" si="17"/>
        <v>'WINDOWS-NCH-A-BDP-M3-LG-00'!B26</v>
      </c>
      <c r="D44" s="6" t="str">
        <f t="shared" ca="1" si="5"/>
        <v>LG-OPD-AUD-S123-08</v>
      </c>
      <c r="E44" t="str">
        <f t="shared" ca="1" si="9"/>
        <v>Family Type: manual 1.5m2</v>
      </c>
      <c r="F44" t="str">
        <f t="shared" ca="1" si="10"/>
        <v>Vector(X = -0.530, Y = 0.848, Z = 0.000, Length = 1.000)</v>
      </c>
      <c r="G44">
        <f t="shared" ca="1" si="11"/>
        <v>-0.5</v>
      </c>
      <c r="H44">
        <f t="shared" ca="1" si="12"/>
        <v>0.8</v>
      </c>
      <c r="I44">
        <f t="shared" ca="1" si="13"/>
        <v>0</v>
      </c>
      <c r="J44" s="8">
        <f t="shared" ca="1" si="14"/>
        <v>122.0053832080835</v>
      </c>
      <c r="K44" s="9" t="str">
        <f t="shared" ca="1" si="15"/>
        <v>N</v>
      </c>
      <c r="L44">
        <f ca="1">+_xlfn.IFNA(VLOOKUP(M44,BespokeWindowsAreas!$A$1:$E$1999,1,FALSE),VLOOKUP(E44,WindowTypeArea!$B$2:$C$2000,2,FALSE))</f>
        <v>1.5</v>
      </c>
      <c r="M44">
        <f t="shared" ca="1" si="16"/>
        <v>6091429</v>
      </c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</row>
    <row r="45" spans="1:38" x14ac:dyDescent="0.25">
      <c r="A45">
        <f t="shared" ca="1" si="3"/>
        <v>1</v>
      </c>
      <c r="B45">
        <f t="shared" ca="1" si="4"/>
        <v>28</v>
      </c>
      <c r="C45" t="str">
        <f t="shared" ca="1" si="17"/>
        <v>'WINDOWS-NCH-A-BDP-M3-LG-00'!B27</v>
      </c>
      <c r="D45" s="6" t="str">
        <f t="shared" ca="1" si="5"/>
        <v>LG-EAF-CAT-S099-02</v>
      </c>
      <c r="E45" t="str">
        <f t="shared" ca="1" si="9"/>
        <v>LG-EAF-CAT-S099-02</v>
      </c>
      <c r="F45">
        <f t="shared" ca="1" si="10"/>
        <v>2075905</v>
      </c>
      <c r="G45">
        <f t="shared" ca="1" si="11"/>
        <v>0</v>
      </c>
      <c r="H45">
        <f t="shared" ca="1" si="12"/>
        <v>0</v>
      </c>
      <c r="I45">
        <f t="shared" ca="1" si="13"/>
        <v>0</v>
      </c>
      <c r="J45" s="8" t="e">
        <f t="shared" ca="1" si="14"/>
        <v>#DIV/0!</v>
      </c>
      <c r="K45" s="9" t="e">
        <f t="shared" ca="1" si="15"/>
        <v>#DIV/0!</v>
      </c>
      <c r="L45" t="e">
        <f ca="1">+_xlfn.IFNA(VLOOKUP(M45,BespokeWindowsAreas!$A$1:$E$1999,1,FALSE),VLOOKUP(E45,WindowTypeArea!$B$2:$C$2000,2,FALSE))</f>
        <v>#N/A</v>
      </c>
      <c r="M45">
        <f t="shared" ca="1" si="16"/>
        <v>0</v>
      </c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</row>
    <row r="46" spans="1:38" x14ac:dyDescent="0.25">
      <c r="A46">
        <f t="shared" ca="1" si="3"/>
        <v>1</v>
      </c>
      <c r="B46">
        <f t="shared" ca="1" si="4"/>
        <v>29</v>
      </c>
      <c r="C46" t="str">
        <f t="shared" ca="1" si="17"/>
        <v>'WINDOWS-NCH-A-BDP-M3-LG-00'!B28</v>
      </c>
      <c r="D46" s="6" t="str">
        <f t="shared" ca="1" si="5"/>
        <v>LG-EAF-CAT-S099-02</v>
      </c>
      <c r="E46" t="str">
        <f t="shared" ca="1" si="9"/>
        <v>Family Type: 975w x 3200h, Family: Panel External Type 1 - Flush</v>
      </c>
      <c r="F46" t="str">
        <f t="shared" ca="1" si="10"/>
        <v>Vector(X = -0.212, Y = 0.977, Z = 0.000, Length = 1.000)</v>
      </c>
      <c r="G46">
        <f t="shared" ca="1" si="11"/>
        <v>-0.2</v>
      </c>
      <c r="H46">
        <f t="shared" ca="1" si="12"/>
        <v>1</v>
      </c>
      <c r="I46">
        <f t="shared" ca="1" si="13"/>
        <v>0</v>
      </c>
      <c r="J46" s="8">
        <f t="shared" ca="1" si="14"/>
        <v>101.3099324740202</v>
      </c>
      <c r="K46" s="9" t="str">
        <f t="shared" ca="1" si="15"/>
        <v>N</v>
      </c>
      <c r="L46">
        <f ca="1">+_xlfn.IFNA(VLOOKUP(M46,BespokeWindowsAreas!$A$1:$E$1999,1,FALSE),VLOOKUP(E46,WindowTypeArea!$B$2:$C$2000,2,FALSE))</f>
        <v>0</v>
      </c>
      <c r="M46">
        <f t="shared" ca="1" si="16"/>
        <v>5087996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</row>
    <row r="47" spans="1:38" x14ac:dyDescent="0.25">
      <c r="A47">
        <f t="shared" ca="1" si="3"/>
        <v>1</v>
      </c>
      <c r="B47">
        <f t="shared" ca="1" si="4"/>
        <v>30</v>
      </c>
      <c r="C47" t="str">
        <f t="shared" ca="1" si="17"/>
        <v>'WINDOWS-NCH-A-BDP-M3-LG-00'!B29</v>
      </c>
      <c r="D47" s="6" t="str">
        <f t="shared" ca="1" si="5"/>
        <v>LG-EAF-CAT-S099-02</v>
      </c>
      <c r="E47" t="str">
        <f t="shared" ca="1" si="9"/>
        <v>Family Type: 975w x 3200h, Family: Panel External Type 1 - Flush</v>
      </c>
      <c r="F47" t="str">
        <f t="shared" ca="1" si="10"/>
        <v>Vector(X = -0.212, Y = 0.977, Z = 0.000, Length = 1.000)</v>
      </c>
      <c r="G47">
        <f t="shared" ca="1" si="11"/>
        <v>-0.2</v>
      </c>
      <c r="H47">
        <f t="shared" ca="1" si="12"/>
        <v>1</v>
      </c>
      <c r="I47">
        <f t="shared" ca="1" si="13"/>
        <v>0</v>
      </c>
      <c r="J47" s="8">
        <f t="shared" ca="1" si="14"/>
        <v>101.3099324740202</v>
      </c>
      <c r="K47" s="9" t="str">
        <f t="shared" ca="1" si="15"/>
        <v>N</v>
      </c>
      <c r="L47">
        <f ca="1">+_xlfn.IFNA(VLOOKUP(M47,BespokeWindowsAreas!$A$1:$E$1999,1,FALSE),VLOOKUP(E47,WindowTypeArea!$B$2:$C$2000,2,FALSE))</f>
        <v>0</v>
      </c>
      <c r="M47">
        <f t="shared" ca="1" si="16"/>
        <v>5088506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</row>
    <row r="48" spans="1:38" x14ac:dyDescent="0.25">
      <c r="A48">
        <f t="shared" ca="1" si="3"/>
        <v>1</v>
      </c>
      <c r="B48">
        <f t="shared" ca="1" si="4"/>
        <v>31</v>
      </c>
      <c r="C48" t="str">
        <f t="shared" ca="1" si="17"/>
        <v>'WINDOWS-NCH-A-BDP-M3-LG-00'!B30</v>
      </c>
      <c r="D48" s="6" t="str">
        <f t="shared" ca="1" si="5"/>
        <v>LG-EAF-CAT-S099-02</v>
      </c>
      <c r="E48" t="str">
        <f t="shared" ca="1" si="9"/>
        <v>Family Type: 975w x 3200h, Family: Panel External Type 1 - Flush</v>
      </c>
      <c r="F48" t="str">
        <f t="shared" ca="1" si="10"/>
        <v>Vector(X = -0.212, Y = 0.977, Z = 0.000, Length = 1.000)</v>
      </c>
      <c r="G48">
        <f t="shared" ca="1" si="11"/>
        <v>-0.2</v>
      </c>
      <c r="H48">
        <f t="shared" ca="1" si="12"/>
        <v>1</v>
      </c>
      <c r="I48">
        <f t="shared" ca="1" si="13"/>
        <v>0</v>
      </c>
      <c r="J48" s="8">
        <f t="shared" ca="1" si="14"/>
        <v>101.3099324740202</v>
      </c>
      <c r="K48" s="9" t="str">
        <f t="shared" ca="1" si="15"/>
        <v>N</v>
      </c>
      <c r="L48">
        <f ca="1">+_xlfn.IFNA(VLOOKUP(M48,BespokeWindowsAreas!$A$1:$E$1999,1,FALSE),VLOOKUP(E48,WindowTypeArea!$B$2:$C$2000,2,FALSE))</f>
        <v>0</v>
      </c>
      <c r="M48">
        <f t="shared" ca="1" si="16"/>
        <v>5088557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</row>
    <row r="49" spans="1:29" x14ac:dyDescent="0.25">
      <c r="A49">
        <f t="shared" ca="1" si="3"/>
        <v>1</v>
      </c>
      <c r="B49">
        <f t="shared" ca="1" si="4"/>
        <v>32</v>
      </c>
      <c r="C49" t="str">
        <f t="shared" ca="1" si="17"/>
        <v>'WINDOWS-NCH-A-BDP-M3-LG-00'!B31</v>
      </c>
      <c r="D49" s="6" t="str">
        <f t="shared" ca="1" si="5"/>
        <v>LG-EAF-CAT-U0887-01</v>
      </c>
      <c r="E49" t="str">
        <f t="shared" ca="1" si="9"/>
        <v>LG-EAF-CAT-U0887-01</v>
      </c>
      <c r="F49">
        <f t="shared" ca="1" si="10"/>
        <v>2075911</v>
      </c>
      <c r="G49">
        <f t="shared" ca="1" si="11"/>
        <v>0</v>
      </c>
      <c r="H49">
        <f t="shared" ca="1" si="12"/>
        <v>0</v>
      </c>
      <c r="I49">
        <f t="shared" ca="1" si="13"/>
        <v>0</v>
      </c>
      <c r="J49" s="8" t="e">
        <f t="shared" ca="1" si="14"/>
        <v>#DIV/0!</v>
      </c>
      <c r="K49" s="9" t="e">
        <f t="shared" ca="1" si="15"/>
        <v>#DIV/0!</v>
      </c>
      <c r="L49" t="e">
        <f ca="1">+_xlfn.IFNA(VLOOKUP(M49,BespokeWindowsAreas!$A$1:$E$1999,1,FALSE),VLOOKUP(E49,WindowTypeArea!$B$2:$C$2000,2,FALSE))</f>
        <v>#N/A</v>
      </c>
      <c r="M49">
        <f t="shared" ca="1" si="16"/>
        <v>0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</row>
    <row r="50" spans="1:29" x14ac:dyDescent="0.25">
      <c r="A50">
        <f t="shared" ca="1" si="3"/>
        <v>1</v>
      </c>
      <c r="B50">
        <f t="shared" ca="1" si="4"/>
        <v>33</v>
      </c>
      <c r="C50" t="str">
        <f t="shared" ca="1" si="17"/>
        <v>'WINDOWS-NCH-A-BDP-M3-LG-00'!B32</v>
      </c>
      <c r="D50" s="6" t="str">
        <f t="shared" ca="1" si="5"/>
        <v>LG-EAF-CAT-U0887-01</v>
      </c>
      <c r="E50" t="str">
        <f t="shared" ca="1" si="9"/>
        <v>Family Type: 975w x 2400h, Family: Panel External Type 1 - Flush</v>
      </c>
      <c r="F50" t="str">
        <f t="shared" ca="1" si="10"/>
        <v>Vector(X = -0.212, Y = 0.977, Z = 0.000, Length = 1.000)</v>
      </c>
      <c r="G50">
        <f t="shared" ca="1" si="11"/>
        <v>-0.2</v>
      </c>
      <c r="H50">
        <f t="shared" ca="1" si="12"/>
        <v>1</v>
      </c>
      <c r="I50">
        <f t="shared" ca="1" si="13"/>
        <v>0</v>
      </c>
      <c r="J50" s="8">
        <f t="shared" ca="1" si="14"/>
        <v>101.3099324740202</v>
      </c>
      <c r="K50" s="9" t="str">
        <f t="shared" ca="1" si="15"/>
        <v>N</v>
      </c>
      <c r="L50" t="e">
        <f ca="1">+_xlfn.IFNA(VLOOKUP(M50,BespokeWindowsAreas!$A$1:$E$1999,1,FALSE),VLOOKUP(E50,WindowTypeArea!$B$2:$C$2000,2,FALSE))</f>
        <v>#N/A</v>
      </c>
      <c r="M50">
        <f t="shared" ca="1" si="16"/>
        <v>5095109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</row>
    <row r="51" spans="1:29" x14ac:dyDescent="0.25">
      <c r="A51">
        <f t="shared" ca="1" si="3"/>
        <v>1</v>
      </c>
      <c r="B51">
        <f t="shared" ca="1" si="4"/>
        <v>34</v>
      </c>
      <c r="C51" t="str">
        <f t="shared" ca="1" si="17"/>
        <v>'WINDOWS-NCH-A-BDP-M3-LG-00'!B33</v>
      </c>
      <c r="D51" s="6" t="str">
        <f t="shared" ca="1" si="5"/>
        <v>LG-EAF-CAT-U0888-01</v>
      </c>
      <c r="E51" t="str">
        <f t="shared" ca="1" si="9"/>
        <v>LG-EAF-CAT-U0888-01</v>
      </c>
      <c r="F51">
        <f t="shared" ca="1" si="10"/>
        <v>2075912</v>
      </c>
      <c r="G51">
        <f t="shared" ca="1" si="11"/>
        <v>0</v>
      </c>
      <c r="H51">
        <f t="shared" ca="1" si="12"/>
        <v>0</v>
      </c>
      <c r="I51">
        <f t="shared" ca="1" si="13"/>
        <v>0</v>
      </c>
      <c r="J51" s="8" t="e">
        <f t="shared" ca="1" si="14"/>
        <v>#DIV/0!</v>
      </c>
      <c r="K51" s="9" t="e">
        <f t="shared" ca="1" si="15"/>
        <v>#DIV/0!</v>
      </c>
      <c r="L51" t="e">
        <f ca="1">+_xlfn.IFNA(VLOOKUP(M51,BespokeWindowsAreas!$A$1:$E$1999,1,FALSE),VLOOKUP(E51,WindowTypeArea!$B$2:$C$2000,2,FALSE))</f>
        <v>#N/A</v>
      </c>
      <c r="M51">
        <f t="shared" ca="1" si="16"/>
        <v>0</v>
      </c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</row>
    <row r="52" spans="1:29" x14ac:dyDescent="0.25">
      <c r="A52">
        <f t="shared" ca="1" si="3"/>
        <v>1</v>
      </c>
      <c r="B52">
        <f t="shared" ca="1" si="4"/>
        <v>35</v>
      </c>
      <c r="C52" t="str">
        <f t="shared" ca="1" si="17"/>
        <v>'WINDOWS-NCH-A-BDP-M3-LG-00'!B34</v>
      </c>
      <c r="D52" s="6" t="str">
        <f t="shared" ref="D52:D83" ca="1" si="21">+IF(IFERROR(FIND("Family",E52)&gt;0,FALSE),D51,E52)</f>
        <v>LG-EAF-CAT-U0888-01</v>
      </c>
      <c r="E52" t="str">
        <f t="shared" ca="1" si="9"/>
        <v>Family Type: 975w x 2400h, Family: Panel External Type 1 - Flush</v>
      </c>
      <c r="F52" t="str">
        <f t="shared" ca="1" si="10"/>
        <v>Vector(X = -0.212, Y = 0.977, Z = 0.000, Length = 1.000)</v>
      </c>
      <c r="G52">
        <f t="shared" ca="1" si="11"/>
        <v>-0.2</v>
      </c>
      <c r="H52">
        <f t="shared" ca="1" si="12"/>
        <v>1</v>
      </c>
      <c r="I52">
        <f t="shared" ca="1" si="13"/>
        <v>0</v>
      </c>
      <c r="J52" s="8">
        <f t="shared" ca="1" si="14"/>
        <v>101.3099324740202</v>
      </c>
      <c r="K52" s="9" t="str">
        <f t="shared" ca="1" si="15"/>
        <v>N</v>
      </c>
      <c r="L52" t="e">
        <f ca="1">+_xlfn.IFNA(VLOOKUP(M52,BespokeWindowsAreas!$A$1:$E$1999,1,FALSE),VLOOKUP(E52,WindowTypeArea!$B$2:$C$2000,2,FALSE))</f>
        <v>#N/A</v>
      </c>
      <c r="M52">
        <f t="shared" ca="1" si="16"/>
        <v>5095047</v>
      </c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</row>
    <row r="53" spans="1:29" x14ac:dyDescent="0.25">
      <c r="A53">
        <f t="shared" ca="1" si="3"/>
        <v>1</v>
      </c>
      <c r="B53">
        <f t="shared" ca="1" si="4"/>
        <v>36</v>
      </c>
      <c r="C53" t="str">
        <f t="shared" ca="1" si="17"/>
        <v>'WINDOWS-NCH-A-BDP-M3-LG-00'!B35</v>
      </c>
      <c r="D53" s="6" t="str">
        <f t="shared" ca="1" si="21"/>
        <v>LG-EAF-CAT-U0889-01</v>
      </c>
      <c r="E53" t="str">
        <f t="shared" ca="1" si="9"/>
        <v>LG-EAF-CAT-U0889-01</v>
      </c>
      <c r="F53">
        <f t="shared" ca="1" si="10"/>
        <v>2075913</v>
      </c>
      <c r="G53">
        <f t="shared" ca="1" si="11"/>
        <v>0</v>
      </c>
      <c r="H53">
        <f t="shared" ca="1" si="12"/>
        <v>0</v>
      </c>
      <c r="I53">
        <f t="shared" ca="1" si="13"/>
        <v>0</v>
      </c>
      <c r="J53" s="8" t="e">
        <f t="shared" ca="1" si="14"/>
        <v>#DIV/0!</v>
      </c>
      <c r="K53" s="9" t="e">
        <f t="shared" ca="1" si="15"/>
        <v>#DIV/0!</v>
      </c>
      <c r="L53" t="e">
        <f ca="1">+_xlfn.IFNA(VLOOKUP(M53,BespokeWindowsAreas!$A$1:$E$1999,1,FALSE),VLOOKUP(E53,WindowTypeArea!$B$2:$C$2000,2,FALSE))</f>
        <v>#N/A</v>
      </c>
      <c r="M53">
        <f t="shared" ca="1" si="16"/>
        <v>0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</row>
    <row r="54" spans="1:29" x14ac:dyDescent="0.25">
      <c r="A54">
        <f t="shared" ca="1" si="3"/>
        <v>1</v>
      </c>
      <c r="B54">
        <f t="shared" ca="1" si="4"/>
        <v>37</v>
      </c>
      <c r="C54" t="str">
        <f t="shared" ca="1" si="17"/>
        <v>'WINDOWS-NCH-A-BDP-M3-LG-00'!B36</v>
      </c>
      <c r="D54" s="6" t="str">
        <f t="shared" ca="1" si="21"/>
        <v>LG-EAF-CAT-U0889-01</v>
      </c>
      <c r="E54" t="str">
        <f t="shared" ca="1" si="9"/>
        <v>Family Type: 975w x 2400h, Family: Panel External Type 1 - Flush</v>
      </c>
      <c r="F54" t="str">
        <f t="shared" ca="1" si="10"/>
        <v>Vector(X = -0.212, Y = 0.977, Z = 0.000, Length = 1.000)</v>
      </c>
      <c r="G54">
        <f t="shared" ca="1" si="11"/>
        <v>-0.2</v>
      </c>
      <c r="H54">
        <f t="shared" ca="1" si="12"/>
        <v>1</v>
      </c>
      <c r="I54">
        <f t="shared" ca="1" si="13"/>
        <v>0</v>
      </c>
      <c r="J54" s="8">
        <f t="shared" ca="1" si="14"/>
        <v>101.3099324740202</v>
      </c>
      <c r="K54" s="9" t="str">
        <f t="shared" ca="1" si="15"/>
        <v>N</v>
      </c>
      <c r="L54" t="e">
        <f ca="1">+_xlfn.IFNA(VLOOKUP(M54,BespokeWindowsAreas!$A$1:$E$1999,1,FALSE),VLOOKUP(E54,WindowTypeArea!$B$2:$C$2000,2,FALSE))</f>
        <v>#N/A</v>
      </c>
      <c r="M54">
        <f t="shared" ca="1" si="16"/>
        <v>5095464</v>
      </c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</row>
    <row r="55" spans="1:29" x14ac:dyDescent="0.25">
      <c r="A55">
        <f t="shared" ca="1" si="3"/>
        <v>1</v>
      </c>
      <c r="B55">
        <f t="shared" ca="1" si="4"/>
        <v>38</v>
      </c>
      <c r="C55" t="str">
        <f t="shared" ca="1" si="17"/>
        <v>'WINDOWS-NCH-A-BDP-M3-LG-00'!B37</v>
      </c>
      <c r="D55" s="6" t="str">
        <f t="shared" ca="1" si="21"/>
        <v>LG-EAF-CAT-U0892-01</v>
      </c>
      <c r="E55" t="str">
        <f t="shared" ca="1" si="9"/>
        <v>LG-EAF-CAT-U0892-01</v>
      </c>
      <c r="F55">
        <f t="shared" ca="1" si="10"/>
        <v>2075916</v>
      </c>
      <c r="G55">
        <f t="shared" ca="1" si="11"/>
        <v>0</v>
      </c>
      <c r="H55">
        <f t="shared" ca="1" si="12"/>
        <v>0</v>
      </c>
      <c r="I55">
        <f t="shared" ca="1" si="13"/>
        <v>0</v>
      </c>
      <c r="J55" s="8" t="e">
        <f t="shared" ca="1" si="14"/>
        <v>#DIV/0!</v>
      </c>
      <c r="K55" s="9" t="e">
        <f t="shared" ca="1" si="15"/>
        <v>#DIV/0!</v>
      </c>
      <c r="L55" t="e">
        <f ca="1">+_xlfn.IFNA(VLOOKUP(M55,BespokeWindowsAreas!$A$1:$E$1999,1,FALSE),VLOOKUP(E55,WindowTypeArea!$B$2:$C$2000,2,FALSE))</f>
        <v>#N/A</v>
      </c>
      <c r="M55">
        <f t="shared" ca="1" si="16"/>
        <v>0</v>
      </c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</row>
    <row r="56" spans="1:29" x14ac:dyDescent="0.25">
      <c r="A56">
        <f t="shared" ca="1" si="3"/>
        <v>1</v>
      </c>
      <c r="B56">
        <f t="shared" ca="1" si="4"/>
        <v>39</v>
      </c>
      <c r="C56" t="str">
        <f t="shared" ca="1" si="17"/>
        <v>'WINDOWS-NCH-A-BDP-M3-LG-00'!B38</v>
      </c>
      <c r="D56" s="6" t="str">
        <f t="shared" ca="1" si="21"/>
        <v>LG-EAF-CAT-U0892-01</v>
      </c>
      <c r="E56" t="str">
        <f t="shared" ca="1" si="9"/>
        <v>Family Type: 1950w x 2300h, Family: Window External Type 1 - Recessed</v>
      </c>
      <c r="F56" t="str">
        <f t="shared" ca="1" si="10"/>
        <v>Vector(X = 0.977, Y = 0.212, Z = 0.000, Length = 1.000)</v>
      </c>
      <c r="G56">
        <f t="shared" ca="1" si="11"/>
        <v>1</v>
      </c>
      <c r="H56">
        <f t="shared" ca="1" si="12"/>
        <v>0.2</v>
      </c>
      <c r="I56">
        <f t="shared" ca="1" si="13"/>
        <v>0</v>
      </c>
      <c r="J56" s="8">
        <f t="shared" ca="1" si="14"/>
        <v>11.309932474020215</v>
      </c>
      <c r="K56" s="9" t="str">
        <f t="shared" ca="1" si="15"/>
        <v>E</v>
      </c>
      <c r="L56">
        <f ca="1">+_xlfn.IFNA(VLOOKUP(M56,BespokeWindowsAreas!$A$1:$E$1999,1,FALSE),VLOOKUP(E56,WindowTypeArea!$B$2:$C$2000,2,FALSE))</f>
        <v>4.4850000000000003</v>
      </c>
      <c r="M56">
        <f t="shared" ca="1" si="16"/>
        <v>5256558</v>
      </c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</row>
    <row r="57" spans="1:29" x14ac:dyDescent="0.25">
      <c r="A57">
        <f t="shared" ca="1" si="3"/>
        <v>1</v>
      </c>
      <c r="B57">
        <f t="shared" ca="1" si="4"/>
        <v>40</v>
      </c>
      <c r="C57" t="str">
        <f t="shared" ca="1" si="17"/>
        <v>'WINDOWS-NCH-A-BDP-M3-LG-00'!B39</v>
      </c>
      <c r="D57" s="6" t="str">
        <f t="shared" ca="1" si="21"/>
        <v>LG-EAF-CAT-S115-02</v>
      </c>
      <c r="E57" t="str">
        <f t="shared" ca="1" si="9"/>
        <v>LG-EAF-CAT-S115-02</v>
      </c>
      <c r="F57">
        <f t="shared" ca="1" si="10"/>
        <v>2075926</v>
      </c>
      <c r="G57">
        <f t="shared" ca="1" si="11"/>
        <v>0</v>
      </c>
      <c r="H57">
        <f t="shared" ca="1" si="12"/>
        <v>0</v>
      </c>
      <c r="I57">
        <f t="shared" ca="1" si="13"/>
        <v>0</v>
      </c>
      <c r="J57" s="8" t="e">
        <f t="shared" ca="1" si="14"/>
        <v>#DIV/0!</v>
      </c>
      <c r="K57" s="9" t="e">
        <f t="shared" ca="1" si="15"/>
        <v>#DIV/0!</v>
      </c>
      <c r="L57" t="e">
        <f ca="1">+_xlfn.IFNA(VLOOKUP(M57,BespokeWindowsAreas!$A$1:$E$1999,1,FALSE),VLOOKUP(E57,WindowTypeArea!$B$2:$C$2000,2,FALSE))</f>
        <v>#N/A</v>
      </c>
      <c r="M57">
        <f t="shared" ca="1" si="16"/>
        <v>0</v>
      </c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</row>
    <row r="58" spans="1:29" x14ac:dyDescent="0.25">
      <c r="A58">
        <f t="shared" ca="1" si="3"/>
        <v>1</v>
      </c>
      <c r="B58">
        <f t="shared" ca="1" si="4"/>
        <v>41</v>
      </c>
      <c r="C58" t="str">
        <f t="shared" ca="1" si="17"/>
        <v>'WINDOWS-NCH-A-BDP-M3-LG-00'!B40</v>
      </c>
      <c r="D58" s="6" t="str">
        <f t="shared" ca="1" si="21"/>
        <v>LG-EAF-CAT-S115-02</v>
      </c>
      <c r="E58" t="str">
        <f t="shared" ca="1" si="9"/>
        <v>Family Type: 975w x 2300h, Family: Window External Type 1 - Recessed</v>
      </c>
      <c r="F58" t="str">
        <f t="shared" ca="1" si="10"/>
        <v>Vector(X = 0.977, Y = 0.212, Z = 0.000, Length = 1.000)</v>
      </c>
      <c r="G58">
        <f t="shared" ca="1" si="11"/>
        <v>1</v>
      </c>
      <c r="H58">
        <f t="shared" ca="1" si="12"/>
        <v>0.2</v>
      </c>
      <c r="I58">
        <f t="shared" ca="1" si="13"/>
        <v>0</v>
      </c>
      <c r="J58" s="8">
        <f t="shared" ca="1" si="14"/>
        <v>11.309932474020215</v>
      </c>
      <c r="K58" s="9" t="str">
        <f t="shared" ca="1" si="15"/>
        <v>E</v>
      </c>
      <c r="L58">
        <f ca="1">+_xlfn.IFNA(VLOOKUP(M58,BespokeWindowsAreas!$A$1:$E$1999,1,FALSE),VLOOKUP(E58,WindowTypeArea!$B$2:$C$2000,2,FALSE))</f>
        <v>2.2425000000000002</v>
      </c>
      <c r="M58">
        <f t="shared" ca="1" si="16"/>
        <v>5256022</v>
      </c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</row>
    <row r="59" spans="1:29" x14ac:dyDescent="0.25">
      <c r="A59">
        <f t="shared" ca="1" si="3"/>
        <v>1</v>
      </c>
      <c r="B59">
        <f t="shared" ca="1" si="4"/>
        <v>42</v>
      </c>
      <c r="C59" t="str">
        <f t="shared" ca="1" si="17"/>
        <v>'WINDOWS-NCH-A-BDP-M3-LG-00'!B41</v>
      </c>
      <c r="D59" s="6" t="str">
        <f t="shared" ca="1" si="21"/>
        <v>LG-OPD-CC1-S027-01</v>
      </c>
      <c r="E59" t="str">
        <f t="shared" ca="1" si="9"/>
        <v>LG-OPD-CC1-S027-01</v>
      </c>
      <c r="F59">
        <f t="shared" ca="1" si="10"/>
        <v>2075941</v>
      </c>
      <c r="G59">
        <f t="shared" ca="1" si="11"/>
        <v>0</v>
      </c>
      <c r="H59">
        <f t="shared" ca="1" si="12"/>
        <v>0</v>
      </c>
      <c r="I59">
        <f t="shared" ca="1" si="13"/>
        <v>0</v>
      </c>
      <c r="J59" s="8" t="e">
        <f t="shared" ca="1" si="14"/>
        <v>#DIV/0!</v>
      </c>
      <c r="K59" s="9" t="e">
        <f t="shared" ca="1" si="15"/>
        <v>#DIV/0!</v>
      </c>
      <c r="L59" t="e">
        <f ca="1">+_xlfn.IFNA(VLOOKUP(M59,BespokeWindowsAreas!$A$1:$E$1999,1,FALSE),VLOOKUP(E59,WindowTypeArea!$B$2:$C$2000,2,FALSE))</f>
        <v>#N/A</v>
      </c>
      <c r="M59">
        <f t="shared" ca="1" si="16"/>
        <v>0</v>
      </c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</row>
    <row r="60" spans="1:29" x14ac:dyDescent="0.25">
      <c r="A60">
        <f t="shared" ca="1" si="3"/>
        <v>1</v>
      </c>
      <c r="B60">
        <f t="shared" ca="1" si="4"/>
        <v>43</v>
      </c>
      <c r="C60" t="str">
        <f t="shared" ca="1" si="17"/>
        <v>'WINDOWS-NCH-A-BDP-M3-LG-00'!B42</v>
      </c>
      <c r="D60" s="6" t="str">
        <f t="shared" ca="1" si="21"/>
        <v>LG-OPD-CC1-S027-01</v>
      </c>
      <c r="E60" t="str">
        <f t="shared" ca="1" si="9"/>
        <v>Family Type: 975w x 3050h, Family: Window External Type 1 - Recessed</v>
      </c>
      <c r="F60" t="str">
        <f t="shared" ca="1" si="10"/>
        <v>Vector(X = -0.212, Y = 0.977, Z = 0.000, Length = 1.000)</v>
      </c>
      <c r="G60">
        <f t="shared" ca="1" si="11"/>
        <v>-0.2</v>
      </c>
      <c r="H60">
        <f t="shared" ca="1" si="12"/>
        <v>1</v>
      </c>
      <c r="I60">
        <f t="shared" ca="1" si="13"/>
        <v>0</v>
      </c>
      <c r="J60" s="8">
        <f t="shared" ca="1" si="14"/>
        <v>101.3099324740202</v>
      </c>
      <c r="K60" s="9" t="str">
        <f t="shared" ca="1" si="15"/>
        <v>N</v>
      </c>
      <c r="L60">
        <f ca="1">+_xlfn.IFNA(VLOOKUP(M60,BespokeWindowsAreas!$A$1:$E$1999,1,FALSE),VLOOKUP(E60,WindowTypeArea!$B$2:$C$2000,2,FALSE))</f>
        <v>2.9737499999999999</v>
      </c>
      <c r="M60">
        <f t="shared" ca="1" si="16"/>
        <v>5149027</v>
      </c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</row>
    <row r="61" spans="1:29" x14ac:dyDescent="0.25">
      <c r="A61">
        <f t="shared" ca="1" si="3"/>
        <v>1</v>
      </c>
      <c r="B61">
        <f t="shared" ca="1" si="4"/>
        <v>44</v>
      </c>
      <c r="C61" t="str">
        <f t="shared" ca="1" si="17"/>
        <v>'WINDOWS-NCH-A-BDP-M3-LG-00'!B43</v>
      </c>
      <c r="D61" s="6" t="str">
        <f t="shared" ca="1" si="21"/>
        <v>LG-OPD-CC1-S028-01</v>
      </c>
      <c r="E61" t="str">
        <f t="shared" ca="1" si="9"/>
        <v>LG-OPD-CC1-S028-01</v>
      </c>
      <c r="F61">
        <f t="shared" ca="1" si="10"/>
        <v>2075950</v>
      </c>
      <c r="G61">
        <f t="shared" ca="1" si="11"/>
        <v>0</v>
      </c>
      <c r="H61">
        <f t="shared" ca="1" si="12"/>
        <v>0</v>
      </c>
      <c r="I61">
        <f t="shared" ca="1" si="13"/>
        <v>0</v>
      </c>
      <c r="J61" s="8" t="e">
        <f t="shared" ca="1" si="14"/>
        <v>#DIV/0!</v>
      </c>
      <c r="K61" s="9" t="e">
        <f t="shared" ca="1" si="15"/>
        <v>#DIV/0!</v>
      </c>
      <c r="L61" t="e">
        <f ca="1">+_xlfn.IFNA(VLOOKUP(M61,BespokeWindowsAreas!$A$1:$E$1999,1,FALSE),VLOOKUP(E61,WindowTypeArea!$B$2:$C$2000,2,FALSE))</f>
        <v>#N/A</v>
      </c>
      <c r="M61">
        <f t="shared" ca="1" si="16"/>
        <v>0</v>
      </c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</row>
    <row r="62" spans="1:29" x14ac:dyDescent="0.25">
      <c r="A62">
        <f t="shared" ca="1" si="3"/>
        <v>1</v>
      </c>
      <c r="B62">
        <f t="shared" ca="1" si="4"/>
        <v>45</v>
      </c>
      <c r="C62" t="str">
        <f t="shared" ca="1" si="17"/>
        <v>'WINDOWS-NCH-A-BDP-M3-LG-00'!B44</v>
      </c>
      <c r="D62" s="6" t="str">
        <f t="shared" ca="1" si="21"/>
        <v>LG-OPD-CC1-S028-01</v>
      </c>
      <c r="E62" t="str">
        <f t="shared" ca="1" si="9"/>
        <v>Family Type: 975w x 3050h, Family: Window External Type 1 - Recessed</v>
      </c>
      <c r="F62" t="str">
        <f t="shared" ca="1" si="10"/>
        <v>Vector(X = 0.323, Y = -0.946, Z = 0.000, Length = 1.000)</v>
      </c>
      <c r="G62">
        <f t="shared" ca="1" si="11"/>
        <v>0.3</v>
      </c>
      <c r="H62">
        <f t="shared" ca="1" si="12"/>
        <v>-0.9</v>
      </c>
      <c r="I62">
        <f t="shared" ca="1" si="13"/>
        <v>0</v>
      </c>
      <c r="J62" s="8">
        <f t="shared" ca="1" si="14"/>
        <v>-71.56505117707799</v>
      </c>
      <c r="K62" s="9" t="str">
        <f t="shared" ca="1" si="15"/>
        <v>S</v>
      </c>
      <c r="L62">
        <f ca="1">+_xlfn.IFNA(VLOOKUP(M62,BespokeWindowsAreas!$A$1:$E$1999,1,FALSE),VLOOKUP(E62,WindowTypeArea!$B$2:$C$2000,2,FALSE))</f>
        <v>2.9737499999999999</v>
      </c>
      <c r="M62">
        <f t="shared" ca="1" si="16"/>
        <v>4791362</v>
      </c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</row>
    <row r="63" spans="1:29" x14ac:dyDescent="0.25">
      <c r="A63">
        <f t="shared" ca="1" si="3"/>
        <v>1</v>
      </c>
      <c r="B63">
        <f t="shared" ca="1" si="4"/>
        <v>46</v>
      </c>
      <c r="C63" t="str">
        <f t="shared" ca="1" si="17"/>
        <v>'WINDOWS-NCH-A-BDP-M3-LG-00'!B45</v>
      </c>
      <c r="D63" s="6" t="str">
        <f t="shared" ca="1" si="21"/>
        <v>none</v>
      </c>
      <c r="E63" t="str">
        <f t="shared" ca="1" si="9"/>
        <v>none</v>
      </c>
      <c r="F63" t="str">
        <f t="shared" ca="1" si="10"/>
        <v>Vector(X = 0.323, Y = -0.946, Z = 0.000, Length = 1.000)</v>
      </c>
      <c r="G63">
        <f t="shared" ca="1" si="11"/>
        <v>0.3</v>
      </c>
      <c r="H63">
        <f t="shared" ca="1" si="12"/>
        <v>-0.9</v>
      </c>
      <c r="I63">
        <f t="shared" ca="1" si="13"/>
        <v>0</v>
      </c>
      <c r="J63" s="8">
        <f t="shared" ca="1" si="14"/>
        <v>-71.56505117707799</v>
      </c>
      <c r="K63" s="9" t="str">
        <f t="shared" ca="1" si="15"/>
        <v>S</v>
      </c>
      <c r="L63" t="e">
        <f ca="1">+_xlfn.IFNA(VLOOKUP(M63,BespokeWindowsAreas!$A$1:$E$1999,1,FALSE),VLOOKUP(E63,WindowTypeArea!$B$2:$C$2000,2,FALSE))</f>
        <v>#N/A</v>
      </c>
      <c r="M63">
        <f t="shared" ca="1" si="16"/>
        <v>5168575</v>
      </c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</row>
    <row r="64" spans="1:29" x14ac:dyDescent="0.25">
      <c r="A64">
        <f t="shared" ca="1" si="3"/>
        <v>1</v>
      </c>
      <c r="B64">
        <f t="shared" ca="1" si="4"/>
        <v>47</v>
      </c>
      <c r="C64" t="str">
        <f t="shared" ca="1" si="17"/>
        <v>'WINDOWS-NCH-A-BDP-M3-LG-00'!B46</v>
      </c>
      <c r="D64" s="6" t="str">
        <f t="shared" ca="1" si="21"/>
        <v>LG-OPD-CC1-S034-01</v>
      </c>
      <c r="E64" t="str">
        <f t="shared" ca="1" si="9"/>
        <v>LG-OPD-CC1-S034-01</v>
      </c>
      <c r="F64">
        <f t="shared" ca="1" si="10"/>
        <v>2075953</v>
      </c>
      <c r="G64">
        <f t="shared" ca="1" si="11"/>
        <v>0</v>
      </c>
      <c r="H64">
        <f t="shared" ca="1" si="12"/>
        <v>0</v>
      </c>
      <c r="I64">
        <f t="shared" ca="1" si="13"/>
        <v>0</v>
      </c>
      <c r="J64" s="8" t="e">
        <f t="shared" ca="1" si="14"/>
        <v>#DIV/0!</v>
      </c>
      <c r="K64" s="9" t="e">
        <f t="shared" ca="1" si="15"/>
        <v>#DIV/0!</v>
      </c>
      <c r="L64" t="e">
        <f ca="1">+_xlfn.IFNA(VLOOKUP(M64,BespokeWindowsAreas!$A$1:$E$1999,1,FALSE),VLOOKUP(E64,WindowTypeArea!$B$2:$C$2000,2,FALSE))</f>
        <v>#N/A</v>
      </c>
      <c r="M64">
        <f t="shared" ca="1" si="16"/>
        <v>0</v>
      </c>
    </row>
    <row r="65" spans="1:13" x14ac:dyDescent="0.25">
      <c r="A65">
        <f t="shared" ca="1" si="3"/>
        <v>1</v>
      </c>
      <c r="B65">
        <f t="shared" ca="1" si="4"/>
        <v>48</v>
      </c>
      <c r="C65" t="str">
        <f t="shared" ca="1" si="17"/>
        <v>'WINDOWS-NCH-A-BDP-M3-LG-00'!B47</v>
      </c>
      <c r="D65" s="6" t="str">
        <f t="shared" ca="1" si="21"/>
        <v>LG-OPD-CC1-S034-01</v>
      </c>
      <c r="E65" t="str">
        <f t="shared" ca="1" si="9"/>
        <v>Family Type: 1950w x 3050h, Family: Window External Type 3 - Recessed and Angle</v>
      </c>
      <c r="F65" t="str">
        <f t="shared" ca="1" si="10"/>
        <v>Vector(X = 0.212, Y = -0.977, Z = 0.000, Length = 1.000)</v>
      </c>
      <c r="G65">
        <f t="shared" ca="1" si="11"/>
        <v>0.2</v>
      </c>
      <c r="H65">
        <f t="shared" ca="1" si="12"/>
        <v>-1</v>
      </c>
      <c r="I65">
        <f t="shared" ca="1" si="13"/>
        <v>0</v>
      </c>
      <c r="J65" s="8">
        <f t="shared" ca="1" si="14"/>
        <v>-78.690067525979785</v>
      </c>
      <c r="K65" s="9" t="str">
        <f t="shared" ca="1" si="15"/>
        <v>S</v>
      </c>
      <c r="L65">
        <f ca="1">+_xlfn.IFNA(VLOOKUP(M65,BespokeWindowsAreas!$A$1:$E$1999,1,FALSE),VLOOKUP(E65,WindowTypeArea!$B$2:$C$2000,2,FALSE))</f>
        <v>5.9474999999999998</v>
      </c>
      <c r="M65">
        <f t="shared" ca="1" si="16"/>
        <v>4865747</v>
      </c>
    </row>
    <row r="66" spans="1:13" x14ac:dyDescent="0.25">
      <c r="A66">
        <f t="shared" ca="1" si="3"/>
        <v>1</v>
      </c>
      <c r="B66">
        <f t="shared" ca="1" si="4"/>
        <v>49</v>
      </c>
      <c r="C66" t="str">
        <f t="shared" ca="1" si="17"/>
        <v>'WINDOWS-NCH-A-BDP-M3-LG-00'!B48</v>
      </c>
      <c r="D66" s="6" t="str">
        <f t="shared" ca="1" si="21"/>
        <v>LG-OPD-CC1-S064-01</v>
      </c>
      <c r="E66" t="str">
        <f t="shared" ca="1" si="9"/>
        <v>LG-OPD-CC1-S064-01</v>
      </c>
      <c r="F66">
        <f t="shared" ca="1" si="10"/>
        <v>2075964</v>
      </c>
      <c r="G66">
        <f t="shared" ca="1" si="11"/>
        <v>0</v>
      </c>
      <c r="H66">
        <f t="shared" ca="1" si="12"/>
        <v>0</v>
      </c>
      <c r="I66">
        <f t="shared" ca="1" si="13"/>
        <v>0</v>
      </c>
      <c r="J66" s="8" t="e">
        <f t="shared" ca="1" si="14"/>
        <v>#DIV/0!</v>
      </c>
      <c r="K66" s="9" t="e">
        <f t="shared" ca="1" si="15"/>
        <v>#DIV/0!</v>
      </c>
      <c r="L66" t="e">
        <f ca="1">+_xlfn.IFNA(VLOOKUP(M66,BespokeWindowsAreas!$A$1:$E$1999,1,FALSE),VLOOKUP(E66,WindowTypeArea!$B$2:$C$2000,2,FALSE))</f>
        <v>#N/A</v>
      </c>
      <c r="M66">
        <f t="shared" ca="1" si="16"/>
        <v>0</v>
      </c>
    </row>
    <row r="67" spans="1:13" x14ac:dyDescent="0.25">
      <c r="A67">
        <f t="shared" ca="1" si="3"/>
        <v>1</v>
      </c>
      <c r="B67">
        <f t="shared" ca="1" si="4"/>
        <v>50</v>
      </c>
      <c r="C67" t="str">
        <f t="shared" ca="1" si="17"/>
        <v>'WINDOWS-NCH-A-BDP-M3-LG-00'!B49</v>
      </c>
      <c r="D67" s="6" t="str">
        <f t="shared" ca="1" si="21"/>
        <v>LG-OPD-CC1-S064-01</v>
      </c>
      <c r="E67" t="str">
        <f t="shared" ca="1" si="9"/>
        <v>Family Type: 975w x 3050h, Family: Window External Type 1 - Recessed</v>
      </c>
      <c r="F67" t="str">
        <f t="shared" ca="1" si="10"/>
        <v>Vector(X = -0.212, Y = 0.977, Z = 0.000, Length = 1.000)</v>
      </c>
      <c r="G67">
        <f t="shared" ca="1" si="11"/>
        <v>-0.2</v>
      </c>
      <c r="H67">
        <f t="shared" ca="1" si="12"/>
        <v>1</v>
      </c>
      <c r="I67">
        <f t="shared" ca="1" si="13"/>
        <v>0</v>
      </c>
      <c r="J67" s="8">
        <f t="shared" ca="1" si="14"/>
        <v>101.3099324740202</v>
      </c>
      <c r="K67" s="9" t="str">
        <f t="shared" ca="1" si="15"/>
        <v>N</v>
      </c>
      <c r="L67">
        <f ca="1">+_xlfn.IFNA(VLOOKUP(M67,BespokeWindowsAreas!$A$1:$E$1999,1,FALSE),VLOOKUP(E67,WindowTypeArea!$B$2:$C$2000,2,FALSE))</f>
        <v>2.9737499999999999</v>
      </c>
      <c r="M67">
        <f t="shared" ca="1" si="16"/>
        <v>4790597</v>
      </c>
    </row>
    <row r="68" spans="1:13" x14ac:dyDescent="0.25">
      <c r="A68">
        <f t="shared" ca="1" si="3"/>
        <v>1</v>
      </c>
      <c r="B68">
        <f t="shared" ca="1" si="4"/>
        <v>51</v>
      </c>
      <c r="C68" t="str">
        <f t="shared" ca="1" si="17"/>
        <v>'WINDOWS-NCH-A-BDP-M3-LG-00'!B50</v>
      </c>
      <c r="D68" s="6" t="str">
        <f t="shared" ca="1" si="21"/>
        <v>LG-OPD-CC1-L046-01</v>
      </c>
      <c r="E68" t="str">
        <f t="shared" ca="1" si="9"/>
        <v>LG-OPD-CC1-L046-01</v>
      </c>
      <c r="F68">
        <f t="shared" ca="1" si="10"/>
        <v>2075967</v>
      </c>
      <c r="G68">
        <f t="shared" ca="1" si="11"/>
        <v>0</v>
      </c>
      <c r="H68">
        <f t="shared" ca="1" si="12"/>
        <v>0</v>
      </c>
      <c r="I68">
        <f t="shared" ca="1" si="13"/>
        <v>0</v>
      </c>
      <c r="J68" s="8" t="e">
        <f t="shared" ca="1" si="14"/>
        <v>#DIV/0!</v>
      </c>
      <c r="K68" s="9" t="e">
        <f t="shared" ca="1" si="15"/>
        <v>#DIV/0!</v>
      </c>
      <c r="L68" t="e">
        <f ca="1">+_xlfn.IFNA(VLOOKUP(M68,BespokeWindowsAreas!$A$1:$E$1999,1,FALSE),VLOOKUP(E68,WindowTypeArea!$B$2:$C$2000,2,FALSE))</f>
        <v>#N/A</v>
      </c>
      <c r="M68">
        <f t="shared" ca="1" si="16"/>
        <v>0</v>
      </c>
    </row>
    <row r="69" spans="1:13" x14ac:dyDescent="0.25">
      <c r="A69">
        <f t="shared" ca="1" si="3"/>
        <v>1</v>
      </c>
      <c r="B69">
        <f t="shared" ca="1" si="4"/>
        <v>52</v>
      </c>
      <c r="C69" t="str">
        <f t="shared" ca="1" si="17"/>
        <v>'WINDOWS-NCH-A-BDP-M3-LG-00'!B51</v>
      </c>
      <c r="D69" s="6" t="str">
        <f t="shared" ca="1" si="21"/>
        <v>LG-OPD-CC1-L046-01</v>
      </c>
      <c r="E69" t="str">
        <f t="shared" ca="1" si="9"/>
        <v>Family Type: 1000w x 3050h, Family: Window External Type 2 - Recessed and Fin</v>
      </c>
      <c r="F69" t="str">
        <f t="shared" ca="1" si="10"/>
        <v>Vector(X = 0.212, Y = -0.977, Z = 0.000, Length = 1.000)</v>
      </c>
      <c r="G69">
        <f t="shared" ca="1" si="11"/>
        <v>0.2</v>
      </c>
      <c r="H69">
        <f t="shared" ca="1" si="12"/>
        <v>-1</v>
      </c>
      <c r="I69">
        <f t="shared" ca="1" si="13"/>
        <v>0</v>
      </c>
      <c r="J69" s="8">
        <f t="shared" ca="1" si="14"/>
        <v>-78.690067525979785</v>
      </c>
      <c r="K69" s="9" t="str">
        <f t="shared" ca="1" si="15"/>
        <v>S</v>
      </c>
      <c r="L69">
        <f ca="1">+_xlfn.IFNA(VLOOKUP(M69,BespokeWindowsAreas!$A$1:$E$1999,1,FALSE),VLOOKUP(E69,WindowTypeArea!$B$2:$C$2000,2,FALSE))</f>
        <v>3.05</v>
      </c>
      <c r="M69">
        <f t="shared" ca="1" si="16"/>
        <v>4866402</v>
      </c>
    </row>
    <row r="70" spans="1:13" x14ac:dyDescent="0.25">
      <c r="A70">
        <f t="shared" ca="1" si="3"/>
        <v>1</v>
      </c>
      <c r="B70">
        <f t="shared" ca="1" si="4"/>
        <v>53</v>
      </c>
      <c r="C70" t="str">
        <f t="shared" ca="1" si="17"/>
        <v>'WINDOWS-NCH-A-BDP-M3-LG-00'!B52</v>
      </c>
      <c r="D70" s="6" t="str">
        <f t="shared" ca="1" si="21"/>
        <v>LG-OPD-CC1-L046-01</v>
      </c>
      <c r="E70" t="str">
        <f t="shared" ca="1" si="9"/>
        <v>Family Type: manual 1.5m2</v>
      </c>
      <c r="F70" t="str">
        <f t="shared" ca="1" si="10"/>
        <v>Vector(X = 0.212, Y = -0.977, Z = 0.000, Length = 1.000)</v>
      </c>
      <c r="G70">
        <f t="shared" ca="1" si="11"/>
        <v>0.2</v>
      </c>
      <c r="H70">
        <f t="shared" ca="1" si="12"/>
        <v>-1</v>
      </c>
      <c r="I70">
        <f t="shared" ca="1" si="13"/>
        <v>0</v>
      </c>
      <c r="J70" s="8">
        <f t="shared" ca="1" si="14"/>
        <v>-78.690067525979785</v>
      </c>
      <c r="K70" s="9" t="str">
        <f t="shared" ca="1" si="15"/>
        <v>S</v>
      </c>
      <c r="L70">
        <f ca="1">+_xlfn.IFNA(VLOOKUP(M70,BespokeWindowsAreas!$A$1:$E$1999,1,FALSE),VLOOKUP(E70,WindowTypeArea!$B$2:$C$2000,2,FALSE))</f>
        <v>1.5</v>
      </c>
      <c r="M70">
        <f t="shared" ca="1" si="16"/>
        <v>4868741</v>
      </c>
    </row>
    <row r="71" spans="1:13" x14ac:dyDescent="0.25">
      <c r="A71">
        <f t="shared" ca="1" si="3"/>
        <v>1</v>
      </c>
      <c r="B71">
        <f t="shared" ca="1" si="4"/>
        <v>54</v>
      </c>
      <c r="C71" t="str">
        <f t="shared" ca="1" si="17"/>
        <v>'WINDOWS-NCH-A-BDP-M3-LG-00'!B53</v>
      </c>
      <c r="D71" s="6" t="str">
        <f t="shared" ca="1" si="21"/>
        <v>LG-OPD-CC1-U0148-01</v>
      </c>
      <c r="E71" t="str">
        <f t="shared" ca="1" si="9"/>
        <v>LG-OPD-CC1-U0148-01</v>
      </c>
      <c r="F71">
        <f t="shared" ca="1" si="10"/>
        <v>2075968</v>
      </c>
      <c r="G71">
        <f t="shared" ca="1" si="11"/>
        <v>0</v>
      </c>
      <c r="H71">
        <f t="shared" ca="1" si="12"/>
        <v>0</v>
      </c>
      <c r="I71">
        <f t="shared" ca="1" si="13"/>
        <v>0</v>
      </c>
      <c r="J71" s="8" t="e">
        <f t="shared" ca="1" si="14"/>
        <v>#DIV/0!</v>
      </c>
      <c r="K71" s="9" t="e">
        <f t="shared" ca="1" si="15"/>
        <v>#DIV/0!</v>
      </c>
      <c r="L71" t="e">
        <f ca="1">+_xlfn.IFNA(VLOOKUP(M71,BespokeWindowsAreas!$A$1:$E$1999,1,FALSE),VLOOKUP(E71,WindowTypeArea!$B$2:$C$2000,2,FALSE))</f>
        <v>#N/A</v>
      </c>
      <c r="M71">
        <f t="shared" ca="1" si="16"/>
        <v>0</v>
      </c>
    </row>
    <row r="72" spans="1:13" x14ac:dyDescent="0.25">
      <c r="A72">
        <f t="shared" ca="1" si="3"/>
        <v>1</v>
      </c>
      <c r="B72">
        <f t="shared" ca="1" si="4"/>
        <v>55</v>
      </c>
      <c r="C72" t="str">
        <f t="shared" ca="1" si="17"/>
        <v>'WINDOWS-NCH-A-BDP-M3-LG-00'!B54</v>
      </c>
      <c r="D72" s="6" t="str">
        <f t="shared" ca="1" si="21"/>
        <v>LG-OPD-CC1-U0148-01</v>
      </c>
      <c r="E72" t="str">
        <f t="shared" ca="1" si="9"/>
        <v>Family Type: 1500w x 3050h, Family: Window External Type 3 - Recessed and Angle</v>
      </c>
      <c r="F72" t="str">
        <f t="shared" ca="1" si="10"/>
        <v>Vector(X = -0.212, Y = 0.977, Z = 0.000, Length = 1.000)</v>
      </c>
      <c r="G72">
        <f t="shared" ca="1" si="11"/>
        <v>-0.2</v>
      </c>
      <c r="H72">
        <f t="shared" ca="1" si="12"/>
        <v>1</v>
      </c>
      <c r="I72">
        <f t="shared" ca="1" si="13"/>
        <v>0</v>
      </c>
      <c r="J72" s="8">
        <f t="shared" ca="1" si="14"/>
        <v>101.3099324740202</v>
      </c>
      <c r="K72" s="9" t="str">
        <f t="shared" ca="1" si="15"/>
        <v>N</v>
      </c>
      <c r="L72">
        <f ca="1">+_xlfn.IFNA(VLOOKUP(M72,BespokeWindowsAreas!$A$1:$E$1999,1,FALSE),VLOOKUP(E72,WindowTypeArea!$B$2:$C$2000,2,FALSE))</f>
        <v>4.5750000000000002</v>
      </c>
      <c r="M72">
        <f t="shared" ca="1" si="16"/>
        <v>4790893</v>
      </c>
    </row>
    <row r="73" spans="1:13" x14ac:dyDescent="0.25">
      <c r="A73">
        <f t="shared" ca="1" si="3"/>
        <v>1</v>
      </c>
      <c r="B73">
        <f t="shared" ca="1" si="4"/>
        <v>56</v>
      </c>
      <c r="C73" t="str">
        <f t="shared" ca="1" si="17"/>
        <v>'WINDOWS-NCH-A-BDP-M3-LG-00'!B55</v>
      </c>
      <c r="D73" s="6" t="str">
        <f t="shared" ca="1" si="21"/>
        <v>LG-OPD-CC1-U0148-01</v>
      </c>
      <c r="E73" t="str">
        <f t="shared" ca="1" si="9"/>
        <v>Family Type: 975w x 3050h, Family: Window External Type 1 - Recessed</v>
      </c>
      <c r="F73" t="str">
        <f t="shared" ca="1" si="10"/>
        <v>Vector(X = -0.212, Y = 0.977, Z = 0.000, Length = 1.000)</v>
      </c>
      <c r="G73">
        <f t="shared" ca="1" si="11"/>
        <v>-0.2</v>
      </c>
      <c r="H73">
        <f t="shared" ca="1" si="12"/>
        <v>1</v>
      </c>
      <c r="I73">
        <f t="shared" ca="1" si="13"/>
        <v>0</v>
      </c>
      <c r="J73" s="8">
        <f t="shared" ca="1" si="14"/>
        <v>101.3099324740202</v>
      </c>
      <c r="K73" s="9" t="str">
        <f t="shared" ca="1" si="15"/>
        <v>N</v>
      </c>
      <c r="L73">
        <f ca="1">+_xlfn.IFNA(VLOOKUP(M73,BespokeWindowsAreas!$A$1:$E$1999,1,FALSE),VLOOKUP(E73,WindowTypeArea!$B$2:$C$2000,2,FALSE))</f>
        <v>2.9737499999999999</v>
      </c>
      <c r="M73">
        <f t="shared" ca="1" si="16"/>
        <v>4790915</v>
      </c>
    </row>
    <row r="74" spans="1:13" x14ac:dyDescent="0.25">
      <c r="A74">
        <f t="shared" ca="1" si="3"/>
        <v>1</v>
      </c>
      <c r="B74">
        <f t="shared" ca="1" si="4"/>
        <v>57</v>
      </c>
      <c r="C74" t="str">
        <f t="shared" ca="1" si="17"/>
        <v>'WINDOWS-NCH-A-BDP-M3-LG-00'!B56</v>
      </c>
      <c r="D74" s="6" t="str">
        <f t="shared" ca="1" si="21"/>
        <v>LG-OPD-CC1-S108-05</v>
      </c>
      <c r="E74" t="str">
        <f t="shared" ca="1" si="9"/>
        <v>LG-OPD-CC1-S108-05</v>
      </c>
      <c r="F74">
        <f t="shared" ca="1" si="10"/>
        <v>2075973</v>
      </c>
      <c r="G74">
        <f t="shared" ca="1" si="11"/>
        <v>0</v>
      </c>
      <c r="H74">
        <f t="shared" ca="1" si="12"/>
        <v>0</v>
      </c>
      <c r="I74">
        <f t="shared" ca="1" si="13"/>
        <v>0</v>
      </c>
      <c r="J74" s="8" t="e">
        <f t="shared" ca="1" si="14"/>
        <v>#DIV/0!</v>
      </c>
      <c r="K74" s="9" t="e">
        <f t="shared" ca="1" si="15"/>
        <v>#DIV/0!</v>
      </c>
      <c r="L74" t="e">
        <f ca="1">+_xlfn.IFNA(VLOOKUP(M74,BespokeWindowsAreas!$A$1:$E$1999,1,FALSE),VLOOKUP(E74,WindowTypeArea!$B$2:$C$2000,2,FALSE))</f>
        <v>#N/A</v>
      </c>
      <c r="M74">
        <f t="shared" ca="1" si="16"/>
        <v>0</v>
      </c>
    </row>
    <row r="75" spans="1:13" x14ac:dyDescent="0.25">
      <c r="A75">
        <f t="shared" ca="1" si="3"/>
        <v>1</v>
      </c>
      <c r="B75">
        <f t="shared" ca="1" si="4"/>
        <v>58</v>
      </c>
      <c r="C75" t="str">
        <f t="shared" ca="1" si="17"/>
        <v>'WINDOWS-NCH-A-BDP-M3-LG-00'!B57</v>
      </c>
      <c r="D75" s="6" t="str">
        <f t="shared" ca="1" si="21"/>
        <v>LG-OPD-CC1-S108-05</v>
      </c>
      <c r="E75" t="str">
        <f t="shared" ca="1" si="9"/>
        <v>Family Type: 1950w x 3050h, Family: Window External Type 3 - Recessed and Angle</v>
      </c>
      <c r="F75" t="str">
        <f t="shared" ca="1" si="10"/>
        <v>Vector(X = -0.212, Y = 0.977, Z = 0.000, Length = 1.000)</v>
      </c>
      <c r="G75">
        <f t="shared" ca="1" si="11"/>
        <v>-0.2</v>
      </c>
      <c r="H75">
        <f t="shared" ca="1" si="12"/>
        <v>1</v>
      </c>
      <c r="I75">
        <f t="shared" ca="1" si="13"/>
        <v>0</v>
      </c>
      <c r="J75" s="8">
        <f t="shared" ca="1" si="14"/>
        <v>101.3099324740202</v>
      </c>
      <c r="K75" s="9" t="str">
        <f t="shared" ca="1" si="15"/>
        <v>N</v>
      </c>
      <c r="L75">
        <f ca="1">+_xlfn.IFNA(VLOOKUP(M75,BespokeWindowsAreas!$A$1:$E$1999,1,FALSE),VLOOKUP(E75,WindowTypeArea!$B$2:$C$2000,2,FALSE))</f>
        <v>5.9474999999999998</v>
      </c>
      <c r="M75">
        <f t="shared" ca="1" si="16"/>
        <v>4790737</v>
      </c>
    </row>
    <row r="76" spans="1:13" x14ac:dyDescent="0.25">
      <c r="A76">
        <f t="shared" ca="1" si="3"/>
        <v>1</v>
      </c>
      <c r="B76">
        <f t="shared" ca="1" si="4"/>
        <v>59</v>
      </c>
      <c r="C76" t="str">
        <f t="shared" ca="1" si="17"/>
        <v>'WINDOWS-NCH-A-BDP-M3-LG-00'!B58</v>
      </c>
      <c r="D76" s="6" t="str">
        <f t="shared" ca="1" si="21"/>
        <v>LG-OPD-CC1-S059-01</v>
      </c>
      <c r="E76" t="str">
        <f t="shared" ca="1" si="9"/>
        <v>LG-OPD-CC1-S059-01</v>
      </c>
      <c r="F76">
        <f t="shared" ca="1" si="10"/>
        <v>2075974</v>
      </c>
      <c r="G76">
        <f t="shared" ca="1" si="11"/>
        <v>0</v>
      </c>
      <c r="H76">
        <f t="shared" ca="1" si="12"/>
        <v>0</v>
      </c>
      <c r="I76">
        <f t="shared" ca="1" si="13"/>
        <v>0</v>
      </c>
      <c r="J76" s="8" t="e">
        <f t="shared" ca="1" si="14"/>
        <v>#DIV/0!</v>
      </c>
      <c r="K76" s="9" t="e">
        <f t="shared" ca="1" si="15"/>
        <v>#DIV/0!</v>
      </c>
      <c r="L76" t="e">
        <f ca="1">+_xlfn.IFNA(VLOOKUP(M76,BespokeWindowsAreas!$A$1:$E$1999,1,FALSE),VLOOKUP(E76,WindowTypeArea!$B$2:$C$2000,2,FALSE))</f>
        <v>#N/A</v>
      </c>
      <c r="M76">
        <f t="shared" ca="1" si="16"/>
        <v>0</v>
      </c>
    </row>
    <row r="77" spans="1:13" x14ac:dyDescent="0.25">
      <c r="A77">
        <f t="shared" ca="1" si="3"/>
        <v>1</v>
      </c>
      <c r="B77">
        <f t="shared" ca="1" si="4"/>
        <v>60</v>
      </c>
      <c r="C77" t="str">
        <f t="shared" ca="1" si="17"/>
        <v>'WINDOWS-NCH-A-BDP-M3-LG-00'!B59</v>
      </c>
      <c r="D77" s="6" t="str">
        <f t="shared" ca="1" si="21"/>
        <v>LG-OPD-CC1-S059-01</v>
      </c>
      <c r="E77" t="str">
        <f t="shared" ca="1" si="9"/>
        <v>Family Type: 975w x 3050h, Family: Window External Type 1 - Recessed</v>
      </c>
      <c r="F77" t="str">
        <f t="shared" ca="1" si="10"/>
        <v>Vector(X = -0.212, Y = 0.977, Z = 0.000, Length = 1.000)</v>
      </c>
      <c r="G77">
        <f t="shared" ca="1" si="11"/>
        <v>-0.2</v>
      </c>
      <c r="H77">
        <f t="shared" ca="1" si="12"/>
        <v>1</v>
      </c>
      <c r="I77">
        <f t="shared" ca="1" si="13"/>
        <v>0</v>
      </c>
      <c r="J77" s="8">
        <f t="shared" ca="1" si="14"/>
        <v>101.3099324740202</v>
      </c>
      <c r="K77" s="9" t="str">
        <f t="shared" ca="1" si="15"/>
        <v>N</v>
      </c>
      <c r="L77">
        <f ca="1">+_xlfn.IFNA(VLOOKUP(M77,BespokeWindowsAreas!$A$1:$E$1999,1,FALSE),VLOOKUP(E77,WindowTypeArea!$B$2:$C$2000,2,FALSE))</f>
        <v>2.9737499999999999</v>
      </c>
      <c r="M77">
        <f t="shared" ca="1" si="16"/>
        <v>4790809</v>
      </c>
    </row>
    <row r="78" spans="1:13" x14ac:dyDescent="0.25">
      <c r="A78">
        <f t="shared" ca="1" si="3"/>
        <v>1</v>
      </c>
      <c r="B78">
        <f t="shared" ca="1" si="4"/>
        <v>61</v>
      </c>
      <c r="C78" t="str">
        <f t="shared" ca="1" si="17"/>
        <v>'WINDOWS-NCH-A-BDP-M3-LG-00'!B60</v>
      </c>
      <c r="D78" s="6" t="str">
        <f t="shared" ca="1" si="21"/>
        <v>LG-OPD-CC1-S028-18</v>
      </c>
      <c r="E78" t="str">
        <f t="shared" ca="1" si="9"/>
        <v>LG-OPD-CC1-S028-18</v>
      </c>
      <c r="F78">
        <f t="shared" ca="1" si="10"/>
        <v>2075991</v>
      </c>
      <c r="G78">
        <f t="shared" ca="1" si="11"/>
        <v>0</v>
      </c>
      <c r="H78">
        <f t="shared" ca="1" si="12"/>
        <v>0</v>
      </c>
      <c r="I78">
        <f t="shared" ca="1" si="13"/>
        <v>0</v>
      </c>
      <c r="J78" s="8" t="e">
        <f t="shared" ca="1" si="14"/>
        <v>#DIV/0!</v>
      </c>
      <c r="K78" s="9" t="e">
        <f t="shared" ca="1" si="15"/>
        <v>#DIV/0!</v>
      </c>
      <c r="L78" t="e">
        <f ca="1">+_xlfn.IFNA(VLOOKUP(M78,BespokeWindowsAreas!$A$1:$E$1999,1,FALSE),VLOOKUP(E78,WindowTypeArea!$B$2:$C$2000,2,FALSE))</f>
        <v>#N/A</v>
      </c>
      <c r="M78">
        <f t="shared" ca="1" si="16"/>
        <v>0</v>
      </c>
    </row>
    <row r="79" spans="1:13" x14ac:dyDescent="0.25">
      <c r="A79">
        <f t="shared" ca="1" si="3"/>
        <v>1</v>
      </c>
      <c r="B79">
        <f t="shared" ca="1" si="4"/>
        <v>62</v>
      </c>
      <c r="C79" t="str">
        <f t="shared" ca="1" si="17"/>
        <v>'WINDOWS-NCH-A-BDP-M3-LG-00'!B61</v>
      </c>
      <c r="D79" s="6" t="str">
        <f t="shared" ca="1" si="21"/>
        <v>LG-OPD-CC1-S028-18</v>
      </c>
      <c r="E79" t="str">
        <f t="shared" ca="1" si="9"/>
        <v>Family Type: 1950w x 3050h, Family: Window External Type 3 - Recessed and Angle</v>
      </c>
      <c r="F79" t="str">
        <f t="shared" ca="1" si="10"/>
        <v>Vector(X = 0.212, Y = -0.977, Z = 0.000, Length = 1.000)</v>
      </c>
      <c r="G79">
        <f t="shared" ca="1" si="11"/>
        <v>0.2</v>
      </c>
      <c r="H79">
        <f t="shared" ca="1" si="12"/>
        <v>-1</v>
      </c>
      <c r="I79">
        <f t="shared" ca="1" si="13"/>
        <v>0</v>
      </c>
      <c r="J79" s="8">
        <f t="shared" ca="1" si="14"/>
        <v>-78.690067525979785</v>
      </c>
      <c r="K79" s="9" t="str">
        <f t="shared" ca="1" si="15"/>
        <v>S</v>
      </c>
      <c r="L79">
        <f ca="1">+_xlfn.IFNA(VLOOKUP(M79,BespokeWindowsAreas!$A$1:$E$1999,1,FALSE),VLOOKUP(E79,WindowTypeArea!$B$2:$C$2000,2,FALSE))</f>
        <v>5.9474999999999998</v>
      </c>
      <c r="M79">
        <f t="shared" ca="1" si="16"/>
        <v>4870963</v>
      </c>
    </row>
    <row r="80" spans="1:13" x14ac:dyDescent="0.25">
      <c r="A80">
        <f t="shared" ca="1" si="3"/>
        <v>1</v>
      </c>
      <c r="B80">
        <f t="shared" ca="1" si="4"/>
        <v>63</v>
      </c>
      <c r="C80" t="str">
        <f t="shared" ca="1" si="17"/>
        <v>'WINDOWS-NCH-A-BDP-M3-LG-00'!B62</v>
      </c>
      <c r="D80" s="6" t="str">
        <f t="shared" ca="1" si="21"/>
        <v>LG-OPD-CC1-S028-22</v>
      </c>
      <c r="E80" t="str">
        <f t="shared" ca="1" si="9"/>
        <v>LG-OPD-CC1-S028-22</v>
      </c>
      <c r="F80">
        <f t="shared" ca="1" si="10"/>
        <v>2075994</v>
      </c>
      <c r="G80">
        <f t="shared" ca="1" si="11"/>
        <v>0</v>
      </c>
      <c r="H80">
        <f t="shared" ca="1" si="12"/>
        <v>0</v>
      </c>
      <c r="I80">
        <f t="shared" ca="1" si="13"/>
        <v>0</v>
      </c>
      <c r="J80" s="8" t="e">
        <f t="shared" ca="1" si="14"/>
        <v>#DIV/0!</v>
      </c>
      <c r="K80" s="9" t="e">
        <f t="shared" ca="1" si="15"/>
        <v>#DIV/0!</v>
      </c>
      <c r="L80" t="e">
        <f ca="1">+_xlfn.IFNA(VLOOKUP(M80,BespokeWindowsAreas!$A$1:$E$1999,1,FALSE),VLOOKUP(E80,WindowTypeArea!$B$2:$C$2000,2,FALSE))</f>
        <v>#N/A</v>
      </c>
      <c r="M80">
        <f t="shared" ca="1" si="16"/>
        <v>0</v>
      </c>
    </row>
    <row r="81" spans="1:13" x14ac:dyDescent="0.25">
      <c r="A81">
        <f t="shared" ca="1" si="3"/>
        <v>1</v>
      </c>
      <c r="B81">
        <f t="shared" ca="1" si="4"/>
        <v>64</v>
      </c>
      <c r="C81" t="str">
        <f t="shared" ca="1" si="17"/>
        <v>'WINDOWS-NCH-A-BDP-M3-LG-00'!B63</v>
      </c>
      <c r="D81" s="6" t="str">
        <f t="shared" ca="1" si="21"/>
        <v>LG-OPD-CC1-S028-22</v>
      </c>
      <c r="E81" t="str">
        <f t="shared" ca="1" si="9"/>
        <v>Family Type: 1950w x 3050h, Family: Window External Type 3 - Recessed and Angle</v>
      </c>
      <c r="F81" t="str">
        <f t="shared" ca="1" si="10"/>
        <v>Vector(X = 0.212, Y = -0.977, Z = 0.000, Length = 1.000)</v>
      </c>
      <c r="G81">
        <f t="shared" ca="1" si="11"/>
        <v>0.2</v>
      </c>
      <c r="H81">
        <f t="shared" ca="1" si="12"/>
        <v>-1</v>
      </c>
      <c r="I81">
        <f t="shared" ca="1" si="13"/>
        <v>0</v>
      </c>
      <c r="J81" s="8">
        <f t="shared" ca="1" si="14"/>
        <v>-78.690067525979785</v>
      </c>
      <c r="K81" s="9" t="str">
        <f t="shared" ca="1" si="15"/>
        <v>S</v>
      </c>
      <c r="L81">
        <f ca="1">+_xlfn.IFNA(VLOOKUP(M81,BespokeWindowsAreas!$A$1:$E$1999,1,FALSE),VLOOKUP(E81,WindowTypeArea!$B$2:$C$2000,2,FALSE))</f>
        <v>5.9474999999999998</v>
      </c>
      <c r="M81">
        <f t="shared" ca="1" si="16"/>
        <v>4871508</v>
      </c>
    </row>
    <row r="82" spans="1:13" x14ac:dyDescent="0.25">
      <c r="A82">
        <f t="shared" ca="1" si="3"/>
        <v>1</v>
      </c>
      <c r="B82">
        <f t="shared" ca="1" si="4"/>
        <v>65</v>
      </c>
      <c r="C82" t="str">
        <f t="shared" ca="1" si="17"/>
        <v>'WINDOWS-NCH-A-BDP-M3-LG-00'!B64</v>
      </c>
      <c r="D82" s="6" t="str">
        <f t="shared" ca="1" si="21"/>
        <v>LG-OPD-CC1-S028-22</v>
      </c>
      <c r="E82" t="str">
        <f t="shared" ca="1" si="9"/>
        <v>Family Type: 1000w x 3050h, Family: Window External Type 2 - Recessed and Fin</v>
      </c>
      <c r="F82" t="str">
        <f t="shared" ca="1" si="10"/>
        <v>Vector(X = 0.212, Y = -0.977, Z = 0.000, Length = 1.000)</v>
      </c>
      <c r="G82">
        <f t="shared" ca="1" si="11"/>
        <v>0.2</v>
      </c>
      <c r="H82">
        <f t="shared" ca="1" si="12"/>
        <v>-1</v>
      </c>
      <c r="I82">
        <f t="shared" ca="1" si="13"/>
        <v>0</v>
      </c>
      <c r="J82" s="8">
        <f t="shared" ca="1" si="14"/>
        <v>-78.690067525979785</v>
      </c>
      <c r="K82" s="9" t="str">
        <f t="shared" ca="1" si="15"/>
        <v>S</v>
      </c>
      <c r="L82">
        <f ca="1">+_xlfn.IFNA(VLOOKUP(M82,BespokeWindowsAreas!$A$1:$E$1999,1,FALSE),VLOOKUP(E82,WindowTypeArea!$B$2:$C$2000,2,FALSE))</f>
        <v>3.05</v>
      </c>
      <c r="M82">
        <f t="shared" ca="1" si="16"/>
        <v>4872045</v>
      </c>
    </row>
    <row r="83" spans="1:13" x14ac:dyDescent="0.25">
      <c r="A83">
        <f t="shared" ca="1" si="3"/>
        <v>1</v>
      </c>
      <c r="B83">
        <f t="shared" ca="1" si="4"/>
        <v>66</v>
      </c>
      <c r="C83" t="str">
        <f t="shared" ca="1" si="17"/>
        <v>'WINDOWS-NCH-A-BDP-M3-LG-00'!B65</v>
      </c>
      <c r="D83" s="6" t="str">
        <f t="shared" ca="1" si="21"/>
        <v>LG-OPD-CC1-S064-11</v>
      </c>
      <c r="E83" t="str">
        <f t="shared" ca="1" si="9"/>
        <v>LG-OPD-CC1-S064-11</v>
      </c>
      <c r="F83">
        <f t="shared" ca="1" si="10"/>
        <v>2075997</v>
      </c>
      <c r="G83">
        <f t="shared" ca="1" si="11"/>
        <v>0</v>
      </c>
      <c r="H83">
        <f t="shared" ca="1" si="12"/>
        <v>0</v>
      </c>
      <c r="I83">
        <f t="shared" ca="1" si="13"/>
        <v>0</v>
      </c>
      <c r="J83" s="8" t="e">
        <f t="shared" ca="1" si="14"/>
        <v>#DIV/0!</v>
      </c>
      <c r="K83" s="9" t="e">
        <f t="shared" ca="1" si="15"/>
        <v>#DIV/0!</v>
      </c>
      <c r="L83" t="e">
        <f ca="1">+_xlfn.IFNA(VLOOKUP(M83,BespokeWindowsAreas!$A$1:$E$1999,1,FALSE),VLOOKUP(E83,WindowTypeArea!$B$2:$C$2000,2,FALSE))</f>
        <v>#N/A</v>
      </c>
      <c r="M83">
        <f t="shared" ca="1" si="16"/>
        <v>0</v>
      </c>
    </row>
    <row r="84" spans="1:13" x14ac:dyDescent="0.25">
      <c r="A84">
        <f t="shared" ref="A84:A147" ca="1" si="22">+IF(B83&lt;=VLOOKUP(MID(C84,2,26),TABS,2,FALSE),A83,+A83+1)</f>
        <v>1</v>
      </c>
      <c r="B84">
        <f t="shared" ref="B84:B147" ca="1" si="23">+IF(B83&lt;=VLOOKUP(MID(C84,2,26),TABS,2,FALSE),B83+1,1)</f>
        <v>67</v>
      </c>
      <c r="C84" t="str">
        <f t="shared" ca="1" si="17"/>
        <v>'WINDOWS-NCH-A-BDP-M3-LG-00'!B66</v>
      </c>
      <c r="D84" s="6" t="str">
        <f t="shared" ref="D84:D115" ca="1" si="24">+IF(IFERROR(FIND("Family",E84)&gt;0,FALSE),D83,E84)</f>
        <v>LG-OPD-CC1-S064-11</v>
      </c>
      <c r="E84" t="str">
        <f t="shared" ref="E84:E147" ca="1" si="25">+OFFSET(INDIRECT(C84),0,0)</f>
        <v>Family Type: 1950w x 3050h, Family: Window External Type 3 - Recessed and Angle</v>
      </c>
      <c r="F84" t="str">
        <f t="shared" ca="1" si="10"/>
        <v>Vector(X = 0.323, Y = -0.946, Z = 0.000, Length = 1.000)</v>
      </c>
      <c r="G84">
        <f t="shared" ca="1" si="11"/>
        <v>0.3</v>
      </c>
      <c r="H84">
        <f t="shared" ca="1" si="12"/>
        <v>-0.9</v>
      </c>
      <c r="I84">
        <f t="shared" ca="1" si="13"/>
        <v>0</v>
      </c>
      <c r="J84" s="8">
        <f t="shared" ca="1" si="14"/>
        <v>-71.56505117707799</v>
      </c>
      <c r="K84" s="9" t="str">
        <f t="shared" ca="1" si="15"/>
        <v>S</v>
      </c>
      <c r="L84">
        <f ca="1">+_xlfn.IFNA(VLOOKUP(M84,BespokeWindowsAreas!$A$1:$E$1999,1,FALSE),VLOOKUP(E84,WindowTypeArea!$B$2:$C$2000,2,FALSE))</f>
        <v>5.9474999999999998</v>
      </c>
      <c r="M84">
        <f t="shared" ca="1" si="16"/>
        <v>4790985</v>
      </c>
    </row>
    <row r="85" spans="1:13" x14ac:dyDescent="0.25">
      <c r="A85">
        <f t="shared" ca="1" si="22"/>
        <v>1</v>
      </c>
      <c r="B85">
        <f t="shared" ca="1" si="23"/>
        <v>68</v>
      </c>
      <c r="C85" t="str">
        <f t="shared" ca="1" si="17"/>
        <v>'WINDOWS-NCH-A-BDP-M3-LG-00'!B67</v>
      </c>
      <c r="D85" s="6" t="str">
        <f t="shared" ca="1" si="24"/>
        <v>none</v>
      </c>
      <c r="E85" t="str">
        <f t="shared" ca="1" si="25"/>
        <v>none</v>
      </c>
      <c r="F85" t="str">
        <f t="shared" ca="1" si="10"/>
        <v>Vector(X = 0.323, Y = -0.946, Z = 0.000, Length = 1.000)</v>
      </c>
      <c r="G85">
        <f t="shared" ca="1" si="11"/>
        <v>0.3</v>
      </c>
      <c r="H85">
        <f t="shared" ca="1" si="12"/>
        <v>-0.9</v>
      </c>
      <c r="I85">
        <f t="shared" ca="1" si="13"/>
        <v>0</v>
      </c>
      <c r="J85" s="8">
        <f t="shared" ca="1" si="14"/>
        <v>-71.56505117707799</v>
      </c>
      <c r="K85" s="9" t="str">
        <f t="shared" ca="1" si="15"/>
        <v>S</v>
      </c>
      <c r="L85" t="e">
        <f ca="1">+_xlfn.IFNA(VLOOKUP(M85,BespokeWindowsAreas!$A$1:$E$1999,1,FALSE),VLOOKUP(E85,WindowTypeArea!$B$2:$C$2000,2,FALSE))</f>
        <v>#N/A</v>
      </c>
      <c r="M85">
        <f t="shared" ca="1" si="16"/>
        <v>4791041</v>
      </c>
    </row>
    <row r="86" spans="1:13" x14ac:dyDescent="0.25">
      <c r="A86">
        <f t="shared" ca="1" si="22"/>
        <v>1</v>
      </c>
      <c r="B86">
        <f t="shared" ca="1" si="23"/>
        <v>69</v>
      </c>
      <c r="C86" t="str">
        <f t="shared" ca="1" si="17"/>
        <v>'WINDOWS-NCH-A-BDP-M3-LG-00'!B68</v>
      </c>
      <c r="D86" s="6" t="str">
        <f t="shared" ca="1" si="24"/>
        <v>LG-OPD-CC1-S064-12</v>
      </c>
      <c r="E86" t="str">
        <f t="shared" ca="1" si="25"/>
        <v>LG-OPD-CC1-S064-12</v>
      </c>
      <c r="F86">
        <f t="shared" ref="F86:F149" ca="1" si="26">+OFFSET(INDIRECT(C86),0,1)</f>
        <v>2075998</v>
      </c>
      <c r="G86">
        <f t="shared" ref="G86:G149" ca="1" si="27">+OFFSET(INDIRECT(C86),0,2)</f>
        <v>0</v>
      </c>
      <c r="H86">
        <f t="shared" ref="H86:H149" ca="1" si="28">+OFFSET(INDIRECT(C86),0,3)</f>
        <v>0</v>
      </c>
      <c r="I86">
        <f t="shared" ref="I86:I149" ca="1" si="29">+OFFSET(INDIRECT(C86),0,4)</f>
        <v>0</v>
      </c>
      <c r="J86" s="8" t="e">
        <f t="shared" ref="J86:J149" ca="1" si="30">+DEGREES(ATAN2(G86,H86))</f>
        <v>#DIV/0!</v>
      </c>
      <c r="K86" s="9" t="e">
        <f t="shared" ref="K86:K149" ca="1" si="31">VLOOKUP(J86,$O$20:$P$36,2,-1)</f>
        <v>#DIV/0!</v>
      </c>
      <c r="L86" t="e">
        <f ca="1">+_xlfn.IFNA(VLOOKUP(M86,BespokeWindowsAreas!$A$1:$E$1999,1,FALSE),VLOOKUP(E86,WindowTypeArea!$B$2:$C$2000,2,FALSE))</f>
        <v>#N/A</v>
      </c>
      <c r="M86">
        <f t="shared" ref="M86:M149" ca="1" si="32">+OFFSET(INDIRECT(C86),0,5)</f>
        <v>0</v>
      </c>
    </row>
    <row r="87" spans="1:13" x14ac:dyDescent="0.25">
      <c r="A87">
        <f t="shared" ca="1" si="22"/>
        <v>1</v>
      </c>
      <c r="B87">
        <f t="shared" ca="1" si="23"/>
        <v>70</v>
      </c>
      <c r="C87" t="str">
        <f t="shared" ref="C87:C150" ca="1" si="33">+"'"&amp;INDIRECT("a"&amp;A86)&amp;"'!B"&amp;B86</f>
        <v>'WINDOWS-NCH-A-BDP-M3-LG-00'!B69</v>
      </c>
      <c r="D87" s="6" t="str">
        <f t="shared" ca="1" si="24"/>
        <v>LG-OPD-CC1-S064-12</v>
      </c>
      <c r="E87" t="str">
        <f t="shared" ca="1" si="25"/>
        <v>Family Type: 1950w x 3050h, Family: Window External Type 3 - Recessed and Angle</v>
      </c>
      <c r="F87" t="str">
        <f t="shared" ca="1" si="26"/>
        <v>Vector(X = 0.323, Y = -0.946, Z = 0.000, Length = 1.000)</v>
      </c>
      <c r="G87">
        <f t="shared" ca="1" si="27"/>
        <v>0.3</v>
      </c>
      <c r="H87">
        <f t="shared" ca="1" si="28"/>
        <v>-0.9</v>
      </c>
      <c r="I87">
        <f t="shared" ca="1" si="29"/>
        <v>0</v>
      </c>
      <c r="J87" s="8">
        <f t="shared" ca="1" si="30"/>
        <v>-71.56505117707799</v>
      </c>
      <c r="K87" s="9" t="str">
        <f t="shared" ca="1" si="31"/>
        <v>S</v>
      </c>
      <c r="L87">
        <f ca="1">+_xlfn.IFNA(VLOOKUP(M87,BespokeWindowsAreas!$A$1:$E$1999,1,FALSE),VLOOKUP(E87,WindowTypeArea!$B$2:$C$2000,2,FALSE))</f>
        <v>5.9474999999999998</v>
      </c>
      <c r="M87">
        <f t="shared" ca="1" si="32"/>
        <v>4790985</v>
      </c>
    </row>
    <row r="88" spans="1:13" x14ac:dyDescent="0.25">
      <c r="A88">
        <f t="shared" ca="1" si="22"/>
        <v>1</v>
      </c>
      <c r="B88">
        <f t="shared" ca="1" si="23"/>
        <v>71</v>
      </c>
      <c r="C88" t="str">
        <f t="shared" ca="1" si="33"/>
        <v>'WINDOWS-NCH-A-BDP-M3-LG-00'!B70</v>
      </c>
      <c r="D88" s="6" t="str">
        <f t="shared" ca="1" si="24"/>
        <v>none</v>
      </c>
      <c r="E88" t="str">
        <f t="shared" ca="1" si="25"/>
        <v>none</v>
      </c>
      <c r="F88" t="str">
        <f t="shared" ca="1" si="26"/>
        <v>Vector(X = 0.323, Y = -0.946, Z = 0.000, Length = 1.000)</v>
      </c>
      <c r="G88">
        <f t="shared" ca="1" si="27"/>
        <v>0.3</v>
      </c>
      <c r="H88">
        <f t="shared" ca="1" si="28"/>
        <v>-0.9</v>
      </c>
      <c r="I88">
        <f t="shared" ca="1" si="29"/>
        <v>0</v>
      </c>
      <c r="J88" s="8">
        <f t="shared" ca="1" si="30"/>
        <v>-71.56505117707799</v>
      </c>
      <c r="K88" s="9" t="str">
        <f t="shared" ca="1" si="31"/>
        <v>S</v>
      </c>
      <c r="L88" t="e">
        <f ca="1">+_xlfn.IFNA(VLOOKUP(M88,BespokeWindowsAreas!$A$1:$E$1999,1,FALSE),VLOOKUP(E88,WindowTypeArea!$B$2:$C$2000,2,FALSE))</f>
        <v>#N/A</v>
      </c>
      <c r="M88">
        <f t="shared" ca="1" si="32"/>
        <v>4792652</v>
      </c>
    </row>
    <row r="89" spans="1:13" x14ac:dyDescent="0.25">
      <c r="A89">
        <f t="shared" ca="1" si="22"/>
        <v>1</v>
      </c>
      <c r="B89">
        <f t="shared" ca="1" si="23"/>
        <v>72</v>
      </c>
      <c r="C89" t="str">
        <f t="shared" ca="1" si="33"/>
        <v>'WINDOWS-NCH-A-BDP-M3-LG-00'!B71</v>
      </c>
      <c r="D89" s="6" t="str">
        <f t="shared" ca="1" si="24"/>
        <v>LG-OPD-CC1-S053-04</v>
      </c>
      <c r="E89" t="str">
        <f t="shared" ca="1" si="25"/>
        <v>LG-OPD-CC1-S053-04</v>
      </c>
      <c r="F89">
        <f t="shared" ca="1" si="26"/>
        <v>2076004</v>
      </c>
      <c r="G89">
        <f t="shared" ca="1" si="27"/>
        <v>0</v>
      </c>
      <c r="H89">
        <f t="shared" ca="1" si="28"/>
        <v>0</v>
      </c>
      <c r="I89">
        <f t="shared" ca="1" si="29"/>
        <v>0</v>
      </c>
      <c r="J89" s="8" t="e">
        <f t="shared" ca="1" si="30"/>
        <v>#DIV/0!</v>
      </c>
      <c r="K89" s="9" t="e">
        <f t="shared" ca="1" si="31"/>
        <v>#DIV/0!</v>
      </c>
      <c r="L89" t="e">
        <f ca="1">+_xlfn.IFNA(VLOOKUP(M89,BespokeWindowsAreas!$A$1:$E$1999,1,FALSE),VLOOKUP(E89,WindowTypeArea!$B$2:$C$2000,2,FALSE))</f>
        <v>#N/A</v>
      </c>
      <c r="M89">
        <f t="shared" ca="1" si="32"/>
        <v>0</v>
      </c>
    </row>
    <row r="90" spans="1:13" x14ac:dyDescent="0.25">
      <c r="A90">
        <f t="shared" ca="1" si="22"/>
        <v>1</v>
      </c>
      <c r="B90">
        <f t="shared" ca="1" si="23"/>
        <v>73</v>
      </c>
      <c r="C90" t="str">
        <f t="shared" ca="1" si="33"/>
        <v>'WINDOWS-NCH-A-BDP-M3-LG-00'!B72</v>
      </c>
      <c r="D90" s="6" t="str">
        <f t="shared" ca="1" si="24"/>
        <v>LG-OPD-CC1-S053-04</v>
      </c>
      <c r="E90" t="str">
        <f t="shared" ca="1" si="25"/>
        <v>Family Type: 1950w x 3050h, Family: Window External Type 3 - Recessed and Angle</v>
      </c>
      <c r="F90" t="str">
        <f t="shared" ca="1" si="26"/>
        <v>Vector(X = 0.323, Y = -0.946, Z = 0.000, Length = 1.000)</v>
      </c>
      <c r="G90">
        <f t="shared" ca="1" si="27"/>
        <v>0.3</v>
      </c>
      <c r="H90">
        <f t="shared" ca="1" si="28"/>
        <v>-0.9</v>
      </c>
      <c r="I90">
        <f t="shared" ca="1" si="29"/>
        <v>0</v>
      </c>
      <c r="J90" s="8">
        <f t="shared" ca="1" si="30"/>
        <v>-71.56505117707799</v>
      </c>
      <c r="K90" s="9" t="str">
        <f t="shared" ca="1" si="31"/>
        <v>S</v>
      </c>
      <c r="L90">
        <f ca="1">+_xlfn.IFNA(VLOOKUP(M90,BespokeWindowsAreas!$A$1:$E$1999,1,FALSE),VLOOKUP(E90,WindowTypeArea!$B$2:$C$2000,2,FALSE))</f>
        <v>5.9474999999999998</v>
      </c>
      <c r="M90">
        <f t="shared" ca="1" si="32"/>
        <v>4791226</v>
      </c>
    </row>
    <row r="91" spans="1:13" x14ac:dyDescent="0.25">
      <c r="A91">
        <f t="shared" ca="1" si="22"/>
        <v>1</v>
      </c>
      <c r="B91">
        <f t="shared" ca="1" si="23"/>
        <v>74</v>
      </c>
      <c r="C91" t="str">
        <f t="shared" ca="1" si="33"/>
        <v>'WINDOWS-NCH-A-BDP-M3-LG-00'!B73</v>
      </c>
      <c r="D91" s="6" t="str">
        <f t="shared" ca="1" si="24"/>
        <v>LG-OPD-CC1-S053-05</v>
      </c>
      <c r="E91" t="str">
        <f t="shared" ca="1" si="25"/>
        <v>LG-OPD-CC1-S053-05</v>
      </c>
      <c r="F91">
        <f t="shared" ca="1" si="26"/>
        <v>2076005</v>
      </c>
      <c r="G91">
        <f t="shared" ca="1" si="27"/>
        <v>0</v>
      </c>
      <c r="H91">
        <f t="shared" ca="1" si="28"/>
        <v>0</v>
      </c>
      <c r="I91">
        <f t="shared" ca="1" si="29"/>
        <v>0</v>
      </c>
      <c r="J91" s="8" t="e">
        <f t="shared" ca="1" si="30"/>
        <v>#DIV/0!</v>
      </c>
      <c r="K91" s="9" t="e">
        <f t="shared" ca="1" si="31"/>
        <v>#DIV/0!</v>
      </c>
      <c r="L91" t="e">
        <f ca="1">+_xlfn.IFNA(VLOOKUP(M91,BespokeWindowsAreas!$A$1:$E$1999,1,FALSE),VLOOKUP(E91,WindowTypeArea!$B$2:$C$2000,2,FALSE))</f>
        <v>#N/A</v>
      </c>
      <c r="M91">
        <f t="shared" ca="1" si="32"/>
        <v>0</v>
      </c>
    </row>
    <row r="92" spans="1:13" x14ac:dyDescent="0.25">
      <c r="A92">
        <f t="shared" ca="1" si="22"/>
        <v>1</v>
      </c>
      <c r="B92">
        <f t="shared" ca="1" si="23"/>
        <v>75</v>
      </c>
      <c r="C92" t="str">
        <f t="shared" ca="1" si="33"/>
        <v>'WINDOWS-NCH-A-BDP-M3-LG-00'!B74</v>
      </c>
      <c r="D92" s="6" t="str">
        <f t="shared" ca="1" si="24"/>
        <v>LG-OPD-CC1-S053-05</v>
      </c>
      <c r="E92" t="str">
        <f t="shared" ca="1" si="25"/>
        <v>Family Type: 1500w x 3050h, Family: Window External Type 3 - Recessed and Angle</v>
      </c>
      <c r="F92" t="str">
        <f t="shared" ca="1" si="26"/>
        <v>Vector(X = 0.323, Y = -0.946, Z = 0.000, Length = 1.000)</v>
      </c>
      <c r="G92">
        <f t="shared" ca="1" si="27"/>
        <v>0.3</v>
      </c>
      <c r="H92">
        <f t="shared" ca="1" si="28"/>
        <v>-0.9</v>
      </c>
      <c r="I92">
        <f t="shared" ca="1" si="29"/>
        <v>0</v>
      </c>
      <c r="J92" s="8">
        <f t="shared" ca="1" si="30"/>
        <v>-71.56505117707799</v>
      </c>
      <c r="K92" s="9" t="str">
        <f t="shared" ca="1" si="31"/>
        <v>S</v>
      </c>
      <c r="L92">
        <f ca="1">+_xlfn.IFNA(VLOOKUP(M92,BespokeWindowsAreas!$A$1:$E$1999,1,FALSE),VLOOKUP(E92,WindowTypeArea!$B$2:$C$2000,2,FALSE))</f>
        <v>4.5750000000000002</v>
      </c>
      <c r="M92">
        <f t="shared" ca="1" si="32"/>
        <v>4791041</v>
      </c>
    </row>
    <row r="93" spans="1:13" x14ac:dyDescent="0.25">
      <c r="A93">
        <f t="shared" ca="1" si="22"/>
        <v>1</v>
      </c>
      <c r="B93">
        <f t="shared" ca="1" si="23"/>
        <v>76</v>
      </c>
      <c r="C93" t="str">
        <f t="shared" ca="1" si="33"/>
        <v>'WINDOWS-NCH-A-BDP-M3-LG-00'!B75</v>
      </c>
      <c r="D93" s="6" t="str">
        <f t="shared" ca="1" si="24"/>
        <v>none</v>
      </c>
      <c r="E93" t="str">
        <f t="shared" ca="1" si="25"/>
        <v>none</v>
      </c>
      <c r="F93" t="str">
        <f t="shared" ca="1" si="26"/>
        <v>Vector(X = 0.323, Y = -0.946, Z = 0.000, Length = 1.000)</v>
      </c>
      <c r="G93">
        <f t="shared" ca="1" si="27"/>
        <v>0.3</v>
      </c>
      <c r="H93">
        <f t="shared" ca="1" si="28"/>
        <v>-0.9</v>
      </c>
      <c r="I93">
        <f t="shared" ca="1" si="29"/>
        <v>0</v>
      </c>
      <c r="J93" s="8">
        <f t="shared" ca="1" si="30"/>
        <v>-71.56505117707799</v>
      </c>
      <c r="K93" s="9" t="str">
        <f t="shared" ca="1" si="31"/>
        <v>S</v>
      </c>
      <c r="L93" t="e">
        <f ca="1">+_xlfn.IFNA(VLOOKUP(M93,BespokeWindowsAreas!$A$1:$E$1999,1,FALSE),VLOOKUP(E93,WindowTypeArea!$B$2:$C$2000,2,FALSE))</f>
        <v>#N/A</v>
      </c>
      <c r="M93">
        <f t="shared" ca="1" si="32"/>
        <v>4791226</v>
      </c>
    </row>
    <row r="94" spans="1:13" x14ac:dyDescent="0.25">
      <c r="A94">
        <f t="shared" ca="1" si="22"/>
        <v>1</v>
      </c>
      <c r="B94">
        <f t="shared" ca="1" si="23"/>
        <v>77</v>
      </c>
      <c r="C94" t="str">
        <f t="shared" ca="1" si="33"/>
        <v>'WINDOWS-NCH-A-BDP-M3-LG-00'!B76</v>
      </c>
      <c r="D94" s="6" t="str">
        <f t="shared" ca="1" si="24"/>
        <v>LG-OPD-CC1-S028-02</v>
      </c>
      <c r="E94" t="str">
        <f t="shared" ca="1" si="25"/>
        <v>LG-OPD-CC1-S028-02</v>
      </c>
      <c r="F94">
        <f t="shared" ca="1" si="26"/>
        <v>2076006</v>
      </c>
      <c r="G94">
        <f t="shared" ca="1" si="27"/>
        <v>0</v>
      </c>
      <c r="H94">
        <f t="shared" ca="1" si="28"/>
        <v>0</v>
      </c>
      <c r="I94">
        <f t="shared" ca="1" si="29"/>
        <v>0</v>
      </c>
      <c r="J94" s="8" t="e">
        <f t="shared" ca="1" si="30"/>
        <v>#DIV/0!</v>
      </c>
      <c r="K94" s="9" t="e">
        <f t="shared" ca="1" si="31"/>
        <v>#DIV/0!</v>
      </c>
      <c r="L94" t="e">
        <f ca="1">+_xlfn.IFNA(VLOOKUP(M94,BespokeWindowsAreas!$A$1:$E$1999,1,FALSE),VLOOKUP(E94,WindowTypeArea!$B$2:$C$2000,2,FALSE))</f>
        <v>#N/A</v>
      </c>
      <c r="M94">
        <f t="shared" ca="1" si="32"/>
        <v>0</v>
      </c>
    </row>
    <row r="95" spans="1:13" x14ac:dyDescent="0.25">
      <c r="A95">
        <f t="shared" ca="1" si="22"/>
        <v>1</v>
      </c>
      <c r="B95">
        <f t="shared" ca="1" si="23"/>
        <v>78</v>
      </c>
      <c r="C95" t="str">
        <f t="shared" ca="1" si="33"/>
        <v>'WINDOWS-NCH-A-BDP-M3-LG-00'!B77</v>
      </c>
      <c r="D95" s="6" t="str">
        <f t="shared" ca="1" si="24"/>
        <v>LG-OPD-CC1-S028-02</v>
      </c>
      <c r="E95" t="str">
        <f t="shared" ca="1" si="25"/>
        <v>Family Type: 975w x 3050h, Family: Window External Type 1 - Recessed</v>
      </c>
      <c r="F95" t="str">
        <f t="shared" ca="1" si="26"/>
        <v>Vector(X = 0.323, Y = -0.946, Z = 0.000, Length = 1.000)</v>
      </c>
      <c r="G95">
        <f t="shared" ca="1" si="27"/>
        <v>0.3</v>
      </c>
      <c r="H95">
        <f t="shared" ca="1" si="28"/>
        <v>-0.9</v>
      </c>
      <c r="I95">
        <f t="shared" ca="1" si="29"/>
        <v>0</v>
      </c>
      <c r="J95" s="8">
        <f t="shared" ca="1" si="30"/>
        <v>-71.56505117707799</v>
      </c>
      <c r="K95" s="9" t="str">
        <f t="shared" ca="1" si="31"/>
        <v>S</v>
      </c>
      <c r="L95">
        <f ca="1">+_xlfn.IFNA(VLOOKUP(M95,BespokeWindowsAreas!$A$1:$E$1999,1,FALSE),VLOOKUP(E95,WindowTypeArea!$B$2:$C$2000,2,FALSE))</f>
        <v>2.9737499999999999</v>
      </c>
      <c r="M95">
        <f t="shared" ca="1" si="32"/>
        <v>4791314</v>
      </c>
    </row>
    <row r="96" spans="1:13" x14ac:dyDescent="0.25">
      <c r="A96">
        <f t="shared" ca="1" si="22"/>
        <v>1</v>
      </c>
      <c r="B96">
        <f t="shared" ca="1" si="23"/>
        <v>79</v>
      </c>
      <c r="C96" t="str">
        <f t="shared" ca="1" si="33"/>
        <v>'WINDOWS-NCH-A-BDP-M3-LG-00'!B78</v>
      </c>
      <c r="D96" s="6" t="str">
        <f t="shared" ca="1" si="24"/>
        <v>LG-OPD-CC1-S028-02</v>
      </c>
      <c r="E96" t="str">
        <f t="shared" ca="1" si="25"/>
        <v>Family Type: 975w x 3050h, Family: Window External Type 1 - Recessed</v>
      </c>
      <c r="F96" t="str">
        <f t="shared" ca="1" si="26"/>
        <v>Vector(X = 0.323, Y = -0.946, Z = 0.000, Length = 1.000)</v>
      </c>
      <c r="G96">
        <f t="shared" ca="1" si="27"/>
        <v>0.3</v>
      </c>
      <c r="H96">
        <f t="shared" ca="1" si="28"/>
        <v>-0.9</v>
      </c>
      <c r="I96">
        <f t="shared" ca="1" si="29"/>
        <v>0</v>
      </c>
      <c r="J96" s="8">
        <f t="shared" ca="1" si="30"/>
        <v>-71.56505117707799</v>
      </c>
      <c r="K96" s="9" t="str">
        <f t="shared" ca="1" si="31"/>
        <v>S</v>
      </c>
      <c r="L96">
        <f ca="1">+_xlfn.IFNA(VLOOKUP(M96,BespokeWindowsAreas!$A$1:$E$1999,1,FALSE),VLOOKUP(E96,WindowTypeArea!$B$2:$C$2000,2,FALSE))</f>
        <v>2.9737499999999999</v>
      </c>
      <c r="M96">
        <f t="shared" ca="1" si="32"/>
        <v>4791362</v>
      </c>
    </row>
    <row r="97" spans="1:13" x14ac:dyDescent="0.25">
      <c r="A97">
        <f t="shared" ca="1" si="22"/>
        <v>1</v>
      </c>
      <c r="B97">
        <f t="shared" ca="1" si="23"/>
        <v>80</v>
      </c>
      <c r="C97" t="str">
        <f t="shared" ca="1" si="33"/>
        <v>'WINDOWS-NCH-A-BDP-M3-LG-00'!B79</v>
      </c>
      <c r="D97" s="6" t="str">
        <f t="shared" ca="1" si="24"/>
        <v>LG-OPD-CC1-S028-03</v>
      </c>
      <c r="E97" t="str">
        <f t="shared" ca="1" si="25"/>
        <v>LG-OPD-CC1-S028-03</v>
      </c>
      <c r="F97">
        <f t="shared" ca="1" si="26"/>
        <v>2076007</v>
      </c>
      <c r="G97">
        <f t="shared" ca="1" si="27"/>
        <v>0</v>
      </c>
      <c r="H97">
        <f t="shared" ca="1" si="28"/>
        <v>0</v>
      </c>
      <c r="I97">
        <f t="shared" ca="1" si="29"/>
        <v>0</v>
      </c>
      <c r="J97" s="8" t="e">
        <f t="shared" ca="1" si="30"/>
        <v>#DIV/0!</v>
      </c>
      <c r="K97" s="9" t="e">
        <f t="shared" ca="1" si="31"/>
        <v>#DIV/0!</v>
      </c>
      <c r="L97" t="e">
        <f ca="1">+_xlfn.IFNA(VLOOKUP(M97,BespokeWindowsAreas!$A$1:$E$1999,1,FALSE),VLOOKUP(E97,WindowTypeArea!$B$2:$C$2000,2,FALSE))</f>
        <v>#N/A</v>
      </c>
      <c r="M97">
        <f t="shared" ca="1" si="32"/>
        <v>0</v>
      </c>
    </row>
    <row r="98" spans="1:13" x14ac:dyDescent="0.25">
      <c r="A98">
        <f t="shared" ca="1" si="22"/>
        <v>1</v>
      </c>
      <c r="B98">
        <f t="shared" ca="1" si="23"/>
        <v>81</v>
      </c>
      <c r="C98" t="str">
        <f t="shared" ca="1" si="33"/>
        <v>'WINDOWS-NCH-A-BDP-M3-LG-00'!B80</v>
      </c>
      <c r="D98" s="6" t="str">
        <f t="shared" ca="1" si="24"/>
        <v>LG-OPD-CC1-S028-03</v>
      </c>
      <c r="E98" t="str">
        <f t="shared" ca="1" si="25"/>
        <v>Family Type: 1500w x 3050h, Family: Window External Type 3 - Recessed and Angle</v>
      </c>
      <c r="F98" t="str">
        <f t="shared" ca="1" si="26"/>
        <v>Vector(X = 0.323, Y = -0.946, Z = 0.000, Length = 1.000)</v>
      </c>
      <c r="G98">
        <f t="shared" ca="1" si="27"/>
        <v>0.3</v>
      </c>
      <c r="H98">
        <f t="shared" ca="1" si="28"/>
        <v>-0.9</v>
      </c>
      <c r="I98">
        <f t="shared" ca="1" si="29"/>
        <v>0</v>
      </c>
      <c r="J98" s="8">
        <f t="shared" ca="1" si="30"/>
        <v>-71.56505117707799</v>
      </c>
      <c r="K98" s="9" t="str">
        <f t="shared" ca="1" si="31"/>
        <v>S</v>
      </c>
      <c r="L98">
        <f ca="1">+_xlfn.IFNA(VLOOKUP(M98,BespokeWindowsAreas!$A$1:$E$1999,1,FALSE),VLOOKUP(E98,WindowTypeArea!$B$2:$C$2000,2,FALSE))</f>
        <v>4.5750000000000002</v>
      </c>
      <c r="M98">
        <f t="shared" ca="1" si="32"/>
        <v>4791282</v>
      </c>
    </row>
    <row r="99" spans="1:13" x14ac:dyDescent="0.25">
      <c r="A99">
        <f t="shared" ca="1" si="22"/>
        <v>1</v>
      </c>
      <c r="B99">
        <f t="shared" ca="1" si="23"/>
        <v>82</v>
      </c>
      <c r="C99" t="str">
        <f t="shared" ca="1" si="33"/>
        <v>'WINDOWS-NCH-A-BDP-M3-LG-00'!B81</v>
      </c>
      <c r="D99" s="6" t="str">
        <f t="shared" ca="1" si="24"/>
        <v>LG-OPD-CC1-S028-04</v>
      </c>
      <c r="E99" t="str">
        <f t="shared" ca="1" si="25"/>
        <v>LG-OPD-CC1-S028-04</v>
      </c>
      <c r="F99">
        <f t="shared" ca="1" si="26"/>
        <v>2076008</v>
      </c>
      <c r="G99">
        <f t="shared" ca="1" si="27"/>
        <v>0</v>
      </c>
      <c r="H99">
        <f t="shared" ca="1" si="28"/>
        <v>0</v>
      </c>
      <c r="I99">
        <f t="shared" ca="1" si="29"/>
        <v>0</v>
      </c>
      <c r="J99" s="8" t="e">
        <f t="shared" ca="1" si="30"/>
        <v>#DIV/0!</v>
      </c>
      <c r="K99" s="9" t="e">
        <f t="shared" ca="1" si="31"/>
        <v>#DIV/0!</v>
      </c>
      <c r="L99" t="e">
        <f ca="1">+_xlfn.IFNA(VLOOKUP(M99,BespokeWindowsAreas!$A$1:$E$1999,1,FALSE),VLOOKUP(E99,WindowTypeArea!$B$2:$C$2000,2,FALSE))</f>
        <v>#N/A</v>
      </c>
      <c r="M99">
        <f t="shared" ca="1" si="32"/>
        <v>0</v>
      </c>
    </row>
    <row r="100" spans="1:13" x14ac:dyDescent="0.25">
      <c r="A100">
        <f t="shared" ca="1" si="22"/>
        <v>1</v>
      </c>
      <c r="B100">
        <f t="shared" ca="1" si="23"/>
        <v>83</v>
      </c>
      <c r="C100" t="str">
        <f t="shared" ca="1" si="33"/>
        <v>'WINDOWS-NCH-A-BDP-M3-LG-00'!B82</v>
      </c>
      <c r="D100" s="6" t="str">
        <f t="shared" ca="1" si="24"/>
        <v>LG-OPD-CC1-S028-04</v>
      </c>
      <c r="E100" t="str">
        <f t="shared" ca="1" si="25"/>
        <v>Family Type: 1500w x 3050h, Family: Window Internal Type 1 - Flush</v>
      </c>
      <c r="F100" t="str">
        <f t="shared" ca="1" si="26"/>
        <v>Vector(X = -0.489, Y = 0.872, Z = 0.000, Length = 1.000)</v>
      </c>
      <c r="G100">
        <f t="shared" ca="1" si="27"/>
        <v>-0.5</v>
      </c>
      <c r="H100">
        <f t="shared" ca="1" si="28"/>
        <v>0.9</v>
      </c>
      <c r="I100">
        <f t="shared" ca="1" si="29"/>
        <v>0</v>
      </c>
      <c r="J100" s="8">
        <f t="shared" ca="1" si="30"/>
        <v>119.05460409907714</v>
      </c>
      <c r="K100" s="9" t="str">
        <f t="shared" ca="1" si="31"/>
        <v>N</v>
      </c>
      <c r="L100">
        <f ca="1">+_xlfn.IFNA(VLOOKUP(M100,BespokeWindowsAreas!$A$1:$E$1999,1,FALSE),VLOOKUP(E100,WindowTypeArea!$B$2:$C$2000,2,FALSE))</f>
        <v>4.5749999999999993</v>
      </c>
      <c r="M100">
        <f t="shared" ca="1" si="32"/>
        <v>6304440</v>
      </c>
    </row>
    <row r="101" spans="1:13" x14ac:dyDescent="0.25">
      <c r="A101">
        <f t="shared" ca="1" si="22"/>
        <v>1</v>
      </c>
      <c r="B101">
        <f t="shared" ca="1" si="23"/>
        <v>84</v>
      </c>
      <c r="C101" t="str">
        <f t="shared" ca="1" si="33"/>
        <v>'WINDOWS-NCH-A-BDP-M3-LG-00'!B83</v>
      </c>
      <c r="D101" s="6" t="str">
        <f t="shared" ca="1" si="24"/>
        <v>LG-OPD-CC1-S028-07</v>
      </c>
      <c r="E101" t="str">
        <f t="shared" ca="1" si="25"/>
        <v>LG-OPD-CC1-S028-07</v>
      </c>
      <c r="F101">
        <f t="shared" ca="1" si="26"/>
        <v>2076011</v>
      </c>
      <c r="G101">
        <f t="shared" ca="1" si="27"/>
        <v>0</v>
      </c>
      <c r="H101">
        <f t="shared" ca="1" si="28"/>
        <v>0</v>
      </c>
      <c r="I101">
        <f t="shared" ca="1" si="29"/>
        <v>0</v>
      </c>
      <c r="J101" s="8" t="e">
        <f t="shared" ca="1" si="30"/>
        <v>#DIV/0!</v>
      </c>
      <c r="K101" s="9" t="e">
        <f t="shared" ca="1" si="31"/>
        <v>#DIV/0!</v>
      </c>
      <c r="L101" t="e">
        <f ca="1">+_xlfn.IFNA(VLOOKUP(M101,BespokeWindowsAreas!$A$1:$E$1999,1,FALSE),VLOOKUP(E101,WindowTypeArea!$B$2:$C$2000,2,FALSE))</f>
        <v>#N/A</v>
      </c>
      <c r="M101">
        <f t="shared" ca="1" si="32"/>
        <v>0</v>
      </c>
    </row>
    <row r="102" spans="1:13" x14ac:dyDescent="0.25">
      <c r="A102">
        <f t="shared" ca="1" si="22"/>
        <v>1</v>
      </c>
      <c r="B102">
        <f t="shared" ca="1" si="23"/>
        <v>85</v>
      </c>
      <c r="C102" t="str">
        <f t="shared" ca="1" si="33"/>
        <v>'WINDOWS-NCH-A-BDP-M3-LG-00'!B84</v>
      </c>
      <c r="D102" s="6" t="str">
        <f t="shared" ca="1" si="24"/>
        <v>LG-OPD-CC1-S028-07</v>
      </c>
      <c r="E102" t="str">
        <f t="shared" ca="1" si="25"/>
        <v>Family Type: 1000w x 3050h, Family: Window External Type 2 - Recessed and Fin</v>
      </c>
      <c r="F102" t="str">
        <f t="shared" ca="1" si="26"/>
        <v>Vector(X = 0.212, Y = -0.977, Z = 0.000, Length = 1.000)</v>
      </c>
      <c r="G102">
        <f t="shared" ca="1" si="27"/>
        <v>0.2</v>
      </c>
      <c r="H102">
        <f t="shared" ca="1" si="28"/>
        <v>-1</v>
      </c>
      <c r="I102">
        <f t="shared" ca="1" si="29"/>
        <v>0</v>
      </c>
      <c r="J102" s="8">
        <f t="shared" ca="1" si="30"/>
        <v>-78.690067525979785</v>
      </c>
      <c r="K102" s="9" t="str">
        <f t="shared" ca="1" si="31"/>
        <v>S</v>
      </c>
      <c r="L102">
        <f ca="1">+_xlfn.IFNA(VLOOKUP(M102,BespokeWindowsAreas!$A$1:$E$1999,1,FALSE),VLOOKUP(E102,WindowTypeArea!$B$2:$C$2000,2,FALSE))</f>
        <v>3.05</v>
      </c>
      <c r="M102">
        <f t="shared" ca="1" si="32"/>
        <v>4865753</v>
      </c>
    </row>
    <row r="103" spans="1:13" x14ac:dyDescent="0.25">
      <c r="A103">
        <f t="shared" ca="1" si="22"/>
        <v>1</v>
      </c>
      <c r="B103">
        <f t="shared" ca="1" si="23"/>
        <v>86</v>
      </c>
      <c r="C103" t="str">
        <f t="shared" ca="1" si="33"/>
        <v>'WINDOWS-NCH-A-BDP-M3-LG-00'!B85</v>
      </c>
      <c r="D103" s="6" t="str">
        <f t="shared" ca="1" si="24"/>
        <v>LG-OPD-CC1-S028-09</v>
      </c>
      <c r="E103" t="str">
        <f t="shared" ca="1" si="25"/>
        <v>LG-OPD-CC1-S028-09</v>
      </c>
      <c r="F103">
        <f t="shared" ca="1" si="26"/>
        <v>2076013</v>
      </c>
      <c r="G103">
        <f t="shared" ca="1" si="27"/>
        <v>0</v>
      </c>
      <c r="H103">
        <f t="shared" ca="1" si="28"/>
        <v>0</v>
      </c>
      <c r="I103">
        <f t="shared" ca="1" si="29"/>
        <v>0</v>
      </c>
      <c r="J103" s="8" t="e">
        <f t="shared" ca="1" si="30"/>
        <v>#DIV/0!</v>
      </c>
      <c r="K103" s="9" t="e">
        <f t="shared" ca="1" si="31"/>
        <v>#DIV/0!</v>
      </c>
      <c r="L103" t="e">
        <f ca="1">+_xlfn.IFNA(VLOOKUP(M103,BespokeWindowsAreas!$A$1:$E$1999,1,FALSE),VLOOKUP(E103,WindowTypeArea!$B$2:$C$2000,2,FALSE))</f>
        <v>#N/A</v>
      </c>
      <c r="M103">
        <f t="shared" ca="1" si="32"/>
        <v>0</v>
      </c>
    </row>
    <row r="104" spans="1:13" x14ac:dyDescent="0.25">
      <c r="A104">
        <f t="shared" ca="1" si="22"/>
        <v>1</v>
      </c>
      <c r="B104">
        <f t="shared" ca="1" si="23"/>
        <v>87</v>
      </c>
      <c r="C104" t="str">
        <f t="shared" ca="1" si="33"/>
        <v>'WINDOWS-NCH-A-BDP-M3-LG-00'!B86</v>
      </c>
      <c r="D104" s="6" t="str">
        <f t="shared" ca="1" si="24"/>
        <v>LG-OPD-CC1-S028-09</v>
      </c>
      <c r="E104" t="str">
        <f t="shared" ca="1" si="25"/>
        <v>Family Type: 975w x 3050h, Family: Window External Type 1 - Recessed</v>
      </c>
      <c r="F104" t="str">
        <f t="shared" ca="1" si="26"/>
        <v>Vector(X = 0.323, Y = -0.946, Z = 0.000, Length = 1.000)</v>
      </c>
      <c r="G104">
        <f t="shared" ca="1" si="27"/>
        <v>0.3</v>
      </c>
      <c r="H104">
        <f t="shared" ca="1" si="28"/>
        <v>-0.9</v>
      </c>
      <c r="I104">
        <f t="shared" ca="1" si="29"/>
        <v>0</v>
      </c>
      <c r="J104" s="8">
        <f t="shared" ca="1" si="30"/>
        <v>-71.56505117707799</v>
      </c>
      <c r="K104" s="9" t="str">
        <f t="shared" ca="1" si="31"/>
        <v>S</v>
      </c>
      <c r="L104">
        <f ca="1">+_xlfn.IFNA(VLOOKUP(M104,BespokeWindowsAreas!$A$1:$E$1999,1,FALSE),VLOOKUP(E104,WindowTypeArea!$B$2:$C$2000,2,FALSE))</f>
        <v>2.9737499999999999</v>
      </c>
      <c r="M104">
        <f t="shared" ca="1" si="32"/>
        <v>4791124</v>
      </c>
    </row>
    <row r="105" spans="1:13" x14ac:dyDescent="0.25">
      <c r="A105">
        <f t="shared" ca="1" si="22"/>
        <v>1</v>
      </c>
      <c r="B105">
        <f t="shared" ca="1" si="23"/>
        <v>88</v>
      </c>
      <c r="C105" t="str">
        <f t="shared" ca="1" si="33"/>
        <v>'WINDOWS-NCH-A-BDP-M3-LG-00'!B87</v>
      </c>
      <c r="D105" s="6" t="str">
        <f t="shared" ca="1" si="24"/>
        <v>LG-OPD-CC1-S028-10</v>
      </c>
      <c r="E105" t="str">
        <f t="shared" ca="1" si="25"/>
        <v>LG-OPD-CC1-S028-10</v>
      </c>
      <c r="F105">
        <f t="shared" ca="1" si="26"/>
        <v>2076014</v>
      </c>
      <c r="G105">
        <f t="shared" ca="1" si="27"/>
        <v>0</v>
      </c>
      <c r="H105">
        <f t="shared" ca="1" si="28"/>
        <v>0</v>
      </c>
      <c r="I105">
        <f t="shared" ca="1" si="29"/>
        <v>0</v>
      </c>
      <c r="J105" s="8" t="e">
        <f t="shared" ca="1" si="30"/>
        <v>#DIV/0!</v>
      </c>
      <c r="K105" s="9" t="e">
        <f t="shared" ca="1" si="31"/>
        <v>#DIV/0!</v>
      </c>
      <c r="L105" t="e">
        <f ca="1">+_xlfn.IFNA(VLOOKUP(M105,BespokeWindowsAreas!$A$1:$E$1999,1,FALSE),VLOOKUP(E105,WindowTypeArea!$B$2:$C$2000,2,FALSE))</f>
        <v>#N/A</v>
      </c>
      <c r="M105">
        <f t="shared" ca="1" si="32"/>
        <v>0</v>
      </c>
    </row>
    <row r="106" spans="1:13" x14ac:dyDescent="0.25">
      <c r="A106">
        <f t="shared" ca="1" si="22"/>
        <v>1</v>
      </c>
      <c r="B106">
        <f t="shared" ca="1" si="23"/>
        <v>89</v>
      </c>
      <c r="C106" t="str">
        <f t="shared" ca="1" si="33"/>
        <v>'WINDOWS-NCH-A-BDP-M3-LG-00'!B88</v>
      </c>
      <c r="D106" s="6" t="str">
        <f t="shared" ca="1" si="24"/>
        <v>LG-OPD-CC1-S028-10</v>
      </c>
      <c r="E106" t="str">
        <f t="shared" ca="1" si="25"/>
        <v>Family Type: 1000w x 3050h, Family: Window External Type 2 - Recessed and Fin</v>
      </c>
      <c r="F106" t="str">
        <f t="shared" ca="1" si="26"/>
        <v>Vector(X = 0.212, Y = -0.977, Z = 0.000, Length = 1.000)</v>
      </c>
      <c r="G106">
        <f t="shared" ca="1" si="27"/>
        <v>0.2</v>
      </c>
      <c r="H106">
        <f t="shared" ca="1" si="28"/>
        <v>-1</v>
      </c>
      <c r="I106">
        <f t="shared" ca="1" si="29"/>
        <v>0</v>
      </c>
      <c r="J106" s="8">
        <f t="shared" ca="1" si="30"/>
        <v>-78.690067525979785</v>
      </c>
      <c r="K106" s="9" t="str">
        <f t="shared" ca="1" si="31"/>
        <v>S</v>
      </c>
      <c r="L106">
        <f ca="1">+_xlfn.IFNA(VLOOKUP(M106,BespokeWindowsAreas!$A$1:$E$1999,1,FALSE),VLOOKUP(E106,WindowTypeArea!$B$2:$C$2000,2,FALSE))</f>
        <v>3.05</v>
      </c>
      <c r="M106">
        <f t="shared" ca="1" si="32"/>
        <v>4865753</v>
      </c>
    </row>
    <row r="107" spans="1:13" x14ac:dyDescent="0.25">
      <c r="A107">
        <f t="shared" ca="1" si="22"/>
        <v>1</v>
      </c>
      <c r="B107">
        <f t="shared" ca="1" si="23"/>
        <v>90</v>
      </c>
      <c r="C107" t="str">
        <f t="shared" ca="1" si="33"/>
        <v>'WINDOWS-NCH-A-BDP-M3-LG-00'!B89</v>
      </c>
      <c r="D107" s="6" t="str">
        <f t="shared" ca="1" si="24"/>
        <v>none</v>
      </c>
      <c r="E107" t="str">
        <f t="shared" ca="1" si="25"/>
        <v>none</v>
      </c>
      <c r="F107" t="str">
        <f t="shared" ca="1" si="26"/>
        <v>Vector(X = 0.212, Y = -0.977, Z = 0.000, Length = 1.000)</v>
      </c>
      <c r="G107">
        <f t="shared" ca="1" si="27"/>
        <v>0.2</v>
      </c>
      <c r="H107">
        <f t="shared" ca="1" si="28"/>
        <v>-1</v>
      </c>
      <c r="I107">
        <f t="shared" ca="1" si="29"/>
        <v>0</v>
      </c>
      <c r="J107" s="8">
        <f t="shared" ca="1" si="30"/>
        <v>-78.690067525979785</v>
      </c>
      <c r="K107" s="9" t="str">
        <f t="shared" ca="1" si="31"/>
        <v>S</v>
      </c>
      <c r="L107" t="e">
        <f ca="1">+_xlfn.IFNA(VLOOKUP(M107,BespokeWindowsAreas!$A$1:$E$1999,1,FALSE),VLOOKUP(E107,WindowTypeArea!$B$2:$C$2000,2,FALSE))</f>
        <v>#N/A</v>
      </c>
      <c r="M107">
        <f t="shared" ca="1" si="32"/>
        <v>4865758</v>
      </c>
    </row>
    <row r="108" spans="1:13" x14ac:dyDescent="0.25">
      <c r="A108">
        <f t="shared" ca="1" si="22"/>
        <v>1</v>
      </c>
      <c r="B108">
        <f t="shared" ca="1" si="23"/>
        <v>91</v>
      </c>
      <c r="C108" t="str">
        <f t="shared" ca="1" si="33"/>
        <v>'WINDOWS-NCH-A-BDP-M3-LG-00'!B90</v>
      </c>
      <c r="D108" s="6" t="str">
        <f t="shared" ca="1" si="24"/>
        <v>LG-OPD-CC1-S028-11</v>
      </c>
      <c r="E108" t="str">
        <f t="shared" ca="1" si="25"/>
        <v>LG-OPD-CC1-S028-11</v>
      </c>
      <c r="F108">
        <f t="shared" ca="1" si="26"/>
        <v>2076015</v>
      </c>
      <c r="G108">
        <f t="shared" ca="1" si="27"/>
        <v>0</v>
      </c>
      <c r="H108">
        <f t="shared" ca="1" si="28"/>
        <v>0</v>
      </c>
      <c r="I108">
        <f t="shared" ca="1" si="29"/>
        <v>0</v>
      </c>
      <c r="J108" s="8" t="e">
        <f t="shared" ca="1" si="30"/>
        <v>#DIV/0!</v>
      </c>
      <c r="K108" s="9" t="e">
        <f t="shared" ca="1" si="31"/>
        <v>#DIV/0!</v>
      </c>
      <c r="L108" t="e">
        <f ca="1">+_xlfn.IFNA(VLOOKUP(M108,BespokeWindowsAreas!$A$1:$E$1999,1,FALSE),VLOOKUP(E108,WindowTypeArea!$B$2:$C$2000,2,FALSE))</f>
        <v>#N/A</v>
      </c>
      <c r="M108">
        <f t="shared" ca="1" si="32"/>
        <v>0</v>
      </c>
    </row>
    <row r="109" spans="1:13" x14ac:dyDescent="0.25">
      <c r="A109">
        <f t="shared" ca="1" si="22"/>
        <v>1</v>
      </c>
      <c r="B109">
        <f t="shared" ca="1" si="23"/>
        <v>92</v>
      </c>
      <c r="C109" t="str">
        <f t="shared" ca="1" si="33"/>
        <v>'WINDOWS-NCH-A-BDP-M3-LG-00'!B91</v>
      </c>
      <c r="D109" s="6" t="str">
        <f t="shared" ca="1" si="24"/>
        <v>LG-OPD-CC1-S028-11</v>
      </c>
      <c r="E109" t="str">
        <f t="shared" ca="1" si="25"/>
        <v>Family Type: 1500w x 3050h, Family: Window External Type 3 - Recessed and Angle</v>
      </c>
      <c r="F109" t="str">
        <f t="shared" ca="1" si="26"/>
        <v>Vector(X = 0.212, Y = -0.977, Z = 0.000, Length = 1.000)</v>
      </c>
      <c r="G109">
        <f t="shared" ca="1" si="27"/>
        <v>0.2</v>
      </c>
      <c r="H109">
        <f t="shared" ca="1" si="28"/>
        <v>-1</v>
      </c>
      <c r="I109">
        <f t="shared" ca="1" si="29"/>
        <v>0</v>
      </c>
      <c r="J109" s="8">
        <f t="shared" ca="1" si="30"/>
        <v>-78.690067525979785</v>
      </c>
      <c r="K109" s="9" t="str">
        <f t="shared" ca="1" si="31"/>
        <v>S</v>
      </c>
      <c r="L109">
        <f ca="1">+_xlfn.IFNA(VLOOKUP(M109,BespokeWindowsAreas!$A$1:$E$1999,1,FALSE),VLOOKUP(E109,WindowTypeArea!$B$2:$C$2000,2,FALSE))</f>
        <v>4.5750000000000002</v>
      </c>
      <c r="M109">
        <f t="shared" ca="1" si="32"/>
        <v>4865933</v>
      </c>
    </row>
    <row r="110" spans="1:13" x14ac:dyDescent="0.25">
      <c r="A110">
        <f t="shared" ca="1" si="22"/>
        <v>1</v>
      </c>
      <c r="B110">
        <f t="shared" ca="1" si="23"/>
        <v>93</v>
      </c>
      <c r="C110" t="str">
        <f t="shared" ca="1" si="33"/>
        <v>'WINDOWS-NCH-A-BDP-M3-LG-00'!B92</v>
      </c>
      <c r="D110" s="6" t="str">
        <f t="shared" ca="1" si="24"/>
        <v>LG-OPD-CC1-S028-12</v>
      </c>
      <c r="E110" t="str">
        <f t="shared" ca="1" si="25"/>
        <v>LG-OPD-CC1-S028-12</v>
      </c>
      <c r="F110">
        <f t="shared" ca="1" si="26"/>
        <v>2076016</v>
      </c>
      <c r="G110">
        <f t="shared" ca="1" si="27"/>
        <v>0</v>
      </c>
      <c r="H110">
        <f t="shared" ca="1" si="28"/>
        <v>0</v>
      </c>
      <c r="I110">
        <f t="shared" ca="1" si="29"/>
        <v>0</v>
      </c>
      <c r="J110" s="8" t="e">
        <f t="shared" ca="1" si="30"/>
        <v>#DIV/0!</v>
      </c>
      <c r="K110" s="9" t="e">
        <f t="shared" ca="1" si="31"/>
        <v>#DIV/0!</v>
      </c>
      <c r="L110" t="e">
        <f ca="1">+_xlfn.IFNA(VLOOKUP(M110,BespokeWindowsAreas!$A$1:$E$1999,1,FALSE),VLOOKUP(E110,WindowTypeArea!$B$2:$C$2000,2,FALSE))</f>
        <v>#N/A</v>
      </c>
      <c r="M110">
        <f t="shared" ca="1" si="32"/>
        <v>0</v>
      </c>
    </row>
    <row r="111" spans="1:13" x14ac:dyDescent="0.25">
      <c r="A111">
        <f t="shared" ca="1" si="22"/>
        <v>1</v>
      </c>
      <c r="B111">
        <f t="shared" ca="1" si="23"/>
        <v>94</v>
      </c>
      <c r="C111" t="str">
        <f t="shared" ca="1" si="33"/>
        <v>'WINDOWS-NCH-A-BDP-M3-LG-00'!B93</v>
      </c>
      <c r="D111" s="6" t="str">
        <f t="shared" ca="1" si="24"/>
        <v>LG-OPD-CC1-S028-12</v>
      </c>
      <c r="E111" t="str">
        <f t="shared" ca="1" si="25"/>
        <v>Family Type: 1000w x 3050h, Family: Window External Type 2 - Recessed and Fin</v>
      </c>
      <c r="F111" t="str">
        <f t="shared" ca="1" si="26"/>
        <v>Vector(X = 0.212, Y = -0.977, Z = 0.000, Length = 1.000)</v>
      </c>
      <c r="G111">
        <f t="shared" ca="1" si="27"/>
        <v>0.2</v>
      </c>
      <c r="H111">
        <f t="shared" ca="1" si="28"/>
        <v>-1</v>
      </c>
      <c r="I111">
        <f t="shared" ca="1" si="29"/>
        <v>0</v>
      </c>
      <c r="J111" s="8">
        <f t="shared" ca="1" si="30"/>
        <v>-78.690067525979785</v>
      </c>
      <c r="K111" s="9" t="str">
        <f t="shared" ca="1" si="31"/>
        <v>S</v>
      </c>
      <c r="L111">
        <f ca="1">+_xlfn.IFNA(VLOOKUP(M111,BespokeWindowsAreas!$A$1:$E$1999,1,FALSE),VLOOKUP(E111,WindowTypeArea!$B$2:$C$2000,2,FALSE))</f>
        <v>3.05</v>
      </c>
      <c r="M111">
        <f t="shared" ca="1" si="32"/>
        <v>4866054</v>
      </c>
    </row>
    <row r="112" spans="1:13" x14ac:dyDescent="0.25">
      <c r="A112">
        <f t="shared" ca="1" si="22"/>
        <v>1</v>
      </c>
      <c r="B112">
        <f t="shared" ca="1" si="23"/>
        <v>95</v>
      </c>
      <c r="C112" t="str">
        <f t="shared" ca="1" si="33"/>
        <v>'WINDOWS-NCH-A-BDP-M3-LG-00'!B94</v>
      </c>
      <c r="D112" s="6" t="str">
        <f t="shared" ca="1" si="24"/>
        <v>LG-OPD-CC1-S028-13</v>
      </c>
      <c r="E112" t="str">
        <f t="shared" ca="1" si="25"/>
        <v>LG-OPD-CC1-S028-13</v>
      </c>
      <c r="F112">
        <f t="shared" ca="1" si="26"/>
        <v>2076017</v>
      </c>
      <c r="G112">
        <f t="shared" ca="1" si="27"/>
        <v>0</v>
      </c>
      <c r="H112">
        <f t="shared" ca="1" si="28"/>
        <v>0</v>
      </c>
      <c r="I112">
        <f t="shared" ca="1" si="29"/>
        <v>0</v>
      </c>
      <c r="J112" s="8" t="e">
        <f t="shared" ca="1" si="30"/>
        <v>#DIV/0!</v>
      </c>
      <c r="K112" s="9" t="e">
        <f t="shared" ca="1" si="31"/>
        <v>#DIV/0!</v>
      </c>
      <c r="L112" t="e">
        <f ca="1">+_xlfn.IFNA(VLOOKUP(M112,BespokeWindowsAreas!$A$1:$E$1999,1,FALSE),VLOOKUP(E112,WindowTypeArea!$B$2:$C$2000,2,FALSE))</f>
        <v>#N/A</v>
      </c>
      <c r="M112">
        <f t="shared" ca="1" si="32"/>
        <v>0</v>
      </c>
    </row>
    <row r="113" spans="1:13" x14ac:dyDescent="0.25">
      <c r="A113">
        <f t="shared" ca="1" si="22"/>
        <v>1</v>
      </c>
      <c r="B113">
        <f t="shared" ca="1" si="23"/>
        <v>96</v>
      </c>
      <c r="C113" t="str">
        <f t="shared" ca="1" si="33"/>
        <v>'WINDOWS-NCH-A-BDP-M3-LG-00'!B95</v>
      </c>
      <c r="D113" s="6" t="str">
        <f t="shared" ca="1" si="24"/>
        <v>LG-OPD-CC1-S028-13</v>
      </c>
      <c r="E113" t="str">
        <f t="shared" ca="1" si="25"/>
        <v>Family Type: 1950w x 3050h, Family: Window External Type 3 - Recessed and Angle</v>
      </c>
      <c r="F113" t="str">
        <f t="shared" ca="1" si="26"/>
        <v>Vector(X = 0.212, Y = -0.977, Z = 0.000, Length = 1.000)</v>
      </c>
      <c r="G113">
        <f t="shared" ca="1" si="27"/>
        <v>0.2</v>
      </c>
      <c r="H113">
        <f t="shared" ca="1" si="28"/>
        <v>-1</v>
      </c>
      <c r="I113">
        <f t="shared" ca="1" si="29"/>
        <v>0</v>
      </c>
      <c r="J113" s="8">
        <f t="shared" ca="1" si="30"/>
        <v>-78.690067525979785</v>
      </c>
      <c r="K113" s="9" t="str">
        <f t="shared" ca="1" si="31"/>
        <v>S</v>
      </c>
      <c r="L113">
        <f ca="1">+_xlfn.IFNA(VLOOKUP(M113,BespokeWindowsAreas!$A$1:$E$1999,1,FALSE),VLOOKUP(E113,WindowTypeArea!$B$2:$C$2000,2,FALSE))</f>
        <v>5.9474999999999998</v>
      </c>
      <c r="M113">
        <f t="shared" ca="1" si="32"/>
        <v>4865747</v>
      </c>
    </row>
    <row r="114" spans="1:13" x14ac:dyDescent="0.25">
      <c r="A114">
        <f t="shared" ca="1" si="22"/>
        <v>1</v>
      </c>
      <c r="B114">
        <f t="shared" ca="1" si="23"/>
        <v>97</v>
      </c>
      <c r="C114" t="str">
        <f t="shared" ca="1" si="33"/>
        <v>'WINDOWS-NCH-A-BDP-M3-LG-00'!B96</v>
      </c>
      <c r="D114" s="6" t="str">
        <f t="shared" ca="1" si="24"/>
        <v>LG-OPD-CC1-S028-14</v>
      </c>
      <c r="E114" t="str">
        <f t="shared" ca="1" si="25"/>
        <v>LG-OPD-CC1-S028-14</v>
      </c>
      <c r="F114">
        <f t="shared" ca="1" si="26"/>
        <v>2076018</v>
      </c>
      <c r="G114">
        <f t="shared" ca="1" si="27"/>
        <v>0</v>
      </c>
      <c r="H114">
        <f t="shared" ca="1" si="28"/>
        <v>0</v>
      </c>
      <c r="I114">
        <f t="shared" ca="1" si="29"/>
        <v>0</v>
      </c>
      <c r="J114" s="8" t="e">
        <f t="shared" ca="1" si="30"/>
        <v>#DIV/0!</v>
      </c>
      <c r="K114" s="9" t="e">
        <f t="shared" ca="1" si="31"/>
        <v>#DIV/0!</v>
      </c>
      <c r="L114" t="e">
        <f ca="1">+_xlfn.IFNA(VLOOKUP(M114,BespokeWindowsAreas!$A$1:$E$1999,1,FALSE),VLOOKUP(E114,WindowTypeArea!$B$2:$C$2000,2,FALSE))</f>
        <v>#N/A</v>
      </c>
      <c r="M114">
        <f t="shared" ca="1" si="32"/>
        <v>0</v>
      </c>
    </row>
    <row r="115" spans="1:13" x14ac:dyDescent="0.25">
      <c r="A115">
        <f t="shared" ca="1" si="22"/>
        <v>1</v>
      </c>
      <c r="B115">
        <f t="shared" ca="1" si="23"/>
        <v>98</v>
      </c>
      <c r="C115" t="str">
        <f t="shared" ca="1" si="33"/>
        <v>'WINDOWS-NCH-A-BDP-M3-LG-00'!B97</v>
      </c>
      <c r="D115" s="6" t="str">
        <f t="shared" ca="1" si="24"/>
        <v>LG-OPD-CC1-S028-14</v>
      </c>
      <c r="E115" t="str">
        <f t="shared" ca="1" si="25"/>
        <v>Family Type: 1000w x 3050h, Family: Window External Type 2 - Recessed and Fin</v>
      </c>
      <c r="F115" t="str">
        <f t="shared" ca="1" si="26"/>
        <v>Vector(X = 0.212, Y = -0.977, Z = 0.000, Length = 1.000)</v>
      </c>
      <c r="G115">
        <f t="shared" ca="1" si="27"/>
        <v>0.2</v>
      </c>
      <c r="H115">
        <f t="shared" ca="1" si="28"/>
        <v>-1</v>
      </c>
      <c r="I115">
        <f t="shared" ca="1" si="29"/>
        <v>0</v>
      </c>
      <c r="J115" s="8">
        <f t="shared" ca="1" si="30"/>
        <v>-78.690067525979785</v>
      </c>
      <c r="K115" s="9" t="str">
        <f t="shared" ca="1" si="31"/>
        <v>S</v>
      </c>
      <c r="L115">
        <f ca="1">+_xlfn.IFNA(VLOOKUP(M115,BespokeWindowsAreas!$A$1:$E$1999,1,FALSE),VLOOKUP(E115,WindowTypeArea!$B$2:$C$2000,2,FALSE))</f>
        <v>3.05</v>
      </c>
      <c r="M115">
        <f t="shared" ca="1" si="32"/>
        <v>4865754</v>
      </c>
    </row>
    <row r="116" spans="1:13" x14ac:dyDescent="0.25">
      <c r="A116">
        <f t="shared" ca="1" si="22"/>
        <v>1</v>
      </c>
      <c r="B116">
        <f t="shared" ca="1" si="23"/>
        <v>99</v>
      </c>
      <c r="C116" t="str">
        <f t="shared" ca="1" si="33"/>
        <v>'WINDOWS-NCH-A-BDP-M3-LG-00'!B98</v>
      </c>
      <c r="D116" s="6" t="str">
        <f t="shared" ref="D116:D147" ca="1" si="34">+IF(IFERROR(FIND("Family",E116)&gt;0,FALSE),D115,E116)</f>
        <v>LG-OPD-CC1-S028-15</v>
      </c>
      <c r="E116" t="str">
        <f t="shared" ca="1" si="25"/>
        <v>LG-OPD-CC1-S028-15</v>
      </c>
      <c r="F116">
        <f t="shared" ca="1" si="26"/>
        <v>2076019</v>
      </c>
      <c r="G116">
        <f t="shared" ca="1" si="27"/>
        <v>0</v>
      </c>
      <c r="H116">
        <f t="shared" ca="1" si="28"/>
        <v>0</v>
      </c>
      <c r="I116">
        <f t="shared" ca="1" si="29"/>
        <v>0</v>
      </c>
      <c r="J116" s="8" t="e">
        <f t="shared" ca="1" si="30"/>
        <v>#DIV/0!</v>
      </c>
      <c r="K116" s="9" t="e">
        <f t="shared" ca="1" si="31"/>
        <v>#DIV/0!</v>
      </c>
      <c r="L116" t="e">
        <f ca="1">+_xlfn.IFNA(VLOOKUP(M116,BespokeWindowsAreas!$A$1:$E$1999,1,FALSE),VLOOKUP(E116,WindowTypeArea!$B$2:$C$2000,2,FALSE))</f>
        <v>#N/A</v>
      </c>
      <c r="M116">
        <f t="shared" ca="1" si="32"/>
        <v>0</v>
      </c>
    </row>
    <row r="117" spans="1:13" x14ac:dyDescent="0.25">
      <c r="A117">
        <f t="shared" ca="1" si="22"/>
        <v>1</v>
      </c>
      <c r="B117">
        <f t="shared" ca="1" si="23"/>
        <v>100</v>
      </c>
      <c r="C117" t="str">
        <f t="shared" ca="1" si="33"/>
        <v>'WINDOWS-NCH-A-BDP-M3-LG-00'!B99</v>
      </c>
      <c r="D117" s="6" t="str">
        <f t="shared" ca="1" si="34"/>
        <v>LG-OPD-CC1-S028-15</v>
      </c>
      <c r="E117" t="str">
        <f t="shared" ca="1" si="25"/>
        <v>Family Type: 1500w x 3050h, Family: Window External Type 3 - Recessed and Angle</v>
      </c>
      <c r="F117" t="str">
        <f t="shared" ca="1" si="26"/>
        <v>Vector(X = 0.212, Y = -0.977, Z = 0.000, Length = 1.000)</v>
      </c>
      <c r="G117">
        <f t="shared" ca="1" si="27"/>
        <v>0.2</v>
      </c>
      <c r="H117">
        <f t="shared" ca="1" si="28"/>
        <v>-1</v>
      </c>
      <c r="I117">
        <f t="shared" ca="1" si="29"/>
        <v>0</v>
      </c>
      <c r="J117" s="8">
        <f t="shared" ca="1" si="30"/>
        <v>-78.690067525979785</v>
      </c>
      <c r="K117" s="9" t="str">
        <f t="shared" ca="1" si="31"/>
        <v>S</v>
      </c>
      <c r="L117">
        <f ca="1">+_xlfn.IFNA(VLOOKUP(M117,BespokeWindowsAreas!$A$1:$E$1999,1,FALSE),VLOOKUP(E117,WindowTypeArea!$B$2:$C$2000,2,FALSE))</f>
        <v>4.5750000000000002</v>
      </c>
      <c r="M117">
        <f t="shared" ca="1" si="32"/>
        <v>4865757</v>
      </c>
    </row>
    <row r="118" spans="1:13" x14ac:dyDescent="0.25">
      <c r="A118">
        <f t="shared" ca="1" si="22"/>
        <v>1</v>
      </c>
      <c r="B118">
        <f t="shared" ca="1" si="23"/>
        <v>101</v>
      </c>
      <c r="C118" t="str">
        <f t="shared" ca="1" si="33"/>
        <v>'WINDOWS-NCH-A-BDP-M3-LG-00'!B100</v>
      </c>
      <c r="D118" s="6" t="str">
        <f t="shared" ca="1" si="34"/>
        <v>LG-OPD-CC1-S028-16</v>
      </c>
      <c r="E118" t="str">
        <f t="shared" ca="1" si="25"/>
        <v>LG-OPD-CC1-S028-16</v>
      </c>
      <c r="F118">
        <f t="shared" ca="1" si="26"/>
        <v>2076020</v>
      </c>
      <c r="G118">
        <f t="shared" ca="1" si="27"/>
        <v>0</v>
      </c>
      <c r="H118">
        <f t="shared" ca="1" si="28"/>
        <v>0</v>
      </c>
      <c r="I118">
        <f t="shared" ca="1" si="29"/>
        <v>0</v>
      </c>
      <c r="J118" s="8" t="e">
        <f t="shared" ca="1" si="30"/>
        <v>#DIV/0!</v>
      </c>
      <c r="K118" s="9" t="e">
        <f t="shared" ca="1" si="31"/>
        <v>#DIV/0!</v>
      </c>
      <c r="L118" t="e">
        <f ca="1">+_xlfn.IFNA(VLOOKUP(M118,BespokeWindowsAreas!$A$1:$E$1999,1,FALSE),VLOOKUP(E118,WindowTypeArea!$B$2:$C$2000,2,FALSE))</f>
        <v>#N/A</v>
      </c>
      <c r="M118">
        <f t="shared" ca="1" si="32"/>
        <v>0</v>
      </c>
    </row>
    <row r="119" spans="1:13" x14ac:dyDescent="0.25">
      <c r="A119">
        <f t="shared" ca="1" si="22"/>
        <v>1</v>
      </c>
      <c r="B119">
        <f t="shared" ca="1" si="23"/>
        <v>102</v>
      </c>
      <c r="C119" t="str">
        <f t="shared" ca="1" si="33"/>
        <v>'WINDOWS-NCH-A-BDP-M3-LG-00'!B101</v>
      </c>
      <c r="D119" s="6" t="str">
        <f t="shared" ca="1" si="34"/>
        <v>LG-OPD-CC1-S028-16</v>
      </c>
      <c r="E119" t="str">
        <f t="shared" ca="1" si="25"/>
        <v>Family Type: 1000w x 3050h, Family: Window External Type 4 - Extruded</v>
      </c>
      <c r="F119" t="str">
        <f t="shared" ca="1" si="26"/>
        <v>Vector(X = 0.212, Y = -0.977, Z = 0.000, Length = 1.000)</v>
      </c>
      <c r="G119">
        <f t="shared" ca="1" si="27"/>
        <v>0.2</v>
      </c>
      <c r="H119">
        <f t="shared" ca="1" si="28"/>
        <v>-1</v>
      </c>
      <c r="I119">
        <f t="shared" ca="1" si="29"/>
        <v>0</v>
      </c>
      <c r="J119" s="8">
        <f t="shared" ca="1" si="30"/>
        <v>-78.690067525979785</v>
      </c>
      <c r="K119" s="9" t="str">
        <f t="shared" ca="1" si="31"/>
        <v>S</v>
      </c>
      <c r="L119">
        <f ca="1">+_xlfn.IFNA(VLOOKUP(M119,BespokeWindowsAreas!$A$1:$E$1999,1,FALSE),VLOOKUP(E119,WindowTypeArea!$B$2:$C$2000,2,FALSE))</f>
        <v>3.05</v>
      </c>
      <c r="M119">
        <f t="shared" ca="1" si="32"/>
        <v>4865755</v>
      </c>
    </row>
    <row r="120" spans="1:13" x14ac:dyDescent="0.25">
      <c r="A120">
        <f t="shared" ca="1" si="22"/>
        <v>1</v>
      </c>
      <c r="B120">
        <f t="shared" ca="1" si="23"/>
        <v>103</v>
      </c>
      <c r="C120" t="str">
        <f t="shared" ca="1" si="33"/>
        <v>'WINDOWS-NCH-A-BDP-M3-LG-00'!B102</v>
      </c>
      <c r="D120" s="6" t="str">
        <f t="shared" ca="1" si="34"/>
        <v>LG-OPD-CC1-S028-16</v>
      </c>
      <c r="E120" t="str">
        <f t="shared" ca="1" si="25"/>
        <v>Family Type: manual 1.5m2</v>
      </c>
      <c r="F120" t="str">
        <f t="shared" ca="1" si="26"/>
        <v>Vector(X = 0.212, Y = -0.977, Z = 0.000, Length = 1.000)</v>
      </c>
      <c r="G120">
        <f t="shared" ca="1" si="27"/>
        <v>0.2</v>
      </c>
      <c r="H120">
        <f t="shared" ca="1" si="28"/>
        <v>-1</v>
      </c>
      <c r="I120">
        <f t="shared" ca="1" si="29"/>
        <v>0</v>
      </c>
      <c r="J120" s="8">
        <f t="shared" ca="1" si="30"/>
        <v>-78.690067525979785</v>
      </c>
      <c r="K120" s="9" t="str">
        <f t="shared" ca="1" si="31"/>
        <v>S</v>
      </c>
      <c r="L120">
        <f ca="1">+_xlfn.IFNA(VLOOKUP(M120,BespokeWindowsAreas!$A$1:$E$1999,1,FALSE),VLOOKUP(E120,WindowTypeArea!$B$2:$C$2000,2,FALSE))</f>
        <v>1.5</v>
      </c>
      <c r="M120">
        <f t="shared" ca="1" si="32"/>
        <v>4868741</v>
      </c>
    </row>
    <row r="121" spans="1:13" x14ac:dyDescent="0.25">
      <c r="A121">
        <f t="shared" ca="1" si="22"/>
        <v>1</v>
      </c>
      <c r="B121">
        <f t="shared" ca="1" si="23"/>
        <v>104</v>
      </c>
      <c r="C121" t="str">
        <f t="shared" ca="1" si="33"/>
        <v>'WINDOWS-NCH-A-BDP-M3-LG-00'!B103</v>
      </c>
      <c r="D121" s="6" t="str">
        <f t="shared" ca="1" si="34"/>
        <v>LG-OPD-CC1-S028-19</v>
      </c>
      <c r="E121" t="str">
        <f t="shared" ca="1" si="25"/>
        <v>LG-OPD-CC1-S028-19</v>
      </c>
      <c r="F121">
        <f t="shared" ca="1" si="26"/>
        <v>2076023</v>
      </c>
      <c r="G121">
        <f t="shared" ca="1" si="27"/>
        <v>0</v>
      </c>
      <c r="H121">
        <f t="shared" ca="1" si="28"/>
        <v>0</v>
      </c>
      <c r="I121">
        <f t="shared" ca="1" si="29"/>
        <v>0</v>
      </c>
      <c r="J121" s="8" t="e">
        <f t="shared" ca="1" si="30"/>
        <v>#DIV/0!</v>
      </c>
      <c r="K121" s="9" t="e">
        <f t="shared" ca="1" si="31"/>
        <v>#DIV/0!</v>
      </c>
      <c r="L121" t="e">
        <f ca="1">+_xlfn.IFNA(VLOOKUP(M121,BespokeWindowsAreas!$A$1:$E$1999,1,FALSE),VLOOKUP(E121,WindowTypeArea!$B$2:$C$2000,2,FALSE))</f>
        <v>#N/A</v>
      </c>
      <c r="M121">
        <f t="shared" ca="1" si="32"/>
        <v>0</v>
      </c>
    </row>
    <row r="122" spans="1:13" x14ac:dyDescent="0.25">
      <c r="A122">
        <f t="shared" ca="1" si="22"/>
        <v>1</v>
      </c>
      <c r="B122">
        <f t="shared" ca="1" si="23"/>
        <v>105</v>
      </c>
      <c r="C122" t="str">
        <f t="shared" ca="1" si="33"/>
        <v>'WINDOWS-NCH-A-BDP-M3-LG-00'!B104</v>
      </c>
      <c r="D122" s="6" t="str">
        <f t="shared" ca="1" si="34"/>
        <v>LG-OPD-CC1-S028-19</v>
      </c>
      <c r="E122" t="str">
        <f t="shared" ca="1" si="25"/>
        <v>Family Type: 1000w x 3050h, Family: Window External Type 2 - Recessed and Fin</v>
      </c>
      <c r="F122" t="str">
        <f t="shared" ca="1" si="26"/>
        <v>Vector(X = 0.212, Y = -0.977, Z = 0.000, Length = 1.000)</v>
      </c>
      <c r="G122">
        <f t="shared" ca="1" si="27"/>
        <v>0.2</v>
      </c>
      <c r="H122">
        <f t="shared" ca="1" si="28"/>
        <v>-1</v>
      </c>
      <c r="I122">
        <f t="shared" ca="1" si="29"/>
        <v>0</v>
      </c>
      <c r="J122" s="8">
        <f t="shared" ca="1" si="30"/>
        <v>-78.690067525979785</v>
      </c>
      <c r="K122" s="9" t="str">
        <f t="shared" ca="1" si="31"/>
        <v>S</v>
      </c>
      <c r="L122">
        <f ca="1">+_xlfn.IFNA(VLOOKUP(M122,BespokeWindowsAreas!$A$1:$E$1999,1,FALSE),VLOOKUP(E122,WindowTypeArea!$B$2:$C$2000,2,FALSE))</f>
        <v>3.05</v>
      </c>
      <c r="M122">
        <f t="shared" ca="1" si="32"/>
        <v>4871424</v>
      </c>
    </row>
    <row r="123" spans="1:13" x14ac:dyDescent="0.25">
      <c r="A123">
        <f t="shared" ca="1" si="22"/>
        <v>1</v>
      </c>
      <c r="B123">
        <f t="shared" ca="1" si="23"/>
        <v>106</v>
      </c>
      <c r="C123" t="str">
        <f t="shared" ca="1" si="33"/>
        <v>'WINDOWS-NCH-A-BDP-M3-LG-00'!B105</v>
      </c>
      <c r="D123" s="6" t="str">
        <f t="shared" ca="1" si="34"/>
        <v>LG-OPD-CC1-S028-19</v>
      </c>
      <c r="E123" t="str">
        <f t="shared" ca="1" si="25"/>
        <v>Family Type: 1000w x 3050h, Family: Window External Type 2 - Recessed and Fin</v>
      </c>
      <c r="F123" t="str">
        <f t="shared" ca="1" si="26"/>
        <v>Vector(X = 0.212, Y = -0.977, Z = 0.000, Length = 1.000)</v>
      </c>
      <c r="G123">
        <f t="shared" ca="1" si="27"/>
        <v>0.2</v>
      </c>
      <c r="H123">
        <f t="shared" ca="1" si="28"/>
        <v>-1</v>
      </c>
      <c r="I123">
        <f t="shared" ca="1" si="29"/>
        <v>0</v>
      </c>
      <c r="J123" s="8">
        <f t="shared" ca="1" si="30"/>
        <v>-78.690067525979785</v>
      </c>
      <c r="K123" s="9" t="str">
        <f t="shared" ca="1" si="31"/>
        <v>S</v>
      </c>
      <c r="L123">
        <f ca="1">+_xlfn.IFNA(VLOOKUP(M123,BespokeWindowsAreas!$A$1:$E$1999,1,FALSE),VLOOKUP(E123,WindowTypeArea!$B$2:$C$2000,2,FALSE))</f>
        <v>3.05</v>
      </c>
      <c r="M123">
        <f t="shared" ca="1" si="32"/>
        <v>4871456</v>
      </c>
    </row>
    <row r="124" spans="1:13" x14ac:dyDescent="0.25">
      <c r="A124">
        <f t="shared" ca="1" si="22"/>
        <v>1</v>
      </c>
      <c r="B124">
        <f t="shared" ca="1" si="23"/>
        <v>107</v>
      </c>
      <c r="C124" t="str">
        <f t="shared" ca="1" si="33"/>
        <v>'WINDOWS-NCH-A-BDP-M3-LG-00'!B106</v>
      </c>
      <c r="D124" s="6" t="str">
        <f t="shared" ca="1" si="34"/>
        <v>LG-OPD-CC1-S028-20</v>
      </c>
      <c r="E124" t="str">
        <f t="shared" ca="1" si="25"/>
        <v>LG-OPD-CC1-S028-20</v>
      </c>
      <c r="F124">
        <f t="shared" ca="1" si="26"/>
        <v>2076024</v>
      </c>
      <c r="G124">
        <f t="shared" ca="1" si="27"/>
        <v>0</v>
      </c>
      <c r="H124">
        <f t="shared" ca="1" si="28"/>
        <v>0</v>
      </c>
      <c r="I124">
        <f t="shared" ca="1" si="29"/>
        <v>0</v>
      </c>
      <c r="J124" s="8" t="e">
        <f t="shared" ca="1" si="30"/>
        <v>#DIV/0!</v>
      </c>
      <c r="K124" s="9" t="e">
        <f t="shared" ca="1" si="31"/>
        <v>#DIV/0!</v>
      </c>
      <c r="L124" t="e">
        <f ca="1">+_xlfn.IFNA(VLOOKUP(M124,BespokeWindowsAreas!$A$1:$E$1999,1,FALSE),VLOOKUP(E124,WindowTypeArea!$B$2:$C$2000,2,FALSE))</f>
        <v>#N/A</v>
      </c>
      <c r="M124">
        <f t="shared" ca="1" si="32"/>
        <v>0</v>
      </c>
    </row>
    <row r="125" spans="1:13" x14ac:dyDescent="0.25">
      <c r="A125">
        <f t="shared" ca="1" si="22"/>
        <v>1</v>
      </c>
      <c r="B125">
        <f t="shared" ca="1" si="23"/>
        <v>108</v>
      </c>
      <c r="C125" t="str">
        <f t="shared" ca="1" si="33"/>
        <v>'WINDOWS-NCH-A-BDP-M3-LG-00'!B107</v>
      </c>
      <c r="D125" s="6" t="str">
        <f t="shared" ca="1" si="34"/>
        <v>LG-OPD-CC1-S028-20</v>
      </c>
      <c r="E125" t="str">
        <f t="shared" ca="1" si="25"/>
        <v>Family Type: 1500w x 3050h, Family: Window External Type 3 - Recessed and Angle</v>
      </c>
      <c r="F125" t="str">
        <f t="shared" ca="1" si="26"/>
        <v>Vector(X = 0.212, Y = -0.977, Z = 0.000, Length = 1.000)</v>
      </c>
      <c r="G125">
        <f t="shared" ca="1" si="27"/>
        <v>0.2</v>
      </c>
      <c r="H125">
        <f t="shared" ca="1" si="28"/>
        <v>-1</v>
      </c>
      <c r="I125">
        <f t="shared" ca="1" si="29"/>
        <v>0</v>
      </c>
      <c r="J125" s="8">
        <f t="shared" ca="1" si="30"/>
        <v>-78.690067525979785</v>
      </c>
      <c r="K125" s="9" t="str">
        <f t="shared" ca="1" si="31"/>
        <v>S</v>
      </c>
      <c r="L125">
        <f ca="1">+_xlfn.IFNA(VLOOKUP(M125,BespokeWindowsAreas!$A$1:$E$1999,1,FALSE),VLOOKUP(E125,WindowTypeArea!$B$2:$C$2000,2,FALSE))</f>
        <v>4.5750000000000002</v>
      </c>
      <c r="M125">
        <f t="shared" ca="1" si="32"/>
        <v>4871214</v>
      </c>
    </row>
    <row r="126" spans="1:13" x14ac:dyDescent="0.25">
      <c r="A126">
        <f t="shared" ca="1" si="22"/>
        <v>1</v>
      </c>
      <c r="B126">
        <f t="shared" ca="1" si="23"/>
        <v>109</v>
      </c>
      <c r="C126" t="str">
        <f t="shared" ca="1" si="33"/>
        <v>'WINDOWS-NCH-A-BDP-M3-LG-00'!B108</v>
      </c>
      <c r="D126" s="6" t="str">
        <f t="shared" ca="1" si="34"/>
        <v>LG-OPD-CC1-S028-21</v>
      </c>
      <c r="E126" t="str">
        <f t="shared" ca="1" si="25"/>
        <v>LG-OPD-CC1-S028-21</v>
      </c>
      <c r="F126">
        <f t="shared" ca="1" si="26"/>
        <v>2076025</v>
      </c>
      <c r="G126">
        <f t="shared" ca="1" si="27"/>
        <v>0</v>
      </c>
      <c r="H126">
        <f t="shared" ca="1" si="28"/>
        <v>0</v>
      </c>
      <c r="I126">
        <f t="shared" ca="1" si="29"/>
        <v>0</v>
      </c>
      <c r="J126" s="8" t="e">
        <f t="shared" ca="1" si="30"/>
        <v>#DIV/0!</v>
      </c>
      <c r="K126" s="9" t="e">
        <f t="shared" ca="1" si="31"/>
        <v>#DIV/0!</v>
      </c>
      <c r="L126" t="e">
        <f ca="1">+_xlfn.IFNA(VLOOKUP(M126,BespokeWindowsAreas!$A$1:$E$1999,1,FALSE),VLOOKUP(E126,WindowTypeArea!$B$2:$C$2000,2,FALSE))</f>
        <v>#N/A</v>
      </c>
      <c r="M126">
        <f t="shared" ca="1" si="32"/>
        <v>0</v>
      </c>
    </row>
    <row r="127" spans="1:13" x14ac:dyDescent="0.25">
      <c r="A127">
        <f t="shared" ca="1" si="22"/>
        <v>1</v>
      </c>
      <c r="B127">
        <f t="shared" ca="1" si="23"/>
        <v>110</v>
      </c>
      <c r="C127" t="str">
        <f t="shared" ca="1" si="33"/>
        <v>'WINDOWS-NCH-A-BDP-M3-LG-00'!B109</v>
      </c>
      <c r="D127" s="6" t="str">
        <f t="shared" ca="1" si="34"/>
        <v>LG-OPD-CC1-S028-21</v>
      </c>
      <c r="E127" t="str">
        <f t="shared" ca="1" si="25"/>
        <v>Family Type: 1000w x 3050h, Family: Window External Type 4 - Extruded</v>
      </c>
      <c r="F127" t="str">
        <f t="shared" ca="1" si="26"/>
        <v>Vector(X = 0.212, Y = -0.977, Z = 0.000, Length = 1.000)</v>
      </c>
      <c r="G127">
        <f t="shared" ca="1" si="27"/>
        <v>0.2</v>
      </c>
      <c r="H127">
        <f t="shared" ca="1" si="28"/>
        <v>-1</v>
      </c>
      <c r="I127">
        <f t="shared" ca="1" si="29"/>
        <v>0</v>
      </c>
      <c r="J127" s="8">
        <f t="shared" ca="1" si="30"/>
        <v>-78.690067525979785</v>
      </c>
      <c r="K127" s="9" t="str">
        <f t="shared" ca="1" si="31"/>
        <v>S</v>
      </c>
      <c r="L127">
        <f ca="1">+_xlfn.IFNA(VLOOKUP(M127,BespokeWindowsAreas!$A$1:$E$1999,1,FALSE),VLOOKUP(E127,WindowTypeArea!$B$2:$C$2000,2,FALSE))</f>
        <v>3.05</v>
      </c>
      <c r="M127">
        <f t="shared" ca="1" si="32"/>
        <v>4871378</v>
      </c>
    </row>
    <row r="128" spans="1:13" x14ac:dyDescent="0.25">
      <c r="A128">
        <f t="shared" ca="1" si="22"/>
        <v>1</v>
      </c>
      <c r="B128">
        <f t="shared" ca="1" si="23"/>
        <v>111</v>
      </c>
      <c r="C128" t="str">
        <f t="shared" ca="1" si="33"/>
        <v>'WINDOWS-NCH-A-BDP-M3-LG-00'!B110</v>
      </c>
      <c r="D128" s="6" t="str">
        <f t="shared" ca="1" si="34"/>
        <v>LG-OPD-CC1-S028-23</v>
      </c>
      <c r="E128" t="str">
        <f t="shared" ca="1" si="25"/>
        <v>LG-OPD-CC1-S028-23</v>
      </c>
      <c r="F128">
        <f t="shared" ca="1" si="26"/>
        <v>2076028</v>
      </c>
      <c r="G128">
        <f t="shared" ca="1" si="27"/>
        <v>0</v>
      </c>
      <c r="H128">
        <f t="shared" ca="1" si="28"/>
        <v>0</v>
      </c>
      <c r="I128">
        <f t="shared" ca="1" si="29"/>
        <v>0</v>
      </c>
      <c r="J128" s="8" t="e">
        <f t="shared" ca="1" si="30"/>
        <v>#DIV/0!</v>
      </c>
      <c r="K128" s="9" t="e">
        <f t="shared" ca="1" si="31"/>
        <v>#DIV/0!</v>
      </c>
      <c r="L128" t="e">
        <f ca="1">+_xlfn.IFNA(VLOOKUP(M128,BespokeWindowsAreas!$A$1:$E$1999,1,FALSE),VLOOKUP(E128,WindowTypeArea!$B$2:$C$2000,2,FALSE))</f>
        <v>#N/A</v>
      </c>
      <c r="M128">
        <f t="shared" ca="1" si="32"/>
        <v>0</v>
      </c>
    </row>
    <row r="129" spans="1:13" x14ac:dyDescent="0.25">
      <c r="A129">
        <f t="shared" ca="1" si="22"/>
        <v>1</v>
      </c>
      <c r="B129">
        <f t="shared" ca="1" si="23"/>
        <v>112</v>
      </c>
      <c r="C129" t="str">
        <f t="shared" ca="1" si="33"/>
        <v>'WINDOWS-NCH-A-BDP-M3-LG-00'!B111</v>
      </c>
      <c r="D129" s="6" t="str">
        <f t="shared" ca="1" si="34"/>
        <v>LG-OPD-CC1-S028-23</v>
      </c>
      <c r="E129" t="str">
        <f t="shared" ca="1" si="25"/>
        <v>Family Type: 1000w x 3050h, Family: Window External Type 4 - Extruded</v>
      </c>
      <c r="F129" t="str">
        <f t="shared" ca="1" si="26"/>
        <v>Vector(X = 0.212, Y = -0.977, Z = 0.000, Length = 1.000)</v>
      </c>
      <c r="G129">
        <f t="shared" ca="1" si="27"/>
        <v>0.2</v>
      </c>
      <c r="H129">
        <f t="shared" ca="1" si="28"/>
        <v>-1</v>
      </c>
      <c r="I129">
        <f t="shared" ca="1" si="29"/>
        <v>0</v>
      </c>
      <c r="J129" s="8">
        <f t="shared" ca="1" si="30"/>
        <v>-78.690067525979785</v>
      </c>
      <c r="K129" s="9" t="str">
        <f t="shared" ca="1" si="31"/>
        <v>S</v>
      </c>
      <c r="L129">
        <f ca="1">+_xlfn.IFNA(VLOOKUP(M129,BespokeWindowsAreas!$A$1:$E$1999,1,FALSE),VLOOKUP(E129,WindowTypeArea!$B$2:$C$2000,2,FALSE))</f>
        <v>3.05</v>
      </c>
      <c r="M129">
        <f t="shared" ca="1" si="32"/>
        <v>4871481</v>
      </c>
    </row>
    <row r="130" spans="1:13" x14ac:dyDescent="0.25">
      <c r="A130">
        <f t="shared" ca="1" si="22"/>
        <v>1</v>
      </c>
      <c r="B130">
        <f t="shared" ca="1" si="23"/>
        <v>113</v>
      </c>
      <c r="C130" t="str">
        <f t="shared" ca="1" si="33"/>
        <v>'WINDOWS-NCH-A-BDP-M3-LG-00'!B112</v>
      </c>
      <c r="D130" s="6" t="str">
        <f t="shared" ca="1" si="34"/>
        <v>LG-OPD-CC1-S028-24</v>
      </c>
      <c r="E130" t="str">
        <f t="shared" ca="1" si="25"/>
        <v>LG-OPD-CC1-S028-24</v>
      </c>
      <c r="F130">
        <f t="shared" ca="1" si="26"/>
        <v>2076029</v>
      </c>
      <c r="G130">
        <f t="shared" ca="1" si="27"/>
        <v>0</v>
      </c>
      <c r="H130">
        <f t="shared" ca="1" si="28"/>
        <v>0</v>
      </c>
      <c r="I130">
        <f t="shared" ca="1" si="29"/>
        <v>0</v>
      </c>
      <c r="J130" s="8" t="e">
        <f t="shared" ca="1" si="30"/>
        <v>#DIV/0!</v>
      </c>
      <c r="K130" s="9" t="e">
        <f t="shared" ca="1" si="31"/>
        <v>#DIV/0!</v>
      </c>
      <c r="L130" t="e">
        <f ca="1">+_xlfn.IFNA(VLOOKUP(M130,BespokeWindowsAreas!$A$1:$E$1999,1,FALSE),VLOOKUP(E130,WindowTypeArea!$B$2:$C$2000,2,FALSE))</f>
        <v>#N/A</v>
      </c>
      <c r="M130">
        <f t="shared" ca="1" si="32"/>
        <v>0</v>
      </c>
    </row>
    <row r="131" spans="1:13" x14ac:dyDescent="0.25">
      <c r="A131">
        <f t="shared" ca="1" si="22"/>
        <v>1</v>
      </c>
      <c r="B131">
        <f t="shared" ca="1" si="23"/>
        <v>114</v>
      </c>
      <c r="C131" t="str">
        <f t="shared" ca="1" si="33"/>
        <v>'WINDOWS-NCH-A-BDP-M3-LG-00'!B113</v>
      </c>
      <c r="D131" s="6" t="str">
        <f t="shared" ca="1" si="34"/>
        <v>LG-OPD-CC1-S028-24</v>
      </c>
      <c r="E131" t="str">
        <f t="shared" ca="1" si="25"/>
        <v>Family Type: 1000w x 3050h, Family: Window External Type 4 - Extruded</v>
      </c>
      <c r="F131" t="str">
        <f t="shared" ca="1" si="26"/>
        <v>Vector(X = 0.212, Y = -0.977, Z = 0.000, Length = 1.000)</v>
      </c>
      <c r="G131">
        <f t="shared" ca="1" si="27"/>
        <v>0.2</v>
      </c>
      <c r="H131">
        <f t="shared" ca="1" si="28"/>
        <v>-1</v>
      </c>
      <c r="I131">
        <f t="shared" ca="1" si="29"/>
        <v>0</v>
      </c>
      <c r="J131" s="8">
        <f t="shared" ca="1" si="30"/>
        <v>-78.690067525979785</v>
      </c>
      <c r="K131" s="9" t="str">
        <f t="shared" ca="1" si="31"/>
        <v>S</v>
      </c>
      <c r="L131">
        <f ca="1">+_xlfn.IFNA(VLOOKUP(M131,BespokeWindowsAreas!$A$1:$E$1999,1,FALSE),VLOOKUP(E131,WindowTypeArea!$B$2:$C$2000,2,FALSE))</f>
        <v>3.05</v>
      </c>
      <c r="M131">
        <f t="shared" ca="1" si="32"/>
        <v>4871481</v>
      </c>
    </row>
    <row r="132" spans="1:13" x14ac:dyDescent="0.25">
      <c r="A132">
        <f t="shared" ca="1" si="22"/>
        <v>1</v>
      </c>
      <c r="B132">
        <f t="shared" ca="1" si="23"/>
        <v>115</v>
      </c>
      <c r="C132" t="str">
        <f t="shared" ca="1" si="33"/>
        <v>'WINDOWS-NCH-A-BDP-M3-LG-00'!B114</v>
      </c>
      <c r="D132" s="6" t="str">
        <f t="shared" ca="1" si="34"/>
        <v>LG-OPD-CC1-S108-02</v>
      </c>
      <c r="E132" t="str">
        <f t="shared" ca="1" si="25"/>
        <v>LG-OPD-CC1-S108-02</v>
      </c>
      <c r="F132">
        <f t="shared" ca="1" si="26"/>
        <v>2076043</v>
      </c>
      <c r="G132">
        <f t="shared" ca="1" si="27"/>
        <v>0</v>
      </c>
      <c r="H132">
        <f t="shared" ca="1" si="28"/>
        <v>0</v>
      </c>
      <c r="I132">
        <f t="shared" ca="1" si="29"/>
        <v>0</v>
      </c>
      <c r="J132" s="8" t="e">
        <f t="shared" ca="1" si="30"/>
        <v>#DIV/0!</v>
      </c>
      <c r="K132" s="9" t="e">
        <f t="shared" ca="1" si="31"/>
        <v>#DIV/0!</v>
      </c>
      <c r="L132" t="e">
        <f ca="1">+_xlfn.IFNA(VLOOKUP(M132,BespokeWindowsAreas!$A$1:$E$1999,1,FALSE),VLOOKUP(E132,WindowTypeArea!$B$2:$C$2000,2,FALSE))</f>
        <v>#N/A</v>
      </c>
      <c r="M132">
        <f t="shared" ca="1" si="32"/>
        <v>0</v>
      </c>
    </row>
    <row r="133" spans="1:13" x14ac:dyDescent="0.25">
      <c r="A133">
        <f t="shared" ca="1" si="22"/>
        <v>1</v>
      </c>
      <c r="B133">
        <f t="shared" ca="1" si="23"/>
        <v>116</v>
      </c>
      <c r="C133" t="str">
        <f t="shared" ca="1" si="33"/>
        <v>'WINDOWS-NCH-A-BDP-M3-LG-00'!B115</v>
      </c>
      <c r="D133" s="6" t="str">
        <f t="shared" ca="1" si="34"/>
        <v>LG-OPD-CC1-S108-02</v>
      </c>
      <c r="E133" t="str">
        <f t="shared" ca="1" si="25"/>
        <v>Family Type: 1500w x 3050h, Family: Window External Type 3 - Recessed and Angle</v>
      </c>
      <c r="F133" t="str">
        <f t="shared" ca="1" si="26"/>
        <v>Vector(X = -0.212, Y = 0.977, Z = 0.000, Length = 1.000)</v>
      </c>
      <c r="G133">
        <f t="shared" ca="1" si="27"/>
        <v>-0.2</v>
      </c>
      <c r="H133">
        <f t="shared" ca="1" si="28"/>
        <v>1</v>
      </c>
      <c r="I133">
        <f t="shared" ca="1" si="29"/>
        <v>0</v>
      </c>
      <c r="J133" s="8">
        <f t="shared" ca="1" si="30"/>
        <v>101.3099324740202</v>
      </c>
      <c r="K133" s="9" t="str">
        <f t="shared" ca="1" si="31"/>
        <v>N</v>
      </c>
      <c r="L133">
        <f ca="1">+_xlfn.IFNA(VLOOKUP(M133,BespokeWindowsAreas!$A$1:$E$1999,1,FALSE),VLOOKUP(E133,WindowTypeArea!$B$2:$C$2000,2,FALSE))</f>
        <v>4.5750000000000002</v>
      </c>
      <c r="M133">
        <f t="shared" ca="1" si="32"/>
        <v>4790547</v>
      </c>
    </row>
    <row r="134" spans="1:13" x14ac:dyDescent="0.25">
      <c r="A134">
        <f t="shared" ca="1" si="22"/>
        <v>1</v>
      </c>
      <c r="B134">
        <f t="shared" ca="1" si="23"/>
        <v>117</v>
      </c>
      <c r="C134" t="str">
        <f t="shared" ca="1" si="33"/>
        <v>'WINDOWS-NCH-A-BDP-M3-LG-00'!B116</v>
      </c>
      <c r="D134" s="6" t="str">
        <f t="shared" ca="1" si="34"/>
        <v>LG-OPD-CC1-L046-02</v>
      </c>
      <c r="E134" t="str">
        <f t="shared" ca="1" si="25"/>
        <v>LG-OPD-CC1-L046-02</v>
      </c>
      <c r="F134">
        <f t="shared" ca="1" si="26"/>
        <v>2076046</v>
      </c>
      <c r="G134">
        <f t="shared" ca="1" si="27"/>
        <v>0</v>
      </c>
      <c r="H134">
        <f t="shared" ca="1" si="28"/>
        <v>0</v>
      </c>
      <c r="I134">
        <f t="shared" ca="1" si="29"/>
        <v>0</v>
      </c>
      <c r="J134" s="8" t="e">
        <f t="shared" ca="1" si="30"/>
        <v>#DIV/0!</v>
      </c>
      <c r="K134" s="9" t="e">
        <f t="shared" ca="1" si="31"/>
        <v>#DIV/0!</v>
      </c>
      <c r="L134" t="e">
        <f ca="1">+_xlfn.IFNA(VLOOKUP(M134,BespokeWindowsAreas!$A$1:$E$1999,1,FALSE),VLOOKUP(E134,WindowTypeArea!$B$2:$C$2000,2,FALSE))</f>
        <v>#N/A</v>
      </c>
      <c r="M134">
        <f t="shared" ca="1" si="32"/>
        <v>0</v>
      </c>
    </row>
    <row r="135" spans="1:13" x14ac:dyDescent="0.25">
      <c r="A135">
        <f t="shared" ca="1" si="22"/>
        <v>1</v>
      </c>
      <c r="B135">
        <f t="shared" ca="1" si="23"/>
        <v>118</v>
      </c>
      <c r="C135" t="str">
        <f t="shared" ca="1" si="33"/>
        <v>'WINDOWS-NCH-A-BDP-M3-LG-00'!B117</v>
      </c>
      <c r="D135" s="6" t="str">
        <f t="shared" ca="1" si="34"/>
        <v>LG-OPD-CC1-L046-02</v>
      </c>
      <c r="E135" t="str">
        <f t="shared" ca="1" si="25"/>
        <v>Family Type: 1950w x 3050h, Family: Window External Type 3 - Recessed and Angle</v>
      </c>
      <c r="F135" t="str">
        <f t="shared" ca="1" si="26"/>
        <v>Vector(X = 0.212, Y = -0.977, Z = 0.000, Length = 1.000)</v>
      </c>
      <c r="G135">
        <f t="shared" ca="1" si="27"/>
        <v>0.2</v>
      </c>
      <c r="H135">
        <f t="shared" ca="1" si="28"/>
        <v>-1</v>
      </c>
      <c r="I135">
        <f t="shared" ca="1" si="29"/>
        <v>0</v>
      </c>
      <c r="J135" s="8">
        <f t="shared" ca="1" si="30"/>
        <v>-78.690067525979785</v>
      </c>
      <c r="K135" s="9" t="str">
        <f t="shared" ca="1" si="31"/>
        <v>S</v>
      </c>
      <c r="L135">
        <f ca="1">+_xlfn.IFNA(VLOOKUP(M135,BespokeWindowsAreas!$A$1:$E$1999,1,FALSE),VLOOKUP(E135,WindowTypeArea!$B$2:$C$2000,2,FALSE))</f>
        <v>5.9474999999999998</v>
      </c>
      <c r="M135">
        <f t="shared" ca="1" si="32"/>
        <v>4866284</v>
      </c>
    </row>
    <row r="136" spans="1:13" x14ac:dyDescent="0.25">
      <c r="A136">
        <f t="shared" ca="1" si="22"/>
        <v>1</v>
      </c>
      <c r="B136">
        <f t="shared" ca="1" si="23"/>
        <v>119</v>
      </c>
      <c r="C136" t="str">
        <f t="shared" ca="1" si="33"/>
        <v>'WINDOWS-NCH-A-BDP-M3-LG-00'!B118</v>
      </c>
      <c r="D136" s="6" t="str">
        <f t="shared" ca="1" si="34"/>
        <v>LG-OPD-CC2-S035-01</v>
      </c>
      <c r="E136" t="str">
        <f t="shared" ca="1" si="25"/>
        <v>LG-OPD-CC2-S035-01</v>
      </c>
      <c r="F136">
        <f t="shared" ca="1" si="26"/>
        <v>2076067</v>
      </c>
      <c r="G136">
        <f t="shared" ca="1" si="27"/>
        <v>0</v>
      </c>
      <c r="H136">
        <f t="shared" ca="1" si="28"/>
        <v>0</v>
      </c>
      <c r="I136">
        <f t="shared" ca="1" si="29"/>
        <v>0</v>
      </c>
      <c r="J136" s="8" t="e">
        <f t="shared" ca="1" si="30"/>
        <v>#DIV/0!</v>
      </c>
      <c r="K136" s="9" t="e">
        <f t="shared" ca="1" si="31"/>
        <v>#DIV/0!</v>
      </c>
      <c r="L136" t="e">
        <f ca="1">+_xlfn.IFNA(VLOOKUP(M136,BespokeWindowsAreas!$A$1:$E$1999,1,FALSE),VLOOKUP(E136,WindowTypeArea!$B$2:$C$2000,2,FALSE))</f>
        <v>#N/A</v>
      </c>
      <c r="M136">
        <f t="shared" ca="1" si="32"/>
        <v>0</v>
      </c>
    </row>
    <row r="137" spans="1:13" x14ac:dyDescent="0.25">
      <c r="A137">
        <f t="shared" ca="1" si="22"/>
        <v>1</v>
      </c>
      <c r="B137">
        <f t="shared" ca="1" si="23"/>
        <v>120</v>
      </c>
      <c r="C137" t="str">
        <f t="shared" ca="1" si="33"/>
        <v>'WINDOWS-NCH-A-BDP-M3-LG-00'!B119</v>
      </c>
      <c r="D137" s="6" t="str">
        <f t="shared" ca="1" si="34"/>
        <v>LG-OPD-CC2-S035-01</v>
      </c>
      <c r="E137" t="str">
        <f t="shared" ca="1" si="25"/>
        <v>Family Type: 975w x 3050h, Family: Window Internal Type 2a - Recessed</v>
      </c>
      <c r="F137" t="str">
        <f t="shared" ca="1" si="26"/>
        <v>Vector(X = 0.429, Y = -0.903, Z = 0.000, Length = 1.000)</v>
      </c>
      <c r="G137">
        <f t="shared" ca="1" si="27"/>
        <v>0.4</v>
      </c>
      <c r="H137">
        <f t="shared" ca="1" si="28"/>
        <v>-0.9</v>
      </c>
      <c r="I137">
        <f t="shared" ca="1" si="29"/>
        <v>0</v>
      </c>
      <c r="J137" s="8">
        <f t="shared" ca="1" si="30"/>
        <v>-66.037511025421821</v>
      </c>
      <c r="K137" s="9" t="str">
        <f t="shared" ca="1" si="31"/>
        <v>S</v>
      </c>
      <c r="L137">
        <f ca="1">+_xlfn.IFNA(VLOOKUP(M137,BespokeWindowsAreas!$A$1:$E$1999,1,FALSE),VLOOKUP(E137,WindowTypeArea!$B$2:$C$2000,2,FALSE))</f>
        <v>2.9737499999999999</v>
      </c>
      <c r="M137">
        <f t="shared" ca="1" si="32"/>
        <v>5150237</v>
      </c>
    </row>
    <row r="138" spans="1:13" x14ac:dyDescent="0.25">
      <c r="A138">
        <f t="shared" ca="1" si="22"/>
        <v>1</v>
      </c>
      <c r="B138">
        <f t="shared" ca="1" si="23"/>
        <v>121</v>
      </c>
      <c r="C138" t="str">
        <f t="shared" ca="1" si="33"/>
        <v>'WINDOWS-NCH-A-BDP-M3-LG-00'!B120</v>
      </c>
      <c r="D138" s="6" t="str">
        <f t="shared" ca="1" si="34"/>
        <v>LG-OPD-CC2-S034-01</v>
      </c>
      <c r="E138" t="str">
        <f t="shared" ca="1" si="25"/>
        <v>LG-OPD-CC2-S034-01</v>
      </c>
      <c r="F138">
        <f t="shared" ca="1" si="26"/>
        <v>2076068</v>
      </c>
      <c r="G138">
        <f t="shared" ca="1" si="27"/>
        <v>0</v>
      </c>
      <c r="H138">
        <f t="shared" ca="1" si="28"/>
        <v>0</v>
      </c>
      <c r="I138">
        <f t="shared" ca="1" si="29"/>
        <v>0</v>
      </c>
      <c r="J138" s="8" t="e">
        <f t="shared" ca="1" si="30"/>
        <v>#DIV/0!</v>
      </c>
      <c r="K138" s="9" t="e">
        <f t="shared" ca="1" si="31"/>
        <v>#DIV/0!</v>
      </c>
      <c r="L138" t="e">
        <f ca="1">+_xlfn.IFNA(VLOOKUP(M138,BespokeWindowsAreas!$A$1:$E$1999,1,FALSE),VLOOKUP(E138,WindowTypeArea!$B$2:$C$2000,2,FALSE))</f>
        <v>#N/A</v>
      </c>
      <c r="M138">
        <f t="shared" ca="1" si="32"/>
        <v>0</v>
      </c>
    </row>
    <row r="139" spans="1:13" x14ac:dyDescent="0.25">
      <c r="A139">
        <f t="shared" ca="1" si="22"/>
        <v>1</v>
      </c>
      <c r="B139">
        <f t="shared" ca="1" si="23"/>
        <v>122</v>
      </c>
      <c r="C139" t="str">
        <f t="shared" ca="1" si="33"/>
        <v>'WINDOWS-NCH-A-BDP-M3-LG-00'!B121</v>
      </c>
      <c r="D139" s="6" t="str">
        <f t="shared" ca="1" si="34"/>
        <v>LG-OPD-CC2-S034-01</v>
      </c>
      <c r="E139" t="str">
        <f t="shared" ca="1" si="25"/>
        <v>Family Type: 1500w x 3050h, Family: Window External Type 3 - Recessed and Angle</v>
      </c>
      <c r="F139" t="str">
        <f t="shared" ca="1" si="26"/>
        <v>Vector(X = 0.429, Y = -0.903, Z = 0.000, Length = 1.000)</v>
      </c>
      <c r="G139">
        <f t="shared" ca="1" si="27"/>
        <v>0.4</v>
      </c>
      <c r="H139">
        <f t="shared" ca="1" si="28"/>
        <v>-0.9</v>
      </c>
      <c r="I139">
        <f t="shared" ca="1" si="29"/>
        <v>0</v>
      </c>
      <c r="J139" s="8">
        <f t="shared" ca="1" si="30"/>
        <v>-66.037511025421821</v>
      </c>
      <c r="K139" s="9" t="str">
        <f t="shared" ca="1" si="31"/>
        <v>S</v>
      </c>
      <c r="L139">
        <f ca="1">+_xlfn.IFNA(VLOOKUP(M139,BespokeWindowsAreas!$A$1:$E$1999,1,FALSE),VLOOKUP(E139,WindowTypeArea!$B$2:$C$2000,2,FALSE))</f>
        <v>4.5750000000000002</v>
      </c>
      <c r="M139">
        <f t="shared" ca="1" si="32"/>
        <v>4785950</v>
      </c>
    </row>
    <row r="140" spans="1:13" x14ac:dyDescent="0.25">
      <c r="A140">
        <f t="shared" ca="1" si="22"/>
        <v>1</v>
      </c>
      <c r="B140">
        <f t="shared" ca="1" si="23"/>
        <v>123</v>
      </c>
      <c r="C140" t="str">
        <f t="shared" ca="1" si="33"/>
        <v>'WINDOWS-NCH-A-BDP-M3-LG-00'!B122</v>
      </c>
      <c r="D140" s="6" t="str">
        <f t="shared" ca="1" si="34"/>
        <v>LG-OPD-CC2-S108-01</v>
      </c>
      <c r="E140" t="str">
        <f t="shared" ca="1" si="25"/>
        <v>LG-OPD-CC2-S108-01</v>
      </c>
      <c r="F140">
        <f t="shared" ca="1" si="26"/>
        <v>2076069</v>
      </c>
      <c r="G140">
        <f t="shared" ca="1" si="27"/>
        <v>0</v>
      </c>
      <c r="H140">
        <f t="shared" ca="1" si="28"/>
        <v>0</v>
      </c>
      <c r="I140">
        <f t="shared" ca="1" si="29"/>
        <v>0</v>
      </c>
      <c r="J140" s="8" t="e">
        <f t="shared" ca="1" si="30"/>
        <v>#DIV/0!</v>
      </c>
      <c r="K140" s="9" t="e">
        <f t="shared" ca="1" si="31"/>
        <v>#DIV/0!</v>
      </c>
      <c r="L140" t="e">
        <f ca="1">+_xlfn.IFNA(VLOOKUP(M140,BespokeWindowsAreas!$A$1:$E$1999,1,FALSE),VLOOKUP(E140,WindowTypeArea!$B$2:$C$2000,2,FALSE))</f>
        <v>#N/A</v>
      </c>
      <c r="M140">
        <f t="shared" ca="1" si="32"/>
        <v>0</v>
      </c>
    </row>
    <row r="141" spans="1:13" x14ac:dyDescent="0.25">
      <c r="A141">
        <f t="shared" ca="1" si="22"/>
        <v>1</v>
      </c>
      <c r="B141">
        <f t="shared" ca="1" si="23"/>
        <v>124</v>
      </c>
      <c r="C141" t="str">
        <f t="shared" ca="1" si="33"/>
        <v>'WINDOWS-NCH-A-BDP-M3-LG-00'!B123</v>
      </c>
      <c r="D141" s="6" t="str">
        <f t="shared" ca="1" si="34"/>
        <v>LG-OPD-CC2-S108-01</v>
      </c>
      <c r="E141" t="str">
        <f t="shared" ca="1" si="25"/>
        <v>Family Type: 1000w x 3050h, Family: Window External Type 2 - Recessed and Fin</v>
      </c>
      <c r="F141" t="str">
        <f t="shared" ca="1" si="26"/>
        <v>Vector(X = -0.429, Y = 0.903, Z = 0.000, Length = 1.000)</v>
      </c>
      <c r="G141">
        <f t="shared" ca="1" si="27"/>
        <v>-0.4</v>
      </c>
      <c r="H141">
        <f t="shared" ca="1" si="28"/>
        <v>0.9</v>
      </c>
      <c r="I141">
        <f t="shared" ca="1" si="29"/>
        <v>0</v>
      </c>
      <c r="J141" s="8">
        <f t="shared" ca="1" si="30"/>
        <v>113.96248897457818</v>
      </c>
      <c r="K141" s="9" t="str">
        <f t="shared" ca="1" si="31"/>
        <v>N</v>
      </c>
      <c r="L141">
        <f ca="1">+_xlfn.IFNA(VLOOKUP(M141,BespokeWindowsAreas!$A$1:$E$1999,1,FALSE),VLOOKUP(E141,WindowTypeArea!$B$2:$C$2000,2,FALSE))</f>
        <v>3.05</v>
      </c>
      <c r="M141">
        <f t="shared" ca="1" si="32"/>
        <v>4785949</v>
      </c>
    </row>
    <row r="142" spans="1:13" x14ac:dyDescent="0.25">
      <c r="A142">
        <f t="shared" ca="1" si="22"/>
        <v>1</v>
      </c>
      <c r="B142">
        <f t="shared" ca="1" si="23"/>
        <v>125</v>
      </c>
      <c r="C142" t="str">
        <f t="shared" ca="1" si="33"/>
        <v>'WINDOWS-NCH-A-BDP-M3-LG-00'!B124</v>
      </c>
      <c r="D142" s="6" t="str">
        <f t="shared" ca="1" si="34"/>
        <v>LG-OPD-CC2-S060-01</v>
      </c>
      <c r="E142" t="str">
        <f t="shared" ca="1" si="25"/>
        <v>LG-OPD-CC2-S060-01</v>
      </c>
      <c r="F142">
        <f t="shared" ca="1" si="26"/>
        <v>2076070</v>
      </c>
      <c r="G142">
        <f t="shared" ca="1" si="27"/>
        <v>0</v>
      </c>
      <c r="H142">
        <f t="shared" ca="1" si="28"/>
        <v>0</v>
      </c>
      <c r="I142">
        <f t="shared" ca="1" si="29"/>
        <v>0</v>
      </c>
      <c r="J142" s="8" t="e">
        <f t="shared" ca="1" si="30"/>
        <v>#DIV/0!</v>
      </c>
      <c r="K142" s="9" t="e">
        <f t="shared" ca="1" si="31"/>
        <v>#DIV/0!</v>
      </c>
      <c r="L142" t="e">
        <f ca="1">+_xlfn.IFNA(VLOOKUP(M142,BespokeWindowsAreas!$A$1:$E$1999,1,FALSE),VLOOKUP(E142,WindowTypeArea!$B$2:$C$2000,2,FALSE))</f>
        <v>#N/A</v>
      </c>
      <c r="M142">
        <f t="shared" ca="1" si="32"/>
        <v>0</v>
      </c>
    </row>
    <row r="143" spans="1:13" x14ac:dyDescent="0.25">
      <c r="A143">
        <f t="shared" ca="1" si="22"/>
        <v>1</v>
      </c>
      <c r="B143">
        <f t="shared" ca="1" si="23"/>
        <v>126</v>
      </c>
      <c r="C143" t="str">
        <f t="shared" ca="1" si="33"/>
        <v>'WINDOWS-NCH-A-BDP-M3-LG-00'!B125</v>
      </c>
      <c r="D143" s="6" t="str">
        <f t="shared" ca="1" si="34"/>
        <v>LG-OPD-CC2-S060-01</v>
      </c>
      <c r="E143" t="str">
        <f t="shared" ca="1" si="25"/>
        <v>Family Type: 1500w x 3050h, Family: Window External Type 3 - Recessed and Angle</v>
      </c>
      <c r="F143" t="str">
        <f t="shared" ca="1" si="26"/>
        <v>Vector(X = 0.429, Y = -0.903, Z = 0.000, Length = 1.000)</v>
      </c>
      <c r="G143">
        <f t="shared" ca="1" si="27"/>
        <v>0.4</v>
      </c>
      <c r="H143">
        <f t="shared" ca="1" si="28"/>
        <v>-0.9</v>
      </c>
      <c r="I143">
        <f t="shared" ca="1" si="29"/>
        <v>0</v>
      </c>
      <c r="J143" s="8">
        <f t="shared" ca="1" si="30"/>
        <v>-66.037511025421821</v>
      </c>
      <c r="K143" s="9" t="str">
        <f t="shared" ca="1" si="31"/>
        <v>S</v>
      </c>
      <c r="L143">
        <f ca="1">+_xlfn.IFNA(VLOOKUP(M143,BespokeWindowsAreas!$A$1:$E$1999,1,FALSE),VLOOKUP(E143,WindowTypeArea!$B$2:$C$2000,2,FALSE))</f>
        <v>4.5750000000000002</v>
      </c>
      <c r="M143">
        <f t="shared" ca="1" si="32"/>
        <v>4785993</v>
      </c>
    </row>
    <row r="144" spans="1:13" x14ac:dyDescent="0.25">
      <c r="A144">
        <f t="shared" ca="1" si="22"/>
        <v>1</v>
      </c>
      <c r="B144">
        <f t="shared" ca="1" si="23"/>
        <v>127</v>
      </c>
      <c r="C144" t="str">
        <f t="shared" ca="1" si="33"/>
        <v>'WINDOWS-NCH-A-BDP-M3-LG-00'!B126</v>
      </c>
      <c r="D144" s="6" t="str">
        <f t="shared" ca="1" si="34"/>
        <v>LG-OPD-CC2-S060-01</v>
      </c>
      <c r="E144" t="str">
        <f t="shared" ca="1" si="25"/>
        <v>Family Type: 1500w x 3050h, Family: Window External Type 3 - Recessed and Angle</v>
      </c>
      <c r="F144" t="str">
        <f t="shared" ca="1" si="26"/>
        <v>Vector(X = 0.429, Y = -0.903, Z = 0.000, Length = 1.000)</v>
      </c>
      <c r="G144">
        <f t="shared" ca="1" si="27"/>
        <v>0.4</v>
      </c>
      <c r="H144">
        <f t="shared" ca="1" si="28"/>
        <v>-0.9</v>
      </c>
      <c r="I144">
        <f t="shared" ca="1" si="29"/>
        <v>0</v>
      </c>
      <c r="J144" s="8">
        <f t="shared" ca="1" si="30"/>
        <v>-66.037511025421821</v>
      </c>
      <c r="K144" s="9" t="str">
        <f t="shared" ca="1" si="31"/>
        <v>S</v>
      </c>
      <c r="L144">
        <f ca="1">+_xlfn.IFNA(VLOOKUP(M144,BespokeWindowsAreas!$A$1:$E$1999,1,FALSE),VLOOKUP(E144,WindowTypeArea!$B$2:$C$2000,2,FALSE))</f>
        <v>4.5750000000000002</v>
      </c>
      <c r="M144">
        <f t="shared" ca="1" si="32"/>
        <v>4785995</v>
      </c>
    </row>
    <row r="145" spans="1:13" x14ac:dyDescent="0.25">
      <c r="A145">
        <f t="shared" ca="1" si="22"/>
        <v>1</v>
      </c>
      <c r="B145">
        <f t="shared" ca="1" si="23"/>
        <v>128</v>
      </c>
      <c r="C145" t="str">
        <f t="shared" ca="1" si="33"/>
        <v>'WINDOWS-NCH-A-BDP-M3-LG-00'!B127</v>
      </c>
      <c r="D145" s="6" t="str">
        <f t="shared" ca="1" si="34"/>
        <v>LG-OPD-CC2-S040-01</v>
      </c>
      <c r="E145" t="str">
        <f t="shared" ca="1" si="25"/>
        <v>LG-OPD-CC2-S040-01</v>
      </c>
      <c r="F145">
        <f t="shared" ca="1" si="26"/>
        <v>2076074</v>
      </c>
      <c r="G145">
        <f t="shared" ca="1" si="27"/>
        <v>0</v>
      </c>
      <c r="H145">
        <f t="shared" ca="1" si="28"/>
        <v>0</v>
      </c>
      <c r="I145">
        <f t="shared" ca="1" si="29"/>
        <v>0</v>
      </c>
      <c r="J145" s="8" t="e">
        <f t="shared" ca="1" si="30"/>
        <v>#DIV/0!</v>
      </c>
      <c r="K145" s="9" t="e">
        <f t="shared" ca="1" si="31"/>
        <v>#DIV/0!</v>
      </c>
      <c r="L145" t="e">
        <f ca="1">+_xlfn.IFNA(VLOOKUP(M145,BespokeWindowsAreas!$A$1:$E$1999,1,FALSE),VLOOKUP(E145,WindowTypeArea!$B$2:$C$2000,2,FALSE))</f>
        <v>#N/A</v>
      </c>
      <c r="M145">
        <f t="shared" ca="1" si="32"/>
        <v>0</v>
      </c>
    </row>
    <row r="146" spans="1:13" x14ac:dyDescent="0.25">
      <c r="A146">
        <f t="shared" ca="1" si="22"/>
        <v>1</v>
      </c>
      <c r="B146">
        <f t="shared" ca="1" si="23"/>
        <v>129</v>
      </c>
      <c r="C146" t="str">
        <f t="shared" ca="1" si="33"/>
        <v>'WINDOWS-NCH-A-BDP-M3-LG-00'!B128</v>
      </c>
      <c r="D146" s="6" t="str">
        <f t="shared" ca="1" si="34"/>
        <v>LG-OPD-CC2-S040-01</v>
      </c>
      <c r="E146" t="str">
        <f t="shared" ca="1" si="25"/>
        <v>Family Type: 975w x 3050h, Family: Window External Type 1 - Recessed</v>
      </c>
      <c r="F146" t="str">
        <f t="shared" ca="1" si="26"/>
        <v>Vector(X = 0.429, Y = -0.903, Z = 0.000, Length = 1.000)</v>
      </c>
      <c r="G146">
        <f t="shared" ca="1" si="27"/>
        <v>0.4</v>
      </c>
      <c r="H146">
        <f t="shared" ca="1" si="28"/>
        <v>-0.9</v>
      </c>
      <c r="I146">
        <f t="shared" ca="1" si="29"/>
        <v>0</v>
      </c>
      <c r="J146" s="8">
        <f t="shared" ca="1" si="30"/>
        <v>-66.037511025421821</v>
      </c>
      <c r="K146" s="9" t="str">
        <f t="shared" ca="1" si="31"/>
        <v>S</v>
      </c>
      <c r="L146">
        <f ca="1">+_xlfn.IFNA(VLOOKUP(M146,BespokeWindowsAreas!$A$1:$E$1999,1,FALSE),VLOOKUP(E146,WindowTypeArea!$B$2:$C$2000,2,FALSE))</f>
        <v>2.9737499999999999</v>
      </c>
      <c r="M146">
        <f t="shared" ca="1" si="32"/>
        <v>4785997</v>
      </c>
    </row>
    <row r="147" spans="1:13" x14ac:dyDescent="0.25">
      <c r="A147">
        <f t="shared" ca="1" si="22"/>
        <v>1</v>
      </c>
      <c r="B147">
        <f t="shared" ca="1" si="23"/>
        <v>130</v>
      </c>
      <c r="C147" t="str">
        <f t="shared" ca="1" si="33"/>
        <v>'WINDOWS-NCH-A-BDP-M3-LG-00'!B129</v>
      </c>
      <c r="D147" s="6" t="str">
        <f t="shared" ca="1" si="34"/>
        <v>none</v>
      </c>
      <c r="E147" t="str">
        <f t="shared" ca="1" si="25"/>
        <v>none</v>
      </c>
      <c r="F147" t="str">
        <f t="shared" ca="1" si="26"/>
        <v>Vector(X = 0.429, Y = -0.903, Z = 0.000, Length = 1.000)</v>
      </c>
      <c r="G147">
        <f t="shared" ca="1" si="27"/>
        <v>0.4</v>
      </c>
      <c r="H147">
        <f t="shared" ca="1" si="28"/>
        <v>-0.9</v>
      </c>
      <c r="I147">
        <f t="shared" ca="1" si="29"/>
        <v>0</v>
      </c>
      <c r="J147" s="8">
        <f t="shared" ca="1" si="30"/>
        <v>-66.037511025421821</v>
      </c>
      <c r="K147" s="9" t="str">
        <f t="shared" ca="1" si="31"/>
        <v>S</v>
      </c>
      <c r="L147" t="e">
        <f ca="1">+_xlfn.IFNA(VLOOKUP(M147,BespokeWindowsAreas!$A$1:$E$1999,1,FALSE),VLOOKUP(E147,WindowTypeArea!$B$2:$C$2000,2,FALSE))</f>
        <v>#N/A</v>
      </c>
      <c r="M147">
        <f t="shared" ca="1" si="32"/>
        <v>4785998</v>
      </c>
    </row>
    <row r="148" spans="1:13" x14ac:dyDescent="0.25">
      <c r="A148">
        <f t="shared" ref="A148:A211" ca="1" si="35">+IF(B147&lt;=VLOOKUP(MID(C148,2,26),TABS,2,FALSE),A147,+A147+1)</f>
        <v>1</v>
      </c>
      <c r="B148">
        <f t="shared" ref="B148:B211" ca="1" si="36">+IF(B147&lt;=VLOOKUP(MID(C148,2,26),TABS,2,FALSE),B147+1,1)</f>
        <v>131</v>
      </c>
      <c r="C148" t="str">
        <f t="shared" ca="1" si="33"/>
        <v>'WINDOWS-NCH-A-BDP-M3-LG-00'!B130</v>
      </c>
      <c r="D148" s="6" t="str">
        <f t="shared" ref="D148:D179" ca="1" si="37">+IF(IFERROR(FIND("Family",E148)&gt;0,FALSE),D147,E148)</f>
        <v>LG-OPD-CC2-L063-01</v>
      </c>
      <c r="E148" t="str">
        <f t="shared" ref="E148:E211" ca="1" si="38">+OFFSET(INDIRECT(C148),0,0)</f>
        <v>LG-OPD-CC2-L063-01</v>
      </c>
      <c r="F148">
        <f t="shared" ca="1" si="26"/>
        <v>2076086</v>
      </c>
      <c r="G148">
        <f t="shared" ca="1" si="27"/>
        <v>0</v>
      </c>
      <c r="H148">
        <f t="shared" ca="1" si="28"/>
        <v>0</v>
      </c>
      <c r="I148">
        <f t="shared" ca="1" si="29"/>
        <v>0</v>
      </c>
      <c r="J148" s="8" t="e">
        <f t="shared" ca="1" si="30"/>
        <v>#DIV/0!</v>
      </c>
      <c r="K148" s="9" t="e">
        <f t="shared" ca="1" si="31"/>
        <v>#DIV/0!</v>
      </c>
      <c r="L148" t="e">
        <f ca="1">+_xlfn.IFNA(VLOOKUP(M148,BespokeWindowsAreas!$A$1:$E$1999,1,FALSE),VLOOKUP(E148,WindowTypeArea!$B$2:$C$2000,2,FALSE))</f>
        <v>#N/A</v>
      </c>
      <c r="M148">
        <f t="shared" ca="1" si="32"/>
        <v>0</v>
      </c>
    </row>
    <row r="149" spans="1:13" x14ac:dyDescent="0.25">
      <c r="A149">
        <f t="shared" ca="1" si="35"/>
        <v>1</v>
      </c>
      <c r="B149">
        <f t="shared" ca="1" si="36"/>
        <v>132</v>
      </c>
      <c r="C149" t="str">
        <f t="shared" ca="1" si="33"/>
        <v>'WINDOWS-NCH-A-BDP-M3-LG-00'!B131</v>
      </c>
      <c r="D149" s="6" t="str">
        <f t="shared" ca="1" si="37"/>
        <v>LG-OPD-CC2-L063-01</v>
      </c>
      <c r="E149" t="str">
        <f t="shared" ca="1" si="38"/>
        <v>Family Type: 1500w x 3050h, Family: Window External Type 3 - Recessed and Angle</v>
      </c>
      <c r="F149" t="str">
        <f t="shared" ca="1" si="26"/>
        <v>Vector(X = -0.323, Y = 0.946, Z = 0.000, Length = 1.000)</v>
      </c>
      <c r="G149">
        <f t="shared" ca="1" si="27"/>
        <v>-0.3</v>
      </c>
      <c r="H149">
        <f t="shared" ca="1" si="28"/>
        <v>0.9</v>
      </c>
      <c r="I149">
        <f t="shared" ca="1" si="29"/>
        <v>0</v>
      </c>
      <c r="J149" s="8">
        <f t="shared" ca="1" si="30"/>
        <v>108.43494882292201</v>
      </c>
      <c r="K149" s="9" t="str">
        <f t="shared" ca="1" si="31"/>
        <v>N</v>
      </c>
      <c r="L149">
        <f ca="1">+_xlfn.IFNA(VLOOKUP(M149,BespokeWindowsAreas!$A$1:$E$1999,1,FALSE),VLOOKUP(E149,WindowTypeArea!$B$2:$C$2000,2,FALSE))</f>
        <v>4.5750000000000002</v>
      </c>
      <c r="M149">
        <f t="shared" ca="1" si="32"/>
        <v>5150071</v>
      </c>
    </row>
    <row r="150" spans="1:13" x14ac:dyDescent="0.25">
      <c r="A150">
        <f t="shared" ca="1" si="35"/>
        <v>1</v>
      </c>
      <c r="B150">
        <f t="shared" ca="1" si="36"/>
        <v>133</v>
      </c>
      <c r="C150" t="str">
        <f t="shared" ca="1" si="33"/>
        <v>'WINDOWS-NCH-A-BDP-M3-LG-00'!B132</v>
      </c>
      <c r="D150" s="6" t="str">
        <f t="shared" ca="1" si="37"/>
        <v>LG-OPD-CC2-U0174-01</v>
      </c>
      <c r="E150" t="str">
        <f t="shared" ca="1" si="38"/>
        <v>LG-OPD-CC2-U0174-01</v>
      </c>
      <c r="F150">
        <f t="shared" ref="F150:F213" ca="1" si="39">+OFFSET(INDIRECT(C150),0,1)</f>
        <v>2076087</v>
      </c>
      <c r="G150">
        <f t="shared" ref="G150:G213" ca="1" si="40">+OFFSET(INDIRECT(C150),0,2)</f>
        <v>0</v>
      </c>
      <c r="H150">
        <f t="shared" ref="H150:H213" ca="1" si="41">+OFFSET(INDIRECT(C150),0,3)</f>
        <v>0</v>
      </c>
      <c r="I150">
        <f t="shared" ref="I150:I213" ca="1" si="42">+OFFSET(INDIRECT(C150),0,4)</f>
        <v>0</v>
      </c>
      <c r="J150" s="8" t="e">
        <f t="shared" ref="J150:J213" ca="1" si="43">+DEGREES(ATAN2(G150,H150))</f>
        <v>#DIV/0!</v>
      </c>
      <c r="K150" s="9" t="e">
        <f t="shared" ref="K150:K213" ca="1" si="44">VLOOKUP(J150,$O$20:$P$36,2,-1)</f>
        <v>#DIV/0!</v>
      </c>
      <c r="L150" t="e">
        <f ca="1">+_xlfn.IFNA(VLOOKUP(M150,BespokeWindowsAreas!$A$1:$E$1999,1,FALSE),VLOOKUP(E150,WindowTypeArea!$B$2:$C$2000,2,FALSE))</f>
        <v>#N/A</v>
      </c>
      <c r="M150">
        <f t="shared" ref="M150:M213" ca="1" si="45">+OFFSET(INDIRECT(C150),0,5)</f>
        <v>0</v>
      </c>
    </row>
    <row r="151" spans="1:13" x14ac:dyDescent="0.25">
      <c r="A151">
        <f t="shared" ca="1" si="35"/>
        <v>1</v>
      </c>
      <c r="B151">
        <f t="shared" ca="1" si="36"/>
        <v>134</v>
      </c>
      <c r="C151" t="str">
        <f t="shared" ref="C151:C214" ca="1" si="46">+"'"&amp;INDIRECT("a"&amp;A150)&amp;"'!B"&amp;B150</f>
        <v>'WINDOWS-NCH-A-BDP-M3-LG-00'!B133</v>
      </c>
      <c r="D151" s="6" t="str">
        <f t="shared" ca="1" si="37"/>
        <v>LG-OPD-CC2-U0174-01</v>
      </c>
      <c r="E151" t="str">
        <f t="shared" ca="1" si="38"/>
        <v>Family Type: 975w x 3050h, Family: Window External Type 1 - Recessed</v>
      </c>
      <c r="F151" t="str">
        <f t="shared" ca="1" si="39"/>
        <v>Vector(X = -0.323, Y = 0.946, Z = 0.000, Length = 1.000)</v>
      </c>
      <c r="G151">
        <f t="shared" ca="1" si="40"/>
        <v>-0.3</v>
      </c>
      <c r="H151">
        <f t="shared" ca="1" si="41"/>
        <v>0.9</v>
      </c>
      <c r="I151">
        <f t="shared" ca="1" si="42"/>
        <v>0</v>
      </c>
      <c r="J151" s="8">
        <f t="shared" ca="1" si="43"/>
        <v>108.43494882292201</v>
      </c>
      <c r="K151" s="9" t="str">
        <f t="shared" ca="1" si="44"/>
        <v>N</v>
      </c>
      <c r="L151">
        <f ca="1">+_xlfn.IFNA(VLOOKUP(M151,BespokeWindowsAreas!$A$1:$E$1999,1,FALSE),VLOOKUP(E151,WindowTypeArea!$B$2:$C$2000,2,FALSE))</f>
        <v>2.9737499999999999</v>
      </c>
      <c r="M151">
        <f t="shared" ca="1" si="45"/>
        <v>4786000</v>
      </c>
    </row>
    <row r="152" spans="1:13" x14ac:dyDescent="0.25">
      <c r="A152">
        <f t="shared" ca="1" si="35"/>
        <v>1</v>
      </c>
      <c r="B152">
        <f t="shared" ca="1" si="36"/>
        <v>135</v>
      </c>
      <c r="C152" t="str">
        <f t="shared" ca="1" si="46"/>
        <v>'WINDOWS-NCH-A-BDP-M3-LG-00'!B134</v>
      </c>
      <c r="D152" s="6" t="str">
        <f t="shared" ca="1" si="37"/>
        <v>LG-OPD-CC2-L067-01</v>
      </c>
      <c r="E152" t="str">
        <f t="shared" ca="1" si="38"/>
        <v>LG-OPD-CC2-L067-01</v>
      </c>
      <c r="F152">
        <f t="shared" ca="1" si="39"/>
        <v>2076094</v>
      </c>
      <c r="G152">
        <f t="shared" ca="1" si="40"/>
        <v>0</v>
      </c>
      <c r="H152">
        <f t="shared" ca="1" si="41"/>
        <v>0</v>
      </c>
      <c r="I152">
        <f t="shared" ca="1" si="42"/>
        <v>0</v>
      </c>
      <c r="J152" s="8" t="e">
        <f t="shared" ca="1" si="43"/>
        <v>#DIV/0!</v>
      </c>
      <c r="K152" s="9" t="e">
        <f t="shared" ca="1" si="44"/>
        <v>#DIV/0!</v>
      </c>
      <c r="L152" t="e">
        <f ca="1">+_xlfn.IFNA(VLOOKUP(M152,BespokeWindowsAreas!$A$1:$E$1999,1,FALSE),VLOOKUP(E152,WindowTypeArea!$B$2:$C$2000,2,FALSE))</f>
        <v>#N/A</v>
      </c>
      <c r="M152">
        <f t="shared" ca="1" si="45"/>
        <v>0</v>
      </c>
    </row>
    <row r="153" spans="1:13" x14ac:dyDescent="0.25">
      <c r="A153">
        <f t="shared" ca="1" si="35"/>
        <v>1</v>
      </c>
      <c r="B153">
        <f t="shared" ca="1" si="36"/>
        <v>136</v>
      </c>
      <c r="C153" t="str">
        <f t="shared" ca="1" si="46"/>
        <v>'WINDOWS-NCH-A-BDP-M3-LG-00'!B135</v>
      </c>
      <c r="D153" s="6" t="str">
        <f t="shared" ca="1" si="37"/>
        <v>LG-OPD-CC2-L067-01</v>
      </c>
      <c r="E153" t="str">
        <f t="shared" ca="1" si="38"/>
        <v>Family Type: 975w x 3050h, Family: Window External Type 1 - Recessed</v>
      </c>
      <c r="F153" t="str">
        <f t="shared" ca="1" si="39"/>
        <v>Vector(X = 0.429, Y = -0.903, Z = 0.000, Length = 1.000)</v>
      </c>
      <c r="G153">
        <f t="shared" ca="1" si="40"/>
        <v>0.4</v>
      </c>
      <c r="H153">
        <f t="shared" ca="1" si="41"/>
        <v>-0.9</v>
      </c>
      <c r="I153">
        <f t="shared" ca="1" si="42"/>
        <v>0</v>
      </c>
      <c r="J153" s="8">
        <f t="shared" ca="1" si="43"/>
        <v>-66.037511025421821</v>
      </c>
      <c r="K153" s="9" t="str">
        <f t="shared" ca="1" si="44"/>
        <v>S</v>
      </c>
      <c r="L153">
        <f ca="1">+_xlfn.IFNA(VLOOKUP(M153,BespokeWindowsAreas!$A$1:$E$1999,1,FALSE),VLOOKUP(E153,WindowTypeArea!$B$2:$C$2000,2,FALSE))</f>
        <v>2.9737499999999999</v>
      </c>
      <c r="M153">
        <f t="shared" ca="1" si="45"/>
        <v>5150175</v>
      </c>
    </row>
    <row r="154" spans="1:13" x14ac:dyDescent="0.25">
      <c r="A154">
        <f t="shared" ca="1" si="35"/>
        <v>1</v>
      </c>
      <c r="B154">
        <f t="shared" ca="1" si="36"/>
        <v>137</v>
      </c>
      <c r="C154" t="str">
        <f t="shared" ca="1" si="46"/>
        <v>'WINDOWS-NCH-A-BDP-M3-LG-00'!B136</v>
      </c>
      <c r="D154" s="6" t="str">
        <f t="shared" ca="1" si="37"/>
        <v>LG-OPD-CC2-L067-02</v>
      </c>
      <c r="E154" t="str">
        <f t="shared" ca="1" si="38"/>
        <v>LG-OPD-CC2-L067-02</v>
      </c>
      <c r="F154">
        <f t="shared" ca="1" si="39"/>
        <v>2076095</v>
      </c>
      <c r="G154">
        <f t="shared" ca="1" si="40"/>
        <v>0</v>
      </c>
      <c r="H154">
        <f t="shared" ca="1" si="41"/>
        <v>0</v>
      </c>
      <c r="I154">
        <f t="shared" ca="1" si="42"/>
        <v>0</v>
      </c>
      <c r="J154" s="8" t="e">
        <f t="shared" ca="1" si="43"/>
        <v>#DIV/0!</v>
      </c>
      <c r="K154" s="9" t="e">
        <f t="shared" ca="1" si="44"/>
        <v>#DIV/0!</v>
      </c>
      <c r="L154" t="e">
        <f ca="1">+_xlfn.IFNA(VLOOKUP(M154,BespokeWindowsAreas!$A$1:$E$1999,1,FALSE),VLOOKUP(E154,WindowTypeArea!$B$2:$C$2000,2,FALSE))</f>
        <v>#N/A</v>
      </c>
      <c r="M154">
        <f t="shared" ca="1" si="45"/>
        <v>0</v>
      </c>
    </row>
    <row r="155" spans="1:13" x14ac:dyDescent="0.25">
      <c r="A155">
        <f t="shared" ca="1" si="35"/>
        <v>1</v>
      </c>
      <c r="B155">
        <f t="shared" ca="1" si="36"/>
        <v>138</v>
      </c>
      <c r="C155" t="str">
        <f t="shared" ca="1" si="46"/>
        <v>'WINDOWS-NCH-A-BDP-M3-LG-00'!B137</v>
      </c>
      <c r="D155" s="6" t="str">
        <f t="shared" ca="1" si="37"/>
        <v>LG-OPD-CC2-L067-02</v>
      </c>
      <c r="E155" t="str">
        <f t="shared" ca="1" si="38"/>
        <v>Family Type: 975w x 3050h, Family: Window Internal Type 2a - Recessed</v>
      </c>
      <c r="F155" t="str">
        <f t="shared" ca="1" si="39"/>
        <v>Vector(X = 0.429, Y = -0.903, Z = 0.000, Length = 1.000)</v>
      </c>
      <c r="G155">
        <f t="shared" ca="1" si="40"/>
        <v>0.4</v>
      </c>
      <c r="H155">
        <f t="shared" ca="1" si="41"/>
        <v>-0.9</v>
      </c>
      <c r="I155">
        <f t="shared" ca="1" si="42"/>
        <v>0</v>
      </c>
      <c r="J155" s="8">
        <f t="shared" ca="1" si="43"/>
        <v>-66.037511025421821</v>
      </c>
      <c r="K155" s="9" t="str">
        <f t="shared" ca="1" si="44"/>
        <v>S</v>
      </c>
      <c r="L155">
        <f ca="1">+_xlfn.IFNA(VLOOKUP(M155,BespokeWindowsAreas!$A$1:$E$1999,1,FALSE),VLOOKUP(E155,WindowTypeArea!$B$2:$C$2000,2,FALSE))</f>
        <v>2.9737499999999999</v>
      </c>
      <c r="M155">
        <f t="shared" ca="1" si="45"/>
        <v>6507062</v>
      </c>
    </row>
    <row r="156" spans="1:13" x14ac:dyDescent="0.25">
      <c r="A156">
        <f t="shared" ca="1" si="35"/>
        <v>1</v>
      </c>
      <c r="B156">
        <f t="shared" ca="1" si="36"/>
        <v>139</v>
      </c>
      <c r="C156" t="str">
        <f t="shared" ca="1" si="46"/>
        <v>'WINDOWS-NCH-A-BDP-M3-LG-00'!B138</v>
      </c>
      <c r="D156" s="6" t="str">
        <f t="shared" ca="1" si="37"/>
        <v>LG-OPD-CC2-S029-02</v>
      </c>
      <c r="E156" t="str">
        <f t="shared" ca="1" si="38"/>
        <v>LG-OPD-CC2-S029-02</v>
      </c>
      <c r="F156">
        <f t="shared" ca="1" si="39"/>
        <v>2076097</v>
      </c>
      <c r="G156">
        <f t="shared" ca="1" si="40"/>
        <v>0</v>
      </c>
      <c r="H156">
        <f t="shared" ca="1" si="41"/>
        <v>0</v>
      </c>
      <c r="I156">
        <f t="shared" ca="1" si="42"/>
        <v>0</v>
      </c>
      <c r="J156" s="8" t="e">
        <f t="shared" ca="1" si="43"/>
        <v>#DIV/0!</v>
      </c>
      <c r="K156" s="9" t="e">
        <f t="shared" ca="1" si="44"/>
        <v>#DIV/0!</v>
      </c>
      <c r="L156" t="e">
        <f ca="1">+_xlfn.IFNA(VLOOKUP(M156,BespokeWindowsAreas!$A$1:$E$1999,1,FALSE),VLOOKUP(E156,WindowTypeArea!$B$2:$C$2000,2,FALSE))</f>
        <v>#N/A</v>
      </c>
      <c r="M156">
        <f t="shared" ca="1" si="45"/>
        <v>0</v>
      </c>
    </row>
    <row r="157" spans="1:13" x14ac:dyDescent="0.25">
      <c r="A157">
        <f t="shared" ca="1" si="35"/>
        <v>1</v>
      </c>
      <c r="B157">
        <f t="shared" ca="1" si="36"/>
        <v>140</v>
      </c>
      <c r="C157" t="str">
        <f t="shared" ca="1" si="46"/>
        <v>'WINDOWS-NCH-A-BDP-M3-LG-00'!B139</v>
      </c>
      <c r="D157" s="6" t="str">
        <f t="shared" ca="1" si="37"/>
        <v>LG-OPD-CC2-S029-02</v>
      </c>
      <c r="E157" t="str">
        <f t="shared" ca="1" si="38"/>
        <v>Family Type: 975w x 3050h, Family: Window External Type 1 - Recessed</v>
      </c>
      <c r="F157" t="str">
        <f t="shared" ca="1" si="39"/>
        <v>Vector(X = 0.530, Y = -0.848, Z = 0.000, Length = 1.000)</v>
      </c>
      <c r="G157">
        <f t="shared" ca="1" si="40"/>
        <v>0.5</v>
      </c>
      <c r="H157">
        <f t="shared" ca="1" si="41"/>
        <v>-0.8</v>
      </c>
      <c r="I157">
        <f t="shared" ca="1" si="42"/>
        <v>0</v>
      </c>
      <c r="J157" s="8">
        <f t="shared" ca="1" si="43"/>
        <v>-57.994616791916499</v>
      </c>
      <c r="K157" s="9" t="str">
        <f t="shared" ca="1" si="44"/>
        <v>S</v>
      </c>
      <c r="L157">
        <f ca="1">+_xlfn.IFNA(VLOOKUP(M157,BespokeWindowsAreas!$A$1:$E$1999,1,FALSE),VLOOKUP(E157,WindowTypeArea!$B$2:$C$2000,2,FALSE))</f>
        <v>2.9737499999999999</v>
      </c>
      <c r="M157">
        <f t="shared" ca="1" si="45"/>
        <v>4714352</v>
      </c>
    </row>
    <row r="158" spans="1:13" x14ac:dyDescent="0.25">
      <c r="A158">
        <f t="shared" ca="1" si="35"/>
        <v>1</v>
      </c>
      <c r="B158">
        <f t="shared" ca="1" si="36"/>
        <v>141</v>
      </c>
      <c r="C158" t="str">
        <f t="shared" ca="1" si="46"/>
        <v>'WINDOWS-NCH-A-BDP-M3-LG-00'!B140</v>
      </c>
      <c r="D158" s="6" t="str">
        <f t="shared" ca="1" si="37"/>
        <v>LG-OPD-CC2-S029-03</v>
      </c>
      <c r="E158" t="str">
        <f t="shared" ca="1" si="38"/>
        <v>LG-OPD-CC2-S029-03</v>
      </c>
      <c r="F158">
        <f t="shared" ca="1" si="39"/>
        <v>2076098</v>
      </c>
      <c r="G158">
        <f t="shared" ca="1" si="40"/>
        <v>0</v>
      </c>
      <c r="H158">
        <f t="shared" ca="1" si="41"/>
        <v>0</v>
      </c>
      <c r="I158">
        <f t="shared" ca="1" si="42"/>
        <v>0</v>
      </c>
      <c r="J158" s="8" t="e">
        <f t="shared" ca="1" si="43"/>
        <v>#DIV/0!</v>
      </c>
      <c r="K158" s="9" t="e">
        <f t="shared" ca="1" si="44"/>
        <v>#DIV/0!</v>
      </c>
      <c r="L158" t="e">
        <f ca="1">+_xlfn.IFNA(VLOOKUP(M158,BespokeWindowsAreas!$A$1:$E$1999,1,FALSE),VLOOKUP(E158,WindowTypeArea!$B$2:$C$2000,2,FALSE))</f>
        <v>#N/A</v>
      </c>
      <c r="M158">
        <f t="shared" ca="1" si="45"/>
        <v>0</v>
      </c>
    </row>
    <row r="159" spans="1:13" x14ac:dyDescent="0.25">
      <c r="A159">
        <f t="shared" ca="1" si="35"/>
        <v>1</v>
      </c>
      <c r="B159">
        <f t="shared" ca="1" si="36"/>
        <v>142</v>
      </c>
      <c r="C159" t="str">
        <f t="shared" ca="1" si="46"/>
        <v>'WINDOWS-NCH-A-BDP-M3-LG-00'!B141</v>
      </c>
      <c r="D159" s="6" t="str">
        <f t="shared" ca="1" si="37"/>
        <v>LG-OPD-CC2-S029-03</v>
      </c>
      <c r="E159" t="str">
        <f t="shared" ca="1" si="38"/>
        <v>Family Type: 1500w x 3050h, Family: Window External Type 3 - Recessed and Angle</v>
      </c>
      <c r="F159" t="str">
        <f t="shared" ca="1" si="39"/>
        <v>Vector(X = 0.530, Y = -0.848, Z = 0.000, Length = 1.000)</v>
      </c>
      <c r="G159">
        <f t="shared" ca="1" si="40"/>
        <v>0.5</v>
      </c>
      <c r="H159">
        <f t="shared" ca="1" si="41"/>
        <v>-0.8</v>
      </c>
      <c r="I159">
        <f t="shared" ca="1" si="42"/>
        <v>0</v>
      </c>
      <c r="J159" s="8">
        <f t="shared" ca="1" si="43"/>
        <v>-57.994616791916499</v>
      </c>
      <c r="K159" s="9" t="str">
        <f t="shared" ca="1" si="44"/>
        <v>S</v>
      </c>
      <c r="L159">
        <f ca="1">+_xlfn.IFNA(VLOOKUP(M159,BespokeWindowsAreas!$A$1:$E$1999,1,FALSE),VLOOKUP(E159,WindowTypeArea!$B$2:$C$2000,2,FALSE))</f>
        <v>4.5750000000000002</v>
      </c>
      <c r="M159">
        <f t="shared" ca="1" si="45"/>
        <v>4719427</v>
      </c>
    </row>
    <row r="160" spans="1:13" x14ac:dyDescent="0.25">
      <c r="A160">
        <f t="shared" ca="1" si="35"/>
        <v>1</v>
      </c>
      <c r="B160">
        <f t="shared" ca="1" si="36"/>
        <v>143</v>
      </c>
      <c r="C160" t="str">
        <f t="shared" ca="1" si="46"/>
        <v>'WINDOWS-NCH-A-BDP-M3-LG-00'!B142</v>
      </c>
      <c r="D160" s="6" t="str">
        <f t="shared" ca="1" si="37"/>
        <v>LG-OPD-CC2-S029-04</v>
      </c>
      <c r="E160" t="str">
        <f t="shared" ca="1" si="38"/>
        <v>LG-OPD-CC2-S029-04</v>
      </c>
      <c r="F160">
        <f t="shared" ca="1" si="39"/>
        <v>2076099</v>
      </c>
      <c r="G160">
        <f t="shared" ca="1" si="40"/>
        <v>0</v>
      </c>
      <c r="H160">
        <f t="shared" ca="1" si="41"/>
        <v>0</v>
      </c>
      <c r="I160">
        <f t="shared" ca="1" si="42"/>
        <v>0</v>
      </c>
      <c r="J160" s="8" t="e">
        <f t="shared" ca="1" si="43"/>
        <v>#DIV/0!</v>
      </c>
      <c r="K160" s="9" t="e">
        <f t="shared" ca="1" si="44"/>
        <v>#DIV/0!</v>
      </c>
      <c r="L160" t="e">
        <f ca="1">+_xlfn.IFNA(VLOOKUP(M160,BespokeWindowsAreas!$A$1:$E$1999,1,FALSE),VLOOKUP(E160,WindowTypeArea!$B$2:$C$2000,2,FALSE))</f>
        <v>#N/A</v>
      </c>
      <c r="M160">
        <f t="shared" ca="1" si="45"/>
        <v>0</v>
      </c>
    </row>
    <row r="161" spans="1:13" x14ac:dyDescent="0.25">
      <c r="A161">
        <f t="shared" ca="1" si="35"/>
        <v>1</v>
      </c>
      <c r="B161">
        <f t="shared" ca="1" si="36"/>
        <v>144</v>
      </c>
      <c r="C161" t="str">
        <f t="shared" ca="1" si="46"/>
        <v>'WINDOWS-NCH-A-BDP-M3-LG-00'!B143</v>
      </c>
      <c r="D161" s="6" t="str">
        <f t="shared" ca="1" si="37"/>
        <v>LG-OPD-CC2-S029-04</v>
      </c>
      <c r="E161" t="str">
        <f t="shared" ca="1" si="38"/>
        <v>Family Type: 975w x 3050h, Family: Window External Type 1 - Recessed</v>
      </c>
      <c r="F161" t="str">
        <f t="shared" ca="1" si="39"/>
        <v>Vector(X = 0.530, Y = -0.848, Z = 0.000, Length = 1.000)</v>
      </c>
      <c r="G161">
        <f t="shared" ca="1" si="40"/>
        <v>0.5</v>
      </c>
      <c r="H161">
        <f t="shared" ca="1" si="41"/>
        <v>-0.8</v>
      </c>
      <c r="I161">
        <f t="shared" ca="1" si="42"/>
        <v>0</v>
      </c>
      <c r="J161" s="8">
        <f t="shared" ca="1" si="43"/>
        <v>-57.994616791916499</v>
      </c>
      <c r="K161" s="9" t="str">
        <f t="shared" ca="1" si="44"/>
        <v>S</v>
      </c>
      <c r="L161">
        <f ca="1">+_xlfn.IFNA(VLOOKUP(M161,BespokeWindowsAreas!$A$1:$E$1999,1,FALSE),VLOOKUP(E161,WindowTypeArea!$B$2:$C$2000,2,FALSE))</f>
        <v>2.9737499999999999</v>
      </c>
      <c r="M161">
        <f t="shared" ca="1" si="45"/>
        <v>5152705</v>
      </c>
    </row>
    <row r="162" spans="1:13" x14ac:dyDescent="0.25">
      <c r="A162">
        <f t="shared" ca="1" si="35"/>
        <v>1</v>
      </c>
      <c r="B162">
        <f t="shared" ca="1" si="36"/>
        <v>145</v>
      </c>
      <c r="C162" t="str">
        <f t="shared" ca="1" si="46"/>
        <v>'WINDOWS-NCH-A-BDP-M3-LG-00'!B144</v>
      </c>
      <c r="D162" s="6" t="str">
        <f t="shared" ca="1" si="37"/>
        <v>LG-OPD-CC2-S029-04</v>
      </c>
      <c r="E162" t="str">
        <f t="shared" ca="1" si="38"/>
        <v>Family Type: 975w x 3050h, Family: Window Internal Type 2a - Recessed</v>
      </c>
      <c r="F162" t="str">
        <f t="shared" ca="1" si="39"/>
        <v>Vector(X = 0.530, Y = -0.848, Z = 0.000, Length = 1.000)</v>
      </c>
      <c r="G162">
        <f t="shared" ca="1" si="40"/>
        <v>0.5</v>
      </c>
      <c r="H162">
        <f t="shared" ca="1" si="41"/>
        <v>-0.8</v>
      </c>
      <c r="I162">
        <f t="shared" ca="1" si="42"/>
        <v>0</v>
      </c>
      <c r="J162" s="8">
        <f t="shared" ca="1" si="43"/>
        <v>-57.994616791916499</v>
      </c>
      <c r="K162" s="9" t="str">
        <f t="shared" ca="1" si="44"/>
        <v>S</v>
      </c>
      <c r="L162">
        <f ca="1">+_xlfn.IFNA(VLOOKUP(M162,BespokeWindowsAreas!$A$1:$E$1999,1,FALSE),VLOOKUP(E162,WindowTypeArea!$B$2:$C$2000,2,FALSE))</f>
        <v>2.9737499999999999</v>
      </c>
      <c r="M162">
        <f t="shared" ca="1" si="45"/>
        <v>6516472</v>
      </c>
    </row>
    <row r="163" spans="1:13" x14ac:dyDescent="0.25">
      <c r="A163">
        <f t="shared" ca="1" si="35"/>
        <v>1</v>
      </c>
      <c r="B163">
        <f t="shared" ca="1" si="36"/>
        <v>146</v>
      </c>
      <c r="C163" t="str">
        <f t="shared" ca="1" si="46"/>
        <v>'WINDOWS-NCH-A-BDP-M3-LG-00'!B145</v>
      </c>
      <c r="D163" s="6" t="str">
        <f t="shared" ca="1" si="37"/>
        <v>LG-OPD-CC2-S029-05</v>
      </c>
      <c r="E163" t="str">
        <f t="shared" ca="1" si="38"/>
        <v>LG-OPD-CC2-S029-05</v>
      </c>
      <c r="F163">
        <f t="shared" ca="1" si="39"/>
        <v>2076100</v>
      </c>
      <c r="G163">
        <f t="shared" ca="1" si="40"/>
        <v>0</v>
      </c>
      <c r="H163">
        <f t="shared" ca="1" si="41"/>
        <v>0</v>
      </c>
      <c r="I163">
        <f t="shared" ca="1" si="42"/>
        <v>0</v>
      </c>
      <c r="J163" s="8" t="e">
        <f t="shared" ca="1" si="43"/>
        <v>#DIV/0!</v>
      </c>
      <c r="K163" s="9" t="e">
        <f t="shared" ca="1" si="44"/>
        <v>#DIV/0!</v>
      </c>
      <c r="L163" t="e">
        <f ca="1">+_xlfn.IFNA(VLOOKUP(M163,BespokeWindowsAreas!$A$1:$E$1999,1,FALSE),VLOOKUP(E163,WindowTypeArea!$B$2:$C$2000,2,FALSE))</f>
        <v>#N/A</v>
      </c>
      <c r="M163">
        <f t="shared" ca="1" si="45"/>
        <v>0</v>
      </c>
    </row>
    <row r="164" spans="1:13" x14ac:dyDescent="0.25">
      <c r="A164">
        <f t="shared" ca="1" si="35"/>
        <v>1</v>
      </c>
      <c r="B164">
        <f t="shared" ca="1" si="36"/>
        <v>147</v>
      </c>
      <c r="C164" t="str">
        <f t="shared" ca="1" si="46"/>
        <v>'WINDOWS-NCH-A-BDP-M3-LG-00'!B146</v>
      </c>
      <c r="D164" s="6" t="str">
        <f t="shared" ca="1" si="37"/>
        <v>LG-OPD-CC2-S029-05</v>
      </c>
      <c r="E164" t="str">
        <f t="shared" ca="1" si="38"/>
        <v>Family Type: 1950w x 3050h, Family: Window External Type 3 - Recessed and Angle</v>
      </c>
      <c r="F164" t="str">
        <f t="shared" ca="1" si="39"/>
        <v>Vector(X = 0.530, Y = -0.848, Z = 0.000, Length = 1.000)</v>
      </c>
      <c r="G164">
        <f t="shared" ca="1" si="40"/>
        <v>0.5</v>
      </c>
      <c r="H164">
        <f t="shared" ca="1" si="41"/>
        <v>-0.8</v>
      </c>
      <c r="I164">
        <f t="shared" ca="1" si="42"/>
        <v>0</v>
      </c>
      <c r="J164" s="8">
        <f t="shared" ca="1" si="43"/>
        <v>-57.994616791916499</v>
      </c>
      <c r="K164" s="9" t="str">
        <f t="shared" ca="1" si="44"/>
        <v>S</v>
      </c>
      <c r="L164">
        <f ca="1">+_xlfn.IFNA(VLOOKUP(M164,BespokeWindowsAreas!$A$1:$E$1999,1,FALSE),VLOOKUP(E164,WindowTypeArea!$B$2:$C$2000,2,FALSE))</f>
        <v>5.9474999999999998</v>
      </c>
      <c r="M164">
        <f t="shared" ca="1" si="45"/>
        <v>4713113</v>
      </c>
    </row>
    <row r="165" spans="1:13" x14ac:dyDescent="0.25">
      <c r="A165">
        <f t="shared" ca="1" si="35"/>
        <v>1</v>
      </c>
      <c r="B165">
        <f t="shared" ca="1" si="36"/>
        <v>148</v>
      </c>
      <c r="C165" t="str">
        <f t="shared" ca="1" si="46"/>
        <v>'WINDOWS-NCH-A-BDP-M3-LG-00'!B147</v>
      </c>
      <c r="D165" s="6" t="str">
        <f t="shared" ca="1" si="37"/>
        <v>LG-OPD-CC2-S029-07</v>
      </c>
      <c r="E165" t="str">
        <f t="shared" ca="1" si="38"/>
        <v>LG-OPD-CC2-S029-07</v>
      </c>
      <c r="F165">
        <f t="shared" ca="1" si="39"/>
        <v>2076102</v>
      </c>
      <c r="G165">
        <f t="shared" ca="1" si="40"/>
        <v>0</v>
      </c>
      <c r="H165">
        <f t="shared" ca="1" si="41"/>
        <v>0</v>
      </c>
      <c r="I165">
        <f t="shared" ca="1" si="42"/>
        <v>0</v>
      </c>
      <c r="J165" s="8" t="e">
        <f t="shared" ca="1" si="43"/>
        <v>#DIV/0!</v>
      </c>
      <c r="K165" s="9" t="e">
        <f t="shared" ca="1" si="44"/>
        <v>#DIV/0!</v>
      </c>
      <c r="L165" t="e">
        <f ca="1">+_xlfn.IFNA(VLOOKUP(M165,BespokeWindowsAreas!$A$1:$E$1999,1,FALSE),VLOOKUP(E165,WindowTypeArea!$B$2:$C$2000,2,FALSE))</f>
        <v>#N/A</v>
      </c>
      <c r="M165">
        <f t="shared" ca="1" si="45"/>
        <v>0</v>
      </c>
    </row>
    <row r="166" spans="1:13" x14ac:dyDescent="0.25">
      <c r="A166">
        <f t="shared" ca="1" si="35"/>
        <v>1</v>
      </c>
      <c r="B166">
        <f t="shared" ca="1" si="36"/>
        <v>149</v>
      </c>
      <c r="C166" t="str">
        <f t="shared" ca="1" si="46"/>
        <v>'WINDOWS-NCH-A-BDP-M3-LG-00'!B148</v>
      </c>
      <c r="D166" s="6" t="str">
        <f t="shared" ca="1" si="37"/>
        <v>LG-OPD-CC2-S029-07</v>
      </c>
      <c r="E166" t="str">
        <f t="shared" ca="1" si="38"/>
        <v>Family Type: 975w x 3050h, Family: Window External Type 1 - Recessed</v>
      </c>
      <c r="F166" t="str">
        <f t="shared" ca="1" si="39"/>
        <v>Vector(X = 0.530, Y = -0.848, Z = 0.000, Length = 1.000)</v>
      </c>
      <c r="G166">
        <f t="shared" ca="1" si="40"/>
        <v>0.5</v>
      </c>
      <c r="H166">
        <f t="shared" ca="1" si="41"/>
        <v>-0.8</v>
      </c>
      <c r="I166">
        <f t="shared" ca="1" si="42"/>
        <v>0</v>
      </c>
      <c r="J166" s="8">
        <f t="shared" ca="1" si="43"/>
        <v>-57.994616791916499</v>
      </c>
      <c r="K166" s="9" t="str">
        <f t="shared" ca="1" si="44"/>
        <v>S</v>
      </c>
      <c r="L166">
        <f ca="1">+_xlfn.IFNA(VLOOKUP(M166,BespokeWindowsAreas!$A$1:$E$1999,1,FALSE),VLOOKUP(E166,WindowTypeArea!$B$2:$C$2000,2,FALSE))</f>
        <v>2.9737499999999999</v>
      </c>
      <c r="M166">
        <f t="shared" ca="1" si="45"/>
        <v>4713198</v>
      </c>
    </row>
    <row r="167" spans="1:13" x14ac:dyDescent="0.25">
      <c r="A167">
        <f t="shared" ca="1" si="35"/>
        <v>1</v>
      </c>
      <c r="B167">
        <f t="shared" ca="1" si="36"/>
        <v>150</v>
      </c>
      <c r="C167" t="str">
        <f t="shared" ca="1" si="46"/>
        <v>'WINDOWS-NCH-A-BDP-M3-LG-00'!B149</v>
      </c>
      <c r="D167" s="6" t="str">
        <f t="shared" ca="1" si="37"/>
        <v>LG-OPD-CC2-S029-10</v>
      </c>
      <c r="E167" t="str">
        <f t="shared" ca="1" si="38"/>
        <v>LG-OPD-CC2-S029-10</v>
      </c>
      <c r="F167">
        <f t="shared" ca="1" si="39"/>
        <v>2076108</v>
      </c>
      <c r="G167">
        <f t="shared" ca="1" si="40"/>
        <v>0</v>
      </c>
      <c r="H167">
        <f t="shared" ca="1" si="41"/>
        <v>0</v>
      </c>
      <c r="I167">
        <f t="shared" ca="1" si="42"/>
        <v>0</v>
      </c>
      <c r="J167" s="8" t="e">
        <f t="shared" ca="1" si="43"/>
        <v>#DIV/0!</v>
      </c>
      <c r="K167" s="9" t="e">
        <f t="shared" ca="1" si="44"/>
        <v>#DIV/0!</v>
      </c>
      <c r="L167" t="e">
        <f ca="1">+_xlfn.IFNA(VLOOKUP(M167,BespokeWindowsAreas!$A$1:$E$1999,1,FALSE),VLOOKUP(E167,WindowTypeArea!$B$2:$C$2000,2,FALSE))</f>
        <v>#N/A</v>
      </c>
      <c r="M167">
        <f t="shared" ca="1" si="45"/>
        <v>0</v>
      </c>
    </row>
    <row r="168" spans="1:13" x14ac:dyDescent="0.25">
      <c r="A168">
        <f t="shared" ca="1" si="35"/>
        <v>1</v>
      </c>
      <c r="B168">
        <f t="shared" ca="1" si="36"/>
        <v>151</v>
      </c>
      <c r="C168" t="str">
        <f t="shared" ca="1" si="46"/>
        <v>'WINDOWS-NCH-A-BDP-M3-LG-00'!B150</v>
      </c>
      <c r="D168" s="6" t="str">
        <f t="shared" ca="1" si="37"/>
        <v>LG-OPD-CC2-S029-10</v>
      </c>
      <c r="E168" t="str">
        <f t="shared" ca="1" si="38"/>
        <v>Family Type: 1500w x 3050h, Family: Window Internal Type 2b - Recessed and Angle</v>
      </c>
      <c r="F168" t="str">
        <f t="shared" ca="1" si="39"/>
        <v>Vector(X = 0.429, Y = -0.903, Z = 0.000, Length = 1.000)</v>
      </c>
      <c r="G168">
        <f t="shared" ca="1" si="40"/>
        <v>0.4</v>
      </c>
      <c r="H168">
        <f t="shared" ca="1" si="41"/>
        <v>-0.9</v>
      </c>
      <c r="I168">
        <f t="shared" ca="1" si="42"/>
        <v>0</v>
      </c>
      <c r="J168" s="8">
        <f t="shared" ca="1" si="43"/>
        <v>-66.037511025421821</v>
      </c>
      <c r="K168" s="9" t="str">
        <f t="shared" ca="1" si="44"/>
        <v>S</v>
      </c>
      <c r="L168">
        <f ca="1">+_xlfn.IFNA(VLOOKUP(M168,BespokeWindowsAreas!$A$1:$E$1999,1,FALSE),VLOOKUP(E168,WindowTypeArea!$B$2:$C$2000,2,FALSE))</f>
        <v>4.5749999999999993</v>
      </c>
      <c r="M168">
        <f t="shared" ca="1" si="45"/>
        <v>5150258</v>
      </c>
    </row>
    <row r="169" spans="1:13" x14ac:dyDescent="0.25">
      <c r="A169">
        <f t="shared" ca="1" si="35"/>
        <v>1</v>
      </c>
      <c r="B169">
        <f t="shared" ca="1" si="36"/>
        <v>152</v>
      </c>
      <c r="C169" t="str">
        <f t="shared" ca="1" si="46"/>
        <v>'WINDOWS-NCH-A-BDP-M3-LG-00'!B151</v>
      </c>
      <c r="D169" s="6" t="str">
        <f t="shared" ca="1" si="37"/>
        <v>LG-OPD-CC2-L063-02</v>
      </c>
      <c r="E169" t="str">
        <f t="shared" ca="1" si="38"/>
        <v>LG-OPD-CC2-L063-02</v>
      </c>
      <c r="F169">
        <f t="shared" ca="1" si="39"/>
        <v>2076113</v>
      </c>
      <c r="G169">
        <f t="shared" ca="1" si="40"/>
        <v>0</v>
      </c>
      <c r="H169">
        <f t="shared" ca="1" si="41"/>
        <v>0</v>
      </c>
      <c r="I169">
        <f t="shared" ca="1" si="42"/>
        <v>0</v>
      </c>
      <c r="J169" s="8" t="e">
        <f t="shared" ca="1" si="43"/>
        <v>#DIV/0!</v>
      </c>
      <c r="K169" s="9" t="e">
        <f t="shared" ca="1" si="44"/>
        <v>#DIV/0!</v>
      </c>
      <c r="L169" t="e">
        <f ca="1">+_xlfn.IFNA(VLOOKUP(M169,BespokeWindowsAreas!$A$1:$E$1999,1,FALSE),VLOOKUP(E169,WindowTypeArea!$B$2:$C$2000,2,FALSE))</f>
        <v>#N/A</v>
      </c>
      <c r="M169">
        <f t="shared" ca="1" si="45"/>
        <v>0</v>
      </c>
    </row>
    <row r="170" spans="1:13" x14ac:dyDescent="0.25">
      <c r="A170">
        <f t="shared" ca="1" si="35"/>
        <v>1</v>
      </c>
      <c r="B170">
        <f t="shared" ca="1" si="36"/>
        <v>153</v>
      </c>
      <c r="C170" t="str">
        <f t="shared" ca="1" si="46"/>
        <v>'WINDOWS-NCH-A-BDP-M3-LG-00'!B152</v>
      </c>
      <c r="D170" s="6" t="str">
        <f t="shared" ca="1" si="37"/>
        <v>LG-OPD-CC2-L063-02</v>
      </c>
      <c r="E170" t="str">
        <f t="shared" ca="1" si="38"/>
        <v>Family Type: 1500w x 3050h, Family: Window External Type 3 - Recessed and Angle</v>
      </c>
      <c r="F170" t="str">
        <f t="shared" ca="1" si="39"/>
        <v>Vector(X = -0.323, Y = 0.946, Z = 0.000, Length = 1.000)</v>
      </c>
      <c r="G170">
        <f t="shared" ca="1" si="40"/>
        <v>-0.3</v>
      </c>
      <c r="H170">
        <f t="shared" ca="1" si="41"/>
        <v>0.9</v>
      </c>
      <c r="I170">
        <f t="shared" ca="1" si="42"/>
        <v>0</v>
      </c>
      <c r="J170" s="8">
        <f t="shared" ca="1" si="43"/>
        <v>108.43494882292201</v>
      </c>
      <c r="K170" s="9" t="str">
        <f t="shared" ca="1" si="44"/>
        <v>N</v>
      </c>
      <c r="L170">
        <f ca="1">+_xlfn.IFNA(VLOOKUP(M170,BespokeWindowsAreas!$A$1:$E$1999,1,FALSE),VLOOKUP(E170,WindowTypeArea!$B$2:$C$2000,2,FALSE))</f>
        <v>4.5750000000000002</v>
      </c>
      <c r="M170">
        <f t="shared" ca="1" si="45"/>
        <v>4786001</v>
      </c>
    </row>
    <row r="171" spans="1:13" x14ac:dyDescent="0.25">
      <c r="A171">
        <f t="shared" ca="1" si="35"/>
        <v>1</v>
      </c>
      <c r="B171">
        <f t="shared" ca="1" si="36"/>
        <v>154</v>
      </c>
      <c r="C171" t="str">
        <f t="shared" ca="1" si="46"/>
        <v>'WINDOWS-NCH-A-BDP-M3-LG-00'!B153</v>
      </c>
      <c r="D171" s="6" t="str">
        <f t="shared" ca="1" si="37"/>
        <v>LG-OPD-CC2-L063-03</v>
      </c>
      <c r="E171" t="str">
        <f t="shared" ca="1" si="38"/>
        <v>LG-OPD-CC2-L063-03</v>
      </c>
      <c r="F171">
        <f t="shared" ca="1" si="39"/>
        <v>2076114</v>
      </c>
      <c r="G171">
        <f t="shared" ca="1" si="40"/>
        <v>0</v>
      </c>
      <c r="H171">
        <f t="shared" ca="1" si="41"/>
        <v>0</v>
      </c>
      <c r="I171">
        <f t="shared" ca="1" si="42"/>
        <v>0</v>
      </c>
      <c r="J171" s="8" t="e">
        <f t="shared" ca="1" si="43"/>
        <v>#DIV/0!</v>
      </c>
      <c r="K171" s="9" t="e">
        <f t="shared" ca="1" si="44"/>
        <v>#DIV/0!</v>
      </c>
      <c r="L171" t="e">
        <f ca="1">+_xlfn.IFNA(VLOOKUP(M171,BespokeWindowsAreas!$A$1:$E$1999,1,FALSE),VLOOKUP(E171,WindowTypeArea!$B$2:$C$2000,2,FALSE))</f>
        <v>#N/A</v>
      </c>
      <c r="M171">
        <f t="shared" ca="1" si="45"/>
        <v>0</v>
      </c>
    </row>
    <row r="172" spans="1:13" x14ac:dyDescent="0.25">
      <c r="A172">
        <f t="shared" ca="1" si="35"/>
        <v>1</v>
      </c>
      <c r="B172">
        <f t="shared" ca="1" si="36"/>
        <v>155</v>
      </c>
      <c r="C172" t="str">
        <f t="shared" ca="1" si="46"/>
        <v>'WINDOWS-NCH-A-BDP-M3-LG-00'!B154</v>
      </c>
      <c r="D172" s="6" t="str">
        <f t="shared" ca="1" si="37"/>
        <v>LG-OPD-CC2-L063-03</v>
      </c>
      <c r="E172" t="str">
        <f t="shared" ca="1" si="38"/>
        <v>Family Type: 975w x 3050h, Family: Window External Type 1 - Recessed</v>
      </c>
      <c r="F172" t="str">
        <f t="shared" ca="1" si="39"/>
        <v>Vector(X = -0.323, Y = 0.946, Z = 0.000, Length = 1.000)</v>
      </c>
      <c r="G172">
        <f t="shared" ca="1" si="40"/>
        <v>-0.3</v>
      </c>
      <c r="H172">
        <f t="shared" ca="1" si="41"/>
        <v>0.9</v>
      </c>
      <c r="I172">
        <f t="shared" ca="1" si="42"/>
        <v>0</v>
      </c>
      <c r="J172" s="8">
        <f t="shared" ca="1" si="43"/>
        <v>108.43494882292201</v>
      </c>
      <c r="K172" s="9" t="str">
        <f t="shared" ca="1" si="44"/>
        <v>N</v>
      </c>
      <c r="L172">
        <f ca="1">+_xlfn.IFNA(VLOOKUP(M172,BespokeWindowsAreas!$A$1:$E$1999,1,FALSE),VLOOKUP(E172,WindowTypeArea!$B$2:$C$2000,2,FALSE))</f>
        <v>2.9737499999999999</v>
      </c>
      <c r="M172">
        <f t="shared" ca="1" si="45"/>
        <v>4785999</v>
      </c>
    </row>
    <row r="173" spans="1:13" x14ac:dyDescent="0.25">
      <c r="A173">
        <f t="shared" ca="1" si="35"/>
        <v>1</v>
      </c>
      <c r="B173">
        <f t="shared" ca="1" si="36"/>
        <v>156</v>
      </c>
      <c r="C173" t="str">
        <f t="shared" ca="1" si="46"/>
        <v>'WINDOWS-NCH-A-BDP-M3-LG-00'!B155</v>
      </c>
      <c r="D173" s="6" t="str">
        <f t="shared" ca="1" si="37"/>
        <v>LG-OPD-CC2-L063-04</v>
      </c>
      <c r="E173" t="str">
        <f t="shared" ca="1" si="38"/>
        <v>LG-OPD-CC2-L063-04</v>
      </c>
      <c r="F173">
        <f t="shared" ca="1" si="39"/>
        <v>2076115</v>
      </c>
      <c r="G173">
        <f t="shared" ca="1" si="40"/>
        <v>0</v>
      </c>
      <c r="H173">
        <f t="shared" ca="1" si="41"/>
        <v>0</v>
      </c>
      <c r="I173">
        <f t="shared" ca="1" si="42"/>
        <v>0</v>
      </c>
      <c r="J173" s="8" t="e">
        <f t="shared" ca="1" si="43"/>
        <v>#DIV/0!</v>
      </c>
      <c r="K173" s="9" t="e">
        <f t="shared" ca="1" si="44"/>
        <v>#DIV/0!</v>
      </c>
      <c r="L173" t="e">
        <f ca="1">+_xlfn.IFNA(VLOOKUP(M173,BespokeWindowsAreas!$A$1:$E$1999,1,FALSE),VLOOKUP(E173,WindowTypeArea!$B$2:$C$2000,2,FALSE))</f>
        <v>#N/A</v>
      </c>
      <c r="M173">
        <f t="shared" ca="1" si="45"/>
        <v>0</v>
      </c>
    </row>
    <row r="174" spans="1:13" x14ac:dyDescent="0.25">
      <c r="A174">
        <f t="shared" ca="1" si="35"/>
        <v>1</v>
      </c>
      <c r="B174">
        <f t="shared" ca="1" si="36"/>
        <v>157</v>
      </c>
      <c r="C174" t="str">
        <f t="shared" ca="1" si="46"/>
        <v>'WINDOWS-NCH-A-BDP-M3-LG-00'!B156</v>
      </c>
      <c r="D174" s="6" t="str">
        <f t="shared" ca="1" si="37"/>
        <v>LG-OPD-CC2-L063-04</v>
      </c>
      <c r="E174" t="str">
        <f t="shared" ca="1" si="38"/>
        <v>Family Type: 1950w x 3050h, Family: Window External Type 3 - Recessed and Angle</v>
      </c>
      <c r="F174" t="str">
        <f t="shared" ca="1" si="39"/>
        <v>Vector(X = -0.323, Y = 0.946, Z = 0.000, Length = 1.000)</v>
      </c>
      <c r="G174">
        <f t="shared" ca="1" si="40"/>
        <v>-0.3</v>
      </c>
      <c r="H174">
        <f t="shared" ca="1" si="41"/>
        <v>0.9</v>
      </c>
      <c r="I174">
        <f t="shared" ca="1" si="42"/>
        <v>0</v>
      </c>
      <c r="J174" s="8">
        <f t="shared" ca="1" si="43"/>
        <v>108.43494882292201</v>
      </c>
      <c r="K174" s="9" t="str">
        <f t="shared" ca="1" si="44"/>
        <v>N</v>
      </c>
      <c r="L174">
        <f ca="1">+_xlfn.IFNA(VLOOKUP(M174,BespokeWindowsAreas!$A$1:$E$1999,1,FALSE),VLOOKUP(E174,WindowTypeArea!$B$2:$C$2000,2,FALSE))</f>
        <v>5.9474999999999998</v>
      </c>
      <c r="M174">
        <f t="shared" ca="1" si="45"/>
        <v>4785992</v>
      </c>
    </row>
    <row r="175" spans="1:13" x14ac:dyDescent="0.25">
      <c r="A175">
        <f t="shared" ca="1" si="35"/>
        <v>1</v>
      </c>
      <c r="B175">
        <f t="shared" ca="1" si="36"/>
        <v>158</v>
      </c>
      <c r="C175" t="str">
        <f t="shared" ca="1" si="46"/>
        <v>'WINDOWS-NCH-A-BDP-M3-LG-00'!B157</v>
      </c>
      <c r="D175" s="6" t="str">
        <f t="shared" ca="1" si="37"/>
        <v>LG-OPD-CC2-L062-02</v>
      </c>
      <c r="E175" t="str">
        <f t="shared" ca="1" si="38"/>
        <v>LG-OPD-CC2-L062-02</v>
      </c>
      <c r="F175">
        <f t="shared" ca="1" si="39"/>
        <v>2076116</v>
      </c>
      <c r="G175">
        <f t="shared" ca="1" si="40"/>
        <v>0</v>
      </c>
      <c r="H175">
        <f t="shared" ca="1" si="41"/>
        <v>0</v>
      </c>
      <c r="I175">
        <f t="shared" ca="1" si="42"/>
        <v>0</v>
      </c>
      <c r="J175" s="8" t="e">
        <f t="shared" ca="1" si="43"/>
        <v>#DIV/0!</v>
      </c>
      <c r="K175" s="9" t="e">
        <f t="shared" ca="1" si="44"/>
        <v>#DIV/0!</v>
      </c>
      <c r="L175" t="e">
        <f ca="1">+_xlfn.IFNA(VLOOKUP(M175,BespokeWindowsAreas!$A$1:$E$1999,1,FALSE),VLOOKUP(E175,WindowTypeArea!$B$2:$C$2000,2,FALSE))</f>
        <v>#N/A</v>
      </c>
      <c r="M175">
        <f t="shared" ca="1" si="45"/>
        <v>0</v>
      </c>
    </row>
    <row r="176" spans="1:13" x14ac:dyDescent="0.25">
      <c r="A176">
        <f t="shared" ca="1" si="35"/>
        <v>1</v>
      </c>
      <c r="B176">
        <f t="shared" ca="1" si="36"/>
        <v>159</v>
      </c>
      <c r="C176" t="str">
        <f t="shared" ca="1" si="46"/>
        <v>'WINDOWS-NCH-A-BDP-M3-LG-00'!B158</v>
      </c>
      <c r="D176" s="6" t="str">
        <f t="shared" ca="1" si="37"/>
        <v>LG-OPD-CC2-L062-02</v>
      </c>
      <c r="E176" t="str">
        <f t="shared" ca="1" si="38"/>
        <v>Family Type: 975w x 3050h, Family: Window Internal Type 2a - Recessed</v>
      </c>
      <c r="F176" t="str">
        <f t="shared" ca="1" si="39"/>
        <v>Vector(X = -0.323, Y = 0.946, Z = 0.000, Length = 1.000)</v>
      </c>
      <c r="G176">
        <f t="shared" ca="1" si="40"/>
        <v>-0.3</v>
      </c>
      <c r="H176">
        <f t="shared" ca="1" si="41"/>
        <v>0.9</v>
      </c>
      <c r="I176">
        <f t="shared" ca="1" si="42"/>
        <v>0</v>
      </c>
      <c r="J176" s="8">
        <f t="shared" ca="1" si="43"/>
        <v>108.43494882292201</v>
      </c>
      <c r="K176" s="9" t="str">
        <f t="shared" ca="1" si="44"/>
        <v>N</v>
      </c>
      <c r="L176">
        <f ca="1">+_xlfn.IFNA(VLOOKUP(M176,BespokeWindowsAreas!$A$1:$E$1999,1,FALSE),VLOOKUP(E176,WindowTypeArea!$B$2:$C$2000,2,FALSE))</f>
        <v>2.9737499999999999</v>
      </c>
      <c r="M176">
        <f t="shared" ca="1" si="45"/>
        <v>5150389</v>
      </c>
    </row>
    <row r="177" spans="1:13" x14ac:dyDescent="0.25">
      <c r="A177">
        <f t="shared" ca="1" si="35"/>
        <v>1</v>
      </c>
      <c r="B177">
        <f t="shared" ca="1" si="36"/>
        <v>160</v>
      </c>
      <c r="C177" t="str">
        <f t="shared" ca="1" si="46"/>
        <v>'WINDOWS-NCH-A-BDP-M3-LG-00'!B159</v>
      </c>
      <c r="D177" s="6" t="str">
        <f t="shared" ca="1" si="37"/>
        <v>LG-OPD-CC2-L062-02</v>
      </c>
      <c r="E177" t="str">
        <f t="shared" ca="1" si="38"/>
        <v>Family Type: 975w x 3050h, Family: Window Internal Type 2a - Recessed</v>
      </c>
      <c r="F177" t="str">
        <f t="shared" ca="1" si="39"/>
        <v>Vector(X = -0.323, Y = 0.946, Z = 0.000, Length = 1.000)</v>
      </c>
      <c r="G177">
        <f t="shared" ca="1" si="40"/>
        <v>-0.3</v>
      </c>
      <c r="H177">
        <f t="shared" ca="1" si="41"/>
        <v>0.9</v>
      </c>
      <c r="I177">
        <f t="shared" ca="1" si="42"/>
        <v>0</v>
      </c>
      <c r="J177" s="8">
        <f t="shared" ca="1" si="43"/>
        <v>108.43494882292201</v>
      </c>
      <c r="K177" s="9" t="str">
        <f t="shared" ca="1" si="44"/>
        <v>N</v>
      </c>
      <c r="L177">
        <f ca="1">+_xlfn.IFNA(VLOOKUP(M177,BespokeWindowsAreas!$A$1:$E$1999,1,FALSE),VLOOKUP(E177,WindowTypeArea!$B$2:$C$2000,2,FALSE))</f>
        <v>2.9737499999999999</v>
      </c>
      <c r="M177">
        <f t="shared" ca="1" si="45"/>
        <v>5150516</v>
      </c>
    </row>
    <row r="178" spans="1:13" x14ac:dyDescent="0.25">
      <c r="A178">
        <f t="shared" ca="1" si="35"/>
        <v>1</v>
      </c>
      <c r="B178">
        <f t="shared" ca="1" si="36"/>
        <v>161</v>
      </c>
      <c r="C178" t="str">
        <f t="shared" ca="1" si="46"/>
        <v>'WINDOWS-NCH-A-BDP-M3-LG-00'!B160</v>
      </c>
      <c r="D178" s="6" t="str">
        <f t="shared" ca="1" si="37"/>
        <v>LG-OPD-CC2-S108-02</v>
      </c>
      <c r="E178" t="str">
        <f t="shared" ca="1" si="38"/>
        <v>LG-OPD-CC2-S108-02</v>
      </c>
      <c r="F178">
        <f t="shared" ca="1" si="39"/>
        <v>2076126</v>
      </c>
      <c r="G178">
        <f t="shared" ca="1" si="40"/>
        <v>0</v>
      </c>
      <c r="H178">
        <f t="shared" ca="1" si="41"/>
        <v>0</v>
      </c>
      <c r="I178">
        <f t="shared" ca="1" si="42"/>
        <v>0</v>
      </c>
      <c r="J178" s="8" t="e">
        <f t="shared" ca="1" si="43"/>
        <v>#DIV/0!</v>
      </c>
      <c r="K178" s="9" t="e">
        <f t="shared" ca="1" si="44"/>
        <v>#DIV/0!</v>
      </c>
      <c r="L178" t="e">
        <f ca="1">+_xlfn.IFNA(VLOOKUP(M178,BespokeWindowsAreas!$A$1:$E$1999,1,FALSE),VLOOKUP(E178,WindowTypeArea!$B$2:$C$2000,2,FALSE))</f>
        <v>#N/A</v>
      </c>
      <c r="M178">
        <f t="shared" ca="1" si="45"/>
        <v>0</v>
      </c>
    </row>
    <row r="179" spans="1:13" x14ac:dyDescent="0.25">
      <c r="A179">
        <f t="shared" ca="1" si="35"/>
        <v>1</v>
      </c>
      <c r="B179">
        <f t="shared" ca="1" si="36"/>
        <v>162</v>
      </c>
      <c r="C179" t="str">
        <f t="shared" ca="1" si="46"/>
        <v>'WINDOWS-NCH-A-BDP-M3-LG-00'!B161</v>
      </c>
      <c r="D179" s="6" t="str">
        <f t="shared" ca="1" si="37"/>
        <v>LG-OPD-CC2-S108-02</v>
      </c>
      <c r="E179" t="str">
        <f t="shared" ca="1" si="38"/>
        <v>Family Type: 1500w x 3050h, Family: Window External Type 3 - Recessed and Angle</v>
      </c>
      <c r="F179" t="str">
        <f t="shared" ca="1" si="39"/>
        <v>Vector(X = -0.429, Y = 0.903, Z = 0.000, Length = 1.000)</v>
      </c>
      <c r="G179">
        <f t="shared" ca="1" si="40"/>
        <v>-0.4</v>
      </c>
      <c r="H179">
        <f t="shared" ca="1" si="41"/>
        <v>0.9</v>
      </c>
      <c r="I179">
        <f t="shared" ca="1" si="42"/>
        <v>0</v>
      </c>
      <c r="J179" s="8">
        <f t="shared" ca="1" si="43"/>
        <v>113.96248897457818</v>
      </c>
      <c r="K179" s="9" t="str">
        <f t="shared" ca="1" si="44"/>
        <v>N</v>
      </c>
      <c r="L179">
        <f ca="1">+_xlfn.IFNA(VLOOKUP(M179,BespokeWindowsAreas!$A$1:$E$1999,1,FALSE),VLOOKUP(E179,WindowTypeArea!$B$2:$C$2000,2,FALSE))</f>
        <v>4.5750000000000002</v>
      </c>
      <c r="M179">
        <f t="shared" ca="1" si="45"/>
        <v>4785948</v>
      </c>
    </row>
    <row r="180" spans="1:13" x14ac:dyDescent="0.25">
      <c r="A180">
        <f t="shared" ca="1" si="35"/>
        <v>1</v>
      </c>
      <c r="B180">
        <f t="shared" ca="1" si="36"/>
        <v>163</v>
      </c>
      <c r="C180" t="str">
        <f t="shared" ca="1" si="46"/>
        <v>'WINDOWS-NCH-A-BDP-M3-LG-00'!B162</v>
      </c>
      <c r="D180" s="6" t="str">
        <f t="shared" ref="D180:D197" ca="1" si="47">+IF(IFERROR(FIND("Family",E180)&gt;0,FALSE),D179,E180)</f>
        <v>LG-OPD-CC2-S040-02</v>
      </c>
      <c r="E180" t="str">
        <f t="shared" ca="1" si="38"/>
        <v>LG-OPD-CC2-S040-02</v>
      </c>
      <c r="F180">
        <f t="shared" ca="1" si="39"/>
        <v>2076127</v>
      </c>
      <c r="G180">
        <f t="shared" ca="1" si="40"/>
        <v>0</v>
      </c>
      <c r="H180">
        <f t="shared" ca="1" si="41"/>
        <v>0</v>
      </c>
      <c r="I180">
        <f t="shared" ca="1" si="42"/>
        <v>0</v>
      </c>
      <c r="J180" s="8" t="e">
        <f t="shared" ca="1" si="43"/>
        <v>#DIV/0!</v>
      </c>
      <c r="K180" s="9" t="e">
        <f t="shared" ca="1" si="44"/>
        <v>#DIV/0!</v>
      </c>
      <c r="L180" t="e">
        <f ca="1">+_xlfn.IFNA(VLOOKUP(M180,BespokeWindowsAreas!$A$1:$E$1999,1,FALSE),VLOOKUP(E180,WindowTypeArea!$B$2:$C$2000,2,FALSE))</f>
        <v>#N/A</v>
      </c>
      <c r="M180">
        <f t="shared" ca="1" si="45"/>
        <v>0</v>
      </c>
    </row>
    <row r="181" spans="1:13" x14ac:dyDescent="0.25">
      <c r="A181">
        <f t="shared" ca="1" si="35"/>
        <v>1</v>
      </c>
      <c r="B181">
        <f t="shared" ca="1" si="36"/>
        <v>164</v>
      </c>
      <c r="C181" t="str">
        <f t="shared" ca="1" si="46"/>
        <v>'WINDOWS-NCH-A-BDP-M3-LG-00'!B163</v>
      </c>
      <c r="D181" s="6" t="str">
        <f t="shared" ca="1" si="47"/>
        <v>LG-OPD-CC2-S040-02</v>
      </c>
      <c r="E181" t="str">
        <f t="shared" ca="1" si="38"/>
        <v>Family Type: 1500w x 3050h, Family: Window External Type 3 - Recessed and Angle</v>
      </c>
      <c r="F181" t="str">
        <f t="shared" ca="1" si="39"/>
        <v>Vector(X = 0.429, Y = -0.903, Z = 0.000, Length = 1.000)</v>
      </c>
      <c r="G181">
        <f t="shared" ca="1" si="40"/>
        <v>0.4</v>
      </c>
      <c r="H181">
        <f t="shared" ca="1" si="41"/>
        <v>-0.9</v>
      </c>
      <c r="I181">
        <f t="shared" ca="1" si="42"/>
        <v>0</v>
      </c>
      <c r="J181" s="8">
        <f t="shared" ca="1" si="43"/>
        <v>-66.037511025421821</v>
      </c>
      <c r="K181" s="9" t="str">
        <f t="shared" ca="1" si="44"/>
        <v>S</v>
      </c>
      <c r="L181">
        <f ca="1">+_xlfn.IFNA(VLOOKUP(M181,BespokeWindowsAreas!$A$1:$E$1999,1,FALSE),VLOOKUP(E181,WindowTypeArea!$B$2:$C$2000,2,FALSE))</f>
        <v>4.5750000000000002</v>
      </c>
      <c r="M181">
        <f t="shared" ca="1" si="45"/>
        <v>4785998</v>
      </c>
    </row>
    <row r="182" spans="1:13" x14ac:dyDescent="0.25">
      <c r="A182">
        <f t="shared" ca="1" si="35"/>
        <v>1</v>
      </c>
      <c r="B182">
        <f t="shared" ca="1" si="36"/>
        <v>165</v>
      </c>
      <c r="C182" t="str">
        <f t="shared" ca="1" si="46"/>
        <v>'WINDOWS-NCH-A-BDP-M3-LG-00'!B164</v>
      </c>
      <c r="D182" s="6" t="str">
        <f t="shared" ca="1" si="47"/>
        <v>LG-CST-CDU-S020-01</v>
      </c>
      <c r="E182" t="str">
        <f t="shared" ca="1" si="38"/>
        <v>LG-CST-CDU-S020-01</v>
      </c>
      <c r="F182">
        <f t="shared" ca="1" si="39"/>
        <v>2076138</v>
      </c>
      <c r="G182">
        <f t="shared" ca="1" si="40"/>
        <v>0</v>
      </c>
      <c r="H182">
        <f t="shared" ca="1" si="41"/>
        <v>0</v>
      </c>
      <c r="I182">
        <f t="shared" ca="1" si="42"/>
        <v>0</v>
      </c>
      <c r="J182" s="8" t="e">
        <f t="shared" ca="1" si="43"/>
        <v>#DIV/0!</v>
      </c>
      <c r="K182" s="9" t="e">
        <f t="shared" ca="1" si="44"/>
        <v>#DIV/0!</v>
      </c>
      <c r="L182" t="e">
        <f ca="1">+_xlfn.IFNA(VLOOKUP(M182,BespokeWindowsAreas!$A$1:$E$1999,1,FALSE),VLOOKUP(E182,WindowTypeArea!$B$2:$C$2000,2,FALSE))</f>
        <v>#N/A</v>
      </c>
      <c r="M182">
        <f t="shared" ca="1" si="45"/>
        <v>0</v>
      </c>
    </row>
    <row r="183" spans="1:13" x14ac:dyDescent="0.25">
      <c r="A183">
        <f t="shared" ca="1" si="35"/>
        <v>1</v>
      </c>
      <c r="B183">
        <f t="shared" ca="1" si="36"/>
        <v>166</v>
      </c>
      <c r="C183" t="str">
        <f t="shared" ca="1" si="46"/>
        <v>'WINDOWS-NCH-A-BDP-M3-LG-00'!B165</v>
      </c>
      <c r="D183" s="6" t="str">
        <f t="shared" ca="1" si="47"/>
        <v>LG-CST-CDU-S020-01</v>
      </c>
      <c r="E183" t="str">
        <f t="shared" ca="1" si="38"/>
        <v>Family Type: 975w x 2300h, Family: Window External Type 1 - Recessed</v>
      </c>
      <c r="F183" t="str">
        <f t="shared" ca="1" si="39"/>
        <v>Vector(X = 0.977, Y = 0.212, Z = 0.000, Length = 1.000)</v>
      </c>
      <c r="G183">
        <f t="shared" ca="1" si="40"/>
        <v>1</v>
      </c>
      <c r="H183">
        <f t="shared" ca="1" si="41"/>
        <v>0.2</v>
      </c>
      <c r="I183">
        <f t="shared" ca="1" si="42"/>
        <v>0</v>
      </c>
      <c r="J183" s="8">
        <f t="shared" ca="1" si="43"/>
        <v>11.309932474020215</v>
      </c>
      <c r="K183" s="9" t="str">
        <f t="shared" ca="1" si="44"/>
        <v>E</v>
      </c>
      <c r="L183">
        <f ca="1">+_xlfn.IFNA(VLOOKUP(M183,BespokeWindowsAreas!$A$1:$E$1999,1,FALSE),VLOOKUP(E183,WindowTypeArea!$B$2:$C$2000,2,FALSE))</f>
        <v>2.2425000000000002</v>
      </c>
      <c r="M183">
        <f t="shared" ca="1" si="45"/>
        <v>5570685</v>
      </c>
    </row>
    <row r="184" spans="1:13" x14ac:dyDescent="0.25">
      <c r="A184">
        <f t="shared" ca="1" si="35"/>
        <v>1</v>
      </c>
      <c r="B184">
        <f t="shared" ca="1" si="36"/>
        <v>167</v>
      </c>
      <c r="C184" t="str">
        <f t="shared" ca="1" si="46"/>
        <v>'WINDOWS-NCH-A-BDP-M3-LG-00'!B166</v>
      </c>
      <c r="D184" s="6" t="str">
        <f t="shared" ca="1" si="47"/>
        <v>LG-CST-CDU-S020-01</v>
      </c>
      <c r="E184" t="str">
        <f t="shared" ca="1" si="38"/>
        <v>Family Type: 1950w x 2300h, Family: Window External Type 1 - Recessed</v>
      </c>
      <c r="F184" t="str">
        <f t="shared" ca="1" si="39"/>
        <v>Vector(X = 0.977, Y = 0.212, Z = 0.000, Length = 1.000)</v>
      </c>
      <c r="G184">
        <f t="shared" ca="1" si="40"/>
        <v>1</v>
      </c>
      <c r="H184">
        <f t="shared" ca="1" si="41"/>
        <v>0.2</v>
      </c>
      <c r="I184">
        <f t="shared" ca="1" si="42"/>
        <v>0</v>
      </c>
      <c r="J184" s="8">
        <f t="shared" ca="1" si="43"/>
        <v>11.309932474020215</v>
      </c>
      <c r="K184" s="9" t="str">
        <f t="shared" ca="1" si="44"/>
        <v>E</v>
      </c>
      <c r="L184">
        <f ca="1">+_xlfn.IFNA(VLOOKUP(M184,BespokeWindowsAreas!$A$1:$E$1999,1,FALSE),VLOOKUP(E184,WindowTypeArea!$B$2:$C$2000,2,FALSE))</f>
        <v>4.4850000000000003</v>
      </c>
      <c r="M184">
        <f t="shared" ca="1" si="45"/>
        <v>5570790</v>
      </c>
    </row>
    <row r="185" spans="1:13" x14ac:dyDescent="0.25">
      <c r="A185">
        <f t="shared" ca="1" si="35"/>
        <v>1</v>
      </c>
      <c r="B185">
        <f t="shared" ca="1" si="36"/>
        <v>168</v>
      </c>
      <c r="C185" t="str">
        <f t="shared" ca="1" si="46"/>
        <v>'WINDOWS-NCH-A-BDP-M3-LG-00'!B167</v>
      </c>
      <c r="D185" s="6" t="str">
        <f t="shared" ca="1" si="47"/>
        <v>LG-CST-CDU-U0666-01</v>
      </c>
      <c r="E185" t="str">
        <f t="shared" ca="1" si="38"/>
        <v>LG-CST-CDU-U0666-01</v>
      </c>
      <c r="F185">
        <f t="shared" ca="1" si="39"/>
        <v>2076145</v>
      </c>
      <c r="G185">
        <f t="shared" ca="1" si="40"/>
        <v>0</v>
      </c>
      <c r="H185">
        <f t="shared" ca="1" si="41"/>
        <v>0</v>
      </c>
      <c r="I185">
        <f t="shared" ca="1" si="42"/>
        <v>0</v>
      </c>
      <c r="J185" s="8" t="e">
        <f t="shared" ca="1" si="43"/>
        <v>#DIV/0!</v>
      </c>
      <c r="K185" s="9" t="e">
        <f t="shared" ca="1" si="44"/>
        <v>#DIV/0!</v>
      </c>
      <c r="L185" t="e">
        <f ca="1">+_xlfn.IFNA(VLOOKUP(M185,BespokeWindowsAreas!$A$1:$E$1999,1,FALSE),VLOOKUP(E185,WindowTypeArea!$B$2:$C$2000,2,FALSE))</f>
        <v>#N/A</v>
      </c>
      <c r="M185">
        <f t="shared" ca="1" si="45"/>
        <v>0</v>
      </c>
    </row>
    <row r="186" spans="1:13" x14ac:dyDescent="0.25">
      <c r="A186">
        <f t="shared" ca="1" si="35"/>
        <v>1</v>
      </c>
      <c r="B186">
        <f t="shared" ca="1" si="36"/>
        <v>169</v>
      </c>
      <c r="C186" t="str">
        <f t="shared" ca="1" si="46"/>
        <v>'WINDOWS-NCH-A-BDP-M3-LG-00'!B168</v>
      </c>
      <c r="D186" s="6" t="str">
        <f t="shared" ca="1" si="47"/>
        <v>LG-CST-CDU-U0666-01</v>
      </c>
      <c r="E186" t="str">
        <f t="shared" ca="1" si="38"/>
        <v>Family Type: 975w x 2300h, Family: Window External Type 1 - Recessed</v>
      </c>
      <c r="F186" t="str">
        <f t="shared" ca="1" si="39"/>
        <v>Vector(X = 0.959, Y = 0.282, Z = 0.000, Length = 1.000)</v>
      </c>
      <c r="G186">
        <f t="shared" ca="1" si="40"/>
        <v>1</v>
      </c>
      <c r="H186">
        <f t="shared" ca="1" si="41"/>
        <v>0.3</v>
      </c>
      <c r="I186">
        <f t="shared" ca="1" si="42"/>
        <v>0</v>
      </c>
      <c r="J186" s="8">
        <f t="shared" ca="1" si="43"/>
        <v>16.699244233993621</v>
      </c>
      <c r="K186" s="9" t="str">
        <f t="shared" ca="1" si="44"/>
        <v>E</v>
      </c>
      <c r="L186">
        <f ca="1">+_xlfn.IFNA(VLOOKUP(M186,BespokeWindowsAreas!$A$1:$E$1999,1,FALSE),VLOOKUP(E186,WindowTypeArea!$B$2:$C$2000,2,FALSE))</f>
        <v>2.2425000000000002</v>
      </c>
      <c r="M186">
        <f t="shared" ca="1" si="45"/>
        <v>5570881</v>
      </c>
    </row>
    <row r="187" spans="1:13" x14ac:dyDescent="0.25">
      <c r="A187">
        <f t="shared" ca="1" si="35"/>
        <v>1</v>
      </c>
      <c r="B187">
        <f t="shared" ca="1" si="36"/>
        <v>170</v>
      </c>
      <c r="C187" t="str">
        <f t="shared" ca="1" si="46"/>
        <v>'WINDOWS-NCH-A-BDP-M3-LG-00'!B169</v>
      </c>
      <c r="D187" s="6" t="str">
        <f t="shared" ca="1" si="47"/>
        <v>LG-CST-CDU-U0670-01</v>
      </c>
      <c r="E187" t="str">
        <f t="shared" ca="1" si="38"/>
        <v>LG-CST-CDU-U0670-01</v>
      </c>
      <c r="F187">
        <f t="shared" ca="1" si="39"/>
        <v>2076149</v>
      </c>
      <c r="G187">
        <f t="shared" ca="1" si="40"/>
        <v>0</v>
      </c>
      <c r="H187">
        <f t="shared" ca="1" si="41"/>
        <v>0</v>
      </c>
      <c r="I187">
        <f t="shared" ca="1" si="42"/>
        <v>0</v>
      </c>
      <c r="J187" s="8" t="e">
        <f t="shared" ca="1" si="43"/>
        <v>#DIV/0!</v>
      </c>
      <c r="K187" s="9" t="e">
        <f t="shared" ca="1" si="44"/>
        <v>#DIV/0!</v>
      </c>
      <c r="L187" t="e">
        <f ca="1">+_xlfn.IFNA(VLOOKUP(M187,BespokeWindowsAreas!$A$1:$E$1999,1,FALSE),VLOOKUP(E187,WindowTypeArea!$B$2:$C$2000,2,FALSE))</f>
        <v>#N/A</v>
      </c>
      <c r="M187">
        <f t="shared" ca="1" si="45"/>
        <v>0</v>
      </c>
    </row>
    <row r="188" spans="1:13" x14ac:dyDescent="0.25">
      <c r="A188">
        <f t="shared" ca="1" si="35"/>
        <v>1</v>
      </c>
      <c r="B188">
        <f t="shared" ca="1" si="36"/>
        <v>171</v>
      </c>
      <c r="C188" t="str">
        <f t="shared" ca="1" si="46"/>
        <v>'WINDOWS-NCH-A-BDP-M3-LG-00'!B170</v>
      </c>
      <c r="D188" s="6" t="str">
        <f t="shared" ca="1" si="47"/>
        <v>LG-CST-CDU-U0670-01</v>
      </c>
      <c r="E188" t="str">
        <f t="shared" ca="1" si="38"/>
        <v>Family Type: 1950w x 2300h, Family: Window External Type 1 - Recessed</v>
      </c>
      <c r="F188" t="str">
        <f t="shared" ca="1" si="39"/>
        <v>Vector(X = 0.873, Y = 0.489, Z = 0.000, Length = 1.000)</v>
      </c>
      <c r="G188">
        <f t="shared" ca="1" si="40"/>
        <v>0.9</v>
      </c>
      <c r="H188">
        <f t="shared" ca="1" si="41"/>
        <v>0.5</v>
      </c>
      <c r="I188">
        <f t="shared" ca="1" si="42"/>
        <v>0</v>
      </c>
      <c r="J188" s="8">
        <f t="shared" ca="1" si="43"/>
        <v>29.054604099077146</v>
      </c>
      <c r="K188" s="9" t="str">
        <f t="shared" ca="1" si="44"/>
        <v>E</v>
      </c>
      <c r="L188">
        <f ca="1">+_xlfn.IFNA(VLOOKUP(M188,BespokeWindowsAreas!$A$1:$E$1999,1,FALSE),VLOOKUP(E188,WindowTypeArea!$B$2:$C$2000,2,FALSE))</f>
        <v>4.4850000000000003</v>
      </c>
      <c r="M188">
        <f t="shared" ca="1" si="45"/>
        <v>5571741</v>
      </c>
    </row>
    <row r="189" spans="1:13" x14ac:dyDescent="0.25">
      <c r="A189">
        <f t="shared" ca="1" si="35"/>
        <v>1</v>
      </c>
      <c r="B189">
        <f t="shared" ca="1" si="36"/>
        <v>172</v>
      </c>
      <c r="C189" t="str">
        <f t="shared" ca="1" si="46"/>
        <v>'WINDOWS-NCH-A-BDP-M3-LG-00'!B171</v>
      </c>
      <c r="D189" s="6" t="str">
        <f t="shared" ca="1" si="47"/>
        <v>LG-CST-CDU-U0670-01</v>
      </c>
      <c r="E189" t="str">
        <f t="shared" ca="1" si="38"/>
        <v>Family Type: 975w x 2300h, Family: Window External Type 1 - Recessed</v>
      </c>
      <c r="F189" t="str">
        <f t="shared" ca="1" si="39"/>
        <v>Vector(X = 0.873, Y = 0.489, Z = 0.000, Length = 1.000)</v>
      </c>
      <c r="G189">
        <f t="shared" ca="1" si="40"/>
        <v>0.9</v>
      </c>
      <c r="H189">
        <f t="shared" ca="1" si="41"/>
        <v>0.5</v>
      </c>
      <c r="I189">
        <f t="shared" ca="1" si="42"/>
        <v>0</v>
      </c>
      <c r="J189" s="8">
        <f t="shared" ca="1" si="43"/>
        <v>29.054604099077146</v>
      </c>
      <c r="K189" s="9" t="str">
        <f t="shared" ca="1" si="44"/>
        <v>E</v>
      </c>
      <c r="L189">
        <f ca="1">+_xlfn.IFNA(VLOOKUP(M189,BespokeWindowsAreas!$A$1:$E$1999,1,FALSE),VLOOKUP(E189,WindowTypeArea!$B$2:$C$2000,2,FALSE))</f>
        <v>2.2425000000000002</v>
      </c>
      <c r="M189">
        <f t="shared" ca="1" si="45"/>
        <v>5571863</v>
      </c>
    </row>
    <row r="190" spans="1:13" x14ac:dyDescent="0.25">
      <c r="A190">
        <f t="shared" ca="1" si="35"/>
        <v>1</v>
      </c>
      <c r="B190">
        <f t="shared" ca="1" si="36"/>
        <v>173</v>
      </c>
      <c r="C190" t="str">
        <f t="shared" ca="1" si="46"/>
        <v>'WINDOWS-NCH-A-BDP-M3-LG-00'!B172</v>
      </c>
      <c r="D190" s="6" t="str">
        <f t="shared" ca="1" si="47"/>
        <v>LG-CST-CDU-U0670-01</v>
      </c>
      <c r="E190" t="str">
        <f t="shared" ca="1" si="38"/>
        <v>Family Type: 975w x 2300h, Family: Window External Type 1 - Recessed</v>
      </c>
      <c r="F190" t="str">
        <f t="shared" ca="1" si="39"/>
        <v>Vector(X = 0.873, Y = 0.489, Z = 0.000, Length = 1.000)</v>
      </c>
      <c r="G190">
        <f t="shared" ca="1" si="40"/>
        <v>0.9</v>
      </c>
      <c r="H190">
        <f t="shared" ca="1" si="41"/>
        <v>0.5</v>
      </c>
      <c r="I190">
        <f t="shared" ca="1" si="42"/>
        <v>0</v>
      </c>
      <c r="J190" s="8">
        <f t="shared" ca="1" si="43"/>
        <v>29.054604099077146</v>
      </c>
      <c r="K190" s="9" t="str">
        <f t="shared" ca="1" si="44"/>
        <v>E</v>
      </c>
      <c r="L190">
        <f ca="1">+_xlfn.IFNA(VLOOKUP(M190,BespokeWindowsAreas!$A$1:$E$1999,1,FALSE),VLOOKUP(E190,WindowTypeArea!$B$2:$C$2000,2,FALSE))</f>
        <v>2.2425000000000002</v>
      </c>
      <c r="M190">
        <f t="shared" ca="1" si="45"/>
        <v>5571951</v>
      </c>
    </row>
    <row r="191" spans="1:13" x14ac:dyDescent="0.25">
      <c r="A191">
        <f t="shared" ca="1" si="35"/>
        <v>1</v>
      </c>
      <c r="B191">
        <f t="shared" ca="1" si="36"/>
        <v>174</v>
      </c>
      <c r="C191" t="str">
        <f t="shared" ca="1" si="46"/>
        <v>'WINDOWS-NCH-A-BDP-M3-LG-00'!B173</v>
      </c>
      <c r="D191" s="6" t="str">
        <f t="shared" ca="1" si="47"/>
        <v>LG-CST-CEL-S143-01</v>
      </c>
      <c r="E191" t="str">
        <f t="shared" ca="1" si="38"/>
        <v>LG-CST-CEL-S143-01</v>
      </c>
      <c r="F191">
        <f t="shared" ca="1" si="39"/>
        <v>2076187</v>
      </c>
      <c r="G191">
        <f t="shared" ca="1" si="40"/>
        <v>0</v>
      </c>
      <c r="H191">
        <f t="shared" ca="1" si="41"/>
        <v>0</v>
      </c>
      <c r="I191">
        <f t="shared" ca="1" si="42"/>
        <v>0</v>
      </c>
      <c r="J191" s="8" t="e">
        <f t="shared" ca="1" si="43"/>
        <v>#DIV/0!</v>
      </c>
      <c r="K191" s="9" t="e">
        <f t="shared" ca="1" si="44"/>
        <v>#DIV/0!</v>
      </c>
      <c r="L191" t="e">
        <f ca="1">+_xlfn.IFNA(VLOOKUP(M191,BespokeWindowsAreas!$A$1:$E$1999,1,FALSE),VLOOKUP(E191,WindowTypeArea!$B$2:$C$2000,2,FALSE))</f>
        <v>#N/A</v>
      </c>
      <c r="M191">
        <f t="shared" ca="1" si="45"/>
        <v>0</v>
      </c>
    </row>
    <row r="192" spans="1:13" x14ac:dyDescent="0.25">
      <c r="A192">
        <f t="shared" ca="1" si="35"/>
        <v>1</v>
      </c>
      <c r="B192">
        <f t="shared" ca="1" si="36"/>
        <v>175</v>
      </c>
      <c r="C192" t="str">
        <f t="shared" ca="1" si="46"/>
        <v>'WINDOWS-NCH-A-BDP-M3-LG-00'!B174</v>
      </c>
      <c r="D192" s="6" t="str">
        <f t="shared" ca="1" si="47"/>
        <v>LG-CST-CEL-S143-01</v>
      </c>
      <c r="E192" t="str">
        <f t="shared" ca="1" si="38"/>
        <v>Family Type: 1950w x 2300h, Family: Window External Type 1 - Recessed</v>
      </c>
      <c r="F192" t="str">
        <f t="shared" ca="1" si="39"/>
        <v>Vector(X = 0.873, Y = 0.489, Z = 0.000, Length = 1.000)</v>
      </c>
      <c r="G192">
        <f t="shared" ca="1" si="40"/>
        <v>0.9</v>
      </c>
      <c r="H192">
        <f t="shared" ca="1" si="41"/>
        <v>0.5</v>
      </c>
      <c r="I192">
        <f t="shared" ca="1" si="42"/>
        <v>0</v>
      </c>
      <c r="J192" s="8">
        <f t="shared" ca="1" si="43"/>
        <v>29.054604099077146</v>
      </c>
      <c r="K192" s="9" t="str">
        <f t="shared" ca="1" si="44"/>
        <v>E</v>
      </c>
      <c r="L192">
        <f ca="1">+_xlfn.IFNA(VLOOKUP(M192,BespokeWindowsAreas!$A$1:$E$1999,1,FALSE),VLOOKUP(E192,WindowTypeArea!$B$2:$C$2000,2,FALSE))</f>
        <v>4.4850000000000003</v>
      </c>
      <c r="M192">
        <f t="shared" ca="1" si="45"/>
        <v>5572304</v>
      </c>
    </row>
    <row r="193" spans="1:16" x14ac:dyDescent="0.25">
      <c r="A193">
        <f t="shared" ca="1" si="35"/>
        <v>1</v>
      </c>
      <c r="B193">
        <f t="shared" ca="1" si="36"/>
        <v>176</v>
      </c>
      <c r="C193" t="str">
        <f t="shared" ca="1" si="46"/>
        <v>'WINDOWS-NCH-A-BDP-M3-LG-00'!B175</v>
      </c>
      <c r="D193" s="6" t="str">
        <f t="shared" ca="1" si="47"/>
        <v>LG-CST-CEL-S115-01</v>
      </c>
      <c r="E193" t="str">
        <f t="shared" ca="1" si="38"/>
        <v>LG-CST-CEL-S115-01</v>
      </c>
      <c r="F193">
        <f t="shared" ca="1" si="39"/>
        <v>2076188</v>
      </c>
      <c r="G193">
        <f t="shared" ca="1" si="40"/>
        <v>0</v>
      </c>
      <c r="H193">
        <f t="shared" ca="1" si="41"/>
        <v>0</v>
      </c>
      <c r="I193">
        <f t="shared" ca="1" si="42"/>
        <v>0</v>
      </c>
      <c r="J193" s="8" t="e">
        <f t="shared" ca="1" si="43"/>
        <v>#DIV/0!</v>
      </c>
      <c r="K193" s="9" t="e">
        <f t="shared" ca="1" si="44"/>
        <v>#DIV/0!</v>
      </c>
      <c r="L193" t="e">
        <f ca="1">+_xlfn.IFNA(VLOOKUP(M193,BespokeWindowsAreas!$A$1:$E$1999,1,FALSE),VLOOKUP(E193,WindowTypeArea!$B$2:$C$2000,2,FALSE))</f>
        <v>#N/A</v>
      </c>
      <c r="M193">
        <f t="shared" ca="1" si="45"/>
        <v>0</v>
      </c>
    </row>
    <row r="194" spans="1:16" x14ac:dyDescent="0.25">
      <c r="A194">
        <f t="shared" ca="1" si="35"/>
        <v>1</v>
      </c>
      <c r="B194">
        <f t="shared" ca="1" si="36"/>
        <v>177</v>
      </c>
      <c r="C194" t="str">
        <f t="shared" ca="1" si="46"/>
        <v>'WINDOWS-NCH-A-BDP-M3-LG-00'!B176</v>
      </c>
      <c r="D194" s="6" t="str">
        <f t="shared" ca="1" si="47"/>
        <v>LG-CST-CEL-S115-01</v>
      </c>
      <c r="E194" t="str">
        <f t="shared" ca="1" si="38"/>
        <v>Family Type: 1950w x 2300h, Family: Window External Type 1 - Recessed</v>
      </c>
      <c r="F194" t="str">
        <f t="shared" ca="1" si="39"/>
        <v>Vector(X = 0.873, Y = 0.489, Z = 0.000, Length = 1.000)</v>
      </c>
      <c r="G194">
        <f t="shared" ca="1" si="40"/>
        <v>0.9</v>
      </c>
      <c r="H194">
        <f t="shared" ca="1" si="41"/>
        <v>0.5</v>
      </c>
      <c r="I194">
        <f t="shared" ca="1" si="42"/>
        <v>0</v>
      </c>
      <c r="J194" s="8">
        <f t="shared" ca="1" si="43"/>
        <v>29.054604099077146</v>
      </c>
      <c r="K194" s="9" t="str">
        <f t="shared" ca="1" si="44"/>
        <v>E</v>
      </c>
      <c r="L194">
        <f ca="1">+_xlfn.IFNA(VLOOKUP(M194,BespokeWindowsAreas!$A$1:$E$1999,1,FALSE),VLOOKUP(E194,WindowTypeArea!$B$2:$C$2000,2,FALSE))</f>
        <v>4.4850000000000003</v>
      </c>
      <c r="M194">
        <f t="shared" ca="1" si="45"/>
        <v>5572297</v>
      </c>
    </row>
    <row r="195" spans="1:16" x14ac:dyDescent="0.25">
      <c r="A195">
        <f t="shared" ca="1" si="35"/>
        <v>1</v>
      </c>
      <c r="B195">
        <f t="shared" ca="1" si="36"/>
        <v>178</v>
      </c>
      <c r="C195" t="str">
        <f t="shared" ca="1" si="46"/>
        <v>'WINDOWS-NCH-A-BDP-M3-LG-00'!B177</v>
      </c>
      <c r="D195" s="6" t="str">
        <f t="shared" ca="1" si="47"/>
        <v>LG-CST-CEL-U0642-01</v>
      </c>
      <c r="E195" t="str">
        <f t="shared" ca="1" si="38"/>
        <v>LG-CST-CEL-U0642-01</v>
      </c>
      <c r="F195">
        <f t="shared" ca="1" si="39"/>
        <v>2076190</v>
      </c>
      <c r="G195">
        <f t="shared" ca="1" si="40"/>
        <v>0</v>
      </c>
      <c r="H195">
        <f t="shared" ca="1" si="41"/>
        <v>0</v>
      </c>
      <c r="I195">
        <f t="shared" ca="1" si="42"/>
        <v>0</v>
      </c>
      <c r="J195" s="8" t="e">
        <f t="shared" ca="1" si="43"/>
        <v>#DIV/0!</v>
      </c>
      <c r="K195" s="9" t="e">
        <f t="shared" ca="1" si="44"/>
        <v>#DIV/0!</v>
      </c>
      <c r="L195" t="e">
        <f ca="1">+_xlfn.IFNA(VLOOKUP(M195,BespokeWindowsAreas!$A$1:$E$1999,1,FALSE),VLOOKUP(E195,WindowTypeArea!$B$2:$C$2000,2,FALSE))</f>
        <v>#N/A</v>
      </c>
      <c r="M195">
        <f t="shared" ca="1" si="45"/>
        <v>0</v>
      </c>
    </row>
    <row r="196" spans="1:16" x14ac:dyDescent="0.25">
      <c r="A196">
        <f t="shared" ca="1" si="35"/>
        <v>1</v>
      </c>
      <c r="B196">
        <f t="shared" ca="1" si="36"/>
        <v>179</v>
      </c>
      <c r="C196" t="str">
        <f t="shared" ca="1" si="46"/>
        <v>'WINDOWS-NCH-A-BDP-M3-LG-00'!B178</v>
      </c>
      <c r="D196" s="6" t="str">
        <f t="shared" ca="1" si="47"/>
        <v>LG-CST-CEL-U0642-01</v>
      </c>
      <c r="E196" t="str">
        <f t="shared" ca="1" si="38"/>
        <v>Family Type: 975w x 2300h, Family: Window External Type 1 - Recessed</v>
      </c>
      <c r="F196" t="str">
        <f t="shared" ca="1" si="39"/>
        <v>Vector(X = 0.873, Y = 0.489, Z = 0.000, Length = 1.000)</v>
      </c>
      <c r="G196">
        <f t="shared" ca="1" si="40"/>
        <v>0.9</v>
      </c>
      <c r="H196">
        <f t="shared" ca="1" si="41"/>
        <v>0.5</v>
      </c>
      <c r="I196">
        <f t="shared" ca="1" si="42"/>
        <v>0</v>
      </c>
      <c r="J196" s="8">
        <f t="shared" ca="1" si="43"/>
        <v>29.054604099077146</v>
      </c>
      <c r="K196" s="9" t="str">
        <f t="shared" ca="1" si="44"/>
        <v>E</v>
      </c>
      <c r="L196">
        <f ca="1">+_xlfn.IFNA(VLOOKUP(M196,BespokeWindowsAreas!$A$1:$E$1999,1,FALSE),VLOOKUP(E196,WindowTypeArea!$B$2:$C$2000,2,FALSE))</f>
        <v>2.2425000000000002</v>
      </c>
      <c r="M196">
        <f t="shared" ca="1" si="45"/>
        <v>5572331</v>
      </c>
    </row>
    <row r="197" spans="1:16" x14ac:dyDescent="0.25">
      <c r="A197">
        <f t="shared" ca="1" si="35"/>
        <v>1</v>
      </c>
      <c r="B197">
        <f t="shared" ca="1" si="36"/>
        <v>180</v>
      </c>
      <c r="C197" t="str">
        <f t="shared" ca="1" si="46"/>
        <v>'WINDOWS-NCH-A-BDP-M3-LG-00'!B179</v>
      </c>
      <c r="D197" s="6" t="str">
        <f t="shared" ca="1" si="47"/>
        <v>LG-CST-CEL-U0642-01</v>
      </c>
      <c r="E197" t="str">
        <f t="shared" ca="1" si="38"/>
        <v>Family Type: 1950w x 2300h, Family: Window External Type 1 - Recessed</v>
      </c>
      <c r="F197" t="str">
        <f t="shared" ca="1" si="39"/>
        <v>Vector(X = 0.873, Y = 0.489, Z = 0.000, Length = 1.000)</v>
      </c>
      <c r="G197">
        <f t="shared" ca="1" si="40"/>
        <v>0.9</v>
      </c>
      <c r="H197">
        <f t="shared" ca="1" si="41"/>
        <v>0.5</v>
      </c>
      <c r="I197">
        <f t="shared" ca="1" si="42"/>
        <v>0</v>
      </c>
      <c r="J197" s="8">
        <f t="shared" ca="1" si="43"/>
        <v>29.054604099077146</v>
      </c>
      <c r="K197" s="9" t="str">
        <f t="shared" ca="1" si="44"/>
        <v>E</v>
      </c>
      <c r="L197">
        <f ca="1">+_xlfn.IFNA(VLOOKUP(M197,BespokeWindowsAreas!$A$1:$E$1999,1,FALSE),VLOOKUP(E197,WindowTypeArea!$B$2:$C$2000,2,FALSE))</f>
        <v>4.4850000000000003</v>
      </c>
      <c r="M197">
        <f t="shared" ca="1" si="45"/>
        <v>5572523</v>
      </c>
      <c r="O197" s="20">
        <f t="shared" ref="O197:O204" si="48">O198-22.5</f>
        <v>-180</v>
      </c>
      <c r="P197" s="21" t="s">
        <v>722</v>
      </c>
    </row>
    <row r="198" spans="1:16" x14ac:dyDescent="0.25">
      <c r="A198">
        <f t="shared" ca="1" si="35"/>
        <v>1</v>
      </c>
      <c r="B198">
        <f t="shared" ca="1" si="36"/>
        <v>181</v>
      </c>
      <c r="C198" t="str">
        <f t="shared" ca="1" si="46"/>
        <v>'WINDOWS-NCH-A-BDP-M3-LG-00'!B180</v>
      </c>
      <c r="D198" s="6" t="str">
        <f t="shared" ref="D198:D261" ca="1" si="49">+IF(IFERROR(FIND("Family",E198)&gt;0,FALSE),D197,E198)</f>
        <v>LG-CST-CEL-U0642-01</v>
      </c>
      <c r="E198" t="str">
        <f t="shared" ca="1" si="38"/>
        <v>Family Type: 975w x 2300h, Family: Window External Type 1 - Recessed</v>
      </c>
      <c r="F198" t="str">
        <f t="shared" ca="1" si="39"/>
        <v>Vector(X = 0.873, Y = 0.489, Z = 0.000, Length = 1.000)</v>
      </c>
      <c r="G198">
        <f t="shared" ca="1" si="40"/>
        <v>0.9</v>
      </c>
      <c r="H198">
        <f t="shared" ca="1" si="41"/>
        <v>0.5</v>
      </c>
      <c r="I198">
        <f t="shared" ca="1" si="42"/>
        <v>0</v>
      </c>
      <c r="J198" s="8">
        <f t="shared" ca="1" si="43"/>
        <v>29.054604099077146</v>
      </c>
      <c r="K198" s="9" t="str">
        <f t="shared" ca="1" si="44"/>
        <v>E</v>
      </c>
      <c r="L198">
        <f ca="1">+_xlfn.IFNA(VLOOKUP(M198,BespokeWindowsAreas!$A$1:$E$1999,1,FALSE),VLOOKUP(E198,WindowTypeArea!$B$2:$C$2000,2,FALSE))</f>
        <v>2.2425000000000002</v>
      </c>
      <c r="M198">
        <f t="shared" ca="1" si="45"/>
        <v>5572571</v>
      </c>
      <c r="O198" s="20">
        <f t="shared" si="48"/>
        <v>-157.5</v>
      </c>
      <c r="P198" s="21" t="s">
        <v>723</v>
      </c>
    </row>
    <row r="199" spans="1:16" x14ac:dyDescent="0.25">
      <c r="A199">
        <f t="shared" ca="1" si="35"/>
        <v>1</v>
      </c>
      <c r="B199">
        <f t="shared" ca="1" si="36"/>
        <v>182</v>
      </c>
      <c r="C199" t="str">
        <f t="shared" ca="1" si="46"/>
        <v>'WINDOWS-NCH-A-BDP-M3-LG-00'!B181</v>
      </c>
      <c r="D199" s="6" t="str">
        <f t="shared" ca="1" si="49"/>
        <v>LG-CST-CEL-U0643-01</v>
      </c>
      <c r="E199" t="str">
        <f t="shared" ca="1" si="38"/>
        <v>LG-CST-CEL-U0643-01</v>
      </c>
      <c r="F199">
        <f t="shared" ca="1" si="39"/>
        <v>2076191</v>
      </c>
      <c r="G199">
        <f t="shared" ca="1" si="40"/>
        <v>0</v>
      </c>
      <c r="H199">
        <f t="shared" ca="1" si="41"/>
        <v>0</v>
      </c>
      <c r="I199">
        <f t="shared" ca="1" si="42"/>
        <v>0</v>
      </c>
      <c r="J199" s="8" t="e">
        <f t="shared" ca="1" si="43"/>
        <v>#DIV/0!</v>
      </c>
      <c r="K199" s="9" t="e">
        <f t="shared" ca="1" si="44"/>
        <v>#DIV/0!</v>
      </c>
      <c r="L199" t="e">
        <f ca="1">+_xlfn.IFNA(VLOOKUP(M199,BespokeWindowsAreas!$A$1:$E$1999,1,FALSE),VLOOKUP(E199,WindowTypeArea!$B$2:$C$2000,2,FALSE))</f>
        <v>#N/A</v>
      </c>
      <c r="M199">
        <f t="shared" ca="1" si="45"/>
        <v>0</v>
      </c>
      <c r="O199" s="20">
        <f t="shared" si="48"/>
        <v>-135</v>
      </c>
      <c r="P199" s="21" t="s">
        <v>723</v>
      </c>
    </row>
    <row r="200" spans="1:16" x14ac:dyDescent="0.25">
      <c r="A200">
        <f t="shared" ca="1" si="35"/>
        <v>1</v>
      </c>
      <c r="B200">
        <f t="shared" ca="1" si="36"/>
        <v>183</v>
      </c>
      <c r="C200" t="str">
        <f t="shared" ca="1" si="46"/>
        <v>'WINDOWS-NCH-A-BDP-M3-LG-00'!B182</v>
      </c>
      <c r="D200" s="6" t="str">
        <f t="shared" ca="1" si="49"/>
        <v>LG-CST-CEL-U0643-01</v>
      </c>
      <c r="E200" t="str">
        <f t="shared" ca="1" si="38"/>
        <v>Family Type: 1950w x 2300h, Family: Window External Type 1 - Recessed</v>
      </c>
      <c r="F200" t="str">
        <f t="shared" ca="1" si="39"/>
        <v>Vector(X = 0.873, Y = 0.489, Z = 0.000, Length = 1.000)</v>
      </c>
      <c r="G200">
        <f t="shared" ca="1" si="40"/>
        <v>0.9</v>
      </c>
      <c r="H200">
        <f t="shared" ca="1" si="41"/>
        <v>0.5</v>
      </c>
      <c r="I200">
        <f t="shared" ca="1" si="42"/>
        <v>0</v>
      </c>
      <c r="J200" s="8">
        <f t="shared" ca="1" si="43"/>
        <v>29.054604099077146</v>
      </c>
      <c r="K200" s="9" t="str">
        <f t="shared" ca="1" si="44"/>
        <v>E</v>
      </c>
      <c r="L200">
        <f ca="1">+_xlfn.IFNA(VLOOKUP(M200,BespokeWindowsAreas!$A$1:$E$1999,1,FALSE),VLOOKUP(E200,WindowTypeArea!$B$2:$C$2000,2,FALSE))</f>
        <v>4.4850000000000003</v>
      </c>
      <c r="M200">
        <f t="shared" ca="1" si="45"/>
        <v>5572752</v>
      </c>
      <c r="O200" s="20">
        <f t="shared" si="48"/>
        <v>-112.5</v>
      </c>
      <c r="P200" s="21" t="s">
        <v>724</v>
      </c>
    </row>
    <row r="201" spans="1:16" x14ac:dyDescent="0.25">
      <c r="A201">
        <f t="shared" ca="1" si="35"/>
        <v>1</v>
      </c>
      <c r="B201">
        <f t="shared" ca="1" si="36"/>
        <v>184</v>
      </c>
      <c r="C201" t="str">
        <f t="shared" ca="1" si="46"/>
        <v>'WINDOWS-NCH-A-BDP-M3-LG-00'!B183</v>
      </c>
      <c r="D201" s="6" t="str">
        <f t="shared" ca="1" si="49"/>
        <v>LG-CST-CEL-U0644-01</v>
      </c>
      <c r="E201" t="str">
        <f t="shared" ca="1" si="38"/>
        <v>LG-CST-CEL-U0644-01</v>
      </c>
      <c r="F201">
        <f t="shared" ca="1" si="39"/>
        <v>2076192</v>
      </c>
      <c r="G201">
        <f t="shared" ca="1" si="40"/>
        <v>0</v>
      </c>
      <c r="H201">
        <f t="shared" ca="1" si="41"/>
        <v>0</v>
      </c>
      <c r="I201">
        <f t="shared" ca="1" si="42"/>
        <v>0</v>
      </c>
      <c r="J201" s="8" t="e">
        <f t="shared" ca="1" si="43"/>
        <v>#DIV/0!</v>
      </c>
      <c r="K201" s="9" t="e">
        <f t="shared" ca="1" si="44"/>
        <v>#DIV/0!</v>
      </c>
      <c r="L201" t="e">
        <f ca="1">+_xlfn.IFNA(VLOOKUP(M201,BespokeWindowsAreas!$A$1:$E$1999,1,FALSE),VLOOKUP(E201,WindowTypeArea!$B$2:$C$2000,2,FALSE))</f>
        <v>#N/A</v>
      </c>
      <c r="M201">
        <f t="shared" ca="1" si="45"/>
        <v>0</v>
      </c>
      <c r="O201" s="20">
        <f t="shared" si="48"/>
        <v>-90</v>
      </c>
      <c r="P201" s="21" t="s">
        <v>724</v>
      </c>
    </row>
    <row r="202" spans="1:16" x14ac:dyDescent="0.25">
      <c r="A202">
        <f t="shared" ca="1" si="35"/>
        <v>1</v>
      </c>
      <c r="B202">
        <f t="shared" ca="1" si="36"/>
        <v>185</v>
      </c>
      <c r="C202" t="str">
        <f t="shared" ca="1" si="46"/>
        <v>'WINDOWS-NCH-A-BDP-M3-LG-00'!B184</v>
      </c>
      <c r="D202" s="6" t="str">
        <f t="shared" ca="1" si="49"/>
        <v>LG-CST-CEL-U0644-01</v>
      </c>
      <c r="E202" t="str">
        <f t="shared" ca="1" si="38"/>
        <v>Family Type: 1950w x 2300h, Family: Window External Type 1 - Recessed</v>
      </c>
      <c r="F202" t="str">
        <f t="shared" ca="1" si="39"/>
        <v>Vector(X = 0.873, Y = 0.489, Z = 0.000, Length = 1.000)</v>
      </c>
      <c r="G202">
        <f t="shared" ca="1" si="40"/>
        <v>0.9</v>
      </c>
      <c r="H202">
        <f t="shared" ca="1" si="41"/>
        <v>0.5</v>
      </c>
      <c r="I202">
        <f t="shared" ca="1" si="42"/>
        <v>0</v>
      </c>
      <c r="J202" s="8">
        <f t="shared" ca="1" si="43"/>
        <v>29.054604099077146</v>
      </c>
      <c r="K202" s="9" t="str">
        <f t="shared" ca="1" si="44"/>
        <v>E</v>
      </c>
      <c r="L202">
        <f ca="1">+_xlfn.IFNA(VLOOKUP(M202,BespokeWindowsAreas!$A$1:$E$1999,1,FALSE),VLOOKUP(E202,WindowTypeArea!$B$2:$C$2000,2,FALSE))</f>
        <v>4.4850000000000003</v>
      </c>
      <c r="M202">
        <f t="shared" ca="1" si="45"/>
        <v>5572962</v>
      </c>
      <c r="O202" s="20">
        <f t="shared" si="48"/>
        <v>-67.5</v>
      </c>
      <c r="P202" s="21" t="s">
        <v>725</v>
      </c>
    </row>
    <row r="203" spans="1:16" x14ac:dyDescent="0.25">
      <c r="A203">
        <f t="shared" ca="1" si="35"/>
        <v>1</v>
      </c>
      <c r="B203">
        <f t="shared" ca="1" si="36"/>
        <v>186</v>
      </c>
      <c r="C203" t="str">
        <f t="shared" ca="1" si="46"/>
        <v>'WINDOWS-NCH-A-BDP-M3-LG-00'!B185</v>
      </c>
      <c r="D203" s="6" t="str">
        <f t="shared" ca="1" si="49"/>
        <v>LG-CST-CEL-U0644-01</v>
      </c>
      <c r="E203" t="str">
        <f t="shared" ca="1" si="38"/>
        <v>Family Type: 975w x 2300h, Family: Window External Type 1 - Recessed</v>
      </c>
      <c r="F203" t="str">
        <f t="shared" ca="1" si="39"/>
        <v>Vector(X = 0.873, Y = 0.489, Z = 0.000, Length = 1.000)</v>
      </c>
      <c r="G203">
        <f t="shared" ca="1" si="40"/>
        <v>0.9</v>
      </c>
      <c r="H203">
        <f t="shared" ca="1" si="41"/>
        <v>0.5</v>
      </c>
      <c r="I203">
        <f t="shared" ca="1" si="42"/>
        <v>0</v>
      </c>
      <c r="J203" s="8">
        <f t="shared" ca="1" si="43"/>
        <v>29.054604099077146</v>
      </c>
      <c r="K203" s="9" t="str">
        <f t="shared" ca="1" si="44"/>
        <v>E</v>
      </c>
      <c r="L203">
        <f ca="1">+_xlfn.IFNA(VLOOKUP(M203,BespokeWindowsAreas!$A$1:$E$1999,1,FALSE),VLOOKUP(E203,WindowTypeArea!$B$2:$C$2000,2,FALSE))</f>
        <v>2.2425000000000002</v>
      </c>
      <c r="M203">
        <f t="shared" ca="1" si="45"/>
        <v>5573007</v>
      </c>
      <c r="O203" s="20">
        <f t="shared" si="48"/>
        <v>-45</v>
      </c>
      <c r="P203" s="21" t="s">
        <v>725</v>
      </c>
    </row>
    <row r="204" spans="1:16" x14ac:dyDescent="0.25">
      <c r="A204">
        <f t="shared" ca="1" si="35"/>
        <v>1</v>
      </c>
      <c r="B204">
        <f t="shared" ca="1" si="36"/>
        <v>187</v>
      </c>
      <c r="C204" t="str">
        <f t="shared" ca="1" si="46"/>
        <v>'WINDOWS-NCH-A-BDP-M3-LG-00'!B186</v>
      </c>
      <c r="D204" s="6" t="str">
        <f t="shared" ca="1" si="49"/>
        <v>LG-CST-CEL-U0646-01</v>
      </c>
      <c r="E204" t="str">
        <f t="shared" ca="1" si="38"/>
        <v>LG-CST-CEL-U0646-01</v>
      </c>
      <c r="F204">
        <f t="shared" ca="1" si="39"/>
        <v>2076194</v>
      </c>
      <c r="G204">
        <f t="shared" ca="1" si="40"/>
        <v>0</v>
      </c>
      <c r="H204">
        <f t="shared" ca="1" si="41"/>
        <v>0</v>
      </c>
      <c r="I204">
        <f t="shared" ca="1" si="42"/>
        <v>0</v>
      </c>
      <c r="J204" s="8" t="e">
        <f t="shared" ca="1" si="43"/>
        <v>#DIV/0!</v>
      </c>
      <c r="K204" s="9" t="e">
        <f t="shared" ca="1" si="44"/>
        <v>#DIV/0!</v>
      </c>
      <c r="L204" t="e">
        <f ca="1">+_xlfn.IFNA(VLOOKUP(M204,BespokeWindowsAreas!$A$1:$E$1999,1,FALSE),VLOOKUP(E204,WindowTypeArea!$B$2:$C$2000,2,FALSE))</f>
        <v>#N/A</v>
      </c>
      <c r="M204">
        <f t="shared" ca="1" si="45"/>
        <v>0</v>
      </c>
      <c r="O204" s="20">
        <f t="shared" si="48"/>
        <v>-22.5</v>
      </c>
      <c r="P204" s="21" t="s">
        <v>726</v>
      </c>
    </row>
    <row r="205" spans="1:16" x14ac:dyDescent="0.25">
      <c r="A205">
        <f t="shared" ca="1" si="35"/>
        <v>1</v>
      </c>
      <c r="B205">
        <f t="shared" ca="1" si="36"/>
        <v>188</v>
      </c>
      <c r="C205" t="str">
        <f t="shared" ca="1" si="46"/>
        <v>'WINDOWS-NCH-A-BDP-M3-LG-00'!B187</v>
      </c>
      <c r="D205" s="6" t="str">
        <f t="shared" ca="1" si="49"/>
        <v>LG-CST-CEL-U0646-01</v>
      </c>
      <c r="E205" t="str">
        <f t="shared" ca="1" si="38"/>
        <v>Family Type: 1950w x 2300h, Family: Window External Type 1 - Recessed</v>
      </c>
      <c r="F205" t="str">
        <f t="shared" ca="1" si="39"/>
        <v>Vector(X = 0.873, Y = 0.489, Z = 0.000, Length = 1.000)</v>
      </c>
      <c r="G205">
        <f t="shared" ca="1" si="40"/>
        <v>0.9</v>
      </c>
      <c r="H205">
        <f t="shared" ca="1" si="41"/>
        <v>0.5</v>
      </c>
      <c r="I205">
        <f t="shared" ca="1" si="42"/>
        <v>0</v>
      </c>
      <c r="J205" s="8">
        <f t="shared" ca="1" si="43"/>
        <v>29.054604099077146</v>
      </c>
      <c r="K205" s="9" t="str">
        <f t="shared" ca="1" si="44"/>
        <v>E</v>
      </c>
      <c r="L205">
        <f ca="1">+_xlfn.IFNA(VLOOKUP(M205,BespokeWindowsAreas!$A$1:$E$1999,1,FALSE),VLOOKUP(E205,WindowTypeArea!$B$2:$C$2000,2,FALSE))</f>
        <v>4.4850000000000003</v>
      </c>
      <c r="M205">
        <f t="shared" ca="1" si="45"/>
        <v>5572601</v>
      </c>
    </row>
    <row r="206" spans="1:16" x14ac:dyDescent="0.25">
      <c r="A206">
        <f t="shared" ca="1" si="35"/>
        <v>1</v>
      </c>
      <c r="B206">
        <f t="shared" ca="1" si="36"/>
        <v>189</v>
      </c>
      <c r="C206" t="str">
        <f t="shared" ca="1" si="46"/>
        <v>'WINDOWS-NCH-A-BDP-M3-LG-00'!B188</v>
      </c>
      <c r="D206" s="6" t="str">
        <f t="shared" ca="1" si="49"/>
        <v>LG-EAF-FMA-S115-01</v>
      </c>
      <c r="E206" t="str">
        <f t="shared" ca="1" si="38"/>
        <v>LG-EAF-FMA-S115-01</v>
      </c>
      <c r="F206">
        <f t="shared" ca="1" si="39"/>
        <v>2076213</v>
      </c>
      <c r="G206">
        <f t="shared" ca="1" si="40"/>
        <v>0</v>
      </c>
      <c r="H206">
        <f t="shared" ca="1" si="41"/>
        <v>0</v>
      </c>
      <c r="I206">
        <f t="shared" ca="1" si="42"/>
        <v>0</v>
      </c>
      <c r="J206" s="8" t="e">
        <f t="shared" ca="1" si="43"/>
        <v>#DIV/0!</v>
      </c>
      <c r="K206" s="9" t="e">
        <f t="shared" ca="1" si="44"/>
        <v>#DIV/0!</v>
      </c>
      <c r="L206" t="e">
        <f ca="1">+_xlfn.IFNA(VLOOKUP(M206,BespokeWindowsAreas!$A$1:$E$1999,1,FALSE),VLOOKUP(E206,WindowTypeArea!$B$2:$C$2000,2,FALSE))</f>
        <v>#N/A</v>
      </c>
      <c r="M206">
        <f t="shared" ca="1" si="45"/>
        <v>0</v>
      </c>
    </row>
    <row r="207" spans="1:16" x14ac:dyDescent="0.25">
      <c r="A207">
        <f t="shared" ca="1" si="35"/>
        <v>1</v>
      </c>
      <c r="B207">
        <f t="shared" ca="1" si="36"/>
        <v>190</v>
      </c>
      <c r="C207" t="str">
        <f t="shared" ca="1" si="46"/>
        <v>'WINDOWS-NCH-A-BDP-M3-LG-00'!B189</v>
      </c>
      <c r="D207" s="6" t="str">
        <f t="shared" ca="1" si="49"/>
        <v>LG-EAF-FMA-S115-01</v>
      </c>
      <c r="E207" t="str">
        <f t="shared" ca="1" si="38"/>
        <v>Family Type: 975w x 2300h, Family: Window External Type 1 - Recessed</v>
      </c>
      <c r="F207" t="str">
        <f t="shared" ca="1" si="39"/>
        <v>Vector(X = 0.977, Y = 0.212, Z = 0.000, Length = 1.000)</v>
      </c>
      <c r="G207">
        <f t="shared" ca="1" si="40"/>
        <v>1</v>
      </c>
      <c r="H207">
        <f t="shared" ca="1" si="41"/>
        <v>0.2</v>
      </c>
      <c r="I207">
        <f t="shared" ca="1" si="42"/>
        <v>0</v>
      </c>
      <c r="J207" s="8">
        <f t="shared" ca="1" si="43"/>
        <v>11.309932474020215</v>
      </c>
      <c r="K207" s="9" t="str">
        <f t="shared" ca="1" si="44"/>
        <v>E</v>
      </c>
      <c r="L207">
        <f ca="1">+_xlfn.IFNA(VLOOKUP(M207,BespokeWindowsAreas!$A$1:$E$1999,1,FALSE),VLOOKUP(E207,WindowTypeArea!$B$2:$C$2000,2,FALSE))</f>
        <v>2.2425000000000002</v>
      </c>
      <c r="M207">
        <f t="shared" ca="1" si="45"/>
        <v>5565362</v>
      </c>
    </row>
    <row r="208" spans="1:16" x14ac:dyDescent="0.25">
      <c r="A208">
        <f t="shared" ca="1" si="35"/>
        <v>1</v>
      </c>
      <c r="B208">
        <f t="shared" ca="1" si="36"/>
        <v>191</v>
      </c>
      <c r="C208" t="str">
        <f t="shared" ca="1" si="46"/>
        <v>'WINDOWS-NCH-A-BDP-M3-LG-00'!B190</v>
      </c>
      <c r="D208" s="6" t="str">
        <f t="shared" ca="1" si="49"/>
        <v>LG-EAF-FMA-U0913-01</v>
      </c>
      <c r="E208" t="str">
        <f t="shared" ca="1" si="38"/>
        <v>LG-EAF-FMA-U0913-01</v>
      </c>
      <c r="F208">
        <f t="shared" ca="1" si="39"/>
        <v>2076216</v>
      </c>
      <c r="G208">
        <f t="shared" ca="1" si="40"/>
        <v>0</v>
      </c>
      <c r="H208">
        <f t="shared" ca="1" si="41"/>
        <v>0</v>
      </c>
      <c r="I208">
        <f t="shared" ca="1" si="42"/>
        <v>0</v>
      </c>
      <c r="J208" s="8" t="e">
        <f t="shared" ca="1" si="43"/>
        <v>#DIV/0!</v>
      </c>
      <c r="K208" s="9" t="e">
        <f t="shared" ca="1" si="44"/>
        <v>#DIV/0!</v>
      </c>
      <c r="L208" t="e">
        <f ca="1">+_xlfn.IFNA(VLOOKUP(M208,BespokeWindowsAreas!$A$1:$E$1999,1,FALSE),VLOOKUP(E208,WindowTypeArea!$B$2:$C$2000,2,FALSE))</f>
        <v>#N/A</v>
      </c>
      <c r="M208">
        <f t="shared" ca="1" si="45"/>
        <v>0</v>
      </c>
    </row>
    <row r="209" spans="1:16" x14ac:dyDescent="0.25">
      <c r="A209">
        <f t="shared" ca="1" si="35"/>
        <v>1</v>
      </c>
      <c r="B209">
        <f t="shared" ca="1" si="36"/>
        <v>192</v>
      </c>
      <c r="C209" t="str">
        <f t="shared" ca="1" si="46"/>
        <v>'WINDOWS-NCH-A-BDP-M3-LG-00'!B191</v>
      </c>
      <c r="D209" s="6" t="str">
        <f t="shared" ca="1" si="49"/>
        <v>LG-EAF-FMA-U0913-01</v>
      </c>
      <c r="E209" t="str">
        <f t="shared" ca="1" si="38"/>
        <v>Family Type: 1560w x 2300h, Family: Window External Type 3 - Recessed and Angle</v>
      </c>
      <c r="F209" t="str">
        <f t="shared" ca="1" si="39"/>
        <v>Vector(X = 0.977, Y = 0.212, Z = 0.000, Length = 1.000)</v>
      </c>
      <c r="G209">
        <f t="shared" ca="1" si="40"/>
        <v>1</v>
      </c>
      <c r="H209">
        <f t="shared" ca="1" si="41"/>
        <v>0.2</v>
      </c>
      <c r="I209">
        <f t="shared" ca="1" si="42"/>
        <v>0</v>
      </c>
      <c r="J209" s="8">
        <f t="shared" ca="1" si="43"/>
        <v>11.309932474020215</v>
      </c>
      <c r="K209" s="9" t="str">
        <f t="shared" ca="1" si="44"/>
        <v>E</v>
      </c>
      <c r="L209">
        <f ca="1">+_xlfn.IFNA(VLOOKUP(M209,BespokeWindowsAreas!$A$1:$E$1999,1,FALSE),VLOOKUP(E209,WindowTypeArea!$B$2:$C$2000,2,FALSE))</f>
        <v>3.5880000000000001</v>
      </c>
      <c r="M209">
        <f t="shared" ca="1" si="45"/>
        <v>5565158</v>
      </c>
    </row>
    <row r="210" spans="1:16" x14ac:dyDescent="0.25">
      <c r="A210">
        <f t="shared" ca="1" si="35"/>
        <v>1</v>
      </c>
      <c r="B210">
        <f t="shared" ca="1" si="36"/>
        <v>193</v>
      </c>
      <c r="C210" t="str">
        <f t="shared" ca="1" si="46"/>
        <v>'WINDOWS-NCH-A-BDP-M3-LG-00'!B192</v>
      </c>
      <c r="D210" s="6" t="str">
        <f t="shared" ca="1" si="49"/>
        <v>LG-EAF-FMA-S115-04</v>
      </c>
      <c r="E210" t="str">
        <f t="shared" ca="1" si="38"/>
        <v>LG-EAF-FMA-S115-04</v>
      </c>
      <c r="F210">
        <f t="shared" ca="1" si="39"/>
        <v>2076217</v>
      </c>
      <c r="G210">
        <f t="shared" ca="1" si="40"/>
        <v>0</v>
      </c>
      <c r="H210">
        <f t="shared" ca="1" si="41"/>
        <v>0</v>
      </c>
      <c r="I210">
        <f t="shared" ca="1" si="42"/>
        <v>0</v>
      </c>
      <c r="J210" s="8" t="e">
        <f t="shared" ca="1" si="43"/>
        <v>#DIV/0!</v>
      </c>
      <c r="K210" s="9" t="e">
        <f t="shared" ca="1" si="44"/>
        <v>#DIV/0!</v>
      </c>
      <c r="L210" t="e">
        <f ca="1">+_xlfn.IFNA(VLOOKUP(M210,BespokeWindowsAreas!$A$1:$E$1999,1,FALSE),VLOOKUP(E210,WindowTypeArea!$B$2:$C$2000,2,FALSE))</f>
        <v>#N/A</v>
      </c>
      <c r="M210">
        <f t="shared" ca="1" si="45"/>
        <v>0</v>
      </c>
    </row>
    <row r="211" spans="1:16" x14ac:dyDescent="0.25">
      <c r="A211">
        <f t="shared" ca="1" si="35"/>
        <v>1</v>
      </c>
      <c r="B211">
        <f t="shared" ca="1" si="36"/>
        <v>194</v>
      </c>
      <c r="C211" t="str">
        <f t="shared" ca="1" si="46"/>
        <v>'WINDOWS-NCH-A-BDP-M3-LG-00'!B193</v>
      </c>
      <c r="D211" s="6" t="str">
        <f t="shared" ca="1" si="49"/>
        <v>LG-EAF-FMA-S115-04</v>
      </c>
      <c r="E211" t="str">
        <f t="shared" ca="1" si="38"/>
        <v>Family Type: 975w x 2300h, Family: Window External Type 1 - Recessed</v>
      </c>
      <c r="F211" t="str">
        <f t="shared" ca="1" si="39"/>
        <v>Vector(X = 0.977, Y = 0.212, Z = 0.000, Length = 1.000)</v>
      </c>
      <c r="G211">
        <f t="shared" ca="1" si="40"/>
        <v>1</v>
      </c>
      <c r="H211">
        <f t="shared" ca="1" si="41"/>
        <v>0.2</v>
      </c>
      <c r="I211">
        <f t="shared" ca="1" si="42"/>
        <v>0</v>
      </c>
      <c r="J211" s="8">
        <f t="shared" ca="1" si="43"/>
        <v>11.309932474020215</v>
      </c>
      <c r="K211" s="9" t="str">
        <f t="shared" ca="1" si="44"/>
        <v>E</v>
      </c>
      <c r="L211">
        <f ca="1">+_xlfn.IFNA(VLOOKUP(M211,BespokeWindowsAreas!$A$1:$E$1999,1,FALSE),VLOOKUP(E211,WindowTypeArea!$B$2:$C$2000,2,FALSE))</f>
        <v>2.2425000000000002</v>
      </c>
      <c r="M211">
        <f t="shared" ca="1" si="45"/>
        <v>5565147</v>
      </c>
    </row>
    <row r="212" spans="1:16" x14ac:dyDescent="0.25">
      <c r="A212">
        <f t="shared" ref="A212:A275" ca="1" si="50">+IF(B211&lt;=VLOOKUP(MID(C212,2,26),TABS,2,FALSE),A211,+A211+1)</f>
        <v>1</v>
      </c>
      <c r="B212">
        <f t="shared" ref="B212:B275" ca="1" si="51">+IF(B211&lt;=VLOOKUP(MID(C212,2,26),TABS,2,FALSE),B211+1,1)</f>
        <v>195</v>
      </c>
      <c r="C212" t="str">
        <f t="shared" ca="1" si="46"/>
        <v>'WINDOWS-NCH-A-BDP-M3-LG-00'!B194</v>
      </c>
      <c r="D212" s="6" t="str">
        <f t="shared" ca="1" si="49"/>
        <v>LG-EAF-FMA-S115-06</v>
      </c>
      <c r="E212" t="str">
        <f t="shared" ref="E212:E275" ca="1" si="52">+OFFSET(INDIRECT(C212),0,0)</f>
        <v>LG-EAF-FMA-S115-06</v>
      </c>
      <c r="F212">
        <f t="shared" ca="1" si="39"/>
        <v>2076219</v>
      </c>
      <c r="G212">
        <f t="shared" ca="1" si="40"/>
        <v>0</v>
      </c>
      <c r="H212">
        <f t="shared" ca="1" si="41"/>
        <v>0</v>
      </c>
      <c r="I212">
        <f t="shared" ca="1" si="42"/>
        <v>0</v>
      </c>
      <c r="J212" s="8" t="e">
        <f t="shared" ca="1" si="43"/>
        <v>#DIV/0!</v>
      </c>
      <c r="K212" s="9" t="e">
        <f t="shared" ca="1" si="44"/>
        <v>#DIV/0!</v>
      </c>
      <c r="L212" t="e">
        <f ca="1">+_xlfn.IFNA(VLOOKUP(M212,BespokeWindowsAreas!$A$1:$E$1999,1,FALSE),VLOOKUP(E212,WindowTypeArea!$B$2:$C$2000,2,FALSE))</f>
        <v>#N/A</v>
      </c>
      <c r="M212">
        <f t="shared" ca="1" si="45"/>
        <v>0</v>
      </c>
    </row>
    <row r="213" spans="1:16" x14ac:dyDescent="0.25">
      <c r="A213">
        <f t="shared" ca="1" si="50"/>
        <v>1</v>
      </c>
      <c r="B213">
        <f t="shared" ca="1" si="51"/>
        <v>196</v>
      </c>
      <c r="C213" t="str">
        <f t="shared" ca="1" si="46"/>
        <v>'WINDOWS-NCH-A-BDP-M3-LG-00'!B195</v>
      </c>
      <c r="D213" s="6" t="str">
        <f t="shared" ca="1" si="49"/>
        <v>LG-EAF-FMA-S115-06</v>
      </c>
      <c r="E213" t="str">
        <f t="shared" ca="1" si="52"/>
        <v>Family Type: 1950w x 2300h, Family: Window External Type 1 - Recessed</v>
      </c>
      <c r="F213" t="str">
        <f t="shared" ca="1" si="39"/>
        <v>Vector(X = 0.977, Y = 0.212, Z = 0.000, Length = 1.000)</v>
      </c>
      <c r="G213">
        <f t="shared" ca="1" si="40"/>
        <v>1</v>
      </c>
      <c r="H213">
        <f t="shared" ca="1" si="41"/>
        <v>0.2</v>
      </c>
      <c r="I213">
        <f t="shared" ca="1" si="42"/>
        <v>0</v>
      </c>
      <c r="J213" s="8">
        <f t="shared" ca="1" si="43"/>
        <v>11.309932474020215</v>
      </c>
      <c r="K213" s="9" t="str">
        <f t="shared" ca="1" si="44"/>
        <v>E</v>
      </c>
      <c r="L213">
        <f ca="1">+_xlfn.IFNA(VLOOKUP(M213,BespokeWindowsAreas!$A$1:$E$1999,1,FALSE),VLOOKUP(E213,WindowTypeArea!$B$2:$C$2000,2,FALSE))</f>
        <v>4.4850000000000003</v>
      </c>
      <c r="M213">
        <f t="shared" ca="1" si="45"/>
        <v>5565146</v>
      </c>
    </row>
    <row r="214" spans="1:16" x14ac:dyDescent="0.25">
      <c r="A214">
        <f t="shared" ca="1" si="50"/>
        <v>1</v>
      </c>
      <c r="B214">
        <f t="shared" ca="1" si="51"/>
        <v>197</v>
      </c>
      <c r="C214" t="str">
        <f t="shared" ca="1" si="46"/>
        <v>'WINDOWS-NCH-A-BDP-M3-LG-00'!B196</v>
      </c>
      <c r="D214" s="6" t="str">
        <f t="shared" ca="1" si="49"/>
        <v>LG-EAF-FMA-S115-09</v>
      </c>
      <c r="E214" t="str">
        <f t="shared" ca="1" si="52"/>
        <v>LG-EAF-FMA-S115-09</v>
      </c>
      <c r="F214">
        <f t="shared" ref="F214:F277" ca="1" si="53">+OFFSET(INDIRECT(C214),0,1)</f>
        <v>2076221</v>
      </c>
      <c r="G214">
        <f t="shared" ref="G214:G277" ca="1" si="54">+OFFSET(INDIRECT(C214),0,2)</f>
        <v>0</v>
      </c>
      <c r="H214">
        <f t="shared" ref="H214:H277" ca="1" si="55">+OFFSET(INDIRECT(C214),0,3)</f>
        <v>0</v>
      </c>
      <c r="I214">
        <f t="shared" ref="I214:I277" ca="1" si="56">+OFFSET(INDIRECT(C214),0,4)</f>
        <v>0</v>
      </c>
      <c r="J214" s="8" t="e">
        <f t="shared" ref="J214:J277" ca="1" si="57">+DEGREES(ATAN2(G214,H214))</f>
        <v>#DIV/0!</v>
      </c>
      <c r="K214" s="9" t="e">
        <f t="shared" ref="K214:K277" ca="1" si="58">VLOOKUP(J214,$O$20:$P$36,2,-1)</f>
        <v>#DIV/0!</v>
      </c>
      <c r="L214" t="e">
        <f ca="1">+_xlfn.IFNA(VLOOKUP(M214,BespokeWindowsAreas!$A$1:$E$1999,1,FALSE),VLOOKUP(E214,WindowTypeArea!$B$2:$C$2000,2,FALSE))</f>
        <v>#N/A</v>
      </c>
      <c r="M214">
        <f t="shared" ref="M214:M277" ca="1" si="59">+OFFSET(INDIRECT(C214),0,5)</f>
        <v>0</v>
      </c>
    </row>
    <row r="215" spans="1:16" x14ac:dyDescent="0.25">
      <c r="A215">
        <f t="shared" ca="1" si="50"/>
        <v>1</v>
      </c>
      <c r="B215">
        <f t="shared" ca="1" si="51"/>
        <v>198</v>
      </c>
      <c r="C215" t="str">
        <f t="shared" ref="C215:C278" ca="1" si="60">+"'"&amp;INDIRECT("a"&amp;A214)&amp;"'!B"&amp;B214</f>
        <v>'WINDOWS-NCH-A-BDP-M3-LG-00'!B197</v>
      </c>
      <c r="D215" s="6" t="str">
        <f t="shared" ca="1" si="49"/>
        <v>LG-EAF-FMA-S115-09</v>
      </c>
      <c r="E215" t="str">
        <f t="shared" ca="1" si="52"/>
        <v>Family Type: 975w x 2300h, Family: Window External Type 1 - Recessed</v>
      </c>
      <c r="F215" t="str">
        <f t="shared" ca="1" si="53"/>
        <v>Vector(X = 0.977, Y = 0.212, Z = 0.000, Length = 1.000)</v>
      </c>
      <c r="G215">
        <f t="shared" ca="1" si="54"/>
        <v>1</v>
      </c>
      <c r="H215">
        <f t="shared" ca="1" si="55"/>
        <v>0.2</v>
      </c>
      <c r="I215">
        <f t="shared" ca="1" si="56"/>
        <v>0</v>
      </c>
      <c r="J215" s="8">
        <f t="shared" ca="1" si="57"/>
        <v>11.309932474020215</v>
      </c>
      <c r="K215" s="9" t="str">
        <f t="shared" ca="1" si="58"/>
        <v>E</v>
      </c>
      <c r="L215">
        <f ca="1">+_xlfn.IFNA(VLOOKUP(M215,BespokeWindowsAreas!$A$1:$E$1999,1,FALSE),VLOOKUP(E215,WindowTypeArea!$B$2:$C$2000,2,FALSE))</f>
        <v>2.2425000000000002</v>
      </c>
      <c r="M215">
        <f t="shared" ca="1" si="59"/>
        <v>5257326</v>
      </c>
    </row>
    <row r="216" spans="1:16" x14ac:dyDescent="0.25">
      <c r="A216">
        <f t="shared" ca="1" si="50"/>
        <v>1</v>
      </c>
      <c r="B216">
        <f t="shared" ca="1" si="51"/>
        <v>199</v>
      </c>
      <c r="C216" t="str">
        <f t="shared" ca="1" si="60"/>
        <v>'WINDOWS-NCH-A-BDP-M3-LG-00'!B198</v>
      </c>
      <c r="D216" s="6" t="str">
        <f t="shared" ca="1" si="49"/>
        <v>LG-EAF-FMA-U0918-01</v>
      </c>
      <c r="E216" t="str">
        <f t="shared" ca="1" si="52"/>
        <v>LG-EAF-FMA-U0918-01</v>
      </c>
      <c r="F216">
        <f t="shared" ca="1" si="53"/>
        <v>2076223</v>
      </c>
      <c r="G216">
        <f t="shared" ca="1" si="54"/>
        <v>0</v>
      </c>
      <c r="H216">
        <f t="shared" ca="1" si="55"/>
        <v>0</v>
      </c>
      <c r="I216">
        <f t="shared" ca="1" si="56"/>
        <v>0</v>
      </c>
      <c r="J216" s="8" t="e">
        <f t="shared" ca="1" si="57"/>
        <v>#DIV/0!</v>
      </c>
      <c r="K216" s="9" t="e">
        <f t="shared" ca="1" si="58"/>
        <v>#DIV/0!</v>
      </c>
      <c r="L216" t="e">
        <f ca="1">+_xlfn.IFNA(VLOOKUP(M216,BespokeWindowsAreas!$A$1:$E$1999,1,FALSE),VLOOKUP(E216,WindowTypeArea!$B$2:$C$2000,2,FALSE))</f>
        <v>#N/A</v>
      </c>
      <c r="M216">
        <f t="shared" ca="1" si="59"/>
        <v>0</v>
      </c>
    </row>
    <row r="217" spans="1:16" x14ac:dyDescent="0.25">
      <c r="A217">
        <f t="shared" ca="1" si="50"/>
        <v>1</v>
      </c>
      <c r="B217">
        <f t="shared" ca="1" si="51"/>
        <v>200</v>
      </c>
      <c r="C217" t="str">
        <f t="shared" ca="1" si="60"/>
        <v>'WINDOWS-NCH-A-BDP-M3-LG-00'!B199</v>
      </c>
      <c r="D217" s="6" t="str">
        <f t="shared" ca="1" si="49"/>
        <v>LG-EAF-FMA-U0918-01</v>
      </c>
      <c r="E217" t="str">
        <f t="shared" ca="1" si="52"/>
        <v>Family Type: 975w x 2300h, Family: Window External Type 1 - Recessed</v>
      </c>
      <c r="F217" t="str">
        <f t="shared" ca="1" si="53"/>
        <v>Vector(X = 0.977, Y = 0.212, Z = 0.000, Length = 1.000)</v>
      </c>
      <c r="G217">
        <f t="shared" ca="1" si="54"/>
        <v>1</v>
      </c>
      <c r="H217">
        <f t="shared" ca="1" si="55"/>
        <v>0.2</v>
      </c>
      <c r="I217">
        <f t="shared" ca="1" si="56"/>
        <v>0</v>
      </c>
      <c r="J217" s="8">
        <f t="shared" ca="1" si="57"/>
        <v>11.309932474020215</v>
      </c>
      <c r="K217" s="9" t="str">
        <f t="shared" ca="1" si="58"/>
        <v>E</v>
      </c>
      <c r="L217">
        <f ca="1">+_xlfn.IFNA(VLOOKUP(M217,BespokeWindowsAreas!$A$1:$E$1999,1,FALSE),VLOOKUP(E217,WindowTypeArea!$B$2:$C$2000,2,FALSE))</f>
        <v>2.2425000000000002</v>
      </c>
      <c r="M217">
        <f t="shared" ca="1" si="59"/>
        <v>5587904</v>
      </c>
      <c r="O217" s="20">
        <f>O216+22.5</f>
        <v>22.5</v>
      </c>
      <c r="P217" s="21" t="s">
        <v>728</v>
      </c>
    </row>
    <row r="218" spans="1:16" x14ac:dyDescent="0.25">
      <c r="A218">
        <f t="shared" ca="1" si="50"/>
        <v>1</v>
      </c>
      <c r="B218">
        <f t="shared" ca="1" si="51"/>
        <v>201</v>
      </c>
      <c r="C218" t="str">
        <f t="shared" ca="1" si="60"/>
        <v>'WINDOWS-NCH-A-BDP-M3-LG-00'!B200</v>
      </c>
      <c r="D218" s="6" t="str">
        <f t="shared" ca="1" si="49"/>
        <v>LG-EAF-FMA-S115-11</v>
      </c>
      <c r="E218" t="str">
        <f t="shared" ca="1" si="52"/>
        <v>LG-EAF-FMA-S115-11</v>
      </c>
      <c r="F218">
        <f t="shared" ca="1" si="53"/>
        <v>2076248</v>
      </c>
      <c r="G218">
        <f t="shared" ca="1" si="54"/>
        <v>0</v>
      </c>
      <c r="H218">
        <f t="shared" ca="1" si="55"/>
        <v>0</v>
      </c>
      <c r="I218">
        <f t="shared" ca="1" si="56"/>
        <v>0</v>
      </c>
      <c r="J218" s="8" t="e">
        <f t="shared" ca="1" si="57"/>
        <v>#DIV/0!</v>
      </c>
      <c r="K218" s="9" t="e">
        <f t="shared" ca="1" si="58"/>
        <v>#DIV/0!</v>
      </c>
      <c r="L218" t="e">
        <f ca="1">+_xlfn.IFNA(VLOOKUP(M218,BespokeWindowsAreas!$A$1:$E$1999,1,FALSE),VLOOKUP(E218,WindowTypeArea!$B$2:$C$2000,2,FALSE))</f>
        <v>#N/A</v>
      </c>
      <c r="M218">
        <f t="shared" ca="1" si="59"/>
        <v>0</v>
      </c>
      <c r="O218" s="20">
        <f>O217+22.5</f>
        <v>45</v>
      </c>
      <c r="P218" s="21" t="s">
        <v>728</v>
      </c>
    </row>
    <row r="219" spans="1:16" x14ac:dyDescent="0.25">
      <c r="A219">
        <f t="shared" ca="1" si="50"/>
        <v>1</v>
      </c>
      <c r="B219">
        <f t="shared" ca="1" si="51"/>
        <v>202</v>
      </c>
      <c r="C219" t="str">
        <f t="shared" ca="1" si="60"/>
        <v>'WINDOWS-NCH-A-BDP-M3-LG-00'!B201</v>
      </c>
      <c r="D219" s="6" t="str">
        <f t="shared" ca="1" si="49"/>
        <v>LG-EAF-FMA-S115-11</v>
      </c>
      <c r="E219" t="str">
        <f t="shared" ca="1" si="52"/>
        <v>Family Type: 1560w x 2300h, Family: Window External Type 3 - Recessed and Angle</v>
      </c>
      <c r="F219" t="str">
        <f t="shared" ca="1" si="53"/>
        <v>Vector(X = 0.977, Y = 0.212, Z = 0.000, Length = 1.000)</v>
      </c>
      <c r="G219">
        <f t="shared" ca="1" si="54"/>
        <v>1</v>
      </c>
      <c r="H219">
        <f t="shared" ca="1" si="55"/>
        <v>0.2</v>
      </c>
      <c r="I219">
        <f t="shared" ca="1" si="56"/>
        <v>0</v>
      </c>
      <c r="J219" s="8">
        <f t="shared" ca="1" si="57"/>
        <v>11.309932474020215</v>
      </c>
      <c r="K219" s="9" t="str">
        <f t="shared" ca="1" si="58"/>
        <v>E</v>
      </c>
      <c r="L219">
        <f ca="1">+_xlfn.IFNA(VLOOKUP(M219,BespokeWindowsAreas!$A$1:$E$1999,1,FALSE),VLOOKUP(E219,WindowTypeArea!$B$2:$C$2000,2,FALSE))</f>
        <v>3.5880000000000001</v>
      </c>
      <c r="M219">
        <f t="shared" ca="1" si="59"/>
        <v>5565261</v>
      </c>
    </row>
    <row r="220" spans="1:16" x14ac:dyDescent="0.25">
      <c r="A220">
        <f t="shared" ca="1" si="50"/>
        <v>1</v>
      </c>
      <c r="B220">
        <f t="shared" ca="1" si="51"/>
        <v>203</v>
      </c>
      <c r="C220" t="str">
        <f t="shared" ca="1" si="60"/>
        <v>'WINDOWS-NCH-A-BDP-M3-LG-00'!B202</v>
      </c>
      <c r="D220" s="6" t="str">
        <f t="shared" ca="1" si="49"/>
        <v>LG-EAF-FMA-S115-11</v>
      </c>
      <c r="E220" t="str">
        <f t="shared" ca="1" si="52"/>
        <v>Family Type: 975w x 2300h, Family: Window External Type 1 - Recessed</v>
      </c>
      <c r="F220" t="str">
        <f t="shared" ca="1" si="53"/>
        <v>Vector(X = 0.977, Y = 0.212, Z = 0.000, Length = 1.000)</v>
      </c>
      <c r="G220">
        <f t="shared" ca="1" si="54"/>
        <v>1</v>
      </c>
      <c r="H220">
        <f t="shared" ca="1" si="55"/>
        <v>0.2</v>
      </c>
      <c r="I220">
        <f t="shared" ca="1" si="56"/>
        <v>0</v>
      </c>
      <c r="J220" s="8">
        <f t="shared" ca="1" si="57"/>
        <v>11.309932474020215</v>
      </c>
      <c r="K220" s="9" t="str">
        <f t="shared" ca="1" si="58"/>
        <v>E</v>
      </c>
      <c r="L220">
        <f ca="1">+_xlfn.IFNA(VLOOKUP(M220,BespokeWindowsAreas!$A$1:$E$1999,1,FALSE),VLOOKUP(E220,WindowTypeArea!$B$2:$C$2000,2,FALSE))</f>
        <v>2.2425000000000002</v>
      </c>
      <c r="M220">
        <f t="shared" ca="1" si="59"/>
        <v>5565613</v>
      </c>
    </row>
    <row r="221" spans="1:16" x14ac:dyDescent="0.25">
      <c r="A221">
        <f t="shared" ca="1" si="50"/>
        <v>1</v>
      </c>
      <c r="B221">
        <f t="shared" ca="1" si="51"/>
        <v>204</v>
      </c>
      <c r="C221" t="str">
        <f t="shared" ca="1" si="60"/>
        <v>'WINDOWS-NCH-A-BDP-M3-LG-00'!B203</v>
      </c>
      <c r="D221" s="6" t="str">
        <f t="shared" ca="1" si="49"/>
        <v>LG-EAF-MOR-U0865-01</v>
      </c>
      <c r="E221" t="str">
        <f t="shared" ca="1" si="52"/>
        <v>LG-EAF-MOR-U0865-01</v>
      </c>
      <c r="F221">
        <f t="shared" ca="1" si="53"/>
        <v>2076487</v>
      </c>
      <c r="G221">
        <f t="shared" ca="1" si="54"/>
        <v>0</v>
      </c>
      <c r="H221">
        <f t="shared" ca="1" si="55"/>
        <v>0</v>
      </c>
      <c r="I221">
        <f t="shared" ca="1" si="56"/>
        <v>0</v>
      </c>
      <c r="J221" s="8" t="e">
        <f t="shared" ca="1" si="57"/>
        <v>#DIV/0!</v>
      </c>
      <c r="K221" s="9" t="e">
        <f t="shared" ca="1" si="58"/>
        <v>#DIV/0!</v>
      </c>
      <c r="L221" t="e">
        <f ca="1">+_xlfn.IFNA(VLOOKUP(M221,BespokeWindowsAreas!$A$1:$E$1999,1,FALSE),VLOOKUP(E221,WindowTypeArea!$B$2:$C$2000,2,FALSE))</f>
        <v>#N/A</v>
      </c>
      <c r="M221">
        <f t="shared" ca="1" si="59"/>
        <v>0</v>
      </c>
    </row>
    <row r="222" spans="1:16" x14ac:dyDescent="0.25">
      <c r="A222">
        <f t="shared" ca="1" si="50"/>
        <v>1</v>
      </c>
      <c r="B222">
        <f t="shared" ca="1" si="51"/>
        <v>205</v>
      </c>
      <c r="C222" t="str">
        <f t="shared" ca="1" si="60"/>
        <v>'WINDOWS-NCH-A-BDP-M3-LG-00'!B204</v>
      </c>
      <c r="D222" s="6" t="str">
        <f t="shared" ca="1" si="49"/>
        <v>LG-EAF-MOR-U0865-01</v>
      </c>
      <c r="E222" t="str">
        <f t="shared" ca="1" si="52"/>
        <v>Family Type: 1500w x 3050h, Family: Window Internal Type 1 - Flush</v>
      </c>
      <c r="F222" t="str">
        <f t="shared" ca="1" si="53"/>
        <v>Vector(X = 0.212, Y = -0.977, Z = 0.000, Length = 1.000)</v>
      </c>
      <c r="G222">
        <f t="shared" ca="1" si="54"/>
        <v>0.2</v>
      </c>
      <c r="H222">
        <f t="shared" ca="1" si="55"/>
        <v>-1</v>
      </c>
      <c r="I222">
        <f t="shared" ca="1" si="56"/>
        <v>0</v>
      </c>
      <c r="J222" s="8">
        <f t="shared" ca="1" si="57"/>
        <v>-78.690067525979785</v>
      </c>
      <c r="K222" s="9" t="str">
        <f t="shared" ca="1" si="58"/>
        <v>S</v>
      </c>
      <c r="L222">
        <f ca="1">+_xlfn.IFNA(VLOOKUP(M222,BespokeWindowsAreas!$A$1:$E$1999,1,FALSE),VLOOKUP(E222,WindowTypeArea!$B$2:$C$2000,2,FALSE))</f>
        <v>4.5749999999999993</v>
      </c>
      <c r="M222">
        <f t="shared" ca="1" si="59"/>
        <v>6645376</v>
      </c>
    </row>
    <row r="223" spans="1:16" x14ac:dyDescent="0.25">
      <c r="A223">
        <f t="shared" ca="1" si="50"/>
        <v>1</v>
      </c>
      <c r="B223">
        <f t="shared" ca="1" si="51"/>
        <v>206</v>
      </c>
      <c r="C223" t="str">
        <f t="shared" ca="1" si="60"/>
        <v>'WINDOWS-NCH-A-BDP-M3-LG-00'!B205</v>
      </c>
      <c r="D223" s="6" t="str">
        <f t="shared" ca="1" si="49"/>
        <v>LG-OPD-REC-U0142-01</v>
      </c>
      <c r="E223" t="str">
        <f t="shared" ca="1" si="52"/>
        <v>LG-OPD-REC-U0142-01</v>
      </c>
      <c r="F223">
        <f t="shared" ca="1" si="53"/>
        <v>2076528</v>
      </c>
      <c r="G223">
        <f t="shared" ca="1" si="54"/>
        <v>0</v>
      </c>
      <c r="H223">
        <f t="shared" ca="1" si="55"/>
        <v>0</v>
      </c>
      <c r="I223">
        <f t="shared" ca="1" si="56"/>
        <v>0</v>
      </c>
      <c r="J223" s="8" t="e">
        <f t="shared" ca="1" si="57"/>
        <v>#DIV/0!</v>
      </c>
      <c r="K223" s="9" t="e">
        <f t="shared" ca="1" si="58"/>
        <v>#DIV/0!</v>
      </c>
      <c r="L223" t="e">
        <f ca="1">+_xlfn.IFNA(VLOOKUP(M223,BespokeWindowsAreas!$A$1:$E$1999,1,FALSE),VLOOKUP(E223,WindowTypeArea!$B$2:$C$2000,2,FALSE))</f>
        <v>#N/A</v>
      </c>
      <c r="M223">
        <f t="shared" ca="1" si="59"/>
        <v>0</v>
      </c>
    </row>
    <row r="224" spans="1:16" x14ac:dyDescent="0.25">
      <c r="A224">
        <f t="shared" ca="1" si="50"/>
        <v>1</v>
      </c>
      <c r="B224">
        <f t="shared" ca="1" si="51"/>
        <v>207</v>
      </c>
      <c r="C224" t="str">
        <f t="shared" ca="1" si="60"/>
        <v>'WINDOWS-NCH-A-BDP-M3-LG-00'!B206</v>
      </c>
      <c r="D224" s="6" t="str">
        <f t="shared" ca="1" si="49"/>
        <v>LG-OPD-REC-U0142-01</v>
      </c>
      <c r="E224" t="str">
        <f t="shared" ca="1" si="52"/>
        <v>Family Type: 975w x 2300h, Family: Window External Type 1 - Recessed</v>
      </c>
      <c r="F224" t="str">
        <f t="shared" ca="1" si="53"/>
        <v>Vector(X = 0.977, Y = 0.212, Z = 0.000, Length = 1.000)</v>
      </c>
      <c r="G224">
        <f t="shared" ca="1" si="54"/>
        <v>1</v>
      </c>
      <c r="H224">
        <f t="shared" ca="1" si="55"/>
        <v>0.2</v>
      </c>
      <c r="I224">
        <f t="shared" ca="1" si="56"/>
        <v>0</v>
      </c>
      <c r="J224" s="8">
        <f t="shared" ca="1" si="57"/>
        <v>11.309932474020215</v>
      </c>
      <c r="K224" s="9" t="str">
        <f t="shared" ca="1" si="58"/>
        <v>E</v>
      </c>
      <c r="L224">
        <f ca="1">+_xlfn.IFNA(VLOOKUP(M224,BespokeWindowsAreas!$A$1:$E$1999,1,FALSE),VLOOKUP(E224,WindowTypeArea!$B$2:$C$2000,2,FALSE))</f>
        <v>2.2425000000000002</v>
      </c>
      <c r="M224">
        <f t="shared" ca="1" si="59"/>
        <v>5565768</v>
      </c>
    </row>
    <row r="225" spans="1:16" x14ac:dyDescent="0.25">
      <c r="A225">
        <f t="shared" ca="1" si="50"/>
        <v>1</v>
      </c>
      <c r="B225">
        <f t="shared" ca="1" si="51"/>
        <v>208</v>
      </c>
      <c r="C225" t="str">
        <f t="shared" ca="1" si="60"/>
        <v>'WINDOWS-NCH-A-BDP-M3-LG-00'!B207</v>
      </c>
      <c r="D225" s="6" t="str">
        <f t="shared" ca="1" si="49"/>
        <v>LG-OPD-REC-U0142-01</v>
      </c>
      <c r="E225" t="str">
        <f t="shared" ca="1" si="52"/>
        <v>Family Type: 975w x 2300h, Family: Window External Type 1 - Recessed</v>
      </c>
      <c r="F225" t="str">
        <f t="shared" ca="1" si="53"/>
        <v>Vector(X = 0.977, Y = 0.212, Z = 0.000, Length = 1.000)</v>
      </c>
      <c r="G225">
        <f t="shared" ca="1" si="54"/>
        <v>1</v>
      </c>
      <c r="H225">
        <f t="shared" ca="1" si="55"/>
        <v>0.2</v>
      </c>
      <c r="I225">
        <f t="shared" ca="1" si="56"/>
        <v>0</v>
      </c>
      <c r="J225" s="8">
        <f t="shared" ca="1" si="57"/>
        <v>11.309932474020215</v>
      </c>
      <c r="K225" s="9" t="str">
        <f t="shared" ca="1" si="58"/>
        <v>E</v>
      </c>
      <c r="L225">
        <f ca="1">+_xlfn.IFNA(VLOOKUP(M225,BespokeWindowsAreas!$A$1:$E$1999,1,FALSE),VLOOKUP(E225,WindowTypeArea!$B$2:$C$2000,2,FALSE))</f>
        <v>2.2425000000000002</v>
      </c>
      <c r="M225">
        <f t="shared" ca="1" si="59"/>
        <v>5565856</v>
      </c>
      <c r="O225" s="20">
        <f>O224+22.5</f>
        <v>22.5</v>
      </c>
      <c r="P225" s="21" t="s">
        <v>729</v>
      </c>
    </row>
    <row r="226" spans="1:16" x14ac:dyDescent="0.25">
      <c r="A226">
        <f t="shared" ca="1" si="50"/>
        <v>1</v>
      </c>
      <c r="B226">
        <f t="shared" ca="1" si="51"/>
        <v>209</v>
      </c>
      <c r="C226" t="str">
        <f t="shared" ca="1" si="60"/>
        <v>'WINDOWS-NCH-A-BDP-M3-LG-00'!B208</v>
      </c>
      <c r="D226" s="6" t="str">
        <f t="shared" ca="1" si="49"/>
        <v>LG-OPD-RED-U0428-01</v>
      </c>
      <c r="E226" t="str">
        <f t="shared" ca="1" si="52"/>
        <v>LG-OPD-RED-U0428-01</v>
      </c>
      <c r="F226">
        <f t="shared" ca="1" si="53"/>
        <v>2076536</v>
      </c>
      <c r="G226">
        <f t="shared" ca="1" si="54"/>
        <v>0</v>
      </c>
      <c r="H226">
        <f t="shared" ca="1" si="55"/>
        <v>0</v>
      </c>
      <c r="I226">
        <f t="shared" ca="1" si="56"/>
        <v>0</v>
      </c>
      <c r="J226" s="8" t="e">
        <f t="shared" ca="1" si="57"/>
        <v>#DIV/0!</v>
      </c>
      <c r="K226" s="9" t="e">
        <f t="shared" ca="1" si="58"/>
        <v>#DIV/0!</v>
      </c>
      <c r="L226" t="e">
        <f ca="1">+_xlfn.IFNA(VLOOKUP(M226,BespokeWindowsAreas!$A$1:$E$1999,1,FALSE),VLOOKUP(E226,WindowTypeArea!$B$2:$C$2000,2,FALSE))</f>
        <v>#N/A</v>
      </c>
      <c r="M226">
        <f t="shared" ca="1" si="59"/>
        <v>0</v>
      </c>
      <c r="O226" s="20">
        <f>O225+22.5</f>
        <v>45</v>
      </c>
      <c r="P226" s="21" t="s">
        <v>729</v>
      </c>
    </row>
    <row r="227" spans="1:16" x14ac:dyDescent="0.25">
      <c r="A227">
        <f t="shared" ca="1" si="50"/>
        <v>1</v>
      </c>
      <c r="B227">
        <f t="shared" ca="1" si="51"/>
        <v>210</v>
      </c>
      <c r="C227" t="str">
        <f t="shared" ca="1" si="60"/>
        <v>'WINDOWS-NCH-A-BDP-M3-LG-00'!B209</v>
      </c>
      <c r="D227" s="6" t="str">
        <f t="shared" ca="1" si="49"/>
        <v>LG-OPD-RED-U0428-01</v>
      </c>
      <c r="E227" t="str">
        <f t="shared" ca="1" si="52"/>
        <v>Family Type: 1950w x 3050h, Family: Window External Type 3 - Recessed and Angle</v>
      </c>
      <c r="F227" t="str">
        <f t="shared" ca="1" si="53"/>
        <v>Vector(X = 0.212, Y = -0.977, Z = 0.000, Length = 1.000)</v>
      </c>
      <c r="G227">
        <f t="shared" ca="1" si="54"/>
        <v>0.2</v>
      </c>
      <c r="H227">
        <f t="shared" ca="1" si="55"/>
        <v>-1</v>
      </c>
      <c r="I227">
        <f t="shared" ca="1" si="56"/>
        <v>0</v>
      </c>
      <c r="J227" s="8">
        <f t="shared" ca="1" si="57"/>
        <v>-78.690067525979785</v>
      </c>
      <c r="K227" s="9" t="str">
        <f t="shared" ca="1" si="58"/>
        <v>S</v>
      </c>
      <c r="L227">
        <f ca="1">+_xlfn.IFNA(VLOOKUP(M227,BespokeWindowsAreas!$A$1:$E$1999,1,FALSE),VLOOKUP(E227,WindowTypeArea!$B$2:$C$2000,2,FALSE))</f>
        <v>5.9474999999999998</v>
      </c>
      <c r="M227">
        <f t="shared" ca="1" si="59"/>
        <v>4928951</v>
      </c>
      <c r="O227" s="20">
        <f>O226+22.5</f>
        <v>67.5</v>
      </c>
      <c r="P227" s="21" t="s">
        <v>722</v>
      </c>
    </row>
    <row r="228" spans="1:16" x14ac:dyDescent="0.25">
      <c r="A228">
        <f t="shared" ca="1" si="50"/>
        <v>1</v>
      </c>
      <c r="B228">
        <f t="shared" ca="1" si="51"/>
        <v>211</v>
      </c>
      <c r="C228" t="str">
        <f t="shared" ca="1" si="60"/>
        <v>'WINDOWS-NCH-A-BDP-M3-LG-00'!B210</v>
      </c>
      <c r="D228" s="6" t="str">
        <f t="shared" ca="1" si="49"/>
        <v>LG-OPD-RED-U0428-01</v>
      </c>
      <c r="E228" t="str">
        <f t="shared" ca="1" si="52"/>
        <v>Family Type: 1000w x 3050h, Family: Window External Type 2 - Recessed and Fin</v>
      </c>
      <c r="F228" t="str">
        <f t="shared" ca="1" si="53"/>
        <v>Vector(X = 0.212, Y = -0.977, Z = 0.000, Length = 1.000)</v>
      </c>
      <c r="G228">
        <f t="shared" ca="1" si="54"/>
        <v>0.2</v>
      </c>
      <c r="H228">
        <f t="shared" ca="1" si="55"/>
        <v>-1</v>
      </c>
      <c r="I228">
        <f t="shared" ca="1" si="56"/>
        <v>0</v>
      </c>
      <c r="J228" s="8">
        <f t="shared" ca="1" si="57"/>
        <v>-78.690067525979785</v>
      </c>
      <c r="K228" s="9" t="str">
        <f t="shared" ca="1" si="58"/>
        <v>S</v>
      </c>
      <c r="L228">
        <f ca="1">+_xlfn.IFNA(VLOOKUP(M228,BespokeWindowsAreas!$A$1:$E$1999,1,FALSE),VLOOKUP(E228,WindowTypeArea!$B$2:$C$2000,2,FALSE))</f>
        <v>3.05</v>
      </c>
      <c r="M228">
        <f t="shared" ca="1" si="59"/>
        <v>4928953</v>
      </c>
      <c r="O228" s="20">
        <f>O227+22.5</f>
        <v>90</v>
      </c>
      <c r="P228" s="21" t="s">
        <v>722</v>
      </c>
    </row>
    <row r="229" spans="1:16" x14ac:dyDescent="0.25">
      <c r="A229">
        <f t="shared" ca="1" si="50"/>
        <v>1</v>
      </c>
      <c r="B229">
        <f t="shared" ca="1" si="51"/>
        <v>212</v>
      </c>
      <c r="C229" t="str">
        <f t="shared" ca="1" si="60"/>
        <v>'WINDOWS-NCH-A-BDP-M3-LG-00'!B211</v>
      </c>
      <c r="D229" s="6" t="str">
        <f t="shared" ca="1" si="49"/>
        <v>LG-OPD-RED-L068-01</v>
      </c>
      <c r="E229" t="str">
        <f t="shared" ca="1" si="52"/>
        <v>LG-OPD-RED-L068-01</v>
      </c>
      <c r="F229">
        <f t="shared" ca="1" si="53"/>
        <v>2076537</v>
      </c>
      <c r="G229">
        <f t="shared" ca="1" si="54"/>
        <v>0</v>
      </c>
      <c r="H229">
        <f t="shared" ca="1" si="55"/>
        <v>0</v>
      </c>
      <c r="I229">
        <f t="shared" ca="1" si="56"/>
        <v>0</v>
      </c>
      <c r="J229" s="8" t="e">
        <f t="shared" ca="1" si="57"/>
        <v>#DIV/0!</v>
      </c>
      <c r="K229" s="9" t="e">
        <f t="shared" ca="1" si="58"/>
        <v>#DIV/0!</v>
      </c>
      <c r="L229" t="e">
        <f ca="1">+_xlfn.IFNA(VLOOKUP(M229,BespokeWindowsAreas!$A$1:$E$1999,1,FALSE),VLOOKUP(E229,WindowTypeArea!$B$2:$C$2000,2,FALSE))</f>
        <v>#N/A</v>
      </c>
      <c r="M229">
        <f t="shared" ca="1" si="59"/>
        <v>0</v>
      </c>
    </row>
    <row r="230" spans="1:16" x14ac:dyDescent="0.25">
      <c r="A230">
        <f t="shared" ca="1" si="50"/>
        <v>1</v>
      </c>
      <c r="B230">
        <f t="shared" ca="1" si="51"/>
        <v>213</v>
      </c>
      <c r="C230" t="str">
        <f t="shared" ca="1" si="60"/>
        <v>'WINDOWS-NCH-A-BDP-M3-LG-00'!B212</v>
      </c>
      <c r="D230" s="6" t="str">
        <f t="shared" ca="1" si="49"/>
        <v>LG-OPD-RED-L068-01</v>
      </c>
      <c r="E230" t="str">
        <f t="shared" ca="1" si="52"/>
        <v>Family Type: 1000w x 3050h, Family: Window External Type 2 - Recessed and Fin</v>
      </c>
      <c r="F230" t="str">
        <f t="shared" ca="1" si="53"/>
        <v>Vector(X = 0.212, Y = -0.977, Z = 0.000, Length = 1.000)</v>
      </c>
      <c r="G230">
        <f t="shared" ca="1" si="54"/>
        <v>0.2</v>
      </c>
      <c r="H230">
        <f t="shared" ca="1" si="55"/>
        <v>-1</v>
      </c>
      <c r="I230">
        <f t="shared" ca="1" si="56"/>
        <v>0</v>
      </c>
      <c r="J230" s="8">
        <f t="shared" ca="1" si="57"/>
        <v>-78.690067525979785</v>
      </c>
      <c r="K230" s="9" t="str">
        <f t="shared" ca="1" si="58"/>
        <v>S</v>
      </c>
      <c r="L230">
        <f ca="1">+_xlfn.IFNA(VLOOKUP(M230,BespokeWindowsAreas!$A$1:$E$1999,1,FALSE),VLOOKUP(E230,WindowTypeArea!$B$2:$C$2000,2,FALSE))</f>
        <v>3.05</v>
      </c>
      <c r="M230">
        <f t="shared" ca="1" si="59"/>
        <v>4928949</v>
      </c>
    </row>
    <row r="231" spans="1:16" x14ac:dyDescent="0.25">
      <c r="A231">
        <f t="shared" ca="1" si="50"/>
        <v>1</v>
      </c>
      <c r="B231">
        <f t="shared" ca="1" si="51"/>
        <v>214</v>
      </c>
      <c r="C231" t="str">
        <f t="shared" ca="1" si="60"/>
        <v>'WINDOWS-NCH-A-BDP-M3-LG-00'!B213</v>
      </c>
      <c r="D231" s="6" t="str">
        <f t="shared" ca="1" si="49"/>
        <v>LG-OPD-RED-U0430-01</v>
      </c>
      <c r="E231" t="str">
        <f t="shared" ca="1" si="52"/>
        <v>LG-OPD-RED-U0430-01</v>
      </c>
      <c r="F231">
        <f t="shared" ca="1" si="53"/>
        <v>2076538</v>
      </c>
      <c r="G231">
        <f t="shared" ca="1" si="54"/>
        <v>0</v>
      </c>
      <c r="H231">
        <f t="shared" ca="1" si="55"/>
        <v>0</v>
      </c>
      <c r="I231">
        <f t="shared" ca="1" si="56"/>
        <v>0</v>
      </c>
      <c r="J231" s="8" t="e">
        <f t="shared" ca="1" si="57"/>
        <v>#DIV/0!</v>
      </c>
      <c r="K231" s="9" t="e">
        <f t="shared" ca="1" si="58"/>
        <v>#DIV/0!</v>
      </c>
      <c r="L231" t="e">
        <f ca="1">+_xlfn.IFNA(VLOOKUP(M231,BespokeWindowsAreas!$A$1:$E$1999,1,FALSE),VLOOKUP(E231,WindowTypeArea!$B$2:$C$2000,2,FALSE))</f>
        <v>#N/A</v>
      </c>
      <c r="M231">
        <f t="shared" ca="1" si="59"/>
        <v>0</v>
      </c>
    </row>
    <row r="232" spans="1:16" x14ac:dyDescent="0.25">
      <c r="A232">
        <f t="shared" ca="1" si="50"/>
        <v>1</v>
      </c>
      <c r="B232">
        <f t="shared" ca="1" si="51"/>
        <v>215</v>
      </c>
      <c r="C232" t="str">
        <f t="shared" ca="1" si="60"/>
        <v>'WINDOWS-NCH-A-BDP-M3-LG-00'!B214</v>
      </c>
      <c r="D232" s="6" t="str">
        <f t="shared" ca="1" si="49"/>
        <v>LG-OPD-RED-U0430-01</v>
      </c>
      <c r="E232" t="str">
        <f t="shared" ca="1" si="52"/>
        <v>Family Type: 1950w x 3050h, Family: Window External Type 3 - Recessed and Angle</v>
      </c>
      <c r="F232" t="str">
        <f t="shared" ca="1" si="53"/>
        <v>Vector(X = 0.212, Y = -0.977, Z = 0.000, Length = 1.000)</v>
      </c>
      <c r="G232">
        <f t="shared" ca="1" si="54"/>
        <v>0.2</v>
      </c>
      <c r="H232">
        <f t="shared" ca="1" si="55"/>
        <v>-1</v>
      </c>
      <c r="I232">
        <f t="shared" ca="1" si="56"/>
        <v>0</v>
      </c>
      <c r="J232" s="8">
        <f t="shared" ca="1" si="57"/>
        <v>-78.690067525979785</v>
      </c>
      <c r="K232" s="9" t="str">
        <f t="shared" ca="1" si="58"/>
        <v>S</v>
      </c>
      <c r="L232">
        <f ca="1">+_xlfn.IFNA(VLOOKUP(M232,BespokeWindowsAreas!$A$1:$E$1999,1,FALSE),VLOOKUP(E232,WindowTypeArea!$B$2:$C$2000,2,FALSE))</f>
        <v>5.9474999999999998</v>
      </c>
      <c r="M232">
        <f t="shared" ca="1" si="59"/>
        <v>4928950</v>
      </c>
      <c r="O232" s="20">
        <v>0</v>
      </c>
      <c r="P232" s="21" t="s">
        <v>726</v>
      </c>
    </row>
    <row r="233" spans="1:16" x14ac:dyDescent="0.25">
      <c r="A233">
        <f t="shared" ca="1" si="50"/>
        <v>1</v>
      </c>
      <c r="B233">
        <f t="shared" ca="1" si="51"/>
        <v>216</v>
      </c>
      <c r="C233" t="str">
        <f t="shared" ca="1" si="60"/>
        <v>'WINDOWS-NCH-A-BDP-M3-LG-00'!B215</v>
      </c>
      <c r="D233" s="6" t="str">
        <f t="shared" ca="1" si="49"/>
        <v>LG-OPD-RED-L068-02</v>
      </c>
      <c r="E233" t="str">
        <f t="shared" ca="1" si="52"/>
        <v>LG-OPD-RED-L068-02</v>
      </c>
      <c r="F233">
        <f t="shared" ca="1" si="53"/>
        <v>2076548</v>
      </c>
      <c r="G233">
        <f t="shared" ca="1" si="54"/>
        <v>0</v>
      </c>
      <c r="H233">
        <f t="shared" ca="1" si="55"/>
        <v>0</v>
      </c>
      <c r="I233">
        <f t="shared" ca="1" si="56"/>
        <v>0</v>
      </c>
      <c r="J233" s="8" t="e">
        <f t="shared" ca="1" si="57"/>
        <v>#DIV/0!</v>
      </c>
      <c r="K233" s="9" t="e">
        <f t="shared" ca="1" si="58"/>
        <v>#DIV/0!</v>
      </c>
      <c r="L233" t="e">
        <f ca="1">+_xlfn.IFNA(VLOOKUP(M233,BespokeWindowsAreas!$A$1:$E$1999,1,FALSE),VLOOKUP(E233,WindowTypeArea!$B$2:$C$2000,2,FALSE))</f>
        <v>#N/A</v>
      </c>
      <c r="M233">
        <f t="shared" ca="1" si="59"/>
        <v>0</v>
      </c>
      <c r="O233" s="20">
        <f>O232+22.5</f>
        <v>22.5</v>
      </c>
      <c r="P233" s="21" t="s">
        <v>727</v>
      </c>
    </row>
    <row r="234" spans="1:16" x14ac:dyDescent="0.25">
      <c r="A234">
        <f t="shared" ca="1" si="50"/>
        <v>1</v>
      </c>
      <c r="B234">
        <f t="shared" ca="1" si="51"/>
        <v>217</v>
      </c>
      <c r="C234" t="str">
        <f t="shared" ca="1" si="60"/>
        <v>'WINDOWS-NCH-A-BDP-M3-LG-00'!B216</v>
      </c>
      <c r="D234" s="6" t="str">
        <f t="shared" ca="1" si="49"/>
        <v>LG-OPD-RED-L068-02</v>
      </c>
      <c r="E234" t="str">
        <f t="shared" ca="1" si="52"/>
        <v>Family Type: 1000w x 3050h, Family: Window External Type 2 - Recessed and Fin</v>
      </c>
      <c r="F234" t="str">
        <f t="shared" ca="1" si="53"/>
        <v>Vector(X = 0.212, Y = -0.977, Z = 0.000, Length = 1.000)</v>
      </c>
      <c r="G234">
        <f t="shared" ca="1" si="54"/>
        <v>0.2</v>
      </c>
      <c r="H234">
        <f t="shared" ca="1" si="55"/>
        <v>-1</v>
      </c>
      <c r="I234">
        <f t="shared" ca="1" si="56"/>
        <v>0</v>
      </c>
      <c r="J234" s="8">
        <f t="shared" ca="1" si="57"/>
        <v>-78.690067525979785</v>
      </c>
      <c r="K234" s="9" t="str">
        <f t="shared" ca="1" si="58"/>
        <v>S</v>
      </c>
      <c r="L234">
        <f ca="1">+_xlfn.IFNA(VLOOKUP(M234,BespokeWindowsAreas!$A$1:$E$1999,1,FALSE),VLOOKUP(E234,WindowTypeArea!$B$2:$C$2000,2,FALSE))</f>
        <v>3.05</v>
      </c>
      <c r="M234">
        <f t="shared" ca="1" si="59"/>
        <v>4928952</v>
      </c>
      <c r="O234" s="20">
        <f>O233+22.5</f>
        <v>45</v>
      </c>
      <c r="P234" s="21" t="s">
        <v>727</v>
      </c>
    </row>
    <row r="235" spans="1:16" x14ac:dyDescent="0.25">
      <c r="A235">
        <f t="shared" ca="1" si="50"/>
        <v>1</v>
      </c>
      <c r="B235">
        <f t="shared" ca="1" si="51"/>
        <v>218</v>
      </c>
      <c r="C235" t="str">
        <f t="shared" ca="1" si="60"/>
        <v>'WINDOWS-NCH-A-BDP-M3-LG-00'!B217</v>
      </c>
      <c r="D235" s="6" t="str">
        <f t="shared" ca="1" si="49"/>
        <v>LG-EAF-SFK-U0904-01</v>
      </c>
      <c r="E235" t="str">
        <f t="shared" ca="1" si="52"/>
        <v>LG-EAF-SFK-U0904-01</v>
      </c>
      <c r="F235">
        <f t="shared" ca="1" si="53"/>
        <v>2076552</v>
      </c>
      <c r="G235">
        <f t="shared" ca="1" si="54"/>
        <v>0</v>
      </c>
      <c r="H235">
        <f t="shared" ca="1" si="55"/>
        <v>0</v>
      </c>
      <c r="I235">
        <f t="shared" ca="1" si="56"/>
        <v>0</v>
      </c>
      <c r="J235" s="8" t="e">
        <f t="shared" ca="1" si="57"/>
        <v>#DIV/0!</v>
      </c>
      <c r="K235" s="9" t="e">
        <f t="shared" ca="1" si="58"/>
        <v>#DIV/0!</v>
      </c>
      <c r="L235" t="e">
        <f ca="1">+_xlfn.IFNA(VLOOKUP(M235,BespokeWindowsAreas!$A$1:$E$1999,1,FALSE),VLOOKUP(E235,WindowTypeArea!$B$2:$C$2000,2,FALSE))</f>
        <v>#N/A</v>
      </c>
      <c r="M235">
        <f t="shared" ca="1" si="59"/>
        <v>0</v>
      </c>
    </row>
    <row r="236" spans="1:16" x14ac:dyDescent="0.25">
      <c r="A236">
        <f t="shared" ca="1" si="50"/>
        <v>1</v>
      </c>
      <c r="B236">
        <f t="shared" ca="1" si="51"/>
        <v>219</v>
      </c>
      <c r="C236" t="str">
        <f t="shared" ca="1" si="60"/>
        <v>'WINDOWS-NCH-A-BDP-M3-LG-00'!B218</v>
      </c>
      <c r="D236" s="6" t="str">
        <f t="shared" ca="1" si="49"/>
        <v>LG-EAF-SFK-U0904-01</v>
      </c>
      <c r="E236" t="str">
        <f t="shared" ca="1" si="52"/>
        <v>Family Type: 975w x 2300h, Family: Window External Type 1 - Recessed</v>
      </c>
      <c r="F236" t="str">
        <f t="shared" ca="1" si="53"/>
        <v>Vector(X = 0.977, Y = 0.212, Z = 0.000, Length = 1.000)</v>
      </c>
      <c r="G236">
        <f t="shared" ca="1" si="54"/>
        <v>1</v>
      </c>
      <c r="H236">
        <f t="shared" ca="1" si="55"/>
        <v>0.2</v>
      </c>
      <c r="I236">
        <f t="shared" ca="1" si="56"/>
        <v>0</v>
      </c>
      <c r="J236" s="8">
        <f t="shared" ca="1" si="57"/>
        <v>11.309932474020215</v>
      </c>
      <c r="K236" s="9" t="str">
        <f t="shared" ca="1" si="58"/>
        <v>E</v>
      </c>
      <c r="L236">
        <f ca="1">+_xlfn.IFNA(VLOOKUP(M236,BespokeWindowsAreas!$A$1:$E$1999,1,FALSE),VLOOKUP(E236,WindowTypeArea!$B$2:$C$2000,2,FALSE))</f>
        <v>2.2425000000000002</v>
      </c>
      <c r="M236">
        <f t="shared" ca="1" si="59"/>
        <v>5257101</v>
      </c>
    </row>
    <row r="237" spans="1:16" x14ac:dyDescent="0.25">
      <c r="A237">
        <f t="shared" ca="1" si="50"/>
        <v>1</v>
      </c>
      <c r="B237">
        <f t="shared" ca="1" si="51"/>
        <v>220</v>
      </c>
      <c r="C237" t="str">
        <f t="shared" ca="1" si="60"/>
        <v>'WINDOWS-NCH-A-BDP-M3-LG-00'!B219</v>
      </c>
      <c r="D237" s="6" t="str">
        <f t="shared" ca="1" si="49"/>
        <v>LG-EAF-SFK-U0904-01</v>
      </c>
      <c r="E237" t="str">
        <f t="shared" ca="1" si="52"/>
        <v>Family Type: 975w x 2300h, Family: Window External Type 1 - Recessed</v>
      </c>
      <c r="F237" t="str">
        <f t="shared" ca="1" si="53"/>
        <v>Vector(X = 0.977, Y = 0.212, Z = 0.000, Length = 1.000)</v>
      </c>
      <c r="G237">
        <f t="shared" ca="1" si="54"/>
        <v>1</v>
      </c>
      <c r="H237">
        <f t="shared" ca="1" si="55"/>
        <v>0.2</v>
      </c>
      <c r="I237">
        <f t="shared" ca="1" si="56"/>
        <v>0</v>
      </c>
      <c r="J237" s="8">
        <f t="shared" ca="1" si="57"/>
        <v>11.309932474020215</v>
      </c>
      <c r="K237" s="9" t="str">
        <f t="shared" ca="1" si="58"/>
        <v>E</v>
      </c>
      <c r="L237">
        <f ca="1">+_xlfn.IFNA(VLOOKUP(M237,BespokeWindowsAreas!$A$1:$E$1999,1,FALSE),VLOOKUP(E237,WindowTypeArea!$B$2:$C$2000,2,FALSE))</f>
        <v>2.2425000000000002</v>
      </c>
      <c r="M237">
        <f t="shared" ca="1" si="59"/>
        <v>5565114</v>
      </c>
    </row>
    <row r="238" spans="1:16" x14ac:dyDescent="0.25">
      <c r="A238">
        <f t="shared" ca="1" si="50"/>
        <v>1</v>
      </c>
      <c r="B238">
        <f t="shared" ca="1" si="51"/>
        <v>221</v>
      </c>
      <c r="C238" t="str">
        <f t="shared" ca="1" si="60"/>
        <v>'WINDOWS-NCH-A-BDP-M3-LG-00'!B220</v>
      </c>
      <c r="D238" s="6" t="str">
        <f t="shared" ca="1" si="49"/>
        <v>LG-EAF-SFK-U0905-01</v>
      </c>
      <c r="E238" t="str">
        <f t="shared" ca="1" si="52"/>
        <v>LG-EAF-SFK-U0905-01</v>
      </c>
      <c r="F238">
        <f t="shared" ca="1" si="53"/>
        <v>2076553</v>
      </c>
      <c r="G238">
        <f t="shared" ca="1" si="54"/>
        <v>0</v>
      </c>
      <c r="H238">
        <f t="shared" ca="1" si="55"/>
        <v>0</v>
      </c>
      <c r="I238">
        <f t="shared" ca="1" si="56"/>
        <v>0</v>
      </c>
      <c r="J238" s="8" t="e">
        <f t="shared" ca="1" si="57"/>
        <v>#DIV/0!</v>
      </c>
      <c r="K238" s="9" t="e">
        <f t="shared" ca="1" si="58"/>
        <v>#DIV/0!</v>
      </c>
      <c r="L238" t="e">
        <f ca="1">+_xlfn.IFNA(VLOOKUP(M238,BespokeWindowsAreas!$A$1:$E$1999,1,FALSE),VLOOKUP(E238,WindowTypeArea!$B$2:$C$2000,2,FALSE))</f>
        <v>#N/A</v>
      </c>
      <c r="M238">
        <f t="shared" ca="1" si="59"/>
        <v>0</v>
      </c>
    </row>
    <row r="239" spans="1:16" x14ac:dyDescent="0.25">
      <c r="A239">
        <f t="shared" ca="1" si="50"/>
        <v>1</v>
      </c>
      <c r="B239">
        <f t="shared" ca="1" si="51"/>
        <v>222</v>
      </c>
      <c r="C239" t="str">
        <f t="shared" ca="1" si="60"/>
        <v>'WINDOWS-NCH-A-BDP-M3-LG-00'!B221</v>
      </c>
      <c r="D239" s="6" t="str">
        <f t="shared" ca="1" si="49"/>
        <v>LG-EAF-SFK-U0905-01</v>
      </c>
      <c r="E239" t="str">
        <f t="shared" ca="1" si="52"/>
        <v>Family Type: 975w x 2300h, Family: Window External Type 1 - Recessed</v>
      </c>
      <c r="F239" t="str">
        <f t="shared" ca="1" si="53"/>
        <v>Vector(X = 0.977, Y = 0.212, Z = 0.000, Length = 1.000)</v>
      </c>
      <c r="G239">
        <f t="shared" ca="1" si="54"/>
        <v>1</v>
      </c>
      <c r="H239">
        <f t="shared" ca="1" si="55"/>
        <v>0.2</v>
      </c>
      <c r="I239">
        <f t="shared" ca="1" si="56"/>
        <v>0</v>
      </c>
      <c r="J239" s="8">
        <f t="shared" ca="1" si="57"/>
        <v>11.309932474020215</v>
      </c>
      <c r="K239" s="9" t="str">
        <f t="shared" ca="1" si="58"/>
        <v>E</v>
      </c>
      <c r="L239">
        <f ca="1">+_xlfn.IFNA(VLOOKUP(M239,BespokeWindowsAreas!$A$1:$E$1999,1,FALSE),VLOOKUP(E239,WindowTypeArea!$B$2:$C$2000,2,FALSE))</f>
        <v>2.2425000000000002</v>
      </c>
      <c r="M239">
        <f t="shared" ca="1" si="59"/>
        <v>5257191</v>
      </c>
    </row>
    <row r="240" spans="1:16" x14ac:dyDescent="0.25">
      <c r="A240">
        <f t="shared" ca="1" si="50"/>
        <v>1</v>
      </c>
      <c r="B240">
        <f t="shared" ca="1" si="51"/>
        <v>223</v>
      </c>
      <c r="C240" t="str">
        <f t="shared" ca="1" si="60"/>
        <v>'WINDOWS-NCH-A-BDP-M3-LG-00'!B222</v>
      </c>
      <c r="D240" s="6" t="str">
        <f t="shared" ca="1" si="49"/>
        <v>LG-EAF-SFK-U0905-01</v>
      </c>
      <c r="E240" t="str">
        <f t="shared" ca="1" si="52"/>
        <v>Family Type: 975w x 2300h, Family: Window External Type 1 - Recessed</v>
      </c>
      <c r="F240" t="str">
        <f t="shared" ca="1" si="53"/>
        <v>Vector(X = 0.977, Y = 0.212, Z = 0.000, Length = 1.000)</v>
      </c>
      <c r="G240">
        <f t="shared" ca="1" si="54"/>
        <v>1</v>
      </c>
      <c r="H240">
        <f t="shared" ca="1" si="55"/>
        <v>0.2</v>
      </c>
      <c r="I240">
        <f t="shared" ca="1" si="56"/>
        <v>0</v>
      </c>
      <c r="J240" s="8">
        <f t="shared" ca="1" si="57"/>
        <v>11.309932474020215</v>
      </c>
      <c r="K240" s="9" t="str">
        <f t="shared" ca="1" si="58"/>
        <v>E</v>
      </c>
      <c r="L240">
        <f ca="1">+_xlfn.IFNA(VLOOKUP(M240,BespokeWindowsAreas!$A$1:$E$1999,1,FALSE),VLOOKUP(E240,WindowTypeArea!$B$2:$C$2000,2,FALSE))</f>
        <v>2.2425000000000002</v>
      </c>
      <c r="M240">
        <f t="shared" ca="1" si="59"/>
        <v>5257236</v>
      </c>
    </row>
    <row r="241" spans="1:13" x14ac:dyDescent="0.25">
      <c r="A241">
        <f t="shared" ca="1" si="50"/>
        <v>1</v>
      </c>
      <c r="B241">
        <f t="shared" ca="1" si="51"/>
        <v>224</v>
      </c>
      <c r="C241" t="str">
        <f t="shared" ca="1" si="60"/>
        <v>'WINDOWS-NCH-A-BDP-M3-LG-00'!B223</v>
      </c>
      <c r="D241" s="6" t="str">
        <f t="shared" ca="1" si="49"/>
        <v>LG-EAF-SFK-S139-01</v>
      </c>
      <c r="E241" t="str">
        <f t="shared" ca="1" si="52"/>
        <v>LG-EAF-SFK-S139-01</v>
      </c>
      <c r="F241">
        <f t="shared" ca="1" si="53"/>
        <v>2076554</v>
      </c>
      <c r="G241">
        <f t="shared" ca="1" si="54"/>
        <v>0</v>
      </c>
      <c r="H241">
        <f t="shared" ca="1" si="55"/>
        <v>0</v>
      </c>
      <c r="I241">
        <f t="shared" ca="1" si="56"/>
        <v>0</v>
      </c>
      <c r="J241" s="8" t="e">
        <f t="shared" ca="1" si="57"/>
        <v>#DIV/0!</v>
      </c>
      <c r="K241" s="9" t="e">
        <f t="shared" ca="1" si="58"/>
        <v>#DIV/0!</v>
      </c>
      <c r="L241" t="e">
        <f ca="1">+_xlfn.IFNA(VLOOKUP(M241,BespokeWindowsAreas!$A$1:$E$1999,1,FALSE),VLOOKUP(E241,WindowTypeArea!$B$2:$C$2000,2,FALSE))</f>
        <v>#N/A</v>
      </c>
      <c r="M241">
        <f t="shared" ca="1" si="59"/>
        <v>0</v>
      </c>
    </row>
    <row r="242" spans="1:13" x14ac:dyDescent="0.25">
      <c r="A242">
        <f t="shared" ca="1" si="50"/>
        <v>1</v>
      </c>
      <c r="B242">
        <f t="shared" ca="1" si="51"/>
        <v>225</v>
      </c>
      <c r="C242" t="str">
        <f t="shared" ca="1" si="60"/>
        <v>'WINDOWS-NCH-A-BDP-M3-LG-00'!B224</v>
      </c>
      <c r="D242" s="6" t="str">
        <f t="shared" ca="1" si="49"/>
        <v>LG-EAF-SFK-S139-01</v>
      </c>
      <c r="E242" t="str">
        <f t="shared" ca="1" si="52"/>
        <v>Family Type: 975w x 2300h, Family: Window External Type 1 - Recessed</v>
      </c>
      <c r="F242" t="str">
        <f t="shared" ca="1" si="53"/>
        <v>Vector(X = 0.977, Y = 0.212, Z = 0.000, Length = 1.000)</v>
      </c>
      <c r="G242">
        <f t="shared" ca="1" si="54"/>
        <v>1</v>
      </c>
      <c r="H242">
        <f t="shared" ca="1" si="55"/>
        <v>0.2</v>
      </c>
      <c r="I242">
        <f t="shared" ca="1" si="56"/>
        <v>0</v>
      </c>
      <c r="J242" s="8">
        <f t="shared" ca="1" si="57"/>
        <v>11.309932474020215</v>
      </c>
      <c r="K242" s="9" t="str">
        <f t="shared" ca="1" si="58"/>
        <v>E</v>
      </c>
      <c r="L242">
        <f ca="1">+_xlfn.IFNA(VLOOKUP(M242,BespokeWindowsAreas!$A$1:$E$1999,1,FALSE),VLOOKUP(E242,WindowTypeArea!$B$2:$C$2000,2,FALSE))</f>
        <v>2.2425000000000002</v>
      </c>
      <c r="M242">
        <f t="shared" ca="1" si="59"/>
        <v>5565134</v>
      </c>
    </row>
    <row r="243" spans="1:13" x14ac:dyDescent="0.25">
      <c r="A243">
        <f t="shared" ca="1" si="50"/>
        <v>1</v>
      </c>
      <c r="B243">
        <f t="shared" ca="1" si="51"/>
        <v>226</v>
      </c>
      <c r="C243" t="str">
        <f t="shared" ca="1" si="60"/>
        <v>'WINDOWS-NCH-A-BDP-M3-LG-00'!B225</v>
      </c>
      <c r="D243" s="6" t="str">
        <f t="shared" ca="1" si="49"/>
        <v>LG-EAF-SFK-S062-01</v>
      </c>
      <c r="E243" t="str">
        <f t="shared" ca="1" si="52"/>
        <v>LG-EAF-SFK-S062-01</v>
      </c>
      <c r="F243">
        <f t="shared" ca="1" si="53"/>
        <v>2076558</v>
      </c>
      <c r="G243">
        <f t="shared" ca="1" si="54"/>
        <v>0</v>
      </c>
      <c r="H243">
        <f t="shared" ca="1" si="55"/>
        <v>0</v>
      </c>
      <c r="I243">
        <f t="shared" ca="1" si="56"/>
        <v>0</v>
      </c>
      <c r="J243" s="8" t="e">
        <f t="shared" ca="1" si="57"/>
        <v>#DIV/0!</v>
      </c>
      <c r="K243" s="9" t="e">
        <f t="shared" ca="1" si="58"/>
        <v>#DIV/0!</v>
      </c>
      <c r="L243" t="e">
        <f ca="1">+_xlfn.IFNA(VLOOKUP(M243,BespokeWindowsAreas!$A$1:$E$1999,1,FALSE),VLOOKUP(E243,WindowTypeArea!$B$2:$C$2000,2,FALSE))</f>
        <v>#N/A</v>
      </c>
      <c r="M243">
        <f t="shared" ca="1" si="59"/>
        <v>0</v>
      </c>
    </row>
    <row r="244" spans="1:13" x14ac:dyDescent="0.25">
      <c r="A244">
        <f t="shared" ca="1" si="50"/>
        <v>1</v>
      </c>
      <c r="B244">
        <f t="shared" ca="1" si="51"/>
        <v>227</v>
      </c>
      <c r="C244" t="str">
        <f t="shared" ca="1" si="60"/>
        <v>'WINDOWS-NCH-A-BDP-M3-LG-00'!B226</v>
      </c>
      <c r="D244" s="6" t="str">
        <f t="shared" ca="1" si="49"/>
        <v>LG-EAF-SFK-S062-01</v>
      </c>
      <c r="E244" t="str">
        <f t="shared" ca="1" si="52"/>
        <v>Family Type: 1950w x 2300h, Family: Window External Type 1 - Recessed</v>
      </c>
      <c r="F244" t="str">
        <f t="shared" ca="1" si="53"/>
        <v>Vector(X = 0.977, Y = 0.212, Z = 0.000, Length = 1.000)</v>
      </c>
      <c r="G244">
        <f t="shared" ca="1" si="54"/>
        <v>1</v>
      </c>
      <c r="H244">
        <f t="shared" ca="1" si="55"/>
        <v>0.2</v>
      </c>
      <c r="I244">
        <f t="shared" ca="1" si="56"/>
        <v>0</v>
      </c>
      <c r="J244" s="8">
        <f t="shared" ca="1" si="57"/>
        <v>11.309932474020215</v>
      </c>
      <c r="K244" s="9" t="str">
        <f t="shared" ca="1" si="58"/>
        <v>E</v>
      </c>
      <c r="L244">
        <f ca="1">+_xlfn.IFNA(VLOOKUP(M244,BespokeWindowsAreas!$A$1:$E$1999,1,FALSE),VLOOKUP(E244,WindowTypeArea!$B$2:$C$2000,2,FALSE))</f>
        <v>4.4850000000000003</v>
      </c>
      <c r="M244">
        <f t="shared" ca="1" si="59"/>
        <v>5256497</v>
      </c>
    </row>
    <row r="245" spans="1:13" x14ac:dyDescent="0.25">
      <c r="A245">
        <f t="shared" ca="1" si="50"/>
        <v>1</v>
      </c>
      <c r="B245">
        <f t="shared" ca="1" si="51"/>
        <v>228</v>
      </c>
      <c r="C245" t="str">
        <f t="shared" ca="1" si="60"/>
        <v>'WINDOWS-NCH-A-BDP-M3-LG-00'!B227</v>
      </c>
      <c r="D245" s="6" t="str">
        <f t="shared" ca="1" si="49"/>
        <v>LG-EAF-SFK-S062-01</v>
      </c>
      <c r="E245" t="str">
        <f t="shared" ca="1" si="52"/>
        <v>Family Type: 1950w x 2300h, Family: Window External Type 1 - Recessed</v>
      </c>
      <c r="F245" t="str">
        <f t="shared" ca="1" si="53"/>
        <v>Vector(X = 0.977, Y = 0.212, Z = 0.000, Length = 1.000)</v>
      </c>
      <c r="G245">
        <f t="shared" ca="1" si="54"/>
        <v>1</v>
      </c>
      <c r="H245">
        <f t="shared" ca="1" si="55"/>
        <v>0.2</v>
      </c>
      <c r="I245">
        <f t="shared" ca="1" si="56"/>
        <v>0</v>
      </c>
      <c r="J245" s="8">
        <f t="shared" ca="1" si="57"/>
        <v>11.309932474020215</v>
      </c>
      <c r="K245" s="9" t="str">
        <f t="shared" ca="1" si="58"/>
        <v>E</v>
      </c>
      <c r="L245">
        <f ca="1">+_xlfn.IFNA(VLOOKUP(M245,BespokeWindowsAreas!$A$1:$E$1999,1,FALSE),VLOOKUP(E245,WindowTypeArea!$B$2:$C$2000,2,FALSE))</f>
        <v>4.4850000000000003</v>
      </c>
      <c r="M245">
        <f t="shared" ca="1" si="59"/>
        <v>5256558</v>
      </c>
    </row>
    <row r="246" spans="1:13" x14ac:dyDescent="0.25">
      <c r="A246">
        <f t="shared" ca="1" si="50"/>
        <v>1</v>
      </c>
      <c r="B246">
        <f t="shared" ca="1" si="51"/>
        <v>229</v>
      </c>
      <c r="C246" t="str">
        <f t="shared" ca="1" si="60"/>
        <v>'WINDOWS-NCH-A-BDP-M3-LG-00'!B228</v>
      </c>
      <c r="D246" s="6" t="str">
        <f t="shared" ca="1" si="49"/>
        <v>LG-CST-CEL-C002-01</v>
      </c>
      <c r="E246" t="str">
        <f t="shared" ca="1" si="52"/>
        <v>LG-CST-CEL-C002-01</v>
      </c>
      <c r="F246">
        <f t="shared" ca="1" si="53"/>
        <v>2133822</v>
      </c>
      <c r="G246">
        <f t="shared" ca="1" si="54"/>
        <v>0</v>
      </c>
      <c r="H246">
        <f t="shared" ca="1" si="55"/>
        <v>0</v>
      </c>
      <c r="I246">
        <f t="shared" ca="1" si="56"/>
        <v>0</v>
      </c>
      <c r="J246" s="8" t="e">
        <f t="shared" ca="1" si="57"/>
        <v>#DIV/0!</v>
      </c>
      <c r="K246" s="9" t="e">
        <f t="shared" ca="1" si="58"/>
        <v>#DIV/0!</v>
      </c>
      <c r="L246" t="e">
        <f ca="1">+_xlfn.IFNA(VLOOKUP(M246,BespokeWindowsAreas!$A$1:$E$1999,1,FALSE),VLOOKUP(E246,WindowTypeArea!$B$2:$C$2000,2,FALSE))</f>
        <v>#N/A</v>
      </c>
      <c r="M246">
        <f t="shared" ca="1" si="59"/>
        <v>0</v>
      </c>
    </row>
    <row r="247" spans="1:13" x14ac:dyDescent="0.25">
      <c r="A247">
        <f t="shared" ca="1" si="50"/>
        <v>1</v>
      </c>
      <c r="B247">
        <f t="shared" ca="1" si="51"/>
        <v>230</v>
      </c>
      <c r="C247" t="str">
        <f t="shared" ca="1" si="60"/>
        <v>'WINDOWS-NCH-A-BDP-M3-LG-00'!B229</v>
      </c>
      <c r="D247" s="6" t="str">
        <f t="shared" ca="1" si="49"/>
        <v>LG-CST-CEL-C002-01</v>
      </c>
      <c r="E247" t="str">
        <f t="shared" ca="1" si="52"/>
        <v>Family Type: 975w x 2300h, Family: Window External Type 1 - Recessed</v>
      </c>
      <c r="F247" t="str">
        <f t="shared" ca="1" si="53"/>
        <v>Vector(X = 0.977, Y = 0.212, Z = 0.000, Length = 1.000)</v>
      </c>
      <c r="G247">
        <f t="shared" ca="1" si="54"/>
        <v>1</v>
      </c>
      <c r="H247">
        <f t="shared" ca="1" si="55"/>
        <v>0.2</v>
      </c>
      <c r="I247">
        <f t="shared" ca="1" si="56"/>
        <v>0</v>
      </c>
      <c r="J247" s="8">
        <f t="shared" ca="1" si="57"/>
        <v>11.309932474020215</v>
      </c>
      <c r="K247" s="9" t="str">
        <f t="shared" ca="1" si="58"/>
        <v>E</v>
      </c>
      <c r="L247">
        <f ca="1">+_xlfn.IFNA(VLOOKUP(M247,BespokeWindowsAreas!$A$1:$E$1999,1,FALSE),VLOOKUP(E247,WindowTypeArea!$B$2:$C$2000,2,FALSE))</f>
        <v>2.2425000000000002</v>
      </c>
      <c r="M247">
        <f t="shared" ca="1" si="59"/>
        <v>5570601</v>
      </c>
    </row>
    <row r="248" spans="1:13" x14ac:dyDescent="0.25">
      <c r="A248">
        <f t="shared" ca="1" si="50"/>
        <v>1</v>
      </c>
      <c r="B248">
        <f t="shared" ca="1" si="51"/>
        <v>231</v>
      </c>
      <c r="C248" t="str">
        <f t="shared" ca="1" si="60"/>
        <v>'WINDOWS-NCH-A-BDP-M3-LG-00'!B230</v>
      </c>
      <c r="D248" s="6" t="str">
        <f t="shared" ca="1" si="49"/>
        <v>LG-CST-CEL-C002-01</v>
      </c>
      <c r="E248" t="str">
        <f t="shared" ca="1" si="52"/>
        <v>Family Type: 1950w x 3050h, Family: Window Internal Type 1 - Flush</v>
      </c>
      <c r="F248" t="str">
        <f t="shared" ca="1" si="53"/>
        <v>Vector(X = 0.212, Y = -0.977, Z = 0.000, Length = 1.000)</v>
      </c>
      <c r="G248">
        <f t="shared" ca="1" si="54"/>
        <v>0.2</v>
      </c>
      <c r="H248">
        <f t="shared" ca="1" si="55"/>
        <v>-1</v>
      </c>
      <c r="I248">
        <f t="shared" ca="1" si="56"/>
        <v>0</v>
      </c>
      <c r="J248" s="8">
        <f t="shared" ca="1" si="57"/>
        <v>-78.690067525979785</v>
      </c>
      <c r="K248" s="9" t="str">
        <f t="shared" ca="1" si="58"/>
        <v>S</v>
      </c>
      <c r="L248">
        <f ca="1">+_xlfn.IFNA(VLOOKUP(M248,BespokeWindowsAreas!$A$1:$E$1999,1,FALSE),VLOOKUP(E248,WindowTypeArea!$B$2:$C$2000,2,FALSE))</f>
        <v>5.9474999999999998</v>
      </c>
      <c r="M248">
        <f t="shared" ca="1" si="59"/>
        <v>6319383</v>
      </c>
    </row>
    <row r="249" spans="1:13" x14ac:dyDescent="0.25">
      <c r="A249">
        <f t="shared" ca="1" si="50"/>
        <v>1</v>
      </c>
      <c r="B249">
        <f t="shared" ca="1" si="51"/>
        <v>232</v>
      </c>
      <c r="C249" t="str">
        <f t="shared" ca="1" si="60"/>
        <v>'WINDOWS-NCH-A-BDP-M3-LG-00'!B231</v>
      </c>
      <c r="D249" s="6" t="str">
        <f t="shared" ca="1" si="49"/>
        <v>LG-CST-CEL-C002-01</v>
      </c>
      <c r="E249" t="str">
        <f t="shared" ca="1" si="52"/>
        <v>Family Type: 650w x 3050h, Family: Window Internal Type 1 - Flush</v>
      </c>
      <c r="F249" t="str">
        <f t="shared" ca="1" si="53"/>
        <v>Vector(X = 0.212, Y = -0.977, Z = 0.000, Length = 1.000)</v>
      </c>
      <c r="G249">
        <f t="shared" ca="1" si="54"/>
        <v>0.2</v>
      </c>
      <c r="H249">
        <f t="shared" ca="1" si="55"/>
        <v>-1</v>
      </c>
      <c r="I249">
        <f t="shared" ca="1" si="56"/>
        <v>0</v>
      </c>
      <c r="J249" s="8">
        <f t="shared" ca="1" si="57"/>
        <v>-78.690067525979785</v>
      </c>
      <c r="K249" s="9" t="str">
        <f t="shared" ca="1" si="58"/>
        <v>S</v>
      </c>
      <c r="L249">
        <f ca="1">+_xlfn.IFNA(VLOOKUP(M249,BespokeWindowsAreas!$A$1:$E$1999,1,FALSE),VLOOKUP(E249,WindowTypeArea!$B$2:$C$2000,2,FALSE))</f>
        <v>1.9824999999999999</v>
      </c>
      <c r="M249">
        <f t="shared" ca="1" si="59"/>
        <v>6319652</v>
      </c>
    </row>
    <row r="250" spans="1:13" x14ac:dyDescent="0.25">
      <c r="A250">
        <f t="shared" ca="1" si="50"/>
        <v>1</v>
      </c>
      <c r="B250">
        <f t="shared" ca="1" si="51"/>
        <v>233</v>
      </c>
      <c r="C250" t="str">
        <f t="shared" ca="1" si="60"/>
        <v>'WINDOWS-NCH-A-BDP-M3-LG-00'!B232</v>
      </c>
      <c r="D250" s="6" t="str">
        <f t="shared" ca="1" si="49"/>
        <v>LG-CST-CEL-C002-01</v>
      </c>
      <c r="E250" t="str">
        <f t="shared" ca="1" si="52"/>
        <v>Family Type: 650w x 3050h, Family: Window Internal Type 1 - Flush</v>
      </c>
      <c r="F250" t="str">
        <f t="shared" ca="1" si="53"/>
        <v>Vector(X = 0.212, Y = -0.977, Z = 0.000, Length = 1.000)</v>
      </c>
      <c r="G250">
        <f t="shared" ca="1" si="54"/>
        <v>0.2</v>
      </c>
      <c r="H250">
        <f t="shared" ca="1" si="55"/>
        <v>-1</v>
      </c>
      <c r="I250">
        <f t="shared" ca="1" si="56"/>
        <v>0</v>
      </c>
      <c r="J250" s="8">
        <f t="shared" ca="1" si="57"/>
        <v>-78.690067525979785</v>
      </c>
      <c r="K250" s="9" t="str">
        <f t="shared" ca="1" si="58"/>
        <v>S</v>
      </c>
      <c r="L250">
        <f ca="1">+_xlfn.IFNA(VLOOKUP(M250,BespokeWindowsAreas!$A$1:$E$1999,1,FALSE),VLOOKUP(E250,WindowTypeArea!$B$2:$C$2000,2,FALSE))</f>
        <v>1.9824999999999999</v>
      </c>
      <c r="M250">
        <f t="shared" ca="1" si="59"/>
        <v>6319811</v>
      </c>
    </row>
    <row r="251" spans="1:13" x14ac:dyDescent="0.25">
      <c r="A251">
        <f t="shared" ca="1" si="50"/>
        <v>1</v>
      </c>
      <c r="B251">
        <f t="shared" ca="1" si="51"/>
        <v>234</v>
      </c>
      <c r="C251" t="str">
        <f t="shared" ca="1" si="60"/>
        <v>'WINDOWS-NCH-A-BDP-M3-LG-00'!B233</v>
      </c>
      <c r="D251" s="6" t="str">
        <f t="shared" ca="1" si="49"/>
        <v>LG-EAF-MOR-S115-01</v>
      </c>
      <c r="E251" t="str">
        <f t="shared" ca="1" si="52"/>
        <v>LG-EAF-MOR-S115-01</v>
      </c>
      <c r="F251">
        <f t="shared" ca="1" si="53"/>
        <v>2139536</v>
      </c>
      <c r="G251">
        <f t="shared" ca="1" si="54"/>
        <v>0</v>
      </c>
      <c r="H251">
        <f t="shared" ca="1" si="55"/>
        <v>0</v>
      </c>
      <c r="I251">
        <f t="shared" ca="1" si="56"/>
        <v>0</v>
      </c>
      <c r="J251" s="8" t="e">
        <f t="shared" ca="1" si="57"/>
        <v>#DIV/0!</v>
      </c>
      <c r="K251" s="9" t="e">
        <f t="shared" ca="1" si="58"/>
        <v>#DIV/0!</v>
      </c>
      <c r="L251" t="e">
        <f ca="1">+_xlfn.IFNA(VLOOKUP(M251,BespokeWindowsAreas!$A$1:$E$1999,1,FALSE),VLOOKUP(E251,WindowTypeArea!$B$2:$C$2000,2,FALSE))</f>
        <v>#N/A</v>
      </c>
      <c r="M251">
        <f t="shared" ca="1" si="59"/>
        <v>0</v>
      </c>
    </row>
    <row r="252" spans="1:13" x14ac:dyDescent="0.25">
      <c r="A252">
        <f t="shared" ca="1" si="50"/>
        <v>1</v>
      </c>
      <c r="B252">
        <f t="shared" ca="1" si="51"/>
        <v>235</v>
      </c>
      <c r="C252" t="str">
        <f t="shared" ca="1" si="60"/>
        <v>'WINDOWS-NCH-A-BDP-M3-LG-00'!B234</v>
      </c>
      <c r="D252" s="6" t="str">
        <f t="shared" ca="1" si="49"/>
        <v>LG-EAF-MOR-S115-01</v>
      </c>
      <c r="E252" t="str">
        <f t="shared" ca="1" si="52"/>
        <v>Family Type: 1950w x 3050h, Family: Window Internal Type 1 - Flush</v>
      </c>
      <c r="F252" t="str">
        <f t="shared" ca="1" si="53"/>
        <v>Vector(X = -0.977, Y = -0.212, Z = 0.000, Length = 1.000)</v>
      </c>
      <c r="G252">
        <f t="shared" ca="1" si="54"/>
        <v>-1</v>
      </c>
      <c r="H252">
        <f t="shared" ca="1" si="55"/>
        <v>-0.2</v>
      </c>
      <c r="I252">
        <f t="shared" ca="1" si="56"/>
        <v>0</v>
      </c>
      <c r="J252" s="8">
        <f t="shared" ca="1" si="57"/>
        <v>-168.69006752597977</v>
      </c>
      <c r="K252" s="9" t="str">
        <f t="shared" ca="1" si="58"/>
        <v>W</v>
      </c>
      <c r="L252">
        <f ca="1">+_xlfn.IFNA(VLOOKUP(M252,BespokeWindowsAreas!$A$1:$E$1999,1,FALSE),VLOOKUP(E252,WindowTypeArea!$B$2:$C$2000,2,FALSE))</f>
        <v>5.9474999999999998</v>
      </c>
      <c r="M252">
        <f t="shared" ca="1" si="59"/>
        <v>6644841</v>
      </c>
    </row>
    <row r="253" spans="1:13" x14ac:dyDescent="0.25">
      <c r="A253">
        <f t="shared" ca="1" si="50"/>
        <v>1</v>
      </c>
      <c r="B253">
        <f t="shared" ca="1" si="51"/>
        <v>236</v>
      </c>
      <c r="C253" t="str">
        <f t="shared" ca="1" si="60"/>
        <v>'WINDOWS-NCH-A-BDP-M3-LG-00'!B235</v>
      </c>
      <c r="D253" s="6" t="str">
        <f t="shared" ca="1" si="49"/>
        <v>LG-EAF-MOR-S115-01</v>
      </c>
      <c r="E253" t="str">
        <f t="shared" ca="1" si="52"/>
        <v>Family Type: 650w x 3050h, Family: Window Internal Type 1 - Flush</v>
      </c>
      <c r="F253" t="str">
        <f t="shared" ca="1" si="53"/>
        <v>Vector(X = 0.212, Y = -0.977, Z = 0.000, Length = 1.000)</v>
      </c>
      <c r="G253">
        <f t="shared" ca="1" si="54"/>
        <v>0.2</v>
      </c>
      <c r="H253">
        <f t="shared" ca="1" si="55"/>
        <v>-1</v>
      </c>
      <c r="I253">
        <f t="shared" ca="1" si="56"/>
        <v>0</v>
      </c>
      <c r="J253" s="8">
        <f t="shared" ca="1" si="57"/>
        <v>-78.690067525979785</v>
      </c>
      <c r="K253" s="9" t="str">
        <f t="shared" ca="1" si="58"/>
        <v>S</v>
      </c>
      <c r="L253">
        <f ca="1">+_xlfn.IFNA(VLOOKUP(M253,BespokeWindowsAreas!$A$1:$E$1999,1,FALSE),VLOOKUP(E253,WindowTypeArea!$B$2:$C$2000,2,FALSE))</f>
        <v>1.9824999999999999</v>
      </c>
      <c r="M253">
        <f t="shared" ca="1" si="59"/>
        <v>6645412</v>
      </c>
    </row>
    <row r="254" spans="1:13" x14ac:dyDescent="0.25">
      <c r="A254">
        <f t="shared" ca="1" si="50"/>
        <v>1</v>
      </c>
      <c r="B254">
        <f t="shared" ca="1" si="51"/>
        <v>237</v>
      </c>
      <c r="C254" t="str">
        <f t="shared" ca="1" si="60"/>
        <v>'WINDOWS-NCH-A-BDP-M3-LG-00'!B236</v>
      </c>
      <c r="D254" s="6" t="str">
        <f t="shared" ca="1" si="49"/>
        <v>LG-OPD-AUD-L039-09</v>
      </c>
      <c r="E254" t="str">
        <f t="shared" ca="1" si="52"/>
        <v>LG-OPD-AUD-L039-09</v>
      </c>
      <c r="F254">
        <f t="shared" ca="1" si="53"/>
        <v>2201531</v>
      </c>
      <c r="G254">
        <f t="shared" ca="1" si="54"/>
        <v>0</v>
      </c>
      <c r="H254">
        <f t="shared" ca="1" si="55"/>
        <v>0</v>
      </c>
      <c r="I254">
        <f t="shared" ca="1" si="56"/>
        <v>0</v>
      </c>
      <c r="J254" s="8" t="e">
        <f t="shared" ca="1" si="57"/>
        <v>#DIV/0!</v>
      </c>
      <c r="K254" s="9" t="e">
        <f t="shared" ca="1" si="58"/>
        <v>#DIV/0!</v>
      </c>
      <c r="L254" t="e">
        <f ca="1">+_xlfn.IFNA(VLOOKUP(M254,BespokeWindowsAreas!$A$1:$E$1999,1,FALSE),VLOOKUP(E254,WindowTypeArea!$B$2:$C$2000,2,FALSE))</f>
        <v>#N/A</v>
      </c>
      <c r="M254">
        <f t="shared" ca="1" si="59"/>
        <v>0</v>
      </c>
    </row>
    <row r="255" spans="1:13" x14ac:dyDescent="0.25">
      <c r="A255">
        <f t="shared" ca="1" si="50"/>
        <v>1</v>
      </c>
      <c r="B255">
        <f t="shared" ca="1" si="51"/>
        <v>238</v>
      </c>
      <c r="C255" t="str">
        <f t="shared" ca="1" si="60"/>
        <v>'WINDOWS-NCH-A-BDP-M3-LG-00'!B237</v>
      </c>
      <c r="D255" s="6" t="str">
        <f t="shared" ca="1" si="49"/>
        <v>LG-OPD-AUD-L039-09</v>
      </c>
      <c r="E255" t="str">
        <f t="shared" ca="1" si="52"/>
        <v>Family Type: 1950w x 3050h, Family: Window External Type 3 - Recessed and Angle</v>
      </c>
      <c r="F255" t="str">
        <f t="shared" ca="1" si="53"/>
        <v>Vector(X = -0.530, Y = 0.848, Z = 0.000, Length = 1.000)</v>
      </c>
      <c r="G255">
        <f t="shared" ca="1" si="54"/>
        <v>-0.5</v>
      </c>
      <c r="H255">
        <f t="shared" ca="1" si="55"/>
        <v>0.8</v>
      </c>
      <c r="I255">
        <f t="shared" ca="1" si="56"/>
        <v>0</v>
      </c>
      <c r="J255" s="8">
        <f t="shared" ca="1" si="57"/>
        <v>122.0053832080835</v>
      </c>
      <c r="K255" s="9" t="str">
        <f t="shared" ca="1" si="58"/>
        <v>N</v>
      </c>
      <c r="L255">
        <f ca="1">+_xlfn.IFNA(VLOOKUP(M255,BespokeWindowsAreas!$A$1:$E$1999,1,FALSE),VLOOKUP(E255,WindowTypeArea!$B$2:$C$2000,2,FALSE))</f>
        <v>5.9474999999999998</v>
      </c>
      <c r="M255">
        <f t="shared" ca="1" si="59"/>
        <v>6091418</v>
      </c>
    </row>
    <row r="256" spans="1:13" x14ac:dyDescent="0.25">
      <c r="A256">
        <f t="shared" ca="1" si="50"/>
        <v>1</v>
      </c>
      <c r="B256">
        <f t="shared" ca="1" si="51"/>
        <v>239</v>
      </c>
      <c r="C256" t="str">
        <f t="shared" ca="1" si="60"/>
        <v>'WINDOWS-NCH-A-BDP-M3-LG-00'!B238</v>
      </c>
      <c r="D256" s="6" t="str">
        <f t="shared" ca="1" si="49"/>
        <v>LG-OPD-AUD-L039-10</v>
      </c>
      <c r="E256" t="str">
        <f t="shared" ca="1" si="52"/>
        <v>LG-OPD-AUD-L039-10</v>
      </c>
      <c r="F256">
        <f t="shared" ca="1" si="53"/>
        <v>2201533</v>
      </c>
      <c r="G256">
        <f t="shared" ca="1" si="54"/>
        <v>0</v>
      </c>
      <c r="H256">
        <f t="shared" ca="1" si="55"/>
        <v>0</v>
      </c>
      <c r="I256">
        <f t="shared" ca="1" si="56"/>
        <v>0</v>
      </c>
      <c r="J256" s="8" t="e">
        <f t="shared" ca="1" si="57"/>
        <v>#DIV/0!</v>
      </c>
      <c r="K256" s="9" t="e">
        <f t="shared" ca="1" si="58"/>
        <v>#DIV/0!</v>
      </c>
      <c r="L256" t="e">
        <f ca="1">+_xlfn.IFNA(VLOOKUP(M256,BespokeWindowsAreas!$A$1:$E$1999,1,FALSE),VLOOKUP(E256,WindowTypeArea!$B$2:$C$2000,2,FALSE))</f>
        <v>#N/A</v>
      </c>
      <c r="M256">
        <f t="shared" ca="1" si="59"/>
        <v>0</v>
      </c>
    </row>
    <row r="257" spans="1:13" x14ac:dyDescent="0.25">
      <c r="A257">
        <f t="shared" ca="1" si="50"/>
        <v>1</v>
      </c>
      <c r="B257">
        <f t="shared" ca="1" si="51"/>
        <v>240</v>
      </c>
      <c r="C257" t="str">
        <f t="shared" ca="1" si="60"/>
        <v>'WINDOWS-NCH-A-BDP-M3-LG-00'!B239</v>
      </c>
      <c r="D257" s="6" t="str">
        <f t="shared" ca="1" si="49"/>
        <v>LG-OPD-AUD-L039-10</v>
      </c>
      <c r="E257" t="str">
        <f t="shared" ca="1" si="52"/>
        <v>Family Type: manual 1.5m2</v>
      </c>
      <c r="F257" t="str">
        <f t="shared" ca="1" si="53"/>
        <v>Vector(X = -0.530, Y = 0.848, Z = 0.000, Length = 1.000)</v>
      </c>
      <c r="G257">
        <f t="shared" ca="1" si="54"/>
        <v>-0.5</v>
      </c>
      <c r="H257">
        <f t="shared" ca="1" si="55"/>
        <v>0.8</v>
      </c>
      <c r="I257">
        <f t="shared" ca="1" si="56"/>
        <v>0</v>
      </c>
      <c r="J257" s="8">
        <f t="shared" ca="1" si="57"/>
        <v>122.0053832080835</v>
      </c>
      <c r="K257" s="9" t="str">
        <f t="shared" ca="1" si="58"/>
        <v>N</v>
      </c>
      <c r="L257">
        <f ca="1">+_xlfn.IFNA(VLOOKUP(M257,BespokeWindowsAreas!$A$1:$E$1999,1,FALSE),VLOOKUP(E257,WindowTypeArea!$B$2:$C$2000,2,FALSE))</f>
        <v>1.5</v>
      </c>
      <c r="M257">
        <f t="shared" ca="1" si="59"/>
        <v>6091414</v>
      </c>
    </row>
    <row r="258" spans="1:13" x14ac:dyDescent="0.25">
      <c r="A258">
        <f t="shared" ca="1" si="50"/>
        <v>1</v>
      </c>
      <c r="B258">
        <f t="shared" ca="1" si="51"/>
        <v>241</v>
      </c>
      <c r="C258" t="str">
        <f t="shared" ca="1" si="60"/>
        <v>'WINDOWS-NCH-A-BDP-M3-LG-00'!B240</v>
      </c>
      <c r="D258" s="6" t="str">
        <f t="shared" ca="1" si="49"/>
        <v>LG-OPD-AUD-L039-10</v>
      </c>
      <c r="E258" t="str">
        <f t="shared" ca="1" si="52"/>
        <v>Family Type: 1000w x 3050h, Family: Window External Type 2 - Recessed and Fin</v>
      </c>
      <c r="F258" t="str">
        <f t="shared" ca="1" si="53"/>
        <v>Vector(X = -0.530, Y = 0.848, Z = 0.000, Length = 1.000)</v>
      </c>
      <c r="G258">
        <f t="shared" ca="1" si="54"/>
        <v>-0.5</v>
      </c>
      <c r="H258">
        <f t="shared" ca="1" si="55"/>
        <v>0.8</v>
      </c>
      <c r="I258">
        <f t="shared" ca="1" si="56"/>
        <v>0</v>
      </c>
      <c r="J258" s="8">
        <f t="shared" ca="1" si="57"/>
        <v>122.0053832080835</v>
      </c>
      <c r="K258" s="9" t="str">
        <f t="shared" ca="1" si="58"/>
        <v>N</v>
      </c>
      <c r="L258">
        <f ca="1">+_xlfn.IFNA(VLOOKUP(M258,BespokeWindowsAreas!$A$1:$E$1999,1,FALSE),VLOOKUP(E258,WindowTypeArea!$B$2:$C$2000,2,FALSE))</f>
        <v>3.05</v>
      </c>
      <c r="M258">
        <f t="shared" ca="1" si="59"/>
        <v>6091444</v>
      </c>
    </row>
    <row r="259" spans="1:13" x14ac:dyDescent="0.25">
      <c r="A259">
        <f t="shared" ca="1" si="50"/>
        <v>1</v>
      </c>
      <c r="B259">
        <f t="shared" ca="1" si="51"/>
        <v>242</v>
      </c>
      <c r="C259" t="str">
        <f t="shared" ca="1" si="60"/>
        <v>'WINDOWS-NCH-A-BDP-M3-LG-00'!B241</v>
      </c>
      <c r="D259" s="6" t="str">
        <f t="shared" ca="1" si="49"/>
        <v>LG-OPD-AUD-L039-10</v>
      </c>
      <c r="E259" t="str">
        <f t="shared" ca="1" si="52"/>
        <v>Family Type: 975w x 3600h, CURTAIN WALL-manual input</v>
      </c>
      <c r="F259" t="str">
        <f t="shared" ca="1" si="53"/>
        <v>Vector(X = -0.992, Y = -0.128, Z = 0.000, Length = 1.000)</v>
      </c>
      <c r="G259">
        <f t="shared" ca="1" si="54"/>
        <v>-0.5</v>
      </c>
      <c r="H259">
        <f t="shared" ca="1" si="55"/>
        <v>0.8</v>
      </c>
      <c r="I259">
        <f t="shared" ca="1" si="56"/>
        <v>0</v>
      </c>
      <c r="J259" s="8">
        <f t="shared" ca="1" si="57"/>
        <v>122.0053832080835</v>
      </c>
      <c r="K259" s="9" t="str">
        <f t="shared" ca="1" si="58"/>
        <v>N</v>
      </c>
      <c r="L259">
        <f ca="1">+_xlfn.IFNA(VLOOKUP(M259,BespokeWindowsAreas!$A$1:$E$1999,1,FALSE),VLOOKUP(E259,WindowTypeArea!$B$2:$C$2000,2,FALSE))</f>
        <v>3.51</v>
      </c>
      <c r="M259" t="str">
        <f t="shared" ca="1" si="59"/>
        <v xml:space="preserve">ID </v>
      </c>
    </row>
    <row r="260" spans="1:13" x14ac:dyDescent="0.25">
      <c r="A260">
        <f t="shared" ca="1" si="50"/>
        <v>1</v>
      </c>
      <c r="B260">
        <f t="shared" ca="1" si="51"/>
        <v>243</v>
      </c>
      <c r="C260" t="str">
        <f t="shared" ca="1" si="60"/>
        <v>'WINDOWS-NCH-A-BDP-M3-LG-00'!B242</v>
      </c>
      <c r="D260" s="6" t="str">
        <f t="shared" ca="1" si="49"/>
        <v>LG-OPD-AUD-S123-09</v>
      </c>
      <c r="E260" t="str">
        <f t="shared" ca="1" si="52"/>
        <v>LG-OPD-AUD-S123-09</v>
      </c>
      <c r="F260">
        <f t="shared" ca="1" si="53"/>
        <v>2201535</v>
      </c>
      <c r="G260">
        <f t="shared" ca="1" si="54"/>
        <v>0</v>
      </c>
      <c r="H260">
        <f t="shared" ca="1" si="55"/>
        <v>0</v>
      </c>
      <c r="I260">
        <f t="shared" ca="1" si="56"/>
        <v>0</v>
      </c>
      <c r="J260" s="8" t="e">
        <f t="shared" ca="1" si="57"/>
        <v>#DIV/0!</v>
      </c>
      <c r="K260" s="9" t="e">
        <f t="shared" ca="1" si="58"/>
        <v>#DIV/0!</v>
      </c>
      <c r="L260" t="e">
        <f ca="1">+_xlfn.IFNA(VLOOKUP(M260,BespokeWindowsAreas!$A$1:$E$1999,1,FALSE),VLOOKUP(E260,WindowTypeArea!$B$2:$C$2000,2,FALSE))</f>
        <v>#N/A</v>
      </c>
      <c r="M260">
        <f t="shared" ca="1" si="59"/>
        <v>0</v>
      </c>
    </row>
    <row r="261" spans="1:13" x14ac:dyDescent="0.25">
      <c r="A261">
        <f t="shared" ca="1" si="50"/>
        <v>1</v>
      </c>
      <c r="B261">
        <f t="shared" ca="1" si="51"/>
        <v>244</v>
      </c>
      <c r="C261" t="str">
        <f t="shared" ca="1" si="60"/>
        <v>'WINDOWS-NCH-A-BDP-M3-LG-00'!B243</v>
      </c>
      <c r="D261" s="6" t="str">
        <f t="shared" ca="1" si="49"/>
        <v>LG-OPD-AUD-S123-09</v>
      </c>
      <c r="E261" t="str">
        <f t="shared" ca="1" si="52"/>
        <v>Family Type: 1000w x 3050h, Family: Window External Type 2 - Recessed and Fin</v>
      </c>
      <c r="F261" t="str">
        <f t="shared" ca="1" si="53"/>
        <v>Vector(X = -0.530, Y = 0.848, Z = 0.000, Length = 1.000)</v>
      </c>
      <c r="G261">
        <f t="shared" ca="1" si="54"/>
        <v>-0.5</v>
      </c>
      <c r="H261">
        <f t="shared" ca="1" si="55"/>
        <v>0.8</v>
      </c>
      <c r="I261">
        <f t="shared" ca="1" si="56"/>
        <v>0</v>
      </c>
      <c r="J261" s="8">
        <f t="shared" ca="1" si="57"/>
        <v>122.0053832080835</v>
      </c>
      <c r="K261" s="9" t="str">
        <f t="shared" ca="1" si="58"/>
        <v>N</v>
      </c>
      <c r="L261">
        <f ca="1">+_xlfn.IFNA(VLOOKUP(M261,BespokeWindowsAreas!$A$1:$E$1999,1,FALSE),VLOOKUP(E261,WindowTypeArea!$B$2:$C$2000,2,FALSE))</f>
        <v>3.05</v>
      </c>
      <c r="M261">
        <f t="shared" ca="1" si="59"/>
        <v>6091421</v>
      </c>
    </row>
    <row r="262" spans="1:13" x14ac:dyDescent="0.25">
      <c r="A262">
        <f t="shared" ca="1" si="50"/>
        <v>1</v>
      </c>
      <c r="B262">
        <f t="shared" ca="1" si="51"/>
        <v>245</v>
      </c>
      <c r="C262" t="str">
        <f t="shared" ca="1" si="60"/>
        <v>'WINDOWS-NCH-A-BDP-M3-LG-00'!B244</v>
      </c>
      <c r="D262" s="6" t="str">
        <f t="shared" ref="D262:D325" ca="1" si="61">+IF(IFERROR(FIND("Family",E262)&gt;0,FALSE),D261,E262)</f>
        <v>LG-OPD-CC1-S139-02</v>
      </c>
      <c r="E262" t="str">
        <f t="shared" ca="1" si="52"/>
        <v>LG-OPD-CC1-S139-02</v>
      </c>
      <c r="F262">
        <f t="shared" ca="1" si="53"/>
        <v>2201537</v>
      </c>
      <c r="G262">
        <f t="shared" ca="1" si="54"/>
        <v>0</v>
      </c>
      <c r="H262">
        <f t="shared" ca="1" si="55"/>
        <v>0</v>
      </c>
      <c r="I262">
        <f t="shared" ca="1" si="56"/>
        <v>0</v>
      </c>
      <c r="J262" s="8" t="e">
        <f t="shared" ca="1" si="57"/>
        <v>#DIV/0!</v>
      </c>
      <c r="K262" s="9" t="e">
        <f t="shared" ca="1" si="58"/>
        <v>#DIV/0!</v>
      </c>
      <c r="L262" t="e">
        <f ca="1">+_xlfn.IFNA(VLOOKUP(M262,BespokeWindowsAreas!$A$1:$E$1999,1,FALSE),VLOOKUP(E262,WindowTypeArea!$B$2:$C$2000,2,FALSE))</f>
        <v>#N/A</v>
      </c>
      <c r="M262">
        <f t="shared" ca="1" si="59"/>
        <v>0</v>
      </c>
    </row>
    <row r="263" spans="1:13" x14ac:dyDescent="0.25">
      <c r="A263">
        <f t="shared" ca="1" si="50"/>
        <v>1</v>
      </c>
      <c r="B263">
        <f t="shared" ca="1" si="51"/>
        <v>246</v>
      </c>
      <c r="C263" t="str">
        <f t="shared" ca="1" si="60"/>
        <v>'WINDOWS-NCH-A-BDP-M3-LG-00'!B245</v>
      </c>
      <c r="D263" s="6" t="str">
        <f t="shared" ca="1" si="61"/>
        <v>LG-OPD-CC1-S139-02</v>
      </c>
      <c r="E263" t="str">
        <f t="shared" ca="1" si="52"/>
        <v>Family Type: 1000w x 3050h, Family: Window External Type 4 - Extruded</v>
      </c>
      <c r="F263" t="str">
        <f t="shared" ca="1" si="53"/>
        <v>Vector(X = 0.212, Y = -0.977, Z = 0.000, Length = 1.000)</v>
      </c>
      <c r="G263">
        <f t="shared" ca="1" si="54"/>
        <v>0.2</v>
      </c>
      <c r="H263">
        <f t="shared" ca="1" si="55"/>
        <v>-1</v>
      </c>
      <c r="I263">
        <f t="shared" ca="1" si="56"/>
        <v>0</v>
      </c>
      <c r="J263" s="8">
        <f t="shared" ca="1" si="57"/>
        <v>-78.690067525979785</v>
      </c>
      <c r="K263" s="9" t="str">
        <f t="shared" ca="1" si="58"/>
        <v>S</v>
      </c>
      <c r="L263">
        <f ca="1">+_xlfn.IFNA(VLOOKUP(M263,BespokeWindowsAreas!$A$1:$E$1999,1,FALSE),VLOOKUP(E263,WindowTypeArea!$B$2:$C$2000,2,FALSE))</f>
        <v>3.05</v>
      </c>
      <c r="M263">
        <f t="shared" ca="1" si="59"/>
        <v>4865752</v>
      </c>
    </row>
    <row r="264" spans="1:13" x14ac:dyDescent="0.25">
      <c r="A264">
        <f t="shared" ca="1" si="50"/>
        <v>1</v>
      </c>
      <c r="B264">
        <f t="shared" ca="1" si="51"/>
        <v>247</v>
      </c>
      <c r="C264" t="str">
        <f t="shared" ca="1" si="60"/>
        <v>'WINDOWS-NCH-A-BDP-M3-LG-00'!B246</v>
      </c>
      <c r="D264" s="6" t="str">
        <f t="shared" ca="1" si="61"/>
        <v>LG-OPD-CC2-S090-01</v>
      </c>
      <c r="E264" t="str">
        <f t="shared" ca="1" si="52"/>
        <v>LG-OPD-CC2-S090-01</v>
      </c>
      <c r="F264">
        <f t="shared" ca="1" si="53"/>
        <v>2201539</v>
      </c>
      <c r="G264">
        <f t="shared" ca="1" si="54"/>
        <v>0</v>
      </c>
      <c r="H264">
        <f t="shared" ca="1" si="55"/>
        <v>0</v>
      </c>
      <c r="I264">
        <f t="shared" ca="1" si="56"/>
        <v>0</v>
      </c>
      <c r="J264" s="8" t="e">
        <f t="shared" ca="1" si="57"/>
        <v>#DIV/0!</v>
      </c>
      <c r="K264" s="9" t="e">
        <f t="shared" ca="1" si="58"/>
        <v>#DIV/0!</v>
      </c>
      <c r="L264" t="e">
        <f ca="1">+_xlfn.IFNA(VLOOKUP(M264,BespokeWindowsAreas!$A$1:$E$1999,1,FALSE),VLOOKUP(E264,WindowTypeArea!$B$2:$C$2000,2,FALSE))</f>
        <v>#N/A</v>
      </c>
      <c r="M264">
        <f t="shared" ca="1" si="59"/>
        <v>0</v>
      </c>
    </row>
    <row r="265" spans="1:13" x14ac:dyDescent="0.25">
      <c r="A265">
        <f t="shared" ca="1" si="50"/>
        <v>1</v>
      </c>
      <c r="B265">
        <f t="shared" ca="1" si="51"/>
        <v>248</v>
      </c>
      <c r="C265" t="str">
        <f t="shared" ca="1" si="60"/>
        <v>'WINDOWS-NCH-A-BDP-M3-LG-00'!B247</v>
      </c>
      <c r="D265" s="6" t="str">
        <f t="shared" ca="1" si="61"/>
        <v>LG-OPD-CC2-S090-01</v>
      </c>
      <c r="E265" t="str">
        <f t="shared" ca="1" si="52"/>
        <v>Family Type: 975w x 3050h, Family: Window External Type 1 - Recessed</v>
      </c>
      <c r="F265" t="str">
        <f t="shared" ca="1" si="53"/>
        <v>Vector(X = -0.323, Y = 0.946, Z = 0.000, Length = 1.000)</v>
      </c>
      <c r="G265">
        <f t="shared" ca="1" si="54"/>
        <v>-0.3</v>
      </c>
      <c r="H265">
        <f t="shared" ca="1" si="55"/>
        <v>0.9</v>
      </c>
      <c r="I265">
        <f t="shared" ca="1" si="56"/>
        <v>0</v>
      </c>
      <c r="J265" s="8">
        <f t="shared" ca="1" si="57"/>
        <v>108.43494882292201</v>
      </c>
      <c r="K265" s="9" t="str">
        <f t="shared" ca="1" si="58"/>
        <v>N</v>
      </c>
      <c r="L265">
        <f ca="1">+_xlfn.IFNA(VLOOKUP(M265,BespokeWindowsAreas!$A$1:$E$1999,1,FALSE),VLOOKUP(E265,WindowTypeArea!$B$2:$C$2000,2,FALSE))</f>
        <v>2.9737499999999999</v>
      </c>
      <c r="M265">
        <f t="shared" ca="1" si="59"/>
        <v>5150117</v>
      </c>
    </row>
    <row r="266" spans="1:13" x14ac:dyDescent="0.25">
      <c r="A266">
        <f t="shared" ca="1" si="50"/>
        <v>1</v>
      </c>
      <c r="B266">
        <f t="shared" ca="1" si="51"/>
        <v>249</v>
      </c>
      <c r="C266" t="str">
        <f t="shared" ca="1" si="60"/>
        <v>'WINDOWS-NCH-A-BDP-M3-LG-00'!B248</v>
      </c>
      <c r="D266" s="6" t="str">
        <f t="shared" ca="1" si="61"/>
        <v>LG-CST-CIR-C001-04</v>
      </c>
      <c r="E266" t="str">
        <f t="shared" ca="1" si="52"/>
        <v>LG-CST-CIR-C001-04</v>
      </c>
      <c r="F266">
        <f t="shared" ca="1" si="53"/>
        <v>2201547</v>
      </c>
      <c r="G266">
        <f t="shared" ca="1" si="54"/>
        <v>0</v>
      </c>
      <c r="H266">
        <f t="shared" ca="1" si="55"/>
        <v>0</v>
      </c>
      <c r="I266">
        <f t="shared" ca="1" si="56"/>
        <v>0</v>
      </c>
      <c r="J266" s="8" t="e">
        <f t="shared" ca="1" si="57"/>
        <v>#DIV/0!</v>
      </c>
      <c r="K266" s="9" t="e">
        <f t="shared" ca="1" si="58"/>
        <v>#DIV/0!</v>
      </c>
      <c r="L266" t="e">
        <f ca="1">+_xlfn.IFNA(VLOOKUP(M266,BespokeWindowsAreas!$A$1:$E$1999,1,FALSE),VLOOKUP(E266,WindowTypeArea!$B$2:$C$2000,2,FALSE))</f>
        <v>#N/A</v>
      </c>
      <c r="M266">
        <f t="shared" ca="1" si="59"/>
        <v>0</v>
      </c>
    </row>
    <row r="267" spans="1:13" x14ac:dyDescent="0.25">
      <c r="A267">
        <f t="shared" ca="1" si="50"/>
        <v>1</v>
      </c>
      <c r="B267">
        <f t="shared" ca="1" si="51"/>
        <v>250</v>
      </c>
      <c r="C267" t="str">
        <f t="shared" ca="1" si="60"/>
        <v>'WINDOWS-NCH-A-BDP-M3-LG-00'!B249</v>
      </c>
      <c r="D267" s="6" t="str">
        <f t="shared" ca="1" si="61"/>
        <v>LG-CST-CIR-C001-04</v>
      </c>
      <c r="E267" t="str">
        <f t="shared" ca="1" si="52"/>
        <v>Family Type: 650w x 3050h, Family: Window Internal Type 1 - Flush</v>
      </c>
      <c r="F267" t="str">
        <f t="shared" ca="1" si="53"/>
        <v>Vector(X = -0.872, Y = -0.489, Z = 0.000, Length = 1.000)</v>
      </c>
      <c r="G267">
        <f t="shared" ca="1" si="54"/>
        <v>-0.9</v>
      </c>
      <c r="H267">
        <f t="shared" ca="1" si="55"/>
        <v>-0.5</v>
      </c>
      <c r="I267">
        <f t="shared" ca="1" si="56"/>
        <v>0</v>
      </c>
      <c r="J267" s="8">
        <f t="shared" ca="1" si="57"/>
        <v>-150.94539590092285</v>
      </c>
      <c r="K267" s="9" t="str">
        <f t="shared" ca="1" si="58"/>
        <v>W</v>
      </c>
      <c r="L267">
        <f ca="1">+_xlfn.IFNA(VLOOKUP(M267,BespokeWindowsAreas!$A$1:$E$1999,1,FALSE),VLOOKUP(E267,WindowTypeArea!$B$2:$C$2000,2,FALSE))</f>
        <v>1.9824999999999999</v>
      </c>
      <c r="M267">
        <f t="shared" ca="1" si="59"/>
        <v>6103760</v>
      </c>
    </row>
    <row r="268" spans="1:13" x14ac:dyDescent="0.25">
      <c r="A268">
        <f t="shared" ca="1" si="50"/>
        <v>1</v>
      </c>
      <c r="B268">
        <f t="shared" ca="1" si="51"/>
        <v>251</v>
      </c>
      <c r="C268" t="str">
        <f t="shared" ca="1" si="60"/>
        <v>'WINDOWS-NCH-A-BDP-M3-LG-00'!B250</v>
      </c>
      <c r="D268" s="6" t="str">
        <f t="shared" ca="1" si="61"/>
        <v>LG-CST-CIR-C001-04</v>
      </c>
      <c r="E268" t="str">
        <f t="shared" ca="1" si="52"/>
        <v>Family Type: 650w x 3050h, Family: Window Internal Type 1 - Flush</v>
      </c>
      <c r="F268" t="str">
        <f t="shared" ca="1" si="53"/>
        <v>Vector(X = -0.872, Y = -0.489, Z = 0.000, Length = 1.000)</v>
      </c>
      <c r="G268">
        <f t="shared" ca="1" si="54"/>
        <v>-0.9</v>
      </c>
      <c r="H268">
        <f t="shared" ca="1" si="55"/>
        <v>-0.5</v>
      </c>
      <c r="I268">
        <f t="shared" ca="1" si="56"/>
        <v>0</v>
      </c>
      <c r="J268" s="8">
        <f t="shared" ca="1" si="57"/>
        <v>-150.94539590092285</v>
      </c>
      <c r="K268" s="9" t="str">
        <f t="shared" ca="1" si="58"/>
        <v>W</v>
      </c>
      <c r="L268">
        <f ca="1">+_xlfn.IFNA(VLOOKUP(M268,BespokeWindowsAreas!$A$1:$E$1999,1,FALSE),VLOOKUP(E268,WindowTypeArea!$B$2:$C$2000,2,FALSE))</f>
        <v>1.9824999999999999</v>
      </c>
      <c r="M268">
        <f t="shared" ca="1" si="59"/>
        <v>6103866</v>
      </c>
    </row>
    <row r="269" spans="1:13" x14ac:dyDescent="0.25">
      <c r="A269">
        <f t="shared" ca="1" si="50"/>
        <v>1</v>
      </c>
      <c r="B269">
        <f t="shared" ca="1" si="51"/>
        <v>252</v>
      </c>
      <c r="C269" t="str">
        <f t="shared" ca="1" si="60"/>
        <v>'WINDOWS-NCH-A-BDP-M3-LG-00'!B251</v>
      </c>
      <c r="D269" s="6" t="str">
        <f t="shared" ca="1" si="61"/>
        <v>LG-CST-CIR-C001-04</v>
      </c>
      <c r="E269" t="str">
        <f t="shared" ca="1" si="52"/>
        <v>Family Type: 1950w x 3050h, Family: Window Internal Type 1 - Flush</v>
      </c>
      <c r="F269" t="str">
        <f t="shared" ca="1" si="53"/>
        <v>Vector(X = -0.872, Y = -0.489, Z = 0.000, Length = 1.000)</v>
      </c>
      <c r="G269">
        <f t="shared" ca="1" si="54"/>
        <v>-0.9</v>
      </c>
      <c r="H269">
        <f t="shared" ca="1" si="55"/>
        <v>-0.5</v>
      </c>
      <c r="I269">
        <f t="shared" ca="1" si="56"/>
        <v>0</v>
      </c>
      <c r="J269" s="8">
        <f t="shared" ca="1" si="57"/>
        <v>-150.94539590092285</v>
      </c>
      <c r="K269" s="9" t="str">
        <f t="shared" ca="1" si="58"/>
        <v>W</v>
      </c>
      <c r="L269">
        <f ca="1">+_xlfn.IFNA(VLOOKUP(M269,BespokeWindowsAreas!$A$1:$E$1999,1,FALSE),VLOOKUP(E269,WindowTypeArea!$B$2:$C$2000,2,FALSE))</f>
        <v>5.9474999999999998</v>
      </c>
      <c r="M269">
        <f t="shared" ca="1" si="59"/>
        <v>6103895</v>
      </c>
    </row>
    <row r="270" spans="1:13" x14ac:dyDescent="0.25">
      <c r="A270">
        <f t="shared" ca="1" si="50"/>
        <v>1</v>
      </c>
      <c r="B270">
        <f t="shared" ca="1" si="51"/>
        <v>253</v>
      </c>
      <c r="C270" t="str">
        <f t="shared" ca="1" si="60"/>
        <v>'WINDOWS-NCH-A-BDP-M3-LG-00'!B252</v>
      </c>
      <c r="D270" s="6" t="str">
        <f t="shared" ca="1" si="61"/>
        <v>LG-CST-CIR-C001-04</v>
      </c>
      <c r="E270" t="str">
        <f t="shared" ca="1" si="52"/>
        <v>Family Type: 650w x 3050h, Family: Window Internal Type 1 - Flush</v>
      </c>
      <c r="F270" t="str">
        <f t="shared" ca="1" si="53"/>
        <v>Vector(X = -0.872, Y = -0.489, Z = 0.000, Length = 1.000)</v>
      </c>
      <c r="G270">
        <f t="shared" ca="1" si="54"/>
        <v>-0.9</v>
      </c>
      <c r="H270">
        <f t="shared" ca="1" si="55"/>
        <v>-0.5</v>
      </c>
      <c r="I270">
        <f t="shared" ca="1" si="56"/>
        <v>0</v>
      </c>
      <c r="J270" s="8">
        <f t="shared" ca="1" si="57"/>
        <v>-150.94539590092285</v>
      </c>
      <c r="K270" s="9" t="str">
        <f t="shared" ca="1" si="58"/>
        <v>W</v>
      </c>
      <c r="L270">
        <f ca="1">+_xlfn.IFNA(VLOOKUP(M270,BespokeWindowsAreas!$A$1:$E$1999,1,FALSE),VLOOKUP(E270,WindowTypeArea!$B$2:$C$2000,2,FALSE))</f>
        <v>1.9824999999999999</v>
      </c>
      <c r="M270">
        <f t="shared" ca="1" si="59"/>
        <v>6304437</v>
      </c>
    </row>
    <row r="271" spans="1:13" x14ac:dyDescent="0.25">
      <c r="A271">
        <f t="shared" ca="1" si="50"/>
        <v>1</v>
      </c>
      <c r="B271">
        <f t="shared" ca="1" si="51"/>
        <v>254</v>
      </c>
      <c r="C271" t="str">
        <f t="shared" ca="1" si="60"/>
        <v>'WINDOWS-NCH-A-BDP-M3-LG-00'!B253</v>
      </c>
      <c r="D271" s="6" t="str">
        <f t="shared" ca="1" si="61"/>
        <v>LG-CST-CIR-C001-04</v>
      </c>
      <c r="E271" t="str">
        <f t="shared" ca="1" si="52"/>
        <v>Family Type: 650w x 3050h, Family: Window Internal Type 1 - Flush</v>
      </c>
      <c r="F271" t="str">
        <f t="shared" ca="1" si="53"/>
        <v>Vector(X = -0.872, Y = -0.489, Z = 0.000, Length = 1.000)</v>
      </c>
      <c r="G271">
        <f t="shared" ca="1" si="54"/>
        <v>-0.9</v>
      </c>
      <c r="H271">
        <f t="shared" ca="1" si="55"/>
        <v>-0.5</v>
      </c>
      <c r="I271">
        <f t="shared" ca="1" si="56"/>
        <v>0</v>
      </c>
      <c r="J271" s="8">
        <f t="shared" ca="1" si="57"/>
        <v>-150.94539590092285</v>
      </c>
      <c r="K271" s="9" t="str">
        <f t="shared" ca="1" si="58"/>
        <v>W</v>
      </c>
      <c r="L271">
        <f ca="1">+_xlfn.IFNA(VLOOKUP(M271,BespokeWindowsAreas!$A$1:$E$1999,1,FALSE),VLOOKUP(E271,WindowTypeArea!$B$2:$C$2000,2,FALSE))</f>
        <v>1.9824999999999999</v>
      </c>
      <c r="M271">
        <f t="shared" ca="1" si="59"/>
        <v>6304438</v>
      </c>
    </row>
    <row r="272" spans="1:13" x14ac:dyDescent="0.25">
      <c r="A272">
        <f t="shared" ca="1" si="50"/>
        <v>1</v>
      </c>
      <c r="B272">
        <f t="shared" ca="1" si="51"/>
        <v>255</v>
      </c>
      <c r="C272" t="str">
        <f t="shared" ca="1" si="60"/>
        <v>'WINDOWS-NCH-A-BDP-M3-LG-00'!B254</v>
      </c>
      <c r="D272" s="6" t="str">
        <f t="shared" ca="1" si="61"/>
        <v>LG-CST-CIR-C001-04</v>
      </c>
      <c r="E272" t="str">
        <f t="shared" ca="1" si="52"/>
        <v>Family Type: 650w x 3050h, Family: Window Internal Type 1 - Flush</v>
      </c>
      <c r="F272" t="str">
        <f t="shared" ca="1" si="53"/>
        <v>Vector(X = -0.872, Y = -0.489, Z = 0.000, Length = 1.000)</v>
      </c>
      <c r="G272">
        <f t="shared" ca="1" si="54"/>
        <v>-0.9</v>
      </c>
      <c r="H272">
        <f t="shared" ca="1" si="55"/>
        <v>-0.5</v>
      </c>
      <c r="I272">
        <f t="shared" ca="1" si="56"/>
        <v>0</v>
      </c>
      <c r="J272" s="8">
        <f t="shared" ca="1" si="57"/>
        <v>-150.94539590092285</v>
      </c>
      <c r="K272" s="9" t="str">
        <f t="shared" ca="1" si="58"/>
        <v>W</v>
      </c>
      <c r="L272">
        <f ca="1">+_xlfn.IFNA(VLOOKUP(M272,BespokeWindowsAreas!$A$1:$E$1999,1,FALSE),VLOOKUP(E272,WindowTypeArea!$B$2:$C$2000,2,FALSE))</f>
        <v>1.9824999999999999</v>
      </c>
      <c r="M272">
        <f t="shared" ca="1" si="59"/>
        <v>6305126</v>
      </c>
    </row>
    <row r="273" spans="1:13" x14ac:dyDescent="0.25">
      <c r="A273">
        <f t="shared" ca="1" si="50"/>
        <v>1</v>
      </c>
      <c r="B273">
        <f t="shared" ca="1" si="51"/>
        <v>256</v>
      </c>
      <c r="C273" t="str">
        <f t="shared" ca="1" si="60"/>
        <v>'WINDOWS-NCH-A-BDP-M3-LG-00'!B255</v>
      </c>
      <c r="D273" s="6" t="str">
        <f t="shared" ca="1" si="61"/>
        <v>LG-MAI-RET-U1291-01</v>
      </c>
      <c r="E273" t="str">
        <f t="shared" ca="1" si="52"/>
        <v>LG-MAI-RET-U1291-01</v>
      </c>
      <c r="F273">
        <f t="shared" ca="1" si="53"/>
        <v>2217966</v>
      </c>
      <c r="G273">
        <f t="shared" ca="1" si="54"/>
        <v>0</v>
      </c>
      <c r="H273">
        <f t="shared" ca="1" si="55"/>
        <v>0</v>
      </c>
      <c r="I273">
        <f t="shared" ca="1" si="56"/>
        <v>0</v>
      </c>
      <c r="J273" s="8" t="e">
        <f t="shared" ca="1" si="57"/>
        <v>#DIV/0!</v>
      </c>
      <c r="K273" s="9" t="e">
        <f t="shared" ca="1" si="58"/>
        <v>#DIV/0!</v>
      </c>
      <c r="L273" t="e">
        <f ca="1">+_xlfn.IFNA(VLOOKUP(M273,BespokeWindowsAreas!$A$1:$E$1999,1,FALSE),VLOOKUP(E273,WindowTypeArea!$B$2:$C$2000,2,FALSE))</f>
        <v>#N/A</v>
      </c>
      <c r="M273">
        <f t="shared" ca="1" si="59"/>
        <v>0</v>
      </c>
    </row>
    <row r="274" spans="1:13" x14ac:dyDescent="0.25">
      <c r="A274">
        <f t="shared" ca="1" si="50"/>
        <v>1</v>
      </c>
      <c r="B274">
        <f t="shared" ca="1" si="51"/>
        <v>257</v>
      </c>
      <c r="C274" t="str">
        <f t="shared" ca="1" si="60"/>
        <v>'WINDOWS-NCH-A-BDP-M3-LG-00'!B256</v>
      </c>
      <c r="D274" s="6" t="str">
        <f t="shared" ca="1" si="61"/>
        <v>LG-MAI-RET-U1291-01</v>
      </c>
      <c r="E274" t="str">
        <f t="shared" ca="1" si="52"/>
        <v>Family Type: 1950w x 3050h, Family: Window Internal Type 1 - Flush</v>
      </c>
      <c r="F274" t="str">
        <f t="shared" ca="1" si="53"/>
        <v>Vector(X = 0.489, Y = -0.873, Z = 0.000, Length = 1.000)</v>
      </c>
      <c r="G274">
        <f t="shared" ca="1" si="54"/>
        <v>0.5</v>
      </c>
      <c r="H274">
        <f t="shared" ca="1" si="55"/>
        <v>-0.9</v>
      </c>
      <c r="I274">
        <f t="shared" ca="1" si="56"/>
        <v>0</v>
      </c>
      <c r="J274" s="8">
        <f t="shared" ca="1" si="57"/>
        <v>-60.945395900922861</v>
      </c>
      <c r="K274" s="9" t="str">
        <f t="shared" ca="1" si="58"/>
        <v>S</v>
      </c>
      <c r="L274">
        <f ca="1">+_xlfn.IFNA(VLOOKUP(M274,BespokeWindowsAreas!$A$1:$E$1999,1,FALSE),VLOOKUP(E274,WindowTypeArea!$B$2:$C$2000,2,FALSE))</f>
        <v>5.9474999999999998</v>
      </c>
      <c r="M274">
        <f t="shared" ca="1" si="59"/>
        <v>6304433</v>
      </c>
    </row>
    <row r="275" spans="1:13" x14ac:dyDescent="0.25">
      <c r="A275">
        <f t="shared" ca="1" si="50"/>
        <v>1</v>
      </c>
      <c r="B275">
        <f t="shared" ca="1" si="51"/>
        <v>258</v>
      </c>
      <c r="C275" t="str">
        <f t="shared" ca="1" si="60"/>
        <v>'WINDOWS-NCH-A-BDP-M3-LG-00'!B257</v>
      </c>
      <c r="D275" s="6" t="str">
        <f t="shared" ca="1" si="61"/>
        <v>LG-MAI-RET-U1291-01</v>
      </c>
      <c r="E275" t="str">
        <f t="shared" ca="1" si="52"/>
        <v>Family Type: 650w x 3050h, Family: Window Internal Type 1 - Flush</v>
      </c>
      <c r="F275" t="str">
        <f t="shared" ca="1" si="53"/>
        <v>Vector(X = 0.489, Y = -0.873, Z = 0.000, Length = 1.000)</v>
      </c>
      <c r="G275">
        <f t="shared" ca="1" si="54"/>
        <v>0.5</v>
      </c>
      <c r="H275">
        <f t="shared" ca="1" si="55"/>
        <v>-0.9</v>
      </c>
      <c r="I275">
        <f t="shared" ca="1" si="56"/>
        <v>0</v>
      </c>
      <c r="J275" s="8">
        <f t="shared" ca="1" si="57"/>
        <v>-60.945395900922861</v>
      </c>
      <c r="K275" s="9" t="str">
        <f t="shared" ca="1" si="58"/>
        <v>S</v>
      </c>
      <c r="L275">
        <f ca="1">+_xlfn.IFNA(VLOOKUP(M275,BespokeWindowsAreas!$A$1:$E$1999,1,FALSE),VLOOKUP(E275,WindowTypeArea!$B$2:$C$2000,2,FALSE))</f>
        <v>1.9824999999999999</v>
      </c>
      <c r="M275">
        <f t="shared" ca="1" si="59"/>
        <v>6304436</v>
      </c>
    </row>
    <row r="276" spans="1:13" x14ac:dyDescent="0.25">
      <c r="A276">
        <f t="shared" ref="A276:A339" ca="1" si="62">+IF(B275&lt;=VLOOKUP(MID(C276,2,26),TABS,2,FALSE),A275,+A275+1)</f>
        <v>1</v>
      </c>
      <c r="B276">
        <f t="shared" ref="B276:B339" ca="1" si="63">+IF(B275&lt;=VLOOKUP(MID(C276,2,26),TABS,2,FALSE),B275+1,1)</f>
        <v>259</v>
      </c>
      <c r="C276" t="str">
        <f t="shared" ca="1" si="60"/>
        <v>'WINDOWS-NCH-A-BDP-M3-LG-00'!B258</v>
      </c>
      <c r="D276" s="6" t="str">
        <f t="shared" ca="1" si="61"/>
        <v>LG-MAI-RET-U1291-01</v>
      </c>
      <c r="E276" t="str">
        <f t="shared" ref="E276:E339" ca="1" si="64">+OFFSET(INDIRECT(C276),0,0)</f>
        <v>Family Type: 650w x 3050h, Family: Window Internal Type 1 - Flush</v>
      </c>
      <c r="F276" t="str">
        <f t="shared" ca="1" si="53"/>
        <v>Vector(X = 0.489, Y = -0.873, Z = 0.000, Length = 1.000)</v>
      </c>
      <c r="G276">
        <f t="shared" ca="1" si="54"/>
        <v>0.5</v>
      </c>
      <c r="H276">
        <f t="shared" ca="1" si="55"/>
        <v>-0.9</v>
      </c>
      <c r="I276">
        <f t="shared" ca="1" si="56"/>
        <v>0</v>
      </c>
      <c r="J276" s="8">
        <f t="shared" ca="1" si="57"/>
        <v>-60.945395900922861</v>
      </c>
      <c r="K276" s="9" t="str">
        <f t="shared" ca="1" si="58"/>
        <v>S</v>
      </c>
      <c r="L276">
        <f ca="1">+_xlfn.IFNA(VLOOKUP(M276,BespokeWindowsAreas!$A$1:$E$1999,1,FALSE),VLOOKUP(E276,WindowTypeArea!$B$2:$C$2000,2,FALSE))</f>
        <v>1.9824999999999999</v>
      </c>
      <c r="M276">
        <f t="shared" ca="1" si="59"/>
        <v>6694216</v>
      </c>
    </row>
    <row r="277" spans="1:13" x14ac:dyDescent="0.25">
      <c r="A277">
        <f t="shared" ca="1" si="62"/>
        <v>1</v>
      </c>
      <c r="B277">
        <f t="shared" ca="1" si="63"/>
        <v>260</v>
      </c>
      <c r="C277" t="str">
        <f t="shared" ca="1" si="60"/>
        <v>'WINDOWS-NCH-A-BDP-M3-LG-00'!B259</v>
      </c>
      <c r="D277" s="6" t="str">
        <f t="shared" ca="1" si="61"/>
        <v>LG-CIR-CIR-C008-01</v>
      </c>
      <c r="E277" t="str">
        <f t="shared" ca="1" si="64"/>
        <v>LG-CIR-CIR-C008-01</v>
      </c>
      <c r="F277">
        <f t="shared" ca="1" si="53"/>
        <v>2260983</v>
      </c>
      <c r="G277">
        <f t="shared" ca="1" si="54"/>
        <v>0</v>
      </c>
      <c r="H277">
        <f t="shared" ca="1" si="55"/>
        <v>0</v>
      </c>
      <c r="I277">
        <f t="shared" ca="1" si="56"/>
        <v>0</v>
      </c>
      <c r="J277" s="8" t="e">
        <f t="shared" ca="1" si="57"/>
        <v>#DIV/0!</v>
      </c>
      <c r="K277" s="9" t="e">
        <f t="shared" ca="1" si="58"/>
        <v>#DIV/0!</v>
      </c>
      <c r="L277" t="e">
        <f ca="1">+_xlfn.IFNA(VLOOKUP(M277,BespokeWindowsAreas!$A$1:$E$1999,1,FALSE),VLOOKUP(E277,WindowTypeArea!$B$2:$C$2000,2,FALSE))</f>
        <v>#N/A</v>
      </c>
      <c r="M277">
        <f t="shared" ca="1" si="59"/>
        <v>0</v>
      </c>
    </row>
    <row r="278" spans="1:13" x14ac:dyDescent="0.25">
      <c r="A278">
        <f t="shared" ca="1" si="62"/>
        <v>1</v>
      </c>
      <c r="B278">
        <f t="shared" ca="1" si="63"/>
        <v>261</v>
      </c>
      <c r="C278" t="str">
        <f t="shared" ca="1" si="60"/>
        <v>'WINDOWS-NCH-A-BDP-M3-LG-00'!B260</v>
      </c>
      <c r="D278" s="6" t="str">
        <f t="shared" ca="1" si="61"/>
        <v>LG-CIR-CIR-C008-01</v>
      </c>
      <c r="E278" t="str">
        <f t="shared" ca="1" si="64"/>
        <v>Family Type: 1500w x 3050h, Family: Window External Type 3 - Recessed and Angle</v>
      </c>
      <c r="F278" t="str">
        <f t="shared" ref="F278:F341" ca="1" si="65">+OFFSET(INDIRECT(C278),0,1)</f>
        <v>Vector(X = 0.212, Y = -0.977, Z = 0.000, Length = 1.000)</v>
      </c>
      <c r="G278">
        <f t="shared" ref="G278:G341" ca="1" si="66">+OFFSET(INDIRECT(C278),0,2)</f>
        <v>0.2</v>
      </c>
      <c r="H278">
        <f t="shared" ref="H278:H341" ca="1" si="67">+OFFSET(INDIRECT(C278),0,3)</f>
        <v>-1</v>
      </c>
      <c r="I278">
        <f t="shared" ref="I278:I341" ca="1" si="68">+OFFSET(INDIRECT(C278),0,4)</f>
        <v>0</v>
      </c>
      <c r="J278" s="8">
        <f t="shared" ref="J278:J341" ca="1" si="69">+DEGREES(ATAN2(G278,H278))</f>
        <v>-78.690067525979785</v>
      </c>
      <c r="K278" s="9" t="str">
        <f t="shared" ref="K278:K341" ca="1" si="70">VLOOKUP(J278,$O$20:$P$36,2,-1)</f>
        <v>S</v>
      </c>
      <c r="L278">
        <f ca="1">+_xlfn.IFNA(VLOOKUP(M278,BespokeWindowsAreas!$A$1:$E$1999,1,FALSE),VLOOKUP(E278,WindowTypeArea!$B$2:$C$2000,2,FALSE))</f>
        <v>4.5750000000000002</v>
      </c>
      <c r="M278">
        <f t="shared" ref="M278:M341" ca="1" si="71">+OFFSET(INDIRECT(C278),0,5)</f>
        <v>4870863</v>
      </c>
    </row>
    <row r="279" spans="1:13" x14ac:dyDescent="0.25">
      <c r="A279">
        <f t="shared" ca="1" si="62"/>
        <v>1</v>
      </c>
      <c r="B279">
        <f t="shared" ca="1" si="63"/>
        <v>262</v>
      </c>
      <c r="C279" t="str">
        <f t="shared" ref="C279:C342" ca="1" si="72">+"'"&amp;INDIRECT("a"&amp;A278)&amp;"'!B"&amp;B278</f>
        <v>'WINDOWS-NCH-A-BDP-M3-LG-00'!B261</v>
      </c>
      <c r="D279" s="6" t="str">
        <f t="shared" ca="1" si="61"/>
        <v>LG-CIR-CIR-C008-01</v>
      </c>
      <c r="E279" t="str">
        <f t="shared" ca="1" si="64"/>
        <v>Family Type: 975w x 3600h, CURTAIN WALL-manual input</v>
      </c>
      <c r="F279" t="str">
        <f t="shared" ca="1" si="65"/>
        <v>Vector(X = 0.212, Y = -0.977, Z = 0.000, Length = 1.000)</v>
      </c>
      <c r="G279">
        <f t="shared" ca="1" si="66"/>
        <v>0.2</v>
      </c>
      <c r="H279">
        <f t="shared" ca="1" si="67"/>
        <v>-1</v>
      </c>
      <c r="I279">
        <f t="shared" ca="1" si="68"/>
        <v>0</v>
      </c>
      <c r="J279" s="8">
        <f t="shared" ca="1" si="69"/>
        <v>-78.690067525979785</v>
      </c>
      <c r="K279" s="9" t="str">
        <f t="shared" ca="1" si="70"/>
        <v>S</v>
      </c>
      <c r="L279">
        <f ca="1">+_xlfn.IFNA(VLOOKUP(M279,BespokeWindowsAreas!$A$1:$E$1999,1,FALSE),VLOOKUP(E279,WindowTypeArea!$B$2:$C$2000,2,FALSE))</f>
        <v>3.51</v>
      </c>
      <c r="M279" t="str">
        <f t="shared" ca="1" si="71"/>
        <v xml:space="preserve">ID </v>
      </c>
    </row>
    <row r="280" spans="1:13" x14ac:dyDescent="0.25">
      <c r="A280">
        <f t="shared" ca="1" si="62"/>
        <v>1</v>
      </c>
      <c r="B280">
        <f t="shared" ca="1" si="63"/>
        <v>263</v>
      </c>
      <c r="C280" t="str">
        <f t="shared" ca="1" si="72"/>
        <v>'WINDOWS-NCH-A-BDP-M3-LG-00'!B262</v>
      </c>
      <c r="D280" s="6" t="str">
        <f t="shared" ca="1" si="61"/>
        <v>LG-CIR-CIR-C008-07</v>
      </c>
      <c r="E280" t="str">
        <f t="shared" ca="1" si="64"/>
        <v>LG-CIR-CIR-C008-07</v>
      </c>
      <c r="F280">
        <f t="shared" ca="1" si="65"/>
        <v>2260985</v>
      </c>
      <c r="G280">
        <f t="shared" ca="1" si="66"/>
        <v>0</v>
      </c>
      <c r="H280">
        <f t="shared" ca="1" si="67"/>
        <v>0</v>
      </c>
      <c r="I280">
        <f t="shared" ca="1" si="68"/>
        <v>0</v>
      </c>
      <c r="J280" s="8" t="e">
        <f t="shared" ca="1" si="69"/>
        <v>#DIV/0!</v>
      </c>
      <c r="K280" s="9" t="e">
        <f t="shared" ca="1" si="70"/>
        <v>#DIV/0!</v>
      </c>
      <c r="L280" t="e">
        <f ca="1">+_xlfn.IFNA(VLOOKUP(M280,BespokeWindowsAreas!$A$1:$E$1999,1,FALSE),VLOOKUP(E280,WindowTypeArea!$B$2:$C$2000,2,FALSE))</f>
        <v>#N/A</v>
      </c>
      <c r="M280">
        <f t="shared" ca="1" si="71"/>
        <v>0</v>
      </c>
    </row>
    <row r="281" spans="1:13" x14ac:dyDescent="0.25">
      <c r="A281">
        <f t="shared" ca="1" si="62"/>
        <v>1</v>
      </c>
      <c r="B281">
        <f t="shared" ca="1" si="63"/>
        <v>264</v>
      </c>
      <c r="C281" t="str">
        <f t="shared" ca="1" si="72"/>
        <v>'WINDOWS-NCH-A-BDP-M3-LG-00'!B263</v>
      </c>
      <c r="D281" s="6" t="str">
        <f t="shared" ca="1" si="61"/>
        <v>LG-CIR-CIR-C008-07</v>
      </c>
      <c r="E281" t="str">
        <f t="shared" ca="1" si="64"/>
        <v>Family Type: 1500w x 3050h, Family: Window External Type 3 - Recessed and Angle</v>
      </c>
      <c r="F281" t="str">
        <f t="shared" ca="1" si="65"/>
        <v>Vector(X = 0.212, Y = -0.977, Z = 0.000, Length = 1.000)</v>
      </c>
      <c r="G281">
        <f t="shared" ca="1" si="66"/>
        <v>0.2</v>
      </c>
      <c r="H281">
        <f t="shared" ca="1" si="67"/>
        <v>-1</v>
      </c>
      <c r="I281">
        <f t="shared" ca="1" si="68"/>
        <v>0</v>
      </c>
      <c r="J281" s="8">
        <f t="shared" ca="1" si="69"/>
        <v>-78.690067525979785</v>
      </c>
      <c r="K281" s="9" t="str">
        <f t="shared" ca="1" si="70"/>
        <v>S</v>
      </c>
      <c r="L281">
        <f ca="1">+_xlfn.IFNA(VLOOKUP(M281,BespokeWindowsAreas!$A$1:$E$1999,1,FALSE),VLOOKUP(E281,WindowTypeArea!$B$2:$C$2000,2,FALSE))</f>
        <v>4.5750000000000002</v>
      </c>
      <c r="M281">
        <f t="shared" ca="1" si="71"/>
        <v>4929823</v>
      </c>
    </row>
    <row r="282" spans="1:13" x14ac:dyDescent="0.25">
      <c r="A282">
        <f t="shared" ca="1" si="62"/>
        <v>1</v>
      </c>
      <c r="B282">
        <f t="shared" ca="1" si="63"/>
        <v>265</v>
      </c>
      <c r="C282" t="str">
        <f t="shared" ca="1" si="72"/>
        <v>'WINDOWS-NCH-A-BDP-M3-LG-00'!B264</v>
      </c>
      <c r="D282" s="6" t="str">
        <f t="shared" ca="1" si="61"/>
        <v>LG-CIR-CIR-C008-07</v>
      </c>
      <c r="E282" t="str">
        <f t="shared" ca="1" si="64"/>
        <v>Family Type: 1000w x 3050h, Family: Window External Type 4 - Extruded</v>
      </c>
      <c r="F282" t="str">
        <f t="shared" ca="1" si="65"/>
        <v>Vector(X = 0.212, Y = -0.977, Z = 0.000, Length = 1.000)</v>
      </c>
      <c r="G282">
        <f t="shared" ca="1" si="66"/>
        <v>0.2</v>
      </c>
      <c r="H282">
        <f t="shared" ca="1" si="67"/>
        <v>-1</v>
      </c>
      <c r="I282">
        <f t="shared" ca="1" si="68"/>
        <v>0</v>
      </c>
      <c r="J282" s="8">
        <f t="shared" ca="1" si="69"/>
        <v>-78.690067525979785</v>
      </c>
      <c r="K282" s="9" t="str">
        <f t="shared" ca="1" si="70"/>
        <v>S</v>
      </c>
      <c r="L282">
        <f ca="1">+_xlfn.IFNA(VLOOKUP(M282,BespokeWindowsAreas!$A$1:$E$1999,1,FALSE),VLOOKUP(E282,WindowTypeArea!$B$2:$C$2000,2,FALSE))</f>
        <v>3.05</v>
      </c>
      <c r="M282">
        <f t="shared" ca="1" si="71"/>
        <v>4929827</v>
      </c>
    </row>
    <row r="283" spans="1:13" x14ac:dyDescent="0.25">
      <c r="A283">
        <f t="shared" ca="1" si="62"/>
        <v>1</v>
      </c>
      <c r="B283">
        <f t="shared" ca="1" si="63"/>
        <v>266</v>
      </c>
      <c r="C283" t="str">
        <f t="shared" ca="1" si="72"/>
        <v>'WINDOWS-NCH-A-BDP-M3-LG-00'!B265</v>
      </c>
      <c r="D283" s="6" t="str">
        <f t="shared" ca="1" si="61"/>
        <v>LG-OPD-CIR-C001-26</v>
      </c>
      <c r="E283" t="str">
        <f t="shared" ca="1" si="64"/>
        <v>LG-OPD-CIR-C001-26</v>
      </c>
      <c r="F283">
        <f t="shared" ca="1" si="65"/>
        <v>2261490</v>
      </c>
      <c r="G283">
        <f t="shared" ca="1" si="66"/>
        <v>0</v>
      </c>
      <c r="H283">
        <f t="shared" ca="1" si="67"/>
        <v>0</v>
      </c>
      <c r="I283">
        <f t="shared" ca="1" si="68"/>
        <v>0</v>
      </c>
      <c r="J283" s="8" t="e">
        <f t="shared" ca="1" si="69"/>
        <v>#DIV/0!</v>
      </c>
      <c r="K283" s="9" t="e">
        <f t="shared" ca="1" si="70"/>
        <v>#DIV/0!</v>
      </c>
      <c r="L283" t="e">
        <f ca="1">+_xlfn.IFNA(VLOOKUP(M283,BespokeWindowsAreas!$A$1:$E$1999,1,FALSE),VLOOKUP(E283,WindowTypeArea!$B$2:$C$2000,2,FALSE))</f>
        <v>#N/A</v>
      </c>
      <c r="M283">
        <f t="shared" ca="1" si="71"/>
        <v>0</v>
      </c>
    </row>
    <row r="284" spans="1:13" x14ac:dyDescent="0.25">
      <c r="A284">
        <f t="shared" ca="1" si="62"/>
        <v>1</v>
      </c>
      <c r="B284">
        <f t="shared" ca="1" si="63"/>
        <v>267</v>
      </c>
      <c r="C284" t="str">
        <f t="shared" ca="1" si="72"/>
        <v>'WINDOWS-NCH-A-BDP-M3-LG-00'!B266</v>
      </c>
      <c r="D284" s="6" t="str">
        <f t="shared" ca="1" si="61"/>
        <v>LG-OPD-CIR-C001-26</v>
      </c>
      <c r="E284" t="str">
        <f t="shared" ca="1" si="64"/>
        <v>Family Type: 975w x 3050h, Family: Window Internal Type 2a - Recessed</v>
      </c>
      <c r="F284" t="str">
        <f t="shared" ca="1" si="65"/>
        <v>Vector(X = 0.429, Y = -0.903, Z = 0.000, Length = 1.000)</v>
      </c>
      <c r="G284">
        <f t="shared" ca="1" si="66"/>
        <v>0.4</v>
      </c>
      <c r="H284">
        <f t="shared" ca="1" si="67"/>
        <v>-0.9</v>
      </c>
      <c r="I284">
        <f t="shared" ca="1" si="68"/>
        <v>0</v>
      </c>
      <c r="J284" s="8">
        <f t="shared" ca="1" si="69"/>
        <v>-66.037511025421821</v>
      </c>
      <c r="K284" s="9" t="str">
        <f t="shared" ca="1" si="70"/>
        <v>S</v>
      </c>
      <c r="L284">
        <f ca="1">+_xlfn.IFNA(VLOOKUP(M284,BespokeWindowsAreas!$A$1:$E$1999,1,FALSE),VLOOKUP(E284,WindowTypeArea!$B$2:$C$2000,2,FALSE))</f>
        <v>2.9737499999999999</v>
      </c>
      <c r="M284">
        <f t="shared" ca="1" si="71"/>
        <v>5150237</v>
      </c>
    </row>
    <row r="285" spans="1:13" x14ac:dyDescent="0.25">
      <c r="A285">
        <f t="shared" ca="1" si="62"/>
        <v>1</v>
      </c>
      <c r="B285">
        <f t="shared" ca="1" si="63"/>
        <v>268</v>
      </c>
      <c r="C285" t="str">
        <f t="shared" ca="1" si="72"/>
        <v>'WINDOWS-NCH-A-BDP-M3-LG-00'!B267</v>
      </c>
      <c r="D285" s="6" t="str">
        <f t="shared" ca="1" si="61"/>
        <v>LG-OPD-CIR-C001-26</v>
      </c>
      <c r="E285" t="str">
        <f t="shared" ca="1" si="64"/>
        <v>Family Type: 1500w x 3050h, Family: Window Internal Type 2b - Recessed and Angle</v>
      </c>
      <c r="F285" t="str">
        <f t="shared" ca="1" si="65"/>
        <v>Vector(X = 0.429, Y = -0.903, Z = 0.000, Length = 1.000)</v>
      </c>
      <c r="G285">
        <f t="shared" ca="1" si="66"/>
        <v>0.4</v>
      </c>
      <c r="H285">
        <f t="shared" ca="1" si="67"/>
        <v>-0.9</v>
      </c>
      <c r="I285">
        <f t="shared" ca="1" si="68"/>
        <v>0</v>
      </c>
      <c r="J285" s="8">
        <f t="shared" ca="1" si="69"/>
        <v>-66.037511025421821</v>
      </c>
      <c r="K285" s="9" t="str">
        <f t="shared" ca="1" si="70"/>
        <v>S</v>
      </c>
      <c r="L285">
        <f ca="1">+_xlfn.IFNA(VLOOKUP(M285,BespokeWindowsAreas!$A$1:$E$1999,1,FALSE),VLOOKUP(E285,WindowTypeArea!$B$2:$C$2000,2,FALSE))</f>
        <v>4.5749999999999993</v>
      </c>
      <c r="M285">
        <f t="shared" ca="1" si="71"/>
        <v>5150258</v>
      </c>
    </row>
    <row r="286" spans="1:13" x14ac:dyDescent="0.25">
      <c r="A286">
        <f t="shared" ca="1" si="62"/>
        <v>1</v>
      </c>
      <c r="B286">
        <f t="shared" ca="1" si="63"/>
        <v>269</v>
      </c>
      <c r="C286" t="str">
        <f t="shared" ca="1" si="72"/>
        <v>'WINDOWS-NCH-A-BDP-M3-LG-00'!B268</v>
      </c>
      <c r="D286" s="6" t="str">
        <f t="shared" ca="1" si="61"/>
        <v>LG-OPD-CIR-C001-26</v>
      </c>
      <c r="E286" t="str">
        <f t="shared" ca="1" si="64"/>
        <v>Family Type: 975w x 3050h, Family: Window Internal Type 2a - Recessed</v>
      </c>
      <c r="F286" t="str">
        <f t="shared" ca="1" si="65"/>
        <v>Vector(X = -0.323, Y = 0.946, Z = 0.000, Length = 1.000)</v>
      </c>
      <c r="G286">
        <f t="shared" ca="1" si="66"/>
        <v>-0.3</v>
      </c>
      <c r="H286">
        <f t="shared" ca="1" si="67"/>
        <v>0.9</v>
      </c>
      <c r="I286">
        <f t="shared" ca="1" si="68"/>
        <v>0</v>
      </c>
      <c r="J286" s="8">
        <f t="shared" ca="1" si="69"/>
        <v>108.43494882292201</v>
      </c>
      <c r="K286" s="9" t="str">
        <f t="shared" ca="1" si="70"/>
        <v>N</v>
      </c>
      <c r="L286">
        <f ca="1">+_xlfn.IFNA(VLOOKUP(M286,BespokeWindowsAreas!$A$1:$E$1999,1,FALSE),VLOOKUP(E286,WindowTypeArea!$B$2:$C$2000,2,FALSE))</f>
        <v>2.9737499999999999</v>
      </c>
      <c r="M286">
        <f t="shared" ca="1" si="71"/>
        <v>5150389</v>
      </c>
    </row>
    <row r="287" spans="1:13" x14ac:dyDescent="0.25">
      <c r="A287">
        <f t="shared" ca="1" si="62"/>
        <v>1</v>
      </c>
      <c r="B287">
        <f t="shared" ca="1" si="63"/>
        <v>270</v>
      </c>
      <c r="C287" t="str">
        <f t="shared" ca="1" si="72"/>
        <v>'WINDOWS-NCH-A-BDP-M3-LG-00'!B269</v>
      </c>
      <c r="D287" s="6" t="str">
        <f t="shared" ca="1" si="61"/>
        <v>LG-OPD-CIR-C001-26</v>
      </c>
      <c r="E287" t="str">
        <f t="shared" ca="1" si="64"/>
        <v>Family Type: 975w x 3050h, Family: Window Internal Type 2a - Recessed</v>
      </c>
      <c r="F287" t="str">
        <f t="shared" ca="1" si="65"/>
        <v>Vector(X = -0.323, Y = 0.946, Z = 0.000, Length = 1.000)</v>
      </c>
      <c r="G287">
        <f t="shared" ca="1" si="66"/>
        <v>-0.3</v>
      </c>
      <c r="H287">
        <f t="shared" ca="1" si="67"/>
        <v>0.9</v>
      </c>
      <c r="I287">
        <f t="shared" ca="1" si="68"/>
        <v>0</v>
      </c>
      <c r="J287" s="8">
        <f t="shared" ca="1" si="69"/>
        <v>108.43494882292201</v>
      </c>
      <c r="K287" s="9" t="str">
        <f t="shared" ca="1" si="70"/>
        <v>N</v>
      </c>
      <c r="L287">
        <f ca="1">+_xlfn.IFNA(VLOOKUP(M287,BespokeWindowsAreas!$A$1:$E$1999,1,FALSE),VLOOKUP(E287,WindowTypeArea!$B$2:$C$2000,2,FALSE))</f>
        <v>2.9737499999999999</v>
      </c>
      <c r="M287">
        <f t="shared" ca="1" si="71"/>
        <v>5150516</v>
      </c>
    </row>
    <row r="288" spans="1:13" x14ac:dyDescent="0.25">
      <c r="A288">
        <f t="shared" ca="1" si="62"/>
        <v>1</v>
      </c>
      <c r="B288">
        <f t="shared" ca="1" si="63"/>
        <v>271</v>
      </c>
      <c r="C288" t="str">
        <f t="shared" ca="1" si="72"/>
        <v>'WINDOWS-NCH-A-BDP-M3-LG-00'!B270</v>
      </c>
      <c r="D288" s="6" t="str">
        <f t="shared" ca="1" si="61"/>
        <v>LG-OPD-CIR-C001-26</v>
      </c>
      <c r="E288" t="str">
        <f t="shared" ca="1" si="64"/>
        <v>Family Type: 1500w x 3050h, Family: Window Internal Type 2b - Recessed and Angle</v>
      </c>
      <c r="F288" t="str">
        <f t="shared" ca="1" si="65"/>
        <v>Vector(X = 0.530, Y = -0.848, Z = 0.000, Length = 1.000)</v>
      </c>
      <c r="G288">
        <f t="shared" ca="1" si="66"/>
        <v>0.5</v>
      </c>
      <c r="H288">
        <f t="shared" ca="1" si="67"/>
        <v>-0.8</v>
      </c>
      <c r="I288">
        <f t="shared" ca="1" si="68"/>
        <v>0</v>
      </c>
      <c r="J288" s="8">
        <f t="shared" ca="1" si="69"/>
        <v>-57.994616791916499</v>
      </c>
      <c r="K288" s="9" t="str">
        <f t="shared" ca="1" si="70"/>
        <v>S</v>
      </c>
      <c r="L288">
        <f ca="1">+_xlfn.IFNA(VLOOKUP(M288,BespokeWindowsAreas!$A$1:$E$1999,1,FALSE),VLOOKUP(E288,WindowTypeArea!$B$2:$C$2000,2,FALSE))</f>
        <v>4.5749999999999993</v>
      </c>
      <c r="M288">
        <f t="shared" ca="1" si="71"/>
        <v>5152703</v>
      </c>
    </row>
    <row r="289" spans="1:13" x14ac:dyDescent="0.25">
      <c r="A289">
        <f t="shared" ca="1" si="62"/>
        <v>1</v>
      </c>
      <c r="B289">
        <f t="shared" ca="1" si="63"/>
        <v>272</v>
      </c>
      <c r="C289" t="str">
        <f t="shared" ca="1" si="72"/>
        <v>'WINDOWS-NCH-A-BDP-M3-LG-00'!B271</v>
      </c>
      <c r="D289" s="6" t="str">
        <f t="shared" ca="1" si="61"/>
        <v>LG-OPD-CIR-C001-26</v>
      </c>
      <c r="E289" t="str">
        <f t="shared" ca="1" si="64"/>
        <v>Family Type: 975w x 3050h, Family: Window External Type 1 - Recessed</v>
      </c>
      <c r="F289" t="str">
        <f t="shared" ca="1" si="65"/>
        <v>Vector(X = 0.530, Y = -0.848, Z = 0.000, Length = 1.000)</v>
      </c>
      <c r="G289">
        <f t="shared" ca="1" si="66"/>
        <v>0.5</v>
      </c>
      <c r="H289">
        <f t="shared" ca="1" si="67"/>
        <v>-0.8</v>
      </c>
      <c r="I289">
        <f t="shared" ca="1" si="68"/>
        <v>0</v>
      </c>
      <c r="J289" s="8">
        <f t="shared" ca="1" si="69"/>
        <v>-57.994616791916499</v>
      </c>
      <c r="K289" s="9" t="str">
        <f t="shared" ca="1" si="70"/>
        <v>S</v>
      </c>
      <c r="L289">
        <f ca="1">+_xlfn.IFNA(VLOOKUP(M289,BespokeWindowsAreas!$A$1:$E$1999,1,FALSE),VLOOKUP(E289,WindowTypeArea!$B$2:$C$2000,2,FALSE))</f>
        <v>2.9737499999999999</v>
      </c>
      <c r="M289">
        <f t="shared" ca="1" si="71"/>
        <v>5152705</v>
      </c>
    </row>
    <row r="290" spans="1:13" x14ac:dyDescent="0.25">
      <c r="A290">
        <f t="shared" ca="1" si="62"/>
        <v>1</v>
      </c>
      <c r="B290">
        <f t="shared" ca="1" si="63"/>
        <v>273</v>
      </c>
      <c r="C290" t="str">
        <f t="shared" ca="1" si="72"/>
        <v>'WINDOWS-NCH-A-BDP-M3-LG-00'!B272</v>
      </c>
      <c r="D290" s="6" t="str">
        <f t="shared" ca="1" si="61"/>
        <v>LG-OPD-CIR-C001-26</v>
      </c>
      <c r="E290" t="str">
        <f t="shared" ca="1" si="64"/>
        <v>Family Type: 975w x 3050h, Family: Window Internal Type 2a - Recessed</v>
      </c>
      <c r="F290" t="str">
        <f t="shared" ca="1" si="65"/>
        <v>Vector(X = 0.429, Y = -0.903, Z = 0.000, Length = 1.000)</v>
      </c>
      <c r="G290">
        <f t="shared" ca="1" si="66"/>
        <v>0.4</v>
      </c>
      <c r="H290">
        <f t="shared" ca="1" si="67"/>
        <v>-0.9</v>
      </c>
      <c r="I290">
        <f t="shared" ca="1" si="68"/>
        <v>0</v>
      </c>
      <c r="J290" s="8">
        <f t="shared" ca="1" si="69"/>
        <v>-66.037511025421821</v>
      </c>
      <c r="K290" s="9" t="str">
        <f t="shared" ca="1" si="70"/>
        <v>S</v>
      </c>
      <c r="L290">
        <f ca="1">+_xlfn.IFNA(VLOOKUP(M290,BespokeWindowsAreas!$A$1:$E$1999,1,FALSE),VLOOKUP(E290,WindowTypeArea!$B$2:$C$2000,2,FALSE))</f>
        <v>2.9737499999999999</v>
      </c>
      <c r="M290">
        <f t="shared" ca="1" si="71"/>
        <v>6507062</v>
      </c>
    </row>
    <row r="291" spans="1:13" x14ac:dyDescent="0.25">
      <c r="A291">
        <f t="shared" ca="1" si="62"/>
        <v>1</v>
      </c>
      <c r="B291">
        <f t="shared" ca="1" si="63"/>
        <v>274</v>
      </c>
      <c r="C291" t="str">
        <f t="shared" ca="1" si="72"/>
        <v>'WINDOWS-NCH-A-BDP-M3-LG-00'!B273</v>
      </c>
      <c r="D291" s="6" t="str">
        <f t="shared" ca="1" si="61"/>
        <v>LG-OPD-CIR-C001-26</v>
      </c>
      <c r="E291" t="str">
        <f t="shared" ca="1" si="64"/>
        <v>Family Type: 975w x 3050h, Family: Window Internal Type 2a - Recessed</v>
      </c>
      <c r="F291" t="str">
        <f t="shared" ca="1" si="65"/>
        <v>Vector(X = 0.530, Y = -0.848, Z = 0.000, Length = 1.000)</v>
      </c>
      <c r="G291">
        <f t="shared" ca="1" si="66"/>
        <v>0.5</v>
      </c>
      <c r="H291">
        <f t="shared" ca="1" si="67"/>
        <v>-0.8</v>
      </c>
      <c r="I291">
        <f t="shared" ca="1" si="68"/>
        <v>0</v>
      </c>
      <c r="J291" s="8">
        <f t="shared" ca="1" si="69"/>
        <v>-57.994616791916499</v>
      </c>
      <c r="K291" s="9" t="str">
        <f t="shared" ca="1" si="70"/>
        <v>S</v>
      </c>
      <c r="L291">
        <f ca="1">+_xlfn.IFNA(VLOOKUP(M291,BespokeWindowsAreas!$A$1:$E$1999,1,FALSE),VLOOKUP(E291,WindowTypeArea!$B$2:$C$2000,2,FALSE))</f>
        <v>2.9737499999999999</v>
      </c>
      <c r="M291">
        <f t="shared" ca="1" si="71"/>
        <v>6516472</v>
      </c>
    </row>
    <row r="292" spans="1:13" x14ac:dyDescent="0.25">
      <c r="A292">
        <f t="shared" ca="1" si="62"/>
        <v>1</v>
      </c>
      <c r="B292">
        <f t="shared" ca="1" si="63"/>
        <v>275</v>
      </c>
      <c r="C292" t="str">
        <f t="shared" ca="1" si="72"/>
        <v>'WINDOWS-NCH-A-BDP-M3-LG-00'!B274</v>
      </c>
      <c r="D292" s="6" t="str">
        <f t="shared" ca="1" si="61"/>
        <v>LG-OPD-CIR-C001-26</v>
      </c>
      <c r="E292" t="str">
        <f t="shared" ca="1" si="64"/>
        <v>Family Type: 975w x 3050h, Family: Window Internal Type 2a - Recessed</v>
      </c>
      <c r="F292" t="str">
        <f t="shared" ca="1" si="65"/>
        <v>Vector(X = 0.530, Y = -0.848, Z = 0.000, Length = 1.000)</v>
      </c>
      <c r="G292">
        <f t="shared" ca="1" si="66"/>
        <v>0.5</v>
      </c>
      <c r="H292">
        <f t="shared" ca="1" si="67"/>
        <v>-0.8</v>
      </c>
      <c r="I292">
        <f t="shared" ca="1" si="68"/>
        <v>0</v>
      </c>
      <c r="J292" s="8">
        <f t="shared" ca="1" si="69"/>
        <v>-57.994616791916499</v>
      </c>
      <c r="K292" s="9" t="str">
        <f t="shared" ca="1" si="70"/>
        <v>S</v>
      </c>
      <c r="L292">
        <f ca="1">+_xlfn.IFNA(VLOOKUP(M292,BespokeWindowsAreas!$A$1:$E$1999,1,FALSE),VLOOKUP(E292,WindowTypeArea!$B$2:$C$2000,2,FALSE))</f>
        <v>2.9737499999999999</v>
      </c>
      <c r="M292">
        <f t="shared" ca="1" si="71"/>
        <v>6524120</v>
      </c>
    </row>
    <row r="293" spans="1:13" x14ac:dyDescent="0.25">
      <c r="A293">
        <f t="shared" ca="1" si="62"/>
        <v>1</v>
      </c>
      <c r="B293">
        <f t="shared" ca="1" si="63"/>
        <v>276</v>
      </c>
      <c r="C293" t="str">
        <f t="shared" ca="1" si="72"/>
        <v>'WINDOWS-NCH-A-BDP-M3-LG-00'!B275</v>
      </c>
      <c r="D293" s="6" t="str">
        <f t="shared" ca="1" si="61"/>
        <v>LG-OPD-CIR-C001-28</v>
      </c>
      <c r="E293" t="str">
        <f t="shared" ca="1" si="64"/>
        <v>LG-OPD-CIR-C001-28</v>
      </c>
      <c r="F293">
        <f t="shared" ca="1" si="65"/>
        <v>2261492</v>
      </c>
      <c r="G293">
        <f t="shared" ca="1" si="66"/>
        <v>0</v>
      </c>
      <c r="H293">
        <f t="shared" ca="1" si="67"/>
        <v>0</v>
      </c>
      <c r="I293">
        <f t="shared" ca="1" si="68"/>
        <v>0</v>
      </c>
      <c r="J293" s="8" t="e">
        <f t="shared" ca="1" si="69"/>
        <v>#DIV/0!</v>
      </c>
      <c r="K293" s="9" t="e">
        <f t="shared" ca="1" si="70"/>
        <v>#DIV/0!</v>
      </c>
      <c r="L293" t="e">
        <f ca="1">+_xlfn.IFNA(VLOOKUP(M293,BespokeWindowsAreas!$A$1:$E$1999,1,FALSE),VLOOKUP(E293,WindowTypeArea!$B$2:$C$2000,2,FALSE))</f>
        <v>#N/A</v>
      </c>
      <c r="M293">
        <f t="shared" ca="1" si="71"/>
        <v>0</v>
      </c>
    </row>
    <row r="294" spans="1:13" x14ac:dyDescent="0.25">
      <c r="A294">
        <f t="shared" ca="1" si="62"/>
        <v>1</v>
      </c>
      <c r="B294">
        <f t="shared" ca="1" si="63"/>
        <v>277</v>
      </c>
      <c r="C294" t="str">
        <f t="shared" ca="1" si="72"/>
        <v>'WINDOWS-NCH-A-BDP-M3-LG-00'!B276</v>
      </c>
      <c r="D294" s="6" t="str">
        <f t="shared" ca="1" si="61"/>
        <v>LG-OPD-CIR-C001-28</v>
      </c>
      <c r="E294" t="str">
        <f t="shared" ca="1" si="64"/>
        <v>Family Type: 1950w x 3050h, Family: Window Internal Type 1 - Flush</v>
      </c>
      <c r="F294" t="str">
        <f t="shared" ca="1" si="65"/>
        <v>Vector(X = -0.977, Y = -0.212, Z = 0.000, Length = 1.000)</v>
      </c>
      <c r="G294">
        <f t="shared" ca="1" si="66"/>
        <v>-1</v>
      </c>
      <c r="H294">
        <f t="shared" ca="1" si="67"/>
        <v>-0.2</v>
      </c>
      <c r="I294">
        <f t="shared" ca="1" si="68"/>
        <v>0</v>
      </c>
      <c r="J294" s="8">
        <f t="shared" ca="1" si="69"/>
        <v>-168.69006752597977</v>
      </c>
      <c r="K294" s="9" t="str">
        <f t="shared" ca="1" si="70"/>
        <v>W</v>
      </c>
      <c r="L294">
        <f ca="1">+_xlfn.IFNA(VLOOKUP(M294,BespokeWindowsAreas!$A$1:$E$1999,1,FALSE),VLOOKUP(E294,WindowTypeArea!$B$2:$C$2000,2,FALSE))</f>
        <v>5.9474999999999998</v>
      </c>
      <c r="M294">
        <f t="shared" ca="1" si="71"/>
        <v>6644841</v>
      </c>
    </row>
    <row r="295" spans="1:13" x14ac:dyDescent="0.25">
      <c r="A295">
        <f t="shared" ca="1" si="62"/>
        <v>1</v>
      </c>
      <c r="B295">
        <f t="shared" ca="1" si="63"/>
        <v>278</v>
      </c>
      <c r="C295" t="str">
        <f t="shared" ca="1" si="72"/>
        <v>'WINDOWS-NCH-A-BDP-M3-LG-00'!B277</v>
      </c>
      <c r="D295" s="6" t="str">
        <f t="shared" ca="1" si="61"/>
        <v>LG-OPD-CIR-C001-28</v>
      </c>
      <c r="E295" t="str">
        <f t="shared" ca="1" si="64"/>
        <v>Family Type: 1950w x 3050h, Family: Window Internal Type 1 - Flush</v>
      </c>
      <c r="F295" t="str">
        <f t="shared" ca="1" si="65"/>
        <v>Vector(X = -0.977, Y = -0.212, Z = 0.000, Length = 1.000)</v>
      </c>
      <c r="G295">
        <f t="shared" ca="1" si="66"/>
        <v>-1</v>
      </c>
      <c r="H295">
        <f t="shared" ca="1" si="67"/>
        <v>-0.2</v>
      </c>
      <c r="I295">
        <f t="shared" ca="1" si="68"/>
        <v>0</v>
      </c>
      <c r="J295" s="8">
        <f t="shared" ca="1" si="69"/>
        <v>-168.69006752597977</v>
      </c>
      <c r="K295" s="9" t="str">
        <f t="shared" ca="1" si="70"/>
        <v>W</v>
      </c>
      <c r="L295">
        <f ca="1">+_xlfn.IFNA(VLOOKUP(M295,BespokeWindowsAreas!$A$1:$E$1999,1,FALSE),VLOOKUP(E295,WindowTypeArea!$B$2:$C$2000,2,FALSE))</f>
        <v>5.9474999999999998</v>
      </c>
      <c r="M295">
        <f t="shared" ca="1" si="71"/>
        <v>6644884</v>
      </c>
    </row>
    <row r="296" spans="1:13" x14ac:dyDescent="0.25">
      <c r="A296">
        <f t="shared" ca="1" si="62"/>
        <v>1</v>
      </c>
      <c r="B296">
        <f t="shared" ca="1" si="63"/>
        <v>279</v>
      </c>
      <c r="C296" t="str">
        <f t="shared" ca="1" si="72"/>
        <v>'WINDOWS-NCH-A-BDP-M3-LG-00'!B278</v>
      </c>
      <c r="D296" s="6" t="str">
        <f t="shared" ca="1" si="61"/>
        <v>LG-OPD-CIR-C001-28</v>
      </c>
      <c r="E296" t="str">
        <f t="shared" ca="1" si="64"/>
        <v>Family Type: 1500w x 3050h, Family: Window Internal Type 1 - Flush</v>
      </c>
      <c r="F296" t="str">
        <f t="shared" ca="1" si="65"/>
        <v>Vector(X = -0.977, Y = -0.212, Z = 0.000, Length = 1.000)</v>
      </c>
      <c r="G296">
        <f t="shared" ca="1" si="66"/>
        <v>-1</v>
      </c>
      <c r="H296">
        <f t="shared" ca="1" si="67"/>
        <v>-0.2</v>
      </c>
      <c r="I296">
        <f t="shared" ca="1" si="68"/>
        <v>0</v>
      </c>
      <c r="J296" s="8">
        <f t="shared" ca="1" si="69"/>
        <v>-168.69006752597977</v>
      </c>
      <c r="K296" s="9" t="str">
        <f t="shared" ca="1" si="70"/>
        <v>W</v>
      </c>
      <c r="L296">
        <f ca="1">+_xlfn.IFNA(VLOOKUP(M296,BespokeWindowsAreas!$A$1:$E$1999,1,FALSE),VLOOKUP(E296,WindowTypeArea!$B$2:$C$2000,2,FALSE))</f>
        <v>4.5749999999999993</v>
      </c>
      <c r="M296">
        <f t="shared" ca="1" si="71"/>
        <v>6644933</v>
      </c>
    </row>
    <row r="297" spans="1:13" x14ac:dyDescent="0.25">
      <c r="A297">
        <f t="shared" ca="1" si="62"/>
        <v>1</v>
      </c>
      <c r="B297">
        <f t="shared" ca="1" si="63"/>
        <v>280</v>
      </c>
      <c r="C297" t="str">
        <f t="shared" ca="1" si="72"/>
        <v>'WINDOWS-NCH-A-BDP-M3-LG-00'!B279</v>
      </c>
      <c r="D297" s="6" t="str">
        <f t="shared" ca="1" si="61"/>
        <v>LG-OPD-CIR-C001-28</v>
      </c>
      <c r="E297" t="str">
        <f t="shared" ca="1" si="64"/>
        <v>Family Type: 650w x 3050h, Family: Window Internal Type 1 - Flush</v>
      </c>
      <c r="F297" t="str">
        <f t="shared" ca="1" si="65"/>
        <v>Vector(X = -0.977, Y = -0.212, Z = 0.000, Length = 1.000)</v>
      </c>
      <c r="G297">
        <f t="shared" ca="1" si="66"/>
        <v>-1</v>
      </c>
      <c r="H297">
        <f t="shared" ca="1" si="67"/>
        <v>-0.2</v>
      </c>
      <c r="I297">
        <f t="shared" ca="1" si="68"/>
        <v>0</v>
      </c>
      <c r="J297" s="8">
        <f t="shared" ca="1" si="69"/>
        <v>-168.69006752597977</v>
      </c>
      <c r="K297" s="9" t="str">
        <f t="shared" ca="1" si="70"/>
        <v>W</v>
      </c>
      <c r="L297">
        <f ca="1">+_xlfn.IFNA(VLOOKUP(M297,BespokeWindowsAreas!$A$1:$E$1999,1,FALSE),VLOOKUP(E297,WindowTypeArea!$B$2:$C$2000,2,FALSE))</f>
        <v>1.9824999999999999</v>
      </c>
      <c r="M297">
        <f t="shared" ca="1" si="71"/>
        <v>6645027</v>
      </c>
    </row>
    <row r="298" spans="1:13" x14ac:dyDescent="0.25">
      <c r="A298">
        <f t="shared" ca="1" si="62"/>
        <v>1</v>
      </c>
      <c r="B298">
        <f t="shared" ca="1" si="63"/>
        <v>281</v>
      </c>
      <c r="C298" t="str">
        <f t="shared" ca="1" si="72"/>
        <v>'WINDOWS-NCH-A-BDP-M3-LG-00'!B280</v>
      </c>
      <c r="D298" s="6" t="str">
        <f t="shared" ca="1" si="61"/>
        <v>LG-OPD-CIR-C001-28</v>
      </c>
      <c r="E298" t="str">
        <f t="shared" ca="1" si="64"/>
        <v>Family Type: 975w x 3050h, Family: Window Internal Type 1 - Flush</v>
      </c>
      <c r="F298" t="str">
        <f t="shared" ca="1" si="65"/>
        <v>Vector(X = -0.977, Y = -0.212, Z = 0.000, Length = 1.000)</v>
      </c>
      <c r="G298">
        <f t="shared" ca="1" si="66"/>
        <v>-1</v>
      </c>
      <c r="H298">
        <f t="shared" ca="1" si="67"/>
        <v>-0.2</v>
      </c>
      <c r="I298">
        <f t="shared" ca="1" si="68"/>
        <v>0</v>
      </c>
      <c r="J298" s="8">
        <f t="shared" ca="1" si="69"/>
        <v>-168.69006752597977</v>
      </c>
      <c r="K298" s="9" t="str">
        <f t="shared" ca="1" si="70"/>
        <v>W</v>
      </c>
      <c r="L298">
        <f ca="1">+_xlfn.IFNA(VLOOKUP(M298,BespokeWindowsAreas!$A$1:$E$1999,1,FALSE),VLOOKUP(E298,WindowTypeArea!$B$2:$C$2000,2,FALSE))</f>
        <v>2.9737499999999999</v>
      </c>
      <c r="M298">
        <f t="shared" ca="1" si="71"/>
        <v>6645055</v>
      </c>
    </row>
    <row r="299" spans="1:13" x14ac:dyDescent="0.25">
      <c r="A299">
        <f t="shared" ca="1" si="62"/>
        <v>1</v>
      </c>
      <c r="B299">
        <f t="shared" ca="1" si="63"/>
        <v>282</v>
      </c>
      <c r="C299" t="str">
        <f t="shared" ca="1" si="72"/>
        <v>'WINDOWS-NCH-A-BDP-M3-LG-00'!B281</v>
      </c>
      <c r="D299" s="6" t="str">
        <f t="shared" ca="1" si="61"/>
        <v>LG-OPD-CIR-C001-28</v>
      </c>
      <c r="E299" t="str">
        <f t="shared" ca="1" si="64"/>
        <v>Family Type: 975w x 3050h, Family: Window Internal Type 1 - Flush</v>
      </c>
      <c r="F299" t="str">
        <f t="shared" ca="1" si="65"/>
        <v>Vector(X = -0.977, Y = -0.212, Z = 0.000, Length = 1.000)</v>
      </c>
      <c r="G299">
        <f t="shared" ca="1" si="66"/>
        <v>-1</v>
      </c>
      <c r="H299">
        <f t="shared" ca="1" si="67"/>
        <v>-0.2</v>
      </c>
      <c r="I299">
        <f t="shared" ca="1" si="68"/>
        <v>0</v>
      </c>
      <c r="J299" s="8">
        <f t="shared" ca="1" si="69"/>
        <v>-168.69006752597977</v>
      </c>
      <c r="K299" s="9" t="str">
        <f t="shared" ca="1" si="70"/>
        <v>W</v>
      </c>
      <c r="L299">
        <f ca="1">+_xlfn.IFNA(VLOOKUP(M299,BespokeWindowsAreas!$A$1:$E$1999,1,FALSE),VLOOKUP(E299,WindowTypeArea!$B$2:$C$2000,2,FALSE))</f>
        <v>2.9737499999999999</v>
      </c>
      <c r="M299">
        <f t="shared" ca="1" si="71"/>
        <v>6645096</v>
      </c>
    </row>
    <row r="300" spans="1:13" x14ac:dyDescent="0.25">
      <c r="A300">
        <f t="shared" ca="1" si="62"/>
        <v>1</v>
      </c>
      <c r="B300">
        <f t="shared" ca="1" si="63"/>
        <v>283</v>
      </c>
      <c r="C300" t="str">
        <f t="shared" ca="1" si="72"/>
        <v>'WINDOWS-NCH-A-BDP-M3-LG-00'!B282</v>
      </c>
      <c r="D300" s="6" t="str">
        <f t="shared" ca="1" si="61"/>
        <v>LG-OPD-CIR-C001-28</v>
      </c>
      <c r="E300" t="str">
        <f t="shared" ca="1" si="64"/>
        <v>Family Type: 975w x 3050h, Family: Window Internal Type 1 - Flush</v>
      </c>
      <c r="F300" t="str">
        <f t="shared" ca="1" si="65"/>
        <v>Vector(X = -0.977, Y = -0.212, Z = 0.000, Length = 1.000)</v>
      </c>
      <c r="G300">
        <f t="shared" ca="1" si="66"/>
        <v>-1</v>
      </c>
      <c r="H300">
        <f t="shared" ca="1" si="67"/>
        <v>-0.2</v>
      </c>
      <c r="I300">
        <f t="shared" ca="1" si="68"/>
        <v>0</v>
      </c>
      <c r="J300" s="8">
        <f t="shared" ca="1" si="69"/>
        <v>-168.69006752597977</v>
      </c>
      <c r="K300" s="9" t="str">
        <f t="shared" ca="1" si="70"/>
        <v>W</v>
      </c>
      <c r="L300">
        <f ca="1">+_xlfn.IFNA(VLOOKUP(M300,BespokeWindowsAreas!$A$1:$E$1999,1,FALSE),VLOOKUP(E300,WindowTypeArea!$B$2:$C$2000,2,FALSE))</f>
        <v>2.9737499999999999</v>
      </c>
      <c r="M300">
        <f t="shared" ca="1" si="71"/>
        <v>6645160</v>
      </c>
    </row>
    <row r="301" spans="1:13" x14ac:dyDescent="0.25">
      <c r="A301">
        <f t="shared" ca="1" si="62"/>
        <v>1</v>
      </c>
      <c r="B301">
        <f t="shared" ca="1" si="63"/>
        <v>284</v>
      </c>
      <c r="C301" t="str">
        <f t="shared" ca="1" si="72"/>
        <v>'WINDOWS-NCH-A-BDP-M3-LG-00'!B283</v>
      </c>
      <c r="D301" s="6" t="str">
        <f t="shared" ca="1" si="61"/>
        <v>LG-OPD-CIR-C001-28</v>
      </c>
      <c r="E301" t="str">
        <f t="shared" ca="1" si="64"/>
        <v>Family Type: 975w x 3050h, Family: Window Internal Type 1 - Flush</v>
      </c>
      <c r="F301" t="str">
        <f t="shared" ca="1" si="65"/>
        <v>Vector(X = -0.977, Y = -0.212, Z = 0.000, Length = 1.000)</v>
      </c>
      <c r="G301">
        <f t="shared" ca="1" si="66"/>
        <v>-1</v>
      </c>
      <c r="H301">
        <f t="shared" ca="1" si="67"/>
        <v>-0.2</v>
      </c>
      <c r="I301">
        <f t="shared" ca="1" si="68"/>
        <v>0</v>
      </c>
      <c r="J301" s="8">
        <f t="shared" ca="1" si="69"/>
        <v>-168.69006752597977</v>
      </c>
      <c r="K301" s="9" t="str">
        <f t="shared" ca="1" si="70"/>
        <v>W</v>
      </c>
      <c r="L301">
        <f ca="1">+_xlfn.IFNA(VLOOKUP(M301,BespokeWindowsAreas!$A$1:$E$1999,1,FALSE),VLOOKUP(E301,WindowTypeArea!$B$2:$C$2000,2,FALSE))</f>
        <v>2.9737499999999999</v>
      </c>
      <c r="M301">
        <f t="shared" ca="1" si="71"/>
        <v>6645186</v>
      </c>
    </row>
    <row r="302" spans="1:13" x14ac:dyDescent="0.25">
      <c r="A302">
        <f t="shared" ca="1" si="62"/>
        <v>1</v>
      </c>
      <c r="B302">
        <f t="shared" ca="1" si="63"/>
        <v>285</v>
      </c>
      <c r="C302" t="str">
        <f t="shared" ca="1" si="72"/>
        <v>'WINDOWS-NCH-A-BDP-M3-LG-00'!B284</v>
      </c>
      <c r="D302" s="6" t="str">
        <f t="shared" ca="1" si="61"/>
        <v>LG-CIR-CIR-C001-02</v>
      </c>
      <c r="E302" t="str">
        <f t="shared" ca="1" si="64"/>
        <v>LG-CIR-CIR-C001-02</v>
      </c>
      <c r="F302">
        <f t="shared" ca="1" si="65"/>
        <v>2261494</v>
      </c>
      <c r="G302">
        <f t="shared" ca="1" si="66"/>
        <v>0</v>
      </c>
      <c r="H302">
        <f t="shared" ca="1" si="67"/>
        <v>0</v>
      </c>
      <c r="I302">
        <f t="shared" ca="1" si="68"/>
        <v>0</v>
      </c>
      <c r="J302" s="8" t="e">
        <f t="shared" ca="1" si="69"/>
        <v>#DIV/0!</v>
      </c>
      <c r="K302" s="9" t="e">
        <f t="shared" ca="1" si="70"/>
        <v>#DIV/0!</v>
      </c>
      <c r="L302" t="e">
        <f ca="1">+_xlfn.IFNA(VLOOKUP(M302,BespokeWindowsAreas!$A$1:$E$1999,1,FALSE),VLOOKUP(E302,WindowTypeArea!$B$2:$C$2000,2,FALSE))</f>
        <v>#N/A</v>
      </c>
      <c r="M302">
        <f t="shared" ca="1" si="71"/>
        <v>0</v>
      </c>
    </row>
    <row r="303" spans="1:13" x14ac:dyDescent="0.25">
      <c r="A303">
        <f t="shared" ca="1" si="62"/>
        <v>1</v>
      </c>
      <c r="B303">
        <f t="shared" ca="1" si="63"/>
        <v>286</v>
      </c>
      <c r="C303" t="str">
        <f t="shared" ca="1" si="72"/>
        <v>'WINDOWS-NCH-A-BDP-M3-LG-00'!B285</v>
      </c>
      <c r="D303" s="6" t="str">
        <f t="shared" ca="1" si="61"/>
        <v>LG-CIR-CIR-C001-02</v>
      </c>
      <c r="E303" t="str">
        <f t="shared" ca="1" si="64"/>
        <v>Family Type: 975w x 3200h, Family: Panel External Type 1 - Flush</v>
      </c>
      <c r="F303" t="str">
        <f t="shared" ca="1" si="65"/>
        <v>Vector(X = -0.212, Y = 0.977, Z = 0.000, Length = 1.000)</v>
      </c>
      <c r="G303">
        <f t="shared" ca="1" si="66"/>
        <v>-0.2</v>
      </c>
      <c r="H303">
        <f t="shared" ca="1" si="67"/>
        <v>1</v>
      </c>
      <c r="I303">
        <f t="shared" ca="1" si="68"/>
        <v>0</v>
      </c>
      <c r="J303" s="8">
        <f t="shared" ca="1" si="69"/>
        <v>101.3099324740202</v>
      </c>
      <c r="K303" s="9" t="str">
        <f t="shared" ca="1" si="70"/>
        <v>N</v>
      </c>
      <c r="L303">
        <f ca="1">+_xlfn.IFNA(VLOOKUP(M303,BespokeWindowsAreas!$A$1:$E$1999,1,FALSE),VLOOKUP(E303,WindowTypeArea!$B$2:$C$2000,2,FALSE))</f>
        <v>0</v>
      </c>
      <c r="M303">
        <f t="shared" ca="1" si="71"/>
        <v>5088557</v>
      </c>
    </row>
    <row r="304" spans="1:13" x14ac:dyDescent="0.25">
      <c r="A304">
        <f t="shared" ca="1" si="62"/>
        <v>1</v>
      </c>
      <c r="B304">
        <f t="shared" ca="1" si="63"/>
        <v>287</v>
      </c>
      <c r="C304" t="str">
        <f t="shared" ca="1" si="72"/>
        <v>'WINDOWS-NCH-A-BDP-M3-LG-00'!B286</v>
      </c>
      <c r="D304" s="6" t="str">
        <f t="shared" ca="1" si="61"/>
        <v>LG-CIR-CIR-C001-02</v>
      </c>
      <c r="E304" t="str">
        <f t="shared" ca="1" si="64"/>
        <v>Family Type: 975w x 3200h, Family: Panel External Type 1 - Flush</v>
      </c>
      <c r="F304" t="str">
        <f t="shared" ca="1" si="65"/>
        <v>Vector(X = -0.212, Y = 0.977, Z = 0.000, Length = 1.000)</v>
      </c>
      <c r="G304">
        <f t="shared" ca="1" si="66"/>
        <v>-0.2</v>
      </c>
      <c r="H304">
        <f t="shared" ca="1" si="67"/>
        <v>1</v>
      </c>
      <c r="I304">
        <f t="shared" ca="1" si="68"/>
        <v>0</v>
      </c>
      <c r="J304" s="8">
        <f t="shared" ca="1" si="69"/>
        <v>101.3099324740202</v>
      </c>
      <c r="K304" s="9" t="str">
        <f t="shared" ca="1" si="70"/>
        <v>N</v>
      </c>
      <c r="L304">
        <f ca="1">+_xlfn.IFNA(VLOOKUP(M304,BespokeWindowsAreas!$A$1:$E$1999,1,FALSE),VLOOKUP(E304,WindowTypeArea!$B$2:$C$2000,2,FALSE))</f>
        <v>0</v>
      </c>
      <c r="M304">
        <f t="shared" ca="1" si="71"/>
        <v>5088580</v>
      </c>
    </row>
    <row r="305" spans="1:13" x14ac:dyDescent="0.25">
      <c r="A305">
        <f t="shared" ca="1" si="62"/>
        <v>1</v>
      </c>
      <c r="B305">
        <f t="shared" ca="1" si="63"/>
        <v>288</v>
      </c>
      <c r="C305" t="str">
        <f t="shared" ca="1" si="72"/>
        <v>'WINDOWS-NCH-A-BDP-M3-LG-00'!B287</v>
      </c>
      <c r="D305" s="6" t="str">
        <f t="shared" ca="1" si="61"/>
        <v>LG-CIR-CIR-C001-02</v>
      </c>
      <c r="E305" t="str">
        <f t="shared" ca="1" si="64"/>
        <v>Family Type: 975w x 3200h, Family: Panel External Type 1 - Flush</v>
      </c>
      <c r="F305" t="str">
        <f t="shared" ca="1" si="65"/>
        <v>Vector(X = -0.212, Y = 0.977, Z = 0.000, Length = 1.000)</v>
      </c>
      <c r="G305">
        <f t="shared" ca="1" si="66"/>
        <v>-0.2</v>
      </c>
      <c r="H305">
        <f t="shared" ca="1" si="67"/>
        <v>1</v>
      </c>
      <c r="I305">
        <f t="shared" ca="1" si="68"/>
        <v>0</v>
      </c>
      <c r="J305" s="8">
        <f t="shared" ca="1" si="69"/>
        <v>101.3099324740202</v>
      </c>
      <c r="K305" s="9" t="str">
        <f t="shared" ca="1" si="70"/>
        <v>N</v>
      </c>
      <c r="L305">
        <f ca="1">+_xlfn.IFNA(VLOOKUP(M305,BespokeWindowsAreas!$A$1:$E$1999,1,FALSE),VLOOKUP(E305,WindowTypeArea!$B$2:$C$2000,2,FALSE))</f>
        <v>0</v>
      </c>
      <c r="M305">
        <f t="shared" ca="1" si="71"/>
        <v>5088585</v>
      </c>
    </row>
    <row r="306" spans="1:13" x14ac:dyDescent="0.25">
      <c r="A306">
        <f t="shared" ca="1" si="62"/>
        <v>1</v>
      </c>
      <c r="B306">
        <f t="shared" ca="1" si="63"/>
        <v>289</v>
      </c>
      <c r="C306" t="str">
        <f t="shared" ca="1" si="72"/>
        <v>'WINDOWS-NCH-A-BDP-M3-LG-00'!B288</v>
      </c>
      <c r="D306" s="6" t="str">
        <f t="shared" ca="1" si="61"/>
        <v>LG-OPD-C1W-S115-49</v>
      </c>
      <c r="E306" t="str">
        <f t="shared" ca="1" si="64"/>
        <v>LG-OPD-C1W-S115-49</v>
      </c>
      <c r="F306">
        <f t="shared" ca="1" si="65"/>
        <v>2266943</v>
      </c>
      <c r="G306">
        <f t="shared" ca="1" si="66"/>
        <v>0</v>
      </c>
      <c r="H306">
        <f t="shared" ca="1" si="67"/>
        <v>0</v>
      </c>
      <c r="I306">
        <f t="shared" ca="1" si="68"/>
        <v>0</v>
      </c>
      <c r="J306" s="8" t="e">
        <f t="shared" ca="1" si="69"/>
        <v>#DIV/0!</v>
      </c>
      <c r="K306" s="9" t="e">
        <f t="shared" ca="1" si="70"/>
        <v>#DIV/0!</v>
      </c>
      <c r="L306" t="e">
        <f ca="1">+_xlfn.IFNA(VLOOKUP(M306,BespokeWindowsAreas!$A$1:$E$1999,1,FALSE),VLOOKUP(E306,WindowTypeArea!$B$2:$C$2000,2,FALSE))</f>
        <v>#N/A</v>
      </c>
      <c r="M306">
        <f t="shared" ca="1" si="71"/>
        <v>0</v>
      </c>
    </row>
    <row r="307" spans="1:13" x14ac:dyDescent="0.25">
      <c r="A307">
        <f t="shared" ca="1" si="62"/>
        <v>1</v>
      </c>
      <c r="B307">
        <f t="shared" ca="1" si="63"/>
        <v>290</v>
      </c>
      <c r="C307" t="str">
        <f t="shared" ca="1" si="72"/>
        <v>'WINDOWS-NCH-A-BDP-M3-LG-00'!B289</v>
      </c>
      <c r="D307" s="6" t="str">
        <f t="shared" ca="1" si="61"/>
        <v>LG-OPD-C1W-S115-49</v>
      </c>
      <c r="E307" t="str">
        <f t="shared" ca="1" si="64"/>
        <v>Family Type: 1950w x 3050h, Family: Window External Type 3 - Recessed and Angle</v>
      </c>
      <c r="F307" t="str">
        <f t="shared" ca="1" si="65"/>
        <v>Vector(X = 0.212, Y = -0.977, Z = 0.000, Length = 1.000)</v>
      </c>
      <c r="G307">
        <f t="shared" ca="1" si="66"/>
        <v>0.2</v>
      </c>
      <c r="H307">
        <f t="shared" ca="1" si="67"/>
        <v>-1</v>
      </c>
      <c r="I307">
        <f t="shared" ca="1" si="68"/>
        <v>0</v>
      </c>
      <c r="J307" s="8">
        <f t="shared" ca="1" si="69"/>
        <v>-78.690067525979785</v>
      </c>
      <c r="K307" s="9" t="str">
        <f t="shared" ca="1" si="70"/>
        <v>S</v>
      </c>
      <c r="L307">
        <f ca="1">+_xlfn.IFNA(VLOOKUP(M307,BespokeWindowsAreas!$A$1:$E$1999,1,FALSE),VLOOKUP(E307,WindowTypeArea!$B$2:$C$2000,2,FALSE))</f>
        <v>5.9474999999999998</v>
      </c>
      <c r="M307">
        <f t="shared" ca="1" si="71"/>
        <v>4928951</v>
      </c>
    </row>
    <row r="308" spans="1:13" x14ac:dyDescent="0.25">
      <c r="A308">
        <f t="shared" ca="1" si="62"/>
        <v>1</v>
      </c>
      <c r="B308">
        <f t="shared" ca="1" si="63"/>
        <v>291</v>
      </c>
      <c r="C308" t="str">
        <f t="shared" ca="1" si="72"/>
        <v>'WINDOWS-NCH-A-BDP-M3-LG-00'!B290</v>
      </c>
      <c r="D308" s="6" t="str">
        <f t="shared" ca="1" si="61"/>
        <v>LG-OPD-C1W-S115-49</v>
      </c>
      <c r="E308" t="str">
        <f t="shared" ca="1" si="64"/>
        <v>Family Type: 975w x 2300h, Family: Window External Type 1 - Recessed</v>
      </c>
      <c r="F308" t="str">
        <f t="shared" ca="1" si="65"/>
        <v>Vector(X = 0.873, Y = 0.489, Z = 0.000, Length = 1.000)</v>
      </c>
      <c r="G308">
        <f t="shared" ca="1" si="66"/>
        <v>0.9</v>
      </c>
      <c r="H308">
        <f t="shared" ca="1" si="67"/>
        <v>0.5</v>
      </c>
      <c r="I308">
        <f t="shared" ca="1" si="68"/>
        <v>0</v>
      </c>
      <c r="J308" s="8">
        <f t="shared" ca="1" si="69"/>
        <v>29.054604099077146</v>
      </c>
      <c r="K308" s="9" t="str">
        <f t="shared" ca="1" si="70"/>
        <v>E</v>
      </c>
      <c r="L308">
        <f ca="1">+_xlfn.IFNA(VLOOKUP(M308,BespokeWindowsAreas!$A$1:$E$1999,1,FALSE),VLOOKUP(E308,WindowTypeArea!$B$2:$C$2000,2,FALSE))</f>
        <v>2.2425000000000002</v>
      </c>
      <c r="M308">
        <f t="shared" ca="1" si="71"/>
        <v>5573007</v>
      </c>
    </row>
    <row r="309" spans="1:13" x14ac:dyDescent="0.25">
      <c r="A309">
        <f t="shared" ca="1" si="62"/>
        <v>1</v>
      </c>
      <c r="B309">
        <f t="shared" ca="1" si="63"/>
        <v>292</v>
      </c>
      <c r="C309" t="str">
        <f t="shared" ca="1" si="72"/>
        <v>'WINDOWS-NCH-A-BDP-M3-LG-00'!B291</v>
      </c>
      <c r="D309" s="6" t="str">
        <f t="shared" ca="1" si="61"/>
        <v>LG-OPD-C1W-S115-49</v>
      </c>
      <c r="E309" t="str">
        <f t="shared" ca="1" si="64"/>
        <v>Family Type: 975w x 2300h, Family: Window External Type 1 - Recessed</v>
      </c>
      <c r="F309" t="str">
        <f t="shared" ca="1" si="65"/>
        <v>Vector(X = 0.873, Y = 0.489, Z = 0.000, Length = 1.000)</v>
      </c>
      <c r="G309">
        <f t="shared" ca="1" si="66"/>
        <v>0.9</v>
      </c>
      <c r="H309">
        <f t="shared" ca="1" si="67"/>
        <v>0.5</v>
      </c>
      <c r="I309">
        <f t="shared" ca="1" si="68"/>
        <v>0</v>
      </c>
      <c r="J309" s="8">
        <f t="shared" ca="1" si="69"/>
        <v>29.054604099077146</v>
      </c>
      <c r="K309" s="9" t="str">
        <f t="shared" ca="1" si="70"/>
        <v>E</v>
      </c>
      <c r="L309">
        <f ca="1">+_xlfn.IFNA(VLOOKUP(M309,BespokeWindowsAreas!$A$1:$E$1999,1,FALSE),VLOOKUP(E309,WindowTypeArea!$B$2:$C$2000,2,FALSE))</f>
        <v>2.2425000000000002</v>
      </c>
      <c r="M309">
        <f t="shared" ca="1" si="71"/>
        <v>5573061</v>
      </c>
    </row>
    <row r="310" spans="1:13" x14ac:dyDescent="0.25">
      <c r="A310">
        <f t="shared" ca="1" si="62"/>
        <v>1</v>
      </c>
      <c r="B310">
        <f t="shared" ca="1" si="63"/>
        <v>293</v>
      </c>
      <c r="C310" t="str">
        <f t="shared" ca="1" si="72"/>
        <v>'WINDOWS-NCH-A-BDP-M3-LG-00'!B292</v>
      </c>
      <c r="D310" s="6" t="str">
        <f t="shared" ca="1" si="61"/>
        <v>LG-OPD-C1W-S115-49</v>
      </c>
      <c r="E310" t="str">
        <f t="shared" ca="1" si="64"/>
        <v>Family Type: 975w x 2300h, Family: Window External Type 1 - Recessed</v>
      </c>
      <c r="F310" t="str">
        <f t="shared" ca="1" si="65"/>
        <v>Vector(X = 0.873, Y = 0.489, Z = 0.000, Length = 1.000)</v>
      </c>
      <c r="G310">
        <f t="shared" ca="1" si="66"/>
        <v>0.9</v>
      </c>
      <c r="H310">
        <f t="shared" ca="1" si="67"/>
        <v>0.5</v>
      </c>
      <c r="I310">
        <f t="shared" ca="1" si="68"/>
        <v>0</v>
      </c>
      <c r="J310" s="8">
        <f t="shared" ca="1" si="69"/>
        <v>29.054604099077146</v>
      </c>
      <c r="K310" s="9" t="str">
        <f t="shared" ca="1" si="70"/>
        <v>E</v>
      </c>
      <c r="L310">
        <f ca="1">+_xlfn.IFNA(VLOOKUP(M310,BespokeWindowsAreas!$A$1:$E$1999,1,FALSE),VLOOKUP(E310,WindowTypeArea!$B$2:$C$2000,2,FALSE))</f>
        <v>2.2425000000000002</v>
      </c>
      <c r="M310">
        <f t="shared" ca="1" si="71"/>
        <v>5573103</v>
      </c>
    </row>
    <row r="311" spans="1:13" x14ac:dyDescent="0.25">
      <c r="A311">
        <f t="shared" ca="1" si="62"/>
        <v>1</v>
      </c>
      <c r="B311">
        <f t="shared" ca="1" si="63"/>
        <v>294</v>
      </c>
      <c r="C311" t="str">
        <f t="shared" ca="1" si="72"/>
        <v>'WINDOWS-NCH-A-BDP-M3-LG-00'!B293</v>
      </c>
      <c r="D311" s="6" t="str">
        <f t="shared" ca="1" si="61"/>
        <v>LG-OPD-C1W-S115-49</v>
      </c>
      <c r="E311" t="str">
        <f t="shared" ca="1" si="64"/>
        <v>Family Type: 1950w x 2300h, Family: Window External Type 1 - Recessed</v>
      </c>
      <c r="F311" t="str">
        <f t="shared" ca="1" si="65"/>
        <v>Vector(X = 0.872, Y = 0.489, Z = 0.000, Length = 1.000)</v>
      </c>
      <c r="G311">
        <f t="shared" ca="1" si="66"/>
        <v>0.9</v>
      </c>
      <c r="H311">
        <f t="shared" ca="1" si="67"/>
        <v>0.5</v>
      </c>
      <c r="I311">
        <f t="shared" ca="1" si="68"/>
        <v>0</v>
      </c>
      <c r="J311" s="8">
        <f t="shared" ca="1" si="69"/>
        <v>29.054604099077146</v>
      </c>
      <c r="K311" s="9" t="str">
        <f t="shared" ca="1" si="70"/>
        <v>E</v>
      </c>
      <c r="L311">
        <f ca="1">+_xlfn.IFNA(VLOOKUP(M311,BespokeWindowsAreas!$A$1:$E$1999,1,FALSE),VLOOKUP(E311,WindowTypeArea!$B$2:$C$2000,2,FALSE))</f>
        <v>4.4850000000000003</v>
      </c>
      <c r="M311">
        <f t="shared" ca="1" si="71"/>
        <v>5573196</v>
      </c>
    </row>
    <row r="312" spans="1:13" x14ac:dyDescent="0.25">
      <c r="A312">
        <f t="shared" ca="1" si="62"/>
        <v>1</v>
      </c>
      <c r="B312">
        <f t="shared" ca="1" si="63"/>
        <v>295</v>
      </c>
      <c r="C312" t="str">
        <f t="shared" ca="1" si="72"/>
        <v>'WINDOWS-NCH-A-BDP-M3-LG-00'!B294</v>
      </c>
      <c r="D312" s="6" t="str">
        <f t="shared" ca="1" si="61"/>
        <v>LG-OPD-C1W-S115-49</v>
      </c>
      <c r="E312" t="str">
        <f t="shared" ca="1" si="64"/>
        <v>Family Type: 1950w x 2300h, Family: Window External Type 1 - Recessed</v>
      </c>
      <c r="F312" t="str">
        <f t="shared" ca="1" si="65"/>
        <v>Vector(X = 0.872, Y = 0.489, Z = 0.000, Length = 1.000)</v>
      </c>
      <c r="G312">
        <f t="shared" ca="1" si="66"/>
        <v>0.9</v>
      </c>
      <c r="H312">
        <f t="shared" ca="1" si="67"/>
        <v>0.5</v>
      </c>
      <c r="I312">
        <f t="shared" ca="1" si="68"/>
        <v>0</v>
      </c>
      <c r="J312" s="8">
        <f t="shared" ca="1" si="69"/>
        <v>29.054604099077146</v>
      </c>
      <c r="K312" s="9" t="str">
        <f t="shared" ca="1" si="70"/>
        <v>E</v>
      </c>
      <c r="L312">
        <f ca="1">+_xlfn.IFNA(VLOOKUP(M312,BespokeWindowsAreas!$A$1:$E$1999,1,FALSE),VLOOKUP(E312,WindowTypeArea!$B$2:$C$2000,2,FALSE))</f>
        <v>4.4850000000000003</v>
      </c>
      <c r="M312">
        <f t="shared" ca="1" si="71"/>
        <v>5573268</v>
      </c>
    </row>
    <row r="313" spans="1:13" x14ac:dyDescent="0.25">
      <c r="A313">
        <f t="shared" ca="1" si="62"/>
        <v>1</v>
      </c>
      <c r="B313">
        <f t="shared" ca="1" si="63"/>
        <v>296</v>
      </c>
      <c r="C313" t="str">
        <f t="shared" ca="1" si="72"/>
        <v>'WINDOWS-NCH-A-BDP-M3-LG-00'!B295</v>
      </c>
      <c r="D313" s="6" t="str">
        <f t="shared" ca="1" si="61"/>
        <v>LG-OPD-C1W-S115-49</v>
      </c>
      <c r="E313" t="str">
        <f t="shared" ca="1" si="64"/>
        <v>Family Type: 975w x 2300h, Family: Window External Type 1 - Recessed</v>
      </c>
      <c r="F313" t="str">
        <f t="shared" ca="1" si="65"/>
        <v>Vector(X = 0.872, Y = 0.489, Z = 0.000, Length = 1.000)</v>
      </c>
      <c r="G313">
        <f t="shared" ca="1" si="66"/>
        <v>0.9</v>
      </c>
      <c r="H313">
        <f t="shared" ca="1" si="67"/>
        <v>0.5</v>
      </c>
      <c r="I313">
        <f t="shared" ca="1" si="68"/>
        <v>0</v>
      </c>
      <c r="J313" s="8">
        <f t="shared" ca="1" si="69"/>
        <v>29.054604099077146</v>
      </c>
      <c r="K313" s="9" t="str">
        <f t="shared" ca="1" si="70"/>
        <v>E</v>
      </c>
      <c r="L313">
        <f ca="1">+_xlfn.IFNA(VLOOKUP(M313,BespokeWindowsAreas!$A$1:$E$1999,1,FALSE),VLOOKUP(E313,WindowTypeArea!$B$2:$C$2000,2,FALSE))</f>
        <v>2.2425000000000002</v>
      </c>
      <c r="M313">
        <f t="shared" ca="1" si="71"/>
        <v>5573424</v>
      </c>
    </row>
    <row r="314" spans="1:13" x14ac:dyDescent="0.25">
      <c r="A314">
        <f t="shared" ca="1" si="62"/>
        <v>1</v>
      </c>
      <c r="B314">
        <f t="shared" ca="1" si="63"/>
        <v>297</v>
      </c>
      <c r="C314" t="str">
        <f t="shared" ca="1" si="72"/>
        <v>'WINDOWS-NCH-A-BDP-M3-LG-00'!B296</v>
      </c>
      <c r="D314" s="6" t="str">
        <f t="shared" ca="1" si="61"/>
        <v>LG-OPD-C1W-S115-49</v>
      </c>
      <c r="E314" t="str">
        <f t="shared" ca="1" si="64"/>
        <v>Family Type: 975w x 2300h, Family: Window External Type 1 - Recessed</v>
      </c>
      <c r="F314" t="str">
        <f t="shared" ca="1" si="65"/>
        <v>Vector(X = 0.872, Y = 0.489, Z = 0.000, Length = 1.000)</v>
      </c>
      <c r="G314">
        <f t="shared" ca="1" si="66"/>
        <v>0.9</v>
      </c>
      <c r="H314">
        <f t="shared" ca="1" si="67"/>
        <v>0.5</v>
      </c>
      <c r="I314">
        <f t="shared" ca="1" si="68"/>
        <v>0</v>
      </c>
      <c r="J314" s="8">
        <f t="shared" ca="1" si="69"/>
        <v>29.054604099077146</v>
      </c>
      <c r="K314" s="9" t="str">
        <f t="shared" ca="1" si="70"/>
        <v>E</v>
      </c>
      <c r="L314">
        <f ca="1">+_xlfn.IFNA(VLOOKUP(M314,BespokeWindowsAreas!$A$1:$E$1999,1,FALSE),VLOOKUP(E314,WindowTypeArea!$B$2:$C$2000,2,FALSE))</f>
        <v>2.2425000000000002</v>
      </c>
      <c r="M314">
        <f t="shared" ca="1" si="71"/>
        <v>5573496</v>
      </c>
    </row>
    <row r="315" spans="1:13" x14ac:dyDescent="0.25">
      <c r="A315">
        <f t="shared" ca="1" si="62"/>
        <v>1</v>
      </c>
      <c r="B315">
        <f t="shared" ca="1" si="63"/>
        <v>298</v>
      </c>
      <c r="C315" t="str">
        <f t="shared" ca="1" si="72"/>
        <v>'WINDOWS-NCH-A-BDP-M3-LG-00'!B297</v>
      </c>
      <c r="D315" s="6" t="str">
        <f t="shared" ca="1" si="61"/>
        <v>LG-OPD-C1W-S115-49</v>
      </c>
      <c r="E315" t="str">
        <f t="shared" ca="1" si="64"/>
        <v>Family Type: 1950w x 2300h, Family: Window External Type 1 - Recessed</v>
      </c>
      <c r="F315" t="str">
        <f t="shared" ca="1" si="65"/>
        <v>Vector(X = 0.872, Y = 0.489, Z = 0.000, Length = 1.000)</v>
      </c>
      <c r="G315">
        <f t="shared" ca="1" si="66"/>
        <v>0.9</v>
      </c>
      <c r="H315">
        <f t="shared" ca="1" si="67"/>
        <v>0.5</v>
      </c>
      <c r="I315">
        <f t="shared" ca="1" si="68"/>
        <v>0</v>
      </c>
      <c r="J315" s="8">
        <f t="shared" ca="1" si="69"/>
        <v>29.054604099077146</v>
      </c>
      <c r="K315" s="9" t="str">
        <f t="shared" ca="1" si="70"/>
        <v>E</v>
      </c>
      <c r="L315">
        <f ca="1">+_xlfn.IFNA(VLOOKUP(M315,BespokeWindowsAreas!$A$1:$E$1999,1,FALSE),VLOOKUP(E315,WindowTypeArea!$B$2:$C$2000,2,FALSE))</f>
        <v>4.4850000000000003</v>
      </c>
      <c r="M315">
        <f t="shared" ca="1" si="71"/>
        <v>5573607</v>
      </c>
    </row>
    <row r="316" spans="1:13" x14ac:dyDescent="0.25">
      <c r="A316">
        <f t="shared" ca="1" si="62"/>
        <v>1</v>
      </c>
      <c r="B316">
        <f t="shared" ca="1" si="63"/>
        <v>299</v>
      </c>
      <c r="C316" t="str">
        <f t="shared" ca="1" si="72"/>
        <v>'WINDOWS-NCH-A-BDP-M3-LG-00'!B298</v>
      </c>
      <c r="D316" s="6" t="str">
        <f t="shared" ca="1" si="61"/>
        <v>LG-OPD-C1W-S115-49</v>
      </c>
      <c r="E316" t="str">
        <f t="shared" ca="1" si="64"/>
        <v>Family Type: 975w x 2300h, Family: Window External Type 1 - Recessed</v>
      </c>
      <c r="F316" t="str">
        <f t="shared" ca="1" si="65"/>
        <v>Vector(X = 0.872, Y = 0.489, Z = 0.000, Length = 1.000)</v>
      </c>
      <c r="G316">
        <f t="shared" ca="1" si="66"/>
        <v>0.9</v>
      </c>
      <c r="H316">
        <f t="shared" ca="1" si="67"/>
        <v>0.5</v>
      </c>
      <c r="I316">
        <f t="shared" ca="1" si="68"/>
        <v>0</v>
      </c>
      <c r="J316" s="8">
        <f t="shared" ca="1" si="69"/>
        <v>29.054604099077146</v>
      </c>
      <c r="K316" s="9" t="str">
        <f t="shared" ca="1" si="70"/>
        <v>E</v>
      </c>
      <c r="L316">
        <f ca="1">+_xlfn.IFNA(VLOOKUP(M316,BespokeWindowsAreas!$A$1:$E$1999,1,FALSE),VLOOKUP(E316,WindowTypeArea!$B$2:$C$2000,2,FALSE))</f>
        <v>2.2425000000000002</v>
      </c>
      <c r="M316">
        <f t="shared" ca="1" si="71"/>
        <v>5573717</v>
      </c>
    </row>
    <row r="317" spans="1:13" x14ac:dyDescent="0.25">
      <c r="A317">
        <f t="shared" ca="1" si="62"/>
        <v>1</v>
      </c>
      <c r="B317">
        <f t="shared" ca="1" si="63"/>
        <v>300</v>
      </c>
      <c r="C317" t="str">
        <f t="shared" ca="1" si="72"/>
        <v>'WINDOWS-NCH-A-BDP-M3-LG-00'!B299</v>
      </c>
      <c r="D317" s="6" t="str">
        <f t="shared" ca="1" si="61"/>
        <v>LG-OPD-C1W-S115-49</v>
      </c>
      <c r="E317" t="str">
        <f t="shared" ca="1" si="64"/>
        <v>Family Type: 975w x 2300h, Family: Window External Type 1 - Recessed</v>
      </c>
      <c r="F317" t="str">
        <f t="shared" ca="1" si="65"/>
        <v>Vector(X = 0.872, Y = 0.489, Z = 0.000, Length = 1.000)</v>
      </c>
      <c r="G317">
        <f t="shared" ca="1" si="66"/>
        <v>0.9</v>
      </c>
      <c r="H317">
        <f t="shared" ca="1" si="67"/>
        <v>0.5</v>
      </c>
      <c r="I317">
        <f t="shared" ca="1" si="68"/>
        <v>0</v>
      </c>
      <c r="J317" s="8">
        <f t="shared" ca="1" si="69"/>
        <v>29.054604099077146</v>
      </c>
      <c r="K317" s="9" t="str">
        <f t="shared" ca="1" si="70"/>
        <v>E</v>
      </c>
      <c r="L317">
        <f ca="1">+_xlfn.IFNA(VLOOKUP(M317,BespokeWindowsAreas!$A$1:$E$1999,1,FALSE),VLOOKUP(E317,WindowTypeArea!$B$2:$C$2000,2,FALSE))</f>
        <v>2.2425000000000002</v>
      </c>
      <c r="M317">
        <f t="shared" ca="1" si="71"/>
        <v>5573871</v>
      </c>
    </row>
    <row r="318" spans="1:13" x14ac:dyDescent="0.25">
      <c r="A318">
        <f t="shared" ca="1" si="62"/>
        <v>1</v>
      </c>
      <c r="B318">
        <f t="shared" ca="1" si="63"/>
        <v>301</v>
      </c>
      <c r="C318" t="str">
        <f t="shared" ca="1" si="72"/>
        <v>'WINDOWS-NCH-A-BDP-M3-LG-00'!B300</v>
      </c>
      <c r="D318" s="6" t="str">
        <f t="shared" ca="1" si="61"/>
        <v>LG-OPD-AUD-S123-10</v>
      </c>
      <c r="E318" t="str">
        <f t="shared" ca="1" si="64"/>
        <v>LG-OPD-AUD-S123-10</v>
      </c>
      <c r="F318">
        <f t="shared" ca="1" si="65"/>
        <v>2285686</v>
      </c>
      <c r="G318">
        <f t="shared" ca="1" si="66"/>
        <v>0</v>
      </c>
      <c r="H318">
        <f t="shared" ca="1" si="67"/>
        <v>0</v>
      </c>
      <c r="I318">
        <f t="shared" ca="1" si="68"/>
        <v>0</v>
      </c>
      <c r="J318" s="8" t="e">
        <f t="shared" ca="1" si="69"/>
        <v>#DIV/0!</v>
      </c>
      <c r="K318" s="9" t="e">
        <f t="shared" ca="1" si="70"/>
        <v>#DIV/0!</v>
      </c>
      <c r="L318" t="e">
        <f ca="1">+_xlfn.IFNA(VLOOKUP(M318,BespokeWindowsAreas!$A$1:$E$1999,1,FALSE),VLOOKUP(E318,WindowTypeArea!$B$2:$C$2000,2,FALSE))</f>
        <v>#N/A</v>
      </c>
      <c r="M318">
        <f t="shared" ca="1" si="71"/>
        <v>0</v>
      </c>
    </row>
    <row r="319" spans="1:13" x14ac:dyDescent="0.25">
      <c r="A319">
        <f t="shared" ca="1" si="62"/>
        <v>1</v>
      </c>
      <c r="B319">
        <f t="shared" ca="1" si="63"/>
        <v>302</v>
      </c>
      <c r="C319" t="str">
        <f t="shared" ca="1" si="72"/>
        <v>'WINDOWS-NCH-A-BDP-M3-LG-00'!B301</v>
      </c>
      <c r="D319" s="6" t="str">
        <f t="shared" ca="1" si="61"/>
        <v>LG-OPD-AUD-S123-10</v>
      </c>
      <c r="E319" t="str">
        <f t="shared" ca="1" si="64"/>
        <v>Family Type: 1000w x 3050h, Family: Window External Type 2 - Recessed and Fin</v>
      </c>
      <c r="F319" t="str">
        <f t="shared" ca="1" si="65"/>
        <v>Vector(X = -0.530, Y = 0.848, Z = 0.000, Length = 1.000)</v>
      </c>
      <c r="G319">
        <f t="shared" ca="1" si="66"/>
        <v>-0.5</v>
      </c>
      <c r="H319">
        <f t="shared" ca="1" si="67"/>
        <v>0.8</v>
      </c>
      <c r="I319">
        <f t="shared" ca="1" si="68"/>
        <v>0</v>
      </c>
      <c r="J319" s="8">
        <f t="shared" ca="1" si="69"/>
        <v>122.0053832080835</v>
      </c>
      <c r="K319" s="9" t="str">
        <f t="shared" ca="1" si="70"/>
        <v>N</v>
      </c>
      <c r="L319">
        <f ca="1">+_xlfn.IFNA(VLOOKUP(M319,BespokeWindowsAreas!$A$1:$E$1999,1,FALSE),VLOOKUP(E319,WindowTypeArea!$B$2:$C$2000,2,FALSE))</f>
        <v>3.05</v>
      </c>
      <c r="M319">
        <f t="shared" ca="1" si="71"/>
        <v>6091444</v>
      </c>
    </row>
    <row r="320" spans="1:13" x14ac:dyDescent="0.25">
      <c r="A320">
        <f t="shared" ca="1" si="62"/>
        <v>1</v>
      </c>
      <c r="B320">
        <f t="shared" ca="1" si="63"/>
        <v>303</v>
      </c>
      <c r="C320" t="str">
        <f t="shared" ca="1" si="72"/>
        <v>'WINDOWS-NCH-A-BDP-M3-LG-00'!B302</v>
      </c>
      <c r="D320" s="6" t="str">
        <f t="shared" ca="1" si="61"/>
        <v>LG-EAF-SWI-U0836-01</v>
      </c>
      <c r="E320" t="str">
        <f t="shared" ca="1" si="64"/>
        <v>LG-EAF-SWI-U0836-01</v>
      </c>
      <c r="F320">
        <f t="shared" ca="1" si="65"/>
        <v>2286838</v>
      </c>
      <c r="G320">
        <f t="shared" ca="1" si="66"/>
        <v>0</v>
      </c>
      <c r="H320">
        <f t="shared" ca="1" si="67"/>
        <v>0</v>
      </c>
      <c r="I320">
        <f t="shared" ca="1" si="68"/>
        <v>0</v>
      </c>
      <c r="J320" s="8" t="e">
        <f t="shared" ca="1" si="69"/>
        <v>#DIV/0!</v>
      </c>
      <c r="K320" s="9" t="e">
        <f t="shared" ca="1" si="70"/>
        <v>#DIV/0!</v>
      </c>
      <c r="L320" t="e">
        <f ca="1">+_xlfn.IFNA(VLOOKUP(M320,BespokeWindowsAreas!$A$1:$E$1999,1,FALSE),VLOOKUP(E320,WindowTypeArea!$B$2:$C$2000,2,FALSE))</f>
        <v>#N/A</v>
      </c>
      <c r="M320">
        <f t="shared" ca="1" si="71"/>
        <v>0</v>
      </c>
    </row>
    <row r="321" spans="1:13" x14ac:dyDescent="0.25">
      <c r="A321">
        <f t="shared" ca="1" si="62"/>
        <v>1</v>
      </c>
      <c r="B321">
        <f t="shared" ca="1" si="63"/>
        <v>304</v>
      </c>
      <c r="C321" t="str">
        <f t="shared" ca="1" si="72"/>
        <v>'WINDOWS-NCH-A-BDP-M3-LG-00'!B303</v>
      </c>
      <c r="D321" s="6" t="str">
        <f t="shared" ca="1" si="61"/>
        <v>LG-EAF-SWI-U0836-01</v>
      </c>
      <c r="E321" t="str">
        <f t="shared" ca="1" si="64"/>
        <v>Family Type: 1950w x 2300h, Family: Window External Type 1 - Recessed</v>
      </c>
      <c r="F321" t="str">
        <f t="shared" ca="1" si="65"/>
        <v>Vector(X = 0.977, Y = 0.212, Z = 0.000, Length = 1.000)</v>
      </c>
      <c r="G321">
        <f t="shared" ca="1" si="66"/>
        <v>1</v>
      </c>
      <c r="H321">
        <f t="shared" ca="1" si="67"/>
        <v>0.2</v>
      </c>
      <c r="I321">
        <f t="shared" ca="1" si="68"/>
        <v>0</v>
      </c>
      <c r="J321" s="8">
        <f t="shared" ca="1" si="69"/>
        <v>11.309932474020215</v>
      </c>
      <c r="K321" s="9" t="str">
        <f t="shared" ca="1" si="70"/>
        <v>E</v>
      </c>
      <c r="L321">
        <f ca="1">+_xlfn.IFNA(VLOOKUP(M321,BespokeWindowsAreas!$A$1:$E$1999,1,FALSE),VLOOKUP(E321,WindowTypeArea!$B$2:$C$2000,2,FALSE))</f>
        <v>4.4850000000000003</v>
      </c>
      <c r="M321">
        <f t="shared" ca="1" si="71"/>
        <v>5565941</v>
      </c>
    </row>
    <row r="322" spans="1:13" x14ac:dyDescent="0.25">
      <c r="A322">
        <f t="shared" ca="1" si="62"/>
        <v>1</v>
      </c>
      <c r="B322">
        <f t="shared" ca="1" si="63"/>
        <v>305</v>
      </c>
      <c r="C322" t="str">
        <f t="shared" ca="1" si="72"/>
        <v>'WINDOWS-NCH-A-BDP-M3-LG-00'!B304</v>
      </c>
      <c r="D322" s="6" t="str">
        <f t="shared" ca="1" si="61"/>
        <v>LG-OPD-CC2-U0169-01</v>
      </c>
      <c r="E322" t="str">
        <f t="shared" ca="1" si="64"/>
        <v>LG-OPD-CC2-U0169-01</v>
      </c>
      <c r="F322">
        <f t="shared" ca="1" si="65"/>
        <v>2415409</v>
      </c>
      <c r="G322">
        <f t="shared" ca="1" si="66"/>
        <v>0</v>
      </c>
      <c r="H322">
        <f t="shared" ca="1" si="67"/>
        <v>0</v>
      </c>
      <c r="I322">
        <f t="shared" ca="1" si="68"/>
        <v>0</v>
      </c>
      <c r="J322" s="8" t="e">
        <f t="shared" ca="1" si="69"/>
        <v>#DIV/0!</v>
      </c>
      <c r="K322" s="9" t="e">
        <f t="shared" ca="1" si="70"/>
        <v>#DIV/0!</v>
      </c>
      <c r="L322" t="e">
        <f ca="1">+_xlfn.IFNA(VLOOKUP(M322,BespokeWindowsAreas!$A$1:$E$1999,1,FALSE),VLOOKUP(E322,WindowTypeArea!$B$2:$C$2000,2,FALSE))</f>
        <v>#N/A</v>
      </c>
      <c r="M322">
        <f t="shared" ca="1" si="71"/>
        <v>0</v>
      </c>
    </row>
    <row r="323" spans="1:13" x14ac:dyDescent="0.25">
      <c r="A323">
        <f t="shared" ca="1" si="62"/>
        <v>1</v>
      </c>
      <c r="B323">
        <f t="shared" ca="1" si="63"/>
        <v>306</v>
      </c>
      <c r="C323" t="str">
        <f t="shared" ca="1" si="72"/>
        <v>'WINDOWS-NCH-A-BDP-M3-LG-00'!B305</v>
      </c>
      <c r="D323" s="6" t="str">
        <f t="shared" ca="1" si="61"/>
        <v>LG-OPD-CC2-U0169-01</v>
      </c>
      <c r="E323" t="str">
        <f t="shared" ca="1" si="64"/>
        <v>Family Type: 1500w x 3050h, Family: Window Internal Type 2b - Recessed and Angle</v>
      </c>
      <c r="F323" t="str">
        <f t="shared" ca="1" si="65"/>
        <v>Vector(X = 0.530, Y = -0.848, Z = 0.000, Length = 1.000)</v>
      </c>
      <c r="G323">
        <f t="shared" ca="1" si="66"/>
        <v>0.5</v>
      </c>
      <c r="H323">
        <f t="shared" ca="1" si="67"/>
        <v>-0.8</v>
      </c>
      <c r="I323">
        <f t="shared" ca="1" si="68"/>
        <v>0</v>
      </c>
      <c r="J323" s="8">
        <f t="shared" ca="1" si="69"/>
        <v>-57.994616791916499</v>
      </c>
      <c r="K323" s="9" t="str">
        <f t="shared" ca="1" si="70"/>
        <v>S</v>
      </c>
      <c r="L323">
        <f ca="1">+_xlfn.IFNA(VLOOKUP(M323,BespokeWindowsAreas!$A$1:$E$1999,1,FALSE),VLOOKUP(E323,WindowTypeArea!$B$2:$C$2000,2,FALSE))</f>
        <v>4.5749999999999993</v>
      </c>
      <c r="M323">
        <f t="shared" ca="1" si="71"/>
        <v>5152703</v>
      </c>
    </row>
    <row r="324" spans="1:13" x14ac:dyDescent="0.25">
      <c r="A324">
        <f t="shared" ca="1" si="62"/>
        <v>1</v>
      </c>
      <c r="B324">
        <f t="shared" ca="1" si="63"/>
        <v>307</v>
      </c>
      <c r="C324" t="str">
        <f t="shared" ca="1" si="72"/>
        <v>'WINDOWS-NCH-A-BDP-M3-LG-00'!B306</v>
      </c>
      <c r="D324" s="6" t="str">
        <f t="shared" ca="1" si="61"/>
        <v>LG-OPD-CC2-U0169-01</v>
      </c>
      <c r="E324" t="str">
        <f t="shared" ca="1" si="64"/>
        <v>Family Type: 975w x 3050h, Family: Window Internal Type 2a - Recessed</v>
      </c>
      <c r="F324" t="str">
        <f t="shared" ca="1" si="65"/>
        <v>Vector(X = 0.530, Y = -0.848, Z = 0.000, Length = 1.000)</v>
      </c>
      <c r="G324">
        <f t="shared" ca="1" si="66"/>
        <v>0.5</v>
      </c>
      <c r="H324">
        <f t="shared" ca="1" si="67"/>
        <v>-0.8</v>
      </c>
      <c r="I324">
        <f t="shared" ca="1" si="68"/>
        <v>0</v>
      </c>
      <c r="J324" s="8">
        <f t="shared" ca="1" si="69"/>
        <v>-57.994616791916499</v>
      </c>
      <c r="K324" s="9" t="str">
        <f t="shared" ca="1" si="70"/>
        <v>S</v>
      </c>
      <c r="L324">
        <f ca="1">+_xlfn.IFNA(VLOOKUP(M324,BespokeWindowsAreas!$A$1:$E$1999,1,FALSE),VLOOKUP(E324,WindowTypeArea!$B$2:$C$2000,2,FALSE))</f>
        <v>2.9737499999999999</v>
      </c>
      <c r="M324">
        <f t="shared" ca="1" si="71"/>
        <v>6524120</v>
      </c>
    </row>
    <row r="325" spans="1:13" x14ac:dyDescent="0.25">
      <c r="A325">
        <f t="shared" ca="1" si="62"/>
        <v>1</v>
      </c>
      <c r="B325">
        <f t="shared" ca="1" si="63"/>
        <v>308</v>
      </c>
      <c r="C325" t="str">
        <f t="shared" ca="1" si="72"/>
        <v>'WINDOWS-NCH-A-BDP-M3-LG-00'!B307</v>
      </c>
      <c r="D325" s="6" t="str">
        <f t="shared" ca="1" si="61"/>
        <v>LG-CIR-CIR-C006-01</v>
      </c>
      <c r="E325" t="str">
        <f t="shared" ca="1" si="64"/>
        <v>LG-CIR-CIR-C006-01</v>
      </c>
      <c r="F325">
        <f t="shared" ca="1" si="65"/>
        <v>2464044</v>
      </c>
      <c r="G325">
        <f t="shared" ca="1" si="66"/>
        <v>0</v>
      </c>
      <c r="H325">
        <f t="shared" ca="1" si="67"/>
        <v>0</v>
      </c>
      <c r="I325">
        <f t="shared" ca="1" si="68"/>
        <v>0</v>
      </c>
      <c r="J325" s="8" t="e">
        <f t="shared" ca="1" si="69"/>
        <v>#DIV/0!</v>
      </c>
      <c r="K325" s="9" t="e">
        <f t="shared" ca="1" si="70"/>
        <v>#DIV/0!</v>
      </c>
      <c r="L325" t="e">
        <f ca="1">+_xlfn.IFNA(VLOOKUP(M325,BespokeWindowsAreas!$A$1:$E$1999,1,FALSE),VLOOKUP(E325,WindowTypeArea!$B$2:$C$2000,2,FALSE))</f>
        <v>#N/A</v>
      </c>
      <c r="M325">
        <f t="shared" ca="1" si="71"/>
        <v>0</v>
      </c>
    </row>
    <row r="326" spans="1:13" x14ac:dyDescent="0.25">
      <c r="A326">
        <f t="shared" ca="1" si="62"/>
        <v>1</v>
      </c>
      <c r="B326">
        <f t="shared" ca="1" si="63"/>
        <v>309</v>
      </c>
      <c r="C326" t="str">
        <f t="shared" ca="1" si="72"/>
        <v>'WINDOWS-NCH-A-BDP-M3-LG-00'!B308</v>
      </c>
      <c r="D326" s="6" t="str">
        <f t="shared" ref="D326:D389" ca="1" si="73">+IF(IFERROR(FIND("Family",E326)&gt;0,FALSE),D325,E326)</f>
        <v>LG-CIR-CIR-C006-01</v>
      </c>
      <c r="E326" t="str">
        <f t="shared" ca="1" si="64"/>
        <v>Family Type: 1950w x 3050h, Family: Window External Type 3 - Recessed and Angle</v>
      </c>
      <c r="F326" t="str">
        <f t="shared" ca="1" si="65"/>
        <v>Vector(X = 0.212, Y = -0.977, Z = 0.000, Length = 1.000)</v>
      </c>
      <c r="G326">
        <f t="shared" ca="1" si="66"/>
        <v>0.2</v>
      </c>
      <c r="H326">
        <f t="shared" ca="1" si="67"/>
        <v>-1</v>
      </c>
      <c r="I326">
        <f t="shared" ca="1" si="68"/>
        <v>0</v>
      </c>
      <c r="J326" s="8">
        <f t="shared" ca="1" si="69"/>
        <v>-78.690067525979785</v>
      </c>
      <c r="K326" s="9" t="str">
        <f t="shared" ca="1" si="70"/>
        <v>S</v>
      </c>
      <c r="L326">
        <f ca="1">+_xlfn.IFNA(VLOOKUP(M326,BespokeWindowsAreas!$A$1:$E$1999,1,FALSE),VLOOKUP(E326,WindowTypeArea!$B$2:$C$2000,2,FALSE))</f>
        <v>5.9474999999999998</v>
      </c>
      <c r="M326">
        <f t="shared" ca="1" si="71"/>
        <v>4865746</v>
      </c>
    </row>
    <row r="327" spans="1:13" x14ac:dyDescent="0.25">
      <c r="A327">
        <f t="shared" ca="1" si="62"/>
        <v>1</v>
      </c>
      <c r="B327">
        <f t="shared" ca="1" si="63"/>
        <v>310</v>
      </c>
      <c r="C327" t="str">
        <f t="shared" ca="1" si="72"/>
        <v>'WINDOWS-NCH-A-BDP-M3-LG-00'!B309</v>
      </c>
      <c r="D327" s="6" t="str">
        <f t="shared" ca="1" si="73"/>
        <v>LG-OPD-CC1-S156-01</v>
      </c>
      <c r="E327" t="str">
        <f t="shared" ca="1" si="64"/>
        <v>LG-OPD-CC1-S156-01</v>
      </c>
      <c r="F327">
        <f t="shared" ca="1" si="65"/>
        <v>2465328</v>
      </c>
      <c r="G327">
        <f t="shared" ca="1" si="66"/>
        <v>0</v>
      </c>
      <c r="H327">
        <f t="shared" ca="1" si="67"/>
        <v>0</v>
      </c>
      <c r="I327">
        <f t="shared" ca="1" si="68"/>
        <v>0</v>
      </c>
      <c r="J327" s="8" t="e">
        <f t="shared" ca="1" si="69"/>
        <v>#DIV/0!</v>
      </c>
      <c r="K327" s="9" t="e">
        <f t="shared" ca="1" si="70"/>
        <v>#DIV/0!</v>
      </c>
      <c r="L327" t="e">
        <f ca="1">+_xlfn.IFNA(VLOOKUP(M327,BespokeWindowsAreas!$A$1:$E$1999,1,FALSE),VLOOKUP(E327,WindowTypeArea!$B$2:$C$2000,2,FALSE))</f>
        <v>#N/A</v>
      </c>
      <c r="M327">
        <f t="shared" ca="1" si="71"/>
        <v>0</v>
      </c>
    </row>
    <row r="328" spans="1:13" x14ac:dyDescent="0.25">
      <c r="A328">
        <f t="shared" ca="1" si="62"/>
        <v>1</v>
      </c>
      <c r="B328">
        <f t="shared" ca="1" si="63"/>
        <v>311</v>
      </c>
      <c r="C328" t="str">
        <f t="shared" ca="1" si="72"/>
        <v>'WINDOWS-NCH-A-BDP-M3-LG-00'!B310</v>
      </c>
      <c r="D328" s="6" t="str">
        <f t="shared" ca="1" si="73"/>
        <v>LG-OPD-CC1-S156-01</v>
      </c>
      <c r="E328" t="str">
        <f t="shared" ca="1" si="64"/>
        <v>Family Type: 1000w x 3050h, Family: Window External Type 4 - Extruded</v>
      </c>
      <c r="F328" t="str">
        <f t="shared" ca="1" si="65"/>
        <v>Vector(X = 0.212, Y = -0.977, Z = 0.000, Length = 1.000)</v>
      </c>
      <c r="G328">
        <f t="shared" ca="1" si="66"/>
        <v>0.2</v>
      </c>
      <c r="H328">
        <f t="shared" ca="1" si="67"/>
        <v>-1</v>
      </c>
      <c r="I328">
        <f t="shared" ca="1" si="68"/>
        <v>0</v>
      </c>
      <c r="J328" s="8">
        <f t="shared" ca="1" si="69"/>
        <v>-78.690067525979785</v>
      </c>
      <c r="K328" s="9" t="str">
        <f t="shared" ca="1" si="70"/>
        <v>S</v>
      </c>
      <c r="L328">
        <f ca="1">+_xlfn.IFNA(VLOOKUP(M328,BespokeWindowsAreas!$A$1:$E$1999,1,FALSE),VLOOKUP(E328,WindowTypeArea!$B$2:$C$2000,2,FALSE))</f>
        <v>3.05</v>
      </c>
      <c r="M328">
        <f t="shared" ca="1" si="71"/>
        <v>4871481</v>
      </c>
    </row>
    <row r="329" spans="1:13" x14ac:dyDescent="0.25">
      <c r="A329">
        <f t="shared" ca="1" si="62"/>
        <v>1</v>
      </c>
      <c r="B329">
        <f t="shared" ca="1" si="63"/>
        <v>312</v>
      </c>
      <c r="C329" t="str">
        <f t="shared" ca="1" si="72"/>
        <v>'WINDOWS-NCH-A-BDP-M3-LG-00'!B311</v>
      </c>
      <c r="D329" s="6" t="str">
        <f t="shared" ca="1" si="73"/>
        <v>none</v>
      </c>
      <c r="E329" t="str">
        <f t="shared" ca="1" si="64"/>
        <v>none</v>
      </c>
      <c r="F329">
        <f t="shared" ca="1" si="65"/>
        <v>2465329</v>
      </c>
      <c r="G329">
        <f t="shared" ca="1" si="66"/>
        <v>0</v>
      </c>
      <c r="H329">
        <f t="shared" ca="1" si="67"/>
        <v>0</v>
      </c>
      <c r="I329">
        <f t="shared" ca="1" si="68"/>
        <v>0</v>
      </c>
      <c r="J329" s="8" t="e">
        <f t="shared" ca="1" si="69"/>
        <v>#DIV/0!</v>
      </c>
      <c r="K329" s="9" t="e">
        <f t="shared" ca="1" si="70"/>
        <v>#DIV/0!</v>
      </c>
      <c r="L329" t="e">
        <f ca="1">+_xlfn.IFNA(VLOOKUP(M329,BespokeWindowsAreas!$A$1:$E$1999,1,FALSE),VLOOKUP(E329,WindowTypeArea!$B$2:$C$2000,2,FALSE))</f>
        <v>#N/A</v>
      </c>
      <c r="M329">
        <f t="shared" ca="1" si="71"/>
        <v>0</v>
      </c>
    </row>
    <row r="330" spans="1:13" x14ac:dyDescent="0.25">
      <c r="A330">
        <f t="shared" ca="1" si="62"/>
        <v>1</v>
      </c>
      <c r="B330">
        <f t="shared" ca="1" si="63"/>
        <v>313</v>
      </c>
      <c r="C330" t="str">
        <f t="shared" ca="1" si="72"/>
        <v>'WINDOWS-NCH-A-BDP-M3-LG-00'!B312</v>
      </c>
      <c r="D330" s="6" t="str">
        <f t="shared" ca="1" si="73"/>
        <v>none</v>
      </c>
      <c r="E330" t="str">
        <f t="shared" ca="1" si="64"/>
        <v>Family Type: 1000w x 3050h, Family: Window External Type 4 - Extruded</v>
      </c>
      <c r="F330" t="str">
        <f t="shared" ca="1" si="65"/>
        <v>Vector(X = 0.212, Y = -0.977, Z = 0.000, Length = 1.000)</v>
      </c>
      <c r="G330">
        <f t="shared" ca="1" si="66"/>
        <v>0.2</v>
      </c>
      <c r="H330">
        <f t="shared" ca="1" si="67"/>
        <v>-1</v>
      </c>
      <c r="I330">
        <f t="shared" ca="1" si="68"/>
        <v>0</v>
      </c>
      <c r="J330" s="8">
        <f t="shared" ca="1" si="69"/>
        <v>-78.690067525979785</v>
      </c>
      <c r="K330" s="9" t="str">
        <f t="shared" ca="1" si="70"/>
        <v>S</v>
      </c>
      <c r="L330">
        <f ca="1">+_xlfn.IFNA(VLOOKUP(M330,BespokeWindowsAreas!$A$1:$E$1999,1,FALSE),VLOOKUP(E330,WindowTypeArea!$B$2:$C$2000,2,FALSE))</f>
        <v>3.05</v>
      </c>
      <c r="M330">
        <f t="shared" ca="1" si="71"/>
        <v>4871481</v>
      </c>
    </row>
    <row r="331" spans="1:13" x14ac:dyDescent="0.25">
      <c r="A331">
        <f t="shared" ca="1" si="62"/>
        <v>1</v>
      </c>
      <c r="B331">
        <f t="shared" ca="1" si="63"/>
        <v>314</v>
      </c>
      <c r="C331" t="str">
        <f t="shared" ca="1" si="72"/>
        <v>'WINDOWS-NCH-A-BDP-M3-LG-00'!B313</v>
      </c>
      <c r="D331" s="6" t="str">
        <f t="shared" ca="1" si="73"/>
        <v>LG-OPD-CC1-S156-06</v>
      </c>
      <c r="E331" t="str">
        <f t="shared" ca="1" si="64"/>
        <v>LG-OPD-CC1-S156-06</v>
      </c>
      <c r="F331">
        <f t="shared" ca="1" si="65"/>
        <v>2465333</v>
      </c>
      <c r="G331">
        <f t="shared" ca="1" si="66"/>
        <v>0</v>
      </c>
      <c r="H331">
        <f t="shared" ca="1" si="67"/>
        <v>0</v>
      </c>
      <c r="I331">
        <f t="shared" ca="1" si="68"/>
        <v>0</v>
      </c>
      <c r="J331" s="8" t="e">
        <f t="shared" ca="1" si="69"/>
        <v>#DIV/0!</v>
      </c>
      <c r="K331" s="9" t="e">
        <f t="shared" ca="1" si="70"/>
        <v>#DIV/0!</v>
      </c>
      <c r="L331" t="e">
        <f ca="1">+_xlfn.IFNA(VLOOKUP(M331,BespokeWindowsAreas!$A$1:$E$1999,1,FALSE),VLOOKUP(E331,WindowTypeArea!$B$2:$C$2000,2,FALSE))</f>
        <v>#N/A</v>
      </c>
      <c r="M331">
        <f t="shared" ca="1" si="71"/>
        <v>0</v>
      </c>
    </row>
    <row r="332" spans="1:13" x14ac:dyDescent="0.25">
      <c r="A332">
        <f t="shared" ca="1" si="62"/>
        <v>1</v>
      </c>
      <c r="B332">
        <f t="shared" ca="1" si="63"/>
        <v>315</v>
      </c>
      <c r="C332" t="str">
        <f t="shared" ca="1" si="72"/>
        <v>'WINDOWS-NCH-A-BDP-M3-LG-00'!B314</v>
      </c>
      <c r="D332" s="6" t="str">
        <f t="shared" ca="1" si="73"/>
        <v>LG-OPD-CC1-S156-06</v>
      </c>
      <c r="E332" t="str">
        <f t="shared" ca="1" si="64"/>
        <v>Family Type: 1950w x 3050h, Family: Window External Type 3 - Recessed and Angle</v>
      </c>
      <c r="F332" t="str">
        <f t="shared" ca="1" si="65"/>
        <v>Vector(X = 0.212, Y = -0.977, Z = 0.000, Length = 1.000)</v>
      </c>
      <c r="G332">
        <f t="shared" ca="1" si="66"/>
        <v>0.2</v>
      </c>
      <c r="H332">
        <f t="shared" ca="1" si="67"/>
        <v>-1</v>
      </c>
      <c r="I332">
        <f t="shared" ca="1" si="68"/>
        <v>0</v>
      </c>
      <c r="J332" s="8">
        <f t="shared" ca="1" si="69"/>
        <v>-78.690067525979785</v>
      </c>
      <c r="K332" s="9" t="str">
        <f t="shared" ca="1" si="70"/>
        <v>S</v>
      </c>
      <c r="L332">
        <f ca="1">+_xlfn.IFNA(VLOOKUP(M332,BespokeWindowsAreas!$A$1:$E$1999,1,FALSE),VLOOKUP(E332,WindowTypeArea!$B$2:$C$2000,2,FALSE))</f>
        <v>5.9474999999999998</v>
      </c>
      <c r="M332">
        <f t="shared" ca="1" si="71"/>
        <v>4871508</v>
      </c>
    </row>
    <row r="333" spans="1:13" x14ac:dyDescent="0.25">
      <c r="A333">
        <f t="shared" ca="1" si="62"/>
        <v>1</v>
      </c>
      <c r="B333">
        <f t="shared" ca="1" si="63"/>
        <v>316</v>
      </c>
      <c r="C333" t="str">
        <f t="shared" ca="1" si="72"/>
        <v>'WINDOWS-NCH-A-BDP-M3-LG-00'!B315</v>
      </c>
      <c r="D333" s="6" t="str">
        <f t="shared" ca="1" si="73"/>
        <v>LG-OPD-CC1-S156-06</v>
      </c>
      <c r="E333" t="str">
        <f t="shared" ca="1" si="64"/>
        <v>Family Type: 1000w x 3050h, Family: Window External Type 2 - Recessed and Fin</v>
      </c>
      <c r="F333" t="str">
        <f t="shared" ca="1" si="65"/>
        <v>Vector(X = 0.212, Y = -0.977, Z = 0.000, Length = 1.000)</v>
      </c>
      <c r="G333">
        <f t="shared" ca="1" si="66"/>
        <v>0.2</v>
      </c>
      <c r="H333">
        <f t="shared" ca="1" si="67"/>
        <v>-1</v>
      </c>
      <c r="I333">
        <f t="shared" ca="1" si="68"/>
        <v>0</v>
      </c>
      <c r="J333" s="8">
        <f t="shared" ca="1" si="69"/>
        <v>-78.690067525979785</v>
      </c>
      <c r="K333" s="9" t="str">
        <f t="shared" ca="1" si="70"/>
        <v>S</v>
      </c>
      <c r="L333">
        <f ca="1">+_xlfn.IFNA(VLOOKUP(M333,BespokeWindowsAreas!$A$1:$E$1999,1,FALSE),VLOOKUP(E333,WindowTypeArea!$B$2:$C$2000,2,FALSE))</f>
        <v>3.05</v>
      </c>
      <c r="M333">
        <f t="shared" ca="1" si="71"/>
        <v>4872045</v>
      </c>
    </row>
    <row r="334" spans="1:13" x14ac:dyDescent="0.25">
      <c r="A334">
        <f t="shared" ca="1" si="62"/>
        <v>1</v>
      </c>
      <c r="B334">
        <f t="shared" ca="1" si="63"/>
        <v>317</v>
      </c>
      <c r="C334" t="str">
        <f t="shared" ca="1" si="72"/>
        <v>'WINDOWS-NCH-A-BDP-M3-LG-00'!B316</v>
      </c>
      <c r="D334" s="6" t="str">
        <f t="shared" ca="1" si="73"/>
        <v>LG-OPD-CC1-S156-09</v>
      </c>
      <c r="E334" t="str">
        <f t="shared" ca="1" si="64"/>
        <v>LG-OPD-CC1-S156-09</v>
      </c>
      <c r="F334">
        <f t="shared" ca="1" si="65"/>
        <v>2465336</v>
      </c>
      <c r="G334">
        <f t="shared" ca="1" si="66"/>
        <v>0</v>
      </c>
      <c r="H334">
        <f t="shared" ca="1" si="67"/>
        <v>0</v>
      </c>
      <c r="I334">
        <f t="shared" ca="1" si="68"/>
        <v>0</v>
      </c>
      <c r="J334" s="8" t="e">
        <f t="shared" ca="1" si="69"/>
        <v>#DIV/0!</v>
      </c>
      <c r="K334" s="9" t="e">
        <f t="shared" ca="1" si="70"/>
        <v>#DIV/0!</v>
      </c>
      <c r="L334" t="e">
        <f ca="1">+_xlfn.IFNA(VLOOKUP(M334,BespokeWindowsAreas!$A$1:$E$1999,1,FALSE),VLOOKUP(E334,WindowTypeArea!$B$2:$C$2000,2,FALSE))</f>
        <v>#N/A</v>
      </c>
      <c r="M334">
        <f t="shared" ca="1" si="71"/>
        <v>0</v>
      </c>
    </row>
    <row r="335" spans="1:13" x14ac:dyDescent="0.25">
      <c r="A335">
        <f t="shared" ca="1" si="62"/>
        <v>1</v>
      </c>
      <c r="B335">
        <f t="shared" ca="1" si="63"/>
        <v>318</v>
      </c>
      <c r="C335" t="str">
        <f t="shared" ca="1" si="72"/>
        <v>'WINDOWS-NCH-A-BDP-M3-LG-00'!B317</v>
      </c>
      <c r="D335" s="6" t="str">
        <f t="shared" ca="1" si="73"/>
        <v>LG-OPD-CC1-S156-09</v>
      </c>
      <c r="E335" t="str">
        <f t="shared" ca="1" si="64"/>
        <v>Family Type: 1500w x 3050h, Family: Window External Type 3 - Recessed and Angle</v>
      </c>
      <c r="F335" t="str">
        <f t="shared" ca="1" si="65"/>
        <v>Vector(X = 0.212, Y = -0.977, Z = 0.000, Length = 1.000)</v>
      </c>
      <c r="G335">
        <f t="shared" ca="1" si="66"/>
        <v>0.2</v>
      </c>
      <c r="H335">
        <f t="shared" ca="1" si="67"/>
        <v>-1</v>
      </c>
      <c r="I335">
        <f t="shared" ca="1" si="68"/>
        <v>0</v>
      </c>
      <c r="J335" s="8">
        <f t="shared" ca="1" si="69"/>
        <v>-78.690067525979785</v>
      </c>
      <c r="K335" s="9" t="str">
        <f t="shared" ca="1" si="70"/>
        <v>S</v>
      </c>
      <c r="L335">
        <f ca="1">+_xlfn.IFNA(VLOOKUP(M335,BespokeWindowsAreas!$A$1:$E$1999,1,FALSE),VLOOKUP(E335,WindowTypeArea!$B$2:$C$2000,2,FALSE))</f>
        <v>4.5750000000000002</v>
      </c>
      <c r="M335">
        <f t="shared" ca="1" si="71"/>
        <v>4871214</v>
      </c>
    </row>
    <row r="336" spans="1:13" x14ac:dyDescent="0.25">
      <c r="A336">
        <f t="shared" ca="1" si="62"/>
        <v>1</v>
      </c>
      <c r="B336">
        <f t="shared" ca="1" si="63"/>
        <v>319</v>
      </c>
      <c r="C336" t="str">
        <f t="shared" ca="1" si="72"/>
        <v>'WINDOWS-NCH-A-BDP-M3-LG-00'!B318</v>
      </c>
      <c r="D336" s="6" t="str">
        <f t="shared" ca="1" si="73"/>
        <v>LG-OPD-CC1-S156-10</v>
      </c>
      <c r="E336" t="str">
        <f t="shared" ca="1" si="64"/>
        <v>LG-OPD-CC1-S156-10</v>
      </c>
      <c r="F336">
        <f t="shared" ca="1" si="65"/>
        <v>2465337</v>
      </c>
      <c r="G336">
        <f t="shared" ca="1" si="66"/>
        <v>0</v>
      </c>
      <c r="H336">
        <f t="shared" ca="1" si="67"/>
        <v>0</v>
      </c>
      <c r="I336">
        <f t="shared" ca="1" si="68"/>
        <v>0</v>
      </c>
      <c r="J336" s="8" t="e">
        <f t="shared" ca="1" si="69"/>
        <v>#DIV/0!</v>
      </c>
      <c r="K336" s="9" t="e">
        <f t="shared" ca="1" si="70"/>
        <v>#DIV/0!</v>
      </c>
      <c r="L336" t="e">
        <f ca="1">+_xlfn.IFNA(VLOOKUP(M336,BespokeWindowsAreas!$A$1:$E$1999,1,FALSE),VLOOKUP(E336,WindowTypeArea!$B$2:$C$2000,2,FALSE))</f>
        <v>#N/A</v>
      </c>
      <c r="M336">
        <f t="shared" ca="1" si="71"/>
        <v>0</v>
      </c>
    </row>
    <row r="337" spans="1:13" x14ac:dyDescent="0.25">
      <c r="A337">
        <f t="shared" ca="1" si="62"/>
        <v>1</v>
      </c>
      <c r="B337">
        <f t="shared" ca="1" si="63"/>
        <v>320</v>
      </c>
      <c r="C337" t="str">
        <f t="shared" ca="1" si="72"/>
        <v>'WINDOWS-NCH-A-BDP-M3-LG-00'!B319</v>
      </c>
      <c r="D337" s="6" t="str">
        <f t="shared" ca="1" si="73"/>
        <v>LG-OPD-CC1-S156-10</v>
      </c>
      <c r="E337" t="str">
        <f t="shared" ca="1" si="64"/>
        <v>Family Type: 1000w x 3050h, Family: Window External Type 2 - Recessed and Fin</v>
      </c>
      <c r="F337" t="str">
        <f t="shared" ca="1" si="65"/>
        <v>Vector(X = 0.212, Y = -0.977, Z = 0.000, Length = 1.000)</v>
      </c>
      <c r="G337">
        <f t="shared" ca="1" si="66"/>
        <v>0.2</v>
      </c>
      <c r="H337">
        <f t="shared" ca="1" si="67"/>
        <v>-1</v>
      </c>
      <c r="I337">
        <f t="shared" ca="1" si="68"/>
        <v>0</v>
      </c>
      <c r="J337" s="8">
        <f t="shared" ca="1" si="69"/>
        <v>-78.690067525979785</v>
      </c>
      <c r="K337" s="9" t="str">
        <f t="shared" ca="1" si="70"/>
        <v>S</v>
      </c>
      <c r="L337">
        <f ca="1">+_xlfn.IFNA(VLOOKUP(M337,BespokeWindowsAreas!$A$1:$E$1999,1,FALSE),VLOOKUP(E337,WindowTypeArea!$B$2:$C$2000,2,FALSE))</f>
        <v>3.05</v>
      </c>
      <c r="M337">
        <f t="shared" ca="1" si="71"/>
        <v>4871424</v>
      </c>
    </row>
    <row r="338" spans="1:13" x14ac:dyDescent="0.25">
      <c r="A338">
        <f t="shared" ca="1" si="62"/>
        <v>1</v>
      </c>
      <c r="B338">
        <f t="shared" ca="1" si="63"/>
        <v>321</v>
      </c>
      <c r="C338" t="str">
        <f t="shared" ca="1" si="72"/>
        <v>'WINDOWS-NCH-A-BDP-M3-LG-00'!B320</v>
      </c>
      <c r="D338" s="6" t="str">
        <f t="shared" ca="1" si="73"/>
        <v>LG-OPD-CC1-S156-10</v>
      </c>
      <c r="E338" t="str">
        <f t="shared" ca="1" si="64"/>
        <v>Family Type: 1000w x 3050h, Family: Window External Type 2 - Recessed and Fin</v>
      </c>
      <c r="F338" t="str">
        <f t="shared" ca="1" si="65"/>
        <v>Vector(X = 0.212, Y = -0.977, Z = 0.000, Length = 1.000)</v>
      </c>
      <c r="G338">
        <f t="shared" ca="1" si="66"/>
        <v>0.2</v>
      </c>
      <c r="H338">
        <f t="shared" ca="1" si="67"/>
        <v>-1</v>
      </c>
      <c r="I338">
        <f t="shared" ca="1" si="68"/>
        <v>0</v>
      </c>
      <c r="J338" s="8">
        <f t="shared" ca="1" si="69"/>
        <v>-78.690067525979785</v>
      </c>
      <c r="K338" s="9" t="str">
        <f t="shared" ca="1" si="70"/>
        <v>S</v>
      </c>
      <c r="L338">
        <f ca="1">+_xlfn.IFNA(VLOOKUP(M338,BespokeWindowsAreas!$A$1:$E$1999,1,FALSE),VLOOKUP(E338,WindowTypeArea!$B$2:$C$2000,2,FALSE))</f>
        <v>3.05</v>
      </c>
      <c r="M338">
        <f t="shared" ca="1" si="71"/>
        <v>4871456</v>
      </c>
    </row>
    <row r="339" spans="1:13" x14ac:dyDescent="0.25">
      <c r="A339">
        <f t="shared" ca="1" si="62"/>
        <v>1</v>
      </c>
      <c r="B339">
        <f t="shared" ca="1" si="63"/>
        <v>322</v>
      </c>
      <c r="C339" t="str">
        <f t="shared" ca="1" si="72"/>
        <v>'WINDOWS-NCH-A-BDP-M3-LG-00'!B321</v>
      </c>
      <c r="D339" s="6" t="str">
        <f t="shared" ca="1" si="73"/>
        <v>LG-OPD-CC1-S156-11</v>
      </c>
      <c r="E339" t="str">
        <f t="shared" ca="1" si="64"/>
        <v>LG-OPD-CC1-S156-11</v>
      </c>
      <c r="F339">
        <f t="shared" ca="1" si="65"/>
        <v>2465338</v>
      </c>
      <c r="G339">
        <f t="shared" ca="1" si="66"/>
        <v>0</v>
      </c>
      <c r="H339">
        <f t="shared" ca="1" si="67"/>
        <v>0</v>
      </c>
      <c r="I339">
        <f t="shared" ca="1" si="68"/>
        <v>0</v>
      </c>
      <c r="J339" s="8" t="e">
        <f t="shared" ca="1" si="69"/>
        <v>#DIV/0!</v>
      </c>
      <c r="K339" s="9" t="e">
        <f t="shared" ca="1" si="70"/>
        <v>#DIV/0!</v>
      </c>
      <c r="L339" t="e">
        <f ca="1">+_xlfn.IFNA(VLOOKUP(M339,BespokeWindowsAreas!$A$1:$E$1999,1,FALSE),VLOOKUP(E339,WindowTypeArea!$B$2:$C$2000,2,FALSE))</f>
        <v>#N/A</v>
      </c>
      <c r="M339">
        <f t="shared" ca="1" si="71"/>
        <v>0</v>
      </c>
    </row>
    <row r="340" spans="1:13" x14ac:dyDescent="0.25">
      <c r="A340">
        <f t="shared" ref="A340:A403" ca="1" si="74">+IF(B339&lt;=VLOOKUP(MID(C340,2,26),TABS,2,FALSE),A339,+A339+1)</f>
        <v>1</v>
      </c>
      <c r="B340">
        <f t="shared" ref="B340:B403" ca="1" si="75">+IF(B339&lt;=VLOOKUP(MID(C340,2,26),TABS,2,FALSE),B339+1,1)</f>
        <v>323</v>
      </c>
      <c r="C340" t="str">
        <f t="shared" ca="1" si="72"/>
        <v>'WINDOWS-NCH-A-BDP-M3-LG-00'!B322</v>
      </c>
      <c r="D340" s="6" t="str">
        <f t="shared" ca="1" si="73"/>
        <v>LG-OPD-CC1-S156-11</v>
      </c>
      <c r="E340" t="str">
        <f t="shared" ref="E340:E403" ca="1" si="76">+OFFSET(INDIRECT(C340),0,0)</f>
        <v>Family Type: 1000w x 3050h, Family: Window External Type 4 - Extruded</v>
      </c>
      <c r="F340" t="str">
        <f t="shared" ca="1" si="65"/>
        <v>Vector(X = 0.212, Y = -0.977, Z = 0.000, Length = 1.000)</v>
      </c>
      <c r="G340">
        <f t="shared" ca="1" si="66"/>
        <v>0.2</v>
      </c>
      <c r="H340">
        <f t="shared" ca="1" si="67"/>
        <v>-1</v>
      </c>
      <c r="I340">
        <f t="shared" ca="1" si="68"/>
        <v>0</v>
      </c>
      <c r="J340" s="8">
        <f t="shared" ca="1" si="69"/>
        <v>-78.690067525979785</v>
      </c>
      <c r="K340" s="9" t="str">
        <f t="shared" ca="1" si="70"/>
        <v>S</v>
      </c>
      <c r="L340">
        <f ca="1">+_xlfn.IFNA(VLOOKUP(M340,BespokeWindowsAreas!$A$1:$E$1999,1,FALSE),VLOOKUP(E340,WindowTypeArea!$B$2:$C$2000,2,FALSE))</f>
        <v>3.05</v>
      </c>
      <c r="M340">
        <f t="shared" ca="1" si="71"/>
        <v>4871378</v>
      </c>
    </row>
    <row r="341" spans="1:13" x14ac:dyDescent="0.25">
      <c r="A341">
        <f t="shared" ca="1" si="74"/>
        <v>1</v>
      </c>
      <c r="B341">
        <f t="shared" ca="1" si="75"/>
        <v>324</v>
      </c>
      <c r="C341" t="str">
        <f t="shared" ca="1" si="72"/>
        <v>'WINDOWS-NCH-A-BDP-M3-LG-00'!B323</v>
      </c>
      <c r="D341" s="6" t="str">
        <f t="shared" ca="1" si="73"/>
        <v>LG-OPD-CC1-S156-12</v>
      </c>
      <c r="E341" t="str">
        <f t="shared" ca="1" si="76"/>
        <v>LG-OPD-CC1-S156-12</v>
      </c>
      <c r="F341">
        <f t="shared" ca="1" si="65"/>
        <v>2465339</v>
      </c>
      <c r="G341">
        <f t="shared" ca="1" si="66"/>
        <v>0</v>
      </c>
      <c r="H341">
        <f t="shared" ca="1" si="67"/>
        <v>0</v>
      </c>
      <c r="I341">
        <f t="shared" ca="1" si="68"/>
        <v>0</v>
      </c>
      <c r="J341" s="8" t="e">
        <f t="shared" ca="1" si="69"/>
        <v>#DIV/0!</v>
      </c>
      <c r="K341" s="9" t="e">
        <f t="shared" ca="1" si="70"/>
        <v>#DIV/0!</v>
      </c>
      <c r="L341" t="e">
        <f ca="1">+_xlfn.IFNA(VLOOKUP(M341,BespokeWindowsAreas!$A$1:$E$1999,1,FALSE),VLOOKUP(E341,WindowTypeArea!$B$2:$C$2000,2,FALSE))</f>
        <v>#N/A</v>
      </c>
      <c r="M341">
        <f t="shared" ca="1" si="71"/>
        <v>0</v>
      </c>
    </row>
    <row r="342" spans="1:13" x14ac:dyDescent="0.25">
      <c r="A342">
        <f t="shared" ca="1" si="74"/>
        <v>1</v>
      </c>
      <c r="B342">
        <f t="shared" ca="1" si="75"/>
        <v>325</v>
      </c>
      <c r="C342" t="str">
        <f t="shared" ca="1" si="72"/>
        <v>'WINDOWS-NCH-A-BDP-M3-LG-00'!B324</v>
      </c>
      <c r="D342" s="6" t="str">
        <f t="shared" ca="1" si="73"/>
        <v>LG-OPD-CC1-S156-12</v>
      </c>
      <c r="E342" t="str">
        <f t="shared" ca="1" si="76"/>
        <v>Family Type: 1950w x 3050h, Family: Window External Type 3 - Recessed and Angle</v>
      </c>
      <c r="F342" t="str">
        <f t="shared" ref="F342:F405" ca="1" si="77">+OFFSET(INDIRECT(C342),0,1)</f>
        <v>Vector(X = 0.212, Y = -0.977, Z = 0.000, Length = 1.000)</v>
      </c>
      <c r="G342">
        <f t="shared" ref="G342:G405" ca="1" si="78">+OFFSET(INDIRECT(C342),0,2)</f>
        <v>0.2</v>
      </c>
      <c r="H342">
        <f t="shared" ref="H342:H405" ca="1" si="79">+OFFSET(INDIRECT(C342),0,3)</f>
        <v>-1</v>
      </c>
      <c r="I342">
        <f t="shared" ref="I342:I405" ca="1" si="80">+OFFSET(INDIRECT(C342),0,4)</f>
        <v>0</v>
      </c>
      <c r="J342" s="8">
        <f t="shared" ref="J342:J405" ca="1" si="81">+DEGREES(ATAN2(G342,H342))</f>
        <v>-78.690067525979785</v>
      </c>
      <c r="K342" s="9" t="str">
        <f t="shared" ref="K342:K405" ca="1" si="82">VLOOKUP(J342,$O$20:$P$36,2,-1)</f>
        <v>S</v>
      </c>
      <c r="L342">
        <f ca="1">+_xlfn.IFNA(VLOOKUP(M342,BespokeWindowsAreas!$A$1:$E$1999,1,FALSE),VLOOKUP(E342,WindowTypeArea!$B$2:$C$2000,2,FALSE))</f>
        <v>5.9474999999999998</v>
      </c>
      <c r="M342">
        <f t="shared" ref="M342:M405" ca="1" si="83">+OFFSET(INDIRECT(C342),0,5)</f>
        <v>4870963</v>
      </c>
    </row>
    <row r="343" spans="1:13" x14ac:dyDescent="0.25">
      <c r="A343">
        <f t="shared" ca="1" si="74"/>
        <v>1</v>
      </c>
      <c r="B343">
        <f t="shared" ca="1" si="75"/>
        <v>326</v>
      </c>
      <c r="C343" t="str">
        <f t="shared" ref="C343:C406" ca="1" si="84">+"'"&amp;INDIRECT("a"&amp;A342)&amp;"'!B"&amp;B342</f>
        <v>'WINDOWS-NCH-A-BDP-M3-LG-00'!B325</v>
      </c>
      <c r="D343" s="6" t="str">
        <f t="shared" ca="1" si="73"/>
        <v>LG-OPD-CC1-S156-13</v>
      </c>
      <c r="E343" t="str">
        <f t="shared" ca="1" si="76"/>
        <v>LG-OPD-CC1-S156-13</v>
      </c>
      <c r="F343">
        <f t="shared" ca="1" si="77"/>
        <v>2465340</v>
      </c>
      <c r="G343">
        <f t="shared" ca="1" si="78"/>
        <v>0</v>
      </c>
      <c r="H343">
        <f t="shared" ca="1" si="79"/>
        <v>0</v>
      </c>
      <c r="I343">
        <f t="shared" ca="1" si="80"/>
        <v>0</v>
      </c>
      <c r="J343" s="8" t="e">
        <f t="shared" ca="1" si="81"/>
        <v>#DIV/0!</v>
      </c>
      <c r="K343" s="9" t="e">
        <f t="shared" ca="1" si="82"/>
        <v>#DIV/0!</v>
      </c>
      <c r="L343" t="e">
        <f ca="1">+_xlfn.IFNA(VLOOKUP(M343,BespokeWindowsAreas!$A$1:$E$1999,1,FALSE),VLOOKUP(E343,WindowTypeArea!$B$2:$C$2000,2,FALSE))</f>
        <v>#N/A</v>
      </c>
      <c r="M343">
        <f t="shared" ca="1" si="83"/>
        <v>0</v>
      </c>
    </row>
    <row r="344" spans="1:13" x14ac:dyDescent="0.25">
      <c r="A344">
        <f t="shared" ca="1" si="74"/>
        <v>1</v>
      </c>
      <c r="B344">
        <f t="shared" ca="1" si="75"/>
        <v>327</v>
      </c>
      <c r="C344" t="str">
        <f t="shared" ca="1" si="84"/>
        <v>'WINDOWS-NCH-A-BDP-M3-LG-00'!B326</v>
      </c>
      <c r="D344" s="6" t="str">
        <f t="shared" ca="1" si="73"/>
        <v>LG-OPD-CC1-S156-13</v>
      </c>
      <c r="E344" t="str">
        <f t="shared" ca="1" si="76"/>
        <v>Family Type: 975w x 3050h, Family: Window External Type 1 - Recessed</v>
      </c>
      <c r="F344" t="str">
        <f t="shared" ca="1" si="77"/>
        <v>Vector(X = -0.212, Y = 0.977, Z = 0.000, Length = 1.000)</v>
      </c>
      <c r="G344">
        <f t="shared" ca="1" si="78"/>
        <v>-0.2</v>
      </c>
      <c r="H344">
        <f t="shared" ca="1" si="79"/>
        <v>1</v>
      </c>
      <c r="I344">
        <f t="shared" ca="1" si="80"/>
        <v>0</v>
      </c>
      <c r="J344" s="8">
        <f t="shared" ca="1" si="81"/>
        <v>101.3099324740202</v>
      </c>
      <c r="K344" s="9" t="str">
        <f t="shared" ca="1" si="82"/>
        <v>N</v>
      </c>
      <c r="L344">
        <f ca="1">+_xlfn.IFNA(VLOOKUP(M344,BespokeWindowsAreas!$A$1:$E$1999,1,FALSE),VLOOKUP(E344,WindowTypeArea!$B$2:$C$2000,2,FALSE))</f>
        <v>2.9737499999999999</v>
      </c>
      <c r="M344">
        <f t="shared" ca="1" si="83"/>
        <v>4791398</v>
      </c>
    </row>
    <row r="345" spans="1:13" x14ac:dyDescent="0.25">
      <c r="A345">
        <f t="shared" ca="1" si="74"/>
        <v>1</v>
      </c>
      <c r="B345">
        <f t="shared" ca="1" si="75"/>
        <v>328</v>
      </c>
      <c r="C345" t="str">
        <f t="shared" ca="1" si="84"/>
        <v>'WINDOWS-NCH-A-BDP-M3-LG-00'!B327</v>
      </c>
      <c r="D345" s="6" t="str">
        <f t="shared" ca="1" si="73"/>
        <v>none</v>
      </c>
      <c r="E345" t="str">
        <f t="shared" ca="1" si="76"/>
        <v>none</v>
      </c>
      <c r="F345" t="str">
        <f t="shared" ca="1" si="77"/>
        <v>Vector(X = -0.212, Y = 0.977, Z = 0.000, Length = 1.000)</v>
      </c>
      <c r="G345">
        <f t="shared" ca="1" si="78"/>
        <v>-0.2</v>
      </c>
      <c r="H345">
        <f t="shared" ca="1" si="79"/>
        <v>1</v>
      </c>
      <c r="I345">
        <f t="shared" ca="1" si="80"/>
        <v>0</v>
      </c>
      <c r="J345" s="8">
        <f t="shared" ca="1" si="81"/>
        <v>101.3099324740202</v>
      </c>
      <c r="K345" s="9" t="str">
        <f t="shared" ca="1" si="82"/>
        <v>N</v>
      </c>
      <c r="L345" t="e">
        <f ca="1">+_xlfn.IFNA(VLOOKUP(M345,BespokeWindowsAreas!$A$1:$E$1999,1,FALSE),VLOOKUP(E345,WindowTypeArea!$B$2:$C$2000,2,FALSE))</f>
        <v>#N/A</v>
      </c>
      <c r="M345">
        <f t="shared" ca="1" si="83"/>
        <v>5149027</v>
      </c>
    </row>
    <row r="346" spans="1:13" x14ac:dyDescent="0.25">
      <c r="A346">
        <f t="shared" ca="1" si="74"/>
        <v>1</v>
      </c>
      <c r="B346">
        <f t="shared" ca="1" si="75"/>
        <v>329</v>
      </c>
      <c r="C346" t="str">
        <f t="shared" ca="1" si="84"/>
        <v>'WINDOWS-NCH-A-BDP-M3-LG-00'!B328</v>
      </c>
      <c r="D346" s="6" t="str">
        <f t="shared" ca="1" si="73"/>
        <v>LG-OPD-CC2-S156-01</v>
      </c>
      <c r="E346" t="str">
        <f t="shared" ca="1" si="76"/>
        <v>LG-OPD-CC2-S156-01</v>
      </c>
      <c r="F346">
        <f t="shared" ca="1" si="77"/>
        <v>2465341</v>
      </c>
      <c r="G346">
        <f t="shared" ca="1" si="78"/>
        <v>0</v>
      </c>
      <c r="H346">
        <f t="shared" ca="1" si="79"/>
        <v>0</v>
      </c>
      <c r="I346">
        <f t="shared" ca="1" si="80"/>
        <v>0</v>
      </c>
      <c r="J346" s="8" t="e">
        <f t="shared" ca="1" si="81"/>
        <v>#DIV/0!</v>
      </c>
      <c r="K346" s="9" t="e">
        <f t="shared" ca="1" si="82"/>
        <v>#DIV/0!</v>
      </c>
      <c r="L346" t="e">
        <f ca="1">+_xlfn.IFNA(VLOOKUP(M346,BespokeWindowsAreas!$A$1:$E$1999,1,FALSE),VLOOKUP(E346,WindowTypeArea!$B$2:$C$2000,2,FALSE))</f>
        <v>#N/A</v>
      </c>
      <c r="M346">
        <f t="shared" ca="1" si="83"/>
        <v>0</v>
      </c>
    </row>
    <row r="347" spans="1:13" x14ac:dyDescent="0.25">
      <c r="A347">
        <f t="shared" ca="1" si="74"/>
        <v>1</v>
      </c>
      <c r="B347">
        <f t="shared" ca="1" si="75"/>
        <v>330</v>
      </c>
      <c r="C347" t="str">
        <f t="shared" ca="1" si="84"/>
        <v>'WINDOWS-NCH-A-BDP-M3-LG-00'!B329</v>
      </c>
      <c r="D347" s="6" t="str">
        <f t="shared" ca="1" si="73"/>
        <v>LG-OPD-CC2-S156-01</v>
      </c>
      <c r="E347" t="str">
        <f t="shared" ca="1" si="76"/>
        <v>Family Type: 1500w x 3050h, Family: Window External Type 3 - Recessed and Angle</v>
      </c>
      <c r="F347" t="str">
        <f t="shared" ca="1" si="77"/>
        <v>Vector(X = 0.429, Y = -0.903, Z = 0.000, Length = 1.000)</v>
      </c>
      <c r="G347">
        <f t="shared" ca="1" si="78"/>
        <v>0.4</v>
      </c>
      <c r="H347">
        <f t="shared" ca="1" si="79"/>
        <v>-0.9</v>
      </c>
      <c r="I347">
        <f t="shared" ca="1" si="80"/>
        <v>0</v>
      </c>
      <c r="J347" s="8">
        <f t="shared" ca="1" si="81"/>
        <v>-66.037511025421821</v>
      </c>
      <c r="K347" s="9" t="str">
        <f t="shared" ca="1" si="82"/>
        <v>S</v>
      </c>
      <c r="L347">
        <f ca="1">+_xlfn.IFNA(VLOOKUP(M347,BespokeWindowsAreas!$A$1:$E$1999,1,FALSE),VLOOKUP(E347,WindowTypeArea!$B$2:$C$2000,2,FALSE))</f>
        <v>4.5750000000000002</v>
      </c>
      <c r="M347">
        <f t="shared" ca="1" si="83"/>
        <v>4785950</v>
      </c>
    </row>
    <row r="348" spans="1:13" x14ac:dyDescent="0.25">
      <c r="A348">
        <f t="shared" ca="1" si="74"/>
        <v>1</v>
      </c>
      <c r="B348">
        <f t="shared" ca="1" si="75"/>
        <v>331</v>
      </c>
      <c r="C348" t="str">
        <f t="shared" ca="1" si="84"/>
        <v>'WINDOWS-NCH-A-BDP-M3-LG-00'!B330</v>
      </c>
      <c r="D348" s="6" t="str">
        <f t="shared" ca="1" si="73"/>
        <v>LG-EAF-SFK-S017-01</v>
      </c>
      <c r="E348" t="str">
        <f t="shared" ca="1" si="76"/>
        <v>LG-EAF-SFK-S017-01</v>
      </c>
      <c r="F348">
        <f t="shared" ca="1" si="77"/>
        <v>2770002</v>
      </c>
      <c r="G348">
        <f t="shared" ca="1" si="78"/>
        <v>0</v>
      </c>
      <c r="H348">
        <f t="shared" ca="1" si="79"/>
        <v>0</v>
      </c>
      <c r="I348">
        <f t="shared" ca="1" si="80"/>
        <v>0</v>
      </c>
      <c r="J348" s="8" t="e">
        <f t="shared" ca="1" si="81"/>
        <v>#DIV/0!</v>
      </c>
      <c r="K348" s="9" t="e">
        <f t="shared" ca="1" si="82"/>
        <v>#DIV/0!</v>
      </c>
      <c r="L348" t="e">
        <f ca="1">+_xlfn.IFNA(VLOOKUP(M348,BespokeWindowsAreas!$A$1:$E$1999,1,FALSE),VLOOKUP(E348,WindowTypeArea!$B$2:$C$2000,2,FALSE))</f>
        <v>#N/A</v>
      </c>
      <c r="M348">
        <f t="shared" ca="1" si="83"/>
        <v>0</v>
      </c>
    </row>
    <row r="349" spans="1:13" x14ac:dyDescent="0.25">
      <c r="A349">
        <f t="shared" ca="1" si="74"/>
        <v>1</v>
      </c>
      <c r="B349">
        <f t="shared" ca="1" si="75"/>
        <v>332</v>
      </c>
      <c r="C349" t="str">
        <f t="shared" ca="1" si="84"/>
        <v>'WINDOWS-NCH-A-BDP-M3-LG-00'!B331</v>
      </c>
      <c r="D349" s="6" t="str">
        <f t="shared" ca="1" si="73"/>
        <v>LG-EAF-SFK-S017-01</v>
      </c>
      <c r="E349" t="str">
        <f t="shared" ca="1" si="76"/>
        <v>Family Type: 1950w x 2300h, Family: Window External Type 1 - Recessed</v>
      </c>
      <c r="F349" t="str">
        <f t="shared" ca="1" si="77"/>
        <v>Vector(X = 0.977, Y = 0.212, Z = 0.000, Length = 1.000)</v>
      </c>
      <c r="G349">
        <f t="shared" ca="1" si="78"/>
        <v>1</v>
      </c>
      <c r="H349">
        <f t="shared" ca="1" si="79"/>
        <v>0.2</v>
      </c>
      <c r="I349">
        <f t="shared" ca="1" si="80"/>
        <v>0</v>
      </c>
      <c r="J349" s="8">
        <f t="shared" ca="1" si="81"/>
        <v>11.309932474020215</v>
      </c>
      <c r="K349" s="9" t="str">
        <f t="shared" ca="1" si="82"/>
        <v>E</v>
      </c>
      <c r="L349">
        <f ca="1">+_xlfn.IFNA(VLOOKUP(M349,BespokeWindowsAreas!$A$1:$E$1999,1,FALSE),VLOOKUP(E349,WindowTypeArea!$B$2:$C$2000,2,FALSE))</f>
        <v>4.4850000000000003</v>
      </c>
      <c r="M349">
        <f t="shared" ca="1" si="83"/>
        <v>5256497</v>
      </c>
    </row>
    <row r="350" spans="1:13" x14ac:dyDescent="0.25">
      <c r="A350">
        <f t="shared" ca="1" si="74"/>
        <v>1</v>
      </c>
      <c r="B350">
        <f t="shared" ca="1" si="75"/>
        <v>333</v>
      </c>
      <c r="C350" t="str">
        <f t="shared" ca="1" si="84"/>
        <v>'WINDOWS-NCH-A-BDP-M3-LG-00'!B332</v>
      </c>
      <c r="D350" s="6" t="str">
        <f t="shared" ca="1" si="73"/>
        <v>LG-MAI-PUB-U1830-01</v>
      </c>
      <c r="E350" t="str">
        <f t="shared" ca="1" si="76"/>
        <v>LG-MAI-PUB-U1830-01</v>
      </c>
      <c r="F350">
        <f t="shared" ca="1" si="77"/>
        <v>2812486</v>
      </c>
      <c r="G350">
        <f t="shared" ca="1" si="78"/>
        <v>0</v>
      </c>
      <c r="H350">
        <f t="shared" ca="1" si="79"/>
        <v>0</v>
      </c>
      <c r="I350">
        <f t="shared" ca="1" si="80"/>
        <v>0</v>
      </c>
      <c r="J350" s="8" t="e">
        <f t="shared" ca="1" si="81"/>
        <v>#DIV/0!</v>
      </c>
      <c r="K350" s="9" t="e">
        <f t="shared" ca="1" si="82"/>
        <v>#DIV/0!</v>
      </c>
      <c r="L350" t="e">
        <f ca="1">+_xlfn.IFNA(VLOOKUP(M350,BespokeWindowsAreas!$A$1:$E$1999,1,FALSE),VLOOKUP(E350,WindowTypeArea!$B$2:$C$2000,2,FALSE))</f>
        <v>#N/A</v>
      </c>
      <c r="M350">
        <f t="shared" ca="1" si="83"/>
        <v>0</v>
      </c>
    </row>
    <row r="351" spans="1:13" x14ac:dyDescent="0.25">
      <c r="A351">
        <f t="shared" ca="1" si="74"/>
        <v>1</v>
      </c>
      <c r="B351">
        <f t="shared" ca="1" si="75"/>
        <v>334</v>
      </c>
      <c r="C351" t="str">
        <f t="shared" ca="1" si="84"/>
        <v>'WINDOWS-NCH-A-BDP-M3-LG-00'!B333</v>
      </c>
      <c r="D351" s="6" t="str">
        <f t="shared" ca="1" si="73"/>
        <v>LG-MAI-PUB-U1830-01</v>
      </c>
      <c r="E351" t="str">
        <f t="shared" ca="1" si="76"/>
        <v>Family Type: 1950w x 3050h, Family: Window Internal Type 1 - Flush</v>
      </c>
      <c r="F351" t="str">
        <f t="shared" ca="1" si="77"/>
        <v>Vector(X = -0.977, Y = -0.212, Z = 0.000, Length = 1.000)</v>
      </c>
      <c r="G351">
        <f t="shared" ca="1" si="78"/>
        <v>-1</v>
      </c>
      <c r="H351">
        <f t="shared" ca="1" si="79"/>
        <v>-0.2</v>
      </c>
      <c r="I351">
        <f t="shared" ca="1" si="80"/>
        <v>0</v>
      </c>
      <c r="J351" s="8">
        <f t="shared" ca="1" si="81"/>
        <v>-168.69006752597977</v>
      </c>
      <c r="K351" s="9" t="str">
        <f t="shared" ca="1" si="82"/>
        <v>W</v>
      </c>
      <c r="L351">
        <f ca="1">+_xlfn.IFNA(VLOOKUP(M351,BespokeWindowsAreas!$A$1:$E$1999,1,FALSE),VLOOKUP(E351,WindowTypeArea!$B$2:$C$2000,2,FALSE))</f>
        <v>5.9474999999999998</v>
      </c>
      <c r="M351">
        <f t="shared" ca="1" si="83"/>
        <v>6644841</v>
      </c>
    </row>
    <row r="352" spans="1:13" x14ac:dyDescent="0.25">
      <c r="A352">
        <f t="shared" ca="1" si="74"/>
        <v>1</v>
      </c>
      <c r="B352">
        <f t="shared" ca="1" si="75"/>
        <v>335</v>
      </c>
      <c r="C352" t="str">
        <f t="shared" ca="1" si="84"/>
        <v>'WINDOWS-NCH-A-BDP-M3-LG-00'!B334</v>
      </c>
      <c r="D352" s="6" t="str">
        <f t="shared" ca="1" si="73"/>
        <v>LG-MAI-PUB-U1830-01</v>
      </c>
      <c r="E352" t="str">
        <f t="shared" ca="1" si="76"/>
        <v>Family Type: 1950w x 3050h, Family: Window Internal Type 1 - Flush</v>
      </c>
      <c r="F352" t="str">
        <f t="shared" ca="1" si="77"/>
        <v>Vector(X = -0.977, Y = -0.212, Z = 0.000, Length = 1.000)</v>
      </c>
      <c r="G352">
        <f t="shared" ca="1" si="78"/>
        <v>-1</v>
      </c>
      <c r="H352">
        <f t="shared" ca="1" si="79"/>
        <v>-0.2</v>
      </c>
      <c r="I352">
        <f t="shared" ca="1" si="80"/>
        <v>0</v>
      </c>
      <c r="J352" s="8">
        <f t="shared" ca="1" si="81"/>
        <v>-168.69006752597977</v>
      </c>
      <c r="K352" s="9" t="str">
        <f t="shared" ca="1" si="82"/>
        <v>W</v>
      </c>
      <c r="L352">
        <f ca="1">+_xlfn.IFNA(VLOOKUP(M352,BespokeWindowsAreas!$A$1:$E$1999,1,FALSE),VLOOKUP(E352,WindowTypeArea!$B$2:$C$2000,2,FALSE))</f>
        <v>5.9474999999999998</v>
      </c>
      <c r="M352">
        <f t="shared" ca="1" si="83"/>
        <v>6644884</v>
      </c>
    </row>
    <row r="353" spans="1:13" x14ac:dyDescent="0.25">
      <c r="A353">
        <f t="shared" ca="1" si="74"/>
        <v>1</v>
      </c>
      <c r="B353">
        <f t="shared" ca="1" si="75"/>
        <v>336</v>
      </c>
      <c r="C353" t="str">
        <f t="shared" ca="1" si="84"/>
        <v>'WINDOWS-NCH-A-BDP-M3-LG-00'!B335</v>
      </c>
      <c r="D353" s="6" t="str">
        <f t="shared" ca="1" si="73"/>
        <v>LG-MAI-PUB-U1830-01</v>
      </c>
      <c r="E353" t="str">
        <f t="shared" ca="1" si="76"/>
        <v>Family Type: 1500w x 3050h, Family: Window Internal Type 1 - Flush</v>
      </c>
      <c r="F353" t="str">
        <f t="shared" ca="1" si="77"/>
        <v>Vector(X = -0.977, Y = -0.212, Z = 0.000, Length = 1.000)</v>
      </c>
      <c r="G353">
        <f t="shared" ca="1" si="78"/>
        <v>-1</v>
      </c>
      <c r="H353">
        <f t="shared" ca="1" si="79"/>
        <v>-0.2</v>
      </c>
      <c r="I353">
        <f t="shared" ca="1" si="80"/>
        <v>0</v>
      </c>
      <c r="J353" s="8">
        <f t="shared" ca="1" si="81"/>
        <v>-168.69006752597977</v>
      </c>
      <c r="K353" s="9" t="str">
        <f t="shared" ca="1" si="82"/>
        <v>W</v>
      </c>
      <c r="L353">
        <f ca="1">+_xlfn.IFNA(VLOOKUP(M353,BespokeWindowsAreas!$A$1:$E$1999,1,FALSE),VLOOKUP(E353,WindowTypeArea!$B$2:$C$2000,2,FALSE))</f>
        <v>4.5749999999999993</v>
      </c>
      <c r="M353">
        <f t="shared" ca="1" si="83"/>
        <v>6644933</v>
      </c>
    </row>
    <row r="354" spans="1:13" x14ac:dyDescent="0.25">
      <c r="A354">
        <f t="shared" ca="1" si="74"/>
        <v>1</v>
      </c>
      <c r="B354">
        <f t="shared" ca="1" si="75"/>
        <v>337</v>
      </c>
      <c r="C354" t="str">
        <f t="shared" ca="1" si="84"/>
        <v>'WINDOWS-NCH-A-BDP-M3-LG-00'!B336</v>
      </c>
      <c r="D354" s="6" t="str">
        <f t="shared" ca="1" si="73"/>
        <v>LG-MAI-PUB-U1830-01</v>
      </c>
      <c r="E354" t="str">
        <f t="shared" ca="1" si="76"/>
        <v>Family Type: 650w x 3050h, Family: Window Internal Type 1 - Flush</v>
      </c>
      <c r="F354" t="str">
        <f t="shared" ca="1" si="77"/>
        <v>Vector(X = -0.977, Y = -0.212, Z = 0.000, Length = 1.000)</v>
      </c>
      <c r="G354">
        <f t="shared" ca="1" si="78"/>
        <v>-1</v>
      </c>
      <c r="H354">
        <f t="shared" ca="1" si="79"/>
        <v>-0.2</v>
      </c>
      <c r="I354">
        <f t="shared" ca="1" si="80"/>
        <v>0</v>
      </c>
      <c r="J354" s="8">
        <f t="shared" ca="1" si="81"/>
        <v>-168.69006752597977</v>
      </c>
      <c r="K354" s="9" t="str">
        <f t="shared" ca="1" si="82"/>
        <v>W</v>
      </c>
      <c r="L354">
        <f ca="1">+_xlfn.IFNA(VLOOKUP(M354,BespokeWindowsAreas!$A$1:$E$1999,1,FALSE),VLOOKUP(E354,WindowTypeArea!$B$2:$C$2000,2,FALSE))</f>
        <v>1.9824999999999999</v>
      </c>
      <c r="M354">
        <f t="shared" ca="1" si="83"/>
        <v>6645027</v>
      </c>
    </row>
    <row r="355" spans="1:13" x14ac:dyDescent="0.25">
      <c r="A355">
        <f t="shared" ca="1" si="74"/>
        <v>1</v>
      </c>
      <c r="B355">
        <f t="shared" ca="1" si="75"/>
        <v>338</v>
      </c>
      <c r="C355" t="str">
        <f t="shared" ca="1" si="84"/>
        <v>'WINDOWS-NCH-A-BDP-M3-LG-00'!B337</v>
      </c>
      <c r="D355" s="6" t="str">
        <f t="shared" ca="1" si="73"/>
        <v>LG-MAI-PUB-U1830-01</v>
      </c>
      <c r="E355" t="str">
        <f t="shared" ca="1" si="76"/>
        <v>Family Type: 975w x 3050h, Family: Window Internal Type 1 - Flush</v>
      </c>
      <c r="F355" t="str">
        <f t="shared" ca="1" si="77"/>
        <v>Vector(X = -0.977, Y = -0.212, Z = 0.000, Length = 1.000)</v>
      </c>
      <c r="G355">
        <f t="shared" ca="1" si="78"/>
        <v>-1</v>
      </c>
      <c r="H355">
        <f t="shared" ca="1" si="79"/>
        <v>-0.2</v>
      </c>
      <c r="I355">
        <f t="shared" ca="1" si="80"/>
        <v>0</v>
      </c>
      <c r="J355" s="8">
        <f t="shared" ca="1" si="81"/>
        <v>-168.69006752597977</v>
      </c>
      <c r="K355" s="9" t="str">
        <f t="shared" ca="1" si="82"/>
        <v>W</v>
      </c>
      <c r="L355">
        <f ca="1">+_xlfn.IFNA(VLOOKUP(M355,BespokeWindowsAreas!$A$1:$E$1999,1,FALSE),VLOOKUP(E355,WindowTypeArea!$B$2:$C$2000,2,FALSE))</f>
        <v>2.9737499999999999</v>
      </c>
      <c r="M355">
        <f t="shared" ca="1" si="83"/>
        <v>6645055</v>
      </c>
    </row>
    <row r="356" spans="1:13" x14ac:dyDescent="0.25">
      <c r="A356">
        <f t="shared" ca="1" si="74"/>
        <v>1</v>
      </c>
      <c r="B356">
        <f t="shared" ca="1" si="75"/>
        <v>339</v>
      </c>
      <c r="C356" t="str">
        <f t="shared" ca="1" si="84"/>
        <v>'WINDOWS-NCH-A-BDP-M3-LG-00'!B338</v>
      </c>
      <c r="D356" s="6" t="str">
        <f t="shared" ca="1" si="73"/>
        <v>LG-MAI-PUB-U1830-01</v>
      </c>
      <c r="E356" t="str">
        <f t="shared" ca="1" si="76"/>
        <v>Family Type: 975w x 3050h, Family: Window Internal Type 1 - Flush</v>
      </c>
      <c r="F356" t="str">
        <f t="shared" ca="1" si="77"/>
        <v>Vector(X = -0.977, Y = -0.212, Z = 0.000, Length = 1.000)</v>
      </c>
      <c r="G356">
        <f t="shared" ca="1" si="78"/>
        <v>-1</v>
      </c>
      <c r="H356">
        <f t="shared" ca="1" si="79"/>
        <v>-0.2</v>
      </c>
      <c r="I356">
        <f t="shared" ca="1" si="80"/>
        <v>0</v>
      </c>
      <c r="J356" s="8">
        <f t="shared" ca="1" si="81"/>
        <v>-168.69006752597977</v>
      </c>
      <c r="K356" s="9" t="str">
        <f t="shared" ca="1" si="82"/>
        <v>W</v>
      </c>
      <c r="L356">
        <f ca="1">+_xlfn.IFNA(VLOOKUP(M356,BespokeWindowsAreas!$A$1:$E$1999,1,FALSE),VLOOKUP(E356,WindowTypeArea!$B$2:$C$2000,2,FALSE))</f>
        <v>2.9737499999999999</v>
      </c>
      <c r="M356">
        <f t="shared" ca="1" si="83"/>
        <v>6645096</v>
      </c>
    </row>
    <row r="357" spans="1:13" x14ac:dyDescent="0.25">
      <c r="A357">
        <f t="shared" ca="1" si="74"/>
        <v>1</v>
      </c>
      <c r="B357">
        <f t="shared" ca="1" si="75"/>
        <v>340</v>
      </c>
      <c r="C357" t="str">
        <f t="shared" ca="1" si="84"/>
        <v>'WINDOWS-NCH-A-BDP-M3-LG-00'!B339</v>
      </c>
      <c r="D357" s="6" t="str">
        <f t="shared" ca="1" si="73"/>
        <v>LG-MAI-PUB-U1830-01</v>
      </c>
      <c r="E357" t="str">
        <f t="shared" ca="1" si="76"/>
        <v>Family Type: 975w x 3050h, Family: Window Internal Type 1 - Flush</v>
      </c>
      <c r="F357" t="str">
        <f t="shared" ca="1" si="77"/>
        <v>Vector(X = -0.977, Y = -0.212, Z = 0.000, Length = 1.000)</v>
      </c>
      <c r="G357">
        <f t="shared" ca="1" si="78"/>
        <v>-1</v>
      </c>
      <c r="H357">
        <f t="shared" ca="1" si="79"/>
        <v>-0.2</v>
      </c>
      <c r="I357">
        <f t="shared" ca="1" si="80"/>
        <v>0</v>
      </c>
      <c r="J357" s="8">
        <f t="shared" ca="1" si="81"/>
        <v>-168.69006752597977</v>
      </c>
      <c r="K357" s="9" t="str">
        <f t="shared" ca="1" si="82"/>
        <v>W</v>
      </c>
      <c r="L357">
        <f ca="1">+_xlfn.IFNA(VLOOKUP(M357,BespokeWindowsAreas!$A$1:$E$1999,1,FALSE),VLOOKUP(E357,WindowTypeArea!$B$2:$C$2000,2,FALSE))</f>
        <v>2.9737499999999999</v>
      </c>
      <c r="M357">
        <f t="shared" ca="1" si="83"/>
        <v>6645160</v>
      </c>
    </row>
    <row r="358" spans="1:13" x14ac:dyDescent="0.25">
      <c r="A358">
        <f t="shared" ca="1" si="74"/>
        <v>1</v>
      </c>
      <c r="B358">
        <f t="shared" ca="1" si="75"/>
        <v>341</v>
      </c>
      <c r="C358" t="str">
        <f t="shared" ca="1" si="84"/>
        <v>'WINDOWS-NCH-A-BDP-M3-LG-00'!B340</v>
      </c>
      <c r="D358" s="6" t="str">
        <f t="shared" ca="1" si="73"/>
        <v>LG-MAI-PUB-U1830-01</v>
      </c>
      <c r="E358" t="str">
        <f t="shared" ca="1" si="76"/>
        <v>Family Type: 975w x 3050h, Family: Window Internal Type 1 - Flush</v>
      </c>
      <c r="F358" t="str">
        <f t="shared" ca="1" si="77"/>
        <v>Vector(X = -0.977, Y = -0.212, Z = 0.000, Length = 1.000)</v>
      </c>
      <c r="G358">
        <f t="shared" ca="1" si="78"/>
        <v>-1</v>
      </c>
      <c r="H358">
        <f t="shared" ca="1" si="79"/>
        <v>-0.2</v>
      </c>
      <c r="I358">
        <f t="shared" ca="1" si="80"/>
        <v>0</v>
      </c>
      <c r="J358" s="8">
        <f t="shared" ca="1" si="81"/>
        <v>-168.69006752597977</v>
      </c>
      <c r="K358" s="9" t="str">
        <f t="shared" ca="1" si="82"/>
        <v>W</v>
      </c>
      <c r="L358">
        <f ca="1">+_xlfn.IFNA(VLOOKUP(M358,BespokeWindowsAreas!$A$1:$E$1999,1,FALSE),VLOOKUP(E358,WindowTypeArea!$B$2:$C$2000,2,FALSE))</f>
        <v>2.9737499999999999</v>
      </c>
      <c r="M358">
        <f t="shared" ca="1" si="83"/>
        <v>6645186</v>
      </c>
    </row>
    <row r="359" spans="1:13" x14ac:dyDescent="0.25">
      <c r="A359">
        <f t="shared" ca="1" si="74"/>
        <v>1</v>
      </c>
      <c r="B359">
        <f t="shared" ca="1" si="75"/>
        <v>342</v>
      </c>
      <c r="C359" t="str">
        <f t="shared" ca="1" si="84"/>
        <v>'WINDOWS-NCH-A-BDP-M3-LG-00'!B341</v>
      </c>
      <c r="D359" s="6" t="str">
        <f t="shared" ca="1" si="73"/>
        <v>LG-MAI-PUB-U1830-01</v>
      </c>
      <c r="E359" t="str">
        <f t="shared" ca="1" si="76"/>
        <v>Family Type: 1500w x 3050h, Family: Window Internal Type 1 - Flush</v>
      </c>
      <c r="F359" t="str">
        <f t="shared" ca="1" si="77"/>
        <v>Vector(X = 0.212, Y = -0.977, Z = 0.000, Length = 1.000)</v>
      </c>
      <c r="G359">
        <f t="shared" ca="1" si="78"/>
        <v>0.2</v>
      </c>
      <c r="H359">
        <f t="shared" ca="1" si="79"/>
        <v>-1</v>
      </c>
      <c r="I359">
        <f t="shared" ca="1" si="80"/>
        <v>0</v>
      </c>
      <c r="J359" s="8">
        <f t="shared" ca="1" si="81"/>
        <v>-78.690067525979785</v>
      </c>
      <c r="K359" s="9" t="str">
        <f t="shared" ca="1" si="82"/>
        <v>S</v>
      </c>
      <c r="L359">
        <f ca="1">+_xlfn.IFNA(VLOOKUP(M359,BespokeWindowsAreas!$A$1:$E$1999,1,FALSE),VLOOKUP(E359,WindowTypeArea!$B$2:$C$2000,2,FALSE))</f>
        <v>4.5749999999999993</v>
      </c>
      <c r="M359">
        <f t="shared" ca="1" si="83"/>
        <v>6645376</v>
      </c>
    </row>
    <row r="360" spans="1:13" x14ac:dyDescent="0.25">
      <c r="A360">
        <f t="shared" ca="1" si="74"/>
        <v>1</v>
      </c>
      <c r="B360">
        <f t="shared" ca="1" si="75"/>
        <v>343</v>
      </c>
      <c r="C360" t="str">
        <f t="shared" ca="1" si="84"/>
        <v>'WINDOWS-NCH-A-BDP-M3-LG-00'!B342</v>
      </c>
      <c r="D360" s="6" t="str">
        <f t="shared" ca="1" si="73"/>
        <v>LG-MAI-PUB-U1830-01</v>
      </c>
      <c r="E360" t="str">
        <f t="shared" ca="1" si="76"/>
        <v>Family Type: 650w x 3050h, Family: Window Internal Type 1 - Flush</v>
      </c>
      <c r="F360" t="str">
        <f t="shared" ca="1" si="77"/>
        <v>Vector(X = 0.212, Y = -0.977, Z = 0.000, Length = 1.000)</v>
      </c>
      <c r="G360">
        <f t="shared" ca="1" si="78"/>
        <v>0.2</v>
      </c>
      <c r="H360">
        <f t="shared" ca="1" si="79"/>
        <v>-1</v>
      </c>
      <c r="I360">
        <f t="shared" ca="1" si="80"/>
        <v>0</v>
      </c>
      <c r="J360" s="8">
        <f t="shared" ca="1" si="81"/>
        <v>-78.690067525979785</v>
      </c>
      <c r="K360" s="9" t="str">
        <f t="shared" ca="1" si="82"/>
        <v>S</v>
      </c>
      <c r="L360">
        <f ca="1">+_xlfn.IFNA(VLOOKUP(M360,BespokeWindowsAreas!$A$1:$E$1999,1,FALSE),VLOOKUP(E360,WindowTypeArea!$B$2:$C$2000,2,FALSE))</f>
        <v>1.9824999999999999</v>
      </c>
      <c r="M360">
        <f t="shared" ca="1" si="83"/>
        <v>6645412</v>
      </c>
    </row>
    <row r="361" spans="1:13" x14ac:dyDescent="0.25">
      <c r="A361">
        <f t="shared" ca="1" si="74"/>
        <v>1</v>
      </c>
      <c r="B361">
        <f t="shared" ca="1" si="75"/>
        <v>344</v>
      </c>
      <c r="C361" t="str">
        <f t="shared" ca="1" si="84"/>
        <v>'WINDOWS-NCH-A-BDP-M3-LG-00'!B343</v>
      </c>
      <c r="D361" s="6" t="str">
        <f t="shared" ca="1" si="73"/>
        <v>LG-MAI-PUB-U1830-03</v>
      </c>
      <c r="E361" t="str">
        <f t="shared" ca="1" si="76"/>
        <v>LG-MAI-PUB-U1830-03</v>
      </c>
      <c r="F361">
        <f t="shared" ca="1" si="77"/>
        <v>2812503</v>
      </c>
      <c r="G361">
        <f t="shared" ca="1" si="78"/>
        <v>0</v>
      </c>
      <c r="H361">
        <f t="shared" ca="1" si="79"/>
        <v>0</v>
      </c>
      <c r="I361">
        <f t="shared" ca="1" si="80"/>
        <v>0</v>
      </c>
      <c r="J361" s="8" t="e">
        <f t="shared" ca="1" si="81"/>
        <v>#DIV/0!</v>
      </c>
      <c r="K361" s="9" t="e">
        <f t="shared" ca="1" si="82"/>
        <v>#DIV/0!</v>
      </c>
      <c r="L361" t="e">
        <f ca="1">+_xlfn.IFNA(VLOOKUP(M361,BespokeWindowsAreas!$A$1:$E$1999,1,FALSE),VLOOKUP(E361,WindowTypeArea!$B$2:$C$2000,2,FALSE))</f>
        <v>#N/A</v>
      </c>
      <c r="M361">
        <f t="shared" ca="1" si="83"/>
        <v>0</v>
      </c>
    </row>
    <row r="362" spans="1:13" x14ac:dyDescent="0.25">
      <c r="A362">
        <f t="shared" ca="1" si="74"/>
        <v>1</v>
      </c>
      <c r="B362">
        <f t="shared" ca="1" si="75"/>
        <v>345</v>
      </c>
      <c r="C362" t="str">
        <f t="shared" ca="1" si="84"/>
        <v>'WINDOWS-NCH-A-BDP-M3-LG-00'!B344</v>
      </c>
      <c r="D362" s="6" t="str">
        <f t="shared" ca="1" si="73"/>
        <v>LG-MAI-PUB-U1830-03</v>
      </c>
      <c r="E362" t="str">
        <f t="shared" ca="1" si="76"/>
        <v>Family Type: 650w x 3050h, Family: Window Internal Type 1 - Flush</v>
      </c>
      <c r="F362" t="str">
        <f t="shared" ca="1" si="77"/>
        <v>Vector(X = -0.872, Y = -0.489, Z = 0.000, Length = 1.000)</v>
      </c>
      <c r="G362">
        <f t="shared" ca="1" si="78"/>
        <v>-0.9</v>
      </c>
      <c r="H362">
        <f t="shared" ca="1" si="79"/>
        <v>-0.5</v>
      </c>
      <c r="I362">
        <f t="shared" ca="1" si="80"/>
        <v>0</v>
      </c>
      <c r="J362" s="8">
        <f t="shared" ca="1" si="81"/>
        <v>-150.94539590092285</v>
      </c>
      <c r="K362" s="9" t="str">
        <f t="shared" ca="1" si="82"/>
        <v>W</v>
      </c>
      <c r="L362">
        <f ca="1">+_xlfn.IFNA(VLOOKUP(M362,BespokeWindowsAreas!$A$1:$E$1999,1,FALSE),VLOOKUP(E362,WindowTypeArea!$B$2:$C$2000,2,FALSE))</f>
        <v>1.9824999999999999</v>
      </c>
      <c r="M362">
        <f t="shared" ca="1" si="83"/>
        <v>6103760</v>
      </c>
    </row>
    <row r="363" spans="1:13" x14ac:dyDescent="0.25">
      <c r="A363">
        <f t="shared" ca="1" si="74"/>
        <v>1</v>
      </c>
      <c r="B363">
        <f t="shared" ca="1" si="75"/>
        <v>346</v>
      </c>
      <c r="C363" t="str">
        <f t="shared" ca="1" si="84"/>
        <v>'WINDOWS-NCH-A-BDP-M3-LG-00'!B345</v>
      </c>
      <c r="D363" s="6" t="str">
        <f t="shared" ca="1" si="73"/>
        <v>LG-MAI-PUB-U1830-03</v>
      </c>
      <c r="E363" t="str">
        <f t="shared" ca="1" si="76"/>
        <v>Family Type: 650w x 3050h, Family: Window Internal Type 1 - Flush</v>
      </c>
      <c r="F363" t="str">
        <f t="shared" ca="1" si="77"/>
        <v>Vector(X = -0.872, Y = -0.489, Z = 0.000, Length = 1.000)</v>
      </c>
      <c r="G363">
        <f t="shared" ca="1" si="78"/>
        <v>-0.9</v>
      </c>
      <c r="H363">
        <f t="shared" ca="1" si="79"/>
        <v>-0.5</v>
      </c>
      <c r="I363">
        <f t="shared" ca="1" si="80"/>
        <v>0</v>
      </c>
      <c r="J363" s="8">
        <f t="shared" ca="1" si="81"/>
        <v>-150.94539590092285</v>
      </c>
      <c r="K363" s="9" t="str">
        <f t="shared" ca="1" si="82"/>
        <v>W</v>
      </c>
      <c r="L363">
        <f ca="1">+_xlfn.IFNA(VLOOKUP(M363,BespokeWindowsAreas!$A$1:$E$1999,1,FALSE),VLOOKUP(E363,WindowTypeArea!$B$2:$C$2000,2,FALSE))</f>
        <v>1.9824999999999999</v>
      </c>
      <c r="M363">
        <f t="shared" ca="1" si="83"/>
        <v>6103866</v>
      </c>
    </row>
    <row r="364" spans="1:13" x14ac:dyDescent="0.25">
      <c r="A364">
        <f t="shared" ca="1" si="74"/>
        <v>1</v>
      </c>
      <c r="B364">
        <f t="shared" ca="1" si="75"/>
        <v>347</v>
      </c>
      <c r="C364" t="str">
        <f t="shared" ca="1" si="84"/>
        <v>'WINDOWS-NCH-A-BDP-M3-LG-00'!B346</v>
      </c>
      <c r="D364" s="6" t="str">
        <f t="shared" ca="1" si="73"/>
        <v>LG-MAI-PUB-U1830-03</v>
      </c>
      <c r="E364" t="str">
        <f t="shared" ca="1" si="76"/>
        <v>Family Type: 1950w x 3050h, Family: Window Internal Type 1 - Flush</v>
      </c>
      <c r="F364" t="str">
        <f t="shared" ca="1" si="77"/>
        <v>Vector(X = -0.872, Y = -0.489, Z = 0.000, Length = 1.000)</v>
      </c>
      <c r="G364">
        <f t="shared" ca="1" si="78"/>
        <v>-0.9</v>
      </c>
      <c r="H364">
        <f t="shared" ca="1" si="79"/>
        <v>-0.5</v>
      </c>
      <c r="I364">
        <f t="shared" ca="1" si="80"/>
        <v>0</v>
      </c>
      <c r="J364" s="8">
        <f t="shared" ca="1" si="81"/>
        <v>-150.94539590092285</v>
      </c>
      <c r="K364" s="9" t="str">
        <f t="shared" ca="1" si="82"/>
        <v>W</v>
      </c>
      <c r="L364">
        <f ca="1">+_xlfn.IFNA(VLOOKUP(M364,BespokeWindowsAreas!$A$1:$E$1999,1,FALSE),VLOOKUP(E364,WindowTypeArea!$B$2:$C$2000,2,FALSE))</f>
        <v>5.9474999999999998</v>
      </c>
      <c r="M364">
        <f t="shared" ca="1" si="83"/>
        <v>6103895</v>
      </c>
    </row>
    <row r="365" spans="1:13" x14ac:dyDescent="0.25">
      <c r="A365">
        <f t="shared" ca="1" si="74"/>
        <v>1</v>
      </c>
      <c r="B365">
        <f t="shared" ca="1" si="75"/>
        <v>348</v>
      </c>
      <c r="C365" t="str">
        <f t="shared" ca="1" si="84"/>
        <v>'WINDOWS-NCH-A-BDP-M3-LG-00'!B347</v>
      </c>
      <c r="D365" s="6" t="str">
        <f t="shared" ca="1" si="73"/>
        <v>LG-MAI-PUB-U1830-03</v>
      </c>
      <c r="E365" t="str">
        <f t="shared" ca="1" si="76"/>
        <v>Family Type: 1950w x 3050h, Family: Window Internal Type 1 - Flush</v>
      </c>
      <c r="F365" t="str">
        <f t="shared" ca="1" si="77"/>
        <v>Vector(X = 0.489, Y = -0.873, Z = 0.000, Length = 1.000)</v>
      </c>
      <c r="G365">
        <f t="shared" ca="1" si="78"/>
        <v>0.5</v>
      </c>
      <c r="H365">
        <f t="shared" ca="1" si="79"/>
        <v>-0.9</v>
      </c>
      <c r="I365">
        <f t="shared" ca="1" si="80"/>
        <v>0</v>
      </c>
      <c r="J365" s="8">
        <f t="shared" ca="1" si="81"/>
        <v>-60.945395900922861</v>
      </c>
      <c r="K365" s="9" t="str">
        <f t="shared" ca="1" si="82"/>
        <v>S</v>
      </c>
      <c r="L365">
        <f ca="1">+_xlfn.IFNA(VLOOKUP(M365,BespokeWindowsAreas!$A$1:$E$1999,1,FALSE),VLOOKUP(E365,WindowTypeArea!$B$2:$C$2000,2,FALSE))</f>
        <v>5.9474999999999998</v>
      </c>
      <c r="M365">
        <f t="shared" ca="1" si="83"/>
        <v>6304433</v>
      </c>
    </row>
    <row r="366" spans="1:13" x14ac:dyDescent="0.25">
      <c r="A366">
        <f t="shared" ca="1" si="74"/>
        <v>1</v>
      </c>
      <c r="B366">
        <f t="shared" ca="1" si="75"/>
        <v>349</v>
      </c>
      <c r="C366" t="str">
        <f t="shared" ca="1" si="84"/>
        <v>'WINDOWS-NCH-A-BDP-M3-LG-00'!B348</v>
      </c>
      <c r="D366" s="6" t="str">
        <f t="shared" ca="1" si="73"/>
        <v>LG-MAI-PUB-U1830-03</v>
      </c>
      <c r="E366" t="str">
        <f t="shared" ca="1" si="76"/>
        <v>Family Type: 650w x 3050h, Family: Window Internal Type 1 - Flush</v>
      </c>
      <c r="F366" t="str">
        <f t="shared" ca="1" si="77"/>
        <v>Vector(X = 0.489, Y = -0.873, Z = 0.000, Length = 1.000)</v>
      </c>
      <c r="G366">
        <f t="shared" ca="1" si="78"/>
        <v>0.5</v>
      </c>
      <c r="H366">
        <f t="shared" ca="1" si="79"/>
        <v>-0.9</v>
      </c>
      <c r="I366">
        <f t="shared" ca="1" si="80"/>
        <v>0</v>
      </c>
      <c r="J366" s="8">
        <f t="shared" ca="1" si="81"/>
        <v>-60.945395900922861</v>
      </c>
      <c r="K366" s="9" t="str">
        <f t="shared" ca="1" si="82"/>
        <v>S</v>
      </c>
      <c r="L366">
        <f ca="1">+_xlfn.IFNA(VLOOKUP(M366,BespokeWindowsAreas!$A$1:$E$1999,1,FALSE),VLOOKUP(E366,WindowTypeArea!$B$2:$C$2000,2,FALSE))</f>
        <v>1.9824999999999999</v>
      </c>
      <c r="M366">
        <f t="shared" ca="1" si="83"/>
        <v>6304436</v>
      </c>
    </row>
    <row r="367" spans="1:13" x14ac:dyDescent="0.25">
      <c r="A367">
        <f t="shared" ca="1" si="74"/>
        <v>1</v>
      </c>
      <c r="B367">
        <f t="shared" ca="1" si="75"/>
        <v>350</v>
      </c>
      <c r="C367" t="str">
        <f t="shared" ca="1" si="84"/>
        <v>'WINDOWS-NCH-A-BDP-M3-LG-00'!B349</v>
      </c>
      <c r="D367" s="6" t="str">
        <f t="shared" ca="1" si="73"/>
        <v>LG-MAI-PUB-U1830-03</v>
      </c>
      <c r="E367" t="str">
        <f t="shared" ca="1" si="76"/>
        <v>Family Type: 650w x 3050h, Family: Window Internal Type 1 - Flush</v>
      </c>
      <c r="F367" t="str">
        <f t="shared" ca="1" si="77"/>
        <v>Vector(X = -0.872, Y = -0.489, Z = 0.000, Length = 1.000)</v>
      </c>
      <c r="G367">
        <f t="shared" ca="1" si="78"/>
        <v>-0.9</v>
      </c>
      <c r="H367">
        <f t="shared" ca="1" si="79"/>
        <v>-0.5</v>
      </c>
      <c r="I367">
        <f t="shared" ca="1" si="80"/>
        <v>0</v>
      </c>
      <c r="J367" s="8">
        <f t="shared" ca="1" si="81"/>
        <v>-150.94539590092285</v>
      </c>
      <c r="K367" s="9" t="str">
        <f t="shared" ca="1" si="82"/>
        <v>W</v>
      </c>
      <c r="L367">
        <f ca="1">+_xlfn.IFNA(VLOOKUP(M367,BespokeWindowsAreas!$A$1:$E$1999,1,FALSE),VLOOKUP(E367,WindowTypeArea!$B$2:$C$2000,2,FALSE))</f>
        <v>1.9824999999999999</v>
      </c>
      <c r="M367">
        <f t="shared" ca="1" si="83"/>
        <v>6304437</v>
      </c>
    </row>
    <row r="368" spans="1:13" x14ac:dyDescent="0.25">
      <c r="A368">
        <f t="shared" ca="1" si="74"/>
        <v>1</v>
      </c>
      <c r="B368">
        <f t="shared" ca="1" si="75"/>
        <v>351</v>
      </c>
      <c r="C368" t="str">
        <f t="shared" ca="1" si="84"/>
        <v>'WINDOWS-NCH-A-BDP-M3-LG-00'!B350</v>
      </c>
      <c r="D368" s="6" t="str">
        <f t="shared" ca="1" si="73"/>
        <v>LG-MAI-PUB-U1830-03</v>
      </c>
      <c r="E368" t="str">
        <f t="shared" ca="1" si="76"/>
        <v>Family Type: 650w x 3050h, Family: Window Internal Type 1 - Flush</v>
      </c>
      <c r="F368" t="str">
        <f t="shared" ca="1" si="77"/>
        <v>Vector(X = -0.872, Y = -0.489, Z = 0.000, Length = 1.000)</v>
      </c>
      <c r="G368">
        <f t="shared" ca="1" si="78"/>
        <v>-0.9</v>
      </c>
      <c r="H368">
        <f t="shared" ca="1" si="79"/>
        <v>-0.5</v>
      </c>
      <c r="I368">
        <f t="shared" ca="1" si="80"/>
        <v>0</v>
      </c>
      <c r="J368" s="8">
        <f t="shared" ca="1" si="81"/>
        <v>-150.94539590092285</v>
      </c>
      <c r="K368" s="9" t="str">
        <f t="shared" ca="1" si="82"/>
        <v>W</v>
      </c>
      <c r="L368">
        <f ca="1">+_xlfn.IFNA(VLOOKUP(M368,BespokeWindowsAreas!$A$1:$E$1999,1,FALSE),VLOOKUP(E368,WindowTypeArea!$B$2:$C$2000,2,FALSE))</f>
        <v>1.9824999999999999</v>
      </c>
      <c r="M368">
        <f t="shared" ca="1" si="83"/>
        <v>6304438</v>
      </c>
    </row>
    <row r="369" spans="1:13" x14ac:dyDescent="0.25">
      <c r="A369">
        <f t="shared" ca="1" si="74"/>
        <v>1</v>
      </c>
      <c r="B369">
        <f t="shared" ca="1" si="75"/>
        <v>352</v>
      </c>
      <c r="C369" t="str">
        <f t="shared" ca="1" si="84"/>
        <v>'WINDOWS-NCH-A-BDP-M3-LG-00'!B351</v>
      </c>
      <c r="D369" s="6" t="str">
        <f t="shared" ca="1" si="73"/>
        <v>LG-MAI-PUB-U1830-03</v>
      </c>
      <c r="E369" t="str">
        <f t="shared" ca="1" si="76"/>
        <v>Family Type: 1500w x 3050h, Family: Window Internal Type 1 - Flush</v>
      </c>
      <c r="F369" t="str">
        <f t="shared" ca="1" si="77"/>
        <v>Vector(X = -0.489, Y = 0.872, Z = 0.000, Length = 1.000)</v>
      </c>
      <c r="G369">
        <f t="shared" ca="1" si="78"/>
        <v>-0.5</v>
      </c>
      <c r="H369">
        <f t="shared" ca="1" si="79"/>
        <v>0.9</v>
      </c>
      <c r="I369">
        <f t="shared" ca="1" si="80"/>
        <v>0</v>
      </c>
      <c r="J369" s="8">
        <f t="shared" ca="1" si="81"/>
        <v>119.05460409907714</v>
      </c>
      <c r="K369" s="9" t="str">
        <f t="shared" ca="1" si="82"/>
        <v>N</v>
      </c>
      <c r="L369">
        <f ca="1">+_xlfn.IFNA(VLOOKUP(M369,BespokeWindowsAreas!$A$1:$E$1999,1,FALSE),VLOOKUP(E369,WindowTypeArea!$B$2:$C$2000,2,FALSE))</f>
        <v>4.5749999999999993</v>
      </c>
      <c r="M369">
        <f t="shared" ca="1" si="83"/>
        <v>6304440</v>
      </c>
    </row>
    <row r="370" spans="1:13" x14ac:dyDescent="0.25">
      <c r="A370">
        <f t="shared" ca="1" si="74"/>
        <v>1</v>
      </c>
      <c r="B370">
        <f t="shared" ca="1" si="75"/>
        <v>353</v>
      </c>
      <c r="C370" t="str">
        <f t="shared" ca="1" si="84"/>
        <v>'WINDOWS-NCH-A-BDP-M3-LG-00'!B352</v>
      </c>
      <c r="D370" s="6" t="str">
        <f t="shared" ca="1" si="73"/>
        <v>LG-MAI-PUB-U1830-03</v>
      </c>
      <c r="E370" t="str">
        <f t="shared" ca="1" si="76"/>
        <v>Family Type: 650w x 3050h, Family: Window Internal Type 1 - Flush</v>
      </c>
      <c r="F370" t="str">
        <f t="shared" ca="1" si="77"/>
        <v>Vector(X = -0.872, Y = -0.489, Z = 0.000, Length = 1.000)</v>
      </c>
      <c r="G370">
        <f t="shared" ca="1" si="78"/>
        <v>-0.9</v>
      </c>
      <c r="H370">
        <f t="shared" ca="1" si="79"/>
        <v>-0.5</v>
      </c>
      <c r="I370">
        <f t="shared" ca="1" si="80"/>
        <v>0</v>
      </c>
      <c r="J370" s="8">
        <f t="shared" ca="1" si="81"/>
        <v>-150.94539590092285</v>
      </c>
      <c r="K370" s="9" t="str">
        <f t="shared" ca="1" si="82"/>
        <v>W</v>
      </c>
      <c r="L370">
        <f ca="1">+_xlfn.IFNA(VLOOKUP(M370,BespokeWindowsAreas!$A$1:$E$1999,1,FALSE),VLOOKUP(E370,WindowTypeArea!$B$2:$C$2000,2,FALSE))</f>
        <v>1.9824999999999999</v>
      </c>
      <c r="M370">
        <f t="shared" ca="1" si="83"/>
        <v>6305126</v>
      </c>
    </row>
    <row r="371" spans="1:13" x14ac:dyDescent="0.25">
      <c r="A371">
        <f t="shared" ca="1" si="74"/>
        <v>1</v>
      </c>
      <c r="B371">
        <f t="shared" ca="1" si="75"/>
        <v>354</v>
      </c>
      <c r="C371" t="str">
        <f t="shared" ca="1" si="84"/>
        <v>'WINDOWS-NCH-A-BDP-M3-LG-00'!B353</v>
      </c>
      <c r="D371" s="6" t="str">
        <f t="shared" ca="1" si="73"/>
        <v>LG-MAI-PUB-U1830-03</v>
      </c>
      <c r="E371" t="str">
        <f t="shared" ca="1" si="76"/>
        <v>Family Type: 650w x 3050h, Family: Window Internal Type 1 - Flush</v>
      </c>
      <c r="F371" t="str">
        <f t="shared" ca="1" si="77"/>
        <v>Vector(X = 0.489, Y = -0.873, Z = 0.000, Length = 1.000)</v>
      </c>
      <c r="G371">
        <f t="shared" ca="1" si="78"/>
        <v>0.5</v>
      </c>
      <c r="H371">
        <f t="shared" ca="1" si="79"/>
        <v>-0.9</v>
      </c>
      <c r="I371">
        <f t="shared" ca="1" si="80"/>
        <v>0</v>
      </c>
      <c r="J371" s="8">
        <f t="shared" ca="1" si="81"/>
        <v>-60.945395900922861</v>
      </c>
      <c r="K371" s="9" t="str">
        <f t="shared" ca="1" si="82"/>
        <v>S</v>
      </c>
      <c r="L371">
        <f ca="1">+_xlfn.IFNA(VLOOKUP(M371,BespokeWindowsAreas!$A$1:$E$1999,1,FALSE),VLOOKUP(E371,WindowTypeArea!$B$2:$C$2000,2,FALSE))</f>
        <v>1.9824999999999999</v>
      </c>
      <c r="M371">
        <f t="shared" ca="1" si="83"/>
        <v>6694216</v>
      </c>
    </row>
    <row r="372" spans="1:13" x14ac:dyDescent="0.25">
      <c r="A372">
        <f t="shared" ca="1" si="74"/>
        <v>1</v>
      </c>
      <c r="B372">
        <f t="shared" ca="1" si="75"/>
        <v>355</v>
      </c>
      <c r="C372" t="str">
        <f t="shared" ca="1" si="84"/>
        <v>'WINDOWS-NCH-A-BDP-M3-LG-00'!B354</v>
      </c>
      <c r="D372" s="6" t="str">
        <f t="shared" ca="1" si="73"/>
        <v>LG-MAI-PUB-U1830-02</v>
      </c>
      <c r="E372" t="str">
        <f t="shared" ca="1" si="76"/>
        <v>LG-MAI-PUB-U1830-02</v>
      </c>
      <c r="F372">
        <f t="shared" ca="1" si="77"/>
        <v>2812508</v>
      </c>
      <c r="G372">
        <f t="shared" ca="1" si="78"/>
        <v>0</v>
      </c>
      <c r="H372">
        <f t="shared" ca="1" si="79"/>
        <v>0</v>
      </c>
      <c r="I372">
        <f t="shared" ca="1" si="80"/>
        <v>0</v>
      </c>
      <c r="J372" s="8" t="e">
        <f t="shared" ca="1" si="81"/>
        <v>#DIV/0!</v>
      </c>
      <c r="K372" s="9" t="e">
        <f t="shared" ca="1" si="82"/>
        <v>#DIV/0!</v>
      </c>
      <c r="L372" t="e">
        <f ca="1">+_xlfn.IFNA(VLOOKUP(M372,BespokeWindowsAreas!$A$1:$E$1999,1,FALSE),VLOOKUP(E372,WindowTypeArea!$B$2:$C$2000,2,FALSE))</f>
        <v>#N/A</v>
      </c>
      <c r="M372">
        <f t="shared" ca="1" si="83"/>
        <v>0</v>
      </c>
    </row>
    <row r="373" spans="1:13" x14ac:dyDescent="0.25">
      <c r="A373">
        <f t="shared" ca="1" si="74"/>
        <v>1</v>
      </c>
      <c r="B373">
        <f t="shared" ca="1" si="75"/>
        <v>356</v>
      </c>
      <c r="C373" t="str">
        <f t="shared" ca="1" si="84"/>
        <v>'WINDOWS-NCH-A-BDP-M3-LG-00'!B355</v>
      </c>
      <c r="D373" s="6" t="str">
        <f t="shared" ca="1" si="73"/>
        <v>LG-MAI-PUB-U1830-02</v>
      </c>
      <c r="E373" t="str">
        <f t="shared" ca="1" si="76"/>
        <v>Family Type: 1950w x 3050h, Family: Window Internal Type 1 - Flush</v>
      </c>
      <c r="F373" t="str">
        <f t="shared" ca="1" si="77"/>
        <v>Vector(X = -0.977, Y = -0.212, Z = 0.000, Length = 1.000)</v>
      </c>
      <c r="G373">
        <f t="shared" ca="1" si="78"/>
        <v>-1</v>
      </c>
      <c r="H373">
        <f t="shared" ca="1" si="79"/>
        <v>-0.2</v>
      </c>
      <c r="I373">
        <f t="shared" ca="1" si="80"/>
        <v>0</v>
      </c>
      <c r="J373" s="8">
        <f t="shared" ca="1" si="81"/>
        <v>-168.69006752597977</v>
      </c>
      <c r="K373" s="9" t="str">
        <f t="shared" ca="1" si="82"/>
        <v>W</v>
      </c>
      <c r="L373">
        <f ca="1">+_xlfn.IFNA(VLOOKUP(M373,BespokeWindowsAreas!$A$1:$E$1999,1,FALSE),VLOOKUP(E373,WindowTypeArea!$B$2:$C$2000,2,FALSE))</f>
        <v>5.9474999999999998</v>
      </c>
      <c r="M373">
        <f t="shared" ca="1" si="83"/>
        <v>6313377</v>
      </c>
    </row>
    <row r="374" spans="1:13" x14ac:dyDescent="0.25">
      <c r="A374">
        <f t="shared" ca="1" si="74"/>
        <v>1</v>
      </c>
      <c r="B374">
        <f t="shared" ca="1" si="75"/>
        <v>357</v>
      </c>
      <c r="C374" t="str">
        <f t="shared" ca="1" si="84"/>
        <v>'WINDOWS-NCH-A-BDP-M3-LG-00'!B356</v>
      </c>
      <c r="D374" s="6" t="str">
        <f t="shared" ca="1" si="73"/>
        <v>LG-MAI-PUB-U1830-02</v>
      </c>
      <c r="E374" t="str">
        <f t="shared" ca="1" si="76"/>
        <v>Family Type: 975w x 3050h, Family: Window Internal Type 1 - Flush</v>
      </c>
      <c r="F374" t="str">
        <f t="shared" ca="1" si="77"/>
        <v>Vector(X = -0.977, Y = -0.212, Z = 0.000, Length = 1.000)</v>
      </c>
      <c r="G374">
        <f t="shared" ca="1" si="78"/>
        <v>-1</v>
      </c>
      <c r="H374">
        <f t="shared" ca="1" si="79"/>
        <v>-0.2</v>
      </c>
      <c r="I374">
        <f t="shared" ca="1" si="80"/>
        <v>0</v>
      </c>
      <c r="J374" s="8">
        <f t="shared" ca="1" si="81"/>
        <v>-168.69006752597977</v>
      </c>
      <c r="K374" s="9" t="str">
        <f t="shared" ca="1" si="82"/>
        <v>W</v>
      </c>
      <c r="L374">
        <f ca="1">+_xlfn.IFNA(VLOOKUP(M374,BespokeWindowsAreas!$A$1:$E$1999,1,FALSE),VLOOKUP(E374,WindowTypeArea!$B$2:$C$2000,2,FALSE))</f>
        <v>2.9737499999999999</v>
      </c>
      <c r="M374">
        <f t="shared" ca="1" si="83"/>
        <v>6313509</v>
      </c>
    </row>
    <row r="375" spans="1:13" x14ac:dyDescent="0.25">
      <c r="A375">
        <f t="shared" ca="1" si="74"/>
        <v>1</v>
      </c>
      <c r="B375">
        <f t="shared" ca="1" si="75"/>
        <v>358</v>
      </c>
      <c r="C375" t="str">
        <f t="shared" ca="1" si="84"/>
        <v>'WINDOWS-NCH-A-BDP-M3-LG-00'!B357</v>
      </c>
      <c r="D375" s="6" t="str">
        <f t="shared" ca="1" si="73"/>
        <v>LG-MAI-PUB-U1830-02</v>
      </c>
      <c r="E375" t="str">
        <f t="shared" ca="1" si="76"/>
        <v>Family Type: 975w x 3050h, Family: Window Internal Type 1 - Flush</v>
      </c>
      <c r="F375" t="str">
        <f t="shared" ca="1" si="77"/>
        <v>Vector(X = -0.977, Y = -0.212, Z = 0.000, Length = 1.000)</v>
      </c>
      <c r="G375">
        <f t="shared" ca="1" si="78"/>
        <v>-1</v>
      </c>
      <c r="H375">
        <f t="shared" ca="1" si="79"/>
        <v>-0.2</v>
      </c>
      <c r="I375">
        <f t="shared" ca="1" si="80"/>
        <v>0</v>
      </c>
      <c r="J375" s="8">
        <f t="shared" ca="1" si="81"/>
        <v>-168.69006752597977</v>
      </c>
      <c r="K375" s="9" t="str">
        <f t="shared" ca="1" si="82"/>
        <v>W</v>
      </c>
      <c r="L375">
        <f ca="1">+_xlfn.IFNA(VLOOKUP(M375,BespokeWindowsAreas!$A$1:$E$1999,1,FALSE),VLOOKUP(E375,WindowTypeArea!$B$2:$C$2000,2,FALSE))</f>
        <v>2.9737499999999999</v>
      </c>
      <c r="M375">
        <f t="shared" ca="1" si="83"/>
        <v>6313589</v>
      </c>
    </row>
    <row r="376" spans="1:13" x14ac:dyDescent="0.25">
      <c r="A376">
        <f t="shared" ca="1" si="74"/>
        <v>1</v>
      </c>
      <c r="B376">
        <f t="shared" ca="1" si="75"/>
        <v>359</v>
      </c>
      <c r="C376" t="str">
        <f t="shared" ca="1" si="84"/>
        <v>'WINDOWS-NCH-A-BDP-M3-LG-00'!B358</v>
      </c>
      <c r="D376" s="6" t="str">
        <f t="shared" ca="1" si="73"/>
        <v>LG-MAI-PUB-U1830-02</v>
      </c>
      <c r="E376" t="str">
        <f t="shared" ca="1" si="76"/>
        <v>Family Type: 975w x 3050h, Family: Window Internal Type 1 - Flush</v>
      </c>
      <c r="F376" t="str">
        <f t="shared" ca="1" si="77"/>
        <v>Vector(X = -0.977, Y = -0.212, Z = 0.000, Length = 1.000)</v>
      </c>
      <c r="G376">
        <f t="shared" ca="1" si="78"/>
        <v>-1</v>
      </c>
      <c r="H376">
        <f t="shared" ca="1" si="79"/>
        <v>-0.2</v>
      </c>
      <c r="I376">
        <f t="shared" ca="1" si="80"/>
        <v>0</v>
      </c>
      <c r="J376" s="8">
        <f t="shared" ca="1" si="81"/>
        <v>-168.69006752597977</v>
      </c>
      <c r="K376" s="9" t="str">
        <f t="shared" ca="1" si="82"/>
        <v>W</v>
      </c>
      <c r="L376">
        <f ca="1">+_xlfn.IFNA(VLOOKUP(M376,BespokeWindowsAreas!$A$1:$E$1999,1,FALSE),VLOOKUP(E376,WindowTypeArea!$B$2:$C$2000,2,FALSE))</f>
        <v>2.9737499999999999</v>
      </c>
      <c r="M376">
        <f t="shared" ca="1" si="83"/>
        <v>6313629</v>
      </c>
    </row>
    <row r="377" spans="1:13" x14ac:dyDescent="0.25">
      <c r="A377">
        <f t="shared" ca="1" si="74"/>
        <v>1</v>
      </c>
      <c r="B377">
        <f t="shared" ca="1" si="75"/>
        <v>360</v>
      </c>
      <c r="C377" t="str">
        <f t="shared" ca="1" si="84"/>
        <v>'WINDOWS-NCH-A-BDP-M3-LG-00'!B359</v>
      </c>
      <c r="D377" s="6" t="str">
        <f t="shared" ca="1" si="73"/>
        <v>LG-MAI-PUB-U1830-02</v>
      </c>
      <c r="E377" t="str">
        <f t="shared" ca="1" si="76"/>
        <v>Family Type: 650w x 3050h, Family: Window Internal Type 1 - Flush</v>
      </c>
      <c r="F377" t="str">
        <f t="shared" ca="1" si="77"/>
        <v>Vector(X = -0.977, Y = -0.212, Z = 0.000, Length = 1.000)</v>
      </c>
      <c r="G377">
        <f t="shared" ca="1" si="78"/>
        <v>-1</v>
      </c>
      <c r="H377">
        <f t="shared" ca="1" si="79"/>
        <v>-0.2</v>
      </c>
      <c r="I377">
        <f t="shared" ca="1" si="80"/>
        <v>0</v>
      </c>
      <c r="J377" s="8">
        <f t="shared" ca="1" si="81"/>
        <v>-168.69006752597977</v>
      </c>
      <c r="K377" s="9" t="str">
        <f t="shared" ca="1" si="82"/>
        <v>W</v>
      </c>
      <c r="L377">
        <f ca="1">+_xlfn.IFNA(VLOOKUP(M377,BespokeWindowsAreas!$A$1:$E$1999,1,FALSE),VLOOKUP(E377,WindowTypeArea!$B$2:$C$2000,2,FALSE))</f>
        <v>1.9824999999999999</v>
      </c>
      <c r="M377">
        <f t="shared" ca="1" si="83"/>
        <v>6313676</v>
      </c>
    </row>
    <row r="378" spans="1:13" x14ac:dyDescent="0.25">
      <c r="A378">
        <f t="shared" ca="1" si="74"/>
        <v>1</v>
      </c>
      <c r="B378">
        <f t="shared" ca="1" si="75"/>
        <v>361</v>
      </c>
      <c r="C378" t="str">
        <f t="shared" ca="1" si="84"/>
        <v>'WINDOWS-NCH-A-BDP-M3-LG-00'!B360</v>
      </c>
      <c r="D378" s="6" t="str">
        <f t="shared" ca="1" si="73"/>
        <v>LG-MAI-PUB-U1830-02</v>
      </c>
      <c r="E378" t="str">
        <f t="shared" ca="1" si="76"/>
        <v>Family Type: 1500w x 3050h, Family: Window Internal Type 1 - Flush</v>
      </c>
      <c r="F378" t="str">
        <f t="shared" ca="1" si="77"/>
        <v>Vector(X = -0.977, Y = -0.212, Z = 0.000, Length = 1.000)</v>
      </c>
      <c r="G378">
        <f t="shared" ca="1" si="78"/>
        <v>-1</v>
      </c>
      <c r="H378">
        <f t="shared" ca="1" si="79"/>
        <v>-0.2</v>
      </c>
      <c r="I378">
        <f t="shared" ca="1" si="80"/>
        <v>0</v>
      </c>
      <c r="J378" s="8">
        <f t="shared" ca="1" si="81"/>
        <v>-168.69006752597977</v>
      </c>
      <c r="K378" s="9" t="str">
        <f t="shared" ca="1" si="82"/>
        <v>W</v>
      </c>
      <c r="L378">
        <f ca="1">+_xlfn.IFNA(VLOOKUP(M378,BespokeWindowsAreas!$A$1:$E$1999,1,FALSE),VLOOKUP(E378,WindowTypeArea!$B$2:$C$2000,2,FALSE))</f>
        <v>4.5749999999999993</v>
      </c>
      <c r="M378">
        <f t="shared" ca="1" si="83"/>
        <v>6313723</v>
      </c>
    </row>
    <row r="379" spans="1:13" x14ac:dyDescent="0.25">
      <c r="A379">
        <f t="shared" ca="1" si="74"/>
        <v>1</v>
      </c>
      <c r="B379">
        <f t="shared" ca="1" si="75"/>
        <v>362</v>
      </c>
      <c r="C379" t="str">
        <f t="shared" ca="1" si="84"/>
        <v>'WINDOWS-NCH-A-BDP-M3-LG-00'!B361</v>
      </c>
      <c r="D379" s="6" t="str">
        <f t="shared" ca="1" si="73"/>
        <v>LG-MAI-PUB-U1830-02</v>
      </c>
      <c r="E379" t="str">
        <f t="shared" ca="1" si="76"/>
        <v>Family Type: 650w x 3050h, Family: Window Internal Type 1 - Flush</v>
      </c>
      <c r="F379" t="str">
        <f t="shared" ca="1" si="77"/>
        <v>Vector(X = -0.977, Y = -0.212, Z = 0.000, Length = 1.000)</v>
      </c>
      <c r="G379">
        <f t="shared" ca="1" si="78"/>
        <v>-1</v>
      </c>
      <c r="H379">
        <f t="shared" ca="1" si="79"/>
        <v>-0.2</v>
      </c>
      <c r="I379">
        <f t="shared" ca="1" si="80"/>
        <v>0</v>
      </c>
      <c r="J379" s="8">
        <f t="shared" ca="1" si="81"/>
        <v>-168.69006752597977</v>
      </c>
      <c r="K379" s="9" t="str">
        <f t="shared" ca="1" si="82"/>
        <v>W</v>
      </c>
      <c r="L379">
        <f ca="1">+_xlfn.IFNA(VLOOKUP(M379,BespokeWindowsAreas!$A$1:$E$1999,1,FALSE),VLOOKUP(E379,WindowTypeArea!$B$2:$C$2000,2,FALSE))</f>
        <v>1.9824999999999999</v>
      </c>
      <c r="M379">
        <f t="shared" ca="1" si="83"/>
        <v>6313863</v>
      </c>
    </row>
    <row r="380" spans="1:13" x14ac:dyDescent="0.25">
      <c r="A380">
        <f t="shared" ca="1" si="74"/>
        <v>1</v>
      </c>
      <c r="B380">
        <f t="shared" ca="1" si="75"/>
        <v>363</v>
      </c>
      <c r="C380" t="str">
        <f t="shared" ca="1" si="84"/>
        <v>'WINDOWS-NCH-A-BDP-M3-LG-00'!B362</v>
      </c>
      <c r="D380" s="6" t="str">
        <f t="shared" ca="1" si="73"/>
        <v>LG-MAI-PUB-U1830-02</v>
      </c>
      <c r="E380" t="str">
        <f t="shared" ca="1" si="76"/>
        <v>Family Type: 650w x 3050h, Family: Window Internal Type 1 - Flush</v>
      </c>
      <c r="F380" t="str">
        <f t="shared" ca="1" si="77"/>
        <v>Vector(X = -0.977, Y = -0.212, Z = 0.000, Length = 1.000)</v>
      </c>
      <c r="G380">
        <f t="shared" ca="1" si="78"/>
        <v>-1</v>
      </c>
      <c r="H380">
        <f t="shared" ca="1" si="79"/>
        <v>-0.2</v>
      </c>
      <c r="I380">
        <f t="shared" ca="1" si="80"/>
        <v>0</v>
      </c>
      <c r="J380" s="8">
        <f t="shared" ca="1" si="81"/>
        <v>-168.69006752597977</v>
      </c>
      <c r="K380" s="9" t="str">
        <f t="shared" ca="1" si="82"/>
        <v>W</v>
      </c>
      <c r="L380">
        <f ca="1">+_xlfn.IFNA(VLOOKUP(M380,BespokeWindowsAreas!$A$1:$E$1999,1,FALSE),VLOOKUP(E380,WindowTypeArea!$B$2:$C$2000,2,FALSE))</f>
        <v>1.9824999999999999</v>
      </c>
      <c r="M380">
        <f t="shared" ca="1" si="83"/>
        <v>6313897</v>
      </c>
    </row>
    <row r="381" spans="1:13" x14ac:dyDescent="0.25">
      <c r="A381">
        <f t="shared" ca="1" si="74"/>
        <v>1</v>
      </c>
      <c r="B381">
        <f t="shared" ca="1" si="75"/>
        <v>364</v>
      </c>
      <c r="C381" t="str">
        <f t="shared" ca="1" si="84"/>
        <v>'WINDOWS-NCH-A-BDP-M3-LG-00'!B363</v>
      </c>
      <c r="D381" s="6" t="str">
        <f t="shared" ca="1" si="73"/>
        <v>LG-MAI-PUB-U1830-02</v>
      </c>
      <c r="E381" t="str">
        <f t="shared" ca="1" si="76"/>
        <v>Family Type: 1950w x 3050h, Family: Window Internal Type 1 - Flush</v>
      </c>
      <c r="F381" t="str">
        <f t="shared" ca="1" si="77"/>
        <v>Vector(X = -0.977, Y = -0.212, Z = 0.000, Length = 1.000)</v>
      </c>
      <c r="G381">
        <f t="shared" ca="1" si="78"/>
        <v>-1</v>
      </c>
      <c r="H381">
        <f t="shared" ca="1" si="79"/>
        <v>-0.2</v>
      </c>
      <c r="I381">
        <f t="shared" ca="1" si="80"/>
        <v>0</v>
      </c>
      <c r="J381" s="8">
        <f t="shared" ca="1" si="81"/>
        <v>-168.69006752597977</v>
      </c>
      <c r="K381" s="9" t="str">
        <f t="shared" ca="1" si="82"/>
        <v>W</v>
      </c>
      <c r="L381">
        <f ca="1">+_xlfn.IFNA(VLOOKUP(M381,BespokeWindowsAreas!$A$1:$E$1999,1,FALSE),VLOOKUP(E381,WindowTypeArea!$B$2:$C$2000,2,FALSE))</f>
        <v>5.9474999999999998</v>
      </c>
      <c r="M381">
        <f t="shared" ca="1" si="83"/>
        <v>6314025</v>
      </c>
    </row>
    <row r="382" spans="1:13" x14ac:dyDescent="0.25">
      <c r="A382">
        <f t="shared" ca="1" si="74"/>
        <v>1</v>
      </c>
      <c r="B382">
        <f t="shared" ca="1" si="75"/>
        <v>365</v>
      </c>
      <c r="C382" t="str">
        <f t="shared" ca="1" si="84"/>
        <v>'WINDOWS-NCH-A-BDP-M3-LG-00'!B364</v>
      </c>
      <c r="D382" s="6" t="str">
        <f t="shared" ca="1" si="73"/>
        <v>LG-MAI-PUB-U1830-02</v>
      </c>
      <c r="E382" t="str">
        <f t="shared" ca="1" si="76"/>
        <v>Family Type: 1500w x 3050h, Family: Window Internal Type 1 - Flush</v>
      </c>
      <c r="F382" t="str">
        <f t="shared" ca="1" si="77"/>
        <v>Vector(X = -0.977, Y = -0.212, Z = 0.000, Length = 1.000)</v>
      </c>
      <c r="G382">
        <f t="shared" ca="1" si="78"/>
        <v>-1</v>
      </c>
      <c r="H382">
        <f t="shared" ca="1" si="79"/>
        <v>-0.2</v>
      </c>
      <c r="I382">
        <f t="shared" ca="1" si="80"/>
        <v>0</v>
      </c>
      <c r="J382" s="8">
        <f t="shared" ca="1" si="81"/>
        <v>-168.69006752597977</v>
      </c>
      <c r="K382" s="9" t="str">
        <f t="shared" ca="1" si="82"/>
        <v>W</v>
      </c>
      <c r="L382">
        <f ca="1">+_xlfn.IFNA(VLOOKUP(M382,BespokeWindowsAreas!$A$1:$E$1999,1,FALSE),VLOOKUP(E382,WindowTypeArea!$B$2:$C$2000,2,FALSE))</f>
        <v>4.5749999999999993</v>
      </c>
      <c r="M382">
        <f t="shared" ca="1" si="83"/>
        <v>6314065</v>
      </c>
    </row>
    <row r="383" spans="1:13" x14ac:dyDescent="0.25">
      <c r="A383">
        <f t="shared" ca="1" si="74"/>
        <v>1</v>
      </c>
      <c r="B383">
        <f t="shared" ca="1" si="75"/>
        <v>366</v>
      </c>
      <c r="C383" t="str">
        <f t="shared" ca="1" si="84"/>
        <v>'WINDOWS-NCH-A-BDP-M3-LG-00'!B365</v>
      </c>
      <c r="D383" s="6" t="str">
        <f t="shared" ca="1" si="73"/>
        <v>LG-MAI-PUB-U1830-02</v>
      </c>
      <c r="E383" t="str">
        <f t="shared" ca="1" si="76"/>
        <v>Family Type: 1950w x 3050h, Family: Window Internal Type 1 - Flush</v>
      </c>
      <c r="F383" t="str">
        <f t="shared" ca="1" si="77"/>
        <v>Vector(X = 0.212, Y = -0.977, Z = 0.000, Length = 1.000)</v>
      </c>
      <c r="G383">
        <f t="shared" ca="1" si="78"/>
        <v>0.2</v>
      </c>
      <c r="H383">
        <f t="shared" ca="1" si="79"/>
        <v>-1</v>
      </c>
      <c r="I383">
        <f t="shared" ca="1" si="80"/>
        <v>0</v>
      </c>
      <c r="J383" s="8">
        <f t="shared" ca="1" si="81"/>
        <v>-78.690067525979785</v>
      </c>
      <c r="K383" s="9" t="str">
        <f t="shared" ca="1" si="82"/>
        <v>S</v>
      </c>
      <c r="L383">
        <f ca="1">+_xlfn.IFNA(VLOOKUP(M383,BespokeWindowsAreas!$A$1:$E$1999,1,FALSE),VLOOKUP(E383,WindowTypeArea!$B$2:$C$2000,2,FALSE))</f>
        <v>5.9474999999999998</v>
      </c>
      <c r="M383">
        <f t="shared" ca="1" si="83"/>
        <v>6319383</v>
      </c>
    </row>
    <row r="384" spans="1:13" x14ac:dyDescent="0.25">
      <c r="A384">
        <f t="shared" ca="1" si="74"/>
        <v>1</v>
      </c>
      <c r="B384">
        <f t="shared" ca="1" si="75"/>
        <v>367</v>
      </c>
      <c r="C384" t="str">
        <f t="shared" ca="1" si="84"/>
        <v>'WINDOWS-NCH-A-BDP-M3-LG-00'!B366</v>
      </c>
      <c r="D384" s="6" t="str">
        <f t="shared" ca="1" si="73"/>
        <v>LG-MAI-PUB-U1830-02</v>
      </c>
      <c r="E384" t="str">
        <f t="shared" ca="1" si="76"/>
        <v>Family Type: 650w x 3050h, Family: Window Internal Type 1 - Flush</v>
      </c>
      <c r="F384" t="str">
        <f t="shared" ca="1" si="77"/>
        <v>Vector(X = 0.212, Y = -0.977, Z = 0.000, Length = 1.000)</v>
      </c>
      <c r="G384">
        <f t="shared" ca="1" si="78"/>
        <v>0.2</v>
      </c>
      <c r="H384">
        <f t="shared" ca="1" si="79"/>
        <v>-1</v>
      </c>
      <c r="I384">
        <f t="shared" ca="1" si="80"/>
        <v>0</v>
      </c>
      <c r="J384" s="8">
        <f t="shared" ca="1" si="81"/>
        <v>-78.690067525979785</v>
      </c>
      <c r="K384" s="9" t="str">
        <f t="shared" ca="1" si="82"/>
        <v>S</v>
      </c>
      <c r="L384">
        <f ca="1">+_xlfn.IFNA(VLOOKUP(M384,BespokeWindowsAreas!$A$1:$E$1999,1,FALSE),VLOOKUP(E384,WindowTypeArea!$B$2:$C$2000,2,FALSE))</f>
        <v>1.9824999999999999</v>
      </c>
      <c r="M384">
        <f t="shared" ca="1" si="83"/>
        <v>6319652</v>
      </c>
    </row>
    <row r="385" spans="1:13" x14ac:dyDescent="0.25">
      <c r="A385">
        <f t="shared" ca="1" si="74"/>
        <v>1</v>
      </c>
      <c r="B385">
        <f t="shared" ca="1" si="75"/>
        <v>368</v>
      </c>
      <c r="C385" t="str">
        <f t="shared" ca="1" si="84"/>
        <v>'WINDOWS-NCH-A-BDP-M3-LG-00'!B367</v>
      </c>
      <c r="D385" s="6" t="str">
        <f t="shared" ca="1" si="73"/>
        <v>LG-MAI-PUB-U1830-02</v>
      </c>
      <c r="E385" t="str">
        <f t="shared" ca="1" si="76"/>
        <v>Family Type: 650w x 3050h, Family: Window Internal Type 1 - Flush</v>
      </c>
      <c r="F385" t="str">
        <f t="shared" ca="1" si="77"/>
        <v>Vector(X = 0.212, Y = -0.977, Z = 0.000, Length = 1.000)</v>
      </c>
      <c r="G385">
        <f t="shared" ca="1" si="78"/>
        <v>0.2</v>
      </c>
      <c r="H385">
        <f t="shared" ca="1" si="79"/>
        <v>-1</v>
      </c>
      <c r="I385">
        <f t="shared" ca="1" si="80"/>
        <v>0</v>
      </c>
      <c r="J385" s="8">
        <f t="shared" ca="1" si="81"/>
        <v>-78.690067525979785</v>
      </c>
      <c r="K385" s="9" t="str">
        <f t="shared" ca="1" si="82"/>
        <v>S</v>
      </c>
      <c r="L385">
        <f ca="1">+_xlfn.IFNA(VLOOKUP(M385,BespokeWindowsAreas!$A$1:$E$1999,1,FALSE),VLOOKUP(E385,WindowTypeArea!$B$2:$C$2000,2,FALSE))</f>
        <v>1.9824999999999999</v>
      </c>
      <c r="M385">
        <f t="shared" ca="1" si="83"/>
        <v>6319811</v>
      </c>
    </row>
    <row r="386" spans="1:13" x14ac:dyDescent="0.25">
      <c r="A386">
        <f t="shared" ca="1" si="74"/>
        <v>1</v>
      </c>
      <c r="B386">
        <f t="shared" ca="1" si="75"/>
        <v>369</v>
      </c>
      <c r="C386" t="str">
        <f t="shared" ca="1" si="84"/>
        <v>'WINDOWS-NCH-A-BDP-M3-LG-00'!B368</v>
      </c>
      <c r="D386" s="6" t="str">
        <f t="shared" ca="1" si="73"/>
        <v>LG-MAI-PUB-U1830-02</v>
      </c>
      <c r="E386" t="str">
        <f t="shared" ca="1" si="76"/>
        <v>Family Type: 1500w x 3050h, Family: Window Internal Type 1 - Flush</v>
      </c>
      <c r="F386" t="str">
        <f t="shared" ca="1" si="77"/>
        <v>Vector(X = 0.212, Y = -0.977, Z = 0.000, Length = 1.000)</v>
      </c>
      <c r="G386">
        <f t="shared" ca="1" si="78"/>
        <v>0.2</v>
      </c>
      <c r="H386">
        <f t="shared" ca="1" si="79"/>
        <v>-1</v>
      </c>
      <c r="I386">
        <f t="shared" ca="1" si="80"/>
        <v>0</v>
      </c>
      <c r="J386" s="8">
        <f t="shared" ca="1" si="81"/>
        <v>-78.690067525979785</v>
      </c>
      <c r="K386" s="9" t="str">
        <f t="shared" ca="1" si="82"/>
        <v>S</v>
      </c>
      <c r="L386">
        <f ca="1">+_xlfn.IFNA(VLOOKUP(M386,BespokeWindowsAreas!$A$1:$E$1999,1,FALSE),VLOOKUP(E386,WindowTypeArea!$B$2:$C$2000,2,FALSE))</f>
        <v>4.5749999999999993</v>
      </c>
      <c r="M386">
        <f t="shared" ca="1" si="83"/>
        <v>6320876</v>
      </c>
    </row>
    <row r="387" spans="1:13" x14ac:dyDescent="0.25">
      <c r="A387">
        <f t="shared" ca="1" si="74"/>
        <v>1</v>
      </c>
      <c r="B387">
        <f t="shared" ca="1" si="75"/>
        <v>370</v>
      </c>
      <c r="C387" t="str">
        <f t="shared" ca="1" si="84"/>
        <v>'WINDOWS-NCH-A-BDP-M3-LG-00'!B369</v>
      </c>
      <c r="D387" s="6" t="str">
        <f t="shared" ca="1" si="73"/>
        <v>LG-MAI-PUB-U1830-02</v>
      </c>
      <c r="E387" t="str">
        <f t="shared" ca="1" si="76"/>
        <v>Family Type: 650w x 3050h, Family: Window Internal Type 1 - Flush</v>
      </c>
      <c r="F387" t="str">
        <f t="shared" ca="1" si="77"/>
        <v>Vector(X = 0.212, Y = -0.977, Z = 0.000, Length = 1.000)</v>
      </c>
      <c r="G387">
        <f t="shared" ca="1" si="78"/>
        <v>0.2</v>
      </c>
      <c r="H387">
        <f t="shared" ca="1" si="79"/>
        <v>-1</v>
      </c>
      <c r="I387">
        <f t="shared" ca="1" si="80"/>
        <v>0</v>
      </c>
      <c r="J387" s="8">
        <f t="shared" ca="1" si="81"/>
        <v>-78.690067525979785</v>
      </c>
      <c r="K387" s="9" t="str">
        <f t="shared" ca="1" si="82"/>
        <v>S</v>
      </c>
      <c r="L387">
        <f ca="1">+_xlfn.IFNA(VLOOKUP(M387,BespokeWindowsAreas!$A$1:$E$1999,1,FALSE),VLOOKUP(E387,WindowTypeArea!$B$2:$C$2000,2,FALSE))</f>
        <v>1.9824999999999999</v>
      </c>
      <c r="M387">
        <f t="shared" ca="1" si="83"/>
        <v>6321031</v>
      </c>
    </row>
    <row r="388" spans="1:13" x14ac:dyDescent="0.25">
      <c r="A388">
        <f t="shared" ca="1" si="74"/>
        <v>1</v>
      </c>
      <c r="B388">
        <f t="shared" ca="1" si="75"/>
        <v>371</v>
      </c>
      <c r="C388" t="str">
        <f t="shared" ca="1" si="84"/>
        <v>'WINDOWS-NCH-A-BDP-M3-LG-00'!B370</v>
      </c>
      <c r="D388" s="6" t="str">
        <f t="shared" ca="1" si="73"/>
        <v>LG-MAI-PUB-U1830-02</v>
      </c>
      <c r="E388" t="str">
        <f t="shared" ca="1" si="76"/>
        <v>Family Type: 975w x 3050h, Family: Window Internal Type 1 - Flush</v>
      </c>
      <c r="F388" t="str">
        <f t="shared" ca="1" si="77"/>
        <v>Vector(X = 0.212, Y = -0.977, Z = 0.000, Length = 1.000)</v>
      </c>
      <c r="G388">
        <f t="shared" ca="1" si="78"/>
        <v>0.2</v>
      </c>
      <c r="H388">
        <f t="shared" ca="1" si="79"/>
        <v>-1</v>
      </c>
      <c r="I388">
        <f t="shared" ca="1" si="80"/>
        <v>0</v>
      </c>
      <c r="J388" s="8">
        <f t="shared" ca="1" si="81"/>
        <v>-78.690067525979785</v>
      </c>
      <c r="K388" s="9" t="str">
        <f t="shared" ca="1" si="82"/>
        <v>S</v>
      </c>
      <c r="L388">
        <f ca="1">+_xlfn.IFNA(VLOOKUP(M388,BespokeWindowsAreas!$A$1:$E$1999,1,FALSE),VLOOKUP(E388,WindowTypeArea!$B$2:$C$2000,2,FALSE))</f>
        <v>2.9737499999999999</v>
      </c>
      <c r="M388">
        <f t="shared" ca="1" si="83"/>
        <v>6321134</v>
      </c>
    </row>
    <row r="389" spans="1:13" x14ac:dyDescent="0.25">
      <c r="A389">
        <f t="shared" ca="1" si="74"/>
        <v>1</v>
      </c>
      <c r="B389">
        <f t="shared" ca="1" si="75"/>
        <v>372</v>
      </c>
      <c r="C389" t="str">
        <f t="shared" ca="1" si="84"/>
        <v>'WINDOWS-NCH-A-BDP-M3-LG-00'!B371</v>
      </c>
      <c r="D389" s="6" t="str">
        <f t="shared" ca="1" si="73"/>
        <v>LG-OPD-CC2-S029-02</v>
      </c>
      <c r="E389" t="str">
        <f t="shared" ca="1" si="76"/>
        <v>LG-OPD-CC2-S029-02</v>
      </c>
      <c r="F389" t="str">
        <f t="shared" ca="1" si="77"/>
        <v>ID not used</v>
      </c>
      <c r="G389">
        <f t="shared" ca="1" si="78"/>
        <v>0</v>
      </c>
      <c r="H389">
        <f t="shared" ca="1" si="79"/>
        <v>0</v>
      </c>
      <c r="I389">
        <f t="shared" ca="1" si="80"/>
        <v>0</v>
      </c>
      <c r="J389" s="8" t="e">
        <f t="shared" ca="1" si="81"/>
        <v>#DIV/0!</v>
      </c>
      <c r="K389" s="9" t="e">
        <f t="shared" ca="1" si="82"/>
        <v>#DIV/0!</v>
      </c>
      <c r="L389" t="e">
        <f ca="1">+_xlfn.IFNA(VLOOKUP(M389,BespokeWindowsAreas!$A$1:$E$1999,1,FALSE),VLOOKUP(E389,WindowTypeArea!$B$2:$C$2000,2,FALSE))</f>
        <v>#N/A</v>
      </c>
      <c r="M389">
        <f t="shared" ca="1" si="83"/>
        <v>0</v>
      </c>
    </row>
    <row r="390" spans="1:13" x14ac:dyDescent="0.25">
      <c r="A390">
        <f t="shared" ca="1" si="74"/>
        <v>1</v>
      </c>
      <c r="B390">
        <f t="shared" ca="1" si="75"/>
        <v>373</v>
      </c>
      <c r="C390" t="str">
        <f t="shared" ca="1" si="84"/>
        <v>'WINDOWS-NCH-A-BDP-M3-LG-00'!B372</v>
      </c>
      <c r="D390" s="6" t="str">
        <f t="shared" ref="D390:D453" ca="1" si="85">+IF(IFERROR(FIND("Family",E390)&gt;0,FALSE),D389,E390)</f>
        <v>LG-OPD-CC2-S029-02</v>
      </c>
      <c r="E390" t="str">
        <f t="shared" ca="1" si="76"/>
        <v>Family Type: 975w x 3600h, CURTAIN WALL-manual input</v>
      </c>
      <c r="F390" t="str">
        <f t="shared" ca="1" si="77"/>
        <v>Vector(X = 0.530, Y = -0.848, Z = 0.000, Length = 1.000)</v>
      </c>
      <c r="G390">
        <f t="shared" ca="1" si="78"/>
        <v>0.5</v>
      </c>
      <c r="H390">
        <f t="shared" ca="1" si="79"/>
        <v>-0.8</v>
      </c>
      <c r="I390">
        <f t="shared" ca="1" si="80"/>
        <v>0</v>
      </c>
      <c r="J390" s="8">
        <f t="shared" ca="1" si="81"/>
        <v>-57.994616791916499</v>
      </c>
      <c r="K390" s="9" t="str">
        <f t="shared" ca="1" si="82"/>
        <v>S</v>
      </c>
      <c r="L390">
        <f ca="1">+_xlfn.IFNA(VLOOKUP(M390,BespokeWindowsAreas!$A$1:$E$1999,1,FALSE),VLOOKUP(E390,WindowTypeArea!$B$2:$C$2000,2,FALSE))</f>
        <v>3.51</v>
      </c>
      <c r="M390" t="str">
        <f t="shared" ca="1" si="83"/>
        <v xml:space="preserve">ID </v>
      </c>
    </row>
    <row r="391" spans="1:13" x14ac:dyDescent="0.25">
      <c r="A391">
        <f t="shared" ca="1" si="74"/>
        <v>1</v>
      </c>
      <c r="B391">
        <f t="shared" ca="1" si="75"/>
        <v>374</v>
      </c>
      <c r="C391" t="str">
        <f t="shared" ca="1" si="84"/>
        <v>'WINDOWS-NCH-A-BDP-M3-LG-00'!B373</v>
      </c>
      <c r="D391" s="6" t="str">
        <f t="shared" ca="1" si="85"/>
        <v>LG-OPD-C2W-S115-38</v>
      </c>
      <c r="E391" t="str">
        <f t="shared" ca="1" si="76"/>
        <v>LG-OPD-C2W-S115-38</v>
      </c>
      <c r="F391" t="str">
        <f t="shared" ca="1" si="77"/>
        <v>ID not used</v>
      </c>
      <c r="G391">
        <f t="shared" ca="1" si="78"/>
        <v>0</v>
      </c>
      <c r="H391">
        <f t="shared" ca="1" si="79"/>
        <v>0</v>
      </c>
      <c r="I391">
        <f t="shared" ca="1" si="80"/>
        <v>0</v>
      </c>
      <c r="J391" s="8" t="e">
        <f t="shared" ca="1" si="81"/>
        <v>#DIV/0!</v>
      </c>
      <c r="K391" s="9" t="e">
        <f t="shared" ca="1" si="82"/>
        <v>#DIV/0!</v>
      </c>
      <c r="L391" t="e">
        <f ca="1">+_xlfn.IFNA(VLOOKUP(M391,BespokeWindowsAreas!$A$1:$E$1999,1,FALSE),VLOOKUP(E391,WindowTypeArea!$B$2:$C$2000,2,FALSE))</f>
        <v>#N/A</v>
      </c>
      <c r="M391">
        <f t="shared" ca="1" si="83"/>
        <v>0</v>
      </c>
    </row>
    <row r="392" spans="1:13" x14ac:dyDescent="0.25">
      <c r="A392">
        <f t="shared" ca="1" si="74"/>
        <v>1</v>
      </c>
      <c r="B392">
        <f t="shared" ca="1" si="75"/>
        <v>375</v>
      </c>
      <c r="C392" t="str">
        <f t="shared" ca="1" si="84"/>
        <v>'WINDOWS-NCH-A-BDP-M3-LG-00'!B374</v>
      </c>
      <c r="D392" s="6" t="str">
        <f t="shared" ca="1" si="85"/>
        <v>LG-OPD-C2W-S115-38</v>
      </c>
      <c r="E392" t="str">
        <f t="shared" ca="1" si="76"/>
        <v>Family Type: 1500w x 3050h, Family: Window Internal Type 1 - Flush</v>
      </c>
      <c r="F392" t="str">
        <f t="shared" ca="1" si="77"/>
        <v>Vector(X = -0.429, Y = 0.903, Z = 0.000, Length = 1.000)</v>
      </c>
      <c r="G392">
        <f t="shared" ca="1" si="78"/>
        <v>-0.4</v>
      </c>
      <c r="H392">
        <f t="shared" ca="1" si="79"/>
        <v>0.9</v>
      </c>
      <c r="I392">
        <f t="shared" ca="1" si="80"/>
        <v>0</v>
      </c>
      <c r="J392" s="8">
        <f t="shared" ca="1" si="81"/>
        <v>113.96248897457818</v>
      </c>
      <c r="K392" s="9" t="str">
        <f t="shared" ca="1" si="82"/>
        <v>N</v>
      </c>
      <c r="L392">
        <f ca="1">+_xlfn.IFNA(VLOOKUP(M392,BespokeWindowsAreas!$A$1:$E$1999,1,FALSE),VLOOKUP(E392,WindowTypeArea!$B$2:$C$2000,2,FALSE))</f>
        <v>4.5749999999999993</v>
      </c>
      <c r="M392">
        <f t="shared" ca="1" si="83"/>
        <v>4785948</v>
      </c>
    </row>
    <row r="393" spans="1:13" x14ac:dyDescent="0.25">
      <c r="A393">
        <f t="shared" ca="1" si="74"/>
        <v>1</v>
      </c>
      <c r="B393">
        <f t="shared" ca="1" si="75"/>
        <v>376</v>
      </c>
      <c r="C393" t="str">
        <f t="shared" ca="1" si="84"/>
        <v>'WINDOWS-NCH-A-BDP-M3-LG-00'!B375</v>
      </c>
      <c r="D393" s="6" t="str">
        <f t="shared" ca="1" si="85"/>
        <v>LG-OPD-C2W-S115-38</v>
      </c>
      <c r="E393" t="str">
        <f t="shared" ca="1" si="76"/>
        <v>Family Type: 1000w x 3050h, Family: Window External Type 2 - Recessed and Fin</v>
      </c>
      <c r="F393" t="str">
        <f t="shared" ca="1" si="77"/>
        <v>Vector(X = -0.429, Y = 0.903, Z = 0.000, Length = 1.000)</v>
      </c>
      <c r="G393">
        <f t="shared" ca="1" si="78"/>
        <v>-0.4</v>
      </c>
      <c r="H393">
        <f t="shared" ca="1" si="79"/>
        <v>0.9</v>
      </c>
      <c r="I393">
        <f t="shared" ca="1" si="80"/>
        <v>0</v>
      </c>
      <c r="J393" s="8">
        <f t="shared" ca="1" si="81"/>
        <v>113.96248897457818</v>
      </c>
      <c r="K393" s="9" t="str">
        <f t="shared" ca="1" si="82"/>
        <v>N</v>
      </c>
      <c r="L393">
        <f ca="1">+_xlfn.IFNA(VLOOKUP(M393,BespokeWindowsAreas!$A$1:$E$1999,1,FALSE),VLOOKUP(E393,WindowTypeArea!$B$2:$C$2000,2,FALSE))</f>
        <v>3.05</v>
      </c>
      <c r="M393">
        <f t="shared" ca="1" si="83"/>
        <v>4785951</v>
      </c>
    </row>
    <row r="394" spans="1:13" x14ac:dyDescent="0.25">
      <c r="A394">
        <f t="shared" ca="1" si="74"/>
        <v>1</v>
      </c>
      <c r="B394">
        <f t="shared" ca="1" si="75"/>
        <v>377</v>
      </c>
      <c r="C394" t="str">
        <f t="shared" ca="1" si="84"/>
        <v>'WINDOWS-NCH-A-BDP-M3-LG-00'!B376</v>
      </c>
      <c r="D394" s="6" t="str">
        <f t="shared" ca="1" si="85"/>
        <v>LG-OPD-C2W-S115-38</v>
      </c>
      <c r="E394" t="str">
        <f t="shared" ca="1" si="76"/>
        <v>Family Type: 1500w x 3050h, Family: Window Internal Type 1 - Flush</v>
      </c>
      <c r="F394" t="str">
        <f t="shared" ca="1" si="77"/>
        <v>Vector(X = -0.429, Y = 0.903, Z = 0.000, Length = 1.000)</v>
      </c>
      <c r="G394">
        <f t="shared" ca="1" si="78"/>
        <v>-0.4</v>
      </c>
      <c r="H394">
        <f t="shared" ca="1" si="79"/>
        <v>0.9</v>
      </c>
      <c r="I394">
        <f t="shared" ca="1" si="80"/>
        <v>0</v>
      </c>
      <c r="J394" s="8">
        <f t="shared" ca="1" si="81"/>
        <v>113.96248897457818</v>
      </c>
      <c r="K394" s="9" t="str">
        <f t="shared" ca="1" si="82"/>
        <v>N</v>
      </c>
      <c r="L394">
        <f ca="1">+_xlfn.IFNA(VLOOKUP(M394,BespokeWindowsAreas!$A$1:$E$1999,1,FALSE),VLOOKUP(E394,WindowTypeArea!$B$2:$C$2000,2,FALSE))</f>
        <v>4.5749999999999993</v>
      </c>
      <c r="M394">
        <f t="shared" ca="1" si="83"/>
        <v>5150577</v>
      </c>
    </row>
    <row r="395" spans="1:13" x14ac:dyDescent="0.25">
      <c r="A395">
        <f t="shared" ca="1" si="74"/>
        <v>1</v>
      </c>
      <c r="B395">
        <f t="shared" ca="1" si="75"/>
        <v>378</v>
      </c>
      <c r="C395" t="str">
        <f t="shared" ca="1" si="84"/>
        <v>'WINDOWS-NCH-A-BDP-M3-LG-00'!B377</v>
      </c>
      <c r="D395" s="6" t="str">
        <f t="shared" ca="1" si="85"/>
        <v>LG-OPD-C2W-S115-38</v>
      </c>
      <c r="E395" t="str">
        <f t="shared" ca="1" si="76"/>
        <v>Family Type: 1950w x 3050h, Family: Window Internal Type 1 - Flush</v>
      </c>
      <c r="F395" t="str">
        <f t="shared" ca="1" si="77"/>
        <v>Vector(X = -0.429, Y = 0.903, Z = 0.000, Length = 1.000)</v>
      </c>
      <c r="G395">
        <f t="shared" ca="1" si="78"/>
        <v>-0.4</v>
      </c>
      <c r="H395">
        <f t="shared" ca="1" si="79"/>
        <v>0.9</v>
      </c>
      <c r="I395">
        <f t="shared" ca="1" si="80"/>
        <v>0</v>
      </c>
      <c r="J395" s="8">
        <f t="shared" ca="1" si="81"/>
        <v>113.96248897457818</v>
      </c>
      <c r="K395" s="9" t="str">
        <f t="shared" ca="1" si="82"/>
        <v>N</v>
      </c>
      <c r="L395">
        <f ca="1">+_xlfn.IFNA(VLOOKUP(M395,BespokeWindowsAreas!$A$1:$E$1999,1,FALSE),VLOOKUP(E395,WindowTypeArea!$B$2:$C$2000,2,FALSE))</f>
        <v>5.9474999999999998</v>
      </c>
      <c r="M395">
        <f t="shared" ca="1" si="83"/>
        <v>4982771</v>
      </c>
    </row>
    <row r="396" spans="1:13" x14ac:dyDescent="0.25">
      <c r="A396">
        <f t="shared" ca="1" si="74"/>
        <v>1</v>
      </c>
      <c r="B396">
        <f t="shared" ca="1" si="75"/>
        <v>379</v>
      </c>
      <c r="C396" t="str">
        <f t="shared" ca="1" si="84"/>
        <v>'WINDOWS-NCH-A-BDP-M3-LG-00'!B378</v>
      </c>
      <c r="D396" s="6" t="str">
        <f t="shared" ca="1" si="85"/>
        <v>LG-OPD-C2W-S115-38</v>
      </c>
      <c r="E396" t="str">
        <f t="shared" ca="1" si="76"/>
        <v>Family Type: 1500w x 3050h, Family: Window Internal Type 1 - Flush</v>
      </c>
      <c r="F396" t="str">
        <f t="shared" ca="1" si="77"/>
        <v>Vector(X = -0.848, Y = -0.530, Z = 0.000, Length = 1.000)</v>
      </c>
      <c r="G396">
        <f t="shared" ca="1" si="78"/>
        <v>-0.8</v>
      </c>
      <c r="H396">
        <f t="shared" ca="1" si="79"/>
        <v>-0.5</v>
      </c>
      <c r="I396">
        <f t="shared" ca="1" si="80"/>
        <v>0</v>
      </c>
      <c r="J396" s="8">
        <f t="shared" ca="1" si="81"/>
        <v>-147.99461679191651</v>
      </c>
      <c r="K396" s="9" t="str">
        <f t="shared" ca="1" si="82"/>
        <v>W</v>
      </c>
      <c r="L396">
        <f ca="1">+_xlfn.IFNA(VLOOKUP(M396,BespokeWindowsAreas!$A$1:$E$1999,1,FALSE),VLOOKUP(E396,WindowTypeArea!$B$2:$C$2000,2,FALSE))</f>
        <v>4.5749999999999993</v>
      </c>
      <c r="M396">
        <f t="shared" ca="1" si="83"/>
        <v>4859373</v>
      </c>
    </row>
    <row r="397" spans="1:13" x14ac:dyDescent="0.25">
      <c r="A397">
        <f t="shared" ca="1" si="74"/>
        <v>1</v>
      </c>
      <c r="B397">
        <f t="shared" ca="1" si="75"/>
        <v>380</v>
      </c>
      <c r="C397" t="str">
        <f t="shared" ca="1" si="84"/>
        <v>'WINDOWS-NCH-A-BDP-M3-LG-00'!B379</v>
      </c>
      <c r="D397" s="6" t="str">
        <f t="shared" ca="1" si="85"/>
        <v>LG-OPD-C2W-S115-38</v>
      </c>
      <c r="E397" t="str">
        <f t="shared" ca="1" si="76"/>
        <v>Family Type: 1500w x 3050h, Family: Window Internal Type 1 - Flush</v>
      </c>
      <c r="F397" t="str">
        <f t="shared" ca="1" si="77"/>
        <v>Vector(X = -0.848, Y = -0.530, Z = 0.000, Length = 1.000)</v>
      </c>
      <c r="G397">
        <f t="shared" ca="1" si="78"/>
        <v>-0.8</v>
      </c>
      <c r="H397">
        <f t="shared" ca="1" si="79"/>
        <v>-0.5</v>
      </c>
      <c r="I397">
        <f t="shared" ca="1" si="80"/>
        <v>0</v>
      </c>
      <c r="J397" s="8">
        <f t="shared" ca="1" si="81"/>
        <v>-147.99461679191651</v>
      </c>
      <c r="K397" s="9" t="str">
        <f t="shared" ca="1" si="82"/>
        <v>W</v>
      </c>
      <c r="L397">
        <f ca="1">+_xlfn.IFNA(VLOOKUP(M397,BespokeWindowsAreas!$A$1:$E$1999,1,FALSE),VLOOKUP(E397,WindowTypeArea!$B$2:$C$2000,2,FALSE))</f>
        <v>4.5749999999999993</v>
      </c>
      <c r="M397">
        <f t="shared" ca="1" si="83"/>
        <v>4859448</v>
      </c>
    </row>
    <row r="398" spans="1:13" x14ac:dyDescent="0.25">
      <c r="A398">
        <f t="shared" ca="1" si="74"/>
        <v>1</v>
      </c>
      <c r="B398">
        <f t="shared" ca="1" si="75"/>
        <v>381</v>
      </c>
      <c r="C398" t="str">
        <f t="shared" ca="1" si="84"/>
        <v>'WINDOWS-NCH-A-BDP-M3-LG-00'!B380</v>
      </c>
      <c r="D398" s="6" t="str">
        <f t="shared" ca="1" si="85"/>
        <v>LG-OPD-C2W-S115-38</v>
      </c>
      <c r="E398" t="str">
        <f t="shared" ca="1" si="76"/>
        <v>Family Type: 1500w x 3050h, Family: Window Internal Type 1 - Flush</v>
      </c>
      <c r="F398" t="str">
        <f t="shared" ca="1" si="77"/>
        <v>Vector(X = -0.848, Y = -0.530, Z = 0.000, Length = 1.000)</v>
      </c>
      <c r="G398">
        <f t="shared" ca="1" si="78"/>
        <v>-0.8</v>
      </c>
      <c r="H398">
        <f t="shared" ca="1" si="79"/>
        <v>-0.5</v>
      </c>
      <c r="I398">
        <f t="shared" ca="1" si="80"/>
        <v>0</v>
      </c>
      <c r="J398" s="8">
        <f t="shared" ca="1" si="81"/>
        <v>-147.99461679191651</v>
      </c>
      <c r="K398" s="9" t="str">
        <f t="shared" ca="1" si="82"/>
        <v>W</v>
      </c>
      <c r="L398">
        <f ca="1">+_xlfn.IFNA(VLOOKUP(M398,BespokeWindowsAreas!$A$1:$E$1999,1,FALSE),VLOOKUP(E398,WindowTypeArea!$B$2:$C$2000,2,FALSE))</f>
        <v>4.5749999999999993</v>
      </c>
      <c r="M398">
        <f t="shared" ca="1" si="83"/>
        <v>4859506</v>
      </c>
    </row>
    <row r="399" spans="1:13" x14ac:dyDescent="0.25">
      <c r="A399">
        <f t="shared" ca="1" si="74"/>
        <v>1</v>
      </c>
      <c r="B399">
        <f t="shared" ca="1" si="75"/>
        <v>382</v>
      </c>
      <c r="C399" t="str">
        <f t="shared" ca="1" si="84"/>
        <v>'WINDOWS-NCH-A-BDP-M3-LG-00'!B381</v>
      </c>
      <c r="D399" s="6" t="str">
        <f t="shared" ca="1" si="85"/>
        <v>LG-OPD-C2W-S115-38</v>
      </c>
      <c r="E399" t="str">
        <f t="shared" ca="1" si="76"/>
        <v>Family Type: 1500w x 3050h, Family: Window Internal Type 1 - Flush</v>
      </c>
      <c r="F399" t="str">
        <f t="shared" ca="1" si="77"/>
        <v>Vector(X = -0.848, Y = -0.530, Z = 0.000, Length = 1.000)</v>
      </c>
      <c r="G399">
        <f t="shared" ca="1" si="78"/>
        <v>-0.8</v>
      </c>
      <c r="H399">
        <f t="shared" ca="1" si="79"/>
        <v>-0.5</v>
      </c>
      <c r="I399">
        <f t="shared" ca="1" si="80"/>
        <v>0</v>
      </c>
      <c r="J399" s="8">
        <f t="shared" ca="1" si="81"/>
        <v>-147.99461679191651</v>
      </c>
      <c r="K399" s="9" t="str">
        <f t="shared" ca="1" si="82"/>
        <v>W</v>
      </c>
      <c r="L399">
        <f ca="1">+_xlfn.IFNA(VLOOKUP(M399,BespokeWindowsAreas!$A$1:$E$1999,1,FALSE),VLOOKUP(E399,WindowTypeArea!$B$2:$C$2000,2,FALSE))</f>
        <v>4.5749999999999993</v>
      </c>
      <c r="M399">
        <f t="shared" ca="1" si="83"/>
        <v>4859407</v>
      </c>
    </row>
    <row r="400" spans="1:13" x14ac:dyDescent="0.25">
      <c r="A400">
        <f t="shared" ca="1" si="74"/>
        <v>1</v>
      </c>
      <c r="B400">
        <f t="shared" ca="1" si="75"/>
        <v>383</v>
      </c>
      <c r="C400" t="str">
        <f t="shared" ca="1" si="84"/>
        <v>'WINDOWS-NCH-A-BDP-M3-LG-00'!B382</v>
      </c>
      <c r="D400" s="6" t="str">
        <f t="shared" ca="1" si="85"/>
        <v>LG-OPD-C2W-S115-38</v>
      </c>
      <c r="E400" t="str">
        <f t="shared" ca="1" si="76"/>
        <v>Family Type: 975w x 3600h, CURTAIN WALL-manual input</v>
      </c>
      <c r="F400" t="str">
        <f t="shared" ca="1" si="77"/>
        <v>Vector(X = 0.429, Y = -0.903, Z = 0.000, Length = 1.000)</v>
      </c>
      <c r="G400">
        <f t="shared" ca="1" si="78"/>
        <v>0.4</v>
      </c>
      <c r="H400">
        <f t="shared" ca="1" si="79"/>
        <v>-0.9</v>
      </c>
      <c r="I400">
        <f t="shared" ca="1" si="80"/>
        <v>0</v>
      </c>
      <c r="J400" s="8">
        <f t="shared" ca="1" si="81"/>
        <v>-66.037511025421821</v>
      </c>
      <c r="K400" s="9" t="str">
        <f t="shared" ca="1" si="82"/>
        <v>S</v>
      </c>
      <c r="L400">
        <f ca="1">+_xlfn.IFNA(VLOOKUP(M400,BespokeWindowsAreas!$A$1:$E$1999,1,FALSE),VLOOKUP(E400,WindowTypeArea!$B$2:$C$2000,2,FALSE))</f>
        <v>3.51</v>
      </c>
      <c r="M400" t="str">
        <f t="shared" ca="1" si="83"/>
        <v xml:space="preserve">ID </v>
      </c>
    </row>
    <row r="401" spans="1:13" x14ac:dyDescent="0.25">
      <c r="A401">
        <f t="shared" ca="1" si="74"/>
        <v>1</v>
      </c>
      <c r="B401">
        <f t="shared" ca="1" si="75"/>
        <v>384</v>
      </c>
      <c r="C401" t="str">
        <f t="shared" ca="1" si="84"/>
        <v>'WINDOWS-NCH-A-BDP-M3-LG-00'!B383</v>
      </c>
      <c r="D401" s="6" t="str">
        <f t="shared" ca="1" si="85"/>
        <v>LG-OPD-C2W-S115-38</v>
      </c>
      <c r="E401" t="str">
        <f t="shared" ca="1" si="76"/>
        <v>Family Type: 1500w x 3050h, Family: Window Internal Type 1 - Flush</v>
      </c>
      <c r="F401" t="str">
        <f t="shared" ca="1" si="77"/>
        <v>Vector(X = 0.429, Y = -0.903, Z = 0.000, Length = 1.000)</v>
      </c>
      <c r="G401">
        <f t="shared" ca="1" si="78"/>
        <v>0.4</v>
      </c>
      <c r="H401">
        <f t="shared" ca="1" si="79"/>
        <v>-0.9</v>
      </c>
      <c r="I401">
        <f t="shared" ca="1" si="80"/>
        <v>0</v>
      </c>
      <c r="J401" s="8">
        <f t="shared" ca="1" si="81"/>
        <v>-66.037511025421821</v>
      </c>
      <c r="K401" s="9" t="str">
        <f t="shared" ca="1" si="82"/>
        <v>S</v>
      </c>
      <c r="L401">
        <f ca="1">+_xlfn.IFNA(VLOOKUP(M401,BespokeWindowsAreas!$A$1:$E$1999,1,FALSE),VLOOKUP(E401,WindowTypeArea!$B$2:$C$2000,2,FALSE))</f>
        <v>4.5749999999999993</v>
      </c>
      <c r="M401">
        <f t="shared" ca="1" si="83"/>
        <v>5170705</v>
      </c>
    </row>
    <row r="402" spans="1:13" x14ac:dyDescent="0.25">
      <c r="A402">
        <f t="shared" ca="1" si="74"/>
        <v>1</v>
      </c>
      <c r="B402">
        <f t="shared" ca="1" si="75"/>
        <v>385</v>
      </c>
      <c r="C402" t="str">
        <f t="shared" ca="1" si="84"/>
        <v>'WINDOWS-NCH-A-BDP-M3-LG-00'!B384</v>
      </c>
      <c r="D402" s="6" t="str">
        <f t="shared" ca="1" si="85"/>
        <v>LG-OPD-C2W-S115-38</v>
      </c>
      <c r="E402" t="str">
        <f t="shared" ca="1" si="76"/>
        <v>Family Type: 1500w x 3050h, Family: Window Internal Type 1 - Flush</v>
      </c>
      <c r="F402" t="str">
        <f t="shared" ca="1" si="77"/>
        <v>Vector(X = 0.429, Y = -0.903, Z = 0.000, Length = 1.000)</v>
      </c>
      <c r="G402">
        <f t="shared" ca="1" si="78"/>
        <v>0.4</v>
      </c>
      <c r="H402">
        <f t="shared" ca="1" si="79"/>
        <v>-0.9</v>
      </c>
      <c r="I402">
        <f t="shared" ca="1" si="80"/>
        <v>0</v>
      </c>
      <c r="J402" s="8">
        <f t="shared" ca="1" si="81"/>
        <v>-66.037511025421821</v>
      </c>
      <c r="K402" s="9" t="str">
        <f t="shared" ca="1" si="82"/>
        <v>S</v>
      </c>
      <c r="L402">
        <f ca="1">+_xlfn.IFNA(VLOOKUP(M402,BespokeWindowsAreas!$A$1:$E$1999,1,FALSE),VLOOKUP(E402,WindowTypeArea!$B$2:$C$2000,2,FALSE))</f>
        <v>4.5749999999999993</v>
      </c>
      <c r="M402">
        <f t="shared" ca="1" si="83"/>
        <v>4785996</v>
      </c>
    </row>
    <row r="403" spans="1:13" x14ac:dyDescent="0.25">
      <c r="A403">
        <f t="shared" ca="1" si="74"/>
        <v>1</v>
      </c>
      <c r="B403">
        <f t="shared" ca="1" si="75"/>
        <v>386</v>
      </c>
      <c r="C403" t="str">
        <f t="shared" ca="1" si="84"/>
        <v>'WINDOWS-NCH-A-BDP-M3-LG-00'!B385</v>
      </c>
      <c r="D403" s="6" t="str">
        <f t="shared" ca="1" si="85"/>
        <v>LG-OPD-C2W-S115-38</v>
      </c>
      <c r="E403" t="str">
        <f t="shared" ca="1" si="76"/>
        <v>Family Type: 1500w x 3050h, Family: Window Internal Type 1 - Flush</v>
      </c>
      <c r="F403" t="str">
        <f t="shared" ca="1" si="77"/>
        <v>Vector(X = 0.429, Y = -0.903, Z = 0.000, Length = 1.000)</v>
      </c>
      <c r="G403">
        <f t="shared" ca="1" si="78"/>
        <v>0.4</v>
      </c>
      <c r="H403">
        <f t="shared" ca="1" si="79"/>
        <v>-0.9</v>
      </c>
      <c r="I403">
        <f t="shared" ca="1" si="80"/>
        <v>0</v>
      </c>
      <c r="J403" s="8">
        <f t="shared" ca="1" si="81"/>
        <v>-66.037511025421821</v>
      </c>
      <c r="K403" s="9" t="str">
        <f t="shared" ca="1" si="82"/>
        <v>S</v>
      </c>
      <c r="L403">
        <f ca="1">+_xlfn.IFNA(VLOOKUP(M403,BespokeWindowsAreas!$A$1:$E$1999,1,FALSE),VLOOKUP(E403,WindowTypeArea!$B$2:$C$2000,2,FALSE))</f>
        <v>4.5749999999999993</v>
      </c>
      <c r="M403">
        <f t="shared" ca="1" si="83"/>
        <v>4785995</v>
      </c>
    </row>
    <row r="404" spans="1:13" x14ac:dyDescent="0.25">
      <c r="A404">
        <f t="shared" ref="A404:A467" ca="1" si="86">+IF(B403&lt;=VLOOKUP(MID(C404,2,26),TABS,2,FALSE),A403,+A403+1)</f>
        <v>1</v>
      </c>
      <c r="B404">
        <f t="shared" ref="B404:B467" ca="1" si="87">+IF(B403&lt;=VLOOKUP(MID(C404,2,26),TABS,2,FALSE),B403+1,1)</f>
        <v>387</v>
      </c>
      <c r="C404" t="str">
        <f t="shared" ca="1" si="84"/>
        <v>'WINDOWS-NCH-A-BDP-M3-LG-00'!B386</v>
      </c>
      <c r="D404" s="6" t="str">
        <f t="shared" ca="1" si="85"/>
        <v>LG-OPD-C1W-S115-54</v>
      </c>
      <c r="E404" t="str">
        <f t="shared" ref="E404:E467" ca="1" si="88">+OFFSET(INDIRECT(C404),0,0)</f>
        <v>LG-OPD-C1W-S115-54</v>
      </c>
      <c r="F404" t="str">
        <f t="shared" ca="1" si="77"/>
        <v>ID not used</v>
      </c>
      <c r="G404">
        <f t="shared" ca="1" si="78"/>
        <v>0</v>
      </c>
      <c r="H404">
        <f t="shared" ca="1" si="79"/>
        <v>0</v>
      </c>
      <c r="I404">
        <f t="shared" ca="1" si="80"/>
        <v>0</v>
      </c>
      <c r="J404" s="8" t="e">
        <f t="shared" ca="1" si="81"/>
        <v>#DIV/0!</v>
      </c>
      <c r="K404" s="9" t="e">
        <f t="shared" ca="1" si="82"/>
        <v>#DIV/0!</v>
      </c>
      <c r="L404" t="e">
        <f ca="1">+_xlfn.IFNA(VLOOKUP(M404,BespokeWindowsAreas!$A$1:$E$1999,1,FALSE),VLOOKUP(E404,WindowTypeArea!$B$2:$C$2000,2,FALSE))</f>
        <v>#N/A</v>
      </c>
      <c r="M404">
        <f t="shared" ca="1" si="83"/>
        <v>0</v>
      </c>
    </row>
    <row r="405" spans="1:13" x14ac:dyDescent="0.25">
      <c r="A405">
        <f t="shared" ca="1" si="86"/>
        <v>1</v>
      </c>
      <c r="B405">
        <f t="shared" ca="1" si="87"/>
        <v>388</v>
      </c>
      <c r="C405" t="str">
        <f t="shared" ca="1" si="84"/>
        <v>'WINDOWS-NCH-A-BDP-M3-LG-00'!B387</v>
      </c>
      <c r="D405" s="6" t="str">
        <f t="shared" ca="1" si="85"/>
        <v>LG-OPD-C1W-S115-54</v>
      </c>
      <c r="E405" t="str">
        <f t="shared" ca="1" si="88"/>
        <v>Family Type: 1500w x 3050h, Family: Window Internal Type 1 - Flush</v>
      </c>
      <c r="F405" t="str">
        <f t="shared" ca="1" si="77"/>
        <v>Vector(X = -0.323, Y = 0.946, Z = 0.000, Length = 1.000)</v>
      </c>
      <c r="G405">
        <f t="shared" ca="1" si="78"/>
        <v>-0.3</v>
      </c>
      <c r="H405">
        <f t="shared" ca="1" si="79"/>
        <v>0.9</v>
      </c>
      <c r="I405">
        <f t="shared" ca="1" si="80"/>
        <v>0</v>
      </c>
      <c r="J405" s="8">
        <f t="shared" ca="1" si="81"/>
        <v>108.43494882292201</v>
      </c>
      <c r="K405" s="9" t="str">
        <f t="shared" ca="1" si="82"/>
        <v>N</v>
      </c>
      <c r="L405">
        <f ca="1">+_xlfn.IFNA(VLOOKUP(M405,BespokeWindowsAreas!$A$1:$E$1999,1,FALSE),VLOOKUP(E405,WindowTypeArea!$B$2:$C$2000,2,FALSE))</f>
        <v>4.5749999999999993</v>
      </c>
      <c r="M405">
        <f t="shared" ca="1" si="83"/>
        <v>4785991</v>
      </c>
    </row>
    <row r="406" spans="1:13" x14ac:dyDescent="0.25">
      <c r="A406">
        <f t="shared" ca="1" si="86"/>
        <v>1</v>
      </c>
      <c r="B406">
        <f t="shared" ca="1" si="87"/>
        <v>389</v>
      </c>
      <c r="C406" t="str">
        <f t="shared" ca="1" si="84"/>
        <v>'WINDOWS-NCH-A-BDP-M3-LG-00'!B388</v>
      </c>
      <c r="D406" s="6" t="str">
        <f t="shared" ca="1" si="85"/>
        <v>LG-OPD-C1W-S115-54</v>
      </c>
      <c r="E406" t="str">
        <f t="shared" ca="1" si="88"/>
        <v>Family Type: 1950w x 3050h, Family: Window Internal Type 1 - Flush</v>
      </c>
      <c r="F406" t="str">
        <f t="shared" ref="F406:F469" ca="1" si="89">+OFFSET(INDIRECT(C406),0,1)</f>
        <v>Vector(X = -0.323, Y = 0.946, Z = 0.000, Length = 1.000)</v>
      </c>
      <c r="G406">
        <f t="shared" ref="G406:G469" ca="1" si="90">+OFFSET(INDIRECT(C406),0,2)</f>
        <v>-0.3</v>
      </c>
      <c r="H406">
        <f t="shared" ref="H406:H469" ca="1" si="91">+OFFSET(INDIRECT(C406),0,3)</f>
        <v>0.9</v>
      </c>
      <c r="I406">
        <f t="shared" ref="I406:I469" ca="1" si="92">+OFFSET(INDIRECT(C406),0,4)</f>
        <v>0</v>
      </c>
      <c r="J406" s="8">
        <f t="shared" ref="J406:J469" ca="1" si="93">+DEGREES(ATAN2(G406,H406))</f>
        <v>108.43494882292201</v>
      </c>
      <c r="K406" s="9" t="str">
        <f t="shared" ref="K406:K469" ca="1" si="94">VLOOKUP(J406,$O$20:$P$36,2,-1)</f>
        <v>N</v>
      </c>
      <c r="L406">
        <f ca="1">+_xlfn.IFNA(VLOOKUP(M406,BespokeWindowsAreas!$A$1:$E$1999,1,FALSE),VLOOKUP(E406,WindowTypeArea!$B$2:$C$2000,2,FALSE))</f>
        <v>5.9474999999999998</v>
      </c>
      <c r="M406">
        <f t="shared" ref="M406:M469" ca="1" si="95">+OFFSET(INDIRECT(C406),0,5)</f>
        <v>4839015</v>
      </c>
    </row>
    <row r="407" spans="1:13" x14ac:dyDescent="0.25">
      <c r="A407">
        <f t="shared" ca="1" si="86"/>
        <v>1</v>
      </c>
      <c r="B407">
        <f t="shared" ca="1" si="87"/>
        <v>390</v>
      </c>
      <c r="C407" t="str">
        <f t="shared" ref="C407:C470" ca="1" si="96">+"'"&amp;INDIRECT("a"&amp;A406)&amp;"'!B"&amp;B406</f>
        <v>'WINDOWS-NCH-A-BDP-M3-LG-00'!B389</v>
      </c>
      <c r="D407" s="6" t="str">
        <f t="shared" ca="1" si="85"/>
        <v>LG-OPD-C1W-S115-54</v>
      </c>
      <c r="E407" t="str">
        <f t="shared" ca="1" si="88"/>
        <v>Family Type: 1500w x 3050h, Family: Window Internal Type 1 - Flush</v>
      </c>
      <c r="F407" t="str">
        <f t="shared" ca="1" si="89"/>
        <v>Vector(X = -0.977, Y = -0.212, Z = 0.000, Length = 1.000)</v>
      </c>
      <c r="G407">
        <f t="shared" ca="1" si="90"/>
        <v>-1</v>
      </c>
      <c r="H407">
        <f t="shared" ca="1" si="91"/>
        <v>-0.2</v>
      </c>
      <c r="I407">
        <f t="shared" ca="1" si="92"/>
        <v>0</v>
      </c>
      <c r="J407" s="8">
        <f t="shared" ca="1" si="93"/>
        <v>-168.69006752597977</v>
      </c>
      <c r="K407" s="9" t="str">
        <f t="shared" ca="1" si="94"/>
        <v>W</v>
      </c>
      <c r="L407">
        <f ca="1">+_xlfn.IFNA(VLOOKUP(M407,BespokeWindowsAreas!$A$1:$E$1999,1,FALSE),VLOOKUP(E407,WindowTypeArea!$B$2:$C$2000,2,FALSE))</f>
        <v>4.5749999999999993</v>
      </c>
      <c r="M407">
        <f t="shared" ca="1" si="95"/>
        <v>4859880</v>
      </c>
    </row>
    <row r="408" spans="1:13" x14ac:dyDescent="0.25">
      <c r="A408">
        <f t="shared" ca="1" si="86"/>
        <v>1</v>
      </c>
      <c r="B408">
        <f t="shared" ca="1" si="87"/>
        <v>391</v>
      </c>
      <c r="C408" t="str">
        <f t="shared" ca="1" si="96"/>
        <v>'WINDOWS-NCH-A-BDP-M3-LG-00'!B390</v>
      </c>
      <c r="D408" s="6" t="str">
        <f t="shared" ca="1" si="85"/>
        <v>LG-OPD-C1W-S115-54</v>
      </c>
      <c r="E408" t="str">
        <f t="shared" ca="1" si="88"/>
        <v>Family Type: 1500w x 3050h, Family: Window Internal Type 1 - Flush</v>
      </c>
      <c r="F408" t="str">
        <f t="shared" ca="1" si="89"/>
        <v>Vector(X = -0.977, Y = -0.212, Z = 0.000, Length = 1.000)</v>
      </c>
      <c r="G408">
        <f t="shared" ca="1" si="90"/>
        <v>-1</v>
      </c>
      <c r="H408">
        <f t="shared" ca="1" si="91"/>
        <v>-0.2</v>
      </c>
      <c r="I408">
        <f t="shared" ca="1" si="92"/>
        <v>0</v>
      </c>
      <c r="J408" s="8">
        <f t="shared" ca="1" si="93"/>
        <v>-168.69006752597977</v>
      </c>
      <c r="K408" s="9" t="str">
        <f t="shared" ca="1" si="94"/>
        <v>W</v>
      </c>
      <c r="L408">
        <f ca="1">+_xlfn.IFNA(VLOOKUP(M408,BespokeWindowsAreas!$A$1:$E$1999,1,FALSE),VLOOKUP(E408,WindowTypeArea!$B$2:$C$2000,2,FALSE))</f>
        <v>4.5749999999999993</v>
      </c>
      <c r="M408">
        <f t="shared" ca="1" si="95"/>
        <v>4860042</v>
      </c>
    </row>
    <row r="409" spans="1:13" x14ac:dyDescent="0.25">
      <c r="A409">
        <f t="shared" ca="1" si="86"/>
        <v>1</v>
      </c>
      <c r="B409">
        <f t="shared" ca="1" si="87"/>
        <v>392</v>
      </c>
      <c r="C409" t="str">
        <f t="shared" ca="1" si="96"/>
        <v>'WINDOWS-NCH-A-BDP-M3-LG-00'!B391</v>
      </c>
      <c r="D409" s="6" t="str">
        <f t="shared" ca="1" si="85"/>
        <v>LG-OPD-C1W-S115-54</v>
      </c>
      <c r="E409" t="str">
        <f t="shared" ca="1" si="88"/>
        <v>Family Type: 1500w x 3050h, Family: Window Internal Type 1 - Flush</v>
      </c>
      <c r="F409" t="str">
        <f t="shared" ca="1" si="89"/>
        <v>Vector(X = -0.977, Y = -0.212, Z = 0.000, Length = 1.000)</v>
      </c>
      <c r="G409">
        <f t="shared" ca="1" si="90"/>
        <v>-1</v>
      </c>
      <c r="H409">
        <f t="shared" ca="1" si="91"/>
        <v>-0.2</v>
      </c>
      <c r="I409">
        <f t="shared" ca="1" si="92"/>
        <v>0</v>
      </c>
      <c r="J409" s="8">
        <f t="shared" ca="1" si="93"/>
        <v>-168.69006752597977</v>
      </c>
      <c r="K409" s="9" t="str">
        <f t="shared" ca="1" si="94"/>
        <v>W</v>
      </c>
      <c r="L409">
        <f ca="1">+_xlfn.IFNA(VLOOKUP(M409,BespokeWindowsAreas!$A$1:$E$1999,1,FALSE),VLOOKUP(E409,WindowTypeArea!$B$2:$C$2000,2,FALSE))</f>
        <v>4.5749999999999993</v>
      </c>
      <c r="M409">
        <f t="shared" ca="1" si="95"/>
        <v>4859996</v>
      </c>
    </row>
    <row r="410" spans="1:13" x14ac:dyDescent="0.25">
      <c r="A410">
        <f t="shared" ca="1" si="86"/>
        <v>1</v>
      </c>
      <c r="B410">
        <f t="shared" ca="1" si="87"/>
        <v>393</v>
      </c>
      <c r="C410" t="str">
        <f t="shared" ca="1" si="96"/>
        <v>'WINDOWS-NCH-A-BDP-M3-LG-00'!B392</v>
      </c>
      <c r="D410" s="6" t="str">
        <f t="shared" ca="1" si="85"/>
        <v>LG-OPD-C1W-S115-54</v>
      </c>
      <c r="E410" t="str">
        <f t="shared" ca="1" si="88"/>
        <v>Family Type: 1500w x 3050h, Family: Window Internal Type 1 - Flush</v>
      </c>
      <c r="F410" t="str">
        <f t="shared" ca="1" si="89"/>
        <v>Vector(X = -0.977, Y = -0.212, Z = 0.000, Length = 1.000)</v>
      </c>
      <c r="G410">
        <f t="shared" ca="1" si="90"/>
        <v>-1</v>
      </c>
      <c r="H410">
        <f t="shared" ca="1" si="91"/>
        <v>-0.2</v>
      </c>
      <c r="I410">
        <f t="shared" ca="1" si="92"/>
        <v>0</v>
      </c>
      <c r="J410" s="8">
        <f t="shared" ca="1" si="93"/>
        <v>-168.69006752597977</v>
      </c>
      <c r="K410" s="9" t="str">
        <f t="shared" ca="1" si="94"/>
        <v>W</v>
      </c>
      <c r="L410">
        <f ca="1">+_xlfn.IFNA(VLOOKUP(M410,BespokeWindowsAreas!$A$1:$E$1999,1,FALSE),VLOOKUP(E410,WindowTypeArea!$B$2:$C$2000,2,FALSE))</f>
        <v>4.5749999999999993</v>
      </c>
      <c r="M410">
        <f t="shared" ca="1" si="95"/>
        <v>4859935</v>
      </c>
    </row>
    <row r="411" spans="1:13" x14ac:dyDescent="0.25">
      <c r="A411">
        <f t="shared" ca="1" si="86"/>
        <v>1</v>
      </c>
      <c r="B411">
        <f t="shared" ca="1" si="87"/>
        <v>394</v>
      </c>
      <c r="C411" t="str">
        <f t="shared" ca="1" si="96"/>
        <v>'WINDOWS-NCH-A-BDP-M3-LG-00'!B393</v>
      </c>
      <c r="D411" s="6" t="str">
        <f t="shared" ca="1" si="85"/>
        <v>LG-OPD-C1W-S115-54</v>
      </c>
      <c r="E411" t="str">
        <f t="shared" ca="1" si="88"/>
        <v>Family Type: 1500w x 3050h, Family: Window Internal Type 1 - Flush</v>
      </c>
      <c r="F411" t="str">
        <f t="shared" ca="1" si="89"/>
        <v>Vector(X = -0.323, Y = 0.946, Z = 0.000, Length = 1.000)</v>
      </c>
      <c r="G411">
        <f t="shared" ca="1" si="90"/>
        <v>-0.3</v>
      </c>
      <c r="H411">
        <f t="shared" ca="1" si="91"/>
        <v>0.9</v>
      </c>
      <c r="I411">
        <f t="shared" ca="1" si="92"/>
        <v>0</v>
      </c>
      <c r="J411" s="8">
        <f t="shared" ca="1" si="93"/>
        <v>108.43494882292201</v>
      </c>
      <c r="K411" s="9" t="str">
        <f t="shared" ca="1" si="94"/>
        <v>N</v>
      </c>
      <c r="L411">
        <f ca="1">+_xlfn.IFNA(VLOOKUP(M411,BespokeWindowsAreas!$A$1:$E$1999,1,FALSE),VLOOKUP(E411,WindowTypeArea!$B$2:$C$2000,2,FALSE))</f>
        <v>4.5749999999999993</v>
      </c>
      <c r="M411">
        <f t="shared" ca="1" si="95"/>
        <v>4984283</v>
      </c>
    </row>
    <row r="412" spans="1:13" x14ac:dyDescent="0.25">
      <c r="A412">
        <f t="shared" ca="1" si="86"/>
        <v>1</v>
      </c>
      <c r="B412">
        <f t="shared" ca="1" si="87"/>
        <v>395</v>
      </c>
      <c r="C412" t="str">
        <f t="shared" ca="1" si="96"/>
        <v>'WINDOWS-NCH-A-BDP-M3-LG-00'!B394</v>
      </c>
      <c r="D412" s="6" t="str">
        <f t="shared" ca="1" si="85"/>
        <v>LG-OPD-C1W-S115-54</v>
      </c>
      <c r="E412" t="str">
        <f t="shared" ca="1" si="88"/>
        <v>Family Type: 1500w x 3050h, Family: Window Internal Type 1 - Flush</v>
      </c>
      <c r="F412" t="str">
        <f t="shared" ca="1" si="89"/>
        <v>Vector(X = -0.323, Y = 0.946, Z = 0.000, Length = 1.000)</v>
      </c>
      <c r="G412">
        <f t="shared" ca="1" si="90"/>
        <v>-0.3</v>
      </c>
      <c r="H412">
        <f t="shared" ca="1" si="91"/>
        <v>0.9</v>
      </c>
      <c r="I412">
        <f t="shared" ca="1" si="92"/>
        <v>0</v>
      </c>
      <c r="J412" s="8">
        <f t="shared" ca="1" si="93"/>
        <v>108.43494882292201</v>
      </c>
      <c r="K412" s="9" t="str">
        <f t="shared" ca="1" si="94"/>
        <v>N</v>
      </c>
      <c r="L412">
        <f ca="1">+_xlfn.IFNA(VLOOKUP(M412,BespokeWindowsAreas!$A$1:$E$1999,1,FALSE),VLOOKUP(E412,WindowTypeArea!$B$2:$C$2000,2,FALSE))</f>
        <v>4.5749999999999993</v>
      </c>
      <c r="M412">
        <f t="shared" ca="1" si="95"/>
        <v>4792652</v>
      </c>
    </row>
    <row r="413" spans="1:13" x14ac:dyDescent="0.25">
      <c r="A413">
        <f t="shared" ca="1" si="86"/>
        <v>1</v>
      </c>
      <c r="B413">
        <f t="shared" ca="1" si="87"/>
        <v>396</v>
      </c>
      <c r="C413" t="str">
        <f t="shared" ca="1" si="96"/>
        <v>'WINDOWS-NCH-A-BDP-M3-LG-00'!B395</v>
      </c>
      <c r="D413" s="6" t="str">
        <f t="shared" ca="1" si="85"/>
        <v>LG-OPD-CC2-S029-01</v>
      </c>
      <c r="E413" t="str">
        <f t="shared" ca="1" si="88"/>
        <v>LG-OPD-CC2-S029-01</v>
      </c>
      <c r="F413" t="str">
        <f t="shared" ca="1" si="89"/>
        <v>ID not used</v>
      </c>
      <c r="G413">
        <f t="shared" ca="1" si="90"/>
        <v>0</v>
      </c>
      <c r="H413">
        <f t="shared" ca="1" si="91"/>
        <v>0</v>
      </c>
      <c r="I413">
        <f t="shared" ca="1" si="92"/>
        <v>0</v>
      </c>
      <c r="J413" s="8" t="e">
        <f t="shared" ca="1" si="93"/>
        <v>#DIV/0!</v>
      </c>
      <c r="K413" s="9" t="e">
        <f t="shared" ca="1" si="94"/>
        <v>#DIV/0!</v>
      </c>
      <c r="L413" t="e">
        <f ca="1">+_xlfn.IFNA(VLOOKUP(M413,BespokeWindowsAreas!$A$1:$E$1999,1,FALSE),VLOOKUP(E413,WindowTypeArea!$B$2:$C$2000,2,FALSE))</f>
        <v>#N/A</v>
      </c>
      <c r="M413">
        <f t="shared" ca="1" si="95"/>
        <v>0</v>
      </c>
    </row>
    <row r="414" spans="1:13" x14ac:dyDescent="0.25">
      <c r="A414">
        <f t="shared" ca="1" si="86"/>
        <v>2</v>
      </c>
      <c r="B414">
        <f t="shared" ca="1" si="87"/>
        <v>1</v>
      </c>
      <c r="C414" t="str">
        <f t="shared" ca="1" si="96"/>
        <v>'WINDOWS-NCH-A-BDP-M3-LG-00'!B396</v>
      </c>
      <c r="D414" s="6" t="str">
        <f t="shared" ca="1" si="85"/>
        <v>LG-OPD-CC2-S029-01</v>
      </c>
      <c r="E414" t="str">
        <f t="shared" ca="1" si="88"/>
        <v>Family Type: manual 3.5m2</v>
      </c>
      <c r="F414" t="str">
        <f t="shared" ca="1" si="89"/>
        <v>vector</v>
      </c>
      <c r="G414">
        <f t="shared" ca="1" si="90"/>
        <v>0.5</v>
      </c>
      <c r="H414">
        <f t="shared" ca="1" si="91"/>
        <v>-0.8</v>
      </c>
      <c r="I414">
        <f t="shared" ca="1" si="92"/>
        <v>0</v>
      </c>
      <c r="J414" s="8">
        <f t="shared" ca="1" si="93"/>
        <v>-57.994616791916499</v>
      </c>
      <c r="K414" s="9" t="str">
        <f t="shared" ca="1" si="94"/>
        <v>S</v>
      </c>
      <c r="L414">
        <f ca="1">+_xlfn.IFNA(VLOOKUP(M414,BespokeWindowsAreas!$A$1:$E$1999,1,FALSE),VLOOKUP(E414,WindowTypeArea!$B$2:$C$2000,2,FALSE))</f>
        <v>3.5</v>
      </c>
      <c r="M414">
        <f t="shared" ca="1" si="95"/>
        <v>0</v>
      </c>
    </row>
    <row r="415" spans="1:13" x14ac:dyDescent="0.25">
      <c r="A415">
        <f t="shared" ca="1" si="86"/>
        <v>2</v>
      </c>
      <c r="B415">
        <f t="shared" ca="1" si="87"/>
        <v>2</v>
      </c>
      <c r="C415" t="str">
        <f t="shared" ca="1" si="96"/>
        <v>'WINDOWS-NCH-A-BDP-M3-00-00'!B1</v>
      </c>
      <c r="D415" s="6">
        <f t="shared" ca="1" si="85"/>
        <v>0</v>
      </c>
      <c r="E415">
        <f t="shared" ca="1" si="88"/>
        <v>0</v>
      </c>
      <c r="F415">
        <f t="shared" ca="1" si="89"/>
        <v>0</v>
      </c>
      <c r="G415">
        <f t="shared" ca="1" si="90"/>
        <v>0</v>
      </c>
      <c r="H415">
        <f t="shared" ca="1" si="91"/>
        <v>0</v>
      </c>
      <c r="I415">
        <f t="shared" ca="1" si="92"/>
        <v>0</v>
      </c>
      <c r="J415" s="8" t="e">
        <f t="shared" ca="1" si="93"/>
        <v>#DIV/0!</v>
      </c>
      <c r="K415" s="9" t="e">
        <f t="shared" ca="1" si="94"/>
        <v>#DIV/0!</v>
      </c>
      <c r="L415" t="e">
        <f ca="1">+_xlfn.IFNA(VLOOKUP(M415,BespokeWindowsAreas!$A$1:$E$1999,1,FALSE),VLOOKUP(E415,WindowTypeArea!$B$2:$C$2000,2,FALSE))</f>
        <v>#N/A</v>
      </c>
      <c r="M415">
        <f t="shared" ca="1" si="95"/>
        <v>0</v>
      </c>
    </row>
    <row r="416" spans="1:13" x14ac:dyDescent="0.25">
      <c r="A416">
        <f t="shared" ca="1" si="86"/>
        <v>2</v>
      </c>
      <c r="B416">
        <f t="shared" ca="1" si="87"/>
        <v>3</v>
      </c>
      <c r="C416" t="str">
        <f t="shared" ca="1" si="96"/>
        <v>'WINDOWS-NCH-A-BDP-M3-00-00'!B2</v>
      </c>
      <c r="D416" s="6" t="str">
        <f t="shared" ca="1" si="85"/>
        <v>L00-OPD-CC4-S058-01</v>
      </c>
      <c r="E416" t="str">
        <f t="shared" ca="1" si="88"/>
        <v>L00-OPD-CC4-S058-01</v>
      </c>
      <c r="F416">
        <f t="shared" ca="1" si="89"/>
        <v>1874567</v>
      </c>
      <c r="G416">
        <f t="shared" ca="1" si="90"/>
        <v>0</v>
      </c>
      <c r="H416">
        <f t="shared" ca="1" si="91"/>
        <v>0</v>
      </c>
      <c r="I416">
        <f t="shared" ca="1" si="92"/>
        <v>0</v>
      </c>
      <c r="J416" s="8" t="e">
        <f t="shared" ca="1" si="93"/>
        <v>#DIV/0!</v>
      </c>
      <c r="K416" s="9" t="e">
        <f t="shared" ca="1" si="94"/>
        <v>#DIV/0!</v>
      </c>
      <c r="L416" t="e">
        <f ca="1">+_xlfn.IFNA(VLOOKUP(M416,BespokeWindowsAreas!$A$1:$E$1999,1,FALSE),VLOOKUP(E416,WindowTypeArea!$B$2:$C$2000,2,FALSE))</f>
        <v>#N/A</v>
      </c>
      <c r="M416">
        <f t="shared" ca="1" si="95"/>
        <v>0</v>
      </c>
    </row>
    <row r="417" spans="1:13" x14ac:dyDescent="0.25">
      <c r="A417">
        <f t="shared" ca="1" si="86"/>
        <v>2</v>
      </c>
      <c r="B417">
        <f t="shared" ca="1" si="87"/>
        <v>4</v>
      </c>
      <c r="C417" t="str">
        <f t="shared" ca="1" si="96"/>
        <v>'WINDOWS-NCH-A-BDP-M3-00-00'!B3</v>
      </c>
      <c r="D417" s="6" t="str">
        <f t="shared" ca="1" si="85"/>
        <v>L00-OPD-CC4-S058-01</v>
      </c>
      <c r="E417" t="str">
        <f t="shared" ca="1" si="88"/>
        <v>Family Type: 975w x 3050h, Family: Window Internal Type 2a - Recessed</v>
      </c>
      <c r="F417" t="str">
        <f t="shared" ca="1" si="89"/>
        <v>Vector(X = 0.977, Y = 0.212, Z = 0.000, Length = 1.000)</v>
      </c>
      <c r="G417">
        <f t="shared" ca="1" si="90"/>
        <v>1</v>
      </c>
      <c r="H417">
        <f t="shared" ca="1" si="91"/>
        <v>0.2</v>
      </c>
      <c r="I417">
        <f t="shared" ca="1" si="92"/>
        <v>0</v>
      </c>
      <c r="J417" s="8">
        <f t="shared" ca="1" si="93"/>
        <v>11.309932474020215</v>
      </c>
      <c r="K417" s="9" t="str">
        <f t="shared" ca="1" si="94"/>
        <v>E</v>
      </c>
      <c r="L417">
        <f ca="1">+_xlfn.IFNA(VLOOKUP(M417,BespokeWindowsAreas!$A$1:$E$1999,1,FALSE),VLOOKUP(E417,WindowTypeArea!$B$2:$C$2000,2,FALSE))</f>
        <v>2.9737499999999999</v>
      </c>
      <c r="M417">
        <f t="shared" ca="1" si="95"/>
        <v>5285747</v>
      </c>
    </row>
    <row r="418" spans="1:13" x14ac:dyDescent="0.25">
      <c r="A418">
        <f t="shared" ca="1" si="86"/>
        <v>2</v>
      </c>
      <c r="B418">
        <f t="shared" ca="1" si="87"/>
        <v>5</v>
      </c>
      <c r="C418" t="str">
        <f t="shared" ca="1" si="96"/>
        <v>'WINDOWS-NCH-A-BDP-M3-00-00'!B4</v>
      </c>
      <c r="D418" s="6" t="str">
        <f t="shared" ca="1" si="85"/>
        <v>L00-OPD-CC4-S027-01</v>
      </c>
      <c r="E418" t="str">
        <f t="shared" ca="1" si="88"/>
        <v>L00-OPD-CC4-S027-01</v>
      </c>
      <c r="F418">
        <f t="shared" ca="1" si="89"/>
        <v>1874575</v>
      </c>
      <c r="G418">
        <f t="shared" ca="1" si="90"/>
        <v>0</v>
      </c>
      <c r="H418">
        <f t="shared" ca="1" si="91"/>
        <v>0</v>
      </c>
      <c r="I418">
        <f t="shared" ca="1" si="92"/>
        <v>0</v>
      </c>
      <c r="J418" s="8" t="e">
        <f t="shared" ca="1" si="93"/>
        <v>#DIV/0!</v>
      </c>
      <c r="K418" s="9" t="e">
        <f t="shared" ca="1" si="94"/>
        <v>#DIV/0!</v>
      </c>
      <c r="L418" t="e">
        <f ca="1">+_xlfn.IFNA(VLOOKUP(M418,BespokeWindowsAreas!$A$1:$E$1999,1,FALSE),VLOOKUP(E418,WindowTypeArea!$B$2:$C$2000,2,FALSE))</f>
        <v>#N/A</v>
      </c>
      <c r="M418">
        <f t="shared" ca="1" si="95"/>
        <v>0</v>
      </c>
    </row>
    <row r="419" spans="1:13" x14ac:dyDescent="0.25">
      <c r="A419">
        <f t="shared" ca="1" si="86"/>
        <v>2</v>
      </c>
      <c r="B419">
        <f t="shared" ca="1" si="87"/>
        <v>6</v>
      </c>
      <c r="C419" t="str">
        <f t="shared" ca="1" si="96"/>
        <v>'WINDOWS-NCH-A-BDP-M3-00-00'!B5</v>
      </c>
      <c r="D419" s="6" t="str">
        <f t="shared" ca="1" si="85"/>
        <v>L00-OPD-CC4-S027-01</v>
      </c>
      <c r="E419" t="str">
        <f t="shared" ca="1" si="88"/>
        <v>Family Type: 975w x 3050h, Family: Window Internal Type 2a - Recessed</v>
      </c>
      <c r="F419" t="str">
        <f t="shared" ca="1" si="89"/>
        <v>Vector(X = 0.987, Y = -0.161, Z = 0.000, Length = 1.000)</v>
      </c>
      <c r="G419">
        <f t="shared" ca="1" si="90"/>
        <v>1</v>
      </c>
      <c r="H419">
        <f t="shared" ca="1" si="91"/>
        <v>-0.2</v>
      </c>
      <c r="I419">
        <f t="shared" ca="1" si="92"/>
        <v>0</v>
      </c>
      <c r="J419" s="8">
        <f t="shared" ca="1" si="93"/>
        <v>-11.309932474020215</v>
      </c>
      <c r="K419" s="9" t="str">
        <f t="shared" ca="1" si="94"/>
        <v>SE</v>
      </c>
      <c r="L419">
        <f ca="1">+_xlfn.IFNA(VLOOKUP(M419,BespokeWindowsAreas!$A$1:$E$1999,1,FALSE),VLOOKUP(E419,WindowTypeArea!$B$2:$C$2000,2,FALSE))</f>
        <v>2.9737499999999999</v>
      </c>
      <c r="M419">
        <f t="shared" ca="1" si="95"/>
        <v>5209716</v>
      </c>
    </row>
    <row r="420" spans="1:13" x14ac:dyDescent="0.25">
      <c r="A420">
        <f t="shared" ca="1" si="86"/>
        <v>2</v>
      </c>
      <c r="B420">
        <f t="shared" ca="1" si="87"/>
        <v>7</v>
      </c>
      <c r="C420" t="str">
        <f t="shared" ca="1" si="96"/>
        <v>'WINDOWS-NCH-A-BDP-M3-00-00'!B6</v>
      </c>
      <c r="D420" s="6" t="str">
        <f t="shared" ca="1" si="85"/>
        <v>L00-OPD-CC4-S108-01</v>
      </c>
      <c r="E420" t="str">
        <f t="shared" ca="1" si="88"/>
        <v>L00-OPD-CC4-S108-01</v>
      </c>
      <c r="F420">
        <f t="shared" ca="1" si="89"/>
        <v>1874601</v>
      </c>
      <c r="G420">
        <f t="shared" ca="1" si="90"/>
        <v>0</v>
      </c>
      <c r="H420">
        <f t="shared" ca="1" si="91"/>
        <v>0</v>
      </c>
      <c r="I420">
        <f t="shared" ca="1" si="92"/>
        <v>0</v>
      </c>
      <c r="J420" s="8" t="e">
        <f t="shared" ca="1" si="93"/>
        <v>#DIV/0!</v>
      </c>
      <c r="K420" s="9" t="e">
        <f t="shared" ca="1" si="94"/>
        <v>#DIV/0!</v>
      </c>
      <c r="L420" t="e">
        <f ca="1">+_xlfn.IFNA(VLOOKUP(M420,BespokeWindowsAreas!$A$1:$E$1999,1,FALSE),VLOOKUP(E420,WindowTypeArea!$B$2:$C$2000,2,FALSE))</f>
        <v>#N/A</v>
      </c>
      <c r="M420">
        <f t="shared" ca="1" si="95"/>
        <v>0</v>
      </c>
    </row>
    <row r="421" spans="1:13" x14ac:dyDescent="0.25">
      <c r="A421">
        <f t="shared" ca="1" si="86"/>
        <v>2</v>
      </c>
      <c r="B421">
        <f t="shared" ca="1" si="87"/>
        <v>8</v>
      </c>
      <c r="C421" t="str">
        <f t="shared" ca="1" si="96"/>
        <v>'WINDOWS-NCH-A-BDP-M3-00-00'!B7</v>
      </c>
      <c r="D421" s="6" t="str">
        <f t="shared" ca="1" si="85"/>
        <v>L00-OPD-CC4-S108-01</v>
      </c>
      <c r="E421" t="str">
        <f t="shared" ca="1" si="88"/>
        <v>Family Type: 1500w x 3050h, Family: Window External Type 3 - Recessed and Angle</v>
      </c>
      <c r="F421" t="str">
        <f t="shared" ca="1" si="89"/>
        <v>Vector(X = 0.212, Y = -0.977, Z = 0.000, Length = 1.000)</v>
      </c>
      <c r="G421">
        <f t="shared" ca="1" si="90"/>
        <v>0.2</v>
      </c>
      <c r="H421">
        <f t="shared" ca="1" si="91"/>
        <v>-1</v>
      </c>
      <c r="I421">
        <f t="shared" ca="1" si="92"/>
        <v>0</v>
      </c>
      <c r="J421" s="8">
        <f t="shared" ca="1" si="93"/>
        <v>-78.690067525979785</v>
      </c>
      <c r="K421" s="9" t="str">
        <f t="shared" ca="1" si="94"/>
        <v>S</v>
      </c>
      <c r="L421">
        <f ca="1">+_xlfn.IFNA(VLOOKUP(M421,BespokeWindowsAreas!$A$1:$E$1999,1,FALSE),VLOOKUP(E421,WindowTypeArea!$B$2:$C$2000,2,FALSE))</f>
        <v>4.5750000000000002</v>
      </c>
      <c r="M421">
        <f t="shared" ca="1" si="95"/>
        <v>4807556</v>
      </c>
    </row>
    <row r="422" spans="1:13" x14ac:dyDescent="0.25">
      <c r="A422">
        <f t="shared" ca="1" si="86"/>
        <v>2</v>
      </c>
      <c r="B422">
        <f t="shared" ca="1" si="87"/>
        <v>9</v>
      </c>
      <c r="C422" t="str">
        <f t="shared" ca="1" si="96"/>
        <v>'WINDOWS-NCH-A-BDP-M3-00-00'!B8</v>
      </c>
      <c r="D422" s="6" t="str">
        <f t="shared" ca="1" si="85"/>
        <v>L00-OPD-CC4-S108-01</v>
      </c>
      <c r="E422" t="str">
        <f t="shared" ca="1" si="88"/>
        <v>Family Type: 975w x 3050h, Family: Window External Type 1 - Recessed</v>
      </c>
      <c r="F422" t="str">
        <f t="shared" ca="1" si="89"/>
        <v>Vector(X = 0.212, Y = -0.977, Z = 0.000, Length = 1.000)</v>
      </c>
      <c r="G422">
        <f t="shared" ca="1" si="90"/>
        <v>0.2</v>
      </c>
      <c r="H422">
        <f t="shared" ca="1" si="91"/>
        <v>-1</v>
      </c>
      <c r="I422">
        <f t="shared" ca="1" si="92"/>
        <v>0</v>
      </c>
      <c r="J422" s="8">
        <f t="shared" ca="1" si="93"/>
        <v>-78.690067525979785</v>
      </c>
      <c r="K422" s="9" t="str">
        <f t="shared" ca="1" si="94"/>
        <v>S</v>
      </c>
      <c r="L422">
        <f ca="1">+_xlfn.IFNA(VLOOKUP(M422,BespokeWindowsAreas!$A$1:$E$1999,1,FALSE),VLOOKUP(E422,WindowTypeArea!$B$2:$C$2000,2,FALSE))</f>
        <v>2.9737499999999999</v>
      </c>
      <c r="M422">
        <f t="shared" ca="1" si="95"/>
        <v>4807660</v>
      </c>
    </row>
    <row r="423" spans="1:13" x14ac:dyDescent="0.25">
      <c r="A423">
        <f t="shared" ca="1" si="86"/>
        <v>2</v>
      </c>
      <c r="B423">
        <f t="shared" ca="1" si="87"/>
        <v>10</v>
      </c>
      <c r="C423" t="str">
        <f t="shared" ca="1" si="96"/>
        <v>'WINDOWS-NCH-A-BDP-M3-00-00'!B9</v>
      </c>
      <c r="D423" s="6" t="str">
        <f t="shared" ca="1" si="85"/>
        <v>L00-OPD-CC4-S040-01</v>
      </c>
      <c r="E423" t="str">
        <f t="shared" ca="1" si="88"/>
        <v>L00-OPD-CC4-S040-01</v>
      </c>
      <c r="F423">
        <f t="shared" ca="1" si="89"/>
        <v>1874611</v>
      </c>
      <c r="G423">
        <f t="shared" ca="1" si="90"/>
        <v>0</v>
      </c>
      <c r="H423">
        <f t="shared" ca="1" si="91"/>
        <v>0</v>
      </c>
      <c r="I423">
        <f t="shared" ca="1" si="92"/>
        <v>0</v>
      </c>
      <c r="J423" s="8" t="e">
        <f t="shared" ca="1" si="93"/>
        <v>#DIV/0!</v>
      </c>
      <c r="K423" s="9" t="e">
        <f t="shared" ca="1" si="94"/>
        <v>#DIV/0!</v>
      </c>
      <c r="L423" t="e">
        <f ca="1">+_xlfn.IFNA(VLOOKUP(M423,BespokeWindowsAreas!$A$1:$E$1999,1,FALSE),VLOOKUP(E423,WindowTypeArea!$B$2:$C$2000,2,FALSE))</f>
        <v>#N/A</v>
      </c>
      <c r="M423">
        <f t="shared" ca="1" si="95"/>
        <v>0</v>
      </c>
    </row>
    <row r="424" spans="1:13" x14ac:dyDescent="0.25">
      <c r="A424">
        <f t="shared" ca="1" si="86"/>
        <v>2</v>
      </c>
      <c r="B424">
        <f t="shared" ca="1" si="87"/>
        <v>11</v>
      </c>
      <c r="C424" t="str">
        <f t="shared" ca="1" si="96"/>
        <v>'WINDOWS-NCH-A-BDP-M3-00-00'!B10</v>
      </c>
      <c r="D424" s="6" t="str">
        <f t="shared" ca="1" si="85"/>
        <v>L00-OPD-CC4-S040-01</v>
      </c>
      <c r="E424" t="str">
        <f t="shared" ca="1" si="88"/>
        <v>Family Type: 1950w x 3050h, Family: Window External Type 3 - Recessed and Angle</v>
      </c>
      <c r="F424" t="str">
        <f t="shared" ca="1" si="89"/>
        <v>Vector(X = 0.212, Y = -0.977, Z = 0.000, Length = 1.000)</v>
      </c>
      <c r="G424">
        <f t="shared" ca="1" si="90"/>
        <v>0.2</v>
      </c>
      <c r="H424">
        <f t="shared" ca="1" si="91"/>
        <v>-1</v>
      </c>
      <c r="I424">
        <f t="shared" ca="1" si="92"/>
        <v>0</v>
      </c>
      <c r="J424" s="8">
        <f t="shared" ca="1" si="93"/>
        <v>-78.690067525979785</v>
      </c>
      <c r="K424" s="9" t="str">
        <f t="shared" ca="1" si="94"/>
        <v>S</v>
      </c>
      <c r="L424">
        <f ca="1">+_xlfn.IFNA(VLOOKUP(M424,BespokeWindowsAreas!$A$1:$E$1999,1,FALSE),VLOOKUP(E424,WindowTypeArea!$B$2:$C$2000,2,FALSE))</f>
        <v>5.9474999999999998</v>
      </c>
      <c r="M424">
        <f t="shared" ca="1" si="95"/>
        <v>5148730</v>
      </c>
    </row>
    <row r="425" spans="1:13" x14ac:dyDescent="0.25">
      <c r="A425">
        <f t="shared" ca="1" si="86"/>
        <v>2</v>
      </c>
      <c r="B425">
        <f t="shared" ca="1" si="87"/>
        <v>12</v>
      </c>
      <c r="C425" t="str">
        <f t="shared" ca="1" si="96"/>
        <v>'WINDOWS-NCH-A-BDP-M3-00-00'!B11</v>
      </c>
      <c r="D425" s="6" t="str">
        <f t="shared" ca="1" si="85"/>
        <v>L00-OPD-CC4-S028-18</v>
      </c>
      <c r="E425" t="str">
        <f t="shared" ca="1" si="88"/>
        <v>L00-OPD-CC4-S028-18</v>
      </c>
      <c r="F425">
        <f t="shared" ca="1" si="89"/>
        <v>1874621</v>
      </c>
      <c r="G425">
        <f t="shared" ca="1" si="90"/>
        <v>0</v>
      </c>
      <c r="H425">
        <f t="shared" ca="1" si="91"/>
        <v>0</v>
      </c>
      <c r="I425">
        <f t="shared" ca="1" si="92"/>
        <v>0</v>
      </c>
      <c r="J425" s="8" t="e">
        <f t="shared" ca="1" si="93"/>
        <v>#DIV/0!</v>
      </c>
      <c r="K425" s="9" t="e">
        <f t="shared" ca="1" si="94"/>
        <v>#DIV/0!</v>
      </c>
      <c r="L425" t="e">
        <f ca="1">+_xlfn.IFNA(VLOOKUP(M425,BespokeWindowsAreas!$A$1:$E$1999,1,FALSE),VLOOKUP(E425,WindowTypeArea!$B$2:$C$2000,2,FALSE))</f>
        <v>#N/A</v>
      </c>
      <c r="M425">
        <f t="shared" ca="1" si="95"/>
        <v>0</v>
      </c>
    </row>
    <row r="426" spans="1:13" x14ac:dyDescent="0.25">
      <c r="A426">
        <f t="shared" ca="1" si="86"/>
        <v>2</v>
      </c>
      <c r="B426">
        <f t="shared" ca="1" si="87"/>
        <v>13</v>
      </c>
      <c r="C426" t="str">
        <f t="shared" ca="1" si="96"/>
        <v>'WINDOWS-NCH-A-BDP-M3-00-00'!B12</v>
      </c>
      <c r="D426" s="6" t="str">
        <f t="shared" ca="1" si="85"/>
        <v>L00-OPD-CC4-S028-18</v>
      </c>
      <c r="E426" t="str">
        <f t="shared" ca="1" si="88"/>
        <v>Family Type: 1950w x 3050h, Family: Window External Type 3 - Recessed and Angle</v>
      </c>
      <c r="F426" t="str">
        <f t="shared" ca="1" si="89"/>
        <v>Vector(X = 0.212, Y = -0.977, Z = 0.000, Length = 1.000)</v>
      </c>
      <c r="G426">
        <f t="shared" ca="1" si="90"/>
        <v>0.2</v>
      </c>
      <c r="H426">
        <f t="shared" ca="1" si="91"/>
        <v>-1</v>
      </c>
      <c r="I426">
        <f t="shared" ca="1" si="92"/>
        <v>0</v>
      </c>
      <c r="J426" s="8">
        <f t="shared" ca="1" si="93"/>
        <v>-78.690067525979785</v>
      </c>
      <c r="K426" s="9" t="str">
        <f t="shared" ca="1" si="94"/>
        <v>S</v>
      </c>
      <c r="L426">
        <f ca="1">+_xlfn.IFNA(VLOOKUP(M426,BespokeWindowsAreas!$A$1:$E$1999,1,FALSE),VLOOKUP(E426,WindowTypeArea!$B$2:$C$2000,2,FALSE))</f>
        <v>5.9474999999999998</v>
      </c>
      <c r="M426">
        <f t="shared" ca="1" si="95"/>
        <v>4807590</v>
      </c>
    </row>
    <row r="427" spans="1:13" x14ac:dyDescent="0.25">
      <c r="A427">
        <f t="shared" ca="1" si="86"/>
        <v>2</v>
      </c>
      <c r="B427">
        <f t="shared" ca="1" si="87"/>
        <v>14</v>
      </c>
      <c r="C427" t="str">
        <f t="shared" ca="1" si="96"/>
        <v>'WINDOWS-NCH-A-BDP-M3-00-00'!B13</v>
      </c>
      <c r="D427" s="6" t="str">
        <f t="shared" ca="1" si="85"/>
        <v>L00-OPD-CC4-U0214-01</v>
      </c>
      <c r="E427" t="str">
        <f t="shared" ca="1" si="88"/>
        <v>L00-OPD-CC4-U0214-01</v>
      </c>
      <c r="F427">
        <f t="shared" ca="1" si="89"/>
        <v>1874623</v>
      </c>
      <c r="G427">
        <f t="shared" ca="1" si="90"/>
        <v>0</v>
      </c>
      <c r="H427">
        <f t="shared" ca="1" si="91"/>
        <v>0</v>
      </c>
      <c r="I427">
        <f t="shared" ca="1" si="92"/>
        <v>0</v>
      </c>
      <c r="J427" s="8" t="e">
        <f t="shared" ca="1" si="93"/>
        <v>#DIV/0!</v>
      </c>
      <c r="K427" s="9" t="e">
        <f t="shared" ca="1" si="94"/>
        <v>#DIV/0!</v>
      </c>
      <c r="L427" t="e">
        <f ca="1">+_xlfn.IFNA(VLOOKUP(M427,BespokeWindowsAreas!$A$1:$E$1999,1,FALSE),VLOOKUP(E427,WindowTypeArea!$B$2:$C$2000,2,FALSE))</f>
        <v>#N/A</v>
      </c>
      <c r="M427">
        <f t="shared" ca="1" si="95"/>
        <v>0</v>
      </c>
    </row>
    <row r="428" spans="1:13" x14ac:dyDescent="0.25">
      <c r="A428">
        <f t="shared" ca="1" si="86"/>
        <v>2</v>
      </c>
      <c r="B428">
        <f t="shared" ca="1" si="87"/>
        <v>15</v>
      </c>
      <c r="C428" t="str">
        <f t="shared" ca="1" si="96"/>
        <v>'WINDOWS-NCH-A-BDP-M3-00-00'!B14</v>
      </c>
      <c r="D428" s="6" t="str">
        <f t="shared" ca="1" si="85"/>
        <v>L00-OPD-CC4-U0214-01</v>
      </c>
      <c r="E428" t="str">
        <f t="shared" ca="1" si="88"/>
        <v>Family Type: 1500w x 3050h, Family: Window External Type 3 - Recessed and Angle</v>
      </c>
      <c r="F428" t="str">
        <f t="shared" ca="1" si="89"/>
        <v>Vector(X = 0.212, Y = -0.977, Z = 0.000, Length = 1.000)</v>
      </c>
      <c r="G428">
        <f t="shared" ca="1" si="90"/>
        <v>0.2</v>
      </c>
      <c r="H428">
        <f t="shared" ca="1" si="91"/>
        <v>-1</v>
      </c>
      <c r="I428">
        <f t="shared" ca="1" si="92"/>
        <v>0</v>
      </c>
      <c r="J428" s="8">
        <f t="shared" ca="1" si="93"/>
        <v>-78.690067525979785</v>
      </c>
      <c r="K428" s="9" t="str">
        <f t="shared" ca="1" si="94"/>
        <v>S</v>
      </c>
      <c r="L428">
        <f ca="1">+_xlfn.IFNA(VLOOKUP(M428,BespokeWindowsAreas!$A$1:$E$1999,1,FALSE),VLOOKUP(E428,WindowTypeArea!$B$2:$C$2000,2,FALSE))</f>
        <v>4.5750000000000002</v>
      </c>
      <c r="M428">
        <f t="shared" ca="1" si="95"/>
        <v>4807632</v>
      </c>
    </row>
    <row r="429" spans="1:13" x14ac:dyDescent="0.25">
      <c r="A429">
        <f t="shared" ca="1" si="86"/>
        <v>2</v>
      </c>
      <c r="B429">
        <f t="shared" ca="1" si="87"/>
        <v>16</v>
      </c>
      <c r="C429" t="str">
        <f t="shared" ca="1" si="96"/>
        <v>'WINDOWS-NCH-A-BDP-M3-00-00'!B15</v>
      </c>
      <c r="D429" s="6" t="str">
        <f t="shared" ca="1" si="85"/>
        <v>L00-OPD-CC4-S060-02</v>
      </c>
      <c r="E429" t="str">
        <f t="shared" ca="1" si="88"/>
        <v>L00-OPD-CC4-S060-02</v>
      </c>
      <c r="F429">
        <f t="shared" ca="1" si="89"/>
        <v>1874629</v>
      </c>
      <c r="G429">
        <f t="shared" ca="1" si="90"/>
        <v>0</v>
      </c>
      <c r="H429">
        <f t="shared" ca="1" si="91"/>
        <v>0</v>
      </c>
      <c r="I429">
        <f t="shared" ca="1" si="92"/>
        <v>0</v>
      </c>
      <c r="J429" s="8" t="e">
        <f t="shared" ca="1" si="93"/>
        <v>#DIV/0!</v>
      </c>
      <c r="K429" s="9" t="e">
        <f t="shared" ca="1" si="94"/>
        <v>#DIV/0!</v>
      </c>
      <c r="L429" t="e">
        <f ca="1">+_xlfn.IFNA(VLOOKUP(M429,BespokeWindowsAreas!$A$1:$E$1999,1,FALSE),VLOOKUP(E429,WindowTypeArea!$B$2:$C$2000,2,FALSE))</f>
        <v>#N/A</v>
      </c>
      <c r="M429">
        <f t="shared" ca="1" si="95"/>
        <v>0</v>
      </c>
    </row>
    <row r="430" spans="1:13" x14ac:dyDescent="0.25">
      <c r="A430">
        <f t="shared" ca="1" si="86"/>
        <v>2</v>
      </c>
      <c r="B430">
        <f t="shared" ca="1" si="87"/>
        <v>17</v>
      </c>
      <c r="C430" t="str">
        <f t="shared" ca="1" si="96"/>
        <v>'WINDOWS-NCH-A-BDP-M3-00-00'!B16</v>
      </c>
      <c r="D430" s="6" t="str">
        <f t="shared" ca="1" si="85"/>
        <v>L00-OPD-CC4-S060-02</v>
      </c>
      <c r="E430" t="str">
        <f t="shared" ca="1" si="88"/>
        <v>Family Type: 1500w x 3050h, Family: Window External Type 3 - Recessed and Angle</v>
      </c>
      <c r="F430" t="str">
        <f t="shared" ca="1" si="89"/>
        <v>Vector(X = -0.996, Y = 0.087, Z = 0.000, Length = 1.000)</v>
      </c>
      <c r="G430">
        <f t="shared" ca="1" si="90"/>
        <v>-1</v>
      </c>
      <c r="H430">
        <f t="shared" ca="1" si="91"/>
        <v>0.1</v>
      </c>
      <c r="I430">
        <f t="shared" ca="1" si="92"/>
        <v>0</v>
      </c>
      <c r="J430" s="8">
        <f t="shared" ca="1" si="93"/>
        <v>174.28940686250036</v>
      </c>
      <c r="K430" s="9" t="str">
        <f t="shared" ca="1" si="94"/>
        <v>WN</v>
      </c>
      <c r="L430">
        <f ca="1">+_xlfn.IFNA(VLOOKUP(M430,BespokeWindowsAreas!$A$1:$E$1999,1,FALSE),VLOOKUP(E430,WindowTypeArea!$B$2:$C$2000,2,FALSE))</f>
        <v>4.5750000000000002</v>
      </c>
      <c r="M430">
        <f t="shared" ca="1" si="95"/>
        <v>4801883</v>
      </c>
    </row>
    <row r="431" spans="1:13" x14ac:dyDescent="0.25">
      <c r="A431">
        <f t="shared" ca="1" si="86"/>
        <v>2</v>
      </c>
      <c r="B431">
        <f t="shared" ca="1" si="87"/>
        <v>18</v>
      </c>
      <c r="C431" t="str">
        <f t="shared" ca="1" si="96"/>
        <v>'WINDOWS-NCH-A-BDP-M3-00-00'!B17</v>
      </c>
      <c r="D431" s="6" t="str">
        <f t="shared" ca="1" si="85"/>
        <v>L00-OPD-CC4-S060-02</v>
      </c>
      <c r="E431" t="str">
        <f t="shared" ca="1" si="88"/>
        <v>Family Type: 975w x 3050h, Family: Window Internal Type 1 - Flush</v>
      </c>
      <c r="F431" t="str">
        <f t="shared" ca="1" si="89"/>
        <v>Vector(X = 0.041, Y = -0.999, Z = 0.000, Length = 1.000)</v>
      </c>
      <c r="G431">
        <f t="shared" ca="1" si="90"/>
        <v>0</v>
      </c>
      <c r="H431">
        <f t="shared" ca="1" si="91"/>
        <v>-1</v>
      </c>
      <c r="I431">
        <f t="shared" ca="1" si="92"/>
        <v>0</v>
      </c>
      <c r="J431" s="8">
        <f t="shared" ca="1" si="93"/>
        <v>-90</v>
      </c>
      <c r="K431" s="9" t="str">
        <f t="shared" ca="1" si="94"/>
        <v>S</v>
      </c>
      <c r="L431">
        <f ca="1">+_xlfn.IFNA(VLOOKUP(M431,BespokeWindowsAreas!$A$1:$E$1999,1,FALSE),VLOOKUP(E431,WindowTypeArea!$B$2:$C$2000,2,FALSE))</f>
        <v>2.9737499999999999</v>
      </c>
      <c r="M431">
        <f t="shared" ca="1" si="95"/>
        <v>5013541</v>
      </c>
    </row>
    <row r="432" spans="1:13" x14ac:dyDescent="0.25">
      <c r="A432">
        <f t="shared" ca="1" si="86"/>
        <v>2</v>
      </c>
      <c r="B432">
        <f t="shared" ca="1" si="87"/>
        <v>19</v>
      </c>
      <c r="C432" t="str">
        <f t="shared" ca="1" si="96"/>
        <v>'WINDOWS-NCH-A-BDP-M3-00-00'!B18</v>
      </c>
      <c r="D432" s="6" t="str">
        <f t="shared" ca="1" si="85"/>
        <v>L00-OPD-CC4-S060-02</v>
      </c>
      <c r="E432" t="str">
        <f t="shared" ca="1" si="88"/>
        <v>Family Type: 975w x 3050h, Family: Window Internal Type 1 - Flush</v>
      </c>
      <c r="F432" t="str">
        <f t="shared" ca="1" si="89"/>
        <v>Vector(X = 0.041, Y = -0.999, Z = 0.000, Length = 1.000)</v>
      </c>
      <c r="G432">
        <f t="shared" ca="1" si="90"/>
        <v>0</v>
      </c>
      <c r="H432">
        <f t="shared" ca="1" si="91"/>
        <v>-1</v>
      </c>
      <c r="I432">
        <f t="shared" ca="1" si="92"/>
        <v>0</v>
      </c>
      <c r="J432" s="8">
        <f t="shared" ca="1" si="93"/>
        <v>-90</v>
      </c>
      <c r="K432" s="9" t="str">
        <f t="shared" ca="1" si="94"/>
        <v>S</v>
      </c>
      <c r="L432">
        <f ca="1">+_xlfn.IFNA(VLOOKUP(M432,BespokeWindowsAreas!$A$1:$E$1999,1,FALSE),VLOOKUP(E432,WindowTypeArea!$B$2:$C$2000,2,FALSE))</f>
        <v>2.9737499999999999</v>
      </c>
      <c r="M432">
        <f t="shared" ca="1" si="95"/>
        <v>5207354</v>
      </c>
    </row>
    <row r="433" spans="1:13" x14ac:dyDescent="0.25">
      <c r="A433">
        <f t="shared" ca="1" si="86"/>
        <v>2</v>
      </c>
      <c r="B433">
        <f t="shared" ca="1" si="87"/>
        <v>20</v>
      </c>
      <c r="C433" t="str">
        <f t="shared" ca="1" si="96"/>
        <v>'WINDOWS-NCH-A-BDP-M3-00-00'!B19</v>
      </c>
      <c r="D433" s="6" t="str">
        <f t="shared" ca="1" si="85"/>
        <v>L00-OPD-CC4-S060-02</v>
      </c>
      <c r="E433" t="str">
        <f t="shared" ca="1" si="88"/>
        <v>Family Type: 975w x 3600h, CURTAIN WALL-manual input</v>
      </c>
      <c r="F433" t="str">
        <f t="shared" ca="1" si="89"/>
        <v>Vector(X = 0.041, Y = -0.999, Z = 0.000, Length = 1.000)</v>
      </c>
      <c r="G433">
        <f t="shared" ca="1" si="90"/>
        <v>0</v>
      </c>
      <c r="H433">
        <f t="shared" ca="1" si="91"/>
        <v>-1</v>
      </c>
      <c r="I433">
        <f t="shared" ca="1" si="92"/>
        <v>0</v>
      </c>
      <c r="J433" s="8">
        <f t="shared" ca="1" si="93"/>
        <v>-90</v>
      </c>
      <c r="K433" s="9" t="str">
        <f t="shared" ca="1" si="94"/>
        <v>S</v>
      </c>
      <c r="L433">
        <f ca="1">+_xlfn.IFNA(VLOOKUP(M433,BespokeWindowsAreas!$A$1:$E$1999,1,FALSE),VLOOKUP(E433,WindowTypeArea!$B$2:$C$2000,2,FALSE))</f>
        <v>3.51</v>
      </c>
      <c r="M433">
        <f t="shared" ca="1" si="95"/>
        <v>4980912</v>
      </c>
    </row>
    <row r="434" spans="1:13" x14ac:dyDescent="0.25">
      <c r="A434">
        <f t="shared" ca="1" si="86"/>
        <v>2</v>
      </c>
      <c r="B434">
        <f t="shared" ca="1" si="87"/>
        <v>21</v>
      </c>
      <c r="C434" t="str">
        <f t="shared" ca="1" si="96"/>
        <v>'WINDOWS-NCH-A-BDP-M3-00-00'!B20</v>
      </c>
      <c r="D434" s="6" t="str">
        <f t="shared" ca="1" si="85"/>
        <v>L00-OPD-CC4-S029-03</v>
      </c>
      <c r="E434" t="str">
        <f t="shared" ca="1" si="88"/>
        <v>L00-OPD-CC4-S029-03</v>
      </c>
      <c r="F434">
        <f t="shared" ca="1" si="89"/>
        <v>1874631</v>
      </c>
      <c r="G434">
        <f t="shared" ca="1" si="90"/>
        <v>0</v>
      </c>
      <c r="H434">
        <f t="shared" ca="1" si="91"/>
        <v>0</v>
      </c>
      <c r="I434">
        <f t="shared" ca="1" si="92"/>
        <v>0</v>
      </c>
      <c r="J434" s="8" t="e">
        <f t="shared" ca="1" si="93"/>
        <v>#DIV/0!</v>
      </c>
      <c r="K434" s="9" t="e">
        <f t="shared" ca="1" si="94"/>
        <v>#DIV/0!</v>
      </c>
      <c r="L434" t="e">
        <f ca="1">+_xlfn.IFNA(VLOOKUP(M434,BespokeWindowsAreas!$A$1:$E$1999,1,FALSE),VLOOKUP(E434,WindowTypeArea!$B$2:$C$2000,2,FALSE))</f>
        <v>#N/A</v>
      </c>
      <c r="M434">
        <f t="shared" ca="1" si="95"/>
        <v>0</v>
      </c>
    </row>
    <row r="435" spans="1:13" x14ac:dyDescent="0.25">
      <c r="A435">
        <f t="shared" ca="1" si="86"/>
        <v>2</v>
      </c>
      <c r="B435">
        <f t="shared" ca="1" si="87"/>
        <v>22</v>
      </c>
      <c r="C435" t="str">
        <f t="shared" ca="1" si="96"/>
        <v>'WINDOWS-NCH-A-BDP-M3-00-00'!B21</v>
      </c>
      <c r="D435" s="6" t="str">
        <f t="shared" ca="1" si="85"/>
        <v>L00-OPD-CC4-S029-03</v>
      </c>
      <c r="E435" t="str">
        <f t="shared" ca="1" si="88"/>
        <v>Family Type: 1950w x 3050h, Family: Window External Type 3 - Recessed and Angle</v>
      </c>
      <c r="F435" t="str">
        <f t="shared" ca="1" si="89"/>
        <v>Vector(X = -0.041, Y = 0.999, Z = 0.000, Length = 1.000)</v>
      </c>
      <c r="G435">
        <f t="shared" ca="1" si="90"/>
        <v>0</v>
      </c>
      <c r="H435">
        <f t="shared" ca="1" si="91"/>
        <v>1</v>
      </c>
      <c r="I435">
        <f t="shared" ca="1" si="92"/>
        <v>0</v>
      </c>
      <c r="J435" s="8">
        <f t="shared" ca="1" si="93"/>
        <v>90</v>
      </c>
      <c r="K435" s="9" t="str">
        <f t="shared" ca="1" si="94"/>
        <v>N</v>
      </c>
      <c r="L435">
        <f ca="1">+_xlfn.IFNA(VLOOKUP(M435,BespokeWindowsAreas!$A$1:$E$1999,1,FALSE),VLOOKUP(E435,WindowTypeArea!$B$2:$C$2000,2,FALSE))</f>
        <v>5.9474999999999998</v>
      </c>
      <c r="M435">
        <f t="shared" ca="1" si="95"/>
        <v>4809058</v>
      </c>
    </row>
    <row r="436" spans="1:13" x14ac:dyDescent="0.25">
      <c r="A436">
        <f t="shared" ca="1" si="86"/>
        <v>2</v>
      </c>
      <c r="B436">
        <f t="shared" ca="1" si="87"/>
        <v>23</v>
      </c>
      <c r="C436" t="str">
        <f t="shared" ca="1" si="96"/>
        <v>'WINDOWS-NCH-A-BDP-M3-00-00'!B22</v>
      </c>
      <c r="D436" s="6" t="str">
        <f t="shared" ca="1" si="85"/>
        <v>L00-OPD-CC4-S060-03</v>
      </c>
      <c r="E436" t="str">
        <f t="shared" ca="1" si="88"/>
        <v>L00-OPD-CC4-S060-03</v>
      </c>
      <c r="F436">
        <f t="shared" ca="1" si="89"/>
        <v>1874643</v>
      </c>
      <c r="G436">
        <f t="shared" ca="1" si="90"/>
        <v>0</v>
      </c>
      <c r="H436">
        <f t="shared" ca="1" si="91"/>
        <v>0</v>
      </c>
      <c r="I436">
        <f t="shared" ca="1" si="92"/>
        <v>0</v>
      </c>
      <c r="J436" s="8" t="e">
        <f t="shared" ca="1" si="93"/>
        <v>#DIV/0!</v>
      </c>
      <c r="K436" s="9" t="e">
        <f t="shared" ca="1" si="94"/>
        <v>#DIV/0!</v>
      </c>
      <c r="L436" t="e">
        <f ca="1">+_xlfn.IFNA(VLOOKUP(M436,BespokeWindowsAreas!$A$1:$E$1999,1,FALSE),VLOOKUP(E436,WindowTypeArea!$B$2:$C$2000,2,FALSE))</f>
        <v>#N/A</v>
      </c>
      <c r="M436">
        <f t="shared" ca="1" si="95"/>
        <v>0</v>
      </c>
    </row>
    <row r="437" spans="1:13" x14ac:dyDescent="0.25">
      <c r="A437">
        <f t="shared" ca="1" si="86"/>
        <v>2</v>
      </c>
      <c r="B437">
        <f t="shared" ca="1" si="87"/>
        <v>24</v>
      </c>
      <c r="C437" t="str">
        <f t="shared" ca="1" si="96"/>
        <v>'WINDOWS-NCH-A-BDP-M3-00-00'!B23</v>
      </c>
      <c r="D437" s="6" t="str">
        <f t="shared" ca="1" si="85"/>
        <v>L00-OPD-CC4-S060-03</v>
      </c>
      <c r="E437" t="str">
        <f t="shared" ca="1" si="88"/>
        <v>Family Type: 1500w x 3050h, Family: Window External Type 3 - Recessed and Angle</v>
      </c>
      <c r="F437" t="str">
        <f t="shared" ca="1" si="89"/>
        <v>Vector(X = -0.992, Y = -0.128, Z = 0.000, Length = 1.000)</v>
      </c>
      <c r="G437">
        <f t="shared" ca="1" si="90"/>
        <v>-1</v>
      </c>
      <c r="H437">
        <f t="shared" ca="1" si="91"/>
        <v>-0.1</v>
      </c>
      <c r="I437">
        <f t="shared" ca="1" si="92"/>
        <v>0</v>
      </c>
      <c r="J437" s="8">
        <f t="shared" ca="1" si="93"/>
        <v>-174.28940686250036</v>
      </c>
      <c r="K437" s="9" t="str">
        <f t="shared" ca="1" si="94"/>
        <v>W</v>
      </c>
      <c r="L437">
        <f ca="1">+_xlfn.IFNA(VLOOKUP(M437,BespokeWindowsAreas!$A$1:$E$1999,1,FALSE),VLOOKUP(E437,WindowTypeArea!$B$2:$C$2000,2,FALSE))</f>
        <v>4.5750000000000002</v>
      </c>
      <c r="M437">
        <f t="shared" ca="1" si="95"/>
        <v>4849069</v>
      </c>
    </row>
    <row r="438" spans="1:13" x14ac:dyDescent="0.25">
      <c r="A438">
        <f t="shared" ca="1" si="86"/>
        <v>2</v>
      </c>
      <c r="B438">
        <f t="shared" ca="1" si="87"/>
        <v>25</v>
      </c>
      <c r="C438" t="str">
        <f t="shared" ca="1" si="96"/>
        <v>'WINDOWS-NCH-A-BDP-M3-00-00'!B24</v>
      </c>
      <c r="D438" s="6" t="str">
        <f t="shared" ca="1" si="85"/>
        <v>L00-OPD-CC4-S060-03</v>
      </c>
      <c r="E438" t="str">
        <f t="shared" ca="1" si="88"/>
        <v>Family Type: 1950w x 3050h, Family: Window External Type 1 - Recessed</v>
      </c>
      <c r="F438" t="str">
        <f t="shared" ca="1" si="89"/>
        <v>Vector(X = 0.212, Y = -0.977, Z = 0.000, Length = 1.000)</v>
      </c>
      <c r="G438">
        <f t="shared" ca="1" si="90"/>
        <v>0.2</v>
      </c>
      <c r="H438">
        <f t="shared" ca="1" si="91"/>
        <v>-1</v>
      </c>
      <c r="I438">
        <f t="shared" ca="1" si="92"/>
        <v>0</v>
      </c>
      <c r="J438" s="8">
        <f t="shared" ca="1" si="93"/>
        <v>-78.690067525979785</v>
      </c>
      <c r="K438" s="9" t="str">
        <f t="shared" ca="1" si="94"/>
        <v>S</v>
      </c>
      <c r="L438">
        <f ca="1">+_xlfn.IFNA(VLOOKUP(M438,BespokeWindowsAreas!$A$1:$E$1999,1,FALSE),VLOOKUP(E438,WindowTypeArea!$B$2:$C$2000,2,FALSE))</f>
        <v>5.9474999999999998</v>
      </c>
      <c r="M438">
        <f t="shared" ca="1" si="95"/>
        <v>5009732</v>
      </c>
    </row>
    <row r="439" spans="1:13" x14ac:dyDescent="0.25">
      <c r="A439">
        <f t="shared" ca="1" si="86"/>
        <v>2</v>
      </c>
      <c r="B439">
        <f t="shared" ca="1" si="87"/>
        <v>26</v>
      </c>
      <c r="C439" t="str">
        <f t="shared" ca="1" si="96"/>
        <v>'WINDOWS-NCH-A-BDP-M3-00-00'!B25</v>
      </c>
      <c r="D439" s="6" t="str">
        <f t="shared" ca="1" si="85"/>
        <v>L00-OPD-CC4-S028-05</v>
      </c>
      <c r="E439" t="str">
        <f t="shared" ca="1" si="88"/>
        <v>L00-OPD-CC4-S028-05</v>
      </c>
      <c r="F439">
        <f t="shared" ca="1" si="89"/>
        <v>1874657</v>
      </c>
      <c r="G439">
        <f t="shared" ca="1" si="90"/>
        <v>0</v>
      </c>
      <c r="H439">
        <f t="shared" ca="1" si="91"/>
        <v>0</v>
      </c>
      <c r="I439">
        <f t="shared" ca="1" si="92"/>
        <v>0</v>
      </c>
      <c r="J439" s="8" t="e">
        <f t="shared" ca="1" si="93"/>
        <v>#DIV/0!</v>
      </c>
      <c r="K439" s="9" t="e">
        <f t="shared" ca="1" si="94"/>
        <v>#DIV/0!</v>
      </c>
      <c r="L439" t="e">
        <f ca="1">+_xlfn.IFNA(VLOOKUP(M439,BespokeWindowsAreas!$A$1:$E$1999,1,FALSE),VLOOKUP(E439,WindowTypeArea!$B$2:$C$2000,2,FALSE))</f>
        <v>#N/A</v>
      </c>
      <c r="M439">
        <f t="shared" ca="1" si="95"/>
        <v>0</v>
      </c>
    </row>
    <row r="440" spans="1:13" x14ac:dyDescent="0.25">
      <c r="A440">
        <f t="shared" ca="1" si="86"/>
        <v>2</v>
      </c>
      <c r="B440">
        <f t="shared" ca="1" si="87"/>
        <v>27</v>
      </c>
      <c r="C440" t="str">
        <f t="shared" ca="1" si="96"/>
        <v>'WINDOWS-NCH-A-BDP-M3-00-00'!B26</v>
      </c>
      <c r="D440" s="6" t="str">
        <f t="shared" ca="1" si="85"/>
        <v>L00-OPD-CC4-S028-05</v>
      </c>
      <c r="E440" t="str">
        <f t="shared" ca="1" si="88"/>
        <v>Family Type: 1000w x 3050h, Family: Window External Type 2 - Recessed and Fin</v>
      </c>
      <c r="F440" t="str">
        <f t="shared" ca="1" si="89"/>
        <v>Vector(X = -0.212, Y = 0.977, Z = 0.000, Length = 1.000)</v>
      </c>
      <c r="G440">
        <f t="shared" ca="1" si="90"/>
        <v>-0.2</v>
      </c>
      <c r="H440">
        <f t="shared" ca="1" si="91"/>
        <v>1</v>
      </c>
      <c r="I440">
        <f t="shared" ca="1" si="92"/>
        <v>0</v>
      </c>
      <c r="J440" s="8">
        <f t="shared" ca="1" si="93"/>
        <v>101.3099324740202</v>
      </c>
      <c r="K440" s="9" t="str">
        <f t="shared" ca="1" si="94"/>
        <v>N</v>
      </c>
      <c r="L440">
        <f ca="1">+_xlfn.IFNA(VLOOKUP(M440,BespokeWindowsAreas!$A$1:$E$1999,1,FALSE),VLOOKUP(E440,WindowTypeArea!$B$2:$C$2000,2,FALSE))</f>
        <v>3.05</v>
      </c>
      <c r="M440">
        <f t="shared" ca="1" si="95"/>
        <v>4819123</v>
      </c>
    </row>
    <row r="441" spans="1:13" x14ac:dyDescent="0.25">
      <c r="A441">
        <f t="shared" ca="1" si="86"/>
        <v>2</v>
      </c>
      <c r="B441">
        <f t="shared" ca="1" si="87"/>
        <v>28</v>
      </c>
      <c r="C441" t="str">
        <f t="shared" ca="1" si="96"/>
        <v>'WINDOWS-NCH-A-BDP-M3-00-00'!B27</v>
      </c>
      <c r="D441" s="6" t="str">
        <f t="shared" ca="1" si="85"/>
        <v>L00-OPD-CC4-S028-06</v>
      </c>
      <c r="E441" t="str">
        <f t="shared" ca="1" si="88"/>
        <v>L00-OPD-CC4-S028-06</v>
      </c>
      <c r="F441">
        <f t="shared" ca="1" si="89"/>
        <v>1874659</v>
      </c>
      <c r="G441">
        <f t="shared" ca="1" si="90"/>
        <v>0</v>
      </c>
      <c r="H441">
        <f t="shared" ca="1" si="91"/>
        <v>0</v>
      </c>
      <c r="I441">
        <f t="shared" ca="1" si="92"/>
        <v>0</v>
      </c>
      <c r="J441" s="8" t="e">
        <f t="shared" ca="1" si="93"/>
        <v>#DIV/0!</v>
      </c>
      <c r="K441" s="9" t="e">
        <f t="shared" ca="1" si="94"/>
        <v>#DIV/0!</v>
      </c>
      <c r="L441" t="e">
        <f ca="1">+_xlfn.IFNA(VLOOKUP(M441,BespokeWindowsAreas!$A$1:$E$1999,1,FALSE),VLOOKUP(E441,WindowTypeArea!$B$2:$C$2000,2,FALSE))</f>
        <v>#N/A</v>
      </c>
      <c r="M441">
        <f t="shared" ca="1" si="95"/>
        <v>0</v>
      </c>
    </row>
    <row r="442" spans="1:13" x14ac:dyDescent="0.25">
      <c r="A442">
        <f t="shared" ca="1" si="86"/>
        <v>2</v>
      </c>
      <c r="B442">
        <f t="shared" ca="1" si="87"/>
        <v>29</v>
      </c>
      <c r="C442" t="str">
        <f t="shared" ca="1" si="96"/>
        <v>'WINDOWS-NCH-A-BDP-M3-00-00'!B28</v>
      </c>
      <c r="D442" s="6" t="str">
        <f t="shared" ca="1" si="85"/>
        <v>L00-OPD-CC4-S028-06</v>
      </c>
      <c r="E442" t="str">
        <f t="shared" ca="1" si="88"/>
        <v>Family Type: 1950w x 3050h, Family: Window External Type 3 - Recessed and Angle</v>
      </c>
      <c r="F442" t="str">
        <f t="shared" ca="1" si="89"/>
        <v>Vector(X = -0.212, Y = 0.977, Z = 0.000, Length = 1.000)</v>
      </c>
      <c r="G442">
        <f t="shared" ca="1" si="90"/>
        <v>-0.2</v>
      </c>
      <c r="H442">
        <f t="shared" ca="1" si="91"/>
        <v>1</v>
      </c>
      <c r="I442">
        <f t="shared" ca="1" si="92"/>
        <v>0</v>
      </c>
      <c r="J442" s="8">
        <f t="shared" ca="1" si="93"/>
        <v>101.3099324740202</v>
      </c>
      <c r="K442" s="9" t="str">
        <f t="shared" ca="1" si="94"/>
        <v>N</v>
      </c>
      <c r="L442">
        <f ca="1">+_xlfn.IFNA(VLOOKUP(M442,BespokeWindowsAreas!$A$1:$E$1999,1,FALSE),VLOOKUP(E442,WindowTypeArea!$B$2:$C$2000,2,FALSE))</f>
        <v>5.9474999999999998</v>
      </c>
      <c r="M442">
        <f t="shared" ca="1" si="95"/>
        <v>4818309</v>
      </c>
    </row>
    <row r="443" spans="1:13" x14ac:dyDescent="0.25">
      <c r="A443">
        <f t="shared" ca="1" si="86"/>
        <v>2</v>
      </c>
      <c r="B443">
        <f t="shared" ca="1" si="87"/>
        <v>30</v>
      </c>
      <c r="C443" t="str">
        <f t="shared" ca="1" si="96"/>
        <v>'WINDOWS-NCH-A-BDP-M3-00-00'!B29</v>
      </c>
      <c r="D443" s="6" t="str">
        <f t="shared" ca="1" si="85"/>
        <v>L00-OPD-CC4-S028-07</v>
      </c>
      <c r="E443" t="str">
        <f t="shared" ca="1" si="88"/>
        <v>L00-OPD-CC4-S028-07</v>
      </c>
      <c r="F443">
        <f t="shared" ca="1" si="89"/>
        <v>1874661</v>
      </c>
      <c r="G443">
        <f t="shared" ca="1" si="90"/>
        <v>0</v>
      </c>
      <c r="H443">
        <f t="shared" ca="1" si="91"/>
        <v>0</v>
      </c>
      <c r="I443">
        <f t="shared" ca="1" si="92"/>
        <v>0</v>
      </c>
      <c r="J443" s="8" t="e">
        <f t="shared" ca="1" si="93"/>
        <v>#DIV/0!</v>
      </c>
      <c r="K443" s="9" t="e">
        <f t="shared" ca="1" si="94"/>
        <v>#DIV/0!</v>
      </c>
      <c r="L443" t="e">
        <f ca="1">+_xlfn.IFNA(VLOOKUP(M443,BespokeWindowsAreas!$A$1:$E$1999,1,FALSE),VLOOKUP(E443,WindowTypeArea!$B$2:$C$2000,2,FALSE))</f>
        <v>#N/A</v>
      </c>
      <c r="M443">
        <f t="shared" ca="1" si="95"/>
        <v>0</v>
      </c>
    </row>
    <row r="444" spans="1:13" x14ac:dyDescent="0.25">
      <c r="A444">
        <f t="shared" ca="1" si="86"/>
        <v>2</v>
      </c>
      <c r="B444">
        <f t="shared" ca="1" si="87"/>
        <v>31</v>
      </c>
      <c r="C444" t="str">
        <f t="shared" ca="1" si="96"/>
        <v>'WINDOWS-NCH-A-BDP-M3-00-00'!B30</v>
      </c>
      <c r="D444" s="6" t="str">
        <f t="shared" ca="1" si="85"/>
        <v>L00-OPD-CC4-S028-07</v>
      </c>
      <c r="E444" t="str">
        <f t="shared" ca="1" si="88"/>
        <v>Family Type: 1950w x 3050h, Family: Window External Type 3 - Recessed and Angle</v>
      </c>
      <c r="F444" t="str">
        <f t="shared" ca="1" si="89"/>
        <v>Vector(X = -0.212, Y = 0.977, Z = 0.000, Length = 1.000)</v>
      </c>
      <c r="G444">
        <f t="shared" ca="1" si="90"/>
        <v>-0.2</v>
      </c>
      <c r="H444">
        <f t="shared" ca="1" si="91"/>
        <v>1</v>
      </c>
      <c r="I444">
        <f t="shared" ca="1" si="92"/>
        <v>0</v>
      </c>
      <c r="J444" s="8">
        <f t="shared" ca="1" si="93"/>
        <v>101.3099324740202</v>
      </c>
      <c r="K444" s="9" t="str">
        <f t="shared" ca="1" si="94"/>
        <v>N</v>
      </c>
      <c r="L444">
        <f ca="1">+_xlfn.IFNA(VLOOKUP(M444,BespokeWindowsAreas!$A$1:$E$1999,1,FALSE),VLOOKUP(E444,WindowTypeArea!$B$2:$C$2000,2,FALSE))</f>
        <v>5.9474999999999998</v>
      </c>
      <c r="M444">
        <f t="shared" ca="1" si="95"/>
        <v>4820659</v>
      </c>
    </row>
    <row r="445" spans="1:13" x14ac:dyDescent="0.25">
      <c r="A445">
        <f t="shared" ca="1" si="86"/>
        <v>2</v>
      </c>
      <c r="B445">
        <f t="shared" ca="1" si="87"/>
        <v>32</v>
      </c>
      <c r="C445" t="str">
        <f t="shared" ca="1" si="96"/>
        <v>'WINDOWS-NCH-A-BDP-M3-00-00'!B31</v>
      </c>
      <c r="D445" s="6" t="str">
        <f t="shared" ca="1" si="85"/>
        <v>L00-OPD-CC4-S028-10</v>
      </c>
      <c r="E445" t="str">
        <f t="shared" ca="1" si="88"/>
        <v>L00-OPD-CC4-S028-10</v>
      </c>
      <c r="F445">
        <f t="shared" ca="1" si="89"/>
        <v>1874667</v>
      </c>
      <c r="G445">
        <f t="shared" ca="1" si="90"/>
        <v>0</v>
      </c>
      <c r="H445">
        <f t="shared" ca="1" si="91"/>
        <v>0</v>
      </c>
      <c r="I445">
        <f t="shared" ca="1" si="92"/>
        <v>0</v>
      </c>
      <c r="J445" s="8" t="e">
        <f t="shared" ca="1" si="93"/>
        <v>#DIV/0!</v>
      </c>
      <c r="K445" s="9" t="e">
        <f t="shared" ca="1" si="94"/>
        <v>#DIV/0!</v>
      </c>
      <c r="L445" t="e">
        <f ca="1">+_xlfn.IFNA(VLOOKUP(M445,BespokeWindowsAreas!$A$1:$E$1999,1,FALSE),VLOOKUP(E445,WindowTypeArea!$B$2:$C$2000,2,FALSE))</f>
        <v>#N/A</v>
      </c>
      <c r="M445">
        <f t="shared" ca="1" si="95"/>
        <v>0</v>
      </c>
    </row>
    <row r="446" spans="1:13" x14ac:dyDescent="0.25">
      <c r="A446">
        <f t="shared" ca="1" si="86"/>
        <v>2</v>
      </c>
      <c r="B446">
        <f t="shared" ca="1" si="87"/>
        <v>33</v>
      </c>
      <c r="C446" t="str">
        <f t="shared" ca="1" si="96"/>
        <v>'WINDOWS-NCH-A-BDP-M3-00-00'!B32</v>
      </c>
      <c r="D446" s="6" t="str">
        <f t="shared" ca="1" si="85"/>
        <v>L00-OPD-CC4-S028-10</v>
      </c>
      <c r="E446" t="str">
        <f t="shared" ca="1" si="88"/>
        <v>Family Type: 1500w x 3050h, Family: Window External Type 3 - Recessed and Angle</v>
      </c>
      <c r="F446" t="str">
        <f t="shared" ca="1" si="89"/>
        <v>Vector(X = -0.212, Y = 0.977, Z = 0.000, Length = 1.000)</v>
      </c>
      <c r="G446">
        <f t="shared" ca="1" si="90"/>
        <v>-0.2</v>
      </c>
      <c r="H446">
        <f t="shared" ca="1" si="91"/>
        <v>1</v>
      </c>
      <c r="I446">
        <f t="shared" ca="1" si="92"/>
        <v>0</v>
      </c>
      <c r="J446" s="8">
        <f t="shared" ca="1" si="93"/>
        <v>101.3099324740202</v>
      </c>
      <c r="K446" s="9" t="str">
        <f t="shared" ca="1" si="94"/>
        <v>N</v>
      </c>
      <c r="L446">
        <f ca="1">+_xlfn.IFNA(VLOOKUP(M446,BespokeWindowsAreas!$A$1:$E$1999,1,FALSE),VLOOKUP(E446,WindowTypeArea!$B$2:$C$2000,2,FALSE))</f>
        <v>4.5750000000000002</v>
      </c>
      <c r="M446">
        <f t="shared" ca="1" si="95"/>
        <v>4819222</v>
      </c>
    </row>
    <row r="447" spans="1:13" x14ac:dyDescent="0.25">
      <c r="A447">
        <f t="shared" ca="1" si="86"/>
        <v>2</v>
      </c>
      <c r="B447">
        <f t="shared" ca="1" si="87"/>
        <v>34</v>
      </c>
      <c r="C447" t="str">
        <f t="shared" ca="1" si="96"/>
        <v>'WINDOWS-NCH-A-BDP-M3-00-00'!B33</v>
      </c>
      <c r="D447" s="6" t="str">
        <f t="shared" ca="1" si="85"/>
        <v>L00-OPD-CC4-S028-10</v>
      </c>
      <c r="E447" t="str">
        <f t="shared" ca="1" si="88"/>
        <v>Family Type: 1000w x 3050h, Family: Window External Type 2 - Recessed and Fin</v>
      </c>
      <c r="F447" t="str">
        <f t="shared" ca="1" si="89"/>
        <v>Vector(X = -0.212, Y = 0.977, Z = 0.000, Length = 1.000)</v>
      </c>
      <c r="G447">
        <f t="shared" ca="1" si="90"/>
        <v>-0.2</v>
      </c>
      <c r="H447">
        <f t="shared" ca="1" si="91"/>
        <v>1</v>
      </c>
      <c r="I447">
        <f t="shared" ca="1" si="92"/>
        <v>0</v>
      </c>
      <c r="J447" s="8">
        <f t="shared" ca="1" si="93"/>
        <v>101.3099324740202</v>
      </c>
      <c r="K447" s="9" t="str">
        <f t="shared" ca="1" si="94"/>
        <v>N</v>
      </c>
      <c r="L447">
        <f ca="1">+_xlfn.IFNA(VLOOKUP(M447,BespokeWindowsAreas!$A$1:$E$1999,1,FALSE),VLOOKUP(E447,WindowTypeArea!$B$2:$C$2000,2,FALSE))</f>
        <v>3.05</v>
      </c>
      <c r="M447">
        <f t="shared" ca="1" si="95"/>
        <v>4819792</v>
      </c>
    </row>
    <row r="448" spans="1:13" x14ac:dyDescent="0.25">
      <c r="A448">
        <f t="shared" ca="1" si="86"/>
        <v>2</v>
      </c>
      <c r="B448">
        <f t="shared" ca="1" si="87"/>
        <v>35</v>
      </c>
      <c r="C448" t="str">
        <f t="shared" ca="1" si="96"/>
        <v>'WINDOWS-NCH-A-BDP-M3-00-00'!B34</v>
      </c>
      <c r="D448" s="6" t="str">
        <f t="shared" ca="1" si="85"/>
        <v>L00-OPD-CC4-S028-11</v>
      </c>
      <c r="E448" t="str">
        <f t="shared" ca="1" si="88"/>
        <v>L00-OPD-CC4-S028-11</v>
      </c>
      <c r="F448">
        <f t="shared" ca="1" si="89"/>
        <v>1874669</v>
      </c>
      <c r="G448">
        <f t="shared" ca="1" si="90"/>
        <v>0</v>
      </c>
      <c r="H448">
        <f t="shared" ca="1" si="91"/>
        <v>0</v>
      </c>
      <c r="I448">
        <f t="shared" ca="1" si="92"/>
        <v>0</v>
      </c>
      <c r="J448" s="8" t="e">
        <f t="shared" ca="1" si="93"/>
        <v>#DIV/0!</v>
      </c>
      <c r="K448" s="9" t="e">
        <f t="shared" ca="1" si="94"/>
        <v>#DIV/0!</v>
      </c>
      <c r="L448" t="e">
        <f ca="1">+_xlfn.IFNA(VLOOKUP(M448,BespokeWindowsAreas!$A$1:$E$1999,1,FALSE),VLOOKUP(E448,WindowTypeArea!$B$2:$C$2000,2,FALSE))</f>
        <v>#N/A</v>
      </c>
      <c r="M448">
        <f t="shared" ca="1" si="95"/>
        <v>0</v>
      </c>
    </row>
    <row r="449" spans="1:13" x14ac:dyDescent="0.25">
      <c r="A449">
        <f t="shared" ca="1" si="86"/>
        <v>2</v>
      </c>
      <c r="B449">
        <f t="shared" ca="1" si="87"/>
        <v>36</v>
      </c>
      <c r="C449" t="str">
        <f t="shared" ca="1" si="96"/>
        <v>'WINDOWS-NCH-A-BDP-M3-00-00'!B35</v>
      </c>
      <c r="D449" s="6" t="str">
        <f t="shared" ca="1" si="85"/>
        <v>L00-OPD-CC4-S028-11</v>
      </c>
      <c r="E449" t="str">
        <f t="shared" ca="1" si="88"/>
        <v>Family Type: 1000w x 3050h, Family: Window External Type 2 - Recessed and Fin</v>
      </c>
      <c r="F449" t="str">
        <f t="shared" ca="1" si="89"/>
        <v>Vector(X = -0.212, Y = 0.977, Z = 0.000, Length = 1.000)</v>
      </c>
      <c r="G449">
        <f t="shared" ca="1" si="90"/>
        <v>-0.2</v>
      </c>
      <c r="H449">
        <f t="shared" ca="1" si="91"/>
        <v>1</v>
      </c>
      <c r="I449">
        <f t="shared" ca="1" si="92"/>
        <v>0</v>
      </c>
      <c r="J449" s="8">
        <f t="shared" ca="1" si="93"/>
        <v>101.3099324740202</v>
      </c>
      <c r="K449" s="9" t="str">
        <f t="shared" ca="1" si="94"/>
        <v>N</v>
      </c>
      <c r="L449">
        <f ca="1">+_xlfn.IFNA(VLOOKUP(M449,BespokeWindowsAreas!$A$1:$E$1999,1,FALSE),VLOOKUP(E449,WindowTypeArea!$B$2:$C$2000,2,FALSE))</f>
        <v>3.05</v>
      </c>
      <c r="M449">
        <f t="shared" ca="1" si="95"/>
        <v>4819373</v>
      </c>
    </row>
    <row r="450" spans="1:13" x14ac:dyDescent="0.25">
      <c r="A450">
        <f t="shared" ca="1" si="86"/>
        <v>2</v>
      </c>
      <c r="B450">
        <f t="shared" ca="1" si="87"/>
        <v>37</v>
      </c>
      <c r="C450" t="str">
        <f t="shared" ca="1" si="96"/>
        <v>'WINDOWS-NCH-A-BDP-M3-00-00'!B36</v>
      </c>
      <c r="D450" s="6" t="str">
        <f t="shared" ca="1" si="85"/>
        <v>L00-OPD-CC4-S028-12</v>
      </c>
      <c r="E450" t="str">
        <f t="shared" ca="1" si="88"/>
        <v>L00-OPD-CC4-S028-12</v>
      </c>
      <c r="F450">
        <f t="shared" ca="1" si="89"/>
        <v>1874671</v>
      </c>
      <c r="G450">
        <f t="shared" ca="1" si="90"/>
        <v>0</v>
      </c>
      <c r="H450">
        <f t="shared" ca="1" si="91"/>
        <v>0</v>
      </c>
      <c r="I450">
        <f t="shared" ca="1" si="92"/>
        <v>0</v>
      </c>
      <c r="J450" s="8" t="e">
        <f t="shared" ca="1" si="93"/>
        <v>#DIV/0!</v>
      </c>
      <c r="K450" s="9" t="e">
        <f t="shared" ca="1" si="94"/>
        <v>#DIV/0!</v>
      </c>
      <c r="L450" t="e">
        <f ca="1">+_xlfn.IFNA(VLOOKUP(M450,BespokeWindowsAreas!$A$1:$E$1999,1,FALSE),VLOOKUP(E450,WindowTypeArea!$B$2:$C$2000,2,FALSE))</f>
        <v>#N/A</v>
      </c>
      <c r="M450">
        <f t="shared" ca="1" si="95"/>
        <v>0</v>
      </c>
    </row>
    <row r="451" spans="1:13" x14ac:dyDescent="0.25">
      <c r="A451">
        <f t="shared" ca="1" si="86"/>
        <v>2</v>
      </c>
      <c r="B451">
        <f t="shared" ca="1" si="87"/>
        <v>38</v>
      </c>
      <c r="C451" t="str">
        <f t="shared" ca="1" si="96"/>
        <v>'WINDOWS-NCH-A-BDP-M3-00-00'!B37</v>
      </c>
      <c r="D451" s="6" t="str">
        <f t="shared" ca="1" si="85"/>
        <v>L00-OPD-CC4-S028-12</v>
      </c>
      <c r="E451" t="str">
        <f t="shared" ca="1" si="88"/>
        <v>Family Type: 1500w x 3050h, Family: Window External Type 3 - Recessed and Angle</v>
      </c>
      <c r="F451" t="str">
        <f t="shared" ca="1" si="89"/>
        <v>Vector(X = -0.212, Y = 0.977, Z = 0.000, Length = 1.000)</v>
      </c>
      <c r="G451">
        <f t="shared" ca="1" si="90"/>
        <v>-0.2</v>
      </c>
      <c r="H451">
        <f t="shared" ca="1" si="91"/>
        <v>1</v>
      </c>
      <c r="I451">
        <f t="shared" ca="1" si="92"/>
        <v>0</v>
      </c>
      <c r="J451" s="8">
        <f t="shared" ca="1" si="93"/>
        <v>101.3099324740202</v>
      </c>
      <c r="K451" s="9" t="str">
        <f t="shared" ca="1" si="94"/>
        <v>N</v>
      </c>
      <c r="L451">
        <f ca="1">+_xlfn.IFNA(VLOOKUP(M451,BespokeWindowsAreas!$A$1:$E$1999,1,FALSE),VLOOKUP(E451,WindowTypeArea!$B$2:$C$2000,2,FALSE))</f>
        <v>4.5750000000000002</v>
      </c>
      <c r="M451">
        <f t="shared" ca="1" si="95"/>
        <v>4817721</v>
      </c>
    </row>
    <row r="452" spans="1:13" x14ac:dyDescent="0.25">
      <c r="A452">
        <f t="shared" ca="1" si="86"/>
        <v>2</v>
      </c>
      <c r="B452">
        <f t="shared" ca="1" si="87"/>
        <v>39</v>
      </c>
      <c r="C452" t="str">
        <f t="shared" ca="1" si="96"/>
        <v>'WINDOWS-NCH-A-BDP-M3-00-00'!B38</v>
      </c>
      <c r="D452" s="6" t="str">
        <f t="shared" ca="1" si="85"/>
        <v>L00-OPD-CC4-S028-12</v>
      </c>
      <c r="E452" t="str">
        <f t="shared" ca="1" si="88"/>
        <v>Family Type: 1000w x 3050h, Family: Window External Type 2 - Recessed and Fin</v>
      </c>
      <c r="F452" t="str">
        <f t="shared" ca="1" si="89"/>
        <v>Vector(X = -0.212, Y = 0.977, Z = 0.000, Length = 1.000)</v>
      </c>
      <c r="G452">
        <f t="shared" ca="1" si="90"/>
        <v>-0.2</v>
      </c>
      <c r="H452">
        <f t="shared" ca="1" si="91"/>
        <v>1</v>
      </c>
      <c r="I452">
        <f t="shared" ca="1" si="92"/>
        <v>0</v>
      </c>
      <c r="J452" s="8">
        <f t="shared" ca="1" si="93"/>
        <v>101.3099324740202</v>
      </c>
      <c r="K452" s="9" t="str">
        <f t="shared" ca="1" si="94"/>
        <v>N</v>
      </c>
      <c r="L452">
        <f ca="1">+_xlfn.IFNA(VLOOKUP(M452,BespokeWindowsAreas!$A$1:$E$1999,1,FALSE),VLOOKUP(E452,WindowTypeArea!$B$2:$C$2000,2,FALSE))</f>
        <v>3.05</v>
      </c>
      <c r="M452">
        <f t="shared" ca="1" si="95"/>
        <v>4818070</v>
      </c>
    </row>
    <row r="453" spans="1:13" x14ac:dyDescent="0.25">
      <c r="A453">
        <f t="shared" ca="1" si="86"/>
        <v>2</v>
      </c>
      <c r="B453">
        <f t="shared" ca="1" si="87"/>
        <v>40</v>
      </c>
      <c r="C453" t="str">
        <f t="shared" ca="1" si="96"/>
        <v>'WINDOWS-NCH-A-BDP-M3-00-00'!B39</v>
      </c>
      <c r="D453" s="6" t="str">
        <f t="shared" ca="1" si="85"/>
        <v>L00-OPD-CC4-S028-16</v>
      </c>
      <c r="E453" t="str">
        <f t="shared" ca="1" si="88"/>
        <v>L00-OPD-CC4-S028-16</v>
      </c>
      <c r="F453">
        <f t="shared" ca="1" si="89"/>
        <v>1874679</v>
      </c>
      <c r="G453">
        <f t="shared" ca="1" si="90"/>
        <v>0</v>
      </c>
      <c r="H453">
        <f t="shared" ca="1" si="91"/>
        <v>0</v>
      </c>
      <c r="I453">
        <f t="shared" ca="1" si="92"/>
        <v>0</v>
      </c>
      <c r="J453" s="8" t="e">
        <f t="shared" ca="1" si="93"/>
        <v>#DIV/0!</v>
      </c>
      <c r="K453" s="9" t="e">
        <f t="shared" ca="1" si="94"/>
        <v>#DIV/0!</v>
      </c>
      <c r="L453" t="e">
        <f ca="1">+_xlfn.IFNA(VLOOKUP(M453,BespokeWindowsAreas!$A$1:$E$1999,1,FALSE),VLOOKUP(E453,WindowTypeArea!$B$2:$C$2000,2,FALSE))</f>
        <v>#N/A</v>
      </c>
      <c r="M453">
        <f t="shared" ca="1" si="95"/>
        <v>0</v>
      </c>
    </row>
    <row r="454" spans="1:13" x14ac:dyDescent="0.25">
      <c r="A454">
        <f t="shared" ca="1" si="86"/>
        <v>2</v>
      </c>
      <c r="B454">
        <f t="shared" ca="1" si="87"/>
        <v>41</v>
      </c>
      <c r="C454" t="str">
        <f t="shared" ca="1" si="96"/>
        <v>'WINDOWS-NCH-A-BDP-M3-00-00'!B40</v>
      </c>
      <c r="D454" s="6" t="str">
        <f t="shared" ref="D454:D517" ca="1" si="97">+IF(IFERROR(FIND("Family",E454)&gt;0,FALSE),D453,E454)</f>
        <v>L00-OPD-CC4-S028-16</v>
      </c>
      <c r="E454" t="str">
        <f t="shared" ca="1" si="88"/>
        <v>Family Type: 1950w x 3050h, Family: Window External Type 3 - Recessed and Angle</v>
      </c>
      <c r="F454" t="str">
        <f t="shared" ca="1" si="89"/>
        <v>Vector(X = 0.041, Y = -0.999, Z = 0.000, Length = 1.000)</v>
      </c>
      <c r="G454">
        <f t="shared" ca="1" si="90"/>
        <v>0</v>
      </c>
      <c r="H454">
        <f t="shared" ca="1" si="91"/>
        <v>-1</v>
      </c>
      <c r="I454">
        <f t="shared" ca="1" si="92"/>
        <v>0</v>
      </c>
      <c r="J454" s="8">
        <f t="shared" ca="1" si="93"/>
        <v>-90</v>
      </c>
      <c r="K454" s="9" t="str">
        <f t="shared" ca="1" si="94"/>
        <v>S</v>
      </c>
      <c r="L454">
        <f ca="1">+_xlfn.IFNA(VLOOKUP(M454,BespokeWindowsAreas!$A$1:$E$1999,1,FALSE),VLOOKUP(E454,WindowTypeArea!$B$2:$C$2000,2,FALSE))</f>
        <v>5.9474999999999998</v>
      </c>
      <c r="M454">
        <f t="shared" ca="1" si="95"/>
        <v>4809842</v>
      </c>
    </row>
    <row r="455" spans="1:13" x14ac:dyDescent="0.25">
      <c r="A455">
        <f t="shared" ca="1" si="86"/>
        <v>2</v>
      </c>
      <c r="B455">
        <f t="shared" ca="1" si="87"/>
        <v>42</v>
      </c>
      <c r="C455" t="str">
        <f t="shared" ca="1" si="96"/>
        <v>'WINDOWS-NCH-A-BDP-M3-00-00'!B41</v>
      </c>
      <c r="D455" s="6" t="str">
        <f t="shared" ca="1" si="97"/>
        <v>L00-OPD-CC4-S028-17</v>
      </c>
      <c r="E455" t="str">
        <f t="shared" ca="1" si="88"/>
        <v>L00-OPD-CC4-S028-17</v>
      </c>
      <c r="F455">
        <f t="shared" ca="1" si="89"/>
        <v>1874681</v>
      </c>
      <c r="G455">
        <f t="shared" ca="1" si="90"/>
        <v>0</v>
      </c>
      <c r="H455">
        <f t="shared" ca="1" si="91"/>
        <v>0</v>
      </c>
      <c r="I455">
        <f t="shared" ca="1" si="92"/>
        <v>0</v>
      </c>
      <c r="J455" s="8" t="e">
        <f t="shared" ca="1" si="93"/>
        <v>#DIV/0!</v>
      </c>
      <c r="K455" s="9" t="e">
        <f t="shared" ca="1" si="94"/>
        <v>#DIV/0!</v>
      </c>
      <c r="L455" t="e">
        <f ca="1">+_xlfn.IFNA(VLOOKUP(M455,BespokeWindowsAreas!$A$1:$E$1999,1,FALSE),VLOOKUP(E455,WindowTypeArea!$B$2:$C$2000,2,FALSE))</f>
        <v>#N/A</v>
      </c>
      <c r="M455">
        <f t="shared" ca="1" si="95"/>
        <v>0</v>
      </c>
    </row>
    <row r="456" spans="1:13" x14ac:dyDescent="0.25">
      <c r="A456">
        <f t="shared" ca="1" si="86"/>
        <v>2</v>
      </c>
      <c r="B456">
        <f t="shared" ca="1" si="87"/>
        <v>43</v>
      </c>
      <c r="C456" t="str">
        <f t="shared" ca="1" si="96"/>
        <v>'WINDOWS-NCH-A-BDP-M3-00-00'!B42</v>
      </c>
      <c r="D456" s="6" t="str">
        <f t="shared" ca="1" si="97"/>
        <v>L00-OPD-CC4-S028-17</v>
      </c>
      <c r="E456" t="str">
        <f t="shared" ca="1" si="88"/>
        <v>Family Type: 1950w x 3050h, Family: Window External Type 3 - Recessed and Angle</v>
      </c>
      <c r="F456" t="str">
        <f t="shared" ca="1" si="89"/>
        <v>Vector(X = 0.041, Y = -0.999, Z = 0.000, Length = 1.000)</v>
      </c>
      <c r="G456">
        <f t="shared" ca="1" si="90"/>
        <v>0</v>
      </c>
      <c r="H456">
        <f t="shared" ca="1" si="91"/>
        <v>-1</v>
      </c>
      <c r="I456">
        <f t="shared" ca="1" si="92"/>
        <v>0</v>
      </c>
      <c r="J456" s="8">
        <f t="shared" ca="1" si="93"/>
        <v>-90</v>
      </c>
      <c r="K456" s="9" t="str">
        <f t="shared" ca="1" si="94"/>
        <v>S</v>
      </c>
      <c r="L456">
        <f ca="1">+_xlfn.IFNA(VLOOKUP(M456,BespokeWindowsAreas!$A$1:$E$1999,1,FALSE),VLOOKUP(E456,WindowTypeArea!$B$2:$C$2000,2,FALSE))</f>
        <v>5.9474999999999998</v>
      </c>
      <c r="M456">
        <f t="shared" ca="1" si="95"/>
        <v>5148488</v>
      </c>
    </row>
    <row r="457" spans="1:13" x14ac:dyDescent="0.25">
      <c r="A457">
        <f t="shared" ca="1" si="86"/>
        <v>2</v>
      </c>
      <c r="B457">
        <f t="shared" ca="1" si="87"/>
        <v>44</v>
      </c>
      <c r="C457" t="str">
        <f t="shared" ca="1" si="96"/>
        <v>'WINDOWS-NCH-A-BDP-M3-00-00'!B43</v>
      </c>
      <c r="D457" s="6" t="str">
        <f t="shared" ca="1" si="97"/>
        <v>L00-OPD-CC4-S029-02</v>
      </c>
      <c r="E457" t="str">
        <f t="shared" ca="1" si="88"/>
        <v>L00-OPD-CC4-S029-02</v>
      </c>
      <c r="F457">
        <f t="shared" ca="1" si="89"/>
        <v>1874683</v>
      </c>
      <c r="G457">
        <f t="shared" ca="1" si="90"/>
        <v>0</v>
      </c>
      <c r="H457">
        <f t="shared" ca="1" si="91"/>
        <v>0</v>
      </c>
      <c r="I457">
        <f t="shared" ca="1" si="92"/>
        <v>0</v>
      </c>
      <c r="J457" s="8" t="e">
        <f t="shared" ca="1" si="93"/>
        <v>#DIV/0!</v>
      </c>
      <c r="K457" s="9" t="e">
        <f t="shared" ca="1" si="94"/>
        <v>#DIV/0!</v>
      </c>
      <c r="L457" t="e">
        <f ca="1">+_xlfn.IFNA(VLOOKUP(M457,BespokeWindowsAreas!$A$1:$E$1999,1,FALSE),VLOOKUP(E457,WindowTypeArea!$B$2:$C$2000,2,FALSE))</f>
        <v>#N/A</v>
      </c>
      <c r="M457">
        <f t="shared" ca="1" si="95"/>
        <v>0</v>
      </c>
    </row>
    <row r="458" spans="1:13" x14ac:dyDescent="0.25">
      <c r="A458">
        <f t="shared" ca="1" si="86"/>
        <v>2</v>
      </c>
      <c r="B458">
        <f t="shared" ca="1" si="87"/>
        <v>45</v>
      </c>
      <c r="C458" t="str">
        <f t="shared" ca="1" si="96"/>
        <v>'WINDOWS-NCH-A-BDP-M3-00-00'!B44</v>
      </c>
      <c r="D458" s="6" t="str">
        <f t="shared" ca="1" si="97"/>
        <v>L00-OPD-CC4-S029-02</v>
      </c>
      <c r="E458" t="str">
        <f t="shared" ca="1" si="88"/>
        <v>Family Type: 1500w x 3050h, Family: Window External Type 3 - Recessed and Angle</v>
      </c>
      <c r="F458" t="str">
        <f t="shared" ca="1" si="89"/>
        <v>Vector(X = -0.212, Y = 0.977, Z = 0.000, Length = 1.000)</v>
      </c>
      <c r="G458">
        <f t="shared" ca="1" si="90"/>
        <v>-0.2</v>
      </c>
      <c r="H458">
        <f t="shared" ca="1" si="91"/>
        <v>1</v>
      </c>
      <c r="I458">
        <f t="shared" ca="1" si="92"/>
        <v>0</v>
      </c>
      <c r="J458" s="8">
        <f t="shared" ca="1" si="93"/>
        <v>101.3099324740202</v>
      </c>
      <c r="K458" s="9" t="str">
        <f t="shared" ca="1" si="94"/>
        <v>N</v>
      </c>
      <c r="L458">
        <f ca="1">+_xlfn.IFNA(VLOOKUP(M458,BespokeWindowsAreas!$A$1:$E$1999,1,FALSE),VLOOKUP(E458,WindowTypeArea!$B$2:$C$2000,2,FALSE))</f>
        <v>4.5750000000000002</v>
      </c>
      <c r="M458">
        <f t="shared" ca="1" si="95"/>
        <v>4821549</v>
      </c>
    </row>
    <row r="459" spans="1:13" x14ac:dyDescent="0.25">
      <c r="A459">
        <f t="shared" ca="1" si="86"/>
        <v>2</v>
      </c>
      <c r="B459">
        <f t="shared" ca="1" si="87"/>
        <v>46</v>
      </c>
      <c r="C459" t="str">
        <f t="shared" ca="1" si="96"/>
        <v>'WINDOWS-NCH-A-BDP-M3-00-00'!B45</v>
      </c>
      <c r="D459" s="6" t="str">
        <f t="shared" ca="1" si="97"/>
        <v>L00-OPD-CC4-S029-04</v>
      </c>
      <c r="E459" t="str">
        <f t="shared" ca="1" si="88"/>
        <v>L00-OPD-CC4-S029-04</v>
      </c>
      <c r="F459">
        <f t="shared" ca="1" si="89"/>
        <v>1874687</v>
      </c>
      <c r="G459">
        <f t="shared" ca="1" si="90"/>
        <v>0</v>
      </c>
      <c r="H459">
        <f t="shared" ca="1" si="91"/>
        <v>0</v>
      </c>
      <c r="I459">
        <f t="shared" ca="1" si="92"/>
        <v>0</v>
      </c>
      <c r="J459" s="8" t="e">
        <f t="shared" ca="1" si="93"/>
        <v>#DIV/0!</v>
      </c>
      <c r="K459" s="9" t="e">
        <f t="shared" ca="1" si="94"/>
        <v>#DIV/0!</v>
      </c>
      <c r="L459" t="e">
        <f ca="1">+_xlfn.IFNA(VLOOKUP(M459,BespokeWindowsAreas!$A$1:$E$1999,1,FALSE),VLOOKUP(E459,WindowTypeArea!$B$2:$C$2000,2,FALSE))</f>
        <v>#N/A</v>
      </c>
      <c r="M459">
        <f t="shared" ca="1" si="95"/>
        <v>0</v>
      </c>
    </row>
    <row r="460" spans="1:13" x14ac:dyDescent="0.25">
      <c r="A460">
        <f t="shared" ca="1" si="86"/>
        <v>2</v>
      </c>
      <c r="B460">
        <f t="shared" ca="1" si="87"/>
        <v>47</v>
      </c>
      <c r="C460" t="str">
        <f t="shared" ca="1" si="96"/>
        <v>'WINDOWS-NCH-A-BDP-M3-00-00'!B46</v>
      </c>
      <c r="D460" s="6" t="str">
        <f t="shared" ca="1" si="97"/>
        <v>L00-OPD-CC4-S029-04</v>
      </c>
      <c r="E460" t="str">
        <f t="shared" ca="1" si="88"/>
        <v>Family Type: 975w x 3050h, Family: Window External Type 1 - Recessed</v>
      </c>
      <c r="F460" t="str">
        <f t="shared" ca="1" si="89"/>
        <v>Vector(X = -0.041, Y = 0.999, Z = 0.000, Length = 1.000)</v>
      </c>
      <c r="G460">
        <f t="shared" ca="1" si="90"/>
        <v>0</v>
      </c>
      <c r="H460">
        <f t="shared" ca="1" si="91"/>
        <v>1</v>
      </c>
      <c r="I460">
        <f t="shared" ca="1" si="92"/>
        <v>0</v>
      </c>
      <c r="J460" s="8">
        <f t="shared" ca="1" si="93"/>
        <v>90</v>
      </c>
      <c r="K460" s="9" t="str">
        <f t="shared" ca="1" si="94"/>
        <v>N</v>
      </c>
      <c r="L460">
        <f ca="1">+_xlfn.IFNA(VLOOKUP(M460,BespokeWindowsAreas!$A$1:$E$1999,1,FALSE),VLOOKUP(E460,WindowTypeArea!$B$2:$C$2000,2,FALSE))</f>
        <v>2.9737499999999999</v>
      </c>
      <c r="M460">
        <f t="shared" ca="1" si="95"/>
        <v>4809343</v>
      </c>
    </row>
    <row r="461" spans="1:13" x14ac:dyDescent="0.25">
      <c r="A461">
        <f t="shared" ca="1" si="86"/>
        <v>2</v>
      </c>
      <c r="B461">
        <f t="shared" ca="1" si="87"/>
        <v>48</v>
      </c>
      <c r="C461" t="str">
        <f t="shared" ca="1" si="96"/>
        <v>'WINDOWS-NCH-A-BDP-M3-00-00'!B47</v>
      </c>
      <c r="D461" s="6" t="str">
        <f t="shared" ca="1" si="97"/>
        <v>L00-OPD-CC4-S029-04</v>
      </c>
      <c r="E461" t="str">
        <f t="shared" ca="1" si="88"/>
        <v>Family Type: 1000w x 3050h, Family: Window External Type 2 - Recessed and Fin</v>
      </c>
      <c r="F461" t="str">
        <f t="shared" ca="1" si="89"/>
        <v>Vector(X = -0.041, Y = 0.999, Z = 0.000, Length = 1.000)</v>
      </c>
      <c r="G461">
        <f t="shared" ca="1" si="90"/>
        <v>0</v>
      </c>
      <c r="H461">
        <f t="shared" ca="1" si="91"/>
        <v>1</v>
      </c>
      <c r="I461">
        <f t="shared" ca="1" si="92"/>
        <v>0</v>
      </c>
      <c r="J461" s="8">
        <f t="shared" ca="1" si="93"/>
        <v>90</v>
      </c>
      <c r="K461" s="9" t="str">
        <f t="shared" ca="1" si="94"/>
        <v>N</v>
      </c>
      <c r="L461">
        <f ca="1">+_xlfn.IFNA(VLOOKUP(M461,BespokeWindowsAreas!$A$1:$E$1999,1,FALSE),VLOOKUP(E461,WindowTypeArea!$B$2:$C$2000,2,FALSE))</f>
        <v>3.05</v>
      </c>
      <c r="M461">
        <f t="shared" ca="1" si="95"/>
        <v>5207394</v>
      </c>
    </row>
    <row r="462" spans="1:13" x14ac:dyDescent="0.25">
      <c r="A462">
        <f t="shared" ca="1" si="86"/>
        <v>2</v>
      </c>
      <c r="B462">
        <f t="shared" ca="1" si="87"/>
        <v>49</v>
      </c>
      <c r="C462" t="str">
        <f t="shared" ca="1" si="96"/>
        <v>'WINDOWS-NCH-A-BDP-M3-00-00'!B48</v>
      </c>
      <c r="D462" s="6" t="str">
        <f t="shared" ca="1" si="97"/>
        <v>L00-OPD-CC4-S137-02</v>
      </c>
      <c r="E462" t="str">
        <f t="shared" ca="1" si="88"/>
        <v>L00-OPD-CC4-S137-02</v>
      </c>
      <c r="F462">
        <f t="shared" ca="1" si="89"/>
        <v>1874689</v>
      </c>
      <c r="G462">
        <f t="shared" ca="1" si="90"/>
        <v>0</v>
      </c>
      <c r="H462">
        <f t="shared" ca="1" si="91"/>
        <v>0</v>
      </c>
      <c r="I462">
        <f t="shared" ca="1" si="92"/>
        <v>0</v>
      </c>
      <c r="J462" s="8" t="e">
        <f t="shared" ca="1" si="93"/>
        <v>#DIV/0!</v>
      </c>
      <c r="K462" s="9" t="e">
        <f t="shared" ca="1" si="94"/>
        <v>#DIV/0!</v>
      </c>
      <c r="L462" t="e">
        <f ca="1">+_xlfn.IFNA(VLOOKUP(M462,BespokeWindowsAreas!$A$1:$E$1999,1,FALSE),VLOOKUP(E462,WindowTypeArea!$B$2:$C$2000,2,FALSE))</f>
        <v>#N/A</v>
      </c>
      <c r="M462">
        <f t="shared" ca="1" si="95"/>
        <v>0</v>
      </c>
    </row>
    <row r="463" spans="1:13" x14ac:dyDescent="0.25">
      <c r="A463">
        <f t="shared" ca="1" si="86"/>
        <v>2</v>
      </c>
      <c r="B463">
        <f t="shared" ca="1" si="87"/>
        <v>50</v>
      </c>
      <c r="C463" t="str">
        <f t="shared" ca="1" si="96"/>
        <v>'WINDOWS-NCH-A-BDP-M3-00-00'!B49</v>
      </c>
      <c r="D463" s="6" t="str">
        <f t="shared" ca="1" si="97"/>
        <v>L00-OPD-CC4-S137-02</v>
      </c>
      <c r="E463" t="str">
        <f t="shared" ca="1" si="88"/>
        <v>Family Type: 1500w x 3050h, Family: Window External Type 3 - Recessed and Angle</v>
      </c>
      <c r="F463" t="str">
        <f t="shared" ca="1" si="89"/>
        <v>Vector(X = -0.996, Y = 0.087, Z = 0.000, Length = 1.000)</v>
      </c>
      <c r="G463">
        <f t="shared" ca="1" si="90"/>
        <v>-1</v>
      </c>
      <c r="H463">
        <f t="shared" ca="1" si="91"/>
        <v>0.1</v>
      </c>
      <c r="I463">
        <f t="shared" ca="1" si="92"/>
        <v>0</v>
      </c>
      <c r="J463" s="8">
        <f t="shared" ca="1" si="93"/>
        <v>174.28940686250036</v>
      </c>
      <c r="K463" s="9" t="str">
        <f t="shared" ca="1" si="94"/>
        <v>WN</v>
      </c>
      <c r="L463">
        <f ca="1">+_xlfn.IFNA(VLOOKUP(M463,BespokeWindowsAreas!$A$1:$E$1999,1,FALSE),VLOOKUP(E463,WindowTypeArea!$B$2:$C$2000,2,FALSE))</f>
        <v>4.5750000000000002</v>
      </c>
      <c r="M463">
        <f t="shared" ca="1" si="95"/>
        <v>4801884</v>
      </c>
    </row>
    <row r="464" spans="1:13" x14ac:dyDescent="0.25">
      <c r="A464">
        <f t="shared" ca="1" si="86"/>
        <v>2</v>
      </c>
      <c r="B464">
        <f t="shared" ca="1" si="87"/>
        <v>51</v>
      </c>
      <c r="C464" t="str">
        <f t="shared" ca="1" si="96"/>
        <v>'WINDOWS-NCH-A-BDP-M3-00-00'!B50</v>
      </c>
      <c r="D464" s="6" t="str">
        <f t="shared" ca="1" si="97"/>
        <v>L00-OPD-CC4-S137-02</v>
      </c>
      <c r="E464" t="str">
        <f t="shared" ca="1" si="88"/>
        <v>Family Type: 1500w x 3050h, Family: Window External Type 3 - Recessed and Angle</v>
      </c>
      <c r="F464" t="str">
        <f t="shared" ca="1" si="89"/>
        <v>Vector(X = -0.996, Y = 0.087, Z = 0.000, Length = 1.000)</v>
      </c>
      <c r="G464">
        <f t="shared" ca="1" si="90"/>
        <v>-1</v>
      </c>
      <c r="H464">
        <f t="shared" ca="1" si="91"/>
        <v>0.1</v>
      </c>
      <c r="I464">
        <f t="shared" ca="1" si="92"/>
        <v>0</v>
      </c>
      <c r="J464" s="8">
        <f t="shared" ca="1" si="93"/>
        <v>174.28940686250036</v>
      </c>
      <c r="K464" s="9" t="str">
        <f t="shared" ca="1" si="94"/>
        <v>WN</v>
      </c>
      <c r="L464">
        <f ca="1">+_xlfn.IFNA(VLOOKUP(M464,BespokeWindowsAreas!$A$1:$E$1999,1,FALSE),VLOOKUP(E464,WindowTypeArea!$B$2:$C$2000,2,FALSE))</f>
        <v>4.5750000000000002</v>
      </c>
      <c r="M464">
        <f t="shared" ca="1" si="95"/>
        <v>4848722</v>
      </c>
    </row>
    <row r="465" spans="1:13" x14ac:dyDescent="0.25">
      <c r="A465">
        <f t="shared" ca="1" si="86"/>
        <v>2</v>
      </c>
      <c r="B465">
        <f t="shared" ca="1" si="87"/>
        <v>52</v>
      </c>
      <c r="C465" t="str">
        <f t="shared" ca="1" si="96"/>
        <v>'WINDOWS-NCH-A-BDP-M3-00-00'!B51</v>
      </c>
      <c r="D465" s="6" t="str">
        <f t="shared" ca="1" si="97"/>
        <v>L00-OPD-CC4-S113-03</v>
      </c>
      <c r="E465" t="str">
        <f t="shared" ca="1" si="88"/>
        <v>L00-OPD-CC4-S113-03</v>
      </c>
      <c r="F465">
        <f t="shared" ca="1" si="89"/>
        <v>1874699</v>
      </c>
      <c r="G465">
        <f t="shared" ca="1" si="90"/>
        <v>0</v>
      </c>
      <c r="H465">
        <f t="shared" ca="1" si="91"/>
        <v>0</v>
      </c>
      <c r="I465">
        <f t="shared" ca="1" si="92"/>
        <v>0</v>
      </c>
      <c r="J465" s="8" t="e">
        <f t="shared" ca="1" si="93"/>
        <v>#DIV/0!</v>
      </c>
      <c r="K465" s="9" t="e">
        <f t="shared" ca="1" si="94"/>
        <v>#DIV/0!</v>
      </c>
      <c r="L465" t="e">
        <f ca="1">+_xlfn.IFNA(VLOOKUP(M465,BespokeWindowsAreas!$A$1:$E$1999,1,FALSE),VLOOKUP(E465,WindowTypeArea!$B$2:$C$2000,2,FALSE))</f>
        <v>#N/A</v>
      </c>
      <c r="M465">
        <f t="shared" ca="1" si="95"/>
        <v>0</v>
      </c>
    </row>
    <row r="466" spans="1:13" x14ac:dyDescent="0.25">
      <c r="A466">
        <f t="shared" ca="1" si="86"/>
        <v>2</v>
      </c>
      <c r="B466">
        <f t="shared" ca="1" si="87"/>
        <v>53</v>
      </c>
      <c r="C466" t="str">
        <f t="shared" ca="1" si="96"/>
        <v>'WINDOWS-NCH-A-BDP-M3-00-00'!B52</v>
      </c>
      <c r="D466" s="6" t="str">
        <f t="shared" ca="1" si="97"/>
        <v>L00-OPD-CC4-S113-03</v>
      </c>
      <c r="E466" t="str">
        <f t="shared" ca="1" si="88"/>
        <v>Family Type: 1950w x 3050h, Family: Window External Type 3 - Recessed and Angle</v>
      </c>
      <c r="F466" t="str">
        <f t="shared" ca="1" si="89"/>
        <v>Vector(X = -0.212, Y = 0.977, Z = 0.000, Length = 1.000)</v>
      </c>
      <c r="G466">
        <f t="shared" ca="1" si="90"/>
        <v>-0.2</v>
      </c>
      <c r="H466">
        <f t="shared" ca="1" si="91"/>
        <v>1</v>
      </c>
      <c r="I466">
        <f t="shared" ca="1" si="92"/>
        <v>0</v>
      </c>
      <c r="J466" s="8">
        <f t="shared" ca="1" si="93"/>
        <v>101.3099324740202</v>
      </c>
      <c r="K466" s="9" t="str">
        <f t="shared" ca="1" si="94"/>
        <v>N</v>
      </c>
      <c r="L466">
        <f ca="1">+_xlfn.IFNA(VLOOKUP(M466,BespokeWindowsAreas!$A$1:$E$1999,1,FALSE),VLOOKUP(E466,WindowTypeArea!$B$2:$C$2000,2,FALSE))</f>
        <v>5.9474999999999998</v>
      </c>
      <c r="M466">
        <f t="shared" ca="1" si="95"/>
        <v>4821860</v>
      </c>
    </row>
    <row r="467" spans="1:13" x14ac:dyDescent="0.25">
      <c r="A467">
        <f t="shared" ca="1" si="86"/>
        <v>2</v>
      </c>
      <c r="B467">
        <f t="shared" ca="1" si="87"/>
        <v>54</v>
      </c>
      <c r="C467" t="str">
        <f t="shared" ca="1" si="96"/>
        <v>'WINDOWS-NCH-A-BDP-M3-00-00'!B53</v>
      </c>
      <c r="D467" s="6" t="str">
        <f t="shared" ca="1" si="97"/>
        <v>L00-OPD-CC4-S108-02</v>
      </c>
      <c r="E467" t="str">
        <f t="shared" ca="1" si="88"/>
        <v>L00-OPD-CC4-S108-02</v>
      </c>
      <c r="F467">
        <f t="shared" ca="1" si="89"/>
        <v>1874705</v>
      </c>
      <c r="G467">
        <f t="shared" ca="1" si="90"/>
        <v>0</v>
      </c>
      <c r="H467">
        <f t="shared" ca="1" si="91"/>
        <v>0</v>
      </c>
      <c r="I467">
        <f t="shared" ca="1" si="92"/>
        <v>0</v>
      </c>
      <c r="J467" s="8" t="e">
        <f t="shared" ca="1" si="93"/>
        <v>#DIV/0!</v>
      </c>
      <c r="K467" s="9" t="e">
        <f t="shared" ca="1" si="94"/>
        <v>#DIV/0!</v>
      </c>
      <c r="L467" t="e">
        <f ca="1">+_xlfn.IFNA(VLOOKUP(M467,BespokeWindowsAreas!$A$1:$E$1999,1,FALSE),VLOOKUP(E467,WindowTypeArea!$B$2:$C$2000,2,FALSE))</f>
        <v>#N/A</v>
      </c>
      <c r="M467">
        <f t="shared" ca="1" si="95"/>
        <v>0</v>
      </c>
    </row>
    <row r="468" spans="1:13" x14ac:dyDescent="0.25">
      <c r="A468">
        <f t="shared" ref="A468:A531" ca="1" si="98">+IF(B467&lt;=VLOOKUP(MID(C468,2,26),TABS,2,FALSE),A467,+A467+1)</f>
        <v>2</v>
      </c>
      <c r="B468">
        <f t="shared" ref="B468:B531" ca="1" si="99">+IF(B467&lt;=VLOOKUP(MID(C468,2,26),TABS,2,FALSE),B467+1,1)</f>
        <v>55</v>
      </c>
      <c r="C468" t="str">
        <f t="shared" ca="1" si="96"/>
        <v>'WINDOWS-NCH-A-BDP-M3-00-00'!B54</v>
      </c>
      <c r="D468" s="6" t="str">
        <f t="shared" ca="1" si="97"/>
        <v>L00-OPD-CC4-S108-02</v>
      </c>
      <c r="E468" t="str">
        <f t="shared" ref="E468:E531" ca="1" si="100">+OFFSET(INDIRECT(C468),0,0)</f>
        <v>Family Type: 1500w x 3050h, Family: Window External Type 3 - Recessed and Angle</v>
      </c>
      <c r="F468" t="str">
        <f t="shared" ca="1" si="89"/>
        <v>Vector(X = 0.041, Y = -0.999, Z = 0.000, Length = 1.000)</v>
      </c>
      <c r="G468">
        <f t="shared" ca="1" si="90"/>
        <v>0</v>
      </c>
      <c r="H468">
        <f t="shared" ca="1" si="91"/>
        <v>-1</v>
      </c>
      <c r="I468">
        <f t="shared" ca="1" si="92"/>
        <v>0</v>
      </c>
      <c r="J468" s="8">
        <f t="shared" ca="1" si="93"/>
        <v>-90</v>
      </c>
      <c r="K468" s="9" t="str">
        <f t="shared" ca="1" si="94"/>
        <v>S</v>
      </c>
      <c r="L468">
        <f ca="1">+_xlfn.IFNA(VLOOKUP(M468,BespokeWindowsAreas!$A$1:$E$1999,1,FALSE),VLOOKUP(E468,WindowTypeArea!$B$2:$C$2000,2,FALSE))</f>
        <v>4.5750000000000002</v>
      </c>
      <c r="M468">
        <f t="shared" ca="1" si="95"/>
        <v>5032351</v>
      </c>
    </row>
    <row r="469" spans="1:13" x14ac:dyDescent="0.25">
      <c r="A469">
        <f t="shared" ca="1" si="98"/>
        <v>2</v>
      </c>
      <c r="B469">
        <f t="shared" ca="1" si="99"/>
        <v>56</v>
      </c>
      <c r="C469" t="str">
        <f t="shared" ca="1" si="96"/>
        <v>'WINDOWS-NCH-A-BDP-M3-00-00'!B55</v>
      </c>
      <c r="D469" s="6" t="str">
        <f t="shared" ca="1" si="97"/>
        <v>L00-OPD-CC4-S040-02</v>
      </c>
      <c r="E469" t="str">
        <f t="shared" ca="1" si="100"/>
        <v>L00-OPD-CC4-S040-02</v>
      </c>
      <c r="F469">
        <f t="shared" ca="1" si="89"/>
        <v>1874707</v>
      </c>
      <c r="G469">
        <f t="shared" ca="1" si="90"/>
        <v>0</v>
      </c>
      <c r="H469">
        <f t="shared" ca="1" si="91"/>
        <v>0</v>
      </c>
      <c r="I469">
        <f t="shared" ca="1" si="92"/>
        <v>0</v>
      </c>
      <c r="J469" s="8" t="e">
        <f t="shared" ca="1" si="93"/>
        <v>#DIV/0!</v>
      </c>
      <c r="K469" s="9" t="e">
        <f t="shared" ca="1" si="94"/>
        <v>#DIV/0!</v>
      </c>
      <c r="L469" t="e">
        <f ca="1">+_xlfn.IFNA(VLOOKUP(M469,BespokeWindowsAreas!$A$1:$E$1999,1,FALSE),VLOOKUP(E469,WindowTypeArea!$B$2:$C$2000,2,FALSE))</f>
        <v>#N/A</v>
      </c>
      <c r="M469">
        <f t="shared" ca="1" si="95"/>
        <v>0</v>
      </c>
    </row>
    <row r="470" spans="1:13" x14ac:dyDescent="0.25">
      <c r="A470">
        <f t="shared" ca="1" si="98"/>
        <v>2</v>
      </c>
      <c r="B470">
        <f t="shared" ca="1" si="99"/>
        <v>57</v>
      </c>
      <c r="C470" t="str">
        <f t="shared" ca="1" si="96"/>
        <v>'WINDOWS-NCH-A-BDP-M3-00-00'!B56</v>
      </c>
      <c r="D470" s="6" t="str">
        <f t="shared" ca="1" si="97"/>
        <v>L00-OPD-CC4-S040-02</v>
      </c>
      <c r="E470" t="str">
        <f t="shared" ca="1" si="100"/>
        <v>Family Type: 1500w x 3050h, Family: Window External Type 3 - Recessed and Angle</v>
      </c>
      <c r="F470" t="str">
        <f t="shared" ref="F470:F533" ca="1" si="101">+OFFSET(INDIRECT(C470),0,1)</f>
        <v>Vector(X = -0.992, Y = -0.128, Z = 0.000, Length = 1.000)</v>
      </c>
      <c r="G470">
        <f t="shared" ref="G470:G533" ca="1" si="102">+OFFSET(INDIRECT(C470),0,2)</f>
        <v>-1</v>
      </c>
      <c r="H470">
        <f t="shared" ref="H470:H533" ca="1" si="103">+OFFSET(INDIRECT(C470),0,3)</f>
        <v>-0.1</v>
      </c>
      <c r="I470">
        <f t="shared" ref="I470:I533" ca="1" si="104">+OFFSET(INDIRECT(C470),0,4)</f>
        <v>0</v>
      </c>
      <c r="J470" s="8">
        <f t="shared" ref="J470:J533" ca="1" si="105">+DEGREES(ATAN2(G470,H470))</f>
        <v>-174.28940686250036</v>
      </c>
      <c r="K470" s="9" t="str">
        <f t="shared" ref="K470:K533" ca="1" si="106">VLOOKUP(J470,$O$20:$P$36,2,-1)</f>
        <v>W</v>
      </c>
      <c r="L470">
        <f ca="1">+_xlfn.IFNA(VLOOKUP(M470,BespokeWindowsAreas!$A$1:$E$1999,1,FALSE),VLOOKUP(E470,WindowTypeArea!$B$2:$C$2000,2,FALSE))</f>
        <v>4.5750000000000002</v>
      </c>
      <c r="M470">
        <f t="shared" ref="M470:M533" ca="1" si="107">+OFFSET(INDIRECT(C470),0,5)</f>
        <v>4849162</v>
      </c>
    </row>
    <row r="471" spans="1:13" x14ac:dyDescent="0.25">
      <c r="A471">
        <f t="shared" ca="1" si="98"/>
        <v>2</v>
      </c>
      <c r="B471">
        <f t="shared" ca="1" si="99"/>
        <v>58</v>
      </c>
      <c r="C471" t="str">
        <f t="shared" ref="C471:C534" ca="1" si="108">+"'"&amp;INDIRECT("a"&amp;A470)&amp;"'!B"&amp;B470</f>
        <v>'WINDOWS-NCH-A-BDP-M3-00-00'!B57</v>
      </c>
      <c r="D471" s="6" t="str">
        <f t="shared" ca="1" si="97"/>
        <v>L00-EMG-EDE-S099-01</v>
      </c>
      <c r="E471" t="str">
        <f t="shared" ca="1" si="100"/>
        <v>L00-EMG-EDE-S099-01</v>
      </c>
      <c r="F471">
        <f t="shared" ca="1" si="101"/>
        <v>1874717</v>
      </c>
      <c r="G471">
        <f t="shared" ca="1" si="102"/>
        <v>0</v>
      </c>
      <c r="H471">
        <f t="shared" ca="1" si="103"/>
        <v>0</v>
      </c>
      <c r="I471">
        <f t="shared" ca="1" si="104"/>
        <v>0</v>
      </c>
      <c r="J471" s="8" t="e">
        <f t="shared" ca="1" si="105"/>
        <v>#DIV/0!</v>
      </c>
      <c r="K471" s="9" t="e">
        <f t="shared" ca="1" si="106"/>
        <v>#DIV/0!</v>
      </c>
      <c r="L471" t="e">
        <f ca="1">+_xlfn.IFNA(VLOOKUP(M471,BespokeWindowsAreas!$A$1:$E$1999,1,FALSE),VLOOKUP(E471,WindowTypeArea!$B$2:$C$2000,2,FALSE))</f>
        <v>#N/A</v>
      </c>
      <c r="M471">
        <f t="shared" ca="1" si="107"/>
        <v>0</v>
      </c>
    </row>
    <row r="472" spans="1:13" x14ac:dyDescent="0.25">
      <c r="A472">
        <f t="shared" ca="1" si="98"/>
        <v>2</v>
      </c>
      <c r="B472">
        <f t="shared" ca="1" si="99"/>
        <v>59</v>
      </c>
      <c r="C472" t="str">
        <f t="shared" ca="1" si="108"/>
        <v>'WINDOWS-NCH-A-BDP-M3-00-00'!B58</v>
      </c>
      <c r="D472" s="6" t="str">
        <f t="shared" ca="1" si="97"/>
        <v>L00-EMG-EDE-S099-01</v>
      </c>
      <c r="E472" t="str">
        <f t="shared" ca="1" si="100"/>
        <v>Family Type: Curtain Wall_585w x 3200h, Family: Window External Type 6 - Bespoke Flush, Recessed</v>
      </c>
      <c r="F472" t="str">
        <f t="shared" ca="1" si="101"/>
        <v>Vector(X = 0.977, Y = 0.212, Z = 0.000, Length = 1.000)</v>
      </c>
      <c r="G472">
        <f t="shared" ca="1" si="102"/>
        <v>1</v>
      </c>
      <c r="H472">
        <f t="shared" ca="1" si="103"/>
        <v>0.2</v>
      </c>
      <c r="I472">
        <f t="shared" ca="1" si="104"/>
        <v>0</v>
      </c>
      <c r="J472" s="8">
        <f t="shared" ca="1" si="105"/>
        <v>11.309932474020215</v>
      </c>
      <c r="K472" s="9" t="str">
        <f t="shared" ca="1" si="106"/>
        <v>E</v>
      </c>
      <c r="L472">
        <f ca="1">+_xlfn.IFNA(VLOOKUP(M472,BespokeWindowsAreas!$A$1:$E$1999,1,FALSE),VLOOKUP(E472,WindowTypeArea!$B$2:$C$2000,2,FALSE))</f>
        <v>0</v>
      </c>
      <c r="M472">
        <f t="shared" ca="1" si="107"/>
        <v>5075174</v>
      </c>
    </row>
    <row r="473" spans="1:13" x14ac:dyDescent="0.25">
      <c r="A473">
        <f t="shared" ca="1" si="98"/>
        <v>2</v>
      </c>
      <c r="B473">
        <f t="shared" ca="1" si="99"/>
        <v>60</v>
      </c>
      <c r="C473" t="str">
        <f t="shared" ca="1" si="108"/>
        <v>'WINDOWS-NCH-A-BDP-M3-00-00'!B59</v>
      </c>
      <c r="D473" s="6" t="str">
        <f t="shared" ca="1" si="97"/>
        <v>L00-EMG-EDI-S103-01</v>
      </c>
      <c r="E473" t="str">
        <f t="shared" ca="1" si="100"/>
        <v>L00-EMG-EDI-S103-01</v>
      </c>
      <c r="F473">
        <f t="shared" ca="1" si="101"/>
        <v>1874719</v>
      </c>
      <c r="G473">
        <f t="shared" ca="1" si="102"/>
        <v>0</v>
      </c>
      <c r="H473">
        <f t="shared" ca="1" si="103"/>
        <v>0</v>
      </c>
      <c r="I473">
        <f t="shared" ca="1" si="104"/>
        <v>0</v>
      </c>
      <c r="J473" s="8" t="e">
        <f t="shared" ca="1" si="105"/>
        <v>#DIV/0!</v>
      </c>
      <c r="K473" s="9" t="e">
        <f t="shared" ca="1" si="106"/>
        <v>#DIV/0!</v>
      </c>
      <c r="L473" t="e">
        <f ca="1">+_xlfn.IFNA(VLOOKUP(M473,BespokeWindowsAreas!$A$1:$E$1999,1,FALSE),VLOOKUP(E473,WindowTypeArea!$B$2:$C$2000,2,FALSE))</f>
        <v>#N/A</v>
      </c>
      <c r="M473">
        <f t="shared" ca="1" si="107"/>
        <v>0</v>
      </c>
    </row>
    <row r="474" spans="1:13" x14ac:dyDescent="0.25">
      <c r="A474">
        <f t="shared" ca="1" si="98"/>
        <v>2</v>
      </c>
      <c r="B474">
        <f t="shared" ca="1" si="99"/>
        <v>61</v>
      </c>
      <c r="C474" t="str">
        <f t="shared" ca="1" si="108"/>
        <v>'WINDOWS-NCH-A-BDP-M3-00-00'!B60</v>
      </c>
      <c r="D474" s="6" t="str">
        <f t="shared" ca="1" si="97"/>
        <v>L00-EMG-EDI-S103-01</v>
      </c>
      <c r="E474" t="str">
        <f t="shared" ca="1" si="100"/>
        <v>Family Type: 975w x 3050h, Family: Window Internal Type 1 - Flush</v>
      </c>
      <c r="F474" t="str">
        <f t="shared" ca="1" si="101"/>
        <v>Vector(X = -0.977, Y = -0.212, Z = 0.000, Length = 1.000)</v>
      </c>
      <c r="G474">
        <f t="shared" ca="1" si="102"/>
        <v>-1</v>
      </c>
      <c r="H474">
        <f t="shared" ca="1" si="103"/>
        <v>-0.2</v>
      </c>
      <c r="I474">
        <f t="shared" ca="1" si="104"/>
        <v>0</v>
      </c>
      <c r="J474" s="8">
        <f t="shared" ca="1" si="105"/>
        <v>-168.69006752597977</v>
      </c>
      <c r="K474" s="9" t="str">
        <f t="shared" ca="1" si="106"/>
        <v>W</v>
      </c>
      <c r="L474">
        <f ca="1">+_xlfn.IFNA(VLOOKUP(M474,BespokeWindowsAreas!$A$1:$E$1999,1,FALSE),VLOOKUP(E474,WindowTypeArea!$B$2:$C$2000,2,FALSE))</f>
        <v>2.9737499999999999</v>
      </c>
      <c r="M474">
        <f t="shared" ca="1" si="107"/>
        <v>6644099</v>
      </c>
    </row>
    <row r="475" spans="1:13" x14ac:dyDescent="0.25">
      <c r="A475">
        <f t="shared" ca="1" si="98"/>
        <v>2</v>
      </c>
      <c r="B475">
        <f t="shared" ca="1" si="99"/>
        <v>62</v>
      </c>
      <c r="C475" t="str">
        <f t="shared" ca="1" si="108"/>
        <v>'WINDOWS-NCH-A-BDP-M3-00-00'!B61</v>
      </c>
      <c r="D475" s="6" t="str">
        <f t="shared" ca="1" si="97"/>
        <v>L00-EMG-EDI-S115-01</v>
      </c>
      <c r="E475" t="str">
        <f t="shared" ca="1" si="100"/>
        <v>L00-EMG-EDI-S115-01</v>
      </c>
      <c r="F475">
        <f t="shared" ca="1" si="101"/>
        <v>1874729</v>
      </c>
      <c r="G475">
        <f t="shared" ca="1" si="102"/>
        <v>0</v>
      </c>
      <c r="H475">
        <f t="shared" ca="1" si="103"/>
        <v>0</v>
      </c>
      <c r="I475">
        <f t="shared" ca="1" si="104"/>
        <v>0</v>
      </c>
      <c r="J475" s="8" t="e">
        <f t="shared" ca="1" si="105"/>
        <v>#DIV/0!</v>
      </c>
      <c r="K475" s="9" t="e">
        <f t="shared" ca="1" si="106"/>
        <v>#DIV/0!</v>
      </c>
      <c r="L475" t="e">
        <f ca="1">+_xlfn.IFNA(VLOOKUP(M475,BespokeWindowsAreas!$A$1:$E$1999,1,FALSE),VLOOKUP(E475,WindowTypeArea!$B$2:$C$2000,2,FALSE))</f>
        <v>#N/A</v>
      </c>
      <c r="M475">
        <f t="shared" ca="1" si="107"/>
        <v>0</v>
      </c>
    </row>
    <row r="476" spans="1:13" x14ac:dyDescent="0.25">
      <c r="A476">
        <f t="shared" ca="1" si="98"/>
        <v>2</v>
      </c>
      <c r="B476">
        <f t="shared" ca="1" si="99"/>
        <v>63</v>
      </c>
      <c r="C476" t="str">
        <f t="shared" ca="1" si="108"/>
        <v>'WINDOWS-NCH-A-BDP-M3-00-00'!B62</v>
      </c>
      <c r="D476" s="6" t="str">
        <f t="shared" ca="1" si="97"/>
        <v>L00-EMG-EDI-S115-01</v>
      </c>
      <c r="E476" t="str">
        <f t="shared" ca="1" si="100"/>
        <v>Family Type: 650w x 3050h, Family: Window Internal Type 1 - Flush</v>
      </c>
      <c r="F476" t="str">
        <f t="shared" ca="1" si="101"/>
        <v>Vector(X = -0.977, Y = -0.212, Z = 0.000, Length = 1.000)</v>
      </c>
      <c r="G476">
        <f t="shared" ca="1" si="102"/>
        <v>-1</v>
      </c>
      <c r="H476">
        <f t="shared" ca="1" si="103"/>
        <v>-0.2</v>
      </c>
      <c r="I476">
        <f t="shared" ca="1" si="104"/>
        <v>0</v>
      </c>
      <c r="J476" s="8">
        <f t="shared" ca="1" si="105"/>
        <v>-168.69006752597977</v>
      </c>
      <c r="K476" s="9" t="str">
        <f t="shared" ca="1" si="106"/>
        <v>W</v>
      </c>
      <c r="L476">
        <f ca="1">+_xlfn.IFNA(VLOOKUP(M476,BespokeWindowsAreas!$A$1:$E$1999,1,FALSE),VLOOKUP(E476,WindowTypeArea!$B$2:$C$2000,2,FALSE))</f>
        <v>1.9824999999999999</v>
      </c>
      <c r="M476">
        <f t="shared" ca="1" si="107"/>
        <v>6644167</v>
      </c>
    </row>
    <row r="477" spans="1:13" x14ac:dyDescent="0.25">
      <c r="A477">
        <f t="shared" ca="1" si="98"/>
        <v>2</v>
      </c>
      <c r="B477">
        <f t="shared" ca="1" si="99"/>
        <v>64</v>
      </c>
      <c r="C477" t="str">
        <f t="shared" ca="1" si="108"/>
        <v>'WINDOWS-NCH-A-BDP-M3-00-00'!B63</v>
      </c>
      <c r="D477" s="6" t="str">
        <f t="shared" ca="1" si="97"/>
        <v>L00-EMG-EDE-U0291-01</v>
      </c>
      <c r="E477" t="str">
        <f t="shared" ca="1" si="100"/>
        <v>L00-EMG-EDE-U0291-01</v>
      </c>
      <c r="F477">
        <f t="shared" ca="1" si="101"/>
        <v>1874755</v>
      </c>
      <c r="G477">
        <f t="shared" ca="1" si="102"/>
        <v>0</v>
      </c>
      <c r="H477">
        <f t="shared" ca="1" si="103"/>
        <v>0</v>
      </c>
      <c r="I477">
        <f t="shared" ca="1" si="104"/>
        <v>0</v>
      </c>
      <c r="J477" s="8" t="e">
        <f t="shared" ca="1" si="105"/>
        <v>#DIV/0!</v>
      </c>
      <c r="K477" s="9" t="e">
        <f t="shared" ca="1" si="106"/>
        <v>#DIV/0!</v>
      </c>
      <c r="L477" t="e">
        <f ca="1">+_xlfn.IFNA(VLOOKUP(M477,BespokeWindowsAreas!$A$1:$E$1999,1,FALSE),VLOOKUP(E477,WindowTypeArea!$B$2:$C$2000,2,FALSE))</f>
        <v>#N/A</v>
      </c>
      <c r="M477">
        <f t="shared" ca="1" si="107"/>
        <v>0</v>
      </c>
    </row>
    <row r="478" spans="1:13" x14ac:dyDescent="0.25">
      <c r="A478">
        <f t="shared" ca="1" si="98"/>
        <v>2</v>
      </c>
      <c r="B478">
        <f t="shared" ca="1" si="99"/>
        <v>65</v>
      </c>
      <c r="C478" t="str">
        <f t="shared" ca="1" si="108"/>
        <v>'WINDOWS-NCH-A-BDP-M3-00-00'!B64</v>
      </c>
      <c r="D478" s="6" t="str">
        <f t="shared" ca="1" si="97"/>
        <v>L00-EMG-EDE-U0291-01</v>
      </c>
      <c r="E478" t="str">
        <f t="shared" ca="1" si="100"/>
        <v>Family Type: Curtain Wall_1500w x 3200h, Family: Window External Type 6 - Flush, Recessed</v>
      </c>
      <c r="F478" t="str">
        <f t="shared" ca="1" si="101"/>
        <v>Vector(X = 0.977, Y = 0.212, Z = 0.000, Length = 1.000)</v>
      </c>
      <c r="G478">
        <f t="shared" ca="1" si="102"/>
        <v>1</v>
      </c>
      <c r="H478">
        <f t="shared" ca="1" si="103"/>
        <v>0.2</v>
      </c>
      <c r="I478">
        <f t="shared" ca="1" si="104"/>
        <v>0</v>
      </c>
      <c r="J478" s="8">
        <f t="shared" ca="1" si="105"/>
        <v>11.309932474020215</v>
      </c>
      <c r="K478" s="9" t="str">
        <f t="shared" ca="1" si="106"/>
        <v>E</v>
      </c>
      <c r="L478">
        <f ca="1">+_xlfn.IFNA(VLOOKUP(M478,BespokeWindowsAreas!$A$1:$E$1999,1,FALSE),VLOOKUP(E478,WindowTypeArea!$B$2:$C$2000,2,FALSE))</f>
        <v>4.8</v>
      </c>
      <c r="M478">
        <f t="shared" ca="1" si="107"/>
        <v>5065783</v>
      </c>
    </row>
    <row r="479" spans="1:13" x14ac:dyDescent="0.25">
      <c r="A479">
        <f t="shared" ca="1" si="98"/>
        <v>2</v>
      </c>
      <c r="B479">
        <f t="shared" ca="1" si="99"/>
        <v>66</v>
      </c>
      <c r="C479" t="str">
        <f t="shared" ca="1" si="108"/>
        <v>'WINDOWS-NCH-A-BDP-M3-00-00'!B65</v>
      </c>
      <c r="D479" s="6" t="str">
        <f t="shared" ca="1" si="97"/>
        <v>L00-EMG-EDE-U0291-01</v>
      </c>
      <c r="E479" t="str">
        <f t="shared" ca="1" si="100"/>
        <v>Family Type: Curtain Wall_585w x 3200h, Family: Window External Type 6 - Flush, Recessed</v>
      </c>
      <c r="F479" t="str">
        <f t="shared" ca="1" si="101"/>
        <v>Vector(X = 0.977, Y = 0.212, Z = 0.000, Length = 1.000)</v>
      </c>
      <c r="G479">
        <f t="shared" ca="1" si="102"/>
        <v>1</v>
      </c>
      <c r="H479">
        <f t="shared" ca="1" si="103"/>
        <v>0.2</v>
      </c>
      <c r="I479">
        <f t="shared" ca="1" si="104"/>
        <v>0</v>
      </c>
      <c r="J479" s="8">
        <f t="shared" ca="1" si="105"/>
        <v>11.309932474020215</v>
      </c>
      <c r="K479" s="9" t="str">
        <f t="shared" ca="1" si="106"/>
        <v>E</v>
      </c>
      <c r="L479">
        <f ca="1">+_xlfn.IFNA(VLOOKUP(M479,BespokeWindowsAreas!$A$1:$E$1999,1,FALSE),VLOOKUP(E479,WindowTypeArea!$B$2:$C$2000,2,FALSE))</f>
        <v>1.8720000000000001</v>
      </c>
      <c r="M479">
        <f t="shared" ca="1" si="107"/>
        <v>5123773</v>
      </c>
    </row>
    <row r="480" spans="1:13" x14ac:dyDescent="0.25">
      <c r="A480">
        <f t="shared" ca="1" si="98"/>
        <v>2</v>
      </c>
      <c r="B480">
        <f t="shared" ca="1" si="99"/>
        <v>67</v>
      </c>
      <c r="C480" t="str">
        <f t="shared" ca="1" si="108"/>
        <v>'WINDOWS-NCH-A-BDP-M3-00-00'!B66</v>
      </c>
      <c r="D480" s="6" t="str">
        <f t="shared" ca="1" si="97"/>
        <v>L00-EMG-EDE-U0291-01</v>
      </c>
      <c r="E480" t="str">
        <f t="shared" ca="1" si="100"/>
        <v>Family Type: Curtain Wall_1500w x 3200h, Family: Window External Type 6 - Flush, Recessed</v>
      </c>
      <c r="F480" t="str">
        <f t="shared" ca="1" si="101"/>
        <v>Vector(X = 0.977, Y = 0.212, Z = 0.000, Length = 1.000)</v>
      </c>
      <c r="G480">
        <f t="shared" ca="1" si="102"/>
        <v>1</v>
      </c>
      <c r="H480">
        <f t="shared" ca="1" si="103"/>
        <v>0.2</v>
      </c>
      <c r="I480">
        <f t="shared" ca="1" si="104"/>
        <v>0</v>
      </c>
      <c r="J480" s="8">
        <f t="shared" ca="1" si="105"/>
        <v>11.309932474020215</v>
      </c>
      <c r="K480" s="9" t="str">
        <f t="shared" ca="1" si="106"/>
        <v>E</v>
      </c>
      <c r="L480">
        <f ca="1">+_xlfn.IFNA(VLOOKUP(M480,BespokeWindowsAreas!$A$1:$E$1999,1,FALSE),VLOOKUP(E480,WindowTypeArea!$B$2:$C$2000,2,FALSE))</f>
        <v>4.8</v>
      </c>
      <c r="M480">
        <f t="shared" ca="1" si="107"/>
        <v>5123774</v>
      </c>
    </row>
    <row r="481" spans="1:13" x14ac:dyDescent="0.25">
      <c r="A481">
        <f t="shared" ca="1" si="98"/>
        <v>2</v>
      </c>
      <c r="B481">
        <f t="shared" ca="1" si="99"/>
        <v>68</v>
      </c>
      <c r="C481" t="str">
        <f t="shared" ca="1" si="108"/>
        <v>'WINDOWS-NCH-A-BDP-M3-00-00'!B67</v>
      </c>
      <c r="D481" s="6" t="str">
        <f t="shared" ca="1" si="97"/>
        <v>L00-EMG-EDE-S148-01</v>
      </c>
      <c r="E481" t="str">
        <f t="shared" ca="1" si="100"/>
        <v>L00-EMG-EDE-S148-01</v>
      </c>
      <c r="F481">
        <f t="shared" ca="1" si="101"/>
        <v>1874759</v>
      </c>
      <c r="G481">
        <f t="shared" ca="1" si="102"/>
        <v>0</v>
      </c>
      <c r="H481">
        <f t="shared" ca="1" si="103"/>
        <v>0</v>
      </c>
      <c r="I481">
        <f t="shared" ca="1" si="104"/>
        <v>0</v>
      </c>
      <c r="J481" s="8" t="e">
        <f t="shared" ca="1" si="105"/>
        <v>#DIV/0!</v>
      </c>
      <c r="K481" s="9" t="e">
        <f t="shared" ca="1" si="106"/>
        <v>#DIV/0!</v>
      </c>
      <c r="L481" t="e">
        <f ca="1">+_xlfn.IFNA(VLOOKUP(M481,BespokeWindowsAreas!$A$1:$E$1999,1,FALSE),VLOOKUP(E481,WindowTypeArea!$B$2:$C$2000,2,FALSE))</f>
        <v>#N/A</v>
      </c>
      <c r="M481">
        <f t="shared" ca="1" si="107"/>
        <v>0</v>
      </c>
    </row>
    <row r="482" spans="1:13" x14ac:dyDescent="0.25">
      <c r="A482">
        <f t="shared" ca="1" si="98"/>
        <v>2</v>
      </c>
      <c r="B482">
        <f t="shared" ca="1" si="99"/>
        <v>69</v>
      </c>
      <c r="C482" t="str">
        <f t="shared" ca="1" si="108"/>
        <v>'WINDOWS-NCH-A-BDP-M3-00-00'!B68</v>
      </c>
      <c r="D482" s="6" t="str">
        <f t="shared" ca="1" si="97"/>
        <v>L00-EMG-EDE-S148-01</v>
      </c>
      <c r="E482" t="str">
        <f t="shared" ca="1" si="100"/>
        <v>Family Type: Curtain Wall_975w x 3200h, Family: Window External Type 6 - Flush, Recessed</v>
      </c>
      <c r="F482" t="str">
        <f t="shared" ca="1" si="101"/>
        <v>Vector(X = 0.977, Y = 0.212, Z = 0.000, Length = 1.000)</v>
      </c>
      <c r="G482">
        <f t="shared" ca="1" si="102"/>
        <v>1</v>
      </c>
      <c r="H482">
        <f t="shared" ca="1" si="103"/>
        <v>0.2</v>
      </c>
      <c r="I482">
        <f t="shared" ca="1" si="104"/>
        <v>0</v>
      </c>
      <c r="J482" s="8">
        <f t="shared" ca="1" si="105"/>
        <v>11.309932474020215</v>
      </c>
      <c r="K482" s="9" t="str">
        <f t="shared" ca="1" si="106"/>
        <v>E</v>
      </c>
      <c r="L482">
        <f ca="1">+_xlfn.IFNA(VLOOKUP(M482,BespokeWindowsAreas!$A$1:$E$1999,1,FALSE),VLOOKUP(E482,WindowTypeArea!$B$2:$C$2000,2,FALSE))</f>
        <v>3.12</v>
      </c>
      <c r="M482">
        <f t="shared" ca="1" si="107"/>
        <v>5050163</v>
      </c>
    </row>
    <row r="483" spans="1:13" x14ac:dyDescent="0.25">
      <c r="A483">
        <f t="shared" ca="1" si="98"/>
        <v>2</v>
      </c>
      <c r="B483">
        <f t="shared" ca="1" si="99"/>
        <v>70</v>
      </c>
      <c r="C483" t="str">
        <f t="shared" ca="1" si="108"/>
        <v>'WINDOWS-NCH-A-BDP-M3-00-00'!B69</v>
      </c>
      <c r="D483" s="6" t="str">
        <f t="shared" ca="1" si="97"/>
        <v>L00-EMG-EDE-S148-01</v>
      </c>
      <c r="E483" t="str">
        <f t="shared" ca="1" si="100"/>
        <v>Family Type: Curtain Wall_1950w x 3200h, Family: Window External Type 6 - Flush, Recessed</v>
      </c>
      <c r="F483" t="str">
        <f t="shared" ca="1" si="101"/>
        <v>Vector(X = 0.977, Y = 0.212, Z = 0.000, Length = 1.000)</v>
      </c>
      <c r="G483">
        <f t="shared" ca="1" si="102"/>
        <v>1</v>
      </c>
      <c r="H483">
        <f t="shared" ca="1" si="103"/>
        <v>0.2</v>
      </c>
      <c r="I483">
        <f t="shared" ca="1" si="104"/>
        <v>0</v>
      </c>
      <c r="J483" s="8">
        <f t="shared" ca="1" si="105"/>
        <v>11.309932474020215</v>
      </c>
      <c r="K483" s="9" t="str">
        <f t="shared" ca="1" si="106"/>
        <v>E</v>
      </c>
      <c r="L483">
        <f ca="1">+_xlfn.IFNA(VLOOKUP(M483,BespokeWindowsAreas!$A$1:$E$1999,1,FALSE),VLOOKUP(E483,WindowTypeArea!$B$2:$C$2000,2,FALSE))</f>
        <v>6.24</v>
      </c>
      <c r="M483">
        <f t="shared" ca="1" si="107"/>
        <v>5050164</v>
      </c>
    </row>
    <row r="484" spans="1:13" x14ac:dyDescent="0.25">
      <c r="A484">
        <f t="shared" ca="1" si="98"/>
        <v>2</v>
      </c>
      <c r="B484">
        <f t="shared" ca="1" si="99"/>
        <v>71</v>
      </c>
      <c r="C484" t="str">
        <f t="shared" ca="1" si="108"/>
        <v>'WINDOWS-NCH-A-BDP-M3-00-00'!B70</v>
      </c>
      <c r="D484" s="6" t="str">
        <f t="shared" ca="1" si="97"/>
        <v>L00-EMG-EDE-S148-01</v>
      </c>
      <c r="E484" t="str">
        <f t="shared" ca="1" si="100"/>
        <v>Family Type: Curtain Wall_975w x 3200h, Family: Window External Type 6 - Flush, Recessed</v>
      </c>
      <c r="F484" t="str">
        <f t="shared" ca="1" si="101"/>
        <v>Vector(X = 0.977, Y = 0.212, Z = 0.000, Length = 1.000)</v>
      </c>
      <c r="G484">
        <f t="shared" ca="1" si="102"/>
        <v>1</v>
      </c>
      <c r="H484">
        <f t="shared" ca="1" si="103"/>
        <v>0.2</v>
      </c>
      <c r="I484">
        <f t="shared" ca="1" si="104"/>
        <v>0</v>
      </c>
      <c r="J484" s="8">
        <f t="shared" ca="1" si="105"/>
        <v>11.309932474020215</v>
      </c>
      <c r="K484" s="9" t="str">
        <f t="shared" ca="1" si="106"/>
        <v>E</v>
      </c>
      <c r="L484">
        <f ca="1">+_xlfn.IFNA(VLOOKUP(M484,BespokeWindowsAreas!$A$1:$E$1999,1,FALSE),VLOOKUP(E484,WindowTypeArea!$B$2:$C$2000,2,FALSE))</f>
        <v>3.12</v>
      </c>
      <c r="M484">
        <f t="shared" ca="1" si="107"/>
        <v>5050166</v>
      </c>
    </row>
    <row r="485" spans="1:13" x14ac:dyDescent="0.25">
      <c r="A485">
        <f t="shared" ca="1" si="98"/>
        <v>2</v>
      </c>
      <c r="B485">
        <f t="shared" ca="1" si="99"/>
        <v>72</v>
      </c>
      <c r="C485" t="str">
        <f t="shared" ca="1" si="108"/>
        <v>'WINDOWS-NCH-A-BDP-M3-00-00'!B71</v>
      </c>
      <c r="D485" s="6" t="str">
        <f t="shared" ca="1" si="97"/>
        <v>L00-EMG-EDE-S148-01</v>
      </c>
      <c r="E485" t="str">
        <f t="shared" ca="1" si="100"/>
        <v>Family Type: Curtain Wall_1500w x 3200h, Family: Window External Type 6 - Flush, Recessed</v>
      </c>
      <c r="F485" t="str">
        <f t="shared" ca="1" si="101"/>
        <v>Vector(X = 0.977, Y = 0.212, Z = 0.000, Length = 1.000)</v>
      </c>
      <c r="G485">
        <f t="shared" ca="1" si="102"/>
        <v>1</v>
      </c>
      <c r="H485">
        <f t="shared" ca="1" si="103"/>
        <v>0.2</v>
      </c>
      <c r="I485">
        <f t="shared" ca="1" si="104"/>
        <v>0</v>
      </c>
      <c r="J485" s="8">
        <f t="shared" ca="1" si="105"/>
        <v>11.309932474020215</v>
      </c>
      <c r="K485" s="9" t="str">
        <f t="shared" ca="1" si="106"/>
        <v>E</v>
      </c>
      <c r="L485">
        <f ca="1">+_xlfn.IFNA(VLOOKUP(M485,BespokeWindowsAreas!$A$1:$E$1999,1,FALSE),VLOOKUP(E485,WindowTypeArea!$B$2:$C$2000,2,FALSE))</f>
        <v>4.8</v>
      </c>
      <c r="M485">
        <f t="shared" ca="1" si="107"/>
        <v>5050167</v>
      </c>
    </row>
    <row r="486" spans="1:13" x14ac:dyDescent="0.25">
      <c r="A486">
        <f t="shared" ca="1" si="98"/>
        <v>2</v>
      </c>
      <c r="B486">
        <f t="shared" ca="1" si="99"/>
        <v>73</v>
      </c>
      <c r="C486" t="str">
        <f t="shared" ca="1" si="108"/>
        <v>'WINDOWS-NCH-A-BDP-M3-00-00'!B72</v>
      </c>
      <c r="D486" s="6" t="str">
        <f t="shared" ca="1" si="97"/>
        <v>L00-EMG-EDE-S148-01</v>
      </c>
      <c r="E486" t="str">
        <f t="shared" ca="1" si="100"/>
        <v>Family Type: Curtain Wall_1950w x 3200h, Family: Window External Type 6 - Flush, Recessed</v>
      </c>
      <c r="F486" t="str">
        <f t="shared" ca="1" si="101"/>
        <v>Vector(X = 0.977, Y = 0.212, Z = 0.000, Length = 1.000)</v>
      </c>
      <c r="G486">
        <f t="shared" ca="1" si="102"/>
        <v>1</v>
      </c>
      <c r="H486">
        <f t="shared" ca="1" si="103"/>
        <v>0.2</v>
      </c>
      <c r="I486">
        <f t="shared" ca="1" si="104"/>
        <v>0</v>
      </c>
      <c r="J486" s="8">
        <f t="shared" ca="1" si="105"/>
        <v>11.309932474020215</v>
      </c>
      <c r="K486" s="9" t="str">
        <f t="shared" ca="1" si="106"/>
        <v>E</v>
      </c>
      <c r="L486">
        <f ca="1">+_xlfn.IFNA(VLOOKUP(M486,BespokeWindowsAreas!$A$1:$E$1999,1,FALSE),VLOOKUP(E486,WindowTypeArea!$B$2:$C$2000,2,FALSE))</f>
        <v>6.24</v>
      </c>
      <c r="M486">
        <f t="shared" ca="1" si="107"/>
        <v>5050275</v>
      </c>
    </row>
    <row r="487" spans="1:13" x14ac:dyDescent="0.25">
      <c r="A487">
        <f t="shared" ca="1" si="98"/>
        <v>2</v>
      </c>
      <c r="B487">
        <f t="shared" ca="1" si="99"/>
        <v>74</v>
      </c>
      <c r="C487" t="str">
        <f t="shared" ca="1" si="108"/>
        <v>'WINDOWS-NCH-A-BDP-M3-00-00'!B73</v>
      </c>
      <c r="D487" s="6" t="str">
        <f t="shared" ca="1" si="97"/>
        <v>L00-EMG-EDE-S148-01</v>
      </c>
      <c r="E487" t="str">
        <f t="shared" ca="1" si="100"/>
        <v>Family Type: Curtain Wall_585w x 3200h, Family: Window External Type 6 - Flush, Recessed</v>
      </c>
      <c r="F487" t="str">
        <f t="shared" ca="1" si="101"/>
        <v>Vector(X = 0.977, Y = 0.212, Z = 0.000, Length = 1.000)</v>
      </c>
      <c r="G487">
        <f t="shared" ca="1" si="102"/>
        <v>1</v>
      </c>
      <c r="H487">
        <f t="shared" ca="1" si="103"/>
        <v>0.2</v>
      </c>
      <c r="I487">
        <f t="shared" ca="1" si="104"/>
        <v>0</v>
      </c>
      <c r="J487" s="8">
        <f t="shared" ca="1" si="105"/>
        <v>11.309932474020215</v>
      </c>
      <c r="K487" s="9" t="str">
        <f t="shared" ca="1" si="106"/>
        <v>E</v>
      </c>
      <c r="L487">
        <f ca="1">+_xlfn.IFNA(VLOOKUP(M487,BespokeWindowsAreas!$A$1:$E$1999,1,FALSE),VLOOKUP(E487,WindowTypeArea!$B$2:$C$2000,2,FALSE))</f>
        <v>1.8720000000000001</v>
      </c>
      <c r="M487">
        <f t="shared" ca="1" si="107"/>
        <v>5050276</v>
      </c>
    </row>
    <row r="488" spans="1:13" x14ac:dyDescent="0.25">
      <c r="A488">
        <f t="shared" ca="1" si="98"/>
        <v>2</v>
      </c>
      <c r="B488">
        <f t="shared" ca="1" si="99"/>
        <v>75</v>
      </c>
      <c r="C488" t="str">
        <f t="shared" ca="1" si="108"/>
        <v>'WINDOWS-NCH-A-BDP-M3-00-00'!B74</v>
      </c>
      <c r="D488" s="6" t="str">
        <f t="shared" ca="1" si="97"/>
        <v>L00-EMG-EDE-S148-01</v>
      </c>
      <c r="E488" t="str">
        <f t="shared" ca="1" si="100"/>
        <v>Family Type: Curtain Wall_975w x 3200h, Family: Window External Type 6 - Flush, Recessed</v>
      </c>
      <c r="F488" t="str">
        <f t="shared" ca="1" si="101"/>
        <v>Vector(X = 0.977, Y = 0.212, Z = 0.000, Length = 1.000)</v>
      </c>
      <c r="G488">
        <f t="shared" ca="1" si="102"/>
        <v>1</v>
      </c>
      <c r="H488">
        <f t="shared" ca="1" si="103"/>
        <v>0.2</v>
      </c>
      <c r="I488">
        <f t="shared" ca="1" si="104"/>
        <v>0</v>
      </c>
      <c r="J488" s="8">
        <f t="shared" ca="1" si="105"/>
        <v>11.309932474020215</v>
      </c>
      <c r="K488" s="9" t="str">
        <f t="shared" ca="1" si="106"/>
        <v>E</v>
      </c>
      <c r="L488">
        <f ca="1">+_xlfn.IFNA(VLOOKUP(M488,BespokeWindowsAreas!$A$1:$E$1999,1,FALSE),VLOOKUP(E488,WindowTypeArea!$B$2:$C$2000,2,FALSE))</f>
        <v>3.12</v>
      </c>
      <c r="M488">
        <f t="shared" ca="1" si="107"/>
        <v>5050277</v>
      </c>
    </row>
    <row r="489" spans="1:13" x14ac:dyDescent="0.25">
      <c r="A489">
        <f t="shared" ca="1" si="98"/>
        <v>2</v>
      </c>
      <c r="B489">
        <f t="shared" ca="1" si="99"/>
        <v>76</v>
      </c>
      <c r="C489" t="str">
        <f t="shared" ca="1" si="108"/>
        <v>'WINDOWS-NCH-A-BDP-M3-00-00'!B75</v>
      </c>
      <c r="D489" s="6" t="str">
        <f t="shared" ca="1" si="97"/>
        <v>L00-EMG-EDE-S148-01</v>
      </c>
      <c r="E489" t="str">
        <f t="shared" ca="1" si="100"/>
        <v>Family Type: Curtain Wall_1500w x 3200h, Family: Window External Type 6 - Flush, Recessed</v>
      </c>
      <c r="F489" t="str">
        <f t="shared" ca="1" si="101"/>
        <v>Vector(X = 0.977, Y = 0.212, Z = 0.000, Length = 1.000)</v>
      </c>
      <c r="G489">
        <f t="shared" ca="1" si="102"/>
        <v>1</v>
      </c>
      <c r="H489">
        <f t="shared" ca="1" si="103"/>
        <v>0.2</v>
      </c>
      <c r="I489">
        <f t="shared" ca="1" si="104"/>
        <v>0</v>
      </c>
      <c r="J489" s="8">
        <f t="shared" ca="1" si="105"/>
        <v>11.309932474020215</v>
      </c>
      <c r="K489" s="9" t="str">
        <f t="shared" ca="1" si="106"/>
        <v>E</v>
      </c>
      <c r="L489">
        <f ca="1">+_xlfn.IFNA(VLOOKUP(M489,BespokeWindowsAreas!$A$1:$E$1999,1,FALSE),VLOOKUP(E489,WindowTypeArea!$B$2:$C$2000,2,FALSE))</f>
        <v>4.8</v>
      </c>
      <c r="M489">
        <f t="shared" ca="1" si="107"/>
        <v>5050278</v>
      </c>
    </row>
    <row r="490" spans="1:13" x14ac:dyDescent="0.25">
      <c r="A490">
        <f t="shared" ca="1" si="98"/>
        <v>2</v>
      </c>
      <c r="B490">
        <f t="shared" ca="1" si="99"/>
        <v>77</v>
      </c>
      <c r="C490" t="str">
        <f t="shared" ca="1" si="108"/>
        <v>'WINDOWS-NCH-A-BDP-M3-00-00'!B76</v>
      </c>
      <c r="D490" s="6" t="str">
        <f t="shared" ca="1" si="97"/>
        <v>L00-EMG-EDE-S148-01</v>
      </c>
      <c r="E490" t="str">
        <f t="shared" ca="1" si="100"/>
        <v>Family Type: Curtain Wall_585w x 3200h, Family: Window External Type 6 - Flush, Recessed</v>
      </c>
      <c r="F490" t="str">
        <f t="shared" ca="1" si="101"/>
        <v>Vector(X = 0.977, Y = 0.212, Z = 0.000, Length = 1.000)</v>
      </c>
      <c r="G490">
        <f t="shared" ca="1" si="102"/>
        <v>1</v>
      </c>
      <c r="H490">
        <f t="shared" ca="1" si="103"/>
        <v>0.2</v>
      </c>
      <c r="I490">
        <f t="shared" ca="1" si="104"/>
        <v>0</v>
      </c>
      <c r="J490" s="8">
        <f t="shared" ca="1" si="105"/>
        <v>11.309932474020215</v>
      </c>
      <c r="K490" s="9" t="str">
        <f t="shared" ca="1" si="106"/>
        <v>E</v>
      </c>
      <c r="L490">
        <f ca="1">+_xlfn.IFNA(VLOOKUP(M490,BespokeWindowsAreas!$A$1:$E$1999,1,FALSE),VLOOKUP(E490,WindowTypeArea!$B$2:$C$2000,2,FALSE))</f>
        <v>1.8720000000000001</v>
      </c>
      <c r="M490">
        <f t="shared" ca="1" si="107"/>
        <v>5065781</v>
      </c>
    </row>
    <row r="491" spans="1:13" x14ac:dyDescent="0.25">
      <c r="A491">
        <f t="shared" ca="1" si="98"/>
        <v>2</v>
      </c>
      <c r="B491">
        <f t="shared" ca="1" si="99"/>
        <v>78</v>
      </c>
      <c r="C491" t="str">
        <f t="shared" ca="1" si="108"/>
        <v>'WINDOWS-NCH-A-BDP-M3-00-00'!B77</v>
      </c>
      <c r="D491" s="6" t="str">
        <f t="shared" ca="1" si="97"/>
        <v>L00-EMG-EDE-S148-01</v>
      </c>
      <c r="E491" t="str">
        <f t="shared" ca="1" si="100"/>
        <v>Family Type: Curtain Wall_975w x 3200h, Family: Window External Type 6 - Flush, Recessed</v>
      </c>
      <c r="F491" t="str">
        <f t="shared" ca="1" si="101"/>
        <v>Vector(X = 0.977, Y = 0.212, Z = 0.000, Length = 1.000)</v>
      </c>
      <c r="G491">
        <f t="shared" ca="1" si="102"/>
        <v>1</v>
      </c>
      <c r="H491">
        <f t="shared" ca="1" si="103"/>
        <v>0.2</v>
      </c>
      <c r="I491">
        <f t="shared" ca="1" si="104"/>
        <v>0</v>
      </c>
      <c r="J491" s="8">
        <f t="shared" ca="1" si="105"/>
        <v>11.309932474020215</v>
      </c>
      <c r="K491" s="9" t="str">
        <f t="shared" ca="1" si="106"/>
        <v>E</v>
      </c>
      <c r="L491">
        <f ca="1">+_xlfn.IFNA(VLOOKUP(M491,BespokeWindowsAreas!$A$1:$E$1999,1,FALSE),VLOOKUP(E491,WindowTypeArea!$B$2:$C$2000,2,FALSE))</f>
        <v>3.12</v>
      </c>
      <c r="M491">
        <f t="shared" ca="1" si="107"/>
        <v>5065782</v>
      </c>
    </row>
    <row r="492" spans="1:13" x14ac:dyDescent="0.25">
      <c r="A492">
        <f t="shared" ca="1" si="98"/>
        <v>2</v>
      </c>
      <c r="B492">
        <f t="shared" ca="1" si="99"/>
        <v>79</v>
      </c>
      <c r="C492" t="str">
        <f t="shared" ca="1" si="108"/>
        <v>'WINDOWS-NCH-A-BDP-M3-00-00'!B78</v>
      </c>
      <c r="D492" s="6" t="str">
        <f t="shared" ca="1" si="97"/>
        <v>L00-EMG-EDE-S148-01</v>
      </c>
      <c r="E492" t="str">
        <f t="shared" ca="1" si="100"/>
        <v>Family Type: Curtain Wall_585w x 3200h, Family: Window External Type 6 - Flush, Recessed</v>
      </c>
      <c r="F492" t="str">
        <f t="shared" ca="1" si="101"/>
        <v>Vector(X = 0.977, Y = 0.212, Z = 0.000, Length = 1.000)</v>
      </c>
      <c r="G492">
        <f t="shared" ca="1" si="102"/>
        <v>1</v>
      </c>
      <c r="H492">
        <f t="shared" ca="1" si="103"/>
        <v>0.2</v>
      </c>
      <c r="I492">
        <f t="shared" ca="1" si="104"/>
        <v>0</v>
      </c>
      <c r="J492" s="8">
        <f t="shared" ca="1" si="105"/>
        <v>11.309932474020215</v>
      </c>
      <c r="K492" s="9" t="str">
        <f t="shared" ca="1" si="106"/>
        <v>E</v>
      </c>
      <c r="L492">
        <f ca="1">+_xlfn.IFNA(VLOOKUP(M492,BespokeWindowsAreas!$A$1:$E$1999,1,FALSE),VLOOKUP(E492,WindowTypeArea!$B$2:$C$2000,2,FALSE))</f>
        <v>1.8720000000000001</v>
      </c>
      <c r="M492">
        <f t="shared" ca="1" si="107"/>
        <v>5075918</v>
      </c>
    </row>
    <row r="493" spans="1:13" x14ac:dyDescent="0.25">
      <c r="A493">
        <f t="shared" ca="1" si="98"/>
        <v>2</v>
      </c>
      <c r="B493">
        <f t="shared" ca="1" si="99"/>
        <v>80</v>
      </c>
      <c r="C493" t="str">
        <f t="shared" ca="1" si="108"/>
        <v>'WINDOWS-NCH-A-BDP-M3-00-00'!B79</v>
      </c>
      <c r="D493" s="6" t="str">
        <f t="shared" ca="1" si="97"/>
        <v>L00-EMG-EDE-S148-01</v>
      </c>
      <c r="E493" t="str">
        <f t="shared" ca="1" si="100"/>
        <v>Family Type: Curtain Wall_1950w x 3200h, Family: Window External Type 6 - Flush, Recessed</v>
      </c>
      <c r="F493" t="str">
        <f t="shared" ca="1" si="101"/>
        <v>Vector(X = 0.977, Y = 0.212, Z = 0.000, Length = 1.000)</v>
      </c>
      <c r="G493">
        <f t="shared" ca="1" si="102"/>
        <v>1</v>
      </c>
      <c r="H493">
        <f t="shared" ca="1" si="103"/>
        <v>0.2</v>
      </c>
      <c r="I493">
        <f t="shared" ca="1" si="104"/>
        <v>0</v>
      </c>
      <c r="J493" s="8">
        <f t="shared" ca="1" si="105"/>
        <v>11.309932474020215</v>
      </c>
      <c r="K493" s="9" t="str">
        <f t="shared" ca="1" si="106"/>
        <v>E</v>
      </c>
      <c r="L493">
        <f ca="1">+_xlfn.IFNA(VLOOKUP(M493,BespokeWindowsAreas!$A$1:$E$1999,1,FALSE),VLOOKUP(E493,WindowTypeArea!$B$2:$C$2000,2,FALSE))</f>
        <v>6.24</v>
      </c>
      <c r="M493">
        <f t="shared" ca="1" si="107"/>
        <v>5123768</v>
      </c>
    </row>
    <row r="494" spans="1:13" x14ac:dyDescent="0.25">
      <c r="A494">
        <f t="shared" ca="1" si="98"/>
        <v>2</v>
      </c>
      <c r="B494">
        <f t="shared" ca="1" si="99"/>
        <v>81</v>
      </c>
      <c r="C494" t="str">
        <f t="shared" ca="1" si="108"/>
        <v>'WINDOWS-NCH-A-BDP-M3-00-00'!B80</v>
      </c>
      <c r="D494" s="6" t="str">
        <f t="shared" ca="1" si="97"/>
        <v>L00-EMG-EDE-S148-01</v>
      </c>
      <c r="E494" t="str">
        <f t="shared" ca="1" si="100"/>
        <v>Family Type: Curtain Wall_585w x 3200h, Family: Window External Type 6 - Flush, Recessed</v>
      </c>
      <c r="F494" t="str">
        <f t="shared" ca="1" si="101"/>
        <v>Vector(X = 0.977, Y = 0.212, Z = 0.000, Length = 1.000)</v>
      </c>
      <c r="G494">
        <f t="shared" ca="1" si="102"/>
        <v>1</v>
      </c>
      <c r="H494">
        <f t="shared" ca="1" si="103"/>
        <v>0.2</v>
      </c>
      <c r="I494">
        <f t="shared" ca="1" si="104"/>
        <v>0</v>
      </c>
      <c r="J494" s="8">
        <f t="shared" ca="1" si="105"/>
        <v>11.309932474020215</v>
      </c>
      <c r="K494" s="9" t="str">
        <f t="shared" ca="1" si="106"/>
        <v>E</v>
      </c>
      <c r="L494">
        <f ca="1">+_xlfn.IFNA(VLOOKUP(M494,BespokeWindowsAreas!$A$1:$E$1999,1,FALSE),VLOOKUP(E494,WindowTypeArea!$B$2:$C$2000,2,FALSE))</f>
        <v>1.8720000000000001</v>
      </c>
      <c r="M494">
        <f t="shared" ca="1" si="107"/>
        <v>5123769</v>
      </c>
    </row>
    <row r="495" spans="1:13" x14ac:dyDescent="0.25">
      <c r="A495">
        <f t="shared" ca="1" si="98"/>
        <v>2</v>
      </c>
      <c r="B495">
        <f t="shared" ca="1" si="99"/>
        <v>82</v>
      </c>
      <c r="C495" t="str">
        <f t="shared" ca="1" si="108"/>
        <v>'WINDOWS-NCH-A-BDP-M3-00-00'!B81</v>
      </c>
      <c r="D495" s="6" t="str">
        <f t="shared" ca="1" si="97"/>
        <v>L00-EMG-EDE-S148-01</v>
      </c>
      <c r="E495" t="str">
        <f t="shared" ca="1" si="100"/>
        <v>Family Type: Curtain Wall_975w x 3200h, Family: Window External Type 6 - Flush, Recessed</v>
      </c>
      <c r="F495" t="str">
        <f t="shared" ca="1" si="101"/>
        <v>Vector(X = 0.977, Y = 0.212, Z = 0.000, Length = 1.000)</v>
      </c>
      <c r="G495">
        <f t="shared" ca="1" si="102"/>
        <v>1</v>
      </c>
      <c r="H495">
        <f t="shared" ca="1" si="103"/>
        <v>0.2</v>
      </c>
      <c r="I495">
        <f t="shared" ca="1" si="104"/>
        <v>0</v>
      </c>
      <c r="J495" s="8">
        <f t="shared" ca="1" si="105"/>
        <v>11.309932474020215</v>
      </c>
      <c r="K495" s="9" t="str">
        <f t="shared" ca="1" si="106"/>
        <v>E</v>
      </c>
      <c r="L495">
        <f ca="1">+_xlfn.IFNA(VLOOKUP(M495,BespokeWindowsAreas!$A$1:$E$1999,1,FALSE),VLOOKUP(E495,WindowTypeArea!$B$2:$C$2000,2,FALSE))</f>
        <v>3.12</v>
      </c>
      <c r="M495">
        <f t="shared" ca="1" si="107"/>
        <v>5123770</v>
      </c>
    </row>
    <row r="496" spans="1:13" x14ac:dyDescent="0.25">
      <c r="A496">
        <f t="shared" ca="1" si="98"/>
        <v>2</v>
      </c>
      <c r="B496">
        <f t="shared" ca="1" si="99"/>
        <v>83</v>
      </c>
      <c r="C496" t="str">
        <f t="shared" ca="1" si="108"/>
        <v>'WINDOWS-NCH-A-BDP-M3-00-00'!B82</v>
      </c>
      <c r="D496" s="6" t="str">
        <f t="shared" ca="1" si="97"/>
        <v>L00-EMG-EDE-S148-01</v>
      </c>
      <c r="E496" t="str">
        <f t="shared" ca="1" si="100"/>
        <v>Family Type: Curtain Wall_1500w x 3200h, Family: Window External Type 6 - Flush, Recessed</v>
      </c>
      <c r="F496" t="str">
        <f t="shared" ca="1" si="101"/>
        <v>Vector(X = 0.977, Y = 0.212, Z = 0.000, Length = 1.000)</v>
      </c>
      <c r="G496">
        <f t="shared" ca="1" si="102"/>
        <v>1</v>
      </c>
      <c r="H496">
        <f t="shared" ca="1" si="103"/>
        <v>0.2</v>
      </c>
      <c r="I496">
        <f t="shared" ca="1" si="104"/>
        <v>0</v>
      </c>
      <c r="J496" s="8">
        <f t="shared" ca="1" si="105"/>
        <v>11.309932474020215</v>
      </c>
      <c r="K496" s="9" t="str">
        <f t="shared" ca="1" si="106"/>
        <v>E</v>
      </c>
      <c r="L496">
        <f ca="1">+_xlfn.IFNA(VLOOKUP(M496,BespokeWindowsAreas!$A$1:$E$1999,1,FALSE),VLOOKUP(E496,WindowTypeArea!$B$2:$C$2000,2,FALSE))</f>
        <v>4.8</v>
      </c>
      <c r="M496">
        <f t="shared" ca="1" si="107"/>
        <v>5123771</v>
      </c>
    </row>
    <row r="497" spans="1:13" x14ac:dyDescent="0.25">
      <c r="A497">
        <f t="shared" ca="1" si="98"/>
        <v>2</v>
      </c>
      <c r="B497">
        <f t="shared" ca="1" si="99"/>
        <v>84</v>
      </c>
      <c r="C497" t="str">
        <f t="shared" ca="1" si="108"/>
        <v>'WINDOWS-NCH-A-BDP-M3-00-00'!B83</v>
      </c>
      <c r="D497" s="6" t="str">
        <f t="shared" ca="1" si="97"/>
        <v>L00-EMG-EDE-S148-01</v>
      </c>
      <c r="E497" t="str">
        <f t="shared" ca="1" si="100"/>
        <v>Family Type: Curtain Wall_975w x 3200h, Family: Window External Type 6 - Flush, Recessed</v>
      </c>
      <c r="F497" t="str">
        <f t="shared" ca="1" si="101"/>
        <v>Vector(X = 0.977, Y = 0.212, Z = 0.000, Length = 1.000)</v>
      </c>
      <c r="G497">
        <f t="shared" ca="1" si="102"/>
        <v>1</v>
      </c>
      <c r="H497">
        <f t="shared" ca="1" si="103"/>
        <v>0.2</v>
      </c>
      <c r="I497">
        <f t="shared" ca="1" si="104"/>
        <v>0</v>
      </c>
      <c r="J497" s="8">
        <f t="shared" ca="1" si="105"/>
        <v>11.309932474020215</v>
      </c>
      <c r="K497" s="9" t="str">
        <f t="shared" ca="1" si="106"/>
        <v>E</v>
      </c>
      <c r="L497">
        <f ca="1">+_xlfn.IFNA(VLOOKUP(M497,BespokeWindowsAreas!$A$1:$E$1999,1,FALSE),VLOOKUP(E497,WindowTypeArea!$B$2:$C$2000,2,FALSE))</f>
        <v>3.12</v>
      </c>
      <c r="M497">
        <f t="shared" ca="1" si="107"/>
        <v>5123772</v>
      </c>
    </row>
    <row r="498" spans="1:13" x14ac:dyDescent="0.25">
      <c r="A498">
        <f t="shared" ca="1" si="98"/>
        <v>2</v>
      </c>
      <c r="B498">
        <f t="shared" ca="1" si="99"/>
        <v>85</v>
      </c>
      <c r="C498" t="str">
        <f t="shared" ca="1" si="108"/>
        <v>'WINDOWS-NCH-A-BDP-M3-00-00'!B84</v>
      </c>
      <c r="D498" s="6" t="str">
        <f t="shared" ca="1" si="97"/>
        <v>L00-EMG-EDE-S148-01</v>
      </c>
      <c r="E498" t="str">
        <f t="shared" ca="1" si="100"/>
        <v>Family Type: Curtain Wall_585w x 3200h, Family: Window External Type 6 - Flush, Recessed</v>
      </c>
      <c r="F498" t="str">
        <f t="shared" ca="1" si="101"/>
        <v>Vector(X = 0.977, Y = 0.212, Z = 0.000, Length = 1.000)</v>
      </c>
      <c r="G498">
        <f t="shared" ca="1" si="102"/>
        <v>1</v>
      </c>
      <c r="H498">
        <f t="shared" ca="1" si="103"/>
        <v>0.2</v>
      </c>
      <c r="I498">
        <f t="shared" ca="1" si="104"/>
        <v>0</v>
      </c>
      <c r="J498" s="8">
        <f t="shared" ca="1" si="105"/>
        <v>11.309932474020215</v>
      </c>
      <c r="K498" s="9" t="str">
        <f t="shared" ca="1" si="106"/>
        <v>E</v>
      </c>
      <c r="L498">
        <f ca="1">+_xlfn.IFNA(VLOOKUP(M498,BespokeWindowsAreas!$A$1:$E$1999,1,FALSE),VLOOKUP(E498,WindowTypeArea!$B$2:$C$2000,2,FALSE))</f>
        <v>1.8720000000000001</v>
      </c>
      <c r="M498">
        <f t="shared" ca="1" si="107"/>
        <v>5123773</v>
      </c>
    </row>
    <row r="499" spans="1:13" x14ac:dyDescent="0.25">
      <c r="A499">
        <f t="shared" ca="1" si="98"/>
        <v>2</v>
      </c>
      <c r="B499">
        <f t="shared" ca="1" si="99"/>
        <v>86</v>
      </c>
      <c r="C499" t="str">
        <f t="shared" ca="1" si="108"/>
        <v>'WINDOWS-NCH-A-BDP-M3-00-00'!B85</v>
      </c>
      <c r="D499" s="6" t="str">
        <f t="shared" ca="1" si="97"/>
        <v>L00-IMG-MIM-U0333-01</v>
      </c>
      <c r="E499" t="str">
        <f t="shared" ca="1" si="100"/>
        <v>L00-IMG-MIM-U0333-01</v>
      </c>
      <c r="F499">
        <f t="shared" ca="1" si="101"/>
        <v>1874793</v>
      </c>
      <c r="G499">
        <f t="shared" ca="1" si="102"/>
        <v>0</v>
      </c>
      <c r="H499">
        <f t="shared" ca="1" si="103"/>
        <v>0</v>
      </c>
      <c r="I499">
        <f t="shared" ca="1" si="104"/>
        <v>0</v>
      </c>
      <c r="J499" s="8" t="e">
        <f t="shared" ca="1" si="105"/>
        <v>#DIV/0!</v>
      </c>
      <c r="K499" s="9" t="e">
        <f t="shared" ca="1" si="106"/>
        <v>#DIV/0!</v>
      </c>
      <c r="L499" t="e">
        <f ca="1">+_xlfn.IFNA(VLOOKUP(M499,BespokeWindowsAreas!$A$1:$E$1999,1,FALSE),VLOOKUP(E499,WindowTypeArea!$B$2:$C$2000,2,FALSE))</f>
        <v>#N/A</v>
      </c>
      <c r="M499">
        <f t="shared" ca="1" si="107"/>
        <v>0</v>
      </c>
    </row>
    <row r="500" spans="1:13" x14ac:dyDescent="0.25">
      <c r="A500">
        <f t="shared" ca="1" si="98"/>
        <v>2</v>
      </c>
      <c r="B500">
        <f t="shared" ca="1" si="99"/>
        <v>87</v>
      </c>
      <c r="C500" t="str">
        <f t="shared" ca="1" si="108"/>
        <v>'WINDOWS-NCH-A-BDP-M3-00-00'!B86</v>
      </c>
      <c r="D500" s="6" t="str">
        <f t="shared" ca="1" si="97"/>
        <v>L00-IMG-MIM-U0333-01</v>
      </c>
      <c r="E500" t="str">
        <f t="shared" ca="1" si="100"/>
        <v>Family Type: 650w x 3050h, Family: Window Internal Type 1 - Flush</v>
      </c>
      <c r="F500" t="str">
        <f t="shared" ca="1" si="101"/>
        <v>Vector(X = -0.872, Y = -0.489, Z = 0.000, Length = 1.000)</v>
      </c>
      <c r="G500">
        <f t="shared" ca="1" si="102"/>
        <v>-0.9</v>
      </c>
      <c r="H500">
        <f t="shared" ca="1" si="103"/>
        <v>-0.5</v>
      </c>
      <c r="I500">
        <f t="shared" ca="1" si="104"/>
        <v>0</v>
      </c>
      <c r="J500" s="8">
        <f t="shared" ca="1" si="105"/>
        <v>-150.94539590092285</v>
      </c>
      <c r="K500" s="9" t="str">
        <f t="shared" ca="1" si="106"/>
        <v>W</v>
      </c>
      <c r="L500">
        <f ca="1">+_xlfn.IFNA(VLOOKUP(M500,BespokeWindowsAreas!$A$1:$E$1999,1,FALSE),VLOOKUP(E500,WindowTypeArea!$B$2:$C$2000,2,FALSE))</f>
        <v>1.9824999999999999</v>
      </c>
      <c r="M500">
        <f t="shared" ca="1" si="107"/>
        <v>6103413</v>
      </c>
    </row>
    <row r="501" spans="1:13" x14ac:dyDescent="0.25">
      <c r="A501">
        <f t="shared" ca="1" si="98"/>
        <v>2</v>
      </c>
      <c r="B501">
        <f t="shared" ca="1" si="99"/>
        <v>88</v>
      </c>
      <c r="C501" t="str">
        <f t="shared" ca="1" si="108"/>
        <v>'WINDOWS-NCH-A-BDP-M3-00-00'!B87</v>
      </c>
      <c r="D501" s="6" t="str">
        <f t="shared" ca="1" si="97"/>
        <v>L00-IMG-MIM-U0333-01</v>
      </c>
      <c r="E501" t="str">
        <f t="shared" ca="1" si="100"/>
        <v>Family Type: 975w x 3050h, Family: Window Internal Type 1 - Flush</v>
      </c>
      <c r="F501" t="str">
        <f t="shared" ca="1" si="101"/>
        <v>Vector(X = -0.872, Y = -0.489, Z = 0.000, Length = 1.000)</v>
      </c>
      <c r="G501">
        <f t="shared" ca="1" si="102"/>
        <v>-0.9</v>
      </c>
      <c r="H501">
        <f t="shared" ca="1" si="103"/>
        <v>-0.5</v>
      </c>
      <c r="I501">
        <f t="shared" ca="1" si="104"/>
        <v>0</v>
      </c>
      <c r="J501" s="8">
        <f t="shared" ca="1" si="105"/>
        <v>-150.94539590092285</v>
      </c>
      <c r="K501" s="9" t="str">
        <f t="shared" ca="1" si="106"/>
        <v>W</v>
      </c>
      <c r="L501">
        <f ca="1">+_xlfn.IFNA(VLOOKUP(M501,BespokeWindowsAreas!$A$1:$E$1999,1,FALSE),VLOOKUP(E501,WindowTypeArea!$B$2:$C$2000,2,FALSE))</f>
        <v>2.9737499999999999</v>
      </c>
      <c r="M501">
        <f t="shared" ca="1" si="107"/>
        <v>6103532</v>
      </c>
    </row>
    <row r="502" spans="1:13" x14ac:dyDescent="0.25">
      <c r="A502">
        <f t="shared" ca="1" si="98"/>
        <v>2</v>
      </c>
      <c r="B502">
        <f t="shared" ca="1" si="99"/>
        <v>89</v>
      </c>
      <c r="C502" t="str">
        <f t="shared" ca="1" si="108"/>
        <v>'WINDOWS-NCH-A-BDP-M3-00-00'!B88</v>
      </c>
      <c r="D502" s="6" t="str">
        <f t="shared" ca="1" si="97"/>
        <v>L00-EMG-MRR-S104-01</v>
      </c>
      <c r="E502" t="str">
        <f t="shared" ca="1" si="100"/>
        <v>L00-EMG-MRR-S104-01</v>
      </c>
      <c r="F502">
        <f t="shared" ca="1" si="101"/>
        <v>1874928</v>
      </c>
      <c r="G502">
        <f t="shared" ca="1" si="102"/>
        <v>0</v>
      </c>
      <c r="H502">
        <f t="shared" ca="1" si="103"/>
        <v>0</v>
      </c>
      <c r="I502">
        <f t="shared" ca="1" si="104"/>
        <v>0</v>
      </c>
      <c r="J502" s="8" t="e">
        <f t="shared" ca="1" si="105"/>
        <v>#DIV/0!</v>
      </c>
      <c r="K502" s="9" t="e">
        <f t="shared" ca="1" si="106"/>
        <v>#DIV/0!</v>
      </c>
      <c r="L502" t="e">
        <f ca="1">+_xlfn.IFNA(VLOOKUP(M502,BespokeWindowsAreas!$A$1:$E$1999,1,FALSE),VLOOKUP(E502,WindowTypeArea!$B$2:$C$2000,2,FALSE))</f>
        <v>#N/A</v>
      </c>
      <c r="M502">
        <f t="shared" ca="1" si="107"/>
        <v>0</v>
      </c>
    </row>
    <row r="503" spans="1:13" x14ac:dyDescent="0.25">
      <c r="A503">
        <f t="shared" ca="1" si="98"/>
        <v>2</v>
      </c>
      <c r="B503">
        <f t="shared" ca="1" si="99"/>
        <v>90</v>
      </c>
      <c r="C503" t="str">
        <f t="shared" ca="1" si="108"/>
        <v>'WINDOWS-NCH-A-BDP-M3-00-00'!B89</v>
      </c>
      <c r="D503" s="6" t="str">
        <f t="shared" ca="1" si="97"/>
        <v>L00-EMG-MRR-S104-01</v>
      </c>
      <c r="E503" t="str">
        <f t="shared" ca="1" si="100"/>
        <v>Family Type: Curtain Wall_585w x 3200h, Family: Window External Type 6 - Bespoke Flush, Recessed</v>
      </c>
      <c r="F503" t="str">
        <f t="shared" ca="1" si="101"/>
        <v>Vector(X = 0.977, Y = 0.212, Z = 0.000, Length = 1.000)</v>
      </c>
      <c r="G503">
        <f t="shared" ca="1" si="102"/>
        <v>1</v>
      </c>
      <c r="H503">
        <f t="shared" ca="1" si="103"/>
        <v>0.2</v>
      </c>
      <c r="I503">
        <f t="shared" ca="1" si="104"/>
        <v>0</v>
      </c>
      <c r="J503" s="8">
        <f t="shared" ca="1" si="105"/>
        <v>11.309932474020215</v>
      </c>
      <c r="K503" s="9" t="str">
        <f t="shared" ca="1" si="106"/>
        <v>E</v>
      </c>
      <c r="L503">
        <f ca="1">+_xlfn.IFNA(VLOOKUP(M503,BespokeWindowsAreas!$A$1:$E$1999,1,FALSE),VLOOKUP(E503,WindowTypeArea!$B$2:$C$2000,2,FALSE))</f>
        <v>0</v>
      </c>
      <c r="M503">
        <f t="shared" ca="1" si="107"/>
        <v>5499900</v>
      </c>
    </row>
    <row r="504" spans="1:13" x14ac:dyDescent="0.25">
      <c r="A504">
        <f t="shared" ca="1" si="98"/>
        <v>2</v>
      </c>
      <c r="B504">
        <f t="shared" ca="1" si="99"/>
        <v>91</v>
      </c>
      <c r="C504" t="str">
        <f t="shared" ca="1" si="108"/>
        <v>'WINDOWS-NCH-A-BDP-M3-00-00'!B90</v>
      </c>
      <c r="D504" s="6" t="str">
        <f t="shared" ca="1" si="97"/>
        <v>L00-EMG-MRR-S104-01</v>
      </c>
      <c r="E504" t="str">
        <f t="shared" ca="1" si="100"/>
        <v>Family Type: Curtain Wall_585w x 3200h, Family: Window External Type 6 - Bespoke Flush, Recessed</v>
      </c>
      <c r="F504" t="str">
        <f t="shared" ca="1" si="101"/>
        <v>Vector(X = 0.977, Y = 0.212, Z = 0.000, Length = 1.000)</v>
      </c>
      <c r="G504">
        <f t="shared" ca="1" si="102"/>
        <v>1</v>
      </c>
      <c r="H504">
        <f t="shared" ca="1" si="103"/>
        <v>0.2</v>
      </c>
      <c r="I504">
        <f t="shared" ca="1" si="104"/>
        <v>0</v>
      </c>
      <c r="J504" s="8">
        <f t="shared" ca="1" si="105"/>
        <v>11.309932474020215</v>
      </c>
      <c r="K504" s="9" t="str">
        <f t="shared" ca="1" si="106"/>
        <v>E</v>
      </c>
      <c r="L504">
        <f ca="1">+_xlfn.IFNA(VLOOKUP(M504,BespokeWindowsAreas!$A$1:$E$1999,1,FALSE),VLOOKUP(E504,WindowTypeArea!$B$2:$C$2000,2,FALSE))</f>
        <v>0</v>
      </c>
      <c r="M504">
        <f t="shared" ca="1" si="107"/>
        <v>5500193</v>
      </c>
    </row>
    <row r="505" spans="1:13" x14ac:dyDescent="0.25">
      <c r="A505">
        <f t="shared" ca="1" si="98"/>
        <v>2</v>
      </c>
      <c r="B505">
        <f t="shared" ca="1" si="99"/>
        <v>92</v>
      </c>
      <c r="C505" t="str">
        <f t="shared" ca="1" si="108"/>
        <v>'WINDOWS-NCH-A-BDP-M3-00-00'!B91</v>
      </c>
      <c r="D505" s="6" t="str">
        <f t="shared" ca="1" si="97"/>
        <v>L00-IMG-MSS-S103-01</v>
      </c>
      <c r="E505" t="str">
        <f t="shared" ca="1" si="100"/>
        <v>L00-IMG-MSS-S103-01</v>
      </c>
      <c r="F505">
        <f t="shared" ca="1" si="101"/>
        <v>1874986</v>
      </c>
      <c r="G505">
        <f t="shared" ca="1" si="102"/>
        <v>0</v>
      </c>
      <c r="H505">
        <f t="shared" ca="1" si="103"/>
        <v>0</v>
      </c>
      <c r="I505">
        <f t="shared" ca="1" si="104"/>
        <v>0</v>
      </c>
      <c r="J505" s="8" t="e">
        <f t="shared" ca="1" si="105"/>
        <v>#DIV/0!</v>
      </c>
      <c r="K505" s="9" t="e">
        <f t="shared" ca="1" si="106"/>
        <v>#DIV/0!</v>
      </c>
      <c r="L505" t="e">
        <f ca="1">+_xlfn.IFNA(VLOOKUP(M505,BespokeWindowsAreas!$A$1:$E$1999,1,FALSE),VLOOKUP(E505,WindowTypeArea!$B$2:$C$2000,2,FALSE))</f>
        <v>#N/A</v>
      </c>
      <c r="M505">
        <f t="shared" ca="1" si="107"/>
        <v>0</v>
      </c>
    </row>
    <row r="506" spans="1:13" x14ac:dyDescent="0.25">
      <c r="A506">
        <f t="shared" ca="1" si="98"/>
        <v>2</v>
      </c>
      <c r="B506">
        <f t="shared" ca="1" si="99"/>
        <v>93</v>
      </c>
      <c r="C506" t="str">
        <f t="shared" ca="1" si="108"/>
        <v>'WINDOWS-NCH-A-BDP-M3-00-00'!B92</v>
      </c>
      <c r="D506" s="6" t="str">
        <f t="shared" ca="1" si="97"/>
        <v>L00-IMG-MSS-S103-01</v>
      </c>
      <c r="E506" t="str">
        <f t="shared" ca="1" si="100"/>
        <v>Family Type: 1950w x 3050h, Family: Window Internal Type 1 - Flush</v>
      </c>
      <c r="F506" t="str">
        <f t="shared" ca="1" si="101"/>
        <v>Vector(X = -0.872, Y = -0.489, Z = 0.000, Length = 1.000)</v>
      </c>
      <c r="G506">
        <f t="shared" ca="1" si="102"/>
        <v>-0.9</v>
      </c>
      <c r="H506">
        <f t="shared" ca="1" si="103"/>
        <v>-0.5</v>
      </c>
      <c r="I506">
        <f t="shared" ca="1" si="104"/>
        <v>0</v>
      </c>
      <c r="J506" s="8">
        <f t="shared" ca="1" si="105"/>
        <v>-150.94539590092285</v>
      </c>
      <c r="K506" s="9" t="str">
        <f t="shared" ca="1" si="106"/>
        <v>W</v>
      </c>
      <c r="L506">
        <f ca="1">+_xlfn.IFNA(VLOOKUP(M506,BespokeWindowsAreas!$A$1:$E$1999,1,FALSE),VLOOKUP(E506,WindowTypeArea!$B$2:$C$2000,2,FALSE))</f>
        <v>5.9474999999999998</v>
      </c>
      <c r="M506">
        <f t="shared" ca="1" si="107"/>
        <v>6103559</v>
      </c>
    </row>
    <row r="507" spans="1:13" x14ac:dyDescent="0.25">
      <c r="A507">
        <f t="shared" ca="1" si="98"/>
        <v>2</v>
      </c>
      <c r="B507">
        <f t="shared" ca="1" si="99"/>
        <v>94</v>
      </c>
      <c r="C507" t="str">
        <f t="shared" ca="1" si="108"/>
        <v>'WINDOWS-NCH-A-BDP-M3-00-00'!B93</v>
      </c>
      <c r="D507" s="6" t="str">
        <f t="shared" ca="1" si="97"/>
        <v>L00-IMG-MSS-S103-01</v>
      </c>
      <c r="E507" t="str">
        <f t="shared" ca="1" si="100"/>
        <v>Family Type: 975w x 3050h, Family: Window Internal Type 1 - Flush</v>
      </c>
      <c r="F507" t="str">
        <f t="shared" ca="1" si="101"/>
        <v>Vector(X = -0.872, Y = -0.489, Z = 0.000, Length = 1.000)</v>
      </c>
      <c r="G507">
        <f t="shared" ca="1" si="102"/>
        <v>-0.9</v>
      </c>
      <c r="H507">
        <f t="shared" ca="1" si="103"/>
        <v>-0.5</v>
      </c>
      <c r="I507">
        <f t="shared" ca="1" si="104"/>
        <v>0</v>
      </c>
      <c r="J507" s="8">
        <f t="shared" ca="1" si="105"/>
        <v>-150.94539590092285</v>
      </c>
      <c r="K507" s="9" t="str">
        <f t="shared" ca="1" si="106"/>
        <v>W</v>
      </c>
      <c r="L507">
        <f ca="1">+_xlfn.IFNA(VLOOKUP(M507,BespokeWindowsAreas!$A$1:$E$1999,1,FALSE),VLOOKUP(E507,WindowTypeArea!$B$2:$C$2000,2,FALSE))</f>
        <v>2.9737499999999999</v>
      </c>
      <c r="M507">
        <f t="shared" ca="1" si="107"/>
        <v>6103590</v>
      </c>
    </row>
    <row r="508" spans="1:13" x14ac:dyDescent="0.25">
      <c r="A508">
        <f t="shared" ca="1" si="98"/>
        <v>2</v>
      </c>
      <c r="B508">
        <f t="shared" ca="1" si="99"/>
        <v>95</v>
      </c>
      <c r="C508" t="str">
        <f t="shared" ca="1" si="108"/>
        <v>'WINDOWS-NCH-A-BDP-M3-00-00'!B94</v>
      </c>
      <c r="D508" s="6" t="str">
        <f t="shared" ca="1" si="97"/>
        <v>L00-IMG-MSS-S103-01</v>
      </c>
      <c r="E508" t="str">
        <f t="shared" ca="1" si="100"/>
        <v>Family Type: 650w x 3050h, Family: Window Internal Type 1 - Flush</v>
      </c>
      <c r="F508" t="str">
        <f t="shared" ca="1" si="101"/>
        <v>Vector(X = -0.872, Y = -0.489, Z = 0.000, Length = 1.000)</v>
      </c>
      <c r="G508">
        <f t="shared" ca="1" si="102"/>
        <v>-0.9</v>
      </c>
      <c r="H508">
        <f t="shared" ca="1" si="103"/>
        <v>-0.5</v>
      </c>
      <c r="I508">
        <f t="shared" ca="1" si="104"/>
        <v>0</v>
      </c>
      <c r="J508" s="8">
        <f t="shared" ca="1" si="105"/>
        <v>-150.94539590092285</v>
      </c>
      <c r="K508" s="9" t="str">
        <f t="shared" ca="1" si="106"/>
        <v>W</v>
      </c>
      <c r="L508">
        <f ca="1">+_xlfn.IFNA(VLOOKUP(M508,BespokeWindowsAreas!$A$1:$E$1999,1,FALSE),VLOOKUP(E508,WindowTypeArea!$B$2:$C$2000,2,FALSE))</f>
        <v>1.9824999999999999</v>
      </c>
      <c r="M508">
        <f t="shared" ca="1" si="107"/>
        <v>6306030</v>
      </c>
    </row>
    <row r="509" spans="1:13" x14ac:dyDescent="0.25">
      <c r="A509">
        <f t="shared" ca="1" si="98"/>
        <v>2</v>
      </c>
      <c r="B509">
        <f t="shared" ca="1" si="99"/>
        <v>96</v>
      </c>
      <c r="C509" t="str">
        <f t="shared" ca="1" si="108"/>
        <v>'WINDOWS-NCH-A-BDP-M3-00-00'!B95</v>
      </c>
      <c r="D509" s="6" t="str">
        <f t="shared" ca="1" si="97"/>
        <v>L00-IMG-MSS-L053-01</v>
      </c>
      <c r="E509" t="str">
        <f t="shared" ca="1" si="100"/>
        <v>L00-IMG-MSS-L053-01</v>
      </c>
      <c r="F509">
        <f t="shared" ca="1" si="101"/>
        <v>1874988</v>
      </c>
      <c r="G509">
        <f t="shared" ca="1" si="102"/>
        <v>0</v>
      </c>
      <c r="H509">
        <f t="shared" ca="1" si="103"/>
        <v>0</v>
      </c>
      <c r="I509">
        <f t="shared" ca="1" si="104"/>
        <v>0</v>
      </c>
      <c r="J509" s="8" t="e">
        <f t="shared" ca="1" si="105"/>
        <v>#DIV/0!</v>
      </c>
      <c r="K509" s="9" t="e">
        <f t="shared" ca="1" si="106"/>
        <v>#DIV/0!</v>
      </c>
      <c r="L509" t="e">
        <f ca="1">+_xlfn.IFNA(VLOOKUP(M509,BespokeWindowsAreas!$A$1:$E$1999,1,FALSE),VLOOKUP(E509,WindowTypeArea!$B$2:$C$2000,2,FALSE))</f>
        <v>#N/A</v>
      </c>
      <c r="M509">
        <f t="shared" ca="1" si="107"/>
        <v>0</v>
      </c>
    </row>
    <row r="510" spans="1:13" x14ac:dyDescent="0.25">
      <c r="A510">
        <f t="shared" ca="1" si="98"/>
        <v>2</v>
      </c>
      <c r="B510">
        <f t="shared" ca="1" si="99"/>
        <v>97</v>
      </c>
      <c r="C510" t="str">
        <f t="shared" ca="1" si="108"/>
        <v>'WINDOWS-NCH-A-BDP-M3-00-00'!B96</v>
      </c>
      <c r="D510" s="6" t="str">
        <f t="shared" ca="1" si="97"/>
        <v>L00-IMG-MSS-L053-01</v>
      </c>
      <c r="E510" t="str">
        <f t="shared" ca="1" si="100"/>
        <v>Family Type: 1950w x 3050h, Family: Window Internal Type 1 - Flush</v>
      </c>
      <c r="F510" t="str">
        <f t="shared" ca="1" si="101"/>
        <v>Vector(X = -0.872, Y = -0.489, Z = 0.000, Length = 1.000)</v>
      </c>
      <c r="G510">
        <f t="shared" ca="1" si="102"/>
        <v>-0.9</v>
      </c>
      <c r="H510">
        <f t="shared" ca="1" si="103"/>
        <v>-0.5</v>
      </c>
      <c r="I510">
        <f t="shared" ca="1" si="104"/>
        <v>0</v>
      </c>
      <c r="J510" s="8">
        <f t="shared" ca="1" si="105"/>
        <v>-150.94539590092285</v>
      </c>
      <c r="K510" s="9" t="str">
        <f t="shared" ca="1" si="106"/>
        <v>W</v>
      </c>
      <c r="L510">
        <f ca="1">+_xlfn.IFNA(VLOOKUP(M510,BespokeWindowsAreas!$A$1:$E$1999,1,FALSE),VLOOKUP(E510,WindowTypeArea!$B$2:$C$2000,2,FALSE))</f>
        <v>5.9474999999999998</v>
      </c>
      <c r="M510">
        <f t="shared" ca="1" si="107"/>
        <v>6103559</v>
      </c>
    </row>
    <row r="511" spans="1:13" x14ac:dyDescent="0.25">
      <c r="A511">
        <f t="shared" ca="1" si="98"/>
        <v>2</v>
      </c>
      <c r="B511">
        <f t="shared" ca="1" si="99"/>
        <v>98</v>
      </c>
      <c r="C511" t="str">
        <f t="shared" ca="1" si="108"/>
        <v>'WINDOWS-NCH-A-BDP-M3-00-00'!B97</v>
      </c>
      <c r="D511" s="6" t="str">
        <f t="shared" ca="1" si="97"/>
        <v>L00-IMG-MSS-L053-01</v>
      </c>
      <c r="E511" t="str">
        <f t="shared" ca="1" si="100"/>
        <v>Family Type: 975w x 3050h, Family: Window Internal Type 1 - Flush</v>
      </c>
      <c r="F511" t="str">
        <f t="shared" ca="1" si="101"/>
        <v>Vector(X = -0.872, Y = -0.489, Z = 0.000, Length = 1.000)</v>
      </c>
      <c r="G511">
        <f t="shared" ca="1" si="102"/>
        <v>-0.9</v>
      </c>
      <c r="H511">
        <f t="shared" ca="1" si="103"/>
        <v>-0.5</v>
      </c>
      <c r="I511">
        <f t="shared" ca="1" si="104"/>
        <v>0</v>
      </c>
      <c r="J511" s="8">
        <f t="shared" ca="1" si="105"/>
        <v>-150.94539590092285</v>
      </c>
      <c r="K511" s="9" t="str">
        <f t="shared" ca="1" si="106"/>
        <v>W</v>
      </c>
      <c r="L511">
        <f ca="1">+_xlfn.IFNA(VLOOKUP(M511,BespokeWindowsAreas!$A$1:$E$1999,1,FALSE),VLOOKUP(E511,WindowTypeArea!$B$2:$C$2000,2,FALSE))</f>
        <v>2.9737499999999999</v>
      </c>
      <c r="M511">
        <f t="shared" ca="1" si="107"/>
        <v>6103590</v>
      </c>
    </row>
    <row r="512" spans="1:13" x14ac:dyDescent="0.25">
      <c r="A512">
        <f t="shared" ca="1" si="98"/>
        <v>2</v>
      </c>
      <c r="B512">
        <f t="shared" ca="1" si="99"/>
        <v>99</v>
      </c>
      <c r="C512" t="str">
        <f t="shared" ca="1" si="108"/>
        <v>'WINDOWS-NCH-A-BDP-M3-00-00'!B98</v>
      </c>
      <c r="D512" s="6" t="str">
        <f t="shared" ca="1" si="97"/>
        <v>L00-IMG-MSS-L053-01</v>
      </c>
      <c r="E512" t="str">
        <f t="shared" ca="1" si="100"/>
        <v>Family Type: 650w x 3050h, Family: Window Internal Type 1 - Flush</v>
      </c>
      <c r="F512" t="str">
        <f t="shared" ca="1" si="101"/>
        <v>Vector(X = -0.872, Y = -0.489, Z = 0.000, Length = 1.000)</v>
      </c>
      <c r="G512">
        <f t="shared" ca="1" si="102"/>
        <v>-0.9</v>
      </c>
      <c r="H512">
        <f t="shared" ca="1" si="103"/>
        <v>-0.5</v>
      </c>
      <c r="I512">
        <f t="shared" ca="1" si="104"/>
        <v>0</v>
      </c>
      <c r="J512" s="8">
        <f t="shared" ca="1" si="105"/>
        <v>-150.94539590092285</v>
      </c>
      <c r="K512" s="9" t="str">
        <f t="shared" ca="1" si="106"/>
        <v>W</v>
      </c>
      <c r="L512">
        <f ca="1">+_xlfn.IFNA(VLOOKUP(M512,BespokeWindowsAreas!$A$1:$E$1999,1,FALSE),VLOOKUP(E512,WindowTypeArea!$B$2:$C$2000,2,FALSE))</f>
        <v>1.9824999999999999</v>
      </c>
      <c r="M512">
        <f t="shared" ca="1" si="107"/>
        <v>6306030</v>
      </c>
    </row>
    <row r="513" spans="1:13" x14ac:dyDescent="0.25">
      <c r="A513">
        <f t="shared" ca="1" si="98"/>
        <v>2</v>
      </c>
      <c r="B513">
        <f t="shared" ca="1" si="99"/>
        <v>100</v>
      </c>
      <c r="C513" t="str">
        <f t="shared" ca="1" si="108"/>
        <v>'WINDOWS-NCH-A-BDP-M3-00-00'!B99</v>
      </c>
      <c r="D513" s="6" t="str">
        <f t="shared" ca="1" si="97"/>
        <v>L00-IMG-MSS-L050-01</v>
      </c>
      <c r="E513" t="str">
        <f t="shared" ca="1" si="100"/>
        <v>L00-IMG-MSS-L050-01</v>
      </c>
      <c r="F513">
        <f t="shared" ca="1" si="101"/>
        <v>1875006</v>
      </c>
      <c r="G513">
        <f t="shared" ca="1" si="102"/>
        <v>0</v>
      </c>
      <c r="H513">
        <f t="shared" ca="1" si="103"/>
        <v>0</v>
      </c>
      <c r="I513">
        <f t="shared" ca="1" si="104"/>
        <v>0</v>
      </c>
      <c r="J513" s="8" t="e">
        <f t="shared" ca="1" si="105"/>
        <v>#DIV/0!</v>
      </c>
      <c r="K513" s="9" t="e">
        <f t="shared" ca="1" si="106"/>
        <v>#DIV/0!</v>
      </c>
      <c r="L513" t="e">
        <f ca="1">+_xlfn.IFNA(VLOOKUP(M513,BespokeWindowsAreas!$A$1:$E$1999,1,FALSE),VLOOKUP(E513,WindowTypeArea!$B$2:$C$2000,2,FALSE))</f>
        <v>#N/A</v>
      </c>
      <c r="M513">
        <f t="shared" ca="1" si="107"/>
        <v>0</v>
      </c>
    </row>
    <row r="514" spans="1:13" x14ac:dyDescent="0.25">
      <c r="A514">
        <f t="shared" ca="1" si="98"/>
        <v>2</v>
      </c>
      <c r="B514">
        <f t="shared" ca="1" si="99"/>
        <v>101</v>
      </c>
      <c r="C514" t="str">
        <f t="shared" ca="1" si="108"/>
        <v>'WINDOWS-NCH-A-BDP-M3-00-00'!B100</v>
      </c>
      <c r="D514" s="6" t="str">
        <f t="shared" ca="1" si="97"/>
        <v>L00-IMG-MSS-L050-01</v>
      </c>
      <c r="E514" t="str">
        <f t="shared" ca="1" si="100"/>
        <v>Family Type: Curtain Wall_1512w x 3200h, Family: Window External Type 6 - Flush, Recessed</v>
      </c>
      <c r="F514" t="str">
        <f t="shared" ca="1" si="101"/>
        <v>Vector(X = 0.873, Y = 0.489, Z = 0.000, Length = 1.000)</v>
      </c>
      <c r="G514">
        <f t="shared" ca="1" si="102"/>
        <v>0.9</v>
      </c>
      <c r="H514">
        <f t="shared" ca="1" si="103"/>
        <v>0.5</v>
      </c>
      <c r="I514">
        <f t="shared" ca="1" si="104"/>
        <v>0</v>
      </c>
      <c r="J514" s="8">
        <f t="shared" ca="1" si="105"/>
        <v>29.054604099077146</v>
      </c>
      <c r="K514" s="9" t="str">
        <f t="shared" ca="1" si="106"/>
        <v>E</v>
      </c>
      <c r="L514">
        <f ca="1">+_xlfn.IFNA(VLOOKUP(M514,BespokeWindowsAreas!$A$1:$E$1999,1,FALSE),VLOOKUP(E514,WindowTypeArea!$B$2:$C$2000,2,FALSE))</f>
        <v>4.8384</v>
      </c>
      <c r="M514">
        <f t="shared" ca="1" si="107"/>
        <v>5047122</v>
      </c>
    </row>
    <row r="515" spans="1:13" x14ac:dyDescent="0.25">
      <c r="A515">
        <f t="shared" ca="1" si="98"/>
        <v>2</v>
      </c>
      <c r="B515">
        <f t="shared" ca="1" si="99"/>
        <v>102</v>
      </c>
      <c r="C515" t="str">
        <f t="shared" ca="1" si="108"/>
        <v>'WINDOWS-NCH-A-BDP-M3-00-00'!B101</v>
      </c>
      <c r="D515" s="6" t="str">
        <f t="shared" ca="1" si="97"/>
        <v>L00-IMG-MSS-L050-01</v>
      </c>
      <c r="E515" t="str">
        <f t="shared" ca="1" si="100"/>
        <v>Family Type: Curtain Wall_1950w x 3200h, Family: Window External Type 6 - Flush, Recessed</v>
      </c>
      <c r="F515" t="str">
        <f t="shared" ca="1" si="101"/>
        <v>Vector(X = 0.873, Y = 0.489, Z = 0.000, Length = 1.000)</v>
      </c>
      <c r="G515">
        <f t="shared" ca="1" si="102"/>
        <v>0.9</v>
      </c>
      <c r="H515">
        <f t="shared" ca="1" si="103"/>
        <v>0.5</v>
      </c>
      <c r="I515">
        <f t="shared" ca="1" si="104"/>
        <v>0</v>
      </c>
      <c r="J515" s="8">
        <f t="shared" ca="1" si="105"/>
        <v>29.054604099077146</v>
      </c>
      <c r="K515" s="9" t="str">
        <f t="shared" ca="1" si="106"/>
        <v>E</v>
      </c>
      <c r="L515">
        <f ca="1">+_xlfn.IFNA(VLOOKUP(M515,BespokeWindowsAreas!$A$1:$E$1999,1,FALSE),VLOOKUP(E515,WindowTypeArea!$B$2:$C$2000,2,FALSE))</f>
        <v>6.24</v>
      </c>
      <c r="M515">
        <f t="shared" ca="1" si="107"/>
        <v>5047125</v>
      </c>
    </row>
    <row r="516" spans="1:13" x14ac:dyDescent="0.25">
      <c r="A516">
        <f t="shared" ca="1" si="98"/>
        <v>2</v>
      </c>
      <c r="B516">
        <f t="shared" ca="1" si="99"/>
        <v>103</v>
      </c>
      <c r="C516" t="str">
        <f t="shared" ca="1" si="108"/>
        <v>'WINDOWS-NCH-A-BDP-M3-00-00'!B102</v>
      </c>
      <c r="D516" s="6" t="str">
        <f t="shared" ca="1" si="97"/>
        <v>L00-IMG-MSS-S132-01</v>
      </c>
      <c r="E516" t="str">
        <f t="shared" ca="1" si="100"/>
        <v>L00-IMG-MSS-S132-01</v>
      </c>
      <c r="F516">
        <f t="shared" ca="1" si="101"/>
        <v>1875016</v>
      </c>
      <c r="G516">
        <f t="shared" ca="1" si="102"/>
        <v>0</v>
      </c>
      <c r="H516">
        <f t="shared" ca="1" si="103"/>
        <v>0</v>
      </c>
      <c r="I516">
        <f t="shared" ca="1" si="104"/>
        <v>0</v>
      </c>
      <c r="J516" s="8" t="e">
        <f t="shared" ca="1" si="105"/>
        <v>#DIV/0!</v>
      </c>
      <c r="K516" s="9" t="e">
        <f t="shared" ca="1" si="106"/>
        <v>#DIV/0!</v>
      </c>
      <c r="L516" t="e">
        <f ca="1">+_xlfn.IFNA(VLOOKUP(M516,BespokeWindowsAreas!$A$1:$E$1999,1,FALSE),VLOOKUP(E516,WindowTypeArea!$B$2:$C$2000,2,FALSE))</f>
        <v>#N/A</v>
      </c>
      <c r="M516">
        <f t="shared" ca="1" si="107"/>
        <v>0</v>
      </c>
    </row>
    <row r="517" spans="1:13" x14ac:dyDescent="0.25">
      <c r="A517">
        <f t="shared" ca="1" si="98"/>
        <v>2</v>
      </c>
      <c r="B517">
        <f t="shared" ca="1" si="99"/>
        <v>104</v>
      </c>
      <c r="C517" t="str">
        <f t="shared" ca="1" si="108"/>
        <v>'WINDOWS-NCH-A-BDP-M3-00-00'!B103</v>
      </c>
      <c r="D517" s="6" t="str">
        <f t="shared" ca="1" si="97"/>
        <v>L00-IMG-MSS-S132-01</v>
      </c>
      <c r="E517" t="str">
        <f t="shared" ca="1" si="100"/>
        <v>Family Type: Curtain Wall_1500w x 3200h, Family: Window External Type 6 - Flush, Recessed</v>
      </c>
      <c r="F517" t="str">
        <f t="shared" ca="1" si="101"/>
        <v>Vector(X = 0.873, Y = 0.489, Z = 0.000, Length = 1.000)</v>
      </c>
      <c r="G517">
        <f t="shared" ca="1" si="102"/>
        <v>0.9</v>
      </c>
      <c r="H517">
        <f t="shared" ca="1" si="103"/>
        <v>0.5</v>
      </c>
      <c r="I517">
        <f t="shared" ca="1" si="104"/>
        <v>0</v>
      </c>
      <c r="J517" s="8">
        <f t="shared" ca="1" si="105"/>
        <v>29.054604099077146</v>
      </c>
      <c r="K517" s="9" t="str">
        <f t="shared" ca="1" si="106"/>
        <v>E</v>
      </c>
      <c r="L517">
        <f ca="1">+_xlfn.IFNA(VLOOKUP(M517,BespokeWindowsAreas!$A$1:$E$1999,1,FALSE),VLOOKUP(E517,WindowTypeArea!$B$2:$C$2000,2,FALSE))</f>
        <v>4.8</v>
      </c>
      <c r="M517">
        <f t="shared" ca="1" si="107"/>
        <v>5045702</v>
      </c>
    </row>
    <row r="518" spans="1:13" x14ac:dyDescent="0.25">
      <c r="A518">
        <f t="shared" ca="1" si="98"/>
        <v>2</v>
      </c>
      <c r="B518">
        <f t="shared" ca="1" si="99"/>
        <v>105</v>
      </c>
      <c r="C518" t="str">
        <f t="shared" ca="1" si="108"/>
        <v>'WINDOWS-NCH-A-BDP-M3-00-00'!B104</v>
      </c>
      <c r="D518" s="6" t="str">
        <f t="shared" ref="D518:D581" ca="1" si="109">+IF(IFERROR(FIND("Family",E518)&gt;0,FALSE),D517,E518)</f>
        <v>L00-IMG-MSS-S132-01</v>
      </c>
      <c r="E518" t="str">
        <f t="shared" ca="1" si="100"/>
        <v>Family Type: Curtain Wall_975w x 3200h, Family: Window External Type 6 - Flush, Recessed</v>
      </c>
      <c r="F518" t="str">
        <f t="shared" ca="1" si="101"/>
        <v>Vector(X = 0.873, Y = 0.489, Z = 0.000, Length = 1.000)</v>
      </c>
      <c r="G518">
        <f t="shared" ca="1" si="102"/>
        <v>0.9</v>
      </c>
      <c r="H518">
        <f t="shared" ca="1" si="103"/>
        <v>0.5</v>
      </c>
      <c r="I518">
        <f t="shared" ca="1" si="104"/>
        <v>0</v>
      </c>
      <c r="J518" s="8">
        <f t="shared" ca="1" si="105"/>
        <v>29.054604099077146</v>
      </c>
      <c r="K518" s="9" t="str">
        <f t="shared" ca="1" si="106"/>
        <v>E</v>
      </c>
      <c r="L518">
        <f ca="1">+_xlfn.IFNA(VLOOKUP(M518,BespokeWindowsAreas!$A$1:$E$1999,1,FALSE),VLOOKUP(E518,WindowTypeArea!$B$2:$C$2000,2,FALSE))</f>
        <v>3.12</v>
      </c>
      <c r="M518">
        <f t="shared" ca="1" si="107"/>
        <v>5045703</v>
      </c>
    </row>
    <row r="519" spans="1:13" x14ac:dyDescent="0.25">
      <c r="A519">
        <f t="shared" ca="1" si="98"/>
        <v>2</v>
      </c>
      <c r="B519">
        <f t="shared" ca="1" si="99"/>
        <v>106</v>
      </c>
      <c r="C519" t="str">
        <f t="shared" ca="1" si="108"/>
        <v>'WINDOWS-NCH-A-BDP-M3-00-00'!B105</v>
      </c>
      <c r="D519" s="6" t="str">
        <f t="shared" ca="1" si="109"/>
        <v>L00-IMG-MSS-S132-01</v>
      </c>
      <c r="E519" t="str">
        <f t="shared" ca="1" si="100"/>
        <v>Family Type: Curtain Wall_1950w x 3200h, Family: Window External Type 6 - Flush, Recessed</v>
      </c>
      <c r="F519" t="str">
        <f t="shared" ca="1" si="101"/>
        <v>Vector(X = 0.873, Y = 0.489, Z = 0.000, Length = 1.000)</v>
      </c>
      <c r="G519">
        <f t="shared" ca="1" si="102"/>
        <v>0.9</v>
      </c>
      <c r="H519">
        <f t="shared" ca="1" si="103"/>
        <v>0.5</v>
      </c>
      <c r="I519">
        <f t="shared" ca="1" si="104"/>
        <v>0</v>
      </c>
      <c r="J519" s="8">
        <f t="shared" ca="1" si="105"/>
        <v>29.054604099077146</v>
      </c>
      <c r="K519" s="9" t="str">
        <f t="shared" ca="1" si="106"/>
        <v>E</v>
      </c>
      <c r="L519">
        <f ca="1">+_xlfn.IFNA(VLOOKUP(M519,BespokeWindowsAreas!$A$1:$E$1999,1,FALSE),VLOOKUP(E519,WindowTypeArea!$B$2:$C$2000,2,FALSE))</f>
        <v>6.24</v>
      </c>
      <c r="M519">
        <f t="shared" ca="1" si="107"/>
        <v>5045706</v>
      </c>
    </row>
    <row r="520" spans="1:13" x14ac:dyDescent="0.25">
      <c r="A520">
        <f t="shared" ca="1" si="98"/>
        <v>2</v>
      </c>
      <c r="B520">
        <f t="shared" ca="1" si="99"/>
        <v>107</v>
      </c>
      <c r="C520" t="str">
        <f t="shared" ca="1" si="108"/>
        <v>'WINDOWS-NCH-A-BDP-M3-00-00'!B106</v>
      </c>
      <c r="D520" s="6" t="str">
        <f t="shared" ca="1" si="109"/>
        <v>L00-IMG-MSS-L054-01</v>
      </c>
      <c r="E520" t="str">
        <f t="shared" ca="1" si="100"/>
        <v>L00-IMG-MSS-L054-01</v>
      </c>
      <c r="F520">
        <f t="shared" ca="1" si="101"/>
        <v>1875024</v>
      </c>
      <c r="G520">
        <f t="shared" ca="1" si="102"/>
        <v>0</v>
      </c>
      <c r="H520">
        <f t="shared" ca="1" si="103"/>
        <v>0</v>
      </c>
      <c r="I520">
        <f t="shared" ca="1" si="104"/>
        <v>0</v>
      </c>
      <c r="J520" s="8" t="e">
        <f t="shared" ca="1" si="105"/>
        <v>#DIV/0!</v>
      </c>
      <c r="K520" s="9" t="e">
        <f t="shared" ca="1" si="106"/>
        <v>#DIV/0!</v>
      </c>
      <c r="L520" t="e">
        <f ca="1">+_xlfn.IFNA(VLOOKUP(M520,BespokeWindowsAreas!$A$1:$E$1999,1,FALSE),VLOOKUP(E520,WindowTypeArea!$B$2:$C$2000,2,FALSE))</f>
        <v>#N/A</v>
      </c>
      <c r="M520">
        <f t="shared" ca="1" si="107"/>
        <v>0</v>
      </c>
    </row>
    <row r="521" spans="1:13" x14ac:dyDescent="0.25">
      <c r="A521">
        <f t="shared" ca="1" si="98"/>
        <v>2</v>
      </c>
      <c r="B521">
        <f t="shared" ca="1" si="99"/>
        <v>108</v>
      </c>
      <c r="C521" t="str">
        <f t="shared" ca="1" si="108"/>
        <v>'WINDOWS-NCH-A-BDP-M3-00-00'!B107</v>
      </c>
      <c r="D521" s="6" t="str">
        <f t="shared" ca="1" si="109"/>
        <v>L00-IMG-MSS-L054-01</v>
      </c>
      <c r="E521" t="str">
        <f t="shared" ca="1" si="100"/>
        <v>Family Type: Curtain Wall_975w x 3200h, Family: Window External Type 6 - Flush, Recessed</v>
      </c>
      <c r="F521" t="str">
        <f t="shared" ca="1" si="101"/>
        <v>Vector(X = 0.873, Y = 0.489, Z = 0.000, Length = 1.000)</v>
      </c>
      <c r="G521">
        <f t="shared" ca="1" si="102"/>
        <v>0.9</v>
      </c>
      <c r="H521">
        <f t="shared" ca="1" si="103"/>
        <v>0.5</v>
      </c>
      <c r="I521">
        <f t="shared" ca="1" si="104"/>
        <v>0</v>
      </c>
      <c r="J521" s="8">
        <f t="shared" ca="1" si="105"/>
        <v>29.054604099077146</v>
      </c>
      <c r="K521" s="9" t="str">
        <f t="shared" ca="1" si="106"/>
        <v>E</v>
      </c>
      <c r="L521">
        <f ca="1">+_xlfn.IFNA(VLOOKUP(M521,BespokeWindowsAreas!$A$1:$E$1999,1,FALSE),VLOOKUP(E521,WindowTypeArea!$B$2:$C$2000,2,FALSE))</f>
        <v>3.12</v>
      </c>
      <c r="M521">
        <f t="shared" ca="1" si="107"/>
        <v>5047123</v>
      </c>
    </row>
    <row r="522" spans="1:13" x14ac:dyDescent="0.25">
      <c r="A522">
        <f t="shared" ca="1" si="98"/>
        <v>2</v>
      </c>
      <c r="B522">
        <f t="shared" ca="1" si="99"/>
        <v>109</v>
      </c>
      <c r="C522" t="str">
        <f t="shared" ca="1" si="108"/>
        <v>'WINDOWS-NCH-A-BDP-M3-00-00'!B108</v>
      </c>
      <c r="D522" s="6" t="str">
        <f t="shared" ca="1" si="109"/>
        <v>L00-IMG-MSS-L054-01</v>
      </c>
      <c r="E522" t="str">
        <f t="shared" ca="1" si="100"/>
        <v>Family Type: Curtain Wall_975w x 3200h, Family: Window External Type 6 - Flush, Recessed</v>
      </c>
      <c r="F522" t="str">
        <f t="shared" ca="1" si="101"/>
        <v>Vector(X = 0.873, Y = 0.489, Z = 0.000, Length = 1.000)</v>
      </c>
      <c r="G522">
        <f t="shared" ca="1" si="102"/>
        <v>0.9</v>
      </c>
      <c r="H522">
        <f t="shared" ca="1" si="103"/>
        <v>0.5</v>
      </c>
      <c r="I522">
        <f t="shared" ca="1" si="104"/>
        <v>0</v>
      </c>
      <c r="J522" s="8">
        <f t="shared" ca="1" si="105"/>
        <v>29.054604099077146</v>
      </c>
      <c r="K522" s="9" t="str">
        <f t="shared" ca="1" si="106"/>
        <v>E</v>
      </c>
      <c r="L522">
        <f ca="1">+_xlfn.IFNA(VLOOKUP(M522,BespokeWindowsAreas!$A$1:$E$1999,1,FALSE),VLOOKUP(E522,WindowTypeArea!$B$2:$C$2000,2,FALSE))</f>
        <v>3.12</v>
      </c>
      <c r="M522">
        <f t="shared" ca="1" si="107"/>
        <v>5047126</v>
      </c>
    </row>
    <row r="523" spans="1:13" x14ac:dyDescent="0.25">
      <c r="A523">
        <f t="shared" ca="1" si="98"/>
        <v>2</v>
      </c>
      <c r="B523">
        <f t="shared" ca="1" si="99"/>
        <v>110</v>
      </c>
      <c r="C523" t="str">
        <f t="shared" ca="1" si="108"/>
        <v>'WINDOWS-NCH-A-BDP-M3-00-00'!B109</v>
      </c>
      <c r="D523" s="6" t="str">
        <f t="shared" ca="1" si="109"/>
        <v>L00-IMG-MSS-L054-01</v>
      </c>
      <c r="E523" t="str">
        <f t="shared" ca="1" si="100"/>
        <v>Family Type: Curtain Wall_975w x 3200h, Family: Window External Type 6 - Flush, Recessed</v>
      </c>
      <c r="F523" t="str">
        <f t="shared" ca="1" si="101"/>
        <v>Vector(X = 0.873, Y = 0.489, Z = 0.000, Length = 1.000)</v>
      </c>
      <c r="G523">
        <f t="shared" ca="1" si="102"/>
        <v>0.9</v>
      </c>
      <c r="H523">
        <f t="shared" ca="1" si="103"/>
        <v>0.5</v>
      </c>
      <c r="I523">
        <f t="shared" ca="1" si="104"/>
        <v>0</v>
      </c>
      <c r="J523" s="8">
        <f t="shared" ca="1" si="105"/>
        <v>29.054604099077146</v>
      </c>
      <c r="K523" s="9" t="str">
        <f t="shared" ca="1" si="106"/>
        <v>E</v>
      </c>
      <c r="L523">
        <f ca="1">+_xlfn.IFNA(VLOOKUP(M523,BespokeWindowsAreas!$A$1:$E$1999,1,FALSE),VLOOKUP(E523,WindowTypeArea!$B$2:$C$2000,2,FALSE))</f>
        <v>3.12</v>
      </c>
      <c r="M523">
        <f t="shared" ca="1" si="107"/>
        <v>5047235</v>
      </c>
    </row>
    <row r="524" spans="1:13" x14ac:dyDescent="0.25">
      <c r="A524">
        <f t="shared" ca="1" si="98"/>
        <v>2</v>
      </c>
      <c r="B524">
        <f t="shared" ca="1" si="99"/>
        <v>111</v>
      </c>
      <c r="C524" t="str">
        <f t="shared" ca="1" si="108"/>
        <v>'WINDOWS-NCH-A-BDP-M3-00-00'!B110</v>
      </c>
      <c r="D524" s="6" t="str">
        <f t="shared" ca="1" si="109"/>
        <v>L00-IMG-MSS-L054-01</v>
      </c>
      <c r="E524" t="str">
        <f t="shared" ca="1" si="100"/>
        <v>Family Type: Curtain Wall_1950w x 3200h, Family: Window External Type 6 - Flush, Recessed</v>
      </c>
      <c r="F524" t="str">
        <f t="shared" ca="1" si="101"/>
        <v>Vector(X = 0.873, Y = 0.489, Z = 0.000, Length = 1.000)</v>
      </c>
      <c r="G524">
        <f t="shared" ca="1" si="102"/>
        <v>0.9</v>
      </c>
      <c r="H524">
        <f t="shared" ca="1" si="103"/>
        <v>0.5</v>
      </c>
      <c r="I524">
        <f t="shared" ca="1" si="104"/>
        <v>0</v>
      </c>
      <c r="J524" s="8">
        <f t="shared" ca="1" si="105"/>
        <v>29.054604099077146</v>
      </c>
      <c r="K524" s="9" t="str">
        <f t="shared" ca="1" si="106"/>
        <v>E</v>
      </c>
      <c r="L524">
        <f ca="1">+_xlfn.IFNA(VLOOKUP(M524,BespokeWindowsAreas!$A$1:$E$1999,1,FALSE),VLOOKUP(E524,WindowTypeArea!$B$2:$C$2000,2,FALSE))</f>
        <v>6.24</v>
      </c>
      <c r="M524">
        <f t="shared" ca="1" si="107"/>
        <v>5047239</v>
      </c>
    </row>
    <row r="525" spans="1:13" x14ac:dyDescent="0.25">
      <c r="A525">
        <f t="shared" ca="1" si="98"/>
        <v>2</v>
      </c>
      <c r="B525">
        <f t="shared" ca="1" si="99"/>
        <v>112</v>
      </c>
      <c r="C525" t="str">
        <f t="shared" ca="1" si="108"/>
        <v>'WINDOWS-NCH-A-BDP-M3-00-00'!B111</v>
      </c>
      <c r="D525" s="6" t="str">
        <f t="shared" ca="1" si="109"/>
        <v>L00-IMG-MSS-L054-01</v>
      </c>
      <c r="E525" t="str">
        <f t="shared" ca="1" si="100"/>
        <v>Family Type: Curtain Wall_1950w x 3200h, Family: Window External Type 6 - Flush, Recessed</v>
      </c>
      <c r="F525" t="str">
        <f t="shared" ca="1" si="101"/>
        <v>Vector(X = 0.873, Y = 0.489, Z = 0.000, Length = 1.000)</v>
      </c>
      <c r="G525">
        <f t="shared" ca="1" si="102"/>
        <v>0.9</v>
      </c>
      <c r="H525">
        <f t="shared" ca="1" si="103"/>
        <v>0.5</v>
      </c>
      <c r="I525">
        <f t="shared" ca="1" si="104"/>
        <v>0</v>
      </c>
      <c r="J525" s="8">
        <f t="shared" ca="1" si="105"/>
        <v>29.054604099077146</v>
      </c>
      <c r="K525" s="9" t="str">
        <f t="shared" ca="1" si="106"/>
        <v>E</v>
      </c>
      <c r="L525">
        <f ca="1">+_xlfn.IFNA(VLOOKUP(M525,BespokeWindowsAreas!$A$1:$E$1999,1,FALSE),VLOOKUP(E525,WindowTypeArea!$B$2:$C$2000,2,FALSE))</f>
        <v>6.24</v>
      </c>
      <c r="M525">
        <f t="shared" ca="1" si="107"/>
        <v>5047240</v>
      </c>
    </row>
    <row r="526" spans="1:13" x14ac:dyDescent="0.25">
      <c r="A526">
        <f t="shared" ca="1" si="98"/>
        <v>2</v>
      </c>
      <c r="B526">
        <f t="shared" ca="1" si="99"/>
        <v>113</v>
      </c>
      <c r="C526" t="str">
        <f t="shared" ca="1" si="108"/>
        <v>'WINDOWS-NCH-A-BDP-M3-00-00'!B112</v>
      </c>
      <c r="D526" s="6" t="str">
        <f t="shared" ca="1" si="109"/>
        <v>L00-IMG-MSS-L054-01</v>
      </c>
      <c r="E526" t="str">
        <f t="shared" ca="1" si="100"/>
        <v>Family Type: Curtain Wall_975w x 3200h, Family: Window External Type 6 - Flush, Recessed</v>
      </c>
      <c r="F526" t="str">
        <f t="shared" ca="1" si="101"/>
        <v>Vector(X = 0.873, Y = 0.489, Z = 0.000, Length = 1.000)</v>
      </c>
      <c r="G526">
        <f t="shared" ca="1" si="102"/>
        <v>0.9</v>
      </c>
      <c r="H526">
        <f t="shared" ca="1" si="103"/>
        <v>0.5</v>
      </c>
      <c r="I526">
        <f t="shared" ca="1" si="104"/>
        <v>0</v>
      </c>
      <c r="J526" s="8">
        <f t="shared" ca="1" si="105"/>
        <v>29.054604099077146</v>
      </c>
      <c r="K526" s="9" t="str">
        <f t="shared" ca="1" si="106"/>
        <v>E</v>
      </c>
      <c r="L526">
        <f ca="1">+_xlfn.IFNA(VLOOKUP(M526,BespokeWindowsAreas!$A$1:$E$1999,1,FALSE),VLOOKUP(E526,WindowTypeArea!$B$2:$C$2000,2,FALSE))</f>
        <v>3.12</v>
      </c>
      <c r="M526">
        <f t="shared" ca="1" si="107"/>
        <v>5047244</v>
      </c>
    </row>
    <row r="527" spans="1:13" x14ac:dyDescent="0.25">
      <c r="A527">
        <f t="shared" ca="1" si="98"/>
        <v>2</v>
      </c>
      <c r="B527">
        <f t="shared" ca="1" si="99"/>
        <v>114</v>
      </c>
      <c r="C527" t="str">
        <f t="shared" ca="1" si="108"/>
        <v>'WINDOWS-NCH-A-BDP-M3-00-00'!B113</v>
      </c>
      <c r="D527" s="6" t="str">
        <f t="shared" ca="1" si="109"/>
        <v>L00-IMG-RSS-U0375-01</v>
      </c>
      <c r="E527" t="str">
        <f t="shared" ca="1" si="100"/>
        <v>L00-IMG-RSS-U0375-01</v>
      </c>
      <c r="F527">
        <f t="shared" ca="1" si="101"/>
        <v>1875050</v>
      </c>
      <c r="G527">
        <f t="shared" ca="1" si="102"/>
        <v>0</v>
      </c>
      <c r="H527">
        <f t="shared" ca="1" si="103"/>
        <v>0</v>
      </c>
      <c r="I527">
        <f t="shared" ca="1" si="104"/>
        <v>0</v>
      </c>
      <c r="J527" s="8" t="e">
        <f t="shared" ca="1" si="105"/>
        <v>#DIV/0!</v>
      </c>
      <c r="K527" s="9" t="e">
        <f t="shared" ca="1" si="106"/>
        <v>#DIV/0!</v>
      </c>
      <c r="L527" t="e">
        <f ca="1">+_xlfn.IFNA(VLOOKUP(M527,BespokeWindowsAreas!$A$1:$E$1999,1,FALSE),VLOOKUP(E527,WindowTypeArea!$B$2:$C$2000,2,FALSE))</f>
        <v>#N/A</v>
      </c>
      <c r="M527">
        <f t="shared" ca="1" si="107"/>
        <v>0</v>
      </c>
    </row>
    <row r="528" spans="1:13" x14ac:dyDescent="0.25">
      <c r="A528">
        <f t="shared" ca="1" si="98"/>
        <v>2</v>
      </c>
      <c r="B528">
        <f t="shared" ca="1" si="99"/>
        <v>115</v>
      </c>
      <c r="C528" t="str">
        <f t="shared" ca="1" si="108"/>
        <v>'WINDOWS-NCH-A-BDP-M3-00-00'!B114</v>
      </c>
      <c r="D528" s="6" t="str">
        <f t="shared" ca="1" si="109"/>
        <v>L00-IMG-RSS-U0375-01</v>
      </c>
      <c r="E528" t="str">
        <f t="shared" ca="1" si="100"/>
        <v>Family Type: Curtain Wall_1500w x 3200h, Family: Window External Type 6 - Flush, Recessed</v>
      </c>
      <c r="F528" t="str">
        <f t="shared" ca="1" si="101"/>
        <v>Vector(X = 0.873, Y = 0.489, Z = 0.000, Length = 1.000)</v>
      </c>
      <c r="G528">
        <f t="shared" ca="1" si="102"/>
        <v>0.9</v>
      </c>
      <c r="H528">
        <f t="shared" ca="1" si="103"/>
        <v>0.5</v>
      </c>
      <c r="I528">
        <f t="shared" ca="1" si="104"/>
        <v>0</v>
      </c>
      <c r="J528" s="8">
        <f t="shared" ca="1" si="105"/>
        <v>29.054604099077146</v>
      </c>
      <c r="K528" s="9" t="str">
        <f t="shared" ca="1" si="106"/>
        <v>E</v>
      </c>
      <c r="L528">
        <f ca="1">+_xlfn.IFNA(VLOOKUP(M528,BespokeWindowsAreas!$A$1:$E$1999,1,FALSE),VLOOKUP(E528,WindowTypeArea!$B$2:$C$2000,2,FALSE))</f>
        <v>4.8</v>
      </c>
      <c r="M528">
        <f t="shared" ca="1" si="107"/>
        <v>5047236</v>
      </c>
    </row>
    <row r="529" spans="1:13" x14ac:dyDescent="0.25">
      <c r="A529">
        <f t="shared" ca="1" si="98"/>
        <v>2</v>
      </c>
      <c r="B529">
        <f t="shared" ca="1" si="99"/>
        <v>116</v>
      </c>
      <c r="C529" t="str">
        <f t="shared" ca="1" si="108"/>
        <v>'WINDOWS-NCH-A-BDP-M3-00-00'!B115</v>
      </c>
      <c r="D529" s="6" t="str">
        <f t="shared" ca="1" si="109"/>
        <v>L00-IMG-RSS-U0375-01</v>
      </c>
      <c r="E529" t="str">
        <f t="shared" ca="1" si="100"/>
        <v>Family Type: Curtain Wall_975w x 3200h, Family: Window External Type 6 - Flush, Recessed</v>
      </c>
      <c r="F529" t="str">
        <f t="shared" ca="1" si="101"/>
        <v>Vector(X = 0.873, Y = 0.489, Z = 0.000, Length = 1.000)</v>
      </c>
      <c r="G529">
        <f t="shared" ca="1" si="102"/>
        <v>0.9</v>
      </c>
      <c r="H529">
        <f t="shared" ca="1" si="103"/>
        <v>0.5</v>
      </c>
      <c r="I529">
        <f t="shared" ca="1" si="104"/>
        <v>0</v>
      </c>
      <c r="J529" s="8">
        <f t="shared" ca="1" si="105"/>
        <v>29.054604099077146</v>
      </c>
      <c r="K529" s="9" t="str">
        <f t="shared" ca="1" si="106"/>
        <v>E</v>
      </c>
      <c r="L529">
        <f ca="1">+_xlfn.IFNA(VLOOKUP(M529,BespokeWindowsAreas!$A$1:$E$1999,1,FALSE),VLOOKUP(E529,WindowTypeArea!$B$2:$C$2000,2,FALSE))</f>
        <v>3.12</v>
      </c>
      <c r="M529">
        <f t="shared" ca="1" si="107"/>
        <v>5047237</v>
      </c>
    </row>
    <row r="530" spans="1:13" x14ac:dyDescent="0.25">
      <c r="A530">
        <f t="shared" ca="1" si="98"/>
        <v>2</v>
      </c>
      <c r="B530">
        <f t="shared" ca="1" si="99"/>
        <v>117</v>
      </c>
      <c r="C530" t="str">
        <f t="shared" ca="1" si="108"/>
        <v>'WINDOWS-NCH-A-BDP-M3-00-00'!B116</v>
      </c>
      <c r="D530" s="6" t="str">
        <f t="shared" ca="1" si="109"/>
        <v>L00-IMG-RSS-U0375-01</v>
      </c>
      <c r="E530" t="str">
        <f t="shared" ca="1" si="100"/>
        <v>Family Type: Curtain Wall_975w x 3200h, Family: Window External Type 6 - Flush, Recessed</v>
      </c>
      <c r="F530" t="str">
        <f t="shared" ca="1" si="101"/>
        <v>Vector(X = 0.873, Y = 0.489, Z = 0.000, Length = 1.000)</v>
      </c>
      <c r="G530">
        <f t="shared" ca="1" si="102"/>
        <v>0.9</v>
      </c>
      <c r="H530">
        <f t="shared" ca="1" si="103"/>
        <v>0.5</v>
      </c>
      <c r="I530">
        <f t="shared" ca="1" si="104"/>
        <v>0</v>
      </c>
      <c r="J530" s="8">
        <f t="shared" ca="1" si="105"/>
        <v>29.054604099077146</v>
      </c>
      <c r="K530" s="9" t="str">
        <f t="shared" ca="1" si="106"/>
        <v>E</v>
      </c>
      <c r="L530">
        <f ca="1">+_xlfn.IFNA(VLOOKUP(M530,BespokeWindowsAreas!$A$1:$E$1999,1,FALSE),VLOOKUP(E530,WindowTypeArea!$B$2:$C$2000,2,FALSE))</f>
        <v>3.12</v>
      </c>
      <c r="M530">
        <f t="shared" ca="1" si="107"/>
        <v>5047238</v>
      </c>
    </row>
    <row r="531" spans="1:13" x14ac:dyDescent="0.25">
      <c r="A531">
        <f t="shared" ca="1" si="98"/>
        <v>2</v>
      </c>
      <c r="B531">
        <f t="shared" ca="1" si="99"/>
        <v>118</v>
      </c>
      <c r="C531" t="str">
        <f t="shared" ca="1" si="108"/>
        <v>'WINDOWS-NCH-A-BDP-M3-00-00'!B117</v>
      </c>
      <c r="D531" s="6" t="str">
        <f t="shared" ca="1" si="109"/>
        <v>L00-IMG-RSS-U0375-01</v>
      </c>
      <c r="E531" t="str">
        <f t="shared" ca="1" si="100"/>
        <v>Family Type: Curtain Wall_1950w x 3200h, Family: Window External Type 6 - Flush, Recessed</v>
      </c>
      <c r="F531" t="str">
        <f t="shared" ca="1" si="101"/>
        <v>Vector(X = 0.873, Y = 0.489, Z = 0.000, Length = 1.000)</v>
      </c>
      <c r="G531">
        <f t="shared" ca="1" si="102"/>
        <v>0.9</v>
      </c>
      <c r="H531">
        <f t="shared" ca="1" si="103"/>
        <v>0.5</v>
      </c>
      <c r="I531">
        <f t="shared" ca="1" si="104"/>
        <v>0</v>
      </c>
      <c r="J531" s="8">
        <f t="shared" ca="1" si="105"/>
        <v>29.054604099077146</v>
      </c>
      <c r="K531" s="9" t="str">
        <f t="shared" ca="1" si="106"/>
        <v>E</v>
      </c>
      <c r="L531">
        <f ca="1">+_xlfn.IFNA(VLOOKUP(M531,BespokeWindowsAreas!$A$1:$E$1999,1,FALSE),VLOOKUP(E531,WindowTypeArea!$B$2:$C$2000,2,FALSE))</f>
        <v>6.24</v>
      </c>
      <c r="M531">
        <f t="shared" ca="1" si="107"/>
        <v>5047240</v>
      </c>
    </row>
    <row r="532" spans="1:13" x14ac:dyDescent="0.25">
      <c r="A532">
        <f t="shared" ref="A532:A595" ca="1" si="110">+IF(B531&lt;=VLOOKUP(MID(C532,2,26),TABS,2,FALSE),A531,+A531+1)</f>
        <v>2</v>
      </c>
      <c r="B532">
        <f t="shared" ref="B532:B595" ca="1" si="111">+IF(B531&lt;=VLOOKUP(MID(C532,2,26),TABS,2,FALSE),B531+1,1)</f>
        <v>119</v>
      </c>
      <c r="C532" t="str">
        <f t="shared" ca="1" si="108"/>
        <v>'WINDOWS-NCH-A-BDP-M3-00-00'!B118</v>
      </c>
      <c r="D532" s="6" t="str">
        <f t="shared" ca="1" si="109"/>
        <v>L00-IMG-RSS-U0375-01</v>
      </c>
      <c r="E532" t="str">
        <f t="shared" ref="E532:E595" ca="1" si="112">+OFFSET(INDIRECT(C532),0,0)</f>
        <v>Family Type: Curtain Wall_975w x 3200h, Family: Window External Type 6 - Flush, Recessed</v>
      </c>
      <c r="F532" t="str">
        <f t="shared" ca="1" si="101"/>
        <v>Vector(X = 0.873, Y = 0.489, Z = 0.000, Length = 1.000)</v>
      </c>
      <c r="G532">
        <f t="shared" ca="1" si="102"/>
        <v>0.9</v>
      </c>
      <c r="H532">
        <f t="shared" ca="1" si="103"/>
        <v>0.5</v>
      </c>
      <c r="I532">
        <f t="shared" ca="1" si="104"/>
        <v>0</v>
      </c>
      <c r="J532" s="8">
        <f t="shared" ca="1" si="105"/>
        <v>29.054604099077146</v>
      </c>
      <c r="K532" s="9" t="str">
        <f t="shared" ca="1" si="106"/>
        <v>E</v>
      </c>
      <c r="L532">
        <f ca="1">+_xlfn.IFNA(VLOOKUP(M532,BespokeWindowsAreas!$A$1:$E$1999,1,FALSE),VLOOKUP(E532,WindowTypeArea!$B$2:$C$2000,2,FALSE))</f>
        <v>3.12</v>
      </c>
      <c r="M532">
        <f t="shared" ca="1" si="107"/>
        <v>5047241</v>
      </c>
    </row>
    <row r="533" spans="1:13" x14ac:dyDescent="0.25">
      <c r="A533">
        <f t="shared" ca="1" si="110"/>
        <v>2</v>
      </c>
      <c r="B533">
        <f t="shared" ca="1" si="111"/>
        <v>120</v>
      </c>
      <c r="C533" t="str">
        <f t="shared" ca="1" si="108"/>
        <v>'WINDOWS-NCH-A-BDP-M3-00-00'!B119</v>
      </c>
      <c r="D533" s="6" t="str">
        <f t="shared" ca="1" si="109"/>
        <v>L00-IMG-RSS-U0375-01</v>
      </c>
      <c r="E533" t="str">
        <f t="shared" ca="1" si="112"/>
        <v>Family Type: Curtain Wall_1500w x 3200h, Family: Window External Type 6 - Flush, Recessed</v>
      </c>
      <c r="F533" t="str">
        <f t="shared" ca="1" si="101"/>
        <v>Vector(X = 0.873, Y = 0.489, Z = 0.000, Length = 1.000)</v>
      </c>
      <c r="G533">
        <f t="shared" ca="1" si="102"/>
        <v>0.9</v>
      </c>
      <c r="H533">
        <f t="shared" ca="1" si="103"/>
        <v>0.5</v>
      </c>
      <c r="I533">
        <f t="shared" ca="1" si="104"/>
        <v>0</v>
      </c>
      <c r="J533" s="8">
        <f t="shared" ca="1" si="105"/>
        <v>29.054604099077146</v>
      </c>
      <c r="K533" s="9" t="str">
        <f t="shared" ca="1" si="106"/>
        <v>E</v>
      </c>
      <c r="L533">
        <f ca="1">+_xlfn.IFNA(VLOOKUP(M533,BespokeWindowsAreas!$A$1:$E$1999,1,FALSE),VLOOKUP(E533,WindowTypeArea!$B$2:$C$2000,2,FALSE))</f>
        <v>4.8</v>
      </c>
      <c r="M533">
        <f t="shared" ca="1" si="107"/>
        <v>5047242</v>
      </c>
    </row>
    <row r="534" spans="1:13" x14ac:dyDescent="0.25">
      <c r="A534">
        <f t="shared" ca="1" si="110"/>
        <v>2</v>
      </c>
      <c r="B534">
        <f t="shared" ca="1" si="111"/>
        <v>121</v>
      </c>
      <c r="C534" t="str">
        <f t="shared" ca="1" si="108"/>
        <v>'WINDOWS-NCH-A-BDP-M3-00-00'!B120</v>
      </c>
      <c r="D534" s="6" t="str">
        <f t="shared" ca="1" si="109"/>
        <v>L00-IMG-RSS-U0375-01</v>
      </c>
      <c r="E534" t="str">
        <f t="shared" ca="1" si="112"/>
        <v>Family Type: Curtain Wall_975w x 3200h, Family: Window External Type 6 - Flush, Recessed</v>
      </c>
      <c r="F534" t="str">
        <f t="shared" ref="F534:F597" ca="1" si="113">+OFFSET(INDIRECT(C534),0,1)</f>
        <v>Vector(X = 0.873, Y = 0.489, Z = 0.000, Length = 1.000)</v>
      </c>
      <c r="G534">
        <f t="shared" ref="G534:G597" ca="1" si="114">+OFFSET(INDIRECT(C534),0,2)</f>
        <v>0.9</v>
      </c>
      <c r="H534">
        <f t="shared" ref="H534:H597" ca="1" si="115">+OFFSET(INDIRECT(C534),0,3)</f>
        <v>0.5</v>
      </c>
      <c r="I534">
        <f t="shared" ref="I534:I597" ca="1" si="116">+OFFSET(INDIRECT(C534),0,4)</f>
        <v>0</v>
      </c>
      <c r="J534" s="8">
        <f t="shared" ref="J534:J597" ca="1" si="117">+DEGREES(ATAN2(G534,H534))</f>
        <v>29.054604099077146</v>
      </c>
      <c r="K534" s="9" t="str">
        <f t="shared" ref="K534:K597" ca="1" si="118">VLOOKUP(J534,$O$20:$P$36,2,-1)</f>
        <v>E</v>
      </c>
      <c r="L534">
        <f ca="1">+_xlfn.IFNA(VLOOKUP(M534,BespokeWindowsAreas!$A$1:$E$1999,1,FALSE),VLOOKUP(E534,WindowTypeArea!$B$2:$C$2000,2,FALSE))</f>
        <v>3.12</v>
      </c>
      <c r="M534">
        <f t="shared" ref="M534:M597" ca="1" si="119">+OFFSET(INDIRECT(C534),0,5)</f>
        <v>5047243</v>
      </c>
    </row>
    <row r="535" spans="1:13" x14ac:dyDescent="0.25">
      <c r="A535">
        <f t="shared" ca="1" si="110"/>
        <v>2</v>
      </c>
      <c r="B535">
        <f t="shared" ca="1" si="111"/>
        <v>122</v>
      </c>
      <c r="C535" t="str">
        <f t="shared" ref="C535:C598" ca="1" si="120">+"'"&amp;INDIRECT("a"&amp;A534)&amp;"'!B"&amp;B534</f>
        <v>'WINDOWS-NCH-A-BDP-M3-00-00'!B121</v>
      </c>
      <c r="D535" s="6" t="str">
        <f t="shared" ca="1" si="109"/>
        <v>L00-IMG-RSS-U0375-01</v>
      </c>
      <c r="E535" t="str">
        <f t="shared" ca="1" si="112"/>
        <v>Family Type: Curtain Wall_1500w x 3200h, Family: Window External Type 6 - Flush, Recessed</v>
      </c>
      <c r="F535" t="str">
        <f t="shared" ca="1" si="113"/>
        <v>Vector(X = 0.873, Y = 0.489, Z = 0.000, Length = 1.000)</v>
      </c>
      <c r="G535">
        <f t="shared" ca="1" si="114"/>
        <v>0.9</v>
      </c>
      <c r="H535">
        <f t="shared" ca="1" si="115"/>
        <v>0.5</v>
      </c>
      <c r="I535">
        <f t="shared" ca="1" si="116"/>
        <v>0</v>
      </c>
      <c r="J535" s="8">
        <f t="shared" ca="1" si="117"/>
        <v>29.054604099077146</v>
      </c>
      <c r="K535" s="9" t="str">
        <f t="shared" ca="1" si="118"/>
        <v>E</v>
      </c>
      <c r="L535">
        <f ca="1">+_xlfn.IFNA(VLOOKUP(M535,BespokeWindowsAreas!$A$1:$E$1999,1,FALSE),VLOOKUP(E535,WindowTypeArea!$B$2:$C$2000,2,FALSE))</f>
        <v>4.8</v>
      </c>
      <c r="M535">
        <f t="shared" ca="1" si="119"/>
        <v>5047391</v>
      </c>
    </row>
    <row r="536" spans="1:13" x14ac:dyDescent="0.25">
      <c r="A536">
        <f t="shared" ca="1" si="110"/>
        <v>2</v>
      </c>
      <c r="B536">
        <f t="shared" ca="1" si="111"/>
        <v>123</v>
      </c>
      <c r="C536" t="str">
        <f t="shared" ca="1" si="120"/>
        <v>'WINDOWS-NCH-A-BDP-M3-00-00'!B122</v>
      </c>
      <c r="D536" s="6" t="str">
        <f t="shared" ca="1" si="109"/>
        <v>L00-IMG-RSS-U0375-01</v>
      </c>
      <c r="E536" t="str">
        <f t="shared" ca="1" si="112"/>
        <v>Family Type: Curtain Wall_1500w x 3200h, Family: Window External Type 6 - Flush, Recessed</v>
      </c>
      <c r="F536" t="str">
        <f t="shared" ca="1" si="113"/>
        <v>Vector(X = 0.873, Y = 0.489, Z = 0.000, Length = 1.000)</v>
      </c>
      <c r="G536">
        <f t="shared" ca="1" si="114"/>
        <v>0.9</v>
      </c>
      <c r="H536">
        <f t="shared" ca="1" si="115"/>
        <v>0.5</v>
      </c>
      <c r="I536">
        <f t="shared" ca="1" si="116"/>
        <v>0</v>
      </c>
      <c r="J536" s="8">
        <f t="shared" ca="1" si="117"/>
        <v>29.054604099077146</v>
      </c>
      <c r="K536" s="9" t="str">
        <f t="shared" ca="1" si="118"/>
        <v>E</v>
      </c>
      <c r="L536">
        <f ca="1">+_xlfn.IFNA(VLOOKUP(M536,BespokeWindowsAreas!$A$1:$E$1999,1,FALSE),VLOOKUP(E536,WindowTypeArea!$B$2:$C$2000,2,FALSE))</f>
        <v>4.8</v>
      </c>
      <c r="M536">
        <f t="shared" ca="1" si="119"/>
        <v>5047444</v>
      </c>
    </row>
    <row r="537" spans="1:13" x14ac:dyDescent="0.25">
      <c r="A537">
        <f t="shared" ca="1" si="110"/>
        <v>2</v>
      </c>
      <c r="B537">
        <f t="shared" ca="1" si="111"/>
        <v>124</v>
      </c>
      <c r="C537" t="str">
        <f t="shared" ca="1" si="120"/>
        <v>'WINDOWS-NCH-A-BDP-M3-00-00'!B123</v>
      </c>
      <c r="D537" s="6" t="str">
        <f t="shared" ca="1" si="109"/>
        <v>L00-IMG-NMD-S093-01</v>
      </c>
      <c r="E537" t="str">
        <f t="shared" ca="1" si="112"/>
        <v>L00-IMG-NMD-S093-01</v>
      </c>
      <c r="F537">
        <f t="shared" ca="1" si="113"/>
        <v>1875074</v>
      </c>
      <c r="G537">
        <f t="shared" ca="1" si="114"/>
        <v>0</v>
      </c>
      <c r="H537">
        <f t="shared" ca="1" si="115"/>
        <v>0</v>
      </c>
      <c r="I537">
        <f t="shared" ca="1" si="116"/>
        <v>0</v>
      </c>
      <c r="J537" s="8" t="e">
        <f t="shared" ca="1" si="117"/>
        <v>#DIV/0!</v>
      </c>
      <c r="K537" s="9" t="e">
        <f t="shared" ca="1" si="118"/>
        <v>#DIV/0!</v>
      </c>
      <c r="L537" t="e">
        <f ca="1">+_xlfn.IFNA(VLOOKUP(M537,BespokeWindowsAreas!$A$1:$E$1999,1,FALSE),VLOOKUP(E537,WindowTypeArea!$B$2:$C$2000,2,FALSE))</f>
        <v>#N/A</v>
      </c>
      <c r="M537">
        <f t="shared" ca="1" si="119"/>
        <v>0</v>
      </c>
    </row>
    <row r="538" spans="1:13" x14ac:dyDescent="0.25">
      <c r="A538">
        <f t="shared" ca="1" si="110"/>
        <v>2</v>
      </c>
      <c r="B538">
        <f t="shared" ca="1" si="111"/>
        <v>125</v>
      </c>
      <c r="C538" t="str">
        <f t="shared" ca="1" si="120"/>
        <v>'WINDOWS-NCH-A-BDP-M3-00-00'!B124</v>
      </c>
      <c r="D538" s="6" t="str">
        <f t="shared" ca="1" si="109"/>
        <v>L00-IMG-NMD-S093-01</v>
      </c>
      <c r="E538" t="str">
        <f t="shared" ca="1" si="112"/>
        <v>Family Type: Curtain Wall_1950w x 3050h, Family: Window External Type 6 - Flush, Recessed</v>
      </c>
      <c r="F538" t="str">
        <f t="shared" ca="1" si="113"/>
        <v>Vector(X = 0.212, Y = -0.977, Z = 0.000, Length = 1.000)</v>
      </c>
      <c r="G538">
        <f t="shared" ca="1" si="114"/>
        <v>0.2</v>
      </c>
      <c r="H538">
        <f t="shared" ca="1" si="115"/>
        <v>-1</v>
      </c>
      <c r="I538">
        <f t="shared" ca="1" si="116"/>
        <v>0</v>
      </c>
      <c r="J538" s="8">
        <f t="shared" ca="1" si="117"/>
        <v>-78.690067525979785</v>
      </c>
      <c r="K538" s="9" t="str">
        <f t="shared" ca="1" si="118"/>
        <v>S</v>
      </c>
      <c r="L538">
        <f ca="1">+_xlfn.IFNA(VLOOKUP(M538,BespokeWindowsAreas!$A$1:$E$1999,1,FALSE),VLOOKUP(E538,WindowTypeArea!$B$2:$C$2000,2,FALSE))</f>
        <v>5.9474999999999998</v>
      </c>
      <c r="M538">
        <f t="shared" ca="1" si="119"/>
        <v>4929845</v>
      </c>
    </row>
    <row r="539" spans="1:13" x14ac:dyDescent="0.25">
      <c r="A539">
        <f t="shared" ca="1" si="110"/>
        <v>2</v>
      </c>
      <c r="B539">
        <f t="shared" ca="1" si="111"/>
        <v>126</v>
      </c>
      <c r="C539" t="str">
        <f t="shared" ca="1" si="120"/>
        <v>'WINDOWS-NCH-A-BDP-M3-00-00'!B125</v>
      </c>
      <c r="D539" s="6" t="str">
        <f t="shared" ca="1" si="109"/>
        <v>L00-IMG-NMD-S093-01</v>
      </c>
      <c r="E539" t="str">
        <f t="shared" ca="1" si="112"/>
        <v>Family Type: Curtain Wall_975w x 3050h 2, Family: Window External Type 6 - Flush, Recessed</v>
      </c>
      <c r="F539" t="str">
        <f t="shared" ca="1" si="113"/>
        <v>Vector(X = 0.212, Y = -0.977, Z = 0.000, Length = 1.000)</v>
      </c>
      <c r="G539">
        <f t="shared" ca="1" si="114"/>
        <v>0.2</v>
      </c>
      <c r="H539">
        <f t="shared" ca="1" si="115"/>
        <v>-1</v>
      </c>
      <c r="I539">
        <f t="shared" ca="1" si="116"/>
        <v>0</v>
      </c>
      <c r="J539" s="8">
        <f t="shared" ca="1" si="117"/>
        <v>-78.690067525979785</v>
      </c>
      <c r="K539" s="9" t="str">
        <f t="shared" ca="1" si="118"/>
        <v>S</v>
      </c>
      <c r="L539">
        <f ca="1">+_xlfn.IFNA(VLOOKUP(M539,BespokeWindowsAreas!$A$1:$E$1999,1,FALSE),VLOOKUP(E539,WindowTypeArea!$B$2:$C$2000,2,FALSE))</f>
        <v>2.9737499999999999</v>
      </c>
      <c r="M539">
        <f t="shared" ca="1" si="119"/>
        <v>4929846</v>
      </c>
    </row>
    <row r="540" spans="1:13" x14ac:dyDescent="0.25">
      <c r="A540">
        <f t="shared" ca="1" si="110"/>
        <v>2</v>
      </c>
      <c r="B540">
        <f t="shared" ca="1" si="111"/>
        <v>127</v>
      </c>
      <c r="C540" t="str">
        <f t="shared" ca="1" si="120"/>
        <v>'WINDOWS-NCH-A-BDP-M3-00-00'!B126</v>
      </c>
      <c r="D540" s="6" t="str">
        <f t="shared" ca="1" si="109"/>
        <v>L00-IMG-NMD-S093-01</v>
      </c>
      <c r="E540" t="str">
        <f t="shared" ca="1" si="112"/>
        <v>Family Type: Curtain Wall_1950w x 3050h, Family: Window External Type 6 - Flush, Recessed</v>
      </c>
      <c r="F540" t="str">
        <f t="shared" ca="1" si="113"/>
        <v>Vector(X = 0.212, Y = -0.977, Z = 0.000, Length = 1.000)</v>
      </c>
      <c r="G540">
        <f t="shared" ca="1" si="114"/>
        <v>0.2</v>
      </c>
      <c r="H540">
        <f t="shared" ca="1" si="115"/>
        <v>-1</v>
      </c>
      <c r="I540">
        <f t="shared" ca="1" si="116"/>
        <v>0</v>
      </c>
      <c r="J540" s="8">
        <f t="shared" ca="1" si="117"/>
        <v>-78.690067525979785</v>
      </c>
      <c r="K540" s="9" t="str">
        <f t="shared" ca="1" si="118"/>
        <v>S</v>
      </c>
      <c r="L540">
        <f ca="1">+_xlfn.IFNA(VLOOKUP(M540,BespokeWindowsAreas!$A$1:$E$1999,1,FALSE),VLOOKUP(E540,WindowTypeArea!$B$2:$C$2000,2,FALSE))</f>
        <v>5.9474999999999998</v>
      </c>
      <c r="M540">
        <f t="shared" ca="1" si="119"/>
        <v>4929847</v>
      </c>
    </row>
    <row r="541" spans="1:13" x14ac:dyDescent="0.25">
      <c r="A541">
        <f t="shared" ca="1" si="110"/>
        <v>2</v>
      </c>
      <c r="B541">
        <f t="shared" ca="1" si="111"/>
        <v>128</v>
      </c>
      <c r="C541" t="str">
        <f t="shared" ca="1" si="120"/>
        <v>'WINDOWS-NCH-A-BDP-M3-00-00'!B127</v>
      </c>
      <c r="D541" s="6" t="str">
        <f t="shared" ca="1" si="109"/>
        <v>L00-IMG-NMD-S093-01</v>
      </c>
      <c r="E541" t="str">
        <f t="shared" ca="1" si="112"/>
        <v>Family Type: Curtain Wall_975w x 3050h 2, Family: Window External Type 6 - Flush, Recessed</v>
      </c>
      <c r="F541" t="str">
        <f t="shared" ca="1" si="113"/>
        <v>Vector(X = 0.212, Y = -0.977, Z = 0.000, Length = 1.000)</v>
      </c>
      <c r="G541">
        <f t="shared" ca="1" si="114"/>
        <v>0.2</v>
      </c>
      <c r="H541">
        <f t="shared" ca="1" si="115"/>
        <v>-1</v>
      </c>
      <c r="I541">
        <f t="shared" ca="1" si="116"/>
        <v>0</v>
      </c>
      <c r="J541" s="8">
        <f t="shared" ca="1" si="117"/>
        <v>-78.690067525979785</v>
      </c>
      <c r="K541" s="9" t="str">
        <f t="shared" ca="1" si="118"/>
        <v>S</v>
      </c>
      <c r="L541">
        <f ca="1">+_xlfn.IFNA(VLOOKUP(M541,BespokeWindowsAreas!$A$1:$E$1999,1,FALSE),VLOOKUP(E541,WindowTypeArea!$B$2:$C$2000,2,FALSE))</f>
        <v>2.9737499999999999</v>
      </c>
      <c r="M541">
        <f t="shared" ca="1" si="119"/>
        <v>4929848</v>
      </c>
    </row>
    <row r="542" spans="1:13" x14ac:dyDescent="0.25">
      <c r="A542">
        <f t="shared" ca="1" si="110"/>
        <v>2</v>
      </c>
      <c r="B542">
        <f t="shared" ca="1" si="111"/>
        <v>129</v>
      </c>
      <c r="C542" t="str">
        <f t="shared" ca="1" si="120"/>
        <v>'WINDOWS-NCH-A-BDP-M3-00-00'!B128</v>
      </c>
      <c r="D542" s="6" t="str">
        <f t="shared" ca="1" si="109"/>
        <v>L00-IMG-NMD-S093-01</v>
      </c>
      <c r="E542" t="str">
        <f t="shared" ca="1" si="112"/>
        <v>Family Type: Curtain Wall_975w x 3050h 2, Family: Window External Type 6 - Flush, Recessed</v>
      </c>
      <c r="F542" t="str">
        <f t="shared" ca="1" si="113"/>
        <v>Vector(X = 0.212, Y = -0.977, Z = 0.000, Length = 1.000)</v>
      </c>
      <c r="G542">
        <f t="shared" ca="1" si="114"/>
        <v>0.2</v>
      </c>
      <c r="H542">
        <f t="shared" ca="1" si="115"/>
        <v>-1</v>
      </c>
      <c r="I542">
        <f t="shared" ca="1" si="116"/>
        <v>0</v>
      </c>
      <c r="J542" s="8">
        <f t="shared" ca="1" si="117"/>
        <v>-78.690067525979785</v>
      </c>
      <c r="K542" s="9" t="str">
        <f t="shared" ca="1" si="118"/>
        <v>S</v>
      </c>
      <c r="L542">
        <f ca="1">+_xlfn.IFNA(VLOOKUP(M542,BespokeWindowsAreas!$A$1:$E$1999,1,FALSE),VLOOKUP(E542,WindowTypeArea!$B$2:$C$2000,2,FALSE))</f>
        <v>2.9737499999999999</v>
      </c>
      <c r="M542">
        <f t="shared" ca="1" si="119"/>
        <v>4929849</v>
      </c>
    </row>
    <row r="543" spans="1:13" x14ac:dyDescent="0.25">
      <c r="A543">
        <f t="shared" ca="1" si="110"/>
        <v>2</v>
      </c>
      <c r="B543">
        <f t="shared" ca="1" si="111"/>
        <v>130</v>
      </c>
      <c r="C543" t="str">
        <f t="shared" ca="1" si="120"/>
        <v>'WINDOWS-NCH-A-BDP-M3-00-00'!B129</v>
      </c>
      <c r="D543" s="6" t="str">
        <f t="shared" ca="1" si="109"/>
        <v>L00-IMG-NMD-S093-01</v>
      </c>
      <c r="E543" t="str">
        <f t="shared" ca="1" si="112"/>
        <v>Family Type: Curtain Wall_975w x 3050h 2, Family: Window External Type 6 - Flush, Recessed</v>
      </c>
      <c r="F543" t="str">
        <f t="shared" ca="1" si="113"/>
        <v>Vector(X = 0.212, Y = -0.977, Z = 0.000, Length = 1.000)</v>
      </c>
      <c r="G543">
        <f t="shared" ca="1" si="114"/>
        <v>0.2</v>
      </c>
      <c r="H543">
        <f t="shared" ca="1" si="115"/>
        <v>-1</v>
      </c>
      <c r="I543">
        <f t="shared" ca="1" si="116"/>
        <v>0</v>
      </c>
      <c r="J543" s="8">
        <f t="shared" ca="1" si="117"/>
        <v>-78.690067525979785</v>
      </c>
      <c r="K543" s="9" t="str">
        <f t="shared" ca="1" si="118"/>
        <v>S</v>
      </c>
      <c r="L543">
        <f ca="1">+_xlfn.IFNA(VLOOKUP(M543,BespokeWindowsAreas!$A$1:$E$1999,1,FALSE),VLOOKUP(E543,WindowTypeArea!$B$2:$C$2000,2,FALSE))</f>
        <v>2.9737499999999999</v>
      </c>
      <c r="M543">
        <f t="shared" ca="1" si="119"/>
        <v>4929850</v>
      </c>
    </row>
    <row r="544" spans="1:13" x14ac:dyDescent="0.25">
      <c r="A544">
        <f t="shared" ca="1" si="110"/>
        <v>2</v>
      </c>
      <c r="B544">
        <f t="shared" ca="1" si="111"/>
        <v>131</v>
      </c>
      <c r="C544" t="str">
        <f t="shared" ca="1" si="120"/>
        <v>'WINDOWS-NCH-A-BDP-M3-00-00'!B130</v>
      </c>
      <c r="D544" s="6" t="str">
        <f t="shared" ca="1" si="109"/>
        <v>L00-IMG-NMD-S093-01</v>
      </c>
      <c r="E544" t="str">
        <f t="shared" ca="1" si="112"/>
        <v>Family Type: Curtain Wall_975w x 3050h 2, Family: Window External Type 6 - Flush, Recessed</v>
      </c>
      <c r="F544" t="str">
        <f t="shared" ca="1" si="113"/>
        <v>Vector(X = 0.212, Y = -0.977, Z = 0.000, Length = 1.000)</v>
      </c>
      <c r="G544">
        <f t="shared" ca="1" si="114"/>
        <v>0.2</v>
      </c>
      <c r="H544">
        <f t="shared" ca="1" si="115"/>
        <v>-1</v>
      </c>
      <c r="I544">
        <f t="shared" ca="1" si="116"/>
        <v>0</v>
      </c>
      <c r="J544" s="8">
        <f t="shared" ca="1" si="117"/>
        <v>-78.690067525979785</v>
      </c>
      <c r="K544" s="9" t="str">
        <f t="shared" ca="1" si="118"/>
        <v>S</v>
      </c>
      <c r="L544">
        <f ca="1">+_xlfn.IFNA(VLOOKUP(M544,BespokeWindowsAreas!$A$1:$E$1999,1,FALSE),VLOOKUP(E544,WindowTypeArea!$B$2:$C$2000,2,FALSE))</f>
        <v>2.9737499999999999</v>
      </c>
      <c r="M544">
        <f t="shared" ca="1" si="119"/>
        <v>4929851</v>
      </c>
    </row>
    <row r="545" spans="1:13" x14ac:dyDescent="0.25">
      <c r="A545">
        <f t="shared" ca="1" si="110"/>
        <v>2</v>
      </c>
      <c r="B545">
        <f t="shared" ca="1" si="111"/>
        <v>132</v>
      </c>
      <c r="C545" t="str">
        <f t="shared" ca="1" si="120"/>
        <v>'WINDOWS-NCH-A-BDP-M3-00-00'!B131</v>
      </c>
      <c r="D545" s="6" t="str">
        <f t="shared" ca="1" si="109"/>
        <v>L00-IMG-NMD-S093-01</v>
      </c>
      <c r="E545" t="str">
        <f t="shared" ca="1" si="112"/>
        <v>Family Type: Curtain Wall_975w x 3050h 2, Family: Window External Type 6 - Flush, Recessed</v>
      </c>
      <c r="F545" t="str">
        <f t="shared" ca="1" si="113"/>
        <v>Vector(X = 0.212, Y = -0.977, Z = 0.000, Length = 1.000)</v>
      </c>
      <c r="G545">
        <f t="shared" ca="1" si="114"/>
        <v>0.2</v>
      </c>
      <c r="H545">
        <f t="shared" ca="1" si="115"/>
        <v>-1</v>
      </c>
      <c r="I545">
        <f t="shared" ca="1" si="116"/>
        <v>0</v>
      </c>
      <c r="J545" s="8">
        <f t="shared" ca="1" si="117"/>
        <v>-78.690067525979785</v>
      </c>
      <c r="K545" s="9" t="str">
        <f t="shared" ca="1" si="118"/>
        <v>S</v>
      </c>
      <c r="L545">
        <f ca="1">+_xlfn.IFNA(VLOOKUP(M545,BespokeWindowsAreas!$A$1:$E$1999,1,FALSE),VLOOKUP(E545,WindowTypeArea!$B$2:$C$2000,2,FALSE))</f>
        <v>2.9737499999999999</v>
      </c>
      <c r="M545">
        <f t="shared" ca="1" si="119"/>
        <v>4929852</v>
      </c>
    </row>
    <row r="546" spans="1:13" x14ac:dyDescent="0.25">
      <c r="A546">
        <f t="shared" ca="1" si="110"/>
        <v>2</v>
      </c>
      <c r="B546">
        <f t="shared" ca="1" si="111"/>
        <v>133</v>
      </c>
      <c r="C546" t="str">
        <f t="shared" ca="1" si="120"/>
        <v>'WINDOWS-NCH-A-BDP-M3-00-00'!B132</v>
      </c>
      <c r="D546" s="6" t="str">
        <f t="shared" ca="1" si="109"/>
        <v>L00-IMG-NMD-S093-01</v>
      </c>
      <c r="E546" t="str">
        <f t="shared" ca="1" si="112"/>
        <v>Family Type: Curtain Wall_975w x 3050h 2, Family: Window External Type 6 - Flush, Recessed</v>
      </c>
      <c r="F546" t="str">
        <f t="shared" ca="1" si="113"/>
        <v>Vector(X = 0.212, Y = -0.977, Z = 0.000, Length = 1.000)</v>
      </c>
      <c r="G546">
        <f t="shared" ca="1" si="114"/>
        <v>0.2</v>
      </c>
      <c r="H546">
        <f t="shared" ca="1" si="115"/>
        <v>-1</v>
      </c>
      <c r="I546">
        <f t="shared" ca="1" si="116"/>
        <v>0</v>
      </c>
      <c r="J546" s="8">
        <f t="shared" ca="1" si="117"/>
        <v>-78.690067525979785</v>
      </c>
      <c r="K546" s="9" t="str">
        <f t="shared" ca="1" si="118"/>
        <v>S</v>
      </c>
      <c r="L546">
        <f ca="1">+_xlfn.IFNA(VLOOKUP(M546,BespokeWindowsAreas!$A$1:$E$1999,1,FALSE),VLOOKUP(E546,WindowTypeArea!$B$2:$C$2000,2,FALSE))</f>
        <v>2.9737499999999999</v>
      </c>
      <c r="M546">
        <f t="shared" ca="1" si="119"/>
        <v>4929853</v>
      </c>
    </row>
    <row r="547" spans="1:13" x14ac:dyDescent="0.25">
      <c r="A547">
        <f t="shared" ca="1" si="110"/>
        <v>2</v>
      </c>
      <c r="B547">
        <f t="shared" ca="1" si="111"/>
        <v>134</v>
      </c>
      <c r="C547" t="str">
        <f t="shared" ca="1" si="120"/>
        <v>'WINDOWS-NCH-A-BDP-M3-00-00'!B133</v>
      </c>
      <c r="D547" s="6" t="str">
        <f t="shared" ca="1" si="109"/>
        <v>L00-IMG-NMD-S093-01</v>
      </c>
      <c r="E547" t="str">
        <f t="shared" ca="1" si="112"/>
        <v>Family Type: Curtain Wall_975w x 3050h 2, Family: Window External Type 6 - Flush, Recessed</v>
      </c>
      <c r="F547" t="str">
        <f t="shared" ca="1" si="113"/>
        <v>Vector(X = 0.212, Y = -0.977, Z = 0.000, Length = 1.000)</v>
      </c>
      <c r="G547">
        <f t="shared" ca="1" si="114"/>
        <v>0.2</v>
      </c>
      <c r="H547">
        <f t="shared" ca="1" si="115"/>
        <v>-1</v>
      </c>
      <c r="I547">
        <f t="shared" ca="1" si="116"/>
        <v>0</v>
      </c>
      <c r="J547" s="8">
        <f t="shared" ca="1" si="117"/>
        <v>-78.690067525979785</v>
      </c>
      <c r="K547" s="9" t="str">
        <f t="shared" ca="1" si="118"/>
        <v>S</v>
      </c>
      <c r="L547">
        <f ca="1">+_xlfn.IFNA(VLOOKUP(M547,BespokeWindowsAreas!$A$1:$E$1999,1,FALSE),VLOOKUP(E547,WindowTypeArea!$B$2:$C$2000,2,FALSE))</f>
        <v>2.9737499999999999</v>
      </c>
      <c r="M547">
        <f t="shared" ca="1" si="119"/>
        <v>4929854</v>
      </c>
    </row>
    <row r="548" spans="1:13" x14ac:dyDescent="0.25">
      <c r="A548">
        <f t="shared" ca="1" si="110"/>
        <v>2</v>
      </c>
      <c r="B548">
        <f t="shared" ca="1" si="111"/>
        <v>135</v>
      </c>
      <c r="C548" t="str">
        <f t="shared" ca="1" si="120"/>
        <v>'WINDOWS-NCH-A-BDP-M3-00-00'!B134</v>
      </c>
      <c r="D548" s="6" t="str">
        <f t="shared" ca="1" si="109"/>
        <v>L00-IMG-NMD-S093-01</v>
      </c>
      <c r="E548" t="str">
        <f t="shared" ca="1" si="112"/>
        <v>Family Type: Curtain Wall_1500w x 3050h, Family: Window External Type 6 - Flush, Recessed</v>
      </c>
      <c r="F548" t="str">
        <f t="shared" ca="1" si="113"/>
        <v>Vector(X = 0.212, Y = -0.977, Z = 0.000, Length = 1.000)</v>
      </c>
      <c r="G548">
        <f t="shared" ca="1" si="114"/>
        <v>0.2</v>
      </c>
      <c r="H548">
        <f t="shared" ca="1" si="115"/>
        <v>-1</v>
      </c>
      <c r="I548">
        <f t="shared" ca="1" si="116"/>
        <v>0</v>
      </c>
      <c r="J548" s="8">
        <f t="shared" ca="1" si="117"/>
        <v>-78.690067525979785</v>
      </c>
      <c r="K548" s="9" t="str">
        <f t="shared" ca="1" si="118"/>
        <v>S</v>
      </c>
      <c r="L548">
        <f ca="1">+_xlfn.IFNA(VLOOKUP(M548,BespokeWindowsAreas!$A$1:$E$1999,1,FALSE),VLOOKUP(E548,WindowTypeArea!$B$2:$C$2000,2,FALSE))</f>
        <v>4.5749999999999993</v>
      </c>
      <c r="M548">
        <f t="shared" ca="1" si="119"/>
        <v>4929855</v>
      </c>
    </row>
    <row r="549" spans="1:13" x14ac:dyDescent="0.25">
      <c r="A549">
        <f t="shared" ca="1" si="110"/>
        <v>2</v>
      </c>
      <c r="B549">
        <f t="shared" ca="1" si="111"/>
        <v>136</v>
      </c>
      <c r="C549" t="str">
        <f t="shared" ca="1" si="120"/>
        <v>'WINDOWS-NCH-A-BDP-M3-00-00'!B135</v>
      </c>
      <c r="D549" s="6" t="str">
        <f t="shared" ca="1" si="109"/>
        <v>L00-IMG-NMD-S093-01</v>
      </c>
      <c r="E549" t="str">
        <f t="shared" ca="1" si="112"/>
        <v>Family Type: Curtain Wall_975w x 3050h 2, Family: Window External Type 6 - Flush, Recessed</v>
      </c>
      <c r="F549" t="str">
        <f t="shared" ca="1" si="113"/>
        <v>Vector(X = 0.212, Y = -0.977, Z = 0.000, Length = 1.000)</v>
      </c>
      <c r="G549">
        <f t="shared" ca="1" si="114"/>
        <v>0.2</v>
      </c>
      <c r="H549">
        <f t="shared" ca="1" si="115"/>
        <v>-1</v>
      </c>
      <c r="I549">
        <f t="shared" ca="1" si="116"/>
        <v>0</v>
      </c>
      <c r="J549" s="8">
        <f t="shared" ca="1" si="117"/>
        <v>-78.690067525979785</v>
      </c>
      <c r="K549" s="9" t="str">
        <f t="shared" ca="1" si="118"/>
        <v>S</v>
      </c>
      <c r="L549">
        <f ca="1">+_xlfn.IFNA(VLOOKUP(M549,BespokeWindowsAreas!$A$1:$E$1999,1,FALSE),VLOOKUP(E549,WindowTypeArea!$B$2:$C$2000,2,FALSE))</f>
        <v>2.9737499999999999</v>
      </c>
      <c r="M549">
        <f t="shared" ca="1" si="119"/>
        <v>4929856</v>
      </c>
    </row>
    <row r="550" spans="1:13" x14ac:dyDescent="0.25">
      <c r="A550">
        <f t="shared" ca="1" si="110"/>
        <v>2</v>
      </c>
      <c r="B550">
        <f t="shared" ca="1" si="111"/>
        <v>137</v>
      </c>
      <c r="C550" t="str">
        <f t="shared" ca="1" si="120"/>
        <v>'WINDOWS-NCH-A-BDP-M3-00-00'!B136</v>
      </c>
      <c r="D550" s="6" t="str">
        <f t="shared" ca="1" si="109"/>
        <v>L00-IMG-NMD-S104-01</v>
      </c>
      <c r="E550" t="str">
        <f t="shared" ca="1" si="112"/>
        <v>L00-IMG-NMD-S104-01</v>
      </c>
      <c r="F550">
        <f t="shared" ca="1" si="113"/>
        <v>1875076</v>
      </c>
      <c r="G550">
        <f t="shared" ca="1" si="114"/>
        <v>0</v>
      </c>
      <c r="H550">
        <f t="shared" ca="1" si="115"/>
        <v>0</v>
      </c>
      <c r="I550">
        <f t="shared" ca="1" si="116"/>
        <v>0</v>
      </c>
      <c r="J550" s="8" t="e">
        <f t="shared" ca="1" si="117"/>
        <v>#DIV/0!</v>
      </c>
      <c r="K550" s="9" t="e">
        <f t="shared" ca="1" si="118"/>
        <v>#DIV/0!</v>
      </c>
      <c r="L550" t="e">
        <f ca="1">+_xlfn.IFNA(VLOOKUP(M550,BespokeWindowsAreas!$A$1:$E$1999,1,FALSE),VLOOKUP(E550,WindowTypeArea!$B$2:$C$2000,2,FALSE))</f>
        <v>#N/A</v>
      </c>
      <c r="M550">
        <f t="shared" ca="1" si="119"/>
        <v>0</v>
      </c>
    </row>
    <row r="551" spans="1:13" x14ac:dyDescent="0.25">
      <c r="A551">
        <f t="shared" ca="1" si="110"/>
        <v>2</v>
      </c>
      <c r="B551">
        <f t="shared" ca="1" si="111"/>
        <v>138</v>
      </c>
      <c r="C551" t="str">
        <f t="shared" ca="1" si="120"/>
        <v>'WINDOWS-NCH-A-BDP-M3-00-00'!B137</v>
      </c>
      <c r="D551" s="6" t="str">
        <f t="shared" ca="1" si="109"/>
        <v>L00-IMG-NMD-S104-01</v>
      </c>
      <c r="E551" t="str">
        <f t="shared" ca="1" si="112"/>
        <v>Family Type: Curtain Wall_975w x 3050h 2, Family: Window External Type 6 - Flush, Recessed</v>
      </c>
      <c r="F551" t="str">
        <f t="shared" ca="1" si="113"/>
        <v>Vector(X = 0.212, Y = -0.977, Z = 0.000, Length = 1.000)</v>
      </c>
      <c r="G551">
        <f t="shared" ca="1" si="114"/>
        <v>0.2</v>
      </c>
      <c r="H551">
        <f t="shared" ca="1" si="115"/>
        <v>-1</v>
      </c>
      <c r="I551">
        <f t="shared" ca="1" si="116"/>
        <v>0</v>
      </c>
      <c r="J551" s="8">
        <f t="shared" ca="1" si="117"/>
        <v>-78.690067525979785</v>
      </c>
      <c r="K551" s="9" t="str">
        <f t="shared" ca="1" si="118"/>
        <v>S</v>
      </c>
      <c r="L551">
        <f ca="1">+_xlfn.IFNA(VLOOKUP(M551,BespokeWindowsAreas!$A$1:$E$1999,1,FALSE),VLOOKUP(E551,WindowTypeArea!$B$2:$C$2000,2,FALSE))</f>
        <v>2.9737499999999999</v>
      </c>
      <c r="M551">
        <f t="shared" ca="1" si="119"/>
        <v>4928973</v>
      </c>
    </row>
    <row r="552" spans="1:13" x14ac:dyDescent="0.25">
      <c r="A552">
        <f t="shared" ca="1" si="110"/>
        <v>2</v>
      </c>
      <c r="B552">
        <f t="shared" ca="1" si="111"/>
        <v>139</v>
      </c>
      <c r="C552" t="str">
        <f t="shared" ca="1" si="120"/>
        <v>'WINDOWS-NCH-A-BDP-M3-00-00'!B138</v>
      </c>
      <c r="D552" s="6" t="str">
        <f t="shared" ca="1" si="109"/>
        <v>L00-IMG-NMD-S104-01</v>
      </c>
      <c r="E552" t="str">
        <f t="shared" ca="1" si="112"/>
        <v>Family Type: Curtain Wall_1500w x 3050h, Family: Window External Type 6 - Flush, Recessed</v>
      </c>
      <c r="F552" t="str">
        <f t="shared" ca="1" si="113"/>
        <v>Vector(X = 0.212, Y = -0.977, Z = 0.000, Length = 1.000)</v>
      </c>
      <c r="G552">
        <f t="shared" ca="1" si="114"/>
        <v>0.2</v>
      </c>
      <c r="H552">
        <f t="shared" ca="1" si="115"/>
        <v>-1</v>
      </c>
      <c r="I552">
        <f t="shared" ca="1" si="116"/>
        <v>0</v>
      </c>
      <c r="J552" s="8">
        <f t="shared" ca="1" si="117"/>
        <v>-78.690067525979785</v>
      </c>
      <c r="K552" s="9" t="str">
        <f t="shared" ca="1" si="118"/>
        <v>S</v>
      </c>
      <c r="L552">
        <f ca="1">+_xlfn.IFNA(VLOOKUP(M552,BespokeWindowsAreas!$A$1:$E$1999,1,FALSE),VLOOKUP(E552,WindowTypeArea!$B$2:$C$2000,2,FALSE))</f>
        <v>4.5749999999999993</v>
      </c>
      <c r="M552">
        <f t="shared" ca="1" si="119"/>
        <v>4929838</v>
      </c>
    </row>
    <row r="553" spans="1:13" x14ac:dyDescent="0.25">
      <c r="A553">
        <f t="shared" ca="1" si="110"/>
        <v>2</v>
      </c>
      <c r="B553">
        <f t="shared" ca="1" si="111"/>
        <v>140</v>
      </c>
      <c r="C553" t="str">
        <f t="shared" ca="1" si="120"/>
        <v>'WINDOWS-NCH-A-BDP-M3-00-00'!B139</v>
      </c>
      <c r="D553" s="6" t="str">
        <f t="shared" ca="1" si="109"/>
        <v>L00-IMG-NMD-S104-01</v>
      </c>
      <c r="E553" t="str">
        <f t="shared" ca="1" si="112"/>
        <v>Family Type: Curtain Wall_975w x 3050h 2, Family: Window External Type 6 - Flush, Recessed</v>
      </c>
      <c r="F553" t="str">
        <f t="shared" ca="1" si="113"/>
        <v>Vector(X = 0.212, Y = -0.977, Z = 0.000, Length = 1.000)</v>
      </c>
      <c r="G553">
        <f t="shared" ca="1" si="114"/>
        <v>0.2</v>
      </c>
      <c r="H553">
        <f t="shared" ca="1" si="115"/>
        <v>-1</v>
      </c>
      <c r="I553">
        <f t="shared" ca="1" si="116"/>
        <v>0</v>
      </c>
      <c r="J553" s="8">
        <f t="shared" ca="1" si="117"/>
        <v>-78.690067525979785</v>
      </c>
      <c r="K553" s="9" t="str">
        <f t="shared" ca="1" si="118"/>
        <v>S</v>
      </c>
      <c r="L553">
        <f ca="1">+_xlfn.IFNA(VLOOKUP(M553,BespokeWindowsAreas!$A$1:$E$1999,1,FALSE),VLOOKUP(E553,WindowTypeArea!$B$2:$C$2000,2,FALSE))</f>
        <v>2.9737499999999999</v>
      </c>
      <c r="M553">
        <f t="shared" ca="1" si="119"/>
        <v>4929840</v>
      </c>
    </row>
    <row r="554" spans="1:13" x14ac:dyDescent="0.25">
      <c r="A554">
        <f t="shared" ca="1" si="110"/>
        <v>2</v>
      </c>
      <c r="B554">
        <f t="shared" ca="1" si="111"/>
        <v>141</v>
      </c>
      <c r="C554" t="str">
        <f t="shared" ca="1" si="120"/>
        <v>'WINDOWS-NCH-A-BDP-M3-00-00'!B140</v>
      </c>
      <c r="D554" s="6" t="str">
        <f t="shared" ca="1" si="109"/>
        <v>L00-IMG-NMD-S104-01</v>
      </c>
      <c r="E554" t="str">
        <f t="shared" ca="1" si="112"/>
        <v>Family Type: Curtain Wall_975w x 3050h 2, Family: Window External Type 6 - Flush, Recessed</v>
      </c>
      <c r="F554" t="str">
        <f t="shared" ca="1" si="113"/>
        <v>Vector(X = 0.212, Y = -0.977, Z = 0.000, Length = 1.000)</v>
      </c>
      <c r="G554">
        <f t="shared" ca="1" si="114"/>
        <v>0.2</v>
      </c>
      <c r="H554">
        <f t="shared" ca="1" si="115"/>
        <v>-1</v>
      </c>
      <c r="I554">
        <f t="shared" ca="1" si="116"/>
        <v>0</v>
      </c>
      <c r="J554" s="8">
        <f t="shared" ca="1" si="117"/>
        <v>-78.690067525979785</v>
      </c>
      <c r="K554" s="9" t="str">
        <f t="shared" ca="1" si="118"/>
        <v>S</v>
      </c>
      <c r="L554">
        <f ca="1">+_xlfn.IFNA(VLOOKUP(M554,BespokeWindowsAreas!$A$1:$E$1999,1,FALSE),VLOOKUP(E554,WindowTypeArea!$B$2:$C$2000,2,FALSE))</f>
        <v>2.9737499999999999</v>
      </c>
      <c r="M554">
        <f t="shared" ca="1" si="119"/>
        <v>4929841</v>
      </c>
    </row>
    <row r="555" spans="1:13" x14ac:dyDescent="0.25">
      <c r="A555">
        <f t="shared" ca="1" si="110"/>
        <v>2</v>
      </c>
      <c r="B555">
        <f t="shared" ca="1" si="111"/>
        <v>142</v>
      </c>
      <c r="C555" t="str">
        <f t="shared" ca="1" si="120"/>
        <v>'WINDOWS-NCH-A-BDP-M3-00-00'!B141</v>
      </c>
      <c r="D555" s="6" t="str">
        <f t="shared" ca="1" si="109"/>
        <v>L00-IMG-NMD-S104-01</v>
      </c>
      <c r="E555" t="str">
        <f t="shared" ca="1" si="112"/>
        <v>Family Type: Curtain Wall_975w x 3050h 2, Family: Window External Type 6 - Flush, Recessed</v>
      </c>
      <c r="F555" t="str">
        <f t="shared" ca="1" si="113"/>
        <v>Vector(X = 0.212, Y = -0.977, Z = 0.000, Length = 1.000)</v>
      </c>
      <c r="G555">
        <f t="shared" ca="1" si="114"/>
        <v>0.2</v>
      </c>
      <c r="H555">
        <f t="shared" ca="1" si="115"/>
        <v>-1</v>
      </c>
      <c r="I555">
        <f t="shared" ca="1" si="116"/>
        <v>0</v>
      </c>
      <c r="J555" s="8">
        <f t="shared" ca="1" si="117"/>
        <v>-78.690067525979785</v>
      </c>
      <c r="K555" s="9" t="str">
        <f t="shared" ca="1" si="118"/>
        <v>S</v>
      </c>
      <c r="L555">
        <f ca="1">+_xlfn.IFNA(VLOOKUP(M555,BespokeWindowsAreas!$A$1:$E$1999,1,FALSE),VLOOKUP(E555,WindowTypeArea!$B$2:$C$2000,2,FALSE))</f>
        <v>2.9737499999999999</v>
      </c>
      <c r="M555">
        <f t="shared" ca="1" si="119"/>
        <v>4929842</v>
      </c>
    </row>
    <row r="556" spans="1:13" x14ac:dyDescent="0.25">
      <c r="A556">
        <f t="shared" ca="1" si="110"/>
        <v>2</v>
      </c>
      <c r="B556">
        <f t="shared" ca="1" si="111"/>
        <v>143</v>
      </c>
      <c r="C556" t="str">
        <f t="shared" ca="1" si="120"/>
        <v>'WINDOWS-NCH-A-BDP-M3-00-00'!B142</v>
      </c>
      <c r="D556" s="6" t="str">
        <f t="shared" ca="1" si="109"/>
        <v>L00-IMG-NMD-S104-01</v>
      </c>
      <c r="E556" t="str">
        <f t="shared" ca="1" si="112"/>
        <v>Family Type: Curtain Wall_1500w x 3050h, Family: Window External Type 6 - Flush, Recessed</v>
      </c>
      <c r="F556" t="str">
        <f t="shared" ca="1" si="113"/>
        <v>Vector(X = 0.212, Y = -0.977, Z = 0.000, Length = 1.000)</v>
      </c>
      <c r="G556">
        <f t="shared" ca="1" si="114"/>
        <v>0.2</v>
      </c>
      <c r="H556">
        <f t="shared" ca="1" si="115"/>
        <v>-1</v>
      </c>
      <c r="I556">
        <f t="shared" ca="1" si="116"/>
        <v>0</v>
      </c>
      <c r="J556" s="8">
        <f t="shared" ca="1" si="117"/>
        <v>-78.690067525979785</v>
      </c>
      <c r="K556" s="9" t="str">
        <f t="shared" ca="1" si="118"/>
        <v>S</v>
      </c>
      <c r="L556">
        <f ca="1">+_xlfn.IFNA(VLOOKUP(M556,BespokeWindowsAreas!$A$1:$E$1999,1,FALSE),VLOOKUP(E556,WindowTypeArea!$B$2:$C$2000,2,FALSE))</f>
        <v>4.5749999999999993</v>
      </c>
      <c r="M556">
        <f t="shared" ca="1" si="119"/>
        <v>4929843</v>
      </c>
    </row>
    <row r="557" spans="1:13" x14ac:dyDescent="0.25">
      <c r="A557">
        <f t="shared" ca="1" si="110"/>
        <v>2</v>
      </c>
      <c r="B557">
        <f t="shared" ca="1" si="111"/>
        <v>144</v>
      </c>
      <c r="C557" t="str">
        <f t="shared" ca="1" si="120"/>
        <v>'WINDOWS-NCH-A-BDP-M3-00-00'!B143</v>
      </c>
      <c r="D557" s="6" t="str">
        <f t="shared" ca="1" si="109"/>
        <v>L00-IMG-NMD-S103-01</v>
      </c>
      <c r="E557" t="str">
        <f t="shared" ca="1" si="112"/>
        <v>L00-IMG-NMD-S103-01</v>
      </c>
      <c r="F557">
        <f t="shared" ca="1" si="113"/>
        <v>1875080</v>
      </c>
      <c r="G557">
        <f t="shared" ca="1" si="114"/>
        <v>0</v>
      </c>
      <c r="H557">
        <f t="shared" ca="1" si="115"/>
        <v>0</v>
      </c>
      <c r="I557">
        <f t="shared" ca="1" si="116"/>
        <v>0</v>
      </c>
      <c r="J557" s="8" t="e">
        <f t="shared" ca="1" si="117"/>
        <v>#DIV/0!</v>
      </c>
      <c r="K557" s="9" t="e">
        <f t="shared" ca="1" si="118"/>
        <v>#DIV/0!</v>
      </c>
      <c r="L557" t="e">
        <f ca="1">+_xlfn.IFNA(VLOOKUP(M557,BespokeWindowsAreas!$A$1:$E$1999,1,FALSE),VLOOKUP(E557,WindowTypeArea!$B$2:$C$2000,2,FALSE))</f>
        <v>#N/A</v>
      </c>
      <c r="M557">
        <f t="shared" ca="1" si="119"/>
        <v>0</v>
      </c>
    </row>
    <row r="558" spans="1:13" x14ac:dyDescent="0.25">
      <c r="A558">
        <f t="shared" ca="1" si="110"/>
        <v>2</v>
      </c>
      <c r="B558">
        <f t="shared" ca="1" si="111"/>
        <v>145</v>
      </c>
      <c r="C558" t="str">
        <f t="shared" ca="1" si="120"/>
        <v>'WINDOWS-NCH-A-BDP-M3-00-00'!B144</v>
      </c>
      <c r="D558" s="6" t="str">
        <f t="shared" ca="1" si="109"/>
        <v>L00-IMG-NMD-S103-01</v>
      </c>
      <c r="E558" t="str">
        <f t="shared" ca="1" si="112"/>
        <v>Family Type: Curtain Wall_975w x 3050h 2, Family: Window External Type 6 - Flush, Recessed</v>
      </c>
      <c r="F558" t="str">
        <f t="shared" ca="1" si="113"/>
        <v>Vector(X = 0.212, Y = -0.977, Z = 0.000, Length = 1.000)</v>
      </c>
      <c r="G558">
        <f t="shared" ca="1" si="114"/>
        <v>0.2</v>
      </c>
      <c r="H558">
        <f t="shared" ca="1" si="115"/>
        <v>-1</v>
      </c>
      <c r="I558">
        <f t="shared" ca="1" si="116"/>
        <v>0</v>
      </c>
      <c r="J558" s="8">
        <f t="shared" ca="1" si="117"/>
        <v>-78.690067525979785</v>
      </c>
      <c r="K558" s="9" t="str">
        <f t="shared" ca="1" si="118"/>
        <v>S</v>
      </c>
      <c r="L558">
        <f ca="1">+_xlfn.IFNA(VLOOKUP(M558,BespokeWindowsAreas!$A$1:$E$1999,1,FALSE),VLOOKUP(E558,WindowTypeArea!$B$2:$C$2000,2,FALSE))</f>
        <v>2.9737499999999999</v>
      </c>
      <c r="M558">
        <f t="shared" ca="1" si="119"/>
        <v>4928973</v>
      </c>
    </row>
    <row r="559" spans="1:13" x14ac:dyDescent="0.25">
      <c r="A559">
        <f t="shared" ca="1" si="110"/>
        <v>2</v>
      </c>
      <c r="B559">
        <f t="shared" ca="1" si="111"/>
        <v>146</v>
      </c>
      <c r="C559" t="str">
        <f t="shared" ca="1" si="120"/>
        <v>'WINDOWS-NCH-A-BDP-M3-00-00'!B145</v>
      </c>
      <c r="D559" s="6" t="str">
        <f t="shared" ca="1" si="109"/>
        <v>L00-IMG-NMD-S103-01</v>
      </c>
      <c r="E559" t="str">
        <f t="shared" ca="1" si="112"/>
        <v>Family Type: Curtain Wall_975w x 3050h 2, Family: Window External Type 6 - Flush, Recessed</v>
      </c>
      <c r="F559" t="str">
        <f t="shared" ca="1" si="113"/>
        <v>Vector(X = 0.212, Y = -0.977, Z = 0.000, Length = 1.000)</v>
      </c>
      <c r="G559">
        <f t="shared" ca="1" si="114"/>
        <v>0.2</v>
      </c>
      <c r="H559">
        <f t="shared" ca="1" si="115"/>
        <v>-1</v>
      </c>
      <c r="I559">
        <f t="shared" ca="1" si="116"/>
        <v>0</v>
      </c>
      <c r="J559" s="8">
        <f t="shared" ca="1" si="117"/>
        <v>-78.690067525979785</v>
      </c>
      <c r="K559" s="9" t="str">
        <f t="shared" ca="1" si="118"/>
        <v>S</v>
      </c>
      <c r="L559">
        <f ca="1">+_xlfn.IFNA(VLOOKUP(M559,BespokeWindowsAreas!$A$1:$E$1999,1,FALSE),VLOOKUP(E559,WindowTypeArea!$B$2:$C$2000,2,FALSE))</f>
        <v>2.9737499999999999</v>
      </c>
      <c r="M559">
        <f t="shared" ca="1" si="119"/>
        <v>4929840</v>
      </c>
    </row>
    <row r="560" spans="1:13" x14ac:dyDescent="0.25">
      <c r="A560">
        <f t="shared" ca="1" si="110"/>
        <v>2</v>
      </c>
      <c r="B560">
        <f t="shared" ca="1" si="111"/>
        <v>147</v>
      </c>
      <c r="C560" t="str">
        <f t="shared" ca="1" si="120"/>
        <v>'WINDOWS-NCH-A-BDP-M3-00-00'!B146</v>
      </c>
      <c r="D560" s="6" t="str">
        <f t="shared" ca="1" si="109"/>
        <v>L00-IMG-NMD-S103-01</v>
      </c>
      <c r="E560" t="str">
        <f t="shared" ca="1" si="112"/>
        <v>Family Type: Curtain Wall_975w x 3050h 2, Family: Window External Type 6 - Flush, Recessed</v>
      </c>
      <c r="F560" t="str">
        <f t="shared" ca="1" si="113"/>
        <v>Vector(X = 0.212, Y = -0.977, Z = 0.000, Length = 1.000)</v>
      </c>
      <c r="G560">
        <f t="shared" ca="1" si="114"/>
        <v>0.2</v>
      </c>
      <c r="H560">
        <f t="shared" ca="1" si="115"/>
        <v>-1</v>
      </c>
      <c r="I560">
        <f t="shared" ca="1" si="116"/>
        <v>0</v>
      </c>
      <c r="J560" s="8">
        <f t="shared" ca="1" si="117"/>
        <v>-78.690067525979785</v>
      </c>
      <c r="K560" s="9" t="str">
        <f t="shared" ca="1" si="118"/>
        <v>S</v>
      </c>
      <c r="L560">
        <f ca="1">+_xlfn.IFNA(VLOOKUP(M560,BespokeWindowsAreas!$A$1:$E$1999,1,FALSE),VLOOKUP(E560,WindowTypeArea!$B$2:$C$2000,2,FALSE))</f>
        <v>2.9737499999999999</v>
      </c>
      <c r="M560">
        <f t="shared" ca="1" si="119"/>
        <v>4929841</v>
      </c>
    </row>
    <row r="561" spans="1:13" x14ac:dyDescent="0.25">
      <c r="A561">
        <f t="shared" ca="1" si="110"/>
        <v>2</v>
      </c>
      <c r="B561">
        <f t="shared" ca="1" si="111"/>
        <v>148</v>
      </c>
      <c r="C561" t="str">
        <f t="shared" ca="1" si="120"/>
        <v>'WINDOWS-NCH-A-BDP-M3-00-00'!B147</v>
      </c>
      <c r="D561" s="6" t="str">
        <f t="shared" ca="1" si="109"/>
        <v>L00-IMG-NMD-S103-01</v>
      </c>
      <c r="E561" t="str">
        <f t="shared" ca="1" si="112"/>
        <v>Family Type: Curtain Wall_975w x 3050h 2, Family: Window External Type 6 - Flush, Recessed</v>
      </c>
      <c r="F561" t="str">
        <f t="shared" ca="1" si="113"/>
        <v>Vector(X = 0.212, Y = -0.977, Z = 0.000, Length = 1.000)</v>
      </c>
      <c r="G561">
        <f t="shared" ca="1" si="114"/>
        <v>0.2</v>
      </c>
      <c r="H561">
        <f t="shared" ca="1" si="115"/>
        <v>-1</v>
      </c>
      <c r="I561">
        <f t="shared" ca="1" si="116"/>
        <v>0</v>
      </c>
      <c r="J561" s="8">
        <f t="shared" ca="1" si="117"/>
        <v>-78.690067525979785</v>
      </c>
      <c r="K561" s="9" t="str">
        <f t="shared" ca="1" si="118"/>
        <v>S</v>
      </c>
      <c r="L561">
        <f ca="1">+_xlfn.IFNA(VLOOKUP(M561,BespokeWindowsAreas!$A$1:$E$1999,1,FALSE),VLOOKUP(E561,WindowTypeArea!$B$2:$C$2000,2,FALSE))</f>
        <v>2.9737499999999999</v>
      </c>
      <c r="M561">
        <f t="shared" ca="1" si="119"/>
        <v>4929842</v>
      </c>
    </row>
    <row r="562" spans="1:13" x14ac:dyDescent="0.25">
      <c r="A562">
        <f t="shared" ca="1" si="110"/>
        <v>2</v>
      </c>
      <c r="B562">
        <f t="shared" ca="1" si="111"/>
        <v>149</v>
      </c>
      <c r="C562" t="str">
        <f t="shared" ca="1" si="120"/>
        <v>'WINDOWS-NCH-A-BDP-M3-00-00'!B148</v>
      </c>
      <c r="D562" s="6" t="str">
        <f t="shared" ca="1" si="109"/>
        <v>L00-IMG-NMD-S103-01</v>
      </c>
      <c r="E562" t="str">
        <f t="shared" ca="1" si="112"/>
        <v>Family Type: Curtain Wall_1500w x 3050h, Family: Window External Type 6 - Flush, Recessed</v>
      </c>
      <c r="F562" t="str">
        <f t="shared" ca="1" si="113"/>
        <v>Vector(X = 0.212, Y = -0.977, Z = 0.000, Length = 1.000)</v>
      </c>
      <c r="G562">
        <f t="shared" ca="1" si="114"/>
        <v>0.2</v>
      </c>
      <c r="H562">
        <f t="shared" ca="1" si="115"/>
        <v>-1</v>
      </c>
      <c r="I562">
        <f t="shared" ca="1" si="116"/>
        <v>0</v>
      </c>
      <c r="J562" s="8">
        <f t="shared" ca="1" si="117"/>
        <v>-78.690067525979785</v>
      </c>
      <c r="K562" s="9" t="str">
        <f t="shared" ca="1" si="118"/>
        <v>S</v>
      </c>
      <c r="L562">
        <f ca="1">+_xlfn.IFNA(VLOOKUP(M562,BespokeWindowsAreas!$A$1:$E$1999,1,FALSE),VLOOKUP(E562,WindowTypeArea!$B$2:$C$2000,2,FALSE))</f>
        <v>4.5749999999999993</v>
      </c>
      <c r="M562">
        <f t="shared" ca="1" si="119"/>
        <v>4929843</v>
      </c>
    </row>
    <row r="563" spans="1:13" x14ac:dyDescent="0.25">
      <c r="A563">
        <f t="shared" ca="1" si="110"/>
        <v>2</v>
      </c>
      <c r="B563">
        <f t="shared" ca="1" si="111"/>
        <v>150</v>
      </c>
      <c r="C563" t="str">
        <f t="shared" ca="1" si="120"/>
        <v>'WINDOWS-NCH-A-BDP-M3-00-00'!B149</v>
      </c>
      <c r="D563" s="6" t="str">
        <f t="shared" ca="1" si="109"/>
        <v>L00-IMG-NMD-S109-01</v>
      </c>
      <c r="E563" t="str">
        <f t="shared" ca="1" si="112"/>
        <v>L00-IMG-NMD-S109-01</v>
      </c>
      <c r="F563">
        <f t="shared" ca="1" si="113"/>
        <v>1875082</v>
      </c>
      <c r="G563">
        <f t="shared" ca="1" si="114"/>
        <v>0</v>
      </c>
      <c r="H563">
        <f t="shared" ca="1" si="115"/>
        <v>0</v>
      </c>
      <c r="I563">
        <f t="shared" ca="1" si="116"/>
        <v>0</v>
      </c>
      <c r="J563" s="8" t="e">
        <f t="shared" ca="1" si="117"/>
        <v>#DIV/0!</v>
      </c>
      <c r="K563" s="9" t="e">
        <f t="shared" ca="1" si="118"/>
        <v>#DIV/0!</v>
      </c>
      <c r="L563" t="e">
        <f ca="1">+_xlfn.IFNA(VLOOKUP(M563,BespokeWindowsAreas!$A$1:$E$1999,1,FALSE),VLOOKUP(E563,WindowTypeArea!$B$2:$C$2000,2,FALSE))</f>
        <v>#N/A</v>
      </c>
      <c r="M563">
        <f t="shared" ca="1" si="119"/>
        <v>0</v>
      </c>
    </row>
    <row r="564" spans="1:13" x14ac:dyDescent="0.25">
      <c r="A564">
        <f t="shared" ca="1" si="110"/>
        <v>2</v>
      </c>
      <c r="B564">
        <f t="shared" ca="1" si="111"/>
        <v>151</v>
      </c>
      <c r="C564" t="str">
        <f t="shared" ca="1" si="120"/>
        <v>'WINDOWS-NCH-A-BDP-M3-00-00'!B150</v>
      </c>
      <c r="D564" s="6" t="str">
        <f t="shared" ca="1" si="109"/>
        <v>L00-IMG-NMD-S109-01</v>
      </c>
      <c r="E564" t="str">
        <f t="shared" ca="1" si="112"/>
        <v>Family Type: Curtain Wall_1950w x 3050h, Family: Window External Type 6 - Flush, Recessed</v>
      </c>
      <c r="F564" t="str">
        <f t="shared" ca="1" si="113"/>
        <v>Vector(X = 0.212, Y = -0.977, Z = 0.000, Length = 1.000)</v>
      </c>
      <c r="G564">
        <f t="shared" ca="1" si="114"/>
        <v>0.2</v>
      </c>
      <c r="H564">
        <f t="shared" ca="1" si="115"/>
        <v>-1</v>
      </c>
      <c r="I564">
        <f t="shared" ca="1" si="116"/>
        <v>0</v>
      </c>
      <c r="J564" s="8">
        <f t="shared" ca="1" si="117"/>
        <v>-78.690067525979785</v>
      </c>
      <c r="K564" s="9" t="str">
        <f t="shared" ca="1" si="118"/>
        <v>S</v>
      </c>
      <c r="L564">
        <f ca="1">+_xlfn.IFNA(VLOOKUP(M564,BespokeWindowsAreas!$A$1:$E$1999,1,FALSE),VLOOKUP(E564,WindowTypeArea!$B$2:$C$2000,2,FALSE))</f>
        <v>5.9474999999999998</v>
      </c>
      <c r="M564">
        <f t="shared" ca="1" si="119"/>
        <v>4929845</v>
      </c>
    </row>
    <row r="565" spans="1:13" x14ac:dyDescent="0.25">
      <c r="A565">
        <f t="shared" ca="1" si="110"/>
        <v>2</v>
      </c>
      <c r="B565">
        <f t="shared" ca="1" si="111"/>
        <v>152</v>
      </c>
      <c r="C565" t="str">
        <f t="shared" ca="1" si="120"/>
        <v>'WINDOWS-NCH-A-BDP-M3-00-00'!B151</v>
      </c>
      <c r="D565" s="6" t="str">
        <f t="shared" ca="1" si="109"/>
        <v>L00-IMG-NMD-S109-01</v>
      </c>
      <c r="E565" t="str">
        <f t="shared" ca="1" si="112"/>
        <v>Family Type: Curtain Wall_975w x 3050h 2, Family: Window External Type 6 - Flush, Recessed</v>
      </c>
      <c r="F565" t="str">
        <f t="shared" ca="1" si="113"/>
        <v>Vector(X = 0.212, Y = -0.977, Z = 0.000, Length = 1.000)</v>
      </c>
      <c r="G565">
        <f t="shared" ca="1" si="114"/>
        <v>0.2</v>
      </c>
      <c r="H565">
        <f t="shared" ca="1" si="115"/>
        <v>-1</v>
      </c>
      <c r="I565">
        <f t="shared" ca="1" si="116"/>
        <v>0</v>
      </c>
      <c r="J565" s="8">
        <f t="shared" ca="1" si="117"/>
        <v>-78.690067525979785</v>
      </c>
      <c r="K565" s="9" t="str">
        <f t="shared" ca="1" si="118"/>
        <v>S</v>
      </c>
      <c r="L565">
        <f ca="1">+_xlfn.IFNA(VLOOKUP(M565,BespokeWindowsAreas!$A$1:$E$1999,1,FALSE),VLOOKUP(E565,WindowTypeArea!$B$2:$C$2000,2,FALSE))</f>
        <v>2.9737499999999999</v>
      </c>
      <c r="M565">
        <f t="shared" ca="1" si="119"/>
        <v>4929846</v>
      </c>
    </row>
    <row r="566" spans="1:13" x14ac:dyDescent="0.25">
      <c r="A566">
        <f t="shared" ca="1" si="110"/>
        <v>2</v>
      </c>
      <c r="B566">
        <f t="shared" ca="1" si="111"/>
        <v>153</v>
      </c>
      <c r="C566" t="str">
        <f t="shared" ca="1" si="120"/>
        <v>'WINDOWS-NCH-A-BDP-M3-00-00'!B152</v>
      </c>
      <c r="D566" s="6" t="str">
        <f t="shared" ca="1" si="109"/>
        <v>L00-IMG-NMD-S109-01</v>
      </c>
      <c r="E566" t="str">
        <f t="shared" ca="1" si="112"/>
        <v>Family Type: Curtain Wall_1950w x 3050h, Family: Window External Type 6 - Flush, Recessed</v>
      </c>
      <c r="F566" t="str">
        <f t="shared" ca="1" si="113"/>
        <v>Vector(X = 0.212, Y = -0.977, Z = 0.000, Length = 1.000)</v>
      </c>
      <c r="G566">
        <f t="shared" ca="1" si="114"/>
        <v>0.2</v>
      </c>
      <c r="H566">
        <f t="shared" ca="1" si="115"/>
        <v>-1</v>
      </c>
      <c r="I566">
        <f t="shared" ca="1" si="116"/>
        <v>0</v>
      </c>
      <c r="J566" s="8">
        <f t="shared" ca="1" si="117"/>
        <v>-78.690067525979785</v>
      </c>
      <c r="K566" s="9" t="str">
        <f t="shared" ca="1" si="118"/>
        <v>S</v>
      </c>
      <c r="L566">
        <f ca="1">+_xlfn.IFNA(VLOOKUP(M566,BespokeWindowsAreas!$A$1:$E$1999,1,FALSE),VLOOKUP(E566,WindowTypeArea!$B$2:$C$2000,2,FALSE))</f>
        <v>5.9474999999999998</v>
      </c>
      <c r="M566">
        <f t="shared" ca="1" si="119"/>
        <v>4929847</v>
      </c>
    </row>
    <row r="567" spans="1:13" x14ac:dyDescent="0.25">
      <c r="A567">
        <f t="shared" ca="1" si="110"/>
        <v>2</v>
      </c>
      <c r="B567">
        <f t="shared" ca="1" si="111"/>
        <v>154</v>
      </c>
      <c r="C567" t="str">
        <f t="shared" ca="1" si="120"/>
        <v>'WINDOWS-NCH-A-BDP-M3-00-00'!B153</v>
      </c>
      <c r="D567" s="6" t="str">
        <f t="shared" ca="1" si="109"/>
        <v>L00-IMG-NMD-U0388-01</v>
      </c>
      <c r="E567" t="str">
        <f t="shared" ca="1" si="112"/>
        <v>L00-IMG-NMD-U0388-01</v>
      </c>
      <c r="F567">
        <f t="shared" ca="1" si="113"/>
        <v>1875094</v>
      </c>
      <c r="G567">
        <f t="shared" ca="1" si="114"/>
        <v>0</v>
      </c>
      <c r="H567">
        <f t="shared" ca="1" si="115"/>
        <v>0</v>
      </c>
      <c r="I567">
        <f t="shared" ca="1" si="116"/>
        <v>0</v>
      </c>
      <c r="J567" s="8" t="e">
        <f t="shared" ca="1" si="117"/>
        <v>#DIV/0!</v>
      </c>
      <c r="K567" s="9" t="e">
        <f t="shared" ca="1" si="118"/>
        <v>#DIV/0!</v>
      </c>
      <c r="L567" t="e">
        <f ca="1">+_xlfn.IFNA(VLOOKUP(M567,BespokeWindowsAreas!$A$1:$E$1999,1,FALSE),VLOOKUP(E567,WindowTypeArea!$B$2:$C$2000,2,FALSE))</f>
        <v>#N/A</v>
      </c>
      <c r="M567">
        <f t="shared" ca="1" si="119"/>
        <v>0</v>
      </c>
    </row>
    <row r="568" spans="1:13" x14ac:dyDescent="0.25">
      <c r="A568">
        <f t="shared" ca="1" si="110"/>
        <v>2</v>
      </c>
      <c r="B568">
        <f t="shared" ca="1" si="111"/>
        <v>155</v>
      </c>
      <c r="C568" t="str">
        <f t="shared" ca="1" si="120"/>
        <v>'WINDOWS-NCH-A-BDP-M3-00-00'!B154</v>
      </c>
      <c r="D568" s="6" t="str">
        <f t="shared" ca="1" si="109"/>
        <v>L00-IMG-NMD-U0388-01</v>
      </c>
      <c r="E568" t="str">
        <f t="shared" ca="1" si="112"/>
        <v>Family Type: Curtain Wall_975w x 3050h 2, Family: Window External Type 6 - Flush, Recessed</v>
      </c>
      <c r="F568" t="str">
        <f t="shared" ca="1" si="113"/>
        <v>Vector(X = 0.212, Y = -0.977, Z = 0.000, Length = 1.000)</v>
      </c>
      <c r="G568">
        <f t="shared" ca="1" si="114"/>
        <v>0.2</v>
      </c>
      <c r="H568">
        <f t="shared" ca="1" si="115"/>
        <v>-1</v>
      </c>
      <c r="I568">
        <f t="shared" ca="1" si="116"/>
        <v>0</v>
      </c>
      <c r="J568" s="8">
        <f t="shared" ca="1" si="117"/>
        <v>-78.690067525979785</v>
      </c>
      <c r="K568" s="9" t="str">
        <f t="shared" ca="1" si="118"/>
        <v>S</v>
      </c>
      <c r="L568">
        <f ca="1">+_xlfn.IFNA(VLOOKUP(M568,BespokeWindowsAreas!$A$1:$E$1999,1,FALSE),VLOOKUP(E568,WindowTypeArea!$B$2:$C$2000,2,FALSE))</f>
        <v>2.9737499999999999</v>
      </c>
      <c r="M568">
        <f t="shared" ca="1" si="119"/>
        <v>4929856</v>
      </c>
    </row>
    <row r="569" spans="1:13" x14ac:dyDescent="0.25">
      <c r="A569">
        <f t="shared" ca="1" si="110"/>
        <v>2</v>
      </c>
      <c r="B569">
        <f t="shared" ca="1" si="111"/>
        <v>156</v>
      </c>
      <c r="C569" t="str">
        <f t="shared" ca="1" si="120"/>
        <v>'WINDOWS-NCH-A-BDP-M3-00-00'!B155</v>
      </c>
      <c r="D569" s="6" t="str">
        <f t="shared" ca="1" si="109"/>
        <v>L00-IMG-NMD-U0388-01</v>
      </c>
      <c r="E569" t="str">
        <f t="shared" ca="1" si="112"/>
        <v>Family Type: Curtain Wall_975w x 3050h 2, Family: Window External Type 6 - Flush, Recessed</v>
      </c>
      <c r="F569" t="str">
        <f t="shared" ca="1" si="113"/>
        <v>Vector(X = 0.212, Y = -0.977, Z = 0.000, Length = 1.000)</v>
      </c>
      <c r="G569">
        <f t="shared" ca="1" si="114"/>
        <v>0.2</v>
      </c>
      <c r="H569">
        <f t="shared" ca="1" si="115"/>
        <v>-1</v>
      </c>
      <c r="I569">
        <f t="shared" ca="1" si="116"/>
        <v>0</v>
      </c>
      <c r="J569" s="8">
        <f t="shared" ca="1" si="117"/>
        <v>-78.690067525979785</v>
      </c>
      <c r="K569" s="9" t="str">
        <f t="shared" ca="1" si="118"/>
        <v>S</v>
      </c>
      <c r="L569">
        <f ca="1">+_xlfn.IFNA(VLOOKUP(M569,BespokeWindowsAreas!$A$1:$E$1999,1,FALSE),VLOOKUP(E569,WindowTypeArea!$B$2:$C$2000,2,FALSE))</f>
        <v>2.9737499999999999</v>
      </c>
      <c r="M569">
        <f t="shared" ca="1" si="119"/>
        <v>4929857</v>
      </c>
    </row>
    <row r="570" spans="1:13" x14ac:dyDescent="0.25">
      <c r="A570">
        <f t="shared" ca="1" si="110"/>
        <v>2</v>
      </c>
      <c r="B570">
        <f t="shared" ca="1" si="111"/>
        <v>157</v>
      </c>
      <c r="C570" t="str">
        <f t="shared" ca="1" si="120"/>
        <v>'WINDOWS-NCH-A-BDP-M3-00-00'!B156</v>
      </c>
      <c r="D570" s="6" t="str">
        <f t="shared" ca="1" si="109"/>
        <v>L00-IMG-NMD-U0388-01</v>
      </c>
      <c r="E570" t="str">
        <f t="shared" ca="1" si="112"/>
        <v>Family Type: Curtain Wall_975w x 3050h 2, Family: Window External Type 6 - Flush, Recessed</v>
      </c>
      <c r="F570" t="str">
        <f t="shared" ca="1" si="113"/>
        <v>Vector(X = 0.212, Y = -0.977, Z = 0.000, Length = 1.000)</v>
      </c>
      <c r="G570">
        <f t="shared" ca="1" si="114"/>
        <v>0.2</v>
      </c>
      <c r="H570">
        <f t="shared" ca="1" si="115"/>
        <v>-1</v>
      </c>
      <c r="I570">
        <f t="shared" ca="1" si="116"/>
        <v>0</v>
      </c>
      <c r="J570" s="8">
        <f t="shared" ca="1" si="117"/>
        <v>-78.690067525979785</v>
      </c>
      <c r="K570" s="9" t="str">
        <f t="shared" ca="1" si="118"/>
        <v>S</v>
      </c>
      <c r="L570">
        <f ca="1">+_xlfn.IFNA(VLOOKUP(M570,BespokeWindowsAreas!$A$1:$E$1999,1,FALSE),VLOOKUP(E570,WindowTypeArea!$B$2:$C$2000,2,FALSE))</f>
        <v>2.9737499999999999</v>
      </c>
      <c r="M570">
        <f t="shared" ca="1" si="119"/>
        <v>4929858</v>
      </c>
    </row>
    <row r="571" spans="1:13" x14ac:dyDescent="0.25">
      <c r="A571">
        <f t="shared" ca="1" si="110"/>
        <v>2</v>
      </c>
      <c r="B571">
        <f t="shared" ca="1" si="111"/>
        <v>158</v>
      </c>
      <c r="C571" t="str">
        <f t="shared" ca="1" si="120"/>
        <v>'WINDOWS-NCH-A-BDP-M3-00-00'!B157</v>
      </c>
      <c r="D571" s="6" t="str">
        <f t="shared" ca="1" si="109"/>
        <v>L00-IMG-NMD-U0388-01</v>
      </c>
      <c r="E571" t="str">
        <f t="shared" ca="1" si="112"/>
        <v>Family Type: Curtain Wall_975w x 3050h 2, Family: Window External Type 6 - Flush, Recessed</v>
      </c>
      <c r="F571" t="str">
        <f t="shared" ca="1" si="113"/>
        <v>Vector(X = 0.212, Y = -0.977, Z = 0.000, Length = 1.000)</v>
      </c>
      <c r="G571">
        <f t="shared" ca="1" si="114"/>
        <v>0.2</v>
      </c>
      <c r="H571">
        <f t="shared" ca="1" si="115"/>
        <v>-1</v>
      </c>
      <c r="I571">
        <f t="shared" ca="1" si="116"/>
        <v>0</v>
      </c>
      <c r="J571" s="8">
        <f t="shared" ca="1" si="117"/>
        <v>-78.690067525979785</v>
      </c>
      <c r="K571" s="9" t="str">
        <f t="shared" ca="1" si="118"/>
        <v>S</v>
      </c>
      <c r="L571">
        <f ca="1">+_xlfn.IFNA(VLOOKUP(M571,BespokeWindowsAreas!$A$1:$E$1999,1,FALSE),VLOOKUP(E571,WindowTypeArea!$B$2:$C$2000,2,FALSE))</f>
        <v>2.9737499999999999</v>
      </c>
      <c r="M571">
        <f t="shared" ca="1" si="119"/>
        <v>4929859</v>
      </c>
    </row>
    <row r="572" spans="1:13" x14ac:dyDescent="0.25">
      <c r="A572">
        <f t="shared" ca="1" si="110"/>
        <v>2</v>
      </c>
      <c r="B572">
        <f t="shared" ca="1" si="111"/>
        <v>159</v>
      </c>
      <c r="C572" t="str">
        <f t="shared" ca="1" si="120"/>
        <v>'WINDOWS-NCH-A-BDP-M3-00-00'!B158</v>
      </c>
      <c r="D572" s="6" t="str">
        <f t="shared" ca="1" si="109"/>
        <v>L00-IMG-NMD-U0388-01</v>
      </c>
      <c r="E572" t="str">
        <f t="shared" ca="1" si="112"/>
        <v>Family Type: Curtain Wall_975w x 3050h 2, Family: Window External Type 6 - Flush, Recessed</v>
      </c>
      <c r="F572" t="str">
        <f t="shared" ca="1" si="113"/>
        <v>Vector(X = 0.212, Y = -0.977, Z = 0.000, Length = 1.000)</v>
      </c>
      <c r="G572">
        <f t="shared" ca="1" si="114"/>
        <v>0.2</v>
      </c>
      <c r="H572">
        <f t="shared" ca="1" si="115"/>
        <v>-1</v>
      </c>
      <c r="I572">
        <f t="shared" ca="1" si="116"/>
        <v>0</v>
      </c>
      <c r="J572" s="8">
        <f t="shared" ca="1" si="117"/>
        <v>-78.690067525979785</v>
      </c>
      <c r="K572" s="9" t="str">
        <f t="shared" ca="1" si="118"/>
        <v>S</v>
      </c>
      <c r="L572">
        <f ca="1">+_xlfn.IFNA(VLOOKUP(M572,BespokeWindowsAreas!$A$1:$E$1999,1,FALSE),VLOOKUP(E572,WindowTypeArea!$B$2:$C$2000,2,FALSE))</f>
        <v>2.9737499999999999</v>
      </c>
      <c r="M572">
        <f t="shared" ca="1" si="119"/>
        <v>4929860</v>
      </c>
    </row>
    <row r="573" spans="1:13" x14ac:dyDescent="0.25">
      <c r="A573">
        <f t="shared" ca="1" si="110"/>
        <v>2</v>
      </c>
      <c r="B573">
        <f t="shared" ca="1" si="111"/>
        <v>160</v>
      </c>
      <c r="C573" t="str">
        <f t="shared" ca="1" si="120"/>
        <v>'WINDOWS-NCH-A-BDP-M3-00-00'!B159</v>
      </c>
      <c r="D573" s="6" t="str">
        <f t="shared" ca="1" si="109"/>
        <v>L00-IMG-NMD-U0388-01</v>
      </c>
      <c r="E573" t="str">
        <f t="shared" ca="1" si="112"/>
        <v>Family Type: Curtain Wall_975w x 3050h 2, Family: Window External Type 6 - Flush, Recessed</v>
      </c>
      <c r="F573" t="str">
        <f t="shared" ca="1" si="113"/>
        <v>Vector(X = 0.212, Y = -0.977, Z = 0.000, Length = 1.000)</v>
      </c>
      <c r="G573">
        <f t="shared" ca="1" si="114"/>
        <v>0.2</v>
      </c>
      <c r="H573">
        <f t="shared" ca="1" si="115"/>
        <v>-1</v>
      </c>
      <c r="I573">
        <f t="shared" ca="1" si="116"/>
        <v>0</v>
      </c>
      <c r="J573" s="8">
        <f t="shared" ca="1" si="117"/>
        <v>-78.690067525979785</v>
      </c>
      <c r="K573" s="9" t="str">
        <f t="shared" ca="1" si="118"/>
        <v>S</v>
      </c>
      <c r="L573">
        <f ca="1">+_xlfn.IFNA(VLOOKUP(M573,BespokeWindowsAreas!$A$1:$E$1999,1,FALSE),VLOOKUP(E573,WindowTypeArea!$B$2:$C$2000,2,FALSE))</f>
        <v>2.9737499999999999</v>
      </c>
      <c r="M573">
        <f t="shared" ca="1" si="119"/>
        <v>4929861</v>
      </c>
    </row>
    <row r="574" spans="1:13" x14ac:dyDescent="0.25">
      <c r="A574">
        <f t="shared" ca="1" si="110"/>
        <v>2</v>
      </c>
      <c r="B574">
        <f t="shared" ca="1" si="111"/>
        <v>161</v>
      </c>
      <c r="C574" t="str">
        <f t="shared" ca="1" si="120"/>
        <v>'WINDOWS-NCH-A-BDP-M3-00-00'!B160</v>
      </c>
      <c r="D574" s="6" t="str">
        <f t="shared" ca="1" si="109"/>
        <v>L00-IMG-NMD-U0388-01</v>
      </c>
      <c r="E574" t="str">
        <f t="shared" ca="1" si="112"/>
        <v>Family Type: Curtain Wall_975w x 3050h 2, Family: Window External Type 6 - Flush, Recessed</v>
      </c>
      <c r="F574" t="str">
        <f t="shared" ca="1" si="113"/>
        <v>Vector(X = 0.212, Y = -0.977, Z = 0.000, Length = 1.000)</v>
      </c>
      <c r="G574">
        <f t="shared" ca="1" si="114"/>
        <v>0.2</v>
      </c>
      <c r="H574">
        <f t="shared" ca="1" si="115"/>
        <v>-1</v>
      </c>
      <c r="I574">
        <f t="shared" ca="1" si="116"/>
        <v>0</v>
      </c>
      <c r="J574" s="8">
        <f t="shared" ca="1" si="117"/>
        <v>-78.690067525979785</v>
      </c>
      <c r="K574" s="9" t="str">
        <f t="shared" ca="1" si="118"/>
        <v>S</v>
      </c>
      <c r="L574">
        <f ca="1">+_xlfn.IFNA(VLOOKUP(M574,BespokeWindowsAreas!$A$1:$E$1999,1,FALSE),VLOOKUP(E574,WindowTypeArea!$B$2:$C$2000,2,FALSE))</f>
        <v>2.9737499999999999</v>
      </c>
      <c r="M574">
        <f t="shared" ca="1" si="119"/>
        <v>4929862</v>
      </c>
    </row>
    <row r="575" spans="1:13" x14ac:dyDescent="0.25">
      <c r="A575">
        <f t="shared" ca="1" si="110"/>
        <v>2</v>
      </c>
      <c r="B575">
        <f t="shared" ca="1" si="111"/>
        <v>162</v>
      </c>
      <c r="C575" t="str">
        <f t="shared" ca="1" si="120"/>
        <v>'WINDOWS-NCH-A-BDP-M3-00-00'!B161</v>
      </c>
      <c r="D575" s="6" t="str">
        <f t="shared" ca="1" si="109"/>
        <v>L00-IMG-NMD-U0388-01</v>
      </c>
      <c r="E575" t="str">
        <f t="shared" ca="1" si="112"/>
        <v>Family Type: Curtain Wall_975w x 3050h 2, Family: Window External Type 6 - Flush, Recessed</v>
      </c>
      <c r="F575" t="str">
        <f t="shared" ca="1" si="113"/>
        <v>Vector(X = 0.212, Y = -0.977, Z = 0.000, Length = 1.000)</v>
      </c>
      <c r="G575">
        <f t="shared" ca="1" si="114"/>
        <v>0.2</v>
      </c>
      <c r="H575">
        <f t="shared" ca="1" si="115"/>
        <v>-1</v>
      </c>
      <c r="I575">
        <f t="shared" ca="1" si="116"/>
        <v>0</v>
      </c>
      <c r="J575" s="8">
        <f t="shared" ca="1" si="117"/>
        <v>-78.690067525979785</v>
      </c>
      <c r="K575" s="9" t="str">
        <f t="shared" ca="1" si="118"/>
        <v>S</v>
      </c>
      <c r="L575">
        <f ca="1">+_xlfn.IFNA(VLOOKUP(M575,BespokeWindowsAreas!$A$1:$E$1999,1,FALSE),VLOOKUP(E575,WindowTypeArea!$B$2:$C$2000,2,FALSE))</f>
        <v>2.9737499999999999</v>
      </c>
      <c r="M575">
        <f t="shared" ca="1" si="119"/>
        <v>4929863</v>
      </c>
    </row>
    <row r="576" spans="1:13" x14ac:dyDescent="0.25">
      <c r="A576">
        <f t="shared" ca="1" si="110"/>
        <v>2</v>
      </c>
      <c r="B576">
        <f t="shared" ca="1" si="111"/>
        <v>163</v>
      </c>
      <c r="C576" t="str">
        <f t="shared" ca="1" si="120"/>
        <v>'WINDOWS-NCH-A-BDP-M3-00-00'!B162</v>
      </c>
      <c r="D576" s="6" t="str">
        <f t="shared" ca="1" si="109"/>
        <v>L00-IMG-NMD-U0388-01</v>
      </c>
      <c r="E576" t="str">
        <f t="shared" ca="1" si="112"/>
        <v>Family Type: Curtain Wall_975w x 3050h 2, Family: Window External Type 6 - Flush, Recessed</v>
      </c>
      <c r="F576" t="str">
        <f t="shared" ca="1" si="113"/>
        <v>Vector(X = 0.212, Y = -0.977, Z = 0.000, Length = 1.000)</v>
      </c>
      <c r="G576">
        <f t="shared" ca="1" si="114"/>
        <v>0.2</v>
      </c>
      <c r="H576">
        <f t="shared" ca="1" si="115"/>
        <v>-1</v>
      </c>
      <c r="I576">
        <f t="shared" ca="1" si="116"/>
        <v>0</v>
      </c>
      <c r="J576" s="8">
        <f t="shared" ca="1" si="117"/>
        <v>-78.690067525979785</v>
      </c>
      <c r="K576" s="9" t="str">
        <f t="shared" ca="1" si="118"/>
        <v>S</v>
      </c>
      <c r="L576">
        <f ca="1">+_xlfn.IFNA(VLOOKUP(M576,BespokeWindowsAreas!$A$1:$E$1999,1,FALSE),VLOOKUP(E576,WindowTypeArea!$B$2:$C$2000,2,FALSE))</f>
        <v>2.9737499999999999</v>
      </c>
      <c r="M576">
        <f t="shared" ca="1" si="119"/>
        <v>4933175</v>
      </c>
    </row>
    <row r="577" spans="1:13" x14ac:dyDescent="0.25">
      <c r="A577">
        <f t="shared" ca="1" si="110"/>
        <v>2</v>
      </c>
      <c r="B577">
        <f t="shared" ca="1" si="111"/>
        <v>164</v>
      </c>
      <c r="C577" t="str">
        <f t="shared" ca="1" si="120"/>
        <v>'WINDOWS-NCH-A-BDP-M3-00-00'!B163</v>
      </c>
      <c r="D577" s="6" t="str">
        <f t="shared" ca="1" si="109"/>
        <v>L00-IMG-NMD-U0388-01</v>
      </c>
      <c r="E577" t="str">
        <f t="shared" ca="1" si="112"/>
        <v>Family Type: Curtain Wall_975w x 3200h, Family: Window External Type 6 - Flush, Recessed</v>
      </c>
      <c r="F577" t="str">
        <f t="shared" ca="1" si="113"/>
        <v>Vector(X = 0.872, Y = 0.489, Z = 0.000, Length = 1.000)</v>
      </c>
      <c r="G577">
        <f t="shared" ca="1" si="114"/>
        <v>0.9</v>
      </c>
      <c r="H577">
        <f t="shared" ca="1" si="115"/>
        <v>0.5</v>
      </c>
      <c r="I577">
        <f t="shared" ca="1" si="116"/>
        <v>0</v>
      </c>
      <c r="J577" s="8">
        <f t="shared" ca="1" si="117"/>
        <v>29.054604099077146</v>
      </c>
      <c r="K577" s="9" t="str">
        <f t="shared" ca="1" si="118"/>
        <v>E</v>
      </c>
      <c r="L577">
        <f ca="1">+_xlfn.IFNA(VLOOKUP(M577,BespokeWindowsAreas!$A$1:$E$1999,1,FALSE),VLOOKUP(E577,WindowTypeArea!$B$2:$C$2000,2,FALSE))</f>
        <v>3.12</v>
      </c>
      <c r="M577">
        <f t="shared" ca="1" si="119"/>
        <v>5041661</v>
      </c>
    </row>
    <row r="578" spans="1:13" x14ac:dyDescent="0.25">
      <c r="A578">
        <f t="shared" ca="1" si="110"/>
        <v>2</v>
      </c>
      <c r="B578">
        <f t="shared" ca="1" si="111"/>
        <v>165</v>
      </c>
      <c r="C578" t="str">
        <f t="shared" ca="1" si="120"/>
        <v>'WINDOWS-NCH-A-BDP-M3-00-00'!B164</v>
      </c>
      <c r="D578" s="6" t="str">
        <f t="shared" ca="1" si="109"/>
        <v>L00-IMG-NMD-U0388-01</v>
      </c>
      <c r="E578" t="str">
        <f t="shared" ca="1" si="112"/>
        <v>Family Type: Curtain Wall_1500w x 3200h, Family: Window External Type 6 - Flush, Recessed</v>
      </c>
      <c r="F578" t="str">
        <f t="shared" ca="1" si="113"/>
        <v>Vector(X = 0.872, Y = 0.489, Z = 0.000, Length = 1.000)</v>
      </c>
      <c r="G578">
        <f t="shared" ca="1" si="114"/>
        <v>0.9</v>
      </c>
      <c r="H578">
        <f t="shared" ca="1" si="115"/>
        <v>0.5</v>
      </c>
      <c r="I578">
        <f t="shared" ca="1" si="116"/>
        <v>0</v>
      </c>
      <c r="J578" s="8">
        <f t="shared" ca="1" si="117"/>
        <v>29.054604099077146</v>
      </c>
      <c r="K578" s="9" t="str">
        <f t="shared" ca="1" si="118"/>
        <v>E</v>
      </c>
      <c r="L578">
        <f ca="1">+_xlfn.IFNA(VLOOKUP(M578,BespokeWindowsAreas!$A$1:$E$1999,1,FALSE),VLOOKUP(E578,WindowTypeArea!$B$2:$C$2000,2,FALSE))</f>
        <v>4.8</v>
      </c>
      <c r="M578">
        <f t="shared" ca="1" si="119"/>
        <v>5041663</v>
      </c>
    </row>
    <row r="579" spans="1:13" x14ac:dyDescent="0.25">
      <c r="A579">
        <f t="shared" ca="1" si="110"/>
        <v>2</v>
      </c>
      <c r="B579">
        <f t="shared" ca="1" si="111"/>
        <v>166</v>
      </c>
      <c r="C579" t="str">
        <f t="shared" ca="1" si="120"/>
        <v>'WINDOWS-NCH-A-BDP-M3-00-00'!B165</v>
      </c>
      <c r="D579" s="6" t="str">
        <f t="shared" ca="1" si="109"/>
        <v>L00-IMG-NMD-U0388-01</v>
      </c>
      <c r="E579" t="str">
        <f t="shared" ca="1" si="112"/>
        <v>Family Type: Curtain Wall_1950w x 3200h, Family: Window External Type 6 - Flush, Recessed</v>
      </c>
      <c r="F579" t="str">
        <f t="shared" ca="1" si="113"/>
        <v>Vector(X = 0.872, Y = 0.489, Z = 0.000, Length = 1.000)</v>
      </c>
      <c r="G579">
        <f t="shared" ca="1" si="114"/>
        <v>0.9</v>
      </c>
      <c r="H579">
        <f t="shared" ca="1" si="115"/>
        <v>0.5</v>
      </c>
      <c r="I579">
        <f t="shared" ca="1" si="116"/>
        <v>0</v>
      </c>
      <c r="J579" s="8">
        <f t="shared" ca="1" si="117"/>
        <v>29.054604099077146</v>
      </c>
      <c r="K579" s="9" t="str">
        <f t="shared" ca="1" si="118"/>
        <v>E</v>
      </c>
      <c r="L579">
        <f ca="1">+_xlfn.IFNA(VLOOKUP(M579,BespokeWindowsAreas!$A$1:$E$1999,1,FALSE),VLOOKUP(E579,WindowTypeArea!$B$2:$C$2000,2,FALSE))</f>
        <v>6.24</v>
      </c>
      <c r="M579">
        <f t="shared" ca="1" si="119"/>
        <v>5041671</v>
      </c>
    </row>
    <row r="580" spans="1:13" x14ac:dyDescent="0.25">
      <c r="A580">
        <f t="shared" ca="1" si="110"/>
        <v>2</v>
      </c>
      <c r="B580">
        <f t="shared" ca="1" si="111"/>
        <v>167</v>
      </c>
      <c r="C580" t="str">
        <f t="shared" ca="1" si="120"/>
        <v>'WINDOWS-NCH-A-BDP-M3-00-00'!B166</v>
      </c>
      <c r="D580" s="6" t="str">
        <f t="shared" ca="1" si="109"/>
        <v>L00-IMG-NMD-U0388-01</v>
      </c>
      <c r="E580" t="str">
        <f t="shared" ca="1" si="112"/>
        <v>Family Type: Curtain Wall_1950w x 3200h, Family: Window External Type 6 - Flush, Recessed</v>
      </c>
      <c r="F580" t="str">
        <f t="shared" ca="1" si="113"/>
        <v>Vector(X = 0.872, Y = 0.489, Z = 0.000, Length = 1.000)</v>
      </c>
      <c r="G580">
        <f t="shared" ca="1" si="114"/>
        <v>0.9</v>
      </c>
      <c r="H580">
        <f t="shared" ca="1" si="115"/>
        <v>0.5</v>
      </c>
      <c r="I580">
        <f t="shared" ca="1" si="116"/>
        <v>0</v>
      </c>
      <c r="J580" s="8">
        <f t="shared" ca="1" si="117"/>
        <v>29.054604099077146</v>
      </c>
      <c r="K580" s="9" t="str">
        <f t="shared" ca="1" si="118"/>
        <v>E</v>
      </c>
      <c r="L580">
        <f ca="1">+_xlfn.IFNA(VLOOKUP(M580,BespokeWindowsAreas!$A$1:$E$1999,1,FALSE),VLOOKUP(E580,WindowTypeArea!$B$2:$C$2000,2,FALSE))</f>
        <v>6.24</v>
      </c>
      <c r="M580">
        <f t="shared" ca="1" si="119"/>
        <v>5042682</v>
      </c>
    </row>
    <row r="581" spans="1:13" x14ac:dyDescent="0.25">
      <c r="A581">
        <f t="shared" ca="1" si="110"/>
        <v>2</v>
      </c>
      <c r="B581">
        <f t="shared" ca="1" si="111"/>
        <v>168</v>
      </c>
      <c r="C581" t="str">
        <f t="shared" ca="1" si="120"/>
        <v>'WINDOWS-NCH-A-BDP-M3-00-00'!B167</v>
      </c>
      <c r="D581" s="6" t="str">
        <f t="shared" ca="1" si="109"/>
        <v>L00-IMG-NMD-U0388-01</v>
      </c>
      <c r="E581" t="str">
        <f t="shared" ca="1" si="112"/>
        <v>Family Type: Curtain Wall_975w x 3200h, Family: Window External Type 6 - Flush, Recessed</v>
      </c>
      <c r="F581" t="str">
        <f t="shared" ca="1" si="113"/>
        <v>Vector(X = 0.872, Y = 0.489, Z = 0.000, Length = 1.000)</v>
      </c>
      <c r="G581">
        <f t="shared" ca="1" si="114"/>
        <v>0.9</v>
      </c>
      <c r="H581">
        <f t="shared" ca="1" si="115"/>
        <v>0.5</v>
      </c>
      <c r="I581">
        <f t="shared" ca="1" si="116"/>
        <v>0</v>
      </c>
      <c r="J581" s="8">
        <f t="shared" ca="1" si="117"/>
        <v>29.054604099077146</v>
      </c>
      <c r="K581" s="9" t="str">
        <f t="shared" ca="1" si="118"/>
        <v>E</v>
      </c>
      <c r="L581">
        <f ca="1">+_xlfn.IFNA(VLOOKUP(M581,BespokeWindowsAreas!$A$1:$E$1999,1,FALSE),VLOOKUP(E581,WindowTypeArea!$B$2:$C$2000,2,FALSE))</f>
        <v>3.12</v>
      </c>
      <c r="M581">
        <f t="shared" ca="1" si="119"/>
        <v>5045537</v>
      </c>
    </row>
    <row r="582" spans="1:13" x14ac:dyDescent="0.25">
      <c r="A582">
        <f t="shared" ca="1" si="110"/>
        <v>2</v>
      </c>
      <c r="B582">
        <f t="shared" ca="1" si="111"/>
        <v>169</v>
      </c>
      <c r="C582" t="str">
        <f t="shared" ca="1" si="120"/>
        <v>'WINDOWS-NCH-A-BDP-M3-00-00'!B168</v>
      </c>
      <c r="D582" s="6" t="str">
        <f t="shared" ref="D582:D645" ca="1" si="121">+IF(IFERROR(FIND("Family",E582)&gt;0,FALSE),D581,E582)</f>
        <v>L00-IMG-NMD-S133-01</v>
      </c>
      <c r="E582" t="str">
        <f t="shared" ca="1" si="112"/>
        <v>L00-IMG-NMD-S133-01</v>
      </c>
      <c r="F582">
        <f t="shared" ca="1" si="113"/>
        <v>1875098</v>
      </c>
      <c r="G582">
        <f t="shared" ca="1" si="114"/>
        <v>0</v>
      </c>
      <c r="H582">
        <f t="shared" ca="1" si="115"/>
        <v>0</v>
      </c>
      <c r="I582">
        <f t="shared" ca="1" si="116"/>
        <v>0</v>
      </c>
      <c r="J582" s="8" t="e">
        <f t="shared" ca="1" si="117"/>
        <v>#DIV/0!</v>
      </c>
      <c r="K582" s="9" t="e">
        <f t="shared" ca="1" si="118"/>
        <v>#DIV/0!</v>
      </c>
      <c r="L582" t="e">
        <f ca="1">+_xlfn.IFNA(VLOOKUP(M582,BespokeWindowsAreas!$A$1:$E$1999,1,FALSE),VLOOKUP(E582,WindowTypeArea!$B$2:$C$2000,2,FALSE))</f>
        <v>#N/A</v>
      </c>
      <c r="M582">
        <f t="shared" ca="1" si="119"/>
        <v>0</v>
      </c>
    </row>
    <row r="583" spans="1:13" x14ac:dyDescent="0.25">
      <c r="A583">
        <f t="shared" ca="1" si="110"/>
        <v>2</v>
      </c>
      <c r="B583">
        <f t="shared" ca="1" si="111"/>
        <v>170</v>
      </c>
      <c r="C583" t="str">
        <f t="shared" ca="1" si="120"/>
        <v>'WINDOWS-NCH-A-BDP-M3-00-00'!B169</v>
      </c>
      <c r="D583" s="6" t="str">
        <f t="shared" ca="1" si="121"/>
        <v>L00-IMG-NMD-S133-01</v>
      </c>
      <c r="E583" t="str">
        <f t="shared" ca="1" si="112"/>
        <v>Family Type: Curtain Wall_1500w x 3200h, Family: Window External Type 6 - Flush, Recessed</v>
      </c>
      <c r="F583" t="str">
        <f t="shared" ca="1" si="113"/>
        <v>Vector(X = 0.872, Y = 0.489, Z = 0.000, Length = 1.000)</v>
      </c>
      <c r="G583">
        <f t="shared" ca="1" si="114"/>
        <v>0.9</v>
      </c>
      <c r="H583">
        <f t="shared" ca="1" si="115"/>
        <v>0.5</v>
      </c>
      <c r="I583">
        <f t="shared" ca="1" si="116"/>
        <v>0</v>
      </c>
      <c r="J583" s="8">
        <f t="shared" ca="1" si="117"/>
        <v>29.054604099077146</v>
      </c>
      <c r="K583" s="9" t="str">
        <f t="shared" ca="1" si="118"/>
        <v>E</v>
      </c>
      <c r="L583">
        <f ca="1">+_xlfn.IFNA(VLOOKUP(M583,BespokeWindowsAreas!$A$1:$E$1999,1,FALSE),VLOOKUP(E583,WindowTypeArea!$B$2:$C$2000,2,FALSE))</f>
        <v>4.8</v>
      </c>
      <c r="M583">
        <f t="shared" ca="1" si="119"/>
        <v>5041663</v>
      </c>
    </row>
    <row r="584" spans="1:13" x14ac:dyDescent="0.25">
      <c r="A584">
        <f t="shared" ca="1" si="110"/>
        <v>2</v>
      </c>
      <c r="B584">
        <f t="shared" ca="1" si="111"/>
        <v>171</v>
      </c>
      <c r="C584" t="str">
        <f t="shared" ca="1" si="120"/>
        <v>'WINDOWS-NCH-A-BDP-M3-00-00'!B170</v>
      </c>
      <c r="D584" s="6" t="str">
        <f t="shared" ca="1" si="121"/>
        <v>L00-IMG-NMD-S133-01</v>
      </c>
      <c r="E584" t="str">
        <f t="shared" ca="1" si="112"/>
        <v>Family Type: Curtain Wall_975w x 3200h, Family: Window External Type 6 - Flush, Recessed</v>
      </c>
      <c r="F584" t="str">
        <f t="shared" ca="1" si="113"/>
        <v>Vector(X = 0.872, Y = 0.489, Z = 0.000, Length = 1.000)</v>
      </c>
      <c r="G584">
        <f t="shared" ca="1" si="114"/>
        <v>0.9</v>
      </c>
      <c r="H584">
        <f t="shared" ca="1" si="115"/>
        <v>0.5</v>
      </c>
      <c r="I584">
        <f t="shared" ca="1" si="116"/>
        <v>0</v>
      </c>
      <c r="J584" s="8">
        <f t="shared" ca="1" si="117"/>
        <v>29.054604099077146</v>
      </c>
      <c r="K584" s="9" t="str">
        <f t="shared" ca="1" si="118"/>
        <v>E</v>
      </c>
      <c r="L584">
        <f ca="1">+_xlfn.IFNA(VLOOKUP(M584,BespokeWindowsAreas!$A$1:$E$1999,1,FALSE),VLOOKUP(E584,WindowTypeArea!$B$2:$C$2000,2,FALSE))</f>
        <v>3.12</v>
      </c>
      <c r="M584">
        <f t="shared" ca="1" si="119"/>
        <v>5041664</v>
      </c>
    </row>
    <row r="585" spans="1:13" x14ac:dyDescent="0.25">
      <c r="A585">
        <f t="shared" ca="1" si="110"/>
        <v>2</v>
      </c>
      <c r="B585">
        <f t="shared" ca="1" si="111"/>
        <v>172</v>
      </c>
      <c r="C585" t="str">
        <f t="shared" ca="1" si="120"/>
        <v>'WINDOWS-NCH-A-BDP-M3-00-00'!B171</v>
      </c>
      <c r="D585" s="6" t="str">
        <f t="shared" ca="1" si="121"/>
        <v>L00-IMG-NMD-S133-01</v>
      </c>
      <c r="E585" t="str">
        <f t="shared" ca="1" si="112"/>
        <v>Family Type: Curtain Wall_975w x 3200h, Family: Window External Type 6 - Flush, Recessed</v>
      </c>
      <c r="F585" t="str">
        <f t="shared" ca="1" si="113"/>
        <v>Vector(X = 0.872, Y = 0.489, Z = 0.000, Length = 1.000)</v>
      </c>
      <c r="G585">
        <f t="shared" ca="1" si="114"/>
        <v>0.9</v>
      </c>
      <c r="H585">
        <f t="shared" ca="1" si="115"/>
        <v>0.5</v>
      </c>
      <c r="I585">
        <f t="shared" ca="1" si="116"/>
        <v>0</v>
      </c>
      <c r="J585" s="8">
        <f t="shared" ca="1" si="117"/>
        <v>29.054604099077146</v>
      </c>
      <c r="K585" s="9" t="str">
        <f t="shared" ca="1" si="118"/>
        <v>E</v>
      </c>
      <c r="L585">
        <f ca="1">+_xlfn.IFNA(VLOOKUP(M585,BespokeWindowsAreas!$A$1:$E$1999,1,FALSE),VLOOKUP(E585,WindowTypeArea!$B$2:$C$2000,2,FALSE))</f>
        <v>3.12</v>
      </c>
      <c r="M585">
        <f t="shared" ca="1" si="119"/>
        <v>5041665</v>
      </c>
    </row>
    <row r="586" spans="1:13" x14ac:dyDescent="0.25">
      <c r="A586">
        <f t="shared" ca="1" si="110"/>
        <v>2</v>
      </c>
      <c r="B586">
        <f t="shared" ca="1" si="111"/>
        <v>173</v>
      </c>
      <c r="C586" t="str">
        <f t="shared" ca="1" si="120"/>
        <v>'WINDOWS-NCH-A-BDP-M3-00-00'!B172</v>
      </c>
      <c r="D586" s="6" t="str">
        <f t="shared" ca="1" si="121"/>
        <v>L00-IMG-NMD-S133-01</v>
      </c>
      <c r="E586" t="str">
        <f t="shared" ca="1" si="112"/>
        <v>Family Type: Curtain Wall_975w x 3200h, Family: Window External Type 6 - Flush, Recessed</v>
      </c>
      <c r="F586" t="str">
        <f t="shared" ca="1" si="113"/>
        <v>Vector(X = 0.872, Y = 0.489, Z = 0.000, Length = 1.000)</v>
      </c>
      <c r="G586">
        <f t="shared" ca="1" si="114"/>
        <v>0.9</v>
      </c>
      <c r="H586">
        <f t="shared" ca="1" si="115"/>
        <v>0.5</v>
      </c>
      <c r="I586">
        <f t="shared" ca="1" si="116"/>
        <v>0</v>
      </c>
      <c r="J586" s="8">
        <f t="shared" ca="1" si="117"/>
        <v>29.054604099077146</v>
      </c>
      <c r="K586" s="9" t="str">
        <f t="shared" ca="1" si="118"/>
        <v>E</v>
      </c>
      <c r="L586">
        <f ca="1">+_xlfn.IFNA(VLOOKUP(M586,BespokeWindowsAreas!$A$1:$E$1999,1,FALSE),VLOOKUP(E586,WindowTypeArea!$B$2:$C$2000,2,FALSE))</f>
        <v>3.12</v>
      </c>
      <c r="M586">
        <f t="shared" ca="1" si="119"/>
        <v>5044503</v>
      </c>
    </row>
    <row r="587" spans="1:13" x14ac:dyDescent="0.25">
      <c r="A587">
        <f t="shared" ca="1" si="110"/>
        <v>2</v>
      </c>
      <c r="B587">
        <f t="shared" ca="1" si="111"/>
        <v>174</v>
      </c>
      <c r="C587" t="str">
        <f t="shared" ca="1" si="120"/>
        <v>'WINDOWS-NCH-A-BDP-M3-00-00'!B173</v>
      </c>
      <c r="D587" s="6" t="str">
        <f t="shared" ca="1" si="121"/>
        <v>L00-IMG-NMD-S133-01</v>
      </c>
      <c r="E587" t="str">
        <f t="shared" ca="1" si="112"/>
        <v>Family Type: Curtain Wall_1500w x 3200h, Family: Window External Type 6 - Flush, Recessed</v>
      </c>
      <c r="F587" t="str">
        <f t="shared" ca="1" si="113"/>
        <v>Vector(X = 0.872, Y = 0.489, Z = 0.000, Length = 1.000)</v>
      </c>
      <c r="G587">
        <f t="shared" ca="1" si="114"/>
        <v>0.9</v>
      </c>
      <c r="H587">
        <f t="shared" ca="1" si="115"/>
        <v>0.5</v>
      </c>
      <c r="I587">
        <f t="shared" ca="1" si="116"/>
        <v>0</v>
      </c>
      <c r="J587" s="8">
        <f t="shared" ca="1" si="117"/>
        <v>29.054604099077146</v>
      </c>
      <c r="K587" s="9" t="str">
        <f t="shared" ca="1" si="118"/>
        <v>E</v>
      </c>
      <c r="L587">
        <f ca="1">+_xlfn.IFNA(VLOOKUP(M587,BespokeWindowsAreas!$A$1:$E$1999,1,FALSE),VLOOKUP(E587,WindowTypeArea!$B$2:$C$2000,2,FALSE))</f>
        <v>4.8</v>
      </c>
      <c r="M587">
        <f t="shared" ca="1" si="119"/>
        <v>5044582</v>
      </c>
    </row>
    <row r="588" spans="1:13" x14ac:dyDescent="0.25">
      <c r="A588">
        <f t="shared" ca="1" si="110"/>
        <v>2</v>
      </c>
      <c r="B588">
        <f t="shared" ca="1" si="111"/>
        <v>175</v>
      </c>
      <c r="C588" t="str">
        <f t="shared" ca="1" si="120"/>
        <v>'WINDOWS-NCH-A-BDP-M3-00-00'!B174</v>
      </c>
      <c r="D588" s="6" t="str">
        <f t="shared" ca="1" si="121"/>
        <v>L00-IMG-NMD-S133-01</v>
      </c>
      <c r="E588" t="str">
        <f t="shared" ca="1" si="112"/>
        <v>Family Type: Curtain Wall_975w x 3200h, Family: Window External Type 6 - Flush, Recessed</v>
      </c>
      <c r="F588" t="str">
        <f t="shared" ca="1" si="113"/>
        <v>Vector(X = 0.872, Y = 0.489, Z = 0.000, Length = 1.000)</v>
      </c>
      <c r="G588">
        <f t="shared" ca="1" si="114"/>
        <v>0.9</v>
      </c>
      <c r="H588">
        <f t="shared" ca="1" si="115"/>
        <v>0.5</v>
      </c>
      <c r="I588">
        <f t="shared" ca="1" si="116"/>
        <v>0</v>
      </c>
      <c r="J588" s="8">
        <f t="shared" ca="1" si="117"/>
        <v>29.054604099077146</v>
      </c>
      <c r="K588" s="9" t="str">
        <f t="shared" ca="1" si="118"/>
        <v>E</v>
      </c>
      <c r="L588">
        <f ca="1">+_xlfn.IFNA(VLOOKUP(M588,BespokeWindowsAreas!$A$1:$E$1999,1,FALSE),VLOOKUP(E588,WindowTypeArea!$B$2:$C$2000,2,FALSE))</f>
        <v>3.12</v>
      </c>
      <c r="M588">
        <f t="shared" ca="1" si="119"/>
        <v>5044720</v>
      </c>
    </row>
    <row r="589" spans="1:13" x14ac:dyDescent="0.25">
      <c r="A589">
        <f t="shared" ca="1" si="110"/>
        <v>2</v>
      </c>
      <c r="B589">
        <f t="shared" ca="1" si="111"/>
        <v>176</v>
      </c>
      <c r="C589" t="str">
        <f t="shared" ca="1" si="120"/>
        <v>'WINDOWS-NCH-A-BDP-M3-00-00'!B175</v>
      </c>
      <c r="D589" s="6" t="str">
        <f t="shared" ca="1" si="121"/>
        <v>L00-IMG-SUP-U0394-01</v>
      </c>
      <c r="E589" t="str">
        <f t="shared" ca="1" si="112"/>
        <v>L00-IMG-SUP-U0394-01</v>
      </c>
      <c r="F589">
        <f t="shared" ca="1" si="113"/>
        <v>1875108</v>
      </c>
      <c r="G589">
        <f t="shared" ca="1" si="114"/>
        <v>0</v>
      </c>
      <c r="H589">
        <f t="shared" ca="1" si="115"/>
        <v>0</v>
      </c>
      <c r="I589">
        <f t="shared" ca="1" si="116"/>
        <v>0</v>
      </c>
      <c r="J589" s="8" t="e">
        <f t="shared" ca="1" si="117"/>
        <v>#DIV/0!</v>
      </c>
      <c r="K589" s="9" t="e">
        <f t="shared" ca="1" si="118"/>
        <v>#DIV/0!</v>
      </c>
      <c r="L589" t="e">
        <f ca="1">+_xlfn.IFNA(VLOOKUP(M589,BespokeWindowsAreas!$A$1:$E$1999,1,FALSE),VLOOKUP(E589,WindowTypeArea!$B$2:$C$2000,2,FALSE))</f>
        <v>#N/A</v>
      </c>
      <c r="M589">
        <f t="shared" ca="1" si="119"/>
        <v>0</v>
      </c>
    </row>
    <row r="590" spans="1:13" x14ac:dyDescent="0.25">
      <c r="A590">
        <f t="shared" ca="1" si="110"/>
        <v>2</v>
      </c>
      <c r="B590">
        <f t="shared" ca="1" si="111"/>
        <v>177</v>
      </c>
      <c r="C590" t="str">
        <f t="shared" ca="1" si="120"/>
        <v>'WINDOWS-NCH-A-BDP-M3-00-00'!B176</v>
      </c>
      <c r="D590" s="6" t="str">
        <f t="shared" ca="1" si="121"/>
        <v>L00-IMG-SUP-U0394-01</v>
      </c>
      <c r="E590" t="str">
        <f t="shared" ca="1" si="112"/>
        <v>Family Type: 1950w x 3050h, Family: Window Internal Type 1 - Flush</v>
      </c>
      <c r="F590" t="str">
        <f t="shared" ca="1" si="113"/>
        <v>Vector(X = 0.212, Y = -0.977, Z = 0.000, Length = 1.000)</v>
      </c>
      <c r="G590">
        <f t="shared" ca="1" si="114"/>
        <v>0.2</v>
      </c>
      <c r="H590">
        <f t="shared" ca="1" si="115"/>
        <v>-1</v>
      </c>
      <c r="I590">
        <f t="shared" ca="1" si="116"/>
        <v>0</v>
      </c>
      <c r="J590" s="8">
        <f t="shared" ca="1" si="117"/>
        <v>-78.690067525979785</v>
      </c>
      <c r="K590" s="9" t="str">
        <f t="shared" ca="1" si="118"/>
        <v>S</v>
      </c>
      <c r="L590">
        <f ca="1">+_xlfn.IFNA(VLOOKUP(M590,BespokeWindowsAreas!$A$1:$E$1999,1,FALSE),VLOOKUP(E590,WindowTypeArea!$B$2:$C$2000,2,FALSE))</f>
        <v>5.9474999999999998</v>
      </c>
      <c r="M590">
        <f t="shared" ca="1" si="119"/>
        <v>6320196</v>
      </c>
    </row>
    <row r="591" spans="1:13" x14ac:dyDescent="0.25">
      <c r="A591">
        <f t="shared" ca="1" si="110"/>
        <v>2</v>
      </c>
      <c r="B591">
        <f t="shared" ca="1" si="111"/>
        <v>178</v>
      </c>
      <c r="C591" t="str">
        <f t="shared" ca="1" si="120"/>
        <v>'WINDOWS-NCH-A-BDP-M3-00-00'!B177</v>
      </c>
      <c r="D591" s="6" t="str">
        <f t="shared" ca="1" si="121"/>
        <v>L00-IMG-SWS-S094-01</v>
      </c>
      <c r="E591" t="str">
        <f t="shared" ca="1" si="112"/>
        <v>L00-IMG-SWS-S094-01</v>
      </c>
      <c r="F591">
        <f t="shared" ca="1" si="113"/>
        <v>1875134</v>
      </c>
      <c r="G591">
        <f t="shared" ca="1" si="114"/>
        <v>0</v>
      </c>
      <c r="H591">
        <f t="shared" ca="1" si="115"/>
        <v>0</v>
      </c>
      <c r="I591">
        <f t="shared" ca="1" si="116"/>
        <v>0</v>
      </c>
      <c r="J591" s="8" t="e">
        <f t="shared" ca="1" si="117"/>
        <v>#DIV/0!</v>
      </c>
      <c r="K591" s="9" t="e">
        <f t="shared" ca="1" si="118"/>
        <v>#DIV/0!</v>
      </c>
      <c r="L591" t="e">
        <f ca="1">+_xlfn.IFNA(VLOOKUP(M591,BespokeWindowsAreas!$A$1:$E$1999,1,FALSE),VLOOKUP(E591,WindowTypeArea!$B$2:$C$2000,2,FALSE))</f>
        <v>#N/A</v>
      </c>
      <c r="M591">
        <f t="shared" ca="1" si="119"/>
        <v>0</v>
      </c>
    </row>
    <row r="592" spans="1:13" x14ac:dyDescent="0.25">
      <c r="A592">
        <f t="shared" ca="1" si="110"/>
        <v>2</v>
      </c>
      <c r="B592">
        <f t="shared" ca="1" si="111"/>
        <v>179</v>
      </c>
      <c r="C592" t="str">
        <f t="shared" ca="1" si="120"/>
        <v>'WINDOWS-NCH-A-BDP-M3-00-00'!B178</v>
      </c>
      <c r="D592" s="6" t="str">
        <f t="shared" ca="1" si="121"/>
        <v>L00-IMG-SWS-S094-01</v>
      </c>
      <c r="E592" t="str">
        <f t="shared" ca="1" si="112"/>
        <v>Family Type: 1950w x 3050h, Family: Window Internal Type 1 - Flush</v>
      </c>
      <c r="F592" t="str">
        <f t="shared" ca="1" si="113"/>
        <v>Vector(X = 0.212, Y = -0.977, Z = 0.000, Length = 1.000)</v>
      </c>
      <c r="G592">
        <f t="shared" ca="1" si="114"/>
        <v>0.2</v>
      </c>
      <c r="H592">
        <f t="shared" ca="1" si="115"/>
        <v>-1</v>
      </c>
      <c r="I592">
        <f t="shared" ca="1" si="116"/>
        <v>0</v>
      </c>
      <c r="J592" s="8">
        <f t="shared" ca="1" si="117"/>
        <v>-78.690067525979785</v>
      </c>
      <c r="K592" s="9" t="str">
        <f t="shared" ca="1" si="118"/>
        <v>S</v>
      </c>
      <c r="L592">
        <f ca="1">+_xlfn.IFNA(VLOOKUP(M592,BespokeWindowsAreas!$A$1:$E$1999,1,FALSE),VLOOKUP(E592,WindowTypeArea!$B$2:$C$2000,2,FALSE))</f>
        <v>5.9474999999999998</v>
      </c>
      <c r="M592">
        <f t="shared" ca="1" si="119"/>
        <v>6320140</v>
      </c>
    </row>
    <row r="593" spans="1:13" x14ac:dyDescent="0.25">
      <c r="A593">
        <f t="shared" ca="1" si="110"/>
        <v>2</v>
      </c>
      <c r="B593">
        <f t="shared" ca="1" si="111"/>
        <v>180</v>
      </c>
      <c r="C593" t="str">
        <f t="shared" ca="1" si="120"/>
        <v>'WINDOWS-NCH-A-BDP-M3-00-00'!B179</v>
      </c>
      <c r="D593" s="6" t="str">
        <f t="shared" ca="1" si="121"/>
        <v>L00-IMG-SWS-S115-01</v>
      </c>
      <c r="E593" t="str">
        <f t="shared" ca="1" si="112"/>
        <v>L00-IMG-SWS-S115-01</v>
      </c>
      <c r="F593">
        <f t="shared" ca="1" si="113"/>
        <v>1875138</v>
      </c>
      <c r="G593">
        <f t="shared" ca="1" si="114"/>
        <v>0</v>
      </c>
      <c r="H593">
        <f t="shared" ca="1" si="115"/>
        <v>0</v>
      </c>
      <c r="I593">
        <f t="shared" ca="1" si="116"/>
        <v>0</v>
      </c>
      <c r="J593" s="8" t="e">
        <f t="shared" ca="1" si="117"/>
        <v>#DIV/0!</v>
      </c>
      <c r="K593" s="9" t="e">
        <f t="shared" ca="1" si="118"/>
        <v>#DIV/0!</v>
      </c>
      <c r="L593" t="e">
        <f ca="1">+_xlfn.IFNA(VLOOKUP(M593,BespokeWindowsAreas!$A$1:$E$1999,1,FALSE),VLOOKUP(E593,WindowTypeArea!$B$2:$C$2000,2,FALSE))</f>
        <v>#N/A</v>
      </c>
      <c r="M593">
        <f t="shared" ca="1" si="119"/>
        <v>0</v>
      </c>
    </row>
    <row r="594" spans="1:13" x14ac:dyDescent="0.25">
      <c r="A594">
        <f t="shared" ca="1" si="110"/>
        <v>2</v>
      </c>
      <c r="B594">
        <f t="shared" ca="1" si="111"/>
        <v>181</v>
      </c>
      <c r="C594" t="str">
        <f t="shared" ca="1" si="120"/>
        <v>'WINDOWS-NCH-A-BDP-M3-00-00'!B180</v>
      </c>
      <c r="D594" s="6" t="str">
        <f t="shared" ca="1" si="121"/>
        <v>L00-IMG-SWS-S115-01</v>
      </c>
      <c r="E594" t="str">
        <f t="shared" ca="1" si="112"/>
        <v>Family Type: 650w x 3050h, Family: Window Internal Type 1 - Flush</v>
      </c>
      <c r="F594" t="str">
        <f t="shared" ca="1" si="113"/>
        <v>Vector(X = -0.977, Y = -0.212, Z = 0.000, Length = 1.000)</v>
      </c>
      <c r="G594">
        <f t="shared" ca="1" si="114"/>
        <v>-1</v>
      </c>
      <c r="H594">
        <f t="shared" ca="1" si="115"/>
        <v>-0.2</v>
      </c>
      <c r="I594">
        <f t="shared" ca="1" si="116"/>
        <v>0</v>
      </c>
      <c r="J594" s="8">
        <f t="shared" ca="1" si="117"/>
        <v>-168.69006752597977</v>
      </c>
      <c r="K594" s="9" t="str">
        <f t="shared" ca="1" si="118"/>
        <v>W</v>
      </c>
      <c r="L594">
        <f ca="1">+_xlfn.IFNA(VLOOKUP(M594,BespokeWindowsAreas!$A$1:$E$1999,1,FALSE),VLOOKUP(E594,WindowTypeArea!$B$2:$C$2000,2,FALSE))</f>
        <v>1.9824999999999999</v>
      </c>
      <c r="M594">
        <f t="shared" ca="1" si="119"/>
        <v>6314566</v>
      </c>
    </row>
    <row r="595" spans="1:13" x14ac:dyDescent="0.25">
      <c r="A595">
        <f t="shared" ca="1" si="110"/>
        <v>2</v>
      </c>
      <c r="B595">
        <f t="shared" ca="1" si="111"/>
        <v>182</v>
      </c>
      <c r="C595" t="str">
        <f t="shared" ca="1" si="120"/>
        <v>'WINDOWS-NCH-A-BDP-M3-00-00'!B181</v>
      </c>
      <c r="D595" s="6" t="str">
        <f t="shared" ca="1" si="121"/>
        <v>L00-IMG-SWS-S115-01</v>
      </c>
      <c r="E595" t="str">
        <f t="shared" ca="1" si="112"/>
        <v>Family Type: 650w x 3050h, Family: Window Internal Type 1 - Flush</v>
      </c>
      <c r="F595" t="str">
        <f t="shared" ca="1" si="113"/>
        <v>Vector(X = -0.977, Y = -0.212, Z = 0.000, Length = 1.000)</v>
      </c>
      <c r="G595">
        <f t="shared" ca="1" si="114"/>
        <v>-1</v>
      </c>
      <c r="H595">
        <f t="shared" ca="1" si="115"/>
        <v>-0.2</v>
      </c>
      <c r="I595">
        <f t="shared" ca="1" si="116"/>
        <v>0</v>
      </c>
      <c r="J595" s="8">
        <f t="shared" ca="1" si="117"/>
        <v>-168.69006752597977</v>
      </c>
      <c r="K595" s="9" t="str">
        <f t="shared" ca="1" si="118"/>
        <v>W</v>
      </c>
      <c r="L595">
        <f ca="1">+_xlfn.IFNA(VLOOKUP(M595,BespokeWindowsAreas!$A$1:$E$1999,1,FALSE),VLOOKUP(E595,WindowTypeArea!$B$2:$C$2000,2,FALSE))</f>
        <v>1.9824999999999999</v>
      </c>
      <c r="M595">
        <f t="shared" ca="1" si="119"/>
        <v>6314606</v>
      </c>
    </row>
    <row r="596" spans="1:13" x14ac:dyDescent="0.25">
      <c r="A596">
        <f t="shared" ref="A596:A659" ca="1" si="122">+IF(B595&lt;=VLOOKUP(MID(C596,2,26),TABS,2,FALSE),A595,+A595+1)</f>
        <v>2</v>
      </c>
      <c r="B596">
        <f t="shared" ref="B596:B659" ca="1" si="123">+IF(B595&lt;=VLOOKUP(MID(C596,2,26),TABS,2,FALSE),B595+1,1)</f>
        <v>183</v>
      </c>
      <c r="C596" t="str">
        <f t="shared" ca="1" si="120"/>
        <v>'WINDOWS-NCH-A-BDP-M3-00-00'!B182</v>
      </c>
      <c r="D596" s="6" t="str">
        <f t="shared" ca="1" si="121"/>
        <v>L00-IMG-SWS-S115-01</v>
      </c>
      <c r="E596" t="str">
        <f t="shared" ref="E596:E659" ca="1" si="124">+OFFSET(INDIRECT(C596),0,0)</f>
        <v>Family Type: 975w x 3050h, Family: Window Internal Type 1 - Flush</v>
      </c>
      <c r="F596" t="str">
        <f t="shared" ca="1" si="113"/>
        <v>Vector(X = -0.977, Y = -0.212, Z = 0.000, Length = 1.000)</v>
      </c>
      <c r="G596">
        <f t="shared" ca="1" si="114"/>
        <v>-1</v>
      </c>
      <c r="H596">
        <f t="shared" ca="1" si="115"/>
        <v>-0.2</v>
      </c>
      <c r="I596">
        <f t="shared" ca="1" si="116"/>
        <v>0</v>
      </c>
      <c r="J596" s="8">
        <f t="shared" ca="1" si="117"/>
        <v>-168.69006752597977</v>
      </c>
      <c r="K596" s="9" t="str">
        <f t="shared" ca="1" si="118"/>
        <v>W</v>
      </c>
      <c r="L596">
        <f ca="1">+_xlfn.IFNA(VLOOKUP(M596,BespokeWindowsAreas!$A$1:$E$1999,1,FALSE),VLOOKUP(E596,WindowTypeArea!$B$2:$C$2000,2,FALSE))</f>
        <v>2.9737499999999999</v>
      </c>
      <c r="M596">
        <f t="shared" ca="1" si="119"/>
        <v>6314737</v>
      </c>
    </row>
    <row r="597" spans="1:13" x14ac:dyDescent="0.25">
      <c r="A597">
        <f t="shared" ca="1" si="122"/>
        <v>2</v>
      </c>
      <c r="B597">
        <f t="shared" ca="1" si="123"/>
        <v>184</v>
      </c>
      <c r="C597" t="str">
        <f t="shared" ca="1" si="120"/>
        <v>'WINDOWS-NCH-A-BDP-M3-00-00'!B183</v>
      </c>
      <c r="D597" s="6" t="str">
        <f t="shared" ca="1" si="121"/>
        <v>L00-IMG-SWS-S115-01</v>
      </c>
      <c r="E597" t="str">
        <f t="shared" ca="1" si="124"/>
        <v>Family Type: 1950w x 3050h, Family: Window Internal Type 1 - Flush</v>
      </c>
      <c r="F597" t="str">
        <f t="shared" ca="1" si="113"/>
        <v>Vector(X = -0.977, Y = -0.212, Z = 0.000, Length = 1.000)</v>
      </c>
      <c r="G597">
        <f t="shared" ca="1" si="114"/>
        <v>-1</v>
      </c>
      <c r="H597">
        <f t="shared" ca="1" si="115"/>
        <v>-0.2</v>
      </c>
      <c r="I597">
        <f t="shared" ca="1" si="116"/>
        <v>0</v>
      </c>
      <c r="J597" s="8">
        <f t="shared" ca="1" si="117"/>
        <v>-168.69006752597977</v>
      </c>
      <c r="K597" s="9" t="str">
        <f t="shared" ca="1" si="118"/>
        <v>W</v>
      </c>
      <c r="L597">
        <f ca="1">+_xlfn.IFNA(VLOOKUP(M597,BespokeWindowsAreas!$A$1:$E$1999,1,FALSE),VLOOKUP(E597,WindowTypeArea!$B$2:$C$2000,2,FALSE))</f>
        <v>5.9474999999999998</v>
      </c>
      <c r="M597">
        <f t="shared" ca="1" si="119"/>
        <v>6314779</v>
      </c>
    </row>
    <row r="598" spans="1:13" x14ac:dyDescent="0.25">
      <c r="A598">
        <f t="shared" ca="1" si="122"/>
        <v>2</v>
      </c>
      <c r="B598">
        <f t="shared" ca="1" si="123"/>
        <v>185</v>
      </c>
      <c r="C598" t="str">
        <f t="shared" ca="1" si="120"/>
        <v>'WINDOWS-NCH-A-BDP-M3-00-00'!B184</v>
      </c>
      <c r="D598" s="6" t="str">
        <f t="shared" ca="1" si="121"/>
        <v>L00-IMG-SWS-S115-01</v>
      </c>
      <c r="E598" t="str">
        <f t="shared" ca="1" si="124"/>
        <v>Family Type: 975w x 3050h, Family: Window Internal Type 1 - Flush</v>
      </c>
      <c r="F598" t="str">
        <f t="shared" ref="F598:F661" ca="1" si="125">+OFFSET(INDIRECT(C598),0,1)</f>
        <v>Vector(X = -0.977, Y = -0.212, Z = 0.000, Length = 1.000)</v>
      </c>
      <c r="G598">
        <f t="shared" ref="G598:G661" ca="1" si="126">+OFFSET(INDIRECT(C598),0,2)</f>
        <v>-1</v>
      </c>
      <c r="H598">
        <f t="shared" ref="H598:H661" ca="1" si="127">+OFFSET(INDIRECT(C598),0,3)</f>
        <v>-0.2</v>
      </c>
      <c r="I598">
        <f t="shared" ref="I598:I661" ca="1" si="128">+OFFSET(INDIRECT(C598),0,4)</f>
        <v>0</v>
      </c>
      <c r="J598" s="8">
        <f t="shared" ref="J598:J661" ca="1" si="129">+DEGREES(ATAN2(G598,H598))</f>
        <v>-168.69006752597977</v>
      </c>
      <c r="K598" s="9" t="str">
        <f t="shared" ref="K598:K661" ca="1" si="130">VLOOKUP(J598,$O$20:$P$36,2,-1)</f>
        <v>W</v>
      </c>
      <c r="L598">
        <f ca="1">+_xlfn.IFNA(VLOOKUP(M598,BespokeWindowsAreas!$A$1:$E$1999,1,FALSE),VLOOKUP(E598,WindowTypeArea!$B$2:$C$2000,2,FALSE))</f>
        <v>2.9737499999999999</v>
      </c>
      <c r="M598">
        <f t="shared" ref="M598:M661" ca="1" si="131">+OFFSET(INDIRECT(C598),0,5)</f>
        <v>6315067</v>
      </c>
    </row>
    <row r="599" spans="1:13" x14ac:dyDescent="0.25">
      <c r="A599">
        <f t="shared" ca="1" si="122"/>
        <v>2</v>
      </c>
      <c r="B599">
        <f t="shared" ca="1" si="123"/>
        <v>186</v>
      </c>
      <c r="C599" t="str">
        <f t="shared" ref="C599:C662" ca="1" si="132">+"'"&amp;INDIRECT("a"&amp;A598)&amp;"'!B"&amp;B598</f>
        <v>'WINDOWS-NCH-A-BDP-M3-00-00'!B185</v>
      </c>
      <c r="D599" s="6" t="str">
        <f t="shared" ca="1" si="121"/>
        <v>L00-IMG-SWS-S115-01</v>
      </c>
      <c r="E599" t="str">
        <f t="shared" ca="1" si="124"/>
        <v>Family Type: 650w x 3050h, Family: Window Internal Type 1 - Flush</v>
      </c>
      <c r="F599" t="str">
        <f t="shared" ca="1" si="125"/>
        <v>Vector(X = -0.977, Y = -0.212, Z = 0.000, Length = 1.000)</v>
      </c>
      <c r="G599">
        <f t="shared" ca="1" si="126"/>
        <v>-1</v>
      </c>
      <c r="H599">
        <f t="shared" ca="1" si="127"/>
        <v>-0.2</v>
      </c>
      <c r="I599">
        <f t="shared" ca="1" si="128"/>
        <v>0</v>
      </c>
      <c r="J599" s="8">
        <f t="shared" ca="1" si="129"/>
        <v>-168.69006752597977</v>
      </c>
      <c r="K599" s="9" t="str">
        <f t="shared" ca="1" si="130"/>
        <v>W</v>
      </c>
      <c r="L599">
        <f ca="1">+_xlfn.IFNA(VLOOKUP(M599,BespokeWindowsAreas!$A$1:$E$1999,1,FALSE),VLOOKUP(E599,WindowTypeArea!$B$2:$C$2000,2,FALSE))</f>
        <v>1.9824999999999999</v>
      </c>
      <c r="M599">
        <f t="shared" ca="1" si="131"/>
        <v>6315333</v>
      </c>
    </row>
    <row r="600" spans="1:13" x14ac:dyDescent="0.25">
      <c r="A600">
        <f t="shared" ca="1" si="122"/>
        <v>2</v>
      </c>
      <c r="B600">
        <f t="shared" ca="1" si="123"/>
        <v>187</v>
      </c>
      <c r="C600" t="str">
        <f t="shared" ca="1" si="132"/>
        <v>'WINDOWS-NCH-A-BDP-M3-00-00'!B186</v>
      </c>
      <c r="D600" s="6" t="str">
        <f t="shared" ca="1" si="121"/>
        <v>L00-IMG-SWS-S115-01</v>
      </c>
      <c r="E600" t="str">
        <f t="shared" ca="1" si="124"/>
        <v>Family Type: 650w x 3050h, Family: Window Internal Type 1 - Flush</v>
      </c>
      <c r="F600" t="str">
        <f t="shared" ca="1" si="125"/>
        <v>Vector(X = -0.977, Y = -0.212, Z = 0.000, Length = 1.000)</v>
      </c>
      <c r="G600">
        <f t="shared" ca="1" si="126"/>
        <v>-1</v>
      </c>
      <c r="H600">
        <f t="shared" ca="1" si="127"/>
        <v>-0.2</v>
      </c>
      <c r="I600">
        <f t="shared" ca="1" si="128"/>
        <v>0</v>
      </c>
      <c r="J600" s="8">
        <f t="shared" ca="1" si="129"/>
        <v>-168.69006752597977</v>
      </c>
      <c r="K600" s="9" t="str">
        <f t="shared" ca="1" si="130"/>
        <v>W</v>
      </c>
      <c r="L600">
        <f ca="1">+_xlfn.IFNA(VLOOKUP(M600,BespokeWindowsAreas!$A$1:$E$1999,1,FALSE),VLOOKUP(E600,WindowTypeArea!$B$2:$C$2000,2,FALSE))</f>
        <v>1.9824999999999999</v>
      </c>
      <c r="M600">
        <f t="shared" ca="1" si="131"/>
        <v>6316292</v>
      </c>
    </row>
    <row r="601" spans="1:13" x14ac:dyDescent="0.25">
      <c r="A601">
        <f t="shared" ca="1" si="122"/>
        <v>2</v>
      </c>
      <c r="B601">
        <f t="shared" ca="1" si="123"/>
        <v>188</v>
      </c>
      <c r="C601" t="str">
        <f t="shared" ca="1" si="132"/>
        <v>'WINDOWS-NCH-A-BDP-M3-00-00'!B187</v>
      </c>
      <c r="D601" s="6" t="str">
        <f t="shared" ca="1" si="121"/>
        <v>L00-IMG-MSS-L050-02</v>
      </c>
      <c r="E601" t="str">
        <f t="shared" ca="1" si="124"/>
        <v>L00-IMG-MSS-L050-02</v>
      </c>
      <c r="F601">
        <f t="shared" ca="1" si="125"/>
        <v>1875264</v>
      </c>
      <c r="G601">
        <f t="shared" ca="1" si="126"/>
        <v>0</v>
      </c>
      <c r="H601">
        <f t="shared" ca="1" si="127"/>
        <v>0</v>
      </c>
      <c r="I601">
        <f t="shared" ca="1" si="128"/>
        <v>0</v>
      </c>
      <c r="J601" s="8" t="e">
        <f t="shared" ca="1" si="129"/>
        <v>#DIV/0!</v>
      </c>
      <c r="K601" s="9" t="e">
        <f t="shared" ca="1" si="130"/>
        <v>#DIV/0!</v>
      </c>
      <c r="L601" t="e">
        <f ca="1">+_xlfn.IFNA(VLOOKUP(M601,BespokeWindowsAreas!$A$1:$E$1999,1,FALSE),VLOOKUP(E601,WindowTypeArea!$B$2:$C$2000,2,FALSE))</f>
        <v>#N/A</v>
      </c>
      <c r="M601">
        <f t="shared" ca="1" si="131"/>
        <v>0</v>
      </c>
    </row>
    <row r="602" spans="1:13" x14ac:dyDescent="0.25">
      <c r="A602">
        <f t="shared" ca="1" si="122"/>
        <v>2</v>
      </c>
      <c r="B602">
        <f t="shared" ca="1" si="123"/>
        <v>189</v>
      </c>
      <c r="C602" t="str">
        <f t="shared" ca="1" si="132"/>
        <v>'WINDOWS-NCH-A-BDP-M3-00-00'!B188</v>
      </c>
      <c r="D602" s="6" t="str">
        <f t="shared" ca="1" si="121"/>
        <v>L00-IMG-MSS-L050-02</v>
      </c>
      <c r="E602" t="str">
        <f t="shared" ca="1" si="124"/>
        <v>Family Type: Curtain Wall_1500w x 3200h, Family: Window External Type 6 - Flush, Recessed</v>
      </c>
      <c r="F602" t="str">
        <f t="shared" ca="1" si="125"/>
        <v>Vector(X = 0.872, Y = 0.489, Z = 0.000, Length = 1.000)</v>
      </c>
      <c r="G602">
        <f t="shared" ca="1" si="126"/>
        <v>0.9</v>
      </c>
      <c r="H602">
        <f t="shared" ca="1" si="127"/>
        <v>0.5</v>
      </c>
      <c r="I602">
        <f t="shared" ca="1" si="128"/>
        <v>0</v>
      </c>
      <c r="J602" s="8">
        <f t="shared" ca="1" si="129"/>
        <v>29.054604099077146</v>
      </c>
      <c r="K602" s="9" t="str">
        <f t="shared" ca="1" si="130"/>
        <v>E</v>
      </c>
      <c r="L602">
        <f ca="1">+_xlfn.IFNA(VLOOKUP(M602,BespokeWindowsAreas!$A$1:$E$1999,1,FALSE),VLOOKUP(E602,WindowTypeArea!$B$2:$C$2000,2,FALSE))</f>
        <v>4.8</v>
      </c>
      <c r="M602">
        <f t="shared" ca="1" si="131"/>
        <v>5045612</v>
      </c>
    </row>
    <row r="603" spans="1:13" x14ac:dyDescent="0.25">
      <c r="A603">
        <f t="shared" ca="1" si="122"/>
        <v>2</v>
      </c>
      <c r="B603">
        <f t="shared" ca="1" si="123"/>
        <v>190</v>
      </c>
      <c r="C603" t="str">
        <f t="shared" ca="1" si="132"/>
        <v>'WINDOWS-NCH-A-BDP-M3-00-00'!B189</v>
      </c>
      <c r="D603" s="6" t="str">
        <f t="shared" ca="1" si="121"/>
        <v>L00-IMG-MSS-L050-02</v>
      </c>
      <c r="E603" t="str">
        <f t="shared" ca="1" si="124"/>
        <v>Family Type: Curtain Wall_1950w x 3200h, Family: Window External Type 6 - Flush, Recessed</v>
      </c>
      <c r="F603" t="str">
        <f t="shared" ca="1" si="125"/>
        <v>Vector(X = 0.872, Y = 0.489, Z = 0.000, Length = 1.000)</v>
      </c>
      <c r="G603">
        <f t="shared" ca="1" si="126"/>
        <v>0.9</v>
      </c>
      <c r="H603">
        <f t="shared" ca="1" si="127"/>
        <v>0.5</v>
      </c>
      <c r="I603">
        <f t="shared" ca="1" si="128"/>
        <v>0</v>
      </c>
      <c r="J603" s="8">
        <f t="shared" ca="1" si="129"/>
        <v>29.054604099077146</v>
      </c>
      <c r="K603" s="9" t="str">
        <f t="shared" ca="1" si="130"/>
        <v>E</v>
      </c>
      <c r="L603">
        <f ca="1">+_xlfn.IFNA(VLOOKUP(M603,BespokeWindowsAreas!$A$1:$E$1999,1,FALSE),VLOOKUP(E603,WindowTypeArea!$B$2:$C$2000,2,FALSE))</f>
        <v>6.24</v>
      </c>
      <c r="M603">
        <f t="shared" ca="1" si="131"/>
        <v>5045616</v>
      </c>
    </row>
    <row r="604" spans="1:13" x14ac:dyDescent="0.25">
      <c r="A604">
        <f t="shared" ca="1" si="122"/>
        <v>2</v>
      </c>
      <c r="B604">
        <f t="shared" ca="1" si="123"/>
        <v>191</v>
      </c>
      <c r="C604" t="str">
        <f t="shared" ca="1" si="132"/>
        <v>'WINDOWS-NCH-A-BDP-M3-00-00'!B190</v>
      </c>
      <c r="D604" s="6" t="str">
        <f t="shared" ca="1" si="121"/>
        <v>L00-IMG-MSS-L054-02</v>
      </c>
      <c r="E604" t="str">
        <f t="shared" ca="1" si="124"/>
        <v>L00-IMG-MSS-L054-02</v>
      </c>
      <c r="F604">
        <f t="shared" ca="1" si="125"/>
        <v>1875276</v>
      </c>
      <c r="G604">
        <f t="shared" ca="1" si="126"/>
        <v>0</v>
      </c>
      <c r="H604">
        <f t="shared" ca="1" si="127"/>
        <v>0</v>
      </c>
      <c r="I604">
        <f t="shared" ca="1" si="128"/>
        <v>0</v>
      </c>
      <c r="J604" s="8" t="e">
        <f t="shared" ca="1" si="129"/>
        <v>#DIV/0!</v>
      </c>
      <c r="K604" s="9" t="e">
        <f t="shared" ca="1" si="130"/>
        <v>#DIV/0!</v>
      </c>
      <c r="L604" t="e">
        <f ca="1">+_xlfn.IFNA(VLOOKUP(M604,BespokeWindowsAreas!$A$1:$E$1999,1,FALSE),VLOOKUP(E604,WindowTypeArea!$B$2:$C$2000,2,FALSE))</f>
        <v>#N/A</v>
      </c>
      <c r="M604">
        <f t="shared" ca="1" si="131"/>
        <v>0</v>
      </c>
    </row>
    <row r="605" spans="1:13" x14ac:dyDescent="0.25">
      <c r="A605">
        <f t="shared" ca="1" si="122"/>
        <v>2</v>
      </c>
      <c r="B605">
        <f t="shared" ca="1" si="123"/>
        <v>192</v>
      </c>
      <c r="C605" t="str">
        <f t="shared" ca="1" si="132"/>
        <v>'WINDOWS-NCH-A-BDP-M3-00-00'!B191</v>
      </c>
      <c r="D605" s="6" t="str">
        <f t="shared" ca="1" si="121"/>
        <v>L00-IMG-MSS-L054-02</v>
      </c>
      <c r="E605" t="str">
        <f t="shared" ca="1" si="124"/>
        <v>Family Type: Curtain Wall_1500w x 3200h, Family: Window External Type 6 - Flush, Recessed</v>
      </c>
      <c r="F605" t="str">
        <f t="shared" ca="1" si="125"/>
        <v>Vector(X = 0.873, Y = 0.489, Z = 0.000, Length = 1.000)</v>
      </c>
      <c r="G605">
        <f t="shared" ca="1" si="126"/>
        <v>0.9</v>
      </c>
      <c r="H605">
        <f t="shared" ca="1" si="127"/>
        <v>0.5</v>
      </c>
      <c r="I605">
        <f t="shared" ca="1" si="128"/>
        <v>0</v>
      </c>
      <c r="J605" s="8">
        <f t="shared" ca="1" si="129"/>
        <v>29.054604099077146</v>
      </c>
      <c r="K605" s="9" t="str">
        <f t="shared" ca="1" si="130"/>
        <v>E</v>
      </c>
      <c r="L605">
        <f ca="1">+_xlfn.IFNA(VLOOKUP(M605,BespokeWindowsAreas!$A$1:$E$1999,1,FALSE),VLOOKUP(E605,WindowTypeArea!$B$2:$C$2000,2,FALSE))</f>
        <v>4.8</v>
      </c>
      <c r="M605">
        <f t="shared" ca="1" si="131"/>
        <v>5045708</v>
      </c>
    </row>
    <row r="606" spans="1:13" x14ac:dyDescent="0.25">
      <c r="A606">
        <f t="shared" ca="1" si="122"/>
        <v>2</v>
      </c>
      <c r="B606">
        <f t="shared" ca="1" si="123"/>
        <v>193</v>
      </c>
      <c r="C606" t="str">
        <f t="shared" ca="1" si="132"/>
        <v>'WINDOWS-NCH-A-BDP-M3-00-00'!B192</v>
      </c>
      <c r="D606" s="6" t="str">
        <f t="shared" ca="1" si="121"/>
        <v>L00-IMG-MSS-L054-02</v>
      </c>
      <c r="E606" t="str">
        <f t="shared" ca="1" si="124"/>
        <v>Family Type: Curtain Wall_975w x 3200h, Family: Window External Type 6 - Flush, Recessed</v>
      </c>
      <c r="F606" t="str">
        <f t="shared" ca="1" si="125"/>
        <v>Vector(X = 0.873, Y = 0.489, Z = 0.000, Length = 1.000)</v>
      </c>
      <c r="G606">
        <f t="shared" ca="1" si="126"/>
        <v>0.9</v>
      </c>
      <c r="H606">
        <f t="shared" ca="1" si="127"/>
        <v>0.5</v>
      </c>
      <c r="I606">
        <f t="shared" ca="1" si="128"/>
        <v>0</v>
      </c>
      <c r="J606" s="8">
        <f t="shared" ca="1" si="129"/>
        <v>29.054604099077146</v>
      </c>
      <c r="K606" s="9" t="str">
        <f t="shared" ca="1" si="130"/>
        <v>E</v>
      </c>
      <c r="L606">
        <f ca="1">+_xlfn.IFNA(VLOOKUP(M606,BespokeWindowsAreas!$A$1:$E$1999,1,FALSE),VLOOKUP(E606,WindowTypeArea!$B$2:$C$2000,2,FALSE))</f>
        <v>3.12</v>
      </c>
      <c r="M606">
        <f t="shared" ca="1" si="131"/>
        <v>5047120</v>
      </c>
    </row>
    <row r="607" spans="1:13" x14ac:dyDescent="0.25">
      <c r="A607">
        <f t="shared" ca="1" si="122"/>
        <v>2</v>
      </c>
      <c r="B607">
        <f t="shared" ca="1" si="123"/>
        <v>194</v>
      </c>
      <c r="C607" t="str">
        <f t="shared" ca="1" si="132"/>
        <v>'WINDOWS-NCH-A-BDP-M3-00-00'!B193</v>
      </c>
      <c r="D607" s="6" t="str">
        <f t="shared" ca="1" si="121"/>
        <v>L00-IMG-MSS-L054-02</v>
      </c>
      <c r="E607" t="str">
        <f t="shared" ca="1" si="124"/>
        <v>Family Type: Curtain Wall_1000w x 3200h, Family: Window External Type 6 - Flush, Recessed</v>
      </c>
      <c r="F607" t="str">
        <f t="shared" ca="1" si="125"/>
        <v>Vector(X = 0.873, Y = 0.489, Z = 0.000, Length = 1.000)</v>
      </c>
      <c r="G607">
        <f t="shared" ca="1" si="126"/>
        <v>0.9</v>
      </c>
      <c r="H607">
        <f t="shared" ca="1" si="127"/>
        <v>0.5</v>
      </c>
      <c r="I607">
        <f t="shared" ca="1" si="128"/>
        <v>0</v>
      </c>
      <c r="J607" s="8">
        <f t="shared" ca="1" si="129"/>
        <v>29.054604099077146</v>
      </c>
      <c r="K607" s="9" t="str">
        <f t="shared" ca="1" si="130"/>
        <v>E</v>
      </c>
      <c r="L607">
        <f ca="1">+_xlfn.IFNA(VLOOKUP(M607,BespokeWindowsAreas!$A$1:$E$1999,1,FALSE),VLOOKUP(E607,WindowTypeArea!$B$2:$C$2000,2,FALSE))</f>
        <v>3.2</v>
      </c>
      <c r="M607">
        <f t="shared" ca="1" si="131"/>
        <v>5047121</v>
      </c>
    </row>
    <row r="608" spans="1:13" x14ac:dyDescent="0.25">
      <c r="A608">
        <f t="shared" ca="1" si="122"/>
        <v>2</v>
      </c>
      <c r="B608">
        <f t="shared" ca="1" si="123"/>
        <v>195</v>
      </c>
      <c r="C608" t="str">
        <f t="shared" ca="1" si="132"/>
        <v>'WINDOWS-NCH-A-BDP-M3-00-00'!B194</v>
      </c>
      <c r="D608" s="6" t="str">
        <f t="shared" ca="1" si="121"/>
        <v>L00-IMG-MSS-L054-02</v>
      </c>
      <c r="E608" t="str">
        <f t="shared" ca="1" si="124"/>
        <v>Family Type: Curtain Wall_1950w x 3200h, Family: Window External Type 6 - Flush, Recessed</v>
      </c>
      <c r="F608" t="str">
        <f t="shared" ca="1" si="125"/>
        <v>Vector(X = 0.873, Y = 0.489, Z = 0.000, Length = 1.000)</v>
      </c>
      <c r="G608">
        <f t="shared" ca="1" si="126"/>
        <v>0.9</v>
      </c>
      <c r="H608">
        <f t="shared" ca="1" si="127"/>
        <v>0.5</v>
      </c>
      <c r="I608">
        <f t="shared" ca="1" si="128"/>
        <v>0</v>
      </c>
      <c r="J608" s="8">
        <f t="shared" ca="1" si="129"/>
        <v>29.054604099077146</v>
      </c>
      <c r="K608" s="9" t="str">
        <f t="shared" ca="1" si="130"/>
        <v>E</v>
      </c>
      <c r="L608">
        <f ca="1">+_xlfn.IFNA(VLOOKUP(M608,BespokeWindowsAreas!$A$1:$E$1999,1,FALSE),VLOOKUP(E608,WindowTypeArea!$B$2:$C$2000,2,FALSE))</f>
        <v>6.24</v>
      </c>
      <c r="M608">
        <f t="shared" ca="1" si="131"/>
        <v>5047124</v>
      </c>
    </row>
    <row r="609" spans="1:13" x14ac:dyDescent="0.25">
      <c r="A609">
        <f t="shared" ca="1" si="122"/>
        <v>2</v>
      </c>
      <c r="B609">
        <f t="shared" ca="1" si="123"/>
        <v>196</v>
      </c>
      <c r="C609" t="str">
        <f t="shared" ca="1" si="132"/>
        <v>'WINDOWS-NCH-A-BDP-M3-00-00'!B195</v>
      </c>
      <c r="D609" s="6" t="str">
        <f t="shared" ca="1" si="121"/>
        <v>L00-IMG-MSS-L054-02</v>
      </c>
      <c r="E609" t="str">
        <f t="shared" ca="1" si="124"/>
        <v>Family Type: Curtain Wall_1950w x 3200h, Family: Window External Type 6 - Flush, Recessed</v>
      </c>
      <c r="F609" t="str">
        <f t="shared" ca="1" si="125"/>
        <v>Vector(X = 0.873, Y = 0.489, Z = 0.000, Length = 1.000)</v>
      </c>
      <c r="G609">
        <f t="shared" ca="1" si="126"/>
        <v>0.9</v>
      </c>
      <c r="H609">
        <f t="shared" ca="1" si="127"/>
        <v>0.5</v>
      </c>
      <c r="I609">
        <f t="shared" ca="1" si="128"/>
        <v>0</v>
      </c>
      <c r="J609" s="8">
        <f t="shared" ca="1" si="129"/>
        <v>29.054604099077146</v>
      </c>
      <c r="K609" s="9" t="str">
        <f t="shared" ca="1" si="130"/>
        <v>E</v>
      </c>
      <c r="L609">
        <f ca="1">+_xlfn.IFNA(VLOOKUP(M609,BespokeWindowsAreas!$A$1:$E$1999,1,FALSE),VLOOKUP(E609,WindowTypeArea!$B$2:$C$2000,2,FALSE))</f>
        <v>6.24</v>
      </c>
      <c r="M609">
        <f t="shared" ca="1" si="131"/>
        <v>5047125</v>
      </c>
    </row>
    <row r="610" spans="1:13" x14ac:dyDescent="0.25">
      <c r="A610">
        <f t="shared" ca="1" si="122"/>
        <v>2</v>
      </c>
      <c r="B610">
        <f t="shared" ca="1" si="123"/>
        <v>197</v>
      </c>
      <c r="C610" t="str">
        <f t="shared" ca="1" si="132"/>
        <v>'WINDOWS-NCH-A-BDP-M3-00-00'!B196</v>
      </c>
      <c r="D610" s="6" t="str">
        <f t="shared" ca="1" si="121"/>
        <v>L00-IMG-MSS-L054-02</v>
      </c>
      <c r="E610" t="str">
        <f t="shared" ca="1" si="124"/>
        <v>Family Type: Curtain Wall_1000w x 3200h, Family: Window External Type 6 - Flush, Recessed</v>
      </c>
      <c r="F610" t="str">
        <f t="shared" ca="1" si="125"/>
        <v>Vector(X = 0.873, Y = 0.489, Z = 0.000, Length = 1.000)</v>
      </c>
      <c r="G610">
        <f t="shared" ca="1" si="126"/>
        <v>0.9</v>
      </c>
      <c r="H610">
        <f t="shared" ca="1" si="127"/>
        <v>0.5</v>
      </c>
      <c r="I610">
        <f t="shared" ca="1" si="128"/>
        <v>0</v>
      </c>
      <c r="J610" s="8">
        <f t="shared" ca="1" si="129"/>
        <v>29.054604099077146</v>
      </c>
      <c r="K610" s="9" t="str">
        <f t="shared" ca="1" si="130"/>
        <v>E</v>
      </c>
      <c r="L610">
        <f ca="1">+_xlfn.IFNA(VLOOKUP(M610,BespokeWindowsAreas!$A$1:$E$1999,1,FALSE),VLOOKUP(E610,WindowTypeArea!$B$2:$C$2000,2,FALSE))</f>
        <v>3.2</v>
      </c>
      <c r="M610">
        <f t="shared" ca="1" si="131"/>
        <v>5047127</v>
      </c>
    </row>
    <row r="611" spans="1:13" x14ac:dyDescent="0.25">
      <c r="A611">
        <f t="shared" ca="1" si="122"/>
        <v>2</v>
      </c>
      <c r="B611">
        <f t="shared" ca="1" si="123"/>
        <v>198</v>
      </c>
      <c r="C611" t="str">
        <f t="shared" ca="1" si="132"/>
        <v>'WINDOWS-NCH-A-BDP-M3-00-00'!B197</v>
      </c>
      <c r="D611" s="6" t="str">
        <f t="shared" ca="1" si="121"/>
        <v>L00-IMG-MSS-L054-04</v>
      </c>
      <c r="E611" t="str">
        <f t="shared" ca="1" si="124"/>
        <v>L00-IMG-MSS-L054-04</v>
      </c>
      <c r="F611">
        <f t="shared" ca="1" si="125"/>
        <v>1875280</v>
      </c>
      <c r="G611">
        <f t="shared" ca="1" si="126"/>
        <v>0</v>
      </c>
      <c r="H611">
        <f t="shared" ca="1" si="127"/>
        <v>0</v>
      </c>
      <c r="I611">
        <f t="shared" ca="1" si="128"/>
        <v>0</v>
      </c>
      <c r="J611" s="8" t="e">
        <f t="shared" ca="1" si="129"/>
        <v>#DIV/0!</v>
      </c>
      <c r="K611" s="9" t="e">
        <f t="shared" ca="1" si="130"/>
        <v>#DIV/0!</v>
      </c>
      <c r="L611" t="e">
        <f ca="1">+_xlfn.IFNA(VLOOKUP(M611,BespokeWindowsAreas!$A$1:$E$1999,1,FALSE),VLOOKUP(E611,WindowTypeArea!$B$2:$C$2000,2,FALSE))</f>
        <v>#N/A</v>
      </c>
      <c r="M611">
        <f t="shared" ca="1" si="131"/>
        <v>0</v>
      </c>
    </row>
    <row r="612" spans="1:13" x14ac:dyDescent="0.25">
      <c r="A612">
        <f t="shared" ca="1" si="122"/>
        <v>2</v>
      </c>
      <c r="B612">
        <f t="shared" ca="1" si="123"/>
        <v>199</v>
      </c>
      <c r="C612" t="str">
        <f t="shared" ca="1" si="132"/>
        <v>'WINDOWS-NCH-A-BDP-M3-00-00'!B198</v>
      </c>
      <c r="D612" s="6" t="str">
        <f t="shared" ca="1" si="121"/>
        <v>L00-IMG-MSS-L054-04</v>
      </c>
      <c r="E612" t="str">
        <f t="shared" ca="1" si="124"/>
        <v>Family Type: Curtain Wall_975w x 3200h, Family: Window External Type 6 - Flush, Recessed</v>
      </c>
      <c r="F612" t="str">
        <f t="shared" ca="1" si="125"/>
        <v>Vector(X = 0.872, Y = 0.489, Z = 0.000, Length = 1.000)</v>
      </c>
      <c r="G612">
        <f t="shared" ca="1" si="126"/>
        <v>0.9</v>
      </c>
      <c r="H612">
        <f t="shared" ca="1" si="127"/>
        <v>0.5</v>
      </c>
      <c r="I612">
        <f t="shared" ca="1" si="128"/>
        <v>0</v>
      </c>
      <c r="J612" s="8">
        <f t="shared" ca="1" si="129"/>
        <v>29.054604099077146</v>
      </c>
      <c r="K612" s="9" t="str">
        <f t="shared" ca="1" si="130"/>
        <v>E</v>
      </c>
      <c r="L612">
        <f ca="1">+_xlfn.IFNA(VLOOKUP(M612,BespokeWindowsAreas!$A$1:$E$1999,1,FALSE),VLOOKUP(E612,WindowTypeArea!$B$2:$C$2000,2,FALSE))</f>
        <v>3.12</v>
      </c>
      <c r="M612">
        <f t="shared" ca="1" si="131"/>
        <v>5044798</v>
      </c>
    </row>
    <row r="613" spans="1:13" x14ac:dyDescent="0.25">
      <c r="A613">
        <f t="shared" ca="1" si="122"/>
        <v>2</v>
      </c>
      <c r="B613">
        <f t="shared" ca="1" si="123"/>
        <v>200</v>
      </c>
      <c r="C613" t="str">
        <f t="shared" ca="1" si="132"/>
        <v>'WINDOWS-NCH-A-BDP-M3-00-00'!B199</v>
      </c>
      <c r="D613" s="6" t="str">
        <f t="shared" ca="1" si="121"/>
        <v>L00-IMG-MSS-L054-04</v>
      </c>
      <c r="E613" t="str">
        <f t="shared" ca="1" si="124"/>
        <v>Family Type: Curtain Wall_1000w x 3200h, Family: Window External Type 6 - Flush, Recessed</v>
      </c>
      <c r="F613" t="str">
        <f t="shared" ca="1" si="125"/>
        <v>Vector(X = 0.872, Y = 0.489, Z = 0.000, Length = 1.000)</v>
      </c>
      <c r="G613">
        <f t="shared" ca="1" si="126"/>
        <v>0.9</v>
      </c>
      <c r="H613">
        <f t="shared" ca="1" si="127"/>
        <v>0.5</v>
      </c>
      <c r="I613">
        <f t="shared" ca="1" si="128"/>
        <v>0</v>
      </c>
      <c r="J613" s="8">
        <f t="shared" ca="1" si="129"/>
        <v>29.054604099077146</v>
      </c>
      <c r="K613" s="9" t="str">
        <f t="shared" ca="1" si="130"/>
        <v>E</v>
      </c>
      <c r="L613">
        <f ca="1">+_xlfn.IFNA(VLOOKUP(M613,BespokeWindowsAreas!$A$1:$E$1999,1,FALSE),VLOOKUP(E613,WindowTypeArea!$B$2:$C$2000,2,FALSE))</f>
        <v>3.2</v>
      </c>
      <c r="M613">
        <f t="shared" ca="1" si="131"/>
        <v>5045611</v>
      </c>
    </row>
    <row r="614" spans="1:13" x14ac:dyDescent="0.25">
      <c r="A614">
        <f t="shared" ca="1" si="122"/>
        <v>2</v>
      </c>
      <c r="B614">
        <f t="shared" ca="1" si="123"/>
        <v>201</v>
      </c>
      <c r="C614" t="str">
        <f t="shared" ca="1" si="132"/>
        <v>'WINDOWS-NCH-A-BDP-M3-00-00'!B200</v>
      </c>
      <c r="D614" s="6" t="str">
        <f t="shared" ca="1" si="121"/>
        <v>L00-IMG-MSS-L054-04</v>
      </c>
      <c r="E614" t="str">
        <f t="shared" ca="1" si="124"/>
        <v>Family Type: Curtain Wall_1950w x 3200h, Family: Window External Type 6 - Flush, Recessed</v>
      </c>
      <c r="F614" t="str">
        <f t="shared" ca="1" si="125"/>
        <v>Vector(X = 0.872, Y = 0.489, Z = 0.000, Length = 1.000)</v>
      </c>
      <c r="G614">
        <f t="shared" ca="1" si="126"/>
        <v>0.9</v>
      </c>
      <c r="H614">
        <f t="shared" ca="1" si="127"/>
        <v>0.5</v>
      </c>
      <c r="I614">
        <f t="shared" ca="1" si="128"/>
        <v>0</v>
      </c>
      <c r="J614" s="8">
        <f t="shared" ca="1" si="129"/>
        <v>29.054604099077146</v>
      </c>
      <c r="K614" s="9" t="str">
        <f t="shared" ca="1" si="130"/>
        <v>E</v>
      </c>
      <c r="L614">
        <f ca="1">+_xlfn.IFNA(VLOOKUP(M614,BespokeWindowsAreas!$A$1:$E$1999,1,FALSE),VLOOKUP(E614,WindowTypeArea!$B$2:$C$2000,2,FALSE))</f>
        <v>6.24</v>
      </c>
      <c r="M614">
        <f t="shared" ca="1" si="131"/>
        <v>5045615</v>
      </c>
    </row>
    <row r="615" spans="1:13" x14ac:dyDescent="0.25">
      <c r="A615">
        <f t="shared" ca="1" si="122"/>
        <v>2</v>
      </c>
      <c r="B615">
        <f t="shared" ca="1" si="123"/>
        <v>202</v>
      </c>
      <c r="C615" t="str">
        <f t="shared" ca="1" si="132"/>
        <v>'WINDOWS-NCH-A-BDP-M3-00-00'!B201</v>
      </c>
      <c r="D615" s="6" t="str">
        <f t="shared" ca="1" si="121"/>
        <v>L00-IMG-MSS-L054-04</v>
      </c>
      <c r="E615" t="str">
        <f t="shared" ca="1" si="124"/>
        <v>Family Type: Curtain Wall_1950w x 3200h, Family: Window External Type 6 - Flush, Recessed</v>
      </c>
      <c r="F615" t="str">
        <f t="shared" ca="1" si="125"/>
        <v>Vector(X = 0.872, Y = 0.489, Z = 0.000, Length = 1.000)</v>
      </c>
      <c r="G615">
        <f t="shared" ca="1" si="126"/>
        <v>0.9</v>
      </c>
      <c r="H615">
        <f t="shared" ca="1" si="127"/>
        <v>0.5</v>
      </c>
      <c r="I615">
        <f t="shared" ca="1" si="128"/>
        <v>0</v>
      </c>
      <c r="J615" s="8">
        <f t="shared" ca="1" si="129"/>
        <v>29.054604099077146</v>
      </c>
      <c r="K615" s="9" t="str">
        <f t="shared" ca="1" si="130"/>
        <v>E</v>
      </c>
      <c r="L615">
        <f ca="1">+_xlfn.IFNA(VLOOKUP(M615,BespokeWindowsAreas!$A$1:$E$1999,1,FALSE),VLOOKUP(E615,WindowTypeArea!$B$2:$C$2000,2,FALSE))</f>
        <v>6.24</v>
      </c>
      <c r="M615">
        <f t="shared" ca="1" si="131"/>
        <v>5045616</v>
      </c>
    </row>
    <row r="616" spans="1:13" x14ac:dyDescent="0.25">
      <c r="A616">
        <f t="shared" ca="1" si="122"/>
        <v>2</v>
      </c>
      <c r="B616">
        <f t="shared" ca="1" si="123"/>
        <v>203</v>
      </c>
      <c r="C616" t="str">
        <f t="shared" ca="1" si="132"/>
        <v>'WINDOWS-NCH-A-BDP-M3-00-00'!B202</v>
      </c>
      <c r="D616" s="6" t="str">
        <f t="shared" ca="1" si="121"/>
        <v>L00-IMG-MSS-L054-04</v>
      </c>
      <c r="E616" t="str">
        <f t="shared" ca="1" si="124"/>
        <v>Family Type: Curtain Wall_1000w x 3200h, Family: Window External Type 6 - Flush, Recessed</v>
      </c>
      <c r="F616" t="str">
        <f t="shared" ca="1" si="125"/>
        <v>Vector(X = 0.872, Y = 0.489, Z = 0.000, Length = 1.000)</v>
      </c>
      <c r="G616">
        <f t="shared" ca="1" si="126"/>
        <v>0.9</v>
      </c>
      <c r="H616">
        <f t="shared" ca="1" si="127"/>
        <v>0.5</v>
      </c>
      <c r="I616">
        <f t="shared" ca="1" si="128"/>
        <v>0</v>
      </c>
      <c r="J616" s="8">
        <f t="shared" ca="1" si="129"/>
        <v>29.054604099077146</v>
      </c>
      <c r="K616" s="9" t="str">
        <f t="shared" ca="1" si="130"/>
        <v>E</v>
      </c>
      <c r="L616">
        <f ca="1">+_xlfn.IFNA(VLOOKUP(M616,BespokeWindowsAreas!$A$1:$E$1999,1,FALSE),VLOOKUP(E616,WindowTypeArea!$B$2:$C$2000,2,FALSE))</f>
        <v>3.2</v>
      </c>
      <c r="M616">
        <f t="shared" ca="1" si="131"/>
        <v>5045620</v>
      </c>
    </row>
    <row r="617" spans="1:13" x14ac:dyDescent="0.25">
      <c r="A617">
        <f t="shared" ca="1" si="122"/>
        <v>2</v>
      </c>
      <c r="B617">
        <f t="shared" ca="1" si="123"/>
        <v>204</v>
      </c>
      <c r="C617" t="str">
        <f t="shared" ca="1" si="132"/>
        <v>'WINDOWS-NCH-A-BDP-M3-00-00'!B203</v>
      </c>
      <c r="D617" s="6" t="str">
        <f t="shared" ca="1" si="121"/>
        <v>L00-EMG-OBS-S053-01</v>
      </c>
      <c r="E617" t="str">
        <f t="shared" ca="1" si="124"/>
        <v>L00-EMG-OBS-S053-01</v>
      </c>
      <c r="F617">
        <f t="shared" ca="1" si="125"/>
        <v>1875300</v>
      </c>
      <c r="G617">
        <f t="shared" ca="1" si="126"/>
        <v>0</v>
      </c>
      <c r="H617">
        <f t="shared" ca="1" si="127"/>
        <v>0</v>
      </c>
      <c r="I617">
        <f t="shared" ca="1" si="128"/>
        <v>0</v>
      </c>
      <c r="J617" s="8" t="e">
        <f t="shared" ca="1" si="129"/>
        <v>#DIV/0!</v>
      </c>
      <c r="K617" s="9" t="e">
        <f t="shared" ca="1" si="130"/>
        <v>#DIV/0!</v>
      </c>
      <c r="L617" t="e">
        <f ca="1">+_xlfn.IFNA(VLOOKUP(M617,BespokeWindowsAreas!$A$1:$E$1999,1,FALSE),VLOOKUP(E617,WindowTypeArea!$B$2:$C$2000,2,FALSE))</f>
        <v>#N/A</v>
      </c>
      <c r="M617">
        <f t="shared" ca="1" si="131"/>
        <v>0</v>
      </c>
    </row>
    <row r="618" spans="1:13" x14ac:dyDescent="0.25">
      <c r="A618">
        <f t="shared" ca="1" si="122"/>
        <v>2</v>
      </c>
      <c r="B618">
        <f t="shared" ca="1" si="123"/>
        <v>205</v>
      </c>
      <c r="C618" t="str">
        <f t="shared" ca="1" si="132"/>
        <v>'WINDOWS-NCH-A-BDP-M3-00-00'!B204</v>
      </c>
      <c r="D618" s="6" t="str">
        <f t="shared" ca="1" si="121"/>
        <v>L00-EMG-OBS-S053-01</v>
      </c>
      <c r="E618" t="str">
        <f t="shared" ca="1" si="124"/>
        <v>Family Type: Curtain Wall_1950w x 3200h, Family: Window External Type 6 - Flush, Recessed</v>
      </c>
      <c r="F618" t="str">
        <f t="shared" ca="1" si="125"/>
        <v>Vector(X = 0.977, Y = 0.212, Z = 0.000, Length = 1.000)</v>
      </c>
      <c r="G618">
        <f t="shared" ca="1" si="126"/>
        <v>1</v>
      </c>
      <c r="H618">
        <f t="shared" ca="1" si="127"/>
        <v>0.2</v>
      </c>
      <c r="I618">
        <f t="shared" ca="1" si="128"/>
        <v>0</v>
      </c>
      <c r="J618" s="8">
        <f t="shared" ca="1" si="129"/>
        <v>11.309932474020215</v>
      </c>
      <c r="K618" s="9" t="str">
        <f t="shared" ca="1" si="130"/>
        <v>E</v>
      </c>
      <c r="L618">
        <f ca="1">+_xlfn.IFNA(VLOOKUP(M618,BespokeWindowsAreas!$A$1:$E$1999,1,FALSE),VLOOKUP(E618,WindowTypeArea!$B$2:$C$2000,2,FALSE))</f>
        <v>6.24</v>
      </c>
      <c r="M618">
        <f t="shared" ca="1" si="131"/>
        <v>5050810</v>
      </c>
    </row>
    <row r="619" spans="1:13" x14ac:dyDescent="0.25">
      <c r="A619">
        <f t="shared" ca="1" si="122"/>
        <v>2</v>
      </c>
      <c r="B619">
        <f t="shared" ca="1" si="123"/>
        <v>206</v>
      </c>
      <c r="C619" t="str">
        <f t="shared" ca="1" si="132"/>
        <v>'WINDOWS-NCH-A-BDP-M3-00-00'!B205</v>
      </c>
      <c r="D619" s="6" t="str">
        <f t="shared" ca="1" si="121"/>
        <v>L00-EMG-OBS-S053-01</v>
      </c>
      <c r="E619" t="str">
        <f t="shared" ca="1" si="124"/>
        <v>Family Type: Curtain Wall_975w x 3200h, Family: Window External Type 6 - Flush, Recessed</v>
      </c>
      <c r="F619" t="str">
        <f t="shared" ca="1" si="125"/>
        <v>Vector(X = 0.977, Y = 0.212, Z = 0.000, Length = 1.000)</v>
      </c>
      <c r="G619">
        <f t="shared" ca="1" si="126"/>
        <v>1</v>
      </c>
      <c r="H619">
        <f t="shared" ca="1" si="127"/>
        <v>0.2</v>
      </c>
      <c r="I619">
        <f t="shared" ca="1" si="128"/>
        <v>0</v>
      </c>
      <c r="J619" s="8">
        <f t="shared" ca="1" si="129"/>
        <v>11.309932474020215</v>
      </c>
      <c r="K619" s="9" t="str">
        <f t="shared" ca="1" si="130"/>
        <v>E</v>
      </c>
      <c r="L619">
        <f ca="1">+_xlfn.IFNA(VLOOKUP(M619,BespokeWindowsAreas!$A$1:$E$1999,1,FALSE),VLOOKUP(E619,WindowTypeArea!$B$2:$C$2000,2,FALSE))</f>
        <v>3.12</v>
      </c>
      <c r="M619">
        <f t="shared" ca="1" si="131"/>
        <v>5050811</v>
      </c>
    </row>
    <row r="620" spans="1:13" x14ac:dyDescent="0.25">
      <c r="A620">
        <f t="shared" ca="1" si="122"/>
        <v>2</v>
      </c>
      <c r="B620">
        <f t="shared" ca="1" si="123"/>
        <v>207</v>
      </c>
      <c r="C620" t="str">
        <f t="shared" ca="1" si="132"/>
        <v>'WINDOWS-NCH-A-BDP-M3-00-00'!B206</v>
      </c>
      <c r="D620" s="6" t="str">
        <f t="shared" ca="1" si="121"/>
        <v>L00-EMG-REA-X009-01</v>
      </c>
      <c r="E620" t="str">
        <f t="shared" ca="1" si="124"/>
        <v>L00-EMG-REA-X009-01</v>
      </c>
      <c r="F620">
        <f t="shared" ca="1" si="125"/>
        <v>1875340</v>
      </c>
      <c r="G620">
        <f t="shared" ca="1" si="126"/>
        <v>0</v>
      </c>
      <c r="H620">
        <f t="shared" ca="1" si="127"/>
        <v>0</v>
      </c>
      <c r="I620">
        <f t="shared" ca="1" si="128"/>
        <v>0</v>
      </c>
      <c r="J620" s="8" t="e">
        <f t="shared" ca="1" si="129"/>
        <v>#DIV/0!</v>
      </c>
      <c r="K620" s="9" t="e">
        <f t="shared" ca="1" si="130"/>
        <v>#DIV/0!</v>
      </c>
      <c r="L620" t="e">
        <f ca="1">+_xlfn.IFNA(VLOOKUP(M620,BespokeWindowsAreas!$A$1:$E$1999,1,FALSE),VLOOKUP(E620,WindowTypeArea!$B$2:$C$2000,2,FALSE))</f>
        <v>#N/A</v>
      </c>
      <c r="M620">
        <f t="shared" ca="1" si="131"/>
        <v>0</v>
      </c>
    </row>
    <row r="621" spans="1:13" x14ac:dyDescent="0.25">
      <c r="A621">
        <f t="shared" ca="1" si="122"/>
        <v>2</v>
      </c>
      <c r="B621">
        <f t="shared" ca="1" si="123"/>
        <v>208</v>
      </c>
      <c r="C621" t="str">
        <f t="shared" ca="1" si="132"/>
        <v>'WINDOWS-NCH-A-BDP-M3-00-00'!B207</v>
      </c>
      <c r="D621" s="6" t="str">
        <f t="shared" ca="1" si="121"/>
        <v>L00-EMG-REA-X009-01</v>
      </c>
      <c r="E621" t="str">
        <f t="shared" ca="1" si="124"/>
        <v>Family Type: 975w x 3050h, Family: Window Internal Type 1 - Flush</v>
      </c>
      <c r="F621" t="str">
        <f t="shared" ca="1" si="125"/>
        <v>Vector(X = -0.977, Y = -0.212, Z = 0.000, Length = 1.000)</v>
      </c>
      <c r="G621">
        <f t="shared" ca="1" si="126"/>
        <v>-1</v>
      </c>
      <c r="H621">
        <f t="shared" ca="1" si="127"/>
        <v>-0.2</v>
      </c>
      <c r="I621">
        <f t="shared" ca="1" si="128"/>
        <v>0</v>
      </c>
      <c r="J621" s="8">
        <f t="shared" ca="1" si="129"/>
        <v>-168.69006752597977</v>
      </c>
      <c r="K621" s="9" t="str">
        <f t="shared" ca="1" si="130"/>
        <v>W</v>
      </c>
      <c r="L621">
        <f ca="1">+_xlfn.IFNA(VLOOKUP(M621,BespokeWindowsAreas!$A$1:$E$1999,1,FALSE),VLOOKUP(E621,WindowTypeArea!$B$2:$C$2000,2,FALSE))</f>
        <v>2.9737499999999999</v>
      </c>
      <c r="M621">
        <f t="shared" ca="1" si="131"/>
        <v>6644046</v>
      </c>
    </row>
    <row r="622" spans="1:13" x14ac:dyDescent="0.25">
      <c r="A622">
        <f t="shared" ca="1" si="122"/>
        <v>2</v>
      </c>
      <c r="B622">
        <f t="shared" ca="1" si="123"/>
        <v>209</v>
      </c>
      <c r="C622" t="str">
        <f t="shared" ca="1" si="132"/>
        <v>'WINDOWS-NCH-A-BDP-M3-00-00'!B208</v>
      </c>
      <c r="D622" s="6" t="str">
        <f t="shared" ca="1" si="121"/>
        <v>L00-EMG-REA-X010-01</v>
      </c>
      <c r="E622" t="str">
        <f t="shared" ca="1" si="124"/>
        <v>L00-EMG-REA-X010-01</v>
      </c>
      <c r="F622">
        <f t="shared" ca="1" si="125"/>
        <v>1875342</v>
      </c>
      <c r="G622">
        <f t="shared" ca="1" si="126"/>
        <v>0</v>
      </c>
      <c r="H622">
        <f t="shared" ca="1" si="127"/>
        <v>0</v>
      </c>
      <c r="I622">
        <f t="shared" ca="1" si="128"/>
        <v>0</v>
      </c>
      <c r="J622" s="8" t="e">
        <f t="shared" ca="1" si="129"/>
        <v>#DIV/0!</v>
      </c>
      <c r="K622" s="9" t="e">
        <f t="shared" ca="1" si="130"/>
        <v>#DIV/0!</v>
      </c>
      <c r="L622" t="e">
        <f ca="1">+_xlfn.IFNA(VLOOKUP(M622,BespokeWindowsAreas!$A$1:$E$1999,1,FALSE),VLOOKUP(E622,WindowTypeArea!$B$2:$C$2000,2,FALSE))</f>
        <v>#N/A</v>
      </c>
      <c r="M622">
        <f t="shared" ca="1" si="131"/>
        <v>0</v>
      </c>
    </row>
    <row r="623" spans="1:13" x14ac:dyDescent="0.25">
      <c r="A623">
        <f t="shared" ca="1" si="122"/>
        <v>2</v>
      </c>
      <c r="B623">
        <f t="shared" ca="1" si="123"/>
        <v>210</v>
      </c>
      <c r="C623" t="str">
        <f t="shared" ca="1" si="132"/>
        <v>'WINDOWS-NCH-A-BDP-M3-00-00'!B209</v>
      </c>
      <c r="D623" s="6" t="str">
        <f t="shared" ca="1" si="121"/>
        <v>L00-EMG-REA-X010-01</v>
      </c>
      <c r="E623" t="str">
        <f t="shared" ca="1" si="124"/>
        <v>Family Type: 650w x 3050h, Family: Window Internal Type 1 - Flush</v>
      </c>
      <c r="F623" t="str">
        <f t="shared" ca="1" si="125"/>
        <v>Vector(X = -0.977, Y = -0.212, Z = 0.000, Length = 1.000)</v>
      </c>
      <c r="G623">
        <f t="shared" ca="1" si="126"/>
        <v>-1</v>
      </c>
      <c r="H623">
        <f t="shared" ca="1" si="127"/>
        <v>-0.2</v>
      </c>
      <c r="I623">
        <f t="shared" ca="1" si="128"/>
        <v>0</v>
      </c>
      <c r="J623" s="8">
        <f t="shared" ca="1" si="129"/>
        <v>-168.69006752597977</v>
      </c>
      <c r="K623" s="9" t="str">
        <f t="shared" ca="1" si="130"/>
        <v>W</v>
      </c>
      <c r="L623">
        <f ca="1">+_xlfn.IFNA(VLOOKUP(M623,BespokeWindowsAreas!$A$1:$E$1999,1,FALSE),VLOOKUP(E623,WindowTypeArea!$B$2:$C$2000,2,FALSE))</f>
        <v>1.9824999999999999</v>
      </c>
      <c r="M623">
        <f t="shared" ca="1" si="131"/>
        <v>6644360</v>
      </c>
    </row>
    <row r="624" spans="1:13" x14ac:dyDescent="0.25">
      <c r="A624">
        <f t="shared" ca="1" si="122"/>
        <v>2</v>
      </c>
      <c r="B624">
        <f t="shared" ca="1" si="123"/>
        <v>211</v>
      </c>
      <c r="C624" t="str">
        <f t="shared" ca="1" si="132"/>
        <v>'WINDOWS-NCH-A-BDP-M3-00-00'!B210</v>
      </c>
      <c r="D624" s="6" t="str">
        <f t="shared" ca="1" si="121"/>
        <v>L00-EMG-OTA-S096-01</v>
      </c>
      <c r="E624" t="str">
        <f t="shared" ca="1" si="124"/>
        <v>L00-EMG-OTA-S096-01</v>
      </c>
      <c r="F624">
        <f t="shared" ca="1" si="125"/>
        <v>1875418</v>
      </c>
      <c r="G624">
        <f t="shared" ca="1" si="126"/>
        <v>0</v>
      </c>
      <c r="H624">
        <f t="shared" ca="1" si="127"/>
        <v>0</v>
      </c>
      <c r="I624">
        <f t="shared" ca="1" si="128"/>
        <v>0</v>
      </c>
      <c r="J624" s="8" t="e">
        <f t="shared" ca="1" si="129"/>
        <v>#DIV/0!</v>
      </c>
      <c r="K624" s="9" t="e">
        <f t="shared" ca="1" si="130"/>
        <v>#DIV/0!</v>
      </c>
      <c r="L624" t="e">
        <f ca="1">+_xlfn.IFNA(VLOOKUP(M624,BespokeWindowsAreas!$A$1:$E$1999,1,FALSE),VLOOKUP(E624,WindowTypeArea!$B$2:$C$2000,2,FALSE))</f>
        <v>#N/A</v>
      </c>
      <c r="M624">
        <f t="shared" ca="1" si="131"/>
        <v>0</v>
      </c>
    </row>
    <row r="625" spans="1:13" x14ac:dyDescent="0.25">
      <c r="A625">
        <f t="shared" ca="1" si="122"/>
        <v>2</v>
      </c>
      <c r="B625">
        <f t="shared" ca="1" si="123"/>
        <v>212</v>
      </c>
      <c r="C625" t="str">
        <f t="shared" ca="1" si="132"/>
        <v>'WINDOWS-NCH-A-BDP-M3-00-00'!B211</v>
      </c>
      <c r="D625" s="6" t="str">
        <f t="shared" ca="1" si="121"/>
        <v>L00-EMG-OTA-S096-01</v>
      </c>
      <c r="E625" t="str">
        <f t="shared" ca="1" si="124"/>
        <v>Family Type: 650w x 3050h, Family: Window Internal Type 1 - Flush</v>
      </c>
      <c r="F625" t="str">
        <f t="shared" ca="1" si="125"/>
        <v>Vector(X = -0.977, Y = -0.212, Z = 0.000, Length = 1.000)</v>
      </c>
      <c r="G625">
        <f t="shared" ca="1" si="126"/>
        <v>-1</v>
      </c>
      <c r="H625">
        <f t="shared" ca="1" si="127"/>
        <v>-0.2</v>
      </c>
      <c r="I625">
        <f t="shared" ca="1" si="128"/>
        <v>0</v>
      </c>
      <c r="J625" s="8">
        <f t="shared" ca="1" si="129"/>
        <v>-168.69006752597977</v>
      </c>
      <c r="K625" s="9" t="str">
        <f t="shared" ca="1" si="130"/>
        <v>W</v>
      </c>
      <c r="L625">
        <f ca="1">+_xlfn.IFNA(VLOOKUP(M625,BespokeWindowsAreas!$A$1:$E$1999,1,FALSE),VLOOKUP(E625,WindowTypeArea!$B$2:$C$2000,2,FALSE))</f>
        <v>1.9824999999999999</v>
      </c>
      <c r="M625">
        <f t="shared" ca="1" si="131"/>
        <v>6645248</v>
      </c>
    </row>
    <row r="626" spans="1:13" x14ac:dyDescent="0.25">
      <c r="A626">
        <f t="shared" ca="1" si="122"/>
        <v>2</v>
      </c>
      <c r="B626">
        <f t="shared" ca="1" si="123"/>
        <v>213</v>
      </c>
      <c r="C626" t="str">
        <f t="shared" ca="1" si="132"/>
        <v>'WINDOWS-NCH-A-BDP-M3-00-00'!B212</v>
      </c>
      <c r="D626" s="6" t="str">
        <f t="shared" ca="1" si="121"/>
        <v>L00-EMG-OTA-S108-01</v>
      </c>
      <c r="E626" t="str">
        <f t="shared" ca="1" si="124"/>
        <v>L00-EMG-OTA-S108-01</v>
      </c>
      <c r="F626">
        <f t="shared" ca="1" si="125"/>
        <v>1875440</v>
      </c>
      <c r="G626">
        <f t="shared" ca="1" si="126"/>
        <v>0</v>
      </c>
      <c r="H626">
        <f t="shared" ca="1" si="127"/>
        <v>0</v>
      </c>
      <c r="I626">
        <f t="shared" ca="1" si="128"/>
        <v>0</v>
      </c>
      <c r="J626" s="8" t="e">
        <f t="shared" ca="1" si="129"/>
        <v>#DIV/0!</v>
      </c>
      <c r="K626" s="9" t="e">
        <f t="shared" ca="1" si="130"/>
        <v>#DIV/0!</v>
      </c>
      <c r="L626" t="e">
        <f ca="1">+_xlfn.IFNA(VLOOKUP(M626,BespokeWindowsAreas!$A$1:$E$1999,1,FALSE),VLOOKUP(E626,WindowTypeArea!$B$2:$C$2000,2,FALSE))</f>
        <v>#N/A</v>
      </c>
      <c r="M626">
        <f t="shared" ca="1" si="131"/>
        <v>0</v>
      </c>
    </row>
    <row r="627" spans="1:13" x14ac:dyDescent="0.25">
      <c r="A627">
        <f t="shared" ca="1" si="122"/>
        <v>2</v>
      </c>
      <c r="B627">
        <f t="shared" ca="1" si="123"/>
        <v>214</v>
      </c>
      <c r="C627" t="str">
        <f t="shared" ca="1" si="132"/>
        <v>'WINDOWS-NCH-A-BDP-M3-00-00'!B213</v>
      </c>
      <c r="D627" s="6" t="str">
        <f t="shared" ca="1" si="121"/>
        <v>L00-EMG-OTA-S108-01</v>
      </c>
      <c r="E627" t="str">
        <f t="shared" ca="1" si="124"/>
        <v>Family Type: 1500w x 3050h, Family: Window Internal Type 1 - Flush</v>
      </c>
      <c r="F627" t="str">
        <f t="shared" ca="1" si="125"/>
        <v>Vector(X = -0.977, Y = -0.212, Z = 0.000, Length = 1.000)</v>
      </c>
      <c r="G627">
        <f t="shared" ca="1" si="126"/>
        <v>-1</v>
      </c>
      <c r="H627">
        <f t="shared" ca="1" si="127"/>
        <v>-0.2</v>
      </c>
      <c r="I627">
        <f t="shared" ca="1" si="128"/>
        <v>0</v>
      </c>
      <c r="J627" s="8">
        <f t="shared" ca="1" si="129"/>
        <v>-168.69006752597977</v>
      </c>
      <c r="K627" s="9" t="str">
        <f t="shared" ca="1" si="130"/>
        <v>W</v>
      </c>
      <c r="L627">
        <f ca="1">+_xlfn.IFNA(VLOOKUP(M627,BespokeWindowsAreas!$A$1:$E$1999,1,FALSE),VLOOKUP(E627,WindowTypeArea!$B$2:$C$2000,2,FALSE))</f>
        <v>4.5749999999999993</v>
      </c>
      <c r="M627">
        <f t="shared" ca="1" si="131"/>
        <v>6644213</v>
      </c>
    </row>
    <row r="628" spans="1:13" x14ac:dyDescent="0.25">
      <c r="A628">
        <f t="shared" ca="1" si="122"/>
        <v>2</v>
      </c>
      <c r="B628">
        <f t="shared" ca="1" si="123"/>
        <v>215</v>
      </c>
      <c r="C628" t="str">
        <f t="shared" ca="1" si="132"/>
        <v>'WINDOWS-NCH-A-BDP-M3-00-00'!B214</v>
      </c>
      <c r="D628" s="6" t="str">
        <f t="shared" ca="1" si="121"/>
        <v>L00-EMG-OTA-S069-05</v>
      </c>
      <c r="E628" t="str">
        <f t="shared" ca="1" si="124"/>
        <v>L00-EMG-OTA-S069-05</v>
      </c>
      <c r="F628">
        <f t="shared" ca="1" si="125"/>
        <v>1875464</v>
      </c>
      <c r="G628">
        <f t="shared" ca="1" si="126"/>
        <v>0</v>
      </c>
      <c r="H628">
        <f t="shared" ca="1" si="127"/>
        <v>0</v>
      </c>
      <c r="I628">
        <f t="shared" ca="1" si="128"/>
        <v>0</v>
      </c>
      <c r="J628" s="8" t="e">
        <f t="shared" ca="1" si="129"/>
        <v>#DIV/0!</v>
      </c>
      <c r="K628" s="9" t="e">
        <f t="shared" ca="1" si="130"/>
        <v>#DIV/0!</v>
      </c>
      <c r="L628" t="e">
        <f ca="1">+_xlfn.IFNA(VLOOKUP(M628,BespokeWindowsAreas!$A$1:$E$1999,1,FALSE),VLOOKUP(E628,WindowTypeArea!$B$2:$C$2000,2,FALSE))</f>
        <v>#N/A</v>
      </c>
      <c r="M628">
        <f t="shared" ca="1" si="131"/>
        <v>0</v>
      </c>
    </row>
    <row r="629" spans="1:13" x14ac:dyDescent="0.25">
      <c r="A629">
        <f t="shared" ca="1" si="122"/>
        <v>2</v>
      </c>
      <c r="B629">
        <f t="shared" ca="1" si="123"/>
        <v>216</v>
      </c>
      <c r="C629" t="str">
        <f t="shared" ca="1" si="132"/>
        <v>'WINDOWS-NCH-A-BDP-M3-00-00'!B215</v>
      </c>
      <c r="D629" s="6" t="str">
        <f t="shared" ca="1" si="121"/>
        <v>L00-EMG-OTA-S069-05</v>
      </c>
      <c r="E629" t="str">
        <f t="shared" ca="1" si="124"/>
        <v>Family Type: 1950w x 3050h, Family: Window Internal Type 1 - Flush</v>
      </c>
      <c r="F629" t="str">
        <f t="shared" ca="1" si="125"/>
        <v>Vector(X = -0.977, Y = -0.212, Z = 0.000, Length = 1.000)</v>
      </c>
      <c r="G629">
        <f t="shared" ca="1" si="126"/>
        <v>-1</v>
      </c>
      <c r="H629">
        <f t="shared" ca="1" si="127"/>
        <v>-0.2</v>
      </c>
      <c r="I629">
        <f t="shared" ca="1" si="128"/>
        <v>0</v>
      </c>
      <c r="J629" s="8">
        <f t="shared" ca="1" si="129"/>
        <v>-168.69006752597977</v>
      </c>
      <c r="K629" s="9" t="str">
        <f t="shared" ca="1" si="130"/>
        <v>W</v>
      </c>
      <c r="L629">
        <f ca="1">+_xlfn.IFNA(VLOOKUP(M629,BespokeWindowsAreas!$A$1:$E$1999,1,FALSE),VLOOKUP(E629,WindowTypeArea!$B$2:$C$2000,2,FALSE))</f>
        <v>5.9474999999999998</v>
      </c>
      <c r="M629">
        <f t="shared" ca="1" si="131"/>
        <v>6644694</v>
      </c>
    </row>
    <row r="630" spans="1:13" x14ac:dyDescent="0.25">
      <c r="A630">
        <f t="shared" ca="1" si="122"/>
        <v>2</v>
      </c>
      <c r="B630">
        <f t="shared" ca="1" si="123"/>
        <v>217</v>
      </c>
      <c r="C630" t="str">
        <f t="shared" ca="1" si="132"/>
        <v>'WINDOWS-NCH-A-BDP-M3-00-00'!B216</v>
      </c>
      <c r="D630" s="6" t="str">
        <f t="shared" ca="1" si="121"/>
        <v>L00-OPD-PCR-S081-01</v>
      </c>
      <c r="E630" t="str">
        <f t="shared" ca="1" si="124"/>
        <v>L00-OPD-PCR-S081-01</v>
      </c>
      <c r="F630">
        <f t="shared" ca="1" si="125"/>
        <v>1875506</v>
      </c>
      <c r="G630">
        <f t="shared" ca="1" si="126"/>
        <v>0</v>
      </c>
      <c r="H630">
        <f t="shared" ca="1" si="127"/>
        <v>0</v>
      </c>
      <c r="I630">
        <f t="shared" ca="1" si="128"/>
        <v>0</v>
      </c>
      <c r="J630" s="8" t="e">
        <f t="shared" ca="1" si="129"/>
        <v>#DIV/0!</v>
      </c>
      <c r="K630" s="9" t="e">
        <f t="shared" ca="1" si="130"/>
        <v>#DIV/0!</v>
      </c>
      <c r="L630" t="e">
        <f ca="1">+_xlfn.IFNA(VLOOKUP(M630,BespokeWindowsAreas!$A$1:$E$1999,1,FALSE),VLOOKUP(E630,WindowTypeArea!$B$2:$C$2000,2,FALSE))</f>
        <v>#N/A</v>
      </c>
      <c r="M630">
        <f t="shared" ca="1" si="131"/>
        <v>0</v>
      </c>
    </row>
    <row r="631" spans="1:13" x14ac:dyDescent="0.25">
      <c r="A631">
        <f t="shared" ca="1" si="122"/>
        <v>2</v>
      </c>
      <c r="B631">
        <f t="shared" ca="1" si="123"/>
        <v>218</v>
      </c>
      <c r="C631" t="str">
        <f t="shared" ca="1" si="132"/>
        <v>'WINDOWS-NCH-A-BDP-M3-00-00'!B217</v>
      </c>
      <c r="D631" s="6" t="str">
        <f t="shared" ca="1" si="121"/>
        <v>L00-OPD-PCR-S081-01</v>
      </c>
      <c r="E631" t="str">
        <f t="shared" ca="1" si="124"/>
        <v>Family Type: 975w x 3050h, Family: Window External Type 1 - Recessed</v>
      </c>
      <c r="F631" t="str">
        <f t="shared" ca="1" si="125"/>
        <v>Vector(X = -0.212, Y = 0.977, Z = 0.000, Length = 1.000)</v>
      </c>
      <c r="G631">
        <f t="shared" ca="1" si="126"/>
        <v>-0.2</v>
      </c>
      <c r="H631">
        <f t="shared" ca="1" si="127"/>
        <v>1</v>
      </c>
      <c r="I631">
        <f t="shared" ca="1" si="128"/>
        <v>0</v>
      </c>
      <c r="J631" s="8">
        <f t="shared" ca="1" si="129"/>
        <v>101.3099324740202</v>
      </c>
      <c r="K631" s="9" t="str">
        <f t="shared" ca="1" si="130"/>
        <v>N</v>
      </c>
      <c r="L631">
        <f ca="1">+_xlfn.IFNA(VLOOKUP(M631,BespokeWindowsAreas!$A$1:$E$1999,1,FALSE),VLOOKUP(E631,WindowTypeArea!$B$2:$C$2000,2,FALSE))</f>
        <v>2.9737499999999999</v>
      </c>
      <c r="M631">
        <f t="shared" ca="1" si="131"/>
        <v>5159253</v>
      </c>
    </row>
    <row r="632" spans="1:13" x14ac:dyDescent="0.25">
      <c r="A632">
        <f t="shared" ca="1" si="122"/>
        <v>2</v>
      </c>
      <c r="B632">
        <f t="shared" ca="1" si="123"/>
        <v>219</v>
      </c>
      <c r="C632" t="str">
        <f t="shared" ca="1" si="132"/>
        <v>'WINDOWS-NCH-A-BDP-M3-00-00'!B218</v>
      </c>
      <c r="D632" s="6" t="str">
        <f t="shared" ca="1" si="121"/>
        <v>L00-OPD-PCR-S147-01</v>
      </c>
      <c r="E632" t="str">
        <f t="shared" ca="1" si="124"/>
        <v>L00-OPD-PCR-S147-01</v>
      </c>
      <c r="F632">
        <f t="shared" ca="1" si="125"/>
        <v>1875508</v>
      </c>
      <c r="G632">
        <f t="shared" ca="1" si="126"/>
        <v>0</v>
      </c>
      <c r="H632">
        <f t="shared" ca="1" si="127"/>
        <v>0</v>
      </c>
      <c r="I632">
        <f t="shared" ca="1" si="128"/>
        <v>0</v>
      </c>
      <c r="J632" s="8" t="e">
        <f t="shared" ca="1" si="129"/>
        <v>#DIV/0!</v>
      </c>
      <c r="K632" s="9" t="e">
        <f t="shared" ca="1" si="130"/>
        <v>#DIV/0!</v>
      </c>
      <c r="L632" t="e">
        <f ca="1">+_xlfn.IFNA(VLOOKUP(M632,BespokeWindowsAreas!$A$1:$E$1999,1,FALSE),VLOOKUP(E632,WindowTypeArea!$B$2:$C$2000,2,FALSE))</f>
        <v>#N/A</v>
      </c>
      <c r="M632">
        <f t="shared" ca="1" si="131"/>
        <v>0</v>
      </c>
    </row>
    <row r="633" spans="1:13" x14ac:dyDescent="0.25">
      <c r="A633">
        <f t="shared" ca="1" si="122"/>
        <v>2</v>
      </c>
      <c r="B633">
        <f t="shared" ca="1" si="123"/>
        <v>220</v>
      </c>
      <c r="C633" t="str">
        <f t="shared" ca="1" si="132"/>
        <v>'WINDOWS-NCH-A-BDP-M3-00-00'!B219</v>
      </c>
      <c r="D633" s="6" t="str">
        <f t="shared" ca="1" si="121"/>
        <v>none</v>
      </c>
      <c r="E633" t="str">
        <f t="shared" ca="1" si="124"/>
        <v>none</v>
      </c>
      <c r="F633" t="str">
        <f t="shared" ca="1" si="125"/>
        <v>Vector(X = 0.212, Y = -0.977, Z = 0.000, Length = 1.000)</v>
      </c>
      <c r="G633">
        <f t="shared" ca="1" si="126"/>
        <v>0.2</v>
      </c>
      <c r="H633">
        <f t="shared" ca="1" si="127"/>
        <v>-1</v>
      </c>
      <c r="I633">
        <f t="shared" ca="1" si="128"/>
        <v>0</v>
      </c>
      <c r="J633" s="8">
        <f t="shared" ca="1" si="129"/>
        <v>-78.690067525979785</v>
      </c>
      <c r="K633" s="9" t="str">
        <f t="shared" ca="1" si="130"/>
        <v>S</v>
      </c>
      <c r="L633" t="e">
        <f ca="1">+_xlfn.IFNA(VLOOKUP(M633,BespokeWindowsAreas!$A$1:$E$1999,1,FALSE),VLOOKUP(E633,WindowTypeArea!$B$2:$C$2000,2,FALSE))</f>
        <v>#N/A</v>
      </c>
      <c r="M633">
        <f t="shared" ca="1" si="131"/>
        <v>4867450</v>
      </c>
    </row>
    <row r="634" spans="1:13" x14ac:dyDescent="0.25">
      <c r="A634">
        <f t="shared" ca="1" si="122"/>
        <v>2</v>
      </c>
      <c r="B634">
        <f t="shared" ca="1" si="123"/>
        <v>221</v>
      </c>
      <c r="C634" t="str">
        <f t="shared" ca="1" si="132"/>
        <v>'WINDOWS-NCH-A-BDP-M3-00-00'!B220</v>
      </c>
      <c r="D634" s="6" t="str">
        <f t="shared" ca="1" si="121"/>
        <v>none</v>
      </c>
      <c r="E634" t="str">
        <f t="shared" ca="1" si="124"/>
        <v>Family Type: 1500w x 3050h, Family: Window External Type 3 - Recessed and Angle</v>
      </c>
      <c r="F634" t="str">
        <f t="shared" ca="1" si="125"/>
        <v>Vector(X = 0.212, Y = -0.977, Z = 0.000, Length = 1.000)</v>
      </c>
      <c r="G634">
        <f t="shared" ca="1" si="126"/>
        <v>0.2</v>
      </c>
      <c r="H634">
        <f t="shared" ca="1" si="127"/>
        <v>-1</v>
      </c>
      <c r="I634">
        <f t="shared" ca="1" si="128"/>
        <v>0</v>
      </c>
      <c r="J634" s="8">
        <f t="shared" ca="1" si="129"/>
        <v>-78.690067525979785</v>
      </c>
      <c r="K634" s="9" t="str">
        <f t="shared" ca="1" si="130"/>
        <v>S</v>
      </c>
      <c r="L634">
        <f ca="1">+_xlfn.IFNA(VLOOKUP(M634,BespokeWindowsAreas!$A$1:$E$1999,1,FALSE),VLOOKUP(E634,WindowTypeArea!$B$2:$C$2000,2,FALSE))</f>
        <v>4.5750000000000002</v>
      </c>
      <c r="M634">
        <f t="shared" ca="1" si="131"/>
        <v>4867595</v>
      </c>
    </row>
    <row r="635" spans="1:13" x14ac:dyDescent="0.25">
      <c r="A635">
        <f t="shared" ca="1" si="122"/>
        <v>2</v>
      </c>
      <c r="B635">
        <f t="shared" ca="1" si="123"/>
        <v>222</v>
      </c>
      <c r="C635" t="str">
        <f t="shared" ca="1" si="132"/>
        <v>'WINDOWS-NCH-A-BDP-M3-00-00'!B221</v>
      </c>
      <c r="D635" s="6" t="str">
        <f t="shared" ca="1" si="121"/>
        <v>L00-OPD-PCR-S075-01</v>
      </c>
      <c r="E635" t="str">
        <f t="shared" ca="1" si="124"/>
        <v>L00-OPD-PCR-S075-01</v>
      </c>
      <c r="F635">
        <f t="shared" ca="1" si="125"/>
        <v>1875510</v>
      </c>
      <c r="G635">
        <f t="shared" ca="1" si="126"/>
        <v>0</v>
      </c>
      <c r="H635">
        <f t="shared" ca="1" si="127"/>
        <v>0</v>
      </c>
      <c r="I635">
        <f t="shared" ca="1" si="128"/>
        <v>0</v>
      </c>
      <c r="J635" s="8" t="e">
        <f t="shared" ca="1" si="129"/>
        <v>#DIV/0!</v>
      </c>
      <c r="K635" s="9" t="e">
        <f t="shared" ca="1" si="130"/>
        <v>#DIV/0!</v>
      </c>
      <c r="L635" t="e">
        <f ca="1">+_xlfn.IFNA(VLOOKUP(M635,BespokeWindowsAreas!$A$1:$E$1999,1,FALSE),VLOOKUP(E635,WindowTypeArea!$B$2:$C$2000,2,FALSE))</f>
        <v>#N/A</v>
      </c>
      <c r="M635">
        <f t="shared" ca="1" si="131"/>
        <v>0</v>
      </c>
    </row>
    <row r="636" spans="1:13" x14ac:dyDescent="0.25">
      <c r="A636">
        <f t="shared" ca="1" si="122"/>
        <v>2</v>
      </c>
      <c r="B636">
        <f t="shared" ca="1" si="123"/>
        <v>223</v>
      </c>
      <c r="C636" t="str">
        <f t="shared" ca="1" si="132"/>
        <v>'WINDOWS-NCH-A-BDP-M3-00-00'!B222</v>
      </c>
      <c r="D636" s="6" t="str">
        <f t="shared" ca="1" si="121"/>
        <v>L00-OPD-PCR-S075-01</v>
      </c>
      <c r="E636" t="str">
        <f t="shared" ca="1" si="124"/>
        <v>Family Type: 1000w x 3050h, Family: Window External Type 4 - Extruded</v>
      </c>
      <c r="F636" t="str">
        <f t="shared" ca="1" si="125"/>
        <v>Vector(X = 0.212, Y = -0.977, Z = 0.000, Length = 1.000)</v>
      </c>
      <c r="G636">
        <f t="shared" ca="1" si="126"/>
        <v>0.2</v>
      </c>
      <c r="H636">
        <f t="shared" ca="1" si="127"/>
        <v>-1</v>
      </c>
      <c r="I636">
        <f t="shared" ca="1" si="128"/>
        <v>0</v>
      </c>
      <c r="J636" s="8">
        <f t="shared" ca="1" si="129"/>
        <v>-78.690067525979785</v>
      </c>
      <c r="K636" s="9" t="str">
        <f t="shared" ca="1" si="130"/>
        <v>S</v>
      </c>
      <c r="L636">
        <f ca="1">+_xlfn.IFNA(VLOOKUP(M636,BespokeWindowsAreas!$A$1:$E$1999,1,FALSE),VLOOKUP(E636,WindowTypeArea!$B$2:$C$2000,2,FALSE))</f>
        <v>3.05</v>
      </c>
      <c r="M636">
        <f t="shared" ca="1" si="131"/>
        <v>4867450</v>
      </c>
    </row>
    <row r="637" spans="1:13" x14ac:dyDescent="0.25">
      <c r="A637">
        <f t="shared" ca="1" si="122"/>
        <v>2</v>
      </c>
      <c r="B637">
        <f t="shared" ca="1" si="123"/>
        <v>224</v>
      </c>
      <c r="C637" t="str">
        <f t="shared" ca="1" si="132"/>
        <v>'WINDOWS-NCH-A-BDP-M3-00-00'!B223</v>
      </c>
      <c r="D637" s="6" t="str">
        <f t="shared" ca="1" si="121"/>
        <v>L00-OPD-PCR-S108-01</v>
      </c>
      <c r="E637" t="str">
        <f t="shared" ca="1" si="124"/>
        <v>L00-OPD-PCR-S108-01</v>
      </c>
      <c r="F637">
        <f t="shared" ca="1" si="125"/>
        <v>1875516</v>
      </c>
      <c r="G637">
        <f t="shared" ca="1" si="126"/>
        <v>0</v>
      </c>
      <c r="H637">
        <f t="shared" ca="1" si="127"/>
        <v>0</v>
      </c>
      <c r="I637">
        <f t="shared" ca="1" si="128"/>
        <v>0</v>
      </c>
      <c r="J637" s="8" t="e">
        <f t="shared" ca="1" si="129"/>
        <v>#DIV/0!</v>
      </c>
      <c r="K637" s="9" t="e">
        <f t="shared" ca="1" si="130"/>
        <v>#DIV/0!</v>
      </c>
      <c r="L637" t="e">
        <f ca="1">+_xlfn.IFNA(VLOOKUP(M637,BespokeWindowsAreas!$A$1:$E$1999,1,FALSE),VLOOKUP(E637,WindowTypeArea!$B$2:$C$2000,2,FALSE))</f>
        <v>#N/A</v>
      </c>
      <c r="M637">
        <f t="shared" ca="1" si="131"/>
        <v>0</v>
      </c>
    </row>
    <row r="638" spans="1:13" x14ac:dyDescent="0.25">
      <c r="A638">
        <f t="shared" ca="1" si="122"/>
        <v>2</v>
      </c>
      <c r="B638">
        <f t="shared" ca="1" si="123"/>
        <v>225</v>
      </c>
      <c r="C638" t="str">
        <f t="shared" ca="1" si="132"/>
        <v>'WINDOWS-NCH-A-BDP-M3-00-00'!B224</v>
      </c>
      <c r="D638" s="6" t="str">
        <f t="shared" ca="1" si="121"/>
        <v>L00-OPD-PCR-S108-01</v>
      </c>
      <c r="E638" t="str">
        <f t="shared" ca="1" si="124"/>
        <v>Family Type: 1500w x 3050h, Family: Window External Type 3 - Recessed and Angle</v>
      </c>
      <c r="F638" t="str">
        <f t="shared" ca="1" si="125"/>
        <v>Vector(X = 0.212, Y = -0.977, Z = 0.000, Length = 1.000)</v>
      </c>
      <c r="G638">
        <f t="shared" ca="1" si="126"/>
        <v>0.2</v>
      </c>
      <c r="H638">
        <f t="shared" ca="1" si="127"/>
        <v>-1</v>
      </c>
      <c r="I638">
        <f t="shared" ca="1" si="128"/>
        <v>0</v>
      </c>
      <c r="J638" s="8">
        <f t="shared" ca="1" si="129"/>
        <v>-78.690067525979785</v>
      </c>
      <c r="K638" s="9" t="str">
        <f t="shared" ca="1" si="130"/>
        <v>S</v>
      </c>
      <c r="L638">
        <f ca="1">+_xlfn.IFNA(VLOOKUP(M638,BespokeWindowsAreas!$A$1:$E$1999,1,FALSE),VLOOKUP(E638,WindowTypeArea!$B$2:$C$2000,2,FALSE))</f>
        <v>4.5750000000000002</v>
      </c>
      <c r="M638">
        <f t="shared" ca="1" si="131"/>
        <v>4866844</v>
      </c>
    </row>
    <row r="639" spans="1:13" x14ac:dyDescent="0.25">
      <c r="A639">
        <f t="shared" ca="1" si="122"/>
        <v>2</v>
      </c>
      <c r="B639">
        <f t="shared" ca="1" si="123"/>
        <v>226</v>
      </c>
      <c r="C639" t="str">
        <f t="shared" ca="1" si="132"/>
        <v>'WINDOWS-NCH-A-BDP-M3-00-00'!B225</v>
      </c>
      <c r="D639" s="6" t="str">
        <f t="shared" ca="1" si="121"/>
        <v>L00-OPD-PCR-S028-02</v>
      </c>
      <c r="E639" t="str">
        <f t="shared" ca="1" si="124"/>
        <v>L00-OPD-PCR-S028-02</v>
      </c>
      <c r="F639">
        <f t="shared" ca="1" si="125"/>
        <v>1875530</v>
      </c>
      <c r="G639">
        <f t="shared" ca="1" si="126"/>
        <v>0</v>
      </c>
      <c r="H639">
        <f t="shared" ca="1" si="127"/>
        <v>0</v>
      </c>
      <c r="I639">
        <f t="shared" ca="1" si="128"/>
        <v>0</v>
      </c>
      <c r="J639" s="8" t="e">
        <f t="shared" ca="1" si="129"/>
        <v>#DIV/0!</v>
      </c>
      <c r="K639" s="9" t="e">
        <f t="shared" ca="1" si="130"/>
        <v>#DIV/0!</v>
      </c>
      <c r="L639" t="e">
        <f ca="1">+_xlfn.IFNA(VLOOKUP(M639,BespokeWindowsAreas!$A$1:$E$1999,1,FALSE),VLOOKUP(E639,WindowTypeArea!$B$2:$C$2000,2,FALSE))</f>
        <v>#N/A</v>
      </c>
      <c r="M639">
        <f t="shared" ca="1" si="131"/>
        <v>0</v>
      </c>
    </row>
    <row r="640" spans="1:13" x14ac:dyDescent="0.25">
      <c r="A640">
        <f t="shared" ca="1" si="122"/>
        <v>2</v>
      </c>
      <c r="B640">
        <f t="shared" ca="1" si="123"/>
        <v>227</v>
      </c>
      <c r="C640" t="str">
        <f t="shared" ca="1" si="132"/>
        <v>'WINDOWS-NCH-A-BDP-M3-00-00'!B226</v>
      </c>
      <c r="D640" s="6" t="str">
        <f t="shared" ca="1" si="121"/>
        <v>L00-OPD-PCR-S028-02</v>
      </c>
      <c r="E640" t="str">
        <f t="shared" ca="1" si="124"/>
        <v>Family Type: 1000w x 3050h, Family: Window External Type 2 - Recessed and Fin</v>
      </c>
      <c r="F640" t="str">
        <f t="shared" ca="1" si="125"/>
        <v>Vector(X = 0.212, Y = -0.977, Z = 0.000, Length = 1.000)</v>
      </c>
      <c r="G640">
        <f t="shared" ca="1" si="126"/>
        <v>0.2</v>
      </c>
      <c r="H640">
        <f t="shared" ca="1" si="127"/>
        <v>-1</v>
      </c>
      <c r="I640">
        <f t="shared" ca="1" si="128"/>
        <v>0</v>
      </c>
      <c r="J640" s="8">
        <f t="shared" ca="1" si="129"/>
        <v>-78.690067525979785</v>
      </c>
      <c r="K640" s="9" t="str">
        <f t="shared" ca="1" si="130"/>
        <v>S</v>
      </c>
      <c r="L640">
        <f ca="1">+_xlfn.IFNA(VLOOKUP(M640,BespokeWindowsAreas!$A$1:$E$1999,1,FALSE),VLOOKUP(E640,WindowTypeArea!$B$2:$C$2000,2,FALSE))</f>
        <v>3.05</v>
      </c>
      <c r="M640">
        <f t="shared" ca="1" si="131"/>
        <v>4867383</v>
      </c>
    </row>
    <row r="641" spans="1:13" x14ac:dyDescent="0.25">
      <c r="A641">
        <f t="shared" ca="1" si="122"/>
        <v>2</v>
      </c>
      <c r="B641">
        <f t="shared" ca="1" si="123"/>
        <v>228</v>
      </c>
      <c r="C641" t="str">
        <f t="shared" ca="1" si="132"/>
        <v>'WINDOWS-NCH-A-BDP-M3-00-00'!B227</v>
      </c>
      <c r="D641" s="6" t="str">
        <f t="shared" ca="1" si="121"/>
        <v>L00-OPD-PCR-S028-03</v>
      </c>
      <c r="E641" t="str">
        <f t="shared" ca="1" si="124"/>
        <v>L00-OPD-PCR-S028-03</v>
      </c>
      <c r="F641">
        <f t="shared" ca="1" si="125"/>
        <v>1875532</v>
      </c>
      <c r="G641">
        <f t="shared" ca="1" si="126"/>
        <v>0</v>
      </c>
      <c r="H641">
        <f t="shared" ca="1" si="127"/>
        <v>0</v>
      </c>
      <c r="I641">
        <f t="shared" ca="1" si="128"/>
        <v>0</v>
      </c>
      <c r="J641" s="8" t="e">
        <f t="shared" ca="1" si="129"/>
        <v>#DIV/0!</v>
      </c>
      <c r="K641" s="9" t="e">
        <f t="shared" ca="1" si="130"/>
        <v>#DIV/0!</v>
      </c>
      <c r="L641" t="e">
        <f ca="1">+_xlfn.IFNA(VLOOKUP(M641,BespokeWindowsAreas!$A$1:$E$1999,1,FALSE),VLOOKUP(E641,WindowTypeArea!$B$2:$C$2000,2,FALSE))</f>
        <v>#N/A</v>
      </c>
      <c r="M641">
        <f t="shared" ca="1" si="131"/>
        <v>0</v>
      </c>
    </row>
    <row r="642" spans="1:13" x14ac:dyDescent="0.25">
      <c r="A642">
        <f t="shared" ca="1" si="122"/>
        <v>2</v>
      </c>
      <c r="B642">
        <f t="shared" ca="1" si="123"/>
        <v>229</v>
      </c>
      <c r="C642" t="str">
        <f t="shared" ca="1" si="132"/>
        <v>'WINDOWS-NCH-A-BDP-M3-00-00'!B228</v>
      </c>
      <c r="D642" s="6" t="str">
        <f t="shared" ca="1" si="121"/>
        <v>L00-OPD-PCR-S028-03</v>
      </c>
      <c r="E642" t="str">
        <f t="shared" ca="1" si="124"/>
        <v>Family Type: 1950w x 3050h, Family: Window External Type 3 - Recessed and Angle</v>
      </c>
      <c r="F642" t="str">
        <f t="shared" ca="1" si="125"/>
        <v>Vector(X = 0.212, Y = -0.977, Z = 0.000, Length = 1.000)</v>
      </c>
      <c r="G642">
        <f t="shared" ca="1" si="126"/>
        <v>0.2</v>
      </c>
      <c r="H642">
        <f t="shared" ca="1" si="127"/>
        <v>-1</v>
      </c>
      <c r="I642">
        <f t="shared" ca="1" si="128"/>
        <v>0</v>
      </c>
      <c r="J642" s="8">
        <f t="shared" ca="1" si="129"/>
        <v>-78.690067525979785</v>
      </c>
      <c r="K642" s="9" t="str">
        <f t="shared" ca="1" si="130"/>
        <v>S</v>
      </c>
      <c r="L642">
        <f ca="1">+_xlfn.IFNA(VLOOKUP(M642,BespokeWindowsAreas!$A$1:$E$1999,1,FALSE),VLOOKUP(E642,WindowTypeArea!$B$2:$C$2000,2,FALSE))</f>
        <v>5.9474999999999998</v>
      </c>
      <c r="M642">
        <f t="shared" ca="1" si="131"/>
        <v>4865748</v>
      </c>
    </row>
    <row r="643" spans="1:13" x14ac:dyDescent="0.25">
      <c r="A643">
        <f t="shared" ca="1" si="122"/>
        <v>2</v>
      </c>
      <c r="B643">
        <f t="shared" ca="1" si="123"/>
        <v>230</v>
      </c>
      <c r="C643" t="str">
        <f t="shared" ca="1" si="132"/>
        <v>'WINDOWS-NCH-A-BDP-M3-00-00'!B229</v>
      </c>
      <c r="D643" s="6" t="str">
        <f t="shared" ca="1" si="121"/>
        <v>L00-OPD-PCR-S028-04</v>
      </c>
      <c r="E643" t="str">
        <f t="shared" ca="1" si="124"/>
        <v>L00-OPD-PCR-S028-04</v>
      </c>
      <c r="F643">
        <f t="shared" ca="1" si="125"/>
        <v>1875534</v>
      </c>
      <c r="G643">
        <f t="shared" ca="1" si="126"/>
        <v>0</v>
      </c>
      <c r="H643">
        <f t="shared" ca="1" si="127"/>
        <v>0</v>
      </c>
      <c r="I643">
        <f t="shared" ca="1" si="128"/>
        <v>0</v>
      </c>
      <c r="J643" s="8" t="e">
        <f t="shared" ca="1" si="129"/>
        <v>#DIV/0!</v>
      </c>
      <c r="K643" s="9" t="e">
        <f t="shared" ca="1" si="130"/>
        <v>#DIV/0!</v>
      </c>
      <c r="L643" t="e">
        <f ca="1">+_xlfn.IFNA(VLOOKUP(M643,BespokeWindowsAreas!$A$1:$E$1999,1,FALSE),VLOOKUP(E643,WindowTypeArea!$B$2:$C$2000,2,FALSE))</f>
        <v>#N/A</v>
      </c>
      <c r="M643">
        <f t="shared" ca="1" si="131"/>
        <v>0</v>
      </c>
    </row>
    <row r="644" spans="1:13" x14ac:dyDescent="0.25">
      <c r="A644">
        <f t="shared" ca="1" si="122"/>
        <v>2</v>
      </c>
      <c r="B644">
        <f t="shared" ca="1" si="123"/>
        <v>231</v>
      </c>
      <c r="C644" t="str">
        <f t="shared" ca="1" si="132"/>
        <v>'WINDOWS-NCH-A-BDP-M3-00-00'!B230</v>
      </c>
      <c r="D644" s="6" t="str">
        <f t="shared" ca="1" si="121"/>
        <v>L00-OPD-PCR-S028-04</v>
      </c>
      <c r="E644" t="str">
        <f t="shared" ca="1" si="124"/>
        <v>Family Type: 1500w x 3050h, Family: Window External Type 3 - Recessed and Angle</v>
      </c>
      <c r="F644" t="str">
        <f t="shared" ca="1" si="125"/>
        <v>Vector(X = 0.212, Y = -0.977, Z = 0.000, Length = 1.000)</v>
      </c>
      <c r="G644">
        <f t="shared" ca="1" si="126"/>
        <v>0.2</v>
      </c>
      <c r="H644">
        <f t="shared" ca="1" si="127"/>
        <v>-1</v>
      </c>
      <c r="I644">
        <f t="shared" ca="1" si="128"/>
        <v>0</v>
      </c>
      <c r="J644" s="8">
        <f t="shared" ca="1" si="129"/>
        <v>-78.690067525979785</v>
      </c>
      <c r="K644" s="9" t="str">
        <f t="shared" ca="1" si="130"/>
        <v>S</v>
      </c>
      <c r="L644">
        <f ca="1">+_xlfn.IFNA(VLOOKUP(M644,BespokeWindowsAreas!$A$1:$E$1999,1,FALSE),VLOOKUP(E644,WindowTypeArea!$B$2:$C$2000,2,FALSE))</f>
        <v>4.5750000000000002</v>
      </c>
      <c r="M644">
        <f t="shared" ca="1" si="131"/>
        <v>4866957</v>
      </c>
    </row>
    <row r="645" spans="1:13" x14ac:dyDescent="0.25">
      <c r="A645">
        <f t="shared" ca="1" si="122"/>
        <v>2</v>
      </c>
      <c r="B645">
        <f t="shared" ca="1" si="123"/>
        <v>232</v>
      </c>
      <c r="C645" t="str">
        <f t="shared" ca="1" si="132"/>
        <v>'WINDOWS-NCH-A-BDP-M3-00-00'!B231</v>
      </c>
      <c r="D645" s="6" t="str">
        <f t="shared" ca="1" si="121"/>
        <v>L00-OPD-PCR-S028-05</v>
      </c>
      <c r="E645" t="str">
        <f t="shared" ca="1" si="124"/>
        <v>L00-OPD-PCR-S028-05</v>
      </c>
      <c r="F645">
        <f t="shared" ca="1" si="125"/>
        <v>1875536</v>
      </c>
      <c r="G645">
        <f t="shared" ca="1" si="126"/>
        <v>0</v>
      </c>
      <c r="H645">
        <f t="shared" ca="1" si="127"/>
        <v>0</v>
      </c>
      <c r="I645">
        <f t="shared" ca="1" si="128"/>
        <v>0</v>
      </c>
      <c r="J645" s="8" t="e">
        <f t="shared" ca="1" si="129"/>
        <v>#DIV/0!</v>
      </c>
      <c r="K645" s="9" t="e">
        <f t="shared" ca="1" si="130"/>
        <v>#DIV/0!</v>
      </c>
      <c r="L645" t="e">
        <f ca="1">+_xlfn.IFNA(VLOOKUP(M645,BespokeWindowsAreas!$A$1:$E$1999,1,FALSE),VLOOKUP(E645,WindowTypeArea!$B$2:$C$2000,2,FALSE))</f>
        <v>#N/A</v>
      </c>
      <c r="M645">
        <f t="shared" ca="1" si="131"/>
        <v>0</v>
      </c>
    </row>
    <row r="646" spans="1:13" x14ac:dyDescent="0.25">
      <c r="A646">
        <f t="shared" ca="1" si="122"/>
        <v>2</v>
      </c>
      <c r="B646">
        <f t="shared" ca="1" si="123"/>
        <v>233</v>
      </c>
      <c r="C646" t="str">
        <f t="shared" ca="1" si="132"/>
        <v>'WINDOWS-NCH-A-BDP-M3-00-00'!B232</v>
      </c>
      <c r="D646" s="6" t="str">
        <f t="shared" ref="D646:D709" ca="1" si="133">+IF(IFERROR(FIND("Family",E646)&gt;0,FALSE),D645,E646)</f>
        <v>L00-OPD-PCR-S028-05</v>
      </c>
      <c r="E646" t="str">
        <f t="shared" ca="1" si="124"/>
        <v>Family Type: 975w x 3050h, Family: Window External Type 1 - Recessed</v>
      </c>
      <c r="F646" t="str">
        <f t="shared" ca="1" si="125"/>
        <v>Vector(X = 0.212, Y = -0.977, Z = 0.000, Length = 1.000)</v>
      </c>
      <c r="G646">
        <f t="shared" ca="1" si="126"/>
        <v>0.2</v>
      </c>
      <c r="H646">
        <f t="shared" ca="1" si="127"/>
        <v>-1</v>
      </c>
      <c r="I646">
        <f t="shared" ca="1" si="128"/>
        <v>0</v>
      </c>
      <c r="J646" s="8">
        <f t="shared" ca="1" si="129"/>
        <v>-78.690067525979785</v>
      </c>
      <c r="K646" s="9" t="str">
        <f t="shared" ca="1" si="130"/>
        <v>S</v>
      </c>
      <c r="L646">
        <f ca="1">+_xlfn.IFNA(VLOOKUP(M646,BespokeWindowsAreas!$A$1:$E$1999,1,FALSE),VLOOKUP(E646,WindowTypeArea!$B$2:$C$2000,2,FALSE))</f>
        <v>2.9737499999999999</v>
      </c>
      <c r="M646">
        <f t="shared" ca="1" si="131"/>
        <v>4866940</v>
      </c>
    </row>
    <row r="647" spans="1:13" x14ac:dyDescent="0.25">
      <c r="A647">
        <f t="shared" ca="1" si="122"/>
        <v>2</v>
      </c>
      <c r="B647">
        <f t="shared" ca="1" si="123"/>
        <v>234</v>
      </c>
      <c r="C647" t="str">
        <f t="shared" ca="1" si="132"/>
        <v>'WINDOWS-NCH-A-BDP-M3-00-00'!B233</v>
      </c>
      <c r="D647" s="6" t="str">
        <f t="shared" ca="1" si="133"/>
        <v>L00-OPD-PCR-S028-06</v>
      </c>
      <c r="E647" t="str">
        <f t="shared" ca="1" si="124"/>
        <v>L00-OPD-PCR-S028-06</v>
      </c>
      <c r="F647">
        <f t="shared" ca="1" si="125"/>
        <v>1875538</v>
      </c>
      <c r="G647">
        <f t="shared" ca="1" si="126"/>
        <v>0</v>
      </c>
      <c r="H647">
        <f t="shared" ca="1" si="127"/>
        <v>0</v>
      </c>
      <c r="I647">
        <f t="shared" ca="1" si="128"/>
        <v>0</v>
      </c>
      <c r="J647" s="8" t="e">
        <f t="shared" ca="1" si="129"/>
        <v>#DIV/0!</v>
      </c>
      <c r="K647" s="9" t="e">
        <f t="shared" ca="1" si="130"/>
        <v>#DIV/0!</v>
      </c>
      <c r="L647" t="e">
        <f ca="1">+_xlfn.IFNA(VLOOKUP(M647,BespokeWindowsAreas!$A$1:$E$1999,1,FALSE),VLOOKUP(E647,WindowTypeArea!$B$2:$C$2000,2,FALSE))</f>
        <v>#N/A</v>
      </c>
      <c r="M647">
        <f t="shared" ca="1" si="131"/>
        <v>0</v>
      </c>
    </row>
    <row r="648" spans="1:13" x14ac:dyDescent="0.25">
      <c r="A648">
        <f t="shared" ca="1" si="122"/>
        <v>2</v>
      </c>
      <c r="B648">
        <f t="shared" ca="1" si="123"/>
        <v>235</v>
      </c>
      <c r="C648" t="str">
        <f t="shared" ca="1" si="132"/>
        <v>'WINDOWS-NCH-A-BDP-M3-00-00'!B234</v>
      </c>
      <c r="D648" s="6" t="str">
        <f t="shared" ca="1" si="133"/>
        <v>L00-OPD-PCR-S028-06</v>
      </c>
      <c r="E648" t="str">
        <f t="shared" ca="1" si="124"/>
        <v>Family Type: 1950w x 3050h, Family: Window External Type 3 - Recessed and Angle</v>
      </c>
      <c r="F648" t="str">
        <f t="shared" ca="1" si="125"/>
        <v>Vector(X = 0.212, Y = -0.977, Z = 0.000, Length = 1.000)</v>
      </c>
      <c r="G648">
        <f t="shared" ca="1" si="126"/>
        <v>0.2</v>
      </c>
      <c r="H648">
        <f t="shared" ca="1" si="127"/>
        <v>-1</v>
      </c>
      <c r="I648">
        <f t="shared" ca="1" si="128"/>
        <v>0</v>
      </c>
      <c r="J648" s="8">
        <f t="shared" ca="1" si="129"/>
        <v>-78.690067525979785</v>
      </c>
      <c r="K648" s="9" t="str">
        <f t="shared" ca="1" si="130"/>
        <v>S</v>
      </c>
      <c r="L648">
        <f ca="1">+_xlfn.IFNA(VLOOKUP(M648,BespokeWindowsAreas!$A$1:$E$1999,1,FALSE),VLOOKUP(E648,WindowTypeArea!$B$2:$C$2000,2,FALSE))</f>
        <v>5.9474999999999998</v>
      </c>
      <c r="M648">
        <f t="shared" ca="1" si="131"/>
        <v>4866923</v>
      </c>
    </row>
    <row r="649" spans="1:13" x14ac:dyDescent="0.25">
      <c r="A649">
        <f t="shared" ca="1" si="122"/>
        <v>2</v>
      </c>
      <c r="B649">
        <f t="shared" ca="1" si="123"/>
        <v>236</v>
      </c>
      <c r="C649" t="str">
        <f t="shared" ca="1" si="132"/>
        <v>'WINDOWS-NCH-A-BDP-M3-00-00'!B235</v>
      </c>
      <c r="D649" s="6" t="str">
        <f t="shared" ca="1" si="133"/>
        <v>L00-OPD-PCR-S028-07</v>
      </c>
      <c r="E649" t="str">
        <f t="shared" ca="1" si="124"/>
        <v>L00-OPD-PCR-S028-07</v>
      </c>
      <c r="F649">
        <f t="shared" ca="1" si="125"/>
        <v>1875540</v>
      </c>
      <c r="G649">
        <f t="shared" ca="1" si="126"/>
        <v>0</v>
      </c>
      <c r="H649">
        <f t="shared" ca="1" si="127"/>
        <v>0</v>
      </c>
      <c r="I649">
        <f t="shared" ca="1" si="128"/>
        <v>0</v>
      </c>
      <c r="J649" s="8" t="e">
        <f t="shared" ca="1" si="129"/>
        <v>#DIV/0!</v>
      </c>
      <c r="K649" s="9" t="e">
        <f t="shared" ca="1" si="130"/>
        <v>#DIV/0!</v>
      </c>
      <c r="L649" t="e">
        <f ca="1">+_xlfn.IFNA(VLOOKUP(M649,BespokeWindowsAreas!$A$1:$E$1999,1,FALSE),VLOOKUP(E649,WindowTypeArea!$B$2:$C$2000,2,FALSE))</f>
        <v>#N/A</v>
      </c>
      <c r="M649">
        <f t="shared" ca="1" si="131"/>
        <v>0</v>
      </c>
    </row>
    <row r="650" spans="1:13" x14ac:dyDescent="0.25">
      <c r="A650">
        <f t="shared" ca="1" si="122"/>
        <v>2</v>
      </c>
      <c r="B650">
        <f t="shared" ca="1" si="123"/>
        <v>237</v>
      </c>
      <c r="C650" t="str">
        <f t="shared" ca="1" si="132"/>
        <v>'WINDOWS-NCH-A-BDP-M3-00-00'!B236</v>
      </c>
      <c r="D650" s="6" t="str">
        <f t="shared" ca="1" si="133"/>
        <v>L00-OPD-PCR-S028-07</v>
      </c>
      <c r="E650" t="str">
        <f t="shared" ca="1" si="124"/>
        <v>Family Type: 1500w x 3050h, Family: Window External Type 3 - Recessed and Angle</v>
      </c>
      <c r="F650" t="str">
        <f t="shared" ca="1" si="125"/>
        <v>Vector(X = 0.212, Y = -0.977, Z = 0.000, Length = 1.000)</v>
      </c>
      <c r="G650">
        <f t="shared" ca="1" si="126"/>
        <v>0.2</v>
      </c>
      <c r="H650">
        <f t="shared" ca="1" si="127"/>
        <v>-1</v>
      </c>
      <c r="I650">
        <f t="shared" ca="1" si="128"/>
        <v>0</v>
      </c>
      <c r="J650" s="8">
        <f t="shared" ca="1" si="129"/>
        <v>-78.690067525979785</v>
      </c>
      <c r="K650" s="9" t="str">
        <f t="shared" ca="1" si="130"/>
        <v>S</v>
      </c>
      <c r="L650">
        <f ca="1">+_xlfn.IFNA(VLOOKUP(M650,BespokeWindowsAreas!$A$1:$E$1999,1,FALSE),VLOOKUP(E650,WindowTypeArea!$B$2:$C$2000,2,FALSE))</f>
        <v>4.5750000000000002</v>
      </c>
      <c r="M650">
        <f t="shared" ca="1" si="131"/>
        <v>4865751</v>
      </c>
    </row>
    <row r="651" spans="1:13" x14ac:dyDescent="0.25">
      <c r="A651">
        <f t="shared" ca="1" si="122"/>
        <v>2</v>
      </c>
      <c r="B651">
        <f t="shared" ca="1" si="123"/>
        <v>238</v>
      </c>
      <c r="C651" t="str">
        <f t="shared" ca="1" si="132"/>
        <v>'WINDOWS-NCH-A-BDP-M3-00-00'!B237</v>
      </c>
      <c r="D651" s="6" t="str">
        <f t="shared" ca="1" si="133"/>
        <v>L00-OPD-PCR-S028-08</v>
      </c>
      <c r="E651" t="str">
        <f t="shared" ca="1" si="124"/>
        <v>L00-OPD-PCR-S028-08</v>
      </c>
      <c r="F651">
        <f t="shared" ca="1" si="125"/>
        <v>1875542</v>
      </c>
      <c r="G651">
        <f t="shared" ca="1" si="126"/>
        <v>0</v>
      </c>
      <c r="H651">
        <f t="shared" ca="1" si="127"/>
        <v>0</v>
      </c>
      <c r="I651">
        <f t="shared" ca="1" si="128"/>
        <v>0</v>
      </c>
      <c r="J651" s="8" t="e">
        <f t="shared" ca="1" si="129"/>
        <v>#DIV/0!</v>
      </c>
      <c r="K651" s="9" t="e">
        <f t="shared" ca="1" si="130"/>
        <v>#DIV/0!</v>
      </c>
      <c r="L651" t="e">
        <f ca="1">+_xlfn.IFNA(VLOOKUP(M651,BespokeWindowsAreas!$A$1:$E$1999,1,FALSE),VLOOKUP(E651,WindowTypeArea!$B$2:$C$2000,2,FALSE))</f>
        <v>#N/A</v>
      </c>
      <c r="M651">
        <f t="shared" ca="1" si="131"/>
        <v>0</v>
      </c>
    </row>
    <row r="652" spans="1:13" x14ac:dyDescent="0.25">
      <c r="A652">
        <f t="shared" ca="1" si="122"/>
        <v>2</v>
      </c>
      <c r="B652">
        <f t="shared" ca="1" si="123"/>
        <v>239</v>
      </c>
      <c r="C652" t="str">
        <f t="shared" ca="1" si="132"/>
        <v>'WINDOWS-NCH-A-BDP-M3-00-00'!B238</v>
      </c>
      <c r="D652" s="6" t="str">
        <f t="shared" ca="1" si="133"/>
        <v>L00-OPD-PCR-S028-08</v>
      </c>
      <c r="E652" t="str">
        <f t="shared" ca="1" si="124"/>
        <v>Family Type: 975w x 3050h, Family: Window External Type 1 - Recessed</v>
      </c>
      <c r="F652" t="str">
        <f t="shared" ca="1" si="125"/>
        <v>Vector(X = 0.212, Y = -0.977, Z = 0.000, Length = 1.000)</v>
      </c>
      <c r="G652">
        <f t="shared" ca="1" si="126"/>
        <v>0.2</v>
      </c>
      <c r="H652">
        <f t="shared" ca="1" si="127"/>
        <v>-1</v>
      </c>
      <c r="I652">
        <f t="shared" ca="1" si="128"/>
        <v>0</v>
      </c>
      <c r="J652" s="8">
        <f t="shared" ca="1" si="129"/>
        <v>-78.690067525979785</v>
      </c>
      <c r="K652" s="9" t="str">
        <f t="shared" ca="1" si="130"/>
        <v>S</v>
      </c>
      <c r="L652">
        <f ca="1">+_xlfn.IFNA(VLOOKUP(M652,BespokeWindowsAreas!$A$1:$E$1999,1,FALSE),VLOOKUP(E652,WindowTypeArea!$B$2:$C$2000,2,FALSE))</f>
        <v>2.9737499999999999</v>
      </c>
      <c r="M652">
        <f t="shared" ca="1" si="131"/>
        <v>4866883</v>
      </c>
    </row>
    <row r="653" spans="1:13" x14ac:dyDescent="0.25">
      <c r="A653">
        <f t="shared" ca="1" si="122"/>
        <v>2</v>
      </c>
      <c r="B653">
        <f t="shared" ca="1" si="123"/>
        <v>240</v>
      </c>
      <c r="C653" t="str">
        <f t="shared" ca="1" si="132"/>
        <v>'WINDOWS-NCH-A-BDP-M3-00-00'!B239</v>
      </c>
      <c r="D653" s="6" t="str">
        <f t="shared" ca="1" si="133"/>
        <v>L00-OPD-PCR-S028-09</v>
      </c>
      <c r="E653" t="str">
        <f t="shared" ca="1" si="124"/>
        <v>L00-OPD-PCR-S028-09</v>
      </c>
      <c r="F653">
        <f t="shared" ca="1" si="125"/>
        <v>1875544</v>
      </c>
      <c r="G653">
        <f t="shared" ca="1" si="126"/>
        <v>0</v>
      </c>
      <c r="H653">
        <f t="shared" ca="1" si="127"/>
        <v>0</v>
      </c>
      <c r="I653">
        <f t="shared" ca="1" si="128"/>
        <v>0</v>
      </c>
      <c r="J653" s="8" t="e">
        <f t="shared" ca="1" si="129"/>
        <v>#DIV/0!</v>
      </c>
      <c r="K653" s="9" t="e">
        <f t="shared" ca="1" si="130"/>
        <v>#DIV/0!</v>
      </c>
      <c r="L653" t="e">
        <f ca="1">+_xlfn.IFNA(VLOOKUP(M653,BespokeWindowsAreas!$A$1:$E$1999,1,FALSE),VLOOKUP(E653,WindowTypeArea!$B$2:$C$2000,2,FALSE))</f>
        <v>#N/A</v>
      </c>
      <c r="M653">
        <f t="shared" ca="1" si="131"/>
        <v>0</v>
      </c>
    </row>
    <row r="654" spans="1:13" x14ac:dyDescent="0.25">
      <c r="A654">
        <f t="shared" ca="1" si="122"/>
        <v>2</v>
      </c>
      <c r="B654">
        <f t="shared" ca="1" si="123"/>
        <v>241</v>
      </c>
      <c r="C654" t="str">
        <f t="shared" ca="1" si="132"/>
        <v>'WINDOWS-NCH-A-BDP-M3-00-00'!B240</v>
      </c>
      <c r="D654" s="6" t="str">
        <f t="shared" ca="1" si="133"/>
        <v>L00-OPD-PCR-S028-09</v>
      </c>
      <c r="E654" t="str">
        <f t="shared" ca="1" si="124"/>
        <v>Family Type: 1500w x 3050h, Family: Window External Type 3 - Recessed and Angle</v>
      </c>
      <c r="F654" t="str">
        <f t="shared" ca="1" si="125"/>
        <v>Vector(X = 0.212, Y = -0.977, Z = 0.000, Length = 1.000)</v>
      </c>
      <c r="G654">
        <f t="shared" ca="1" si="126"/>
        <v>0.2</v>
      </c>
      <c r="H654">
        <f t="shared" ca="1" si="127"/>
        <v>-1</v>
      </c>
      <c r="I654">
        <f t="shared" ca="1" si="128"/>
        <v>0</v>
      </c>
      <c r="J654" s="8">
        <f t="shared" ca="1" si="129"/>
        <v>-78.690067525979785</v>
      </c>
      <c r="K654" s="9" t="str">
        <f t="shared" ca="1" si="130"/>
        <v>S</v>
      </c>
      <c r="L654">
        <f ca="1">+_xlfn.IFNA(VLOOKUP(M654,BespokeWindowsAreas!$A$1:$E$1999,1,FALSE),VLOOKUP(E654,WindowTypeArea!$B$2:$C$2000,2,FALSE))</f>
        <v>4.5750000000000002</v>
      </c>
      <c r="M654">
        <f t="shared" ca="1" si="131"/>
        <v>4866844</v>
      </c>
    </row>
    <row r="655" spans="1:13" x14ac:dyDescent="0.25">
      <c r="A655">
        <f t="shared" ca="1" si="122"/>
        <v>2</v>
      </c>
      <c r="B655">
        <f t="shared" ca="1" si="123"/>
        <v>242</v>
      </c>
      <c r="C655" t="str">
        <f t="shared" ca="1" si="132"/>
        <v>'WINDOWS-NCH-A-BDP-M3-00-00'!B241</v>
      </c>
      <c r="D655" s="6" t="str">
        <f t="shared" ca="1" si="133"/>
        <v>L00-EMG-SWS-S115-01</v>
      </c>
      <c r="E655" t="str">
        <f t="shared" ca="1" si="124"/>
        <v>L00-EMG-SWS-S115-01</v>
      </c>
      <c r="F655">
        <f t="shared" ca="1" si="125"/>
        <v>1876138</v>
      </c>
      <c r="G655">
        <f t="shared" ca="1" si="126"/>
        <v>0</v>
      </c>
      <c r="H655">
        <f t="shared" ca="1" si="127"/>
        <v>0</v>
      </c>
      <c r="I655">
        <f t="shared" ca="1" si="128"/>
        <v>0</v>
      </c>
      <c r="J655" s="8" t="e">
        <f t="shared" ca="1" si="129"/>
        <v>#DIV/0!</v>
      </c>
      <c r="K655" s="9" t="e">
        <f t="shared" ca="1" si="130"/>
        <v>#DIV/0!</v>
      </c>
      <c r="L655" t="e">
        <f ca="1">+_xlfn.IFNA(VLOOKUP(M655,BespokeWindowsAreas!$A$1:$E$1999,1,FALSE),VLOOKUP(E655,WindowTypeArea!$B$2:$C$2000,2,FALSE))</f>
        <v>#N/A</v>
      </c>
      <c r="M655">
        <f t="shared" ca="1" si="131"/>
        <v>0</v>
      </c>
    </row>
    <row r="656" spans="1:13" x14ac:dyDescent="0.25">
      <c r="A656">
        <f t="shared" ca="1" si="122"/>
        <v>2</v>
      </c>
      <c r="B656">
        <f t="shared" ca="1" si="123"/>
        <v>243</v>
      </c>
      <c r="C656" t="str">
        <f t="shared" ca="1" si="132"/>
        <v>'WINDOWS-NCH-A-BDP-M3-00-00'!B242</v>
      </c>
      <c r="D656" s="6" t="str">
        <f t="shared" ca="1" si="133"/>
        <v>L00-EMG-SWS-S115-01</v>
      </c>
      <c r="E656" t="str">
        <f t="shared" ca="1" si="124"/>
        <v>Family Type: 1950w x 3050h, Family: Window Internal Type 1 - Flush</v>
      </c>
      <c r="F656" t="str">
        <f t="shared" ca="1" si="125"/>
        <v>Vector(X = -0.977, Y = -0.212, Z = 0.000, Length = 1.000)</v>
      </c>
      <c r="G656">
        <f t="shared" ca="1" si="126"/>
        <v>-1</v>
      </c>
      <c r="H656">
        <f t="shared" ca="1" si="127"/>
        <v>-0.2</v>
      </c>
      <c r="I656">
        <f t="shared" ca="1" si="128"/>
        <v>0</v>
      </c>
      <c r="J656" s="8">
        <f t="shared" ca="1" si="129"/>
        <v>-168.69006752597977</v>
      </c>
      <c r="K656" s="9" t="str">
        <f t="shared" ca="1" si="130"/>
        <v>W</v>
      </c>
      <c r="L656">
        <f ca="1">+_xlfn.IFNA(VLOOKUP(M656,BespokeWindowsAreas!$A$1:$E$1999,1,FALSE),VLOOKUP(E656,WindowTypeArea!$B$2:$C$2000,2,FALSE))</f>
        <v>5.9474999999999998</v>
      </c>
      <c r="M656">
        <f t="shared" ca="1" si="131"/>
        <v>6314209</v>
      </c>
    </row>
    <row r="657" spans="1:13" x14ac:dyDescent="0.25">
      <c r="A657">
        <f t="shared" ca="1" si="122"/>
        <v>2</v>
      </c>
      <c r="B657">
        <f t="shared" ca="1" si="123"/>
        <v>244</v>
      </c>
      <c r="C657" t="str">
        <f t="shared" ca="1" si="132"/>
        <v>'WINDOWS-NCH-A-BDP-M3-00-00'!B243</v>
      </c>
      <c r="D657" s="6" t="str">
        <f t="shared" ca="1" si="133"/>
        <v>L00-EMG-SWS-S115-01</v>
      </c>
      <c r="E657" t="str">
        <f t="shared" ca="1" si="124"/>
        <v>Family Type: 1950w x 3050h, Family: Window Internal Type 1 - Flush</v>
      </c>
      <c r="F657" t="str">
        <f t="shared" ca="1" si="125"/>
        <v>Vector(X = 0.212, Y = -0.977, Z = 0.000, Length = 1.000)</v>
      </c>
      <c r="G657">
        <f t="shared" ca="1" si="126"/>
        <v>0.2</v>
      </c>
      <c r="H657">
        <f t="shared" ca="1" si="127"/>
        <v>-1</v>
      </c>
      <c r="I657">
        <f t="shared" ca="1" si="128"/>
        <v>0</v>
      </c>
      <c r="J657" s="8">
        <f t="shared" ca="1" si="129"/>
        <v>-78.690067525979785</v>
      </c>
      <c r="K657" s="9" t="str">
        <f t="shared" ca="1" si="130"/>
        <v>S</v>
      </c>
      <c r="L657">
        <f ca="1">+_xlfn.IFNA(VLOOKUP(M657,BespokeWindowsAreas!$A$1:$E$1999,1,FALSE),VLOOKUP(E657,WindowTypeArea!$B$2:$C$2000,2,FALSE))</f>
        <v>5.9474999999999998</v>
      </c>
      <c r="M657">
        <f t="shared" ca="1" si="131"/>
        <v>6321954</v>
      </c>
    </row>
    <row r="658" spans="1:13" x14ac:dyDescent="0.25">
      <c r="A658">
        <f t="shared" ca="1" si="122"/>
        <v>2</v>
      </c>
      <c r="B658">
        <f t="shared" ca="1" si="123"/>
        <v>245</v>
      </c>
      <c r="C658" t="str">
        <f t="shared" ca="1" si="132"/>
        <v>'WINDOWS-NCH-A-BDP-M3-00-00'!B244</v>
      </c>
      <c r="D658" s="6" t="str">
        <f t="shared" ca="1" si="133"/>
        <v>L00-EMG-SWS-S115-01</v>
      </c>
      <c r="E658" t="str">
        <f t="shared" ca="1" si="124"/>
        <v>Family Type: 975w x 3050h, Family: Window Internal Type 1 - Flush</v>
      </c>
      <c r="F658" t="str">
        <f t="shared" ca="1" si="125"/>
        <v>Vector(X = 0.212, Y = -0.977, Z = 0.000, Length = 1.000)</v>
      </c>
      <c r="G658">
        <f t="shared" ca="1" si="126"/>
        <v>0.2</v>
      </c>
      <c r="H658">
        <f t="shared" ca="1" si="127"/>
        <v>-1</v>
      </c>
      <c r="I658">
        <f t="shared" ca="1" si="128"/>
        <v>0</v>
      </c>
      <c r="J658" s="8">
        <f t="shared" ca="1" si="129"/>
        <v>-78.690067525979785</v>
      </c>
      <c r="K658" s="9" t="str">
        <f t="shared" ca="1" si="130"/>
        <v>S</v>
      </c>
      <c r="L658">
        <f ca="1">+_xlfn.IFNA(VLOOKUP(M658,BespokeWindowsAreas!$A$1:$E$1999,1,FALSE),VLOOKUP(E658,WindowTypeArea!$B$2:$C$2000,2,FALSE))</f>
        <v>2.9737499999999999</v>
      </c>
      <c r="M658">
        <f t="shared" ca="1" si="131"/>
        <v>6322010</v>
      </c>
    </row>
    <row r="659" spans="1:13" x14ac:dyDescent="0.25">
      <c r="A659">
        <f t="shared" ca="1" si="122"/>
        <v>2</v>
      </c>
      <c r="B659">
        <f t="shared" ca="1" si="123"/>
        <v>246</v>
      </c>
      <c r="C659" t="str">
        <f t="shared" ca="1" si="132"/>
        <v>'WINDOWS-NCH-A-BDP-M3-00-00'!B245</v>
      </c>
      <c r="D659" s="6" t="str">
        <f t="shared" ca="1" si="133"/>
        <v>L00-EMG-SWS-S115-01</v>
      </c>
      <c r="E659" t="str">
        <f t="shared" ca="1" si="124"/>
        <v>Family Type: 650w x 3050h, Family: Window Internal Type 1 - Flush</v>
      </c>
      <c r="F659" t="str">
        <f t="shared" ca="1" si="125"/>
        <v>Vector(X = 0.212, Y = -0.977, Z = 0.000, Length = 1.000)</v>
      </c>
      <c r="G659">
        <f t="shared" ca="1" si="126"/>
        <v>0.2</v>
      </c>
      <c r="H659">
        <f t="shared" ca="1" si="127"/>
        <v>-1</v>
      </c>
      <c r="I659">
        <f t="shared" ca="1" si="128"/>
        <v>0</v>
      </c>
      <c r="J659" s="8">
        <f t="shared" ca="1" si="129"/>
        <v>-78.690067525979785</v>
      </c>
      <c r="K659" s="9" t="str">
        <f t="shared" ca="1" si="130"/>
        <v>S</v>
      </c>
      <c r="L659">
        <f ca="1">+_xlfn.IFNA(VLOOKUP(M659,BespokeWindowsAreas!$A$1:$E$1999,1,FALSE),VLOOKUP(E659,WindowTypeArea!$B$2:$C$2000,2,FALSE))</f>
        <v>1.9824999999999999</v>
      </c>
      <c r="M659">
        <f t="shared" ca="1" si="131"/>
        <v>6322093</v>
      </c>
    </row>
    <row r="660" spans="1:13" x14ac:dyDescent="0.25">
      <c r="A660">
        <f t="shared" ref="A660:A723" ca="1" si="134">+IF(B659&lt;=VLOOKUP(MID(C660,2,26),TABS,2,FALSE),A659,+A659+1)</f>
        <v>2</v>
      </c>
      <c r="B660">
        <f t="shared" ref="B660:B723" ca="1" si="135">+IF(B659&lt;=VLOOKUP(MID(C660,2,26),TABS,2,FALSE),B659+1,1)</f>
        <v>247</v>
      </c>
      <c r="C660" t="str">
        <f t="shared" ca="1" si="132"/>
        <v>'WINDOWS-NCH-A-BDP-M3-00-00'!B246</v>
      </c>
      <c r="D660" s="6" t="str">
        <f t="shared" ca="1" si="133"/>
        <v>L00-EMG-SWS-S115-02</v>
      </c>
      <c r="E660" t="str">
        <f t="shared" ref="E660:E723" ca="1" si="136">+OFFSET(INDIRECT(C660),0,0)</f>
        <v>L00-EMG-SWS-S115-02</v>
      </c>
      <c r="F660">
        <f t="shared" ca="1" si="125"/>
        <v>1876140</v>
      </c>
      <c r="G660">
        <f t="shared" ca="1" si="126"/>
        <v>0</v>
      </c>
      <c r="H660">
        <f t="shared" ca="1" si="127"/>
        <v>0</v>
      </c>
      <c r="I660">
        <f t="shared" ca="1" si="128"/>
        <v>0</v>
      </c>
      <c r="J660" s="8" t="e">
        <f t="shared" ca="1" si="129"/>
        <v>#DIV/0!</v>
      </c>
      <c r="K660" s="9" t="e">
        <f t="shared" ca="1" si="130"/>
        <v>#DIV/0!</v>
      </c>
      <c r="L660" t="e">
        <f ca="1">+_xlfn.IFNA(VLOOKUP(M660,BespokeWindowsAreas!$A$1:$E$1999,1,FALSE),VLOOKUP(E660,WindowTypeArea!$B$2:$C$2000,2,FALSE))</f>
        <v>#N/A</v>
      </c>
      <c r="M660">
        <f t="shared" ca="1" si="131"/>
        <v>0</v>
      </c>
    </row>
    <row r="661" spans="1:13" x14ac:dyDescent="0.25">
      <c r="A661">
        <f t="shared" ca="1" si="134"/>
        <v>2</v>
      </c>
      <c r="B661">
        <f t="shared" ca="1" si="135"/>
        <v>248</v>
      </c>
      <c r="C661" t="str">
        <f t="shared" ca="1" si="132"/>
        <v>'WINDOWS-NCH-A-BDP-M3-00-00'!B247</v>
      </c>
      <c r="D661" s="6" t="str">
        <f t="shared" ca="1" si="133"/>
        <v>L00-EMG-SWS-S115-02</v>
      </c>
      <c r="E661" t="str">
        <f t="shared" ca="1" si="136"/>
        <v>Family Type: 975w x 3050h, Family: Window Internal Type 1 - Flush</v>
      </c>
      <c r="F661" t="str">
        <f t="shared" ca="1" si="125"/>
        <v>Vector(X = -0.977, Y = -0.212, Z = 0.000, Length = 1.000)</v>
      </c>
      <c r="G661">
        <f t="shared" ca="1" si="126"/>
        <v>-1</v>
      </c>
      <c r="H661">
        <f t="shared" ca="1" si="127"/>
        <v>-0.2</v>
      </c>
      <c r="I661">
        <f t="shared" ca="1" si="128"/>
        <v>0</v>
      </c>
      <c r="J661" s="8">
        <f t="shared" ca="1" si="129"/>
        <v>-168.69006752597977</v>
      </c>
      <c r="K661" s="9" t="str">
        <f t="shared" ca="1" si="130"/>
        <v>W</v>
      </c>
      <c r="L661">
        <f ca="1">+_xlfn.IFNA(VLOOKUP(M661,BespokeWindowsAreas!$A$1:$E$1999,1,FALSE),VLOOKUP(E661,WindowTypeArea!$B$2:$C$2000,2,FALSE))</f>
        <v>2.9737499999999999</v>
      </c>
      <c r="M661">
        <f t="shared" ca="1" si="131"/>
        <v>6644046</v>
      </c>
    </row>
    <row r="662" spans="1:13" x14ac:dyDescent="0.25">
      <c r="A662">
        <f t="shared" ca="1" si="134"/>
        <v>2</v>
      </c>
      <c r="B662">
        <f t="shared" ca="1" si="135"/>
        <v>249</v>
      </c>
      <c r="C662" t="str">
        <f t="shared" ca="1" si="132"/>
        <v>'WINDOWS-NCH-A-BDP-M3-00-00'!B248</v>
      </c>
      <c r="D662" s="6" t="str">
        <f t="shared" ca="1" si="133"/>
        <v>L00-EMG-SWS-S094-01</v>
      </c>
      <c r="E662" t="str">
        <f t="shared" ca="1" si="136"/>
        <v>L00-EMG-SWS-S094-01</v>
      </c>
      <c r="F662">
        <f t="shared" ref="F662:F725" ca="1" si="137">+OFFSET(INDIRECT(C662),0,1)</f>
        <v>1876150</v>
      </c>
      <c r="G662">
        <f t="shared" ref="G662:G725" ca="1" si="138">+OFFSET(INDIRECT(C662),0,2)</f>
        <v>0</v>
      </c>
      <c r="H662">
        <f t="shared" ref="H662:H725" ca="1" si="139">+OFFSET(INDIRECT(C662),0,3)</f>
        <v>0</v>
      </c>
      <c r="I662">
        <f t="shared" ref="I662:I725" ca="1" si="140">+OFFSET(INDIRECT(C662),0,4)</f>
        <v>0</v>
      </c>
      <c r="J662" s="8" t="e">
        <f t="shared" ref="J662:J725" ca="1" si="141">+DEGREES(ATAN2(G662,H662))</f>
        <v>#DIV/0!</v>
      </c>
      <c r="K662" s="9" t="e">
        <f t="shared" ref="K662:K725" ca="1" si="142">VLOOKUP(J662,$O$20:$P$36,2,-1)</f>
        <v>#DIV/0!</v>
      </c>
      <c r="L662" t="e">
        <f ca="1">+_xlfn.IFNA(VLOOKUP(M662,BespokeWindowsAreas!$A$1:$E$1999,1,FALSE),VLOOKUP(E662,WindowTypeArea!$B$2:$C$2000,2,FALSE))</f>
        <v>#N/A</v>
      </c>
      <c r="M662">
        <f t="shared" ref="M662:M725" ca="1" si="143">+OFFSET(INDIRECT(C662),0,5)</f>
        <v>0</v>
      </c>
    </row>
    <row r="663" spans="1:13" x14ac:dyDescent="0.25">
      <c r="A663">
        <f t="shared" ca="1" si="134"/>
        <v>2</v>
      </c>
      <c r="B663">
        <f t="shared" ca="1" si="135"/>
        <v>250</v>
      </c>
      <c r="C663" t="str">
        <f t="shared" ref="C663:C726" ca="1" si="144">+"'"&amp;INDIRECT("a"&amp;A662)&amp;"'!B"&amp;B662</f>
        <v>'WINDOWS-NCH-A-BDP-M3-00-00'!B249</v>
      </c>
      <c r="D663" s="6" t="str">
        <f t="shared" ca="1" si="133"/>
        <v>L00-EMG-SWS-S094-01</v>
      </c>
      <c r="E663" t="str">
        <f t="shared" ca="1" si="136"/>
        <v>Family Type: 650w x 3050h, Family: Window Internal Type 1 - Flush</v>
      </c>
      <c r="F663" t="str">
        <f t="shared" ca="1" si="137"/>
        <v>Vector(X = 0.212, Y = -0.977, Z = 0.000, Length = 1.000)</v>
      </c>
      <c r="G663">
        <f t="shared" ca="1" si="138"/>
        <v>0.2</v>
      </c>
      <c r="H663">
        <f t="shared" ca="1" si="139"/>
        <v>-1</v>
      </c>
      <c r="I663">
        <f t="shared" ca="1" si="140"/>
        <v>0</v>
      </c>
      <c r="J663" s="8">
        <f t="shared" ca="1" si="141"/>
        <v>-78.690067525979785</v>
      </c>
      <c r="K663" s="9" t="str">
        <f t="shared" ca="1" si="142"/>
        <v>S</v>
      </c>
      <c r="L663">
        <f ca="1">+_xlfn.IFNA(VLOOKUP(M663,BespokeWindowsAreas!$A$1:$E$1999,1,FALSE),VLOOKUP(E663,WindowTypeArea!$B$2:$C$2000,2,FALSE))</f>
        <v>1.9824999999999999</v>
      </c>
      <c r="M663">
        <f t="shared" ca="1" si="143"/>
        <v>6645667</v>
      </c>
    </row>
    <row r="664" spans="1:13" x14ac:dyDescent="0.25">
      <c r="A664">
        <f t="shared" ca="1" si="134"/>
        <v>2</v>
      </c>
      <c r="B664">
        <f t="shared" ca="1" si="135"/>
        <v>251</v>
      </c>
      <c r="C664" t="str">
        <f t="shared" ca="1" si="144"/>
        <v>'WINDOWS-NCH-A-BDP-M3-00-00'!B250</v>
      </c>
      <c r="D664" s="6" t="str">
        <f t="shared" ca="1" si="133"/>
        <v>L00-EMG-SWS-S094-01</v>
      </c>
      <c r="E664" t="str">
        <f t="shared" ca="1" si="136"/>
        <v>Family Type: 975w x 3050h, Family: Window Internal Type 1 - Flush</v>
      </c>
      <c r="F664" t="str">
        <f t="shared" ca="1" si="137"/>
        <v>Vector(X = 0.212, Y = -0.977, Z = 0.000, Length = 1.000)</v>
      </c>
      <c r="G664">
        <f t="shared" ca="1" si="138"/>
        <v>0.2</v>
      </c>
      <c r="H664">
        <f t="shared" ca="1" si="139"/>
        <v>-1</v>
      </c>
      <c r="I664">
        <f t="shared" ca="1" si="140"/>
        <v>0</v>
      </c>
      <c r="J664" s="8">
        <f t="shared" ca="1" si="141"/>
        <v>-78.690067525979785</v>
      </c>
      <c r="K664" s="9" t="str">
        <f t="shared" ca="1" si="142"/>
        <v>S</v>
      </c>
      <c r="L664">
        <f ca="1">+_xlfn.IFNA(VLOOKUP(M664,BespokeWindowsAreas!$A$1:$E$1999,1,FALSE),VLOOKUP(E664,WindowTypeArea!$B$2:$C$2000,2,FALSE))</f>
        <v>2.9737499999999999</v>
      </c>
      <c r="M664">
        <f t="shared" ca="1" si="143"/>
        <v>6645712</v>
      </c>
    </row>
    <row r="665" spans="1:13" x14ac:dyDescent="0.25">
      <c r="A665">
        <f t="shared" ca="1" si="134"/>
        <v>2</v>
      </c>
      <c r="B665">
        <f t="shared" ca="1" si="135"/>
        <v>252</v>
      </c>
      <c r="C665" t="str">
        <f t="shared" ca="1" si="144"/>
        <v>'WINDOWS-NCH-A-BDP-M3-00-00'!B251</v>
      </c>
      <c r="D665" s="6" t="str">
        <f t="shared" ca="1" si="133"/>
        <v>L00-EMG-SWS-S095-01</v>
      </c>
      <c r="E665" t="str">
        <f t="shared" ca="1" si="136"/>
        <v>L00-EMG-SWS-S095-01</v>
      </c>
      <c r="F665">
        <f t="shared" ca="1" si="137"/>
        <v>1876152</v>
      </c>
      <c r="G665">
        <f t="shared" ca="1" si="138"/>
        <v>0</v>
      </c>
      <c r="H665">
        <f t="shared" ca="1" si="139"/>
        <v>0</v>
      </c>
      <c r="I665">
        <f t="shared" ca="1" si="140"/>
        <v>0</v>
      </c>
      <c r="J665" s="8" t="e">
        <f t="shared" ca="1" si="141"/>
        <v>#DIV/0!</v>
      </c>
      <c r="K665" s="9" t="e">
        <f t="shared" ca="1" si="142"/>
        <v>#DIV/0!</v>
      </c>
      <c r="L665" t="e">
        <f ca="1">+_xlfn.IFNA(VLOOKUP(M665,BespokeWindowsAreas!$A$1:$E$1999,1,FALSE),VLOOKUP(E665,WindowTypeArea!$B$2:$C$2000,2,FALSE))</f>
        <v>#N/A</v>
      </c>
      <c r="M665">
        <f t="shared" ca="1" si="143"/>
        <v>0</v>
      </c>
    </row>
    <row r="666" spans="1:13" x14ac:dyDescent="0.25">
      <c r="A666">
        <f t="shared" ca="1" si="134"/>
        <v>2</v>
      </c>
      <c r="B666">
        <f t="shared" ca="1" si="135"/>
        <v>253</v>
      </c>
      <c r="C666" t="str">
        <f t="shared" ca="1" si="144"/>
        <v>'WINDOWS-NCH-A-BDP-M3-00-00'!B252</v>
      </c>
      <c r="D666" s="6" t="str">
        <f t="shared" ca="1" si="133"/>
        <v>L00-EMG-SWS-S095-01</v>
      </c>
      <c r="E666" t="str">
        <f t="shared" ca="1" si="136"/>
        <v>Family Type: 975w x 3050h, Family: Window Internal Type 1 - Flush</v>
      </c>
      <c r="F666" t="str">
        <f t="shared" ca="1" si="137"/>
        <v>Vector(X = 0.212, Y = -0.977, Z = 0.000, Length = 1.000)</v>
      </c>
      <c r="G666">
        <f t="shared" ca="1" si="138"/>
        <v>0.2</v>
      </c>
      <c r="H666">
        <f t="shared" ca="1" si="139"/>
        <v>-1</v>
      </c>
      <c r="I666">
        <f t="shared" ca="1" si="140"/>
        <v>0</v>
      </c>
      <c r="J666" s="8">
        <f t="shared" ca="1" si="141"/>
        <v>-78.690067525979785</v>
      </c>
      <c r="K666" s="9" t="str">
        <f t="shared" ca="1" si="142"/>
        <v>S</v>
      </c>
      <c r="L666">
        <f ca="1">+_xlfn.IFNA(VLOOKUP(M666,BespokeWindowsAreas!$A$1:$E$1999,1,FALSE),VLOOKUP(E666,WindowTypeArea!$B$2:$C$2000,2,FALSE))</f>
        <v>2.9737499999999999</v>
      </c>
      <c r="M666">
        <f t="shared" ca="1" si="143"/>
        <v>6645601</v>
      </c>
    </row>
    <row r="667" spans="1:13" x14ac:dyDescent="0.25">
      <c r="A667">
        <f t="shared" ca="1" si="134"/>
        <v>2</v>
      </c>
      <c r="B667">
        <f t="shared" ca="1" si="135"/>
        <v>254</v>
      </c>
      <c r="C667" t="str">
        <f t="shared" ca="1" si="144"/>
        <v>'WINDOWS-NCH-A-BDP-M3-00-00'!B253</v>
      </c>
      <c r="D667" s="6" t="str">
        <f t="shared" ca="1" si="133"/>
        <v>L00-EMG-SWS-S063-01</v>
      </c>
      <c r="E667" t="str">
        <f t="shared" ca="1" si="136"/>
        <v>L00-EMG-SWS-S063-01</v>
      </c>
      <c r="F667">
        <f t="shared" ca="1" si="137"/>
        <v>1876154</v>
      </c>
      <c r="G667">
        <f t="shared" ca="1" si="138"/>
        <v>0</v>
      </c>
      <c r="H667">
        <f t="shared" ca="1" si="139"/>
        <v>0</v>
      </c>
      <c r="I667">
        <f t="shared" ca="1" si="140"/>
        <v>0</v>
      </c>
      <c r="J667" s="8" t="e">
        <f t="shared" ca="1" si="141"/>
        <v>#DIV/0!</v>
      </c>
      <c r="K667" s="9" t="e">
        <f t="shared" ca="1" si="142"/>
        <v>#DIV/0!</v>
      </c>
      <c r="L667" t="e">
        <f ca="1">+_xlfn.IFNA(VLOOKUP(M667,BespokeWindowsAreas!$A$1:$E$1999,1,FALSE),VLOOKUP(E667,WindowTypeArea!$B$2:$C$2000,2,FALSE))</f>
        <v>#N/A</v>
      </c>
      <c r="M667">
        <f t="shared" ca="1" si="143"/>
        <v>0</v>
      </c>
    </row>
    <row r="668" spans="1:13" x14ac:dyDescent="0.25">
      <c r="A668">
        <f t="shared" ca="1" si="134"/>
        <v>2</v>
      </c>
      <c r="B668">
        <f t="shared" ca="1" si="135"/>
        <v>255</v>
      </c>
      <c r="C668" t="str">
        <f t="shared" ca="1" si="144"/>
        <v>'WINDOWS-NCH-A-BDP-M3-00-00'!B254</v>
      </c>
      <c r="D668" s="6" t="str">
        <f t="shared" ca="1" si="133"/>
        <v>L00-EMG-SWS-S063-01</v>
      </c>
      <c r="E668" t="str">
        <f t="shared" ca="1" si="136"/>
        <v>Family Type: 975w x 3050h, Family: Window Internal Type 1 - Flush</v>
      </c>
      <c r="F668" t="str">
        <f t="shared" ca="1" si="137"/>
        <v>Vector(X = -0.977, Y = -0.212, Z = 0.000, Length = 1.000)</v>
      </c>
      <c r="G668">
        <f t="shared" ca="1" si="138"/>
        <v>-1</v>
      </c>
      <c r="H668">
        <f t="shared" ca="1" si="139"/>
        <v>-0.2</v>
      </c>
      <c r="I668">
        <f t="shared" ca="1" si="140"/>
        <v>0</v>
      </c>
      <c r="J668" s="8">
        <f t="shared" ca="1" si="141"/>
        <v>-168.69006752597977</v>
      </c>
      <c r="K668" s="9" t="str">
        <f t="shared" ca="1" si="142"/>
        <v>W</v>
      </c>
      <c r="L668">
        <f ca="1">+_xlfn.IFNA(VLOOKUP(M668,BespokeWindowsAreas!$A$1:$E$1999,1,FALSE),VLOOKUP(E668,WindowTypeArea!$B$2:$C$2000,2,FALSE))</f>
        <v>2.9737499999999999</v>
      </c>
      <c r="M668">
        <f t="shared" ca="1" si="143"/>
        <v>6314349</v>
      </c>
    </row>
    <row r="669" spans="1:13" x14ac:dyDescent="0.25">
      <c r="A669">
        <f t="shared" ca="1" si="134"/>
        <v>2</v>
      </c>
      <c r="B669">
        <f t="shared" ca="1" si="135"/>
        <v>256</v>
      </c>
      <c r="C669" t="str">
        <f t="shared" ca="1" si="144"/>
        <v>'WINDOWS-NCH-A-BDP-M3-00-00'!B255</v>
      </c>
      <c r="D669" s="6" t="str">
        <f t="shared" ca="1" si="133"/>
        <v>L00-OPD-DC1-S029-01</v>
      </c>
      <c r="E669" t="str">
        <f t="shared" ca="1" si="136"/>
        <v>L00-OPD-DC1-S029-01</v>
      </c>
      <c r="F669">
        <f t="shared" ca="1" si="137"/>
        <v>1876274</v>
      </c>
      <c r="G669">
        <f t="shared" ca="1" si="138"/>
        <v>0</v>
      </c>
      <c r="H669">
        <f t="shared" ca="1" si="139"/>
        <v>0</v>
      </c>
      <c r="I669">
        <f t="shared" ca="1" si="140"/>
        <v>0</v>
      </c>
      <c r="J669" s="8" t="e">
        <f t="shared" ca="1" si="141"/>
        <v>#DIV/0!</v>
      </c>
      <c r="K669" s="9" t="e">
        <f t="shared" ca="1" si="142"/>
        <v>#DIV/0!</v>
      </c>
      <c r="L669" t="e">
        <f ca="1">+_xlfn.IFNA(VLOOKUP(M669,BespokeWindowsAreas!$A$1:$E$1999,1,FALSE),VLOOKUP(E669,WindowTypeArea!$B$2:$C$2000,2,FALSE))</f>
        <v>#N/A</v>
      </c>
      <c r="M669">
        <f t="shared" ca="1" si="143"/>
        <v>0</v>
      </c>
    </row>
    <row r="670" spans="1:13" x14ac:dyDescent="0.25">
      <c r="A670">
        <f t="shared" ca="1" si="134"/>
        <v>2</v>
      </c>
      <c r="B670">
        <f t="shared" ca="1" si="135"/>
        <v>257</v>
      </c>
      <c r="C670" t="str">
        <f t="shared" ca="1" si="144"/>
        <v>'WINDOWS-NCH-A-BDP-M3-00-00'!B256</v>
      </c>
      <c r="D670" s="6" t="str">
        <f t="shared" ca="1" si="133"/>
        <v>L00-OPD-DC1-S029-01</v>
      </c>
      <c r="E670" t="str">
        <f t="shared" ca="1" si="136"/>
        <v>Family Type: 975w x 3050h, Family: Window External Type 1 - Recessed</v>
      </c>
      <c r="F670" t="str">
        <f t="shared" ca="1" si="137"/>
        <v>Vector(X = -0.212, Y = 0.977, Z = 0.000, Length = 1.000)</v>
      </c>
      <c r="G670">
        <f t="shared" ca="1" si="138"/>
        <v>-0.2</v>
      </c>
      <c r="H670">
        <f t="shared" ca="1" si="139"/>
        <v>1</v>
      </c>
      <c r="I670">
        <f t="shared" ca="1" si="140"/>
        <v>0</v>
      </c>
      <c r="J670" s="8">
        <f t="shared" ca="1" si="141"/>
        <v>101.3099324740202</v>
      </c>
      <c r="K670" s="9" t="str">
        <f t="shared" ca="1" si="142"/>
        <v>N</v>
      </c>
      <c r="L670">
        <f ca="1">+_xlfn.IFNA(VLOOKUP(M670,BespokeWindowsAreas!$A$1:$E$1999,1,FALSE),VLOOKUP(E670,WindowTypeArea!$B$2:$C$2000,2,FALSE))</f>
        <v>2.9737499999999999</v>
      </c>
      <c r="M670">
        <f t="shared" ca="1" si="143"/>
        <v>4791823</v>
      </c>
    </row>
    <row r="671" spans="1:13" x14ac:dyDescent="0.25">
      <c r="A671">
        <f t="shared" ca="1" si="134"/>
        <v>2</v>
      </c>
      <c r="B671">
        <f t="shared" ca="1" si="135"/>
        <v>258</v>
      </c>
      <c r="C671" t="str">
        <f t="shared" ca="1" si="144"/>
        <v>'WINDOWS-NCH-A-BDP-M3-00-00'!B257</v>
      </c>
      <c r="D671" s="6" t="str">
        <f t="shared" ca="1" si="133"/>
        <v>L00-OPD-DC1-S029-01</v>
      </c>
      <c r="E671" t="str">
        <f t="shared" ca="1" si="136"/>
        <v>Family Type: 1500w x 3050h, Family: Window External Type 3 - Recessed and Angle</v>
      </c>
      <c r="F671" t="str">
        <f t="shared" ca="1" si="137"/>
        <v>Vector(X = -0.212, Y = 0.977, Z = 0.000, Length = 1.000)</v>
      </c>
      <c r="G671">
        <f t="shared" ca="1" si="138"/>
        <v>-0.2</v>
      </c>
      <c r="H671">
        <f t="shared" ca="1" si="139"/>
        <v>1</v>
      </c>
      <c r="I671">
        <f t="shared" ca="1" si="140"/>
        <v>0</v>
      </c>
      <c r="J671" s="8">
        <f t="shared" ca="1" si="141"/>
        <v>101.3099324740202</v>
      </c>
      <c r="K671" s="9" t="str">
        <f t="shared" ca="1" si="142"/>
        <v>N</v>
      </c>
      <c r="L671">
        <f ca="1">+_xlfn.IFNA(VLOOKUP(M671,BespokeWindowsAreas!$A$1:$E$1999,1,FALSE),VLOOKUP(E671,WindowTypeArea!$B$2:$C$2000,2,FALSE))</f>
        <v>4.5750000000000002</v>
      </c>
      <c r="M671">
        <f t="shared" ca="1" si="143"/>
        <v>4791902</v>
      </c>
    </row>
    <row r="672" spans="1:13" x14ac:dyDescent="0.25">
      <c r="A672">
        <f t="shared" ca="1" si="134"/>
        <v>2</v>
      </c>
      <c r="B672">
        <f t="shared" ca="1" si="135"/>
        <v>259</v>
      </c>
      <c r="C672" t="str">
        <f t="shared" ca="1" si="144"/>
        <v>'WINDOWS-NCH-A-BDP-M3-00-00'!B258</v>
      </c>
      <c r="D672" s="6" t="str">
        <f t="shared" ca="1" si="133"/>
        <v>L00-OPD-DC1-S060-01</v>
      </c>
      <c r="E672" t="str">
        <f t="shared" ca="1" si="136"/>
        <v>L00-OPD-DC1-S060-01</v>
      </c>
      <c r="F672">
        <f t="shared" ca="1" si="137"/>
        <v>1876278</v>
      </c>
      <c r="G672">
        <f t="shared" ca="1" si="138"/>
        <v>0</v>
      </c>
      <c r="H672">
        <f t="shared" ca="1" si="139"/>
        <v>0</v>
      </c>
      <c r="I672">
        <f t="shared" ca="1" si="140"/>
        <v>0</v>
      </c>
      <c r="J672" s="8" t="e">
        <f t="shared" ca="1" si="141"/>
        <v>#DIV/0!</v>
      </c>
      <c r="K672" s="9" t="e">
        <f t="shared" ca="1" si="142"/>
        <v>#DIV/0!</v>
      </c>
      <c r="L672" t="e">
        <f ca="1">+_xlfn.IFNA(VLOOKUP(M672,BespokeWindowsAreas!$A$1:$E$1999,1,FALSE),VLOOKUP(E672,WindowTypeArea!$B$2:$C$2000,2,FALSE))</f>
        <v>#N/A</v>
      </c>
      <c r="M672">
        <f t="shared" ca="1" si="143"/>
        <v>0</v>
      </c>
    </row>
    <row r="673" spans="1:13" x14ac:dyDescent="0.25">
      <c r="A673">
        <f t="shared" ca="1" si="134"/>
        <v>2</v>
      </c>
      <c r="B673">
        <f t="shared" ca="1" si="135"/>
        <v>260</v>
      </c>
      <c r="C673" t="str">
        <f t="shared" ca="1" si="144"/>
        <v>'WINDOWS-NCH-A-BDP-M3-00-00'!B259</v>
      </c>
      <c r="D673" s="6" t="str">
        <f t="shared" ca="1" si="133"/>
        <v>L00-OPD-DC1-S060-01</v>
      </c>
      <c r="E673" t="str">
        <f t="shared" ca="1" si="136"/>
        <v>Family Type: 1950w x 3050h, Family: Window External Type 1 - Recessed</v>
      </c>
      <c r="F673" t="str">
        <f t="shared" ca="1" si="137"/>
        <v>Vector(X = -0.212, Y = 0.977, Z = 0.000, Length = 1.000)</v>
      </c>
      <c r="G673">
        <f t="shared" ca="1" si="138"/>
        <v>-0.2</v>
      </c>
      <c r="H673">
        <f t="shared" ca="1" si="139"/>
        <v>1</v>
      </c>
      <c r="I673">
        <f t="shared" ca="1" si="140"/>
        <v>0</v>
      </c>
      <c r="J673" s="8">
        <f t="shared" ca="1" si="141"/>
        <v>101.3099324740202</v>
      </c>
      <c r="K673" s="9" t="str">
        <f t="shared" ca="1" si="142"/>
        <v>N</v>
      </c>
      <c r="L673">
        <f ca="1">+_xlfn.IFNA(VLOOKUP(M673,BespokeWindowsAreas!$A$1:$E$1999,1,FALSE),VLOOKUP(E673,WindowTypeArea!$B$2:$C$2000,2,FALSE))</f>
        <v>5.9474999999999998</v>
      </c>
      <c r="M673">
        <f t="shared" ca="1" si="143"/>
        <v>4839794</v>
      </c>
    </row>
    <row r="674" spans="1:13" x14ac:dyDescent="0.25">
      <c r="A674">
        <f t="shared" ca="1" si="134"/>
        <v>2</v>
      </c>
      <c r="B674">
        <f t="shared" ca="1" si="135"/>
        <v>261</v>
      </c>
      <c r="C674" t="str">
        <f t="shared" ca="1" si="144"/>
        <v>'WINDOWS-NCH-A-BDP-M3-00-00'!B260</v>
      </c>
      <c r="D674" s="6" t="str">
        <f t="shared" ca="1" si="133"/>
        <v>L00-OPD-DC1-S060-01</v>
      </c>
      <c r="E674" t="str">
        <f t="shared" ca="1" si="136"/>
        <v>Family Type: 1500w x 3050h, Family: Window External Type 3 - Recessed and Angle</v>
      </c>
      <c r="F674" t="str">
        <f t="shared" ca="1" si="137"/>
        <v>Vector(X = -0.977, Y = -0.212, Z = 0.000, Length = 1.000)</v>
      </c>
      <c r="G674">
        <f t="shared" ca="1" si="138"/>
        <v>-1</v>
      </c>
      <c r="H674">
        <f t="shared" ca="1" si="139"/>
        <v>-0.2</v>
      </c>
      <c r="I674">
        <f t="shared" ca="1" si="140"/>
        <v>0</v>
      </c>
      <c r="J674" s="8">
        <f t="shared" ca="1" si="141"/>
        <v>-168.69006752597977</v>
      </c>
      <c r="K674" s="9" t="str">
        <f t="shared" ca="1" si="142"/>
        <v>W</v>
      </c>
      <c r="L674">
        <f ca="1">+_xlfn.IFNA(VLOOKUP(M674,BespokeWindowsAreas!$A$1:$E$1999,1,FALSE),VLOOKUP(E674,WindowTypeArea!$B$2:$C$2000,2,FALSE))</f>
        <v>4.5750000000000002</v>
      </c>
      <c r="M674">
        <f t="shared" ca="1" si="143"/>
        <v>4860670</v>
      </c>
    </row>
    <row r="675" spans="1:13" x14ac:dyDescent="0.25">
      <c r="A675">
        <f t="shared" ca="1" si="134"/>
        <v>2</v>
      </c>
      <c r="B675">
        <f t="shared" ca="1" si="135"/>
        <v>262</v>
      </c>
      <c r="C675" t="str">
        <f t="shared" ca="1" si="144"/>
        <v>'WINDOWS-NCH-A-BDP-M3-00-00'!B261</v>
      </c>
      <c r="D675" s="6" t="str">
        <f t="shared" ca="1" si="133"/>
        <v>L00-OPD-DC1-S108-02</v>
      </c>
      <c r="E675" t="str">
        <f t="shared" ca="1" si="136"/>
        <v>L00-OPD-DC1-S108-02</v>
      </c>
      <c r="F675">
        <f t="shared" ca="1" si="137"/>
        <v>1876288</v>
      </c>
      <c r="G675">
        <f t="shared" ca="1" si="138"/>
        <v>0</v>
      </c>
      <c r="H675">
        <f t="shared" ca="1" si="139"/>
        <v>0</v>
      </c>
      <c r="I675">
        <f t="shared" ca="1" si="140"/>
        <v>0</v>
      </c>
      <c r="J675" s="8" t="e">
        <f t="shared" ca="1" si="141"/>
        <v>#DIV/0!</v>
      </c>
      <c r="K675" s="9" t="e">
        <f t="shared" ca="1" si="142"/>
        <v>#DIV/0!</v>
      </c>
      <c r="L675" t="e">
        <f ca="1">+_xlfn.IFNA(VLOOKUP(M675,BespokeWindowsAreas!$A$1:$E$1999,1,FALSE),VLOOKUP(E675,WindowTypeArea!$B$2:$C$2000,2,FALSE))</f>
        <v>#N/A</v>
      </c>
      <c r="M675">
        <f t="shared" ca="1" si="143"/>
        <v>0</v>
      </c>
    </row>
    <row r="676" spans="1:13" x14ac:dyDescent="0.25">
      <c r="A676">
        <f t="shared" ca="1" si="134"/>
        <v>2</v>
      </c>
      <c r="B676">
        <f t="shared" ca="1" si="135"/>
        <v>263</v>
      </c>
      <c r="C676" t="str">
        <f t="shared" ca="1" si="144"/>
        <v>'WINDOWS-NCH-A-BDP-M3-00-00'!B262</v>
      </c>
      <c r="D676" s="6" t="str">
        <f t="shared" ca="1" si="133"/>
        <v>none - connecect to atrium</v>
      </c>
      <c r="E676" t="str">
        <f t="shared" ca="1" si="136"/>
        <v>none - connecect to atrium</v>
      </c>
      <c r="F676" t="str">
        <f t="shared" ca="1" si="137"/>
        <v>Vector(X = -0.212, Y = 0.977, Z = 0.000, Length = 1.000)</v>
      </c>
      <c r="G676">
        <f t="shared" ca="1" si="138"/>
        <v>-0.2</v>
      </c>
      <c r="H676">
        <f t="shared" ca="1" si="139"/>
        <v>1</v>
      </c>
      <c r="I676">
        <f t="shared" ca="1" si="140"/>
        <v>0</v>
      </c>
      <c r="J676" s="8">
        <f t="shared" ca="1" si="141"/>
        <v>101.3099324740202</v>
      </c>
      <c r="K676" s="9" t="str">
        <f t="shared" ca="1" si="142"/>
        <v>N</v>
      </c>
      <c r="L676" t="e">
        <f ca="1">+_xlfn.IFNA(VLOOKUP(M676,BespokeWindowsAreas!$A$1:$E$1999,1,FALSE),VLOOKUP(E676,WindowTypeArea!$B$2:$C$2000,2,FALSE))</f>
        <v>#N/A</v>
      </c>
      <c r="M676">
        <f t="shared" ca="1" si="143"/>
        <v>5147563</v>
      </c>
    </row>
    <row r="677" spans="1:13" x14ac:dyDescent="0.25">
      <c r="A677">
        <f t="shared" ca="1" si="134"/>
        <v>2</v>
      </c>
      <c r="B677">
        <f t="shared" ca="1" si="135"/>
        <v>264</v>
      </c>
      <c r="C677" t="str">
        <f t="shared" ca="1" si="144"/>
        <v>'WINDOWS-NCH-A-BDP-M3-00-00'!B263</v>
      </c>
      <c r="D677" s="6" t="str">
        <f t="shared" ca="1" si="133"/>
        <v>L00-OPD-DC1-S129-01</v>
      </c>
      <c r="E677" t="str">
        <f t="shared" ca="1" si="136"/>
        <v>L00-OPD-DC1-S129-01</v>
      </c>
      <c r="F677">
        <f t="shared" ca="1" si="137"/>
        <v>1876290</v>
      </c>
      <c r="G677">
        <f t="shared" ca="1" si="138"/>
        <v>0</v>
      </c>
      <c r="H677">
        <f t="shared" ca="1" si="139"/>
        <v>0</v>
      </c>
      <c r="I677">
        <f t="shared" ca="1" si="140"/>
        <v>0</v>
      </c>
      <c r="J677" s="8" t="e">
        <f t="shared" ca="1" si="141"/>
        <v>#DIV/0!</v>
      </c>
      <c r="K677" s="9" t="e">
        <f t="shared" ca="1" si="142"/>
        <v>#DIV/0!</v>
      </c>
      <c r="L677" t="e">
        <f ca="1">+_xlfn.IFNA(VLOOKUP(M677,BespokeWindowsAreas!$A$1:$E$1999,1,FALSE),VLOOKUP(E677,WindowTypeArea!$B$2:$C$2000,2,FALSE))</f>
        <v>#N/A</v>
      </c>
      <c r="M677">
        <f t="shared" ca="1" si="143"/>
        <v>0</v>
      </c>
    </row>
    <row r="678" spans="1:13" x14ac:dyDescent="0.25">
      <c r="A678">
        <f t="shared" ca="1" si="134"/>
        <v>2</v>
      </c>
      <c r="B678">
        <f t="shared" ca="1" si="135"/>
        <v>265</v>
      </c>
      <c r="C678" t="str">
        <f t="shared" ca="1" si="144"/>
        <v>'WINDOWS-NCH-A-BDP-M3-00-00'!B264</v>
      </c>
      <c r="D678" s="6" t="str">
        <f t="shared" ca="1" si="133"/>
        <v>none - connecect to atrium</v>
      </c>
      <c r="E678" t="str">
        <f t="shared" ca="1" si="136"/>
        <v>none - connecect to atrium</v>
      </c>
      <c r="F678" t="str">
        <f t="shared" ca="1" si="137"/>
        <v>Vector(X = -0.212, Y = 0.977, Z = 0.000, Length = 1.000)</v>
      </c>
      <c r="G678">
        <f t="shared" ca="1" si="138"/>
        <v>-0.2</v>
      </c>
      <c r="H678">
        <f t="shared" ca="1" si="139"/>
        <v>1</v>
      </c>
      <c r="I678">
        <f t="shared" ca="1" si="140"/>
        <v>0</v>
      </c>
      <c r="J678" s="8">
        <f t="shared" ca="1" si="141"/>
        <v>101.3099324740202</v>
      </c>
      <c r="K678" s="9" t="str">
        <f t="shared" ca="1" si="142"/>
        <v>N</v>
      </c>
      <c r="L678" t="e">
        <f ca="1">+_xlfn.IFNA(VLOOKUP(M678,BespokeWindowsAreas!$A$1:$E$1999,1,FALSE),VLOOKUP(E678,WindowTypeArea!$B$2:$C$2000,2,FALSE))</f>
        <v>#N/A</v>
      </c>
      <c r="M678">
        <f t="shared" ca="1" si="143"/>
        <v>5147564</v>
      </c>
    </row>
    <row r="679" spans="1:13" x14ac:dyDescent="0.25">
      <c r="A679">
        <f t="shared" ca="1" si="134"/>
        <v>2</v>
      </c>
      <c r="B679">
        <f t="shared" ca="1" si="135"/>
        <v>266</v>
      </c>
      <c r="C679" t="str">
        <f t="shared" ca="1" si="144"/>
        <v>'WINDOWS-NCH-A-BDP-M3-00-00'!B265</v>
      </c>
      <c r="D679" s="6" t="str">
        <f t="shared" ca="1" si="133"/>
        <v>none - connecect to atrium</v>
      </c>
      <c r="E679" t="str">
        <f t="shared" ca="1" si="136"/>
        <v>none - connecect to atrium</v>
      </c>
      <c r="F679" t="str">
        <f t="shared" ca="1" si="137"/>
        <v>Vector(X = 0.973, Y = 0.232, Z = 0.000, Length = 1.000)</v>
      </c>
      <c r="G679">
        <f t="shared" ca="1" si="138"/>
        <v>1</v>
      </c>
      <c r="H679">
        <f t="shared" ca="1" si="139"/>
        <v>0.2</v>
      </c>
      <c r="I679">
        <f t="shared" ca="1" si="140"/>
        <v>0</v>
      </c>
      <c r="J679" s="8">
        <f t="shared" ca="1" si="141"/>
        <v>11.309932474020215</v>
      </c>
      <c r="K679" s="9" t="str">
        <f t="shared" ca="1" si="142"/>
        <v>E</v>
      </c>
      <c r="L679" t="e">
        <f ca="1">+_xlfn.IFNA(VLOOKUP(M679,BespokeWindowsAreas!$A$1:$E$1999,1,FALSE),VLOOKUP(E679,WindowTypeArea!$B$2:$C$2000,2,FALSE))</f>
        <v>#N/A</v>
      </c>
      <c r="M679">
        <f t="shared" ca="1" si="143"/>
        <v>5193640</v>
      </c>
    </row>
    <row r="680" spans="1:13" x14ac:dyDescent="0.25">
      <c r="A680">
        <f t="shared" ca="1" si="134"/>
        <v>2</v>
      </c>
      <c r="B680">
        <f t="shared" ca="1" si="135"/>
        <v>267</v>
      </c>
      <c r="C680" t="str">
        <f t="shared" ca="1" si="144"/>
        <v>'WINDOWS-NCH-A-BDP-M3-00-00'!B266</v>
      </c>
      <c r="D680" s="6" t="str">
        <f t="shared" ca="1" si="133"/>
        <v>none - connecect to atrium</v>
      </c>
      <c r="E680" t="str">
        <f t="shared" ca="1" si="136"/>
        <v>none - connecect to atrium</v>
      </c>
      <c r="F680" t="str">
        <f t="shared" ca="1" si="137"/>
        <v>Vector(X = 0.964, Y = 0.264, Z = 0.000, Length = 1.000)</v>
      </c>
      <c r="G680">
        <f t="shared" ca="1" si="138"/>
        <v>1</v>
      </c>
      <c r="H680">
        <f t="shared" ca="1" si="139"/>
        <v>0.3</v>
      </c>
      <c r="I680">
        <f t="shared" ca="1" si="140"/>
        <v>0</v>
      </c>
      <c r="J680" s="8">
        <f t="shared" ca="1" si="141"/>
        <v>16.699244233993621</v>
      </c>
      <c r="K680" s="9" t="str">
        <f t="shared" ca="1" si="142"/>
        <v>E</v>
      </c>
      <c r="L680" t="e">
        <f ca="1">+_xlfn.IFNA(VLOOKUP(M680,BespokeWindowsAreas!$A$1:$E$1999,1,FALSE),VLOOKUP(E680,WindowTypeArea!$B$2:$C$2000,2,FALSE))</f>
        <v>#N/A</v>
      </c>
      <c r="M680">
        <f t="shared" ca="1" si="143"/>
        <v>5194974</v>
      </c>
    </row>
    <row r="681" spans="1:13" x14ac:dyDescent="0.25">
      <c r="A681">
        <f t="shared" ca="1" si="134"/>
        <v>2</v>
      </c>
      <c r="B681">
        <f t="shared" ca="1" si="135"/>
        <v>268</v>
      </c>
      <c r="C681" t="str">
        <f t="shared" ca="1" si="144"/>
        <v>'WINDOWS-NCH-A-BDP-M3-00-00'!B267</v>
      </c>
      <c r="D681" s="6" t="str">
        <f t="shared" ca="1" si="133"/>
        <v>none - connecect to atrium</v>
      </c>
      <c r="E681" t="str">
        <f t="shared" ca="1" si="136"/>
        <v>none - connecect to atrium</v>
      </c>
      <c r="F681" t="str">
        <f t="shared" ca="1" si="137"/>
        <v>Vector(X = 0.967, Y = 0.253, Z = 0.000, Length = 1.000)</v>
      </c>
      <c r="G681">
        <f t="shared" ca="1" si="138"/>
        <v>1</v>
      </c>
      <c r="H681">
        <f t="shared" ca="1" si="139"/>
        <v>0.3</v>
      </c>
      <c r="I681">
        <f t="shared" ca="1" si="140"/>
        <v>0</v>
      </c>
      <c r="J681" s="8">
        <f t="shared" ca="1" si="141"/>
        <v>16.699244233993621</v>
      </c>
      <c r="K681" s="9" t="str">
        <f t="shared" ca="1" si="142"/>
        <v>E</v>
      </c>
      <c r="L681" t="e">
        <f ca="1">+_xlfn.IFNA(VLOOKUP(M681,BespokeWindowsAreas!$A$1:$E$1999,1,FALSE),VLOOKUP(E681,WindowTypeArea!$B$2:$C$2000,2,FALSE))</f>
        <v>#N/A</v>
      </c>
      <c r="M681">
        <f t="shared" ca="1" si="143"/>
        <v>5195004</v>
      </c>
    </row>
    <row r="682" spans="1:13" x14ac:dyDescent="0.25">
      <c r="A682">
        <f t="shared" ca="1" si="134"/>
        <v>2</v>
      </c>
      <c r="B682">
        <f t="shared" ca="1" si="135"/>
        <v>269</v>
      </c>
      <c r="C682" t="str">
        <f t="shared" ca="1" si="144"/>
        <v>'WINDOWS-NCH-A-BDP-M3-00-00'!B268</v>
      </c>
      <c r="D682" s="6" t="str">
        <f t="shared" ca="1" si="133"/>
        <v>none - connecect to atrium</v>
      </c>
      <c r="E682" t="str">
        <f t="shared" ca="1" si="136"/>
        <v>none - connecect to atrium</v>
      </c>
      <c r="F682" t="str">
        <f t="shared" ca="1" si="137"/>
        <v>Vector(X = -0.212, Y = 0.977, Z = 0.000, Length = 1.000)</v>
      </c>
      <c r="G682">
        <f t="shared" ca="1" si="138"/>
        <v>-0.2</v>
      </c>
      <c r="H682">
        <f t="shared" ca="1" si="139"/>
        <v>1</v>
      </c>
      <c r="I682">
        <f t="shared" ca="1" si="140"/>
        <v>0</v>
      </c>
      <c r="J682" s="8">
        <f t="shared" ca="1" si="141"/>
        <v>101.3099324740202</v>
      </c>
      <c r="K682" s="9" t="str">
        <f t="shared" ca="1" si="142"/>
        <v>N</v>
      </c>
      <c r="L682" t="e">
        <f ca="1">+_xlfn.IFNA(VLOOKUP(M682,BespokeWindowsAreas!$A$1:$E$1999,1,FALSE),VLOOKUP(E682,WindowTypeArea!$B$2:$C$2000,2,FALSE))</f>
        <v>#N/A</v>
      </c>
      <c r="M682">
        <f t="shared" ca="1" si="143"/>
        <v>6503065</v>
      </c>
    </row>
    <row r="683" spans="1:13" x14ac:dyDescent="0.25">
      <c r="A683">
        <f t="shared" ca="1" si="134"/>
        <v>2</v>
      </c>
      <c r="B683">
        <f t="shared" ca="1" si="135"/>
        <v>270</v>
      </c>
      <c r="C683" t="str">
        <f t="shared" ca="1" si="144"/>
        <v>'WINDOWS-NCH-A-BDP-M3-00-00'!B269</v>
      </c>
      <c r="D683" s="6" t="str">
        <f t="shared" ca="1" si="133"/>
        <v>none - connecect to atrium</v>
      </c>
      <c r="E683" t="str">
        <f t="shared" ca="1" si="136"/>
        <v>none - connecect to atrium</v>
      </c>
      <c r="F683" t="str">
        <f t="shared" ca="1" si="137"/>
        <v>Vector(X = 0.970, Y = 0.245, Z = 0.000, Length = 1.000)</v>
      </c>
      <c r="G683">
        <f t="shared" ca="1" si="138"/>
        <v>1</v>
      </c>
      <c r="H683">
        <f t="shared" ca="1" si="139"/>
        <v>0.2</v>
      </c>
      <c r="I683">
        <f t="shared" ca="1" si="140"/>
        <v>0</v>
      </c>
      <c r="J683" s="8">
        <f t="shared" ca="1" si="141"/>
        <v>11.309932474020215</v>
      </c>
      <c r="K683" s="9" t="str">
        <f t="shared" ca="1" si="142"/>
        <v>E</v>
      </c>
      <c r="L683" t="e">
        <f ca="1">+_xlfn.IFNA(VLOOKUP(M683,BespokeWindowsAreas!$A$1:$E$1999,1,FALSE),VLOOKUP(E683,WindowTypeArea!$B$2:$C$2000,2,FALSE))</f>
        <v>#N/A</v>
      </c>
      <c r="M683">
        <f t="shared" ca="1" si="143"/>
        <v>6535161</v>
      </c>
    </row>
    <row r="684" spans="1:13" x14ac:dyDescent="0.25">
      <c r="A684">
        <f t="shared" ca="1" si="134"/>
        <v>2</v>
      </c>
      <c r="B684">
        <f t="shared" ca="1" si="135"/>
        <v>271</v>
      </c>
      <c r="C684" t="str">
        <f t="shared" ca="1" si="144"/>
        <v>'WINDOWS-NCH-A-BDP-M3-00-00'!B270</v>
      </c>
      <c r="D684" s="6" t="str">
        <f t="shared" ca="1" si="133"/>
        <v>L00-OPD-DC1-S029-02</v>
      </c>
      <c r="E684" t="str">
        <f t="shared" ca="1" si="136"/>
        <v>L00-OPD-DC1-S029-02</v>
      </c>
      <c r="F684">
        <f t="shared" ca="1" si="137"/>
        <v>1876306</v>
      </c>
      <c r="G684">
        <f t="shared" ca="1" si="138"/>
        <v>0</v>
      </c>
      <c r="H684">
        <f t="shared" ca="1" si="139"/>
        <v>0</v>
      </c>
      <c r="I684">
        <f t="shared" ca="1" si="140"/>
        <v>0</v>
      </c>
      <c r="J684" s="8" t="e">
        <f t="shared" ca="1" si="141"/>
        <v>#DIV/0!</v>
      </c>
      <c r="K684" s="9" t="e">
        <f t="shared" ca="1" si="142"/>
        <v>#DIV/0!</v>
      </c>
      <c r="L684" t="e">
        <f ca="1">+_xlfn.IFNA(VLOOKUP(M684,BespokeWindowsAreas!$A$1:$E$1999,1,FALSE),VLOOKUP(E684,WindowTypeArea!$B$2:$C$2000,2,FALSE))</f>
        <v>#N/A</v>
      </c>
      <c r="M684">
        <f t="shared" ca="1" si="143"/>
        <v>0</v>
      </c>
    </row>
    <row r="685" spans="1:13" x14ac:dyDescent="0.25">
      <c r="A685">
        <f t="shared" ca="1" si="134"/>
        <v>2</v>
      </c>
      <c r="B685">
        <f t="shared" ca="1" si="135"/>
        <v>272</v>
      </c>
      <c r="C685" t="str">
        <f t="shared" ca="1" si="144"/>
        <v>'WINDOWS-NCH-A-BDP-M3-00-00'!B271</v>
      </c>
      <c r="D685" s="6" t="str">
        <f t="shared" ca="1" si="133"/>
        <v>L00-OPD-DC1-S029-02</v>
      </c>
      <c r="E685" t="str">
        <f t="shared" ca="1" si="136"/>
        <v>Family Type: 975w x 3050h, Family: Window External Type 1 - Recessed</v>
      </c>
      <c r="F685" t="str">
        <f t="shared" ca="1" si="137"/>
        <v>Vector(X = -0.212, Y = 0.977, Z = 0.000, Length = 1.000)</v>
      </c>
      <c r="G685">
        <f t="shared" ca="1" si="138"/>
        <v>-0.2</v>
      </c>
      <c r="H685">
        <f t="shared" ca="1" si="139"/>
        <v>1</v>
      </c>
      <c r="I685">
        <f t="shared" ca="1" si="140"/>
        <v>0</v>
      </c>
      <c r="J685" s="8">
        <f t="shared" ca="1" si="141"/>
        <v>101.3099324740202</v>
      </c>
      <c r="K685" s="9" t="str">
        <f t="shared" ca="1" si="142"/>
        <v>N</v>
      </c>
      <c r="L685">
        <f ca="1">+_xlfn.IFNA(VLOOKUP(M685,BespokeWindowsAreas!$A$1:$E$1999,1,FALSE),VLOOKUP(E685,WindowTypeArea!$B$2:$C$2000,2,FALSE))</f>
        <v>2.9737499999999999</v>
      </c>
      <c r="M685">
        <f t="shared" ca="1" si="143"/>
        <v>4791777</v>
      </c>
    </row>
    <row r="686" spans="1:13" x14ac:dyDescent="0.25">
      <c r="A686">
        <f t="shared" ca="1" si="134"/>
        <v>2</v>
      </c>
      <c r="B686">
        <f t="shared" ca="1" si="135"/>
        <v>273</v>
      </c>
      <c r="C686" t="str">
        <f t="shared" ca="1" si="144"/>
        <v>'WINDOWS-NCH-A-BDP-M3-00-00'!B272</v>
      </c>
      <c r="D686" s="6" t="str">
        <f t="shared" ca="1" si="133"/>
        <v>L00-MAI-CHI-U0782-01</v>
      </c>
      <c r="E686" t="str">
        <f t="shared" ca="1" si="136"/>
        <v>L00-MAI-CHI-U0782-01</v>
      </c>
      <c r="F686">
        <f t="shared" ca="1" si="137"/>
        <v>1882449</v>
      </c>
      <c r="G686">
        <f t="shared" ca="1" si="138"/>
        <v>0</v>
      </c>
      <c r="H686">
        <f t="shared" ca="1" si="139"/>
        <v>0</v>
      </c>
      <c r="I686">
        <f t="shared" ca="1" si="140"/>
        <v>0</v>
      </c>
      <c r="J686" s="8" t="e">
        <f t="shared" ca="1" si="141"/>
        <v>#DIV/0!</v>
      </c>
      <c r="K686" s="9" t="e">
        <f t="shared" ca="1" si="142"/>
        <v>#DIV/0!</v>
      </c>
      <c r="L686" t="e">
        <f ca="1">+_xlfn.IFNA(VLOOKUP(M686,BespokeWindowsAreas!$A$1:$E$1999,1,FALSE),VLOOKUP(E686,WindowTypeArea!$B$2:$C$2000,2,FALSE))</f>
        <v>#N/A</v>
      </c>
      <c r="M686">
        <f t="shared" ca="1" si="143"/>
        <v>0</v>
      </c>
    </row>
    <row r="687" spans="1:13" x14ac:dyDescent="0.25">
      <c r="A687">
        <f t="shared" ca="1" si="134"/>
        <v>2</v>
      </c>
      <c r="B687">
        <f t="shared" ca="1" si="135"/>
        <v>274</v>
      </c>
      <c r="C687" t="str">
        <f t="shared" ca="1" si="144"/>
        <v>'WINDOWS-NCH-A-BDP-M3-00-00'!B273</v>
      </c>
      <c r="D687" s="6" t="str">
        <f t="shared" ca="1" si="133"/>
        <v>none - connecect to atrium</v>
      </c>
      <c r="E687" t="str">
        <f t="shared" ca="1" si="136"/>
        <v>none - connecect to atrium</v>
      </c>
      <c r="F687" t="str">
        <f t="shared" ca="1" si="137"/>
        <v>Vector(X = 0.901, Y = 0.434, Z = 0.000, Length = 1.000)</v>
      </c>
      <c r="G687">
        <f t="shared" ca="1" si="138"/>
        <v>0.9</v>
      </c>
      <c r="H687">
        <f t="shared" ca="1" si="139"/>
        <v>0.4</v>
      </c>
      <c r="I687">
        <f t="shared" ca="1" si="140"/>
        <v>0</v>
      </c>
      <c r="J687" s="8">
        <f t="shared" ca="1" si="141"/>
        <v>23.962488974578186</v>
      </c>
      <c r="K687" s="9" t="str">
        <f t="shared" ca="1" si="142"/>
        <v>E</v>
      </c>
      <c r="L687" t="e">
        <f ca="1">+_xlfn.IFNA(VLOOKUP(M687,BespokeWindowsAreas!$A$1:$E$1999,1,FALSE),VLOOKUP(E687,WindowTypeArea!$B$2:$C$2000,2,FALSE))</f>
        <v>#N/A</v>
      </c>
      <c r="M687">
        <f t="shared" ca="1" si="143"/>
        <v>5183186</v>
      </c>
    </row>
    <row r="688" spans="1:13" x14ac:dyDescent="0.25">
      <c r="A688">
        <f t="shared" ca="1" si="134"/>
        <v>2</v>
      </c>
      <c r="B688">
        <f t="shared" ca="1" si="135"/>
        <v>275</v>
      </c>
      <c r="C688" t="str">
        <f t="shared" ca="1" si="144"/>
        <v>'WINDOWS-NCH-A-BDP-M3-00-00'!B274</v>
      </c>
      <c r="D688" s="6" t="str">
        <f t="shared" ca="1" si="133"/>
        <v>L00-EMG-OTA-S103-01</v>
      </c>
      <c r="E688" t="str">
        <f t="shared" ca="1" si="136"/>
        <v>L00-EMG-OTA-S103-01</v>
      </c>
      <c r="F688">
        <f t="shared" ca="1" si="137"/>
        <v>1882481</v>
      </c>
      <c r="G688">
        <f t="shared" ca="1" si="138"/>
        <v>0</v>
      </c>
      <c r="H688">
        <f t="shared" ca="1" si="139"/>
        <v>0</v>
      </c>
      <c r="I688">
        <f t="shared" ca="1" si="140"/>
        <v>0</v>
      </c>
      <c r="J688" s="8" t="e">
        <f t="shared" ca="1" si="141"/>
        <v>#DIV/0!</v>
      </c>
      <c r="K688" s="9" t="e">
        <f t="shared" ca="1" si="142"/>
        <v>#DIV/0!</v>
      </c>
      <c r="L688" t="e">
        <f ca="1">+_xlfn.IFNA(VLOOKUP(M688,BespokeWindowsAreas!$A$1:$E$1999,1,FALSE),VLOOKUP(E688,WindowTypeArea!$B$2:$C$2000,2,FALSE))</f>
        <v>#N/A</v>
      </c>
      <c r="M688">
        <f t="shared" ca="1" si="143"/>
        <v>0</v>
      </c>
    </row>
    <row r="689" spans="1:13" x14ac:dyDescent="0.25">
      <c r="A689">
        <f t="shared" ca="1" si="134"/>
        <v>2</v>
      </c>
      <c r="B689">
        <f t="shared" ca="1" si="135"/>
        <v>276</v>
      </c>
      <c r="C689" t="str">
        <f t="shared" ca="1" si="144"/>
        <v>'WINDOWS-NCH-A-BDP-M3-00-00'!B275</v>
      </c>
      <c r="D689" s="6" t="str">
        <f t="shared" ca="1" si="133"/>
        <v>L00-EMG-OTA-S103-01</v>
      </c>
      <c r="E689" t="str">
        <f t="shared" ca="1" si="136"/>
        <v>Family Type: Curtain Wall_1950w x 3200h, Family: Window External Type 6 - Flush, Recessed</v>
      </c>
      <c r="F689" t="str">
        <f t="shared" ca="1" si="137"/>
        <v>Vector(X = 0.977, Y = 0.212, Z = 0.000, Length = 1.000)</v>
      </c>
      <c r="G689">
        <f t="shared" ca="1" si="138"/>
        <v>1</v>
      </c>
      <c r="H689">
        <f t="shared" ca="1" si="139"/>
        <v>0.2</v>
      </c>
      <c r="I689">
        <f t="shared" ca="1" si="140"/>
        <v>0</v>
      </c>
      <c r="J689" s="8">
        <f t="shared" ca="1" si="141"/>
        <v>11.309932474020215</v>
      </c>
      <c r="K689" s="9" t="str">
        <f t="shared" ca="1" si="142"/>
        <v>E</v>
      </c>
      <c r="L689">
        <f ca="1">+_xlfn.IFNA(VLOOKUP(M689,BespokeWindowsAreas!$A$1:$E$1999,1,FALSE),VLOOKUP(E689,WindowTypeArea!$B$2:$C$2000,2,FALSE))</f>
        <v>6.24</v>
      </c>
      <c r="M689">
        <f t="shared" ca="1" si="143"/>
        <v>5050152</v>
      </c>
    </row>
    <row r="690" spans="1:13" x14ac:dyDescent="0.25">
      <c r="A690">
        <f t="shared" ca="1" si="134"/>
        <v>2</v>
      </c>
      <c r="B690">
        <f t="shared" ca="1" si="135"/>
        <v>277</v>
      </c>
      <c r="C690" t="str">
        <f t="shared" ca="1" si="144"/>
        <v>'WINDOWS-NCH-A-BDP-M3-00-00'!B276</v>
      </c>
      <c r="D690" s="6" t="str">
        <f t="shared" ca="1" si="133"/>
        <v>L00-MAI-PUB-S053-02</v>
      </c>
      <c r="E690" t="str">
        <f t="shared" ca="1" si="136"/>
        <v>L00-MAI-PUB-S053-02</v>
      </c>
      <c r="F690">
        <f t="shared" ca="1" si="137"/>
        <v>1882551</v>
      </c>
      <c r="G690">
        <f t="shared" ca="1" si="138"/>
        <v>0</v>
      </c>
      <c r="H690">
        <f t="shared" ca="1" si="139"/>
        <v>0</v>
      </c>
      <c r="I690">
        <f t="shared" ca="1" si="140"/>
        <v>0</v>
      </c>
      <c r="J690" s="8" t="e">
        <f t="shared" ca="1" si="141"/>
        <v>#DIV/0!</v>
      </c>
      <c r="K690" s="9" t="e">
        <f t="shared" ca="1" si="142"/>
        <v>#DIV/0!</v>
      </c>
      <c r="L690" t="e">
        <f ca="1">+_xlfn.IFNA(VLOOKUP(M690,BespokeWindowsAreas!$A$1:$E$1999,1,FALSE),VLOOKUP(E690,WindowTypeArea!$B$2:$C$2000,2,FALSE))</f>
        <v>#N/A</v>
      </c>
      <c r="M690">
        <f t="shared" ca="1" si="143"/>
        <v>0</v>
      </c>
    </row>
    <row r="691" spans="1:13" x14ac:dyDescent="0.25">
      <c r="A691">
        <f t="shared" ca="1" si="134"/>
        <v>2</v>
      </c>
      <c r="B691">
        <f t="shared" ca="1" si="135"/>
        <v>278</v>
      </c>
      <c r="C691" t="str">
        <f t="shared" ca="1" si="144"/>
        <v>'WINDOWS-NCH-A-BDP-M3-00-00'!B277</v>
      </c>
      <c r="D691" s="6" t="str">
        <f t="shared" ca="1" si="133"/>
        <v>none - connecect to atrium</v>
      </c>
      <c r="E691" t="str">
        <f t="shared" ca="1" si="136"/>
        <v>none - connecect to atrium</v>
      </c>
      <c r="F691" t="str">
        <f t="shared" ca="1" si="137"/>
        <v>Vector(X = 0.948, Y = 0.319, Z = 0.000, Length = 1.000)</v>
      </c>
      <c r="G691">
        <f t="shared" ca="1" si="138"/>
        <v>0.9</v>
      </c>
      <c r="H691">
        <f t="shared" ca="1" si="139"/>
        <v>0.3</v>
      </c>
      <c r="I691">
        <f t="shared" ca="1" si="140"/>
        <v>0</v>
      </c>
      <c r="J691" s="8">
        <f t="shared" ca="1" si="141"/>
        <v>18.43494882292201</v>
      </c>
      <c r="K691" s="9" t="str">
        <f t="shared" ca="1" si="142"/>
        <v>E</v>
      </c>
      <c r="L691" t="e">
        <f ca="1">+_xlfn.IFNA(VLOOKUP(M691,BespokeWindowsAreas!$A$1:$E$1999,1,FALSE),VLOOKUP(E691,WindowTypeArea!$B$2:$C$2000,2,FALSE))</f>
        <v>#N/A</v>
      </c>
      <c r="M691">
        <f t="shared" ca="1" si="143"/>
        <v>5183145</v>
      </c>
    </row>
    <row r="692" spans="1:13" x14ac:dyDescent="0.25">
      <c r="A692">
        <f t="shared" ca="1" si="134"/>
        <v>2</v>
      </c>
      <c r="B692">
        <f t="shared" ca="1" si="135"/>
        <v>279</v>
      </c>
      <c r="C692" t="str">
        <f t="shared" ca="1" si="144"/>
        <v>'WINDOWS-NCH-A-BDP-M3-00-00'!B278</v>
      </c>
      <c r="D692" s="6" t="str">
        <f t="shared" ca="1" si="133"/>
        <v>none - connecect to atrium</v>
      </c>
      <c r="E692" t="str">
        <f t="shared" ca="1" si="136"/>
        <v>none - connecect to atrium</v>
      </c>
      <c r="F692" t="str">
        <f t="shared" ca="1" si="137"/>
        <v>Vector(X = 0.941, Y = 0.339, Z = 0.000, Length = 1.000)</v>
      </c>
      <c r="G692">
        <f t="shared" ca="1" si="138"/>
        <v>0.9</v>
      </c>
      <c r="H692">
        <f t="shared" ca="1" si="139"/>
        <v>0.3</v>
      </c>
      <c r="I692">
        <f t="shared" ca="1" si="140"/>
        <v>0</v>
      </c>
      <c r="J692" s="8">
        <f t="shared" ca="1" si="141"/>
        <v>18.43494882292201</v>
      </c>
      <c r="K692" s="9" t="str">
        <f t="shared" ca="1" si="142"/>
        <v>E</v>
      </c>
      <c r="L692" t="e">
        <f ca="1">+_xlfn.IFNA(VLOOKUP(M692,BespokeWindowsAreas!$A$1:$E$1999,1,FALSE),VLOOKUP(E692,WindowTypeArea!$B$2:$C$2000,2,FALSE))</f>
        <v>#N/A</v>
      </c>
      <c r="M692">
        <f t="shared" ca="1" si="143"/>
        <v>5185262</v>
      </c>
    </row>
    <row r="693" spans="1:13" x14ac:dyDescent="0.25">
      <c r="A693">
        <f t="shared" ca="1" si="134"/>
        <v>2</v>
      </c>
      <c r="B693">
        <f t="shared" ca="1" si="135"/>
        <v>280</v>
      </c>
      <c r="C693" t="str">
        <f t="shared" ca="1" si="144"/>
        <v>'WINDOWS-NCH-A-BDP-M3-00-00'!B279</v>
      </c>
      <c r="D693" s="6" t="str">
        <f t="shared" ca="1" si="133"/>
        <v>L00-OPD-CC3-S028-01</v>
      </c>
      <c r="E693" t="str">
        <f t="shared" ca="1" si="136"/>
        <v>L00-OPD-CC3-S028-01</v>
      </c>
      <c r="F693">
        <f t="shared" ca="1" si="137"/>
        <v>1891213</v>
      </c>
      <c r="G693">
        <f t="shared" ca="1" si="138"/>
        <v>0</v>
      </c>
      <c r="H693">
        <f t="shared" ca="1" si="139"/>
        <v>0</v>
      </c>
      <c r="I693">
        <f t="shared" ca="1" si="140"/>
        <v>0</v>
      </c>
      <c r="J693" s="8" t="e">
        <f t="shared" ca="1" si="141"/>
        <v>#DIV/0!</v>
      </c>
      <c r="K693" s="9" t="e">
        <f t="shared" ca="1" si="142"/>
        <v>#DIV/0!</v>
      </c>
      <c r="L693" t="e">
        <f ca="1">+_xlfn.IFNA(VLOOKUP(M693,BespokeWindowsAreas!$A$1:$E$1999,1,FALSE),VLOOKUP(E693,WindowTypeArea!$B$2:$C$2000,2,FALSE))</f>
        <v>#N/A</v>
      </c>
      <c r="M693">
        <f t="shared" ca="1" si="143"/>
        <v>0</v>
      </c>
    </row>
    <row r="694" spans="1:13" x14ac:dyDescent="0.25">
      <c r="A694">
        <f t="shared" ca="1" si="134"/>
        <v>2</v>
      </c>
      <c r="B694">
        <f t="shared" ca="1" si="135"/>
        <v>281</v>
      </c>
      <c r="C694" t="str">
        <f t="shared" ca="1" si="144"/>
        <v>'WINDOWS-NCH-A-BDP-M3-00-00'!B280</v>
      </c>
      <c r="D694" s="6" t="str">
        <f t="shared" ca="1" si="133"/>
        <v>L00-OPD-CC3-S028-01</v>
      </c>
      <c r="E694" t="str">
        <f t="shared" ca="1" si="136"/>
        <v>Family Type: 1500w x 3050h, Family: Window External Type 3 - Recessed and Angle</v>
      </c>
      <c r="F694" t="str">
        <f t="shared" ca="1" si="137"/>
        <v>Vector(X = -0.530, Y = 0.848, Z = 0.000, Length = 1.000)</v>
      </c>
      <c r="G694">
        <f t="shared" ca="1" si="138"/>
        <v>-0.5</v>
      </c>
      <c r="H694">
        <f t="shared" ca="1" si="139"/>
        <v>0.8</v>
      </c>
      <c r="I694">
        <f t="shared" ca="1" si="140"/>
        <v>0</v>
      </c>
      <c r="J694" s="8">
        <f t="shared" ca="1" si="141"/>
        <v>122.0053832080835</v>
      </c>
      <c r="K694" s="9" t="str">
        <f t="shared" ca="1" si="142"/>
        <v>N</v>
      </c>
      <c r="L694">
        <f ca="1">+_xlfn.IFNA(VLOOKUP(M694,BespokeWindowsAreas!$A$1:$E$1999,1,FALSE),VLOOKUP(E694,WindowTypeArea!$B$2:$C$2000,2,FALSE))</f>
        <v>4.5750000000000002</v>
      </c>
      <c r="M694">
        <f t="shared" ca="1" si="143"/>
        <v>6091422</v>
      </c>
    </row>
    <row r="695" spans="1:13" x14ac:dyDescent="0.25">
      <c r="A695">
        <f t="shared" ca="1" si="134"/>
        <v>2</v>
      </c>
      <c r="B695">
        <f t="shared" ca="1" si="135"/>
        <v>282</v>
      </c>
      <c r="C695" t="str">
        <f t="shared" ca="1" si="144"/>
        <v>'WINDOWS-NCH-A-BDP-M3-00-00'!B281</v>
      </c>
      <c r="D695" s="6" t="str">
        <f t="shared" ca="1" si="133"/>
        <v>L00-OPD-CC3-S029-01</v>
      </c>
      <c r="E695" t="str">
        <f t="shared" ca="1" si="136"/>
        <v>L00-OPD-CC3-S029-01</v>
      </c>
      <c r="F695">
        <f t="shared" ca="1" si="137"/>
        <v>1891215</v>
      </c>
      <c r="G695">
        <f t="shared" ca="1" si="138"/>
        <v>0</v>
      </c>
      <c r="H695">
        <f t="shared" ca="1" si="139"/>
        <v>0</v>
      </c>
      <c r="I695">
        <f t="shared" ca="1" si="140"/>
        <v>0</v>
      </c>
      <c r="J695" s="8" t="e">
        <f t="shared" ca="1" si="141"/>
        <v>#DIV/0!</v>
      </c>
      <c r="K695" s="9" t="e">
        <f t="shared" ca="1" si="142"/>
        <v>#DIV/0!</v>
      </c>
      <c r="L695" t="e">
        <f ca="1">+_xlfn.IFNA(VLOOKUP(M695,BespokeWindowsAreas!$A$1:$E$1999,1,FALSE),VLOOKUP(E695,WindowTypeArea!$B$2:$C$2000,2,FALSE))</f>
        <v>#N/A</v>
      </c>
      <c r="M695">
        <f t="shared" ca="1" si="143"/>
        <v>0</v>
      </c>
    </row>
    <row r="696" spans="1:13" x14ac:dyDescent="0.25">
      <c r="A696">
        <f t="shared" ca="1" si="134"/>
        <v>2</v>
      </c>
      <c r="B696">
        <f t="shared" ca="1" si="135"/>
        <v>283</v>
      </c>
      <c r="C696" t="str">
        <f t="shared" ca="1" si="144"/>
        <v>'WINDOWS-NCH-A-BDP-M3-00-00'!B282</v>
      </c>
      <c r="D696" s="6" t="str">
        <f t="shared" ca="1" si="133"/>
        <v>L00-OPD-CC3-S029-01</v>
      </c>
      <c r="E696" t="str">
        <f t="shared" ca="1" si="136"/>
        <v>Family Type: 975w x 3050h, Family: Window External Type 1 - Recessed</v>
      </c>
      <c r="F696" t="str">
        <f t="shared" ca="1" si="137"/>
        <v>Vector(X = 0.323, Y = -0.946, Z = 0.000, Length = 1.000)</v>
      </c>
      <c r="G696">
        <f t="shared" ca="1" si="138"/>
        <v>0.3</v>
      </c>
      <c r="H696">
        <f t="shared" ca="1" si="139"/>
        <v>-0.9</v>
      </c>
      <c r="I696">
        <f t="shared" ca="1" si="140"/>
        <v>0</v>
      </c>
      <c r="J696" s="8">
        <f t="shared" ca="1" si="141"/>
        <v>-71.56505117707799</v>
      </c>
      <c r="K696" s="9" t="str">
        <f t="shared" ca="1" si="142"/>
        <v>S</v>
      </c>
      <c r="L696">
        <f ca="1">+_xlfn.IFNA(VLOOKUP(M696,BespokeWindowsAreas!$A$1:$E$1999,1,FALSE),VLOOKUP(E696,WindowTypeArea!$B$2:$C$2000,2,FALSE))</f>
        <v>2.9737499999999999</v>
      </c>
      <c r="M696">
        <f t="shared" ca="1" si="143"/>
        <v>4792530</v>
      </c>
    </row>
    <row r="697" spans="1:13" x14ac:dyDescent="0.25">
      <c r="A697">
        <f t="shared" ca="1" si="134"/>
        <v>2</v>
      </c>
      <c r="B697">
        <f t="shared" ca="1" si="135"/>
        <v>284</v>
      </c>
      <c r="C697" t="str">
        <f t="shared" ca="1" si="144"/>
        <v>'WINDOWS-NCH-A-BDP-M3-00-00'!B283</v>
      </c>
      <c r="D697" s="6" t="str">
        <f t="shared" ca="1" si="133"/>
        <v>L00-OPD-CC3-S035-01</v>
      </c>
      <c r="E697" t="str">
        <f t="shared" ca="1" si="136"/>
        <v>L00-OPD-CC3-S035-01</v>
      </c>
      <c r="F697">
        <f t="shared" ca="1" si="137"/>
        <v>1891217</v>
      </c>
      <c r="G697">
        <f t="shared" ca="1" si="138"/>
        <v>0</v>
      </c>
      <c r="H697">
        <f t="shared" ca="1" si="139"/>
        <v>0</v>
      </c>
      <c r="I697">
        <f t="shared" ca="1" si="140"/>
        <v>0</v>
      </c>
      <c r="J697" s="8" t="e">
        <f t="shared" ca="1" si="141"/>
        <v>#DIV/0!</v>
      </c>
      <c r="K697" s="9" t="e">
        <f t="shared" ca="1" si="142"/>
        <v>#DIV/0!</v>
      </c>
      <c r="L697" t="e">
        <f ca="1">+_xlfn.IFNA(VLOOKUP(M697,BespokeWindowsAreas!$A$1:$E$1999,1,FALSE),VLOOKUP(E697,WindowTypeArea!$B$2:$C$2000,2,FALSE))</f>
        <v>#N/A</v>
      </c>
      <c r="M697">
        <f t="shared" ca="1" si="143"/>
        <v>0</v>
      </c>
    </row>
    <row r="698" spans="1:13" x14ac:dyDescent="0.25">
      <c r="A698">
        <f t="shared" ca="1" si="134"/>
        <v>2</v>
      </c>
      <c r="B698">
        <f t="shared" ca="1" si="135"/>
        <v>285</v>
      </c>
      <c r="C698" t="str">
        <f t="shared" ca="1" si="144"/>
        <v>'WINDOWS-NCH-A-BDP-M3-00-00'!B284</v>
      </c>
      <c r="D698" s="6" t="str">
        <f t="shared" ca="1" si="133"/>
        <v>none - connecect to atrium</v>
      </c>
      <c r="E698" t="str">
        <f t="shared" ca="1" si="136"/>
        <v>none - connecect to atrium</v>
      </c>
      <c r="F698" t="str">
        <f t="shared" ca="1" si="137"/>
        <v>Vector(X = 0.914, Y = 0.405, Z = 0.000, Length = 1.000)</v>
      </c>
      <c r="G698">
        <f t="shared" ca="1" si="138"/>
        <v>0.9</v>
      </c>
      <c r="H698">
        <f t="shared" ca="1" si="139"/>
        <v>0.4</v>
      </c>
      <c r="I698">
        <f t="shared" ca="1" si="140"/>
        <v>0</v>
      </c>
      <c r="J698" s="8">
        <f t="shared" ca="1" si="141"/>
        <v>23.962488974578186</v>
      </c>
      <c r="K698" s="9" t="str">
        <f t="shared" ca="1" si="142"/>
        <v>E</v>
      </c>
      <c r="L698" t="e">
        <f ca="1">+_xlfn.IFNA(VLOOKUP(M698,BespokeWindowsAreas!$A$1:$E$1999,1,FALSE),VLOOKUP(E698,WindowTypeArea!$B$2:$C$2000,2,FALSE))</f>
        <v>#N/A</v>
      </c>
      <c r="M698">
        <f t="shared" ca="1" si="143"/>
        <v>6552644</v>
      </c>
    </row>
    <row r="699" spans="1:13" x14ac:dyDescent="0.25">
      <c r="A699">
        <f t="shared" ca="1" si="134"/>
        <v>2</v>
      </c>
      <c r="B699">
        <f t="shared" ca="1" si="135"/>
        <v>286</v>
      </c>
      <c r="C699" t="str">
        <f t="shared" ca="1" si="144"/>
        <v>'WINDOWS-NCH-A-BDP-M3-00-00'!B285</v>
      </c>
      <c r="D699" s="6" t="str">
        <f t="shared" ca="1" si="133"/>
        <v>L00-OPD-CC3-S108-01</v>
      </c>
      <c r="E699" t="str">
        <f t="shared" ca="1" si="136"/>
        <v>L00-OPD-CC3-S108-01</v>
      </c>
      <c r="F699">
        <f t="shared" ca="1" si="137"/>
        <v>1891221</v>
      </c>
      <c r="G699">
        <f t="shared" ca="1" si="138"/>
        <v>0</v>
      </c>
      <c r="H699">
        <f t="shared" ca="1" si="139"/>
        <v>0</v>
      </c>
      <c r="I699">
        <f t="shared" ca="1" si="140"/>
        <v>0</v>
      </c>
      <c r="J699" s="8" t="e">
        <f t="shared" ca="1" si="141"/>
        <v>#DIV/0!</v>
      </c>
      <c r="K699" s="9" t="e">
        <f t="shared" ca="1" si="142"/>
        <v>#DIV/0!</v>
      </c>
      <c r="L699" t="e">
        <f ca="1">+_xlfn.IFNA(VLOOKUP(M699,BespokeWindowsAreas!$A$1:$E$1999,1,FALSE),VLOOKUP(E699,WindowTypeArea!$B$2:$C$2000,2,FALSE))</f>
        <v>#N/A</v>
      </c>
      <c r="M699">
        <f t="shared" ca="1" si="143"/>
        <v>0</v>
      </c>
    </row>
    <row r="700" spans="1:13" x14ac:dyDescent="0.25">
      <c r="A700">
        <f t="shared" ca="1" si="134"/>
        <v>2</v>
      </c>
      <c r="B700">
        <f t="shared" ca="1" si="135"/>
        <v>287</v>
      </c>
      <c r="C700" t="str">
        <f t="shared" ca="1" si="144"/>
        <v>'WINDOWS-NCH-A-BDP-M3-00-00'!B286</v>
      </c>
      <c r="D700" s="6" t="str">
        <f t="shared" ca="1" si="133"/>
        <v>L00-OPD-CC3-S108-01</v>
      </c>
      <c r="E700" t="str">
        <f t="shared" ca="1" si="136"/>
        <v>Family Type: 1500w x 3050h, Family: Window External Type 3 - Recessed and Angle</v>
      </c>
      <c r="F700" t="str">
        <f t="shared" ca="1" si="137"/>
        <v>Vector(X = -0.429, Y = 0.903, Z = 0.000, Length = 1.000)</v>
      </c>
      <c r="G700">
        <f t="shared" ca="1" si="138"/>
        <v>-0.4</v>
      </c>
      <c r="H700">
        <f t="shared" ca="1" si="139"/>
        <v>0.9</v>
      </c>
      <c r="I700">
        <f t="shared" ca="1" si="140"/>
        <v>0</v>
      </c>
      <c r="J700" s="8">
        <f t="shared" ca="1" si="141"/>
        <v>113.96248897457818</v>
      </c>
      <c r="K700" s="9" t="str">
        <f t="shared" ca="1" si="142"/>
        <v>N</v>
      </c>
      <c r="L700">
        <f ca="1">+_xlfn.IFNA(VLOOKUP(M700,BespokeWindowsAreas!$A$1:$E$1999,1,FALSE),VLOOKUP(E700,WindowTypeArea!$B$2:$C$2000,2,FALSE))</f>
        <v>4.5750000000000002</v>
      </c>
      <c r="M700">
        <f t="shared" ca="1" si="143"/>
        <v>4780088</v>
      </c>
    </row>
    <row r="701" spans="1:13" x14ac:dyDescent="0.25">
      <c r="A701">
        <f t="shared" ca="1" si="134"/>
        <v>2</v>
      </c>
      <c r="B701">
        <f t="shared" ca="1" si="135"/>
        <v>288</v>
      </c>
      <c r="C701" t="str">
        <f t="shared" ca="1" si="144"/>
        <v>'WINDOWS-NCH-A-BDP-M3-00-00'!B287</v>
      </c>
      <c r="D701" s="6" t="str">
        <f t="shared" ca="1" si="133"/>
        <v>L00-OPD-CC3-S060-01</v>
      </c>
      <c r="E701" t="str">
        <f t="shared" ca="1" si="136"/>
        <v>L00-OPD-CC3-S060-01</v>
      </c>
      <c r="F701">
        <f t="shared" ca="1" si="137"/>
        <v>1891223</v>
      </c>
      <c r="G701">
        <f t="shared" ca="1" si="138"/>
        <v>0</v>
      </c>
      <c r="H701">
        <f t="shared" ca="1" si="139"/>
        <v>0</v>
      </c>
      <c r="I701">
        <f t="shared" ca="1" si="140"/>
        <v>0</v>
      </c>
      <c r="J701" s="8" t="e">
        <f t="shared" ca="1" si="141"/>
        <v>#DIV/0!</v>
      </c>
      <c r="K701" s="9" t="e">
        <f t="shared" ca="1" si="142"/>
        <v>#DIV/0!</v>
      </c>
      <c r="L701" t="e">
        <f ca="1">+_xlfn.IFNA(VLOOKUP(M701,BespokeWindowsAreas!$A$1:$E$1999,1,FALSE),VLOOKUP(E701,WindowTypeArea!$B$2:$C$2000,2,FALSE))</f>
        <v>#N/A</v>
      </c>
      <c r="M701">
        <f t="shared" ca="1" si="143"/>
        <v>0</v>
      </c>
    </row>
    <row r="702" spans="1:13" x14ac:dyDescent="0.25">
      <c r="A702">
        <f t="shared" ca="1" si="134"/>
        <v>2</v>
      </c>
      <c r="B702">
        <f t="shared" ca="1" si="135"/>
        <v>289</v>
      </c>
      <c r="C702" t="str">
        <f t="shared" ca="1" si="144"/>
        <v>'WINDOWS-NCH-A-BDP-M3-00-00'!B288</v>
      </c>
      <c r="D702" s="6" t="str">
        <f t="shared" ca="1" si="133"/>
        <v>L00-OPD-CC3-S060-01</v>
      </c>
      <c r="E702" t="str">
        <f t="shared" ca="1" si="136"/>
        <v>Family Type: 1500w x 3050h, Family: Window External Type 3 - Recessed and Angle</v>
      </c>
      <c r="F702" t="str">
        <f t="shared" ca="1" si="137"/>
        <v>Vector(X = -0.530, Y = 0.848, Z = 0.000, Length = 1.000)</v>
      </c>
      <c r="G702">
        <f t="shared" ca="1" si="138"/>
        <v>-0.5</v>
      </c>
      <c r="H702">
        <f t="shared" ca="1" si="139"/>
        <v>0.8</v>
      </c>
      <c r="I702">
        <f t="shared" ca="1" si="140"/>
        <v>0</v>
      </c>
      <c r="J702" s="8">
        <f t="shared" ca="1" si="141"/>
        <v>122.0053832080835</v>
      </c>
      <c r="K702" s="9" t="str">
        <f t="shared" ca="1" si="142"/>
        <v>N</v>
      </c>
      <c r="L702">
        <f ca="1">+_xlfn.IFNA(VLOOKUP(M702,BespokeWindowsAreas!$A$1:$E$1999,1,FALSE),VLOOKUP(E702,WindowTypeArea!$B$2:$C$2000,2,FALSE))</f>
        <v>4.5750000000000002</v>
      </c>
      <c r="M702">
        <f t="shared" ca="1" si="143"/>
        <v>6091430</v>
      </c>
    </row>
    <row r="703" spans="1:13" x14ac:dyDescent="0.25">
      <c r="A703">
        <f t="shared" ca="1" si="134"/>
        <v>2</v>
      </c>
      <c r="B703">
        <f t="shared" ca="1" si="135"/>
        <v>290</v>
      </c>
      <c r="C703" t="str">
        <f t="shared" ca="1" si="144"/>
        <v>'WINDOWS-NCH-A-BDP-M3-00-00'!B289</v>
      </c>
      <c r="D703" s="6" t="str">
        <f t="shared" ca="1" si="133"/>
        <v>L00-OPD-CC3-S060-01</v>
      </c>
      <c r="E703" t="str">
        <f t="shared" ca="1" si="136"/>
        <v>Family Type: 1000w x 3050h, Family: Window External Type 2 - Recessed and Fin</v>
      </c>
      <c r="F703" t="str">
        <f t="shared" ca="1" si="137"/>
        <v>Vector(X = -0.530, Y = 0.848, Z = 0.000, Length = 1.000)</v>
      </c>
      <c r="G703">
        <f t="shared" ca="1" si="138"/>
        <v>-0.5</v>
      </c>
      <c r="H703">
        <f t="shared" ca="1" si="139"/>
        <v>0.8</v>
      </c>
      <c r="I703">
        <f t="shared" ca="1" si="140"/>
        <v>0</v>
      </c>
      <c r="J703" s="8">
        <f t="shared" ca="1" si="141"/>
        <v>122.0053832080835</v>
      </c>
      <c r="K703" s="9" t="str">
        <f t="shared" ca="1" si="142"/>
        <v>N</v>
      </c>
      <c r="L703">
        <f ca="1">+_xlfn.IFNA(VLOOKUP(M703,BespokeWindowsAreas!$A$1:$E$1999,1,FALSE),VLOOKUP(E703,WindowTypeArea!$B$2:$C$2000,2,FALSE))</f>
        <v>3.05</v>
      </c>
      <c r="M703">
        <f t="shared" ca="1" si="143"/>
        <v>6091464</v>
      </c>
    </row>
    <row r="704" spans="1:13" x14ac:dyDescent="0.25">
      <c r="A704">
        <f t="shared" ca="1" si="134"/>
        <v>2</v>
      </c>
      <c r="B704">
        <f t="shared" ca="1" si="135"/>
        <v>291</v>
      </c>
      <c r="C704" t="str">
        <f t="shared" ca="1" si="144"/>
        <v>'WINDOWS-NCH-A-BDP-M3-00-00'!B290</v>
      </c>
      <c r="D704" s="6" t="str">
        <f t="shared" ca="1" si="133"/>
        <v>L00-OPD-CC3-S040-01</v>
      </c>
      <c r="E704" t="str">
        <f t="shared" ca="1" si="136"/>
        <v>L00-OPD-CC3-S040-01</v>
      </c>
      <c r="F704">
        <f t="shared" ca="1" si="137"/>
        <v>1891231</v>
      </c>
      <c r="G704">
        <f t="shared" ca="1" si="138"/>
        <v>0</v>
      </c>
      <c r="H704">
        <f t="shared" ca="1" si="139"/>
        <v>0</v>
      </c>
      <c r="I704">
        <f t="shared" ca="1" si="140"/>
        <v>0</v>
      </c>
      <c r="J704" s="8" t="e">
        <f t="shared" ca="1" si="141"/>
        <v>#DIV/0!</v>
      </c>
      <c r="K704" s="9" t="e">
        <f t="shared" ca="1" si="142"/>
        <v>#DIV/0!</v>
      </c>
      <c r="L704" t="e">
        <f ca="1">+_xlfn.IFNA(VLOOKUP(M704,BespokeWindowsAreas!$A$1:$E$1999,1,FALSE),VLOOKUP(E704,WindowTypeArea!$B$2:$C$2000,2,FALSE))</f>
        <v>#N/A</v>
      </c>
      <c r="M704">
        <f t="shared" ca="1" si="143"/>
        <v>0</v>
      </c>
    </row>
    <row r="705" spans="1:13" x14ac:dyDescent="0.25">
      <c r="A705">
        <f t="shared" ca="1" si="134"/>
        <v>2</v>
      </c>
      <c r="B705">
        <f t="shared" ca="1" si="135"/>
        <v>292</v>
      </c>
      <c r="C705" t="str">
        <f t="shared" ca="1" si="144"/>
        <v>'WINDOWS-NCH-A-BDP-M3-00-00'!B291</v>
      </c>
      <c r="D705" s="6" t="str">
        <f t="shared" ca="1" si="133"/>
        <v>L00-OPD-CC3-S040-01</v>
      </c>
      <c r="E705" t="str">
        <f t="shared" ca="1" si="136"/>
        <v>Family Type: 1000w x 3050h, Family: Window External Type 2 - Recessed and Fin</v>
      </c>
      <c r="F705" t="str">
        <f t="shared" ca="1" si="137"/>
        <v>Vector(X = -0.530, Y = 0.848, Z = 0.000, Length = 1.000)</v>
      </c>
      <c r="G705">
        <f t="shared" ca="1" si="138"/>
        <v>-0.5</v>
      </c>
      <c r="H705">
        <f t="shared" ca="1" si="139"/>
        <v>0.8</v>
      </c>
      <c r="I705">
        <f t="shared" ca="1" si="140"/>
        <v>0</v>
      </c>
      <c r="J705" s="8">
        <f t="shared" ca="1" si="141"/>
        <v>122.0053832080835</v>
      </c>
      <c r="K705" s="9" t="str">
        <f t="shared" ca="1" si="142"/>
        <v>N</v>
      </c>
      <c r="L705">
        <f ca="1">+_xlfn.IFNA(VLOOKUP(M705,BespokeWindowsAreas!$A$1:$E$1999,1,FALSE),VLOOKUP(E705,WindowTypeArea!$B$2:$C$2000,2,FALSE))</f>
        <v>3.05</v>
      </c>
      <c r="M705">
        <f t="shared" ca="1" si="143"/>
        <v>6091438</v>
      </c>
    </row>
    <row r="706" spans="1:13" x14ac:dyDescent="0.25">
      <c r="A706">
        <f t="shared" ca="1" si="134"/>
        <v>2</v>
      </c>
      <c r="B706">
        <f t="shared" ca="1" si="135"/>
        <v>293</v>
      </c>
      <c r="C706" t="str">
        <f t="shared" ca="1" si="144"/>
        <v>'WINDOWS-NCH-A-BDP-M3-00-00'!B292</v>
      </c>
      <c r="D706" s="6" t="str">
        <f t="shared" ca="1" si="133"/>
        <v>L00-OPD-CC3-S137-01</v>
      </c>
      <c r="E706" t="str">
        <f t="shared" ca="1" si="136"/>
        <v>L00-OPD-CC3-S137-01</v>
      </c>
      <c r="F706">
        <f t="shared" ca="1" si="137"/>
        <v>1891235</v>
      </c>
      <c r="G706">
        <f t="shared" ca="1" si="138"/>
        <v>0</v>
      </c>
      <c r="H706">
        <f t="shared" ca="1" si="139"/>
        <v>0</v>
      </c>
      <c r="I706">
        <f t="shared" ca="1" si="140"/>
        <v>0</v>
      </c>
      <c r="J706" s="8" t="e">
        <f t="shared" ca="1" si="141"/>
        <v>#DIV/0!</v>
      </c>
      <c r="K706" s="9" t="e">
        <f t="shared" ca="1" si="142"/>
        <v>#DIV/0!</v>
      </c>
      <c r="L706" t="e">
        <f ca="1">+_xlfn.IFNA(VLOOKUP(M706,BespokeWindowsAreas!$A$1:$E$1999,1,FALSE),VLOOKUP(E706,WindowTypeArea!$B$2:$C$2000,2,FALSE))</f>
        <v>#N/A</v>
      </c>
      <c r="M706">
        <f t="shared" ca="1" si="143"/>
        <v>0</v>
      </c>
    </row>
    <row r="707" spans="1:13" x14ac:dyDescent="0.25">
      <c r="A707">
        <f t="shared" ca="1" si="134"/>
        <v>2</v>
      </c>
      <c r="B707">
        <f t="shared" ca="1" si="135"/>
        <v>294</v>
      </c>
      <c r="C707" t="str">
        <f t="shared" ca="1" si="144"/>
        <v>'WINDOWS-NCH-A-BDP-M3-00-00'!B293</v>
      </c>
      <c r="D707" s="6" t="str">
        <f t="shared" ca="1" si="133"/>
        <v>none - connecect to atrium</v>
      </c>
      <c r="E707" t="str">
        <f t="shared" ca="1" si="136"/>
        <v>none - connecect to atrium</v>
      </c>
      <c r="F707" t="str">
        <f t="shared" ca="1" si="137"/>
        <v>Vector(X = 0.530, Y = -0.848, Z = 0.000, Length = 1.000)</v>
      </c>
      <c r="G707">
        <f t="shared" ca="1" si="138"/>
        <v>0.5</v>
      </c>
      <c r="H707">
        <f t="shared" ca="1" si="139"/>
        <v>-0.8</v>
      </c>
      <c r="I707">
        <f t="shared" ca="1" si="140"/>
        <v>0</v>
      </c>
      <c r="J707" s="8">
        <f t="shared" ca="1" si="141"/>
        <v>-57.994616791916499</v>
      </c>
      <c r="K707" s="9" t="str">
        <f t="shared" ca="1" si="142"/>
        <v>S</v>
      </c>
      <c r="L707" t="e">
        <f ca="1">+_xlfn.IFNA(VLOOKUP(M707,BespokeWindowsAreas!$A$1:$E$1999,1,FALSE),VLOOKUP(E707,WindowTypeArea!$B$2:$C$2000,2,FALSE))</f>
        <v>#N/A</v>
      </c>
      <c r="M707">
        <f t="shared" ca="1" si="143"/>
        <v>6324477</v>
      </c>
    </row>
    <row r="708" spans="1:13" x14ac:dyDescent="0.25">
      <c r="A708">
        <f t="shared" ca="1" si="134"/>
        <v>2</v>
      </c>
      <c r="B708">
        <f t="shared" ca="1" si="135"/>
        <v>295</v>
      </c>
      <c r="C708" t="str">
        <f t="shared" ca="1" si="144"/>
        <v>'WINDOWS-NCH-A-BDP-M3-00-00'!B294</v>
      </c>
      <c r="D708" s="6" t="str">
        <f t="shared" ca="1" si="133"/>
        <v>none - connecect to atrium</v>
      </c>
      <c r="E708" t="str">
        <f t="shared" ca="1" si="136"/>
        <v>none - connecect to atrium</v>
      </c>
      <c r="F708" t="str">
        <f t="shared" ca="1" si="137"/>
        <v>Vector(X = 0.530, Y = -0.848, Z = 0.000, Length = 1.000)</v>
      </c>
      <c r="G708">
        <f t="shared" ca="1" si="138"/>
        <v>0.5</v>
      </c>
      <c r="H708">
        <f t="shared" ca="1" si="139"/>
        <v>-0.8</v>
      </c>
      <c r="I708">
        <f t="shared" ca="1" si="140"/>
        <v>0</v>
      </c>
      <c r="J708" s="8">
        <f t="shared" ca="1" si="141"/>
        <v>-57.994616791916499</v>
      </c>
      <c r="K708" s="9" t="str">
        <f t="shared" ca="1" si="142"/>
        <v>S</v>
      </c>
      <c r="L708" t="e">
        <f ca="1">+_xlfn.IFNA(VLOOKUP(M708,BespokeWindowsAreas!$A$1:$E$1999,1,FALSE),VLOOKUP(E708,WindowTypeArea!$B$2:$C$2000,2,FALSE))</f>
        <v>#N/A</v>
      </c>
      <c r="M708">
        <f t="shared" ca="1" si="143"/>
        <v>6516778</v>
      </c>
    </row>
    <row r="709" spans="1:13" x14ac:dyDescent="0.25">
      <c r="A709">
        <f t="shared" ca="1" si="134"/>
        <v>2</v>
      </c>
      <c r="B709">
        <f t="shared" ca="1" si="135"/>
        <v>296</v>
      </c>
      <c r="C709" t="str">
        <f t="shared" ca="1" si="144"/>
        <v>'WINDOWS-NCH-A-BDP-M3-00-00'!B295</v>
      </c>
      <c r="D709" s="6" t="str">
        <f t="shared" ca="1" si="133"/>
        <v>L00-OPD-CC3-S035-02</v>
      </c>
      <c r="E709" t="str">
        <f t="shared" ca="1" si="136"/>
        <v>L00-OPD-CC3-S035-02</v>
      </c>
      <c r="F709">
        <f t="shared" ca="1" si="137"/>
        <v>1891239</v>
      </c>
      <c r="G709">
        <f t="shared" ca="1" si="138"/>
        <v>0</v>
      </c>
      <c r="H709">
        <f t="shared" ca="1" si="139"/>
        <v>0</v>
      </c>
      <c r="I709">
        <f t="shared" ca="1" si="140"/>
        <v>0</v>
      </c>
      <c r="J709" s="8" t="e">
        <f t="shared" ca="1" si="141"/>
        <v>#DIV/0!</v>
      </c>
      <c r="K709" s="9" t="e">
        <f t="shared" ca="1" si="142"/>
        <v>#DIV/0!</v>
      </c>
      <c r="L709" t="e">
        <f ca="1">+_xlfn.IFNA(VLOOKUP(M709,BespokeWindowsAreas!$A$1:$E$1999,1,FALSE),VLOOKUP(E709,WindowTypeArea!$B$2:$C$2000,2,FALSE))</f>
        <v>#N/A</v>
      </c>
      <c r="M709">
        <f t="shared" ca="1" si="143"/>
        <v>0</v>
      </c>
    </row>
    <row r="710" spans="1:13" x14ac:dyDescent="0.25">
      <c r="A710">
        <f t="shared" ca="1" si="134"/>
        <v>2</v>
      </c>
      <c r="B710">
        <f t="shared" ca="1" si="135"/>
        <v>297</v>
      </c>
      <c r="C710" t="str">
        <f t="shared" ca="1" si="144"/>
        <v>'WINDOWS-NCH-A-BDP-M3-00-00'!B296</v>
      </c>
      <c r="D710" s="6" t="str">
        <f t="shared" ref="D710:D773" ca="1" si="145">+IF(IFERROR(FIND("Family",E710)&gt;0,FALSE),D709,E710)</f>
        <v>L00-OPD-CC3-S035-02</v>
      </c>
      <c r="E710" t="str">
        <f t="shared" ca="1" si="136"/>
        <v>Family Type: 1000w x 3050h, Family: Window External Type 2 - Recessed and Fin</v>
      </c>
      <c r="F710" t="str">
        <f t="shared" ca="1" si="137"/>
        <v>Vector(X = -0.530, Y = 0.848, Z = 0.000, Length = 1.000)</v>
      </c>
      <c r="G710">
        <f t="shared" ca="1" si="138"/>
        <v>-0.5</v>
      </c>
      <c r="H710">
        <f t="shared" ca="1" si="139"/>
        <v>0.8</v>
      </c>
      <c r="I710">
        <f t="shared" ca="1" si="140"/>
        <v>0</v>
      </c>
      <c r="J710" s="8">
        <f t="shared" ca="1" si="141"/>
        <v>122.0053832080835</v>
      </c>
      <c r="K710" s="9" t="str">
        <f t="shared" ca="1" si="142"/>
        <v>N</v>
      </c>
      <c r="L710">
        <f ca="1">+_xlfn.IFNA(VLOOKUP(M710,BespokeWindowsAreas!$A$1:$E$1999,1,FALSE),VLOOKUP(E710,WindowTypeArea!$B$2:$C$2000,2,FALSE))</f>
        <v>3.05</v>
      </c>
      <c r="M710">
        <f t="shared" ca="1" si="143"/>
        <v>6091433</v>
      </c>
    </row>
    <row r="711" spans="1:13" x14ac:dyDescent="0.25">
      <c r="A711">
        <f t="shared" ca="1" si="134"/>
        <v>2</v>
      </c>
      <c r="B711">
        <f t="shared" ca="1" si="135"/>
        <v>298</v>
      </c>
      <c r="C711" t="str">
        <f t="shared" ca="1" si="144"/>
        <v>'WINDOWS-NCH-A-BDP-M3-00-00'!B297</v>
      </c>
      <c r="D711" s="6" t="str">
        <f t="shared" ca="1" si="145"/>
        <v>L00-OPD-CC3-U0187-01</v>
      </c>
      <c r="E711" t="str">
        <f t="shared" ca="1" si="136"/>
        <v>L00-OPD-CC3-U0187-01</v>
      </c>
      <c r="F711">
        <f t="shared" ca="1" si="137"/>
        <v>1891243</v>
      </c>
      <c r="G711">
        <f t="shared" ca="1" si="138"/>
        <v>0</v>
      </c>
      <c r="H711">
        <f t="shared" ca="1" si="139"/>
        <v>0</v>
      </c>
      <c r="I711">
        <f t="shared" ca="1" si="140"/>
        <v>0</v>
      </c>
      <c r="J711" s="8" t="e">
        <f t="shared" ca="1" si="141"/>
        <v>#DIV/0!</v>
      </c>
      <c r="K711" s="9" t="e">
        <f t="shared" ca="1" si="142"/>
        <v>#DIV/0!</v>
      </c>
      <c r="L711" t="e">
        <f ca="1">+_xlfn.IFNA(VLOOKUP(M711,BespokeWindowsAreas!$A$1:$E$1999,1,FALSE),VLOOKUP(E711,WindowTypeArea!$B$2:$C$2000,2,FALSE))</f>
        <v>#N/A</v>
      </c>
      <c r="M711">
        <f t="shared" ca="1" si="143"/>
        <v>0</v>
      </c>
    </row>
    <row r="712" spans="1:13" x14ac:dyDescent="0.25">
      <c r="A712">
        <f t="shared" ca="1" si="134"/>
        <v>2</v>
      </c>
      <c r="B712">
        <f t="shared" ca="1" si="135"/>
        <v>299</v>
      </c>
      <c r="C712" t="str">
        <f t="shared" ca="1" si="144"/>
        <v>'WINDOWS-NCH-A-BDP-M3-00-00'!B298</v>
      </c>
      <c r="D712" s="6" t="str">
        <f t="shared" ca="1" si="145"/>
        <v>L00-OPD-CC3-U0187-01</v>
      </c>
      <c r="E712" t="str">
        <f t="shared" ca="1" si="136"/>
        <v>Family Type: 1500w x 3050h, Family: Window External Type 3 - Recessed and Angle</v>
      </c>
      <c r="F712" t="str">
        <f t="shared" ca="1" si="137"/>
        <v>Vector(X = -0.323, Y = 0.946, Z = 0.000, Length = 1.000)</v>
      </c>
      <c r="G712">
        <f t="shared" ca="1" si="138"/>
        <v>-0.3</v>
      </c>
      <c r="H712">
        <f t="shared" ca="1" si="139"/>
        <v>0.9</v>
      </c>
      <c r="I712">
        <f t="shared" ca="1" si="140"/>
        <v>0</v>
      </c>
      <c r="J712" s="8">
        <f t="shared" ca="1" si="141"/>
        <v>108.43494882292201</v>
      </c>
      <c r="K712" s="9" t="str">
        <f t="shared" ca="1" si="142"/>
        <v>N</v>
      </c>
      <c r="L712">
        <f ca="1">+_xlfn.IFNA(VLOOKUP(M712,BespokeWindowsAreas!$A$1:$E$1999,1,FALSE),VLOOKUP(E712,WindowTypeArea!$B$2:$C$2000,2,FALSE))</f>
        <v>4.5750000000000002</v>
      </c>
      <c r="M712">
        <f t="shared" ca="1" si="143"/>
        <v>4785987</v>
      </c>
    </row>
    <row r="713" spans="1:13" x14ac:dyDescent="0.25">
      <c r="A713">
        <f t="shared" ca="1" si="134"/>
        <v>2</v>
      </c>
      <c r="B713">
        <f t="shared" ca="1" si="135"/>
        <v>300</v>
      </c>
      <c r="C713" t="str">
        <f t="shared" ca="1" si="144"/>
        <v>'WINDOWS-NCH-A-BDP-M3-00-00'!B299</v>
      </c>
      <c r="D713" s="6" t="str">
        <f t="shared" ca="1" si="145"/>
        <v>L00-OPD-CC3-U0187-01</v>
      </c>
      <c r="E713" t="str">
        <f t="shared" ca="1" si="136"/>
        <v>Family Type: 975w x 3050h, Family: Window External Type 1 - Recessed</v>
      </c>
      <c r="F713" t="str">
        <f t="shared" ca="1" si="137"/>
        <v>Vector(X = -0.323, Y = 0.946, Z = 0.000, Length = 1.000)</v>
      </c>
      <c r="G713">
        <f t="shared" ca="1" si="138"/>
        <v>-0.3</v>
      </c>
      <c r="H713">
        <f t="shared" ca="1" si="139"/>
        <v>0.9</v>
      </c>
      <c r="I713">
        <f t="shared" ca="1" si="140"/>
        <v>0</v>
      </c>
      <c r="J713" s="8">
        <f t="shared" ca="1" si="141"/>
        <v>108.43494882292201</v>
      </c>
      <c r="K713" s="9" t="str">
        <f t="shared" ca="1" si="142"/>
        <v>N</v>
      </c>
      <c r="L713">
        <f ca="1">+_xlfn.IFNA(VLOOKUP(M713,BespokeWindowsAreas!$A$1:$E$1999,1,FALSE),VLOOKUP(E713,WindowTypeArea!$B$2:$C$2000,2,FALSE))</f>
        <v>2.9737499999999999</v>
      </c>
      <c r="M713">
        <f t="shared" ca="1" si="143"/>
        <v>5168592</v>
      </c>
    </row>
    <row r="714" spans="1:13" x14ac:dyDescent="0.25">
      <c r="A714">
        <f t="shared" ca="1" si="134"/>
        <v>2</v>
      </c>
      <c r="B714">
        <f t="shared" ca="1" si="135"/>
        <v>301</v>
      </c>
      <c r="C714" t="str">
        <f t="shared" ca="1" si="144"/>
        <v>'WINDOWS-NCH-A-BDP-M3-00-00'!B300</v>
      </c>
      <c r="D714" s="6" t="str">
        <f t="shared" ca="1" si="145"/>
        <v>L00-OPD-CC3-S064-02</v>
      </c>
      <c r="E714" t="str">
        <f t="shared" ca="1" si="136"/>
        <v>L00-OPD-CC3-S064-02</v>
      </c>
      <c r="F714">
        <f t="shared" ca="1" si="137"/>
        <v>1891245</v>
      </c>
      <c r="G714">
        <f t="shared" ca="1" si="138"/>
        <v>0</v>
      </c>
      <c r="H714">
        <f t="shared" ca="1" si="139"/>
        <v>0</v>
      </c>
      <c r="I714">
        <f t="shared" ca="1" si="140"/>
        <v>0</v>
      </c>
      <c r="J714" s="8" t="e">
        <f t="shared" ca="1" si="141"/>
        <v>#DIV/0!</v>
      </c>
      <c r="K714" s="9" t="e">
        <f t="shared" ca="1" si="142"/>
        <v>#DIV/0!</v>
      </c>
      <c r="L714" t="e">
        <f ca="1">+_xlfn.IFNA(VLOOKUP(M714,BespokeWindowsAreas!$A$1:$E$1999,1,FALSE),VLOOKUP(E714,WindowTypeArea!$B$2:$C$2000,2,FALSE))</f>
        <v>#N/A</v>
      </c>
      <c r="M714">
        <f t="shared" ca="1" si="143"/>
        <v>0</v>
      </c>
    </row>
    <row r="715" spans="1:13" x14ac:dyDescent="0.25">
      <c r="A715">
        <f t="shared" ca="1" si="134"/>
        <v>2</v>
      </c>
      <c r="B715">
        <f t="shared" ca="1" si="135"/>
        <v>302</v>
      </c>
      <c r="C715" t="str">
        <f t="shared" ca="1" si="144"/>
        <v>'WINDOWS-NCH-A-BDP-M3-00-00'!B301</v>
      </c>
      <c r="D715" s="6" t="str">
        <f t="shared" ca="1" si="145"/>
        <v>none - connecect to atrium</v>
      </c>
      <c r="E715" t="str">
        <f t="shared" ca="1" si="136"/>
        <v>none - connecect to atrium</v>
      </c>
      <c r="F715" t="str">
        <f t="shared" ca="1" si="137"/>
        <v>Vector(X = -0.323, Y = 0.946, Z = 0.000, Length = 1.000)</v>
      </c>
      <c r="G715">
        <f t="shared" ca="1" si="138"/>
        <v>-0.3</v>
      </c>
      <c r="H715">
        <f t="shared" ca="1" si="139"/>
        <v>0.9</v>
      </c>
      <c r="I715">
        <f t="shared" ca="1" si="140"/>
        <v>0</v>
      </c>
      <c r="J715" s="8">
        <f t="shared" ca="1" si="141"/>
        <v>108.43494882292201</v>
      </c>
      <c r="K715" s="9" t="str">
        <f t="shared" ca="1" si="142"/>
        <v>N</v>
      </c>
      <c r="L715" t="e">
        <f ca="1">+_xlfn.IFNA(VLOOKUP(M715,BespokeWindowsAreas!$A$1:$E$1999,1,FALSE),VLOOKUP(E715,WindowTypeArea!$B$2:$C$2000,2,FALSE))</f>
        <v>#N/A</v>
      </c>
      <c r="M715">
        <f t="shared" ca="1" si="143"/>
        <v>5147644</v>
      </c>
    </row>
    <row r="716" spans="1:13" x14ac:dyDescent="0.25">
      <c r="A716">
        <f t="shared" ca="1" si="134"/>
        <v>2</v>
      </c>
      <c r="B716">
        <f t="shared" ca="1" si="135"/>
        <v>303</v>
      </c>
      <c r="C716" t="str">
        <f t="shared" ca="1" si="144"/>
        <v>'WINDOWS-NCH-A-BDP-M3-00-00'!B302</v>
      </c>
      <c r="D716" s="6" t="str">
        <f t="shared" ca="1" si="145"/>
        <v>L00-OPD-CC3-S059-01</v>
      </c>
      <c r="E716" t="str">
        <f t="shared" ca="1" si="136"/>
        <v>L00-OPD-CC3-S059-01</v>
      </c>
      <c r="F716">
        <f t="shared" ca="1" si="137"/>
        <v>1891247</v>
      </c>
      <c r="G716">
        <f t="shared" ca="1" si="138"/>
        <v>0</v>
      </c>
      <c r="H716">
        <f t="shared" ca="1" si="139"/>
        <v>0</v>
      </c>
      <c r="I716">
        <f t="shared" ca="1" si="140"/>
        <v>0</v>
      </c>
      <c r="J716" s="8" t="e">
        <f t="shared" ca="1" si="141"/>
        <v>#DIV/0!</v>
      </c>
      <c r="K716" s="9" t="e">
        <f t="shared" ca="1" si="142"/>
        <v>#DIV/0!</v>
      </c>
      <c r="L716" t="e">
        <f ca="1">+_xlfn.IFNA(VLOOKUP(M716,BespokeWindowsAreas!$A$1:$E$1999,1,FALSE),VLOOKUP(E716,WindowTypeArea!$B$2:$C$2000,2,FALSE))</f>
        <v>#N/A</v>
      </c>
      <c r="M716">
        <f t="shared" ca="1" si="143"/>
        <v>0</v>
      </c>
    </row>
    <row r="717" spans="1:13" x14ac:dyDescent="0.25">
      <c r="A717">
        <f t="shared" ca="1" si="134"/>
        <v>2</v>
      </c>
      <c r="B717">
        <f t="shared" ca="1" si="135"/>
        <v>304</v>
      </c>
      <c r="C717" t="str">
        <f t="shared" ca="1" si="144"/>
        <v>'WINDOWS-NCH-A-BDP-M3-00-00'!B303</v>
      </c>
      <c r="D717" s="6" t="str">
        <f t="shared" ca="1" si="145"/>
        <v>L00-OPD-CC3-S059-01</v>
      </c>
      <c r="E717" t="str">
        <f t="shared" ca="1" si="136"/>
        <v>Family Type: 975w x 3050h, Family: Window External Type 1 - Recessed</v>
      </c>
      <c r="F717" t="str">
        <f t="shared" ca="1" si="137"/>
        <v>Vector(X = 0.323, Y = -0.946, Z = 0.000, Length = 1.000)</v>
      </c>
      <c r="G717">
        <f t="shared" ca="1" si="138"/>
        <v>0.3</v>
      </c>
      <c r="H717">
        <f t="shared" ca="1" si="139"/>
        <v>-0.9</v>
      </c>
      <c r="I717">
        <f t="shared" ca="1" si="140"/>
        <v>0</v>
      </c>
      <c r="J717" s="8">
        <f t="shared" ca="1" si="141"/>
        <v>-71.56505117707799</v>
      </c>
      <c r="K717" s="9" t="str">
        <f t="shared" ca="1" si="142"/>
        <v>S</v>
      </c>
      <c r="L717">
        <f ca="1">+_xlfn.IFNA(VLOOKUP(M717,BespokeWindowsAreas!$A$1:$E$1999,1,FALSE),VLOOKUP(E717,WindowTypeArea!$B$2:$C$2000,2,FALSE))</f>
        <v>2.9737499999999999</v>
      </c>
      <c r="M717">
        <f t="shared" ca="1" si="143"/>
        <v>4792344</v>
      </c>
    </row>
    <row r="718" spans="1:13" x14ac:dyDescent="0.25">
      <c r="A718">
        <f t="shared" ca="1" si="134"/>
        <v>2</v>
      </c>
      <c r="B718">
        <f t="shared" ca="1" si="135"/>
        <v>305</v>
      </c>
      <c r="C718" t="str">
        <f t="shared" ca="1" si="144"/>
        <v>'WINDOWS-NCH-A-BDP-M3-00-00'!B304</v>
      </c>
      <c r="D718" s="6" t="str">
        <f t="shared" ca="1" si="145"/>
        <v>L00-OPD-CC3-S059-03</v>
      </c>
      <c r="E718" t="str">
        <f t="shared" ca="1" si="136"/>
        <v>L00-OPD-CC3-S059-03</v>
      </c>
      <c r="F718">
        <f t="shared" ca="1" si="137"/>
        <v>1891249</v>
      </c>
      <c r="G718">
        <f t="shared" ca="1" si="138"/>
        <v>0</v>
      </c>
      <c r="H718">
        <f t="shared" ca="1" si="139"/>
        <v>0</v>
      </c>
      <c r="I718">
        <f t="shared" ca="1" si="140"/>
        <v>0</v>
      </c>
      <c r="J718" s="8" t="e">
        <f t="shared" ca="1" si="141"/>
        <v>#DIV/0!</v>
      </c>
      <c r="K718" s="9" t="e">
        <f t="shared" ca="1" si="142"/>
        <v>#DIV/0!</v>
      </c>
      <c r="L718" t="e">
        <f ca="1">+_xlfn.IFNA(VLOOKUP(M718,BespokeWindowsAreas!$A$1:$E$1999,1,FALSE),VLOOKUP(E718,WindowTypeArea!$B$2:$C$2000,2,FALSE))</f>
        <v>#N/A</v>
      </c>
      <c r="M718">
        <f t="shared" ca="1" si="143"/>
        <v>0</v>
      </c>
    </row>
    <row r="719" spans="1:13" x14ac:dyDescent="0.25">
      <c r="A719">
        <f t="shared" ca="1" si="134"/>
        <v>2</v>
      </c>
      <c r="B719">
        <f t="shared" ca="1" si="135"/>
        <v>306</v>
      </c>
      <c r="C719" t="str">
        <f t="shared" ca="1" si="144"/>
        <v>'WINDOWS-NCH-A-BDP-M3-00-00'!B305</v>
      </c>
      <c r="D719" s="6" t="str">
        <f t="shared" ca="1" si="145"/>
        <v>L00-OPD-CC3-S059-03</v>
      </c>
      <c r="E719" t="str">
        <f t="shared" ca="1" si="136"/>
        <v>Family Type: 1950w x 3050h, Family: Window External Type 3 - Recessed and Angle</v>
      </c>
      <c r="F719" t="str">
        <f t="shared" ca="1" si="137"/>
        <v>Vector(X = 0.323, Y = -0.946, Z = 0.000, Length = 1.000)</v>
      </c>
      <c r="G719">
        <f t="shared" ca="1" si="138"/>
        <v>0.3</v>
      </c>
      <c r="H719">
        <f t="shared" ca="1" si="139"/>
        <v>-0.9</v>
      </c>
      <c r="I719">
        <f t="shared" ca="1" si="140"/>
        <v>0</v>
      </c>
      <c r="J719" s="8">
        <f t="shared" ca="1" si="141"/>
        <v>-71.56505117707799</v>
      </c>
      <c r="K719" s="9" t="str">
        <f t="shared" ca="1" si="142"/>
        <v>S</v>
      </c>
      <c r="L719">
        <f ca="1">+_xlfn.IFNA(VLOOKUP(M719,BespokeWindowsAreas!$A$1:$E$1999,1,FALSE),VLOOKUP(E719,WindowTypeArea!$B$2:$C$2000,2,FALSE))</f>
        <v>5.9474999999999998</v>
      </c>
      <c r="M719">
        <f t="shared" ca="1" si="143"/>
        <v>4792188</v>
      </c>
    </row>
    <row r="720" spans="1:13" x14ac:dyDescent="0.25">
      <c r="A720">
        <f t="shared" ca="1" si="134"/>
        <v>2</v>
      </c>
      <c r="B720">
        <f t="shared" ca="1" si="135"/>
        <v>307</v>
      </c>
      <c r="C720" t="str">
        <f t="shared" ca="1" si="144"/>
        <v>'WINDOWS-NCH-A-BDP-M3-00-00'!B306</v>
      </c>
      <c r="D720" s="6" t="str">
        <f t="shared" ca="1" si="145"/>
        <v>L00-OPD-CC3-S052-01</v>
      </c>
      <c r="E720" t="str">
        <f t="shared" ca="1" si="136"/>
        <v>L00-OPD-CC3-S052-01</v>
      </c>
      <c r="F720">
        <f t="shared" ca="1" si="137"/>
        <v>1891257</v>
      </c>
      <c r="G720">
        <f t="shared" ca="1" si="138"/>
        <v>0</v>
      </c>
      <c r="H720">
        <f t="shared" ca="1" si="139"/>
        <v>0</v>
      </c>
      <c r="I720">
        <f t="shared" ca="1" si="140"/>
        <v>0</v>
      </c>
      <c r="J720" s="8" t="e">
        <f t="shared" ca="1" si="141"/>
        <v>#DIV/0!</v>
      </c>
      <c r="K720" s="9" t="e">
        <f t="shared" ca="1" si="142"/>
        <v>#DIV/0!</v>
      </c>
      <c r="L720" t="e">
        <f ca="1">+_xlfn.IFNA(VLOOKUP(M720,BespokeWindowsAreas!$A$1:$E$1999,1,FALSE),VLOOKUP(E720,WindowTypeArea!$B$2:$C$2000,2,FALSE))</f>
        <v>#N/A</v>
      </c>
      <c r="M720">
        <f t="shared" ca="1" si="143"/>
        <v>0</v>
      </c>
    </row>
    <row r="721" spans="1:13" x14ac:dyDescent="0.25">
      <c r="A721">
        <f t="shared" ca="1" si="134"/>
        <v>2</v>
      </c>
      <c r="B721">
        <f t="shared" ca="1" si="135"/>
        <v>308</v>
      </c>
      <c r="C721" t="str">
        <f t="shared" ca="1" si="144"/>
        <v>'WINDOWS-NCH-A-BDP-M3-00-00'!B307</v>
      </c>
      <c r="D721" s="6" t="str">
        <f t="shared" ca="1" si="145"/>
        <v>L00-OPD-CC3-S052-01</v>
      </c>
      <c r="E721" t="str">
        <f t="shared" ca="1" si="136"/>
        <v>Family Type: 1000w x 3050h, Family: Window External Type 2 - Recessed and Fin</v>
      </c>
      <c r="F721" t="str">
        <f t="shared" ca="1" si="137"/>
        <v>Vector(X = -0.429, Y = 0.903, Z = 0.000, Length = 1.000)</v>
      </c>
      <c r="G721">
        <f t="shared" ca="1" si="138"/>
        <v>-0.4</v>
      </c>
      <c r="H721">
        <f t="shared" ca="1" si="139"/>
        <v>0.9</v>
      </c>
      <c r="I721">
        <f t="shared" ca="1" si="140"/>
        <v>0</v>
      </c>
      <c r="J721" s="8">
        <f t="shared" ca="1" si="141"/>
        <v>113.96248897457818</v>
      </c>
      <c r="K721" s="9" t="str">
        <f t="shared" ca="1" si="142"/>
        <v>N</v>
      </c>
      <c r="L721">
        <f ca="1">+_xlfn.IFNA(VLOOKUP(M721,BespokeWindowsAreas!$A$1:$E$1999,1,FALSE),VLOOKUP(E721,WindowTypeArea!$B$2:$C$2000,2,FALSE))</f>
        <v>3.05</v>
      </c>
      <c r="M721">
        <f t="shared" ca="1" si="143"/>
        <v>4779829</v>
      </c>
    </row>
    <row r="722" spans="1:13" x14ac:dyDescent="0.25">
      <c r="A722">
        <f t="shared" ca="1" si="134"/>
        <v>2</v>
      </c>
      <c r="B722">
        <f t="shared" ca="1" si="135"/>
        <v>309</v>
      </c>
      <c r="C722" t="str">
        <f t="shared" ca="1" si="144"/>
        <v>'WINDOWS-NCH-A-BDP-M3-00-00'!B308</v>
      </c>
      <c r="D722" s="6" t="str">
        <f t="shared" ca="1" si="145"/>
        <v>L00-OPD-CC3-S028-20</v>
      </c>
      <c r="E722" t="str">
        <f t="shared" ca="1" si="136"/>
        <v>L00-OPD-CC3-S028-20</v>
      </c>
      <c r="F722">
        <f t="shared" ca="1" si="137"/>
        <v>1891263</v>
      </c>
      <c r="G722">
        <f t="shared" ca="1" si="138"/>
        <v>0</v>
      </c>
      <c r="H722">
        <f t="shared" ca="1" si="139"/>
        <v>0</v>
      </c>
      <c r="I722">
        <f t="shared" ca="1" si="140"/>
        <v>0</v>
      </c>
      <c r="J722" s="8" t="e">
        <f t="shared" ca="1" si="141"/>
        <v>#DIV/0!</v>
      </c>
      <c r="K722" s="9" t="e">
        <f t="shared" ca="1" si="142"/>
        <v>#DIV/0!</v>
      </c>
      <c r="L722" t="e">
        <f ca="1">+_xlfn.IFNA(VLOOKUP(M722,BespokeWindowsAreas!$A$1:$E$1999,1,FALSE),VLOOKUP(E722,WindowTypeArea!$B$2:$C$2000,2,FALSE))</f>
        <v>#N/A</v>
      </c>
      <c r="M722">
        <f t="shared" ca="1" si="143"/>
        <v>0</v>
      </c>
    </row>
    <row r="723" spans="1:13" x14ac:dyDescent="0.25">
      <c r="A723">
        <f t="shared" ca="1" si="134"/>
        <v>2</v>
      </c>
      <c r="B723">
        <f t="shared" ca="1" si="135"/>
        <v>310</v>
      </c>
      <c r="C723" t="str">
        <f t="shared" ca="1" si="144"/>
        <v>'WINDOWS-NCH-A-BDP-M3-00-00'!B309</v>
      </c>
      <c r="D723" s="6" t="str">
        <f t="shared" ca="1" si="145"/>
        <v>L00-OPD-CC3-S028-20</v>
      </c>
      <c r="E723" t="str">
        <f t="shared" ca="1" si="136"/>
        <v>Family Type: 975w x 3050h, Family: Window External Type 1 - Recessed</v>
      </c>
      <c r="F723" t="str">
        <f t="shared" ca="1" si="137"/>
        <v>Vector(X = 0.429, Y = -0.903, Z = 0.000, Length = 1.000)</v>
      </c>
      <c r="G723">
        <f t="shared" ca="1" si="138"/>
        <v>0.4</v>
      </c>
      <c r="H723">
        <f t="shared" ca="1" si="139"/>
        <v>-0.9</v>
      </c>
      <c r="I723">
        <f t="shared" ca="1" si="140"/>
        <v>0</v>
      </c>
      <c r="J723" s="8">
        <f t="shared" ca="1" si="141"/>
        <v>-66.037511025421821</v>
      </c>
      <c r="K723" s="9" t="str">
        <f t="shared" ca="1" si="142"/>
        <v>S</v>
      </c>
      <c r="L723">
        <f ca="1">+_xlfn.IFNA(VLOOKUP(M723,BespokeWindowsAreas!$A$1:$E$1999,1,FALSE),VLOOKUP(E723,WindowTypeArea!$B$2:$C$2000,2,FALSE))</f>
        <v>2.9737499999999999</v>
      </c>
      <c r="M723">
        <f t="shared" ca="1" si="143"/>
        <v>4785989</v>
      </c>
    </row>
    <row r="724" spans="1:13" x14ac:dyDescent="0.25">
      <c r="A724">
        <f t="shared" ref="A724:A787" ca="1" si="146">+IF(B723&lt;=VLOOKUP(MID(C724,2,26),TABS,2,FALSE),A723,+A723+1)</f>
        <v>2</v>
      </c>
      <c r="B724">
        <f t="shared" ref="B724:B787" ca="1" si="147">+IF(B723&lt;=VLOOKUP(MID(C724,2,26),TABS,2,FALSE),B723+1,1)</f>
        <v>311</v>
      </c>
      <c r="C724" t="str">
        <f t="shared" ca="1" si="144"/>
        <v>'WINDOWS-NCH-A-BDP-M3-00-00'!B310</v>
      </c>
      <c r="D724" s="6" t="str">
        <f t="shared" ca="1" si="145"/>
        <v>L00-OPD-CC3-S029-03</v>
      </c>
      <c r="E724" t="str">
        <f t="shared" ref="E724:E787" ca="1" si="148">+OFFSET(INDIRECT(C724),0,0)</f>
        <v>L00-OPD-CC3-S029-03</v>
      </c>
      <c r="F724">
        <f t="shared" ca="1" si="137"/>
        <v>1891265</v>
      </c>
      <c r="G724">
        <f t="shared" ca="1" si="138"/>
        <v>0</v>
      </c>
      <c r="H724">
        <f t="shared" ca="1" si="139"/>
        <v>0</v>
      </c>
      <c r="I724">
        <f t="shared" ca="1" si="140"/>
        <v>0</v>
      </c>
      <c r="J724" s="8" t="e">
        <f t="shared" ca="1" si="141"/>
        <v>#DIV/0!</v>
      </c>
      <c r="K724" s="9" t="e">
        <f t="shared" ca="1" si="142"/>
        <v>#DIV/0!</v>
      </c>
      <c r="L724" t="e">
        <f ca="1">+_xlfn.IFNA(VLOOKUP(M724,BespokeWindowsAreas!$A$1:$E$1999,1,FALSE),VLOOKUP(E724,WindowTypeArea!$B$2:$C$2000,2,FALSE))</f>
        <v>#N/A</v>
      </c>
      <c r="M724">
        <f t="shared" ca="1" si="143"/>
        <v>0</v>
      </c>
    </row>
    <row r="725" spans="1:13" x14ac:dyDescent="0.25">
      <c r="A725">
        <f t="shared" ca="1" si="146"/>
        <v>2</v>
      </c>
      <c r="B725">
        <f t="shared" ca="1" si="147"/>
        <v>312</v>
      </c>
      <c r="C725" t="str">
        <f t="shared" ca="1" si="144"/>
        <v>'WINDOWS-NCH-A-BDP-M3-00-00'!B311</v>
      </c>
      <c r="D725" s="6" t="str">
        <f t="shared" ca="1" si="145"/>
        <v>L00-OPD-CC3-S029-03</v>
      </c>
      <c r="E725" t="str">
        <f t="shared" ca="1" si="148"/>
        <v>Family Type: 975w x 3050h, Family: Window External Type 1 - Recessed</v>
      </c>
      <c r="F725" t="str">
        <f t="shared" ca="1" si="137"/>
        <v>Vector(X = -0.429, Y = 0.903, Z = 0.000, Length = 1.000)</v>
      </c>
      <c r="G725">
        <f t="shared" ca="1" si="138"/>
        <v>-0.4</v>
      </c>
      <c r="H725">
        <f t="shared" ca="1" si="139"/>
        <v>0.9</v>
      </c>
      <c r="I725">
        <f t="shared" ca="1" si="140"/>
        <v>0</v>
      </c>
      <c r="J725" s="8">
        <f t="shared" ca="1" si="141"/>
        <v>113.96248897457818</v>
      </c>
      <c r="K725" s="9" t="str">
        <f t="shared" ca="1" si="142"/>
        <v>N</v>
      </c>
      <c r="L725">
        <f ca="1">+_xlfn.IFNA(VLOOKUP(M725,BespokeWindowsAreas!$A$1:$E$1999,1,FALSE),VLOOKUP(E725,WindowTypeArea!$B$2:$C$2000,2,FALSE))</f>
        <v>2.9737499999999999</v>
      </c>
      <c r="M725">
        <f t="shared" ca="1" si="143"/>
        <v>5148032</v>
      </c>
    </row>
    <row r="726" spans="1:13" x14ac:dyDescent="0.25">
      <c r="A726">
        <f t="shared" ca="1" si="146"/>
        <v>2</v>
      </c>
      <c r="B726">
        <f t="shared" ca="1" si="147"/>
        <v>313</v>
      </c>
      <c r="C726" t="str">
        <f t="shared" ca="1" si="144"/>
        <v>'WINDOWS-NCH-A-BDP-M3-00-00'!B312</v>
      </c>
      <c r="D726" s="6" t="str">
        <f t="shared" ca="1" si="145"/>
        <v>L00-OPD-CC3-U0194-01</v>
      </c>
      <c r="E726" t="str">
        <f t="shared" ca="1" si="148"/>
        <v>L00-OPD-CC3-U0194-01</v>
      </c>
      <c r="F726">
        <f t="shared" ref="F726:F789" ca="1" si="149">+OFFSET(INDIRECT(C726),0,1)</f>
        <v>1891267</v>
      </c>
      <c r="G726">
        <f t="shared" ref="G726:G789" ca="1" si="150">+OFFSET(INDIRECT(C726),0,2)</f>
        <v>0</v>
      </c>
      <c r="H726">
        <f t="shared" ref="H726:H789" ca="1" si="151">+OFFSET(INDIRECT(C726),0,3)</f>
        <v>0</v>
      </c>
      <c r="I726">
        <f t="shared" ref="I726:I789" ca="1" si="152">+OFFSET(INDIRECT(C726),0,4)</f>
        <v>0</v>
      </c>
      <c r="J726" s="8" t="e">
        <f t="shared" ref="J726:J789" ca="1" si="153">+DEGREES(ATAN2(G726,H726))</f>
        <v>#DIV/0!</v>
      </c>
      <c r="K726" s="9" t="e">
        <f t="shared" ref="K726:K789" ca="1" si="154">VLOOKUP(J726,$O$20:$P$36,2,-1)</f>
        <v>#DIV/0!</v>
      </c>
      <c r="L726" t="e">
        <f ca="1">+_xlfn.IFNA(VLOOKUP(M726,BespokeWindowsAreas!$A$1:$E$1999,1,FALSE),VLOOKUP(E726,WindowTypeArea!$B$2:$C$2000,2,FALSE))</f>
        <v>#N/A</v>
      </c>
      <c r="M726">
        <f t="shared" ref="M726:M789" ca="1" si="155">+OFFSET(INDIRECT(C726),0,5)</f>
        <v>0</v>
      </c>
    </row>
    <row r="727" spans="1:13" x14ac:dyDescent="0.25">
      <c r="A727">
        <f t="shared" ca="1" si="146"/>
        <v>2</v>
      </c>
      <c r="B727">
        <f t="shared" ca="1" si="147"/>
        <v>314</v>
      </c>
      <c r="C727" t="str">
        <f t="shared" ref="C727:C790" ca="1" si="156">+"'"&amp;INDIRECT("a"&amp;A726)&amp;"'!B"&amp;B726</f>
        <v>'WINDOWS-NCH-A-BDP-M3-00-00'!B313</v>
      </c>
      <c r="D727" s="6" t="str">
        <f t="shared" ca="1" si="145"/>
        <v>L00-OPD-CC3-U0194-01</v>
      </c>
      <c r="E727" t="str">
        <f t="shared" ca="1" si="148"/>
        <v>Family Type: 1500w x 3050h, Family: Window External Type 3 - Recessed and Angle</v>
      </c>
      <c r="F727" t="str">
        <f t="shared" ca="1" si="149"/>
        <v>Vector(X = 0.429, Y = -0.903, Z = 0.000, Length = 1.000)</v>
      </c>
      <c r="G727">
        <f t="shared" ca="1" si="150"/>
        <v>0.4</v>
      </c>
      <c r="H727">
        <f t="shared" ca="1" si="151"/>
        <v>-0.9</v>
      </c>
      <c r="I727">
        <f t="shared" ca="1" si="152"/>
        <v>0</v>
      </c>
      <c r="J727" s="8">
        <f t="shared" ca="1" si="153"/>
        <v>-66.037511025421821</v>
      </c>
      <c r="K727" s="9" t="str">
        <f t="shared" ca="1" si="154"/>
        <v>S</v>
      </c>
      <c r="L727">
        <f ca="1">+_xlfn.IFNA(VLOOKUP(M727,BespokeWindowsAreas!$A$1:$E$1999,1,FALSE),VLOOKUP(E727,WindowTypeArea!$B$2:$C$2000,2,FALSE))</f>
        <v>4.5750000000000002</v>
      </c>
      <c r="M727">
        <f t="shared" ca="1" si="155"/>
        <v>4785982</v>
      </c>
    </row>
    <row r="728" spans="1:13" x14ac:dyDescent="0.25">
      <c r="A728">
        <f t="shared" ca="1" si="146"/>
        <v>2</v>
      </c>
      <c r="B728">
        <f t="shared" ca="1" si="147"/>
        <v>315</v>
      </c>
      <c r="C728" t="str">
        <f t="shared" ca="1" si="156"/>
        <v>'WINDOWS-NCH-A-BDP-M3-00-00'!B314</v>
      </c>
      <c r="D728" s="6" t="str">
        <f t="shared" ca="1" si="145"/>
        <v>L00-OPD-CC3-U0194-01</v>
      </c>
      <c r="E728" t="str">
        <f t="shared" ca="1" si="148"/>
        <v>Family Type: 975w x 3050h, Family: Window External Type 1 - Recessed</v>
      </c>
      <c r="F728" t="str">
        <f t="shared" ca="1" si="149"/>
        <v>Vector(X = 0.429, Y = -0.903, Z = 0.000, Length = 1.000)</v>
      </c>
      <c r="G728">
        <f t="shared" ca="1" si="150"/>
        <v>0.4</v>
      </c>
      <c r="H728">
        <f t="shared" ca="1" si="151"/>
        <v>-0.9</v>
      </c>
      <c r="I728">
        <f t="shared" ca="1" si="152"/>
        <v>0</v>
      </c>
      <c r="J728" s="8">
        <f t="shared" ca="1" si="153"/>
        <v>-66.037511025421821</v>
      </c>
      <c r="K728" s="9" t="str">
        <f t="shared" ca="1" si="154"/>
        <v>S</v>
      </c>
      <c r="L728">
        <f ca="1">+_xlfn.IFNA(VLOOKUP(M728,BespokeWindowsAreas!$A$1:$E$1999,1,FALSE),VLOOKUP(E728,WindowTypeArea!$B$2:$C$2000,2,FALSE))</f>
        <v>2.9737499999999999</v>
      </c>
      <c r="M728">
        <f t="shared" ca="1" si="155"/>
        <v>4785990</v>
      </c>
    </row>
    <row r="729" spans="1:13" x14ac:dyDescent="0.25">
      <c r="A729">
        <f t="shared" ca="1" si="146"/>
        <v>2</v>
      </c>
      <c r="B729">
        <f t="shared" ca="1" si="147"/>
        <v>316</v>
      </c>
      <c r="C729" t="str">
        <f t="shared" ca="1" si="156"/>
        <v>'WINDOWS-NCH-A-BDP-M3-00-00'!B315</v>
      </c>
      <c r="D729" s="6" t="str">
        <f t="shared" ca="1" si="145"/>
        <v>L00-OPD-CC3-U0196-01</v>
      </c>
      <c r="E729" t="str">
        <f t="shared" ca="1" si="148"/>
        <v>L00-OPD-CC3-U0196-01</v>
      </c>
      <c r="F729">
        <f t="shared" ca="1" si="149"/>
        <v>1891271</v>
      </c>
      <c r="G729">
        <f t="shared" ca="1" si="150"/>
        <v>0</v>
      </c>
      <c r="H729">
        <f t="shared" ca="1" si="151"/>
        <v>0</v>
      </c>
      <c r="I729">
        <f t="shared" ca="1" si="152"/>
        <v>0</v>
      </c>
      <c r="J729" s="8" t="e">
        <f t="shared" ca="1" si="153"/>
        <v>#DIV/0!</v>
      </c>
      <c r="K729" s="9" t="e">
        <f t="shared" ca="1" si="154"/>
        <v>#DIV/0!</v>
      </c>
      <c r="L729" t="e">
        <f ca="1">+_xlfn.IFNA(VLOOKUP(M729,BespokeWindowsAreas!$A$1:$E$1999,1,FALSE),VLOOKUP(E729,WindowTypeArea!$B$2:$C$2000,2,FALSE))</f>
        <v>#N/A</v>
      </c>
      <c r="M729">
        <f t="shared" ca="1" si="155"/>
        <v>0</v>
      </c>
    </row>
    <row r="730" spans="1:13" x14ac:dyDescent="0.25">
      <c r="A730">
        <f t="shared" ca="1" si="146"/>
        <v>2</v>
      </c>
      <c r="B730">
        <f t="shared" ca="1" si="147"/>
        <v>317</v>
      </c>
      <c r="C730" t="str">
        <f t="shared" ca="1" si="156"/>
        <v>'WINDOWS-NCH-A-BDP-M3-00-00'!B316</v>
      </c>
      <c r="D730" s="6" t="str">
        <f t="shared" ca="1" si="145"/>
        <v>none - connecect to atrium</v>
      </c>
      <c r="E730" t="str">
        <f t="shared" ca="1" si="148"/>
        <v>none - connecect to atrium</v>
      </c>
      <c r="F730" t="str">
        <f t="shared" ca="1" si="149"/>
        <v>Vector(X = 0.429, Y = -0.903, Z = 0.000, Length = 1.000)</v>
      </c>
      <c r="G730">
        <f t="shared" ca="1" si="150"/>
        <v>0.4</v>
      </c>
      <c r="H730">
        <f t="shared" ca="1" si="151"/>
        <v>-0.9</v>
      </c>
      <c r="I730">
        <f t="shared" ca="1" si="152"/>
        <v>0</v>
      </c>
      <c r="J730" s="8">
        <f t="shared" ca="1" si="153"/>
        <v>-66.037511025421821</v>
      </c>
      <c r="K730" s="9" t="str">
        <f t="shared" ca="1" si="154"/>
        <v>S</v>
      </c>
      <c r="L730" t="e">
        <f ca="1">+_xlfn.IFNA(VLOOKUP(M730,BespokeWindowsAreas!$A$1:$E$1999,1,FALSE),VLOOKUP(E730,WindowTypeArea!$B$2:$C$2000,2,FALSE))</f>
        <v>#N/A</v>
      </c>
      <c r="M730">
        <f t="shared" ca="1" si="155"/>
        <v>6507643</v>
      </c>
    </row>
    <row r="731" spans="1:13" x14ac:dyDescent="0.25">
      <c r="A731">
        <f t="shared" ca="1" si="146"/>
        <v>2</v>
      </c>
      <c r="B731">
        <f t="shared" ca="1" si="147"/>
        <v>318</v>
      </c>
      <c r="C731" t="str">
        <f t="shared" ca="1" si="156"/>
        <v>'WINDOWS-NCH-A-BDP-M3-00-00'!B317</v>
      </c>
      <c r="D731" s="6" t="str">
        <f t="shared" ca="1" si="145"/>
        <v>L00-OPD-CC3-U0201-01</v>
      </c>
      <c r="E731" t="str">
        <f t="shared" ca="1" si="148"/>
        <v>L00-OPD-CC3-U0201-01</v>
      </c>
      <c r="F731">
        <f t="shared" ca="1" si="149"/>
        <v>1891287</v>
      </c>
      <c r="G731">
        <f t="shared" ca="1" si="150"/>
        <v>0</v>
      </c>
      <c r="H731">
        <f t="shared" ca="1" si="151"/>
        <v>0</v>
      </c>
      <c r="I731">
        <f t="shared" ca="1" si="152"/>
        <v>0</v>
      </c>
      <c r="J731" s="8" t="e">
        <f t="shared" ca="1" si="153"/>
        <v>#DIV/0!</v>
      </c>
      <c r="K731" s="9" t="e">
        <f t="shared" ca="1" si="154"/>
        <v>#DIV/0!</v>
      </c>
      <c r="L731" t="e">
        <f ca="1">+_xlfn.IFNA(VLOOKUP(M731,BespokeWindowsAreas!$A$1:$E$1999,1,FALSE),VLOOKUP(E731,WindowTypeArea!$B$2:$C$2000,2,FALSE))</f>
        <v>#N/A</v>
      </c>
      <c r="M731">
        <f t="shared" ca="1" si="155"/>
        <v>0</v>
      </c>
    </row>
    <row r="732" spans="1:13" x14ac:dyDescent="0.25">
      <c r="A732">
        <f t="shared" ca="1" si="146"/>
        <v>2</v>
      </c>
      <c r="B732">
        <f t="shared" ca="1" si="147"/>
        <v>319</v>
      </c>
      <c r="C732" t="str">
        <f t="shared" ca="1" si="156"/>
        <v>'WINDOWS-NCH-A-BDP-M3-00-00'!B318</v>
      </c>
      <c r="D732" s="6" t="str">
        <f t="shared" ca="1" si="145"/>
        <v>none - connecect to atrium</v>
      </c>
      <c r="E732" t="str">
        <f t="shared" ca="1" si="148"/>
        <v>none - connecect to atrium</v>
      </c>
      <c r="F732" t="str">
        <f t="shared" ca="1" si="149"/>
        <v>Vector(X = 0.429, Y = -0.903, Z = 0.000, Length = 1.000)</v>
      </c>
      <c r="G732">
        <f t="shared" ca="1" si="150"/>
        <v>0.4</v>
      </c>
      <c r="H732">
        <f t="shared" ca="1" si="151"/>
        <v>-0.9</v>
      </c>
      <c r="I732">
        <f t="shared" ca="1" si="152"/>
        <v>0</v>
      </c>
      <c r="J732" s="8">
        <f t="shared" ca="1" si="153"/>
        <v>-66.037511025421821</v>
      </c>
      <c r="K732" s="9" t="str">
        <f t="shared" ca="1" si="154"/>
        <v>S</v>
      </c>
      <c r="L732" t="e">
        <f ca="1">+_xlfn.IFNA(VLOOKUP(M732,BespokeWindowsAreas!$A$1:$E$1999,1,FALSE),VLOOKUP(E732,WindowTypeArea!$B$2:$C$2000,2,FALSE))</f>
        <v>#N/A</v>
      </c>
      <c r="M732">
        <f t="shared" ca="1" si="155"/>
        <v>5147877</v>
      </c>
    </row>
    <row r="733" spans="1:13" x14ac:dyDescent="0.25">
      <c r="A733">
        <f t="shared" ca="1" si="146"/>
        <v>2</v>
      </c>
      <c r="B733">
        <f t="shared" ca="1" si="147"/>
        <v>320</v>
      </c>
      <c r="C733" t="str">
        <f t="shared" ca="1" si="156"/>
        <v>'WINDOWS-NCH-A-BDP-M3-00-00'!B319</v>
      </c>
      <c r="D733" s="6" t="str">
        <f t="shared" ca="1" si="145"/>
        <v>L00-OPD-CC3-U0206-01</v>
      </c>
      <c r="E733" t="str">
        <f t="shared" ca="1" si="148"/>
        <v>L00-OPD-CC3-U0206-01</v>
      </c>
      <c r="F733">
        <f t="shared" ca="1" si="149"/>
        <v>1891301</v>
      </c>
      <c r="G733">
        <f t="shared" ca="1" si="150"/>
        <v>0</v>
      </c>
      <c r="H733">
        <f t="shared" ca="1" si="151"/>
        <v>0</v>
      </c>
      <c r="I733">
        <f t="shared" ca="1" si="152"/>
        <v>0</v>
      </c>
      <c r="J733" s="8" t="e">
        <f t="shared" ca="1" si="153"/>
        <v>#DIV/0!</v>
      </c>
      <c r="K733" s="9" t="e">
        <f t="shared" ca="1" si="154"/>
        <v>#DIV/0!</v>
      </c>
      <c r="L733" t="e">
        <f ca="1">+_xlfn.IFNA(VLOOKUP(M733,BespokeWindowsAreas!$A$1:$E$1999,1,FALSE),VLOOKUP(E733,WindowTypeArea!$B$2:$C$2000,2,FALSE))</f>
        <v>#N/A</v>
      </c>
      <c r="M733">
        <f t="shared" ca="1" si="155"/>
        <v>0</v>
      </c>
    </row>
    <row r="734" spans="1:13" x14ac:dyDescent="0.25">
      <c r="A734">
        <f t="shared" ca="1" si="146"/>
        <v>2</v>
      </c>
      <c r="B734">
        <f t="shared" ca="1" si="147"/>
        <v>321</v>
      </c>
      <c r="C734" t="str">
        <f t="shared" ca="1" si="156"/>
        <v>'WINDOWS-NCH-A-BDP-M3-00-00'!B320</v>
      </c>
      <c r="D734" s="6" t="str">
        <f t="shared" ca="1" si="145"/>
        <v>none - connecect to atrium</v>
      </c>
      <c r="E734" t="str">
        <f t="shared" ca="1" si="148"/>
        <v>none - connecect to atrium</v>
      </c>
      <c r="F734" t="str">
        <f t="shared" ca="1" si="149"/>
        <v>Vector(X = 0.429, Y = -0.903, Z = 0.000, Length = 1.000)</v>
      </c>
      <c r="G734">
        <f t="shared" ca="1" si="150"/>
        <v>0.4</v>
      </c>
      <c r="H734">
        <f t="shared" ca="1" si="151"/>
        <v>-0.9</v>
      </c>
      <c r="I734">
        <f t="shared" ca="1" si="152"/>
        <v>0</v>
      </c>
      <c r="J734" s="8">
        <f t="shared" ca="1" si="153"/>
        <v>-66.037511025421821</v>
      </c>
      <c r="K734" s="9" t="str">
        <f t="shared" ca="1" si="154"/>
        <v>S</v>
      </c>
      <c r="L734" t="e">
        <f ca="1">+_xlfn.IFNA(VLOOKUP(M734,BespokeWindowsAreas!$A$1:$E$1999,1,FALSE),VLOOKUP(E734,WindowTypeArea!$B$2:$C$2000,2,FALSE))</f>
        <v>#N/A</v>
      </c>
      <c r="M734">
        <f t="shared" ca="1" si="155"/>
        <v>5147937</v>
      </c>
    </row>
    <row r="735" spans="1:13" x14ac:dyDescent="0.25">
      <c r="A735">
        <f t="shared" ca="1" si="146"/>
        <v>2</v>
      </c>
      <c r="B735">
        <f t="shared" ca="1" si="147"/>
        <v>322</v>
      </c>
      <c r="C735" t="str">
        <f t="shared" ca="1" si="156"/>
        <v>'WINDOWS-NCH-A-BDP-M3-00-00'!B321</v>
      </c>
      <c r="D735" s="6" t="str">
        <f t="shared" ca="1" si="145"/>
        <v>none - connecect to atrium</v>
      </c>
      <c r="E735" t="str">
        <f t="shared" ca="1" si="148"/>
        <v>Family Type: 975w x 3050h, Family: Window Internal Type 2a - Recessed</v>
      </c>
      <c r="F735" t="str">
        <f t="shared" ca="1" si="149"/>
        <v>Vector(X = 0.429, Y = -0.903, Z = 0.000, Length = 1.000)</v>
      </c>
      <c r="G735">
        <f t="shared" ca="1" si="150"/>
        <v>0.4</v>
      </c>
      <c r="H735">
        <f t="shared" ca="1" si="151"/>
        <v>-0.9</v>
      </c>
      <c r="I735">
        <f t="shared" ca="1" si="152"/>
        <v>0</v>
      </c>
      <c r="J735" s="8">
        <f t="shared" ca="1" si="153"/>
        <v>-66.037511025421821</v>
      </c>
      <c r="K735" s="9" t="str">
        <f t="shared" ca="1" si="154"/>
        <v>S</v>
      </c>
      <c r="L735">
        <f ca="1">+_xlfn.IFNA(VLOOKUP(M735,BespokeWindowsAreas!$A$1:$E$1999,1,FALSE),VLOOKUP(E735,WindowTypeArea!$B$2:$C$2000,2,FALSE))</f>
        <v>2.9737499999999999</v>
      </c>
      <c r="M735">
        <f t="shared" ca="1" si="155"/>
        <v>6507287</v>
      </c>
    </row>
    <row r="736" spans="1:13" x14ac:dyDescent="0.25">
      <c r="A736">
        <f t="shared" ca="1" si="146"/>
        <v>2</v>
      </c>
      <c r="B736">
        <f t="shared" ca="1" si="147"/>
        <v>323</v>
      </c>
      <c r="C736" t="str">
        <f t="shared" ca="1" si="156"/>
        <v>'WINDOWS-NCH-A-BDP-M3-00-00'!B322</v>
      </c>
      <c r="D736" s="6" t="str">
        <f t="shared" ca="1" si="145"/>
        <v>L00-OPD-CC3-S028-03</v>
      </c>
      <c r="E736" t="str">
        <f t="shared" ca="1" si="148"/>
        <v>L00-OPD-CC3-S028-03</v>
      </c>
      <c r="F736">
        <f t="shared" ca="1" si="149"/>
        <v>1891305</v>
      </c>
      <c r="G736">
        <f t="shared" ca="1" si="150"/>
        <v>0</v>
      </c>
      <c r="H736">
        <f t="shared" ca="1" si="151"/>
        <v>0</v>
      </c>
      <c r="I736">
        <f t="shared" ca="1" si="152"/>
        <v>0</v>
      </c>
      <c r="J736" s="8" t="e">
        <f t="shared" ca="1" si="153"/>
        <v>#DIV/0!</v>
      </c>
      <c r="K736" s="9" t="e">
        <f t="shared" ca="1" si="154"/>
        <v>#DIV/0!</v>
      </c>
      <c r="L736" t="e">
        <f ca="1">+_xlfn.IFNA(VLOOKUP(M736,BespokeWindowsAreas!$A$1:$E$1999,1,FALSE),VLOOKUP(E736,WindowTypeArea!$B$2:$C$2000,2,FALSE))</f>
        <v>#N/A</v>
      </c>
      <c r="M736">
        <f t="shared" ca="1" si="155"/>
        <v>0</v>
      </c>
    </row>
    <row r="737" spans="1:13" x14ac:dyDescent="0.25">
      <c r="A737">
        <f t="shared" ca="1" si="146"/>
        <v>2</v>
      </c>
      <c r="B737">
        <f t="shared" ca="1" si="147"/>
        <v>324</v>
      </c>
      <c r="C737" t="str">
        <f t="shared" ca="1" si="156"/>
        <v>'WINDOWS-NCH-A-BDP-M3-00-00'!B323</v>
      </c>
      <c r="D737" s="6" t="str">
        <f t="shared" ca="1" si="145"/>
        <v>L00-OPD-CC3-S028-03</v>
      </c>
      <c r="E737" t="str">
        <f t="shared" ca="1" si="148"/>
        <v>Family Type: 975w x 3050h, Family: Window External Type 1 - Recessed</v>
      </c>
      <c r="F737" t="str">
        <f t="shared" ca="1" si="149"/>
        <v>Vector(X = 0.530, Y = -0.848, Z = 0.000, Length = 1.000)</v>
      </c>
      <c r="G737">
        <f t="shared" ca="1" si="150"/>
        <v>0.5</v>
      </c>
      <c r="H737">
        <f t="shared" ca="1" si="151"/>
        <v>-0.8</v>
      </c>
      <c r="I737">
        <f t="shared" ca="1" si="152"/>
        <v>0</v>
      </c>
      <c r="J737" s="8">
        <f t="shared" ca="1" si="153"/>
        <v>-57.994616791916499</v>
      </c>
      <c r="K737" s="9" t="str">
        <f t="shared" ca="1" si="154"/>
        <v>S</v>
      </c>
      <c r="L737">
        <f ca="1">+_xlfn.IFNA(VLOOKUP(M737,BespokeWindowsAreas!$A$1:$E$1999,1,FALSE),VLOOKUP(E737,WindowTypeArea!$B$2:$C$2000,2,FALSE))</f>
        <v>2.9737499999999999</v>
      </c>
      <c r="M737">
        <f t="shared" ca="1" si="155"/>
        <v>4714988</v>
      </c>
    </row>
    <row r="738" spans="1:13" x14ac:dyDescent="0.25">
      <c r="A738">
        <f t="shared" ca="1" si="146"/>
        <v>2</v>
      </c>
      <c r="B738">
        <f t="shared" ca="1" si="147"/>
        <v>325</v>
      </c>
      <c r="C738" t="str">
        <f t="shared" ca="1" si="156"/>
        <v>'WINDOWS-NCH-A-BDP-M3-00-00'!B324</v>
      </c>
      <c r="D738" s="6" t="str">
        <f t="shared" ca="1" si="145"/>
        <v>L00-OPD-CC3-S028-04</v>
      </c>
      <c r="E738" t="str">
        <f t="shared" ca="1" si="148"/>
        <v>L00-OPD-CC3-S028-04</v>
      </c>
      <c r="F738">
        <f t="shared" ca="1" si="149"/>
        <v>1891307</v>
      </c>
      <c r="G738">
        <f t="shared" ca="1" si="150"/>
        <v>0</v>
      </c>
      <c r="H738">
        <f t="shared" ca="1" si="151"/>
        <v>0</v>
      </c>
      <c r="I738">
        <f t="shared" ca="1" si="152"/>
        <v>0</v>
      </c>
      <c r="J738" s="8" t="e">
        <f t="shared" ca="1" si="153"/>
        <v>#DIV/0!</v>
      </c>
      <c r="K738" s="9" t="e">
        <f t="shared" ca="1" si="154"/>
        <v>#DIV/0!</v>
      </c>
      <c r="L738" t="e">
        <f ca="1">+_xlfn.IFNA(VLOOKUP(M738,BespokeWindowsAreas!$A$1:$E$1999,1,FALSE),VLOOKUP(E738,WindowTypeArea!$B$2:$C$2000,2,FALSE))</f>
        <v>#N/A</v>
      </c>
      <c r="M738">
        <f t="shared" ca="1" si="155"/>
        <v>0</v>
      </c>
    </row>
    <row r="739" spans="1:13" x14ac:dyDescent="0.25">
      <c r="A739">
        <f t="shared" ca="1" si="146"/>
        <v>2</v>
      </c>
      <c r="B739">
        <f t="shared" ca="1" si="147"/>
        <v>326</v>
      </c>
      <c r="C739" t="str">
        <f t="shared" ca="1" si="156"/>
        <v>'WINDOWS-NCH-A-BDP-M3-00-00'!B325</v>
      </c>
      <c r="D739" s="6" t="str">
        <f t="shared" ca="1" si="145"/>
        <v>L00-OPD-CC3-S028-04</v>
      </c>
      <c r="E739" t="str">
        <f t="shared" ca="1" si="148"/>
        <v>Family Type: 1950w x 3050h, Family: Window External Type 3 - Recessed and Angle</v>
      </c>
      <c r="F739" t="str">
        <f t="shared" ca="1" si="149"/>
        <v>Vector(X = 0.530, Y = -0.848, Z = 0.000, Length = 1.000)</v>
      </c>
      <c r="G739">
        <f t="shared" ca="1" si="150"/>
        <v>0.5</v>
      </c>
      <c r="H739">
        <f t="shared" ca="1" si="151"/>
        <v>-0.8</v>
      </c>
      <c r="I739">
        <f t="shared" ca="1" si="152"/>
        <v>0</v>
      </c>
      <c r="J739" s="8">
        <f t="shared" ca="1" si="153"/>
        <v>-57.994616791916499</v>
      </c>
      <c r="K739" s="9" t="str">
        <f t="shared" ca="1" si="154"/>
        <v>S</v>
      </c>
      <c r="L739">
        <f ca="1">+_xlfn.IFNA(VLOOKUP(M739,BespokeWindowsAreas!$A$1:$E$1999,1,FALSE),VLOOKUP(E739,WindowTypeArea!$B$2:$C$2000,2,FALSE))</f>
        <v>5.9474999999999998</v>
      </c>
      <c r="M739">
        <f t="shared" ca="1" si="155"/>
        <v>4714944</v>
      </c>
    </row>
    <row r="740" spans="1:13" x14ac:dyDescent="0.25">
      <c r="A740">
        <f t="shared" ca="1" si="146"/>
        <v>2</v>
      </c>
      <c r="B740">
        <f t="shared" ca="1" si="147"/>
        <v>327</v>
      </c>
      <c r="C740" t="str">
        <f t="shared" ca="1" si="156"/>
        <v>'WINDOWS-NCH-A-BDP-M3-00-00'!B326</v>
      </c>
      <c r="D740" s="6" t="str">
        <f t="shared" ca="1" si="145"/>
        <v>L00-OPD-CC3-S028-05</v>
      </c>
      <c r="E740" t="str">
        <f t="shared" ca="1" si="148"/>
        <v>L00-OPD-CC3-S028-05</v>
      </c>
      <c r="F740">
        <f t="shared" ca="1" si="149"/>
        <v>1891309</v>
      </c>
      <c r="G740">
        <f t="shared" ca="1" si="150"/>
        <v>0</v>
      </c>
      <c r="H740">
        <f t="shared" ca="1" si="151"/>
        <v>0</v>
      </c>
      <c r="I740">
        <f t="shared" ca="1" si="152"/>
        <v>0</v>
      </c>
      <c r="J740" s="8" t="e">
        <f t="shared" ca="1" si="153"/>
        <v>#DIV/0!</v>
      </c>
      <c r="K740" s="9" t="e">
        <f t="shared" ca="1" si="154"/>
        <v>#DIV/0!</v>
      </c>
      <c r="L740" t="e">
        <f ca="1">+_xlfn.IFNA(VLOOKUP(M740,BespokeWindowsAreas!$A$1:$E$1999,1,FALSE),VLOOKUP(E740,WindowTypeArea!$B$2:$C$2000,2,FALSE))</f>
        <v>#N/A</v>
      </c>
      <c r="M740">
        <f t="shared" ca="1" si="155"/>
        <v>0</v>
      </c>
    </row>
    <row r="741" spans="1:13" x14ac:dyDescent="0.25">
      <c r="A741">
        <f t="shared" ca="1" si="146"/>
        <v>2</v>
      </c>
      <c r="B741">
        <f t="shared" ca="1" si="147"/>
        <v>328</v>
      </c>
      <c r="C741" t="str">
        <f t="shared" ca="1" si="156"/>
        <v>'WINDOWS-NCH-A-BDP-M3-00-00'!B327</v>
      </c>
      <c r="D741" s="6" t="str">
        <f t="shared" ca="1" si="145"/>
        <v>L00-OPD-CC3-S028-05</v>
      </c>
      <c r="E741" t="str">
        <f t="shared" ca="1" si="148"/>
        <v>Family Type: 975w x 3050h, Family: Window External Type 1 - Recessed</v>
      </c>
      <c r="F741" t="str">
        <f t="shared" ca="1" si="149"/>
        <v>Vector(X = 0.530, Y = -0.848, Z = 0.000, Length = 1.000)</v>
      </c>
      <c r="G741">
        <f t="shared" ca="1" si="150"/>
        <v>0.5</v>
      </c>
      <c r="H741">
        <f t="shared" ca="1" si="151"/>
        <v>-0.8</v>
      </c>
      <c r="I741">
        <f t="shared" ca="1" si="152"/>
        <v>0</v>
      </c>
      <c r="J741" s="8">
        <f t="shared" ca="1" si="153"/>
        <v>-57.994616791916499</v>
      </c>
      <c r="K741" s="9" t="str">
        <f t="shared" ca="1" si="154"/>
        <v>S</v>
      </c>
      <c r="L741">
        <f ca="1">+_xlfn.IFNA(VLOOKUP(M741,BespokeWindowsAreas!$A$1:$E$1999,1,FALSE),VLOOKUP(E741,WindowTypeArea!$B$2:$C$2000,2,FALSE))</f>
        <v>2.9737499999999999</v>
      </c>
      <c r="M741">
        <f t="shared" ca="1" si="155"/>
        <v>4716839</v>
      </c>
    </row>
    <row r="742" spans="1:13" x14ac:dyDescent="0.25">
      <c r="A742">
        <f t="shared" ca="1" si="146"/>
        <v>2</v>
      </c>
      <c r="B742">
        <f t="shared" ca="1" si="147"/>
        <v>329</v>
      </c>
      <c r="C742" t="str">
        <f t="shared" ca="1" si="156"/>
        <v>'WINDOWS-NCH-A-BDP-M3-00-00'!B328</v>
      </c>
      <c r="D742" s="6" t="str">
        <f t="shared" ca="1" si="145"/>
        <v>L00-OPD-CC3-S028-07</v>
      </c>
      <c r="E742" t="str">
        <f t="shared" ca="1" si="148"/>
        <v>L00-OPD-CC3-S028-07</v>
      </c>
      <c r="F742">
        <f t="shared" ca="1" si="149"/>
        <v>1891313</v>
      </c>
      <c r="G742">
        <f t="shared" ca="1" si="150"/>
        <v>0</v>
      </c>
      <c r="H742">
        <f t="shared" ca="1" si="151"/>
        <v>0</v>
      </c>
      <c r="I742">
        <f t="shared" ca="1" si="152"/>
        <v>0</v>
      </c>
      <c r="J742" s="8" t="e">
        <f t="shared" ca="1" si="153"/>
        <v>#DIV/0!</v>
      </c>
      <c r="K742" s="9" t="e">
        <f t="shared" ca="1" si="154"/>
        <v>#DIV/0!</v>
      </c>
      <c r="L742" t="e">
        <f ca="1">+_xlfn.IFNA(VLOOKUP(M742,BespokeWindowsAreas!$A$1:$E$1999,1,FALSE),VLOOKUP(E742,WindowTypeArea!$B$2:$C$2000,2,FALSE))</f>
        <v>#N/A</v>
      </c>
      <c r="M742">
        <f t="shared" ca="1" si="155"/>
        <v>0</v>
      </c>
    </row>
    <row r="743" spans="1:13" x14ac:dyDescent="0.25">
      <c r="A743">
        <f t="shared" ca="1" si="146"/>
        <v>2</v>
      </c>
      <c r="B743">
        <f t="shared" ca="1" si="147"/>
        <v>330</v>
      </c>
      <c r="C743" t="str">
        <f t="shared" ca="1" si="156"/>
        <v>'WINDOWS-NCH-A-BDP-M3-00-00'!B329</v>
      </c>
      <c r="D743" s="6" t="str">
        <f t="shared" ca="1" si="145"/>
        <v>L00-OPD-CC3-S028-07</v>
      </c>
      <c r="E743" t="str">
        <f t="shared" ca="1" si="148"/>
        <v>Family Type: 1950w x 3050h, Family: Window External Type 3 - Recessed and Angle</v>
      </c>
      <c r="F743" t="str">
        <f t="shared" ca="1" si="149"/>
        <v>Vector(X = -0.530, Y = 0.848, Z = 0.000, Length = 1.000)</v>
      </c>
      <c r="G743">
        <f t="shared" ca="1" si="150"/>
        <v>-0.5</v>
      </c>
      <c r="H743">
        <f t="shared" ca="1" si="151"/>
        <v>0.8</v>
      </c>
      <c r="I743">
        <f t="shared" ca="1" si="152"/>
        <v>0</v>
      </c>
      <c r="J743" s="8">
        <f t="shared" ca="1" si="153"/>
        <v>122.0053832080835</v>
      </c>
      <c r="K743" s="9" t="str">
        <f t="shared" ca="1" si="154"/>
        <v>N</v>
      </c>
      <c r="L743">
        <f ca="1">+_xlfn.IFNA(VLOOKUP(M743,BespokeWindowsAreas!$A$1:$E$1999,1,FALSE),VLOOKUP(E743,WindowTypeArea!$B$2:$C$2000,2,FALSE))</f>
        <v>5.9474999999999998</v>
      </c>
      <c r="M743">
        <f t="shared" ca="1" si="155"/>
        <v>6091424</v>
      </c>
    </row>
    <row r="744" spans="1:13" x14ac:dyDescent="0.25">
      <c r="A744">
        <f t="shared" ca="1" si="146"/>
        <v>2</v>
      </c>
      <c r="B744">
        <f t="shared" ca="1" si="147"/>
        <v>331</v>
      </c>
      <c r="C744" t="str">
        <f t="shared" ca="1" si="156"/>
        <v>'WINDOWS-NCH-A-BDP-M3-00-00'!B330</v>
      </c>
      <c r="D744" s="6" t="str">
        <f t="shared" ca="1" si="145"/>
        <v>L00-OPD-CC3-S028-08</v>
      </c>
      <c r="E744" t="str">
        <f t="shared" ca="1" si="148"/>
        <v>L00-OPD-CC3-S028-08</v>
      </c>
      <c r="F744">
        <f t="shared" ca="1" si="149"/>
        <v>1891315</v>
      </c>
      <c r="G744">
        <f t="shared" ca="1" si="150"/>
        <v>0</v>
      </c>
      <c r="H744">
        <f t="shared" ca="1" si="151"/>
        <v>0</v>
      </c>
      <c r="I744">
        <f t="shared" ca="1" si="152"/>
        <v>0</v>
      </c>
      <c r="J744" s="8" t="e">
        <f t="shared" ca="1" si="153"/>
        <v>#DIV/0!</v>
      </c>
      <c r="K744" s="9" t="e">
        <f t="shared" ca="1" si="154"/>
        <v>#DIV/0!</v>
      </c>
      <c r="L744" t="e">
        <f ca="1">+_xlfn.IFNA(VLOOKUP(M744,BespokeWindowsAreas!$A$1:$E$1999,1,FALSE),VLOOKUP(E744,WindowTypeArea!$B$2:$C$2000,2,FALSE))</f>
        <v>#N/A</v>
      </c>
      <c r="M744">
        <f t="shared" ca="1" si="155"/>
        <v>0</v>
      </c>
    </row>
    <row r="745" spans="1:13" x14ac:dyDescent="0.25">
      <c r="A745">
        <f t="shared" ca="1" si="146"/>
        <v>2</v>
      </c>
      <c r="B745">
        <f t="shared" ca="1" si="147"/>
        <v>332</v>
      </c>
      <c r="C745" t="str">
        <f t="shared" ca="1" si="156"/>
        <v>'WINDOWS-NCH-A-BDP-M3-00-00'!B331</v>
      </c>
      <c r="D745" s="6" t="str">
        <f t="shared" ca="1" si="145"/>
        <v>L00-OPD-CC3-S028-08</v>
      </c>
      <c r="E745" t="str">
        <f t="shared" ca="1" si="148"/>
        <v>Family Type: 975w x 3050h, Family: Window External Type 1 - Recessed</v>
      </c>
      <c r="F745" t="str">
        <f t="shared" ca="1" si="149"/>
        <v>Vector(X = -0.429, Y = 0.903, Z = 0.000, Length = 1.000)</v>
      </c>
      <c r="G745">
        <f t="shared" ca="1" si="150"/>
        <v>-0.4</v>
      </c>
      <c r="H745">
        <f t="shared" ca="1" si="151"/>
        <v>0.9</v>
      </c>
      <c r="I745">
        <f t="shared" ca="1" si="152"/>
        <v>0</v>
      </c>
      <c r="J745" s="8">
        <f t="shared" ca="1" si="153"/>
        <v>113.96248897457818</v>
      </c>
      <c r="K745" s="9" t="str">
        <f t="shared" ca="1" si="154"/>
        <v>N</v>
      </c>
      <c r="L745">
        <f ca="1">+_xlfn.IFNA(VLOOKUP(M745,BespokeWindowsAreas!$A$1:$E$1999,1,FALSE),VLOOKUP(E745,WindowTypeArea!$B$2:$C$2000,2,FALSE))</f>
        <v>2.9737499999999999</v>
      </c>
      <c r="M745">
        <f t="shared" ca="1" si="155"/>
        <v>4779976</v>
      </c>
    </row>
    <row r="746" spans="1:13" x14ac:dyDescent="0.25">
      <c r="A746">
        <f t="shared" ca="1" si="146"/>
        <v>2</v>
      </c>
      <c r="B746">
        <f t="shared" ca="1" si="147"/>
        <v>333</v>
      </c>
      <c r="C746" t="str">
        <f t="shared" ca="1" si="156"/>
        <v>'WINDOWS-NCH-A-BDP-M3-00-00'!B332</v>
      </c>
      <c r="D746" s="6" t="str">
        <f t="shared" ca="1" si="145"/>
        <v>L00-OPD-CC3-S028-09</v>
      </c>
      <c r="E746" t="str">
        <f t="shared" ca="1" si="148"/>
        <v>L00-OPD-CC3-S028-09</v>
      </c>
      <c r="F746">
        <f t="shared" ca="1" si="149"/>
        <v>1891317</v>
      </c>
      <c r="G746">
        <f t="shared" ca="1" si="150"/>
        <v>0</v>
      </c>
      <c r="H746">
        <f t="shared" ca="1" si="151"/>
        <v>0</v>
      </c>
      <c r="I746">
        <f t="shared" ca="1" si="152"/>
        <v>0</v>
      </c>
      <c r="J746" s="8" t="e">
        <f t="shared" ca="1" si="153"/>
        <v>#DIV/0!</v>
      </c>
      <c r="K746" s="9" t="e">
        <f t="shared" ca="1" si="154"/>
        <v>#DIV/0!</v>
      </c>
      <c r="L746" t="e">
        <f ca="1">+_xlfn.IFNA(VLOOKUP(M746,BespokeWindowsAreas!$A$1:$E$1999,1,FALSE),VLOOKUP(E746,WindowTypeArea!$B$2:$C$2000,2,FALSE))</f>
        <v>#N/A</v>
      </c>
      <c r="M746">
        <f t="shared" ca="1" si="155"/>
        <v>0</v>
      </c>
    </row>
    <row r="747" spans="1:13" x14ac:dyDescent="0.25">
      <c r="A747">
        <f t="shared" ca="1" si="146"/>
        <v>2</v>
      </c>
      <c r="B747">
        <f t="shared" ca="1" si="147"/>
        <v>334</v>
      </c>
      <c r="C747" t="str">
        <f t="shared" ca="1" si="156"/>
        <v>'WINDOWS-NCH-A-BDP-M3-00-00'!B333</v>
      </c>
      <c r="D747" s="6" t="str">
        <f t="shared" ca="1" si="145"/>
        <v>L00-OPD-CC3-S028-09</v>
      </c>
      <c r="E747" t="str">
        <f t="shared" ca="1" si="148"/>
        <v>Family Type: 1950w x 3050h, Family: Window External Type 3 - Recessed and Angle</v>
      </c>
      <c r="F747" t="str">
        <f t="shared" ca="1" si="149"/>
        <v>Vector(X = 0.429, Y = -0.903, Z = 0.000, Length = 1.000)</v>
      </c>
      <c r="G747">
        <f t="shared" ca="1" si="150"/>
        <v>0.4</v>
      </c>
      <c r="H747">
        <f t="shared" ca="1" si="151"/>
        <v>-0.9</v>
      </c>
      <c r="I747">
        <f t="shared" ca="1" si="152"/>
        <v>0</v>
      </c>
      <c r="J747" s="8">
        <f t="shared" ca="1" si="153"/>
        <v>-66.037511025421821</v>
      </c>
      <c r="K747" s="9" t="str">
        <f t="shared" ca="1" si="154"/>
        <v>S</v>
      </c>
      <c r="L747">
        <f ca="1">+_xlfn.IFNA(VLOOKUP(M747,BespokeWindowsAreas!$A$1:$E$1999,1,FALSE),VLOOKUP(E747,WindowTypeArea!$B$2:$C$2000,2,FALSE))</f>
        <v>5.9474999999999998</v>
      </c>
      <c r="M747">
        <f t="shared" ca="1" si="155"/>
        <v>4785983</v>
      </c>
    </row>
    <row r="748" spans="1:13" x14ac:dyDescent="0.25">
      <c r="A748">
        <f t="shared" ca="1" si="146"/>
        <v>2</v>
      </c>
      <c r="B748">
        <f t="shared" ca="1" si="147"/>
        <v>335</v>
      </c>
      <c r="C748" t="str">
        <f t="shared" ca="1" si="156"/>
        <v>'WINDOWS-NCH-A-BDP-M3-00-00'!B334</v>
      </c>
      <c r="D748" s="6" t="str">
        <f t="shared" ca="1" si="145"/>
        <v>L00-OPD-CC3-S028-10</v>
      </c>
      <c r="E748" t="str">
        <f t="shared" ca="1" si="148"/>
        <v>L00-OPD-CC3-S028-10</v>
      </c>
      <c r="F748">
        <f t="shared" ca="1" si="149"/>
        <v>1891319</v>
      </c>
      <c r="G748">
        <f t="shared" ca="1" si="150"/>
        <v>0</v>
      </c>
      <c r="H748">
        <f t="shared" ca="1" si="151"/>
        <v>0</v>
      </c>
      <c r="I748">
        <f t="shared" ca="1" si="152"/>
        <v>0</v>
      </c>
      <c r="J748" s="8" t="e">
        <f t="shared" ca="1" si="153"/>
        <v>#DIV/0!</v>
      </c>
      <c r="K748" s="9" t="e">
        <f t="shared" ca="1" si="154"/>
        <v>#DIV/0!</v>
      </c>
      <c r="L748" t="e">
        <f ca="1">+_xlfn.IFNA(VLOOKUP(M748,BespokeWindowsAreas!$A$1:$E$1999,1,FALSE),VLOOKUP(E748,WindowTypeArea!$B$2:$C$2000,2,FALSE))</f>
        <v>#N/A</v>
      </c>
      <c r="M748">
        <f t="shared" ca="1" si="155"/>
        <v>0</v>
      </c>
    </row>
    <row r="749" spans="1:13" x14ac:dyDescent="0.25">
      <c r="A749">
        <f t="shared" ca="1" si="146"/>
        <v>2</v>
      </c>
      <c r="B749">
        <f t="shared" ca="1" si="147"/>
        <v>336</v>
      </c>
      <c r="C749" t="str">
        <f t="shared" ca="1" si="156"/>
        <v>'WINDOWS-NCH-A-BDP-M3-00-00'!B335</v>
      </c>
      <c r="D749" s="6" t="str">
        <f t="shared" ca="1" si="145"/>
        <v>L00-OPD-CC3-S028-10</v>
      </c>
      <c r="E749" t="str">
        <f t="shared" ca="1" si="148"/>
        <v>Family Type: 1500w x 3050h, Family: Window External Type 3 - Recessed and Angle</v>
      </c>
      <c r="F749" t="str">
        <f t="shared" ca="1" si="149"/>
        <v>Vector(X = 0.429, Y = -0.903, Z = 0.000, Length = 1.000)</v>
      </c>
      <c r="G749">
        <f t="shared" ca="1" si="150"/>
        <v>0.4</v>
      </c>
      <c r="H749">
        <f t="shared" ca="1" si="151"/>
        <v>-0.9</v>
      </c>
      <c r="I749">
        <f t="shared" ca="1" si="152"/>
        <v>0</v>
      </c>
      <c r="J749" s="8">
        <f t="shared" ca="1" si="153"/>
        <v>-66.037511025421821</v>
      </c>
      <c r="K749" s="9" t="str">
        <f t="shared" ca="1" si="154"/>
        <v>S</v>
      </c>
      <c r="L749">
        <f ca="1">+_xlfn.IFNA(VLOOKUP(M749,BespokeWindowsAreas!$A$1:$E$1999,1,FALSE),VLOOKUP(E749,WindowTypeArea!$B$2:$C$2000,2,FALSE))</f>
        <v>4.5750000000000002</v>
      </c>
      <c r="M749">
        <f t="shared" ca="1" si="155"/>
        <v>5147810</v>
      </c>
    </row>
    <row r="750" spans="1:13" x14ac:dyDescent="0.25">
      <c r="A750">
        <f t="shared" ca="1" si="146"/>
        <v>2</v>
      </c>
      <c r="B750">
        <f t="shared" ca="1" si="147"/>
        <v>337</v>
      </c>
      <c r="C750" t="str">
        <f t="shared" ca="1" si="156"/>
        <v>'WINDOWS-NCH-A-BDP-M3-00-00'!B336</v>
      </c>
      <c r="D750" s="6" t="str">
        <f t="shared" ca="1" si="145"/>
        <v>L00-OPD-CC3-S028-11</v>
      </c>
      <c r="E750" t="str">
        <f t="shared" ca="1" si="148"/>
        <v>L00-OPD-CC3-S028-11</v>
      </c>
      <c r="F750">
        <f t="shared" ca="1" si="149"/>
        <v>1891321</v>
      </c>
      <c r="G750">
        <f t="shared" ca="1" si="150"/>
        <v>0</v>
      </c>
      <c r="H750">
        <f t="shared" ca="1" si="151"/>
        <v>0</v>
      </c>
      <c r="I750">
        <f t="shared" ca="1" si="152"/>
        <v>0</v>
      </c>
      <c r="J750" s="8" t="e">
        <f t="shared" ca="1" si="153"/>
        <v>#DIV/0!</v>
      </c>
      <c r="K750" s="9" t="e">
        <f t="shared" ca="1" si="154"/>
        <v>#DIV/0!</v>
      </c>
      <c r="L750" t="e">
        <f ca="1">+_xlfn.IFNA(VLOOKUP(M750,BespokeWindowsAreas!$A$1:$E$1999,1,FALSE),VLOOKUP(E750,WindowTypeArea!$B$2:$C$2000,2,FALSE))</f>
        <v>#N/A</v>
      </c>
      <c r="M750">
        <f t="shared" ca="1" si="155"/>
        <v>0</v>
      </c>
    </row>
    <row r="751" spans="1:13" x14ac:dyDescent="0.25">
      <c r="A751">
        <f t="shared" ca="1" si="146"/>
        <v>2</v>
      </c>
      <c r="B751">
        <f t="shared" ca="1" si="147"/>
        <v>338</v>
      </c>
      <c r="C751" t="str">
        <f t="shared" ca="1" si="156"/>
        <v>'WINDOWS-NCH-A-BDP-M3-00-00'!B337</v>
      </c>
      <c r="D751" s="6" t="str">
        <f t="shared" ca="1" si="145"/>
        <v>none - connecect to atrium</v>
      </c>
      <c r="E751" t="str">
        <f t="shared" ca="1" si="148"/>
        <v>none - connecect to atrium</v>
      </c>
      <c r="F751" t="str">
        <f t="shared" ca="1" si="149"/>
        <v>Vector(X = 0.916, Y = 0.401, Z = 0.000, Length = 1.000)</v>
      </c>
      <c r="G751">
        <f t="shared" ca="1" si="150"/>
        <v>0.9</v>
      </c>
      <c r="H751">
        <f t="shared" ca="1" si="151"/>
        <v>0.4</v>
      </c>
      <c r="I751">
        <f t="shared" ca="1" si="152"/>
        <v>0</v>
      </c>
      <c r="J751" s="8">
        <f t="shared" ca="1" si="153"/>
        <v>23.962488974578186</v>
      </c>
      <c r="K751" s="9" t="str">
        <f t="shared" ca="1" si="154"/>
        <v>E</v>
      </c>
      <c r="L751" t="e">
        <f ca="1">+_xlfn.IFNA(VLOOKUP(M751,BespokeWindowsAreas!$A$1:$E$1999,1,FALSE),VLOOKUP(E751,WindowTypeArea!$B$2:$C$2000,2,FALSE))</f>
        <v>#N/A</v>
      </c>
      <c r="M751">
        <f t="shared" ca="1" si="155"/>
        <v>6535190</v>
      </c>
    </row>
    <row r="752" spans="1:13" x14ac:dyDescent="0.25">
      <c r="A752">
        <f t="shared" ca="1" si="146"/>
        <v>2</v>
      </c>
      <c r="B752">
        <f t="shared" ca="1" si="147"/>
        <v>339</v>
      </c>
      <c r="C752" t="str">
        <f t="shared" ca="1" si="156"/>
        <v>'WINDOWS-NCH-A-BDP-M3-00-00'!B338</v>
      </c>
      <c r="D752" s="6" t="str">
        <f t="shared" ca="1" si="145"/>
        <v>L00-OPD-CC3-S028-12</v>
      </c>
      <c r="E752" t="str">
        <f t="shared" ca="1" si="148"/>
        <v>L00-OPD-CC3-S028-12</v>
      </c>
      <c r="F752">
        <f t="shared" ca="1" si="149"/>
        <v>1891323</v>
      </c>
      <c r="G752">
        <f t="shared" ca="1" si="150"/>
        <v>0</v>
      </c>
      <c r="H752">
        <f t="shared" ca="1" si="151"/>
        <v>0</v>
      </c>
      <c r="I752">
        <f t="shared" ca="1" si="152"/>
        <v>0</v>
      </c>
      <c r="J752" s="8" t="e">
        <f t="shared" ca="1" si="153"/>
        <v>#DIV/0!</v>
      </c>
      <c r="K752" s="9" t="e">
        <f t="shared" ca="1" si="154"/>
        <v>#DIV/0!</v>
      </c>
      <c r="L752" t="e">
        <f ca="1">+_xlfn.IFNA(VLOOKUP(M752,BespokeWindowsAreas!$A$1:$E$1999,1,FALSE),VLOOKUP(E752,WindowTypeArea!$B$2:$C$2000,2,FALSE))</f>
        <v>#N/A</v>
      </c>
      <c r="M752">
        <f t="shared" ca="1" si="155"/>
        <v>0</v>
      </c>
    </row>
    <row r="753" spans="1:13" x14ac:dyDescent="0.25">
      <c r="A753">
        <f t="shared" ca="1" si="146"/>
        <v>2</v>
      </c>
      <c r="B753">
        <f t="shared" ca="1" si="147"/>
        <v>340</v>
      </c>
      <c r="C753" t="str">
        <f t="shared" ca="1" si="156"/>
        <v>'WINDOWS-NCH-A-BDP-M3-00-00'!B339</v>
      </c>
      <c r="D753" s="6" t="str">
        <f t="shared" ca="1" si="145"/>
        <v>L00-OPD-CC3-S028-12</v>
      </c>
      <c r="E753" t="str">
        <f t="shared" ca="1" si="148"/>
        <v>Family Type: 1500w x 3050h, Family: Window External Type 3 - Recessed and Angle</v>
      </c>
      <c r="F753" t="str">
        <f t="shared" ca="1" si="149"/>
        <v>Vector(X = -0.323, Y = 0.946, Z = 0.000, Length = 1.000)</v>
      </c>
      <c r="G753">
        <f t="shared" ca="1" si="150"/>
        <v>-0.3</v>
      </c>
      <c r="H753">
        <f t="shared" ca="1" si="151"/>
        <v>0.9</v>
      </c>
      <c r="I753">
        <f t="shared" ca="1" si="152"/>
        <v>0</v>
      </c>
      <c r="J753" s="8">
        <f t="shared" ca="1" si="153"/>
        <v>108.43494882292201</v>
      </c>
      <c r="K753" s="9" t="str">
        <f t="shared" ca="1" si="154"/>
        <v>N</v>
      </c>
      <c r="L753">
        <f ca="1">+_xlfn.IFNA(VLOOKUP(M753,BespokeWindowsAreas!$A$1:$E$1999,1,FALSE),VLOOKUP(E753,WindowTypeArea!$B$2:$C$2000,2,FALSE))</f>
        <v>4.5750000000000002</v>
      </c>
      <c r="M753">
        <f t="shared" ca="1" si="155"/>
        <v>5147569</v>
      </c>
    </row>
    <row r="754" spans="1:13" x14ac:dyDescent="0.25">
      <c r="A754">
        <f t="shared" ca="1" si="146"/>
        <v>2</v>
      </c>
      <c r="B754">
        <f t="shared" ca="1" si="147"/>
        <v>341</v>
      </c>
      <c r="C754" t="str">
        <f t="shared" ca="1" si="156"/>
        <v>'WINDOWS-NCH-A-BDP-M3-00-00'!B340</v>
      </c>
      <c r="D754" s="6" t="str">
        <f t="shared" ca="1" si="145"/>
        <v>L00-OPD-CC3-S028-13</v>
      </c>
      <c r="E754" t="str">
        <f t="shared" ca="1" si="148"/>
        <v>L00-OPD-CC3-S028-13</v>
      </c>
      <c r="F754">
        <f t="shared" ca="1" si="149"/>
        <v>1891325</v>
      </c>
      <c r="G754">
        <f t="shared" ca="1" si="150"/>
        <v>0</v>
      </c>
      <c r="H754">
        <f t="shared" ca="1" si="151"/>
        <v>0</v>
      </c>
      <c r="I754">
        <f t="shared" ca="1" si="152"/>
        <v>0</v>
      </c>
      <c r="J754" s="8" t="e">
        <f t="shared" ca="1" si="153"/>
        <v>#DIV/0!</v>
      </c>
      <c r="K754" s="9" t="e">
        <f t="shared" ca="1" si="154"/>
        <v>#DIV/0!</v>
      </c>
      <c r="L754" t="e">
        <f ca="1">+_xlfn.IFNA(VLOOKUP(M754,BespokeWindowsAreas!$A$1:$E$1999,1,FALSE),VLOOKUP(E754,WindowTypeArea!$B$2:$C$2000,2,FALSE))</f>
        <v>#N/A</v>
      </c>
      <c r="M754">
        <f t="shared" ca="1" si="155"/>
        <v>0</v>
      </c>
    </row>
    <row r="755" spans="1:13" x14ac:dyDescent="0.25">
      <c r="A755">
        <f t="shared" ca="1" si="146"/>
        <v>2</v>
      </c>
      <c r="B755">
        <f t="shared" ca="1" si="147"/>
        <v>342</v>
      </c>
      <c r="C755" t="str">
        <f t="shared" ca="1" si="156"/>
        <v>'WINDOWS-NCH-A-BDP-M3-00-00'!B341</v>
      </c>
      <c r="D755" s="6" t="str">
        <f t="shared" ca="1" si="145"/>
        <v>L00-OPD-CC3-S028-13</v>
      </c>
      <c r="E755" t="str">
        <f t="shared" ca="1" si="148"/>
        <v>Family Type: 975w x 3050h, Family: Window External Type 1 - Recessed</v>
      </c>
      <c r="F755" t="str">
        <f t="shared" ca="1" si="149"/>
        <v>Vector(X = -0.323, Y = 0.946, Z = 0.000, Length = 1.000)</v>
      </c>
      <c r="G755">
        <f t="shared" ca="1" si="150"/>
        <v>-0.3</v>
      </c>
      <c r="H755">
        <f t="shared" ca="1" si="151"/>
        <v>0.9</v>
      </c>
      <c r="I755">
        <f t="shared" ca="1" si="152"/>
        <v>0</v>
      </c>
      <c r="J755" s="8">
        <f t="shared" ca="1" si="153"/>
        <v>108.43494882292201</v>
      </c>
      <c r="K755" s="9" t="str">
        <f t="shared" ca="1" si="154"/>
        <v>N</v>
      </c>
      <c r="L755">
        <f ca="1">+_xlfn.IFNA(VLOOKUP(M755,BespokeWindowsAreas!$A$1:$E$1999,1,FALSE),VLOOKUP(E755,WindowTypeArea!$B$2:$C$2000,2,FALSE))</f>
        <v>2.9737499999999999</v>
      </c>
      <c r="M755">
        <f t="shared" ca="1" si="155"/>
        <v>5147561</v>
      </c>
    </row>
    <row r="756" spans="1:13" x14ac:dyDescent="0.25">
      <c r="A756">
        <f t="shared" ca="1" si="146"/>
        <v>2</v>
      </c>
      <c r="B756">
        <f t="shared" ca="1" si="147"/>
        <v>343</v>
      </c>
      <c r="C756" t="str">
        <f t="shared" ca="1" si="156"/>
        <v>'WINDOWS-NCH-A-BDP-M3-00-00'!B342</v>
      </c>
      <c r="D756" s="6" t="str">
        <f t="shared" ca="1" si="145"/>
        <v>L00-OPD-CC3-S028-14</v>
      </c>
      <c r="E756" t="str">
        <f t="shared" ca="1" si="148"/>
        <v>L00-OPD-CC3-S028-14</v>
      </c>
      <c r="F756">
        <f t="shared" ca="1" si="149"/>
        <v>1891327</v>
      </c>
      <c r="G756">
        <f t="shared" ca="1" si="150"/>
        <v>0</v>
      </c>
      <c r="H756">
        <f t="shared" ca="1" si="151"/>
        <v>0</v>
      </c>
      <c r="I756">
        <f t="shared" ca="1" si="152"/>
        <v>0</v>
      </c>
      <c r="J756" s="8" t="e">
        <f t="shared" ca="1" si="153"/>
        <v>#DIV/0!</v>
      </c>
      <c r="K756" s="9" t="e">
        <f t="shared" ca="1" si="154"/>
        <v>#DIV/0!</v>
      </c>
      <c r="L756" t="e">
        <f ca="1">+_xlfn.IFNA(VLOOKUP(M756,BespokeWindowsAreas!$A$1:$E$1999,1,FALSE),VLOOKUP(E756,WindowTypeArea!$B$2:$C$2000,2,FALSE))</f>
        <v>#N/A</v>
      </c>
      <c r="M756">
        <f t="shared" ca="1" si="155"/>
        <v>0</v>
      </c>
    </row>
    <row r="757" spans="1:13" x14ac:dyDescent="0.25">
      <c r="A757">
        <f t="shared" ca="1" si="146"/>
        <v>2</v>
      </c>
      <c r="B757">
        <f t="shared" ca="1" si="147"/>
        <v>344</v>
      </c>
      <c r="C757" t="str">
        <f t="shared" ca="1" si="156"/>
        <v>'WINDOWS-NCH-A-BDP-M3-00-00'!B343</v>
      </c>
      <c r="D757" s="6" t="str">
        <f t="shared" ca="1" si="145"/>
        <v>L00-OPD-CC3-S028-14</v>
      </c>
      <c r="E757" t="str">
        <f t="shared" ca="1" si="148"/>
        <v>Family Type: 1950w x 3050h, Family: Window External Type 3 - Recessed and Angle</v>
      </c>
      <c r="F757" t="str">
        <f t="shared" ca="1" si="149"/>
        <v>Vector(X = -0.323, Y = 0.946, Z = 0.000, Length = 1.000)</v>
      </c>
      <c r="G757">
        <f t="shared" ca="1" si="150"/>
        <v>-0.3</v>
      </c>
      <c r="H757">
        <f t="shared" ca="1" si="151"/>
        <v>0.9</v>
      </c>
      <c r="I757">
        <f t="shared" ca="1" si="152"/>
        <v>0</v>
      </c>
      <c r="J757" s="8">
        <f t="shared" ca="1" si="153"/>
        <v>108.43494882292201</v>
      </c>
      <c r="K757" s="9" t="str">
        <f t="shared" ca="1" si="154"/>
        <v>N</v>
      </c>
      <c r="L757">
        <f ca="1">+_xlfn.IFNA(VLOOKUP(M757,BespokeWindowsAreas!$A$1:$E$1999,1,FALSE),VLOOKUP(E757,WindowTypeArea!$B$2:$C$2000,2,FALSE))</f>
        <v>5.9474999999999998</v>
      </c>
      <c r="M757">
        <f t="shared" ca="1" si="155"/>
        <v>4785971</v>
      </c>
    </row>
    <row r="758" spans="1:13" x14ac:dyDescent="0.25">
      <c r="A758">
        <f t="shared" ca="1" si="146"/>
        <v>2</v>
      </c>
      <c r="B758">
        <f t="shared" ca="1" si="147"/>
        <v>345</v>
      </c>
      <c r="C758" t="str">
        <f t="shared" ca="1" si="156"/>
        <v>'WINDOWS-NCH-A-BDP-M3-00-00'!B344</v>
      </c>
      <c r="D758" s="6" t="str">
        <f t="shared" ca="1" si="145"/>
        <v>L00-OPD-CC3-S028-15</v>
      </c>
      <c r="E758" t="str">
        <f t="shared" ca="1" si="148"/>
        <v>L00-OPD-CC3-S028-15</v>
      </c>
      <c r="F758">
        <f t="shared" ca="1" si="149"/>
        <v>1891329</v>
      </c>
      <c r="G758">
        <f t="shared" ca="1" si="150"/>
        <v>0</v>
      </c>
      <c r="H758">
        <f t="shared" ca="1" si="151"/>
        <v>0</v>
      </c>
      <c r="I758">
        <f t="shared" ca="1" si="152"/>
        <v>0</v>
      </c>
      <c r="J758" s="8" t="e">
        <f t="shared" ca="1" si="153"/>
        <v>#DIV/0!</v>
      </c>
      <c r="K758" s="9" t="e">
        <f t="shared" ca="1" si="154"/>
        <v>#DIV/0!</v>
      </c>
      <c r="L758" t="e">
        <f ca="1">+_xlfn.IFNA(VLOOKUP(M758,BespokeWindowsAreas!$A$1:$E$1999,1,FALSE),VLOOKUP(E758,WindowTypeArea!$B$2:$C$2000,2,FALSE))</f>
        <v>#N/A</v>
      </c>
      <c r="M758">
        <f t="shared" ca="1" si="155"/>
        <v>0</v>
      </c>
    </row>
    <row r="759" spans="1:13" x14ac:dyDescent="0.25">
      <c r="A759">
        <f t="shared" ca="1" si="146"/>
        <v>2</v>
      </c>
      <c r="B759">
        <f t="shared" ca="1" si="147"/>
        <v>346</v>
      </c>
      <c r="C759" t="str">
        <f t="shared" ca="1" si="156"/>
        <v>'WINDOWS-NCH-A-BDP-M3-00-00'!B345</v>
      </c>
      <c r="D759" s="6" t="str">
        <f t="shared" ca="1" si="145"/>
        <v>L00-OPD-CC3-S028-15</v>
      </c>
      <c r="E759" t="str">
        <f t="shared" ca="1" si="148"/>
        <v>Family Type: 1500w x 3050h, Family: Window External Type 3 - Recessed and Angle</v>
      </c>
      <c r="F759" t="str">
        <f t="shared" ca="1" si="149"/>
        <v>Vector(X = -0.323, Y = 0.946, Z = 0.000, Length = 1.000)</v>
      </c>
      <c r="G759">
        <f t="shared" ca="1" si="150"/>
        <v>-0.3</v>
      </c>
      <c r="H759">
        <f t="shared" ca="1" si="151"/>
        <v>0.9</v>
      </c>
      <c r="I759">
        <f t="shared" ca="1" si="152"/>
        <v>0</v>
      </c>
      <c r="J759" s="8">
        <f t="shared" ca="1" si="153"/>
        <v>108.43494882292201</v>
      </c>
      <c r="K759" s="9" t="str">
        <f t="shared" ca="1" si="154"/>
        <v>N</v>
      </c>
      <c r="L759">
        <f ca="1">+_xlfn.IFNA(VLOOKUP(M759,BespokeWindowsAreas!$A$1:$E$1999,1,FALSE),VLOOKUP(E759,WindowTypeArea!$B$2:$C$2000,2,FALSE))</f>
        <v>4.5750000000000002</v>
      </c>
      <c r="M759">
        <f t="shared" ca="1" si="155"/>
        <v>4785988</v>
      </c>
    </row>
    <row r="760" spans="1:13" x14ac:dyDescent="0.25">
      <c r="A760">
        <f t="shared" ca="1" si="146"/>
        <v>2</v>
      </c>
      <c r="B760">
        <f t="shared" ca="1" si="147"/>
        <v>347</v>
      </c>
      <c r="C760" t="str">
        <f t="shared" ca="1" si="156"/>
        <v>'WINDOWS-NCH-A-BDP-M3-00-00'!B346</v>
      </c>
      <c r="D760" s="6" t="str">
        <f t="shared" ca="1" si="145"/>
        <v>L00-OPD-CC3-S028-16</v>
      </c>
      <c r="E760" t="str">
        <f t="shared" ca="1" si="148"/>
        <v>L00-OPD-CC3-S028-16</v>
      </c>
      <c r="F760">
        <f t="shared" ca="1" si="149"/>
        <v>1891331</v>
      </c>
      <c r="G760">
        <f t="shared" ca="1" si="150"/>
        <v>0</v>
      </c>
      <c r="H760">
        <f t="shared" ca="1" si="151"/>
        <v>0</v>
      </c>
      <c r="I760">
        <f t="shared" ca="1" si="152"/>
        <v>0</v>
      </c>
      <c r="J760" s="8" t="e">
        <f t="shared" ca="1" si="153"/>
        <v>#DIV/0!</v>
      </c>
      <c r="K760" s="9" t="e">
        <f t="shared" ca="1" si="154"/>
        <v>#DIV/0!</v>
      </c>
      <c r="L760" t="e">
        <f ca="1">+_xlfn.IFNA(VLOOKUP(M760,BespokeWindowsAreas!$A$1:$E$1999,1,FALSE),VLOOKUP(E760,WindowTypeArea!$B$2:$C$2000,2,FALSE))</f>
        <v>#N/A</v>
      </c>
      <c r="M760">
        <f t="shared" ca="1" si="155"/>
        <v>0</v>
      </c>
    </row>
    <row r="761" spans="1:13" x14ac:dyDescent="0.25">
      <c r="A761">
        <f t="shared" ca="1" si="146"/>
        <v>2</v>
      </c>
      <c r="B761">
        <f t="shared" ca="1" si="147"/>
        <v>348</v>
      </c>
      <c r="C761" t="str">
        <f t="shared" ca="1" si="156"/>
        <v>'WINDOWS-NCH-A-BDP-M3-00-00'!B347</v>
      </c>
      <c r="D761" s="6" t="str">
        <f t="shared" ca="1" si="145"/>
        <v>L00-OPD-CC3-S028-16</v>
      </c>
      <c r="E761" t="str">
        <f t="shared" ca="1" si="148"/>
        <v>Family Type: 975w x 3050h, Family: Window External Type 1 - Recessed</v>
      </c>
      <c r="F761" t="str">
        <f t="shared" ca="1" si="149"/>
        <v>Vector(X = -0.323, Y = 0.946, Z = 0.000, Length = 1.000)</v>
      </c>
      <c r="G761">
        <f t="shared" ca="1" si="150"/>
        <v>-0.3</v>
      </c>
      <c r="H761">
        <f t="shared" ca="1" si="151"/>
        <v>0.9</v>
      </c>
      <c r="I761">
        <f t="shared" ca="1" si="152"/>
        <v>0</v>
      </c>
      <c r="J761" s="8">
        <f t="shared" ca="1" si="153"/>
        <v>108.43494882292201</v>
      </c>
      <c r="K761" s="9" t="str">
        <f t="shared" ca="1" si="154"/>
        <v>N</v>
      </c>
      <c r="L761">
        <f ca="1">+_xlfn.IFNA(VLOOKUP(M761,BespokeWindowsAreas!$A$1:$E$1999,1,FALSE),VLOOKUP(E761,WindowTypeArea!$B$2:$C$2000,2,FALSE))</f>
        <v>2.9737499999999999</v>
      </c>
      <c r="M761">
        <f t="shared" ca="1" si="155"/>
        <v>4785986</v>
      </c>
    </row>
    <row r="762" spans="1:13" x14ac:dyDescent="0.25">
      <c r="A762">
        <f t="shared" ca="1" si="146"/>
        <v>2</v>
      </c>
      <c r="B762">
        <f t="shared" ca="1" si="147"/>
        <v>349</v>
      </c>
      <c r="C762" t="str">
        <f t="shared" ca="1" si="156"/>
        <v>'WINDOWS-NCH-A-BDP-M3-00-00'!B348</v>
      </c>
      <c r="D762" s="6" t="str">
        <f t="shared" ca="1" si="145"/>
        <v>L00-OPD-CC3-S029-02</v>
      </c>
      <c r="E762" t="str">
        <f t="shared" ca="1" si="148"/>
        <v>L00-OPD-CC3-S029-02</v>
      </c>
      <c r="F762">
        <f t="shared" ca="1" si="149"/>
        <v>1891337</v>
      </c>
      <c r="G762">
        <f t="shared" ca="1" si="150"/>
        <v>0</v>
      </c>
      <c r="H762">
        <f t="shared" ca="1" si="151"/>
        <v>0</v>
      </c>
      <c r="I762">
        <f t="shared" ca="1" si="152"/>
        <v>0</v>
      </c>
      <c r="J762" s="8" t="e">
        <f t="shared" ca="1" si="153"/>
        <v>#DIV/0!</v>
      </c>
      <c r="K762" s="9" t="e">
        <f t="shared" ca="1" si="154"/>
        <v>#DIV/0!</v>
      </c>
      <c r="L762" t="e">
        <f ca="1">+_xlfn.IFNA(VLOOKUP(M762,BespokeWindowsAreas!$A$1:$E$1999,1,FALSE),VLOOKUP(E762,WindowTypeArea!$B$2:$C$2000,2,FALSE))</f>
        <v>#N/A</v>
      </c>
      <c r="M762">
        <f t="shared" ca="1" si="155"/>
        <v>0</v>
      </c>
    </row>
    <row r="763" spans="1:13" x14ac:dyDescent="0.25">
      <c r="A763">
        <f t="shared" ca="1" si="146"/>
        <v>2</v>
      </c>
      <c r="B763">
        <f t="shared" ca="1" si="147"/>
        <v>350</v>
      </c>
      <c r="C763" t="str">
        <f t="shared" ca="1" si="156"/>
        <v>'WINDOWS-NCH-A-BDP-M3-00-00'!B349</v>
      </c>
      <c r="D763" s="6" t="str">
        <f t="shared" ca="1" si="145"/>
        <v>L00-OPD-CC3-S029-02</v>
      </c>
      <c r="E763" t="str">
        <f t="shared" ca="1" si="148"/>
        <v>Family Type: 1500w x 3050h, Family: Window External Type 3 - Recessed and Angle</v>
      </c>
      <c r="F763" t="str">
        <f t="shared" ca="1" si="149"/>
        <v>Vector(X = 0.323, Y = -0.946, Z = 0.000, Length = 1.000)</v>
      </c>
      <c r="G763">
        <f t="shared" ca="1" si="150"/>
        <v>0.3</v>
      </c>
      <c r="H763">
        <f t="shared" ca="1" si="151"/>
        <v>-0.9</v>
      </c>
      <c r="I763">
        <f t="shared" ca="1" si="152"/>
        <v>0</v>
      </c>
      <c r="J763" s="8">
        <f t="shared" ca="1" si="153"/>
        <v>-71.56505117707799</v>
      </c>
      <c r="K763" s="9" t="str">
        <f t="shared" ca="1" si="154"/>
        <v>S</v>
      </c>
      <c r="L763">
        <f ca="1">+_xlfn.IFNA(VLOOKUP(M763,BespokeWindowsAreas!$A$1:$E$1999,1,FALSE),VLOOKUP(E763,WindowTypeArea!$B$2:$C$2000,2,FALSE))</f>
        <v>4.5750000000000002</v>
      </c>
      <c r="M763">
        <f t="shared" ca="1" si="155"/>
        <v>4792568</v>
      </c>
    </row>
    <row r="764" spans="1:13" x14ac:dyDescent="0.25">
      <c r="A764">
        <f t="shared" ca="1" si="146"/>
        <v>2</v>
      </c>
      <c r="B764">
        <f t="shared" ca="1" si="147"/>
        <v>351</v>
      </c>
      <c r="C764" t="str">
        <f t="shared" ca="1" si="156"/>
        <v>'WINDOWS-NCH-A-BDP-M3-00-00'!B350</v>
      </c>
      <c r="D764" s="6" t="str">
        <f t="shared" ca="1" si="145"/>
        <v>L00-OPD-CC3-S064-03</v>
      </c>
      <c r="E764" t="str">
        <f t="shared" ca="1" si="148"/>
        <v>L00-OPD-CC3-S064-03</v>
      </c>
      <c r="F764">
        <f t="shared" ca="1" si="149"/>
        <v>1891339</v>
      </c>
      <c r="G764">
        <f t="shared" ca="1" si="150"/>
        <v>0</v>
      </c>
      <c r="H764">
        <f t="shared" ca="1" si="151"/>
        <v>0</v>
      </c>
      <c r="I764">
        <f t="shared" ca="1" si="152"/>
        <v>0</v>
      </c>
      <c r="J764" s="8" t="e">
        <f t="shared" ca="1" si="153"/>
        <v>#DIV/0!</v>
      </c>
      <c r="K764" s="9" t="e">
        <f t="shared" ca="1" si="154"/>
        <v>#DIV/0!</v>
      </c>
      <c r="L764" t="e">
        <f ca="1">+_xlfn.IFNA(VLOOKUP(M764,BespokeWindowsAreas!$A$1:$E$1999,1,FALSE),VLOOKUP(E764,WindowTypeArea!$B$2:$C$2000,2,FALSE))</f>
        <v>#N/A</v>
      </c>
      <c r="M764">
        <f t="shared" ca="1" si="155"/>
        <v>0</v>
      </c>
    </row>
    <row r="765" spans="1:13" x14ac:dyDescent="0.25">
      <c r="A765">
        <f t="shared" ca="1" si="146"/>
        <v>2</v>
      </c>
      <c r="B765">
        <f t="shared" ca="1" si="147"/>
        <v>352</v>
      </c>
      <c r="C765" t="str">
        <f t="shared" ca="1" si="156"/>
        <v>'WINDOWS-NCH-A-BDP-M3-00-00'!B351</v>
      </c>
      <c r="D765" s="6" t="str">
        <f t="shared" ca="1" si="145"/>
        <v>none - connecect to atrium</v>
      </c>
      <c r="E765" t="str">
        <f t="shared" ca="1" si="148"/>
        <v>none - connecect to atrium</v>
      </c>
      <c r="F765" t="str">
        <f t="shared" ca="1" si="149"/>
        <v>Vector(X = -0.323, Y = 0.946, Z = 0.000, Length = 1.000)</v>
      </c>
      <c r="G765">
        <f t="shared" ca="1" si="150"/>
        <v>-0.3</v>
      </c>
      <c r="H765">
        <f t="shared" ca="1" si="151"/>
        <v>0.9</v>
      </c>
      <c r="I765">
        <f t="shared" ca="1" si="152"/>
        <v>0</v>
      </c>
      <c r="J765" s="8">
        <f t="shared" ca="1" si="153"/>
        <v>108.43494882292201</v>
      </c>
      <c r="K765" s="9" t="str">
        <f t="shared" ca="1" si="154"/>
        <v>N</v>
      </c>
      <c r="L765" t="e">
        <f ca="1">+_xlfn.IFNA(VLOOKUP(M765,BespokeWindowsAreas!$A$1:$E$1999,1,FALSE),VLOOKUP(E765,WindowTypeArea!$B$2:$C$2000,2,FALSE))</f>
        <v>#N/A</v>
      </c>
      <c r="M765">
        <f t="shared" ca="1" si="155"/>
        <v>6506239</v>
      </c>
    </row>
    <row r="766" spans="1:13" x14ac:dyDescent="0.25">
      <c r="A766">
        <f t="shared" ca="1" si="146"/>
        <v>2</v>
      </c>
      <c r="B766">
        <f t="shared" ca="1" si="147"/>
        <v>353</v>
      </c>
      <c r="C766" t="str">
        <f t="shared" ca="1" si="156"/>
        <v>'WINDOWS-NCH-A-BDP-M3-00-00'!B352</v>
      </c>
      <c r="D766" s="6" t="str">
        <f t="shared" ca="1" si="145"/>
        <v>L00-OPD-CC3-S064-04</v>
      </c>
      <c r="E766" t="str">
        <f t="shared" ca="1" si="148"/>
        <v>L00-OPD-CC3-S064-04</v>
      </c>
      <c r="F766">
        <f t="shared" ca="1" si="149"/>
        <v>1891341</v>
      </c>
      <c r="G766">
        <f t="shared" ca="1" si="150"/>
        <v>0</v>
      </c>
      <c r="H766">
        <f t="shared" ca="1" si="151"/>
        <v>0</v>
      </c>
      <c r="I766">
        <f t="shared" ca="1" si="152"/>
        <v>0</v>
      </c>
      <c r="J766" s="8" t="e">
        <f t="shared" ca="1" si="153"/>
        <v>#DIV/0!</v>
      </c>
      <c r="K766" s="9" t="e">
        <f t="shared" ca="1" si="154"/>
        <v>#DIV/0!</v>
      </c>
      <c r="L766" t="e">
        <f ca="1">+_xlfn.IFNA(VLOOKUP(M766,BespokeWindowsAreas!$A$1:$E$1999,1,FALSE),VLOOKUP(E766,WindowTypeArea!$B$2:$C$2000,2,FALSE))</f>
        <v>#N/A</v>
      </c>
      <c r="M766">
        <f t="shared" ca="1" si="155"/>
        <v>0</v>
      </c>
    </row>
    <row r="767" spans="1:13" x14ac:dyDescent="0.25">
      <c r="A767">
        <f t="shared" ca="1" si="146"/>
        <v>2</v>
      </c>
      <c r="B767">
        <f t="shared" ca="1" si="147"/>
        <v>354</v>
      </c>
      <c r="C767" t="str">
        <f t="shared" ca="1" si="156"/>
        <v>'WINDOWS-NCH-A-BDP-M3-00-00'!B353</v>
      </c>
      <c r="D767" s="6" t="str">
        <f t="shared" ca="1" si="145"/>
        <v>none - connecect to atrium</v>
      </c>
      <c r="E767" t="str">
        <f t="shared" ca="1" si="148"/>
        <v>none - connecect to atrium</v>
      </c>
      <c r="F767" t="str">
        <f t="shared" ca="1" si="149"/>
        <v>Vector(X = -0.323, Y = 0.946, Z = 0.000, Length = 1.000)</v>
      </c>
      <c r="G767">
        <f t="shared" ca="1" si="150"/>
        <v>-0.3</v>
      </c>
      <c r="H767">
        <f t="shared" ca="1" si="151"/>
        <v>0.9</v>
      </c>
      <c r="I767">
        <f t="shared" ca="1" si="152"/>
        <v>0</v>
      </c>
      <c r="J767" s="8">
        <f t="shared" ca="1" si="153"/>
        <v>108.43494882292201</v>
      </c>
      <c r="K767" s="9" t="str">
        <f t="shared" ca="1" si="154"/>
        <v>N</v>
      </c>
      <c r="L767" t="e">
        <f ca="1">+_xlfn.IFNA(VLOOKUP(M767,BespokeWindowsAreas!$A$1:$E$1999,1,FALSE),VLOOKUP(E767,WindowTypeArea!$B$2:$C$2000,2,FALSE))</f>
        <v>#N/A</v>
      </c>
      <c r="M767">
        <f t="shared" ca="1" si="155"/>
        <v>6506157</v>
      </c>
    </row>
    <row r="768" spans="1:13" x14ac:dyDescent="0.25">
      <c r="A768">
        <f t="shared" ca="1" si="146"/>
        <v>2</v>
      </c>
      <c r="B768">
        <f t="shared" ca="1" si="147"/>
        <v>355</v>
      </c>
      <c r="C768" t="str">
        <f t="shared" ca="1" si="156"/>
        <v>'WINDOWS-NCH-A-BDP-M3-00-00'!B354</v>
      </c>
      <c r="D768" s="6" t="str">
        <f t="shared" ca="1" si="145"/>
        <v>L00-OPD-CC3-S064-05</v>
      </c>
      <c r="E768" t="str">
        <f t="shared" ca="1" si="148"/>
        <v>L00-OPD-CC3-S064-05</v>
      </c>
      <c r="F768">
        <f t="shared" ca="1" si="149"/>
        <v>1891343</v>
      </c>
      <c r="G768">
        <f t="shared" ca="1" si="150"/>
        <v>0</v>
      </c>
      <c r="H768">
        <f t="shared" ca="1" si="151"/>
        <v>0</v>
      </c>
      <c r="I768">
        <f t="shared" ca="1" si="152"/>
        <v>0</v>
      </c>
      <c r="J768" s="8" t="e">
        <f t="shared" ca="1" si="153"/>
        <v>#DIV/0!</v>
      </c>
      <c r="K768" s="9" t="e">
        <f t="shared" ca="1" si="154"/>
        <v>#DIV/0!</v>
      </c>
      <c r="L768" t="e">
        <f ca="1">+_xlfn.IFNA(VLOOKUP(M768,BespokeWindowsAreas!$A$1:$E$1999,1,FALSE),VLOOKUP(E768,WindowTypeArea!$B$2:$C$2000,2,FALSE))</f>
        <v>#N/A</v>
      </c>
      <c r="M768">
        <f t="shared" ca="1" si="155"/>
        <v>0</v>
      </c>
    </row>
    <row r="769" spans="1:13" x14ac:dyDescent="0.25">
      <c r="A769">
        <f t="shared" ca="1" si="146"/>
        <v>2</v>
      </c>
      <c r="B769">
        <f t="shared" ca="1" si="147"/>
        <v>356</v>
      </c>
      <c r="C769" t="str">
        <f t="shared" ca="1" si="156"/>
        <v>'WINDOWS-NCH-A-BDP-M3-00-00'!B355</v>
      </c>
      <c r="D769" s="6" t="str">
        <f t="shared" ca="1" si="145"/>
        <v>L00-OPD-CC3-S064-05</v>
      </c>
      <c r="E769" t="str">
        <f t="shared" ca="1" si="148"/>
        <v>Family Type: 1950w x 3050h, Family: Window External Type 3 - Recessed and Angle</v>
      </c>
      <c r="F769" t="str">
        <f t="shared" ca="1" si="149"/>
        <v>Vector(X = 0.323, Y = -0.946, Z = 0.000, Length = 1.000)</v>
      </c>
      <c r="G769">
        <f t="shared" ca="1" si="150"/>
        <v>0.3</v>
      </c>
      <c r="H769">
        <f t="shared" ca="1" si="151"/>
        <v>-0.9</v>
      </c>
      <c r="I769">
        <f t="shared" ca="1" si="152"/>
        <v>0</v>
      </c>
      <c r="J769" s="8">
        <f t="shared" ca="1" si="153"/>
        <v>-71.56505117707799</v>
      </c>
      <c r="K769" s="9" t="str">
        <f t="shared" ca="1" si="154"/>
        <v>S</v>
      </c>
      <c r="L769">
        <f ca="1">+_xlfn.IFNA(VLOOKUP(M769,BespokeWindowsAreas!$A$1:$E$1999,1,FALSE),VLOOKUP(E769,WindowTypeArea!$B$2:$C$2000,2,FALSE))</f>
        <v>5.9474999999999998</v>
      </c>
      <c r="M769">
        <f t="shared" ca="1" si="155"/>
        <v>4792454</v>
      </c>
    </row>
    <row r="770" spans="1:13" x14ac:dyDescent="0.25">
      <c r="A770">
        <f t="shared" ca="1" si="146"/>
        <v>2</v>
      </c>
      <c r="B770">
        <f t="shared" ca="1" si="147"/>
        <v>357</v>
      </c>
      <c r="C770" t="str">
        <f t="shared" ca="1" si="156"/>
        <v>'WINDOWS-NCH-A-BDP-M3-00-00'!B356</v>
      </c>
      <c r="D770" s="6" t="str">
        <f t="shared" ca="1" si="145"/>
        <v>L00-OPD-CC3-S059-02</v>
      </c>
      <c r="E770" t="str">
        <f t="shared" ca="1" si="148"/>
        <v>L00-OPD-CC3-S059-02</v>
      </c>
      <c r="F770">
        <f t="shared" ca="1" si="149"/>
        <v>1891345</v>
      </c>
      <c r="G770">
        <f t="shared" ca="1" si="150"/>
        <v>0</v>
      </c>
      <c r="H770">
        <f t="shared" ca="1" si="151"/>
        <v>0</v>
      </c>
      <c r="I770">
        <f t="shared" ca="1" si="152"/>
        <v>0</v>
      </c>
      <c r="J770" s="8" t="e">
        <f t="shared" ca="1" si="153"/>
        <v>#DIV/0!</v>
      </c>
      <c r="K770" s="9" t="e">
        <f t="shared" ca="1" si="154"/>
        <v>#DIV/0!</v>
      </c>
      <c r="L770" t="e">
        <f ca="1">+_xlfn.IFNA(VLOOKUP(M770,BespokeWindowsAreas!$A$1:$E$1999,1,FALSE),VLOOKUP(E770,WindowTypeArea!$B$2:$C$2000,2,FALSE))</f>
        <v>#N/A</v>
      </c>
      <c r="M770">
        <f t="shared" ca="1" si="155"/>
        <v>0</v>
      </c>
    </row>
    <row r="771" spans="1:13" x14ac:dyDescent="0.25">
      <c r="A771">
        <f t="shared" ca="1" si="146"/>
        <v>2</v>
      </c>
      <c r="B771">
        <f t="shared" ca="1" si="147"/>
        <v>358</v>
      </c>
      <c r="C771" t="str">
        <f t="shared" ca="1" si="156"/>
        <v>'WINDOWS-NCH-A-BDP-M3-00-00'!B357</v>
      </c>
      <c r="D771" s="6" t="str">
        <f t="shared" ca="1" si="145"/>
        <v>L00-OPD-CC3-S059-02</v>
      </c>
      <c r="E771" t="str">
        <f t="shared" ca="1" si="148"/>
        <v>Family Type: 1500w x 3050h, Family: Window External Type 3 - Recessed and Angle</v>
      </c>
      <c r="F771" t="str">
        <f t="shared" ca="1" si="149"/>
        <v>Vector(X = 0.323, Y = -0.946, Z = 0.000, Length = 1.000)</v>
      </c>
      <c r="G771">
        <f t="shared" ca="1" si="150"/>
        <v>0.3</v>
      </c>
      <c r="H771">
        <f t="shared" ca="1" si="151"/>
        <v>-0.9</v>
      </c>
      <c r="I771">
        <f t="shared" ca="1" si="152"/>
        <v>0</v>
      </c>
      <c r="J771" s="8">
        <f t="shared" ca="1" si="153"/>
        <v>-71.56505117707799</v>
      </c>
      <c r="K771" s="9" t="str">
        <f t="shared" ca="1" si="154"/>
        <v>S</v>
      </c>
      <c r="L771">
        <f ca="1">+_xlfn.IFNA(VLOOKUP(M771,BespokeWindowsAreas!$A$1:$E$1999,1,FALSE),VLOOKUP(E771,WindowTypeArea!$B$2:$C$2000,2,FALSE))</f>
        <v>4.5750000000000002</v>
      </c>
      <c r="M771">
        <f t="shared" ca="1" si="155"/>
        <v>4792404</v>
      </c>
    </row>
    <row r="772" spans="1:13" x14ac:dyDescent="0.25">
      <c r="A772">
        <f t="shared" ca="1" si="146"/>
        <v>2</v>
      </c>
      <c r="B772">
        <f t="shared" ca="1" si="147"/>
        <v>359</v>
      </c>
      <c r="C772" t="str">
        <f t="shared" ca="1" si="156"/>
        <v>'WINDOWS-NCH-A-BDP-M3-00-00'!B358</v>
      </c>
      <c r="D772" s="6" t="str">
        <f t="shared" ca="1" si="145"/>
        <v>L00-OPD-CC3-S059-04</v>
      </c>
      <c r="E772" t="str">
        <f t="shared" ca="1" si="148"/>
        <v>L00-OPD-CC3-S059-04</v>
      </c>
      <c r="F772">
        <f t="shared" ca="1" si="149"/>
        <v>1891347</v>
      </c>
      <c r="G772">
        <f t="shared" ca="1" si="150"/>
        <v>0</v>
      </c>
      <c r="H772">
        <f t="shared" ca="1" si="151"/>
        <v>0</v>
      </c>
      <c r="I772">
        <f t="shared" ca="1" si="152"/>
        <v>0</v>
      </c>
      <c r="J772" s="8" t="e">
        <f t="shared" ca="1" si="153"/>
        <v>#DIV/0!</v>
      </c>
      <c r="K772" s="9" t="e">
        <f t="shared" ca="1" si="154"/>
        <v>#DIV/0!</v>
      </c>
      <c r="L772" t="e">
        <f ca="1">+_xlfn.IFNA(VLOOKUP(M772,BespokeWindowsAreas!$A$1:$E$1999,1,FALSE),VLOOKUP(E772,WindowTypeArea!$B$2:$C$2000,2,FALSE))</f>
        <v>#N/A</v>
      </c>
      <c r="M772">
        <f t="shared" ca="1" si="155"/>
        <v>0</v>
      </c>
    </row>
    <row r="773" spans="1:13" x14ac:dyDescent="0.25">
      <c r="A773">
        <f t="shared" ca="1" si="146"/>
        <v>2</v>
      </c>
      <c r="B773">
        <f t="shared" ca="1" si="147"/>
        <v>360</v>
      </c>
      <c r="C773" t="str">
        <f t="shared" ca="1" si="156"/>
        <v>'WINDOWS-NCH-A-BDP-M3-00-00'!B359</v>
      </c>
      <c r="D773" s="6" t="str">
        <f t="shared" ca="1" si="145"/>
        <v>L00-OPD-CC3-S059-04</v>
      </c>
      <c r="E773" t="str">
        <f t="shared" ca="1" si="148"/>
        <v>Family Type: 1500w x 3050h, Family: Window External Type 3 - Recessed and Angle</v>
      </c>
      <c r="F773" t="str">
        <f t="shared" ca="1" si="149"/>
        <v>Vector(X = 0.323, Y = -0.946, Z = 0.000, Length = 1.000)</v>
      </c>
      <c r="G773">
        <f t="shared" ca="1" si="150"/>
        <v>0.3</v>
      </c>
      <c r="H773">
        <f t="shared" ca="1" si="151"/>
        <v>-0.9</v>
      </c>
      <c r="I773">
        <f t="shared" ca="1" si="152"/>
        <v>0</v>
      </c>
      <c r="J773" s="8">
        <f t="shared" ca="1" si="153"/>
        <v>-71.56505117707799</v>
      </c>
      <c r="K773" s="9" t="str">
        <f t="shared" ca="1" si="154"/>
        <v>S</v>
      </c>
      <c r="L773">
        <f ca="1">+_xlfn.IFNA(VLOOKUP(M773,BespokeWindowsAreas!$A$1:$E$1999,1,FALSE),VLOOKUP(E773,WindowTypeArea!$B$2:$C$2000,2,FALSE))</f>
        <v>4.5750000000000002</v>
      </c>
      <c r="M773">
        <f t="shared" ca="1" si="155"/>
        <v>4792126</v>
      </c>
    </row>
    <row r="774" spans="1:13" x14ac:dyDescent="0.25">
      <c r="A774">
        <f t="shared" ca="1" si="146"/>
        <v>2</v>
      </c>
      <c r="B774">
        <f t="shared" ca="1" si="147"/>
        <v>361</v>
      </c>
      <c r="C774" t="str">
        <f t="shared" ca="1" si="156"/>
        <v>'WINDOWS-NCH-A-BDP-M3-00-00'!B360</v>
      </c>
      <c r="D774" s="6" t="str">
        <f t="shared" ref="D774:D837" ca="1" si="157">+IF(IFERROR(FIND("Family",E774)&gt;0,FALSE),D773,E774)</f>
        <v>L00-OPD-CC3-S137-02</v>
      </c>
      <c r="E774" t="str">
        <f t="shared" ca="1" si="148"/>
        <v>L00-OPD-CC3-S137-02</v>
      </c>
      <c r="F774">
        <f t="shared" ca="1" si="149"/>
        <v>1891351</v>
      </c>
      <c r="G774">
        <f t="shared" ca="1" si="150"/>
        <v>0</v>
      </c>
      <c r="H774">
        <f t="shared" ca="1" si="151"/>
        <v>0</v>
      </c>
      <c r="I774">
        <f t="shared" ca="1" si="152"/>
        <v>0</v>
      </c>
      <c r="J774" s="8" t="e">
        <f t="shared" ca="1" si="153"/>
        <v>#DIV/0!</v>
      </c>
      <c r="K774" s="9" t="e">
        <f t="shared" ca="1" si="154"/>
        <v>#DIV/0!</v>
      </c>
      <c r="L774" t="e">
        <f ca="1">+_xlfn.IFNA(VLOOKUP(M774,BespokeWindowsAreas!$A$1:$E$1999,1,FALSE),VLOOKUP(E774,WindowTypeArea!$B$2:$C$2000,2,FALSE))</f>
        <v>#N/A</v>
      </c>
      <c r="M774">
        <f t="shared" ca="1" si="155"/>
        <v>0</v>
      </c>
    </row>
    <row r="775" spans="1:13" x14ac:dyDescent="0.25">
      <c r="A775">
        <f t="shared" ca="1" si="146"/>
        <v>2</v>
      </c>
      <c r="B775">
        <f t="shared" ca="1" si="147"/>
        <v>362</v>
      </c>
      <c r="C775" t="str">
        <f t="shared" ca="1" si="156"/>
        <v>'WINDOWS-NCH-A-BDP-M3-00-00'!B361</v>
      </c>
      <c r="D775" s="6" t="str">
        <f t="shared" ca="1" si="157"/>
        <v>none - connecect to atrium</v>
      </c>
      <c r="E775" t="str">
        <f t="shared" ca="1" si="148"/>
        <v>none - connecect to atrium</v>
      </c>
      <c r="F775" t="str">
        <f t="shared" ca="1" si="149"/>
        <v>Vector(X = 0.530, Y = -0.848, Z = 0.000, Length = 1.000)</v>
      </c>
      <c r="G775">
        <f t="shared" ca="1" si="150"/>
        <v>0.5</v>
      </c>
      <c r="H775">
        <f t="shared" ca="1" si="151"/>
        <v>-0.8</v>
      </c>
      <c r="I775">
        <f t="shared" ca="1" si="152"/>
        <v>0</v>
      </c>
      <c r="J775" s="8">
        <f t="shared" ca="1" si="153"/>
        <v>-57.994616791916499</v>
      </c>
      <c r="K775" s="9" t="str">
        <f t="shared" ca="1" si="154"/>
        <v>S</v>
      </c>
      <c r="L775" t="e">
        <f ca="1">+_xlfn.IFNA(VLOOKUP(M775,BespokeWindowsAreas!$A$1:$E$1999,1,FALSE),VLOOKUP(E775,WindowTypeArea!$B$2:$C$2000,2,FALSE))</f>
        <v>#N/A</v>
      </c>
      <c r="M775">
        <f t="shared" ca="1" si="155"/>
        <v>5148315</v>
      </c>
    </row>
    <row r="776" spans="1:13" x14ac:dyDescent="0.25">
      <c r="A776">
        <f t="shared" ca="1" si="146"/>
        <v>2</v>
      </c>
      <c r="B776">
        <f t="shared" ca="1" si="147"/>
        <v>363</v>
      </c>
      <c r="C776" t="str">
        <f t="shared" ca="1" si="156"/>
        <v>'WINDOWS-NCH-A-BDP-M3-00-00'!B362</v>
      </c>
      <c r="D776" s="6" t="str">
        <f t="shared" ca="1" si="157"/>
        <v>L00-OPD-CC3-S052-02</v>
      </c>
      <c r="E776" t="str">
        <f t="shared" ca="1" si="148"/>
        <v>L00-OPD-CC3-S052-02</v>
      </c>
      <c r="F776">
        <f t="shared" ca="1" si="149"/>
        <v>1891355</v>
      </c>
      <c r="G776">
        <f t="shared" ca="1" si="150"/>
        <v>0</v>
      </c>
      <c r="H776">
        <f t="shared" ca="1" si="151"/>
        <v>0</v>
      </c>
      <c r="I776">
        <f t="shared" ca="1" si="152"/>
        <v>0</v>
      </c>
      <c r="J776" s="8" t="e">
        <f t="shared" ca="1" si="153"/>
        <v>#DIV/0!</v>
      </c>
      <c r="K776" s="9" t="e">
        <f t="shared" ca="1" si="154"/>
        <v>#DIV/0!</v>
      </c>
      <c r="L776" t="e">
        <f ca="1">+_xlfn.IFNA(VLOOKUP(M776,BespokeWindowsAreas!$A$1:$E$1999,1,FALSE),VLOOKUP(E776,WindowTypeArea!$B$2:$C$2000,2,FALSE))</f>
        <v>#N/A</v>
      </c>
      <c r="M776">
        <f t="shared" ca="1" si="155"/>
        <v>0</v>
      </c>
    </row>
    <row r="777" spans="1:13" x14ac:dyDescent="0.25">
      <c r="A777">
        <f t="shared" ca="1" si="146"/>
        <v>2</v>
      </c>
      <c r="B777">
        <f t="shared" ca="1" si="147"/>
        <v>364</v>
      </c>
      <c r="C777" t="str">
        <f t="shared" ca="1" si="156"/>
        <v>'WINDOWS-NCH-A-BDP-M3-00-00'!B363</v>
      </c>
      <c r="D777" s="6" t="str">
        <f t="shared" ca="1" si="157"/>
        <v>L00-OPD-CC3-S052-02</v>
      </c>
      <c r="E777" t="str">
        <f t="shared" ca="1" si="148"/>
        <v>Family Type: 1000w x 3050h, Family: Window External Type 2 - Recessed and Fin</v>
      </c>
      <c r="F777" t="str">
        <f t="shared" ca="1" si="149"/>
        <v>Vector(X = -0.429, Y = 0.903, Z = 0.000, Length = 1.000)</v>
      </c>
      <c r="G777">
        <f t="shared" ca="1" si="150"/>
        <v>-0.4</v>
      </c>
      <c r="H777">
        <f t="shared" ca="1" si="151"/>
        <v>0.9</v>
      </c>
      <c r="I777">
        <f t="shared" ca="1" si="152"/>
        <v>0</v>
      </c>
      <c r="J777" s="8">
        <f t="shared" ca="1" si="153"/>
        <v>113.96248897457818</v>
      </c>
      <c r="K777" s="9" t="str">
        <f t="shared" ca="1" si="154"/>
        <v>N</v>
      </c>
      <c r="L777">
        <f ca="1">+_xlfn.IFNA(VLOOKUP(M777,BespokeWindowsAreas!$A$1:$E$1999,1,FALSE),VLOOKUP(E777,WindowTypeArea!$B$2:$C$2000,2,FALSE))</f>
        <v>3.05</v>
      </c>
      <c r="M777">
        <f t="shared" ca="1" si="155"/>
        <v>4780137</v>
      </c>
    </row>
    <row r="778" spans="1:13" x14ac:dyDescent="0.25">
      <c r="A778">
        <f t="shared" ca="1" si="146"/>
        <v>2</v>
      </c>
      <c r="B778">
        <f t="shared" ca="1" si="147"/>
        <v>365</v>
      </c>
      <c r="C778" t="str">
        <f t="shared" ca="1" si="156"/>
        <v>'WINDOWS-NCH-A-BDP-M3-00-00'!B364</v>
      </c>
      <c r="D778" s="6" t="str">
        <f t="shared" ca="1" si="157"/>
        <v>L00-OPD-CC3-S052-03</v>
      </c>
      <c r="E778" t="str">
        <f t="shared" ca="1" si="148"/>
        <v>L00-OPD-CC3-S052-03</v>
      </c>
      <c r="F778">
        <f t="shared" ca="1" si="149"/>
        <v>1891357</v>
      </c>
      <c r="G778">
        <f t="shared" ca="1" si="150"/>
        <v>0</v>
      </c>
      <c r="H778">
        <f t="shared" ca="1" si="151"/>
        <v>0</v>
      </c>
      <c r="I778">
        <f t="shared" ca="1" si="152"/>
        <v>0</v>
      </c>
      <c r="J778" s="8" t="e">
        <f t="shared" ca="1" si="153"/>
        <v>#DIV/0!</v>
      </c>
      <c r="K778" s="9" t="e">
        <f t="shared" ca="1" si="154"/>
        <v>#DIV/0!</v>
      </c>
      <c r="L778" t="e">
        <f ca="1">+_xlfn.IFNA(VLOOKUP(M778,BespokeWindowsAreas!$A$1:$E$1999,1,FALSE),VLOOKUP(E778,WindowTypeArea!$B$2:$C$2000,2,FALSE))</f>
        <v>#N/A</v>
      </c>
      <c r="M778">
        <f t="shared" ca="1" si="155"/>
        <v>0</v>
      </c>
    </row>
    <row r="779" spans="1:13" x14ac:dyDescent="0.25">
      <c r="A779">
        <f t="shared" ca="1" si="146"/>
        <v>2</v>
      </c>
      <c r="B779">
        <f t="shared" ca="1" si="147"/>
        <v>366</v>
      </c>
      <c r="C779" t="str">
        <f t="shared" ca="1" si="156"/>
        <v>'WINDOWS-NCH-A-BDP-M3-00-00'!B365</v>
      </c>
      <c r="D779" s="6" t="str">
        <f t="shared" ca="1" si="157"/>
        <v>L00-OPD-CC3-S052-03</v>
      </c>
      <c r="E779" t="str">
        <f t="shared" ca="1" si="148"/>
        <v>Family Type: 975w x 3050h, Family: Window External Type 1 - Recessed</v>
      </c>
      <c r="F779" t="str">
        <f t="shared" ca="1" si="149"/>
        <v>Vector(X = -0.429, Y = 0.903, Z = 0.000, Length = 1.000)</v>
      </c>
      <c r="G779">
        <f t="shared" ca="1" si="150"/>
        <v>-0.4</v>
      </c>
      <c r="H779">
        <f t="shared" ca="1" si="151"/>
        <v>0.9</v>
      </c>
      <c r="I779">
        <f t="shared" ca="1" si="152"/>
        <v>0</v>
      </c>
      <c r="J779" s="8">
        <f t="shared" ca="1" si="153"/>
        <v>113.96248897457818</v>
      </c>
      <c r="K779" s="9" t="str">
        <f t="shared" ca="1" si="154"/>
        <v>N</v>
      </c>
      <c r="L779">
        <f ca="1">+_xlfn.IFNA(VLOOKUP(M779,BespokeWindowsAreas!$A$1:$E$1999,1,FALSE),VLOOKUP(E779,WindowTypeArea!$B$2:$C$2000,2,FALSE))</f>
        <v>2.9737499999999999</v>
      </c>
      <c r="M779">
        <f t="shared" ca="1" si="155"/>
        <v>4779936</v>
      </c>
    </row>
    <row r="780" spans="1:13" x14ac:dyDescent="0.25">
      <c r="A780">
        <f t="shared" ca="1" si="146"/>
        <v>2</v>
      </c>
      <c r="B780">
        <f t="shared" ca="1" si="147"/>
        <v>367</v>
      </c>
      <c r="C780" t="str">
        <f t="shared" ca="1" si="156"/>
        <v>'WINDOWS-NCH-A-BDP-M3-00-00'!B366</v>
      </c>
      <c r="D780" s="6" t="str">
        <f t="shared" ca="1" si="157"/>
        <v>L00-OPD-CC3-S028-21</v>
      </c>
      <c r="E780" t="str">
        <f t="shared" ca="1" si="148"/>
        <v>L00-OPD-CC3-S028-21</v>
      </c>
      <c r="F780">
        <f t="shared" ca="1" si="149"/>
        <v>1891359</v>
      </c>
      <c r="G780">
        <f t="shared" ca="1" si="150"/>
        <v>0</v>
      </c>
      <c r="H780">
        <f t="shared" ca="1" si="151"/>
        <v>0</v>
      </c>
      <c r="I780">
        <f t="shared" ca="1" si="152"/>
        <v>0</v>
      </c>
      <c r="J780" s="8" t="e">
        <f t="shared" ca="1" si="153"/>
        <v>#DIV/0!</v>
      </c>
      <c r="K780" s="9" t="e">
        <f t="shared" ca="1" si="154"/>
        <v>#DIV/0!</v>
      </c>
      <c r="L780" t="e">
        <f ca="1">+_xlfn.IFNA(VLOOKUP(M780,BespokeWindowsAreas!$A$1:$E$1999,1,FALSE),VLOOKUP(E780,WindowTypeArea!$B$2:$C$2000,2,FALSE))</f>
        <v>#N/A</v>
      </c>
      <c r="M780">
        <f t="shared" ca="1" si="155"/>
        <v>0</v>
      </c>
    </row>
    <row r="781" spans="1:13" x14ac:dyDescent="0.25">
      <c r="A781">
        <f t="shared" ca="1" si="146"/>
        <v>2</v>
      </c>
      <c r="B781">
        <f t="shared" ca="1" si="147"/>
        <v>368</v>
      </c>
      <c r="C781" t="str">
        <f t="shared" ca="1" si="156"/>
        <v>'WINDOWS-NCH-A-BDP-M3-00-00'!B367</v>
      </c>
      <c r="D781" s="6" t="str">
        <f t="shared" ca="1" si="157"/>
        <v>L00-OPD-CC3-S028-21</v>
      </c>
      <c r="E781" t="str">
        <f t="shared" ca="1" si="148"/>
        <v>Family Type: 975w x 3050h, Family: Window External Type 1 - Recessed</v>
      </c>
      <c r="F781" t="str">
        <f t="shared" ca="1" si="149"/>
        <v>Vector(X = 0.429, Y = -0.903, Z = 0.000, Length = 1.000)</v>
      </c>
      <c r="G781">
        <f t="shared" ca="1" si="150"/>
        <v>0.4</v>
      </c>
      <c r="H781">
        <f t="shared" ca="1" si="151"/>
        <v>-0.9</v>
      </c>
      <c r="I781">
        <f t="shared" ca="1" si="152"/>
        <v>0</v>
      </c>
      <c r="J781" s="8">
        <f t="shared" ca="1" si="153"/>
        <v>-66.037511025421821</v>
      </c>
      <c r="K781" s="9" t="str">
        <f t="shared" ca="1" si="154"/>
        <v>S</v>
      </c>
      <c r="L781">
        <f ca="1">+_xlfn.IFNA(VLOOKUP(M781,BespokeWindowsAreas!$A$1:$E$1999,1,FALSE),VLOOKUP(E781,WindowTypeArea!$B$2:$C$2000,2,FALSE))</f>
        <v>2.9737499999999999</v>
      </c>
      <c r="M781">
        <f t="shared" ca="1" si="155"/>
        <v>4785984</v>
      </c>
    </row>
    <row r="782" spans="1:13" x14ac:dyDescent="0.25">
      <c r="A782">
        <f t="shared" ca="1" si="146"/>
        <v>2</v>
      </c>
      <c r="B782">
        <f t="shared" ca="1" si="147"/>
        <v>369</v>
      </c>
      <c r="C782" t="str">
        <f t="shared" ca="1" si="156"/>
        <v>'WINDOWS-NCH-A-BDP-M3-00-00'!B368</v>
      </c>
      <c r="D782" s="6" t="str">
        <f t="shared" ca="1" si="157"/>
        <v>L00-OPD-CC3-S029-04</v>
      </c>
      <c r="E782" t="str">
        <f t="shared" ca="1" si="148"/>
        <v>L00-OPD-CC3-S029-04</v>
      </c>
      <c r="F782">
        <f t="shared" ca="1" si="149"/>
        <v>1891361</v>
      </c>
      <c r="G782">
        <f t="shared" ca="1" si="150"/>
        <v>0</v>
      </c>
      <c r="H782">
        <f t="shared" ca="1" si="151"/>
        <v>0</v>
      </c>
      <c r="I782">
        <f t="shared" ca="1" si="152"/>
        <v>0</v>
      </c>
      <c r="J782" s="8" t="e">
        <f t="shared" ca="1" si="153"/>
        <v>#DIV/0!</v>
      </c>
      <c r="K782" s="9" t="e">
        <f t="shared" ca="1" si="154"/>
        <v>#DIV/0!</v>
      </c>
      <c r="L782" t="e">
        <f ca="1">+_xlfn.IFNA(VLOOKUP(M782,BespokeWindowsAreas!$A$1:$E$1999,1,FALSE),VLOOKUP(E782,WindowTypeArea!$B$2:$C$2000,2,FALSE))</f>
        <v>#N/A</v>
      </c>
      <c r="M782">
        <f t="shared" ca="1" si="155"/>
        <v>0</v>
      </c>
    </row>
    <row r="783" spans="1:13" x14ac:dyDescent="0.25">
      <c r="A783">
        <f t="shared" ca="1" si="146"/>
        <v>2</v>
      </c>
      <c r="B783">
        <f t="shared" ca="1" si="147"/>
        <v>370</v>
      </c>
      <c r="C783" t="str">
        <f t="shared" ca="1" si="156"/>
        <v>'WINDOWS-NCH-A-BDP-M3-00-00'!B369</v>
      </c>
      <c r="D783" s="6" t="str">
        <f t="shared" ca="1" si="157"/>
        <v>L00-OPD-CC3-S029-04</v>
      </c>
      <c r="E783" t="str">
        <f t="shared" ca="1" si="148"/>
        <v>Family Type: 975w x 3050h, Family: Window External Type 1 - Recessed</v>
      </c>
      <c r="F783" t="str">
        <f t="shared" ca="1" si="149"/>
        <v>Vector(X = 0.429, Y = -0.903, Z = 0.000, Length = 1.000)</v>
      </c>
      <c r="G783">
        <f t="shared" ca="1" si="150"/>
        <v>0.4</v>
      </c>
      <c r="H783">
        <f t="shared" ca="1" si="151"/>
        <v>-0.9</v>
      </c>
      <c r="I783">
        <f t="shared" ca="1" si="152"/>
        <v>0</v>
      </c>
      <c r="J783" s="8">
        <f t="shared" ca="1" si="153"/>
        <v>-66.037511025421821</v>
      </c>
      <c r="K783" s="9" t="str">
        <f t="shared" ca="1" si="154"/>
        <v>S</v>
      </c>
      <c r="L783">
        <f ca="1">+_xlfn.IFNA(VLOOKUP(M783,BespokeWindowsAreas!$A$1:$E$1999,1,FALSE),VLOOKUP(E783,WindowTypeArea!$B$2:$C$2000,2,FALSE))</f>
        <v>2.9737499999999999</v>
      </c>
      <c r="M783">
        <f t="shared" ca="1" si="155"/>
        <v>4785985</v>
      </c>
    </row>
    <row r="784" spans="1:13" x14ac:dyDescent="0.25">
      <c r="A784">
        <f t="shared" ca="1" si="146"/>
        <v>2</v>
      </c>
      <c r="B784">
        <f t="shared" ca="1" si="147"/>
        <v>371</v>
      </c>
      <c r="C784" t="str">
        <f t="shared" ca="1" si="156"/>
        <v>'WINDOWS-NCH-A-BDP-M3-00-00'!B370</v>
      </c>
      <c r="D784" s="6" t="str">
        <f t="shared" ca="1" si="157"/>
        <v>L00-OPD-CC3-S029-04</v>
      </c>
      <c r="E784" t="str">
        <f t="shared" ca="1" si="148"/>
        <v>Family Type: 975w x 3050h, Family: Window External Type 1 - Recessed</v>
      </c>
      <c r="F784" t="str">
        <f t="shared" ca="1" si="149"/>
        <v>Vector(X = 0.429, Y = -0.903, Z = 0.000, Length = 1.000)</v>
      </c>
      <c r="G784">
        <f t="shared" ca="1" si="150"/>
        <v>0.4</v>
      </c>
      <c r="H784">
        <f t="shared" ca="1" si="151"/>
        <v>-0.9</v>
      </c>
      <c r="I784">
        <f t="shared" ca="1" si="152"/>
        <v>0</v>
      </c>
      <c r="J784" s="8">
        <f t="shared" ca="1" si="153"/>
        <v>-66.037511025421821</v>
      </c>
      <c r="K784" s="9" t="str">
        <f t="shared" ca="1" si="154"/>
        <v>S</v>
      </c>
      <c r="L784">
        <f ca="1">+_xlfn.IFNA(VLOOKUP(M784,BespokeWindowsAreas!$A$1:$E$1999,1,FALSE),VLOOKUP(E784,WindowTypeArea!$B$2:$C$2000,2,FALSE))</f>
        <v>2.9737499999999999</v>
      </c>
      <c r="M784">
        <f t="shared" ca="1" si="155"/>
        <v>5168606</v>
      </c>
    </row>
    <row r="785" spans="1:13" x14ac:dyDescent="0.25">
      <c r="A785">
        <f t="shared" ca="1" si="146"/>
        <v>2</v>
      </c>
      <c r="B785">
        <f t="shared" ca="1" si="147"/>
        <v>372</v>
      </c>
      <c r="C785" t="str">
        <f t="shared" ca="1" si="156"/>
        <v>'WINDOWS-NCH-A-BDP-M3-00-00'!B371</v>
      </c>
      <c r="D785" s="6" t="str">
        <f t="shared" ca="1" si="157"/>
        <v>L00-OPD-CC3-S040-02</v>
      </c>
      <c r="E785" t="str">
        <f t="shared" ca="1" si="148"/>
        <v>L00-OPD-CC3-S040-02</v>
      </c>
      <c r="F785">
        <f t="shared" ca="1" si="149"/>
        <v>1891395</v>
      </c>
      <c r="G785">
        <f t="shared" ca="1" si="150"/>
        <v>0</v>
      </c>
      <c r="H785">
        <f t="shared" ca="1" si="151"/>
        <v>0</v>
      </c>
      <c r="I785">
        <f t="shared" ca="1" si="152"/>
        <v>0</v>
      </c>
      <c r="J785" s="8" t="e">
        <f t="shared" ca="1" si="153"/>
        <v>#DIV/0!</v>
      </c>
      <c r="K785" s="9" t="e">
        <f t="shared" ca="1" si="154"/>
        <v>#DIV/0!</v>
      </c>
      <c r="L785" t="e">
        <f ca="1">+_xlfn.IFNA(VLOOKUP(M785,BespokeWindowsAreas!$A$1:$E$1999,1,FALSE),VLOOKUP(E785,WindowTypeArea!$B$2:$C$2000,2,FALSE))</f>
        <v>#N/A</v>
      </c>
      <c r="M785">
        <f t="shared" ca="1" si="155"/>
        <v>0</v>
      </c>
    </row>
    <row r="786" spans="1:13" x14ac:dyDescent="0.25">
      <c r="A786">
        <f t="shared" ca="1" si="146"/>
        <v>2</v>
      </c>
      <c r="B786">
        <f t="shared" ca="1" si="147"/>
        <v>373</v>
      </c>
      <c r="C786" t="str">
        <f t="shared" ca="1" si="156"/>
        <v>'WINDOWS-NCH-A-BDP-M3-00-00'!B372</v>
      </c>
      <c r="D786" s="6" t="str">
        <f t="shared" ca="1" si="157"/>
        <v>L00-OPD-CC3-S040-02</v>
      </c>
      <c r="E786" t="str">
        <f t="shared" ca="1" si="148"/>
        <v>Family Type: 1950w x 3050h, Family: Window External Type 3 - Recessed and Angle</v>
      </c>
      <c r="F786" t="str">
        <f t="shared" ca="1" si="149"/>
        <v>Vector(X = -0.530, Y = 0.848, Z = 0.000, Length = 1.000)</v>
      </c>
      <c r="G786">
        <f t="shared" ca="1" si="150"/>
        <v>-0.5</v>
      </c>
      <c r="H786">
        <f t="shared" ca="1" si="151"/>
        <v>0.8</v>
      </c>
      <c r="I786">
        <f t="shared" ca="1" si="152"/>
        <v>0</v>
      </c>
      <c r="J786" s="8">
        <f t="shared" ca="1" si="153"/>
        <v>122.0053832080835</v>
      </c>
      <c r="K786" s="9" t="str">
        <f t="shared" ca="1" si="154"/>
        <v>N</v>
      </c>
      <c r="L786">
        <f ca="1">+_xlfn.IFNA(VLOOKUP(M786,BespokeWindowsAreas!$A$1:$E$1999,1,FALSE),VLOOKUP(E786,WindowTypeArea!$B$2:$C$2000,2,FALSE))</f>
        <v>5.9474999999999998</v>
      </c>
      <c r="M786">
        <f t="shared" ca="1" si="155"/>
        <v>6091437</v>
      </c>
    </row>
    <row r="787" spans="1:13" x14ac:dyDescent="0.25">
      <c r="A787">
        <f t="shared" ca="1" si="146"/>
        <v>2</v>
      </c>
      <c r="B787">
        <f t="shared" ca="1" si="147"/>
        <v>374</v>
      </c>
      <c r="C787" t="str">
        <f t="shared" ca="1" si="156"/>
        <v>'WINDOWS-NCH-A-BDP-M3-00-00'!B373</v>
      </c>
      <c r="D787" s="6" t="str">
        <f t="shared" ca="1" si="157"/>
        <v>L00-EMG-CIR-C001-02</v>
      </c>
      <c r="E787" t="str">
        <f t="shared" ca="1" si="148"/>
        <v>L00-EMG-CIR-C001-02</v>
      </c>
      <c r="F787">
        <f t="shared" ca="1" si="149"/>
        <v>1900752</v>
      </c>
      <c r="G787">
        <f t="shared" ca="1" si="150"/>
        <v>0</v>
      </c>
      <c r="H787">
        <f t="shared" ca="1" si="151"/>
        <v>0</v>
      </c>
      <c r="I787">
        <f t="shared" ca="1" si="152"/>
        <v>0</v>
      </c>
      <c r="J787" s="8" t="e">
        <f t="shared" ca="1" si="153"/>
        <v>#DIV/0!</v>
      </c>
      <c r="K787" s="9" t="e">
        <f t="shared" ca="1" si="154"/>
        <v>#DIV/0!</v>
      </c>
      <c r="L787" t="e">
        <f ca="1">+_xlfn.IFNA(VLOOKUP(M787,BespokeWindowsAreas!$A$1:$E$1999,1,FALSE),VLOOKUP(E787,WindowTypeArea!$B$2:$C$2000,2,FALSE))</f>
        <v>#N/A</v>
      </c>
      <c r="M787">
        <f t="shared" ca="1" si="155"/>
        <v>0</v>
      </c>
    </row>
    <row r="788" spans="1:13" x14ac:dyDescent="0.25">
      <c r="A788">
        <f t="shared" ref="A788:A851" ca="1" si="158">+IF(B787&lt;=VLOOKUP(MID(C788,2,26),TABS,2,FALSE),A787,+A787+1)</f>
        <v>2</v>
      </c>
      <c r="B788">
        <f t="shared" ref="B788:B851" ca="1" si="159">+IF(B787&lt;=VLOOKUP(MID(C788,2,26),TABS,2,FALSE),B787+1,1)</f>
        <v>375</v>
      </c>
      <c r="C788" t="str">
        <f t="shared" ca="1" si="156"/>
        <v>'WINDOWS-NCH-A-BDP-M3-00-00'!B374</v>
      </c>
      <c r="D788" s="6" t="str">
        <f t="shared" ca="1" si="157"/>
        <v>L00-EMG-CIR-C001-02</v>
      </c>
      <c r="E788" t="str">
        <f t="shared" ref="E788:E851" ca="1" si="160">+OFFSET(INDIRECT(C788),0,0)</f>
        <v>Family Type: Curtain Wall_1950w x 3200h, Family: Window External Type 6 - Flush, Recessed</v>
      </c>
      <c r="F788" t="str">
        <f t="shared" ca="1" si="149"/>
        <v>Vector(X = 0.977, Y = 0.212, Z = 0.000, Length = 1.000)</v>
      </c>
      <c r="G788">
        <f t="shared" ca="1" si="150"/>
        <v>1</v>
      </c>
      <c r="H788">
        <f t="shared" ca="1" si="151"/>
        <v>0.2</v>
      </c>
      <c r="I788">
        <f t="shared" ca="1" si="152"/>
        <v>0</v>
      </c>
      <c r="J788" s="8">
        <f t="shared" ca="1" si="153"/>
        <v>11.309932474020215</v>
      </c>
      <c r="K788" s="9" t="str">
        <f t="shared" ca="1" si="154"/>
        <v>E</v>
      </c>
      <c r="L788">
        <f ca="1">+_xlfn.IFNA(VLOOKUP(M788,BespokeWindowsAreas!$A$1:$E$1999,1,FALSE),VLOOKUP(E788,WindowTypeArea!$B$2:$C$2000,2,FALSE))</f>
        <v>6.24</v>
      </c>
      <c r="M788">
        <f t="shared" ca="1" si="155"/>
        <v>5050669</v>
      </c>
    </row>
    <row r="789" spans="1:13" x14ac:dyDescent="0.25">
      <c r="A789">
        <f t="shared" ca="1" si="158"/>
        <v>2</v>
      </c>
      <c r="B789">
        <f t="shared" ca="1" si="159"/>
        <v>376</v>
      </c>
      <c r="C789" t="str">
        <f t="shared" ca="1" si="156"/>
        <v>'WINDOWS-NCH-A-BDP-M3-00-00'!B375</v>
      </c>
      <c r="D789" s="6" t="str">
        <f t="shared" ca="1" si="157"/>
        <v>L00-EMG-CIR-C001-02</v>
      </c>
      <c r="E789" t="str">
        <f t="shared" ca="1" si="160"/>
        <v>Family Type: Curtain Wall_585w x 3200h, Family: Window External Type 6 - Flush, Recessed</v>
      </c>
      <c r="F789" t="str">
        <f t="shared" ca="1" si="149"/>
        <v>Vector(X = 0.977, Y = 0.212, Z = 0.000, Length = 1.000)</v>
      </c>
      <c r="G789">
        <f t="shared" ca="1" si="150"/>
        <v>1</v>
      </c>
      <c r="H789">
        <f t="shared" ca="1" si="151"/>
        <v>0.2</v>
      </c>
      <c r="I789">
        <f t="shared" ca="1" si="152"/>
        <v>0</v>
      </c>
      <c r="J789" s="8">
        <f t="shared" ca="1" si="153"/>
        <v>11.309932474020215</v>
      </c>
      <c r="K789" s="9" t="str">
        <f t="shared" ca="1" si="154"/>
        <v>E</v>
      </c>
      <c r="L789">
        <f ca="1">+_xlfn.IFNA(VLOOKUP(M789,BespokeWindowsAreas!$A$1:$E$1999,1,FALSE),VLOOKUP(E789,WindowTypeArea!$B$2:$C$2000,2,FALSE))</f>
        <v>1.8720000000000001</v>
      </c>
      <c r="M789">
        <f t="shared" ca="1" si="155"/>
        <v>5050670</v>
      </c>
    </row>
    <row r="790" spans="1:13" x14ac:dyDescent="0.25">
      <c r="A790">
        <f t="shared" ca="1" si="158"/>
        <v>2</v>
      </c>
      <c r="B790">
        <f t="shared" ca="1" si="159"/>
        <v>377</v>
      </c>
      <c r="C790" t="str">
        <f t="shared" ca="1" si="156"/>
        <v>'WINDOWS-NCH-A-BDP-M3-00-00'!B376</v>
      </c>
      <c r="D790" s="6" t="str">
        <f t="shared" ca="1" si="157"/>
        <v>L00-EMG-CIR-C001-02</v>
      </c>
      <c r="E790" t="str">
        <f t="shared" ca="1" si="160"/>
        <v>Family Type: Curtain Wall_1500w x 3200h, Family: Window External Type 6 - Flush, Recessed</v>
      </c>
      <c r="F790" t="str">
        <f t="shared" ref="F790:F853" ca="1" si="161">+OFFSET(INDIRECT(C790),0,1)</f>
        <v>Vector(X = 0.977, Y = 0.212, Z = 0.000, Length = 1.000)</v>
      </c>
      <c r="G790">
        <f t="shared" ref="G790:G853" ca="1" si="162">+OFFSET(INDIRECT(C790),0,2)</f>
        <v>1</v>
      </c>
      <c r="H790">
        <f t="shared" ref="H790:H853" ca="1" si="163">+OFFSET(INDIRECT(C790),0,3)</f>
        <v>0.2</v>
      </c>
      <c r="I790">
        <f t="shared" ref="I790:I853" ca="1" si="164">+OFFSET(INDIRECT(C790),0,4)</f>
        <v>0</v>
      </c>
      <c r="J790" s="8">
        <f t="shared" ref="J790:J853" ca="1" si="165">+DEGREES(ATAN2(G790,H790))</f>
        <v>11.309932474020215</v>
      </c>
      <c r="K790" s="9" t="str">
        <f t="shared" ref="K790:K853" ca="1" si="166">VLOOKUP(J790,$O$20:$P$36,2,-1)</f>
        <v>E</v>
      </c>
      <c r="L790">
        <f ca="1">+_xlfn.IFNA(VLOOKUP(M790,BespokeWindowsAreas!$A$1:$E$1999,1,FALSE),VLOOKUP(E790,WindowTypeArea!$B$2:$C$2000,2,FALSE))</f>
        <v>4.8</v>
      </c>
      <c r="M790">
        <f t="shared" ref="M790:M853" ca="1" si="167">+OFFSET(INDIRECT(C790),0,5)</f>
        <v>5065966</v>
      </c>
    </row>
    <row r="791" spans="1:13" x14ac:dyDescent="0.25">
      <c r="A791">
        <f t="shared" ca="1" si="158"/>
        <v>2</v>
      </c>
      <c r="B791">
        <f t="shared" ca="1" si="159"/>
        <v>378</v>
      </c>
      <c r="C791" t="str">
        <f t="shared" ref="C791:C854" ca="1" si="168">+"'"&amp;INDIRECT("a"&amp;A790)&amp;"'!B"&amp;B790</f>
        <v>'WINDOWS-NCH-A-BDP-M3-00-00'!B377</v>
      </c>
      <c r="D791" s="6" t="str">
        <f t="shared" ca="1" si="157"/>
        <v>L00-EMG-CIR-C001-02</v>
      </c>
      <c r="E791" t="str">
        <f t="shared" ca="1" si="160"/>
        <v>Family Type: Curtain Wall_975w x 3200h, Family: Window External Type 6 - Flush, Recessed</v>
      </c>
      <c r="F791" t="str">
        <f t="shared" ca="1" si="161"/>
        <v>Vector(X = 0.977, Y = 0.212, Z = 0.000, Length = 1.000)</v>
      </c>
      <c r="G791">
        <f t="shared" ca="1" si="162"/>
        <v>1</v>
      </c>
      <c r="H791">
        <f t="shared" ca="1" si="163"/>
        <v>0.2</v>
      </c>
      <c r="I791">
        <f t="shared" ca="1" si="164"/>
        <v>0</v>
      </c>
      <c r="J791" s="8">
        <f t="shared" ca="1" si="165"/>
        <v>11.309932474020215</v>
      </c>
      <c r="K791" s="9" t="str">
        <f t="shared" ca="1" si="166"/>
        <v>E</v>
      </c>
      <c r="L791">
        <f ca="1">+_xlfn.IFNA(VLOOKUP(M791,BespokeWindowsAreas!$A$1:$E$1999,1,FALSE),VLOOKUP(E791,WindowTypeArea!$B$2:$C$2000,2,FALSE))</f>
        <v>3.12</v>
      </c>
      <c r="M791">
        <f t="shared" ca="1" si="167"/>
        <v>5065967</v>
      </c>
    </row>
    <row r="792" spans="1:13" x14ac:dyDescent="0.25">
      <c r="A792">
        <f t="shared" ca="1" si="158"/>
        <v>2</v>
      </c>
      <c r="B792">
        <f t="shared" ca="1" si="159"/>
        <v>379</v>
      </c>
      <c r="C792" t="str">
        <f t="shared" ca="1" si="168"/>
        <v>'WINDOWS-NCH-A-BDP-M3-00-00'!B378</v>
      </c>
      <c r="D792" s="6" t="str">
        <f t="shared" ca="1" si="157"/>
        <v>L00-EMG-CIR-C001-02</v>
      </c>
      <c r="E792" t="str">
        <f t="shared" ca="1" si="160"/>
        <v>Family Type: Curtain Wall_975w x 3200h, Family: Window External Type 6 - Flush, Recessed</v>
      </c>
      <c r="F792" t="str">
        <f t="shared" ca="1" si="161"/>
        <v>Vector(X = 0.977, Y = 0.212, Z = 0.000, Length = 1.000)</v>
      </c>
      <c r="G792">
        <f t="shared" ca="1" si="162"/>
        <v>1</v>
      </c>
      <c r="H792">
        <f t="shared" ca="1" si="163"/>
        <v>0.2</v>
      </c>
      <c r="I792">
        <f t="shared" ca="1" si="164"/>
        <v>0</v>
      </c>
      <c r="J792" s="8">
        <f t="shared" ca="1" si="165"/>
        <v>11.309932474020215</v>
      </c>
      <c r="K792" s="9" t="str">
        <f t="shared" ca="1" si="166"/>
        <v>E</v>
      </c>
      <c r="L792">
        <f ca="1">+_xlfn.IFNA(VLOOKUP(M792,BespokeWindowsAreas!$A$1:$E$1999,1,FALSE),VLOOKUP(E792,WindowTypeArea!$B$2:$C$2000,2,FALSE))</f>
        <v>3.12</v>
      </c>
      <c r="M792">
        <f t="shared" ca="1" si="167"/>
        <v>5065969</v>
      </c>
    </row>
    <row r="793" spans="1:13" x14ac:dyDescent="0.25">
      <c r="A793">
        <f t="shared" ca="1" si="158"/>
        <v>2</v>
      </c>
      <c r="B793">
        <f t="shared" ca="1" si="159"/>
        <v>380</v>
      </c>
      <c r="C793" t="str">
        <f t="shared" ca="1" si="168"/>
        <v>'WINDOWS-NCH-A-BDP-M3-00-00'!B379</v>
      </c>
      <c r="D793" s="6" t="str">
        <f t="shared" ca="1" si="157"/>
        <v>L00-EMG-CIR-C001-02</v>
      </c>
      <c r="E793" t="str">
        <f t="shared" ca="1" si="160"/>
        <v>Family Type: Curtain Wall_585w x 3200h, Family: Window External Type 6 - Bespoke Flush, Recessed</v>
      </c>
      <c r="F793" t="str">
        <f t="shared" ca="1" si="161"/>
        <v>Vector(X = 0.977, Y = 0.212, Z = 0.000, Length = 1.000)</v>
      </c>
      <c r="G793">
        <f t="shared" ca="1" si="162"/>
        <v>1</v>
      </c>
      <c r="H793">
        <f t="shared" ca="1" si="163"/>
        <v>0.2</v>
      </c>
      <c r="I793">
        <f t="shared" ca="1" si="164"/>
        <v>0</v>
      </c>
      <c r="J793" s="8">
        <f t="shared" ca="1" si="165"/>
        <v>11.309932474020215</v>
      </c>
      <c r="K793" s="9" t="str">
        <f t="shared" ca="1" si="166"/>
        <v>E</v>
      </c>
      <c r="L793">
        <f ca="1">+_xlfn.IFNA(VLOOKUP(M793,BespokeWindowsAreas!$A$1:$E$1999,1,FALSE),VLOOKUP(E793,WindowTypeArea!$B$2:$C$2000,2,FALSE))</f>
        <v>0</v>
      </c>
      <c r="M793">
        <f t="shared" ca="1" si="167"/>
        <v>5499900</v>
      </c>
    </row>
    <row r="794" spans="1:13" x14ac:dyDescent="0.25">
      <c r="A794">
        <f t="shared" ca="1" si="158"/>
        <v>2</v>
      </c>
      <c r="B794">
        <f t="shared" ca="1" si="159"/>
        <v>381</v>
      </c>
      <c r="C794" t="str">
        <f t="shared" ca="1" si="168"/>
        <v>'WINDOWS-NCH-A-BDP-M3-00-00'!B380</v>
      </c>
      <c r="D794" s="6" t="str">
        <f t="shared" ca="1" si="157"/>
        <v>L00-EMG-CIR-C001-02</v>
      </c>
      <c r="E794" t="str">
        <f t="shared" ca="1" si="160"/>
        <v>Family Type: Curtain Wall_585w x 3200h, Family: Window External Type 6 - Flush, Recessed</v>
      </c>
      <c r="F794" t="str">
        <f t="shared" ca="1" si="161"/>
        <v>Vector(X = 0.977, Y = 0.212, Z = 0.000, Length = 1.000)</v>
      </c>
      <c r="G794">
        <f t="shared" ca="1" si="162"/>
        <v>1</v>
      </c>
      <c r="H794">
        <f t="shared" ca="1" si="163"/>
        <v>0.2</v>
      </c>
      <c r="I794">
        <f t="shared" ca="1" si="164"/>
        <v>0</v>
      </c>
      <c r="J794" s="8">
        <f t="shared" ca="1" si="165"/>
        <v>11.309932474020215</v>
      </c>
      <c r="K794" s="9" t="str">
        <f t="shared" ca="1" si="166"/>
        <v>E</v>
      </c>
      <c r="L794">
        <f ca="1">+_xlfn.IFNA(VLOOKUP(M794,BespokeWindowsAreas!$A$1:$E$1999,1,FALSE),VLOOKUP(E794,WindowTypeArea!$B$2:$C$2000,2,FALSE))</f>
        <v>1.8720000000000001</v>
      </c>
      <c r="M794">
        <f t="shared" ca="1" si="167"/>
        <v>5500094</v>
      </c>
    </row>
    <row r="795" spans="1:13" x14ac:dyDescent="0.25">
      <c r="A795">
        <f t="shared" ca="1" si="158"/>
        <v>2</v>
      </c>
      <c r="B795">
        <f t="shared" ca="1" si="159"/>
        <v>382</v>
      </c>
      <c r="C795" t="str">
        <f t="shared" ca="1" si="168"/>
        <v>'WINDOWS-NCH-A-BDP-M3-00-00'!B381</v>
      </c>
      <c r="D795" s="6" t="str">
        <f t="shared" ca="1" si="157"/>
        <v>L00-EMG-CIR-C001-02</v>
      </c>
      <c r="E795" t="str">
        <f t="shared" ca="1" si="160"/>
        <v>Family Type: Curtain Wall_585w x 3200h, Family: Window External Type 6 - Bespoke Flush, Recessed</v>
      </c>
      <c r="F795" t="str">
        <f t="shared" ca="1" si="161"/>
        <v>Vector(X = 0.977, Y = 0.212, Z = 0.000, Length = 1.000)</v>
      </c>
      <c r="G795">
        <f t="shared" ca="1" si="162"/>
        <v>1</v>
      </c>
      <c r="H795">
        <f t="shared" ca="1" si="163"/>
        <v>0.2</v>
      </c>
      <c r="I795">
        <f t="shared" ca="1" si="164"/>
        <v>0</v>
      </c>
      <c r="J795" s="8">
        <f t="shared" ca="1" si="165"/>
        <v>11.309932474020215</v>
      </c>
      <c r="K795" s="9" t="str">
        <f t="shared" ca="1" si="166"/>
        <v>E</v>
      </c>
      <c r="L795">
        <f ca="1">+_xlfn.IFNA(VLOOKUP(M795,BespokeWindowsAreas!$A$1:$E$1999,1,FALSE),VLOOKUP(E795,WindowTypeArea!$B$2:$C$2000,2,FALSE))</f>
        <v>0</v>
      </c>
      <c r="M795">
        <f t="shared" ca="1" si="167"/>
        <v>5500193</v>
      </c>
    </row>
    <row r="796" spans="1:13" x14ac:dyDescent="0.25">
      <c r="A796">
        <f t="shared" ca="1" si="158"/>
        <v>2</v>
      </c>
      <c r="B796">
        <f t="shared" ca="1" si="159"/>
        <v>383</v>
      </c>
      <c r="C796" t="str">
        <f t="shared" ca="1" si="168"/>
        <v>'WINDOWS-NCH-A-BDP-M3-00-00'!B382</v>
      </c>
      <c r="D796" s="6" t="str">
        <f t="shared" ca="1" si="157"/>
        <v>L00-IMG-NMD-U1418-01</v>
      </c>
      <c r="E796" t="str">
        <f t="shared" ca="1" si="160"/>
        <v>L00-IMG-NMD-U1418-01</v>
      </c>
      <c r="F796">
        <f t="shared" ca="1" si="161"/>
        <v>2042307</v>
      </c>
      <c r="G796">
        <f t="shared" ca="1" si="162"/>
        <v>0</v>
      </c>
      <c r="H796">
        <f t="shared" ca="1" si="163"/>
        <v>0</v>
      </c>
      <c r="I796">
        <f t="shared" ca="1" si="164"/>
        <v>0</v>
      </c>
      <c r="J796" s="8" t="e">
        <f t="shared" ca="1" si="165"/>
        <v>#DIV/0!</v>
      </c>
      <c r="K796" s="9" t="e">
        <f t="shared" ca="1" si="166"/>
        <v>#DIV/0!</v>
      </c>
      <c r="L796" t="e">
        <f ca="1">+_xlfn.IFNA(VLOOKUP(M796,BespokeWindowsAreas!$A$1:$E$1999,1,FALSE),VLOOKUP(E796,WindowTypeArea!$B$2:$C$2000,2,FALSE))</f>
        <v>#N/A</v>
      </c>
      <c r="M796">
        <f t="shared" ca="1" si="167"/>
        <v>0</v>
      </c>
    </row>
    <row r="797" spans="1:13" x14ac:dyDescent="0.25">
      <c r="A797">
        <f t="shared" ca="1" si="158"/>
        <v>2</v>
      </c>
      <c r="B797">
        <f t="shared" ca="1" si="159"/>
        <v>384</v>
      </c>
      <c r="C797" t="str">
        <f t="shared" ca="1" si="168"/>
        <v>'WINDOWS-NCH-A-BDP-M3-00-00'!B383</v>
      </c>
      <c r="D797" s="6" t="str">
        <f t="shared" ca="1" si="157"/>
        <v>L00-IMG-NMD-U1418-01</v>
      </c>
      <c r="E797" t="str">
        <f t="shared" ca="1" si="160"/>
        <v>Family Type: Curtain Wall_1950w x 3050h, Family: Window External Type 6 - Flush, Recessed</v>
      </c>
      <c r="F797" t="str">
        <f t="shared" ca="1" si="161"/>
        <v>Vector(X = 0.212, Y = -0.977, Z = 0.000, Length = 1.000)</v>
      </c>
      <c r="G797">
        <f t="shared" ca="1" si="162"/>
        <v>0.2</v>
      </c>
      <c r="H797">
        <f t="shared" ca="1" si="163"/>
        <v>-1</v>
      </c>
      <c r="I797">
        <f t="shared" ca="1" si="164"/>
        <v>0</v>
      </c>
      <c r="J797" s="8">
        <f t="shared" ca="1" si="165"/>
        <v>-78.690067525979785</v>
      </c>
      <c r="K797" s="9" t="str">
        <f t="shared" ca="1" si="166"/>
        <v>S</v>
      </c>
      <c r="L797">
        <f ca="1">+_xlfn.IFNA(VLOOKUP(M797,BespokeWindowsAreas!$A$1:$E$1999,1,FALSE),VLOOKUP(E797,WindowTypeArea!$B$2:$C$2000,2,FALSE))</f>
        <v>5.9474999999999998</v>
      </c>
      <c r="M797">
        <f t="shared" ca="1" si="167"/>
        <v>4929847</v>
      </c>
    </row>
    <row r="798" spans="1:13" x14ac:dyDescent="0.25">
      <c r="A798">
        <f t="shared" ca="1" si="158"/>
        <v>2</v>
      </c>
      <c r="B798">
        <f t="shared" ca="1" si="159"/>
        <v>385</v>
      </c>
      <c r="C798" t="str">
        <f t="shared" ca="1" si="168"/>
        <v>'WINDOWS-NCH-A-BDP-M3-00-00'!B384</v>
      </c>
      <c r="D798" s="6" t="str">
        <f t="shared" ca="1" si="157"/>
        <v>L00-IMG-NMD-U1418-01</v>
      </c>
      <c r="E798" t="str">
        <f t="shared" ca="1" si="160"/>
        <v>Family Type: Curtain Wall_975w x 3050h 2, Family: Window External Type 6 - Flush, Recessed</v>
      </c>
      <c r="F798" t="str">
        <f t="shared" ca="1" si="161"/>
        <v>Vector(X = 0.212, Y = -0.977, Z = 0.000, Length = 1.000)</v>
      </c>
      <c r="G798">
        <f t="shared" ca="1" si="162"/>
        <v>0.2</v>
      </c>
      <c r="H798">
        <f t="shared" ca="1" si="163"/>
        <v>-1</v>
      </c>
      <c r="I798">
        <f t="shared" ca="1" si="164"/>
        <v>0</v>
      </c>
      <c r="J798" s="8">
        <f t="shared" ca="1" si="165"/>
        <v>-78.690067525979785</v>
      </c>
      <c r="K798" s="9" t="str">
        <f t="shared" ca="1" si="166"/>
        <v>S</v>
      </c>
      <c r="L798">
        <f ca="1">+_xlfn.IFNA(VLOOKUP(M798,BespokeWindowsAreas!$A$1:$E$1999,1,FALSE),VLOOKUP(E798,WindowTypeArea!$B$2:$C$2000,2,FALSE))</f>
        <v>2.9737499999999999</v>
      </c>
      <c r="M798">
        <f t="shared" ca="1" si="167"/>
        <v>4929849</v>
      </c>
    </row>
    <row r="799" spans="1:13" x14ac:dyDescent="0.25">
      <c r="A799">
        <f t="shared" ca="1" si="158"/>
        <v>2</v>
      </c>
      <c r="B799">
        <f t="shared" ca="1" si="159"/>
        <v>386</v>
      </c>
      <c r="C799" t="str">
        <f t="shared" ca="1" si="168"/>
        <v>'WINDOWS-NCH-A-BDP-M3-00-00'!B385</v>
      </c>
      <c r="D799" s="6" t="str">
        <f t="shared" ca="1" si="157"/>
        <v>L00-IMG-NMD-U1418-01</v>
      </c>
      <c r="E799" t="str">
        <f t="shared" ca="1" si="160"/>
        <v>Family Type: Curtain Wall_975w x 3050h 2, Family: Window External Type 6 - Flush, Recessed</v>
      </c>
      <c r="F799" t="str">
        <f t="shared" ca="1" si="161"/>
        <v>Vector(X = 0.212, Y = -0.977, Z = 0.000, Length = 1.000)</v>
      </c>
      <c r="G799">
        <f t="shared" ca="1" si="162"/>
        <v>0.2</v>
      </c>
      <c r="H799">
        <f t="shared" ca="1" si="163"/>
        <v>-1</v>
      </c>
      <c r="I799">
        <f t="shared" ca="1" si="164"/>
        <v>0</v>
      </c>
      <c r="J799" s="8">
        <f t="shared" ca="1" si="165"/>
        <v>-78.690067525979785</v>
      </c>
      <c r="K799" s="9" t="str">
        <f t="shared" ca="1" si="166"/>
        <v>S</v>
      </c>
      <c r="L799">
        <f ca="1">+_xlfn.IFNA(VLOOKUP(M799,BespokeWindowsAreas!$A$1:$E$1999,1,FALSE),VLOOKUP(E799,WindowTypeArea!$B$2:$C$2000,2,FALSE))</f>
        <v>2.9737499999999999</v>
      </c>
      <c r="M799">
        <f t="shared" ca="1" si="167"/>
        <v>4929850</v>
      </c>
    </row>
    <row r="800" spans="1:13" x14ac:dyDescent="0.25">
      <c r="A800">
        <f t="shared" ca="1" si="158"/>
        <v>2</v>
      </c>
      <c r="B800">
        <f t="shared" ca="1" si="159"/>
        <v>387</v>
      </c>
      <c r="C800" t="str">
        <f t="shared" ca="1" si="168"/>
        <v>'WINDOWS-NCH-A-BDP-M3-00-00'!B386</v>
      </c>
      <c r="D800" s="6" t="str">
        <f t="shared" ca="1" si="157"/>
        <v>L00-IMG-NMD-U0385-02</v>
      </c>
      <c r="E800" t="str">
        <f t="shared" ca="1" si="160"/>
        <v>L00-IMG-NMD-U0385-02</v>
      </c>
      <c r="F800">
        <f t="shared" ca="1" si="161"/>
        <v>2042309</v>
      </c>
      <c r="G800">
        <f t="shared" ca="1" si="162"/>
        <v>0</v>
      </c>
      <c r="H800">
        <f t="shared" ca="1" si="163"/>
        <v>0</v>
      </c>
      <c r="I800">
        <f t="shared" ca="1" si="164"/>
        <v>0</v>
      </c>
      <c r="J800" s="8" t="e">
        <f t="shared" ca="1" si="165"/>
        <v>#DIV/0!</v>
      </c>
      <c r="K800" s="9" t="e">
        <f t="shared" ca="1" si="166"/>
        <v>#DIV/0!</v>
      </c>
      <c r="L800" t="e">
        <f ca="1">+_xlfn.IFNA(VLOOKUP(M800,BespokeWindowsAreas!$A$1:$E$1999,1,FALSE),VLOOKUP(E800,WindowTypeArea!$B$2:$C$2000,2,FALSE))</f>
        <v>#N/A</v>
      </c>
      <c r="M800">
        <f t="shared" ca="1" si="167"/>
        <v>0</v>
      </c>
    </row>
    <row r="801" spans="1:13" x14ac:dyDescent="0.25">
      <c r="A801">
        <f t="shared" ca="1" si="158"/>
        <v>2</v>
      </c>
      <c r="B801">
        <f t="shared" ca="1" si="159"/>
        <v>388</v>
      </c>
      <c r="C801" t="str">
        <f t="shared" ca="1" si="168"/>
        <v>'WINDOWS-NCH-A-BDP-M3-00-00'!B387</v>
      </c>
      <c r="D801" s="6" t="str">
        <f t="shared" ca="1" si="157"/>
        <v>L00-IMG-NMD-U0385-02</v>
      </c>
      <c r="E801" t="str">
        <f t="shared" ca="1" si="160"/>
        <v>Family Type: Curtain Wall_975w x 3050h 2, Family: Window External Type 6 - Flush, Recessed</v>
      </c>
      <c r="F801" t="str">
        <f t="shared" ca="1" si="161"/>
        <v>Vector(X = 0.212, Y = -0.977, Z = 0.000, Length = 1.000)</v>
      </c>
      <c r="G801">
        <f t="shared" ca="1" si="162"/>
        <v>0.2</v>
      </c>
      <c r="H801">
        <f t="shared" ca="1" si="163"/>
        <v>-1</v>
      </c>
      <c r="I801">
        <f t="shared" ca="1" si="164"/>
        <v>0</v>
      </c>
      <c r="J801" s="8">
        <f t="shared" ca="1" si="165"/>
        <v>-78.690067525979785</v>
      </c>
      <c r="K801" s="9" t="str">
        <f t="shared" ca="1" si="166"/>
        <v>S</v>
      </c>
      <c r="L801">
        <f ca="1">+_xlfn.IFNA(VLOOKUP(M801,BespokeWindowsAreas!$A$1:$E$1999,1,FALSE),VLOOKUP(E801,WindowTypeArea!$B$2:$C$2000,2,FALSE))</f>
        <v>2.9737499999999999</v>
      </c>
      <c r="M801">
        <f t="shared" ca="1" si="167"/>
        <v>4929848</v>
      </c>
    </row>
    <row r="802" spans="1:13" x14ac:dyDescent="0.25">
      <c r="A802">
        <f t="shared" ca="1" si="158"/>
        <v>2</v>
      </c>
      <c r="B802">
        <f t="shared" ca="1" si="159"/>
        <v>389</v>
      </c>
      <c r="C802" t="str">
        <f t="shared" ca="1" si="168"/>
        <v>'WINDOWS-NCH-A-BDP-M3-00-00'!B388</v>
      </c>
      <c r="D802" s="6" t="str">
        <f t="shared" ca="1" si="157"/>
        <v>L00-IMG-NMD-U0385-02</v>
      </c>
      <c r="E802" t="str">
        <f t="shared" ca="1" si="160"/>
        <v>Family Type: Curtain Wall_975w x 3050h 2, Family: Window External Type 6 - Flush, Recessed</v>
      </c>
      <c r="F802" t="str">
        <f t="shared" ca="1" si="161"/>
        <v>Vector(X = 0.212, Y = -0.977, Z = 0.000, Length = 1.000)</v>
      </c>
      <c r="G802">
        <f t="shared" ca="1" si="162"/>
        <v>0.2</v>
      </c>
      <c r="H802">
        <f t="shared" ca="1" si="163"/>
        <v>-1</v>
      </c>
      <c r="I802">
        <f t="shared" ca="1" si="164"/>
        <v>0</v>
      </c>
      <c r="J802" s="8">
        <f t="shared" ca="1" si="165"/>
        <v>-78.690067525979785</v>
      </c>
      <c r="K802" s="9" t="str">
        <f t="shared" ca="1" si="166"/>
        <v>S</v>
      </c>
      <c r="L802">
        <f ca="1">+_xlfn.IFNA(VLOOKUP(M802,BespokeWindowsAreas!$A$1:$E$1999,1,FALSE),VLOOKUP(E802,WindowTypeArea!$B$2:$C$2000,2,FALSE))</f>
        <v>2.9737499999999999</v>
      </c>
      <c r="M802">
        <f t="shared" ca="1" si="167"/>
        <v>4929849</v>
      </c>
    </row>
    <row r="803" spans="1:13" x14ac:dyDescent="0.25">
      <c r="A803">
        <f t="shared" ca="1" si="158"/>
        <v>2</v>
      </c>
      <c r="B803">
        <f t="shared" ca="1" si="159"/>
        <v>390</v>
      </c>
      <c r="C803" t="str">
        <f t="shared" ca="1" si="168"/>
        <v>'WINDOWS-NCH-A-BDP-M3-00-00'!B389</v>
      </c>
      <c r="D803" s="6" t="str">
        <f t="shared" ca="1" si="157"/>
        <v>L00-IMG-NMD-U0385-02</v>
      </c>
      <c r="E803" t="str">
        <f t="shared" ca="1" si="160"/>
        <v>Family Type: Curtain Wall_975w x 3050h 2, Family: Window External Type 6 - Flush, Recessed</v>
      </c>
      <c r="F803" t="str">
        <f t="shared" ca="1" si="161"/>
        <v>Vector(X = 0.212, Y = -0.977, Z = 0.000, Length = 1.000)</v>
      </c>
      <c r="G803">
        <f t="shared" ca="1" si="162"/>
        <v>0.2</v>
      </c>
      <c r="H803">
        <f t="shared" ca="1" si="163"/>
        <v>-1</v>
      </c>
      <c r="I803">
        <f t="shared" ca="1" si="164"/>
        <v>0</v>
      </c>
      <c r="J803" s="8">
        <f t="shared" ca="1" si="165"/>
        <v>-78.690067525979785</v>
      </c>
      <c r="K803" s="9" t="str">
        <f t="shared" ca="1" si="166"/>
        <v>S</v>
      </c>
      <c r="L803">
        <f ca="1">+_xlfn.IFNA(VLOOKUP(M803,BespokeWindowsAreas!$A$1:$E$1999,1,FALSE),VLOOKUP(E803,WindowTypeArea!$B$2:$C$2000,2,FALSE))</f>
        <v>2.9737499999999999</v>
      </c>
      <c r="M803">
        <f t="shared" ca="1" si="167"/>
        <v>4929851</v>
      </c>
    </row>
    <row r="804" spans="1:13" x14ac:dyDescent="0.25">
      <c r="A804">
        <f t="shared" ca="1" si="158"/>
        <v>2</v>
      </c>
      <c r="B804">
        <f t="shared" ca="1" si="159"/>
        <v>391</v>
      </c>
      <c r="C804" t="str">
        <f t="shared" ca="1" si="168"/>
        <v>'WINDOWS-NCH-A-BDP-M3-00-00'!B390</v>
      </c>
      <c r="D804" s="6" t="str">
        <f t="shared" ca="1" si="157"/>
        <v>L00-OPD-CC4-L088-01</v>
      </c>
      <c r="E804" t="str">
        <f t="shared" ca="1" si="160"/>
        <v>L00-OPD-CC4-L088-01</v>
      </c>
      <c r="F804">
        <f t="shared" ca="1" si="161"/>
        <v>2096295</v>
      </c>
      <c r="G804">
        <f t="shared" ca="1" si="162"/>
        <v>0</v>
      </c>
      <c r="H804">
        <f t="shared" ca="1" si="163"/>
        <v>0</v>
      </c>
      <c r="I804">
        <f t="shared" ca="1" si="164"/>
        <v>0</v>
      </c>
      <c r="J804" s="8" t="e">
        <f t="shared" ca="1" si="165"/>
        <v>#DIV/0!</v>
      </c>
      <c r="K804" s="9" t="e">
        <f t="shared" ca="1" si="166"/>
        <v>#DIV/0!</v>
      </c>
      <c r="L804" t="e">
        <f ca="1">+_xlfn.IFNA(VLOOKUP(M804,BespokeWindowsAreas!$A$1:$E$1999,1,FALSE),VLOOKUP(E804,WindowTypeArea!$B$2:$C$2000,2,FALSE))</f>
        <v>#N/A</v>
      </c>
      <c r="M804">
        <f t="shared" ca="1" si="167"/>
        <v>0</v>
      </c>
    </row>
    <row r="805" spans="1:13" x14ac:dyDescent="0.25">
      <c r="A805">
        <f t="shared" ca="1" si="158"/>
        <v>2</v>
      </c>
      <c r="B805">
        <f t="shared" ca="1" si="159"/>
        <v>392</v>
      </c>
      <c r="C805" t="str">
        <f t="shared" ca="1" si="168"/>
        <v>'WINDOWS-NCH-A-BDP-M3-00-00'!B391</v>
      </c>
      <c r="D805" s="6" t="str">
        <f t="shared" ca="1" si="157"/>
        <v>L00-OPD-CC4-L088-01</v>
      </c>
      <c r="E805" t="str">
        <f t="shared" ca="1" si="160"/>
        <v>Family Type: 1000w x 3050h, Family: Window External Type 2 - Recessed and Fin</v>
      </c>
      <c r="F805" t="str">
        <f t="shared" ca="1" si="161"/>
        <v>Vector(X = -0.212, Y = 0.977, Z = 0.000, Length = 1.000)</v>
      </c>
      <c r="G805">
        <f t="shared" ca="1" si="162"/>
        <v>-0.2</v>
      </c>
      <c r="H805">
        <f t="shared" ca="1" si="163"/>
        <v>1</v>
      </c>
      <c r="I805">
        <f t="shared" ca="1" si="164"/>
        <v>0</v>
      </c>
      <c r="J805" s="8">
        <f t="shared" ca="1" si="165"/>
        <v>101.3099324740202</v>
      </c>
      <c r="K805" s="9" t="str">
        <f t="shared" ca="1" si="166"/>
        <v>N</v>
      </c>
      <c r="L805">
        <f ca="1">+_xlfn.IFNA(VLOOKUP(M805,BespokeWindowsAreas!$A$1:$E$1999,1,FALSE),VLOOKUP(E805,WindowTypeArea!$B$2:$C$2000,2,FALSE))</f>
        <v>3.05</v>
      </c>
      <c r="M805">
        <f t="shared" ca="1" si="167"/>
        <v>4821685</v>
      </c>
    </row>
    <row r="806" spans="1:13" x14ac:dyDescent="0.25">
      <c r="A806">
        <f t="shared" ca="1" si="158"/>
        <v>2</v>
      </c>
      <c r="B806">
        <f t="shared" ca="1" si="159"/>
        <v>393</v>
      </c>
      <c r="C806" t="str">
        <f t="shared" ca="1" si="168"/>
        <v>'WINDOWS-NCH-A-BDP-M3-00-00'!B392</v>
      </c>
      <c r="D806" s="6" t="str">
        <f t="shared" ca="1" si="157"/>
        <v>L00-OPD-CC4-L088-01</v>
      </c>
      <c r="E806" t="str">
        <f t="shared" ca="1" si="160"/>
        <v>Family Type: 1000w x 3050h, Family: Window External Type 2 - Recessed and Fin</v>
      </c>
      <c r="F806" t="str">
        <f t="shared" ca="1" si="161"/>
        <v>Vector(X = -0.212, Y = 0.977, Z = 0.000, Length = 1.000)</v>
      </c>
      <c r="G806">
        <f t="shared" ca="1" si="162"/>
        <v>-0.2</v>
      </c>
      <c r="H806">
        <f t="shared" ca="1" si="163"/>
        <v>1</v>
      </c>
      <c r="I806">
        <f t="shared" ca="1" si="164"/>
        <v>0</v>
      </c>
      <c r="J806" s="8">
        <f t="shared" ca="1" si="165"/>
        <v>101.3099324740202</v>
      </c>
      <c r="K806" s="9" t="str">
        <f t="shared" ca="1" si="166"/>
        <v>N</v>
      </c>
      <c r="L806">
        <f ca="1">+_xlfn.IFNA(VLOOKUP(M806,BespokeWindowsAreas!$A$1:$E$1999,1,FALSE),VLOOKUP(E806,WindowTypeArea!$B$2:$C$2000,2,FALSE))</f>
        <v>3.05</v>
      </c>
      <c r="M806">
        <f t="shared" ca="1" si="167"/>
        <v>4822026</v>
      </c>
    </row>
    <row r="807" spans="1:13" x14ac:dyDescent="0.25">
      <c r="A807">
        <f t="shared" ca="1" si="158"/>
        <v>2</v>
      </c>
      <c r="B807">
        <f t="shared" ca="1" si="159"/>
        <v>394</v>
      </c>
      <c r="C807" t="str">
        <f t="shared" ca="1" si="168"/>
        <v>'WINDOWS-NCH-A-BDP-M3-00-00'!B393</v>
      </c>
      <c r="D807" s="6" t="str">
        <f t="shared" ca="1" si="157"/>
        <v>L00-OPD-CC4-L088-02</v>
      </c>
      <c r="E807" t="str">
        <f t="shared" ca="1" si="160"/>
        <v>L00-OPD-CC4-L088-02</v>
      </c>
      <c r="F807">
        <f t="shared" ca="1" si="161"/>
        <v>2096297</v>
      </c>
      <c r="G807">
        <f t="shared" ca="1" si="162"/>
        <v>0</v>
      </c>
      <c r="H807">
        <f t="shared" ca="1" si="163"/>
        <v>0</v>
      </c>
      <c r="I807">
        <f t="shared" ca="1" si="164"/>
        <v>0</v>
      </c>
      <c r="J807" s="8" t="e">
        <f t="shared" ca="1" si="165"/>
        <v>#DIV/0!</v>
      </c>
      <c r="K807" s="9" t="e">
        <f t="shared" ca="1" si="166"/>
        <v>#DIV/0!</v>
      </c>
      <c r="L807" t="e">
        <f ca="1">+_xlfn.IFNA(VLOOKUP(M807,BespokeWindowsAreas!$A$1:$E$1999,1,FALSE),VLOOKUP(E807,WindowTypeArea!$B$2:$C$2000,2,FALSE))</f>
        <v>#N/A</v>
      </c>
      <c r="M807">
        <f t="shared" ca="1" si="167"/>
        <v>0</v>
      </c>
    </row>
    <row r="808" spans="1:13" x14ac:dyDescent="0.25">
      <c r="A808">
        <f t="shared" ca="1" si="158"/>
        <v>2</v>
      </c>
      <c r="B808">
        <f t="shared" ca="1" si="159"/>
        <v>395</v>
      </c>
      <c r="C808" t="str">
        <f t="shared" ca="1" si="168"/>
        <v>'WINDOWS-NCH-A-BDP-M3-00-00'!B394</v>
      </c>
      <c r="D808" s="6" t="str">
        <f t="shared" ca="1" si="157"/>
        <v>L00-OPD-CC4-L088-02</v>
      </c>
      <c r="E808" t="str">
        <f t="shared" ca="1" si="160"/>
        <v>Family Type: 1500w x 3050h, Family: Window External Type 3 - Recessed and Angle</v>
      </c>
      <c r="F808" t="str">
        <f t="shared" ca="1" si="161"/>
        <v>Vector(X = -0.992, Y = -0.128, Z = 0.000, Length = 1.000)</v>
      </c>
      <c r="G808">
        <f t="shared" ca="1" si="162"/>
        <v>-1</v>
      </c>
      <c r="H808">
        <f t="shared" ca="1" si="163"/>
        <v>-0.1</v>
      </c>
      <c r="I808">
        <f t="shared" ca="1" si="164"/>
        <v>0</v>
      </c>
      <c r="J808" s="8">
        <f t="shared" ca="1" si="165"/>
        <v>-174.28940686250036</v>
      </c>
      <c r="K808" s="9" t="str">
        <f t="shared" ca="1" si="166"/>
        <v>W</v>
      </c>
      <c r="L808">
        <f ca="1">+_xlfn.IFNA(VLOOKUP(M808,BespokeWindowsAreas!$A$1:$E$1999,1,FALSE),VLOOKUP(E808,WindowTypeArea!$B$2:$C$2000,2,FALSE))</f>
        <v>4.5750000000000002</v>
      </c>
      <c r="M808">
        <f t="shared" ca="1" si="167"/>
        <v>4849034</v>
      </c>
    </row>
    <row r="809" spans="1:13" x14ac:dyDescent="0.25">
      <c r="A809">
        <f t="shared" ca="1" si="158"/>
        <v>2</v>
      </c>
      <c r="B809">
        <f t="shared" ca="1" si="159"/>
        <v>396</v>
      </c>
      <c r="C809" t="str">
        <f t="shared" ca="1" si="168"/>
        <v>'WINDOWS-NCH-A-BDP-M3-00-00'!B395</v>
      </c>
      <c r="D809" s="6" t="str">
        <f t="shared" ca="1" si="157"/>
        <v>L00-MAI-RES-U1295-01</v>
      </c>
      <c r="E809" t="str">
        <f t="shared" ca="1" si="160"/>
        <v>L00-MAI-RES-U1295-01</v>
      </c>
      <c r="F809">
        <f t="shared" ca="1" si="161"/>
        <v>2127124</v>
      </c>
      <c r="G809">
        <f t="shared" ca="1" si="162"/>
        <v>0</v>
      </c>
      <c r="H809">
        <f t="shared" ca="1" si="163"/>
        <v>0</v>
      </c>
      <c r="I809">
        <f t="shared" ca="1" si="164"/>
        <v>0</v>
      </c>
      <c r="J809" s="8" t="e">
        <f t="shared" ca="1" si="165"/>
        <v>#DIV/0!</v>
      </c>
      <c r="K809" s="9" t="e">
        <f t="shared" ca="1" si="166"/>
        <v>#DIV/0!</v>
      </c>
      <c r="L809" t="e">
        <f ca="1">+_xlfn.IFNA(VLOOKUP(M809,BespokeWindowsAreas!$A$1:$E$1999,1,FALSE),VLOOKUP(E809,WindowTypeArea!$B$2:$C$2000,2,FALSE))</f>
        <v>#N/A</v>
      </c>
      <c r="M809">
        <f t="shared" ca="1" si="167"/>
        <v>0</v>
      </c>
    </row>
    <row r="810" spans="1:13" x14ac:dyDescent="0.25">
      <c r="A810">
        <f t="shared" ca="1" si="158"/>
        <v>2</v>
      </c>
      <c r="B810">
        <f t="shared" ca="1" si="159"/>
        <v>397</v>
      </c>
      <c r="C810" t="str">
        <f t="shared" ca="1" si="168"/>
        <v>'WINDOWS-NCH-A-BDP-M3-00-00'!B396</v>
      </c>
      <c r="D810" s="6" t="str">
        <f t="shared" ca="1" si="157"/>
        <v>L00-MAI-RES-U1295-01</v>
      </c>
      <c r="E810" t="str">
        <f t="shared" ca="1" si="160"/>
        <v>Family Type: 1950w x 3050h, Family: Window Internal Type 2b - Recessed and Angle</v>
      </c>
      <c r="F810" t="str">
        <f t="shared" ca="1" si="161"/>
        <v>Vector(X = 0.041, Y = -0.999, Z = 0.000, Length = 1.000)</v>
      </c>
      <c r="G810">
        <f t="shared" ca="1" si="162"/>
        <v>0</v>
      </c>
      <c r="H810">
        <f t="shared" ca="1" si="163"/>
        <v>-1</v>
      </c>
      <c r="I810">
        <f t="shared" ca="1" si="164"/>
        <v>0</v>
      </c>
      <c r="J810" s="8">
        <f t="shared" ca="1" si="165"/>
        <v>-90</v>
      </c>
      <c r="K810" s="9" t="str">
        <f t="shared" ca="1" si="166"/>
        <v>S</v>
      </c>
      <c r="L810">
        <f ca="1">+_xlfn.IFNA(VLOOKUP(M810,BespokeWindowsAreas!$A$1:$E$1999,1,FALSE),VLOOKUP(E810,WindowTypeArea!$B$2:$C$2000,2,FALSE))</f>
        <v>5.9474999999999998</v>
      </c>
      <c r="M810">
        <f t="shared" ca="1" si="167"/>
        <v>5207350</v>
      </c>
    </row>
    <row r="811" spans="1:13" x14ac:dyDescent="0.25">
      <c r="A811">
        <f t="shared" ca="1" si="158"/>
        <v>2</v>
      </c>
      <c r="B811">
        <f t="shared" ca="1" si="159"/>
        <v>398</v>
      </c>
      <c r="C811" t="str">
        <f t="shared" ca="1" si="168"/>
        <v>'WINDOWS-NCH-A-BDP-M3-00-00'!B397</v>
      </c>
      <c r="D811" s="6" t="str">
        <f t="shared" ca="1" si="157"/>
        <v>L00-MAI-RES-U1295-01</v>
      </c>
      <c r="E811" t="str">
        <f t="shared" ca="1" si="160"/>
        <v>Family Type: 975w x 3050h, Family: Window Internal Type 2a - Recessed</v>
      </c>
      <c r="F811" t="str">
        <f t="shared" ca="1" si="161"/>
        <v>Vector(X = 0.041, Y = -0.999, Z = 0.000, Length = 1.000)</v>
      </c>
      <c r="G811">
        <f t="shared" ca="1" si="162"/>
        <v>0</v>
      </c>
      <c r="H811">
        <f t="shared" ca="1" si="163"/>
        <v>-1</v>
      </c>
      <c r="I811">
        <f t="shared" ca="1" si="164"/>
        <v>0</v>
      </c>
      <c r="J811" s="8">
        <f t="shared" ca="1" si="165"/>
        <v>-90</v>
      </c>
      <c r="K811" s="9" t="str">
        <f t="shared" ca="1" si="166"/>
        <v>S</v>
      </c>
      <c r="L811">
        <f ca="1">+_xlfn.IFNA(VLOOKUP(M811,BespokeWindowsAreas!$A$1:$E$1999,1,FALSE),VLOOKUP(E811,WindowTypeArea!$B$2:$C$2000,2,FALSE))</f>
        <v>2.9737499999999999</v>
      </c>
      <c r="M811">
        <f t="shared" ca="1" si="167"/>
        <v>5207353</v>
      </c>
    </row>
    <row r="812" spans="1:13" x14ac:dyDescent="0.25">
      <c r="A812">
        <f t="shared" ca="1" si="158"/>
        <v>2</v>
      </c>
      <c r="B812">
        <f t="shared" ca="1" si="159"/>
        <v>399</v>
      </c>
      <c r="C812" t="str">
        <f t="shared" ca="1" si="168"/>
        <v>'WINDOWS-NCH-A-BDP-M3-00-00'!B398</v>
      </c>
      <c r="D812" s="6" t="str">
        <f t="shared" ca="1" si="157"/>
        <v>L00-MAI-RES-U1295-01</v>
      </c>
      <c r="E812" t="str">
        <f t="shared" ca="1" si="160"/>
        <v>Family Type: 975w x 3050h, Family: Window Internal Type 2a - Recessed</v>
      </c>
      <c r="F812" t="str">
        <f t="shared" ca="1" si="161"/>
        <v>Vector(X = 0.041, Y = -0.999, Z = 0.000, Length = 1.000)</v>
      </c>
      <c r="G812">
        <f t="shared" ca="1" si="162"/>
        <v>0</v>
      </c>
      <c r="H812">
        <f t="shared" ca="1" si="163"/>
        <v>-1</v>
      </c>
      <c r="I812">
        <f t="shared" ca="1" si="164"/>
        <v>0</v>
      </c>
      <c r="J812" s="8">
        <f t="shared" ca="1" si="165"/>
        <v>-90</v>
      </c>
      <c r="K812" s="9" t="str">
        <f t="shared" ca="1" si="166"/>
        <v>S</v>
      </c>
      <c r="L812">
        <f ca="1">+_xlfn.IFNA(VLOOKUP(M812,BespokeWindowsAreas!$A$1:$E$1999,1,FALSE),VLOOKUP(E812,WindowTypeArea!$B$2:$C$2000,2,FALSE))</f>
        <v>2.9737499999999999</v>
      </c>
      <c r="M812">
        <f t="shared" ca="1" si="167"/>
        <v>6518008</v>
      </c>
    </row>
    <row r="813" spans="1:13" x14ac:dyDescent="0.25">
      <c r="A813">
        <f t="shared" ca="1" si="158"/>
        <v>2</v>
      </c>
      <c r="B813">
        <f t="shared" ca="1" si="159"/>
        <v>400</v>
      </c>
      <c r="C813" t="str">
        <f t="shared" ca="1" si="168"/>
        <v>'WINDOWS-NCH-A-BDP-M3-00-00'!B399</v>
      </c>
      <c r="D813" s="6" t="str">
        <f t="shared" ca="1" si="157"/>
        <v>L00-EMG-EDE-S121-02</v>
      </c>
      <c r="E813" t="str">
        <f t="shared" ca="1" si="160"/>
        <v>L00-EMG-EDE-S121-02</v>
      </c>
      <c r="F813">
        <f t="shared" ca="1" si="161"/>
        <v>2142010</v>
      </c>
      <c r="G813">
        <f t="shared" ca="1" si="162"/>
        <v>0</v>
      </c>
      <c r="H813">
        <f t="shared" ca="1" si="163"/>
        <v>0</v>
      </c>
      <c r="I813">
        <f t="shared" ca="1" si="164"/>
        <v>0</v>
      </c>
      <c r="J813" s="8" t="e">
        <f t="shared" ca="1" si="165"/>
        <v>#DIV/0!</v>
      </c>
      <c r="K813" s="9" t="e">
        <f t="shared" ca="1" si="166"/>
        <v>#DIV/0!</v>
      </c>
      <c r="L813" t="e">
        <f ca="1">+_xlfn.IFNA(VLOOKUP(M813,BespokeWindowsAreas!$A$1:$E$1999,1,FALSE),VLOOKUP(E813,WindowTypeArea!$B$2:$C$2000,2,FALSE))</f>
        <v>#N/A</v>
      </c>
      <c r="M813">
        <f t="shared" ca="1" si="167"/>
        <v>0</v>
      </c>
    </row>
    <row r="814" spans="1:13" x14ac:dyDescent="0.25">
      <c r="A814">
        <f t="shared" ca="1" si="158"/>
        <v>2</v>
      </c>
      <c r="B814">
        <f t="shared" ca="1" si="159"/>
        <v>401</v>
      </c>
      <c r="C814" t="str">
        <f t="shared" ca="1" si="168"/>
        <v>'WINDOWS-NCH-A-BDP-M3-00-00'!B400</v>
      </c>
      <c r="D814" s="6" t="str">
        <f t="shared" ca="1" si="157"/>
        <v>L00-EMG-EDE-S121-02</v>
      </c>
      <c r="E814" t="str">
        <f t="shared" ca="1" si="160"/>
        <v>Family Type: Curtain Wall_975w x 3200h, Family: Window External Type 6 - Flush, Recessed</v>
      </c>
      <c r="F814" t="str">
        <f t="shared" ca="1" si="161"/>
        <v>Vector(X = 0.977, Y = 0.212, Z = 0.000, Length = 1.000)</v>
      </c>
      <c r="G814">
        <f t="shared" ca="1" si="162"/>
        <v>1</v>
      </c>
      <c r="H814">
        <f t="shared" ca="1" si="163"/>
        <v>0.2</v>
      </c>
      <c r="I814">
        <f t="shared" ca="1" si="164"/>
        <v>0</v>
      </c>
      <c r="J814" s="8">
        <f t="shared" ca="1" si="165"/>
        <v>11.309932474020215</v>
      </c>
      <c r="K814" s="9" t="str">
        <f t="shared" ca="1" si="166"/>
        <v>E</v>
      </c>
      <c r="L814">
        <f ca="1">+_xlfn.IFNA(VLOOKUP(M814,BespokeWindowsAreas!$A$1:$E$1999,1,FALSE),VLOOKUP(E814,WindowTypeArea!$B$2:$C$2000,2,FALSE))</f>
        <v>3.12</v>
      </c>
      <c r="M814">
        <f t="shared" ca="1" si="167"/>
        <v>5050166</v>
      </c>
    </row>
    <row r="815" spans="1:13" x14ac:dyDescent="0.25">
      <c r="A815">
        <f t="shared" ca="1" si="158"/>
        <v>2</v>
      </c>
      <c r="B815">
        <f t="shared" ca="1" si="159"/>
        <v>402</v>
      </c>
      <c r="C815" t="str">
        <f t="shared" ca="1" si="168"/>
        <v>'WINDOWS-NCH-A-BDP-M3-00-00'!B401</v>
      </c>
      <c r="D815" s="6" t="str">
        <f t="shared" ca="1" si="157"/>
        <v>L00-EMG-EDE-S121-02</v>
      </c>
      <c r="E815" t="str">
        <f t="shared" ca="1" si="160"/>
        <v>Family Type: Curtain Wall_1500w x 3200h, Family: Window External Type 6 - Flush, Recessed</v>
      </c>
      <c r="F815" t="str">
        <f t="shared" ca="1" si="161"/>
        <v>Vector(X = 0.977, Y = 0.212, Z = 0.000, Length = 1.000)</v>
      </c>
      <c r="G815">
        <f t="shared" ca="1" si="162"/>
        <v>1</v>
      </c>
      <c r="H815">
        <f t="shared" ca="1" si="163"/>
        <v>0.2</v>
      </c>
      <c r="I815">
        <f t="shared" ca="1" si="164"/>
        <v>0</v>
      </c>
      <c r="J815" s="8">
        <f t="shared" ca="1" si="165"/>
        <v>11.309932474020215</v>
      </c>
      <c r="K815" s="9" t="str">
        <f t="shared" ca="1" si="166"/>
        <v>E</v>
      </c>
      <c r="L815">
        <f ca="1">+_xlfn.IFNA(VLOOKUP(M815,BespokeWindowsAreas!$A$1:$E$1999,1,FALSE),VLOOKUP(E815,WindowTypeArea!$B$2:$C$2000,2,FALSE))</f>
        <v>4.8</v>
      </c>
      <c r="M815">
        <f t="shared" ca="1" si="167"/>
        <v>5050167</v>
      </c>
    </row>
    <row r="816" spans="1:13" x14ac:dyDescent="0.25">
      <c r="A816">
        <f t="shared" ca="1" si="158"/>
        <v>2</v>
      </c>
      <c r="B816">
        <f t="shared" ca="1" si="159"/>
        <v>403</v>
      </c>
      <c r="C816" t="str">
        <f t="shared" ca="1" si="168"/>
        <v>'WINDOWS-NCH-A-BDP-M3-00-00'!B402</v>
      </c>
      <c r="D816" s="6">
        <f t="shared" ca="1" si="157"/>
        <v>0</v>
      </c>
      <c r="E816">
        <f t="shared" ca="1" si="160"/>
        <v>0</v>
      </c>
      <c r="F816">
        <f t="shared" ca="1" si="161"/>
        <v>2158647</v>
      </c>
      <c r="G816">
        <f t="shared" ca="1" si="162"/>
        <v>0</v>
      </c>
      <c r="H816">
        <f t="shared" ca="1" si="163"/>
        <v>0</v>
      </c>
      <c r="I816">
        <f t="shared" ca="1" si="164"/>
        <v>0</v>
      </c>
      <c r="J816" s="8" t="e">
        <f t="shared" ca="1" si="165"/>
        <v>#DIV/0!</v>
      </c>
      <c r="K816" s="9" t="e">
        <f t="shared" ca="1" si="166"/>
        <v>#DIV/0!</v>
      </c>
      <c r="L816" t="e">
        <f ca="1">+_xlfn.IFNA(VLOOKUP(M816,BespokeWindowsAreas!$A$1:$E$1999,1,FALSE),VLOOKUP(E816,WindowTypeArea!$B$2:$C$2000,2,FALSE))</f>
        <v>#N/A</v>
      </c>
      <c r="M816">
        <f t="shared" ca="1" si="167"/>
        <v>0</v>
      </c>
    </row>
    <row r="817" spans="1:13" x14ac:dyDescent="0.25">
      <c r="A817">
        <f t="shared" ca="1" si="158"/>
        <v>2</v>
      </c>
      <c r="B817">
        <f t="shared" ca="1" si="159"/>
        <v>404</v>
      </c>
      <c r="C817" t="str">
        <f t="shared" ca="1" si="168"/>
        <v>'WINDOWS-NCH-A-BDP-M3-00-00'!B403</v>
      </c>
      <c r="D817" s="6">
        <f t="shared" ca="1" si="157"/>
        <v>0</v>
      </c>
      <c r="E817" t="str">
        <f t="shared" ca="1" si="160"/>
        <v>Family Type: Curtain Wall_975w x 3050h 2, Family: Window External Type 6 - Flush, Recessed</v>
      </c>
      <c r="F817" t="str">
        <f t="shared" ca="1" si="161"/>
        <v>Vector(X = -0.872, Y = -0.489, Z = 0.000, Length = 1.000)</v>
      </c>
      <c r="G817">
        <f t="shared" ca="1" si="162"/>
        <v>-0.9</v>
      </c>
      <c r="H817">
        <f t="shared" ca="1" si="163"/>
        <v>-0.5</v>
      </c>
      <c r="I817">
        <f t="shared" ca="1" si="164"/>
        <v>0</v>
      </c>
      <c r="J817" s="8">
        <f t="shared" ca="1" si="165"/>
        <v>-150.94539590092285</v>
      </c>
      <c r="K817" s="9" t="str">
        <f t="shared" ca="1" si="166"/>
        <v>W</v>
      </c>
      <c r="L817">
        <f ca="1">+_xlfn.IFNA(VLOOKUP(M817,BespokeWindowsAreas!$A$1:$E$1999,1,FALSE),VLOOKUP(E817,WindowTypeArea!$B$2:$C$2000,2,FALSE))</f>
        <v>2.9737499999999999</v>
      </c>
      <c r="M817">
        <f t="shared" ca="1" si="167"/>
        <v>5490580</v>
      </c>
    </row>
    <row r="818" spans="1:13" x14ac:dyDescent="0.25">
      <c r="A818">
        <f t="shared" ca="1" si="158"/>
        <v>2</v>
      </c>
      <c r="B818">
        <f t="shared" ca="1" si="159"/>
        <v>405</v>
      </c>
      <c r="C818" t="str">
        <f t="shared" ca="1" si="168"/>
        <v>'WINDOWS-NCH-A-BDP-M3-00-00'!B404</v>
      </c>
      <c r="D818" s="6">
        <f t="shared" ca="1" si="157"/>
        <v>0</v>
      </c>
      <c r="E818">
        <f t="shared" ca="1" si="160"/>
        <v>0</v>
      </c>
      <c r="F818">
        <f t="shared" ca="1" si="161"/>
        <v>2158668</v>
      </c>
      <c r="G818">
        <f t="shared" ca="1" si="162"/>
        <v>0</v>
      </c>
      <c r="H818">
        <f t="shared" ca="1" si="163"/>
        <v>0</v>
      </c>
      <c r="I818">
        <f t="shared" ca="1" si="164"/>
        <v>0</v>
      </c>
      <c r="J818" s="8" t="e">
        <f t="shared" ca="1" si="165"/>
        <v>#DIV/0!</v>
      </c>
      <c r="K818" s="9" t="e">
        <f t="shared" ca="1" si="166"/>
        <v>#DIV/0!</v>
      </c>
      <c r="L818" t="e">
        <f ca="1">+_xlfn.IFNA(VLOOKUP(M818,BespokeWindowsAreas!$A$1:$E$1999,1,FALSE),VLOOKUP(E818,WindowTypeArea!$B$2:$C$2000,2,FALSE))</f>
        <v>#N/A</v>
      </c>
      <c r="M818">
        <f t="shared" ca="1" si="167"/>
        <v>0</v>
      </c>
    </row>
    <row r="819" spans="1:13" x14ac:dyDescent="0.25">
      <c r="A819">
        <f t="shared" ca="1" si="158"/>
        <v>2</v>
      </c>
      <c r="B819">
        <f t="shared" ca="1" si="159"/>
        <v>406</v>
      </c>
      <c r="C819" t="str">
        <f t="shared" ca="1" si="168"/>
        <v>'WINDOWS-NCH-A-BDP-M3-00-00'!B405</v>
      </c>
      <c r="D819" s="6">
        <f t="shared" ca="1" si="157"/>
        <v>0</v>
      </c>
      <c r="E819" t="str">
        <f t="shared" ca="1" si="160"/>
        <v>Family Type: 975w x 3050h, Family: Window Internal Type 2a - Recessed</v>
      </c>
      <c r="F819" t="str">
        <f t="shared" ca="1" si="161"/>
        <v>Vector(X = 0.530, Y = -0.848, Z = 0.000, Length = 1.000)</v>
      </c>
      <c r="G819">
        <f t="shared" ca="1" si="162"/>
        <v>0.5</v>
      </c>
      <c r="H819">
        <f t="shared" ca="1" si="163"/>
        <v>-0.8</v>
      </c>
      <c r="I819">
        <f t="shared" ca="1" si="164"/>
        <v>0</v>
      </c>
      <c r="J819" s="8">
        <f t="shared" ca="1" si="165"/>
        <v>-57.994616791916499</v>
      </c>
      <c r="K819" s="9" t="str">
        <f t="shared" ca="1" si="166"/>
        <v>S</v>
      </c>
      <c r="L819">
        <f ca="1">+_xlfn.IFNA(VLOOKUP(M819,BespokeWindowsAreas!$A$1:$E$1999,1,FALSE),VLOOKUP(E819,WindowTypeArea!$B$2:$C$2000,2,FALSE))</f>
        <v>2.9737499999999999</v>
      </c>
      <c r="M819">
        <f t="shared" ca="1" si="167"/>
        <v>6516778</v>
      </c>
    </row>
    <row r="820" spans="1:13" x14ac:dyDescent="0.25">
      <c r="A820">
        <f t="shared" ca="1" si="158"/>
        <v>2</v>
      </c>
      <c r="B820">
        <f t="shared" ca="1" si="159"/>
        <v>407</v>
      </c>
      <c r="C820" t="str">
        <f t="shared" ca="1" si="168"/>
        <v>'WINDOWS-NCH-A-BDP-M3-00-00'!B406</v>
      </c>
      <c r="D820" s="6" t="str">
        <f t="shared" ca="1" si="157"/>
        <v>L00-OPD-C4W-S115-92</v>
      </c>
      <c r="E820" t="str">
        <f t="shared" ca="1" si="160"/>
        <v>L00-OPD-C4W-S115-92</v>
      </c>
      <c r="F820">
        <f t="shared" ca="1" si="161"/>
        <v>2160625</v>
      </c>
      <c r="G820">
        <f t="shared" ca="1" si="162"/>
        <v>0</v>
      </c>
      <c r="H820">
        <f t="shared" ca="1" si="163"/>
        <v>0</v>
      </c>
      <c r="I820">
        <f t="shared" ca="1" si="164"/>
        <v>0</v>
      </c>
      <c r="J820" s="8" t="e">
        <f t="shared" ca="1" si="165"/>
        <v>#DIV/0!</v>
      </c>
      <c r="K820" s="9" t="e">
        <f t="shared" ca="1" si="166"/>
        <v>#DIV/0!</v>
      </c>
      <c r="L820" t="e">
        <f ca="1">+_xlfn.IFNA(VLOOKUP(M820,BespokeWindowsAreas!$A$1:$E$1999,1,FALSE),VLOOKUP(E820,WindowTypeArea!$B$2:$C$2000,2,FALSE))</f>
        <v>#N/A</v>
      </c>
      <c r="M820">
        <f t="shared" ca="1" si="167"/>
        <v>0</v>
      </c>
    </row>
    <row r="821" spans="1:13" x14ac:dyDescent="0.25">
      <c r="A821">
        <f t="shared" ca="1" si="158"/>
        <v>2</v>
      </c>
      <c r="B821">
        <f t="shared" ca="1" si="159"/>
        <v>408</v>
      </c>
      <c r="C821" t="str">
        <f t="shared" ca="1" si="168"/>
        <v>'WINDOWS-NCH-A-BDP-M3-00-00'!B407</v>
      </c>
      <c r="D821" s="6" t="str">
        <f t="shared" ca="1" si="157"/>
        <v>L00-OPD-C4W-S115-92</v>
      </c>
      <c r="E821" t="str">
        <f t="shared" ca="1" si="160"/>
        <v>Family Type: 1000w x 3050h, Family: Window External Type 4 - Extruded</v>
      </c>
      <c r="F821" t="str">
        <f t="shared" ca="1" si="161"/>
        <v>Vector(X = -0.130, Y = -0.991, Z = 0.000, Length = 1.000)</v>
      </c>
      <c r="G821">
        <f t="shared" ca="1" si="162"/>
        <v>-0.1</v>
      </c>
      <c r="H821">
        <f t="shared" ca="1" si="163"/>
        <v>-1</v>
      </c>
      <c r="I821">
        <f t="shared" ca="1" si="164"/>
        <v>0</v>
      </c>
      <c r="J821" s="8">
        <f t="shared" ca="1" si="165"/>
        <v>-95.710593137499629</v>
      </c>
      <c r="K821" s="9" t="str">
        <f t="shared" ca="1" si="166"/>
        <v>SW</v>
      </c>
      <c r="L821">
        <f ca="1">+_xlfn.IFNA(VLOOKUP(M821,BespokeWindowsAreas!$A$1:$E$1999,1,FALSE),VLOOKUP(E821,WindowTypeArea!$B$2:$C$2000,2,FALSE))</f>
        <v>3.05</v>
      </c>
      <c r="M821">
        <f t="shared" ca="1" si="167"/>
        <v>4795723</v>
      </c>
    </row>
    <row r="822" spans="1:13" x14ac:dyDescent="0.25">
      <c r="A822">
        <f t="shared" ca="1" si="158"/>
        <v>2</v>
      </c>
      <c r="B822">
        <f t="shared" ca="1" si="159"/>
        <v>409</v>
      </c>
      <c r="C822" t="str">
        <f t="shared" ca="1" si="168"/>
        <v>'WINDOWS-NCH-A-BDP-M3-00-00'!B408</v>
      </c>
      <c r="D822" s="6" t="str">
        <f t="shared" ca="1" si="157"/>
        <v>L00-OPD-C4W-S115-92</v>
      </c>
      <c r="E822" t="str">
        <f t="shared" ca="1" si="160"/>
        <v>Family Type: 975w x 3050h, Family: Window External Type 1 - Recessed</v>
      </c>
      <c r="F822" t="str">
        <f t="shared" ca="1" si="161"/>
        <v>Vector(X = -0.130, Y = -0.991, Z = 0.000, Length = 1.000)</v>
      </c>
      <c r="G822">
        <f t="shared" ca="1" si="162"/>
        <v>-0.1</v>
      </c>
      <c r="H822">
        <f t="shared" ca="1" si="163"/>
        <v>-1</v>
      </c>
      <c r="I822">
        <f t="shared" ca="1" si="164"/>
        <v>0</v>
      </c>
      <c r="J822" s="8">
        <f t="shared" ca="1" si="165"/>
        <v>-95.710593137499629</v>
      </c>
      <c r="K822" s="9" t="str">
        <f t="shared" ca="1" si="166"/>
        <v>SW</v>
      </c>
      <c r="L822">
        <f ca="1">+_xlfn.IFNA(VLOOKUP(M822,BespokeWindowsAreas!$A$1:$E$1999,1,FALSE),VLOOKUP(E822,WindowTypeArea!$B$2:$C$2000,2,FALSE))</f>
        <v>2.9737499999999999</v>
      </c>
      <c r="M822">
        <f t="shared" ca="1" si="167"/>
        <v>4795768</v>
      </c>
    </row>
    <row r="823" spans="1:13" x14ac:dyDescent="0.25">
      <c r="A823">
        <f t="shared" ca="1" si="158"/>
        <v>2</v>
      </c>
      <c r="B823">
        <f t="shared" ca="1" si="159"/>
        <v>410</v>
      </c>
      <c r="C823" t="str">
        <f t="shared" ca="1" si="168"/>
        <v>'WINDOWS-NCH-A-BDP-M3-00-00'!B409</v>
      </c>
      <c r="D823" s="6" t="str">
        <f t="shared" ca="1" si="157"/>
        <v>L00-OPD-C4W-S115-92</v>
      </c>
      <c r="E823" t="str">
        <f t="shared" ca="1" si="160"/>
        <v>Family Type: 975w x 3050h, Family: Window External Type 1 - Recessed</v>
      </c>
      <c r="F823" t="str">
        <f t="shared" ca="1" si="161"/>
        <v>Vector(X = -0.130, Y = -0.991, Z = 0.000, Length = 1.000)</v>
      </c>
      <c r="G823">
        <f t="shared" ca="1" si="162"/>
        <v>-0.1</v>
      </c>
      <c r="H823">
        <f t="shared" ca="1" si="163"/>
        <v>-1</v>
      </c>
      <c r="I823">
        <f t="shared" ca="1" si="164"/>
        <v>0</v>
      </c>
      <c r="J823" s="8">
        <f t="shared" ca="1" si="165"/>
        <v>-95.710593137499629</v>
      </c>
      <c r="K823" s="9" t="str">
        <f t="shared" ca="1" si="166"/>
        <v>SW</v>
      </c>
      <c r="L823">
        <f ca="1">+_xlfn.IFNA(VLOOKUP(M823,BespokeWindowsAreas!$A$1:$E$1999,1,FALSE),VLOOKUP(E823,WindowTypeArea!$B$2:$C$2000,2,FALSE))</f>
        <v>2.9737499999999999</v>
      </c>
      <c r="M823">
        <f t="shared" ca="1" si="167"/>
        <v>4795769</v>
      </c>
    </row>
    <row r="824" spans="1:13" x14ac:dyDescent="0.25">
      <c r="A824">
        <f t="shared" ca="1" si="158"/>
        <v>2</v>
      </c>
      <c r="B824">
        <f t="shared" ca="1" si="159"/>
        <v>411</v>
      </c>
      <c r="C824" t="str">
        <f t="shared" ca="1" si="168"/>
        <v>'WINDOWS-NCH-A-BDP-M3-00-00'!B410</v>
      </c>
      <c r="D824" s="6" t="str">
        <f t="shared" ca="1" si="157"/>
        <v>L00-OPD-C4W-S115-92</v>
      </c>
      <c r="E824" t="str">
        <f t="shared" ca="1" si="160"/>
        <v>Family Type: 1000w x 3050h, Family: Window External Type 4 - Extruded</v>
      </c>
      <c r="F824" t="str">
        <f t="shared" ca="1" si="161"/>
        <v>Vector(X = -0.130, Y = -0.991, Z = 0.000, Length = 1.000)</v>
      </c>
      <c r="G824">
        <f t="shared" ca="1" si="162"/>
        <v>-0.1</v>
      </c>
      <c r="H824">
        <f t="shared" ca="1" si="163"/>
        <v>-1</v>
      </c>
      <c r="I824">
        <f t="shared" ca="1" si="164"/>
        <v>0</v>
      </c>
      <c r="J824" s="8">
        <f t="shared" ca="1" si="165"/>
        <v>-95.710593137499629</v>
      </c>
      <c r="K824" s="9" t="str">
        <f t="shared" ca="1" si="166"/>
        <v>SW</v>
      </c>
      <c r="L824">
        <f ca="1">+_xlfn.IFNA(VLOOKUP(M824,BespokeWindowsAreas!$A$1:$E$1999,1,FALSE),VLOOKUP(E824,WindowTypeArea!$B$2:$C$2000,2,FALSE))</f>
        <v>3.05</v>
      </c>
      <c r="M824">
        <f t="shared" ca="1" si="167"/>
        <v>4795770</v>
      </c>
    </row>
    <row r="825" spans="1:13" x14ac:dyDescent="0.25">
      <c r="A825">
        <f t="shared" ca="1" si="158"/>
        <v>2</v>
      </c>
      <c r="B825">
        <f t="shared" ca="1" si="159"/>
        <v>412</v>
      </c>
      <c r="C825" t="str">
        <f t="shared" ca="1" si="168"/>
        <v>'WINDOWS-NCH-A-BDP-M3-00-00'!B411</v>
      </c>
      <c r="D825" s="6" t="str">
        <f t="shared" ca="1" si="157"/>
        <v>L00-OPD-C4W-S115-92</v>
      </c>
      <c r="E825" t="str">
        <f t="shared" ca="1" si="160"/>
        <v>Family Type: 1000w x 3050h, Family: Window External Type 4 - Extruded</v>
      </c>
      <c r="F825" t="str">
        <f t="shared" ca="1" si="161"/>
        <v>Vector(X = -0.130, Y = -0.991, Z = 0.000, Length = 1.000)</v>
      </c>
      <c r="G825">
        <f t="shared" ca="1" si="162"/>
        <v>-0.1</v>
      </c>
      <c r="H825">
        <f t="shared" ca="1" si="163"/>
        <v>-1</v>
      </c>
      <c r="I825">
        <f t="shared" ca="1" si="164"/>
        <v>0</v>
      </c>
      <c r="J825" s="8">
        <f t="shared" ca="1" si="165"/>
        <v>-95.710593137499629</v>
      </c>
      <c r="K825" s="9" t="str">
        <f t="shared" ca="1" si="166"/>
        <v>SW</v>
      </c>
      <c r="L825">
        <f ca="1">+_xlfn.IFNA(VLOOKUP(M825,BespokeWindowsAreas!$A$1:$E$1999,1,FALSE),VLOOKUP(E825,WindowTypeArea!$B$2:$C$2000,2,FALSE))</f>
        <v>3.05</v>
      </c>
      <c r="M825">
        <f t="shared" ca="1" si="167"/>
        <v>4795773</v>
      </c>
    </row>
    <row r="826" spans="1:13" x14ac:dyDescent="0.25">
      <c r="A826">
        <f t="shared" ca="1" si="158"/>
        <v>2</v>
      </c>
      <c r="B826">
        <f t="shared" ca="1" si="159"/>
        <v>413</v>
      </c>
      <c r="C826" t="str">
        <f t="shared" ca="1" si="168"/>
        <v>'WINDOWS-NCH-A-BDP-M3-00-00'!B412</v>
      </c>
      <c r="D826" s="6" t="str">
        <f t="shared" ca="1" si="157"/>
        <v>L00-OPD-C4W-S115-92</v>
      </c>
      <c r="E826" t="str">
        <f t="shared" ca="1" si="160"/>
        <v>Family Type: 1500w x 3050h, Family: Window External Type 3 - Recessed and Angle</v>
      </c>
      <c r="F826" t="str">
        <f t="shared" ca="1" si="161"/>
        <v>Vector(X = -0.130, Y = -0.991, Z = 0.000, Length = 1.000)</v>
      </c>
      <c r="G826">
        <f t="shared" ca="1" si="162"/>
        <v>-0.1</v>
      </c>
      <c r="H826">
        <f t="shared" ca="1" si="163"/>
        <v>-1</v>
      </c>
      <c r="I826">
        <f t="shared" ca="1" si="164"/>
        <v>0</v>
      </c>
      <c r="J826" s="8">
        <f t="shared" ca="1" si="165"/>
        <v>-95.710593137499629</v>
      </c>
      <c r="K826" s="9" t="str">
        <f t="shared" ca="1" si="166"/>
        <v>SW</v>
      </c>
      <c r="L826">
        <f ca="1">+_xlfn.IFNA(VLOOKUP(M826,BespokeWindowsAreas!$A$1:$E$1999,1,FALSE),VLOOKUP(E826,WindowTypeArea!$B$2:$C$2000,2,FALSE))</f>
        <v>4.5750000000000002</v>
      </c>
      <c r="M826">
        <f t="shared" ca="1" si="167"/>
        <v>4795776</v>
      </c>
    </row>
    <row r="827" spans="1:13" x14ac:dyDescent="0.25">
      <c r="A827">
        <f t="shared" ca="1" si="158"/>
        <v>2</v>
      </c>
      <c r="B827">
        <f t="shared" ca="1" si="159"/>
        <v>414</v>
      </c>
      <c r="C827" t="str">
        <f t="shared" ca="1" si="168"/>
        <v>'WINDOWS-NCH-A-BDP-M3-00-00'!B413</v>
      </c>
      <c r="D827" s="6" t="str">
        <f t="shared" ca="1" si="157"/>
        <v>L00-OPD-C4W-S115-92</v>
      </c>
      <c r="E827" t="str">
        <f t="shared" ca="1" si="160"/>
        <v>Family Type: 1500w x 3050h, Family: Window External Type 3 - Recessed and Angle</v>
      </c>
      <c r="F827" t="str">
        <f t="shared" ca="1" si="161"/>
        <v>Vector(X = -0.130, Y = -0.991, Z = 0.000, Length = 1.000)</v>
      </c>
      <c r="G827">
        <f t="shared" ca="1" si="162"/>
        <v>-0.1</v>
      </c>
      <c r="H827">
        <f t="shared" ca="1" si="163"/>
        <v>-1</v>
      </c>
      <c r="I827">
        <f t="shared" ca="1" si="164"/>
        <v>0</v>
      </c>
      <c r="J827" s="8">
        <f t="shared" ca="1" si="165"/>
        <v>-95.710593137499629</v>
      </c>
      <c r="K827" s="9" t="str">
        <f t="shared" ca="1" si="166"/>
        <v>SW</v>
      </c>
      <c r="L827">
        <f ca="1">+_xlfn.IFNA(VLOOKUP(M827,BespokeWindowsAreas!$A$1:$E$1999,1,FALSE),VLOOKUP(E827,WindowTypeArea!$B$2:$C$2000,2,FALSE))</f>
        <v>4.5750000000000002</v>
      </c>
      <c r="M827">
        <f t="shared" ca="1" si="167"/>
        <v>4795778</v>
      </c>
    </row>
    <row r="828" spans="1:13" x14ac:dyDescent="0.25">
      <c r="A828">
        <f t="shared" ca="1" si="158"/>
        <v>2</v>
      </c>
      <c r="B828">
        <f t="shared" ca="1" si="159"/>
        <v>415</v>
      </c>
      <c r="C828" t="str">
        <f t="shared" ca="1" si="168"/>
        <v>'WINDOWS-NCH-A-BDP-M3-00-00'!B414</v>
      </c>
      <c r="D828" s="6" t="str">
        <f t="shared" ca="1" si="157"/>
        <v>L00-OPD-C4W-S115-92</v>
      </c>
      <c r="E828" t="str">
        <f t="shared" ca="1" si="160"/>
        <v>Family Type: 1950w x 3050h, Family: Window External Type 3 - Recessed and Angle</v>
      </c>
      <c r="F828" t="str">
        <f t="shared" ca="1" si="161"/>
        <v>Vector(X = -0.130, Y = -0.991, Z = 0.000, Length = 1.000)</v>
      </c>
      <c r="G828">
        <f t="shared" ca="1" si="162"/>
        <v>-0.1</v>
      </c>
      <c r="H828">
        <f t="shared" ca="1" si="163"/>
        <v>-1</v>
      </c>
      <c r="I828">
        <f t="shared" ca="1" si="164"/>
        <v>0</v>
      </c>
      <c r="J828" s="8">
        <f t="shared" ca="1" si="165"/>
        <v>-95.710593137499629</v>
      </c>
      <c r="K828" s="9" t="str">
        <f t="shared" ca="1" si="166"/>
        <v>SW</v>
      </c>
      <c r="L828">
        <f ca="1">+_xlfn.IFNA(VLOOKUP(M828,BespokeWindowsAreas!$A$1:$E$1999,1,FALSE),VLOOKUP(E828,WindowTypeArea!$B$2:$C$2000,2,FALSE))</f>
        <v>5.9474999999999998</v>
      </c>
      <c r="M828">
        <f t="shared" ca="1" si="167"/>
        <v>4795779</v>
      </c>
    </row>
    <row r="829" spans="1:13" x14ac:dyDescent="0.25">
      <c r="A829">
        <f t="shared" ca="1" si="158"/>
        <v>2</v>
      </c>
      <c r="B829">
        <f t="shared" ca="1" si="159"/>
        <v>416</v>
      </c>
      <c r="C829" t="str">
        <f t="shared" ca="1" si="168"/>
        <v>'WINDOWS-NCH-A-BDP-M3-00-00'!B415</v>
      </c>
      <c r="D829" s="6" t="str">
        <f t="shared" ca="1" si="157"/>
        <v>L00-OPD-C4W-S115-92</v>
      </c>
      <c r="E829" t="str">
        <f t="shared" ca="1" si="160"/>
        <v>Family Type: 975w x 3050h, Family: Window External Type 1 - Recessed</v>
      </c>
      <c r="F829" t="str">
        <f t="shared" ca="1" si="161"/>
        <v>Vector(X = -0.130, Y = -0.991, Z = 0.000, Length = 1.000)</v>
      </c>
      <c r="G829">
        <f t="shared" ca="1" si="162"/>
        <v>-0.1</v>
      </c>
      <c r="H829">
        <f t="shared" ca="1" si="163"/>
        <v>-1</v>
      </c>
      <c r="I829">
        <f t="shared" ca="1" si="164"/>
        <v>0</v>
      </c>
      <c r="J829" s="8">
        <f t="shared" ca="1" si="165"/>
        <v>-95.710593137499629</v>
      </c>
      <c r="K829" s="9" t="str">
        <f t="shared" ca="1" si="166"/>
        <v>SW</v>
      </c>
      <c r="L829">
        <f ca="1">+_xlfn.IFNA(VLOOKUP(M829,BespokeWindowsAreas!$A$1:$E$1999,1,FALSE),VLOOKUP(E829,WindowTypeArea!$B$2:$C$2000,2,FALSE))</f>
        <v>2.9737499999999999</v>
      </c>
      <c r="M829">
        <f t="shared" ca="1" si="167"/>
        <v>4795783</v>
      </c>
    </row>
    <row r="830" spans="1:13" x14ac:dyDescent="0.25">
      <c r="A830">
        <f t="shared" ca="1" si="158"/>
        <v>2</v>
      </c>
      <c r="B830">
        <f t="shared" ca="1" si="159"/>
        <v>417</v>
      </c>
      <c r="C830" t="str">
        <f t="shared" ca="1" si="168"/>
        <v>'WINDOWS-NCH-A-BDP-M3-00-00'!B416</v>
      </c>
      <c r="D830" s="6" t="str">
        <f t="shared" ca="1" si="157"/>
        <v>L00-OPD-C4W-S115-92</v>
      </c>
      <c r="E830" t="str">
        <f t="shared" ca="1" si="160"/>
        <v>Family Type: 1500w x 3050h, Family: Window External Type 3 - Recessed and Angle</v>
      </c>
      <c r="F830" t="str">
        <f t="shared" ca="1" si="161"/>
        <v>Vector(X = -0.130, Y = -0.991, Z = 0.000, Length = 1.000)</v>
      </c>
      <c r="G830">
        <f t="shared" ca="1" si="162"/>
        <v>-0.1</v>
      </c>
      <c r="H830">
        <f t="shared" ca="1" si="163"/>
        <v>-1</v>
      </c>
      <c r="I830">
        <f t="shared" ca="1" si="164"/>
        <v>0</v>
      </c>
      <c r="J830" s="8">
        <f t="shared" ca="1" si="165"/>
        <v>-95.710593137499629</v>
      </c>
      <c r="K830" s="9" t="str">
        <f t="shared" ca="1" si="166"/>
        <v>SW</v>
      </c>
      <c r="L830">
        <f ca="1">+_xlfn.IFNA(VLOOKUP(M830,BespokeWindowsAreas!$A$1:$E$1999,1,FALSE),VLOOKUP(E830,WindowTypeArea!$B$2:$C$2000,2,FALSE))</f>
        <v>4.5750000000000002</v>
      </c>
      <c r="M830">
        <f t="shared" ca="1" si="167"/>
        <v>4795785</v>
      </c>
    </row>
    <row r="831" spans="1:13" x14ac:dyDescent="0.25">
      <c r="A831">
        <f t="shared" ca="1" si="158"/>
        <v>2</v>
      </c>
      <c r="B831">
        <f t="shared" ca="1" si="159"/>
        <v>418</v>
      </c>
      <c r="C831" t="str">
        <f t="shared" ca="1" si="168"/>
        <v>'WINDOWS-NCH-A-BDP-M3-00-00'!B417</v>
      </c>
      <c r="D831" s="6" t="str">
        <f t="shared" ca="1" si="157"/>
        <v>L00-OPD-C4W-S115-92</v>
      </c>
      <c r="E831" t="str">
        <f t="shared" ca="1" si="160"/>
        <v>Family Type: 1500w x 3050h, Family: Window External Type 3 - Recessed and Angle</v>
      </c>
      <c r="F831" t="str">
        <f t="shared" ca="1" si="161"/>
        <v>Vector(X = 0.130, Y = 0.991, Z = 0.000, Length = 1.000)</v>
      </c>
      <c r="G831">
        <f t="shared" ca="1" si="162"/>
        <v>0.1</v>
      </c>
      <c r="H831">
        <f t="shared" ca="1" si="163"/>
        <v>1</v>
      </c>
      <c r="I831">
        <f t="shared" ca="1" si="164"/>
        <v>0</v>
      </c>
      <c r="J831" s="8">
        <f t="shared" ca="1" si="165"/>
        <v>84.289406862500371</v>
      </c>
      <c r="K831" s="9" t="str">
        <f t="shared" ca="1" si="166"/>
        <v>NE</v>
      </c>
      <c r="L831">
        <f ca="1">+_xlfn.IFNA(VLOOKUP(M831,BespokeWindowsAreas!$A$1:$E$1999,1,FALSE),VLOOKUP(E831,WindowTypeArea!$B$2:$C$2000,2,FALSE))</f>
        <v>4.5750000000000002</v>
      </c>
      <c r="M831">
        <f t="shared" ca="1" si="167"/>
        <v>4810087</v>
      </c>
    </row>
    <row r="832" spans="1:13" x14ac:dyDescent="0.25">
      <c r="A832">
        <f t="shared" ca="1" si="158"/>
        <v>2</v>
      </c>
      <c r="B832">
        <f t="shared" ca="1" si="159"/>
        <v>419</v>
      </c>
      <c r="C832" t="str">
        <f t="shared" ca="1" si="168"/>
        <v>'WINDOWS-NCH-A-BDP-M3-00-00'!B418</v>
      </c>
      <c r="D832" s="6" t="str">
        <f t="shared" ca="1" si="157"/>
        <v>L00-OPD-C4W-S115-92</v>
      </c>
      <c r="E832" t="str">
        <f t="shared" ca="1" si="160"/>
        <v>Family Type: 1000w x 3050h, Family: Window External Type 4 - Extruded</v>
      </c>
      <c r="F832" t="str">
        <f t="shared" ca="1" si="161"/>
        <v>Vector(X = 0.130, Y = 0.991, Z = 0.000, Length = 1.000)</v>
      </c>
      <c r="G832">
        <f t="shared" ca="1" si="162"/>
        <v>0.1</v>
      </c>
      <c r="H832">
        <f t="shared" ca="1" si="163"/>
        <v>1</v>
      </c>
      <c r="I832">
        <f t="shared" ca="1" si="164"/>
        <v>0</v>
      </c>
      <c r="J832" s="8">
        <f t="shared" ca="1" si="165"/>
        <v>84.289406862500371</v>
      </c>
      <c r="K832" s="9" t="str">
        <f t="shared" ca="1" si="166"/>
        <v>NE</v>
      </c>
      <c r="L832">
        <f ca="1">+_xlfn.IFNA(VLOOKUP(M832,BespokeWindowsAreas!$A$1:$E$1999,1,FALSE),VLOOKUP(E832,WindowTypeArea!$B$2:$C$2000,2,FALSE))</f>
        <v>3.05</v>
      </c>
      <c r="M832">
        <f t="shared" ca="1" si="167"/>
        <v>4810159</v>
      </c>
    </row>
    <row r="833" spans="1:13" x14ac:dyDescent="0.25">
      <c r="A833">
        <f t="shared" ca="1" si="158"/>
        <v>2</v>
      </c>
      <c r="B833">
        <f t="shared" ca="1" si="159"/>
        <v>420</v>
      </c>
      <c r="C833" t="str">
        <f t="shared" ca="1" si="168"/>
        <v>'WINDOWS-NCH-A-BDP-M3-00-00'!B419</v>
      </c>
      <c r="D833" s="6" t="str">
        <f t="shared" ca="1" si="157"/>
        <v>L00-OPD-C4W-S115-92</v>
      </c>
      <c r="E833" t="str">
        <f t="shared" ca="1" si="160"/>
        <v>Family Type: 1500w x 3050h, Family: Window External Type 3 - Recessed and Angle</v>
      </c>
      <c r="F833" t="str">
        <f t="shared" ca="1" si="161"/>
        <v>Vector(X = 0.130, Y = 0.991, Z = 0.000, Length = 1.000)</v>
      </c>
      <c r="G833">
        <f t="shared" ca="1" si="162"/>
        <v>0.1</v>
      </c>
      <c r="H833">
        <f t="shared" ca="1" si="163"/>
        <v>1</v>
      </c>
      <c r="I833">
        <f t="shared" ca="1" si="164"/>
        <v>0</v>
      </c>
      <c r="J833" s="8">
        <f t="shared" ca="1" si="165"/>
        <v>84.289406862500371</v>
      </c>
      <c r="K833" s="9" t="str">
        <f t="shared" ca="1" si="166"/>
        <v>NE</v>
      </c>
      <c r="L833">
        <f ca="1">+_xlfn.IFNA(VLOOKUP(M833,BespokeWindowsAreas!$A$1:$E$1999,1,FALSE),VLOOKUP(E833,WindowTypeArea!$B$2:$C$2000,2,FALSE))</f>
        <v>4.5750000000000002</v>
      </c>
      <c r="M833">
        <f t="shared" ca="1" si="167"/>
        <v>4810260</v>
      </c>
    </row>
    <row r="834" spans="1:13" x14ac:dyDescent="0.25">
      <c r="A834">
        <f t="shared" ca="1" si="158"/>
        <v>2</v>
      </c>
      <c r="B834">
        <f t="shared" ca="1" si="159"/>
        <v>421</v>
      </c>
      <c r="C834" t="str">
        <f t="shared" ca="1" si="168"/>
        <v>'WINDOWS-NCH-A-BDP-M3-00-00'!B420</v>
      </c>
      <c r="D834" s="6" t="str">
        <f t="shared" ca="1" si="157"/>
        <v>L00-OPD-C4W-S115-92</v>
      </c>
      <c r="E834" t="str">
        <f t="shared" ca="1" si="160"/>
        <v>Family Type: 1500w x 3050h, Family: Window External Type 3 - Recessed and Angle</v>
      </c>
      <c r="F834" t="str">
        <f t="shared" ca="1" si="161"/>
        <v>Vector(X = 0.130, Y = 0.991, Z = 0.000, Length = 1.000)</v>
      </c>
      <c r="G834">
        <f t="shared" ca="1" si="162"/>
        <v>0.1</v>
      </c>
      <c r="H834">
        <f t="shared" ca="1" si="163"/>
        <v>1</v>
      </c>
      <c r="I834">
        <f t="shared" ca="1" si="164"/>
        <v>0</v>
      </c>
      <c r="J834" s="8">
        <f t="shared" ca="1" si="165"/>
        <v>84.289406862500371</v>
      </c>
      <c r="K834" s="9" t="str">
        <f t="shared" ca="1" si="166"/>
        <v>NE</v>
      </c>
      <c r="L834">
        <f ca="1">+_xlfn.IFNA(VLOOKUP(M834,BespokeWindowsAreas!$A$1:$E$1999,1,FALSE),VLOOKUP(E834,WindowTypeArea!$B$2:$C$2000,2,FALSE))</f>
        <v>4.5750000000000002</v>
      </c>
      <c r="M834">
        <f t="shared" ca="1" si="167"/>
        <v>4810393</v>
      </c>
    </row>
    <row r="835" spans="1:13" x14ac:dyDescent="0.25">
      <c r="A835">
        <f t="shared" ca="1" si="158"/>
        <v>2</v>
      </c>
      <c r="B835">
        <f t="shared" ca="1" si="159"/>
        <v>422</v>
      </c>
      <c r="C835" t="str">
        <f t="shared" ca="1" si="168"/>
        <v>'WINDOWS-NCH-A-BDP-M3-00-00'!B421</v>
      </c>
      <c r="D835" s="6" t="str">
        <f t="shared" ca="1" si="157"/>
        <v>L00-OPD-C4W-S115-92</v>
      </c>
      <c r="E835" t="str">
        <f t="shared" ca="1" si="160"/>
        <v>Family Type: 1500w x 3050h, Family: Window External Type 3 - Recessed and Angle</v>
      </c>
      <c r="F835" t="str">
        <f t="shared" ca="1" si="161"/>
        <v>Vector(X = -0.991, Y = 0.132, Z = 0.000, Length = 1.000)</v>
      </c>
      <c r="G835">
        <f t="shared" ca="1" si="162"/>
        <v>-1</v>
      </c>
      <c r="H835">
        <f t="shared" ca="1" si="163"/>
        <v>0.1</v>
      </c>
      <c r="I835">
        <f t="shared" ca="1" si="164"/>
        <v>0</v>
      </c>
      <c r="J835" s="8">
        <f t="shared" ca="1" si="165"/>
        <v>174.28940686250036</v>
      </c>
      <c r="K835" s="9" t="str">
        <f t="shared" ca="1" si="166"/>
        <v>WN</v>
      </c>
      <c r="L835">
        <f ca="1">+_xlfn.IFNA(VLOOKUP(M835,BespokeWindowsAreas!$A$1:$E$1999,1,FALSE),VLOOKUP(E835,WindowTypeArea!$B$2:$C$2000,2,FALSE))</f>
        <v>4.5750000000000002</v>
      </c>
      <c r="M835">
        <f t="shared" ca="1" si="167"/>
        <v>4841854</v>
      </c>
    </row>
    <row r="836" spans="1:13" x14ac:dyDescent="0.25">
      <c r="A836">
        <f t="shared" ca="1" si="158"/>
        <v>2</v>
      </c>
      <c r="B836">
        <f t="shared" ca="1" si="159"/>
        <v>423</v>
      </c>
      <c r="C836" t="str">
        <f t="shared" ca="1" si="168"/>
        <v>'WINDOWS-NCH-A-BDP-M3-00-00'!B422</v>
      </c>
      <c r="D836" s="6" t="str">
        <f t="shared" ca="1" si="157"/>
        <v>L00-OPD-C4W-S115-92</v>
      </c>
      <c r="E836" t="str">
        <f t="shared" ca="1" si="160"/>
        <v>Family Type: 1500w x 3050h, Family: Window External Type 3 - Recessed and Angle</v>
      </c>
      <c r="F836" t="str">
        <f t="shared" ca="1" si="161"/>
        <v>Vector(X = -0.991, Y = 0.132, Z = 0.000, Length = 1.000)</v>
      </c>
      <c r="G836">
        <f t="shared" ca="1" si="162"/>
        <v>-1</v>
      </c>
      <c r="H836">
        <f t="shared" ca="1" si="163"/>
        <v>0.1</v>
      </c>
      <c r="I836">
        <f t="shared" ca="1" si="164"/>
        <v>0</v>
      </c>
      <c r="J836" s="8">
        <f t="shared" ca="1" si="165"/>
        <v>174.28940686250036</v>
      </c>
      <c r="K836" s="9" t="str">
        <f t="shared" ca="1" si="166"/>
        <v>WN</v>
      </c>
      <c r="L836">
        <f ca="1">+_xlfn.IFNA(VLOOKUP(M836,BespokeWindowsAreas!$A$1:$E$1999,1,FALSE),VLOOKUP(E836,WindowTypeArea!$B$2:$C$2000,2,FALSE))</f>
        <v>4.5750000000000002</v>
      </c>
      <c r="M836">
        <f t="shared" ca="1" si="167"/>
        <v>4841923</v>
      </c>
    </row>
    <row r="837" spans="1:13" x14ac:dyDescent="0.25">
      <c r="A837">
        <f t="shared" ca="1" si="158"/>
        <v>2</v>
      </c>
      <c r="B837">
        <f t="shared" ca="1" si="159"/>
        <v>424</v>
      </c>
      <c r="C837" t="str">
        <f t="shared" ca="1" si="168"/>
        <v>'WINDOWS-NCH-A-BDP-M3-00-00'!B423</v>
      </c>
      <c r="D837" s="6" t="str">
        <f t="shared" ca="1" si="157"/>
        <v>L00-OPD-C4W-S115-92</v>
      </c>
      <c r="E837" t="str">
        <f t="shared" ca="1" si="160"/>
        <v>Family Type: 1500w x 3050h, Family: Window External Type 3 - Recessed and Angle</v>
      </c>
      <c r="F837" t="str">
        <f t="shared" ca="1" si="161"/>
        <v>Vector(X = -0.991, Y = 0.132, Z = 0.000, Length = 1.000)</v>
      </c>
      <c r="G837">
        <f t="shared" ca="1" si="162"/>
        <v>-1</v>
      </c>
      <c r="H837">
        <f t="shared" ca="1" si="163"/>
        <v>0.1</v>
      </c>
      <c r="I837">
        <f t="shared" ca="1" si="164"/>
        <v>0</v>
      </c>
      <c r="J837" s="8">
        <f t="shared" ca="1" si="165"/>
        <v>174.28940686250036</v>
      </c>
      <c r="K837" s="9" t="str">
        <f t="shared" ca="1" si="166"/>
        <v>WN</v>
      </c>
      <c r="L837">
        <f ca="1">+_xlfn.IFNA(VLOOKUP(M837,BespokeWindowsAreas!$A$1:$E$1999,1,FALSE),VLOOKUP(E837,WindowTypeArea!$B$2:$C$2000,2,FALSE))</f>
        <v>4.5750000000000002</v>
      </c>
      <c r="M837">
        <f t="shared" ca="1" si="167"/>
        <v>4841972</v>
      </c>
    </row>
    <row r="838" spans="1:13" x14ac:dyDescent="0.25">
      <c r="A838">
        <f t="shared" ca="1" si="158"/>
        <v>2</v>
      </c>
      <c r="B838">
        <f t="shared" ca="1" si="159"/>
        <v>425</v>
      </c>
      <c r="C838" t="str">
        <f t="shared" ca="1" si="168"/>
        <v>'WINDOWS-NCH-A-BDP-M3-00-00'!B424</v>
      </c>
      <c r="D838" s="6" t="str">
        <f t="shared" ref="D838:D901" ca="1" si="169">+IF(IFERROR(FIND("Family",E838)&gt;0,FALSE),D837,E838)</f>
        <v>L00-OPD-C4W-S115-92</v>
      </c>
      <c r="E838" t="str">
        <f t="shared" ca="1" si="160"/>
        <v>Family Type: 1500w x 3050h, Family: Window External Type 3 - Recessed and Angle</v>
      </c>
      <c r="F838" t="str">
        <f t="shared" ca="1" si="161"/>
        <v>Vector(X = 0.130, Y = 0.991, Z = 0.000, Length = 1.000)</v>
      </c>
      <c r="G838">
        <f t="shared" ca="1" si="162"/>
        <v>0.1</v>
      </c>
      <c r="H838">
        <f t="shared" ca="1" si="163"/>
        <v>1</v>
      </c>
      <c r="I838">
        <f t="shared" ca="1" si="164"/>
        <v>0</v>
      </c>
      <c r="J838" s="8">
        <f t="shared" ca="1" si="165"/>
        <v>84.289406862500371</v>
      </c>
      <c r="K838" s="9" t="str">
        <f t="shared" ca="1" si="166"/>
        <v>NE</v>
      </c>
      <c r="L838">
        <f ca="1">+_xlfn.IFNA(VLOOKUP(M838,BespokeWindowsAreas!$A$1:$E$1999,1,FALSE),VLOOKUP(E838,WindowTypeArea!$B$2:$C$2000,2,FALSE))</f>
        <v>4.5750000000000002</v>
      </c>
      <c r="M838">
        <f t="shared" ca="1" si="167"/>
        <v>5148393</v>
      </c>
    </row>
    <row r="839" spans="1:13" x14ac:dyDescent="0.25">
      <c r="A839">
        <f t="shared" ca="1" si="158"/>
        <v>2</v>
      </c>
      <c r="B839">
        <f t="shared" ca="1" si="159"/>
        <v>426</v>
      </c>
      <c r="C839" t="str">
        <f t="shared" ca="1" si="168"/>
        <v>'WINDOWS-NCH-A-BDP-M3-00-00'!B425</v>
      </c>
      <c r="D839" s="6" t="str">
        <f t="shared" ca="1" si="169"/>
        <v>L00-EMG-CIR-C001-01</v>
      </c>
      <c r="E839" t="str">
        <f t="shared" ca="1" si="160"/>
        <v>L00-EMG-CIR-C001-01</v>
      </c>
      <c r="F839">
        <f t="shared" ca="1" si="161"/>
        <v>2160632</v>
      </c>
      <c r="G839">
        <f t="shared" ca="1" si="162"/>
        <v>0</v>
      </c>
      <c r="H839">
        <f t="shared" ca="1" si="163"/>
        <v>0</v>
      </c>
      <c r="I839">
        <f t="shared" ca="1" si="164"/>
        <v>0</v>
      </c>
      <c r="J839" s="8" t="e">
        <f t="shared" ca="1" si="165"/>
        <v>#DIV/0!</v>
      </c>
      <c r="K839" s="9" t="e">
        <f t="shared" ca="1" si="166"/>
        <v>#DIV/0!</v>
      </c>
      <c r="L839" t="e">
        <f ca="1">+_xlfn.IFNA(VLOOKUP(M839,BespokeWindowsAreas!$A$1:$E$1999,1,FALSE),VLOOKUP(E839,WindowTypeArea!$B$2:$C$2000,2,FALSE))</f>
        <v>#N/A</v>
      </c>
      <c r="M839">
        <f t="shared" ca="1" si="167"/>
        <v>0</v>
      </c>
    </row>
    <row r="840" spans="1:13" x14ac:dyDescent="0.25">
      <c r="A840">
        <f t="shared" ca="1" si="158"/>
        <v>2</v>
      </c>
      <c r="B840">
        <f t="shared" ca="1" si="159"/>
        <v>427</v>
      </c>
      <c r="C840" t="str">
        <f t="shared" ca="1" si="168"/>
        <v>'WINDOWS-NCH-A-BDP-M3-00-00'!B426</v>
      </c>
      <c r="D840" s="6" t="str">
        <f t="shared" ca="1" si="169"/>
        <v>L00-EMG-CIR-C001-01</v>
      </c>
      <c r="E840" t="str">
        <f t="shared" ca="1" si="160"/>
        <v>Family Type: Curtain Wall_1500w x 3200h, Family: Window External Type 6 - Flush, Recessed</v>
      </c>
      <c r="F840" t="str">
        <f t="shared" ca="1" si="161"/>
        <v>Vector(X = 0.977, Y = 0.212, Z = 0.000, Length = 1.000)</v>
      </c>
      <c r="G840">
        <f t="shared" ca="1" si="162"/>
        <v>1</v>
      </c>
      <c r="H840">
        <f t="shared" ca="1" si="163"/>
        <v>0.2</v>
      </c>
      <c r="I840">
        <f t="shared" ca="1" si="164"/>
        <v>0</v>
      </c>
      <c r="J840" s="8">
        <f t="shared" ca="1" si="165"/>
        <v>11.309932474020215</v>
      </c>
      <c r="K840" s="9" t="str">
        <f t="shared" ca="1" si="166"/>
        <v>E</v>
      </c>
      <c r="L840">
        <f ca="1">+_xlfn.IFNA(VLOOKUP(M840,BespokeWindowsAreas!$A$1:$E$1999,1,FALSE),VLOOKUP(E840,WindowTypeArea!$B$2:$C$2000,2,FALSE))</f>
        <v>4.8</v>
      </c>
      <c r="M840">
        <f t="shared" ca="1" si="167"/>
        <v>5050741</v>
      </c>
    </row>
    <row r="841" spans="1:13" x14ac:dyDescent="0.25">
      <c r="A841">
        <f t="shared" ca="1" si="158"/>
        <v>2</v>
      </c>
      <c r="B841">
        <f t="shared" ca="1" si="159"/>
        <v>428</v>
      </c>
      <c r="C841" t="str">
        <f t="shared" ca="1" si="168"/>
        <v>'WINDOWS-NCH-A-BDP-M3-00-00'!B427</v>
      </c>
      <c r="D841" s="6" t="str">
        <f t="shared" ca="1" si="169"/>
        <v>L00-EMG-CIR-C001-01</v>
      </c>
      <c r="E841" t="str">
        <f t="shared" ca="1" si="160"/>
        <v>Family Type: Curtain Wall_1950w x 3200h, Family: Window External Type 6 - Flush, Recessed</v>
      </c>
      <c r="F841" t="str">
        <f t="shared" ca="1" si="161"/>
        <v>Vector(X = 0.977, Y = 0.212, Z = 0.000, Length = 1.000)</v>
      </c>
      <c r="G841">
        <f t="shared" ca="1" si="162"/>
        <v>1</v>
      </c>
      <c r="H841">
        <f t="shared" ca="1" si="163"/>
        <v>0.2</v>
      </c>
      <c r="I841">
        <f t="shared" ca="1" si="164"/>
        <v>0</v>
      </c>
      <c r="J841" s="8">
        <f t="shared" ca="1" si="165"/>
        <v>11.309932474020215</v>
      </c>
      <c r="K841" s="9" t="str">
        <f t="shared" ca="1" si="166"/>
        <v>E</v>
      </c>
      <c r="L841">
        <f ca="1">+_xlfn.IFNA(VLOOKUP(M841,BespokeWindowsAreas!$A$1:$E$1999,1,FALSE),VLOOKUP(E841,WindowTypeArea!$B$2:$C$2000,2,FALSE))</f>
        <v>6.24</v>
      </c>
      <c r="M841">
        <f t="shared" ca="1" si="167"/>
        <v>5050742</v>
      </c>
    </row>
    <row r="842" spans="1:13" x14ac:dyDescent="0.25">
      <c r="A842">
        <f t="shared" ca="1" si="158"/>
        <v>2</v>
      </c>
      <c r="B842">
        <f t="shared" ca="1" si="159"/>
        <v>429</v>
      </c>
      <c r="C842" t="str">
        <f t="shared" ca="1" si="168"/>
        <v>'WINDOWS-NCH-A-BDP-M3-00-00'!B428</v>
      </c>
      <c r="D842" s="6" t="str">
        <f t="shared" ca="1" si="169"/>
        <v>L00-EMG-CIR-C001-01</v>
      </c>
      <c r="E842" t="str">
        <f t="shared" ca="1" si="160"/>
        <v>Family Type: Curtain Wall_975w x 3200h, Family: Window External Type 6 - Flush, Recessed</v>
      </c>
      <c r="F842" t="str">
        <f t="shared" ca="1" si="161"/>
        <v>Vector(X = 0.977, Y = 0.212, Z = 0.000, Length = 1.000)</v>
      </c>
      <c r="G842">
        <f t="shared" ca="1" si="162"/>
        <v>1</v>
      </c>
      <c r="H842">
        <f t="shared" ca="1" si="163"/>
        <v>0.2</v>
      </c>
      <c r="I842">
        <f t="shared" ca="1" si="164"/>
        <v>0</v>
      </c>
      <c r="J842" s="8">
        <f t="shared" ca="1" si="165"/>
        <v>11.309932474020215</v>
      </c>
      <c r="K842" s="9" t="str">
        <f t="shared" ca="1" si="166"/>
        <v>E</v>
      </c>
      <c r="L842">
        <f ca="1">+_xlfn.IFNA(VLOOKUP(M842,BespokeWindowsAreas!$A$1:$E$1999,1,FALSE),VLOOKUP(E842,WindowTypeArea!$B$2:$C$2000,2,FALSE))</f>
        <v>3.12</v>
      </c>
      <c r="M842">
        <f t="shared" ca="1" si="167"/>
        <v>5050743</v>
      </c>
    </row>
    <row r="843" spans="1:13" x14ac:dyDescent="0.25">
      <c r="A843">
        <f t="shared" ca="1" si="158"/>
        <v>2</v>
      </c>
      <c r="B843">
        <f t="shared" ca="1" si="159"/>
        <v>430</v>
      </c>
      <c r="C843" t="str">
        <f t="shared" ca="1" si="168"/>
        <v>'WINDOWS-NCH-A-BDP-M3-00-00'!B429</v>
      </c>
      <c r="D843" s="6" t="str">
        <f t="shared" ca="1" si="169"/>
        <v>L00-EMG-CIR-C001-01</v>
      </c>
      <c r="E843" t="str">
        <f t="shared" ca="1" si="160"/>
        <v>Family Type: Curtain Wall_1950w x 3200h, Family: Window External Type 6 - Flush, Recessed</v>
      </c>
      <c r="F843" t="str">
        <f t="shared" ca="1" si="161"/>
        <v>Vector(X = 0.977, Y = 0.212, Z = 0.000, Length = 1.000)</v>
      </c>
      <c r="G843">
        <f t="shared" ca="1" si="162"/>
        <v>1</v>
      </c>
      <c r="H843">
        <f t="shared" ca="1" si="163"/>
        <v>0.2</v>
      </c>
      <c r="I843">
        <f t="shared" ca="1" si="164"/>
        <v>0</v>
      </c>
      <c r="J843" s="8">
        <f t="shared" ca="1" si="165"/>
        <v>11.309932474020215</v>
      </c>
      <c r="K843" s="9" t="str">
        <f t="shared" ca="1" si="166"/>
        <v>E</v>
      </c>
      <c r="L843">
        <f ca="1">+_xlfn.IFNA(VLOOKUP(M843,BespokeWindowsAreas!$A$1:$E$1999,1,FALSE),VLOOKUP(E843,WindowTypeArea!$B$2:$C$2000,2,FALSE))</f>
        <v>6.24</v>
      </c>
      <c r="M843">
        <f t="shared" ca="1" si="167"/>
        <v>5050744</v>
      </c>
    </row>
    <row r="844" spans="1:13" x14ac:dyDescent="0.25">
      <c r="A844">
        <f t="shared" ca="1" si="158"/>
        <v>2</v>
      </c>
      <c r="B844">
        <f t="shared" ca="1" si="159"/>
        <v>431</v>
      </c>
      <c r="C844" t="str">
        <f t="shared" ca="1" si="168"/>
        <v>'WINDOWS-NCH-A-BDP-M3-00-00'!B430</v>
      </c>
      <c r="D844" s="6" t="str">
        <f t="shared" ca="1" si="169"/>
        <v>L00-EMG-CIR-C001-01</v>
      </c>
      <c r="E844" t="str">
        <f t="shared" ca="1" si="160"/>
        <v>Family Type: Curtain Wall_840w x 3200h, Family: Window External Type 6 - Flush, Recessed</v>
      </c>
      <c r="F844" t="str">
        <f t="shared" ca="1" si="161"/>
        <v>Vector(X = 0.977, Y = 0.212, Z = 0.000, Length = 1.000)</v>
      </c>
      <c r="G844">
        <f t="shared" ca="1" si="162"/>
        <v>1</v>
      </c>
      <c r="H844">
        <f t="shared" ca="1" si="163"/>
        <v>0.2</v>
      </c>
      <c r="I844">
        <f t="shared" ca="1" si="164"/>
        <v>0</v>
      </c>
      <c r="J844" s="8">
        <f t="shared" ca="1" si="165"/>
        <v>11.309932474020215</v>
      </c>
      <c r="K844" s="9" t="str">
        <f t="shared" ca="1" si="166"/>
        <v>E</v>
      </c>
      <c r="L844">
        <f ca="1">+_xlfn.IFNA(VLOOKUP(M844,BespokeWindowsAreas!$A$1:$E$1999,1,FALSE),VLOOKUP(E844,WindowTypeArea!$B$2:$C$2000,2,FALSE))</f>
        <v>2.6880000000000002</v>
      </c>
      <c r="M844">
        <f t="shared" ca="1" si="167"/>
        <v>5050745</v>
      </c>
    </row>
    <row r="845" spans="1:13" x14ac:dyDescent="0.25">
      <c r="A845">
        <f t="shared" ca="1" si="158"/>
        <v>2</v>
      </c>
      <c r="B845">
        <f t="shared" ca="1" si="159"/>
        <v>432</v>
      </c>
      <c r="C845" t="str">
        <f t="shared" ca="1" si="168"/>
        <v>'WINDOWS-NCH-A-BDP-M3-00-00'!B431</v>
      </c>
      <c r="D845" s="6" t="str">
        <f t="shared" ca="1" si="169"/>
        <v>L00-EMG-CIR-C001-01</v>
      </c>
      <c r="E845" t="str">
        <f t="shared" ca="1" si="160"/>
        <v>Family Type: Curtain Wall_975w x 3200h, Family: Window External Type 6 - Flush, Recessed</v>
      </c>
      <c r="F845" t="str">
        <f t="shared" ca="1" si="161"/>
        <v>Vector(X = 0.977, Y = 0.212, Z = 0.000, Length = 1.000)</v>
      </c>
      <c r="G845">
        <f t="shared" ca="1" si="162"/>
        <v>1</v>
      </c>
      <c r="H845">
        <f t="shared" ca="1" si="163"/>
        <v>0.2</v>
      </c>
      <c r="I845">
        <f t="shared" ca="1" si="164"/>
        <v>0</v>
      </c>
      <c r="J845" s="8">
        <f t="shared" ca="1" si="165"/>
        <v>11.309932474020215</v>
      </c>
      <c r="K845" s="9" t="str">
        <f t="shared" ca="1" si="166"/>
        <v>E</v>
      </c>
      <c r="L845">
        <f ca="1">+_xlfn.IFNA(VLOOKUP(M845,BespokeWindowsAreas!$A$1:$E$1999,1,FALSE),VLOOKUP(E845,WindowTypeArea!$B$2:$C$2000,2,FALSE))</f>
        <v>3.12</v>
      </c>
      <c r="M845">
        <f t="shared" ca="1" si="167"/>
        <v>5050746</v>
      </c>
    </row>
    <row r="846" spans="1:13" x14ac:dyDescent="0.25">
      <c r="A846">
        <f t="shared" ca="1" si="158"/>
        <v>2</v>
      </c>
      <c r="B846">
        <f t="shared" ca="1" si="159"/>
        <v>433</v>
      </c>
      <c r="C846" t="str">
        <f t="shared" ca="1" si="168"/>
        <v>'WINDOWS-NCH-A-BDP-M3-00-00'!B432</v>
      </c>
      <c r="D846" s="6" t="str">
        <f t="shared" ca="1" si="169"/>
        <v>L00-EMG-CIR-C001-01</v>
      </c>
      <c r="E846" t="str">
        <f t="shared" ca="1" si="160"/>
        <v>Family Type: Curtain Wall_585w x 3200h, Family: Window External Type 6 - Flush, Recessed</v>
      </c>
      <c r="F846" t="str">
        <f t="shared" ca="1" si="161"/>
        <v>Vector(X = 0.977, Y = 0.212, Z = 0.000, Length = 1.000)</v>
      </c>
      <c r="G846">
        <f t="shared" ca="1" si="162"/>
        <v>1</v>
      </c>
      <c r="H846">
        <f t="shared" ca="1" si="163"/>
        <v>0.2</v>
      </c>
      <c r="I846">
        <f t="shared" ca="1" si="164"/>
        <v>0</v>
      </c>
      <c r="J846" s="8">
        <f t="shared" ca="1" si="165"/>
        <v>11.309932474020215</v>
      </c>
      <c r="K846" s="9" t="str">
        <f t="shared" ca="1" si="166"/>
        <v>E</v>
      </c>
      <c r="L846">
        <f ca="1">+_xlfn.IFNA(VLOOKUP(M846,BespokeWindowsAreas!$A$1:$E$1999,1,FALSE),VLOOKUP(E846,WindowTypeArea!$B$2:$C$2000,2,FALSE))</f>
        <v>1.8720000000000001</v>
      </c>
      <c r="M846">
        <f t="shared" ca="1" si="167"/>
        <v>5050808</v>
      </c>
    </row>
    <row r="847" spans="1:13" x14ac:dyDescent="0.25">
      <c r="A847">
        <f t="shared" ca="1" si="158"/>
        <v>2</v>
      </c>
      <c r="B847">
        <f t="shared" ca="1" si="159"/>
        <v>434</v>
      </c>
      <c r="C847" t="str">
        <f t="shared" ca="1" si="168"/>
        <v>'WINDOWS-NCH-A-BDP-M3-00-00'!B433</v>
      </c>
      <c r="D847" s="6" t="str">
        <f t="shared" ca="1" si="169"/>
        <v>L00-EMG-CIR-C001-01</v>
      </c>
      <c r="E847" t="str">
        <f t="shared" ca="1" si="160"/>
        <v>Family Type: Curtain Wall_1500w x 3200h, Family: Window External Type 6 - Flush, Recessed</v>
      </c>
      <c r="F847" t="str">
        <f t="shared" ca="1" si="161"/>
        <v>Vector(X = 0.977, Y = 0.212, Z = 0.000, Length = 1.000)</v>
      </c>
      <c r="G847">
        <f t="shared" ca="1" si="162"/>
        <v>1</v>
      </c>
      <c r="H847">
        <f t="shared" ca="1" si="163"/>
        <v>0.2</v>
      </c>
      <c r="I847">
        <f t="shared" ca="1" si="164"/>
        <v>0</v>
      </c>
      <c r="J847" s="8">
        <f t="shared" ca="1" si="165"/>
        <v>11.309932474020215</v>
      </c>
      <c r="K847" s="9" t="str">
        <f t="shared" ca="1" si="166"/>
        <v>E</v>
      </c>
      <c r="L847">
        <f ca="1">+_xlfn.IFNA(VLOOKUP(M847,BespokeWindowsAreas!$A$1:$E$1999,1,FALSE),VLOOKUP(E847,WindowTypeArea!$B$2:$C$2000,2,FALSE))</f>
        <v>4.8</v>
      </c>
      <c r="M847">
        <f t="shared" ca="1" si="167"/>
        <v>5050809</v>
      </c>
    </row>
    <row r="848" spans="1:13" x14ac:dyDescent="0.25">
      <c r="A848">
        <f t="shared" ca="1" si="158"/>
        <v>2</v>
      </c>
      <c r="B848">
        <f t="shared" ca="1" si="159"/>
        <v>435</v>
      </c>
      <c r="C848" t="str">
        <f t="shared" ca="1" si="168"/>
        <v>'WINDOWS-NCH-A-BDP-M3-00-00'!B434</v>
      </c>
      <c r="D848" s="6" t="str">
        <f t="shared" ca="1" si="169"/>
        <v>L00-EMG-CIR-C001-01</v>
      </c>
      <c r="E848" t="str">
        <f t="shared" ca="1" si="160"/>
        <v>Family Type: Curtain Wall_1950w x 3200h, Family: Window External Type 6 - Flush, Recessed</v>
      </c>
      <c r="F848" t="str">
        <f t="shared" ca="1" si="161"/>
        <v>Vector(X = 0.977, Y = 0.212, Z = 0.000, Length = 1.000)</v>
      </c>
      <c r="G848">
        <f t="shared" ca="1" si="162"/>
        <v>1</v>
      </c>
      <c r="H848">
        <f t="shared" ca="1" si="163"/>
        <v>0.2</v>
      </c>
      <c r="I848">
        <f t="shared" ca="1" si="164"/>
        <v>0</v>
      </c>
      <c r="J848" s="8">
        <f t="shared" ca="1" si="165"/>
        <v>11.309932474020215</v>
      </c>
      <c r="K848" s="9" t="str">
        <f t="shared" ca="1" si="166"/>
        <v>E</v>
      </c>
      <c r="L848">
        <f ca="1">+_xlfn.IFNA(VLOOKUP(M848,BespokeWindowsAreas!$A$1:$E$1999,1,FALSE),VLOOKUP(E848,WindowTypeArea!$B$2:$C$2000,2,FALSE))</f>
        <v>6.24</v>
      </c>
      <c r="M848">
        <f t="shared" ca="1" si="167"/>
        <v>5050810</v>
      </c>
    </row>
    <row r="849" spans="1:13" x14ac:dyDescent="0.25">
      <c r="A849">
        <f t="shared" ca="1" si="158"/>
        <v>2</v>
      </c>
      <c r="B849">
        <f t="shared" ca="1" si="159"/>
        <v>436</v>
      </c>
      <c r="C849" t="str">
        <f t="shared" ca="1" si="168"/>
        <v>'WINDOWS-NCH-A-BDP-M3-00-00'!B435</v>
      </c>
      <c r="D849" s="6" t="str">
        <f t="shared" ca="1" si="169"/>
        <v>L00-EMG-CIR-C001-01</v>
      </c>
      <c r="E849" t="str">
        <f t="shared" ca="1" si="160"/>
        <v>Family Type: 1950w x 3050h, Family: Window External Type 3 - Recessed and Angle</v>
      </c>
      <c r="F849" t="str">
        <f t="shared" ca="1" si="161"/>
        <v>Vector(X = -0.977, Y = -0.212, Z = 0.000, Length = 1.000)</v>
      </c>
      <c r="G849">
        <f t="shared" ca="1" si="162"/>
        <v>-1</v>
      </c>
      <c r="H849">
        <f t="shared" ca="1" si="163"/>
        <v>-0.2</v>
      </c>
      <c r="I849">
        <f t="shared" ca="1" si="164"/>
        <v>0</v>
      </c>
      <c r="J849" s="8">
        <f t="shared" ca="1" si="165"/>
        <v>-168.69006752597977</v>
      </c>
      <c r="K849" s="9" t="str">
        <f t="shared" ca="1" si="166"/>
        <v>W</v>
      </c>
      <c r="L849">
        <f ca="1">+_xlfn.IFNA(VLOOKUP(M849,BespokeWindowsAreas!$A$1:$E$1999,1,FALSE),VLOOKUP(E849,WindowTypeArea!$B$2:$C$2000,2,FALSE))</f>
        <v>5.9474999999999998</v>
      </c>
      <c r="M849">
        <f t="shared" ca="1" si="167"/>
        <v>5287669</v>
      </c>
    </row>
    <row r="850" spans="1:13" x14ac:dyDescent="0.25">
      <c r="A850">
        <f t="shared" ca="1" si="158"/>
        <v>2</v>
      </c>
      <c r="B850">
        <f t="shared" ca="1" si="159"/>
        <v>437</v>
      </c>
      <c r="C850" t="str">
        <f t="shared" ca="1" si="168"/>
        <v>'WINDOWS-NCH-A-BDP-M3-00-00'!B436</v>
      </c>
      <c r="D850" s="6" t="str">
        <f t="shared" ca="1" si="169"/>
        <v>L00-EMG-CIR-C001-03</v>
      </c>
      <c r="E850" t="str">
        <f t="shared" ca="1" si="160"/>
        <v>L00-EMG-CIR-C001-03</v>
      </c>
      <c r="F850">
        <f t="shared" ca="1" si="161"/>
        <v>2160638</v>
      </c>
      <c r="G850">
        <f t="shared" ca="1" si="162"/>
        <v>0</v>
      </c>
      <c r="H850">
        <f t="shared" ca="1" si="163"/>
        <v>0</v>
      </c>
      <c r="I850">
        <f t="shared" ca="1" si="164"/>
        <v>0</v>
      </c>
      <c r="J850" s="8" t="e">
        <f t="shared" ca="1" si="165"/>
        <v>#DIV/0!</v>
      </c>
      <c r="K850" s="9" t="e">
        <f t="shared" ca="1" si="166"/>
        <v>#DIV/0!</v>
      </c>
      <c r="L850" t="e">
        <f ca="1">+_xlfn.IFNA(VLOOKUP(M850,BespokeWindowsAreas!$A$1:$E$1999,1,FALSE),VLOOKUP(E850,WindowTypeArea!$B$2:$C$2000,2,FALSE))</f>
        <v>#N/A</v>
      </c>
      <c r="M850">
        <f t="shared" ca="1" si="167"/>
        <v>0</v>
      </c>
    </row>
    <row r="851" spans="1:13" x14ac:dyDescent="0.25">
      <c r="A851">
        <f t="shared" ca="1" si="158"/>
        <v>2</v>
      </c>
      <c r="B851">
        <f t="shared" ca="1" si="159"/>
        <v>438</v>
      </c>
      <c r="C851" t="str">
        <f t="shared" ca="1" si="168"/>
        <v>'WINDOWS-NCH-A-BDP-M3-00-00'!B437</v>
      </c>
      <c r="D851" s="6" t="str">
        <f t="shared" ca="1" si="169"/>
        <v>L00-EMG-CIR-C001-03</v>
      </c>
      <c r="E851" t="str">
        <f t="shared" ca="1" si="160"/>
        <v>Family Type: Curtain Wall_585w x 3200h, Family: Window External Type 6 - Flush, Recessed</v>
      </c>
      <c r="F851" t="str">
        <f t="shared" ca="1" si="161"/>
        <v>Vector(X = 0.977, Y = 0.212, Z = 0.000, Length = 1.000)</v>
      </c>
      <c r="G851">
        <f t="shared" ca="1" si="162"/>
        <v>1</v>
      </c>
      <c r="H851">
        <f t="shared" ca="1" si="163"/>
        <v>0.2</v>
      </c>
      <c r="I851">
        <f t="shared" ca="1" si="164"/>
        <v>0</v>
      </c>
      <c r="J851" s="8">
        <f t="shared" ca="1" si="165"/>
        <v>11.309932474020215</v>
      </c>
      <c r="K851" s="9" t="str">
        <f t="shared" ca="1" si="166"/>
        <v>E</v>
      </c>
      <c r="L851">
        <f ca="1">+_xlfn.IFNA(VLOOKUP(M851,BespokeWindowsAreas!$A$1:$E$1999,1,FALSE),VLOOKUP(E851,WindowTypeArea!$B$2:$C$2000,2,FALSE))</f>
        <v>1.8720000000000001</v>
      </c>
      <c r="M851">
        <f t="shared" ca="1" si="167"/>
        <v>5050740</v>
      </c>
    </row>
    <row r="852" spans="1:13" x14ac:dyDescent="0.25">
      <c r="A852">
        <f t="shared" ref="A852:A915" ca="1" si="170">+IF(B851&lt;=VLOOKUP(MID(C852,2,26),TABS,2,FALSE),A851,+A851+1)</f>
        <v>2</v>
      </c>
      <c r="B852">
        <f t="shared" ref="B852:B915" ca="1" si="171">+IF(B851&lt;=VLOOKUP(MID(C852,2,26),TABS,2,FALSE),B851+1,1)</f>
        <v>439</v>
      </c>
      <c r="C852" t="str">
        <f t="shared" ca="1" si="168"/>
        <v>'WINDOWS-NCH-A-BDP-M3-00-00'!B438</v>
      </c>
      <c r="D852" s="6" t="str">
        <f t="shared" ca="1" si="169"/>
        <v>L00-EMG-CIR-C001-03</v>
      </c>
      <c r="E852" t="str">
        <f t="shared" ref="E852:E915" ca="1" si="172">+OFFSET(INDIRECT(C852),0,0)</f>
        <v>Family Type: Curtain Wall_1500w x 3200h, Family: Window External Type 6 - Flush, Recessed</v>
      </c>
      <c r="F852" t="str">
        <f t="shared" ca="1" si="161"/>
        <v>Vector(X = 0.977, Y = 0.212, Z = 0.000, Length = 1.000)</v>
      </c>
      <c r="G852">
        <f t="shared" ca="1" si="162"/>
        <v>1</v>
      </c>
      <c r="H852">
        <f t="shared" ca="1" si="163"/>
        <v>0.2</v>
      </c>
      <c r="I852">
        <f t="shared" ca="1" si="164"/>
        <v>0</v>
      </c>
      <c r="J852" s="8">
        <f t="shared" ca="1" si="165"/>
        <v>11.309932474020215</v>
      </c>
      <c r="K852" s="9" t="str">
        <f t="shared" ca="1" si="166"/>
        <v>E</v>
      </c>
      <c r="L852">
        <f ca="1">+_xlfn.IFNA(VLOOKUP(M852,BespokeWindowsAreas!$A$1:$E$1999,1,FALSE),VLOOKUP(E852,WindowTypeArea!$B$2:$C$2000,2,FALSE))</f>
        <v>4.8</v>
      </c>
      <c r="M852">
        <f t="shared" ca="1" si="167"/>
        <v>5050741</v>
      </c>
    </row>
    <row r="853" spans="1:13" x14ac:dyDescent="0.25">
      <c r="A853">
        <f t="shared" ca="1" si="170"/>
        <v>2</v>
      </c>
      <c r="B853">
        <f t="shared" ca="1" si="171"/>
        <v>440</v>
      </c>
      <c r="C853" t="str">
        <f t="shared" ca="1" si="168"/>
        <v>'WINDOWS-NCH-A-BDP-M3-00-00'!B439</v>
      </c>
      <c r="D853" s="6" t="str">
        <f t="shared" ca="1" si="169"/>
        <v>L00-EMG-CIR-C001-08</v>
      </c>
      <c r="E853" t="str">
        <f t="shared" ca="1" si="172"/>
        <v>L00-EMG-CIR-C001-08</v>
      </c>
      <c r="F853">
        <f t="shared" ca="1" si="161"/>
        <v>2160648</v>
      </c>
      <c r="G853">
        <f t="shared" ca="1" si="162"/>
        <v>0</v>
      </c>
      <c r="H853">
        <f t="shared" ca="1" si="163"/>
        <v>0</v>
      </c>
      <c r="I853">
        <f t="shared" ca="1" si="164"/>
        <v>0</v>
      </c>
      <c r="J853" s="8" t="e">
        <f t="shared" ca="1" si="165"/>
        <v>#DIV/0!</v>
      </c>
      <c r="K853" s="9" t="e">
        <f t="shared" ca="1" si="166"/>
        <v>#DIV/0!</v>
      </c>
      <c r="L853" t="e">
        <f ca="1">+_xlfn.IFNA(VLOOKUP(M853,BespokeWindowsAreas!$A$1:$E$1999,1,FALSE),VLOOKUP(E853,WindowTypeArea!$B$2:$C$2000,2,FALSE))</f>
        <v>#N/A</v>
      </c>
      <c r="M853">
        <f t="shared" ca="1" si="167"/>
        <v>0</v>
      </c>
    </row>
    <row r="854" spans="1:13" x14ac:dyDescent="0.25">
      <c r="A854">
        <f t="shared" ca="1" si="170"/>
        <v>2</v>
      </c>
      <c r="B854">
        <f t="shared" ca="1" si="171"/>
        <v>441</v>
      </c>
      <c r="C854" t="str">
        <f t="shared" ca="1" si="168"/>
        <v>'WINDOWS-NCH-A-BDP-M3-00-00'!B440</v>
      </c>
      <c r="D854" s="6" t="str">
        <f t="shared" ca="1" si="169"/>
        <v>L00-EMG-CIR-C001-08</v>
      </c>
      <c r="E854" t="str">
        <f t="shared" ca="1" si="172"/>
        <v>Family Type: Curtain Wall_975w x 3200h, Family: Window External Type 6 - Flush, Recessed</v>
      </c>
      <c r="F854" t="str">
        <f t="shared" ref="F854:F917" ca="1" si="173">+OFFSET(INDIRECT(C854),0,1)</f>
        <v>Vector(X = 0.977, Y = 0.212, Z = 0.000, Length = 1.000)</v>
      </c>
      <c r="G854">
        <f t="shared" ref="G854:G917" ca="1" si="174">+OFFSET(INDIRECT(C854),0,2)</f>
        <v>1</v>
      </c>
      <c r="H854">
        <f t="shared" ref="H854:H917" ca="1" si="175">+OFFSET(INDIRECT(C854),0,3)</f>
        <v>0.2</v>
      </c>
      <c r="I854">
        <f t="shared" ref="I854:I917" ca="1" si="176">+OFFSET(INDIRECT(C854),0,4)</f>
        <v>0</v>
      </c>
      <c r="J854" s="8">
        <f t="shared" ref="J854:J917" ca="1" si="177">+DEGREES(ATAN2(G854,H854))</f>
        <v>11.309932474020215</v>
      </c>
      <c r="K854" s="9" t="str">
        <f t="shared" ref="K854:K917" ca="1" si="178">VLOOKUP(J854,$O$20:$P$36,2,-1)</f>
        <v>E</v>
      </c>
      <c r="L854">
        <f ca="1">+_xlfn.IFNA(VLOOKUP(M854,BespokeWindowsAreas!$A$1:$E$1999,1,FALSE),VLOOKUP(E854,WindowTypeArea!$B$2:$C$2000,2,FALSE))</f>
        <v>3.12</v>
      </c>
      <c r="M854">
        <f t="shared" ref="M854:M917" ca="1" si="179">+OFFSET(INDIRECT(C854),0,5)</f>
        <v>5050153</v>
      </c>
    </row>
    <row r="855" spans="1:13" x14ac:dyDescent="0.25">
      <c r="A855">
        <f t="shared" ca="1" si="170"/>
        <v>2</v>
      </c>
      <c r="B855">
        <f t="shared" ca="1" si="171"/>
        <v>442</v>
      </c>
      <c r="C855" t="str">
        <f t="shared" ref="C855:C918" ca="1" si="180">+"'"&amp;INDIRECT("a"&amp;A854)&amp;"'!B"&amp;B854</f>
        <v>'WINDOWS-NCH-A-BDP-M3-00-00'!B441</v>
      </c>
      <c r="D855" s="6" t="str">
        <f t="shared" ca="1" si="169"/>
        <v>L00-EMG-CIR-C001-08</v>
      </c>
      <c r="E855" t="str">
        <f t="shared" ca="1" si="172"/>
        <v>Family Type: Curtain Wall_1950w x 3200h, Family: Window External Type 6 - Flush, Recessed</v>
      </c>
      <c r="F855" t="str">
        <f t="shared" ca="1" si="173"/>
        <v>Vector(X = 0.977, Y = 0.212, Z = 0.000, Length = 1.000)</v>
      </c>
      <c r="G855">
        <f t="shared" ca="1" si="174"/>
        <v>1</v>
      </c>
      <c r="H855">
        <f t="shared" ca="1" si="175"/>
        <v>0.2</v>
      </c>
      <c r="I855">
        <f t="shared" ca="1" si="176"/>
        <v>0</v>
      </c>
      <c r="J855" s="8">
        <f t="shared" ca="1" si="177"/>
        <v>11.309932474020215</v>
      </c>
      <c r="K855" s="9" t="str">
        <f t="shared" ca="1" si="178"/>
        <v>E</v>
      </c>
      <c r="L855">
        <f ca="1">+_xlfn.IFNA(VLOOKUP(M855,BespokeWindowsAreas!$A$1:$E$1999,1,FALSE),VLOOKUP(E855,WindowTypeArea!$B$2:$C$2000,2,FALSE))</f>
        <v>6.24</v>
      </c>
      <c r="M855">
        <f t="shared" ca="1" si="179"/>
        <v>5050154</v>
      </c>
    </row>
    <row r="856" spans="1:13" x14ac:dyDescent="0.25">
      <c r="A856">
        <f t="shared" ca="1" si="170"/>
        <v>2</v>
      </c>
      <c r="B856">
        <f t="shared" ca="1" si="171"/>
        <v>443</v>
      </c>
      <c r="C856" t="str">
        <f t="shared" ca="1" si="180"/>
        <v>'WINDOWS-NCH-A-BDP-M3-00-00'!B442</v>
      </c>
      <c r="D856" s="6" t="str">
        <f t="shared" ca="1" si="169"/>
        <v>L00-EMG-CIR-C001-08</v>
      </c>
      <c r="E856" t="str">
        <f t="shared" ca="1" si="172"/>
        <v>Family Type: Curtain Wall_585w x 3200h, Family: Window External Type 6 - Flush, Recessed</v>
      </c>
      <c r="F856" t="str">
        <f t="shared" ca="1" si="173"/>
        <v>Vector(X = 0.977, Y = 0.212, Z = 0.000, Length = 1.000)</v>
      </c>
      <c r="G856">
        <f t="shared" ca="1" si="174"/>
        <v>1</v>
      </c>
      <c r="H856">
        <f t="shared" ca="1" si="175"/>
        <v>0.2</v>
      </c>
      <c r="I856">
        <f t="shared" ca="1" si="176"/>
        <v>0</v>
      </c>
      <c r="J856" s="8">
        <f t="shared" ca="1" si="177"/>
        <v>11.309932474020215</v>
      </c>
      <c r="K856" s="9" t="str">
        <f t="shared" ca="1" si="178"/>
        <v>E</v>
      </c>
      <c r="L856">
        <f ca="1">+_xlfn.IFNA(VLOOKUP(M856,BespokeWindowsAreas!$A$1:$E$1999,1,FALSE),VLOOKUP(E856,WindowTypeArea!$B$2:$C$2000,2,FALSE))</f>
        <v>1.8720000000000001</v>
      </c>
      <c r="M856">
        <f t="shared" ca="1" si="179"/>
        <v>5050155</v>
      </c>
    </row>
    <row r="857" spans="1:13" x14ac:dyDescent="0.25">
      <c r="A857">
        <f t="shared" ca="1" si="170"/>
        <v>2</v>
      </c>
      <c r="B857">
        <f t="shared" ca="1" si="171"/>
        <v>444</v>
      </c>
      <c r="C857" t="str">
        <f t="shared" ca="1" si="180"/>
        <v>'WINDOWS-NCH-A-BDP-M3-00-00'!B443</v>
      </c>
      <c r="D857" s="6" t="str">
        <f t="shared" ca="1" si="169"/>
        <v>L00-EMG-CIR-C001-08</v>
      </c>
      <c r="E857" t="str">
        <f t="shared" ca="1" si="172"/>
        <v>Family Type: Curtain Wall_975w x 3200h, Family: Window External Type 6 - Flush, Recessed</v>
      </c>
      <c r="F857" t="str">
        <f t="shared" ca="1" si="173"/>
        <v>Vector(X = 0.977, Y = 0.212, Z = 0.000, Length = 1.000)</v>
      </c>
      <c r="G857">
        <f t="shared" ca="1" si="174"/>
        <v>1</v>
      </c>
      <c r="H857">
        <f t="shared" ca="1" si="175"/>
        <v>0.2</v>
      </c>
      <c r="I857">
        <f t="shared" ca="1" si="176"/>
        <v>0</v>
      </c>
      <c r="J857" s="8">
        <f t="shared" ca="1" si="177"/>
        <v>11.309932474020215</v>
      </c>
      <c r="K857" s="9" t="str">
        <f t="shared" ca="1" si="178"/>
        <v>E</v>
      </c>
      <c r="L857">
        <f ca="1">+_xlfn.IFNA(VLOOKUP(M857,BespokeWindowsAreas!$A$1:$E$1999,1,FALSE),VLOOKUP(E857,WindowTypeArea!$B$2:$C$2000,2,FALSE))</f>
        <v>3.12</v>
      </c>
      <c r="M857">
        <f t="shared" ca="1" si="179"/>
        <v>5050156</v>
      </c>
    </row>
    <row r="858" spans="1:13" x14ac:dyDescent="0.25">
      <c r="A858">
        <f t="shared" ca="1" si="170"/>
        <v>2</v>
      </c>
      <c r="B858">
        <f t="shared" ca="1" si="171"/>
        <v>445</v>
      </c>
      <c r="C858" t="str">
        <f t="shared" ca="1" si="180"/>
        <v>'WINDOWS-NCH-A-BDP-M3-00-00'!B444</v>
      </c>
      <c r="D858" s="6" t="str">
        <f t="shared" ca="1" si="169"/>
        <v>L00-EMG-CIR-C001-08</v>
      </c>
      <c r="E858" t="str">
        <f t="shared" ca="1" si="172"/>
        <v>Family Type: Curtain Wall_1500w x 3200h, Family: Window External Type 6 - Flush, Recessed</v>
      </c>
      <c r="F858" t="str">
        <f t="shared" ca="1" si="173"/>
        <v>Vector(X = 0.977, Y = 0.212, Z = 0.000, Length = 1.000)</v>
      </c>
      <c r="G858">
        <f t="shared" ca="1" si="174"/>
        <v>1</v>
      </c>
      <c r="H858">
        <f t="shared" ca="1" si="175"/>
        <v>0.2</v>
      </c>
      <c r="I858">
        <f t="shared" ca="1" si="176"/>
        <v>0</v>
      </c>
      <c r="J858" s="8">
        <f t="shared" ca="1" si="177"/>
        <v>11.309932474020215</v>
      </c>
      <c r="K858" s="9" t="str">
        <f t="shared" ca="1" si="178"/>
        <v>E</v>
      </c>
      <c r="L858">
        <f ca="1">+_xlfn.IFNA(VLOOKUP(M858,BespokeWindowsAreas!$A$1:$E$1999,1,FALSE),VLOOKUP(E858,WindowTypeArea!$B$2:$C$2000,2,FALSE))</f>
        <v>4.8</v>
      </c>
      <c r="M858">
        <f t="shared" ca="1" si="179"/>
        <v>5050157</v>
      </c>
    </row>
    <row r="859" spans="1:13" x14ac:dyDescent="0.25">
      <c r="A859">
        <f t="shared" ca="1" si="170"/>
        <v>2</v>
      </c>
      <c r="B859">
        <f t="shared" ca="1" si="171"/>
        <v>446</v>
      </c>
      <c r="C859" t="str">
        <f t="shared" ca="1" si="180"/>
        <v>'WINDOWS-NCH-A-BDP-M3-00-00'!B445</v>
      </c>
      <c r="D859" s="6" t="str">
        <f t="shared" ca="1" si="169"/>
        <v>L00-EMG-CIR-C001-08</v>
      </c>
      <c r="E859" t="str">
        <f t="shared" ca="1" si="172"/>
        <v>Family Type: Curtain Wall_975w x 3200h, Family: Window External Type 6 - Flush, Recessed</v>
      </c>
      <c r="F859" t="str">
        <f t="shared" ca="1" si="173"/>
        <v>Vector(X = 0.977, Y = 0.212, Z = 0.000, Length = 1.000)</v>
      </c>
      <c r="G859">
        <f t="shared" ca="1" si="174"/>
        <v>1</v>
      </c>
      <c r="H859">
        <f t="shared" ca="1" si="175"/>
        <v>0.2</v>
      </c>
      <c r="I859">
        <f t="shared" ca="1" si="176"/>
        <v>0</v>
      </c>
      <c r="J859" s="8">
        <f t="shared" ca="1" si="177"/>
        <v>11.309932474020215</v>
      </c>
      <c r="K859" s="9" t="str">
        <f t="shared" ca="1" si="178"/>
        <v>E</v>
      </c>
      <c r="L859">
        <f ca="1">+_xlfn.IFNA(VLOOKUP(M859,BespokeWindowsAreas!$A$1:$E$1999,1,FALSE),VLOOKUP(E859,WindowTypeArea!$B$2:$C$2000,2,FALSE))</f>
        <v>3.12</v>
      </c>
      <c r="M859">
        <f t="shared" ca="1" si="179"/>
        <v>5050158</v>
      </c>
    </row>
    <row r="860" spans="1:13" x14ac:dyDescent="0.25">
      <c r="A860">
        <f t="shared" ca="1" si="170"/>
        <v>2</v>
      </c>
      <c r="B860">
        <f t="shared" ca="1" si="171"/>
        <v>447</v>
      </c>
      <c r="C860" t="str">
        <f t="shared" ca="1" si="180"/>
        <v>'WINDOWS-NCH-A-BDP-M3-00-00'!B446</v>
      </c>
      <c r="D860" s="6" t="str">
        <f t="shared" ca="1" si="169"/>
        <v>L00-EMG-CIR-C001-08</v>
      </c>
      <c r="E860" t="str">
        <f t="shared" ca="1" si="172"/>
        <v>Family Type: Curtain Wall_1500w x 3200h, Family: Window External Type 6 - Flush, Recessed</v>
      </c>
      <c r="F860" t="str">
        <f t="shared" ca="1" si="173"/>
        <v>Vector(X = 0.977, Y = 0.212, Z = 0.000, Length = 1.000)</v>
      </c>
      <c r="G860">
        <f t="shared" ca="1" si="174"/>
        <v>1</v>
      </c>
      <c r="H860">
        <f t="shared" ca="1" si="175"/>
        <v>0.2</v>
      </c>
      <c r="I860">
        <f t="shared" ca="1" si="176"/>
        <v>0</v>
      </c>
      <c r="J860" s="8">
        <f t="shared" ca="1" si="177"/>
        <v>11.309932474020215</v>
      </c>
      <c r="K860" s="9" t="str">
        <f t="shared" ca="1" si="178"/>
        <v>E</v>
      </c>
      <c r="L860">
        <f ca="1">+_xlfn.IFNA(VLOOKUP(M860,BespokeWindowsAreas!$A$1:$E$1999,1,FALSE),VLOOKUP(E860,WindowTypeArea!$B$2:$C$2000,2,FALSE))</f>
        <v>4.8</v>
      </c>
      <c r="M860">
        <f t="shared" ca="1" si="179"/>
        <v>5050159</v>
      </c>
    </row>
    <row r="861" spans="1:13" x14ac:dyDescent="0.25">
      <c r="A861">
        <f t="shared" ca="1" si="170"/>
        <v>2</v>
      </c>
      <c r="B861">
        <f t="shared" ca="1" si="171"/>
        <v>448</v>
      </c>
      <c r="C861" t="str">
        <f t="shared" ca="1" si="180"/>
        <v>'WINDOWS-NCH-A-BDP-M3-00-00'!B447</v>
      </c>
      <c r="D861" s="6" t="str">
        <f t="shared" ca="1" si="169"/>
        <v>L00-EMG-CIR-C001-08</v>
      </c>
      <c r="E861" t="str">
        <f t="shared" ca="1" si="172"/>
        <v>Family Type: Curtain Wall_585w x 3200h, Family: Window External Type 6 - Flush, Recessed</v>
      </c>
      <c r="F861" t="str">
        <f t="shared" ca="1" si="173"/>
        <v>Vector(X = 0.977, Y = 0.212, Z = 0.000, Length = 1.000)</v>
      </c>
      <c r="G861">
        <f t="shared" ca="1" si="174"/>
        <v>1</v>
      </c>
      <c r="H861">
        <f t="shared" ca="1" si="175"/>
        <v>0.2</v>
      </c>
      <c r="I861">
        <f t="shared" ca="1" si="176"/>
        <v>0</v>
      </c>
      <c r="J861" s="8">
        <f t="shared" ca="1" si="177"/>
        <v>11.309932474020215</v>
      </c>
      <c r="K861" s="9" t="str">
        <f t="shared" ca="1" si="178"/>
        <v>E</v>
      </c>
      <c r="L861">
        <f ca="1">+_xlfn.IFNA(VLOOKUP(M861,BespokeWindowsAreas!$A$1:$E$1999,1,FALSE),VLOOKUP(E861,WindowTypeArea!$B$2:$C$2000,2,FALSE))</f>
        <v>1.8720000000000001</v>
      </c>
      <c r="M861">
        <f t="shared" ca="1" si="179"/>
        <v>5050160</v>
      </c>
    </row>
    <row r="862" spans="1:13" x14ac:dyDescent="0.25">
      <c r="A862">
        <f t="shared" ca="1" si="170"/>
        <v>2</v>
      </c>
      <c r="B862">
        <f t="shared" ca="1" si="171"/>
        <v>449</v>
      </c>
      <c r="C862" t="str">
        <f t="shared" ca="1" si="180"/>
        <v>'WINDOWS-NCH-A-BDP-M3-00-00'!B448</v>
      </c>
      <c r="D862" s="6" t="str">
        <f t="shared" ca="1" si="169"/>
        <v>L00-EMG-CIR-C001-08</v>
      </c>
      <c r="E862" t="str">
        <f t="shared" ca="1" si="172"/>
        <v>Family Type: Curtain Wall_1500w x 3200h, Family: Window External Type 6 - Flush, Recessed</v>
      </c>
      <c r="F862" t="str">
        <f t="shared" ca="1" si="173"/>
        <v>Vector(X = 0.977, Y = 0.212, Z = 0.000, Length = 1.000)</v>
      </c>
      <c r="G862">
        <f t="shared" ca="1" si="174"/>
        <v>1</v>
      </c>
      <c r="H862">
        <f t="shared" ca="1" si="175"/>
        <v>0.2</v>
      </c>
      <c r="I862">
        <f t="shared" ca="1" si="176"/>
        <v>0</v>
      </c>
      <c r="J862" s="8">
        <f t="shared" ca="1" si="177"/>
        <v>11.309932474020215</v>
      </c>
      <c r="K862" s="9" t="str">
        <f t="shared" ca="1" si="178"/>
        <v>E</v>
      </c>
      <c r="L862">
        <f ca="1">+_xlfn.IFNA(VLOOKUP(M862,BespokeWindowsAreas!$A$1:$E$1999,1,FALSE),VLOOKUP(E862,WindowTypeArea!$B$2:$C$2000,2,FALSE))</f>
        <v>4.8</v>
      </c>
      <c r="M862">
        <f t="shared" ca="1" si="179"/>
        <v>5050161</v>
      </c>
    </row>
    <row r="863" spans="1:13" x14ac:dyDescent="0.25">
      <c r="A863">
        <f t="shared" ca="1" si="170"/>
        <v>2</v>
      </c>
      <c r="B863">
        <f t="shared" ca="1" si="171"/>
        <v>450</v>
      </c>
      <c r="C863" t="str">
        <f t="shared" ca="1" si="180"/>
        <v>'WINDOWS-NCH-A-BDP-M3-00-00'!B449</v>
      </c>
      <c r="D863" s="6" t="str">
        <f t="shared" ca="1" si="169"/>
        <v>L00-EMG-CIR-C001-08</v>
      </c>
      <c r="E863" t="str">
        <f t="shared" ca="1" si="172"/>
        <v>Family Type: Curtain Wall_1950w x 3200h, Family: Window External Type 6 - Flush, Recessed</v>
      </c>
      <c r="F863" t="str">
        <f t="shared" ca="1" si="173"/>
        <v>Vector(X = 0.977, Y = 0.212, Z = 0.000, Length = 1.000)</v>
      </c>
      <c r="G863">
        <f t="shared" ca="1" si="174"/>
        <v>1</v>
      </c>
      <c r="H863">
        <f t="shared" ca="1" si="175"/>
        <v>0.2</v>
      </c>
      <c r="I863">
        <f t="shared" ca="1" si="176"/>
        <v>0</v>
      </c>
      <c r="J863" s="8">
        <f t="shared" ca="1" si="177"/>
        <v>11.309932474020215</v>
      </c>
      <c r="K863" s="9" t="str">
        <f t="shared" ca="1" si="178"/>
        <v>E</v>
      </c>
      <c r="L863">
        <f ca="1">+_xlfn.IFNA(VLOOKUP(M863,BespokeWindowsAreas!$A$1:$E$1999,1,FALSE),VLOOKUP(E863,WindowTypeArea!$B$2:$C$2000,2,FALSE))</f>
        <v>6.24</v>
      </c>
      <c r="M863">
        <f t="shared" ca="1" si="179"/>
        <v>5050162</v>
      </c>
    </row>
    <row r="864" spans="1:13" x14ac:dyDescent="0.25">
      <c r="A864">
        <f t="shared" ca="1" si="170"/>
        <v>2</v>
      </c>
      <c r="B864">
        <f t="shared" ca="1" si="171"/>
        <v>451</v>
      </c>
      <c r="C864" t="str">
        <f t="shared" ca="1" si="180"/>
        <v>'WINDOWS-NCH-A-BDP-M3-00-00'!B450</v>
      </c>
      <c r="D864" s="6" t="str">
        <f t="shared" ca="1" si="169"/>
        <v>L00-EMG-CIR-C001-08</v>
      </c>
      <c r="E864" t="str">
        <f t="shared" ca="1" si="172"/>
        <v>Family Type: Curtain Wall_975w x 3200h, Family: Window External Type 6 - Flush, Recessed</v>
      </c>
      <c r="F864" t="str">
        <f t="shared" ca="1" si="173"/>
        <v>Vector(X = 0.977, Y = 0.212, Z = 0.000, Length = 1.000)</v>
      </c>
      <c r="G864">
        <f t="shared" ca="1" si="174"/>
        <v>1</v>
      </c>
      <c r="H864">
        <f t="shared" ca="1" si="175"/>
        <v>0.2</v>
      </c>
      <c r="I864">
        <f t="shared" ca="1" si="176"/>
        <v>0</v>
      </c>
      <c r="J864" s="8">
        <f t="shared" ca="1" si="177"/>
        <v>11.309932474020215</v>
      </c>
      <c r="K864" s="9" t="str">
        <f t="shared" ca="1" si="178"/>
        <v>E</v>
      </c>
      <c r="L864">
        <f ca="1">+_xlfn.IFNA(VLOOKUP(M864,BespokeWindowsAreas!$A$1:$E$1999,1,FALSE),VLOOKUP(E864,WindowTypeArea!$B$2:$C$2000,2,FALSE))</f>
        <v>3.12</v>
      </c>
      <c r="M864">
        <f t="shared" ca="1" si="179"/>
        <v>5050163</v>
      </c>
    </row>
    <row r="865" spans="1:13" x14ac:dyDescent="0.25">
      <c r="A865">
        <f t="shared" ca="1" si="170"/>
        <v>2</v>
      </c>
      <c r="B865">
        <f t="shared" ca="1" si="171"/>
        <v>452</v>
      </c>
      <c r="C865" t="str">
        <f t="shared" ca="1" si="180"/>
        <v>'WINDOWS-NCH-A-BDP-M3-00-00'!B451</v>
      </c>
      <c r="D865" s="6" t="str">
        <f t="shared" ca="1" si="169"/>
        <v>L00-EMG-CIR-C001-09</v>
      </c>
      <c r="E865" t="str">
        <f t="shared" ca="1" si="172"/>
        <v>L00-EMG-CIR-C001-09</v>
      </c>
      <c r="F865">
        <f t="shared" ca="1" si="173"/>
        <v>2160650</v>
      </c>
      <c r="G865">
        <f t="shared" ca="1" si="174"/>
        <v>0</v>
      </c>
      <c r="H865">
        <f t="shared" ca="1" si="175"/>
        <v>0</v>
      </c>
      <c r="I865">
        <f t="shared" ca="1" si="176"/>
        <v>0</v>
      </c>
      <c r="J865" s="8" t="e">
        <f t="shared" ca="1" si="177"/>
        <v>#DIV/0!</v>
      </c>
      <c r="K865" s="9" t="e">
        <f t="shared" ca="1" si="178"/>
        <v>#DIV/0!</v>
      </c>
      <c r="L865" t="e">
        <f ca="1">+_xlfn.IFNA(VLOOKUP(M865,BespokeWindowsAreas!$A$1:$E$1999,1,FALSE),VLOOKUP(E865,WindowTypeArea!$B$2:$C$2000,2,FALSE))</f>
        <v>#N/A</v>
      </c>
      <c r="M865">
        <f t="shared" ca="1" si="179"/>
        <v>0</v>
      </c>
    </row>
    <row r="866" spans="1:13" x14ac:dyDescent="0.25">
      <c r="A866">
        <f t="shared" ca="1" si="170"/>
        <v>2</v>
      </c>
      <c r="B866">
        <f t="shared" ca="1" si="171"/>
        <v>453</v>
      </c>
      <c r="C866" t="str">
        <f t="shared" ca="1" si="180"/>
        <v>'WINDOWS-NCH-A-BDP-M3-00-00'!B452</v>
      </c>
      <c r="D866" s="6" t="str">
        <f t="shared" ca="1" si="169"/>
        <v>L00-EMG-CIR-C001-09</v>
      </c>
      <c r="E866" t="str">
        <f t="shared" ca="1" si="172"/>
        <v>Family Type: Curtain Wall_1500w x 3200h, Family: Window External Type 6 - Flush, Recessed</v>
      </c>
      <c r="F866" t="str">
        <f t="shared" ca="1" si="173"/>
        <v>Vector(X = 0.977, Y = 0.212, Z = 0.000, Length = 1.000)</v>
      </c>
      <c r="G866">
        <f t="shared" ca="1" si="174"/>
        <v>1</v>
      </c>
      <c r="H866">
        <f t="shared" ca="1" si="175"/>
        <v>0.2</v>
      </c>
      <c r="I866">
        <f t="shared" ca="1" si="176"/>
        <v>0</v>
      </c>
      <c r="J866" s="8">
        <f t="shared" ca="1" si="177"/>
        <v>11.309932474020215</v>
      </c>
      <c r="K866" s="9" t="str">
        <f t="shared" ca="1" si="178"/>
        <v>E</v>
      </c>
      <c r="L866">
        <f ca="1">+_xlfn.IFNA(VLOOKUP(M866,BespokeWindowsAreas!$A$1:$E$1999,1,FALSE),VLOOKUP(E866,WindowTypeArea!$B$2:$C$2000,2,FALSE))</f>
        <v>4.8</v>
      </c>
      <c r="M866">
        <f t="shared" ca="1" si="179"/>
        <v>5050278</v>
      </c>
    </row>
    <row r="867" spans="1:13" x14ac:dyDescent="0.25">
      <c r="A867">
        <f t="shared" ca="1" si="170"/>
        <v>2</v>
      </c>
      <c r="B867">
        <f t="shared" ca="1" si="171"/>
        <v>454</v>
      </c>
      <c r="C867" t="str">
        <f t="shared" ca="1" si="180"/>
        <v>'WINDOWS-NCH-A-BDP-M3-00-00'!B453</v>
      </c>
      <c r="D867" s="6" t="str">
        <f t="shared" ca="1" si="169"/>
        <v>L00-EMG-CIR-C001-09</v>
      </c>
      <c r="E867" t="str">
        <f t="shared" ca="1" si="172"/>
        <v>Family Type: Curtain Wall_975w x 3200h, Family: Window External Type 6 - Flush, Recessed</v>
      </c>
      <c r="F867" t="str">
        <f t="shared" ca="1" si="173"/>
        <v>Vector(X = 0.977, Y = 0.212, Z = 0.000, Length = 1.000)</v>
      </c>
      <c r="G867">
        <f t="shared" ca="1" si="174"/>
        <v>1</v>
      </c>
      <c r="H867">
        <f t="shared" ca="1" si="175"/>
        <v>0.2</v>
      </c>
      <c r="I867">
        <f t="shared" ca="1" si="176"/>
        <v>0</v>
      </c>
      <c r="J867" s="8">
        <f t="shared" ca="1" si="177"/>
        <v>11.309932474020215</v>
      </c>
      <c r="K867" s="9" t="str">
        <f t="shared" ca="1" si="178"/>
        <v>E</v>
      </c>
      <c r="L867">
        <f ca="1">+_xlfn.IFNA(VLOOKUP(M867,BespokeWindowsAreas!$A$1:$E$1999,1,FALSE),VLOOKUP(E867,WindowTypeArea!$B$2:$C$2000,2,FALSE))</f>
        <v>3.12</v>
      </c>
      <c r="M867">
        <f t="shared" ca="1" si="179"/>
        <v>5050332</v>
      </c>
    </row>
    <row r="868" spans="1:13" x14ac:dyDescent="0.25">
      <c r="A868">
        <f t="shared" ca="1" si="170"/>
        <v>2</v>
      </c>
      <c r="B868">
        <f t="shared" ca="1" si="171"/>
        <v>455</v>
      </c>
      <c r="C868" t="str">
        <f t="shared" ca="1" si="180"/>
        <v>'WINDOWS-NCH-A-BDP-M3-00-00'!B454</v>
      </c>
      <c r="D868" s="6" t="str">
        <f t="shared" ca="1" si="169"/>
        <v>L00-EMG-CIR-C001-10</v>
      </c>
      <c r="E868" t="str">
        <f t="shared" ca="1" si="172"/>
        <v>L00-EMG-CIR-C001-10</v>
      </c>
      <c r="F868">
        <f t="shared" ca="1" si="173"/>
        <v>2160652</v>
      </c>
      <c r="G868">
        <f t="shared" ca="1" si="174"/>
        <v>0</v>
      </c>
      <c r="H868">
        <f t="shared" ca="1" si="175"/>
        <v>0</v>
      </c>
      <c r="I868">
        <f t="shared" ca="1" si="176"/>
        <v>0</v>
      </c>
      <c r="J868" s="8" t="e">
        <f t="shared" ca="1" si="177"/>
        <v>#DIV/0!</v>
      </c>
      <c r="K868" s="9" t="e">
        <f t="shared" ca="1" si="178"/>
        <v>#DIV/0!</v>
      </c>
      <c r="L868" t="e">
        <f ca="1">+_xlfn.IFNA(VLOOKUP(M868,BespokeWindowsAreas!$A$1:$E$1999,1,FALSE),VLOOKUP(E868,WindowTypeArea!$B$2:$C$2000,2,FALSE))</f>
        <v>#N/A</v>
      </c>
      <c r="M868">
        <f t="shared" ca="1" si="179"/>
        <v>0</v>
      </c>
    </row>
    <row r="869" spans="1:13" x14ac:dyDescent="0.25">
      <c r="A869">
        <f t="shared" ca="1" si="170"/>
        <v>2</v>
      </c>
      <c r="B869">
        <f t="shared" ca="1" si="171"/>
        <v>456</v>
      </c>
      <c r="C869" t="str">
        <f t="shared" ca="1" si="180"/>
        <v>'WINDOWS-NCH-A-BDP-M3-00-00'!B455</v>
      </c>
      <c r="D869" s="6" t="str">
        <f t="shared" ca="1" si="169"/>
        <v>L00-EMG-CIR-C001-10</v>
      </c>
      <c r="E869" t="str">
        <f t="shared" ca="1" si="172"/>
        <v>Family Type: Curtain Wall_975w x 3200h, Family: Window External Type 6 - Flush, Recessed</v>
      </c>
      <c r="F869" t="str">
        <f t="shared" ca="1" si="173"/>
        <v>Vector(X = 0.977, Y = 0.212, Z = 0.000, Length = 1.000)</v>
      </c>
      <c r="G869">
        <f t="shared" ca="1" si="174"/>
        <v>1</v>
      </c>
      <c r="H869">
        <f t="shared" ca="1" si="175"/>
        <v>0.2</v>
      </c>
      <c r="I869">
        <f t="shared" ca="1" si="176"/>
        <v>0</v>
      </c>
      <c r="J869" s="8">
        <f t="shared" ca="1" si="177"/>
        <v>11.309932474020215</v>
      </c>
      <c r="K869" s="9" t="str">
        <f t="shared" ca="1" si="178"/>
        <v>E</v>
      </c>
      <c r="L869">
        <f ca="1">+_xlfn.IFNA(VLOOKUP(M869,BespokeWindowsAreas!$A$1:$E$1999,1,FALSE),VLOOKUP(E869,WindowTypeArea!$B$2:$C$2000,2,FALSE))</f>
        <v>3.12</v>
      </c>
      <c r="M869">
        <f t="shared" ca="1" si="179"/>
        <v>5050104</v>
      </c>
    </row>
    <row r="870" spans="1:13" x14ac:dyDescent="0.25">
      <c r="A870">
        <f t="shared" ca="1" si="170"/>
        <v>2</v>
      </c>
      <c r="B870">
        <f t="shared" ca="1" si="171"/>
        <v>457</v>
      </c>
      <c r="C870" t="str">
        <f t="shared" ca="1" si="180"/>
        <v>'WINDOWS-NCH-A-BDP-M3-00-00'!B456</v>
      </c>
      <c r="D870" s="6" t="str">
        <f t="shared" ca="1" si="169"/>
        <v>L00-EMG-CIR-C001-10</v>
      </c>
      <c r="E870" t="str">
        <f t="shared" ca="1" si="172"/>
        <v>Family Type: Curtain Wall_1500w x 3200h, Family: Window External Type 6 - Flush, Recessed</v>
      </c>
      <c r="F870" t="str">
        <f t="shared" ca="1" si="173"/>
        <v>Vector(X = 0.977, Y = 0.212, Z = 0.000, Length = 1.000)</v>
      </c>
      <c r="G870">
        <f t="shared" ca="1" si="174"/>
        <v>1</v>
      </c>
      <c r="H870">
        <f t="shared" ca="1" si="175"/>
        <v>0.2</v>
      </c>
      <c r="I870">
        <f t="shared" ca="1" si="176"/>
        <v>0</v>
      </c>
      <c r="J870" s="8">
        <f t="shared" ca="1" si="177"/>
        <v>11.309932474020215</v>
      </c>
      <c r="K870" s="9" t="str">
        <f t="shared" ca="1" si="178"/>
        <v>E</v>
      </c>
      <c r="L870">
        <f ca="1">+_xlfn.IFNA(VLOOKUP(M870,BespokeWindowsAreas!$A$1:$E$1999,1,FALSE),VLOOKUP(E870,WindowTypeArea!$B$2:$C$2000,2,FALSE))</f>
        <v>4.8</v>
      </c>
      <c r="M870">
        <f t="shared" ca="1" si="179"/>
        <v>5050105</v>
      </c>
    </row>
    <row r="871" spans="1:13" x14ac:dyDescent="0.25">
      <c r="A871">
        <f t="shared" ca="1" si="170"/>
        <v>2</v>
      </c>
      <c r="B871">
        <f t="shared" ca="1" si="171"/>
        <v>458</v>
      </c>
      <c r="C871" t="str">
        <f t="shared" ca="1" si="180"/>
        <v>'WINDOWS-NCH-A-BDP-M3-00-00'!B457</v>
      </c>
      <c r="D871" s="6" t="str">
        <f t="shared" ca="1" si="169"/>
        <v>L00-EMG-CIR-C001-10</v>
      </c>
      <c r="E871" t="str">
        <f t="shared" ca="1" si="172"/>
        <v>Family Type: Curtain Wall_1950w x 3200h, Family: Window External Type 6 - Flush, Recessed</v>
      </c>
      <c r="F871" t="str">
        <f t="shared" ca="1" si="173"/>
        <v>Vector(X = 0.977, Y = 0.212, Z = 0.000, Length = 1.000)</v>
      </c>
      <c r="G871">
        <f t="shared" ca="1" si="174"/>
        <v>1</v>
      </c>
      <c r="H871">
        <f t="shared" ca="1" si="175"/>
        <v>0.2</v>
      </c>
      <c r="I871">
        <f t="shared" ca="1" si="176"/>
        <v>0</v>
      </c>
      <c r="J871" s="8">
        <f t="shared" ca="1" si="177"/>
        <v>11.309932474020215</v>
      </c>
      <c r="K871" s="9" t="str">
        <f t="shared" ca="1" si="178"/>
        <v>E</v>
      </c>
      <c r="L871">
        <f ca="1">+_xlfn.IFNA(VLOOKUP(M871,BespokeWindowsAreas!$A$1:$E$1999,1,FALSE),VLOOKUP(E871,WindowTypeArea!$B$2:$C$2000,2,FALSE))</f>
        <v>6.24</v>
      </c>
      <c r="M871">
        <f t="shared" ca="1" si="179"/>
        <v>5050152</v>
      </c>
    </row>
    <row r="872" spans="1:13" x14ac:dyDescent="0.25">
      <c r="A872">
        <f t="shared" ca="1" si="170"/>
        <v>2</v>
      </c>
      <c r="B872">
        <f t="shared" ca="1" si="171"/>
        <v>459</v>
      </c>
      <c r="C872" t="str">
        <f t="shared" ca="1" si="180"/>
        <v>'WINDOWS-NCH-A-BDP-M3-00-00'!B458</v>
      </c>
      <c r="D872" s="6" t="str">
        <f t="shared" ca="1" si="169"/>
        <v>L00-EMG-CIR-C001-10</v>
      </c>
      <c r="E872" t="str">
        <f t="shared" ca="1" si="172"/>
        <v>Family Type: Curtain Wall_975w x 3200h, Family: Window External Type 6 - Flush, Recessed</v>
      </c>
      <c r="F872" t="str">
        <f t="shared" ca="1" si="173"/>
        <v>Vector(X = 0.977, Y = 0.212, Z = 0.000, Length = 1.000)</v>
      </c>
      <c r="G872">
        <f t="shared" ca="1" si="174"/>
        <v>1</v>
      </c>
      <c r="H872">
        <f t="shared" ca="1" si="175"/>
        <v>0.2</v>
      </c>
      <c r="I872">
        <f t="shared" ca="1" si="176"/>
        <v>0</v>
      </c>
      <c r="J872" s="8">
        <f t="shared" ca="1" si="177"/>
        <v>11.309932474020215</v>
      </c>
      <c r="K872" s="9" t="str">
        <f t="shared" ca="1" si="178"/>
        <v>E</v>
      </c>
      <c r="L872">
        <f ca="1">+_xlfn.IFNA(VLOOKUP(M872,BespokeWindowsAreas!$A$1:$E$1999,1,FALSE),VLOOKUP(E872,WindowTypeArea!$B$2:$C$2000,2,FALSE))</f>
        <v>3.12</v>
      </c>
      <c r="M872">
        <f t="shared" ca="1" si="179"/>
        <v>5050153</v>
      </c>
    </row>
    <row r="873" spans="1:13" x14ac:dyDescent="0.25">
      <c r="A873">
        <f t="shared" ca="1" si="170"/>
        <v>2</v>
      </c>
      <c r="B873">
        <f t="shared" ca="1" si="171"/>
        <v>460</v>
      </c>
      <c r="C873" t="str">
        <f t="shared" ca="1" si="180"/>
        <v>'WINDOWS-NCH-A-BDP-M3-00-00'!B459</v>
      </c>
      <c r="D873" s="6" t="str">
        <f t="shared" ca="1" si="169"/>
        <v>L00-EMG-CIR-C001-10</v>
      </c>
      <c r="E873" t="str">
        <f t="shared" ca="1" si="172"/>
        <v>Family Type: Curtain Wall_585w x 3200h, Family: Window External Type 6 - Flush, Recessed</v>
      </c>
      <c r="F873" t="str">
        <f t="shared" ca="1" si="173"/>
        <v>Vector(X = 0.977, Y = 0.212, Z = 0.000, Length = 1.000)</v>
      </c>
      <c r="G873">
        <f t="shared" ca="1" si="174"/>
        <v>1</v>
      </c>
      <c r="H873">
        <f t="shared" ca="1" si="175"/>
        <v>0.2</v>
      </c>
      <c r="I873">
        <f t="shared" ca="1" si="176"/>
        <v>0</v>
      </c>
      <c r="J873" s="8">
        <f t="shared" ca="1" si="177"/>
        <v>11.309932474020215</v>
      </c>
      <c r="K873" s="9" t="str">
        <f t="shared" ca="1" si="178"/>
        <v>E</v>
      </c>
      <c r="L873">
        <f ca="1">+_xlfn.IFNA(VLOOKUP(M873,BespokeWindowsAreas!$A$1:$E$1999,1,FALSE),VLOOKUP(E873,WindowTypeArea!$B$2:$C$2000,2,FALSE))</f>
        <v>1.8720000000000001</v>
      </c>
      <c r="M873">
        <f t="shared" ca="1" si="179"/>
        <v>5075147</v>
      </c>
    </row>
    <row r="874" spans="1:13" x14ac:dyDescent="0.25">
      <c r="A874">
        <f t="shared" ca="1" si="170"/>
        <v>2</v>
      </c>
      <c r="B874">
        <f t="shared" ca="1" si="171"/>
        <v>461</v>
      </c>
      <c r="C874" t="str">
        <f t="shared" ca="1" si="180"/>
        <v>'WINDOWS-NCH-A-BDP-M3-00-00'!B460</v>
      </c>
      <c r="D874" s="6" t="str">
        <f t="shared" ca="1" si="169"/>
        <v>L00-EMG-CIR-C001-10</v>
      </c>
      <c r="E874" t="str">
        <f t="shared" ca="1" si="172"/>
        <v>Family Type: Curtain Wall_975w x 3200h, Family: Window External Type 6 - Flush, Recessed</v>
      </c>
      <c r="F874" t="str">
        <f t="shared" ca="1" si="173"/>
        <v>Vector(X = 0.977, Y = 0.212, Z = 0.000, Length = 1.000)</v>
      </c>
      <c r="G874">
        <f t="shared" ca="1" si="174"/>
        <v>1</v>
      </c>
      <c r="H874">
        <f t="shared" ca="1" si="175"/>
        <v>0.2</v>
      </c>
      <c r="I874">
        <f t="shared" ca="1" si="176"/>
        <v>0</v>
      </c>
      <c r="J874" s="8">
        <f t="shared" ca="1" si="177"/>
        <v>11.309932474020215</v>
      </c>
      <c r="K874" s="9" t="str">
        <f t="shared" ca="1" si="178"/>
        <v>E</v>
      </c>
      <c r="L874">
        <f ca="1">+_xlfn.IFNA(VLOOKUP(M874,BespokeWindowsAreas!$A$1:$E$1999,1,FALSE),VLOOKUP(E874,WindowTypeArea!$B$2:$C$2000,2,FALSE))</f>
        <v>3.12</v>
      </c>
      <c r="M874">
        <f t="shared" ca="1" si="179"/>
        <v>5075148</v>
      </c>
    </row>
    <row r="875" spans="1:13" x14ac:dyDescent="0.25">
      <c r="A875">
        <f t="shared" ca="1" si="170"/>
        <v>2</v>
      </c>
      <c r="B875">
        <f t="shared" ca="1" si="171"/>
        <v>462</v>
      </c>
      <c r="C875" t="str">
        <f t="shared" ca="1" si="180"/>
        <v>'WINDOWS-NCH-A-BDP-M3-00-00'!B461</v>
      </c>
      <c r="D875" s="6" t="str">
        <f t="shared" ca="1" si="169"/>
        <v>L00-EMG-CIR-C001-10</v>
      </c>
      <c r="E875" t="str">
        <f t="shared" ca="1" si="172"/>
        <v>Family Type: Curtain Wall_585w x 3200h, Family: Window External Type 6 - Bespoke Flush, Recessed</v>
      </c>
      <c r="F875" t="str">
        <f t="shared" ca="1" si="173"/>
        <v>Vector(X = 0.977, Y = 0.212, Z = 0.000, Length = 1.000)</v>
      </c>
      <c r="G875">
        <f t="shared" ca="1" si="174"/>
        <v>1</v>
      </c>
      <c r="H875">
        <f t="shared" ca="1" si="175"/>
        <v>0.2</v>
      </c>
      <c r="I875">
        <f t="shared" ca="1" si="176"/>
        <v>0</v>
      </c>
      <c r="J875" s="8">
        <f t="shared" ca="1" si="177"/>
        <v>11.309932474020215</v>
      </c>
      <c r="K875" s="9" t="str">
        <f t="shared" ca="1" si="178"/>
        <v>E</v>
      </c>
      <c r="L875">
        <f ca="1">+_xlfn.IFNA(VLOOKUP(M875,BespokeWindowsAreas!$A$1:$E$1999,1,FALSE),VLOOKUP(E875,WindowTypeArea!$B$2:$C$2000,2,FALSE))</f>
        <v>0</v>
      </c>
      <c r="M875">
        <f t="shared" ca="1" si="179"/>
        <v>5075174</v>
      </c>
    </row>
    <row r="876" spans="1:13" x14ac:dyDescent="0.25">
      <c r="A876">
        <f t="shared" ca="1" si="170"/>
        <v>2</v>
      </c>
      <c r="B876">
        <f t="shared" ca="1" si="171"/>
        <v>463</v>
      </c>
      <c r="C876" t="str">
        <f t="shared" ca="1" si="180"/>
        <v>'WINDOWS-NCH-A-BDP-M3-00-00'!B462</v>
      </c>
      <c r="D876" s="6" t="str">
        <f t="shared" ca="1" si="169"/>
        <v>L00-OPD-CIR-C001-22</v>
      </c>
      <c r="E876" t="str">
        <f t="shared" ca="1" si="172"/>
        <v>L00-OPD-CIR-C001-22</v>
      </c>
      <c r="F876">
        <f t="shared" ca="1" si="173"/>
        <v>2160680</v>
      </c>
      <c r="G876">
        <f t="shared" ca="1" si="174"/>
        <v>0</v>
      </c>
      <c r="H876">
        <f t="shared" ca="1" si="175"/>
        <v>0</v>
      </c>
      <c r="I876">
        <f t="shared" ca="1" si="176"/>
        <v>0</v>
      </c>
      <c r="J876" s="8" t="e">
        <f t="shared" ca="1" si="177"/>
        <v>#DIV/0!</v>
      </c>
      <c r="K876" s="9" t="e">
        <f t="shared" ca="1" si="178"/>
        <v>#DIV/0!</v>
      </c>
      <c r="L876" t="e">
        <f ca="1">+_xlfn.IFNA(VLOOKUP(M876,BespokeWindowsAreas!$A$1:$E$1999,1,FALSE),VLOOKUP(E876,WindowTypeArea!$B$2:$C$2000,2,FALSE))</f>
        <v>#N/A</v>
      </c>
      <c r="M876">
        <f t="shared" ca="1" si="179"/>
        <v>0</v>
      </c>
    </row>
    <row r="877" spans="1:13" x14ac:dyDescent="0.25">
      <c r="A877">
        <f t="shared" ca="1" si="170"/>
        <v>2</v>
      </c>
      <c r="B877">
        <f t="shared" ca="1" si="171"/>
        <v>464</v>
      </c>
      <c r="C877" t="str">
        <f t="shared" ca="1" si="180"/>
        <v>'WINDOWS-NCH-A-BDP-M3-00-00'!B463</v>
      </c>
      <c r="D877" s="6" t="str">
        <f t="shared" ca="1" si="169"/>
        <v>L00-OPD-CIR-C001-22</v>
      </c>
      <c r="E877" t="str">
        <f t="shared" ca="1" si="172"/>
        <v>Family Type: Curtain Wall_975w x 3200h, Family: Window External Type 6 - Flush, Recessed</v>
      </c>
      <c r="F877" t="str">
        <f t="shared" ca="1" si="173"/>
        <v>Vector(X = 0.873, Y = 0.489, Z = 0.000, Length = 1.000)</v>
      </c>
      <c r="G877">
        <f t="shared" ca="1" si="174"/>
        <v>0.9</v>
      </c>
      <c r="H877">
        <f t="shared" ca="1" si="175"/>
        <v>0.5</v>
      </c>
      <c r="I877">
        <f t="shared" ca="1" si="176"/>
        <v>0</v>
      </c>
      <c r="J877" s="8">
        <f t="shared" ca="1" si="177"/>
        <v>29.054604099077146</v>
      </c>
      <c r="K877" s="9" t="str">
        <f t="shared" ca="1" si="178"/>
        <v>E</v>
      </c>
      <c r="L877">
        <f ca="1">+_xlfn.IFNA(VLOOKUP(M877,BespokeWindowsAreas!$A$1:$E$1999,1,FALSE),VLOOKUP(E877,WindowTypeArea!$B$2:$C$2000,2,FALSE))</f>
        <v>3.12</v>
      </c>
      <c r="M877">
        <f t="shared" ca="1" si="179"/>
        <v>5045703</v>
      </c>
    </row>
    <row r="878" spans="1:13" x14ac:dyDescent="0.25">
      <c r="A878">
        <f t="shared" ca="1" si="170"/>
        <v>2</v>
      </c>
      <c r="B878">
        <f t="shared" ca="1" si="171"/>
        <v>465</v>
      </c>
      <c r="C878" t="str">
        <f t="shared" ca="1" si="180"/>
        <v>'WINDOWS-NCH-A-BDP-M3-00-00'!B464</v>
      </c>
      <c r="D878" s="6" t="str">
        <f t="shared" ca="1" si="169"/>
        <v>L00-OPD-CIR-C001-22</v>
      </c>
      <c r="E878" t="str">
        <f t="shared" ca="1" si="172"/>
        <v>Family Type: Curtain Wall_585w x 3200h, Family: Window External Type 6 - Flush, Recessed</v>
      </c>
      <c r="F878" t="str">
        <f t="shared" ca="1" si="173"/>
        <v>Vector(X = 0.873, Y = 0.489, Z = 0.000, Length = 1.000)</v>
      </c>
      <c r="G878">
        <f t="shared" ca="1" si="174"/>
        <v>0.9</v>
      </c>
      <c r="H878">
        <f t="shared" ca="1" si="175"/>
        <v>0.5</v>
      </c>
      <c r="I878">
        <f t="shared" ca="1" si="176"/>
        <v>0</v>
      </c>
      <c r="J878" s="8">
        <f t="shared" ca="1" si="177"/>
        <v>29.054604099077146</v>
      </c>
      <c r="K878" s="9" t="str">
        <f t="shared" ca="1" si="178"/>
        <v>E</v>
      </c>
      <c r="L878">
        <f ca="1">+_xlfn.IFNA(VLOOKUP(M878,BespokeWindowsAreas!$A$1:$E$1999,1,FALSE),VLOOKUP(E878,WindowTypeArea!$B$2:$C$2000,2,FALSE))</f>
        <v>1.8720000000000001</v>
      </c>
      <c r="M878">
        <f t="shared" ca="1" si="179"/>
        <v>5045704</v>
      </c>
    </row>
    <row r="879" spans="1:13" x14ac:dyDescent="0.25">
      <c r="A879">
        <f t="shared" ca="1" si="170"/>
        <v>2</v>
      </c>
      <c r="B879">
        <f t="shared" ca="1" si="171"/>
        <v>466</v>
      </c>
      <c r="C879" t="str">
        <f t="shared" ca="1" si="180"/>
        <v>'WINDOWS-NCH-A-BDP-M3-00-00'!B465</v>
      </c>
      <c r="D879" s="6" t="str">
        <f t="shared" ca="1" si="169"/>
        <v>L00-OPD-CIR-C001-22</v>
      </c>
      <c r="E879" t="str">
        <f t="shared" ca="1" si="172"/>
        <v>Family Type: Curtain Wall_1500w x 3200h, Family: Window External Type 6 - Flush, Recessed</v>
      </c>
      <c r="F879" t="str">
        <f t="shared" ca="1" si="173"/>
        <v>Vector(X = 0.873, Y = 0.489, Z = 0.000, Length = 1.000)</v>
      </c>
      <c r="G879">
        <f t="shared" ca="1" si="174"/>
        <v>0.9</v>
      </c>
      <c r="H879">
        <f t="shared" ca="1" si="175"/>
        <v>0.5</v>
      </c>
      <c r="I879">
        <f t="shared" ca="1" si="176"/>
        <v>0</v>
      </c>
      <c r="J879" s="8">
        <f t="shared" ca="1" si="177"/>
        <v>29.054604099077146</v>
      </c>
      <c r="K879" s="9" t="str">
        <f t="shared" ca="1" si="178"/>
        <v>E</v>
      </c>
      <c r="L879">
        <f ca="1">+_xlfn.IFNA(VLOOKUP(M879,BespokeWindowsAreas!$A$1:$E$1999,1,FALSE),VLOOKUP(E879,WindowTypeArea!$B$2:$C$2000,2,FALSE))</f>
        <v>4.8</v>
      </c>
      <c r="M879">
        <f t="shared" ca="1" si="179"/>
        <v>5045708</v>
      </c>
    </row>
    <row r="880" spans="1:13" x14ac:dyDescent="0.25">
      <c r="A880">
        <f t="shared" ca="1" si="170"/>
        <v>2</v>
      </c>
      <c r="B880">
        <f t="shared" ca="1" si="171"/>
        <v>467</v>
      </c>
      <c r="C880" t="str">
        <f t="shared" ca="1" si="180"/>
        <v>'WINDOWS-NCH-A-BDP-M3-00-00'!B466</v>
      </c>
      <c r="D880" s="6" t="str">
        <f t="shared" ca="1" si="169"/>
        <v>L00-OPD-CIR-C001-22</v>
      </c>
      <c r="E880" t="str">
        <f t="shared" ca="1" si="172"/>
        <v>Family Type: Curtain Wall_975w x 3200h, Family: Window External Type 6 - Flush, Recessed</v>
      </c>
      <c r="F880" t="str">
        <f t="shared" ca="1" si="173"/>
        <v>Vector(X = 0.873, Y = 0.489, Z = 0.000, Length = 1.000)</v>
      </c>
      <c r="G880">
        <f t="shared" ca="1" si="174"/>
        <v>0.9</v>
      </c>
      <c r="H880">
        <f t="shared" ca="1" si="175"/>
        <v>0.5</v>
      </c>
      <c r="I880">
        <f t="shared" ca="1" si="176"/>
        <v>0</v>
      </c>
      <c r="J880" s="8">
        <f t="shared" ca="1" si="177"/>
        <v>29.054604099077146</v>
      </c>
      <c r="K880" s="9" t="str">
        <f t="shared" ca="1" si="178"/>
        <v>E</v>
      </c>
      <c r="L880">
        <f ca="1">+_xlfn.IFNA(VLOOKUP(M880,BespokeWindowsAreas!$A$1:$E$1999,1,FALSE),VLOOKUP(E880,WindowTypeArea!$B$2:$C$2000,2,FALSE))</f>
        <v>3.12</v>
      </c>
      <c r="M880">
        <f t="shared" ca="1" si="179"/>
        <v>5046965</v>
      </c>
    </row>
    <row r="881" spans="1:13" x14ac:dyDescent="0.25">
      <c r="A881">
        <f t="shared" ca="1" si="170"/>
        <v>2</v>
      </c>
      <c r="B881">
        <f t="shared" ca="1" si="171"/>
        <v>468</v>
      </c>
      <c r="C881" t="str">
        <f t="shared" ca="1" si="180"/>
        <v>'WINDOWS-NCH-A-BDP-M3-00-00'!B467</v>
      </c>
      <c r="D881" s="6" t="str">
        <f t="shared" ca="1" si="169"/>
        <v>L00-OPD-CIR-C001-28</v>
      </c>
      <c r="E881" t="str">
        <f t="shared" ca="1" si="172"/>
        <v>L00-OPD-CIR-C001-28</v>
      </c>
      <c r="F881">
        <f t="shared" ca="1" si="173"/>
        <v>2160690</v>
      </c>
      <c r="G881">
        <f t="shared" ca="1" si="174"/>
        <v>0</v>
      </c>
      <c r="H881">
        <f t="shared" ca="1" si="175"/>
        <v>0</v>
      </c>
      <c r="I881">
        <f t="shared" ca="1" si="176"/>
        <v>0</v>
      </c>
      <c r="J881" s="8" t="e">
        <f t="shared" ca="1" si="177"/>
        <v>#DIV/0!</v>
      </c>
      <c r="K881" s="9" t="e">
        <f t="shared" ca="1" si="178"/>
        <v>#DIV/0!</v>
      </c>
      <c r="L881" t="e">
        <f ca="1">+_xlfn.IFNA(VLOOKUP(M881,BespokeWindowsAreas!$A$1:$E$1999,1,FALSE),VLOOKUP(E881,WindowTypeArea!$B$2:$C$2000,2,FALSE))</f>
        <v>#N/A</v>
      </c>
      <c r="M881">
        <f t="shared" ca="1" si="179"/>
        <v>0</v>
      </c>
    </row>
    <row r="882" spans="1:13" x14ac:dyDescent="0.25">
      <c r="A882">
        <f t="shared" ca="1" si="170"/>
        <v>2</v>
      </c>
      <c r="B882">
        <f t="shared" ca="1" si="171"/>
        <v>469</v>
      </c>
      <c r="C882" t="str">
        <f t="shared" ca="1" si="180"/>
        <v>'WINDOWS-NCH-A-BDP-M3-00-00'!B468</v>
      </c>
      <c r="D882" s="6" t="str">
        <f t="shared" ca="1" si="169"/>
        <v>L00-OPD-CIR-C001-28</v>
      </c>
      <c r="E882" t="str">
        <f t="shared" ca="1" si="172"/>
        <v>Family Type: Curtain Wall_585w x 3200h, Family: Window External Type 6 - Flush, Recessed</v>
      </c>
      <c r="F882" t="str">
        <f t="shared" ca="1" si="173"/>
        <v>Vector(X = 0.977, Y = 0.212, Z = 0.000, Length = 1.000)</v>
      </c>
      <c r="G882">
        <f t="shared" ca="1" si="174"/>
        <v>1</v>
      </c>
      <c r="H882">
        <f t="shared" ca="1" si="175"/>
        <v>0.2</v>
      </c>
      <c r="I882">
        <f t="shared" ca="1" si="176"/>
        <v>0</v>
      </c>
      <c r="J882" s="8">
        <f t="shared" ca="1" si="177"/>
        <v>11.309932474020215</v>
      </c>
      <c r="K882" s="9" t="str">
        <f t="shared" ca="1" si="178"/>
        <v>E</v>
      </c>
      <c r="L882">
        <f ca="1">+_xlfn.IFNA(VLOOKUP(M882,BespokeWindowsAreas!$A$1:$E$1999,1,FALSE),VLOOKUP(E882,WindowTypeArea!$B$2:$C$2000,2,FALSE))</f>
        <v>1.8720000000000001</v>
      </c>
      <c r="M882">
        <f t="shared" ca="1" si="179"/>
        <v>5049304</v>
      </c>
    </row>
    <row r="883" spans="1:13" x14ac:dyDescent="0.25">
      <c r="A883">
        <f t="shared" ca="1" si="170"/>
        <v>2</v>
      </c>
      <c r="B883">
        <f t="shared" ca="1" si="171"/>
        <v>470</v>
      </c>
      <c r="C883" t="str">
        <f t="shared" ca="1" si="180"/>
        <v>'WINDOWS-NCH-A-BDP-M3-00-00'!B469</v>
      </c>
      <c r="D883" s="6" t="str">
        <f t="shared" ca="1" si="169"/>
        <v>L00-OPD-CIR-C001-28</v>
      </c>
      <c r="E883" t="str">
        <f t="shared" ca="1" si="172"/>
        <v>Family Type: Curtain Wall_1500w x 3200h, Family: Window External Type 6 - Flush, Recessed</v>
      </c>
      <c r="F883" t="str">
        <f t="shared" ca="1" si="173"/>
        <v>Vector(X = 0.977, Y = 0.212, Z = 0.000, Length = 1.000)</v>
      </c>
      <c r="G883">
        <f t="shared" ca="1" si="174"/>
        <v>1</v>
      </c>
      <c r="H883">
        <f t="shared" ca="1" si="175"/>
        <v>0.2</v>
      </c>
      <c r="I883">
        <f t="shared" ca="1" si="176"/>
        <v>0</v>
      </c>
      <c r="J883" s="8">
        <f t="shared" ca="1" si="177"/>
        <v>11.309932474020215</v>
      </c>
      <c r="K883" s="9" t="str">
        <f t="shared" ca="1" si="178"/>
        <v>E</v>
      </c>
      <c r="L883">
        <f ca="1">+_xlfn.IFNA(VLOOKUP(M883,BespokeWindowsAreas!$A$1:$E$1999,1,FALSE),VLOOKUP(E883,WindowTypeArea!$B$2:$C$2000,2,FALSE))</f>
        <v>4.8</v>
      </c>
      <c r="M883">
        <f t="shared" ca="1" si="179"/>
        <v>5049416</v>
      </c>
    </row>
    <row r="884" spans="1:13" x14ac:dyDescent="0.25">
      <c r="A884">
        <f t="shared" ca="1" si="170"/>
        <v>2</v>
      </c>
      <c r="B884">
        <f t="shared" ca="1" si="171"/>
        <v>471</v>
      </c>
      <c r="C884" t="str">
        <f t="shared" ca="1" si="180"/>
        <v>'WINDOWS-NCH-A-BDP-M3-00-00'!B470</v>
      </c>
      <c r="D884" s="6" t="str">
        <f t="shared" ca="1" si="169"/>
        <v>L00-OPD-CIR-C001-28</v>
      </c>
      <c r="E884" t="str">
        <f t="shared" ca="1" si="172"/>
        <v>Family Type: Curtain Wall_1950w x 3200h, Family: Window External Type 6 - Flush, Recessed</v>
      </c>
      <c r="F884" t="str">
        <f t="shared" ca="1" si="173"/>
        <v>Vector(X = 0.977, Y = 0.212, Z = 0.000, Length = 1.000)</v>
      </c>
      <c r="G884">
        <f t="shared" ca="1" si="174"/>
        <v>1</v>
      </c>
      <c r="H884">
        <f t="shared" ca="1" si="175"/>
        <v>0.2</v>
      </c>
      <c r="I884">
        <f t="shared" ca="1" si="176"/>
        <v>0</v>
      </c>
      <c r="J884" s="8">
        <f t="shared" ca="1" si="177"/>
        <v>11.309932474020215</v>
      </c>
      <c r="K884" s="9" t="str">
        <f t="shared" ca="1" si="178"/>
        <v>E</v>
      </c>
      <c r="L884">
        <f ca="1">+_xlfn.IFNA(VLOOKUP(M884,BespokeWindowsAreas!$A$1:$E$1999,1,FALSE),VLOOKUP(E884,WindowTypeArea!$B$2:$C$2000,2,FALSE))</f>
        <v>6.24</v>
      </c>
      <c r="M884">
        <f t="shared" ca="1" si="179"/>
        <v>5049417</v>
      </c>
    </row>
    <row r="885" spans="1:13" x14ac:dyDescent="0.25">
      <c r="A885">
        <f t="shared" ca="1" si="170"/>
        <v>2</v>
      </c>
      <c r="B885">
        <f t="shared" ca="1" si="171"/>
        <v>472</v>
      </c>
      <c r="C885" t="str">
        <f t="shared" ca="1" si="180"/>
        <v>'WINDOWS-NCH-A-BDP-M3-00-00'!B471</v>
      </c>
      <c r="D885" s="6" t="str">
        <f t="shared" ca="1" si="169"/>
        <v>L00-OPD-CIR-C001-28</v>
      </c>
      <c r="E885" t="str">
        <f t="shared" ca="1" si="172"/>
        <v>Family Type: Curtain Wall_975w x 3200h, Family: Window External Type 6 - Flush, Recessed</v>
      </c>
      <c r="F885" t="str">
        <f t="shared" ca="1" si="173"/>
        <v>Vector(X = 0.977, Y = 0.212, Z = 0.000, Length = 1.000)</v>
      </c>
      <c r="G885">
        <f t="shared" ca="1" si="174"/>
        <v>1</v>
      </c>
      <c r="H885">
        <f t="shared" ca="1" si="175"/>
        <v>0.2</v>
      </c>
      <c r="I885">
        <f t="shared" ca="1" si="176"/>
        <v>0</v>
      </c>
      <c r="J885" s="8">
        <f t="shared" ca="1" si="177"/>
        <v>11.309932474020215</v>
      </c>
      <c r="K885" s="9" t="str">
        <f t="shared" ca="1" si="178"/>
        <v>E</v>
      </c>
      <c r="L885">
        <f ca="1">+_xlfn.IFNA(VLOOKUP(M885,BespokeWindowsAreas!$A$1:$E$1999,1,FALSE),VLOOKUP(E885,WindowTypeArea!$B$2:$C$2000,2,FALSE))</f>
        <v>3.12</v>
      </c>
      <c r="M885">
        <f t="shared" ca="1" si="179"/>
        <v>5049418</v>
      </c>
    </row>
    <row r="886" spans="1:13" x14ac:dyDescent="0.25">
      <c r="A886">
        <f t="shared" ca="1" si="170"/>
        <v>2</v>
      </c>
      <c r="B886">
        <f t="shared" ca="1" si="171"/>
        <v>473</v>
      </c>
      <c r="C886" t="str">
        <f t="shared" ca="1" si="180"/>
        <v>'WINDOWS-NCH-A-BDP-M3-00-00'!B472</v>
      </c>
      <c r="D886" s="6" t="str">
        <f t="shared" ca="1" si="169"/>
        <v>L00-OPD-CIR-C001-28</v>
      </c>
      <c r="E886" t="str">
        <f t="shared" ca="1" si="172"/>
        <v>Family Type: Curtain Wall_1950w x 3200h, Family: Window External Type 6 - Flush, Recessed</v>
      </c>
      <c r="F886" t="str">
        <f t="shared" ca="1" si="173"/>
        <v>Vector(X = 0.977, Y = 0.212, Z = 0.000, Length = 1.000)</v>
      </c>
      <c r="G886">
        <f t="shared" ca="1" si="174"/>
        <v>1</v>
      </c>
      <c r="H886">
        <f t="shared" ca="1" si="175"/>
        <v>0.2</v>
      </c>
      <c r="I886">
        <f t="shared" ca="1" si="176"/>
        <v>0</v>
      </c>
      <c r="J886" s="8">
        <f t="shared" ca="1" si="177"/>
        <v>11.309932474020215</v>
      </c>
      <c r="K886" s="9" t="str">
        <f t="shared" ca="1" si="178"/>
        <v>E</v>
      </c>
      <c r="L886">
        <f ca="1">+_xlfn.IFNA(VLOOKUP(M886,BespokeWindowsAreas!$A$1:$E$1999,1,FALSE),VLOOKUP(E886,WindowTypeArea!$B$2:$C$2000,2,FALSE))</f>
        <v>6.24</v>
      </c>
      <c r="M886">
        <f t="shared" ca="1" si="179"/>
        <v>5049419</v>
      </c>
    </row>
    <row r="887" spans="1:13" x14ac:dyDescent="0.25">
      <c r="A887">
        <f t="shared" ca="1" si="170"/>
        <v>2</v>
      </c>
      <c r="B887">
        <f t="shared" ca="1" si="171"/>
        <v>474</v>
      </c>
      <c r="C887" t="str">
        <f t="shared" ca="1" si="180"/>
        <v>'WINDOWS-NCH-A-BDP-M3-00-00'!B473</v>
      </c>
      <c r="D887" s="6" t="str">
        <f t="shared" ca="1" si="169"/>
        <v>L00-OPD-CIR-C001-28</v>
      </c>
      <c r="E887" t="str">
        <f t="shared" ca="1" si="172"/>
        <v>Family Type: Curtain Wall_585w x 3200h, Family: Window External Type 6 - Flush, Recessed</v>
      </c>
      <c r="F887" t="str">
        <f t="shared" ca="1" si="173"/>
        <v>Vector(X = 0.977, Y = 0.212, Z = 0.000, Length = 1.000)</v>
      </c>
      <c r="G887">
        <f t="shared" ca="1" si="174"/>
        <v>1</v>
      </c>
      <c r="H887">
        <f t="shared" ca="1" si="175"/>
        <v>0.2</v>
      </c>
      <c r="I887">
        <f t="shared" ca="1" si="176"/>
        <v>0</v>
      </c>
      <c r="J887" s="8">
        <f t="shared" ca="1" si="177"/>
        <v>11.309932474020215</v>
      </c>
      <c r="K887" s="9" t="str">
        <f t="shared" ca="1" si="178"/>
        <v>E</v>
      </c>
      <c r="L887">
        <f ca="1">+_xlfn.IFNA(VLOOKUP(M887,BespokeWindowsAreas!$A$1:$E$1999,1,FALSE),VLOOKUP(E887,WindowTypeArea!$B$2:$C$2000,2,FALSE))</f>
        <v>1.8720000000000001</v>
      </c>
      <c r="M887">
        <f t="shared" ca="1" si="179"/>
        <v>5049420</v>
      </c>
    </row>
    <row r="888" spans="1:13" x14ac:dyDescent="0.25">
      <c r="A888">
        <f t="shared" ca="1" si="170"/>
        <v>2</v>
      </c>
      <c r="B888">
        <f t="shared" ca="1" si="171"/>
        <v>475</v>
      </c>
      <c r="C888" t="str">
        <f t="shared" ca="1" si="180"/>
        <v>'WINDOWS-NCH-A-BDP-M3-00-00'!B474</v>
      </c>
      <c r="D888" s="6" t="str">
        <f t="shared" ca="1" si="169"/>
        <v>L00-OPD-CIR-C001-28</v>
      </c>
      <c r="E888" t="str">
        <f t="shared" ca="1" si="172"/>
        <v>Family Type: Curtain Wall_975w x 3200h, Family: Window External Type 6 - Flush, Recessed</v>
      </c>
      <c r="F888" t="str">
        <f t="shared" ca="1" si="173"/>
        <v>Vector(X = 0.977, Y = 0.212, Z = 0.000, Length = 1.000)</v>
      </c>
      <c r="G888">
        <f t="shared" ca="1" si="174"/>
        <v>1</v>
      </c>
      <c r="H888">
        <f t="shared" ca="1" si="175"/>
        <v>0.2</v>
      </c>
      <c r="I888">
        <f t="shared" ca="1" si="176"/>
        <v>0</v>
      </c>
      <c r="J888" s="8">
        <f t="shared" ca="1" si="177"/>
        <v>11.309932474020215</v>
      </c>
      <c r="K888" s="9" t="str">
        <f t="shared" ca="1" si="178"/>
        <v>E</v>
      </c>
      <c r="L888">
        <f ca="1">+_xlfn.IFNA(VLOOKUP(M888,BespokeWindowsAreas!$A$1:$E$1999,1,FALSE),VLOOKUP(E888,WindowTypeArea!$B$2:$C$2000,2,FALSE))</f>
        <v>3.12</v>
      </c>
      <c r="M888">
        <f t="shared" ca="1" si="179"/>
        <v>5049421</v>
      </c>
    </row>
    <row r="889" spans="1:13" x14ac:dyDescent="0.25">
      <c r="A889">
        <f t="shared" ca="1" si="170"/>
        <v>2</v>
      </c>
      <c r="B889">
        <f t="shared" ca="1" si="171"/>
        <v>476</v>
      </c>
      <c r="C889" t="str">
        <f t="shared" ca="1" si="180"/>
        <v>'WINDOWS-NCH-A-BDP-M3-00-00'!B475</v>
      </c>
      <c r="D889" s="6" t="str">
        <f t="shared" ca="1" si="169"/>
        <v>L00-OPD-CIR-C001-28</v>
      </c>
      <c r="E889" t="str">
        <f t="shared" ca="1" si="172"/>
        <v>Family Type: Curtain Wall_1500w x 3200h, Family: Window External Type 6 - Flush, Recessed</v>
      </c>
      <c r="F889" t="str">
        <f t="shared" ca="1" si="173"/>
        <v>Vector(X = 0.977, Y = 0.212, Z = 0.000, Length = 1.000)</v>
      </c>
      <c r="G889">
        <f t="shared" ca="1" si="174"/>
        <v>1</v>
      </c>
      <c r="H889">
        <f t="shared" ca="1" si="175"/>
        <v>0.2</v>
      </c>
      <c r="I889">
        <f t="shared" ca="1" si="176"/>
        <v>0</v>
      </c>
      <c r="J889" s="8">
        <f t="shared" ca="1" si="177"/>
        <v>11.309932474020215</v>
      </c>
      <c r="K889" s="9" t="str">
        <f t="shared" ca="1" si="178"/>
        <v>E</v>
      </c>
      <c r="L889">
        <f ca="1">+_xlfn.IFNA(VLOOKUP(M889,BespokeWindowsAreas!$A$1:$E$1999,1,FALSE),VLOOKUP(E889,WindowTypeArea!$B$2:$C$2000,2,FALSE))</f>
        <v>4.8</v>
      </c>
      <c r="M889">
        <f t="shared" ca="1" si="179"/>
        <v>5049422</v>
      </c>
    </row>
    <row r="890" spans="1:13" x14ac:dyDescent="0.25">
      <c r="A890">
        <f t="shared" ca="1" si="170"/>
        <v>2</v>
      </c>
      <c r="B890">
        <f t="shared" ca="1" si="171"/>
        <v>477</v>
      </c>
      <c r="C890" t="str">
        <f t="shared" ca="1" si="180"/>
        <v>'WINDOWS-NCH-A-BDP-M3-00-00'!B476</v>
      </c>
      <c r="D890" s="6" t="str">
        <f t="shared" ca="1" si="169"/>
        <v>L00-OPD-CIR-C001-32</v>
      </c>
      <c r="E890" t="str">
        <f t="shared" ca="1" si="172"/>
        <v>L00-OPD-CIR-C001-32</v>
      </c>
      <c r="F890">
        <f t="shared" ca="1" si="173"/>
        <v>2160698</v>
      </c>
      <c r="G890">
        <f t="shared" ca="1" si="174"/>
        <v>0</v>
      </c>
      <c r="H890">
        <f t="shared" ca="1" si="175"/>
        <v>0</v>
      </c>
      <c r="I890">
        <f t="shared" ca="1" si="176"/>
        <v>0</v>
      </c>
      <c r="J890" s="8" t="e">
        <f t="shared" ca="1" si="177"/>
        <v>#DIV/0!</v>
      </c>
      <c r="K890" s="9" t="e">
        <f t="shared" ca="1" si="178"/>
        <v>#DIV/0!</v>
      </c>
      <c r="L890" t="e">
        <f ca="1">+_xlfn.IFNA(VLOOKUP(M890,BespokeWindowsAreas!$A$1:$E$1999,1,FALSE),VLOOKUP(E890,WindowTypeArea!$B$2:$C$2000,2,FALSE))</f>
        <v>#N/A</v>
      </c>
      <c r="M890">
        <f t="shared" ca="1" si="179"/>
        <v>0</v>
      </c>
    </row>
    <row r="891" spans="1:13" x14ac:dyDescent="0.25">
      <c r="A891">
        <f t="shared" ca="1" si="170"/>
        <v>2</v>
      </c>
      <c r="B891">
        <f t="shared" ca="1" si="171"/>
        <v>478</v>
      </c>
      <c r="C891" t="str">
        <f t="shared" ca="1" si="180"/>
        <v>'WINDOWS-NCH-A-BDP-M3-00-00'!B477</v>
      </c>
      <c r="D891" s="6" t="str">
        <f t="shared" ca="1" si="169"/>
        <v>L00-OPD-CIR-C001-32</v>
      </c>
      <c r="E891" t="str">
        <f t="shared" ca="1" si="172"/>
        <v>Family Type: Curtain Wall_1500w x 3200h, Family: Window External Type 6 - Flush, Recessed</v>
      </c>
      <c r="F891" t="str">
        <f t="shared" ca="1" si="173"/>
        <v>Vector(X = 0.977, Y = 0.212, Z = 0.000, Length = 1.000)</v>
      </c>
      <c r="G891">
        <f t="shared" ca="1" si="174"/>
        <v>1</v>
      </c>
      <c r="H891">
        <f t="shared" ca="1" si="175"/>
        <v>0.2</v>
      </c>
      <c r="I891">
        <f t="shared" ca="1" si="176"/>
        <v>0</v>
      </c>
      <c r="J891" s="8">
        <f t="shared" ca="1" si="177"/>
        <v>11.309932474020215</v>
      </c>
      <c r="K891" s="9" t="str">
        <f t="shared" ca="1" si="178"/>
        <v>E</v>
      </c>
      <c r="L891">
        <f ca="1">+_xlfn.IFNA(VLOOKUP(M891,BespokeWindowsAreas!$A$1:$E$1999,1,FALSE),VLOOKUP(E891,WindowTypeArea!$B$2:$C$2000,2,FALSE))</f>
        <v>4.8</v>
      </c>
      <c r="M891">
        <f t="shared" ca="1" si="179"/>
        <v>5049422</v>
      </c>
    </row>
    <row r="892" spans="1:13" x14ac:dyDescent="0.25">
      <c r="A892">
        <f t="shared" ca="1" si="170"/>
        <v>2</v>
      </c>
      <c r="B892">
        <f t="shared" ca="1" si="171"/>
        <v>479</v>
      </c>
      <c r="C892" t="str">
        <f t="shared" ca="1" si="180"/>
        <v>'WINDOWS-NCH-A-BDP-M3-00-00'!B478</v>
      </c>
      <c r="D892" s="6" t="str">
        <f t="shared" ca="1" si="169"/>
        <v>L00-OPD-CIR-C001-32</v>
      </c>
      <c r="E892" t="str">
        <f t="shared" ca="1" si="172"/>
        <v>Family Type: Curtain Wall_975w x 3200h, Family: Window External Type 6 - Flush, Recessed</v>
      </c>
      <c r="F892" t="str">
        <f t="shared" ca="1" si="173"/>
        <v>Vector(X = 0.977, Y = 0.212, Z = 0.000, Length = 1.000)</v>
      </c>
      <c r="G892">
        <f t="shared" ca="1" si="174"/>
        <v>1</v>
      </c>
      <c r="H892">
        <f t="shared" ca="1" si="175"/>
        <v>0.2</v>
      </c>
      <c r="I892">
        <f t="shared" ca="1" si="176"/>
        <v>0</v>
      </c>
      <c r="J892" s="8">
        <f t="shared" ca="1" si="177"/>
        <v>11.309932474020215</v>
      </c>
      <c r="K892" s="9" t="str">
        <f t="shared" ca="1" si="178"/>
        <v>E</v>
      </c>
      <c r="L892">
        <f ca="1">+_xlfn.IFNA(VLOOKUP(M892,BespokeWindowsAreas!$A$1:$E$1999,1,FALSE),VLOOKUP(E892,WindowTypeArea!$B$2:$C$2000,2,FALSE))</f>
        <v>3.12</v>
      </c>
      <c r="M892">
        <f t="shared" ca="1" si="179"/>
        <v>5049423</v>
      </c>
    </row>
    <row r="893" spans="1:13" x14ac:dyDescent="0.25">
      <c r="A893">
        <f t="shared" ca="1" si="170"/>
        <v>2</v>
      </c>
      <c r="B893">
        <f t="shared" ca="1" si="171"/>
        <v>480</v>
      </c>
      <c r="C893" t="str">
        <f t="shared" ca="1" si="180"/>
        <v>'WINDOWS-NCH-A-BDP-M3-00-00'!B479</v>
      </c>
      <c r="D893" s="6" t="str">
        <f t="shared" ca="1" si="169"/>
        <v>L00-OPD-CIR-C001-32</v>
      </c>
      <c r="E893" t="str">
        <f t="shared" ca="1" si="172"/>
        <v>Family Type: Curtain Wall_1500w x 3200h, Family: Window External Type 6 - Flush, Recessed</v>
      </c>
      <c r="F893" t="str">
        <f t="shared" ca="1" si="173"/>
        <v>Vector(X = 0.977, Y = 0.212, Z = 0.000, Length = 1.000)</v>
      </c>
      <c r="G893">
        <f t="shared" ca="1" si="174"/>
        <v>1</v>
      </c>
      <c r="H893">
        <f t="shared" ca="1" si="175"/>
        <v>0.2</v>
      </c>
      <c r="I893">
        <f t="shared" ca="1" si="176"/>
        <v>0</v>
      </c>
      <c r="J893" s="8">
        <f t="shared" ca="1" si="177"/>
        <v>11.309932474020215</v>
      </c>
      <c r="K893" s="9" t="str">
        <f t="shared" ca="1" si="178"/>
        <v>E</v>
      </c>
      <c r="L893">
        <f ca="1">+_xlfn.IFNA(VLOOKUP(M893,BespokeWindowsAreas!$A$1:$E$1999,1,FALSE),VLOOKUP(E893,WindowTypeArea!$B$2:$C$2000,2,FALSE))</f>
        <v>4.8</v>
      </c>
      <c r="M893">
        <f t="shared" ca="1" si="179"/>
        <v>5049424</v>
      </c>
    </row>
    <row r="894" spans="1:13" x14ac:dyDescent="0.25">
      <c r="A894">
        <f t="shared" ca="1" si="170"/>
        <v>2</v>
      </c>
      <c r="B894">
        <f t="shared" ca="1" si="171"/>
        <v>481</v>
      </c>
      <c r="C894" t="str">
        <f t="shared" ca="1" si="180"/>
        <v>'WINDOWS-NCH-A-BDP-M3-00-00'!B480</v>
      </c>
      <c r="D894" s="6" t="str">
        <f t="shared" ca="1" si="169"/>
        <v>L00-OPD-CIR-C001-32</v>
      </c>
      <c r="E894" t="str">
        <f t="shared" ca="1" si="172"/>
        <v>Family Type: Curtain Wall_585w x 3200h, Family: Window External Type 6 - Flush, Recessed</v>
      </c>
      <c r="F894" t="str">
        <f t="shared" ca="1" si="173"/>
        <v>Vector(X = 0.977, Y = 0.212, Z = 0.000, Length = 1.000)</v>
      </c>
      <c r="G894">
        <f t="shared" ca="1" si="174"/>
        <v>1</v>
      </c>
      <c r="H894">
        <f t="shared" ca="1" si="175"/>
        <v>0.2</v>
      </c>
      <c r="I894">
        <f t="shared" ca="1" si="176"/>
        <v>0</v>
      </c>
      <c r="J894" s="8">
        <f t="shared" ca="1" si="177"/>
        <v>11.309932474020215</v>
      </c>
      <c r="K894" s="9" t="str">
        <f t="shared" ca="1" si="178"/>
        <v>E</v>
      </c>
      <c r="L894">
        <f ca="1">+_xlfn.IFNA(VLOOKUP(M894,BespokeWindowsAreas!$A$1:$E$1999,1,FALSE),VLOOKUP(E894,WindowTypeArea!$B$2:$C$2000,2,FALSE))</f>
        <v>1.8720000000000001</v>
      </c>
      <c r="M894">
        <f t="shared" ca="1" si="179"/>
        <v>5049425</v>
      </c>
    </row>
    <row r="895" spans="1:13" x14ac:dyDescent="0.25">
      <c r="A895">
        <f t="shared" ca="1" si="170"/>
        <v>2</v>
      </c>
      <c r="B895">
        <f t="shared" ca="1" si="171"/>
        <v>482</v>
      </c>
      <c r="C895" t="str">
        <f t="shared" ca="1" si="180"/>
        <v>'WINDOWS-NCH-A-BDP-M3-00-00'!B481</v>
      </c>
      <c r="D895" s="6" t="str">
        <f t="shared" ca="1" si="169"/>
        <v>L00-OPD-CIR-C001-32</v>
      </c>
      <c r="E895" t="str">
        <f t="shared" ca="1" si="172"/>
        <v>Family Type: Curtain Wall_1500w x 3200h, Family: Window External Type 6 - Flush, Recessed</v>
      </c>
      <c r="F895" t="str">
        <f t="shared" ca="1" si="173"/>
        <v>Vector(X = 0.977, Y = 0.212, Z = 0.000, Length = 1.000)</v>
      </c>
      <c r="G895">
        <f t="shared" ca="1" si="174"/>
        <v>1</v>
      </c>
      <c r="H895">
        <f t="shared" ca="1" si="175"/>
        <v>0.2</v>
      </c>
      <c r="I895">
        <f t="shared" ca="1" si="176"/>
        <v>0</v>
      </c>
      <c r="J895" s="8">
        <f t="shared" ca="1" si="177"/>
        <v>11.309932474020215</v>
      </c>
      <c r="K895" s="9" t="str">
        <f t="shared" ca="1" si="178"/>
        <v>E</v>
      </c>
      <c r="L895">
        <f ca="1">+_xlfn.IFNA(VLOOKUP(M895,BespokeWindowsAreas!$A$1:$E$1999,1,FALSE),VLOOKUP(E895,WindowTypeArea!$B$2:$C$2000,2,FALSE))</f>
        <v>4.8</v>
      </c>
      <c r="M895">
        <f t="shared" ca="1" si="179"/>
        <v>5050046</v>
      </c>
    </row>
    <row r="896" spans="1:13" x14ac:dyDescent="0.25">
      <c r="A896">
        <f t="shared" ca="1" si="170"/>
        <v>2</v>
      </c>
      <c r="B896">
        <f t="shared" ca="1" si="171"/>
        <v>483</v>
      </c>
      <c r="C896" t="str">
        <f t="shared" ca="1" si="180"/>
        <v>'WINDOWS-NCH-A-BDP-M3-00-00'!B482</v>
      </c>
      <c r="D896" s="6" t="str">
        <f t="shared" ca="1" si="169"/>
        <v>L00-OPD-CIR-C001-32</v>
      </c>
      <c r="E896" t="str">
        <f t="shared" ca="1" si="172"/>
        <v>Family Type: Curtain Wall_1950w x 3200h, Family: Window External Type 6 - Flush, Recessed</v>
      </c>
      <c r="F896" t="str">
        <f t="shared" ca="1" si="173"/>
        <v>Vector(X = 0.977, Y = 0.212, Z = 0.000, Length = 1.000)</v>
      </c>
      <c r="G896">
        <f t="shared" ca="1" si="174"/>
        <v>1</v>
      </c>
      <c r="H896">
        <f t="shared" ca="1" si="175"/>
        <v>0.2</v>
      </c>
      <c r="I896">
        <f t="shared" ca="1" si="176"/>
        <v>0</v>
      </c>
      <c r="J896" s="8">
        <f t="shared" ca="1" si="177"/>
        <v>11.309932474020215</v>
      </c>
      <c r="K896" s="9" t="str">
        <f t="shared" ca="1" si="178"/>
        <v>E</v>
      </c>
      <c r="L896">
        <f ca="1">+_xlfn.IFNA(VLOOKUP(M896,BespokeWindowsAreas!$A$1:$E$1999,1,FALSE),VLOOKUP(E896,WindowTypeArea!$B$2:$C$2000,2,FALSE))</f>
        <v>6.24</v>
      </c>
      <c r="M896">
        <f t="shared" ca="1" si="179"/>
        <v>5050047</v>
      </c>
    </row>
    <row r="897" spans="1:13" x14ac:dyDescent="0.25">
      <c r="A897">
        <f t="shared" ca="1" si="170"/>
        <v>2</v>
      </c>
      <c r="B897">
        <f t="shared" ca="1" si="171"/>
        <v>484</v>
      </c>
      <c r="C897" t="str">
        <f t="shared" ca="1" si="180"/>
        <v>'WINDOWS-NCH-A-BDP-M3-00-00'!B483</v>
      </c>
      <c r="D897" s="6" t="str">
        <f t="shared" ca="1" si="169"/>
        <v>L00-OPD-CIR-C001-32</v>
      </c>
      <c r="E897" t="str">
        <f t="shared" ca="1" si="172"/>
        <v>Family Type: Curtain Wall_975w x 3200h, Family: Window External Type 6 - Flush, Recessed</v>
      </c>
      <c r="F897" t="str">
        <f t="shared" ca="1" si="173"/>
        <v>Vector(X = 0.977, Y = 0.212, Z = 0.000, Length = 1.000)</v>
      </c>
      <c r="G897">
        <f t="shared" ca="1" si="174"/>
        <v>1</v>
      </c>
      <c r="H897">
        <f t="shared" ca="1" si="175"/>
        <v>0.2</v>
      </c>
      <c r="I897">
        <f t="shared" ca="1" si="176"/>
        <v>0</v>
      </c>
      <c r="J897" s="8">
        <f t="shared" ca="1" si="177"/>
        <v>11.309932474020215</v>
      </c>
      <c r="K897" s="9" t="str">
        <f t="shared" ca="1" si="178"/>
        <v>E</v>
      </c>
      <c r="L897">
        <f ca="1">+_xlfn.IFNA(VLOOKUP(M897,BespokeWindowsAreas!$A$1:$E$1999,1,FALSE),VLOOKUP(E897,WindowTypeArea!$B$2:$C$2000,2,FALSE))</f>
        <v>3.12</v>
      </c>
      <c r="M897">
        <f t="shared" ca="1" si="179"/>
        <v>5050048</v>
      </c>
    </row>
    <row r="898" spans="1:13" x14ac:dyDescent="0.25">
      <c r="A898">
        <f t="shared" ca="1" si="170"/>
        <v>2</v>
      </c>
      <c r="B898">
        <f t="shared" ca="1" si="171"/>
        <v>485</v>
      </c>
      <c r="C898" t="str">
        <f t="shared" ca="1" si="180"/>
        <v>'WINDOWS-NCH-A-BDP-M3-00-00'!B484</v>
      </c>
      <c r="D898" s="6" t="str">
        <f t="shared" ca="1" si="169"/>
        <v>L00-OPD-CIR-C001-32</v>
      </c>
      <c r="E898" t="str">
        <f t="shared" ca="1" si="172"/>
        <v>Family Type: Curtain Wall_1950w x 3200h, Family: Window External Type 6 - Flush, Recessed</v>
      </c>
      <c r="F898" t="str">
        <f t="shared" ca="1" si="173"/>
        <v>Vector(X = 0.977, Y = 0.212, Z = 0.000, Length = 1.000)</v>
      </c>
      <c r="G898">
        <f t="shared" ca="1" si="174"/>
        <v>1</v>
      </c>
      <c r="H898">
        <f t="shared" ca="1" si="175"/>
        <v>0.2</v>
      </c>
      <c r="I898">
        <f t="shared" ca="1" si="176"/>
        <v>0</v>
      </c>
      <c r="J898" s="8">
        <f t="shared" ca="1" si="177"/>
        <v>11.309932474020215</v>
      </c>
      <c r="K898" s="9" t="str">
        <f t="shared" ca="1" si="178"/>
        <v>E</v>
      </c>
      <c r="L898">
        <f ca="1">+_xlfn.IFNA(VLOOKUP(M898,BespokeWindowsAreas!$A$1:$E$1999,1,FALSE),VLOOKUP(E898,WindowTypeArea!$B$2:$C$2000,2,FALSE))</f>
        <v>6.24</v>
      </c>
      <c r="M898">
        <f t="shared" ca="1" si="179"/>
        <v>5050049</v>
      </c>
    </row>
    <row r="899" spans="1:13" x14ac:dyDescent="0.25">
      <c r="A899">
        <f t="shared" ca="1" si="170"/>
        <v>2</v>
      </c>
      <c r="B899">
        <f t="shared" ca="1" si="171"/>
        <v>486</v>
      </c>
      <c r="C899" t="str">
        <f t="shared" ca="1" si="180"/>
        <v>'WINDOWS-NCH-A-BDP-M3-00-00'!B485</v>
      </c>
      <c r="D899" s="6" t="str">
        <f t="shared" ca="1" si="169"/>
        <v>L00-OPD-CIR-C001-32</v>
      </c>
      <c r="E899" t="str">
        <f t="shared" ca="1" si="172"/>
        <v>Family Type: Curtain Wall_585w x 3200h, Family: Window External Type 6 - Flush, Recessed</v>
      </c>
      <c r="F899" t="str">
        <f t="shared" ca="1" si="173"/>
        <v>Vector(X = 0.977, Y = 0.212, Z = 0.000, Length = 1.000)</v>
      </c>
      <c r="G899">
        <f t="shared" ca="1" si="174"/>
        <v>1</v>
      </c>
      <c r="H899">
        <f t="shared" ca="1" si="175"/>
        <v>0.2</v>
      </c>
      <c r="I899">
        <f t="shared" ca="1" si="176"/>
        <v>0</v>
      </c>
      <c r="J899" s="8">
        <f t="shared" ca="1" si="177"/>
        <v>11.309932474020215</v>
      </c>
      <c r="K899" s="9" t="str">
        <f t="shared" ca="1" si="178"/>
        <v>E</v>
      </c>
      <c r="L899">
        <f ca="1">+_xlfn.IFNA(VLOOKUP(M899,BespokeWindowsAreas!$A$1:$E$1999,1,FALSE),VLOOKUP(E899,WindowTypeArea!$B$2:$C$2000,2,FALSE))</f>
        <v>1.8720000000000001</v>
      </c>
      <c r="M899">
        <f t="shared" ca="1" si="179"/>
        <v>5050050</v>
      </c>
    </row>
    <row r="900" spans="1:13" x14ac:dyDescent="0.25">
      <c r="A900">
        <f t="shared" ca="1" si="170"/>
        <v>2</v>
      </c>
      <c r="B900">
        <f t="shared" ca="1" si="171"/>
        <v>487</v>
      </c>
      <c r="C900" t="str">
        <f t="shared" ca="1" si="180"/>
        <v>'WINDOWS-NCH-A-BDP-M3-00-00'!B486</v>
      </c>
      <c r="D900" s="6" t="str">
        <f t="shared" ca="1" si="169"/>
        <v>L00-OPD-CIR-C001-32</v>
      </c>
      <c r="E900" t="str">
        <f t="shared" ca="1" si="172"/>
        <v>Family Type: Curtain Wall_975w x 3200h, Family: Window External Type 6 - Flush, Recessed</v>
      </c>
      <c r="F900" t="str">
        <f t="shared" ca="1" si="173"/>
        <v>Vector(X = 0.977, Y = 0.212, Z = 0.000, Length = 1.000)</v>
      </c>
      <c r="G900">
        <f t="shared" ca="1" si="174"/>
        <v>1</v>
      </c>
      <c r="H900">
        <f t="shared" ca="1" si="175"/>
        <v>0.2</v>
      </c>
      <c r="I900">
        <f t="shared" ca="1" si="176"/>
        <v>0</v>
      </c>
      <c r="J900" s="8">
        <f t="shared" ca="1" si="177"/>
        <v>11.309932474020215</v>
      </c>
      <c r="K900" s="9" t="str">
        <f t="shared" ca="1" si="178"/>
        <v>E</v>
      </c>
      <c r="L900">
        <f ca="1">+_xlfn.IFNA(VLOOKUP(M900,BespokeWindowsAreas!$A$1:$E$1999,1,FALSE),VLOOKUP(E900,WindowTypeArea!$B$2:$C$2000,2,FALSE))</f>
        <v>3.12</v>
      </c>
      <c r="M900">
        <f t="shared" ca="1" si="179"/>
        <v>5050051</v>
      </c>
    </row>
    <row r="901" spans="1:13" x14ac:dyDescent="0.25">
      <c r="A901">
        <f t="shared" ca="1" si="170"/>
        <v>2</v>
      </c>
      <c r="B901">
        <f t="shared" ca="1" si="171"/>
        <v>488</v>
      </c>
      <c r="C901" t="str">
        <f t="shared" ca="1" si="180"/>
        <v>'WINDOWS-NCH-A-BDP-M3-00-00'!B487</v>
      </c>
      <c r="D901" s="6" t="str">
        <f t="shared" ca="1" si="169"/>
        <v>L00-OPD-C3W-S115-105</v>
      </c>
      <c r="E901" t="str">
        <f t="shared" ca="1" si="172"/>
        <v>L00-OPD-C3W-S115-105</v>
      </c>
      <c r="F901">
        <f t="shared" ca="1" si="173"/>
        <v>2160717</v>
      </c>
      <c r="G901">
        <f t="shared" ca="1" si="174"/>
        <v>0</v>
      </c>
      <c r="H901">
        <f t="shared" ca="1" si="175"/>
        <v>0</v>
      </c>
      <c r="I901">
        <f t="shared" ca="1" si="176"/>
        <v>0</v>
      </c>
      <c r="J901" s="8" t="e">
        <f t="shared" ca="1" si="177"/>
        <v>#DIV/0!</v>
      </c>
      <c r="K901" s="9" t="e">
        <f t="shared" ca="1" si="178"/>
        <v>#DIV/0!</v>
      </c>
      <c r="L901" t="e">
        <f ca="1">+_xlfn.IFNA(VLOOKUP(M901,BespokeWindowsAreas!$A$1:$E$1999,1,FALSE),VLOOKUP(E901,WindowTypeArea!$B$2:$C$2000,2,FALSE))</f>
        <v>#N/A</v>
      </c>
      <c r="M901">
        <f t="shared" ca="1" si="179"/>
        <v>0</v>
      </c>
    </row>
    <row r="902" spans="1:13" x14ac:dyDescent="0.25">
      <c r="A902">
        <f t="shared" ca="1" si="170"/>
        <v>2</v>
      </c>
      <c r="B902">
        <f t="shared" ca="1" si="171"/>
        <v>489</v>
      </c>
      <c r="C902" t="str">
        <f t="shared" ca="1" si="180"/>
        <v>'WINDOWS-NCH-A-BDP-M3-00-00'!B488</v>
      </c>
      <c r="D902" s="6" t="str">
        <f t="shared" ref="D902:D965" ca="1" si="181">+IF(IFERROR(FIND("Family",E902)&gt;0,FALSE),D901,E902)</f>
        <v>L00-OPD-C3W-S115-105</v>
      </c>
      <c r="E902" t="str">
        <f t="shared" ca="1" si="172"/>
        <v>Family Type: 1500w x 3050h, Family: Window External Type 1 - Recessed</v>
      </c>
      <c r="F902" t="str">
        <f t="shared" ca="1" si="173"/>
        <v>Vector(X = 0.530, Y = -0.848, Z = 0.000, Length = 1.000)</v>
      </c>
      <c r="G902">
        <f t="shared" ca="1" si="174"/>
        <v>0.5</v>
      </c>
      <c r="H902">
        <f t="shared" ca="1" si="175"/>
        <v>-0.8</v>
      </c>
      <c r="I902">
        <f t="shared" ca="1" si="176"/>
        <v>0</v>
      </c>
      <c r="J902" s="8">
        <f t="shared" ca="1" si="177"/>
        <v>-57.994616791916499</v>
      </c>
      <c r="K902" s="9" t="str">
        <f t="shared" ca="1" si="178"/>
        <v>S</v>
      </c>
      <c r="L902">
        <f ca="1">+_xlfn.IFNA(VLOOKUP(M902,BespokeWindowsAreas!$A$1:$E$1999,1,FALSE),VLOOKUP(E902,WindowTypeArea!$B$2:$C$2000,2,FALSE))</f>
        <v>4.5750000000000002</v>
      </c>
      <c r="M902">
        <f t="shared" ca="1" si="179"/>
        <v>4712923</v>
      </c>
    </row>
    <row r="903" spans="1:13" x14ac:dyDescent="0.25">
      <c r="A903">
        <f t="shared" ca="1" si="170"/>
        <v>2</v>
      </c>
      <c r="B903">
        <f t="shared" ca="1" si="171"/>
        <v>490</v>
      </c>
      <c r="C903" t="str">
        <f t="shared" ca="1" si="180"/>
        <v>'WINDOWS-NCH-A-BDP-M3-00-00'!B489</v>
      </c>
      <c r="D903" s="6" t="str">
        <f t="shared" ca="1" si="181"/>
        <v>L00-OPD-C3W-S115-105</v>
      </c>
      <c r="E903" t="str">
        <f t="shared" ca="1" si="172"/>
        <v>Family Type: 1500w x 3050h, Family: Window External Type 3 - Recessed and Angle</v>
      </c>
      <c r="F903" t="str">
        <f t="shared" ca="1" si="173"/>
        <v>Vector(X = 0.530, Y = -0.848, Z = 0.000, Length = 1.000)</v>
      </c>
      <c r="G903">
        <f t="shared" ca="1" si="174"/>
        <v>0.5</v>
      </c>
      <c r="H903">
        <f t="shared" ca="1" si="175"/>
        <v>-0.8</v>
      </c>
      <c r="I903">
        <f t="shared" ca="1" si="176"/>
        <v>0</v>
      </c>
      <c r="J903" s="8">
        <f t="shared" ca="1" si="177"/>
        <v>-57.994616791916499</v>
      </c>
      <c r="K903" s="9" t="str">
        <f t="shared" ca="1" si="178"/>
        <v>S</v>
      </c>
      <c r="L903">
        <f ca="1">+_xlfn.IFNA(VLOOKUP(M903,BespokeWindowsAreas!$A$1:$E$1999,1,FALSE),VLOOKUP(E903,WindowTypeArea!$B$2:$C$2000,2,FALSE))</f>
        <v>4.5750000000000002</v>
      </c>
      <c r="M903">
        <f t="shared" ca="1" si="179"/>
        <v>4714866</v>
      </c>
    </row>
    <row r="904" spans="1:13" x14ac:dyDescent="0.25">
      <c r="A904">
        <f t="shared" ca="1" si="170"/>
        <v>2</v>
      </c>
      <c r="B904">
        <f t="shared" ca="1" si="171"/>
        <v>491</v>
      </c>
      <c r="C904" t="str">
        <f t="shared" ca="1" si="180"/>
        <v>'WINDOWS-NCH-A-BDP-M3-00-00'!B490</v>
      </c>
      <c r="D904" s="6" t="str">
        <f t="shared" ca="1" si="181"/>
        <v>L00-OPD-C3W-S115-105</v>
      </c>
      <c r="E904" t="str">
        <f t="shared" ca="1" si="172"/>
        <v>Family Type: 1950w x 3050h, Family: Window External Type 3 - Recessed and Angle</v>
      </c>
      <c r="F904" t="str">
        <f t="shared" ca="1" si="173"/>
        <v>Vector(X = 0.530, Y = -0.848, Z = 0.000, Length = 1.000)</v>
      </c>
      <c r="G904">
        <f t="shared" ca="1" si="174"/>
        <v>0.5</v>
      </c>
      <c r="H904">
        <f t="shared" ca="1" si="175"/>
        <v>-0.8</v>
      </c>
      <c r="I904">
        <f t="shared" ca="1" si="176"/>
        <v>0</v>
      </c>
      <c r="J904" s="8">
        <f t="shared" ca="1" si="177"/>
        <v>-57.994616791916499</v>
      </c>
      <c r="K904" s="9" t="str">
        <f t="shared" ca="1" si="178"/>
        <v>S</v>
      </c>
      <c r="L904">
        <f ca="1">+_xlfn.IFNA(VLOOKUP(M904,BespokeWindowsAreas!$A$1:$E$1999,1,FALSE),VLOOKUP(E904,WindowTypeArea!$B$2:$C$2000,2,FALSE))</f>
        <v>5.9474999999999998</v>
      </c>
      <c r="M904">
        <f t="shared" ca="1" si="179"/>
        <v>4777339</v>
      </c>
    </row>
    <row r="905" spans="1:13" x14ac:dyDescent="0.25">
      <c r="A905">
        <f t="shared" ca="1" si="170"/>
        <v>2</v>
      </c>
      <c r="B905">
        <f t="shared" ca="1" si="171"/>
        <v>492</v>
      </c>
      <c r="C905" t="str">
        <f t="shared" ca="1" si="180"/>
        <v>'WINDOWS-NCH-A-BDP-M3-00-00'!B491</v>
      </c>
      <c r="D905" s="6" t="str">
        <f t="shared" ca="1" si="181"/>
        <v>L00-OPD-C3W-S115-105</v>
      </c>
      <c r="E905" t="str">
        <f t="shared" ca="1" si="172"/>
        <v>Family Type: 1500w x 3050h, Family: Window External Type 3 - Recessed and Angle</v>
      </c>
      <c r="F905" t="str">
        <f t="shared" ca="1" si="173"/>
        <v>Vector(X = -0.848, Y = -0.530, Z = 0.000, Length = 1.000)</v>
      </c>
      <c r="G905">
        <f t="shared" ca="1" si="174"/>
        <v>-0.8</v>
      </c>
      <c r="H905">
        <f t="shared" ca="1" si="175"/>
        <v>-0.5</v>
      </c>
      <c r="I905">
        <f t="shared" ca="1" si="176"/>
        <v>0</v>
      </c>
      <c r="J905" s="8">
        <f t="shared" ca="1" si="177"/>
        <v>-147.99461679191651</v>
      </c>
      <c r="K905" s="9" t="str">
        <f t="shared" ca="1" si="178"/>
        <v>W</v>
      </c>
      <c r="L905">
        <f ca="1">+_xlfn.IFNA(VLOOKUP(M905,BespokeWindowsAreas!$A$1:$E$1999,1,FALSE),VLOOKUP(E905,WindowTypeArea!$B$2:$C$2000,2,FALSE))</f>
        <v>4.5750000000000002</v>
      </c>
      <c r="M905">
        <f t="shared" ca="1" si="179"/>
        <v>4859036</v>
      </c>
    </row>
    <row r="906" spans="1:13" x14ac:dyDescent="0.25">
      <c r="A906">
        <f t="shared" ca="1" si="170"/>
        <v>2</v>
      </c>
      <c r="B906">
        <f t="shared" ca="1" si="171"/>
        <v>493</v>
      </c>
      <c r="C906" t="str">
        <f t="shared" ca="1" si="180"/>
        <v>'WINDOWS-NCH-A-BDP-M3-00-00'!B492</v>
      </c>
      <c r="D906" s="6" t="str">
        <f t="shared" ca="1" si="181"/>
        <v>L00-OPD-C3W-S115-105</v>
      </c>
      <c r="E906" t="str">
        <f t="shared" ca="1" si="172"/>
        <v>Family Type: 1500w x 3050h, Family: Window External Type 3 - Recessed and Angle</v>
      </c>
      <c r="F906" t="str">
        <f t="shared" ca="1" si="173"/>
        <v>Vector(X = -0.848, Y = -0.530, Z = 0.000, Length = 1.000)</v>
      </c>
      <c r="G906">
        <f t="shared" ca="1" si="174"/>
        <v>-0.8</v>
      </c>
      <c r="H906">
        <f t="shared" ca="1" si="175"/>
        <v>-0.5</v>
      </c>
      <c r="I906">
        <f t="shared" ca="1" si="176"/>
        <v>0</v>
      </c>
      <c r="J906" s="8">
        <f t="shared" ca="1" si="177"/>
        <v>-147.99461679191651</v>
      </c>
      <c r="K906" s="9" t="str">
        <f t="shared" ca="1" si="178"/>
        <v>W</v>
      </c>
      <c r="L906">
        <f ca="1">+_xlfn.IFNA(VLOOKUP(M906,BespokeWindowsAreas!$A$1:$E$1999,1,FALSE),VLOOKUP(E906,WindowTypeArea!$B$2:$C$2000,2,FALSE))</f>
        <v>4.5750000000000002</v>
      </c>
      <c r="M906">
        <f t="shared" ca="1" si="179"/>
        <v>4859037</v>
      </c>
    </row>
    <row r="907" spans="1:13" x14ac:dyDescent="0.25">
      <c r="A907">
        <f t="shared" ca="1" si="170"/>
        <v>2</v>
      </c>
      <c r="B907">
        <f t="shared" ca="1" si="171"/>
        <v>494</v>
      </c>
      <c r="C907" t="str">
        <f t="shared" ca="1" si="180"/>
        <v>'WINDOWS-NCH-A-BDP-M3-00-00'!B493</v>
      </c>
      <c r="D907" s="6" t="str">
        <f t="shared" ca="1" si="181"/>
        <v>L00-OPD-C3W-S115-105</v>
      </c>
      <c r="E907" t="str">
        <f t="shared" ca="1" si="172"/>
        <v>Family Type: 1500w x 3050h, Family: Window External Type 3 - Recessed and Angle</v>
      </c>
      <c r="F907" t="str">
        <f t="shared" ca="1" si="173"/>
        <v>Vector(X = -0.848, Y = -0.530, Z = 0.000, Length = 1.000)</v>
      </c>
      <c r="G907">
        <f t="shared" ca="1" si="174"/>
        <v>-0.8</v>
      </c>
      <c r="H907">
        <f t="shared" ca="1" si="175"/>
        <v>-0.5</v>
      </c>
      <c r="I907">
        <f t="shared" ca="1" si="176"/>
        <v>0</v>
      </c>
      <c r="J907" s="8">
        <f t="shared" ca="1" si="177"/>
        <v>-147.99461679191651</v>
      </c>
      <c r="K907" s="9" t="str">
        <f t="shared" ca="1" si="178"/>
        <v>W</v>
      </c>
      <c r="L907">
        <f ca="1">+_xlfn.IFNA(VLOOKUP(M907,BespokeWindowsAreas!$A$1:$E$1999,1,FALSE),VLOOKUP(E907,WindowTypeArea!$B$2:$C$2000,2,FALSE))</f>
        <v>4.5750000000000002</v>
      </c>
      <c r="M907">
        <f t="shared" ca="1" si="179"/>
        <v>4859038</v>
      </c>
    </row>
    <row r="908" spans="1:13" x14ac:dyDescent="0.25">
      <c r="A908">
        <f t="shared" ca="1" si="170"/>
        <v>2</v>
      </c>
      <c r="B908">
        <f t="shared" ca="1" si="171"/>
        <v>495</v>
      </c>
      <c r="C908" t="str">
        <f t="shared" ca="1" si="180"/>
        <v>'WINDOWS-NCH-A-BDP-M3-00-00'!B494</v>
      </c>
      <c r="D908" s="6" t="str">
        <f t="shared" ca="1" si="181"/>
        <v>L00-OPD-C3W-S115-105</v>
      </c>
      <c r="E908" t="str">
        <f t="shared" ca="1" si="172"/>
        <v>Family Type: 1500w x 3050h, Family: Window External Type 3 - Recessed and Angle</v>
      </c>
      <c r="F908" t="str">
        <f t="shared" ca="1" si="173"/>
        <v>Vector(X = -0.848, Y = -0.530, Z = 0.000, Length = 1.000)</v>
      </c>
      <c r="G908">
        <f t="shared" ca="1" si="174"/>
        <v>-0.8</v>
      </c>
      <c r="H908">
        <f t="shared" ca="1" si="175"/>
        <v>-0.5</v>
      </c>
      <c r="I908">
        <f t="shared" ca="1" si="176"/>
        <v>0</v>
      </c>
      <c r="J908" s="8">
        <f t="shared" ca="1" si="177"/>
        <v>-147.99461679191651</v>
      </c>
      <c r="K908" s="9" t="str">
        <f t="shared" ca="1" si="178"/>
        <v>W</v>
      </c>
      <c r="L908">
        <f ca="1">+_xlfn.IFNA(VLOOKUP(M908,BespokeWindowsAreas!$A$1:$E$1999,1,FALSE),VLOOKUP(E908,WindowTypeArea!$B$2:$C$2000,2,FALSE))</f>
        <v>4.5750000000000002</v>
      </c>
      <c r="M908">
        <f t="shared" ca="1" si="179"/>
        <v>4859039</v>
      </c>
    </row>
    <row r="909" spans="1:13" x14ac:dyDescent="0.25">
      <c r="A909">
        <f t="shared" ca="1" si="170"/>
        <v>2</v>
      </c>
      <c r="B909">
        <f t="shared" ca="1" si="171"/>
        <v>496</v>
      </c>
      <c r="C909" t="str">
        <f t="shared" ca="1" si="180"/>
        <v>'WINDOWS-NCH-A-BDP-M3-00-00'!B495</v>
      </c>
      <c r="D909" s="6" t="str">
        <f t="shared" ca="1" si="181"/>
        <v>L00-OPD-C3W-S115-105</v>
      </c>
      <c r="E909" t="str">
        <f t="shared" ca="1" si="172"/>
        <v>Family Type: 487.5w x 3050H, Family: Window External Type 1 - Recessed</v>
      </c>
      <c r="F909" t="str">
        <f t="shared" ca="1" si="173"/>
        <v>Vector(X = 0.530, Y = -0.848, Z = 0.000, Length = 1.000)</v>
      </c>
      <c r="G909">
        <f t="shared" ca="1" si="174"/>
        <v>0.5</v>
      </c>
      <c r="H909">
        <f t="shared" ca="1" si="175"/>
        <v>-0.8</v>
      </c>
      <c r="I909">
        <f t="shared" ca="1" si="176"/>
        <v>0</v>
      </c>
      <c r="J909" s="8">
        <f t="shared" ca="1" si="177"/>
        <v>-57.994616791916499</v>
      </c>
      <c r="K909" s="9" t="str">
        <f t="shared" ca="1" si="178"/>
        <v>S</v>
      </c>
      <c r="L909">
        <f ca="1">+_xlfn.IFNA(VLOOKUP(M909,BespokeWindowsAreas!$A$1:$E$1999,1,FALSE),VLOOKUP(E909,WindowTypeArea!$B$2:$C$2000,2,FALSE))</f>
        <v>1.4868749999999999</v>
      </c>
      <c r="M909">
        <f t="shared" ca="1" si="179"/>
        <v>4982335</v>
      </c>
    </row>
    <row r="910" spans="1:13" x14ac:dyDescent="0.25">
      <c r="A910">
        <f t="shared" ca="1" si="170"/>
        <v>2</v>
      </c>
      <c r="B910">
        <f t="shared" ca="1" si="171"/>
        <v>497</v>
      </c>
      <c r="C910" t="str">
        <f t="shared" ca="1" si="180"/>
        <v>'WINDOWS-NCH-A-BDP-M3-00-00'!B496</v>
      </c>
      <c r="D910" s="6" t="str">
        <f t="shared" ca="1" si="181"/>
        <v>L00-OPD-C3W-S115-105</v>
      </c>
      <c r="E910" t="str">
        <f t="shared" ca="1" si="172"/>
        <v>Family Type: 1000w x 3050h, Family: Window External Type 4 - Extruded</v>
      </c>
      <c r="F910" t="str">
        <f t="shared" ca="1" si="173"/>
        <v>Vector(X = -0.530, Y = 0.848, Z = 0.000, Length = 1.000)</v>
      </c>
      <c r="G910">
        <f t="shared" ca="1" si="174"/>
        <v>-0.5</v>
      </c>
      <c r="H910">
        <f t="shared" ca="1" si="175"/>
        <v>0.8</v>
      </c>
      <c r="I910">
        <f t="shared" ca="1" si="176"/>
        <v>0</v>
      </c>
      <c r="J910" s="8">
        <f t="shared" ca="1" si="177"/>
        <v>122.0053832080835</v>
      </c>
      <c r="K910" s="9" t="str">
        <f t="shared" ca="1" si="178"/>
        <v>N</v>
      </c>
      <c r="L910">
        <f ca="1">+_xlfn.IFNA(VLOOKUP(M910,BespokeWindowsAreas!$A$1:$E$1999,1,FALSE),VLOOKUP(E910,WindowTypeArea!$B$2:$C$2000,2,FALSE))</f>
        <v>3.05</v>
      </c>
      <c r="M910">
        <f t="shared" ca="1" si="179"/>
        <v>6091415</v>
      </c>
    </row>
    <row r="911" spans="1:13" x14ac:dyDescent="0.25">
      <c r="A911">
        <f t="shared" ca="1" si="170"/>
        <v>2</v>
      </c>
      <c r="B911">
        <f t="shared" ca="1" si="171"/>
        <v>498</v>
      </c>
      <c r="C911" t="str">
        <f t="shared" ca="1" si="180"/>
        <v>'WINDOWS-NCH-A-BDP-M3-00-00'!B497</v>
      </c>
      <c r="D911" s="6" t="str">
        <f t="shared" ca="1" si="181"/>
        <v>L00-OPD-C3W-S115-105</v>
      </c>
      <c r="E911" t="str">
        <f t="shared" ca="1" si="172"/>
        <v>Family Type: 1000w x 3050h, Family: Window External Type 2 - Recessed and Fin</v>
      </c>
      <c r="F911" t="str">
        <f t="shared" ca="1" si="173"/>
        <v>Vector(X = -0.530, Y = 0.848, Z = 0.000, Length = 1.000)</v>
      </c>
      <c r="G911">
        <f t="shared" ca="1" si="174"/>
        <v>-0.5</v>
      </c>
      <c r="H911">
        <f t="shared" ca="1" si="175"/>
        <v>0.8</v>
      </c>
      <c r="I911">
        <f t="shared" ca="1" si="176"/>
        <v>0</v>
      </c>
      <c r="J911" s="8">
        <f t="shared" ca="1" si="177"/>
        <v>122.0053832080835</v>
      </c>
      <c r="K911" s="9" t="str">
        <f t="shared" ca="1" si="178"/>
        <v>N</v>
      </c>
      <c r="L911">
        <f ca="1">+_xlfn.IFNA(VLOOKUP(M911,BespokeWindowsAreas!$A$1:$E$1999,1,FALSE),VLOOKUP(E911,WindowTypeArea!$B$2:$C$2000,2,FALSE))</f>
        <v>3.05</v>
      </c>
      <c r="M911">
        <f t="shared" ca="1" si="179"/>
        <v>6091419</v>
      </c>
    </row>
    <row r="912" spans="1:13" x14ac:dyDescent="0.25">
      <c r="A912">
        <f t="shared" ca="1" si="170"/>
        <v>2</v>
      </c>
      <c r="B912">
        <f t="shared" ca="1" si="171"/>
        <v>499</v>
      </c>
      <c r="C912" t="str">
        <f t="shared" ca="1" si="180"/>
        <v>'WINDOWS-NCH-A-BDP-M3-00-00'!B498</v>
      </c>
      <c r="D912" s="6" t="str">
        <f t="shared" ca="1" si="181"/>
        <v>L00-OPD-C3W-S115-105</v>
      </c>
      <c r="E912" t="str">
        <f t="shared" ca="1" si="172"/>
        <v>Family Type: 1000w x 3050h, Family: Window External Type 4 - Extruded</v>
      </c>
      <c r="F912" t="str">
        <f t="shared" ca="1" si="173"/>
        <v>Vector(X = -0.530, Y = 0.848, Z = 0.000, Length = 1.000)</v>
      </c>
      <c r="G912">
        <f t="shared" ca="1" si="174"/>
        <v>-0.5</v>
      </c>
      <c r="H912">
        <f t="shared" ca="1" si="175"/>
        <v>0.8</v>
      </c>
      <c r="I912">
        <f t="shared" ca="1" si="176"/>
        <v>0</v>
      </c>
      <c r="J912" s="8">
        <f t="shared" ca="1" si="177"/>
        <v>122.0053832080835</v>
      </c>
      <c r="K912" s="9" t="str">
        <f t="shared" ca="1" si="178"/>
        <v>N</v>
      </c>
      <c r="L912">
        <f ca="1">+_xlfn.IFNA(VLOOKUP(M912,BespokeWindowsAreas!$A$1:$E$1999,1,FALSE),VLOOKUP(E912,WindowTypeArea!$B$2:$C$2000,2,FALSE))</f>
        <v>3.05</v>
      </c>
      <c r="M912">
        <f t="shared" ca="1" si="179"/>
        <v>6091463</v>
      </c>
    </row>
    <row r="913" spans="1:13" x14ac:dyDescent="0.25">
      <c r="A913">
        <f t="shared" ca="1" si="170"/>
        <v>2</v>
      </c>
      <c r="B913">
        <f t="shared" ca="1" si="171"/>
        <v>500</v>
      </c>
      <c r="C913" t="str">
        <f t="shared" ca="1" si="180"/>
        <v>'WINDOWS-NCH-A-BDP-M3-00-00'!B499</v>
      </c>
      <c r="D913" s="6" t="str">
        <f t="shared" ca="1" si="181"/>
        <v>L00-OPD-C3W-S115-105</v>
      </c>
      <c r="E913" t="str">
        <f t="shared" ca="1" si="172"/>
        <v>Family Type: 975w x 3600h, CURTAIN WALL-manual input</v>
      </c>
      <c r="F913" t="str">
        <f t="shared" ca="1" si="173"/>
        <v>Vector(X = -0.530, Y = 0.848, Z = 0.000, Length = 1.000)</v>
      </c>
      <c r="G913">
        <f t="shared" ca="1" si="174"/>
        <v>-0.5</v>
      </c>
      <c r="H913">
        <f t="shared" ca="1" si="175"/>
        <v>0.8</v>
      </c>
      <c r="I913">
        <f t="shared" ca="1" si="176"/>
        <v>0</v>
      </c>
      <c r="J913" s="8">
        <f t="shared" ca="1" si="177"/>
        <v>122.0053832080835</v>
      </c>
      <c r="K913" s="9" t="str">
        <f t="shared" ca="1" si="178"/>
        <v>N</v>
      </c>
      <c r="L913">
        <f ca="1">+_xlfn.IFNA(VLOOKUP(M913,BespokeWindowsAreas!$A$1:$E$1999,1,FALSE),VLOOKUP(E913,WindowTypeArea!$B$2:$C$2000,2,FALSE))</f>
        <v>3.51</v>
      </c>
      <c r="M913" t="str">
        <f t="shared" ca="1" si="179"/>
        <v xml:space="preserve">ID </v>
      </c>
    </row>
    <row r="914" spans="1:13" x14ac:dyDescent="0.25">
      <c r="A914">
        <f t="shared" ca="1" si="170"/>
        <v>2</v>
      </c>
      <c r="B914">
        <f t="shared" ca="1" si="171"/>
        <v>501</v>
      </c>
      <c r="C914" t="str">
        <f t="shared" ca="1" si="180"/>
        <v>'WINDOWS-NCH-A-BDP-M3-00-00'!B500</v>
      </c>
      <c r="D914" s="6" t="str">
        <f t="shared" ca="1" si="181"/>
        <v>L00-OPD-C3W-S115-105</v>
      </c>
      <c r="E914" t="str">
        <f t="shared" ca="1" si="172"/>
        <v>Family Type: 975w x 3600h, CURTAIN WALL-manual input</v>
      </c>
      <c r="F914" t="str">
        <f t="shared" ca="1" si="173"/>
        <v>Vector(X = -0.530, Y = 0.848, Z = 0.000, Length = 1.000)</v>
      </c>
      <c r="G914">
        <f t="shared" ca="1" si="174"/>
        <v>-0.5</v>
      </c>
      <c r="H914">
        <f t="shared" ca="1" si="175"/>
        <v>0.8</v>
      </c>
      <c r="I914">
        <f t="shared" ca="1" si="176"/>
        <v>0</v>
      </c>
      <c r="J914" s="8">
        <f t="shared" ca="1" si="177"/>
        <v>122.0053832080835</v>
      </c>
      <c r="K914" s="9" t="str">
        <f t="shared" ca="1" si="178"/>
        <v>N</v>
      </c>
      <c r="L914">
        <f ca="1">+_xlfn.IFNA(VLOOKUP(M914,BespokeWindowsAreas!$A$1:$E$1999,1,FALSE),VLOOKUP(E914,WindowTypeArea!$B$2:$C$2000,2,FALSE))</f>
        <v>3.51</v>
      </c>
      <c r="M914" t="str">
        <f t="shared" ca="1" si="179"/>
        <v xml:space="preserve">ID </v>
      </c>
    </row>
    <row r="915" spans="1:13" x14ac:dyDescent="0.25">
      <c r="A915">
        <f t="shared" ca="1" si="170"/>
        <v>2</v>
      </c>
      <c r="B915">
        <f t="shared" ca="1" si="171"/>
        <v>502</v>
      </c>
      <c r="C915" t="str">
        <f t="shared" ca="1" si="180"/>
        <v>'WINDOWS-NCH-A-BDP-M3-00-00'!B501</v>
      </c>
      <c r="D915" s="6" t="str">
        <f t="shared" ca="1" si="181"/>
        <v>L00-OPD-C3W-S115-106</v>
      </c>
      <c r="E915" t="str">
        <f t="shared" ca="1" si="172"/>
        <v>L00-OPD-C3W-S115-106</v>
      </c>
      <c r="F915">
        <f t="shared" ca="1" si="173"/>
        <v>2160718</v>
      </c>
      <c r="G915">
        <f t="shared" ca="1" si="174"/>
        <v>0</v>
      </c>
      <c r="H915">
        <f t="shared" ca="1" si="175"/>
        <v>0</v>
      </c>
      <c r="I915">
        <f t="shared" ca="1" si="176"/>
        <v>0</v>
      </c>
      <c r="J915" s="8" t="e">
        <f t="shared" ca="1" si="177"/>
        <v>#DIV/0!</v>
      </c>
      <c r="K915" s="9" t="e">
        <f t="shared" ca="1" si="178"/>
        <v>#DIV/0!</v>
      </c>
      <c r="L915" t="e">
        <f ca="1">+_xlfn.IFNA(VLOOKUP(M915,BespokeWindowsAreas!$A$1:$E$1999,1,FALSE),VLOOKUP(E915,WindowTypeArea!$B$2:$C$2000,2,FALSE))</f>
        <v>#N/A</v>
      </c>
      <c r="M915">
        <f t="shared" ca="1" si="179"/>
        <v>0</v>
      </c>
    </row>
    <row r="916" spans="1:13" x14ac:dyDescent="0.25">
      <c r="A916">
        <f t="shared" ref="A916:A979" ca="1" si="182">+IF(B915&lt;=VLOOKUP(MID(C916,2,26),TABS,2,FALSE),A915,+A915+1)</f>
        <v>2</v>
      </c>
      <c r="B916">
        <f t="shared" ref="B916:B979" ca="1" si="183">+IF(B915&lt;=VLOOKUP(MID(C916,2,26),TABS,2,FALSE),B915+1,1)</f>
        <v>503</v>
      </c>
      <c r="C916" t="str">
        <f t="shared" ca="1" si="180"/>
        <v>'WINDOWS-NCH-A-BDP-M3-00-00'!B502</v>
      </c>
      <c r="D916" s="6" t="str">
        <f t="shared" ca="1" si="181"/>
        <v>L00-OPD-C3W-S115-106</v>
      </c>
      <c r="E916" t="str">
        <f t="shared" ref="E916:E979" ca="1" si="184">+OFFSET(INDIRECT(C916),0,0)</f>
        <v>Family Type: 1500w x 3050h, Family: Window External Type 3 - Recessed and Angle</v>
      </c>
      <c r="F916" t="str">
        <f t="shared" ca="1" si="173"/>
        <v>Vector(X = -0.429, Y = 0.903, Z = 0.000, Length = 1.000)</v>
      </c>
      <c r="G916">
        <f t="shared" ca="1" si="174"/>
        <v>-0.4</v>
      </c>
      <c r="H916">
        <f t="shared" ca="1" si="175"/>
        <v>0.9</v>
      </c>
      <c r="I916">
        <f t="shared" ca="1" si="176"/>
        <v>0</v>
      </c>
      <c r="J916" s="8">
        <f t="shared" ca="1" si="177"/>
        <v>113.96248897457818</v>
      </c>
      <c r="K916" s="9" t="str">
        <f t="shared" ca="1" si="178"/>
        <v>N</v>
      </c>
      <c r="L916">
        <f ca="1">+_xlfn.IFNA(VLOOKUP(M916,BespokeWindowsAreas!$A$1:$E$1999,1,FALSE),VLOOKUP(E916,WindowTypeArea!$B$2:$C$2000,2,FALSE))</f>
        <v>4.5750000000000002</v>
      </c>
      <c r="M916">
        <f t="shared" ca="1" si="179"/>
        <v>4780262</v>
      </c>
    </row>
    <row r="917" spans="1:13" x14ac:dyDescent="0.25">
      <c r="A917">
        <f t="shared" ca="1" si="182"/>
        <v>2</v>
      </c>
      <c r="B917">
        <f t="shared" ca="1" si="183"/>
        <v>504</v>
      </c>
      <c r="C917" t="str">
        <f t="shared" ca="1" si="180"/>
        <v>'WINDOWS-NCH-A-BDP-M3-00-00'!B503</v>
      </c>
      <c r="D917" s="6" t="str">
        <f t="shared" ca="1" si="181"/>
        <v>L00-OPD-C3W-S115-106</v>
      </c>
      <c r="E917" t="str">
        <f t="shared" ca="1" si="184"/>
        <v>Family Type: 1950w x 3050h, Family: Window External Type 1 - Recessed</v>
      </c>
      <c r="F917" t="str">
        <f t="shared" ca="1" si="173"/>
        <v>Vector(X = -0.429, Y = 0.903, Z = 0.000, Length = 1.000)</v>
      </c>
      <c r="G917">
        <f t="shared" ca="1" si="174"/>
        <v>-0.4</v>
      </c>
      <c r="H917">
        <f t="shared" ca="1" si="175"/>
        <v>0.9</v>
      </c>
      <c r="I917">
        <f t="shared" ca="1" si="176"/>
        <v>0</v>
      </c>
      <c r="J917" s="8">
        <f t="shared" ca="1" si="177"/>
        <v>113.96248897457818</v>
      </c>
      <c r="K917" s="9" t="str">
        <f t="shared" ca="1" si="178"/>
        <v>N</v>
      </c>
      <c r="L917">
        <f ca="1">+_xlfn.IFNA(VLOOKUP(M917,BespokeWindowsAreas!$A$1:$E$1999,1,FALSE),VLOOKUP(E917,WindowTypeArea!$B$2:$C$2000,2,FALSE))</f>
        <v>5.9474999999999998</v>
      </c>
      <c r="M917">
        <f t="shared" ca="1" si="179"/>
        <v>4837649</v>
      </c>
    </row>
    <row r="918" spans="1:13" x14ac:dyDescent="0.25">
      <c r="A918">
        <f t="shared" ca="1" si="182"/>
        <v>2</v>
      </c>
      <c r="B918">
        <f t="shared" ca="1" si="183"/>
        <v>505</v>
      </c>
      <c r="C918" t="str">
        <f t="shared" ca="1" si="180"/>
        <v>'WINDOWS-NCH-A-BDP-M3-00-00'!B504</v>
      </c>
      <c r="D918" s="6" t="str">
        <f t="shared" ca="1" si="181"/>
        <v>L00-OPD-C3W-S115-106</v>
      </c>
      <c r="E918" t="str">
        <f t="shared" ca="1" si="184"/>
        <v>Family Type: 1500w x 3050h, Family: Window External Type 3 - Recessed and Angle</v>
      </c>
      <c r="F918" t="str">
        <f t="shared" ref="F918:F981" ca="1" si="185">+OFFSET(INDIRECT(C918),0,1)</f>
        <v>Vector(X = -0.903, Y = -0.429, Z = 0.000, Length = 1.000)</v>
      </c>
      <c r="G918">
        <f t="shared" ref="G918:G981" ca="1" si="186">+OFFSET(INDIRECT(C918),0,2)</f>
        <v>-0.9</v>
      </c>
      <c r="H918">
        <f t="shared" ref="H918:H981" ca="1" si="187">+OFFSET(INDIRECT(C918),0,3)</f>
        <v>-0.4</v>
      </c>
      <c r="I918">
        <f t="shared" ref="I918:I981" ca="1" si="188">+OFFSET(INDIRECT(C918),0,4)</f>
        <v>0</v>
      </c>
      <c r="J918" s="8">
        <f t="shared" ref="J918:J981" ca="1" si="189">+DEGREES(ATAN2(G918,H918))</f>
        <v>-156.03751102542182</v>
      </c>
      <c r="K918" s="9" t="str">
        <f t="shared" ref="K918:K981" ca="1" si="190">VLOOKUP(J918,$O$20:$P$36,2,-1)</f>
        <v>W</v>
      </c>
      <c r="L918">
        <f ca="1">+_xlfn.IFNA(VLOOKUP(M918,BespokeWindowsAreas!$A$1:$E$1999,1,FALSE),VLOOKUP(E918,WindowTypeArea!$B$2:$C$2000,2,FALSE))</f>
        <v>4.5750000000000002</v>
      </c>
      <c r="M918">
        <f t="shared" ref="M918:M981" ca="1" si="191">+OFFSET(INDIRECT(C918),0,5)</f>
        <v>4859562</v>
      </c>
    </row>
    <row r="919" spans="1:13" x14ac:dyDescent="0.25">
      <c r="A919">
        <f t="shared" ca="1" si="182"/>
        <v>2</v>
      </c>
      <c r="B919">
        <f t="shared" ca="1" si="183"/>
        <v>506</v>
      </c>
      <c r="C919" t="str">
        <f t="shared" ref="C919:C982" ca="1" si="192">+"'"&amp;INDIRECT("a"&amp;A918)&amp;"'!B"&amp;B918</f>
        <v>'WINDOWS-NCH-A-BDP-M3-00-00'!B505</v>
      </c>
      <c r="D919" s="6" t="str">
        <f t="shared" ca="1" si="181"/>
        <v>L00-OPD-C3W-S115-106</v>
      </c>
      <c r="E919" t="str">
        <f t="shared" ca="1" si="184"/>
        <v>Family Type: 1500w x 3050h, Family: Window External Type 3 - Recessed and Angle</v>
      </c>
      <c r="F919" t="str">
        <f t="shared" ca="1" si="185"/>
        <v>Vector(X = -0.903, Y = -0.429, Z = 0.000, Length = 1.000)</v>
      </c>
      <c r="G919">
        <f t="shared" ca="1" si="186"/>
        <v>-0.9</v>
      </c>
      <c r="H919">
        <f t="shared" ca="1" si="187"/>
        <v>-0.4</v>
      </c>
      <c r="I919">
        <f t="shared" ca="1" si="188"/>
        <v>0</v>
      </c>
      <c r="J919" s="8">
        <f t="shared" ca="1" si="189"/>
        <v>-156.03751102542182</v>
      </c>
      <c r="K919" s="9" t="str">
        <f t="shared" ca="1" si="190"/>
        <v>W</v>
      </c>
      <c r="L919">
        <f ca="1">+_xlfn.IFNA(VLOOKUP(M919,BespokeWindowsAreas!$A$1:$E$1999,1,FALSE),VLOOKUP(E919,WindowTypeArea!$B$2:$C$2000,2,FALSE))</f>
        <v>4.5750000000000002</v>
      </c>
      <c r="M919">
        <f t="shared" ca="1" si="191"/>
        <v>4859563</v>
      </c>
    </row>
    <row r="920" spans="1:13" x14ac:dyDescent="0.25">
      <c r="A920">
        <f t="shared" ca="1" si="182"/>
        <v>2</v>
      </c>
      <c r="B920">
        <f t="shared" ca="1" si="183"/>
        <v>507</v>
      </c>
      <c r="C920" t="str">
        <f t="shared" ca="1" si="192"/>
        <v>'WINDOWS-NCH-A-BDP-M3-00-00'!B506</v>
      </c>
      <c r="D920" s="6" t="str">
        <f t="shared" ca="1" si="181"/>
        <v>L00-OPD-C3W-S115-106</v>
      </c>
      <c r="E920" t="str">
        <f t="shared" ca="1" si="184"/>
        <v>Family Type: 1500w x 3050h, Family: Window External Type 3 - Recessed and Angle</v>
      </c>
      <c r="F920" t="str">
        <f t="shared" ca="1" si="185"/>
        <v>Vector(X = -0.903, Y = -0.429, Z = 0.000, Length = 1.000)</v>
      </c>
      <c r="G920">
        <f t="shared" ca="1" si="186"/>
        <v>-0.9</v>
      </c>
      <c r="H920">
        <f t="shared" ca="1" si="187"/>
        <v>-0.4</v>
      </c>
      <c r="I920">
        <f t="shared" ca="1" si="188"/>
        <v>0</v>
      </c>
      <c r="J920" s="8">
        <f t="shared" ca="1" si="189"/>
        <v>-156.03751102542182</v>
      </c>
      <c r="K920" s="9" t="str">
        <f t="shared" ca="1" si="190"/>
        <v>W</v>
      </c>
      <c r="L920">
        <f ca="1">+_xlfn.IFNA(VLOOKUP(M920,BespokeWindowsAreas!$A$1:$E$1999,1,FALSE),VLOOKUP(E920,WindowTypeArea!$B$2:$C$2000,2,FALSE))</f>
        <v>4.5750000000000002</v>
      </c>
      <c r="M920">
        <f t="shared" ca="1" si="191"/>
        <v>4859564</v>
      </c>
    </row>
    <row r="921" spans="1:13" x14ac:dyDescent="0.25">
      <c r="A921">
        <f t="shared" ca="1" si="182"/>
        <v>2</v>
      </c>
      <c r="B921">
        <f t="shared" ca="1" si="183"/>
        <v>508</v>
      </c>
      <c r="C921" t="str">
        <f t="shared" ca="1" si="192"/>
        <v>'WINDOWS-NCH-A-BDP-M3-00-00'!B507</v>
      </c>
      <c r="D921" s="6" t="str">
        <f t="shared" ca="1" si="181"/>
        <v>L00-OPD-C3W-S115-106</v>
      </c>
      <c r="E921" t="str">
        <f t="shared" ca="1" si="184"/>
        <v>Family Type: 1500w x 3050h, Family: Window External Type 3 - Recessed and Angle</v>
      </c>
      <c r="F921" t="str">
        <f t="shared" ca="1" si="185"/>
        <v>Vector(X = -0.903, Y = -0.429, Z = 0.000, Length = 1.000)</v>
      </c>
      <c r="G921">
        <f t="shared" ca="1" si="186"/>
        <v>-0.9</v>
      </c>
      <c r="H921">
        <f t="shared" ca="1" si="187"/>
        <v>-0.4</v>
      </c>
      <c r="I921">
        <f t="shared" ca="1" si="188"/>
        <v>0</v>
      </c>
      <c r="J921" s="8">
        <f t="shared" ca="1" si="189"/>
        <v>-156.03751102542182</v>
      </c>
      <c r="K921" s="9" t="str">
        <f t="shared" ca="1" si="190"/>
        <v>W</v>
      </c>
      <c r="L921">
        <f ca="1">+_xlfn.IFNA(VLOOKUP(M921,BespokeWindowsAreas!$A$1:$E$1999,1,FALSE),VLOOKUP(E921,WindowTypeArea!$B$2:$C$2000,2,FALSE))</f>
        <v>4.5750000000000002</v>
      </c>
      <c r="M921">
        <f t="shared" ca="1" si="191"/>
        <v>4859565</v>
      </c>
    </row>
    <row r="922" spans="1:13" x14ac:dyDescent="0.25">
      <c r="A922">
        <f t="shared" ca="1" si="182"/>
        <v>2</v>
      </c>
      <c r="B922">
        <f t="shared" ca="1" si="183"/>
        <v>509</v>
      </c>
      <c r="C922" t="str">
        <f t="shared" ca="1" si="192"/>
        <v>'WINDOWS-NCH-A-BDP-M3-00-00'!B508</v>
      </c>
      <c r="D922" s="6" t="str">
        <f t="shared" ca="1" si="181"/>
        <v>L00-OPD-C3W-S115-106</v>
      </c>
      <c r="E922" t="str">
        <f t="shared" ca="1" si="184"/>
        <v>Family Type: 975w x 3600h, CURTAIN WALL-manual input</v>
      </c>
      <c r="F922" t="str">
        <f t="shared" ca="1" si="185"/>
        <v>Vector(X = 0.429, Y = -0.903, Z = 0.000, Length = 1.000)</v>
      </c>
      <c r="G922">
        <f t="shared" ca="1" si="186"/>
        <v>0.4</v>
      </c>
      <c r="H922">
        <f t="shared" ca="1" si="187"/>
        <v>-0.9</v>
      </c>
      <c r="I922">
        <f t="shared" ca="1" si="188"/>
        <v>0</v>
      </c>
      <c r="J922" s="8">
        <f t="shared" ca="1" si="189"/>
        <v>-66.037511025421821</v>
      </c>
      <c r="K922" s="9" t="str">
        <f t="shared" ca="1" si="190"/>
        <v>S</v>
      </c>
      <c r="L922">
        <f ca="1">+_xlfn.IFNA(VLOOKUP(M922,BespokeWindowsAreas!$A$1:$E$1999,1,FALSE),VLOOKUP(E922,WindowTypeArea!$B$2:$C$2000,2,FALSE))</f>
        <v>3.51</v>
      </c>
      <c r="M922" t="str">
        <f t="shared" ca="1" si="191"/>
        <v xml:space="preserve">ID </v>
      </c>
    </row>
    <row r="923" spans="1:13" x14ac:dyDescent="0.25">
      <c r="A923">
        <f t="shared" ca="1" si="182"/>
        <v>2</v>
      </c>
      <c r="B923">
        <f t="shared" ca="1" si="183"/>
        <v>510</v>
      </c>
      <c r="C923" t="str">
        <f t="shared" ca="1" si="192"/>
        <v>'WINDOWS-NCH-A-BDP-M3-00-00'!B509</v>
      </c>
      <c r="D923" s="6" t="str">
        <f t="shared" ca="1" si="181"/>
        <v>L00-OPD-C3W-S115-120</v>
      </c>
      <c r="E923" t="str">
        <f t="shared" ca="1" si="184"/>
        <v>L00-OPD-C3W-S115-120</v>
      </c>
      <c r="F923">
        <f t="shared" ca="1" si="185"/>
        <v>2160719</v>
      </c>
      <c r="G923">
        <f t="shared" ca="1" si="186"/>
        <v>0</v>
      </c>
      <c r="H923">
        <f t="shared" ca="1" si="187"/>
        <v>0</v>
      </c>
      <c r="I923">
        <f t="shared" ca="1" si="188"/>
        <v>0</v>
      </c>
      <c r="J923" s="8" t="e">
        <f t="shared" ca="1" si="189"/>
        <v>#DIV/0!</v>
      </c>
      <c r="K923" s="9" t="e">
        <f t="shared" ca="1" si="190"/>
        <v>#DIV/0!</v>
      </c>
      <c r="L923" t="e">
        <f ca="1">+_xlfn.IFNA(VLOOKUP(M923,BespokeWindowsAreas!$A$1:$E$1999,1,FALSE),VLOOKUP(E923,WindowTypeArea!$B$2:$C$2000,2,FALSE))</f>
        <v>#N/A</v>
      </c>
      <c r="M923">
        <f t="shared" ca="1" si="191"/>
        <v>0</v>
      </c>
    </row>
    <row r="924" spans="1:13" x14ac:dyDescent="0.25">
      <c r="A924">
        <f t="shared" ca="1" si="182"/>
        <v>2</v>
      </c>
      <c r="B924">
        <f t="shared" ca="1" si="183"/>
        <v>511</v>
      </c>
      <c r="C924" t="str">
        <f t="shared" ca="1" si="192"/>
        <v>'WINDOWS-NCH-A-BDP-M3-00-00'!B510</v>
      </c>
      <c r="D924" s="6" t="str">
        <f t="shared" ca="1" si="181"/>
        <v>L00-OPD-C3W-S115-120</v>
      </c>
      <c r="E924" t="str">
        <f t="shared" ca="1" si="184"/>
        <v>Family Type: 1950w x 3050h, Family: Window External Type 3 - Recessed and Angle</v>
      </c>
      <c r="F924" t="str">
        <f t="shared" ca="1" si="185"/>
        <v>Vector(X = -0.323, Y = 0.946, Z = 0.000, Length = 1.000)</v>
      </c>
      <c r="G924">
        <f t="shared" ca="1" si="186"/>
        <v>-0.3</v>
      </c>
      <c r="H924">
        <f t="shared" ca="1" si="187"/>
        <v>0.9</v>
      </c>
      <c r="I924">
        <f t="shared" ca="1" si="188"/>
        <v>0</v>
      </c>
      <c r="J924" s="8">
        <f t="shared" ca="1" si="189"/>
        <v>108.43494882292201</v>
      </c>
      <c r="K924" s="9" t="str">
        <f t="shared" ca="1" si="190"/>
        <v>N</v>
      </c>
      <c r="L924">
        <f ca="1">+_xlfn.IFNA(VLOOKUP(M924,BespokeWindowsAreas!$A$1:$E$1999,1,FALSE),VLOOKUP(E924,WindowTypeArea!$B$2:$C$2000,2,FALSE))</f>
        <v>5.9474999999999998</v>
      </c>
      <c r="M924">
        <f t="shared" ca="1" si="191"/>
        <v>4785970</v>
      </c>
    </row>
    <row r="925" spans="1:13" x14ac:dyDescent="0.25">
      <c r="A925">
        <f t="shared" ca="1" si="182"/>
        <v>2</v>
      </c>
      <c r="B925">
        <f t="shared" ca="1" si="183"/>
        <v>512</v>
      </c>
      <c r="C925" t="str">
        <f t="shared" ca="1" si="192"/>
        <v>'WINDOWS-NCH-A-BDP-M3-00-00'!B511</v>
      </c>
      <c r="D925" s="6" t="str">
        <f t="shared" ca="1" si="181"/>
        <v>L00-OPD-C3W-S115-120</v>
      </c>
      <c r="E925" t="str">
        <f t="shared" ca="1" si="184"/>
        <v>Family Type: 975w x 3050h, Family: Window External Type 1 - Recessed</v>
      </c>
      <c r="F925" t="str">
        <f t="shared" ca="1" si="185"/>
        <v>Vector(X = 0.323, Y = -0.946, Z = 0.000, Length = 1.000)</v>
      </c>
      <c r="G925">
        <f t="shared" ca="1" si="186"/>
        <v>0.3</v>
      </c>
      <c r="H925">
        <f t="shared" ca="1" si="187"/>
        <v>-0.9</v>
      </c>
      <c r="I925">
        <f t="shared" ca="1" si="188"/>
        <v>0</v>
      </c>
      <c r="J925" s="8">
        <f t="shared" ca="1" si="189"/>
        <v>-71.56505117707799</v>
      </c>
      <c r="K925" s="9" t="str">
        <f t="shared" ca="1" si="190"/>
        <v>S</v>
      </c>
      <c r="L925">
        <f ca="1">+_xlfn.IFNA(VLOOKUP(M925,BespokeWindowsAreas!$A$1:$E$1999,1,FALSE),VLOOKUP(E925,WindowTypeArea!$B$2:$C$2000,2,FALSE))</f>
        <v>2.9737499999999999</v>
      </c>
      <c r="M925">
        <f t="shared" ca="1" si="191"/>
        <v>4792084</v>
      </c>
    </row>
    <row r="926" spans="1:13" x14ac:dyDescent="0.25">
      <c r="A926">
        <f t="shared" ca="1" si="182"/>
        <v>2</v>
      </c>
      <c r="B926">
        <f t="shared" ca="1" si="183"/>
        <v>513</v>
      </c>
      <c r="C926" t="str">
        <f t="shared" ca="1" si="192"/>
        <v>'WINDOWS-NCH-A-BDP-M3-00-00'!B512</v>
      </c>
      <c r="D926" s="6" t="str">
        <f t="shared" ca="1" si="181"/>
        <v>L00-OPD-C3W-S115-120</v>
      </c>
      <c r="E926" t="str">
        <f t="shared" ca="1" si="184"/>
        <v>Family Type: 1950w x 3050h, Family: Window External Type 1 - Recessed</v>
      </c>
      <c r="F926" t="str">
        <f t="shared" ca="1" si="185"/>
        <v>Vector(X = -0.323, Y = 0.946, Z = 0.000, Length = 1.000)</v>
      </c>
      <c r="G926">
        <f t="shared" ca="1" si="186"/>
        <v>-0.3</v>
      </c>
      <c r="H926">
        <f t="shared" ca="1" si="187"/>
        <v>0.9</v>
      </c>
      <c r="I926">
        <f t="shared" ca="1" si="188"/>
        <v>0</v>
      </c>
      <c r="J926" s="8">
        <f t="shared" ca="1" si="189"/>
        <v>108.43494882292201</v>
      </c>
      <c r="K926" s="9" t="str">
        <f t="shared" ca="1" si="190"/>
        <v>N</v>
      </c>
      <c r="L926">
        <f ca="1">+_xlfn.IFNA(VLOOKUP(M926,BespokeWindowsAreas!$A$1:$E$1999,1,FALSE),VLOOKUP(E926,WindowTypeArea!$B$2:$C$2000,2,FALSE))</f>
        <v>5.9474999999999998</v>
      </c>
      <c r="M926">
        <f t="shared" ca="1" si="191"/>
        <v>4839018</v>
      </c>
    </row>
    <row r="927" spans="1:13" x14ac:dyDescent="0.25">
      <c r="A927">
        <f t="shared" ca="1" si="182"/>
        <v>2</v>
      </c>
      <c r="B927">
        <f t="shared" ca="1" si="183"/>
        <v>514</v>
      </c>
      <c r="C927" t="str">
        <f t="shared" ca="1" si="192"/>
        <v>'WINDOWS-NCH-A-BDP-M3-00-00'!B513</v>
      </c>
      <c r="D927" s="6" t="str">
        <f t="shared" ca="1" si="181"/>
        <v>L00-OPD-C3W-S115-120</v>
      </c>
      <c r="E927" t="str">
        <f t="shared" ca="1" si="184"/>
        <v>Family Type: 1500w x 3050h, Family: Window External Type 3 - Recessed and Angle</v>
      </c>
      <c r="F927" t="str">
        <f t="shared" ca="1" si="185"/>
        <v>Vector(X = -0.946, Y = -0.323, Z = 0.000, Length = 1.000)</v>
      </c>
      <c r="G927">
        <f t="shared" ca="1" si="186"/>
        <v>-0.9</v>
      </c>
      <c r="H927">
        <f t="shared" ca="1" si="187"/>
        <v>-0.3</v>
      </c>
      <c r="I927">
        <f t="shared" ca="1" si="188"/>
        <v>0</v>
      </c>
      <c r="J927" s="8">
        <f t="shared" ca="1" si="189"/>
        <v>-161.565051177078</v>
      </c>
      <c r="K927" s="9" t="str">
        <f t="shared" ca="1" si="190"/>
        <v>W</v>
      </c>
      <c r="L927">
        <f ca="1">+_xlfn.IFNA(VLOOKUP(M927,BespokeWindowsAreas!$A$1:$E$1999,1,FALSE),VLOOKUP(E927,WindowTypeArea!$B$2:$C$2000,2,FALSE))</f>
        <v>4.5750000000000002</v>
      </c>
      <c r="M927">
        <f t="shared" ca="1" si="191"/>
        <v>4860085</v>
      </c>
    </row>
    <row r="928" spans="1:13" x14ac:dyDescent="0.25">
      <c r="A928">
        <f t="shared" ca="1" si="182"/>
        <v>2</v>
      </c>
      <c r="B928">
        <f t="shared" ca="1" si="183"/>
        <v>515</v>
      </c>
      <c r="C928" t="str">
        <f t="shared" ca="1" si="192"/>
        <v>'WINDOWS-NCH-A-BDP-M3-00-00'!B514</v>
      </c>
      <c r="D928" s="6" t="str">
        <f t="shared" ca="1" si="181"/>
        <v>L00-OPD-C3W-S115-120</v>
      </c>
      <c r="E928" t="str">
        <f t="shared" ca="1" si="184"/>
        <v>Family Type: 1500w x 3050h, Family: Window External Type 3 - Recessed and Angle</v>
      </c>
      <c r="F928" t="str">
        <f t="shared" ca="1" si="185"/>
        <v>Vector(X = -0.946, Y = -0.323, Z = 0.000, Length = 1.000)</v>
      </c>
      <c r="G928">
        <f t="shared" ca="1" si="186"/>
        <v>-0.9</v>
      </c>
      <c r="H928">
        <f t="shared" ca="1" si="187"/>
        <v>-0.3</v>
      </c>
      <c r="I928">
        <f t="shared" ca="1" si="188"/>
        <v>0</v>
      </c>
      <c r="J928" s="8">
        <f t="shared" ca="1" si="189"/>
        <v>-161.565051177078</v>
      </c>
      <c r="K928" s="9" t="str">
        <f t="shared" ca="1" si="190"/>
        <v>W</v>
      </c>
      <c r="L928">
        <f ca="1">+_xlfn.IFNA(VLOOKUP(M928,BespokeWindowsAreas!$A$1:$E$1999,1,FALSE),VLOOKUP(E928,WindowTypeArea!$B$2:$C$2000,2,FALSE))</f>
        <v>4.5750000000000002</v>
      </c>
      <c r="M928">
        <f t="shared" ca="1" si="191"/>
        <v>4860086</v>
      </c>
    </row>
    <row r="929" spans="1:13" x14ac:dyDescent="0.25">
      <c r="A929">
        <f t="shared" ca="1" si="182"/>
        <v>2</v>
      </c>
      <c r="B929">
        <f t="shared" ca="1" si="183"/>
        <v>516</v>
      </c>
      <c r="C929" t="str">
        <f t="shared" ca="1" si="192"/>
        <v>'WINDOWS-NCH-A-BDP-M3-00-00'!B515</v>
      </c>
      <c r="D929" s="6" t="str">
        <f t="shared" ca="1" si="181"/>
        <v>L00-OPD-C3W-S115-120</v>
      </c>
      <c r="E929" t="str">
        <f t="shared" ca="1" si="184"/>
        <v>Family Type: 1500w x 3050h, Family: Window External Type 3 - Recessed and Angle</v>
      </c>
      <c r="F929" t="str">
        <f t="shared" ca="1" si="185"/>
        <v>Vector(X = -0.946, Y = -0.323, Z = 0.000, Length = 1.000)</v>
      </c>
      <c r="G929">
        <f t="shared" ca="1" si="186"/>
        <v>-0.9</v>
      </c>
      <c r="H929">
        <f t="shared" ca="1" si="187"/>
        <v>-0.3</v>
      </c>
      <c r="I929">
        <f t="shared" ca="1" si="188"/>
        <v>0</v>
      </c>
      <c r="J929" s="8">
        <f t="shared" ca="1" si="189"/>
        <v>-161.565051177078</v>
      </c>
      <c r="K929" s="9" t="str">
        <f t="shared" ca="1" si="190"/>
        <v>W</v>
      </c>
      <c r="L929">
        <f ca="1">+_xlfn.IFNA(VLOOKUP(M929,BespokeWindowsAreas!$A$1:$E$1999,1,FALSE),VLOOKUP(E929,WindowTypeArea!$B$2:$C$2000,2,FALSE))</f>
        <v>4.5750000000000002</v>
      </c>
      <c r="M929">
        <f t="shared" ca="1" si="191"/>
        <v>4860087</v>
      </c>
    </row>
    <row r="930" spans="1:13" x14ac:dyDescent="0.25">
      <c r="A930">
        <f t="shared" ca="1" si="182"/>
        <v>2</v>
      </c>
      <c r="B930">
        <f t="shared" ca="1" si="183"/>
        <v>517</v>
      </c>
      <c r="C930" t="str">
        <f t="shared" ca="1" si="192"/>
        <v>'WINDOWS-NCH-A-BDP-M3-00-00'!B516</v>
      </c>
      <c r="D930" s="6" t="str">
        <f t="shared" ca="1" si="181"/>
        <v>L00-OPD-C3W-S115-120</v>
      </c>
      <c r="E930" t="str">
        <f t="shared" ca="1" si="184"/>
        <v>Family Type: 1500w x 3050h, Family: Window External Type 3 - Recessed and Angle</v>
      </c>
      <c r="F930" t="str">
        <f t="shared" ca="1" si="185"/>
        <v>Vector(X = -0.946, Y = -0.323, Z = 0.000, Length = 1.000)</v>
      </c>
      <c r="G930">
        <f t="shared" ca="1" si="186"/>
        <v>-0.9</v>
      </c>
      <c r="H930">
        <f t="shared" ca="1" si="187"/>
        <v>-0.3</v>
      </c>
      <c r="I930">
        <f t="shared" ca="1" si="188"/>
        <v>0</v>
      </c>
      <c r="J930" s="8">
        <f t="shared" ca="1" si="189"/>
        <v>-161.565051177078</v>
      </c>
      <c r="K930" s="9" t="str">
        <f t="shared" ca="1" si="190"/>
        <v>W</v>
      </c>
      <c r="L930">
        <f ca="1">+_xlfn.IFNA(VLOOKUP(M930,BespokeWindowsAreas!$A$1:$E$1999,1,FALSE),VLOOKUP(E930,WindowTypeArea!$B$2:$C$2000,2,FALSE))</f>
        <v>4.5750000000000002</v>
      </c>
      <c r="M930">
        <f t="shared" ca="1" si="191"/>
        <v>4860088</v>
      </c>
    </row>
    <row r="931" spans="1:13" x14ac:dyDescent="0.25">
      <c r="A931">
        <f t="shared" ca="1" si="182"/>
        <v>2</v>
      </c>
      <c r="B931">
        <f t="shared" ca="1" si="183"/>
        <v>518</v>
      </c>
      <c r="C931" t="str">
        <f t="shared" ca="1" si="192"/>
        <v>'WINDOWS-NCH-A-BDP-M3-00-00'!B517</v>
      </c>
      <c r="D931" s="6" t="str">
        <f t="shared" ca="1" si="181"/>
        <v>L00-OPD-C3W-S115-120</v>
      </c>
      <c r="E931" t="str">
        <f t="shared" ca="1" si="184"/>
        <v>Family Type: 1500w x 3050h, Family: Window External Type 3 - Recessed and Angle</v>
      </c>
      <c r="F931" t="str">
        <f t="shared" ca="1" si="185"/>
        <v>Vector(X = 0.323, Y = -0.946, Z = 0.000, Length = 1.000)</v>
      </c>
      <c r="G931">
        <f t="shared" ca="1" si="186"/>
        <v>0.3</v>
      </c>
      <c r="H931">
        <f t="shared" ca="1" si="187"/>
        <v>-0.9</v>
      </c>
      <c r="I931">
        <f t="shared" ca="1" si="188"/>
        <v>0</v>
      </c>
      <c r="J931" s="8">
        <f t="shared" ca="1" si="189"/>
        <v>-71.56505117707799</v>
      </c>
      <c r="K931" s="9" t="str">
        <f t="shared" ca="1" si="190"/>
        <v>S</v>
      </c>
      <c r="L931">
        <f ca="1">+_xlfn.IFNA(VLOOKUP(M931,BespokeWindowsAreas!$A$1:$E$1999,1,FALSE),VLOOKUP(E931,WindowTypeArea!$B$2:$C$2000,2,FALSE))</f>
        <v>4.5750000000000002</v>
      </c>
      <c r="M931">
        <f t="shared" ca="1" si="191"/>
        <v>4984170</v>
      </c>
    </row>
    <row r="932" spans="1:13" x14ac:dyDescent="0.25">
      <c r="A932">
        <f t="shared" ca="1" si="182"/>
        <v>2</v>
      </c>
      <c r="B932">
        <f t="shared" ca="1" si="183"/>
        <v>519</v>
      </c>
      <c r="C932" t="str">
        <f t="shared" ca="1" si="192"/>
        <v>'WINDOWS-NCH-A-BDP-M3-00-00'!B518</v>
      </c>
      <c r="D932" s="6" t="str">
        <f t="shared" ca="1" si="181"/>
        <v>L00-OPD-DW1-S115-21</v>
      </c>
      <c r="E932" t="str">
        <f t="shared" ca="1" si="184"/>
        <v>L00-OPD-DW1-S115-21</v>
      </c>
      <c r="F932">
        <f t="shared" ca="1" si="185"/>
        <v>2160746</v>
      </c>
      <c r="G932">
        <f t="shared" ca="1" si="186"/>
        <v>0</v>
      </c>
      <c r="H932">
        <f t="shared" ca="1" si="187"/>
        <v>0</v>
      </c>
      <c r="I932">
        <f t="shared" ca="1" si="188"/>
        <v>0</v>
      </c>
      <c r="J932" s="8" t="e">
        <f t="shared" ca="1" si="189"/>
        <v>#DIV/0!</v>
      </c>
      <c r="K932" s="9" t="e">
        <f t="shared" ca="1" si="190"/>
        <v>#DIV/0!</v>
      </c>
      <c r="L932" t="e">
        <f ca="1">+_xlfn.IFNA(VLOOKUP(M932,BespokeWindowsAreas!$A$1:$E$1999,1,FALSE),VLOOKUP(E932,WindowTypeArea!$B$2:$C$2000,2,FALSE))</f>
        <v>#N/A</v>
      </c>
      <c r="M932">
        <f t="shared" ca="1" si="191"/>
        <v>0</v>
      </c>
    </row>
    <row r="933" spans="1:13" x14ac:dyDescent="0.25">
      <c r="A933">
        <f t="shared" ca="1" si="182"/>
        <v>2</v>
      </c>
      <c r="B933">
        <f t="shared" ca="1" si="183"/>
        <v>520</v>
      </c>
      <c r="C933" t="str">
        <f t="shared" ca="1" si="192"/>
        <v>'WINDOWS-NCH-A-BDP-M3-00-00'!B519</v>
      </c>
      <c r="D933" s="6" t="str">
        <f t="shared" ca="1" si="181"/>
        <v>L00-OPD-DW1-S115-21</v>
      </c>
      <c r="E933" t="str">
        <f t="shared" ca="1" si="184"/>
        <v>Family Type: 1500w x 3050h, Family: Window External Type 3 - Recessed and Angle</v>
      </c>
      <c r="F933" t="str">
        <f t="shared" ca="1" si="185"/>
        <v>Vector(X = -0.977, Y = -0.212, Z = 0.000, Length = 1.000)</v>
      </c>
      <c r="G933">
        <f t="shared" ca="1" si="186"/>
        <v>-1</v>
      </c>
      <c r="H933">
        <f t="shared" ca="1" si="187"/>
        <v>-0.2</v>
      </c>
      <c r="I933">
        <f t="shared" ca="1" si="188"/>
        <v>0</v>
      </c>
      <c r="J933" s="8">
        <f t="shared" ca="1" si="189"/>
        <v>-168.69006752597977</v>
      </c>
      <c r="K933" s="9" t="str">
        <f t="shared" ca="1" si="190"/>
        <v>W</v>
      </c>
      <c r="L933">
        <f ca="1">+_xlfn.IFNA(VLOOKUP(M933,BespokeWindowsAreas!$A$1:$E$1999,1,FALSE),VLOOKUP(E933,WindowTypeArea!$B$2:$C$2000,2,FALSE))</f>
        <v>4.5750000000000002</v>
      </c>
      <c r="M933">
        <f t="shared" ca="1" si="191"/>
        <v>4860671</v>
      </c>
    </row>
    <row r="934" spans="1:13" x14ac:dyDescent="0.25">
      <c r="A934">
        <f t="shared" ca="1" si="182"/>
        <v>2</v>
      </c>
      <c r="B934">
        <f t="shared" ca="1" si="183"/>
        <v>521</v>
      </c>
      <c r="C934" t="str">
        <f t="shared" ca="1" si="192"/>
        <v>'WINDOWS-NCH-A-BDP-M3-00-00'!B520</v>
      </c>
      <c r="D934" s="6" t="str">
        <f t="shared" ca="1" si="181"/>
        <v>L00-OPD-DW1-S115-21</v>
      </c>
      <c r="E934" t="str">
        <f t="shared" ca="1" si="184"/>
        <v>Family Type: 1500w x 3050h, Family: Window External Type 3 - Recessed and Angle</v>
      </c>
      <c r="F934" t="str">
        <f t="shared" ca="1" si="185"/>
        <v>Vector(X = -0.977, Y = -0.212, Z = 0.000, Length = 1.000)</v>
      </c>
      <c r="G934">
        <f t="shared" ca="1" si="186"/>
        <v>-1</v>
      </c>
      <c r="H934">
        <f t="shared" ca="1" si="187"/>
        <v>-0.2</v>
      </c>
      <c r="I934">
        <f t="shared" ca="1" si="188"/>
        <v>0</v>
      </c>
      <c r="J934" s="8">
        <f t="shared" ca="1" si="189"/>
        <v>-168.69006752597977</v>
      </c>
      <c r="K934" s="9" t="str">
        <f t="shared" ca="1" si="190"/>
        <v>W</v>
      </c>
      <c r="L934">
        <f ca="1">+_xlfn.IFNA(VLOOKUP(M934,BespokeWindowsAreas!$A$1:$E$1999,1,FALSE),VLOOKUP(E934,WindowTypeArea!$B$2:$C$2000,2,FALSE))</f>
        <v>4.5750000000000002</v>
      </c>
      <c r="M934">
        <f t="shared" ca="1" si="191"/>
        <v>4860672</v>
      </c>
    </row>
    <row r="935" spans="1:13" x14ac:dyDescent="0.25">
      <c r="A935">
        <f t="shared" ca="1" si="182"/>
        <v>2</v>
      </c>
      <c r="B935">
        <f t="shared" ca="1" si="183"/>
        <v>522</v>
      </c>
      <c r="C935" t="str">
        <f t="shared" ca="1" si="192"/>
        <v>'WINDOWS-NCH-A-BDP-M3-00-00'!B521</v>
      </c>
      <c r="D935" s="6" t="str">
        <f t="shared" ca="1" si="181"/>
        <v>L00-OPD-DW1-S115-21</v>
      </c>
      <c r="E935" t="str">
        <f t="shared" ca="1" si="184"/>
        <v>Family Type: 1500w x 3050h, Family: Window External Type 3 - Recessed and Angle</v>
      </c>
      <c r="F935" t="str">
        <f t="shared" ca="1" si="185"/>
        <v>Vector(X = -0.977, Y = -0.212, Z = 0.000, Length = 1.000)</v>
      </c>
      <c r="G935">
        <f t="shared" ca="1" si="186"/>
        <v>-1</v>
      </c>
      <c r="H935">
        <f t="shared" ca="1" si="187"/>
        <v>-0.2</v>
      </c>
      <c r="I935">
        <f t="shared" ca="1" si="188"/>
        <v>0</v>
      </c>
      <c r="J935" s="8">
        <f t="shared" ca="1" si="189"/>
        <v>-168.69006752597977</v>
      </c>
      <c r="K935" s="9" t="str">
        <f t="shared" ca="1" si="190"/>
        <v>W</v>
      </c>
      <c r="L935">
        <f ca="1">+_xlfn.IFNA(VLOOKUP(M935,BespokeWindowsAreas!$A$1:$E$1999,1,FALSE),VLOOKUP(E935,WindowTypeArea!$B$2:$C$2000,2,FALSE))</f>
        <v>4.5750000000000002</v>
      </c>
      <c r="M935">
        <f t="shared" ca="1" si="191"/>
        <v>4860673</v>
      </c>
    </row>
    <row r="936" spans="1:13" x14ac:dyDescent="0.25">
      <c r="A936">
        <f t="shared" ca="1" si="182"/>
        <v>2</v>
      </c>
      <c r="B936">
        <f t="shared" ca="1" si="183"/>
        <v>523</v>
      </c>
      <c r="C936" t="str">
        <f t="shared" ca="1" si="192"/>
        <v>'WINDOWS-NCH-A-BDP-M3-00-00'!B522</v>
      </c>
      <c r="D936" s="6" t="str">
        <f t="shared" ca="1" si="181"/>
        <v>L00-OPD-DW1-S115-21</v>
      </c>
      <c r="E936" t="str">
        <f t="shared" ca="1" si="184"/>
        <v>Family Type: 1500w x 3050h, Family: Window External Type 3 - Recessed and Angle</v>
      </c>
      <c r="F936" t="str">
        <f t="shared" ca="1" si="185"/>
        <v>Vector(X = 0.212, Y = -0.977, Z = 0.000, Length = 1.000)</v>
      </c>
      <c r="G936">
        <f t="shared" ca="1" si="186"/>
        <v>0.2</v>
      </c>
      <c r="H936">
        <f t="shared" ca="1" si="187"/>
        <v>-1</v>
      </c>
      <c r="I936">
        <f t="shared" ca="1" si="188"/>
        <v>0</v>
      </c>
      <c r="J936" s="8">
        <f t="shared" ca="1" si="189"/>
        <v>-78.690067525979785</v>
      </c>
      <c r="K936" s="9" t="str">
        <f t="shared" ca="1" si="190"/>
        <v>S</v>
      </c>
      <c r="L936">
        <f ca="1">+_xlfn.IFNA(VLOOKUP(M936,BespokeWindowsAreas!$A$1:$E$1999,1,FALSE),VLOOKUP(E936,WindowTypeArea!$B$2:$C$2000,2,FALSE))</f>
        <v>4.5750000000000002</v>
      </c>
      <c r="M936">
        <f t="shared" ca="1" si="191"/>
        <v>4865837</v>
      </c>
    </row>
    <row r="937" spans="1:13" x14ac:dyDescent="0.25">
      <c r="A937">
        <f t="shared" ca="1" si="182"/>
        <v>2</v>
      </c>
      <c r="B937">
        <f t="shared" ca="1" si="183"/>
        <v>524</v>
      </c>
      <c r="C937" t="str">
        <f t="shared" ca="1" si="192"/>
        <v>'WINDOWS-NCH-A-BDP-M3-00-00'!B523</v>
      </c>
      <c r="D937" s="6" t="str">
        <f t="shared" ca="1" si="181"/>
        <v>L00-OPD-DW1-S115-21</v>
      </c>
      <c r="E937" t="str">
        <f t="shared" ca="1" si="184"/>
        <v>Family Type: 1000w x 3050h, Family: Window External Type 4 - Extruded</v>
      </c>
      <c r="F937" t="str">
        <f t="shared" ca="1" si="185"/>
        <v>Vector(X = 0.212, Y = -0.977, Z = 0.000, Length = 1.000)</v>
      </c>
      <c r="G937">
        <f t="shared" ca="1" si="186"/>
        <v>0.2</v>
      </c>
      <c r="H937">
        <f t="shared" ca="1" si="187"/>
        <v>-1</v>
      </c>
      <c r="I937">
        <f t="shared" ca="1" si="188"/>
        <v>0</v>
      </c>
      <c r="J937" s="8">
        <f t="shared" ca="1" si="189"/>
        <v>-78.690067525979785</v>
      </c>
      <c r="K937" s="9" t="str">
        <f t="shared" ca="1" si="190"/>
        <v>S</v>
      </c>
      <c r="L937">
        <f ca="1">+_xlfn.IFNA(VLOOKUP(M937,BespokeWindowsAreas!$A$1:$E$1999,1,FALSE),VLOOKUP(E937,WindowTypeArea!$B$2:$C$2000,2,FALSE))</f>
        <v>3.05</v>
      </c>
      <c r="M937">
        <f t="shared" ca="1" si="191"/>
        <v>5152849</v>
      </c>
    </row>
    <row r="938" spans="1:13" x14ac:dyDescent="0.25">
      <c r="A938">
        <f t="shared" ca="1" si="182"/>
        <v>2</v>
      </c>
      <c r="B938">
        <f t="shared" ca="1" si="183"/>
        <v>525</v>
      </c>
      <c r="C938" t="str">
        <f t="shared" ca="1" si="192"/>
        <v>'WINDOWS-NCH-A-BDP-M3-00-00'!B524</v>
      </c>
      <c r="D938" s="6" t="str">
        <f t="shared" ca="1" si="181"/>
        <v>L00-OPD-DW1-S115-21</v>
      </c>
      <c r="E938" t="str">
        <f t="shared" ca="1" si="184"/>
        <v>Family Type: 1000w x 3050h, Family: Window External Type 2 - Recessed and Fin</v>
      </c>
      <c r="F938" t="str">
        <f t="shared" ca="1" si="185"/>
        <v>Vector(X = 0.212, Y = -0.977, Z = 0.000, Length = 1.000)</v>
      </c>
      <c r="G938">
        <f t="shared" ca="1" si="186"/>
        <v>0.2</v>
      </c>
      <c r="H938">
        <f t="shared" ca="1" si="187"/>
        <v>-1</v>
      </c>
      <c r="I938">
        <f t="shared" ca="1" si="188"/>
        <v>0</v>
      </c>
      <c r="J938" s="8">
        <f t="shared" ca="1" si="189"/>
        <v>-78.690067525979785</v>
      </c>
      <c r="K938" s="9" t="str">
        <f t="shared" ca="1" si="190"/>
        <v>S</v>
      </c>
      <c r="L938">
        <f ca="1">+_xlfn.IFNA(VLOOKUP(M938,BespokeWindowsAreas!$A$1:$E$1999,1,FALSE),VLOOKUP(E938,WindowTypeArea!$B$2:$C$2000,2,FALSE))</f>
        <v>3.05</v>
      </c>
      <c r="M938">
        <f t="shared" ca="1" si="191"/>
        <v>5154857</v>
      </c>
    </row>
    <row r="939" spans="1:13" x14ac:dyDescent="0.25">
      <c r="A939">
        <f t="shared" ca="1" si="182"/>
        <v>2</v>
      </c>
      <c r="B939">
        <f t="shared" ca="1" si="183"/>
        <v>526</v>
      </c>
      <c r="C939" t="str">
        <f t="shared" ca="1" si="192"/>
        <v>'WINDOWS-NCH-A-BDP-M3-00-00'!B525</v>
      </c>
      <c r="D939" s="6" t="str">
        <f t="shared" ca="1" si="181"/>
        <v>L00-CIR-CIR-C008-10</v>
      </c>
      <c r="E939" t="str">
        <f t="shared" ca="1" si="184"/>
        <v>L00-CIR-CIR-C008-10</v>
      </c>
      <c r="F939">
        <f t="shared" ca="1" si="185"/>
        <v>2161356</v>
      </c>
      <c r="G939">
        <f t="shared" ca="1" si="186"/>
        <v>0</v>
      </c>
      <c r="H939">
        <f t="shared" ca="1" si="187"/>
        <v>0</v>
      </c>
      <c r="I939">
        <f t="shared" ca="1" si="188"/>
        <v>0</v>
      </c>
      <c r="J939" s="8" t="e">
        <f t="shared" ca="1" si="189"/>
        <v>#DIV/0!</v>
      </c>
      <c r="K939" s="9" t="e">
        <f t="shared" ca="1" si="190"/>
        <v>#DIV/0!</v>
      </c>
      <c r="L939" t="e">
        <f ca="1">+_xlfn.IFNA(VLOOKUP(M939,BespokeWindowsAreas!$A$1:$E$1999,1,FALSE),VLOOKUP(E939,WindowTypeArea!$B$2:$C$2000,2,FALSE))</f>
        <v>#N/A</v>
      </c>
      <c r="M939">
        <f t="shared" ca="1" si="191"/>
        <v>0</v>
      </c>
    </row>
    <row r="940" spans="1:13" x14ac:dyDescent="0.25">
      <c r="A940">
        <f t="shared" ca="1" si="182"/>
        <v>2</v>
      </c>
      <c r="B940">
        <f t="shared" ca="1" si="183"/>
        <v>527</v>
      </c>
      <c r="C940" t="str">
        <f t="shared" ca="1" si="192"/>
        <v>'WINDOWS-NCH-A-BDP-M3-00-00'!B526</v>
      </c>
      <c r="D940" s="6" t="str">
        <f t="shared" ca="1" si="181"/>
        <v>L00-CIR-CIR-C008-10</v>
      </c>
      <c r="E940" t="str">
        <f t="shared" ca="1" si="184"/>
        <v>Family Type: Curtain Wall_975w x 3050h 2, Family: Window External Type 6 - Flush, Recessed</v>
      </c>
      <c r="F940" t="str">
        <f t="shared" ca="1" si="185"/>
        <v>Vector(X = 0.212, Y = -0.977, Z = 0.000, Length = 1.000)</v>
      </c>
      <c r="G940">
        <f t="shared" ca="1" si="186"/>
        <v>0.2</v>
      </c>
      <c r="H940">
        <f t="shared" ca="1" si="187"/>
        <v>-1</v>
      </c>
      <c r="I940">
        <f t="shared" ca="1" si="188"/>
        <v>0</v>
      </c>
      <c r="J940" s="8">
        <f t="shared" ca="1" si="189"/>
        <v>-78.690067525979785</v>
      </c>
      <c r="K940" s="9" t="str">
        <f t="shared" ca="1" si="190"/>
        <v>S</v>
      </c>
      <c r="L940">
        <f ca="1">+_xlfn.IFNA(VLOOKUP(M940,BespokeWindowsAreas!$A$1:$E$1999,1,FALSE),VLOOKUP(E940,WindowTypeArea!$B$2:$C$2000,2,FALSE))</f>
        <v>2.9737499999999999</v>
      </c>
      <c r="M940">
        <f t="shared" ca="1" si="191"/>
        <v>4928973</v>
      </c>
    </row>
    <row r="941" spans="1:13" x14ac:dyDescent="0.25">
      <c r="A941">
        <f t="shared" ca="1" si="182"/>
        <v>2</v>
      </c>
      <c r="B941">
        <f t="shared" ca="1" si="183"/>
        <v>528</v>
      </c>
      <c r="C941" t="str">
        <f t="shared" ca="1" si="192"/>
        <v>'WINDOWS-NCH-A-BDP-M3-00-00'!B527</v>
      </c>
      <c r="D941" s="6" t="str">
        <f t="shared" ca="1" si="181"/>
        <v>L00-CIR-CIR-C008-10</v>
      </c>
      <c r="E941" t="str">
        <f t="shared" ca="1" si="184"/>
        <v>Family Type: Curtain Wall_975w x 3050h 2, Family: Window External Type 6 - Flush, Recessed</v>
      </c>
      <c r="F941" t="str">
        <f t="shared" ca="1" si="185"/>
        <v>Vector(X = 0.212, Y = -0.977, Z = 0.000, Length = 1.000)</v>
      </c>
      <c r="G941">
        <f t="shared" ca="1" si="186"/>
        <v>0.2</v>
      </c>
      <c r="H941">
        <f t="shared" ca="1" si="187"/>
        <v>-1</v>
      </c>
      <c r="I941">
        <f t="shared" ca="1" si="188"/>
        <v>0</v>
      </c>
      <c r="J941" s="8">
        <f t="shared" ca="1" si="189"/>
        <v>-78.690067525979785</v>
      </c>
      <c r="K941" s="9" t="str">
        <f t="shared" ca="1" si="190"/>
        <v>S</v>
      </c>
      <c r="L941">
        <f ca="1">+_xlfn.IFNA(VLOOKUP(M941,BespokeWindowsAreas!$A$1:$E$1999,1,FALSE),VLOOKUP(E941,WindowTypeArea!$B$2:$C$2000,2,FALSE))</f>
        <v>2.9737499999999999</v>
      </c>
      <c r="M941">
        <f t="shared" ca="1" si="191"/>
        <v>4928976</v>
      </c>
    </row>
    <row r="942" spans="1:13" x14ac:dyDescent="0.25">
      <c r="A942">
        <f t="shared" ca="1" si="182"/>
        <v>2</v>
      </c>
      <c r="B942">
        <f t="shared" ca="1" si="183"/>
        <v>529</v>
      </c>
      <c r="C942" t="str">
        <f t="shared" ca="1" si="192"/>
        <v>'WINDOWS-NCH-A-BDP-M3-00-00'!B528</v>
      </c>
      <c r="D942" s="6" t="str">
        <f t="shared" ca="1" si="181"/>
        <v>L00-CIR-CIR-C008-10</v>
      </c>
      <c r="E942" t="str">
        <f t="shared" ca="1" si="184"/>
        <v>Family Type: Curtain Wall_1950w x 3050h, Family: Window External Type 6 - Flush, Recessed</v>
      </c>
      <c r="F942" t="str">
        <f t="shared" ca="1" si="185"/>
        <v>Vector(X = 0.212, Y = -0.977, Z = 0.000, Length = 1.000)</v>
      </c>
      <c r="G942">
        <f t="shared" ca="1" si="186"/>
        <v>0.2</v>
      </c>
      <c r="H942">
        <f t="shared" ca="1" si="187"/>
        <v>-1</v>
      </c>
      <c r="I942">
        <f t="shared" ca="1" si="188"/>
        <v>0</v>
      </c>
      <c r="J942" s="8">
        <f t="shared" ca="1" si="189"/>
        <v>-78.690067525979785</v>
      </c>
      <c r="K942" s="9" t="str">
        <f t="shared" ca="1" si="190"/>
        <v>S</v>
      </c>
      <c r="L942">
        <f ca="1">+_xlfn.IFNA(VLOOKUP(M942,BespokeWindowsAreas!$A$1:$E$1999,1,FALSE),VLOOKUP(E942,WindowTypeArea!$B$2:$C$2000,2,FALSE))</f>
        <v>5.9474999999999998</v>
      </c>
      <c r="M942">
        <f t="shared" ca="1" si="191"/>
        <v>4929826</v>
      </c>
    </row>
    <row r="943" spans="1:13" x14ac:dyDescent="0.25">
      <c r="A943">
        <f t="shared" ca="1" si="182"/>
        <v>2</v>
      </c>
      <c r="B943">
        <f t="shared" ca="1" si="183"/>
        <v>530</v>
      </c>
      <c r="C943" t="str">
        <f t="shared" ca="1" si="192"/>
        <v>'WINDOWS-NCH-A-BDP-M3-00-00'!B529</v>
      </c>
      <c r="D943" s="6" t="str">
        <f t="shared" ca="1" si="181"/>
        <v>L00-CIR-CIR-C008-10</v>
      </c>
      <c r="E943" t="str">
        <f t="shared" ca="1" si="184"/>
        <v>Family Type: Curtain Wall_975w x 3050h 2, Family: Window External Type 6 - Flush, Recessed</v>
      </c>
      <c r="F943" t="str">
        <f t="shared" ca="1" si="185"/>
        <v>Vector(X = 0.212, Y = -0.977, Z = 0.000, Length = 1.000)</v>
      </c>
      <c r="G943">
        <f t="shared" ca="1" si="186"/>
        <v>0.2</v>
      </c>
      <c r="H943">
        <f t="shared" ca="1" si="187"/>
        <v>-1</v>
      </c>
      <c r="I943">
        <f t="shared" ca="1" si="188"/>
        <v>0</v>
      </c>
      <c r="J943" s="8">
        <f t="shared" ca="1" si="189"/>
        <v>-78.690067525979785</v>
      </c>
      <c r="K943" s="9" t="str">
        <f t="shared" ca="1" si="190"/>
        <v>S</v>
      </c>
      <c r="L943">
        <f ca="1">+_xlfn.IFNA(VLOOKUP(M943,BespokeWindowsAreas!$A$1:$E$1999,1,FALSE),VLOOKUP(E943,WindowTypeArea!$B$2:$C$2000,2,FALSE))</f>
        <v>2.9737499999999999</v>
      </c>
      <c r="M943">
        <f t="shared" ca="1" si="191"/>
        <v>4929833</v>
      </c>
    </row>
    <row r="944" spans="1:13" x14ac:dyDescent="0.25">
      <c r="A944">
        <f t="shared" ca="1" si="182"/>
        <v>2</v>
      </c>
      <c r="B944">
        <f t="shared" ca="1" si="183"/>
        <v>531</v>
      </c>
      <c r="C944" t="str">
        <f t="shared" ca="1" si="192"/>
        <v>'WINDOWS-NCH-A-BDP-M3-00-00'!B530</v>
      </c>
      <c r="D944" s="6" t="str">
        <f t="shared" ca="1" si="181"/>
        <v>L00-CIR-CIR-C008-10</v>
      </c>
      <c r="E944" t="str">
        <f t="shared" ca="1" si="184"/>
        <v>Family Type: Curtain Wall_975w x 3050h 2, Family: Window External Type 6 - Flush, Recessed</v>
      </c>
      <c r="F944" t="str">
        <f t="shared" ca="1" si="185"/>
        <v>Vector(X = 0.212, Y = -0.977, Z = 0.000, Length = 1.000)</v>
      </c>
      <c r="G944">
        <f t="shared" ca="1" si="186"/>
        <v>0.2</v>
      </c>
      <c r="H944">
        <f t="shared" ca="1" si="187"/>
        <v>-1</v>
      </c>
      <c r="I944">
        <f t="shared" ca="1" si="188"/>
        <v>0</v>
      </c>
      <c r="J944" s="8">
        <f t="shared" ca="1" si="189"/>
        <v>-78.690067525979785</v>
      </c>
      <c r="K944" s="9" t="str">
        <f t="shared" ca="1" si="190"/>
        <v>S</v>
      </c>
      <c r="L944">
        <f ca="1">+_xlfn.IFNA(VLOOKUP(M944,BespokeWindowsAreas!$A$1:$E$1999,1,FALSE),VLOOKUP(E944,WindowTypeArea!$B$2:$C$2000,2,FALSE))</f>
        <v>2.9737499999999999</v>
      </c>
      <c r="M944">
        <f t="shared" ca="1" si="191"/>
        <v>4929834</v>
      </c>
    </row>
    <row r="945" spans="1:13" x14ac:dyDescent="0.25">
      <c r="A945">
        <f t="shared" ca="1" si="182"/>
        <v>2</v>
      </c>
      <c r="B945">
        <f t="shared" ca="1" si="183"/>
        <v>532</v>
      </c>
      <c r="C945" t="str">
        <f t="shared" ca="1" si="192"/>
        <v>'WINDOWS-NCH-A-BDP-M3-00-00'!B531</v>
      </c>
      <c r="D945" s="6" t="str">
        <f t="shared" ca="1" si="181"/>
        <v>L00-CIR-CIR-C008-10</v>
      </c>
      <c r="E945" t="str">
        <f t="shared" ca="1" si="184"/>
        <v>Family Type: Curtain Wall_975w x 3050h 2, Family: Window External Type 6 - Flush, Recessed</v>
      </c>
      <c r="F945" t="str">
        <f t="shared" ca="1" si="185"/>
        <v>Vector(X = 0.212, Y = -0.977, Z = 0.000, Length = 1.000)</v>
      </c>
      <c r="G945">
        <f t="shared" ca="1" si="186"/>
        <v>0.2</v>
      </c>
      <c r="H945">
        <f t="shared" ca="1" si="187"/>
        <v>-1</v>
      </c>
      <c r="I945">
        <f t="shared" ca="1" si="188"/>
        <v>0</v>
      </c>
      <c r="J945" s="8">
        <f t="shared" ca="1" si="189"/>
        <v>-78.690067525979785</v>
      </c>
      <c r="K945" s="9" t="str">
        <f t="shared" ca="1" si="190"/>
        <v>S</v>
      </c>
      <c r="L945">
        <f ca="1">+_xlfn.IFNA(VLOOKUP(M945,BespokeWindowsAreas!$A$1:$E$1999,1,FALSE),VLOOKUP(E945,WindowTypeArea!$B$2:$C$2000,2,FALSE))</f>
        <v>2.9737499999999999</v>
      </c>
      <c r="M945">
        <f t="shared" ca="1" si="191"/>
        <v>4929835</v>
      </c>
    </row>
    <row r="946" spans="1:13" x14ac:dyDescent="0.25">
      <c r="A946">
        <f t="shared" ca="1" si="182"/>
        <v>2</v>
      </c>
      <c r="B946">
        <f t="shared" ca="1" si="183"/>
        <v>533</v>
      </c>
      <c r="C946" t="str">
        <f t="shared" ca="1" si="192"/>
        <v>'WINDOWS-NCH-A-BDP-M3-00-00'!B532</v>
      </c>
      <c r="D946" s="6" t="str">
        <f t="shared" ca="1" si="181"/>
        <v>L00-CIR-CIR-C008-10</v>
      </c>
      <c r="E946" t="str">
        <f t="shared" ca="1" si="184"/>
        <v>Family Type: Curtain Wall_1500w x 3050h, Family: Window External Type 6 - Flush, Recessed</v>
      </c>
      <c r="F946" t="str">
        <f t="shared" ca="1" si="185"/>
        <v>Vector(X = 0.212, Y = -0.977, Z = 0.000, Length = 1.000)</v>
      </c>
      <c r="G946">
        <f t="shared" ca="1" si="186"/>
        <v>0.2</v>
      </c>
      <c r="H946">
        <f t="shared" ca="1" si="187"/>
        <v>-1</v>
      </c>
      <c r="I946">
        <f t="shared" ca="1" si="188"/>
        <v>0</v>
      </c>
      <c r="J946" s="8">
        <f t="shared" ca="1" si="189"/>
        <v>-78.690067525979785</v>
      </c>
      <c r="K946" s="9" t="str">
        <f t="shared" ca="1" si="190"/>
        <v>S</v>
      </c>
      <c r="L946">
        <f ca="1">+_xlfn.IFNA(VLOOKUP(M946,BespokeWindowsAreas!$A$1:$E$1999,1,FALSE),VLOOKUP(E946,WindowTypeArea!$B$2:$C$2000,2,FALSE))</f>
        <v>4.5749999999999993</v>
      </c>
      <c r="M946">
        <f t="shared" ca="1" si="191"/>
        <v>4929838</v>
      </c>
    </row>
    <row r="947" spans="1:13" x14ac:dyDescent="0.25">
      <c r="A947">
        <f t="shared" ca="1" si="182"/>
        <v>2</v>
      </c>
      <c r="B947">
        <f t="shared" ca="1" si="183"/>
        <v>534</v>
      </c>
      <c r="C947" t="str">
        <f t="shared" ca="1" si="192"/>
        <v>'WINDOWS-NCH-A-BDP-M3-00-00'!B533</v>
      </c>
      <c r="D947" s="6" t="str">
        <f t="shared" ca="1" si="181"/>
        <v>L00-CIR-CIR-C008-10</v>
      </c>
      <c r="E947" t="str">
        <f t="shared" ca="1" si="184"/>
        <v>Family Type: Curtain Wall_975x1950x3800 2, Family: Window External Type 5 - Flush Corner 2</v>
      </c>
      <c r="F947" t="str">
        <f t="shared" ca="1" si="185"/>
        <v>Vector(X = -0.212, Y = 0.977, Z = 0.000, Length = 1.000)</v>
      </c>
      <c r="G947">
        <f t="shared" ca="1" si="186"/>
        <v>-0.2</v>
      </c>
      <c r="H947">
        <f t="shared" ca="1" si="187"/>
        <v>1</v>
      </c>
      <c r="I947">
        <f t="shared" ca="1" si="188"/>
        <v>0</v>
      </c>
      <c r="J947" s="8">
        <f t="shared" ca="1" si="189"/>
        <v>101.3099324740202</v>
      </c>
      <c r="K947" s="9" t="str">
        <f t="shared" ca="1" si="190"/>
        <v>N</v>
      </c>
      <c r="L947">
        <f ca="1">+_xlfn.IFNA(VLOOKUP(M947,BespokeWindowsAreas!$A$1:$E$1999,1,FALSE),VLOOKUP(E947,WindowTypeArea!$B$2:$C$2000,2,FALSE))</f>
        <v>0</v>
      </c>
      <c r="M947">
        <f t="shared" ca="1" si="191"/>
        <v>4932674</v>
      </c>
    </row>
    <row r="948" spans="1:13" x14ac:dyDescent="0.25">
      <c r="A948">
        <f t="shared" ca="1" si="182"/>
        <v>2</v>
      </c>
      <c r="B948">
        <f t="shared" ca="1" si="183"/>
        <v>535</v>
      </c>
      <c r="C948" t="str">
        <f t="shared" ca="1" si="192"/>
        <v>'WINDOWS-NCH-A-BDP-M3-00-00'!B534</v>
      </c>
      <c r="D948" s="6" t="str">
        <f t="shared" ca="1" si="181"/>
        <v>L00-CIR-CIR-C008-10</v>
      </c>
      <c r="E948" t="str">
        <f t="shared" ca="1" si="184"/>
        <v>Family Type: Curtain Wall_975w x 3050h 2, Family: Window External Type 6 - Flush, Recessed</v>
      </c>
      <c r="F948" t="str">
        <f t="shared" ca="1" si="185"/>
        <v>Vector(X = -0.872, Y = -0.489, Z = 0.000, Length = 1.000)</v>
      </c>
      <c r="G948">
        <f t="shared" ca="1" si="186"/>
        <v>-0.9</v>
      </c>
      <c r="H948">
        <f t="shared" ca="1" si="187"/>
        <v>-0.5</v>
      </c>
      <c r="I948">
        <f t="shared" ca="1" si="188"/>
        <v>0</v>
      </c>
      <c r="J948" s="8">
        <f t="shared" ca="1" si="189"/>
        <v>-150.94539590092285</v>
      </c>
      <c r="K948" s="9" t="str">
        <f t="shared" ca="1" si="190"/>
        <v>W</v>
      </c>
      <c r="L948">
        <f ca="1">+_xlfn.IFNA(VLOOKUP(M948,BespokeWindowsAreas!$A$1:$E$1999,1,FALSE),VLOOKUP(E948,WindowTypeArea!$B$2:$C$2000,2,FALSE))</f>
        <v>2.9737499999999999</v>
      </c>
      <c r="M948">
        <f t="shared" ca="1" si="191"/>
        <v>4934096</v>
      </c>
    </row>
    <row r="949" spans="1:13" x14ac:dyDescent="0.25">
      <c r="A949">
        <f t="shared" ca="1" si="182"/>
        <v>2</v>
      </c>
      <c r="B949">
        <f t="shared" ca="1" si="183"/>
        <v>536</v>
      </c>
      <c r="C949" t="str">
        <f t="shared" ca="1" si="192"/>
        <v>'WINDOWS-NCH-A-BDP-M3-00-00'!B535</v>
      </c>
      <c r="D949" s="6" t="str">
        <f t="shared" ca="1" si="181"/>
        <v>L00-CIR-CIR-C008-10</v>
      </c>
      <c r="E949" t="str">
        <f t="shared" ca="1" si="184"/>
        <v>Family Type: Curtain Wall_975w x 3050h 2, Family: Window External Type 6 - Flush, Recessed</v>
      </c>
      <c r="F949" t="str">
        <f t="shared" ca="1" si="185"/>
        <v>Vector(X = -0.872, Y = -0.489, Z = 0.000, Length = 1.000)</v>
      </c>
      <c r="G949">
        <f t="shared" ca="1" si="186"/>
        <v>-0.9</v>
      </c>
      <c r="H949">
        <f t="shared" ca="1" si="187"/>
        <v>-0.5</v>
      </c>
      <c r="I949">
        <f t="shared" ca="1" si="188"/>
        <v>0</v>
      </c>
      <c r="J949" s="8">
        <f t="shared" ca="1" si="189"/>
        <v>-150.94539590092285</v>
      </c>
      <c r="K949" s="9" t="str">
        <f t="shared" ca="1" si="190"/>
        <v>W</v>
      </c>
      <c r="L949">
        <f ca="1">+_xlfn.IFNA(VLOOKUP(M949,BespokeWindowsAreas!$A$1:$E$1999,1,FALSE),VLOOKUP(E949,WindowTypeArea!$B$2:$C$2000,2,FALSE))</f>
        <v>2.9737499999999999</v>
      </c>
      <c r="M949">
        <f t="shared" ca="1" si="191"/>
        <v>4934145</v>
      </c>
    </row>
    <row r="950" spans="1:13" x14ac:dyDescent="0.25">
      <c r="A950">
        <f t="shared" ca="1" si="182"/>
        <v>2</v>
      </c>
      <c r="B950">
        <f t="shared" ca="1" si="183"/>
        <v>537</v>
      </c>
      <c r="C950" t="str">
        <f t="shared" ca="1" si="192"/>
        <v>'WINDOWS-NCH-A-BDP-M3-00-00'!B536</v>
      </c>
      <c r="D950" s="6" t="str">
        <f t="shared" ca="1" si="181"/>
        <v>L00-CIR-CIR-C006-13</v>
      </c>
      <c r="E950" t="str">
        <f t="shared" ca="1" si="184"/>
        <v>L00-CIR-CIR-C006-13</v>
      </c>
      <c r="F950">
        <f t="shared" ca="1" si="185"/>
        <v>2161362</v>
      </c>
      <c r="G950">
        <f t="shared" ca="1" si="186"/>
        <v>0</v>
      </c>
      <c r="H950">
        <f t="shared" ca="1" si="187"/>
        <v>0</v>
      </c>
      <c r="I950">
        <f t="shared" ca="1" si="188"/>
        <v>0</v>
      </c>
      <c r="J950" s="8" t="e">
        <f t="shared" ca="1" si="189"/>
        <v>#DIV/0!</v>
      </c>
      <c r="K950" s="9" t="e">
        <f t="shared" ca="1" si="190"/>
        <v>#DIV/0!</v>
      </c>
      <c r="L950" t="e">
        <f ca="1">+_xlfn.IFNA(VLOOKUP(M950,BespokeWindowsAreas!$A$1:$E$1999,1,FALSE),VLOOKUP(E950,WindowTypeArea!$B$2:$C$2000,2,FALSE))</f>
        <v>#N/A</v>
      </c>
      <c r="M950">
        <f t="shared" ca="1" si="191"/>
        <v>0</v>
      </c>
    </row>
    <row r="951" spans="1:13" x14ac:dyDescent="0.25">
      <c r="A951">
        <f t="shared" ca="1" si="182"/>
        <v>2</v>
      </c>
      <c r="B951">
        <f t="shared" ca="1" si="183"/>
        <v>538</v>
      </c>
      <c r="C951" t="str">
        <f t="shared" ca="1" si="192"/>
        <v>'WINDOWS-NCH-A-BDP-M3-00-00'!B537</v>
      </c>
      <c r="D951" s="6" t="str">
        <f t="shared" ca="1" si="181"/>
        <v>L00-CIR-CIR-C006-13</v>
      </c>
      <c r="E951" t="str">
        <f t="shared" ca="1" si="184"/>
        <v>Family Type: Curtain Wall_1500w x 3050h, Family: Window External Type 6 - Flush, Recessed</v>
      </c>
      <c r="F951" t="str">
        <f t="shared" ca="1" si="185"/>
        <v>Vector(X = -0.872, Y = -0.489, Z = 0.000, Length = 1.000)</v>
      </c>
      <c r="G951">
        <f t="shared" ca="1" si="186"/>
        <v>-0.9</v>
      </c>
      <c r="H951">
        <f t="shared" ca="1" si="187"/>
        <v>-0.5</v>
      </c>
      <c r="I951">
        <f t="shared" ca="1" si="188"/>
        <v>0</v>
      </c>
      <c r="J951" s="8">
        <f t="shared" ca="1" si="189"/>
        <v>-150.94539590092285</v>
      </c>
      <c r="K951" s="9" t="str">
        <f t="shared" ca="1" si="190"/>
        <v>W</v>
      </c>
      <c r="L951">
        <f ca="1">+_xlfn.IFNA(VLOOKUP(M951,BespokeWindowsAreas!$A$1:$E$1999,1,FALSE),VLOOKUP(E951,WindowTypeArea!$B$2:$C$2000,2,FALSE))</f>
        <v>4.5749999999999993</v>
      </c>
      <c r="M951">
        <f t="shared" ca="1" si="191"/>
        <v>5490270</v>
      </c>
    </row>
    <row r="952" spans="1:13" x14ac:dyDescent="0.25">
      <c r="A952">
        <f t="shared" ca="1" si="182"/>
        <v>2</v>
      </c>
      <c r="B952">
        <f t="shared" ca="1" si="183"/>
        <v>539</v>
      </c>
      <c r="C952" t="str">
        <f t="shared" ca="1" si="192"/>
        <v>'WINDOWS-NCH-A-BDP-M3-00-00'!B538</v>
      </c>
      <c r="D952" s="6" t="str">
        <f t="shared" ca="1" si="181"/>
        <v>L00-CIR-CIR-C006-13</v>
      </c>
      <c r="E952" t="str">
        <f t="shared" ca="1" si="184"/>
        <v>Family Type: Curtain Wall_1500w x 3050h, Family: Window External Type 6 - Flush, Recessed</v>
      </c>
      <c r="F952" t="str">
        <f t="shared" ca="1" si="185"/>
        <v>Vector(X = -0.872, Y = -0.489, Z = 0.000, Length = 1.000)</v>
      </c>
      <c r="G952">
        <f t="shared" ca="1" si="186"/>
        <v>-0.9</v>
      </c>
      <c r="H952">
        <f t="shared" ca="1" si="187"/>
        <v>-0.5</v>
      </c>
      <c r="I952">
        <f t="shared" ca="1" si="188"/>
        <v>0</v>
      </c>
      <c r="J952" s="8">
        <f t="shared" ca="1" si="189"/>
        <v>-150.94539590092285</v>
      </c>
      <c r="K952" s="9" t="str">
        <f t="shared" ca="1" si="190"/>
        <v>W</v>
      </c>
      <c r="L952">
        <f ca="1">+_xlfn.IFNA(VLOOKUP(M952,BespokeWindowsAreas!$A$1:$E$1999,1,FALSE),VLOOKUP(E952,WindowTypeArea!$B$2:$C$2000,2,FALSE))</f>
        <v>4.5749999999999993</v>
      </c>
      <c r="M952">
        <f t="shared" ca="1" si="191"/>
        <v>5490405</v>
      </c>
    </row>
    <row r="953" spans="1:13" x14ac:dyDescent="0.25">
      <c r="A953">
        <f t="shared" ca="1" si="182"/>
        <v>2</v>
      </c>
      <c r="B953">
        <f t="shared" ca="1" si="183"/>
        <v>540</v>
      </c>
      <c r="C953" t="str">
        <f t="shared" ca="1" si="192"/>
        <v>'WINDOWS-NCH-A-BDP-M3-00-00'!B539</v>
      </c>
      <c r="D953" s="6" t="str">
        <f t="shared" ca="1" si="181"/>
        <v>L00-CIR-CIR-C006-13</v>
      </c>
      <c r="E953" t="str">
        <f t="shared" ca="1" si="184"/>
        <v>Family Type: Curtain Wall_975w x 3050h 2, Family: Window External Type 6 - Flush, Recessed</v>
      </c>
      <c r="F953" t="str">
        <f t="shared" ca="1" si="185"/>
        <v>Vector(X = -0.872, Y = -0.489, Z = 0.000, Length = 1.000)</v>
      </c>
      <c r="G953">
        <f t="shared" ca="1" si="186"/>
        <v>-0.9</v>
      </c>
      <c r="H953">
        <f t="shared" ca="1" si="187"/>
        <v>-0.5</v>
      </c>
      <c r="I953">
        <f t="shared" ca="1" si="188"/>
        <v>0</v>
      </c>
      <c r="J953" s="8">
        <f t="shared" ca="1" si="189"/>
        <v>-150.94539590092285</v>
      </c>
      <c r="K953" s="9" t="str">
        <f t="shared" ca="1" si="190"/>
        <v>W</v>
      </c>
      <c r="L953">
        <f ca="1">+_xlfn.IFNA(VLOOKUP(M953,BespokeWindowsAreas!$A$1:$E$1999,1,FALSE),VLOOKUP(E953,WindowTypeArea!$B$2:$C$2000,2,FALSE))</f>
        <v>2.9737499999999999</v>
      </c>
      <c r="M953">
        <f t="shared" ca="1" si="191"/>
        <v>5490441</v>
      </c>
    </row>
    <row r="954" spans="1:13" x14ac:dyDescent="0.25">
      <c r="A954">
        <f t="shared" ca="1" si="182"/>
        <v>2</v>
      </c>
      <c r="B954">
        <f t="shared" ca="1" si="183"/>
        <v>541</v>
      </c>
      <c r="C954" t="str">
        <f t="shared" ca="1" si="192"/>
        <v>'WINDOWS-NCH-A-BDP-M3-00-00'!B540</v>
      </c>
      <c r="D954" s="6" t="str">
        <f t="shared" ca="1" si="181"/>
        <v>L00-CIR-CIR-C008-03</v>
      </c>
      <c r="E954" t="str">
        <f t="shared" ca="1" si="184"/>
        <v>L00-CIR-CIR-C008-03</v>
      </c>
      <c r="F954">
        <f t="shared" ca="1" si="185"/>
        <v>2161407</v>
      </c>
      <c r="G954">
        <f t="shared" ca="1" si="186"/>
        <v>0</v>
      </c>
      <c r="H954">
        <f t="shared" ca="1" si="187"/>
        <v>0</v>
      </c>
      <c r="I954">
        <f t="shared" ca="1" si="188"/>
        <v>0</v>
      </c>
      <c r="J954" s="8" t="e">
        <f t="shared" ca="1" si="189"/>
        <v>#DIV/0!</v>
      </c>
      <c r="K954" s="9" t="e">
        <f t="shared" ca="1" si="190"/>
        <v>#DIV/0!</v>
      </c>
      <c r="L954" t="e">
        <f ca="1">+_xlfn.IFNA(VLOOKUP(M954,BespokeWindowsAreas!$A$1:$E$1999,1,FALSE),VLOOKUP(E954,WindowTypeArea!$B$2:$C$2000,2,FALSE))</f>
        <v>#N/A</v>
      </c>
      <c r="M954">
        <f t="shared" ca="1" si="191"/>
        <v>0</v>
      </c>
    </row>
    <row r="955" spans="1:13" x14ac:dyDescent="0.25">
      <c r="A955">
        <f t="shared" ca="1" si="182"/>
        <v>2</v>
      </c>
      <c r="B955">
        <f t="shared" ca="1" si="183"/>
        <v>542</v>
      </c>
      <c r="C955" t="str">
        <f t="shared" ca="1" si="192"/>
        <v>'WINDOWS-NCH-A-BDP-M3-00-00'!B541</v>
      </c>
      <c r="D955" s="6" t="str">
        <f t="shared" ca="1" si="181"/>
        <v>L00-CIR-CIR-C008-03</v>
      </c>
      <c r="E955" t="str">
        <f t="shared" ca="1" si="184"/>
        <v>Family Type: 1000w x 3050h, Family: Window External Type 4 - Extruded</v>
      </c>
      <c r="F955" t="str">
        <f t="shared" ca="1" si="185"/>
        <v>Vector(X = -0.530, Y = 0.848, Z = 0.000, Length = 1.000)</v>
      </c>
      <c r="G955">
        <f t="shared" ca="1" si="186"/>
        <v>-0.5</v>
      </c>
      <c r="H955">
        <f t="shared" ca="1" si="187"/>
        <v>0.8</v>
      </c>
      <c r="I955">
        <f t="shared" ca="1" si="188"/>
        <v>0</v>
      </c>
      <c r="J955" s="8">
        <f t="shared" ca="1" si="189"/>
        <v>122.0053832080835</v>
      </c>
      <c r="K955" s="9" t="str">
        <f t="shared" ca="1" si="190"/>
        <v>N</v>
      </c>
      <c r="L955">
        <f ca="1">+_xlfn.IFNA(VLOOKUP(M955,BespokeWindowsAreas!$A$1:$E$1999,1,FALSE),VLOOKUP(E955,WindowTypeArea!$B$2:$C$2000,2,FALSE))</f>
        <v>3.05</v>
      </c>
      <c r="M955">
        <f t="shared" ca="1" si="191"/>
        <v>6091442</v>
      </c>
    </row>
    <row r="956" spans="1:13" x14ac:dyDescent="0.25">
      <c r="A956">
        <f t="shared" ca="1" si="182"/>
        <v>2</v>
      </c>
      <c r="B956">
        <f t="shared" ca="1" si="183"/>
        <v>543</v>
      </c>
      <c r="C956" t="str">
        <f t="shared" ca="1" si="192"/>
        <v>'WINDOWS-NCH-A-BDP-M3-00-00'!B542</v>
      </c>
      <c r="D956" s="6" t="str">
        <f t="shared" ca="1" si="181"/>
        <v>L00-CIR-CIR-C008-04</v>
      </c>
      <c r="E956" t="str">
        <f t="shared" ca="1" si="184"/>
        <v>L00-CIR-CIR-C008-04</v>
      </c>
      <c r="F956">
        <f t="shared" ca="1" si="185"/>
        <v>2161517</v>
      </c>
      <c r="G956">
        <f t="shared" ca="1" si="186"/>
        <v>0</v>
      </c>
      <c r="H956">
        <f t="shared" ca="1" si="187"/>
        <v>0</v>
      </c>
      <c r="I956">
        <f t="shared" ca="1" si="188"/>
        <v>0</v>
      </c>
      <c r="J956" s="8" t="e">
        <f t="shared" ca="1" si="189"/>
        <v>#DIV/0!</v>
      </c>
      <c r="K956" s="9" t="e">
        <f t="shared" ca="1" si="190"/>
        <v>#DIV/0!</v>
      </c>
      <c r="L956" t="e">
        <f ca="1">+_xlfn.IFNA(VLOOKUP(M956,BespokeWindowsAreas!$A$1:$E$1999,1,FALSE),VLOOKUP(E956,WindowTypeArea!$B$2:$C$2000,2,FALSE))</f>
        <v>#N/A</v>
      </c>
      <c r="M956">
        <f t="shared" ca="1" si="191"/>
        <v>0</v>
      </c>
    </row>
    <row r="957" spans="1:13" x14ac:dyDescent="0.25">
      <c r="A957">
        <f t="shared" ca="1" si="182"/>
        <v>2</v>
      </c>
      <c r="B957">
        <f t="shared" ca="1" si="183"/>
        <v>544</v>
      </c>
      <c r="C957" t="str">
        <f t="shared" ca="1" si="192"/>
        <v>'WINDOWS-NCH-A-BDP-M3-00-00'!B543</v>
      </c>
      <c r="D957" s="6" t="str">
        <f t="shared" ca="1" si="181"/>
        <v>L00-CIR-CIR-C008-04</v>
      </c>
      <c r="E957" t="str">
        <f t="shared" ca="1" si="184"/>
        <v>Family Type: 975w x 3050h, Family: Window External Type 1 - Recessed</v>
      </c>
      <c r="F957" t="str">
        <f t="shared" ca="1" si="185"/>
        <v>Vector(X = -0.130, Y = -0.991, Z = 0.000, Length = 1.000)</v>
      </c>
      <c r="G957">
        <f t="shared" ca="1" si="186"/>
        <v>-0.1</v>
      </c>
      <c r="H957">
        <f t="shared" ca="1" si="187"/>
        <v>-1</v>
      </c>
      <c r="I957">
        <f t="shared" ca="1" si="188"/>
        <v>0</v>
      </c>
      <c r="J957" s="8">
        <f t="shared" ca="1" si="189"/>
        <v>-95.710593137499629</v>
      </c>
      <c r="K957" s="9" t="str">
        <f t="shared" ca="1" si="190"/>
        <v>SW</v>
      </c>
      <c r="L957">
        <f ca="1">+_xlfn.IFNA(VLOOKUP(M957,BespokeWindowsAreas!$A$1:$E$1999,1,FALSE),VLOOKUP(E957,WindowTypeArea!$B$2:$C$2000,2,FALSE))</f>
        <v>2.9737499999999999</v>
      </c>
      <c r="M957">
        <f t="shared" ca="1" si="191"/>
        <v>5286839</v>
      </c>
    </row>
    <row r="958" spans="1:13" x14ac:dyDescent="0.25">
      <c r="A958">
        <f t="shared" ca="1" si="182"/>
        <v>2</v>
      </c>
      <c r="B958">
        <f t="shared" ca="1" si="183"/>
        <v>545</v>
      </c>
      <c r="C958" t="str">
        <f t="shared" ca="1" si="192"/>
        <v>'WINDOWS-NCH-A-BDP-M3-00-00'!B544</v>
      </c>
      <c r="D958" s="6">
        <f t="shared" ca="1" si="181"/>
        <v>39</v>
      </c>
      <c r="E958">
        <f t="shared" ca="1" si="184"/>
        <v>39</v>
      </c>
      <c r="F958">
        <f t="shared" ca="1" si="185"/>
        <v>2161547</v>
      </c>
      <c r="G958">
        <f t="shared" ca="1" si="186"/>
        <v>0</v>
      </c>
      <c r="H958">
        <f t="shared" ca="1" si="187"/>
        <v>0</v>
      </c>
      <c r="I958">
        <f t="shared" ca="1" si="188"/>
        <v>0</v>
      </c>
      <c r="J958" s="8" t="e">
        <f t="shared" ca="1" si="189"/>
        <v>#DIV/0!</v>
      </c>
      <c r="K958" s="9" t="e">
        <f t="shared" ca="1" si="190"/>
        <v>#DIV/0!</v>
      </c>
      <c r="L958" t="e">
        <f ca="1">+_xlfn.IFNA(VLOOKUP(M958,BespokeWindowsAreas!$A$1:$E$1999,1,FALSE),VLOOKUP(E958,WindowTypeArea!$B$2:$C$2000,2,FALSE))</f>
        <v>#N/A</v>
      </c>
      <c r="M958">
        <f t="shared" ca="1" si="191"/>
        <v>0</v>
      </c>
    </row>
    <row r="959" spans="1:13" x14ac:dyDescent="0.25">
      <c r="A959">
        <f t="shared" ca="1" si="182"/>
        <v>2</v>
      </c>
      <c r="B959">
        <f t="shared" ca="1" si="183"/>
        <v>546</v>
      </c>
      <c r="C959" t="str">
        <f t="shared" ca="1" si="192"/>
        <v>'WINDOWS-NCH-A-BDP-M3-00-00'!B545</v>
      </c>
      <c r="D959" s="6">
        <f t="shared" ca="1" si="181"/>
        <v>39</v>
      </c>
      <c r="E959" t="str">
        <f t="shared" ca="1" si="184"/>
        <v>Family Type: Curtain Wall_975w x 3050h 2, Family: Window External Type 6 - Flush, Recessed</v>
      </c>
      <c r="F959" t="str">
        <f t="shared" ca="1" si="185"/>
        <v>Vector(X = -0.872, Y = -0.489, Z = 0.000, Length = 1.000)</v>
      </c>
      <c r="G959">
        <f t="shared" ca="1" si="186"/>
        <v>-0.9</v>
      </c>
      <c r="H959">
        <f t="shared" ca="1" si="187"/>
        <v>-0.5</v>
      </c>
      <c r="I959">
        <f t="shared" ca="1" si="188"/>
        <v>0</v>
      </c>
      <c r="J959" s="8">
        <f t="shared" ca="1" si="189"/>
        <v>-150.94539590092285</v>
      </c>
      <c r="K959" s="9" t="str">
        <f t="shared" ca="1" si="190"/>
        <v>W</v>
      </c>
      <c r="L959">
        <f ca="1">+_xlfn.IFNA(VLOOKUP(M959,BespokeWindowsAreas!$A$1:$E$1999,1,FALSE),VLOOKUP(E959,WindowTypeArea!$B$2:$C$2000,2,FALSE))</f>
        <v>2.9737499999999999</v>
      </c>
      <c r="M959">
        <f t="shared" ca="1" si="191"/>
        <v>5489837</v>
      </c>
    </row>
    <row r="960" spans="1:13" x14ac:dyDescent="0.25">
      <c r="A960">
        <f t="shared" ca="1" si="182"/>
        <v>2</v>
      </c>
      <c r="B960">
        <f t="shared" ca="1" si="183"/>
        <v>547</v>
      </c>
      <c r="C960" t="str">
        <f t="shared" ca="1" si="192"/>
        <v>'WINDOWS-NCH-A-BDP-M3-00-00'!B546</v>
      </c>
      <c r="D960" s="6">
        <f t="shared" ca="1" si="181"/>
        <v>39</v>
      </c>
      <c r="E960" t="str">
        <f t="shared" ca="1" si="184"/>
        <v>Family Type: Curtain Wall_1500w x 3050h, Family: Window External Type 6 - Flush, Recessed</v>
      </c>
      <c r="F960" t="str">
        <f t="shared" ca="1" si="185"/>
        <v>Vector(X = -0.872, Y = -0.489, Z = 0.000, Length = 1.000)</v>
      </c>
      <c r="G960">
        <f t="shared" ca="1" si="186"/>
        <v>-0.9</v>
      </c>
      <c r="H960">
        <f t="shared" ca="1" si="187"/>
        <v>-0.5</v>
      </c>
      <c r="I960">
        <f t="shared" ca="1" si="188"/>
        <v>0</v>
      </c>
      <c r="J960" s="8">
        <f t="shared" ca="1" si="189"/>
        <v>-150.94539590092285</v>
      </c>
      <c r="K960" s="9" t="str">
        <f t="shared" ca="1" si="190"/>
        <v>W</v>
      </c>
      <c r="L960">
        <f ca="1">+_xlfn.IFNA(VLOOKUP(M960,BespokeWindowsAreas!$A$1:$E$1999,1,FALSE),VLOOKUP(E960,WindowTypeArea!$B$2:$C$2000,2,FALSE))</f>
        <v>4.5749999999999993</v>
      </c>
      <c r="M960">
        <f t="shared" ca="1" si="191"/>
        <v>5490270</v>
      </c>
    </row>
    <row r="961" spans="1:13" x14ac:dyDescent="0.25">
      <c r="A961">
        <f t="shared" ca="1" si="182"/>
        <v>2</v>
      </c>
      <c r="B961">
        <f t="shared" ca="1" si="183"/>
        <v>548</v>
      </c>
      <c r="C961" t="str">
        <f t="shared" ca="1" si="192"/>
        <v>'WINDOWS-NCH-A-BDP-M3-00-00'!B547</v>
      </c>
      <c r="D961" s="6" t="str">
        <f t="shared" ca="1" si="181"/>
        <v>L00-EMG-OTA-S036-01</v>
      </c>
      <c r="E961" t="str">
        <f t="shared" ca="1" si="184"/>
        <v>L00-EMG-OTA-S036-01</v>
      </c>
      <c r="F961">
        <f t="shared" ca="1" si="185"/>
        <v>2219166</v>
      </c>
      <c r="G961">
        <f t="shared" ca="1" si="186"/>
        <v>0</v>
      </c>
      <c r="H961">
        <f t="shared" ca="1" si="187"/>
        <v>0</v>
      </c>
      <c r="I961">
        <f t="shared" ca="1" si="188"/>
        <v>0</v>
      </c>
      <c r="J961" s="8" t="e">
        <f t="shared" ca="1" si="189"/>
        <v>#DIV/0!</v>
      </c>
      <c r="K961" s="9" t="e">
        <f t="shared" ca="1" si="190"/>
        <v>#DIV/0!</v>
      </c>
      <c r="L961" t="e">
        <f ca="1">+_xlfn.IFNA(VLOOKUP(M961,BespokeWindowsAreas!$A$1:$E$1999,1,FALSE),VLOOKUP(E961,WindowTypeArea!$B$2:$C$2000,2,FALSE))</f>
        <v>#N/A</v>
      </c>
      <c r="M961">
        <f t="shared" ca="1" si="191"/>
        <v>0</v>
      </c>
    </row>
    <row r="962" spans="1:13" x14ac:dyDescent="0.25">
      <c r="A962">
        <f t="shared" ca="1" si="182"/>
        <v>2</v>
      </c>
      <c r="B962">
        <f t="shared" ca="1" si="183"/>
        <v>549</v>
      </c>
      <c r="C962" t="str">
        <f t="shared" ca="1" si="192"/>
        <v>'WINDOWS-NCH-A-BDP-M3-00-00'!B548</v>
      </c>
      <c r="D962" s="6" t="str">
        <f t="shared" ca="1" si="181"/>
        <v>L00-EMG-OTA-S036-01</v>
      </c>
      <c r="E962" t="str">
        <f t="shared" ca="1" si="184"/>
        <v>Family Type: 650w x 3050h, Family: Window Internal Type 1 - Flush</v>
      </c>
      <c r="F962" t="str">
        <f t="shared" ca="1" si="185"/>
        <v>Vector(X = -0.977, Y = -0.212, Z = 0.000, Length = 1.000)</v>
      </c>
      <c r="G962">
        <f t="shared" ca="1" si="186"/>
        <v>-1</v>
      </c>
      <c r="H962">
        <f t="shared" ca="1" si="187"/>
        <v>-0.2</v>
      </c>
      <c r="I962">
        <f t="shared" ca="1" si="188"/>
        <v>0</v>
      </c>
      <c r="J962" s="8">
        <f t="shared" ca="1" si="189"/>
        <v>-168.69006752597977</v>
      </c>
      <c r="K962" s="9" t="str">
        <f t="shared" ca="1" si="190"/>
        <v>W</v>
      </c>
      <c r="L962">
        <f ca="1">+_xlfn.IFNA(VLOOKUP(M962,BespokeWindowsAreas!$A$1:$E$1999,1,FALSE),VLOOKUP(E962,WindowTypeArea!$B$2:$C$2000,2,FALSE))</f>
        <v>1.9824999999999999</v>
      </c>
      <c r="M962">
        <f t="shared" ca="1" si="191"/>
        <v>6645319</v>
      </c>
    </row>
    <row r="963" spans="1:13" x14ac:dyDescent="0.25">
      <c r="A963">
        <f t="shared" ca="1" si="182"/>
        <v>2</v>
      </c>
      <c r="B963">
        <f t="shared" ca="1" si="183"/>
        <v>550</v>
      </c>
      <c r="C963" t="str">
        <f t="shared" ca="1" si="192"/>
        <v>'WINDOWS-NCH-A-BDP-M3-00-00'!B549</v>
      </c>
      <c r="D963" s="6" t="str">
        <f t="shared" ca="1" si="181"/>
        <v>L00-EMG-SWS-U0321-01</v>
      </c>
      <c r="E963" t="str">
        <f t="shared" ca="1" si="184"/>
        <v>L00-EMG-SWS-U0321-01</v>
      </c>
      <c r="F963">
        <f t="shared" ca="1" si="185"/>
        <v>2219842</v>
      </c>
      <c r="G963">
        <f t="shared" ca="1" si="186"/>
        <v>0</v>
      </c>
      <c r="H963">
        <f t="shared" ca="1" si="187"/>
        <v>0</v>
      </c>
      <c r="I963">
        <f t="shared" ca="1" si="188"/>
        <v>0</v>
      </c>
      <c r="J963" s="8" t="e">
        <f t="shared" ca="1" si="189"/>
        <v>#DIV/0!</v>
      </c>
      <c r="K963" s="9" t="e">
        <f t="shared" ca="1" si="190"/>
        <v>#DIV/0!</v>
      </c>
      <c r="L963" t="e">
        <f ca="1">+_xlfn.IFNA(VLOOKUP(M963,BespokeWindowsAreas!$A$1:$E$1999,1,FALSE),VLOOKUP(E963,WindowTypeArea!$B$2:$C$2000,2,FALSE))</f>
        <v>#N/A</v>
      </c>
      <c r="M963">
        <f t="shared" ca="1" si="191"/>
        <v>0</v>
      </c>
    </row>
    <row r="964" spans="1:13" x14ac:dyDescent="0.25">
      <c r="A964">
        <f t="shared" ca="1" si="182"/>
        <v>2</v>
      </c>
      <c r="B964">
        <f t="shared" ca="1" si="183"/>
        <v>551</v>
      </c>
      <c r="C964" t="str">
        <f t="shared" ca="1" si="192"/>
        <v>'WINDOWS-NCH-A-BDP-M3-00-00'!B550</v>
      </c>
      <c r="D964" s="6" t="str">
        <f t="shared" ca="1" si="181"/>
        <v>L00-EMG-SWS-U0321-01</v>
      </c>
      <c r="E964" t="str">
        <f t="shared" ca="1" si="184"/>
        <v>Family Type: 1500w x 3050h, Family: Window Internal Type 1 - Flush</v>
      </c>
      <c r="F964" t="str">
        <f t="shared" ca="1" si="185"/>
        <v>Vector(X = -0.977, Y = -0.212, Z = 0.000, Length = 1.000)</v>
      </c>
      <c r="G964">
        <f t="shared" ca="1" si="186"/>
        <v>-1</v>
      </c>
      <c r="H964">
        <f t="shared" ca="1" si="187"/>
        <v>-0.2</v>
      </c>
      <c r="I964">
        <f t="shared" ca="1" si="188"/>
        <v>0</v>
      </c>
      <c r="J964" s="8">
        <f t="shared" ca="1" si="189"/>
        <v>-168.69006752597977</v>
      </c>
      <c r="K964" s="9" t="str">
        <f t="shared" ca="1" si="190"/>
        <v>W</v>
      </c>
      <c r="L964">
        <f ca="1">+_xlfn.IFNA(VLOOKUP(M964,BespokeWindowsAreas!$A$1:$E$1999,1,FALSE),VLOOKUP(E964,WindowTypeArea!$B$2:$C$2000,2,FALSE))</f>
        <v>4.5749999999999993</v>
      </c>
      <c r="M964">
        <f t="shared" ca="1" si="191"/>
        <v>6314286</v>
      </c>
    </row>
    <row r="965" spans="1:13" x14ac:dyDescent="0.25">
      <c r="A965">
        <f t="shared" ca="1" si="182"/>
        <v>2</v>
      </c>
      <c r="B965">
        <f t="shared" ca="1" si="183"/>
        <v>552</v>
      </c>
      <c r="C965" t="str">
        <f t="shared" ca="1" si="192"/>
        <v>'WINDOWS-NCH-A-BDP-M3-00-00'!B551</v>
      </c>
      <c r="D965" s="6" t="str">
        <f t="shared" ca="1" si="181"/>
        <v>L00-MAI-CRE-S081-01</v>
      </c>
      <c r="E965" t="str">
        <f t="shared" ca="1" si="184"/>
        <v>L00-MAI-CRE-S081-01</v>
      </c>
      <c r="F965">
        <f t="shared" ca="1" si="185"/>
        <v>2355772</v>
      </c>
      <c r="G965">
        <f t="shared" ca="1" si="186"/>
        <v>0</v>
      </c>
      <c r="H965">
        <f t="shared" ca="1" si="187"/>
        <v>0</v>
      </c>
      <c r="I965">
        <f t="shared" ca="1" si="188"/>
        <v>0</v>
      </c>
      <c r="J965" s="8" t="e">
        <f t="shared" ca="1" si="189"/>
        <v>#DIV/0!</v>
      </c>
      <c r="K965" s="9" t="e">
        <f t="shared" ca="1" si="190"/>
        <v>#DIV/0!</v>
      </c>
      <c r="L965" t="e">
        <f ca="1">+_xlfn.IFNA(VLOOKUP(M965,BespokeWindowsAreas!$A$1:$E$1999,1,FALSE),VLOOKUP(E965,WindowTypeArea!$B$2:$C$2000,2,FALSE))</f>
        <v>#N/A</v>
      </c>
      <c r="M965">
        <f t="shared" ca="1" si="191"/>
        <v>0</v>
      </c>
    </row>
    <row r="966" spans="1:13" x14ac:dyDescent="0.25">
      <c r="A966">
        <f t="shared" ca="1" si="182"/>
        <v>2</v>
      </c>
      <c r="B966">
        <f t="shared" ca="1" si="183"/>
        <v>553</v>
      </c>
      <c r="C966" t="str">
        <f t="shared" ca="1" si="192"/>
        <v>'WINDOWS-NCH-A-BDP-M3-00-00'!B552</v>
      </c>
      <c r="D966" s="6" t="str">
        <f t="shared" ref="D966:D1029" ca="1" si="193">+IF(IFERROR(FIND("Family",E966)&gt;0,FALSE),D965,E966)</f>
        <v>L00-MAI-CRE-S081-01</v>
      </c>
      <c r="E966" t="str">
        <f t="shared" ca="1" si="184"/>
        <v>Family Type: 1500w x 3050h, Family: Window Internal Type 2b - Recessed and Angle</v>
      </c>
      <c r="F966" t="str">
        <f t="shared" ca="1" si="185"/>
        <v>Vector(X = 0.130, Y = 0.991, Z = 0.000, Length = 1.000)</v>
      </c>
      <c r="G966">
        <f t="shared" ca="1" si="186"/>
        <v>0.1</v>
      </c>
      <c r="H966">
        <f t="shared" ca="1" si="187"/>
        <v>1</v>
      </c>
      <c r="I966">
        <f t="shared" ca="1" si="188"/>
        <v>0</v>
      </c>
      <c r="J966" s="8">
        <f t="shared" ca="1" si="189"/>
        <v>84.289406862500371</v>
      </c>
      <c r="K966" s="9" t="str">
        <f t="shared" ca="1" si="190"/>
        <v>NE</v>
      </c>
      <c r="L966">
        <f ca="1">+_xlfn.IFNA(VLOOKUP(M966,BespokeWindowsAreas!$A$1:$E$1999,1,FALSE),VLOOKUP(E966,WindowTypeArea!$B$2:$C$2000,2,FALSE))</f>
        <v>4.5749999999999993</v>
      </c>
      <c r="M966">
        <f t="shared" ca="1" si="191"/>
        <v>5201686</v>
      </c>
    </row>
    <row r="967" spans="1:13" x14ac:dyDescent="0.25">
      <c r="A967">
        <f t="shared" ca="1" si="182"/>
        <v>2</v>
      </c>
      <c r="B967">
        <f t="shared" ca="1" si="183"/>
        <v>554</v>
      </c>
      <c r="C967" t="str">
        <f t="shared" ca="1" si="192"/>
        <v>'WINDOWS-NCH-A-BDP-M3-00-00'!B553</v>
      </c>
      <c r="D967" s="6" t="str">
        <f t="shared" ca="1" si="193"/>
        <v>L00-MAI-CRE-U0829-01</v>
      </c>
      <c r="E967" t="str">
        <f t="shared" ca="1" si="184"/>
        <v>L00-MAI-CRE-U0829-01</v>
      </c>
      <c r="F967">
        <f t="shared" ca="1" si="185"/>
        <v>2355776</v>
      </c>
      <c r="G967">
        <f t="shared" ca="1" si="186"/>
        <v>0</v>
      </c>
      <c r="H967">
        <f t="shared" ca="1" si="187"/>
        <v>0</v>
      </c>
      <c r="I967">
        <f t="shared" ca="1" si="188"/>
        <v>0</v>
      </c>
      <c r="J967" s="8" t="e">
        <f t="shared" ca="1" si="189"/>
        <v>#DIV/0!</v>
      </c>
      <c r="K967" s="9" t="e">
        <f t="shared" ca="1" si="190"/>
        <v>#DIV/0!</v>
      </c>
      <c r="L967" t="e">
        <f ca="1">+_xlfn.IFNA(VLOOKUP(M967,BespokeWindowsAreas!$A$1:$E$1999,1,FALSE),VLOOKUP(E967,WindowTypeArea!$B$2:$C$2000,2,FALSE))</f>
        <v>#N/A</v>
      </c>
      <c r="M967">
        <f t="shared" ca="1" si="191"/>
        <v>0</v>
      </c>
    </row>
    <row r="968" spans="1:13" x14ac:dyDescent="0.25">
      <c r="A968">
        <f t="shared" ca="1" si="182"/>
        <v>2</v>
      </c>
      <c r="B968">
        <f t="shared" ca="1" si="183"/>
        <v>555</v>
      </c>
      <c r="C968" t="str">
        <f t="shared" ca="1" si="192"/>
        <v>'WINDOWS-NCH-A-BDP-M3-00-00'!B554</v>
      </c>
      <c r="D968" s="6" t="str">
        <f t="shared" ca="1" si="193"/>
        <v>L00-MAI-CRE-U0829-01</v>
      </c>
      <c r="E968" t="str">
        <f t="shared" ca="1" si="184"/>
        <v>Family Type: 1950w x 3050h, Family: Window Internal Type 2b - Recessed and Angle</v>
      </c>
      <c r="F968" t="str">
        <f t="shared" ca="1" si="185"/>
        <v>Vector(X = 0.130, Y = 0.991, Z = 0.000, Length = 1.000)</v>
      </c>
      <c r="G968">
        <f t="shared" ca="1" si="186"/>
        <v>0.1</v>
      </c>
      <c r="H968">
        <f t="shared" ca="1" si="187"/>
        <v>1</v>
      </c>
      <c r="I968">
        <f t="shared" ca="1" si="188"/>
        <v>0</v>
      </c>
      <c r="J968" s="8">
        <f t="shared" ca="1" si="189"/>
        <v>84.289406862500371</v>
      </c>
      <c r="K968" s="9" t="str">
        <f t="shared" ca="1" si="190"/>
        <v>NE</v>
      </c>
      <c r="L968">
        <f ca="1">+_xlfn.IFNA(VLOOKUP(M968,BespokeWindowsAreas!$A$1:$E$1999,1,FALSE),VLOOKUP(E968,WindowTypeArea!$B$2:$C$2000,2,FALSE))</f>
        <v>5.9474999999999998</v>
      </c>
      <c r="M968">
        <f t="shared" ca="1" si="191"/>
        <v>5201684</v>
      </c>
    </row>
    <row r="969" spans="1:13" x14ac:dyDescent="0.25">
      <c r="A969">
        <f t="shared" ca="1" si="182"/>
        <v>2</v>
      </c>
      <c r="B969">
        <f t="shared" ca="1" si="183"/>
        <v>556</v>
      </c>
      <c r="C969" t="str">
        <f t="shared" ca="1" si="192"/>
        <v>'WINDOWS-NCH-A-BDP-M3-00-00'!B555</v>
      </c>
      <c r="D969" s="6" t="str">
        <f t="shared" ca="1" si="193"/>
        <v>L00-MAI-CRE-U0829-01</v>
      </c>
      <c r="E969" t="str">
        <f t="shared" ca="1" si="184"/>
        <v>Family Type: 1500w x 3050h, Family: Window Internal Type 2b - Recessed and Angle</v>
      </c>
      <c r="F969" t="str">
        <f t="shared" ca="1" si="185"/>
        <v>Vector(X = 0.130, Y = 0.991, Z = 0.000, Length = 1.000)</v>
      </c>
      <c r="G969">
        <f t="shared" ca="1" si="186"/>
        <v>0.1</v>
      </c>
      <c r="H969">
        <f t="shared" ca="1" si="187"/>
        <v>1</v>
      </c>
      <c r="I969">
        <f t="shared" ca="1" si="188"/>
        <v>0</v>
      </c>
      <c r="J969" s="8">
        <f t="shared" ca="1" si="189"/>
        <v>84.289406862500371</v>
      </c>
      <c r="K969" s="9" t="str">
        <f t="shared" ca="1" si="190"/>
        <v>NE</v>
      </c>
      <c r="L969">
        <f ca="1">+_xlfn.IFNA(VLOOKUP(M969,BespokeWindowsAreas!$A$1:$E$1999,1,FALSE),VLOOKUP(E969,WindowTypeArea!$B$2:$C$2000,2,FALSE))</f>
        <v>4.5749999999999993</v>
      </c>
      <c r="M969">
        <f t="shared" ca="1" si="191"/>
        <v>5201686</v>
      </c>
    </row>
    <row r="970" spans="1:13" x14ac:dyDescent="0.25">
      <c r="A970">
        <f t="shared" ca="1" si="182"/>
        <v>2</v>
      </c>
      <c r="B970">
        <f t="shared" ca="1" si="183"/>
        <v>557</v>
      </c>
      <c r="C970" t="str">
        <f t="shared" ca="1" si="192"/>
        <v>'WINDOWS-NCH-A-BDP-M3-00-00'!B556</v>
      </c>
      <c r="D970" s="6" t="str">
        <f t="shared" ca="1" si="193"/>
        <v>L00-MAI-CRE-U0829-01</v>
      </c>
      <c r="E970" t="str">
        <f t="shared" ca="1" si="184"/>
        <v>Family Type: 975w x 3050h, Family: Window Internal Type 2a - Recessed</v>
      </c>
      <c r="F970" t="str">
        <f t="shared" ca="1" si="185"/>
        <v>Vector(X = 0.130, Y = 0.991, Z = 0.000, Length = 1.000)</v>
      </c>
      <c r="G970">
        <f t="shared" ca="1" si="186"/>
        <v>0.1</v>
      </c>
      <c r="H970">
        <f t="shared" ca="1" si="187"/>
        <v>1</v>
      </c>
      <c r="I970">
        <f t="shared" ca="1" si="188"/>
        <v>0</v>
      </c>
      <c r="J970" s="8">
        <f t="shared" ca="1" si="189"/>
        <v>84.289406862500371</v>
      </c>
      <c r="K970" s="9" t="str">
        <f t="shared" ca="1" si="190"/>
        <v>NE</v>
      </c>
      <c r="L970">
        <f ca="1">+_xlfn.IFNA(VLOOKUP(M970,BespokeWindowsAreas!$A$1:$E$1999,1,FALSE),VLOOKUP(E970,WindowTypeArea!$B$2:$C$2000,2,FALSE))</f>
        <v>2.9737499999999999</v>
      </c>
      <c r="M970">
        <f t="shared" ca="1" si="191"/>
        <v>6517218</v>
      </c>
    </row>
    <row r="971" spans="1:13" x14ac:dyDescent="0.25">
      <c r="A971">
        <f t="shared" ca="1" si="182"/>
        <v>2</v>
      </c>
      <c r="B971">
        <f t="shared" ca="1" si="183"/>
        <v>558</v>
      </c>
      <c r="C971" t="str">
        <f t="shared" ca="1" si="192"/>
        <v>'WINDOWS-NCH-A-BDP-M3-00-00'!B557</v>
      </c>
      <c r="D971" s="6" t="str">
        <f t="shared" ca="1" si="193"/>
        <v>L00-MAI-CRE-S139-01</v>
      </c>
      <c r="E971" t="str">
        <f t="shared" ca="1" si="184"/>
        <v>L00-MAI-CRE-S139-01</v>
      </c>
      <c r="F971">
        <f t="shared" ca="1" si="185"/>
        <v>2355779</v>
      </c>
      <c r="G971">
        <f t="shared" ca="1" si="186"/>
        <v>0</v>
      </c>
      <c r="H971">
        <f t="shared" ca="1" si="187"/>
        <v>0</v>
      </c>
      <c r="I971">
        <f t="shared" ca="1" si="188"/>
        <v>0</v>
      </c>
      <c r="J971" s="8" t="e">
        <f t="shared" ca="1" si="189"/>
        <v>#DIV/0!</v>
      </c>
      <c r="K971" s="9" t="e">
        <f t="shared" ca="1" si="190"/>
        <v>#DIV/0!</v>
      </c>
      <c r="L971" t="e">
        <f ca="1">+_xlfn.IFNA(VLOOKUP(M971,BespokeWindowsAreas!$A$1:$E$1999,1,FALSE),VLOOKUP(E971,WindowTypeArea!$B$2:$C$2000,2,FALSE))</f>
        <v>#N/A</v>
      </c>
      <c r="M971">
        <f t="shared" ca="1" si="191"/>
        <v>0</v>
      </c>
    </row>
    <row r="972" spans="1:13" x14ac:dyDescent="0.25">
      <c r="A972">
        <f t="shared" ca="1" si="182"/>
        <v>2</v>
      </c>
      <c r="B972">
        <f t="shared" ca="1" si="183"/>
        <v>559</v>
      </c>
      <c r="C972" t="str">
        <f t="shared" ca="1" si="192"/>
        <v>'WINDOWS-NCH-A-BDP-M3-00-00'!B558</v>
      </c>
      <c r="D972" s="6" t="str">
        <f t="shared" ca="1" si="193"/>
        <v>L00-MAI-CRE-S139-01</v>
      </c>
      <c r="E972" t="str">
        <f t="shared" ca="1" si="184"/>
        <v>Family Type: 975w x 3050h, Family: Window Internal Type 2a - Recessed</v>
      </c>
      <c r="F972" t="str">
        <f t="shared" ca="1" si="185"/>
        <v>Vector(X = 0.130, Y = 0.991, Z = 0.000, Length = 1.000)</v>
      </c>
      <c r="G972">
        <f t="shared" ca="1" si="186"/>
        <v>0.1</v>
      </c>
      <c r="H972">
        <f t="shared" ca="1" si="187"/>
        <v>1</v>
      </c>
      <c r="I972">
        <f t="shared" ca="1" si="188"/>
        <v>0</v>
      </c>
      <c r="J972" s="8">
        <f t="shared" ca="1" si="189"/>
        <v>84.289406862500371</v>
      </c>
      <c r="K972" s="9" t="str">
        <f t="shared" ca="1" si="190"/>
        <v>NE</v>
      </c>
      <c r="L972">
        <f ca="1">+_xlfn.IFNA(VLOOKUP(M972,BespokeWindowsAreas!$A$1:$E$1999,1,FALSE),VLOOKUP(E972,WindowTypeArea!$B$2:$C$2000,2,FALSE))</f>
        <v>2.9737499999999999</v>
      </c>
      <c r="M972">
        <f t="shared" ca="1" si="191"/>
        <v>6517218</v>
      </c>
    </row>
    <row r="973" spans="1:13" x14ac:dyDescent="0.25">
      <c r="A973">
        <f t="shared" ca="1" si="182"/>
        <v>2</v>
      </c>
      <c r="B973">
        <f t="shared" ca="1" si="183"/>
        <v>560</v>
      </c>
      <c r="C973" t="str">
        <f t="shared" ca="1" si="192"/>
        <v>'WINDOWS-NCH-A-BDP-M3-00-00'!B559</v>
      </c>
      <c r="D973" s="6" t="str">
        <f t="shared" ca="1" si="193"/>
        <v>L00-OPD-CC4-S091-02</v>
      </c>
      <c r="E973" t="str">
        <f t="shared" ca="1" si="184"/>
        <v>L00-OPD-CC4-S091-02</v>
      </c>
      <c r="F973">
        <f t="shared" ca="1" si="185"/>
        <v>2399895</v>
      </c>
      <c r="G973">
        <f t="shared" ca="1" si="186"/>
        <v>0</v>
      </c>
      <c r="H973">
        <f t="shared" ca="1" si="187"/>
        <v>0</v>
      </c>
      <c r="I973">
        <f t="shared" ca="1" si="188"/>
        <v>0</v>
      </c>
      <c r="J973" s="8" t="e">
        <f t="shared" ca="1" si="189"/>
        <v>#DIV/0!</v>
      </c>
      <c r="K973" s="9" t="e">
        <f t="shared" ca="1" si="190"/>
        <v>#DIV/0!</v>
      </c>
      <c r="L973" t="e">
        <f ca="1">+_xlfn.IFNA(VLOOKUP(M973,BespokeWindowsAreas!$A$1:$E$1999,1,FALSE),VLOOKUP(E973,WindowTypeArea!$B$2:$C$2000,2,FALSE))</f>
        <v>#N/A</v>
      </c>
      <c r="M973">
        <f t="shared" ca="1" si="191"/>
        <v>0</v>
      </c>
    </row>
    <row r="974" spans="1:13" x14ac:dyDescent="0.25">
      <c r="A974">
        <f t="shared" ca="1" si="182"/>
        <v>2</v>
      </c>
      <c r="B974">
        <f t="shared" ca="1" si="183"/>
        <v>561</v>
      </c>
      <c r="C974" t="str">
        <f t="shared" ca="1" si="192"/>
        <v>'WINDOWS-NCH-A-BDP-M3-00-00'!B560</v>
      </c>
      <c r="D974" s="6" t="str">
        <f t="shared" ca="1" si="193"/>
        <v>L00-OPD-CC4-S091-02</v>
      </c>
      <c r="E974" t="str">
        <f t="shared" ca="1" si="184"/>
        <v>Family Type: 1950w x 3050h, Family: Window Internal Type 2b - Recessed and Angle</v>
      </c>
      <c r="F974" t="str">
        <f t="shared" ca="1" si="185"/>
        <v>Vector(X = 0.041, Y = -0.999, Z = 0.000, Length = 1.000)</v>
      </c>
      <c r="G974">
        <f t="shared" ca="1" si="186"/>
        <v>0</v>
      </c>
      <c r="H974">
        <f t="shared" ca="1" si="187"/>
        <v>-1</v>
      </c>
      <c r="I974">
        <f t="shared" ca="1" si="188"/>
        <v>0</v>
      </c>
      <c r="J974" s="8">
        <f t="shared" ca="1" si="189"/>
        <v>-90</v>
      </c>
      <c r="K974" s="9" t="str">
        <f t="shared" ca="1" si="190"/>
        <v>S</v>
      </c>
      <c r="L974">
        <f ca="1">+_xlfn.IFNA(VLOOKUP(M974,BespokeWindowsAreas!$A$1:$E$1999,1,FALSE),VLOOKUP(E974,WindowTypeArea!$B$2:$C$2000,2,FALSE))</f>
        <v>5.9474999999999998</v>
      </c>
      <c r="M974">
        <f t="shared" ca="1" si="191"/>
        <v>5207350</v>
      </c>
    </row>
    <row r="975" spans="1:13" x14ac:dyDescent="0.25">
      <c r="A975">
        <f t="shared" ca="1" si="182"/>
        <v>2</v>
      </c>
      <c r="B975">
        <f t="shared" ca="1" si="183"/>
        <v>562</v>
      </c>
      <c r="C975" t="str">
        <f t="shared" ca="1" si="192"/>
        <v>'WINDOWS-NCH-A-BDP-M3-00-00'!B561</v>
      </c>
      <c r="D975" s="6" t="str">
        <f t="shared" ca="1" si="193"/>
        <v>L00-OPD-CC4-S104-02</v>
      </c>
      <c r="E975" t="str">
        <f t="shared" ca="1" si="184"/>
        <v>L00-OPD-CC4-S104-02</v>
      </c>
      <c r="F975">
        <f t="shared" ca="1" si="185"/>
        <v>2399897</v>
      </c>
      <c r="G975">
        <f t="shared" ca="1" si="186"/>
        <v>0</v>
      </c>
      <c r="H975">
        <f t="shared" ca="1" si="187"/>
        <v>0</v>
      </c>
      <c r="I975">
        <f t="shared" ca="1" si="188"/>
        <v>0</v>
      </c>
      <c r="J975" s="8" t="e">
        <f t="shared" ca="1" si="189"/>
        <v>#DIV/0!</v>
      </c>
      <c r="K975" s="9" t="e">
        <f t="shared" ca="1" si="190"/>
        <v>#DIV/0!</v>
      </c>
      <c r="L975" t="e">
        <f ca="1">+_xlfn.IFNA(VLOOKUP(M975,BespokeWindowsAreas!$A$1:$E$1999,1,FALSE),VLOOKUP(E975,WindowTypeArea!$B$2:$C$2000,2,FALSE))</f>
        <v>#N/A</v>
      </c>
      <c r="M975">
        <f t="shared" ca="1" si="191"/>
        <v>0</v>
      </c>
    </row>
    <row r="976" spans="1:13" x14ac:dyDescent="0.25">
      <c r="A976">
        <f t="shared" ca="1" si="182"/>
        <v>2</v>
      </c>
      <c r="B976">
        <f t="shared" ca="1" si="183"/>
        <v>563</v>
      </c>
      <c r="C976" t="str">
        <f t="shared" ca="1" si="192"/>
        <v>'WINDOWS-NCH-A-BDP-M3-00-00'!B562</v>
      </c>
      <c r="D976" s="6" t="str">
        <f t="shared" ca="1" si="193"/>
        <v>L00-OPD-CC4-S104-02</v>
      </c>
      <c r="E976" t="str">
        <f t="shared" ca="1" si="184"/>
        <v>Family Type: 1950w x 3050h, Family: Window Internal Type 2b - Recessed and Angle</v>
      </c>
      <c r="F976" t="str">
        <f t="shared" ca="1" si="185"/>
        <v>Vector(X = 0.041, Y = -0.999, Z = 0.000, Length = 1.000)</v>
      </c>
      <c r="G976">
        <f t="shared" ca="1" si="186"/>
        <v>0</v>
      </c>
      <c r="H976">
        <f t="shared" ca="1" si="187"/>
        <v>-1</v>
      </c>
      <c r="I976">
        <f t="shared" ca="1" si="188"/>
        <v>0</v>
      </c>
      <c r="J976" s="8">
        <f t="shared" ca="1" si="189"/>
        <v>-90</v>
      </c>
      <c r="K976" s="9" t="str">
        <f t="shared" ca="1" si="190"/>
        <v>S</v>
      </c>
      <c r="L976">
        <f ca="1">+_xlfn.IFNA(VLOOKUP(M976,BespokeWindowsAreas!$A$1:$E$1999,1,FALSE),VLOOKUP(E976,WindowTypeArea!$B$2:$C$2000,2,FALSE))</f>
        <v>5.9474999999999998</v>
      </c>
      <c r="M976">
        <f t="shared" ca="1" si="191"/>
        <v>5207350</v>
      </c>
    </row>
    <row r="977" spans="1:13" x14ac:dyDescent="0.25">
      <c r="A977">
        <f t="shared" ca="1" si="182"/>
        <v>2</v>
      </c>
      <c r="B977">
        <f t="shared" ca="1" si="183"/>
        <v>564</v>
      </c>
      <c r="C977" t="str">
        <f t="shared" ca="1" si="192"/>
        <v>'WINDOWS-NCH-A-BDP-M3-00-00'!B563</v>
      </c>
      <c r="D977" s="6" t="str">
        <f t="shared" ca="1" si="193"/>
        <v>L00-IMG-CIR-C001-02</v>
      </c>
      <c r="E977" t="str">
        <f t="shared" ca="1" si="184"/>
        <v>L00-IMG-CIR-C001-02</v>
      </c>
      <c r="F977">
        <f t="shared" ca="1" si="185"/>
        <v>2410188</v>
      </c>
      <c r="G977">
        <f t="shared" ca="1" si="186"/>
        <v>0</v>
      </c>
      <c r="H977">
        <f t="shared" ca="1" si="187"/>
        <v>0</v>
      </c>
      <c r="I977">
        <f t="shared" ca="1" si="188"/>
        <v>0</v>
      </c>
      <c r="J977" s="8" t="e">
        <f t="shared" ca="1" si="189"/>
        <v>#DIV/0!</v>
      </c>
      <c r="K977" s="9" t="e">
        <f t="shared" ca="1" si="190"/>
        <v>#DIV/0!</v>
      </c>
      <c r="L977" t="e">
        <f ca="1">+_xlfn.IFNA(VLOOKUP(M977,BespokeWindowsAreas!$A$1:$E$1999,1,FALSE),VLOOKUP(E977,WindowTypeArea!$B$2:$C$2000,2,FALSE))</f>
        <v>#N/A</v>
      </c>
      <c r="M977">
        <f t="shared" ca="1" si="191"/>
        <v>0</v>
      </c>
    </row>
    <row r="978" spans="1:13" x14ac:dyDescent="0.25">
      <c r="A978">
        <f t="shared" ca="1" si="182"/>
        <v>2</v>
      </c>
      <c r="B978">
        <f t="shared" ca="1" si="183"/>
        <v>565</v>
      </c>
      <c r="C978" t="str">
        <f t="shared" ca="1" si="192"/>
        <v>'WINDOWS-NCH-A-BDP-M3-00-00'!B564</v>
      </c>
      <c r="D978" s="6" t="str">
        <f t="shared" ca="1" si="193"/>
        <v>L00-IMG-CIR-C001-02</v>
      </c>
      <c r="E978" t="str">
        <f t="shared" ca="1" si="184"/>
        <v>Family Type: Curtain Wall_975w x 3200h, Family: Window External Type 6 - Flush, Recessed</v>
      </c>
      <c r="F978" t="str">
        <f t="shared" ca="1" si="185"/>
        <v>Vector(X = 0.977, Y = 0.212, Z = 0.000, Length = 1.000)</v>
      </c>
      <c r="G978">
        <f t="shared" ca="1" si="186"/>
        <v>1</v>
      </c>
      <c r="H978">
        <f t="shared" ca="1" si="187"/>
        <v>0.2</v>
      </c>
      <c r="I978">
        <f t="shared" ca="1" si="188"/>
        <v>0</v>
      </c>
      <c r="J978" s="8">
        <f t="shared" ca="1" si="189"/>
        <v>11.309932474020215</v>
      </c>
      <c r="K978" s="9" t="str">
        <f t="shared" ca="1" si="190"/>
        <v>E</v>
      </c>
      <c r="L978">
        <f ca="1">+_xlfn.IFNA(VLOOKUP(M978,BespokeWindowsAreas!$A$1:$E$1999,1,FALSE),VLOOKUP(E978,WindowTypeArea!$B$2:$C$2000,2,FALSE))</f>
        <v>3.12</v>
      </c>
      <c r="M978">
        <f t="shared" ca="1" si="191"/>
        <v>5050051</v>
      </c>
    </row>
    <row r="979" spans="1:13" x14ac:dyDescent="0.25">
      <c r="A979">
        <f t="shared" ca="1" si="182"/>
        <v>2</v>
      </c>
      <c r="B979">
        <f t="shared" ca="1" si="183"/>
        <v>566</v>
      </c>
      <c r="C979" t="str">
        <f t="shared" ca="1" si="192"/>
        <v>'WINDOWS-NCH-A-BDP-M3-00-00'!B565</v>
      </c>
      <c r="D979" s="6" t="str">
        <f t="shared" ca="1" si="193"/>
        <v>L00-IMG-CIR-C001-02</v>
      </c>
      <c r="E979" t="str">
        <f t="shared" ca="1" si="184"/>
        <v>Family Type: Curtain Wall_1500w x 3200h, Family: Window External Type 6 - Flush, Recessed</v>
      </c>
      <c r="F979" t="str">
        <f t="shared" ca="1" si="185"/>
        <v>Vector(X = 0.977, Y = 0.212, Z = 0.000, Length = 1.000)</v>
      </c>
      <c r="G979">
        <f t="shared" ca="1" si="186"/>
        <v>1</v>
      </c>
      <c r="H979">
        <f t="shared" ca="1" si="187"/>
        <v>0.2</v>
      </c>
      <c r="I979">
        <f t="shared" ca="1" si="188"/>
        <v>0</v>
      </c>
      <c r="J979" s="8">
        <f t="shared" ca="1" si="189"/>
        <v>11.309932474020215</v>
      </c>
      <c r="K979" s="9" t="str">
        <f t="shared" ca="1" si="190"/>
        <v>E</v>
      </c>
      <c r="L979">
        <f ca="1">+_xlfn.IFNA(VLOOKUP(M979,BespokeWindowsAreas!$A$1:$E$1999,1,FALSE),VLOOKUP(E979,WindowTypeArea!$B$2:$C$2000,2,FALSE))</f>
        <v>4.8</v>
      </c>
      <c r="M979">
        <f t="shared" ca="1" si="191"/>
        <v>5050052</v>
      </c>
    </row>
    <row r="980" spans="1:13" x14ac:dyDescent="0.25">
      <c r="A980">
        <f t="shared" ref="A980:A1043" ca="1" si="194">+IF(B979&lt;=VLOOKUP(MID(C980,2,26),TABS,2,FALSE),A979,+A979+1)</f>
        <v>2</v>
      </c>
      <c r="B980">
        <f t="shared" ref="B980:B1043" ca="1" si="195">+IF(B979&lt;=VLOOKUP(MID(C980,2,26),TABS,2,FALSE),B979+1,1)</f>
        <v>567</v>
      </c>
      <c r="C980" t="str">
        <f t="shared" ca="1" si="192"/>
        <v>'WINDOWS-NCH-A-BDP-M3-00-00'!B566</v>
      </c>
      <c r="D980" s="6" t="str">
        <f t="shared" ca="1" si="193"/>
        <v>L00-IMG-CIR-C001-02</v>
      </c>
      <c r="E980" t="str">
        <f t="shared" ref="E980:E1043" ca="1" si="196">+OFFSET(INDIRECT(C980),0,0)</f>
        <v>Family Type: Curtain Wall_975w x 3200h, Family: Window External Type 6 - Flush, Recessed</v>
      </c>
      <c r="F980" t="str">
        <f t="shared" ca="1" si="185"/>
        <v>Vector(X = 0.977, Y = 0.212, Z = 0.000, Length = 1.000)</v>
      </c>
      <c r="G980">
        <f t="shared" ca="1" si="186"/>
        <v>1</v>
      </c>
      <c r="H980">
        <f t="shared" ca="1" si="187"/>
        <v>0.2</v>
      </c>
      <c r="I980">
        <f t="shared" ca="1" si="188"/>
        <v>0</v>
      </c>
      <c r="J980" s="8">
        <f t="shared" ca="1" si="189"/>
        <v>11.309932474020215</v>
      </c>
      <c r="K980" s="9" t="str">
        <f t="shared" ca="1" si="190"/>
        <v>E</v>
      </c>
      <c r="L980">
        <f ca="1">+_xlfn.IFNA(VLOOKUP(M980,BespokeWindowsAreas!$A$1:$E$1999,1,FALSE),VLOOKUP(E980,WindowTypeArea!$B$2:$C$2000,2,FALSE))</f>
        <v>3.12</v>
      </c>
      <c r="M980">
        <f t="shared" ca="1" si="191"/>
        <v>5050053</v>
      </c>
    </row>
    <row r="981" spans="1:13" x14ac:dyDescent="0.25">
      <c r="A981">
        <f t="shared" ca="1" si="194"/>
        <v>2</v>
      </c>
      <c r="B981">
        <f t="shared" ca="1" si="195"/>
        <v>568</v>
      </c>
      <c r="C981" t="str">
        <f t="shared" ca="1" si="192"/>
        <v>'WINDOWS-NCH-A-BDP-M3-00-00'!B567</v>
      </c>
      <c r="D981" s="6" t="str">
        <f t="shared" ca="1" si="193"/>
        <v>L00-IMG-CIR-C001-02</v>
      </c>
      <c r="E981" t="str">
        <f t="shared" ca="1" si="196"/>
        <v>Family Type: Curtain Wall_1500w x 3200h, Family: Window External Type 6 - Flush, Recessed</v>
      </c>
      <c r="F981" t="str">
        <f t="shared" ca="1" si="185"/>
        <v>Vector(X = 0.977, Y = 0.212, Z = 0.000, Length = 1.000)</v>
      </c>
      <c r="G981">
        <f t="shared" ca="1" si="186"/>
        <v>1</v>
      </c>
      <c r="H981">
        <f t="shared" ca="1" si="187"/>
        <v>0.2</v>
      </c>
      <c r="I981">
        <f t="shared" ca="1" si="188"/>
        <v>0</v>
      </c>
      <c r="J981" s="8">
        <f t="shared" ca="1" si="189"/>
        <v>11.309932474020215</v>
      </c>
      <c r="K981" s="9" t="str">
        <f t="shared" ca="1" si="190"/>
        <v>E</v>
      </c>
      <c r="L981">
        <f ca="1">+_xlfn.IFNA(VLOOKUP(M981,BespokeWindowsAreas!$A$1:$E$1999,1,FALSE),VLOOKUP(E981,WindowTypeArea!$B$2:$C$2000,2,FALSE))</f>
        <v>4.8</v>
      </c>
      <c r="M981">
        <f t="shared" ca="1" si="191"/>
        <v>5050054</v>
      </c>
    </row>
    <row r="982" spans="1:13" x14ac:dyDescent="0.25">
      <c r="A982">
        <f t="shared" ca="1" si="194"/>
        <v>2</v>
      </c>
      <c r="B982">
        <f t="shared" ca="1" si="195"/>
        <v>569</v>
      </c>
      <c r="C982" t="str">
        <f t="shared" ca="1" si="192"/>
        <v>'WINDOWS-NCH-A-BDP-M3-00-00'!B568</v>
      </c>
      <c r="D982" s="6" t="str">
        <f t="shared" ca="1" si="193"/>
        <v>L00-IMG-CIR-C001-02</v>
      </c>
      <c r="E982" t="str">
        <f t="shared" ca="1" si="196"/>
        <v>Family Type: Curtain Wall_585w x 3200h, Family: Window External Type 6 - Flush, Recessed</v>
      </c>
      <c r="F982" t="str">
        <f t="shared" ref="F982:F1045" ca="1" si="197">+OFFSET(INDIRECT(C982),0,1)</f>
        <v>Vector(X = 0.977, Y = 0.212, Z = 0.000, Length = 1.000)</v>
      </c>
      <c r="G982">
        <f t="shared" ref="G982:G1045" ca="1" si="198">+OFFSET(INDIRECT(C982),0,2)</f>
        <v>1</v>
      </c>
      <c r="H982">
        <f t="shared" ref="H982:H1045" ca="1" si="199">+OFFSET(INDIRECT(C982),0,3)</f>
        <v>0.2</v>
      </c>
      <c r="I982">
        <f t="shared" ref="I982:I1045" ca="1" si="200">+OFFSET(INDIRECT(C982),0,4)</f>
        <v>0</v>
      </c>
      <c r="J982" s="8">
        <f t="shared" ref="J982:J1045" ca="1" si="201">+DEGREES(ATAN2(G982,H982))</f>
        <v>11.309932474020215</v>
      </c>
      <c r="K982" s="9" t="str">
        <f t="shared" ref="K982:K1045" ca="1" si="202">VLOOKUP(J982,$O$20:$P$36,2,-1)</f>
        <v>E</v>
      </c>
      <c r="L982">
        <f ca="1">+_xlfn.IFNA(VLOOKUP(M982,BespokeWindowsAreas!$A$1:$E$1999,1,FALSE),VLOOKUP(E982,WindowTypeArea!$B$2:$C$2000,2,FALSE))</f>
        <v>1.8720000000000001</v>
      </c>
      <c r="M982">
        <f t="shared" ref="M982:M1045" ca="1" si="203">+OFFSET(INDIRECT(C982),0,5)</f>
        <v>5050055</v>
      </c>
    </row>
    <row r="983" spans="1:13" x14ac:dyDescent="0.25">
      <c r="A983">
        <f t="shared" ca="1" si="194"/>
        <v>2</v>
      </c>
      <c r="B983">
        <f t="shared" ca="1" si="195"/>
        <v>570</v>
      </c>
      <c r="C983" t="str">
        <f t="shared" ref="C983:C1046" ca="1" si="204">+"'"&amp;INDIRECT("a"&amp;A982)&amp;"'!B"&amp;B982</f>
        <v>'WINDOWS-NCH-A-BDP-M3-00-00'!B569</v>
      </c>
      <c r="D983" s="6" t="str">
        <f t="shared" ca="1" si="193"/>
        <v>L00-IMG-CIR-C001-02</v>
      </c>
      <c r="E983" t="str">
        <f t="shared" ca="1" si="196"/>
        <v>Family Type: Curtain Wall_1500w x 3200h, Family: Window External Type 6 - Flush, Recessed</v>
      </c>
      <c r="F983" t="str">
        <f t="shared" ca="1" si="197"/>
        <v>Vector(X = 0.977, Y = 0.212, Z = 0.000, Length = 1.000)</v>
      </c>
      <c r="G983">
        <f t="shared" ca="1" si="198"/>
        <v>1</v>
      </c>
      <c r="H983">
        <f t="shared" ca="1" si="199"/>
        <v>0.2</v>
      </c>
      <c r="I983">
        <f t="shared" ca="1" si="200"/>
        <v>0</v>
      </c>
      <c r="J983" s="8">
        <f t="shared" ca="1" si="201"/>
        <v>11.309932474020215</v>
      </c>
      <c r="K983" s="9" t="str">
        <f t="shared" ca="1" si="202"/>
        <v>E</v>
      </c>
      <c r="L983">
        <f ca="1">+_xlfn.IFNA(VLOOKUP(M983,BespokeWindowsAreas!$A$1:$E$1999,1,FALSE),VLOOKUP(E983,WindowTypeArea!$B$2:$C$2000,2,FALSE))</f>
        <v>4.8</v>
      </c>
      <c r="M983">
        <f t="shared" ca="1" si="203"/>
        <v>5050056</v>
      </c>
    </row>
    <row r="984" spans="1:13" x14ac:dyDescent="0.25">
      <c r="A984">
        <f t="shared" ca="1" si="194"/>
        <v>2</v>
      </c>
      <c r="B984">
        <f t="shared" ca="1" si="195"/>
        <v>571</v>
      </c>
      <c r="C984" t="str">
        <f t="shared" ca="1" si="204"/>
        <v>'WINDOWS-NCH-A-BDP-M3-00-00'!B570</v>
      </c>
      <c r="D984" s="6" t="str">
        <f t="shared" ca="1" si="193"/>
        <v>L00-IMG-CIR-C001-02</v>
      </c>
      <c r="E984" t="str">
        <f t="shared" ca="1" si="196"/>
        <v>Family Type: Curtain Wall_1950w x 3200h, Family: Window External Type 6 - Flush, Recessed</v>
      </c>
      <c r="F984" t="str">
        <f t="shared" ca="1" si="197"/>
        <v>Vector(X = 0.977, Y = 0.212, Z = 0.000, Length = 1.000)</v>
      </c>
      <c r="G984">
        <f t="shared" ca="1" si="198"/>
        <v>1</v>
      </c>
      <c r="H984">
        <f t="shared" ca="1" si="199"/>
        <v>0.2</v>
      </c>
      <c r="I984">
        <f t="shared" ca="1" si="200"/>
        <v>0</v>
      </c>
      <c r="J984" s="8">
        <f t="shared" ca="1" si="201"/>
        <v>11.309932474020215</v>
      </c>
      <c r="K984" s="9" t="str">
        <f t="shared" ca="1" si="202"/>
        <v>E</v>
      </c>
      <c r="L984">
        <f ca="1">+_xlfn.IFNA(VLOOKUP(M984,BespokeWindowsAreas!$A$1:$E$1999,1,FALSE),VLOOKUP(E984,WindowTypeArea!$B$2:$C$2000,2,FALSE))</f>
        <v>6.24</v>
      </c>
      <c r="M984">
        <f t="shared" ca="1" si="203"/>
        <v>5050057</v>
      </c>
    </row>
    <row r="985" spans="1:13" x14ac:dyDescent="0.25">
      <c r="A985">
        <f t="shared" ca="1" si="194"/>
        <v>2</v>
      </c>
      <c r="B985">
        <f t="shared" ca="1" si="195"/>
        <v>572</v>
      </c>
      <c r="C985" t="str">
        <f t="shared" ca="1" si="204"/>
        <v>'WINDOWS-NCH-A-BDP-M3-00-00'!B571</v>
      </c>
      <c r="D985" s="6" t="str">
        <f t="shared" ca="1" si="193"/>
        <v>L00-IMG-CIR-C001-02</v>
      </c>
      <c r="E985" t="str">
        <f t="shared" ca="1" si="196"/>
        <v>Family Type: Curtain Wall_975w x 3200h, Family: Window External Type 6 - Flush, Recessed</v>
      </c>
      <c r="F985" t="str">
        <f t="shared" ca="1" si="197"/>
        <v>Vector(X = 0.977, Y = 0.212, Z = 0.000, Length = 1.000)</v>
      </c>
      <c r="G985">
        <f t="shared" ca="1" si="198"/>
        <v>1</v>
      </c>
      <c r="H985">
        <f t="shared" ca="1" si="199"/>
        <v>0.2</v>
      </c>
      <c r="I985">
        <f t="shared" ca="1" si="200"/>
        <v>0</v>
      </c>
      <c r="J985" s="8">
        <f t="shared" ca="1" si="201"/>
        <v>11.309932474020215</v>
      </c>
      <c r="K985" s="9" t="str">
        <f t="shared" ca="1" si="202"/>
        <v>E</v>
      </c>
      <c r="L985">
        <f ca="1">+_xlfn.IFNA(VLOOKUP(M985,BespokeWindowsAreas!$A$1:$E$1999,1,FALSE),VLOOKUP(E985,WindowTypeArea!$B$2:$C$2000,2,FALSE))</f>
        <v>3.12</v>
      </c>
      <c r="M985">
        <f t="shared" ca="1" si="203"/>
        <v>5050058</v>
      </c>
    </row>
    <row r="986" spans="1:13" x14ac:dyDescent="0.25">
      <c r="A986">
        <f t="shared" ca="1" si="194"/>
        <v>2</v>
      </c>
      <c r="B986">
        <f t="shared" ca="1" si="195"/>
        <v>573</v>
      </c>
      <c r="C986" t="str">
        <f t="shared" ca="1" si="204"/>
        <v>'WINDOWS-NCH-A-BDP-M3-00-00'!B572</v>
      </c>
      <c r="D986" s="6" t="str">
        <f t="shared" ca="1" si="193"/>
        <v>L00-IMG-CIR-C001-02</v>
      </c>
      <c r="E986" t="str">
        <f t="shared" ca="1" si="196"/>
        <v>Family Type: Curtain Wall_1950w x 3200h, Family: Window External Type 6 - Flush, Recessed</v>
      </c>
      <c r="F986" t="str">
        <f t="shared" ca="1" si="197"/>
        <v>Vector(X = 0.977, Y = 0.212, Z = 0.000, Length = 1.000)</v>
      </c>
      <c r="G986">
        <f t="shared" ca="1" si="198"/>
        <v>1</v>
      </c>
      <c r="H986">
        <f t="shared" ca="1" si="199"/>
        <v>0.2</v>
      </c>
      <c r="I986">
        <f t="shared" ca="1" si="200"/>
        <v>0</v>
      </c>
      <c r="J986" s="8">
        <f t="shared" ca="1" si="201"/>
        <v>11.309932474020215</v>
      </c>
      <c r="K986" s="9" t="str">
        <f t="shared" ca="1" si="202"/>
        <v>E</v>
      </c>
      <c r="L986">
        <f ca="1">+_xlfn.IFNA(VLOOKUP(M986,BespokeWindowsAreas!$A$1:$E$1999,1,FALSE),VLOOKUP(E986,WindowTypeArea!$B$2:$C$2000,2,FALSE))</f>
        <v>6.24</v>
      </c>
      <c r="M986">
        <f t="shared" ca="1" si="203"/>
        <v>5050059</v>
      </c>
    </row>
    <row r="987" spans="1:13" x14ac:dyDescent="0.25">
      <c r="A987">
        <f t="shared" ca="1" si="194"/>
        <v>2</v>
      </c>
      <c r="B987">
        <f t="shared" ca="1" si="195"/>
        <v>574</v>
      </c>
      <c r="C987" t="str">
        <f t="shared" ca="1" si="204"/>
        <v>'WINDOWS-NCH-A-BDP-M3-00-00'!B573</v>
      </c>
      <c r="D987" s="6" t="str">
        <f t="shared" ca="1" si="193"/>
        <v>L00-IMG-CIR-C001-02</v>
      </c>
      <c r="E987" t="str">
        <f t="shared" ca="1" si="196"/>
        <v>Family Type: Curtain Wall_585w x 3200h, Family: Window External Type 6 - Flush, Recessed</v>
      </c>
      <c r="F987" t="str">
        <f t="shared" ca="1" si="197"/>
        <v>Vector(X = 0.977, Y = 0.212, Z = 0.000, Length = 1.000)</v>
      </c>
      <c r="G987">
        <f t="shared" ca="1" si="198"/>
        <v>1</v>
      </c>
      <c r="H987">
        <f t="shared" ca="1" si="199"/>
        <v>0.2</v>
      </c>
      <c r="I987">
        <f t="shared" ca="1" si="200"/>
        <v>0</v>
      </c>
      <c r="J987" s="8">
        <f t="shared" ca="1" si="201"/>
        <v>11.309932474020215</v>
      </c>
      <c r="K987" s="9" t="str">
        <f t="shared" ca="1" si="202"/>
        <v>E</v>
      </c>
      <c r="L987">
        <f ca="1">+_xlfn.IFNA(VLOOKUP(M987,BespokeWindowsAreas!$A$1:$E$1999,1,FALSE),VLOOKUP(E987,WindowTypeArea!$B$2:$C$2000,2,FALSE))</f>
        <v>1.8720000000000001</v>
      </c>
      <c r="M987">
        <f t="shared" ca="1" si="203"/>
        <v>5050060</v>
      </c>
    </row>
    <row r="988" spans="1:13" x14ac:dyDescent="0.25">
      <c r="A988">
        <f t="shared" ca="1" si="194"/>
        <v>2</v>
      </c>
      <c r="B988">
        <f t="shared" ca="1" si="195"/>
        <v>575</v>
      </c>
      <c r="C988" t="str">
        <f t="shared" ca="1" si="204"/>
        <v>'WINDOWS-NCH-A-BDP-M3-00-00'!B574</v>
      </c>
      <c r="D988" s="6" t="str">
        <f t="shared" ca="1" si="193"/>
        <v>L00-IMG-CIR-C001-02</v>
      </c>
      <c r="E988" t="str">
        <f t="shared" ca="1" si="196"/>
        <v>Family Type: Curtain Wall_975w x 3200h, Family: Window External Type 6 - Flush, Recessed</v>
      </c>
      <c r="F988" t="str">
        <f t="shared" ca="1" si="197"/>
        <v>Vector(X = 0.977, Y = 0.212, Z = 0.000, Length = 1.000)</v>
      </c>
      <c r="G988">
        <f t="shared" ca="1" si="198"/>
        <v>1</v>
      </c>
      <c r="H988">
        <f t="shared" ca="1" si="199"/>
        <v>0.2</v>
      </c>
      <c r="I988">
        <f t="shared" ca="1" si="200"/>
        <v>0</v>
      </c>
      <c r="J988" s="8">
        <f t="shared" ca="1" si="201"/>
        <v>11.309932474020215</v>
      </c>
      <c r="K988" s="9" t="str">
        <f t="shared" ca="1" si="202"/>
        <v>E</v>
      </c>
      <c r="L988">
        <f ca="1">+_xlfn.IFNA(VLOOKUP(M988,BespokeWindowsAreas!$A$1:$E$1999,1,FALSE),VLOOKUP(E988,WindowTypeArea!$B$2:$C$2000,2,FALSE))</f>
        <v>3.12</v>
      </c>
      <c r="M988">
        <f t="shared" ca="1" si="203"/>
        <v>5050061</v>
      </c>
    </row>
    <row r="989" spans="1:13" x14ac:dyDescent="0.25">
      <c r="A989">
        <f t="shared" ca="1" si="194"/>
        <v>2</v>
      </c>
      <c r="B989">
        <f t="shared" ca="1" si="195"/>
        <v>576</v>
      </c>
      <c r="C989" t="str">
        <f t="shared" ca="1" si="204"/>
        <v>'WINDOWS-NCH-A-BDP-M3-00-00'!B575</v>
      </c>
      <c r="D989" s="6" t="str">
        <f t="shared" ca="1" si="193"/>
        <v>L00-IMG-CIR-C001-02</v>
      </c>
      <c r="E989" t="str">
        <f t="shared" ca="1" si="196"/>
        <v>Family Type: Curtain Wall_1500w x 3200h, Family: Window External Type 6 - Flush, Recessed</v>
      </c>
      <c r="F989" t="str">
        <f t="shared" ca="1" si="197"/>
        <v>Vector(X = 0.977, Y = 0.212, Z = 0.000, Length = 1.000)</v>
      </c>
      <c r="G989">
        <f t="shared" ca="1" si="198"/>
        <v>1</v>
      </c>
      <c r="H989">
        <f t="shared" ca="1" si="199"/>
        <v>0.2</v>
      </c>
      <c r="I989">
        <f t="shared" ca="1" si="200"/>
        <v>0</v>
      </c>
      <c r="J989" s="8">
        <f t="shared" ca="1" si="201"/>
        <v>11.309932474020215</v>
      </c>
      <c r="K989" s="9" t="str">
        <f t="shared" ca="1" si="202"/>
        <v>E</v>
      </c>
      <c r="L989">
        <f ca="1">+_xlfn.IFNA(VLOOKUP(M989,BespokeWindowsAreas!$A$1:$E$1999,1,FALSE),VLOOKUP(E989,WindowTypeArea!$B$2:$C$2000,2,FALSE))</f>
        <v>4.8</v>
      </c>
      <c r="M989">
        <f t="shared" ca="1" si="203"/>
        <v>5050062</v>
      </c>
    </row>
    <row r="990" spans="1:13" x14ac:dyDescent="0.25">
      <c r="A990">
        <f t="shared" ca="1" si="194"/>
        <v>2</v>
      </c>
      <c r="B990">
        <f t="shared" ca="1" si="195"/>
        <v>577</v>
      </c>
      <c r="C990" t="str">
        <f t="shared" ca="1" si="204"/>
        <v>'WINDOWS-NCH-A-BDP-M3-00-00'!B576</v>
      </c>
      <c r="D990" s="6" t="str">
        <f t="shared" ca="1" si="193"/>
        <v>L00-IMG-CIR-C001-02</v>
      </c>
      <c r="E990" t="str">
        <f t="shared" ca="1" si="196"/>
        <v>Family Type: Curtain Wall_975w x 3200h, Family: Window External Type 6 - Flush, Recessed</v>
      </c>
      <c r="F990" t="str">
        <f t="shared" ca="1" si="197"/>
        <v>Vector(X = 0.977, Y = 0.212, Z = 0.000, Length = 1.000)</v>
      </c>
      <c r="G990">
        <f t="shared" ca="1" si="198"/>
        <v>1</v>
      </c>
      <c r="H990">
        <f t="shared" ca="1" si="199"/>
        <v>0.2</v>
      </c>
      <c r="I990">
        <f t="shared" ca="1" si="200"/>
        <v>0</v>
      </c>
      <c r="J990" s="8">
        <f t="shared" ca="1" si="201"/>
        <v>11.309932474020215</v>
      </c>
      <c r="K990" s="9" t="str">
        <f t="shared" ca="1" si="202"/>
        <v>E</v>
      </c>
      <c r="L990">
        <f ca="1">+_xlfn.IFNA(VLOOKUP(M990,BespokeWindowsAreas!$A$1:$E$1999,1,FALSE),VLOOKUP(E990,WindowTypeArea!$B$2:$C$2000,2,FALSE))</f>
        <v>3.12</v>
      </c>
      <c r="M990">
        <f t="shared" ca="1" si="203"/>
        <v>5050063</v>
      </c>
    </row>
    <row r="991" spans="1:13" x14ac:dyDescent="0.25">
      <c r="A991">
        <f t="shared" ca="1" si="194"/>
        <v>2</v>
      </c>
      <c r="B991">
        <f t="shared" ca="1" si="195"/>
        <v>578</v>
      </c>
      <c r="C991" t="str">
        <f t="shared" ca="1" si="204"/>
        <v>'WINDOWS-NCH-A-BDP-M3-00-00'!B577</v>
      </c>
      <c r="D991" s="6" t="str">
        <f t="shared" ca="1" si="193"/>
        <v>L00-IMG-CIR-C001-02</v>
      </c>
      <c r="E991" t="str">
        <f t="shared" ca="1" si="196"/>
        <v>Family Type: Curtain Wall_1500w x 3200h, Family: Window External Type 6 - Flush, Recessed</v>
      </c>
      <c r="F991" t="str">
        <f t="shared" ca="1" si="197"/>
        <v>Vector(X = 0.977, Y = 0.212, Z = 0.000, Length = 1.000)</v>
      </c>
      <c r="G991">
        <f t="shared" ca="1" si="198"/>
        <v>1</v>
      </c>
      <c r="H991">
        <f t="shared" ca="1" si="199"/>
        <v>0.2</v>
      </c>
      <c r="I991">
        <f t="shared" ca="1" si="200"/>
        <v>0</v>
      </c>
      <c r="J991" s="8">
        <f t="shared" ca="1" si="201"/>
        <v>11.309932474020215</v>
      </c>
      <c r="K991" s="9" t="str">
        <f t="shared" ca="1" si="202"/>
        <v>E</v>
      </c>
      <c r="L991">
        <f ca="1">+_xlfn.IFNA(VLOOKUP(M991,BespokeWindowsAreas!$A$1:$E$1999,1,FALSE),VLOOKUP(E991,WindowTypeArea!$B$2:$C$2000,2,FALSE))</f>
        <v>4.8</v>
      </c>
      <c r="M991">
        <f t="shared" ca="1" si="203"/>
        <v>5050064</v>
      </c>
    </row>
    <row r="992" spans="1:13" x14ac:dyDescent="0.25">
      <c r="A992">
        <f t="shared" ca="1" si="194"/>
        <v>2</v>
      </c>
      <c r="B992">
        <f t="shared" ca="1" si="195"/>
        <v>579</v>
      </c>
      <c r="C992" t="str">
        <f t="shared" ca="1" si="204"/>
        <v>'WINDOWS-NCH-A-BDP-M3-00-00'!B578</v>
      </c>
      <c r="D992" s="6" t="str">
        <f t="shared" ca="1" si="193"/>
        <v>L00-IMG-CIR-C001-02</v>
      </c>
      <c r="E992" t="str">
        <f t="shared" ca="1" si="196"/>
        <v>Family Type: Curtain Wall_585w x 3200h, Family: Window External Type 6 - Flush, Recessed</v>
      </c>
      <c r="F992" t="str">
        <f t="shared" ca="1" si="197"/>
        <v>Vector(X = 0.977, Y = 0.212, Z = 0.000, Length = 1.000)</v>
      </c>
      <c r="G992">
        <f t="shared" ca="1" si="198"/>
        <v>1</v>
      </c>
      <c r="H992">
        <f t="shared" ca="1" si="199"/>
        <v>0.2</v>
      </c>
      <c r="I992">
        <f t="shared" ca="1" si="200"/>
        <v>0</v>
      </c>
      <c r="J992" s="8">
        <f t="shared" ca="1" si="201"/>
        <v>11.309932474020215</v>
      </c>
      <c r="K992" s="9" t="str">
        <f t="shared" ca="1" si="202"/>
        <v>E</v>
      </c>
      <c r="L992">
        <f ca="1">+_xlfn.IFNA(VLOOKUP(M992,BespokeWindowsAreas!$A$1:$E$1999,1,FALSE),VLOOKUP(E992,WindowTypeArea!$B$2:$C$2000,2,FALSE))</f>
        <v>1.8720000000000001</v>
      </c>
      <c r="M992">
        <f t="shared" ca="1" si="203"/>
        <v>5050065</v>
      </c>
    </row>
    <row r="993" spans="1:13" x14ac:dyDescent="0.25">
      <c r="A993">
        <f t="shared" ca="1" si="194"/>
        <v>2</v>
      </c>
      <c r="B993">
        <f t="shared" ca="1" si="195"/>
        <v>580</v>
      </c>
      <c r="C993" t="str">
        <f t="shared" ca="1" si="204"/>
        <v>'WINDOWS-NCH-A-BDP-M3-00-00'!B579</v>
      </c>
      <c r="D993" s="6" t="str">
        <f t="shared" ca="1" si="193"/>
        <v>L00-IMG-CIR-C001-02</v>
      </c>
      <c r="E993" t="str">
        <f t="shared" ca="1" si="196"/>
        <v>Family Type: Curtain Wall_1500w x 3200h, Family: Window External Type 6 - Flush, Recessed</v>
      </c>
      <c r="F993" t="str">
        <f t="shared" ca="1" si="197"/>
        <v>Vector(X = 0.977, Y = 0.212, Z = 0.000, Length = 1.000)</v>
      </c>
      <c r="G993">
        <f t="shared" ca="1" si="198"/>
        <v>1</v>
      </c>
      <c r="H993">
        <f t="shared" ca="1" si="199"/>
        <v>0.2</v>
      </c>
      <c r="I993">
        <f t="shared" ca="1" si="200"/>
        <v>0</v>
      </c>
      <c r="J993" s="8">
        <f t="shared" ca="1" si="201"/>
        <v>11.309932474020215</v>
      </c>
      <c r="K993" s="9" t="str">
        <f t="shared" ca="1" si="202"/>
        <v>E</v>
      </c>
      <c r="L993">
        <f ca="1">+_xlfn.IFNA(VLOOKUP(M993,BespokeWindowsAreas!$A$1:$E$1999,1,FALSE),VLOOKUP(E993,WindowTypeArea!$B$2:$C$2000,2,FALSE))</f>
        <v>4.8</v>
      </c>
      <c r="M993">
        <f t="shared" ca="1" si="203"/>
        <v>5050099</v>
      </c>
    </row>
    <row r="994" spans="1:13" x14ac:dyDescent="0.25">
      <c r="A994">
        <f t="shared" ca="1" si="194"/>
        <v>2</v>
      </c>
      <c r="B994">
        <f t="shared" ca="1" si="195"/>
        <v>581</v>
      </c>
      <c r="C994" t="str">
        <f t="shared" ca="1" si="204"/>
        <v>'WINDOWS-NCH-A-BDP-M3-00-00'!B580</v>
      </c>
      <c r="D994" s="6" t="str">
        <f t="shared" ca="1" si="193"/>
        <v>L00-IMG-CIR-C001-02</v>
      </c>
      <c r="E994" t="str">
        <f t="shared" ca="1" si="196"/>
        <v>Family Type: Curtain Wall_1950w x 3200h, Family: Window External Type 6 - Flush, Recessed</v>
      </c>
      <c r="F994" t="str">
        <f t="shared" ca="1" si="197"/>
        <v>Vector(X = 0.977, Y = 0.212, Z = 0.000, Length = 1.000)</v>
      </c>
      <c r="G994">
        <f t="shared" ca="1" si="198"/>
        <v>1</v>
      </c>
      <c r="H994">
        <f t="shared" ca="1" si="199"/>
        <v>0.2</v>
      </c>
      <c r="I994">
        <f t="shared" ca="1" si="200"/>
        <v>0</v>
      </c>
      <c r="J994" s="8">
        <f t="shared" ca="1" si="201"/>
        <v>11.309932474020215</v>
      </c>
      <c r="K994" s="9" t="str">
        <f t="shared" ca="1" si="202"/>
        <v>E</v>
      </c>
      <c r="L994">
        <f ca="1">+_xlfn.IFNA(VLOOKUP(M994,BespokeWindowsAreas!$A$1:$E$1999,1,FALSE),VLOOKUP(E994,WindowTypeArea!$B$2:$C$2000,2,FALSE))</f>
        <v>6.24</v>
      </c>
      <c r="M994">
        <f t="shared" ca="1" si="203"/>
        <v>5050100</v>
      </c>
    </row>
    <row r="995" spans="1:13" x14ac:dyDescent="0.25">
      <c r="A995">
        <f t="shared" ca="1" si="194"/>
        <v>2</v>
      </c>
      <c r="B995">
        <f t="shared" ca="1" si="195"/>
        <v>582</v>
      </c>
      <c r="C995" t="str">
        <f t="shared" ca="1" si="204"/>
        <v>'WINDOWS-NCH-A-BDP-M3-00-00'!B581</v>
      </c>
      <c r="D995" s="6" t="str">
        <f t="shared" ca="1" si="193"/>
        <v>L00-IMG-CIR-C001-02</v>
      </c>
      <c r="E995" t="str">
        <f t="shared" ca="1" si="196"/>
        <v>Family Type: Curtain Wall_975w x 3200h, Family: Window External Type 6 - Flush, Recessed</v>
      </c>
      <c r="F995" t="str">
        <f t="shared" ca="1" si="197"/>
        <v>Vector(X = 0.977, Y = 0.212, Z = 0.000, Length = 1.000)</v>
      </c>
      <c r="G995">
        <f t="shared" ca="1" si="198"/>
        <v>1</v>
      </c>
      <c r="H995">
        <f t="shared" ca="1" si="199"/>
        <v>0.2</v>
      </c>
      <c r="I995">
        <f t="shared" ca="1" si="200"/>
        <v>0</v>
      </c>
      <c r="J995" s="8">
        <f t="shared" ca="1" si="201"/>
        <v>11.309932474020215</v>
      </c>
      <c r="K995" s="9" t="str">
        <f t="shared" ca="1" si="202"/>
        <v>E</v>
      </c>
      <c r="L995">
        <f ca="1">+_xlfn.IFNA(VLOOKUP(M995,BespokeWindowsAreas!$A$1:$E$1999,1,FALSE),VLOOKUP(E995,WindowTypeArea!$B$2:$C$2000,2,FALSE))</f>
        <v>3.12</v>
      </c>
      <c r="M995">
        <f t="shared" ca="1" si="203"/>
        <v>5050101</v>
      </c>
    </row>
    <row r="996" spans="1:13" x14ac:dyDescent="0.25">
      <c r="A996">
        <f t="shared" ca="1" si="194"/>
        <v>2</v>
      </c>
      <c r="B996">
        <f t="shared" ca="1" si="195"/>
        <v>583</v>
      </c>
      <c r="C996" t="str">
        <f t="shared" ca="1" si="204"/>
        <v>'WINDOWS-NCH-A-BDP-M3-00-00'!B582</v>
      </c>
      <c r="D996" s="6" t="str">
        <f t="shared" ca="1" si="193"/>
        <v>L00-IMG-CIR-C001-02</v>
      </c>
      <c r="E996" t="str">
        <f t="shared" ca="1" si="196"/>
        <v>Family Type: Curtain Wall_1950w x 3200h, Family: Window External Type 6 - Flush, Recessed</v>
      </c>
      <c r="F996" t="str">
        <f t="shared" ca="1" si="197"/>
        <v>Vector(X = 0.977, Y = 0.212, Z = 0.000, Length = 1.000)</v>
      </c>
      <c r="G996">
        <f t="shared" ca="1" si="198"/>
        <v>1</v>
      </c>
      <c r="H996">
        <f t="shared" ca="1" si="199"/>
        <v>0.2</v>
      </c>
      <c r="I996">
        <f t="shared" ca="1" si="200"/>
        <v>0</v>
      </c>
      <c r="J996" s="8">
        <f t="shared" ca="1" si="201"/>
        <v>11.309932474020215</v>
      </c>
      <c r="K996" s="9" t="str">
        <f t="shared" ca="1" si="202"/>
        <v>E</v>
      </c>
      <c r="L996">
        <f ca="1">+_xlfn.IFNA(VLOOKUP(M996,BespokeWindowsAreas!$A$1:$E$1999,1,FALSE),VLOOKUP(E996,WindowTypeArea!$B$2:$C$2000,2,FALSE))</f>
        <v>6.24</v>
      </c>
      <c r="M996">
        <f t="shared" ca="1" si="203"/>
        <v>5050102</v>
      </c>
    </row>
    <row r="997" spans="1:13" x14ac:dyDescent="0.25">
      <c r="A997">
        <f t="shared" ca="1" si="194"/>
        <v>2</v>
      </c>
      <c r="B997">
        <f t="shared" ca="1" si="195"/>
        <v>584</v>
      </c>
      <c r="C997" t="str">
        <f t="shared" ca="1" si="204"/>
        <v>'WINDOWS-NCH-A-BDP-M3-00-00'!B583</v>
      </c>
      <c r="D997" s="6" t="str">
        <f t="shared" ca="1" si="193"/>
        <v>L00-IMG-CIR-C001-02</v>
      </c>
      <c r="E997" t="str">
        <f t="shared" ca="1" si="196"/>
        <v>Family Type: Curtain Wall_585w x 3200h, Family: Window External Type 6 - Flush, Recessed</v>
      </c>
      <c r="F997" t="str">
        <f t="shared" ca="1" si="197"/>
        <v>Vector(X = 0.977, Y = 0.212, Z = 0.000, Length = 1.000)</v>
      </c>
      <c r="G997">
        <f t="shared" ca="1" si="198"/>
        <v>1</v>
      </c>
      <c r="H997">
        <f t="shared" ca="1" si="199"/>
        <v>0.2</v>
      </c>
      <c r="I997">
        <f t="shared" ca="1" si="200"/>
        <v>0</v>
      </c>
      <c r="J997" s="8">
        <f t="shared" ca="1" si="201"/>
        <v>11.309932474020215</v>
      </c>
      <c r="K997" s="9" t="str">
        <f t="shared" ca="1" si="202"/>
        <v>E</v>
      </c>
      <c r="L997">
        <f ca="1">+_xlfn.IFNA(VLOOKUP(M997,BespokeWindowsAreas!$A$1:$E$1999,1,FALSE),VLOOKUP(E997,WindowTypeArea!$B$2:$C$2000,2,FALSE))</f>
        <v>1.8720000000000001</v>
      </c>
      <c r="M997">
        <f t="shared" ca="1" si="203"/>
        <v>5050103</v>
      </c>
    </row>
    <row r="998" spans="1:13" x14ac:dyDescent="0.25">
      <c r="A998">
        <f t="shared" ca="1" si="194"/>
        <v>2</v>
      </c>
      <c r="B998">
        <f t="shared" ca="1" si="195"/>
        <v>585</v>
      </c>
      <c r="C998" t="str">
        <f t="shared" ca="1" si="204"/>
        <v>'WINDOWS-NCH-A-BDP-M3-00-00'!B584</v>
      </c>
      <c r="D998" s="6" t="str">
        <f t="shared" ca="1" si="193"/>
        <v>L00-IMG-CIR-C001-02</v>
      </c>
      <c r="E998" t="str">
        <f t="shared" ca="1" si="196"/>
        <v>Family Type: Curtain Wall_975w x 3200h, Family: Window External Type 6 - Flush, Recessed</v>
      </c>
      <c r="F998" t="str">
        <f t="shared" ca="1" si="197"/>
        <v>Vector(X = 0.977, Y = 0.212, Z = 0.000, Length = 1.000)</v>
      </c>
      <c r="G998">
        <f t="shared" ca="1" si="198"/>
        <v>1</v>
      </c>
      <c r="H998">
        <f t="shared" ca="1" si="199"/>
        <v>0.2</v>
      </c>
      <c r="I998">
        <f t="shared" ca="1" si="200"/>
        <v>0</v>
      </c>
      <c r="J998" s="8">
        <f t="shared" ca="1" si="201"/>
        <v>11.309932474020215</v>
      </c>
      <c r="K998" s="9" t="str">
        <f t="shared" ca="1" si="202"/>
        <v>E</v>
      </c>
      <c r="L998">
        <f ca="1">+_xlfn.IFNA(VLOOKUP(M998,BespokeWindowsAreas!$A$1:$E$1999,1,FALSE),VLOOKUP(E998,WindowTypeArea!$B$2:$C$2000,2,FALSE))</f>
        <v>3.12</v>
      </c>
      <c r="M998">
        <f t="shared" ca="1" si="203"/>
        <v>5050104</v>
      </c>
    </row>
    <row r="999" spans="1:13" x14ac:dyDescent="0.25">
      <c r="A999">
        <f t="shared" ca="1" si="194"/>
        <v>2</v>
      </c>
      <c r="B999">
        <f t="shared" ca="1" si="195"/>
        <v>586</v>
      </c>
      <c r="C999" t="str">
        <f t="shared" ca="1" si="204"/>
        <v>'WINDOWS-NCH-A-BDP-M3-00-00'!B585</v>
      </c>
      <c r="D999" s="6" t="str">
        <f t="shared" ca="1" si="193"/>
        <v>L00-IMG-CIR-C001-05</v>
      </c>
      <c r="E999" t="str">
        <f t="shared" ca="1" si="196"/>
        <v>L00-IMG-CIR-C001-05</v>
      </c>
      <c r="F999">
        <f t="shared" ca="1" si="197"/>
        <v>2410191</v>
      </c>
      <c r="G999">
        <f t="shared" ca="1" si="198"/>
        <v>0</v>
      </c>
      <c r="H999">
        <f t="shared" ca="1" si="199"/>
        <v>0</v>
      </c>
      <c r="I999">
        <f t="shared" ca="1" si="200"/>
        <v>0</v>
      </c>
      <c r="J999" s="8" t="e">
        <f t="shared" ca="1" si="201"/>
        <v>#DIV/0!</v>
      </c>
      <c r="K999" s="9" t="e">
        <f t="shared" ca="1" si="202"/>
        <v>#DIV/0!</v>
      </c>
      <c r="L999" t="e">
        <f ca="1">+_xlfn.IFNA(VLOOKUP(M999,BespokeWindowsAreas!$A$1:$E$1999,1,FALSE),VLOOKUP(E999,WindowTypeArea!$B$2:$C$2000,2,FALSE))</f>
        <v>#N/A</v>
      </c>
      <c r="M999">
        <f t="shared" ca="1" si="203"/>
        <v>0</v>
      </c>
    </row>
    <row r="1000" spans="1:13" x14ac:dyDescent="0.25">
      <c r="A1000">
        <f t="shared" ca="1" si="194"/>
        <v>2</v>
      </c>
      <c r="B1000">
        <f t="shared" ca="1" si="195"/>
        <v>587</v>
      </c>
      <c r="C1000" t="str">
        <f t="shared" ca="1" si="204"/>
        <v>'WINDOWS-NCH-A-BDP-M3-00-00'!B586</v>
      </c>
      <c r="D1000" s="6" t="str">
        <f t="shared" ca="1" si="193"/>
        <v>L00-IMG-CIR-C001-05</v>
      </c>
      <c r="E1000" t="str">
        <f t="shared" ca="1" si="196"/>
        <v>Family Type: Curtain Wall_1500w x 3200h, Family: Window External Type 6 - Flush, Recessed</v>
      </c>
      <c r="F1000" t="str">
        <f t="shared" ca="1" si="197"/>
        <v>Vector(X = 0.977, Y = 0.212, Z = 0.000, Length = 1.000)</v>
      </c>
      <c r="G1000">
        <f t="shared" ca="1" si="198"/>
        <v>1</v>
      </c>
      <c r="H1000">
        <f t="shared" ca="1" si="199"/>
        <v>0.2</v>
      </c>
      <c r="I1000">
        <f t="shared" ca="1" si="200"/>
        <v>0</v>
      </c>
      <c r="J1000" s="8">
        <f t="shared" ca="1" si="201"/>
        <v>11.309932474020215</v>
      </c>
      <c r="K1000" s="9" t="str">
        <f t="shared" ca="1" si="202"/>
        <v>E</v>
      </c>
      <c r="L1000">
        <f ca="1">+_xlfn.IFNA(VLOOKUP(M1000,BespokeWindowsAreas!$A$1:$E$1999,1,FALSE),VLOOKUP(E1000,WindowTypeArea!$B$2:$C$2000,2,FALSE))</f>
        <v>4.8</v>
      </c>
      <c r="M1000">
        <f t="shared" ca="1" si="203"/>
        <v>5049422</v>
      </c>
    </row>
    <row r="1001" spans="1:13" x14ac:dyDescent="0.25">
      <c r="A1001">
        <f t="shared" ca="1" si="194"/>
        <v>2</v>
      </c>
      <c r="B1001">
        <f t="shared" ca="1" si="195"/>
        <v>588</v>
      </c>
      <c r="C1001" t="str">
        <f t="shared" ca="1" si="204"/>
        <v>'WINDOWS-NCH-A-BDP-M3-00-00'!B587</v>
      </c>
      <c r="D1001" s="6" t="str">
        <f t="shared" ca="1" si="193"/>
        <v>L00-IMG-CIR-C001-05</v>
      </c>
      <c r="E1001" t="str">
        <f t="shared" ca="1" si="196"/>
        <v>Family Type: Curtain Wall_975w x 3200h, Family: Window External Type 6 - Flush, Recessed</v>
      </c>
      <c r="F1001" t="str">
        <f t="shared" ca="1" si="197"/>
        <v>Vector(X = 0.977, Y = 0.212, Z = 0.000, Length = 1.000)</v>
      </c>
      <c r="G1001">
        <f t="shared" ca="1" si="198"/>
        <v>1</v>
      </c>
      <c r="H1001">
        <f t="shared" ca="1" si="199"/>
        <v>0.2</v>
      </c>
      <c r="I1001">
        <f t="shared" ca="1" si="200"/>
        <v>0</v>
      </c>
      <c r="J1001" s="8">
        <f t="shared" ca="1" si="201"/>
        <v>11.309932474020215</v>
      </c>
      <c r="K1001" s="9" t="str">
        <f t="shared" ca="1" si="202"/>
        <v>E</v>
      </c>
      <c r="L1001">
        <f ca="1">+_xlfn.IFNA(VLOOKUP(M1001,BespokeWindowsAreas!$A$1:$E$1999,1,FALSE),VLOOKUP(E1001,WindowTypeArea!$B$2:$C$2000,2,FALSE))</f>
        <v>3.12</v>
      </c>
      <c r="M1001">
        <f t="shared" ca="1" si="203"/>
        <v>5049423</v>
      </c>
    </row>
    <row r="1002" spans="1:13" x14ac:dyDescent="0.25">
      <c r="A1002">
        <f t="shared" ca="1" si="194"/>
        <v>2</v>
      </c>
      <c r="B1002">
        <f t="shared" ca="1" si="195"/>
        <v>589</v>
      </c>
      <c r="C1002" t="str">
        <f t="shared" ca="1" si="204"/>
        <v>'WINDOWS-NCH-A-BDP-M3-00-00'!B588</v>
      </c>
      <c r="D1002" s="6" t="str">
        <f t="shared" ca="1" si="193"/>
        <v>L00-IMG-CIR-C001-05</v>
      </c>
      <c r="E1002" t="str">
        <f t="shared" ca="1" si="196"/>
        <v>Family Type: Curtain Wall_1500w x 3200h, Family: Window External Type 6 - Flush, Recessed</v>
      </c>
      <c r="F1002" t="str">
        <f t="shared" ca="1" si="197"/>
        <v>Vector(X = 0.977, Y = 0.212, Z = 0.000, Length = 1.000)</v>
      </c>
      <c r="G1002">
        <f t="shared" ca="1" si="198"/>
        <v>1</v>
      </c>
      <c r="H1002">
        <f t="shared" ca="1" si="199"/>
        <v>0.2</v>
      </c>
      <c r="I1002">
        <f t="shared" ca="1" si="200"/>
        <v>0</v>
      </c>
      <c r="J1002" s="8">
        <f t="shared" ca="1" si="201"/>
        <v>11.309932474020215</v>
      </c>
      <c r="K1002" s="9" t="str">
        <f t="shared" ca="1" si="202"/>
        <v>E</v>
      </c>
      <c r="L1002">
        <f ca="1">+_xlfn.IFNA(VLOOKUP(M1002,BespokeWindowsAreas!$A$1:$E$1999,1,FALSE),VLOOKUP(E1002,WindowTypeArea!$B$2:$C$2000,2,FALSE))</f>
        <v>4.8</v>
      </c>
      <c r="M1002">
        <f t="shared" ca="1" si="203"/>
        <v>5049424</v>
      </c>
    </row>
    <row r="1003" spans="1:13" x14ac:dyDescent="0.25">
      <c r="A1003">
        <f t="shared" ca="1" si="194"/>
        <v>2</v>
      </c>
      <c r="B1003">
        <f t="shared" ca="1" si="195"/>
        <v>590</v>
      </c>
      <c r="C1003" t="str">
        <f t="shared" ca="1" si="204"/>
        <v>'WINDOWS-NCH-A-BDP-M3-00-00'!B589</v>
      </c>
      <c r="D1003" s="6" t="str">
        <f t="shared" ca="1" si="193"/>
        <v>L00-IMG-CIR-C001-05</v>
      </c>
      <c r="E1003" t="str">
        <f t="shared" ca="1" si="196"/>
        <v>Family Type: Curtain Wall_585w x 3200h, Family: Window External Type 6 - Flush, Recessed</v>
      </c>
      <c r="F1003" t="str">
        <f t="shared" ca="1" si="197"/>
        <v>Vector(X = 0.977, Y = 0.212, Z = 0.000, Length = 1.000)</v>
      </c>
      <c r="G1003">
        <f t="shared" ca="1" si="198"/>
        <v>1</v>
      </c>
      <c r="H1003">
        <f t="shared" ca="1" si="199"/>
        <v>0.2</v>
      </c>
      <c r="I1003">
        <f t="shared" ca="1" si="200"/>
        <v>0</v>
      </c>
      <c r="J1003" s="8">
        <f t="shared" ca="1" si="201"/>
        <v>11.309932474020215</v>
      </c>
      <c r="K1003" s="9" t="str">
        <f t="shared" ca="1" si="202"/>
        <v>E</v>
      </c>
      <c r="L1003">
        <f ca="1">+_xlfn.IFNA(VLOOKUP(M1003,BespokeWindowsAreas!$A$1:$E$1999,1,FALSE),VLOOKUP(E1003,WindowTypeArea!$B$2:$C$2000,2,FALSE))</f>
        <v>1.8720000000000001</v>
      </c>
      <c r="M1003">
        <f t="shared" ca="1" si="203"/>
        <v>5049425</v>
      </c>
    </row>
    <row r="1004" spans="1:13" x14ac:dyDescent="0.25">
      <c r="A1004">
        <f t="shared" ca="1" si="194"/>
        <v>2</v>
      </c>
      <c r="B1004">
        <f t="shared" ca="1" si="195"/>
        <v>591</v>
      </c>
      <c r="C1004" t="str">
        <f t="shared" ca="1" si="204"/>
        <v>'WINDOWS-NCH-A-BDP-M3-00-00'!B590</v>
      </c>
      <c r="D1004" s="6" t="str">
        <f t="shared" ca="1" si="193"/>
        <v>L00-IMG-CIR-C001-05</v>
      </c>
      <c r="E1004" t="str">
        <f t="shared" ca="1" si="196"/>
        <v>Family Type: Curtain Wall_1500w x 3200h, Family: Window External Type 6 - Flush, Recessed</v>
      </c>
      <c r="F1004" t="str">
        <f t="shared" ca="1" si="197"/>
        <v>Vector(X = 0.977, Y = 0.212, Z = 0.000, Length = 1.000)</v>
      </c>
      <c r="G1004">
        <f t="shared" ca="1" si="198"/>
        <v>1</v>
      </c>
      <c r="H1004">
        <f t="shared" ca="1" si="199"/>
        <v>0.2</v>
      </c>
      <c r="I1004">
        <f t="shared" ca="1" si="200"/>
        <v>0</v>
      </c>
      <c r="J1004" s="8">
        <f t="shared" ca="1" si="201"/>
        <v>11.309932474020215</v>
      </c>
      <c r="K1004" s="9" t="str">
        <f t="shared" ca="1" si="202"/>
        <v>E</v>
      </c>
      <c r="L1004">
        <f ca="1">+_xlfn.IFNA(VLOOKUP(M1004,BespokeWindowsAreas!$A$1:$E$1999,1,FALSE),VLOOKUP(E1004,WindowTypeArea!$B$2:$C$2000,2,FALSE))</f>
        <v>4.8</v>
      </c>
      <c r="M1004">
        <f t="shared" ca="1" si="203"/>
        <v>5050046</v>
      </c>
    </row>
    <row r="1005" spans="1:13" x14ac:dyDescent="0.25">
      <c r="A1005">
        <f t="shared" ca="1" si="194"/>
        <v>2</v>
      </c>
      <c r="B1005">
        <f t="shared" ca="1" si="195"/>
        <v>592</v>
      </c>
      <c r="C1005" t="str">
        <f t="shared" ca="1" si="204"/>
        <v>'WINDOWS-NCH-A-BDP-M3-00-00'!B591</v>
      </c>
      <c r="D1005" s="6" t="str">
        <f t="shared" ca="1" si="193"/>
        <v>L00-IMG-CIR-C001-05</v>
      </c>
      <c r="E1005" t="str">
        <f t="shared" ca="1" si="196"/>
        <v>Family Type: Curtain Wall_1950w x 3200h, Family: Window External Type 6 - Flush, Recessed</v>
      </c>
      <c r="F1005" t="str">
        <f t="shared" ca="1" si="197"/>
        <v>Vector(X = 0.977, Y = 0.212, Z = 0.000, Length = 1.000)</v>
      </c>
      <c r="G1005">
        <f t="shared" ca="1" si="198"/>
        <v>1</v>
      </c>
      <c r="H1005">
        <f t="shared" ca="1" si="199"/>
        <v>0.2</v>
      </c>
      <c r="I1005">
        <f t="shared" ca="1" si="200"/>
        <v>0</v>
      </c>
      <c r="J1005" s="8">
        <f t="shared" ca="1" si="201"/>
        <v>11.309932474020215</v>
      </c>
      <c r="K1005" s="9" t="str">
        <f t="shared" ca="1" si="202"/>
        <v>E</v>
      </c>
      <c r="L1005">
        <f ca="1">+_xlfn.IFNA(VLOOKUP(M1005,BespokeWindowsAreas!$A$1:$E$1999,1,FALSE),VLOOKUP(E1005,WindowTypeArea!$B$2:$C$2000,2,FALSE))</f>
        <v>6.24</v>
      </c>
      <c r="M1005">
        <f t="shared" ca="1" si="203"/>
        <v>5050047</v>
      </c>
    </row>
    <row r="1006" spans="1:13" x14ac:dyDescent="0.25">
      <c r="A1006">
        <f t="shared" ca="1" si="194"/>
        <v>2</v>
      </c>
      <c r="B1006">
        <f t="shared" ca="1" si="195"/>
        <v>593</v>
      </c>
      <c r="C1006" t="str">
        <f t="shared" ca="1" si="204"/>
        <v>'WINDOWS-NCH-A-BDP-M3-00-00'!B592</v>
      </c>
      <c r="D1006" s="6" t="str">
        <f t="shared" ca="1" si="193"/>
        <v>L00-IMG-CIR-C001-05</v>
      </c>
      <c r="E1006" t="str">
        <f t="shared" ca="1" si="196"/>
        <v>Family Type: Curtain Wall_975w x 3200h, Family: Window External Type 6 - Flush, Recessed</v>
      </c>
      <c r="F1006" t="str">
        <f t="shared" ca="1" si="197"/>
        <v>Vector(X = 0.977, Y = 0.212, Z = 0.000, Length = 1.000)</v>
      </c>
      <c r="G1006">
        <f t="shared" ca="1" si="198"/>
        <v>1</v>
      </c>
      <c r="H1006">
        <f t="shared" ca="1" si="199"/>
        <v>0.2</v>
      </c>
      <c r="I1006">
        <f t="shared" ca="1" si="200"/>
        <v>0</v>
      </c>
      <c r="J1006" s="8">
        <f t="shared" ca="1" si="201"/>
        <v>11.309932474020215</v>
      </c>
      <c r="K1006" s="9" t="str">
        <f t="shared" ca="1" si="202"/>
        <v>E</v>
      </c>
      <c r="L1006">
        <f ca="1">+_xlfn.IFNA(VLOOKUP(M1006,BespokeWindowsAreas!$A$1:$E$1999,1,FALSE),VLOOKUP(E1006,WindowTypeArea!$B$2:$C$2000,2,FALSE))</f>
        <v>3.12</v>
      </c>
      <c r="M1006">
        <f t="shared" ca="1" si="203"/>
        <v>5050048</v>
      </c>
    </row>
    <row r="1007" spans="1:13" x14ac:dyDescent="0.25">
      <c r="A1007">
        <f t="shared" ca="1" si="194"/>
        <v>2</v>
      </c>
      <c r="B1007">
        <f t="shared" ca="1" si="195"/>
        <v>594</v>
      </c>
      <c r="C1007" t="str">
        <f t="shared" ca="1" si="204"/>
        <v>'WINDOWS-NCH-A-BDP-M3-00-00'!B593</v>
      </c>
      <c r="D1007" s="6" t="str">
        <f t="shared" ca="1" si="193"/>
        <v>L00-IMG-CIR-C001-05</v>
      </c>
      <c r="E1007" t="str">
        <f t="shared" ca="1" si="196"/>
        <v>Family Type: Curtain Wall_1950w x 3200h, Family: Window External Type 6 - Flush, Recessed</v>
      </c>
      <c r="F1007" t="str">
        <f t="shared" ca="1" si="197"/>
        <v>Vector(X = 0.977, Y = 0.212, Z = 0.000, Length = 1.000)</v>
      </c>
      <c r="G1007">
        <f t="shared" ca="1" si="198"/>
        <v>1</v>
      </c>
      <c r="H1007">
        <f t="shared" ca="1" si="199"/>
        <v>0.2</v>
      </c>
      <c r="I1007">
        <f t="shared" ca="1" si="200"/>
        <v>0</v>
      </c>
      <c r="J1007" s="8">
        <f t="shared" ca="1" si="201"/>
        <v>11.309932474020215</v>
      </c>
      <c r="K1007" s="9" t="str">
        <f t="shared" ca="1" si="202"/>
        <v>E</v>
      </c>
      <c r="L1007">
        <f ca="1">+_xlfn.IFNA(VLOOKUP(M1007,BespokeWindowsAreas!$A$1:$E$1999,1,FALSE),VLOOKUP(E1007,WindowTypeArea!$B$2:$C$2000,2,FALSE))</f>
        <v>6.24</v>
      </c>
      <c r="M1007">
        <f t="shared" ca="1" si="203"/>
        <v>5050049</v>
      </c>
    </row>
    <row r="1008" spans="1:13" x14ac:dyDescent="0.25">
      <c r="A1008">
        <f t="shared" ca="1" si="194"/>
        <v>2</v>
      </c>
      <c r="B1008">
        <f t="shared" ca="1" si="195"/>
        <v>595</v>
      </c>
      <c r="C1008" t="str">
        <f t="shared" ca="1" si="204"/>
        <v>'WINDOWS-NCH-A-BDP-M3-00-00'!B594</v>
      </c>
      <c r="D1008" s="6" t="str">
        <f t="shared" ca="1" si="193"/>
        <v>L00-IMG-CIR-C001-05</v>
      </c>
      <c r="E1008" t="str">
        <f t="shared" ca="1" si="196"/>
        <v>Family Type: Curtain Wall_585w x 3200h, Family: Window External Type 6 - Flush, Recessed</v>
      </c>
      <c r="F1008" t="str">
        <f t="shared" ca="1" si="197"/>
        <v>Vector(X = 0.977, Y = 0.212, Z = 0.000, Length = 1.000)</v>
      </c>
      <c r="G1008">
        <f t="shared" ca="1" si="198"/>
        <v>1</v>
      </c>
      <c r="H1008">
        <f t="shared" ca="1" si="199"/>
        <v>0.2</v>
      </c>
      <c r="I1008">
        <f t="shared" ca="1" si="200"/>
        <v>0</v>
      </c>
      <c r="J1008" s="8">
        <f t="shared" ca="1" si="201"/>
        <v>11.309932474020215</v>
      </c>
      <c r="K1008" s="9" t="str">
        <f t="shared" ca="1" si="202"/>
        <v>E</v>
      </c>
      <c r="L1008">
        <f ca="1">+_xlfn.IFNA(VLOOKUP(M1008,BespokeWindowsAreas!$A$1:$E$1999,1,FALSE),VLOOKUP(E1008,WindowTypeArea!$B$2:$C$2000,2,FALSE))</f>
        <v>1.8720000000000001</v>
      </c>
      <c r="M1008">
        <f t="shared" ca="1" si="203"/>
        <v>5050050</v>
      </c>
    </row>
    <row r="1009" spans="1:13" x14ac:dyDescent="0.25">
      <c r="A1009">
        <f t="shared" ca="1" si="194"/>
        <v>2</v>
      </c>
      <c r="B1009">
        <f t="shared" ca="1" si="195"/>
        <v>596</v>
      </c>
      <c r="C1009" t="str">
        <f t="shared" ca="1" si="204"/>
        <v>'WINDOWS-NCH-A-BDP-M3-00-00'!B595</v>
      </c>
      <c r="D1009" s="6" t="str">
        <f t="shared" ca="1" si="193"/>
        <v>L00-IMG-CIR-C001-05</v>
      </c>
      <c r="E1009" t="str">
        <f t="shared" ca="1" si="196"/>
        <v>Family Type: Curtain Wall_975w x 3200h, Family: Window External Type 6 - Flush, Recessed</v>
      </c>
      <c r="F1009" t="str">
        <f t="shared" ca="1" si="197"/>
        <v>Vector(X = 0.977, Y = 0.212, Z = 0.000, Length = 1.000)</v>
      </c>
      <c r="G1009">
        <f t="shared" ca="1" si="198"/>
        <v>1</v>
      </c>
      <c r="H1009">
        <f t="shared" ca="1" si="199"/>
        <v>0.2</v>
      </c>
      <c r="I1009">
        <f t="shared" ca="1" si="200"/>
        <v>0</v>
      </c>
      <c r="J1009" s="8">
        <f t="shared" ca="1" si="201"/>
        <v>11.309932474020215</v>
      </c>
      <c r="K1009" s="9" t="str">
        <f t="shared" ca="1" si="202"/>
        <v>E</v>
      </c>
      <c r="L1009">
        <f ca="1">+_xlfn.IFNA(VLOOKUP(M1009,BespokeWindowsAreas!$A$1:$E$1999,1,FALSE),VLOOKUP(E1009,WindowTypeArea!$B$2:$C$2000,2,FALSE))</f>
        <v>3.12</v>
      </c>
      <c r="M1009">
        <f t="shared" ca="1" si="203"/>
        <v>5050051</v>
      </c>
    </row>
    <row r="1010" spans="1:13" x14ac:dyDescent="0.25">
      <c r="A1010">
        <f t="shared" ca="1" si="194"/>
        <v>2</v>
      </c>
      <c r="B1010">
        <f t="shared" ca="1" si="195"/>
        <v>597</v>
      </c>
      <c r="C1010" t="str">
        <f t="shared" ca="1" si="204"/>
        <v>'WINDOWS-NCH-A-BDP-M3-00-00'!B596</v>
      </c>
      <c r="D1010" s="6" t="str">
        <f t="shared" ca="1" si="193"/>
        <v>L00-IMG-CIR-C001-07</v>
      </c>
      <c r="E1010" t="str">
        <f t="shared" ca="1" si="196"/>
        <v>L00-IMG-CIR-C001-07</v>
      </c>
      <c r="F1010">
        <f t="shared" ca="1" si="197"/>
        <v>2410193</v>
      </c>
      <c r="G1010">
        <f t="shared" ca="1" si="198"/>
        <v>0</v>
      </c>
      <c r="H1010">
        <f t="shared" ca="1" si="199"/>
        <v>0</v>
      </c>
      <c r="I1010">
        <f t="shared" ca="1" si="200"/>
        <v>0</v>
      </c>
      <c r="J1010" s="8" t="e">
        <f t="shared" ca="1" si="201"/>
        <v>#DIV/0!</v>
      </c>
      <c r="K1010" s="9" t="e">
        <f t="shared" ca="1" si="202"/>
        <v>#DIV/0!</v>
      </c>
      <c r="L1010" t="e">
        <f ca="1">+_xlfn.IFNA(VLOOKUP(M1010,BespokeWindowsAreas!$A$1:$E$1999,1,FALSE),VLOOKUP(E1010,WindowTypeArea!$B$2:$C$2000,2,FALSE))</f>
        <v>#N/A</v>
      </c>
      <c r="M1010">
        <f t="shared" ca="1" si="203"/>
        <v>0</v>
      </c>
    </row>
    <row r="1011" spans="1:13" x14ac:dyDescent="0.25">
      <c r="A1011">
        <f t="shared" ca="1" si="194"/>
        <v>2</v>
      </c>
      <c r="B1011">
        <f t="shared" ca="1" si="195"/>
        <v>598</v>
      </c>
      <c r="C1011" t="str">
        <f t="shared" ca="1" si="204"/>
        <v>'WINDOWS-NCH-A-BDP-M3-00-00'!B597</v>
      </c>
      <c r="D1011" s="6" t="str">
        <f t="shared" ca="1" si="193"/>
        <v>L00-IMG-CIR-C001-07</v>
      </c>
      <c r="E1011" t="str">
        <f t="shared" ca="1" si="196"/>
        <v>Family Type: Curtain Wall_585w x 3200h, Family: Window External Type 6 - Flush, Recessed</v>
      </c>
      <c r="F1011" t="str">
        <f t="shared" ca="1" si="197"/>
        <v>Vector(X = 0.977, Y = 0.212, Z = 0.000, Length = 1.000)</v>
      </c>
      <c r="G1011">
        <f t="shared" ca="1" si="198"/>
        <v>1</v>
      </c>
      <c r="H1011">
        <f t="shared" ca="1" si="199"/>
        <v>0.2</v>
      </c>
      <c r="I1011">
        <f t="shared" ca="1" si="200"/>
        <v>0</v>
      </c>
      <c r="J1011" s="8">
        <f t="shared" ca="1" si="201"/>
        <v>11.309932474020215</v>
      </c>
      <c r="K1011" s="9" t="str">
        <f t="shared" ca="1" si="202"/>
        <v>E</v>
      </c>
      <c r="L1011">
        <f ca="1">+_xlfn.IFNA(VLOOKUP(M1011,BespokeWindowsAreas!$A$1:$E$1999,1,FALSE),VLOOKUP(E1011,WindowTypeArea!$B$2:$C$2000,2,FALSE))</f>
        <v>1.8720000000000001</v>
      </c>
      <c r="M1011">
        <f t="shared" ca="1" si="203"/>
        <v>5049304</v>
      </c>
    </row>
    <row r="1012" spans="1:13" x14ac:dyDescent="0.25">
      <c r="A1012">
        <f t="shared" ca="1" si="194"/>
        <v>2</v>
      </c>
      <c r="B1012">
        <f t="shared" ca="1" si="195"/>
        <v>599</v>
      </c>
      <c r="C1012" t="str">
        <f t="shared" ca="1" si="204"/>
        <v>'WINDOWS-NCH-A-BDP-M3-00-00'!B598</v>
      </c>
      <c r="D1012" s="6" t="str">
        <f t="shared" ca="1" si="193"/>
        <v>L00-IMG-CIR-C001-07</v>
      </c>
      <c r="E1012" t="str">
        <f t="shared" ca="1" si="196"/>
        <v>Family Type: Curtain Wall_1500w x 3200h, Family: Window External Type 6 - Flush, Recessed</v>
      </c>
      <c r="F1012" t="str">
        <f t="shared" ca="1" si="197"/>
        <v>Vector(X = 0.977, Y = 0.212, Z = 0.000, Length = 1.000)</v>
      </c>
      <c r="G1012">
        <f t="shared" ca="1" si="198"/>
        <v>1</v>
      </c>
      <c r="H1012">
        <f t="shared" ca="1" si="199"/>
        <v>0.2</v>
      </c>
      <c r="I1012">
        <f t="shared" ca="1" si="200"/>
        <v>0</v>
      </c>
      <c r="J1012" s="8">
        <f t="shared" ca="1" si="201"/>
        <v>11.309932474020215</v>
      </c>
      <c r="K1012" s="9" t="str">
        <f t="shared" ca="1" si="202"/>
        <v>E</v>
      </c>
      <c r="L1012">
        <f ca="1">+_xlfn.IFNA(VLOOKUP(M1012,BespokeWindowsAreas!$A$1:$E$1999,1,FALSE),VLOOKUP(E1012,WindowTypeArea!$B$2:$C$2000,2,FALSE))</f>
        <v>4.8</v>
      </c>
      <c r="M1012">
        <f t="shared" ca="1" si="203"/>
        <v>5049416</v>
      </c>
    </row>
    <row r="1013" spans="1:13" x14ac:dyDescent="0.25">
      <c r="A1013">
        <f t="shared" ca="1" si="194"/>
        <v>2</v>
      </c>
      <c r="B1013">
        <f t="shared" ca="1" si="195"/>
        <v>600</v>
      </c>
      <c r="C1013" t="str">
        <f t="shared" ca="1" si="204"/>
        <v>'WINDOWS-NCH-A-BDP-M3-00-00'!B599</v>
      </c>
      <c r="D1013" s="6" t="str">
        <f t="shared" ca="1" si="193"/>
        <v>L00-IMG-CIR-C001-07</v>
      </c>
      <c r="E1013" t="str">
        <f t="shared" ca="1" si="196"/>
        <v>Family Type: Curtain Wall_1950w x 3200h, Family: Window External Type 6 - Flush, Recessed</v>
      </c>
      <c r="F1013" t="str">
        <f t="shared" ca="1" si="197"/>
        <v>Vector(X = 0.977, Y = 0.212, Z = 0.000, Length = 1.000)</v>
      </c>
      <c r="G1013">
        <f t="shared" ca="1" si="198"/>
        <v>1</v>
      </c>
      <c r="H1013">
        <f t="shared" ca="1" si="199"/>
        <v>0.2</v>
      </c>
      <c r="I1013">
        <f t="shared" ca="1" si="200"/>
        <v>0</v>
      </c>
      <c r="J1013" s="8">
        <f t="shared" ca="1" si="201"/>
        <v>11.309932474020215</v>
      </c>
      <c r="K1013" s="9" t="str">
        <f t="shared" ca="1" si="202"/>
        <v>E</v>
      </c>
      <c r="L1013">
        <f ca="1">+_xlfn.IFNA(VLOOKUP(M1013,BespokeWindowsAreas!$A$1:$E$1999,1,FALSE),VLOOKUP(E1013,WindowTypeArea!$B$2:$C$2000,2,FALSE))</f>
        <v>6.24</v>
      </c>
      <c r="M1013">
        <f t="shared" ca="1" si="203"/>
        <v>5049417</v>
      </c>
    </row>
    <row r="1014" spans="1:13" x14ac:dyDescent="0.25">
      <c r="A1014">
        <f t="shared" ca="1" si="194"/>
        <v>2</v>
      </c>
      <c r="B1014">
        <f t="shared" ca="1" si="195"/>
        <v>601</v>
      </c>
      <c r="C1014" t="str">
        <f t="shared" ca="1" si="204"/>
        <v>'WINDOWS-NCH-A-BDP-M3-00-00'!B600</v>
      </c>
      <c r="D1014" s="6" t="str">
        <f t="shared" ca="1" si="193"/>
        <v>L00-IMG-CIR-C001-07</v>
      </c>
      <c r="E1014" t="str">
        <f t="shared" ca="1" si="196"/>
        <v>Family Type: Curtain Wall_975w x 3200h, Family: Window External Type 6 - Flush, Recessed</v>
      </c>
      <c r="F1014" t="str">
        <f t="shared" ca="1" si="197"/>
        <v>Vector(X = 0.977, Y = 0.212, Z = 0.000, Length = 1.000)</v>
      </c>
      <c r="G1014">
        <f t="shared" ca="1" si="198"/>
        <v>1</v>
      </c>
      <c r="H1014">
        <f t="shared" ca="1" si="199"/>
        <v>0.2</v>
      </c>
      <c r="I1014">
        <f t="shared" ca="1" si="200"/>
        <v>0</v>
      </c>
      <c r="J1014" s="8">
        <f t="shared" ca="1" si="201"/>
        <v>11.309932474020215</v>
      </c>
      <c r="K1014" s="9" t="str">
        <f t="shared" ca="1" si="202"/>
        <v>E</v>
      </c>
      <c r="L1014">
        <f ca="1">+_xlfn.IFNA(VLOOKUP(M1014,BespokeWindowsAreas!$A$1:$E$1999,1,FALSE),VLOOKUP(E1014,WindowTypeArea!$B$2:$C$2000,2,FALSE))</f>
        <v>3.12</v>
      </c>
      <c r="M1014">
        <f t="shared" ca="1" si="203"/>
        <v>5049418</v>
      </c>
    </row>
    <row r="1015" spans="1:13" x14ac:dyDescent="0.25">
      <c r="A1015">
        <f t="shared" ca="1" si="194"/>
        <v>2</v>
      </c>
      <c r="B1015">
        <f t="shared" ca="1" si="195"/>
        <v>602</v>
      </c>
      <c r="C1015" t="str">
        <f t="shared" ca="1" si="204"/>
        <v>'WINDOWS-NCH-A-BDP-M3-00-00'!B601</v>
      </c>
      <c r="D1015" s="6" t="str">
        <f t="shared" ca="1" si="193"/>
        <v>L00-IMG-CIR-C001-07</v>
      </c>
      <c r="E1015" t="str">
        <f t="shared" ca="1" si="196"/>
        <v>Family Type: Curtain Wall_1950w x 3200h, Family: Window External Type 6 - Flush, Recessed</v>
      </c>
      <c r="F1015" t="str">
        <f t="shared" ca="1" si="197"/>
        <v>Vector(X = 0.977, Y = 0.212, Z = 0.000, Length = 1.000)</v>
      </c>
      <c r="G1015">
        <f t="shared" ca="1" si="198"/>
        <v>1</v>
      </c>
      <c r="H1015">
        <f t="shared" ca="1" si="199"/>
        <v>0.2</v>
      </c>
      <c r="I1015">
        <f t="shared" ca="1" si="200"/>
        <v>0</v>
      </c>
      <c r="J1015" s="8">
        <f t="shared" ca="1" si="201"/>
        <v>11.309932474020215</v>
      </c>
      <c r="K1015" s="9" t="str">
        <f t="shared" ca="1" si="202"/>
        <v>E</v>
      </c>
      <c r="L1015">
        <f ca="1">+_xlfn.IFNA(VLOOKUP(M1015,BespokeWindowsAreas!$A$1:$E$1999,1,FALSE),VLOOKUP(E1015,WindowTypeArea!$B$2:$C$2000,2,FALSE))</f>
        <v>6.24</v>
      </c>
      <c r="M1015">
        <f t="shared" ca="1" si="203"/>
        <v>5049419</v>
      </c>
    </row>
    <row r="1016" spans="1:13" x14ac:dyDescent="0.25">
      <c r="A1016">
        <f t="shared" ca="1" si="194"/>
        <v>2</v>
      </c>
      <c r="B1016">
        <f t="shared" ca="1" si="195"/>
        <v>603</v>
      </c>
      <c r="C1016" t="str">
        <f t="shared" ca="1" si="204"/>
        <v>'WINDOWS-NCH-A-BDP-M3-00-00'!B602</v>
      </c>
      <c r="D1016" s="6" t="str">
        <f t="shared" ca="1" si="193"/>
        <v>L00-IMG-CIR-C001-07</v>
      </c>
      <c r="E1016" t="str">
        <f t="shared" ca="1" si="196"/>
        <v>Family Type: Curtain Wall_585w x 3200h, Family: Window External Type 6 - Flush, Recessed</v>
      </c>
      <c r="F1016" t="str">
        <f t="shared" ca="1" si="197"/>
        <v>Vector(X = 0.977, Y = 0.212, Z = 0.000, Length = 1.000)</v>
      </c>
      <c r="G1016">
        <f t="shared" ca="1" si="198"/>
        <v>1</v>
      </c>
      <c r="H1016">
        <f t="shared" ca="1" si="199"/>
        <v>0.2</v>
      </c>
      <c r="I1016">
        <f t="shared" ca="1" si="200"/>
        <v>0</v>
      </c>
      <c r="J1016" s="8">
        <f t="shared" ca="1" si="201"/>
        <v>11.309932474020215</v>
      </c>
      <c r="K1016" s="9" t="str">
        <f t="shared" ca="1" si="202"/>
        <v>E</v>
      </c>
      <c r="L1016">
        <f ca="1">+_xlfn.IFNA(VLOOKUP(M1016,BespokeWindowsAreas!$A$1:$E$1999,1,FALSE),VLOOKUP(E1016,WindowTypeArea!$B$2:$C$2000,2,FALSE))</f>
        <v>1.8720000000000001</v>
      </c>
      <c r="M1016">
        <f t="shared" ca="1" si="203"/>
        <v>5049420</v>
      </c>
    </row>
    <row r="1017" spans="1:13" x14ac:dyDescent="0.25">
      <c r="A1017">
        <f t="shared" ca="1" si="194"/>
        <v>2</v>
      </c>
      <c r="B1017">
        <f t="shared" ca="1" si="195"/>
        <v>604</v>
      </c>
      <c r="C1017" t="str">
        <f t="shared" ca="1" si="204"/>
        <v>'WINDOWS-NCH-A-BDP-M3-00-00'!B603</v>
      </c>
      <c r="D1017" s="6" t="str">
        <f t="shared" ca="1" si="193"/>
        <v>L00-IMG-CIR-C001-07</v>
      </c>
      <c r="E1017" t="str">
        <f t="shared" ca="1" si="196"/>
        <v>Family Type: Curtain Wall_975w x 3200h, Family: Window External Type 6 - Flush, Recessed</v>
      </c>
      <c r="F1017" t="str">
        <f t="shared" ca="1" si="197"/>
        <v>Vector(X = 0.977, Y = 0.212, Z = 0.000, Length = 1.000)</v>
      </c>
      <c r="G1017">
        <f t="shared" ca="1" si="198"/>
        <v>1</v>
      </c>
      <c r="H1017">
        <f t="shared" ca="1" si="199"/>
        <v>0.2</v>
      </c>
      <c r="I1017">
        <f t="shared" ca="1" si="200"/>
        <v>0</v>
      </c>
      <c r="J1017" s="8">
        <f t="shared" ca="1" si="201"/>
        <v>11.309932474020215</v>
      </c>
      <c r="K1017" s="9" t="str">
        <f t="shared" ca="1" si="202"/>
        <v>E</v>
      </c>
      <c r="L1017">
        <f ca="1">+_xlfn.IFNA(VLOOKUP(M1017,BespokeWindowsAreas!$A$1:$E$1999,1,FALSE),VLOOKUP(E1017,WindowTypeArea!$B$2:$C$2000,2,FALSE))</f>
        <v>3.12</v>
      </c>
      <c r="M1017">
        <f t="shared" ca="1" si="203"/>
        <v>5049421</v>
      </c>
    </row>
    <row r="1018" spans="1:13" x14ac:dyDescent="0.25">
      <c r="A1018">
        <f t="shared" ca="1" si="194"/>
        <v>2</v>
      </c>
      <c r="B1018">
        <f t="shared" ca="1" si="195"/>
        <v>605</v>
      </c>
      <c r="C1018" t="str">
        <f t="shared" ca="1" si="204"/>
        <v>'WINDOWS-NCH-A-BDP-M3-00-00'!B604</v>
      </c>
      <c r="D1018" s="6" t="str">
        <f t="shared" ca="1" si="193"/>
        <v>L00-IMG-CIR-C001-07</v>
      </c>
      <c r="E1018" t="str">
        <f t="shared" ca="1" si="196"/>
        <v>Family Type: Curtain Wall_1500w x 3200h, Family: Window External Type 6 - Flush, Recessed</v>
      </c>
      <c r="F1018" t="str">
        <f t="shared" ca="1" si="197"/>
        <v>Vector(X = 0.977, Y = 0.212, Z = 0.000, Length = 1.000)</v>
      </c>
      <c r="G1018">
        <f t="shared" ca="1" si="198"/>
        <v>1</v>
      </c>
      <c r="H1018">
        <f t="shared" ca="1" si="199"/>
        <v>0.2</v>
      </c>
      <c r="I1018">
        <f t="shared" ca="1" si="200"/>
        <v>0</v>
      </c>
      <c r="J1018" s="8">
        <f t="shared" ca="1" si="201"/>
        <v>11.309932474020215</v>
      </c>
      <c r="K1018" s="9" t="str">
        <f t="shared" ca="1" si="202"/>
        <v>E</v>
      </c>
      <c r="L1018">
        <f ca="1">+_xlfn.IFNA(VLOOKUP(M1018,BespokeWindowsAreas!$A$1:$E$1999,1,FALSE),VLOOKUP(E1018,WindowTypeArea!$B$2:$C$2000,2,FALSE))</f>
        <v>4.8</v>
      </c>
      <c r="M1018">
        <f t="shared" ca="1" si="203"/>
        <v>5049422</v>
      </c>
    </row>
    <row r="1019" spans="1:13" x14ac:dyDescent="0.25">
      <c r="A1019">
        <f t="shared" ca="1" si="194"/>
        <v>2</v>
      </c>
      <c r="B1019">
        <f t="shared" ca="1" si="195"/>
        <v>606</v>
      </c>
      <c r="C1019" t="str">
        <f t="shared" ca="1" si="204"/>
        <v>'WINDOWS-NCH-A-BDP-M3-00-00'!B605</v>
      </c>
      <c r="D1019" s="6" t="str">
        <f t="shared" ca="1" si="193"/>
        <v>L00-IMG-CIR-C001-09</v>
      </c>
      <c r="E1019" t="str">
        <f t="shared" ca="1" si="196"/>
        <v>L00-IMG-CIR-C001-09</v>
      </c>
      <c r="F1019">
        <f t="shared" ca="1" si="197"/>
        <v>2410195</v>
      </c>
      <c r="G1019">
        <f t="shared" ca="1" si="198"/>
        <v>0</v>
      </c>
      <c r="H1019">
        <f t="shared" ca="1" si="199"/>
        <v>0</v>
      </c>
      <c r="I1019">
        <f t="shared" ca="1" si="200"/>
        <v>0</v>
      </c>
      <c r="J1019" s="8" t="e">
        <f t="shared" ca="1" si="201"/>
        <v>#DIV/0!</v>
      </c>
      <c r="K1019" s="9" t="e">
        <f t="shared" ca="1" si="202"/>
        <v>#DIV/0!</v>
      </c>
      <c r="L1019" t="e">
        <f ca="1">+_xlfn.IFNA(VLOOKUP(M1019,BespokeWindowsAreas!$A$1:$E$1999,1,FALSE),VLOOKUP(E1019,WindowTypeArea!$B$2:$C$2000,2,FALSE))</f>
        <v>#N/A</v>
      </c>
      <c r="M1019">
        <f t="shared" ca="1" si="203"/>
        <v>0</v>
      </c>
    </row>
    <row r="1020" spans="1:13" x14ac:dyDescent="0.25">
      <c r="A1020">
        <f t="shared" ca="1" si="194"/>
        <v>2</v>
      </c>
      <c r="B1020">
        <f t="shared" ca="1" si="195"/>
        <v>607</v>
      </c>
      <c r="C1020" t="str">
        <f t="shared" ca="1" si="204"/>
        <v>'WINDOWS-NCH-A-BDP-M3-00-00'!B606</v>
      </c>
      <c r="D1020" s="6" t="str">
        <f t="shared" ca="1" si="193"/>
        <v>L00-IMG-CIR-C001-09</v>
      </c>
      <c r="E1020" t="str">
        <f t="shared" ca="1" si="196"/>
        <v>Family Type: Curtain Wall_975w x 3200h, Family: Window External Type 6 - Flush, Recessed</v>
      </c>
      <c r="F1020" t="str">
        <f t="shared" ca="1" si="197"/>
        <v>Vector(X = 0.948, Y = 0.320, Z = 0.000, Length = 1.000)</v>
      </c>
      <c r="G1020">
        <f t="shared" ca="1" si="198"/>
        <v>0.9</v>
      </c>
      <c r="H1020">
        <f t="shared" ca="1" si="199"/>
        <v>0.3</v>
      </c>
      <c r="I1020">
        <f t="shared" ca="1" si="200"/>
        <v>0</v>
      </c>
      <c r="J1020" s="8">
        <f t="shared" ca="1" si="201"/>
        <v>18.43494882292201</v>
      </c>
      <c r="K1020" s="9" t="str">
        <f t="shared" ca="1" si="202"/>
        <v>E</v>
      </c>
      <c r="L1020">
        <f ca="1">+_xlfn.IFNA(VLOOKUP(M1020,BespokeWindowsAreas!$A$1:$E$1999,1,FALSE),VLOOKUP(E1020,WindowTypeArea!$B$2:$C$2000,2,FALSE))</f>
        <v>3.12</v>
      </c>
      <c r="M1020">
        <f t="shared" ca="1" si="203"/>
        <v>5048281</v>
      </c>
    </row>
    <row r="1021" spans="1:13" x14ac:dyDescent="0.25">
      <c r="A1021">
        <f t="shared" ca="1" si="194"/>
        <v>2</v>
      </c>
      <c r="B1021">
        <f t="shared" ca="1" si="195"/>
        <v>608</v>
      </c>
      <c r="C1021" t="str">
        <f t="shared" ca="1" si="204"/>
        <v>'WINDOWS-NCH-A-BDP-M3-00-00'!B607</v>
      </c>
      <c r="D1021" s="6" t="str">
        <f t="shared" ca="1" si="193"/>
        <v>L00-IMG-CIR-C001-09</v>
      </c>
      <c r="E1021" t="str">
        <f t="shared" ca="1" si="196"/>
        <v>Family Type: Curtain Wall_1500w x 3200h, Family: Window External Type 6 - Flush, Recessed</v>
      </c>
      <c r="F1021" t="str">
        <f t="shared" ca="1" si="197"/>
        <v>Vector(X = 0.955, Y = 0.297, Z = 0.000, Length = 1.000)</v>
      </c>
      <c r="G1021">
        <f t="shared" ca="1" si="198"/>
        <v>1</v>
      </c>
      <c r="H1021">
        <f t="shared" ca="1" si="199"/>
        <v>0.3</v>
      </c>
      <c r="I1021">
        <f t="shared" ca="1" si="200"/>
        <v>0</v>
      </c>
      <c r="J1021" s="8">
        <f t="shared" ca="1" si="201"/>
        <v>16.699244233993621</v>
      </c>
      <c r="K1021" s="9" t="str">
        <f t="shared" ca="1" si="202"/>
        <v>E</v>
      </c>
      <c r="L1021">
        <f ca="1">+_xlfn.IFNA(VLOOKUP(M1021,BespokeWindowsAreas!$A$1:$E$1999,1,FALSE),VLOOKUP(E1021,WindowTypeArea!$B$2:$C$2000,2,FALSE))</f>
        <v>4.8</v>
      </c>
      <c r="M1021">
        <f t="shared" ca="1" si="203"/>
        <v>5048294</v>
      </c>
    </row>
    <row r="1022" spans="1:13" x14ac:dyDescent="0.25">
      <c r="A1022">
        <f t="shared" ca="1" si="194"/>
        <v>2</v>
      </c>
      <c r="B1022">
        <f t="shared" ca="1" si="195"/>
        <v>609</v>
      </c>
      <c r="C1022" t="str">
        <f t="shared" ca="1" si="204"/>
        <v>'WINDOWS-NCH-A-BDP-M3-00-00'!B608</v>
      </c>
      <c r="D1022" s="6" t="str">
        <f t="shared" ca="1" si="193"/>
        <v>L00-IMG-CIR-C001-09</v>
      </c>
      <c r="E1022" t="str">
        <f t="shared" ca="1" si="196"/>
        <v>Family Type: Curtain Wall_1150w x 3200h, Family: Window External Type 6 - Flush, Recessed</v>
      </c>
      <c r="F1022" t="str">
        <f t="shared" ca="1" si="197"/>
        <v>Vector(X = 0.962, Y = 0.272, Z = 0.000, Length = 1.000)</v>
      </c>
      <c r="G1022">
        <f t="shared" ca="1" si="198"/>
        <v>1</v>
      </c>
      <c r="H1022">
        <f t="shared" ca="1" si="199"/>
        <v>0.3</v>
      </c>
      <c r="I1022">
        <f t="shared" ca="1" si="200"/>
        <v>0</v>
      </c>
      <c r="J1022" s="8">
        <f t="shared" ca="1" si="201"/>
        <v>16.699244233993621</v>
      </c>
      <c r="K1022" s="9" t="str">
        <f t="shared" ca="1" si="202"/>
        <v>E</v>
      </c>
      <c r="L1022">
        <f ca="1">+_xlfn.IFNA(VLOOKUP(M1022,BespokeWindowsAreas!$A$1:$E$1999,1,FALSE),VLOOKUP(E1022,WindowTypeArea!$B$2:$C$2000,2,FALSE))</f>
        <v>3.68</v>
      </c>
      <c r="M1022">
        <f t="shared" ca="1" si="203"/>
        <v>5048521</v>
      </c>
    </row>
    <row r="1023" spans="1:13" x14ac:dyDescent="0.25">
      <c r="A1023">
        <f t="shared" ca="1" si="194"/>
        <v>2</v>
      </c>
      <c r="B1023">
        <f t="shared" ca="1" si="195"/>
        <v>610</v>
      </c>
      <c r="C1023" t="str">
        <f t="shared" ca="1" si="204"/>
        <v>'WINDOWS-NCH-A-BDP-M3-00-00'!B609</v>
      </c>
      <c r="D1023" s="6" t="str">
        <f t="shared" ca="1" si="193"/>
        <v>L00-IMG-CIR-C001-09</v>
      </c>
      <c r="E1023" t="str">
        <f t="shared" ca="1" si="196"/>
        <v>Family Type: Curtain Wall_1950w x 3200h, Family: Window External Type 6 - Flush, Recessed</v>
      </c>
      <c r="F1023" t="str">
        <f t="shared" ca="1" si="197"/>
        <v>Vector(X = 0.977, Y = 0.212, Z = 0.000, Length = 1.000)</v>
      </c>
      <c r="G1023">
        <f t="shared" ca="1" si="198"/>
        <v>1</v>
      </c>
      <c r="H1023">
        <f t="shared" ca="1" si="199"/>
        <v>0.2</v>
      </c>
      <c r="I1023">
        <f t="shared" ca="1" si="200"/>
        <v>0</v>
      </c>
      <c r="J1023" s="8">
        <f t="shared" ca="1" si="201"/>
        <v>11.309932474020215</v>
      </c>
      <c r="K1023" s="9" t="str">
        <f t="shared" ca="1" si="202"/>
        <v>E</v>
      </c>
      <c r="L1023">
        <f ca="1">+_xlfn.IFNA(VLOOKUP(M1023,BespokeWindowsAreas!$A$1:$E$1999,1,FALSE),VLOOKUP(E1023,WindowTypeArea!$B$2:$C$2000,2,FALSE))</f>
        <v>6.24</v>
      </c>
      <c r="M1023">
        <f t="shared" ca="1" si="203"/>
        <v>5048592</v>
      </c>
    </row>
    <row r="1024" spans="1:13" x14ac:dyDescent="0.25">
      <c r="A1024">
        <f t="shared" ca="1" si="194"/>
        <v>2</v>
      </c>
      <c r="B1024">
        <f t="shared" ca="1" si="195"/>
        <v>611</v>
      </c>
      <c r="C1024" t="str">
        <f t="shared" ca="1" si="204"/>
        <v>'WINDOWS-NCH-A-BDP-M3-00-00'!B610</v>
      </c>
      <c r="D1024" s="6" t="str">
        <f t="shared" ca="1" si="193"/>
        <v>L00-IMG-CIR-C001-09</v>
      </c>
      <c r="E1024" t="str">
        <f t="shared" ca="1" si="196"/>
        <v>Family Type: Curtain Wall_975w x 3200h, Family: Window External Type 6 - Flush, Recessed</v>
      </c>
      <c r="F1024" t="str">
        <f t="shared" ca="1" si="197"/>
        <v>Vector(X = 0.977, Y = 0.212, Z = 0.000, Length = 1.000)</v>
      </c>
      <c r="G1024">
        <f t="shared" ca="1" si="198"/>
        <v>1</v>
      </c>
      <c r="H1024">
        <f t="shared" ca="1" si="199"/>
        <v>0.2</v>
      </c>
      <c r="I1024">
        <f t="shared" ca="1" si="200"/>
        <v>0</v>
      </c>
      <c r="J1024" s="8">
        <f t="shared" ca="1" si="201"/>
        <v>11.309932474020215</v>
      </c>
      <c r="K1024" s="9" t="str">
        <f t="shared" ca="1" si="202"/>
        <v>E</v>
      </c>
      <c r="L1024">
        <f ca="1">+_xlfn.IFNA(VLOOKUP(M1024,BespokeWindowsAreas!$A$1:$E$1999,1,FALSE),VLOOKUP(E1024,WindowTypeArea!$B$2:$C$2000,2,FALSE))</f>
        <v>3.12</v>
      </c>
      <c r="M1024">
        <f t="shared" ca="1" si="203"/>
        <v>5048709</v>
      </c>
    </row>
    <row r="1025" spans="1:13" x14ac:dyDescent="0.25">
      <c r="A1025">
        <f t="shared" ca="1" si="194"/>
        <v>2</v>
      </c>
      <c r="B1025">
        <f t="shared" ca="1" si="195"/>
        <v>612</v>
      </c>
      <c r="C1025" t="str">
        <f t="shared" ca="1" si="204"/>
        <v>'WINDOWS-NCH-A-BDP-M3-00-00'!B611</v>
      </c>
      <c r="D1025" s="6" t="str">
        <f t="shared" ca="1" si="193"/>
        <v>L00-IMG-CIR-C001-09</v>
      </c>
      <c r="E1025" t="str">
        <f t="shared" ca="1" si="196"/>
        <v>Family Type: Curtain Wall_1950w x 3200h, Family: Window External Type 6 - Flush, Recessed</v>
      </c>
      <c r="F1025" t="str">
        <f t="shared" ca="1" si="197"/>
        <v>Vector(X = 0.977, Y = 0.212, Z = 0.000, Length = 1.000)</v>
      </c>
      <c r="G1025">
        <f t="shared" ca="1" si="198"/>
        <v>1</v>
      </c>
      <c r="H1025">
        <f t="shared" ca="1" si="199"/>
        <v>0.2</v>
      </c>
      <c r="I1025">
        <f t="shared" ca="1" si="200"/>
        <v>0</v>
      </c>
      <c r="J1025" s="8">
        <f t="shared" ca="1" si="201"/>
        <v>11.309932474020215</v>
      </c>
      <c r="K1025" s="9" t="str">
        <f t="shared" ca="1" si="202"/>
        <v>E</v>
      </c>
      <c r="L1025">
        <f ca="1">+_xlfn.IFNA(VLOOKUP(M1025,BespokeWindowsAreas!$A$1:$E$1999,1,FALSE),VLOOKUP(E1025,WindowTypeArea!$B$2:$C$2000,2,FALSE))</f>
        <v>6.24</v>
      </c>
      <c r="M1025">
        <f t="shared" ca="1" si="203"/>
        <v>5048779</v>
      </c>
    </row>
    <row r="1026" spans="1:13" x14ac:dyDescent="0.25">
      <c r="A1026">
        <f t="shared" ca="1" si="194"/>
        <v>2</v>
      </c>
      <c r="B1026">
        <f t="shared" ca="1" si="195"/>
        <v>613</v>
      </c>
      <c r="C1026" t="str">
        <f t="shared" ca="1" si="204"/>
        <v>'WINDOWS-NCH-A-BDP-M3-00-00'!B612</v>
      </c>
      <c r="D1026" s="6" t="str">
        <f t="shared" ca="1" si="193"/>
        <v>L00-IMG-CIR-C001-09</v>
      </c>
      <c r="E1026" t="str">
        <f t="shared" ca="1" si="196"/>
        <v>Family Type: Curtain Wall_585w x 3200h, Family: Window External Type 6 - Flush, Recessed</v>
      </c>
      <c r="F1026" t="str">
        <f t="shared" ca="1" si="197"/>
        <v>Vector(X = 0.977, Y = 0.212, Z = 0.000, Length = 1.000)</v>
      </c>
      <c r="G1026">
        <f t="shared" ca="1" si="198"/>
        <v>1</v>
      </c>
      <c r="H1026">
        <f t="shared" ca="1" si="199"/>
        <v>0.2</v>
      </c>
      <c r="I1026">
        <f t="shared" ca="1" si="200"/>
        <v>0</v>
      </c>
      <c r="J1026" s="8">
        <f t="shared" ca="1" si="201"/>
        <v>11.309932474020215</v>
      </c>
      <c r="K1026" s="9" t="str">
        <f t="shared" ca="1" si="202"/>
        <v>E</v>
      </c>
      <c r="L1026">
        <f ca="1">+_xlfn.IFNA(VLOOKUP(M1026,BespokeWindowsAreas!$A$1:$E$1999,1,FALSE),VLOOKUP(E1026,WindowTypeArea!$B$2:$C$2000,2,FALSE))</f>
        <v>1.8720000000000001</v>
      </c>
      <c r="M1026">
        <f t="shared" ca="1" si="203"/>
        <v>5048897</v>
      </c>
    </row>
    <row r="1027" spans="1:13" x14ac:dyDescent="0.25">
      <c r="A1027">
        <f t="shared" ca="1" si="194"/>
        <v>2</v>
      </c>
      <c r="B1027">
        <f t="shared" ca="1" si="195"/>
        <v>614</v>
      </c>
      <c r="C1027" t="str">
        <f t="shared" ca="1" si="204"/>
        <v>'WINDOWS-NCH-A-BDP-M3-00-00'!B613</v>
      </c>
      <c r="D1027" s="6" t="str">
        <f t="shared" ca="1" si="193"/>
        <v>L00-IMG-CIR-C001-09</v>
      </c>
      <c r="E1027" t="str">
        <f t="shared" ca="1" si="196"/>
        <v>Family Type: Curtain Wall_975w x 3200h, Family: Window External Type 6 - Flush, Recessed</v>
      </c>
      <c r="F1027" t="str">
        <f t="shared" ca="1" si="197"/>
        <v>Vector(X = 0.977, Y = 0.212, Z = 0.000, Length = 1.000)</v>
      </c>
      <c r="G1027">
        <f t="shared" ca="1" si="198"/>
        <v>1</v>
      </c>
      <c r="H1027">
        <f t="shared" ca="1" si="199"/>
        <v>0.2</v>
      </c>
      <c r="I1027">
        <f t="shared" ca="1" si="200"/>
        <v>0</v>
      </c>
      <c r="J1027" s="8">
        <f t="shared" ca="1" si="201"/>
        <v>11.309932474020215</v>
      </c>
      <c r="K1027" s="9" t="str">
        <f t="shared" ca="1" si="202"/>
        <v>E</v>
      </c>
      <c r="L1027">
        <f ca="1">+_xlfn.IFNA(VLOOKUP(M1027,BespokeWindowsAreas!$A$1:$E$1999,1,FALSE),VLOOKUP(E1027,WindowTypeArea!$B$2:$C$2000,2,FALSE))</f>
        <v>3.12</v>
      </c>
      <c r="M1027">
        <f t="shared" ca="1" si="203"/>
        <v>5048959</v>
      </c>
    </row>
    <row r="1028" spans="1:13" x14ac:dyDescent="0.25">
      <c r="A1028">
        <f t="shared" ca="1" si="194"/>
        <v>2</v>
      </c>
      <c r="B1028">
        <f t="shared" ca="1" si="195"/>
        <v>615</v>
      </c>
      <c r="C1028" t="str">
        <f t="shared" ca="1" si="204"/>
        <v>'WINDOWS-NCH-A-BDP-M3-00-00'!B614</v>
      </c>
      <c r="D1028" s="6" t="str">
        <f t="shared" ca="1" si="193"/>
        <v>L00-IMG-CIR-C001-09</v>
      </c>
      <c r="E1028" t="str">
        <f t="shared" ca="1" si="196"/>
        <v>Family Type: Curtain Wall_1500w x 3200h, Family: Window External Type 6 - Flush, Recessed</v>
      </c>
      <c r="F1028" t="str">
        <f t="shared" ca="1" si="197"/>
        <v>Vector(X = 0.977, Y = 0.212, Z = 0.000, Length = 1.000)</v>
      </c>
      <c r="G1028">
        <f t="shared" ca="1" si="198"/>
        <v>1</v>
      </c>
      <c r="H1028">
        <f t="shared" ca="1" si="199"/>
        <v>0.2</v>
      </c>
      <c r="I1028">
        <f t="shared" ca="1" si="200"/>
        <v>0</v>
      </c>
      <c r="J1028" s="8">
        <f t="shared" ca="1" si="201"/>
        <v>11.309932474020215</v>
      </c>
      <c r="K1028" s="9" t="str">
        <f t="shared" ca="1" si="202"/>
        <v>E</v>
      </c>
      <c r="L1028">
        <f ca="1">+_xlfn.IFNA(VLOOKUP(M1028,BespokeWindowsAreas!$A$1:$E$1999,1,FALSE),VLOOKUP(E1028,WindowTypeArea!$B$2:$C$2000,2,FALSE))</f>
        <v>4.8</v>
      </c>
      <c r="M1028">
        <f t="shared" ca="1" si="203"/>
        <v>5049061</v>
      </c>
    </row>
    <row r="1029" spans="1:13" x14ac:dyDescent="0.25">
      <c r="A1029">
        <f t="shared" ca="1" si="194"/>
        <v>2</v>
      </c>
      <c r="B1029">
        <f t="shared" ca="1" si="195"/>
        <v>616</v>
      </c>
      <c r="C1029" t="str">
        <f t="shared" ca="1" si="204"/>
        <v>'WINDOWS-NCH-A-BDP-M3-00-00'!B615</v>
      </c>
      <c r="D1029" s="6" t="str">
        <f t="shared" ca="1" si="193"/>
        <v>L00-IMG-CIR-C001-09</v>
      </c>
      <c r="E1029" t="str">
        <f t="shared" ca="1" si="196"/>
        <v>Family Type: Curtain Wall_975w x 3200h, Family: Window External Type 6 - Flush, Recessed</v>
      </c>
      <c r="F1029" t="str">
        <f t="shared" ca="1" si="197"/>
        <v>Vector(X = 0.977, Y = 0.212, Z = 0.000, Length = 1.000)</v>
      </c>
      <c r="G1029">
        <f t="shared" ca="1" si="198"/>
        <v>1</v>
      </c>
      <c r="H1029">
        <f t="shared" ca="1" si="199"/>
        <v>0.2</v>
      </c>
      <c r="I1029">
        <f t="shared" ca="1" si="200"/>
        <v>0</v>
      </c>
      <c r="J1029" s="8">
        <f t="shared" ca="1" si="201"/>
        <v>11.309932474020215</v>
      </c>
      <c r="K1029" s="9" t="str">
        <f t="shared" ca="1" si="202"/>
        <v>E</v>
      </c>
      <c r="L1029">
        <f ca="1">+_xlfn.IFNA(VLOOKUP(M1029,BespokeWindowsAreas!$A$1:$E$1999,1,FALSE),VLOOKUP(E1029,WindowTypeArea!$B$2:$C$2000,2,FALSE))</f>
        <v>3.12</v>
      </c>
      <c r="M1029">
        <f t="shared" ca="1" si="203"/>
        <v>5049155</v>
      </c>
    </row>
    <row r="1030" spans="1:13" x14ac:dyDescent="0.25">
      <c r="A1030">
        <f t="shared" ca="1" si="194"/>
        <v>2</v>
      </c>
      <c r="B1030">
        <f t="shared" ca="1" si="195"/>
        <v>617</v>
      </c>
      <c r="C1030" t="str">
        <f t="shared" ca="1" si="204"/>
        <v>'WINDOWS-NCH-A-BDP-M3-00-00'!B616</v>
      </c>
      <c r="D1030" s="6" t="str">
        <f t="shared" ref="D1030:D1093" ca="1" si="205">+IF(IFERROR(FIND("Family",E1030)&gt;0,FALSE),D1029,E1030)</f>
        <v>L00-IMG-CIR-C001-09</v>
      </c>
      <c r="E1030" t="str">
        <f t="shared" ca="1" si="196"/>
        <v>Family Type: Curtain Wall_1500w x 3200h, Family: Window External Type 6 - Flush, Recessed</v>
      </c>
      <c r="F1030" t="str">
        <f t="shared" ca="1" si="197"/>
        <v>Vector(X = 0.977, Y = 0.212, Z = 0.000, Length = 1.000)</v>
      </c>
      <c r="G1030">
        <f t="shared" ca="1" si="198"/>
        <v>1</v>
      </c>
      <c r="H1030">
        <f t="shared" ca="1" si="199"/>
        <v>0.2</v>
      </c>
      <c r="I1030">
        <f t="shared" ca="1" si="200"/>
        <v>0</v>
      </c>
      <c r="J1030" s="8">
        <f t="shared" ca="1" si="201"/>
        <v>11.309932474020215</v>
      </c>
      <c r="K1030" s="9" t="str">
        <f t="shared" ca="1" si="202"/>
        <v>E</v>
      </c>
      <c r="L1030">
        <f ca="1">+_xlfn.IFNA(VLOOKUP(M1030,BespokeWindowsAreas!$A$1:$E$1999,1,FALSE),VLOOKUP(E1030,WindowTypeArea!$B$2:$C$2000,2,FALSE))</f>
        <v>4.8</v>
      </c>
      <c r="M1030">
        <f t="shared" ca="1" si="203"/>
        <v>5049244</v>
      </c>
    </row>
    <row r="1031" spans="1:13" x14ac:dyDescent="0.25">
      <c r="A1031">
        <f t="shared" ca="1" si="194"/>
        <v>2</v>
      </c>
      <c r="B1031">
        <f t="shared" ca="1" si="195"/>
        <v>618</v>
      </c>
      <c r="C1031" t="str">
        <f t="shared" ca="1" si="204"/>
        <v>'WINDOWS-NCH-A-BDP-M3-00-00'!B617</v>
      </c>
      <c r="D1031" s="6" t="str">
        <f t="shared" ca="1" si="205"/>
        <v>L00-IMG-CIR-C001-09</v>
      </c>
      <c r="E1031" t="str">
        <f t="shared" ca="1" si="196"/>
        <v>Family Type: Curtain Wall_585w x 3200h, Family: Window External Type 6 - Flush, Recessed</v>
      </c>
      <c r="F1031" t="str">
        <f t="shared" ca="1" si="197"/>
        <v>Vector(X = 0.977, Y = 0.212, Z = 0.000, Length = 1.000)</v>
      </c>
      <c r="G1031">
        <f t="shared" ca="1" si="198"/>
        <v>1</v>
      </c>
      <c r="H1031">
        <f t="shared" ca="1" si="199"/>
        <v>0.2</v>
      </c>
      <c r="I1031">
        <f t="shared" ca="1" si="200"/>
        <v>0</v>
      </c>
      <c r="J1031" s="8">
        <f t="shared" ca="1" si="201"/>
        <v>11.309932474020215</v>
      </c>
      <c r="K1031" s="9" t="str">
        <f t="shared" ca="1" si="202"/>
        <v>E</v>
      </c>
      <c r="L1031">
        <f ca="1">+_xlfn.IFNA(VLOOKUP(M1031,BespokeWindowsAreas!$A$1:$E$1999,1,FALSE),VLOOKUP(E1031,WindowTypeArea!$B$2:$C$2000,2,FALSE))</f>
        <v>1.8720000000000001</v>
      </c>
      <c r="M1031">
        <f t="shared" ca="1" si="203"/>
        <v>5049304</v>
      </c>
    </row>
    <row r="1032" spans="1:13" x14ac:dyDescent="0.25">
      <c r="A1032">
        <f t="shared" ca="1" si="194"/>
        <v>2</v>
      </c>
      <c r="B1032">
        <f t="shared" ca="1" si="195"/>
        <v>619</v>
      </c>
      <c r="C1032" t="str">
        <f t="shared" ca="1" si="204"/>
        <v>'WINDOWS-NCH-A-BDP-M3-00-00'!B618</v>
      </c>
      <c r="D1032" s="6" t="str">
        <f t="shared" ca="1" si="205"/>
        <v>L00-IMG-CIR-C001-15</v>
      </c>
      <c r="E1032" t="str">
        <f t="shared" ca="1" si="196"/>
        <v>L00-IMG-CIR-C001-15</v>
      </c>
      <c r="F1032">
        <f t="shared" ca="1" si="197"/>
        <v>2410201</v>
      </c>
      <c r="G1032">
        <f t="shared" ca="1" si="198"/>
        <v>0</v>
      </c>
      <c r="H1032">
        <f t="shared" ca="1" si="199"/>
        <v>0</v>
      </c>
      <c r="I1032">
        <f t="shared" ca="1" si="200"/>
        <v>0</v>
      </c>
      <c r="J1032" s="8" t="e">
        <f t="shared" ca="1" si="201"/>
        <v>#DIV/0!</v>
      </c>
      <c r="K1032" s="9" t="e">
        <f t="shared" ca="1" si="202"/>
        <v>#DIV/0!</v>
      </c>
      <c r="L1032" t="e">
        <f ca="1">+_xlfn.IFNA(VLOOKUP(M1032,BespokeWindowsAreas!$A$1:$E$1999,1,FALSE),VLOOKUP(E1032,WindowTypeArea!$B$2:$C$2000,2,FALSE))</f>
        <v>#N/A</v>
      </c>
      <c r="M1032">
        <f t="shared" ca="1" si="203"/>
        <v>0</v>
      </c>
    </row>
    <row r="1033" spans="1:13" x14ac:dyDescent="0.25">
      <c r="A1033">
        <f t="shared" ca="1" si="194"/>
        <v>2</v>
      </c>
      <c r="B1033">
        <f t="shared" ca="1" si="195"/>
        <v>620</v>
      </c>
      <c r="C1033" t="str">
        <f t="shared" ca="1" si="204"/>
        <v>'WINDOWS-NCH-A-BDP-M3-00-00'!B619</v>
      </c>
      <c r="D1033" s="6" t="str">
        <f t="shared" ca="1" si="205"/>
        <v>L00-IMG-CIR-C001-15</v>
      </c>
      <c r="E1033" t="str">
        <f t="shared" ca="1" si="196"/>
        <v>Family Type: Curtain Wall_1500w x 3050h, Family: Window External Type 6 - Flush, Recessed</v>
      </c>
      <c r="F1033" t="str">
        <f t="shared" ca="1" si="197"/>
        <v>Vector(X = 0.212, Y = -0.977, Z = 0.000, Length = 1.000)</v>
      </c>
      <c r="G1033">
        <f t="shared" ca="1" si="198"/>
        <v>0.2</v>
      </c>
      <c r="H1033">
        <f t="shared" ca="1" si="199"/>
        <v>-1</v>
      </c>
      <c r="I1033">
        <f t="shared" ca="1" si="200"/>
        <v>0</v>
      </c>
      <c r="J1033" s="8">
        <f t="shared" ca="1" si="201"/>
        <v>-78.690067525979785</v>
      </c>
      <c r="K1033" s="9" t="str">
        <f t="shared" ca="1" si="202"/>
        <v>S</v>
      </c>
      <c r="L1033">
        <f ca="1">+_xlfn.IFNA(VLOOKUP(M1033,BespokeWindowsAreas!$A$1:$E$1999,1,FALSE),VLOOKUP(E1033,WindowTypeArea!$B$2:$C$2000,2,FALSE))</f>
        <v>4.5749999999999993</v>
      </c>
      <c r="M1033">
        <f t="shared" ca="1" si="203"/>
        <v>4929843</v>
      </c>
    </row>
    <row r="1034" spans="1:13" x14ac:dyDescent="0.25">
      <c r="A1034">
        <f t="shared" ca="1" si="194"/>
        <v>2</v>
      </c>
      <c r="B1034">
        <f t="shared" ca="1" si="195"/>
        <v>621</v>
      </c>
      <c r="C1034" t="str">
        <f t="shared" ca="1" si="204"/>
        <v>'WINDOWS-NCH-A-BDP-M3-00-00'!B620</v>
      </c>
      <c r="D1034" s="6" t="str">
        <f t="shared" ca="1" si="205"/>
        <v>L00-IMG-CIR-C001-15</v>
      </c>
      <c r="E1034" t="str">
        <f t="shared" ca="1" si="196"/>
        <v>Family Type: Curtain Wall_975w x 3050h 2, Family: Window External Type 6 - Flush, Recessed</v>
      </c>
      <c r="F1034" t="str">
        <f t="shared" ca="1" si="197"/>
        <v>Vector(X = 0.212, Y = -0.977, Z = 0.000, Length = 1.000)</v>
      </c>
      <c r="G1034">
        <f t="shared" ca="1" si="198"/>
        <v>0.2</v>
      </c>
      <c r="H1034">
        <f t="shared" ca="1" si="199"/>
        <v>-1</v>
      </c>
      <c r="I1034">
        <f t="shared" ca="1" si="200"/>
        <v>0</v>
      </c>
      <c r="J1034" s="8">
        <f t="shared" ca="1" si="201"/>
        <v>-78.690067525979785</v>
      </c>
      <c r="K1034" s="9" t="str">
        <f t="shared" ca="1" si="202"/>
        <v>S</v>
      </c>
      <c r="L1034">
        <f ca="1">+_xlfn.IFNA(VLOOKUP(M1034,BespokeWindowsAreas!$A$1:$E$1999,1,FALSE),VLOOKUP(E1034,WindowTypeArea!$B$2:$C$2000,2,FALSE))</f>
        <v>2.9737499999999999</v>
      </c>
      <c r="M1034">
        <f t="shared" ca="1" si="203"/>
        <v>4929844</v>
      </c>
    </row>
    <row r="1035" spans="1:13" x14ac:dyDescent="0.25">
      <c r="A1035">
        <f t="shared" ca="1" si="194"/>
        <v>2</v>
      </c>
      <c r="B1035">
        <f t="shared" ca="1" si="195"/>
        <v>622</v>
      </c>
      <c r="C1035" t="str">
        <f t="shared" ca="1" si="204"/>
        <v>'WINDOWS-NCH-A-BDP-M3-00-00'!B621</v>
      </c>
      <c r="D1035" s="6" t="str">
        <f t="shared" ca="1" si="205"/>
        <v>L00-IMG-CIR-C001-15</v>
      </c>
      <c r="E1035" t="str">
        <f t="shared" ca="1" si="196"/>
        <v>Family Type: Curtain Wall_1950w x 3050h, Family: Window External Type 6 - Flush, Recessed</v>
      </c>
      <c r="F1035" t="str">
        <f t="shared" ca="1" si="197"/>
        <v>Vector(X = 0.212, Y = -0.977, Z = 0.000, Length = 1.000)</v>
      </c>
      <c r="G1035">
        <f t="shared" ca="1" si="198"/>
        <v>0.2</v>
      </c>
      <c r="H1035">
        <f t="shared" ca="1" si="199"/>
        <v>-1</v>
      </c>
      <c r="I1035">
        <f t="shared" ca="1" si="200"/>
        <v>0</v>
      </c>
      <c r="J1035" s="8">
        <f t="shared" ca="1" si="201"/>
        <v>-78.690067525979785</v>
      </c>
      <c r="K1035" s="9" t="str">
        <f t="shared" ca="1" si="202"/>
        <v>S</v>
      </c>
      <c r="L1035">
        <f ca="1">+_xlfn.IFNA(VLOOKUP(M1035,BespokeWindowsAreas!$A$1:$E$1999,1,FALSE),VLOOKUP(E1035,WindowTypeArea!$B$2:$C$2000,2,FALSE))</f>
        <v>5.9474999999999998</v>
      </c>
      <c r="M1035">
        <f t="shared" ca="1" si="203"/>
        <v>4929845</v>
      </c>
    </row>
    <row r="1036" spans="1:13" x14ac:dyDescent="0.25">
      <c r="A1036">
        <f t="shared" ca="1" si="194"/>
        <v>2</v>
      </c>
      <c r="B1036">
        <f t="shared" ca="1" si="195"/>
        <v>623</v>
      </c>
      <c r="C1036" t="str">
        <f t="shared" ca="1" si="204"/>
        <v>'WINDOWS-NCH-A-BDP-M3-00-00'!B622</v>
      </c>
      <c r="D1036" s="6" t="str">
        <f t="shared" ca="1" si="205"/>
        <v>L00-IMG-CIR-C001-15</v>
      </c>
      <c r="E1036" t="str">
        <f t="shared" ca="1" si="196"/>
        <v>Family Type: Curtain Wall_1950w x 3200h, Family: Window External Type 6 - Flush, Recessed</v>
      </c>
      <c r="F1036" t="str">
        <f t="shared" ca="1" si="197"/>
        <v>Vector(X = 0.872, Y = 0.489, Z = 0.000, Length = 1.000)</v>
      </c>
      <c r="G1036">
        <f t="shared" ca="1" si="198"/>
        <v>0.9</v>
      </c>
      <c r="H1036">
        <f t="shared" ca="1" si="199"/>
        <v>0.5</v>
      </c>
      <c r="I1036">
        <f t="shared" ca="1" si="200"/>
        <v>0</v>
      </c>
      <c r="J1036" s="8">
        <f t="shared" ca="1" si="201"/>
        <v>29.054604099077146</v>
      </c>
      <c r="K1036" s="9" t="str">
        <f t="shared" ca="1" si="202"/>
        <v>E</v>
      </c>
      <c r="L1036">
        <f ca="1">+_xlfn.IFNA(VLOOKUP(M1036,BespokeWindowsAreas!$A$1:$E$1999,1,FALSE),VLOOKUP(E1036,WindowTypeArea!$B$2:$C$2000,2,FALSE))</f>
        <v>6.24</v>
      </c>
      <c r="M1036">
        <f t="shared" ca="1" si="203"/>
        <v>5044659</v>
      </c>
    </row>
    <row r="1037" spans="1:13" x14ac:dyDescent="0.25">
      <c r="A1037">
        <f t="shared" ca="1" si="194"/>
        <v>2</v>
      </c>
      <c r="B1037">
        <f t="shared" ca="1" si="195"/>
        <v>624</v>
      </c>
      <c r="C1037" t="str">
        <f t="shared" ca="1" si="204"/>
        <v>'WINDOWS-NCH-A-BDP-M3-00-00'!B623</v>
      </c>
      <c r="D1037" s="6" t="str">
        <f t="shared" ca="1" si="205"/>
        <v>L00-IMG-CIR-C001-15</v>
      </c>
      <c r="E1037" t="str">
        <f t="shared" ca="1" si="196"/>
        <v>Family Type: Curtain Wall_975w x 3200h, Family: Window External Type 6 - Flush, Recessed</v>
      </c>
      <c r="F1037" t="str">
        <f t="shared" ca="1" si="197"/>
        <v>Vector(X = 0.872, Y = 0.489, Z = 0.000, Length = 1.000)</v>
      </c>
      <c r="G1037">
        <f t="shared" ca="1" si="198"/>
        <v>0.9</v>
      </c>
      <c r="H1037">
        <f t="shared" ca="1" si="199"/>
        <v>0.5</v>
      </c>
      <c r="I1037">
        <f t="shared" ca="1" si="200"/>
        <v>0</v>
      </c>
      <c r="J1037" s="8">
        <f t="shared" ca="1" si="201"/>
        <v>29.054604099077146</v>
      </c>
      <c r="K1037" s="9" t="str">
        <f t="shared" ca="1" si="202"/>
        <v>E</v>
      </c>
      <c r="L1037">
        <f ca="1">+_xlfn.IFNA(VLOOKUP(M1037,BespokeWindowsAreas!$A$1:$E$1999,1,FALSE),VLOOKUP(E1037,WindowTypeArea!$B$2:$C$2000,2,FALSE))</f>
        <v>3.12</v>
      </c>
      <c r="M1037">
        <f t="shared" ca="1" si="203"/>
        <v>5044720</v>
      </c>
    </row>
    <row r="1038" spans="1:13" x14ac:dyDescent="0.25">
      <c r="A1038">
        <f t="shared" ca="1" si="194"/>
        <v>2</v>
      </c>
      <c r="B1038">
        <f t="shared" ca="1" si="195"/>
        <v>625</v>
      </c>
      <c r="C1038" t="str">
        <f t="shared" ca="1" si="204"/>
        <v>'WINDOWS-NCH-A-BDP-M3-00-00'!B624</v>
      </c>
      <c r="D1038" s="6" t="str">
        <f t="shared" ca="1" si="205"/>
        <v>L00-IMG-CIR-C001-17</v>
      </c>
      <c r="E1038" t="str">
        <f t="shared" ca="1" si="196"/>
        <v>L00-IMG-CIR-C001-17</v>
      </c>
      <c r="F1038">
        <f t="shared" ca="1" si="197"/>
        <v>2410203</v>
      </c>
      <c r="G1038">
        <f t="shared" ca="1" si="198"/>
        <v>0</v>
      </c>
      <c r="H1038">
        <f t="shared" ca="1" si="199"/>
        <v>0</v>
      </c>
      <c r="I1038">
        <f t="shared" ca="1" si="200"/>
        <v>0</v>
      </c>
      <c r="J1038" s="8" t="e">
        <f t="shared" ca="1" si="201"/>
        <v>#DIV/0!</v>
      </c>
      <c r="K1038" s="9" t="e">
        <f t="shared" ca="1" si="202"/>
        <v>#DIV/0!</v>
      </c>
      <c r="L1038" t="e">
        <f ca="1">+_xlfn.IFNA(VLOOKUP(M1038,BespokeWindowsAreas!$A$1:$E$1999,1,FALSE),VLOOKUP(E1038,WindowTypeArea!$B$2:$C$2000,2,FALSE))</f>
        <v>#N/A</v>
      </c>
      <c r="M1038">
        <f t="shared" ca="1" si="203"/>
        <v>0</v>
      </c>
    </row>
    <row r="1039" spans="1:13" x14ac:dyDescent="0.25">
      <c r="A1039">
        <f t="shared" ca="1" si="194"/>
        <v>2</v>
      </c>
      <c r="B1039">
        <f t="shared" ca="1" si="195"/>
        <v>626</v>
      </c>
      <c r="C1039" t="str">
        <f t="shared" ca="1" si="204"/>
        <v>'WINDOWS-NCH-A-BDP-M3-00-00'!B625</v>
      </c>
      <c r="D1039" s="6" t="str">
        <f t="shared" ca="1" si="205"/>
        <v>L00-IMG-CIR-C001-17</v>
      </c>
      <c r="E1039" t="str">
        <f t="shared" ca="1" si="196"/>
        <v>Family Type: Curtain Wall_975w x 3200h, Family: Window External Type 6 - Flush, Recessed</v>
      </c>
      <c r="F1039" t="str">
        <f t="shared" ca="1" si="197"/>
        <v>Vector(X = 0.873, Y = 0.489, Z = 0.000, Length = 1.000)</v>
      </c>
      <c r="G1039">
        <f t="shared" ca="1" si="198"/>
        <v>0.9</v>
      </c>
      <c r="H1039">
        <f t="shared" ca="1" si="199"/>
        <v>0.5</v>
      </c>
      <c r="I1039">
        <f t="shared" ca="1" si="200"/>
        <v>0</v>
      </c>
      <c r="J1039" s="8">
        <f t="shared" ca="1" si="201"/>
        <v>29.054604099077146</v>
      </c>
      <c r="K1039" s="9" t="str">
        <f t="shared" ca="1" si="202"/>
        <v>E</v>
      </c>
      <c r="L1039">
        <f ca="1">+_xlfn.IFNA(VLOOKUP(M1039,BespokeWindowsAreas!$A$1:$E$1999,1,FALSE),VLOOKUP(E1039,WindowTypeArea!$B$2:$C$2000,2,FALSE))</f>
        <v>3.12</v>
      </c>
      <c r="M1039">
        <f t="shared" ca="1" si="203"/>
        <v>5045703</v>
      </c>
    </row>
    <row r="1040" spans="1:13" x14ac:dyDescent="0.25">
      <c r="A1040">
        <f t="shared" ca="1" si="194"/>
        <v>2</v>
      </c>
      <c r="B1040">
        <f t="shared" ca="1" si="195"/>
        <v>627</v>
      </c>
      <c r="C1040" t="str">
        <f t="shared" ca="1" si="204"/>
        <v>'WINDOWS-NCH-A-BDP-M3-00-00'!B626</v>
      </c>
      <c r="D1040" s="6" t="str">
        <f t="shared" ca="1" si="205"/>
        <v>L00-IMG-CIR-C001-17</v>
      </c>
      <c r="E1040" t="str">
        <f t="shared" ca="1" si="196"/>
        <v>Family Type: Curtain Wall_585w x 3200h, Family: Window External Type 6 - Flush, Recessed</v>
      </c>
      <c r="F1040" t="str">
        <f t="shared" ca="1" si="197"/>
        <v>Vector(X = 0.873, Y = 0.489, Z = 0.000, Length = 1.000)</v>
      </c>
      <c r="G1040">
        <f t="shared" ca="1" si="198"/>
        <v>0.9</v>
      </c>
      <c r="H1040">
        <f t="shared" ca="1" si="199"/>
        <v>0.5</v>
      </c>
      <c r="I1040">
        <f t="shared" ca="1" si="200"/>
        <v>0</v>
      </c>
      <c r="J1040" s="8">
        <f t="shared" ca="1" si="201"/>
        <v>29.054604099077146</v>
      </c>
      <c r="K1040" s="9" t="str">
        <f t="shared" ca="1" si="202"/>
        <v>E</v>
      </c>
      <c r="L1040">
        <f ca="1">+_xlfn.IFNA(VLOOKUP(M1040,BespokeWindowsAreas!$A$1:$E$1999,1,FALSE),VLOOKUP(E1040,WindowTypeArea!$B$2:$C$2000,2,FALSE))</f>
        <v>1.8720000000000001</v>
      </c>
      <c r="M1040">
        <f t="shared" ca="1" si="203"/>
        <v>5045704</v>
      </c>
    </row>
    <row r="1041" spans="1:13" x14ac:dyDescent="0.25">
      <c r="A1041">
        <f t="shared" ca="1" si="194"/>
        <v>2</v>
      </c>
      <c r="B1041">
        <f t="shared" ca="1" si="195"/>
        <v>628</v>
      </c>
      <c r="C1041" t="str">
        <f t="shared" ca="1" si="204"/>
        <v>'WINDOWS-NCH-A-BDP-M3-00-00'!B627</v>
      </c>
      <c r="D1041" s="6" t="str">
        <f t="shared" ca="1" si="205"/>
        <v>L00-IMG-CIR-C001-17</v>
      </c>
      <c r="E1041" t="str">
        <f t="shared" ca="1" si="196"/>
        <v>Family Type: Curtain Wall_1500w x 3200h, Family: Window External Type 6 - Flush, Recessed</v>
      </c>
      <c r="F1041" t="str">
        <f t="shared" ca="1" si="197"/>
        <v>Vector(X = 0.873, Y = 0.489, Z = 0.000, Length = 1.000)</v>
      </c>
      <c r="G1041">
        <f t="shared" ca="1" si="198"/>
        <v>0.9</v>
      </c>
      <c r="H1041">
        <f t="shared" ca="1" si="199"/>
        <v>0.5</v>
      </c>
      <c r="I1041">
        <f t="shared" ca="1" si="200"/>
        <v>0</v>
      </c>
      <c r="J1041" s="8">
        <f t="shared" ca="1" si="201"/>
        <v>29.054604099077146</v>
      </c>
      <c r="K1041" s="9" t="str">
        <f t="shared" ca="1" si="202"/>
        <v>E</v>
      </c>
      <c r="L1041">
        <f ca="1">+_xlfn.IFNA(VLOOKUP(M1041,BespokeWindowsAreas!$A$1:$E$1999,1,FALSE),VLOOKUP(E1041,WindowTypeArea!$B$2:$C$2000,2,FALSE))</f>
        <v>4.8</v>
      </c>
      <c r="M1041">
        <f t="shared" ca="1" si="203"/>
        <v>5045708</v>
      </c>
    </row>
    <row r="1042" spans="1:13" x14ac:dyDescent="0.25">
      <c r="A1042">
        <f t="shared" ca="1" si="194"/>
        <v>2</v>
      </c>
      <c r="B1042">
        <f t="shared" ca="1" si="195"/>
        <v>629</v>
      </c>
      <c r="C1042" t="str">
        <f t="shared" ca="1" si="204"/>
        <v>'WINDOWS-NCH-A-BDP-M3-00-00'!B628</v>
      </c>
      <c r="D1042" s="6" t="str">
        <f t="shared" ca="1" si="205"/>
        <v>L00-IMG-CIR-C001-17</v>
      </c>
      <c r="E1042" t="str">
        <f t="shared" ca="1" si="196"/>
        <v>Family Type: Curtain Wall_975w x 3200h, Family: Window External Type 6 - Flush, Recessed</v>
      </c>
      <c r="F1042" t="str">
        <f t="shared" ca="1" si="197"/>
        <v>Vector(X = 0.873, Y = 0.489, Z = 0.000, Length = 1.000)</v>
      </c>
      <c r="G1042">
        <f t="shared" ca="1" si="198"/>
        <v>0.9</v>
      </c>
      <c r="H1042">
        <f t="shared" ca="1" si="199"/>
        <v>0.5</v>
      </c>
      <c r="I1042">
        <f t="shared" ca="1" si="200"/>
        <v>0</v>
      </c>
      <c r="J1042" s="8">
        <f t="shared" ca="1" si="201"/>
        <v>29.054604099077146</v>
      </c>
      <c r="K1042" s="9" t="str">
        <f t="shared" ca="1" si="202"/>
        <v>E</v>
      </c>
      <c r="L1042">
        <f ca="1">+_xlfn.IFNA(VLOOKUP(M1042,BespokeWindowsAreas!$A$1:$E$1999,1,FALSE),VLOOKUP(E1042,WindowTypeArea!$B$2:$C$2000,2,FALSE))</f>
        <v>3.12</v>
      </c>
      <c r="M1042">
        <f t="shared" ca="1" si="203"/>
        <v>5046965</v>
      </c>
    </row>
    <row r="1043" spans="1:13" x14ac:dyDescent="0.25">
      <c r="A1043">
        <f t="shared" ca="1" si="194"/>
        <v>2</v>
      </c>
      <c r="B1043">
        <f t="shared" ca="1" si="195"/>
        <v>630</v>
      </c>
      <c r="C1043" t="str">
        <f t="shared" ca="1" si="204"/>
        <v>'WINDOWS-NCH-A-BDP-M3-00-00'!B629</v>
      </c>
      <c r="D1043" s="6" t="str">
        <f t="shared" ca="1" si="205"/>
        <v>L00-IMG-CIR-C001-19</v>
      </c>
      <c r="E1043" t="str">
        <f t="shared" ca="1" si="196"/>
        <v>L00-IMG-CIR-C001-19</v>
      </c>
      <c r="F1043">
        <f t="shared" ca="1" si="197"/>
        <v>2410205</v>
      </c>
      <c r="G1043">
        <f t="shared" ca="1" si="198"/>
        <v>0</v>
      </c>
      <c r="H1043">
        <f t="shared" ca="1" si="199"/>
        <v>0</v>
      </c>
      <c r="I1043">
        <f t="shared" ca="1" si="200"/>
        <v>0</v>
      </c>
      <c r="J1043" s="8" t="e">
        <f t="shared" ca="1" si="201"/>
        <v>#DIV/0!</v>
      </c>
      <c r="K1043" s="9" t="e">
        <f t="shared" ca="1" si="202"/>
        <v>#DIV/0!</v>
      </c>
      <c r="L1043" t="e">
        <f ca="1">+_xlfn.IFNA(VLOOKUP(M1043,BespokeWindowsAreas!$A$1:$E$1999,1,FALSE),VLOOKUP(E1043,WindowTypeArea!$B$2:$C$2000,2,FALSE))</f>
        <v>#N/A</v>
      </c>
      <c r="M1043">
        <f t="shared" ca="1" si="203"/>
        <v>0</v>
      </c>
    </row>
    <row r="1044" spans="1:13" x14ac:dyDescent="0.25">
      <c r="A1044">
        <f t="shared" ref="A1044:A1107" ca="1" si="206">+IF(B1043&lt;=VLOOKUP(MID(C1044,2,26),TABS,2,FALSE),A1043,+A1043+1)</f>
        <v>2</v>
      </c>
      <c r="B1044">
        <f t="shared" ref="B1044:B1107" ca="1" si="207">+IF(B1043&lt;=VLOOKUP(MID(C1044,2,26),TABS,2,FALSE),B1043+1,1)</f>
        <v>631</v>
      </c>
      <c r="C1044" t="str">
        <f t="shared" ca="1" si="204"/>
        <v>'WINDOWS-NCH-A-BDP-M3-00-00'!B630</v>
      </c>
      <c r="D1044" s="6" t="str">
        <f t="shared" ca="1" si="205"/>
        <v>L00-IMG-CIR-C001-19</v>
      </c>
      <c r="E1044" t="str">
        <f t="shared" ref="E1044:E1107" ca="1" si="208">+OFFSET(INDIRECT(C1044),0,0)</f>
        <v>Family Type: Curtain Wall_975w x 3050h 2, Family: Window External Type 6 - Flush, Recessed</v>
      </c>
      <c r="F1044" t="str">
        <f t="shared" ca="1" si="197"/>
        <v>Vector(X = 0.212, Y = -0.977, Z = 0.000, Length = 1.000)</v>
      </c>
      <c r="G1044">
        <f t="shared" ca="1" si="198"/>
        <v>0.2</v>
      </c>
      <c r="H1044">
        <f t="shared" ca="1" si="199"/>
        <v>-1</v>
      </c>
      <c r="I1044">
        <f t="shared" ca="1" si="200"/>
        <v>0</v>
      </c>
      <c r="J1044" s="8">
        <f t="shared" ca="1" si="201"/>
        <v>-78.690067525979785</v>
      </c>
      <c r="K1044" s="9" t="str">
        <f t="shared" ca="1" si="202"/>
        <v>S</v>
      </c>
      <c r="L1044">
        <f ca="1">+_xlfn.IFNA(VLOOKUP(M1044,BespokeWindowsAreas!$A$1:$E$1999,1,FALSE),VLOOKUP(E1044,WindowTypeArea!$B$2:$C$2000,2,FALSE))</f>
        <v>2.9737499999999999</v>
      </c>
      <c r="M1044">
        <f t="shared" ca="1" si="203"/>
        <v>4928973</v>
      </c>
    </row>
    <row r="1045" spans="1:13" x14ac:dyDescent="0.25">
      <c r="A1045">
        <f t="shared" ca="1" si="206"/>
        <v>2</v>
      </c>
      <c r="B1045">
        <f t="shared" ca="1" si="207"/>
        <v>632</v>
      </c>
      <c r="C1045" t="str">
        <f t="shared" ca="1" si="204"/>
        <v>'WINDOWS-NCH-A-BDP-M3-00-00'!B631</v>
      </c>
      <c r="D1045" s="6" t="str">
        <f t="shared" ca="1" si="205"/>
        <v>L00-IMG-CIR-C001-19</v>
      </c>
      <c r="E1045" t="str">
        <f t="shared" ca="1" si="208"/>
        <v>Family Type: Curtain Wall_1500w x 3050h, Family: Window External Type 6 - Flush, Recessed</v>
      </c>
      <c r="F1045" t="str">
        <f t="shared" ca="1" si="197"/>
        <v>Vector(X = 0.212, Y = -0.977, Z = 0.000, Length = 1.000)</v>
      </c>
      <c r="G1045">
        <f t="shared" ca="1" si="198"/>
        <v>0.2</v>
      </c>
      <c r="H1045">
        <f t="shared" ca="1" si="199"/>
        <v>-1</v>
      </c>
      <c r="I1045">
        <f t="shared" ca="1" si="200"/>
        <v>0</v>
      </c>
      <c r="J1045" s="8">
        <f t="shared" ca="1" si="201"/>
        <v>-78.690067525979785</v>
      </c>
      <c r="K1045" s="9" t="str">
        <f t="shared" ca="1" si="202"/>
        <v>S</v>
      </c>
      <c r="L1045">
        <f ca="1">+_xlfn.IFNA(VLOOKUP(M1045,BespokeWindowsAreas!$A$1:$E$1999,1,FALSE),VLOOKUP(E1045,WindowTypeArea!$B$2:$C$2000,2,FALSE))</f>
        <v>4.5749999999999993</v>
      </c>
      <c r="M1045">
        <f t="shared" ca="1" si="203"/>
        <v>4929838</v>
      </c>
    </row>
    <row r="1046" spans="1:13" x14ac:dyDescent="0.25">
      <c r="A1046">
        <f t="shared" ca="1" si="206"/>
        <v>2</v>
      </c>
      <c r="B1046">
        <f t="shared" ca="1" si="207"/>
        <v>633</v>
      </c>
      <c r="C1046" t="str">
        <f t="shared" ca="1" si="204"/>
        <v>'WINDOWS-NCH-A-BDP-M3-00-00'!B632</v>
      </c>
      <c r="D1046" s="6" t="str">
        <f t="shared" ca="1" si="205"/>
        <v>L00-IMG-CIR-C001-19</v>
      </c>
      <c r="E1046" t="str">
        <f t="shared" ca="1" si="208"/>
        <v>Family Type: Curtain Wall_975w x 3050h 2, Family: Window External Type 6 - Flush, Recessed</v>
      </c>
      <c r="F1046" t="str">
        <f t="shared" ref="F1046:F1109" ca="1" si="209">+OFFSET(INDIRECT(C1046),0,1)</f>
        <v>Vector(X = 0.212, Y = -0.977, Z = 0.000, Length = 1.000)</v>
      </c>
      <c r="G1046">
        <f t="shared" ref="G1046:G1109" ca="1" si="210">+OFFSET(INDIRECT(C1046),0,2)</f>
        <v>0.2</v>
      </c>
      <c r="H1046">
        <f t="shared" ref="H1046:H1109" ca="1" si="211">+OFFSET(INDIRECT(C1046),0,3)</f>
        <v>-1</v>
      </c>
      <c r="I1046">
        <f t="shared" ref="I1046:I1109" ca="1" si="212">+OFFSET(INDIRECT(C1046),0,4)</f>
        <v>0</v>
      </c>
      <c r="J1046" s="8">
        <f t="shared" ref="J1046:J1109" ca="1" si="213">+DEGREES(ATAN2(G1046,H1046))</f>
        <v>-78.690067525979785</v>
      </c>
      <c r="K1046" s="9" t="str">
        <f t="shared" ref="K1046:K1109" ca="1" si="214">VLOOKUP(J1046,$O$20:$P$36,2,-1)</f>
        <v>S</v>
      </c>
      <c r="L1046">
        <f ca="1">+_xlfn.IFNA(VLOOKUP(M1046,BespokeWindowsAreas!$A$1:$E$1999,1,FALSE),VLOOKUP(E1046,WindowTypeArea!$B$2:$C$2000,2,FALSE))</f>
        <v>2.9737499999999999</v>
      </c>
      <c r="M1046">
        <f t="shared" ref="M1046:M1109" ca="1" si="215">+OFFSET(INDIRECT(C1046),0,5)</f>
        <v>4929840</v>
      </c>
    </row>
    <row r="1047" spans="1:13" x14ac:dyDescent="0.25">
      <c r="A1047">
        <f t="shared" ca="1" si="206"/>
        <v>2</v>
      </c>
      <c r="B1047">
        <f t="shared" ca="1" si="207"/>
        <v>634</v>
      </c>
      <c r="C1047" t="str">
        <f t="shared" ref="C1047:C1110" ca="1" si="216">+"'"&amp;INDIRECT("a"&amp;A1046)&amp;"'!B"&amp;B1046</f>
        <v>'WINDOWS-NCH-A-BDP-M3-00-00'!B633</v>
      </c>
      <c r="D1047" s="6" t="str">
        <f t="shared" ca="1" si="205"/>
        <v>L00-IMG-CIR-C001-19</v>
      </c>
      <c r="E1047" t="str">
        <f t="shared" ca="1" si="208"/>
        <v>Family Type: Curtain Wall_975w x 3050h 2, Family: Window External Type 6 - Flush, Recessed</v>
      </c>
      <c r="F1047" t="str">
        <f t="shared" ca="1" si="209"/>
        <v>Vector(X = 0.212, Y = -0.977, Z = 0.000, Length = 1.000)</v>
      </c>
      <c r="G1047">
        <f t="shared" ca="1" si="210"/>
        <v>0.2</v>
      </c>
      <c r="H1047">
        <f t="shared" ca="1" si="211"/>
        <v>-1</v>
      </c>
      <c r="I1047">
        <f t="shared" ca="1" si="212"/>
        <v>0</v>
      </c>
      <c r="J1047" s="8">
        <f t="shared" ca="1" si="213"/>
        <v>-78.690067525979785</v>
      </c>
      <c r="K1047" s="9" t="str">
        <f t="shared" ca="1" si="214"/>
        <v>S</v>
      </c>
      <c r="L1047">
        <f ca="1">+_xlfn.IFNA(VLOOKUP(M1047,BespokeWindowsAreas!$A$1:$E$1999,1,FALSE),VLOOKUP(E1047,WindowTypeArea!$B$2:$C$2000,2,FALSE))</f>
        <v>2.9737499999999999</v>
      </c>
      <c r="M1047">
        <f t="shared" ca="1" si="215"/>
        <v>4929841</v>
      </c>
    </row>
    <row r="1048" spans="1:13" x14ac:dyDescent="0.25">
      <c r="A1048">
        <f t="shared" ca="1" si="206"/>
        <v>2</v>
      </c>
      <c r="B1048">
        <f t="shared" ca="1" si="207"/>
        <v>635</v>
      </c>
      <c r="C1048" t="str">
        <f t="shared" ca="1" si="216"/>
        <v>'WINDOWS-NCH-A-BDP-M3-00-00'!B634</v>
      </c>
      <c r="D1048" s="6" t="str">
        <f t="shared" ca="1" si="205"/>
        <v>L00-IMG-CIR-C001-19</v>
      </c>
      <c r="E1048" t="str">
        <f t="shared" ca="1" si="208"/>
        <v>Family Type: Curtain Wall_975w x 3050h 2, Family: Window External Type 6 - Flush, Recessed</v>
      </c>
      <c r="F1048" t="str">
        <f t="shared" ca="1" si="209"/>
        <v>Vector(X = 0.212, Y = -0.977, Z = 0.000, Length = 1.000)</v>
      </c>
      <c r="G1048">
        <f t="shared" ca="1" si="210"/>
        <v>0.2</v>
      </c>
      <c r="H1048">
        <f t="shared" ca="1" si="211"/>
        <v>-1</v>
      </c>
      <c r="I1048">
        <f t="shared" ca="1" si="212"/>
        <v>0</v>
      </c>
      <c r="J1048" s="8">
        <f t="shared" ca="1" si="213"/>
        <v>-78.690067525979785</v>
      </c>
      <c r="K1048" s="9" t="str">
        <f t="shared" ca="1" si="214"/>
        <v>S</v>
      </c>
      <c r="L1048">
        <f ca="1">+_xlfn.IFNA(VLOOKUP(M1048,BespokeWindowsAreas!$A$1:$E$1999,1,FALSE),VLOOKUP(E1048,WindowTypeArea!$B$2:$C$2000,2,FALSE))</f>
        <v>2.9737499999999999</v>
      </c>
      <c r="M1048">
        <f t="shared" ca="1" si="215"/>
        <v>4929842</v>
      </c>
    </row>
    <row r="1049" spans="1:13" x14ac:dyDescent="0.25">
      <c r="A1049">
        <f t="shared" ca="1" si="206"/>
        <v>2</v>
      </c>
      <c r="B1049">
        <f t="shared" ca="1" si="207"/>
        <v>636</v>
      </c>
      <c r="C1049" t="str">
        <f t="shared" ca="1" si="216"/>
        <v>'WINDOWS-NCH-A-BDP-M3-00-00'!B635</v>
      </c>
      <c r="D1049" s="6" t="str">
        <f t="shared" ca="1" si="205"/>
        <v>L00-IMG-CIR-C001-19</v>
      </c>
      <c r="E1049" t="str">
        <f t="shared" ca="1" si="208"/>
        <v>Family Type: Curtain Wall_1500w x 3050h, Family: Window External Type 6 - Flush, Recessed</v>
      </c>
      <c r="F1049" t="str">
        <f t="shared" ca="1" si="209"/>
        <v>Vector(X = 0.212, Y = -0.977, Z = 0.000, Length = 1.000)</v>
      </c>
      <c r="G1049">
        <f t="shared" ca="1" si="210"/>
        <v>0.2</v>
      </c>
      <c r="H1049">
        <f t="shared" ca="1" si="211"/>
        <v>-1</v>
      </c>
      <c r="I1049">
        <f t="shared" ca="1" si="212"/>
        <v>0</v>
      </c>
      <c r="J1049" s="8">
        <f t="shared" ca="1" si="213"/>
        <v>-78.690067525979785</v>
      </c>
      <c r="K1049" s="9" t="str">
        <f t="shared" ca="1" si="214"/>
        <v>S</v>
      </c>
      <c r="L1049">
        <f ca="1">+_xlfn.IFNA(VLOOKUP(M1049,BespokeWindowsAreas!$A$1:$E$1999,1,FALSE),VLOOKUP(E1049,WindowTypeArea!$B$2:$C$2000,2,FALSE))</f>
        <v>4.5749999999999993</v>
      </c>
      <c r="M1049">
        <f t="shared" ca="1" si="215"/>
        <v>4929843</v>
      </c>
    </row>
    <row r="1050" spans="1:13" x14ac:dyDescent="0.25">
      <c r="A1050">
        <f t="shared" ca="1" si="206"/>
        <v>2</v>
      </c>
      <c r="B1050">
        <f t="shared" ca="1" si="207"/>
        <v>637</v>
      </c>
      <c r="C1050" t="str">
        <f t="shared" ca="1" si="216"/>
        <v>'WINDOWS-NCH-A-BDP-M3-00-00'!B636</v>
      </c>
      <c r="D1050" s="6" t="str">
        <f t="shared" ca="1" si="205"/>
        <v>L00-IMG-CIR-C001-19</v>
      </c>
      <c r="E1050" t="str">
        <f t="shared" ca="1" si="208"/>
        <v>Family Type: Curtain Wall_975w x 3050h 2, Family: Window External Type 6 - Flush, Recessed</v>
      </c>
      <c r="F1050" t="str">
        <f t="shared" ca="1" si="209"/>
        <v>Vector(X = 0.212, Y = -0.977, Z = 0.000, Length = 1.000)</v>
      </c>
      <c r="G1050">
        <f t="shared" ca="1" si="210"/>
        <v>0.2</v>
      </c>
      <c r="H1050">
        <f t="shared" ca="1" si="211"/>
        <v>-1</v>
      </c>
      <c r="I1050">
        <f t="shared" ca="1" si="212"/>
        <v>0</v>
      </c>
      <c r="J1050" s="8">
        <f t="shared" ca="1" si="213"/>
        <v>-78.690067525979785</v>
      </c>
      <c r="K1050" s="9" t="str">
        <f t="shared" ca="1" si="214"/>
        <v>S</v>
      </c>
      <c r="L1050">
        <f ca="1">+_xlfn.IFNA(VLOOKUP(M1050,BespokeWindowsAreas!$A$1:$E$1999,1,FALSE),VLOOKUP(E1050,WindowTypeArea!$B$2:$C$2000,2,FALSE))</f>
        <v>2.9737499999999999</v>
      </c>
      <c r="M1050">
        <f t="shared" ca="1" si="215"/>
        <v>4929844</v>
      </c>
    </row>
    <row r="1051" spans="1:13" x14ac:dyDescent="0.25">
      <c r="A1051">
        <f t="shared" ca="1" si="206"/>
        <v>2</v>
      </c>
      <c r="B1051">
        <f t="shared" ca="1" si="207"/>
        <v>638</v>
      </c>
      <c r="C1051" t="str">
        <f t="shared" ca="1" si="216"/>
        <v>'WINDOWS-NCH-A-BDP-M3-00-00'!B637</v>
      </c>
      <c r="D1051" s="6" t="str">
        <f t="shared" ca="1" si="205"/>
        <v>L00-IMG-CIR-C001-19</v>
      </c>
      <c r="E1051" t="str">
        <f t="shared" ca="1" si="208"/>
        <v>Family Type: Curtain Wall_1950w x 3050h, Family: Window External Type 6 - Flush, Recessed</v>
      </c>
      <c r="F1051" t="str">
        <f t="shared" ca="1" si="209"/>
        <v>Vector(X = 0.212, Y = -0.977, Z = 0.000, Length = 1.000)</v>
      </c>
      <c r="G1051">
        <f t="shared" ca="1" si="210"/>
        <v>0.2</v>
      </c>
      <c r="H1051">
        <f t="shared" ca="1" si="211"/>
        <v>-1</v>
      </c>
      <c r="I1051">
        <f t="shared" ca="1" si="212"/>
        <v>0</v>
      </c>
      <c r="J1051" s="8">
        <f t="shared" ca="1" si="213"/>
        <v>-78.690067525979785</v>
      </c>
      <c r="K1051" s="9" t="str">
        <f t="shared" ca="1" si="214"/>
        <v>S</v>
      </c>
      <c r="L1051">
        <f ca="1">+_xlfn.IFNA(VLOOKUP(M1051,BespokeWindowsAreas!$A$1:$E$1999,1,FALSE),VLOOKUP(E1051,WindowTypeArea!$B$2:$C$2000,2,FALSE))</f>
        <v>5.9474999999999998</v>
      </c>
      <c r="M1051">
        <f t="shared" ca="1" si="215"/>
        <v>4929845</v>
      </c>
    </row>
    <row r="1052" spans="1:13" x14ac:dyDescent="0.25">
      <c r="A1052">
        <f t="shared" ca="1" si="206"/>
        <v>2</v>
      </c>
      <c r="B1052">
        <f t="shared" ca="1" si="207"/>
        <v>639</v>
      </c>
      <c r="C1052" t="str">
        <f t="shared" ca="1" si="216"/>
        <v>'WINDOWS-NCH-A-BDP-M3-00-00'!B638</v>
      </c>
      <c r="D1052" s="6" t="str">
        <f t="shared" ca="1" si="205"/>
        <v>L00-IMG-CIR-C001-19</v>
      </c>
      <c r="E1052" t="str">
        <f t="shared" ca="1" si="208"/>
        <v>Family Type: Curtain Wall_975w x 3050h 2, Family: Window External Type 6 - Flush, Recessed</v>
      </c>
      <c r="F1052" t="str">
        <f t="shared" ca="1" si="209"/>
        <v>Vector(X = 0.212, Y = -0.977, Z = 0.000, Length = 1.000)</v>
      </c>
      <c r="G1052">
        <f t="shared" ca="1" si="210"/>
        <v>0.2</v>
      </c>
      <c r="H1052">
        <f t="shared" ca="1" si="211"/>
        <v>-1</v>
      </c>
      <c r="I1052">
        <f t="shared" ca="1" si="212"/>
        <v>0</v>
      </c>
      <c r="J1052" s="8">
        <f t="shared" ca="1" si="213"/>
        <v>-78.690067525979785</v>
      </c>
      <c r="K1052" s="9" t="str">
        <f t="shared" ca="1" si="214"/>
        <v>S</v>
      </c>
      <c r="L1052">
        <f ca="1">+_xlfn.IFNA(VLOOKUP(M1052,BespokeWindowsAreas!$A$1:$E$1999,1,FALSE),VLOOKUP(E1052,WindowTypeArea!$B$2:$C$2000,2,FALSE))</f>
        <v>2.9737499999999999</v>
      </c>
      <c r="M1052">
        <f t="shared" ca="1" si="215"/>
        <v>4929846</v>
      </c>
    </row>
    <row r="1053" spans="1:13" x14ac:dyDescent="0.25">
      <c r="A1053">
        <f t="shared" ca="1" si="206"/>
        <v>2</v>
      </c>
      <c r="B1053">
        <f t="shared" ca="1" si="207"/>
        <v>640</v>
      </c>
      <c r="C1053" t="str">
        <f t="shared" ca="1" si="216"/>
        <v>'WINDOWS-NCH-A-BDP-M3-00-00'!B639</v>
      </c>
      <c r="D1053" s="6" t="str">
        <f t="shared" ca="1" si="205"/>
        <v>L00-IMG-CIR-C001-19</v>
      </c>
      <c r="E1053" t="str">
        <f t="shared" ca="1" si="208"/>
        <v>Family Type: Curtain Wall_1950w x 3050h, Family: Window External Type 6 - Flush, Recessed</v>
      </c>
      <c r="F1053" t="str">
        <f t="shared" ca="1" si="209"/>
        <v>Vector(X = 0.212, Y = -0.977, Z = 0.000, Length = 1.000)</v>
      </c>
      <c r="G1053">
        <f t="shared" ca="1" si="210"/>
        <v>0.2</v>
      </c>
      <c r="H1053">
        <f t="shared" ca="1" si="211"/>
        <v>-1</v>
      </c>
      <c r="I1053">
        <f t="shared" ca="1" si="212"/>
        <v>0</v>
      </c>
      <c r="J1053" s="8">
        <f t="shared" ca="1" si="213"/>
        <v>-78.690067525979785</v>
      </c>
      <c r="K1053" s="9" t="str">
        <f t="shared" ca="1" si="214"/>
        <v>S</v>
      </c>
      <c r="L1053">
        <f ca="1">+_xlfn.IFNA(VLOOKUP(M1053,BespokeWindowsAreas!$A$1:$E$1999,1,FALSE),VLOOKUP(E1053,WindowTypeArea!$B$2:$C$2000,2,FALSE))</f>
        <v>5.9474999999999998</v>
      </c>
      <c r="M1053">
        <f t="shared" ca="1" si="215"/>
        <v>4929847</v>
      </c>
    </row>
    <row r="1054" spans="1:13" x14ac:dyDescent="0.25">
      <c r="A1054">
        <f t="shared" ca="1" si="206"/>
        <v>2</v>
      </c>
      <c r="B1054">
        <f t="shared" ca="1" si="207"/>
        <v>641</v>
      </c>
      <c r="C1054" t="str">
        <f t="shared" ca="1" si="216"/>
        <v>'WINDOWS-NCH-A-BDP-M3-00-00'!B640</v>
      </c>
      <c r="D1054" s="6" t="str">
        <f t="shared" ca="1" si="205"/>
        <v>L00-IMG-CIR-C001-19</v>
      </c>
      <c r="E1054" t="str">
        <f t="shared" ca="1" si="208"/>
        <v>Family Type: Curtain Wall_975w x 3050h 2, Family: Window External Type 6 - Flush, Recessed</v>
      </c>
      <c r="F1054" t="str">
        <f t="shared" ca="1" si="209"/>
        <v>Vector(X = 0.212, Y = -0.977, Z = 0.000, Length = 1.000)</v>
      </c>
      <c r="G1054">
        <f t="shared" ca="1" si="210"/>
        <v>0.2</v>
      </c>
      <c r="H1054">
        <f t="shared" ca="1" si="211"/>
        <v>-1</v>
      </c>
      <c r="I1054">
        <f t="shared" ca="1" si="212"/>
        <v>0</v>
      </c>
      <c r="J1054" s="8">
        <f t="shared" ca="1" si="213"/>
        <v>-78.690067525979785</v>
      </c>
      <c r="K1054" s="9" t="str">
        <f t="shared" ca="1" si="214"/>
        <v>S</v>
      </c>
      <c r="L1054">
        <f ca="1">+_xlfn.IFNA(VLOOKUP(M1054,BespokeWindowsAreas!$A$1:$E$1999,1,FALSE),VLOOKUP(E1054,WindowTypeArea!$B$2:$C$2000,2,FALSE))</f>
        <v>2.9737499999999999</v>
      </c>
      <c r="M1054">
        <f t="shared" ca="1" si="215"/>
        <v>4929848</v>
      </c>
    </row>
    <row r="1055" spans="1:13" x14ac:dyDescent="0.25">
      <c r="A1055">
        <f t="shared" ca="1" si="206"/>
        <v>2</v>
      </c>
      <c r="B1055">
        <f t="shared" ca="1" si="207"/>
        <v>642</v>
      </c>
      <c r="C1055" t="str">
        <f t="shared" ca="1" si="216"/>
        <v>'WINDOWS-NCH-A-BDP-M3-00-00'!B641</v>
      </c>
      <c r="D1055" s="6" t="str">
        <f t="shared" ca="1" si="205"/>
        <v>L00-IMG-CIR-C001-19</v>
      </c>
      <c r="E1055" t="str">
        <f t="shared" ca="1" si="208"/>
        <v>Family Type: Curtain Wall_975w x 3050h 2, Family: Window External Type 6 - Flush, Recessed</v>
      </c>
      <c r="F1055" t="str">
        <f t="shared" ca="1" si="209"/>
        <v>Vector(X = 0.212, Y = -0.977, Z = 0.000, Length = 1.000)</v>
      </c>
      <c r="G1055">
        <f t="shared" ca="1" si="210"/>
        <v>0.2</v>
      </c>
      <c r="H1055">
        <f t="shared" ca="1" si="211"/>
        <v>-1</v>
      </c>
      <c r="I1055">
        <f t="shared" ca="1" si="212"/>
        <v>0</v>
      </c>
      <c r="J1055" s="8">
        <f t="shared" ca="1" si="213"/>
        <v>-78.690067525979785</v>
      </c>
      <c r="K1055" s="9" t="str">
        <f t="shared" ca="1" si="214"/>
        <v>S</v>
      </c>
      <c r="L1055">
        <f ca="1">+_xlfn.IFNA(VLOOKUP(M1055,BespokeWindowsAreas!$A$1:$E$1999,1,FALSE),VLOOKUP(E1055,WindowTypeArea!$B$2:$C$2000,2,FALSE))</f>
        <v>2.9737499999999999</v>
      </c>
      <c r="M1055">
        <f t="shared" ca="1" si="215"/>
        <v>4929849</v>
      </c>
    </row>
    <row r="1056" spans="1:13" x14ac:dyDescent="0.25">
      <c r="A1056">
        <f t="shared" ca="1" si="206"/>
        <v>2</v>
      </c>
      <c r="B1056">
        <f t="shared" ca="1" si="207"/>
        <v>643</v>
      </c>
      <c r="C1056" t="str">
        <f t="shared" ca="1" si="216"/>
        <v>'WINDOWS-NCH-A-BDP-M3-00-00'!B642</v>
      </c>
      <c r="D1056" s="6" t="str">
        <f t="shared" ca="1" si="205"/>
        <v>L00-IMG-CIR-C001-19</v>
      </c>
      <c r="E1056" t="str">
        <f t="shared" ca="1" si="208"/>
        <v>Family Type: Curtain Wall_975w x 3050h 2, Family: Window External Type 6 - Flush, Recessed</v>
      </c>
      <c r="F1056" t="str">
        <f t="shared" ca="1" si="209"/>
        <v>Vector(X = 0.212, Y = -0.977, Z = 0.000, Length = 1.000)</v>
      </c>
      <c r="G1056">
        <f t="shared" ca="1" si="210"/>
        <v>0.2</v>
      </c>
      <c r="H1056">
        <f t="shared" ca="1" si="211"/>
        <v>-1</v>
      </c>
      <c r="I1056">
        <f t="shared" ca="1" si="212"/>
        <v>0</v>
      </c>
      <c r="J1056" s="8">
        <f t="shared" ca="1" si="213"/>
        <v>-78.690067525979785</v>
      </c>
      <c r="K1056" s="9" t="str">
        <f t="shared" ca="1" si="214"/>
        <v>S</v>
      </c>
      <c r="L1056">
        <f ca="1">+_xlfn.IFNA(VLOOKUP(M1056,BespokeWindowsAreas!$A$1:$E$1999,1,FALSE),VLOOKUP(E1056,WindowTypeArea!$B$2:$C$2000,2,FALSE))</f>
        <v>2.9737499999999999</v>
      </c>
      <c r="M1056">
        <f t="shared" ca="1" si="215"/>
        <v>4929850</v>
      </c>
    </row>
    <row r="1057" spans="1:13" x14ac:dyDescent="0.25">
      <c r="A1057">
        <f t="shared" ca="1" si="206"/>
        <v>2</v>
      </c>
      <c r="B1057">
        <f t="shared" ca="1" si="207"/>
        <v>644</v>
      </c>
      <c r="C1057" t="str">
        <f t="shared" ca="1" si="216"/>
        <v>'WINDOWS-NCH-A-BDP-M3-00-00'!B643</v>
      </c>
      <c r="D1057" s="6" t="str">
        <f t="shared" ca="1" si="205"/>
        <v>L00-IMG-CIR-C001-19</v>
      </c>
      <c r="E1057" t="str">
        <f t="shared" ca="1" si="208"/>
        <v>Family Type: Curtain Wall_975w x 3050h 2, Family: Window External Type 6 - Flush, Recessed</v>
      </c>
      <c r="F1057" t="str">
        <f t="shared" ca="1" si="209"/>
        <v>Vector(X = 0.212, Y = -0.977, Z = 0.000, Length = 1.000)</v>
      </c>
      <c r="G1057">
        <f t="shared" ca="1" si="210"/>
        <v>0.2</v>
      </c>
      <c r="H1057">
        <f t="shared" ca="1" si="211"/>
        <v>-1</v>
      </c>
      <c r="I1057">
        <f t="shared" ca="1" si="212"/>
        <v>0</v>
      </c>
      <c r="J1057" s="8">
        <f t="shared" ca="1" si="213"/>
        <v>-78.690067525979785</v>
      </c>
      <c r="K1057" s="9" t="str">
        <f t="shared" ca="1" si="214"/>
        <v>S</v>
      </c>
      <c r="L1057">
        <f ca="1">+_xlfn.IFNA(VLOOKUP(M1057,BespokeWindowsAreas!$A$1:$E$1999,1,FALSE),VLOOKUP(E1057,WindowTypeArea!$B$2:$C$2000,2,FALSE))</f>
        <v>2.9737499999999999</v>
      </c>
      <c r="M1057">
        <f t="shared" ca="1" si="215"/>
        <v>4929851</v>
      </c>
    </row>
    <row r="1058" spans="1:13" x14ac:dyDescent="0.25">
      <c r="A1058">
        <f t="shared" ca="1" si="206"/>
        <v>2</v>
      </c>
      <c r="B1058">
        <f t="shared" ca="1" si="207"/>
        <v>645</v>
      </c>
      <c r="C1058" t="str">
        <f t="shared" ca="1" si="216"/>
        <v>'WINDOWS-NCH-A-BDP-M3-00-00'!B644</v>
      </c>
      <c r="D1058" s="6" t="str">
        <f t="shared" ca="1" si="205"/>
        <v>L00-IMG-CIR-C001-19</v>
      </c>
      <c r="E1058" t="str">
        <f t="shared" ca="1" si="208"/>
        <v>Family Type: Curtain Wall_975w x 3050h 2, Family: Window External Type 6 - Flush, Recessed</v>
      </c>
      <c r="F1058" t="str">
        <f t="shared" ca="1" si="209"/>
        <v>Vector(X = 0.212, Y = -0.977, Z = 0.000, Length = 1.000)</v>
      </c>
      <c r="G1058">
        <f t="shared" ca="1" si="210"/>
        <v>0.2</v>
      </c>
      <c r="H1058">
        <f t="shared" ca="1" si="211"/>
        <v>-1</v>
      </c>
      <c r="I1058">
        <f t="shared" ca="1" si="212"/>
        <v>0</v>
      </c>
      <c r="J1058" s="8">
        <f t="shared" ca="1" si="213"/>
        <v>-78.690067525979785</v>
      </c>
      <c r="K1058" s="9" t="str">
        <f t="shared" ca="1" si="214"/>
        <v>S</v>
      </c>
      <c r="L1058">
        <f ca="1">+_xlfn.IFNA(VLOOKUP(M1058,BespokeWindowsAreas!$A$1:$E$1999,1,FALSE),VLOOKUP(E1058,WindowTypeArea!$B$2:$C$2000,2,FALSE))</f>
        <v>2.9737499999999999</v>
      </c>
      <c r="M1058">
        <f t="shared" ca="1" si="215"/>
        <v>4929852</v>
      </c>
    </row>
    <row r="1059" spans="1:13" x14ac:dyDescent="0.25">
      <c r="A1059">
        <f t="shared" ca="1" si="206"/>
        <v>2</v>
      </c>
      <c r="B1059">
        <f t="shared" ca="1" si="207"/>
        <v>646</v>
      </c>
      <c r="C1059" t="str">
        <f t="shared" ca="1" si="216"/>
        <v>'WINDOWS-NCH-A-BDP-M3-00-00'!B645</v>
      </c>
      <c r="D1059" s="6" t="str">
        <f t="shared" ca="1" si="205"/>
        <v>L00-IMG-CIR-C001-19</v>
      </c>
      <c r="E1059" t="str">
        <f t="shared" ca="1" si="208"/>
        <v>Family Type: Curtain Wall_975w x 3050h 2, Family: Window External Type 6 - Flush, Recessed</v>
      </c>
      <c r="F1059" t="str">
        <f t="shared" ca="1" si="209"/>
        <v>Vector(X = 0.212, Y = -0.977, Z = 0.000, Length = 1.000)</v>
      </c>
      <c r="G1059">
        <f t="shared" ca="1" si="210"/>
        <v>0.2</v>
      </c>
      <c r="H1059">
        <f t="shared" ca="1" si="211"/>
        <v>-1</v>
      </c>
      <c r="I1059">
        <f t="shared" ca="1" si="212"/>
        <v>0</v>
      </c>
      <c r="J1059" s="8">
        <f t="shared" ca="1" si="213"/>
        <v>-78.690067525979785</v>
      </c>
      <c r="K1059" s="9" t="str">
        <f t="shared" ca="1" si="214"/>
        <v>S</v>
      </c>
      <c r="L1059">
        <f ca="1">+_xlfn.IFNA(VLOOKUP(M1059,BespokeWindowsAreas!$A$1:$E$1999,1,FALSE),VLOOKUP(E1059,WindowTypeArea!$B$2:$C$2000,2,FALSE))</f>
        <v>2.9737499999999999</v>
      </c>
      <c r="M1059">
        <f t="shared" ca="1" si="215"/>
        <v>4929853</v>
      </c>
    </row>
    <row r="1060" spans="1:13" x14ac:dyDescent="0.25">
      <c r="A1060">
        <f t="shared" ca="1" si="206"/>
        <v>2</v>
      </c>
      <c r="B1060">
        <f t="shared" ca="1" si="207"/>
        <v>647</v>
      </c>
      <c r="C1060" t="str">
        <f t="shared" ca="1" si="216"/>
        <v>'WINDOWS-NCH-A-BDP-M3-00-00'!B646</v>
      </c>
      <c r="D1060" s="6" t="str">
        <f t="shared" ca="1" si="205"/>
        <v>L00-IMG-CIR-C001-19</v>
      </c>
      <c r="E1060" t="str">
        <f t="shared" ca="1" si="208"/>
        <v>Family Type: Curtain Wall_975w x 3050h 2, Family: Window External Type 6 - Flush, Recessed</v>
      </c>
      <c r="F1060" t="str">
        <f t="shared" ca="1" si="209"/>
        <v>Vector(X = 0.212, Y = -0.977, Z = 0.000, Length = 1.000)</v>
      </c>
      <c r="G1060">
        <f t="shared" ca="1" si="210"/>
        <v>0.2</v>
      </c>
      <c r="H1060">
        <f t="shared" ca="1" si="211"/>
        <v>-1</v>
      </c>
      <c r="I1060">
        <f t="shared" ca="1" si="212"/>
        <v>0</v>
      </c>
      <c r="J1060" s="8">
        <f t="shared" ca="1" si="213"/>
        <v>-78.690067525979785</v>
      </c>
      <c r="K1060" s="9" t="str">
        <f t="shared" ca="1" si="214"/>
        <v>S</v>
      </c>
      <c r="L1060">
        <f ca="1">+_xlfn.IFNA(VLOOKUP(M1060,BespokeWindowsAreas!$A$1:$E$1999,1,FALSE),VLOOKUP(E1060,WindowTypeArea!$B$2:$C$2000,2,FALSE))</f>
        <v>2.9737499999999999</v>
      </c>
      <c r="M1060">
        <f t="shared" ca="1" si="215"/>
        <v>4929854</v>
      </c>
    </row>
    <row r="1061" spans="1:13" x14ac:dyDescent="0.25">
      <c r="A1061">
        <f t="shared" ca="1" si="206"/>
        <v>2</v>
      </c>
      <c r="B1061">
        <f t="shared" ca="1" si="207"/>
        <v>648</v>
      </c>
      <c r="C1061" t="str">
        <f t="shared" ca="1" si="216"/>
        <v>'WINDOWS-NCH-A-BDP-M3-00-00'!B647</v>
      </c>
      <c r="D1061" s="6" t="str">
        <f t="shared" ca="1" si="205"/>
        <v>L00-IMG-CIR-C001-19</v>
      </c>
      <c r="E1061" t="str">
        <f t="shared" ca="1" si="208"/>
        <v>Family Type: Curtain Wall_1500w x 3050h, Family: Window External Type 6 - Flush, Recessed</v>
      </c>
      <c r="F1061" t="str">
        <f t="shared" ca="1" si="209"/>
        <v>Vector(X = 0.212, Y = -0.977, Z = 0.000, Length = 1.000)</v>
      </c>
      <c r="G1061">
        <f t="shared" ca="1" si="210"/>
        <v>0.2</v>
      </c>
      <c r="H1061">
        <f t="shared" ca="1" si="211"/>
        <v>-1</v>
      </c>
      <c r="I1061">
        <f t="shared" ca="1" si="212"/>
        <v>0</v>
      </c>
      <c r="J1061" s="8">
        <f t="shared" ca="1" si="213"/>
        <v>-78.690067525979785</v>
      </c>
      <c r="K1061" s="9" t="str">
        <f t="shared" ca="1" si="214"/>
        <v>S</v>
      </c>
      <c r="L1061">
        <f ca="1">+_xlfn.IFNA(VLOOKUP(M1061,BespokeWindowsAreas!$A$1:$E$1999,1,FALSE),VLOOKUP(E1061,WindowTypeArea!$B$2:$C$2000,2,FALSE))</f>
        <v>4.5749999999999993</v>
      </c>
      <c r="M1061">
        <f t="shared" ca="1" si="215"/>
        <v>4929855</v>
      </c>
    </row>
    <row r="1062" spans="1:13" x14ac:dyDescent="0.25">
      <c r="A1062">
        <f t="shared" ca="1" si="206"/>
        <v>2</v>
      </c>
      <c r="B1062">
        <f t="shared" ca="1" si="207"/>
        <v>649</v>
      </c>
      <c r="C1062" t="str">
        <f t="shared" ca="1" si="216"/>
        <v>'WINDOWS-NCH-A-BDP-M3-00-00'!B648</v>
      </c>
      <c r="D1062" s="6" t="str">
        <f t="shared" ca="1" si="205"/>
        <v>L00-IMG-CIR-C001-19</v>
      </c>
      <c r="E1062" t="str">
        <f t="shared" ca="1" si="208"/>
        <v>Family Type: Curtain Wall_975w x 3050h 2, Family: Window External Type 6 - Flush, Recessed</v>
      </c>
      <c r="F1062" t="str">
        <f t="shared" ca="1" si="209"/>
        <v>Vector(X = 0.212, Y = -0.977, Z = 0.000, Length = 1.000)</v>
      </c>
      <c r="G1062">
        <f t="shared" ca="1" si="210"/>
        <v>0.2</v>
      </c>
      <c r="H1062">
        <f t="shared" ca="1" si="211"/>
        <v>-1</v>
      </c>
      <c r="I1062">
        <f t="shared" ca="1" si="212"/>
        <v>0</v>
      </c>
      <c r="J1062" s="8">
        <f t="shared" ca="1" si="213"/>
        <v>-78.690067525979785</v>
      </c>
      <c r="K1062" s="9" t="str">
        <f t="shared" ca="1" si="214"/>
        <v>S</v>
      </c>
      <c r="L1062">
        <f ca="1">+_xlfn.IFNA(VLOOKUP(M1062,BespokeWindowsAreas!$A$1:$E$1999,1,FALSE),VLOOKUP(E1062,WindowTypeArea!$B$2:$C$2000,2,FALSE))</f>
        <v>2.9737499999999999</v>
      </c>
      <c r="M1062">
        <f t="shared" ca="1" si="215"/>
        <v>4929856</v>
      </c>
    </row>
    <row r="1063" spans="1:13" x14ac:dyDescent="0.25">
      <c r="A1063">
        <f t="shared" ca="1" si="206"/>
        <v>2</v>
      </c>
      <c r="B1063">
        <f t="shared" ca="1" si="207"/>
        <v>650</v>
      </c>
      <c r="C1063" t="str">
        <f t="shared" ca="1" si="216"/>
        <v>'WINDOWS-NCH-A-BDP-M3-00-00'!B649</v>
      </c>
      <c r="D1063" s="6" t="str">
        <f t="shared" ca="1" si="205"/>
        <v>L00-CIR-CIR-C006-01</v>
      </c>
      <c r="E1063" t="str">
        <f t="shared" ca="1" si="208"/>
        <v>L00-CIR-CIR-C006-01</v>
      </c>
      <c r="F1063">
        <f t="shared" ca="1" si="209"/>
        <v>2417607</v>
      </c>
      <c r="G1063">
        <f t="shared" ca="1" si="210"/>
        <v>0</v>
      </c>
      <c r="H1063">
        <f t="shared" ca="1" si="211"/>
        <v>0</v>
      </c>
      <c r="I1063">
        <f t="shared" ca="1" si="212"/>
        <v>0</v>
      </c>
      <c r="J1063" s="8" t="e">
        <f t="shared" ca="1" si="213"/>
        <v>#DIV/0!</v>
      </c>
      <c r="K1063" s="9" t="e">
        <f t="shared" ca="1" si="214"/>
        <v>#DIV/0!</v>
      </c>
      <c r="L1063" t="e">
        <f ca="1">+_xlfn.IFNA(VLOOKUP(M1063,BespokeWindowsAreas!$A$1:$E$1999,1,FALSE),VLOOKUP(E1063,WindowTypeArea!$B$2:$C$2000,2,FALSE))</f>
        <v>#N/A</v>
      </c>
      <c r="M1063">
        <f t="shared" ca="1" si="215"/>
        <v>0</v>
      </c>
    </row>
    <row r="1064" spans="1:13" x14ac:dyDescent="0.25">
      <c r="A1064">
        <f t="shared" ca="1" si="206"/>
        <v>2</v>
      </c>
      <c r="B1064">
        <f t="shared" ca="1" si="207"/>
        <v>651</v>
      </c>
      <c r="C1064" t="str">
        <f t="shared" ca="1" si="216"/>
        <v>'WINDOWS-NCH-A-BDP-M3-00-00'!B650</v>
      </c>
      <c r="D1064" s="6" t="str">
        <f t="shared" ca="1" si="205"/>
        <v>L00-CIR-CIR-C006-01</v>
      </c>
      <c r="E1064" t="str">
        <f t="shared" ca="1" si="208"/>
        <v>Family Type: 1000w x 3050h, Family: Window External Type 4 - Extruded</v>
      </c>
      <c r="F1064" t="str">
        <f t="shared" ca="1" si="209"/>
        <v>Vector(X = 0.212, Y = -0.977, Z = 0.000, Length = 1.000)</v>
      </c>
      <c r="G1064">
        <f t="shared" ca="1" si="210"/>
        <v>0.2</v>
      </c>
      <c r="H1064">
        <f t="shared" ca="1" si="211"/>
        <v>-1</v>
      </c>
      <c r="I1064">
        <f t="shared" ca="1" si="212"/>
        <v>0</v>
      </c>
      <c r="J1064" s="8">
        <f t="shared" ca="1" si="213"/>
        <v>-78.690067525979785</v>
      </c>
      <c r="K1064" s="9" t="str">
        <f t="shared" ca="1" si="214"/>
        <v>S</v>
      </c>
      <c r="L1064">
        <f ca="1">+_xlfn.IFNA(VLOOKUP(M1064,BespokeWindowsAreas!$A$1:$E$1999,1,FALSE),VLOOKUP(E1064,WindowTypeArea!$B$2:$C$2000,2,FALSE))</f>
        <v>3.05</v>
      </c>
      <c r="M1064">
        <f t="shared" ca="1" si="215"/>
        <v>4867635</v>
      </c>
    </row>
    <row r="1065" spans="1:13" x14ac:dyDescent="0.25">
      <c r="A1065">
        <f t="shared" ca="1" si="206"/>
        <v>2</v>
      </c>
      <c r="B1065">
        <f t="shared" ca="1" si="207"/>
        <v>652</v>
      </c>
      <c r="C1065" t="str">
        <f t="shared" ca="1" si="216"/>
        <v>'WINDOWS-NCH-A-BDP-M3-00-00'!B651</v>
      </c>
      <c r="D1065" s="6" t="str">
        <f t="shared" ca="1" si="205"/>
        <v>L00-CIR-CIR-C006-04</v>
      </c>
      <c r="E1065" t="str">
        <f t="shared" ca="1" si="208"/>
        <v>L00-CIR-CIR-C006-04</v>
      </c>
      <c r="F1065">
        <f t="shared" ca="1" si="209"/>
        <v>2418172</v>
      </c>
      <c r="G1065">
        <f t="shared" ca="1" si="210"/>
        <v>0</v>
      </c>
      <c r="H1065">
        <f t="shared" ca="1" si="211"/>
        <v>0</v>
      </c>
      <c r="I1065">
        <f t="shared" ca="1" si="212"/>
        <v>0</v>
      </c>
      <c r="J1065" s="8" t="e">
        <f t="shared" ca="1" si="213"/>
        <v>#DIV/0!</v>
      </c>
      <c r="K1065" s="9" t="e">
        <f t="shared" ca="1" si="214"/>
        <v>#DIV/0!</v>
      </c>
      <c r="L1065" t="e">
        <f ca="1">+_xlfn.IFNA(VLOOKUP(M1065,BespokeWindowsAreas!$A$1:$E$1999,1,FALSE),VLOOKUP(E1065,WindowTypeArea!$B$2:$C$2000,2,FALSE))</f>
        <v>#N/A</v>
      </c>
      <c r="M1065">
        <f t="shared" ca="1" si="215"/>
        <v>0</v>
      </c>
    </row>
    <row r="1066" spans="1:13" x14ac:dyDescent="0.25">
      <c r="A1066">
        <f t="shared" ca="1" si="206"/>
        <v>2</v>
      </c>
      <c r="B1066">
        <f t="shared" ca="1" si="207"/>
        <v>653</v>
      </c>
      <c r="C1066" t="str">
        <f t="shared" ca="1" si="216"/>
        <v>'WINDOWS-NCH-A-BDP-M3-00-00'!B652</v>
      </c>
      <c r="D1066" s="6" t="str">
        <f t="shared" ca="1" si="205"/>
        <v>L00-CIR-CIR-C006-04</v>
      </c>
      <c r="E1066" t="str">
        <f t="shared" ca="1" si="208"/>
        <v>Family Type: 1500w x 3050h, Family: Window External Type 3 - Recessed and Angle</v>
      </c>
      <c r="F1066" t="str">
        <f t="shared" ca="1" si="209"/>
        <v>Vector(X = -0.530, Y = 0.848, Z = 0.000, Length = 1.000)</v>
      </c>
      <c r="G1066">
        <f t="shared" ca="1" si="210"/>
        <v>-0.5</v>
      </c>
      <c r="H1066">
        <f t="shared" ca="1" si="211"/>
        <v>0.8</v>
      </c>
      <c r="I1066">
        <f t="shared" ca="1" si="212"/>
        <v>0</v>
      </c>
      <c r="J1066" s="8">
        <f t="shared" ca="1" si="213"/>
        <v>122.0053832080835</v>
      </c>
      <c r="K1066" s="9" t="str">
        <f t="shared" ca="1" si="214"/>
        <v>N</v>
      </c>
      <c r="L1066">
        <f ca="1">+_xlfn.IFNA(VLOOKUP(M1066,BespokeWindowsAreas!$A$1:$E$1999,1,FALSE),VLOOKUP(E1066,WindowTypeArea!$B$2:$C$2000,2,FALSE))</f>
        <v>4.5750000000000002</v>
      </c>
      <c r="M1066">
        <f t="shared" ca="1" si="215"/>
        <v>6091439</v>
      </c>
    </row>
    <row r="1067" spans="1:13" x14ac:dyDescent="0.25">
      <c r="A1067">
        <f t="shared" ca="1" si="206"/>
        <v>2</v>
      </c>
      <c r="B1067">
        <f t="shared" ca="1" si="207"/>
        <v>654</v>
      </c>
      <c r="C1067" t="str">
        <f t="shared" ca="1" si="216"/>
        <v>'WINDOWS-NCH-A-BDP-M3-00-00'!B653</v>
      </c>
      <c r="D1067" s="6" t="str">
        <f t="shared" ca="1" si="205"/>
        <v>L00-CIR-CIR-C006-05</v>
      </c>
      <c r="E1067" t="str">
        <f t="shared" ca="1" si="208"/>
        <v>L00-CIR-CIR-C006-05</v>
      </c>
      <c r="F1067">
        <f t="shared" ca="1" si="209"/>
        <v>2418479</v>
      </c>
      <c r="G1067">
        <f t="shared" ca="1" si="210"/>
        <v>0</v>
      </c>
      <c r="H1067">
        <f t="shared" ca="1" si="211"/>
        <v>0</v>
      </c>
      <c r="I1067">
        <f t="shared" ca="1" si="212"/>
        <v>0</v>
      </c>
      <c r="J1067" s="8" t="e">
        <f t="shared" ca="1" si="213"/>
        <v>#DIV/0!</v>
      </c>
      <c r="K1067" s="9" t="e">
        <f t="shared" ca="1" si="214"/>
        <v>#DIV/0!</v>
      </c>
      <c r="L1067" t="e">
        <f ca="1">+_xlfn.IFNA(VLOOKUP(M1067,BespokeWindowsAreas!$A$1:$E$1999,1,FALSE),VLOOKUP(E1067,WindowTypeArea!$B$2:$C$2000,2,FALSE))</f>
        <v>#N/A</v>
      </c>
      <c r="M1067">
        <f t="shared" ca="1" si="215"/>
        <v>0</v>
      </c>
    </row>
    <row r="1068" spans="1:13" x14ac:dyDescent="0.25">
      <c r="A1068">
        <f t="shared" ca="1" si="206"/>
        <v>2</v>
      </c>
      <c r="B1068">
        <f t="shared" ca="1" si="207"/>
        <v>655</v>
      </c>
      <c r="C1068" t="str">
        <f t="shared" ca="1" si="216"/>
        <v>'WINDOWS-NCH-A-BDP-M3-00-00'!B654</v>
      </c>
      <c r="D1068" s="6" t="str">
        <f t="shared" ca="1" si="205"/>
        <v>L00-CIR-CIR-C006-05</v>
      </c>
      <c r="E1068" t="str">
        <f t="shared" ca="1" si="208"/>
        <v>Family Type: 1000w x 3050h, Family: Window External Type 4 - Extruded</v>
      </c>
      <c r="F1068" t="str">
        <f t="shared" ca="1" si="209"/>
        <v>Vector(X = -0.130, Y = -0.991, Z = 0.000, Length = 1.000)</v>
      </c>
      <c r="G1068">
        <f t="shared" ca="1" si="210"/>
        <v>-0.1</v>
      </c>
      <c r="H1068">
        <f t="shared" ca="1" si="211"/>
        <v>-1</v>
      </c>
      <c r="I1068">
        <f t="shared" ca="1" si="212"/>
        <v>0</v>
      </c>
      <c r="J1068" s="8">
        <f t="shared" ca="1" si="213"/>
        <v>-95.710593137499629</v>
      </c>
      <c r="K1068" s="9" t="str">
        <f t="shared" ca="1" si="214"/>
        <v>SW</v>
      </c>
      <c r="L1068">
        <f ca="1">+_xlfn.IFNA(VLOOKUP(M1068,BespokeWindowsAreas!$A$1:$E$1999,1,FALSE),VLOOKUP(E1068,WindowTypeArea!$B$2:$C$2000,2,FALSE))</f>
        <v>3.05</v>
      </c>
      <c r="M1068">
        <f t="shared" ca="1" si="215"/>
        <v>4795788</v>
      </c>
    </row>
    <row r="1069" spans="1:13" x14ac:dyDescent="0.25">
      <c r="A1069">
        <f t="shared" ca="1" si="206"/>
        <v>2</v>
      </c>
      <c r="B1069">
        <f t="shared" ca="1" si="207"/>
        <v>656</v>
      </c>
      <c r="C1069" t="str">
        <f t="shared" ca="1" si="216"/>
        <v>'WINDOWS-NCH-A-BDP-M3-00-00'!B655</v>
      </c>
      <c r="D1069" s="6" t="str">
        <f t="shared" ca="1" si="205"/>
        <v>L00-OPD-CC3-S156-01</v>
      </c>
      <c r="E1069" t="str">
        <f t="shared" ca="1" si="208"/>
        <v>L00-OPD-CC3-S156-01</v>
      </c>
      <c r="F1069">
        <f t="shared" ca="1" si="209"/>
        <v>2426594</v>
      </c>
      <c r="G1069">
        <f t="shared" ca="1" si="210"/>
        <v>0</v>
      </c>
      <c r="H1069">
        <f t="shared" ca="1" si="211"/>
        <v>0</v>
      </c>
      <c r="I1069">
        <f t="shared" ca="1" si="212"/>
        <v>0</v>
      </c>
      <c r="J1069" s="8" t="e">
        <f t="shared" ca="1" si="213"/>
        <v>#DIV/0!</v>
      </c>
      <c r="K1069" s="9" t="e">
        <f t="shared" ca="1" si="214"/>
        <v>#DIV/0!</v>
      </c>
      <c r="L1069" t="e">
        <f ca="1">+_xlfn.IFNA(VLOOKUP(M1069,BespokeWindowsAreas!$A$1:$E$1999,1,FALSE),VLOOKUP(E1069,WindowTypeArea!$B$2:$C$2000,2,FALSE))</f>
        <v>#N/A</v>
      </c>
      <c r="M1069">
        <f t="shared" ca="1" si="215"/>
        <v>0</v>
      </c>
    </row>
    <row r="1070" spans="1:13" x14ac:dyDescent="0.25">
      <c r="A1070">
        <f t="shared" ca="1" si="206"/>
        <v>2</v>
      </c>
      <c r="B1070">
        <f t="shared" ca="1" si="207"/>
        <v>657</v>
      </c>
      <c r="C1070" t="str">
        <f t="shared" ca="1" si="216"/>
        <v>'WINDOWS-NCH-A-BDP-M3-00-00'!B656</v>
      </c>
      <c r="D1070" s="6" t="str">
        <f t="shared" ca="1" si="205"/>
        <v>L00-OPD-CC3-S156-01</v>
      </c>
      <c r="E1070" t="str">
        <f t="shared" ca="1" si="208"/>
        <v>Family Type: 1500w x 3050h, Family: Window External Type 3 - Recessed and Angle</v>
      </c>
      <c r="F1070" t="str">
        <f t="shared" ca="1" si="209"/>
        <v>Vector(X = -0.323, Y = 0.946, Z = 0.000, Length = 1.000)</v>
      </c>
      <c r="G1070">
        <f t="shared" ca="1" si="210"/>
        <v>-0.3</v>
      </c>
      <c r="H1070">
        <f t="shared" ca="1" si="211"/>
        <v>0.9</v>
      </c>
      <c r="I1070">
        <f t="shared" ca="1" si="212"/>
        <v>0</v>
      </c>
      <c r="J1070" s="8">
        <f t="shared" ca="1" si="213"/>
        <v>108.43494882292201</v>
      </c>
      <c r="K1070" s="9" t="str">
        <f t="shared" ca="1" si="214"/>
        <v>N</v>
      </c>
      <c r="L1070">
        <f ca="1">+_xlfn.IFNA(VLOOKUP(M1070,BespokeWindowsAreas!$A$1:$E$1999,1,FALSE),VLOOKUP(E1070,WindowTypeArea!$B$2:$C$2000,2,FALSE))</f>
        <v>4.5750000000000002</v>
      </c>
      <c r="M1070">
        <f t="shared" ca="1" si="215"/>
        <v>5147569</v>
      </c>
    </row>
    <row r="1071" spans="1:13" x14ac:dyDescent="0.25">
      <c r="A1071">
        <f t="shared" ca="1" si="206"/>
        <v>2</v>
      </c>
      <c r="B1071">
        <f t="shared" ca="1" si="207"/>
        <v>658</v>
      </c>
      <c r="C1071" t="str">
        <f t="shared" ca="1" si="216"/>
        <v>'WINDOWS-NCH-A-BDP-M3-00-00'!B657</v>
      </c>
      <c r="D1071" s="6" t="str">
        <f t="shared" ca="1" si="205"/>
        <v>L00-OPD-CC3-S156-02</v>
      </c>
      <c r="E1071" t="str">
        <f t="shared" ca="1" si="208"/>
        <v>L00-OPD-CC3-S156-02</v>
      </c>
      <c r="F1071">
        <f t="shared" ca="1" si="209"/>
        <v>2426595</v>
      </c>
      <c r="G1071">
        <f t="shared" ca="1" si="210"/>
        <v>0</v>
      </c>
      <c r="H1071">
        <f t="shared" ca="1" si="211"/>
        <v>0</v>
      </c>
      <c r="I1071">
        <f t="shared" ca="1" si="212"/>
        <v>0</v>
      </c>
      <c r="J1071" s="8" t="e">
        <f t="shared" ca="1" si="213"/>
        <v>#DIV/0!</v>
      </c>
      <c r="K1071" s="9" t="e">
        <f t="shared" ca="1" si="214"/>
        <v>#DIV/0!</v>
      </c>
      <c r="L1071" t="e">
        <f ca="1">+_xlfn.IFNA(VLOOKUP(M1071,BespokeWindowsAreas!$A$1:$E$1999,1,FALSE),VLOOKUP(E1071,WindowTypeArea!$B$2:$C$2000,2,FALSE))</f>
        <v>#N/A</v>
      </c>
      <c r="M1071">
        <f t="shared" ca="1" si="215"/>
        <v>0</v>
      </c>
    </row>
    <row r="1072" spans="1:13" x14ac:dyDescent="0.25">
      <c r="A1072">
        <f t="shared" ca="1" si="206"/>
        <v>2</v>
      </c>
      <c r="B1072">
        <f t="shared" ca="1" si="207"/>
        <v>659</v>
      </c>
      <c r="C1072" t="str">
        <f t="shared" ca="1" si="216"/>
        <v>'WINDOWS-NCH-A-BDP-M3-00-00'!B658</v>
      </c>
      <c r="D1072" s="6" t="str">
        <f t="shared" ca="1" si="205"/>
        <v>L00-OPD-CC3-S156-02</v>
      </c>
      <c r="E1072" t="str">
        <f t="shared" ca="1" si="208"/>
        <v>Family Type: 1500w x 3050h, Family: Window External Type 3 - Recessed and Angle</v>
      </c>
      <c r="F1072" t="str">
        <f t="shared" ca="1" si="209"/>
        <v>Vector(X = 0.429, Y = -0.903, Z = 0.000, Length = 1.000)</v>
      </c>
      <c r="G1072">
        <f t="shared" ca="1" si="210"/>
        <v>0.4</v>
      </c>
      <c r="H1072">
        <f t="shared" ca="1" si="211"/>
        <v>-0.9</v>
      </c>
      <c r="I1072">
        <f t="shared" ca="1" si="212"/>
        <v>0</v>
      </c>
      <c r="J1072" s="8">
        <f t="shared" ca="1" si="213"/>
        <v>-66.037511025421821</v>
      </c>
      <c r="K1072" s="9" t="str">
        <f t="shared" ca="1" si="214"/>
        <v>S</v>
      </c>
      <c r="L1072">
        <f ca="1">+_xlfn.IFNA(VLOOKUP(M1072,BespokeWindowsAreas!$A$1:$E$1999,1,FALSE),VLOOKUP(E1072,WindowTypeArea!$B$2:$C$2000,2,FALSE))</f>
        <v>4.5750000000000002</v>
      </c>
      <c r="M1072">
        <f t="shared" ca="1" si="215"/>
        <v>5147810</v>
      </c>
    </row>
    <row r="1073" spans="1:13" x14ac:dyDescent="0.25">
      <c r="A1073">
        <f t="shared" ca="1" si="206"/>
        <v>2</v>
      </c>
      <c r="B1073">
        <f t="shared" ca="1" si="207"/>
        <v>660</v>
      </c>
      <c r="C1073" t="str">
        <f t="shared" ca="1" si="216"/>
        <v>'WINDOWS-NCH-A-BDP-M3-00-00'!B659</v>
      </c>
      <c r="D1073" s="6" t="str">
        <f t="shared" ca="1" si="205"/>
        <v>L00-OPD-DC1-U1077-01</v>
      </c>
      <c r="E1073" t="str">
        <f t="shared" ca="1" si="208"/>
        <v>L00-OPD-DC1-U1077-01</v>
      </c>
      <c r="F1073">
        <f t="shared" ca="1" si="209"/>
        <v>2448874</v>
      </c>
      <c r="G1073">
        <f t="shared" ca="1" si="210"/>
        <v>0</v>
      </c>
      <c r="H1073">
        <f t="shared" ca="1" si="211"/>
        <v>0</v>
      </c>
      <c r="I1073">
        <f t="shared" ca="1" si="212"/>
        <v>0</v>
      </c>
      <c r="J1073" s="8" t="e">
        <f t="shared" ca="1" si="213"/>
        <v>#DIV/0!</v>
      </c>
      <c r="K1073" s="9" t="e">
        <f t="shared" ca="1" si="214"/>
        <v>#DIV/0!</v>
      </c>
      <c r="L1073" t="e">
        <f ca="1">+_xlfn.IFNA(VLOOKUP(M1073,BespokeWindowsAreas!$A$1:$E$1999,1,FALSE),VLOOKUP(E1073,WindowTypeArea!$B$2:$C$2000,2,FALSE))</f>
        <v>#N/A</v>
      </c>
      <c r="M1073">
        <f t="shared" ca="1" si="215"/>
        <v>0</v>
      </c>
    </row>
    <row r="1074" spans="1:13" x14ac:dyDescent="0.25">
      <c r="A1074">
        <f t="shared" ca="1" si="206"/>
        <v>2</v>
      </c>
      <c r="B1074">
        <f t="shared" ca="1" si="207"/>
        <v>661</v>
      </c>
      <c r="C1074" t="str">
        <f t="shared" ca="1" si="216"/>
        <v>'WINDOWS-NCH-A-BDP-M3-00-00'!B660</v>
      </c>
      <c r="D1074" s="6" t="str">
        <f t="shared" ca="1" si="205"/>
        <v>none</v>
      </c>
      <c r="E1074" t="str">
        <f t="shared" ca="1" si="208"/>
        <v>none</v>
      </c>
      <c r="F1074" t="str">
        <f t="shared" ca="1" si="209"/>
        <v>Vector(X = -0.212, Y = 0.977, Z = 0.000, Length = 1.000)</v>
      </c>
      <c r="G1074">
        <f t="shared" ca="1" si="210"/>
        <v>-0.2</v>
      </c>
      <c r="H1074">
        <f t="shared" ca="1" si="211"/>
        <v>1</v>
      </c>
      <c r="I1074">
        <f t="shared" ca="1" si="212"/>
        <v>0</v>
      </c>
      <c r="J1074" s="8">
        <f t="shared" ca="1" si="213"/>
        <v>101.3099324740202</v>
      </c>
      <c r="K1074" s="9" t="str">
        <f t="shared" ca="1" si="214"/>
        <v>N</v>
      </c>
      <c r="L1074" t="e">
        <f ca="1">+_xlfn.IFNA(VLOOKUP(M1074,BespokeWindowsAreas!$A$1:$E$1999,1,FALSE),VLOOKUP(E1074,WindowTypeArea!$B$2:$C$2000,2,FALSE))</f>
        <v>#N/A</v>
      </c>
      <c r="M1074">
        <f t="shared" ca="1" si="215"/>
        <v>6503566</v>
      </c>
    </row>
    <row r="1075" spans="1:13" x14ac:dyDescent="0.25">
      <c r="A1075">
        <f t="shared" ca="1" si="206"/>
        <v>2</v>
      </c>
      <c r="B1075">
        <f t="shared" ca="1" si="207"/>
        <v>662</v>
      </c>
      <c r="C1075" t="str">
        <f t="shared" ca="1" si="216"/>
        <v>'WINDOWS-NCH-A-BDP-M3-00-00'!B661</v>
      </c>
      <c r="D1075" s="6" t="str">
        <f t="shared" ca="1" si="205"/>
        <v>L00-IMG-NMD-L022-01</v>
      </c>
      <c r="E1075" t="str">
        <f t="shared" ca="1" si="208"/>
        <v>L00-IMG-NMD-L022-01</v>
      </c>
      <c r="F1075">
        <f t="shared" ca="1" si="209"/>
        <v>2632790</v>
      </c>
      <c r="G1075">
        <f t="shared" ca="1" si="210"/>
        <v>0</v>
      </c>
      <c r="H1075">
        <f t="shared" ca="1" si="211"/>
        <v>0</v>
      </c>
      <c r="I1075">
        <f t="shared" ca="1" si="212"/>
        <v>0</v>
      </c>
      <c r="J1075" s="8" t="e">
        <f t="shared" ca="1" si="213"/>
        <v>#DIV/0!</v>
      </c>
      <c r="K1075" s="9" t="e">
        <f t="shared" ca="1" si="214"/>
        <v>#DIV/0!</v>
      </c>
      <c r="L1075" t="e">
        <f ca="1">+_xlfn.IFNA(VLOOKUP(M1075,BespokeWindowsAreas!$A$1:$E$1999,1,FALSE),VLOOKUP(E1075,WindowTypeArea!$B$2:$C$2000,2,FALSE))</f>
        <v>#N/A</v>
      </c>
      <c r="M1075">
        <f t="shared" ca="1" si="215"/>
        <v>0</v>
      </c>
    </row>
    <row r="1076" spans="1:13" x14ac:dyDescent="0.25">
      <c r="A1076">
        <f t="shared" ca="1" si="206"/>
        <v>2</v>
      </c>
      <c r="B1076">
        <f t="shared" ca="1" si="207"/>
        <v>663</v>
      </c>
      <c r="C1076" t="str">
        <f t="shared" ca="1" si="216"/>
        <v>'WINDOWS-NCH-A-BDP-M3-00-00'!B662</v>
      </c>
      <c r="D1076" s="6" t="str">
        <f t="shared" ca="1" si="205"/>
        <v>L00-IMG-NMD-L022-01</v>
      </c>
      <c r="E1076" t="str">
        <f t="shared" ca="1" si="208"/>
        <v>Family Type: Curtain Wall_975w x 3050h 2, Family: Window External Type 6 - Flush, Recessed</v>
      </c>
      <c r="F1076" t="str">
        <f t="shared" ca="1" si="209"/>
        <v>Vector(X = 0.212, Y = -0.977, Z = 0.000, Length = 1.000)</v>
      </c>
      <c r="G1076">
        <f t="shared" ca="1" si="210"/>
        <v>0.2</v>
      </c>
      <c r="H1076">
        <f t="shared" ca="1" si="211"/>
        <v>-1</v>
      </c>
      <c r="I1076">
        <f t="shared" ca="1" si="212"/>
        <v>0</v>
      </c>
      <c r="J1076" s="8">
        <f t="shared" ca="1" si="213"/>
        <v>-78.690067525979785</v>
      </c>
      <c r="K1076" s="9" t="str">
        <f t="shared" ca="1" si="214"/>
        <v>S</v>
      </c>
      <c r="L1076">
        <f ca="1">+_xlfn.IFNA(VLOOKUP(M1076,BespokeWindowsAreas!$A$1:$E$1999,1,FALSE),VLOOKUP(E1076,WindowTypeArea!$B$2:$C$2000,2,FALSE))</f>
        <v>2.9737499999999999</v>
      </c>
      <c r="M1076">
        <f t="shared" ca="1" si="215"/>
        <v>4929854</v>
      </c>
    </row>
    <row r="1077" spans="1:13" x14ac:dyDescent="0.25">
      <c r="A1077">
        <f t="shared" ca="1" si="206"/>
        <v>2</v>
      </c>
      <c r="B1077">
        <f t="shared" ca="1" si="207"/>
        <v>664</v>
      </c>
      <c r="C1077" t="str">
        <f t="shared" ca="1" si="216"/>
        <v>'WINDOWS-NCH-A-BDP-M3-00-00'!B663</v>
      </c>
      <c r="D1077" s="6" t="str">
        <f t="shared" ca="1" si="205"/>
        <v>L00-IMG-NMD-L022-01</v>
      </c>
      <c r="E1077" t="str">
        <f t="shared" ca="1" si="208"/>
        <v>Family Type: Curtain Wall_1500w x 3050h, Family: Window External Type 6 - Flush, Recessed</v>
      </c>
      <c r="F1077" t="str">
        <f t="shared" ca="1" si="209"/>
        <v>Vector(X = 0.212, Y = -0.977, Z = 0.000, Length = 1.000)</v>
      </c>
      <c r="G1077">
        <f t="shared" ca="1" si="210"/>
        <v>0.2</v>
      </c>
      <c r="H1077">
        <f t="shared" ca="1" si="211"/>
        <v>-1</v>
      </c>
      <c r="I1077">
        <f t="shared" ca="1" si="212"/>
        <v>0</v>
      </c>
      <c r="J1077" s="8">
        <f t="shared" ca="1" si="213"/>
        <v>-78.690067525979785</v>
      </c>
      <c r="K1077" s="9" t="str">
        <f t="shared" ca="1" si="214"/>
        <v>S</v>
      </c>
      <c r="L1077">
        <f ca="1">+_xlfn.IFNA(VLOOKUP(M1077,BespokeWindowsAreas!$A$1:$E$1999,1,FALSE),VLOOKUP(E1077,WindowTypeArea!$B$2:$C$2000,2,FALSE))</f>
        <v>4.5749999999999993</v>
      </c>
      <c r="M1077">
        <f t="shared" ca="1" si="215"/>
        <v>4929855</v>
      </c>
    </row>
    <row r="1078" spans="1:13" x14ac:dyDescent="0.25">
      <c r="A1078">
        <f t="shared" ca="1" si="206"/>
        <v>2</v>
      </c>
      <c r="B1078">
        <f t="shared" ca="1" si="207"/>
        <v>665</v>
      </c>
      <c r="C1078" t="str">
        <f t="shared" ca="1" si="216"/>
        <v>'WINDOWS-NCH-A-BDP-M3-00-00'!B664</v>
      </c>
      <c r="D1078" s="6" t="str">
        <f t="shared" ca="1" si="205"/>
        <v>L00-IMG-NMD-L022-01</v>
      </c>
      <c r="E1078" t="str">
        <f t="shared" ca="1" si="208"/>
        <v>Family Type: Curtain Wall_975w x 3050h 2, Family: Window External Type 6 - Flush, Recessed</v>
      </c>
      <c r="F1078" t="str">
        <f t="shared" ca="1" si="209"/>
        <v>Vector(X = 0.212, Y = -0.977, Z = 0.000, Length = 1.000)</v>
      </c>
      <c r="G1078">
        <f t="shared" ca="1" si="210"/>
        <v>0.2</v>
      </c>
      <c r="H1078">
        <f t="shared" ca="1" si="211"/>
        <v>-1</v>
      </c>
      <c r="I1078">
        <f t="shared" ca="1" si="212"/>
        <v>0</v>
      </c>
      <c r="J1078" s="8">
        <f t="shared" ca="1" si="213"/>
        <v>-78.690067525979785</v>
      </c>
      <c r="K1078" s="9" t="str">
        <f t="shared" ca="1" si="214"/>
        <v>S</v>
      </c>
      <c r="L1078">
        <f ca="1">+_xlfn.IFNA(VLOOKUP(M1078,BespokeWindowsAreas!$A$1:$E$1999,1,FALSE),VLOOKUP(E1078,WindowTypeArea!$B$2:$C$2000,2,FALSE))</f>
        <v>2.9737499999999999</v>
      </c>
      <c r="M1078">
        <f t="shared" ca="1" si="215"/>
        <v>4929856</v>
      </c>
    </row>
    <row r="1079" spans="1:13" x14ac:dyDescent="0.25">
      <c r="A1079">
        <f t="shared" ca="1" si="206"/>
        <v>2</v>
      </c>
      <c r="B1079">
        <f t="shared" ca="1" si="207"/>
        <v>666</v>
      </c>
      <c r="C1079" t="str">
        <f t="shared" ca="1" si="216"/>
        <v>'WINDOWS-NCH-A-BDP-M3-00-00'!B665</v>
      </c>
      <c r="D1079" s="6" t="str">
        <f t="shared" ca="1" si="205"/>
        <v>L00-IMG-NMD-U1418-02</v>
      </c>
      <c r="E1079" t="str">
        <f t="shared" ca="1" si="208"/>
        <v>L00-IMG-NMD-U1418-02</v>
      </c>
      <c r="F1079">
        <f t="shared" ca="1" si="209"/>
        <v>2632792</v>
      </c>
      <c r="G1079">
        <f t="shared" ca="1" si="210"/>
        <v>0</v>
      </c>
      <c r="H1079">
        <f t="shared" ca="1" si="211"/>
        <v>0</v>
      </c>
      <c r="I1079">
        <f t="shared" ca="1" si="212"/>
        <v>0</v>
      </c>
      <c r="J1079" s="8" t="e">
        <f t="shared" ca="1" si="213"/>
        <v>#DIV/0!</v>
      </c>
      <c r="K1079" s="9" t="e">
        <f t="shared" ca="1" si="214"/>
        <v>#DIV/0!</v>
      </c>
      <c r="L1079" t="e">
        <f ca="1">+_xlfn.IFNA(VLOOKUP(M1079,BespokeWindowsAreas!$A$1:$E$1999,1,FALSE),VLOOKUP(E1079,WindowTypeArea!$B$2:$C$2000,2,FALSE))</f>
        <v>#N/A</v>
      </c>
      <c r="M1079">
        <f t="shared" ca="1" si="215"/>
        <v>0</v>
      </c>
    </row>
    <row r="1080" spans="1:13" x14ac:dyDescent="0.25">
      <c r="A1080">
        <f t="shared" ca="1" si="206"/>
        <v>2</v>
      </c>
      <c r="B1080">
        <f t="shared" ca="1" si="207"/>
        <v>667</v>
      </c>
      <c r="C1080" t="str">
        <f t="shared" ca="1" si="216"/>
        <v>'WINDOWS-NCH-A-BDP-M3-00-00'!B666</v>
      </c>
      <c r="D1080" s="6" t="str">
        <f t="shared" ca="1" si="205"/>
        <v>L00-IMG-NMD-U1418-02</v>
      </c>
      <c r="E1080" t="str">
        <f t="shared" ca="1" si="208"/>
        <v>Family Type: Curtain Wall_975w x 3050h 2, Family: Window External Type 6 - Flush, Recessed</v>
      </c>
      <c r="F1080" t="str">
        <f t="shared" ca="1" si="209"/>
        <v>Vector(X = 0.212, Y = -0.977, Z = 0.000, Length = 1.000)</v>
      </c>
      <c r="G1080">
        <f t="shared" ca="1" si="210"/>
        <v>0.2</v>
      </c>
      <c r="H1080">
        <f t="shared" ca="1" si="211"/>
        <v>-1</v>
      </c>
      <c r="I1080">
        <f t="shared" ca="1" si="212"/>
        <v>0</v>
      </c>
      <c r="J1080" s="8">
        <f t="shared" ca="1" si="213"/>
        <v>-78.690067525979785</v>
      </c>
      <c r="K1080" s="9" t="str">
        <f t="shared" ca="1" si="214"/>
        <v>S</v>
      </c>
      <c r="L1080">
        <f ca="1">+_xlfn.IFNA(VLOOKUP(M1080,BespokeWindowsAreas!$A$1:$E$1999,1,FALSE),VLOOKUP(E1080,WindowTypeArea!$B$2:$C$2000,2,FALSE))</f>
        <v>2.9737499999999999</v>
      </c>
      <c r="M1080">
        <f t="shared" ca="1" si="215"/>
        <v>4929851</v>
      </c>
    </row>
    <row r="1081" spans="1:13" x14ac:dyDescent="0.25">
      <c r="A1081">
        <f t="shared" ca="1" si="206"/>
        <v>2</v>
      </c>
      <c r="B1081">
        <f t="shared" ca="1" si="207"/>
        <v>668</v>
      </c>
      <c r="C1081" t="str">
        <f t="shared" ca="1" si="216"/>
        <v>'WINDOWS-NCH-A-BDP-M3-00-00'!B667</v>
      </c>
      <c r="D1081" s="6" t="str">
        <f t="shared" ca="1" si="205"/>
        <v>L00-IMG-NMD-U1418-02</v>
      </c>
      <c r="E1081" t="str">
        <f t="shared" ca="1" si="208"/>
        <v>Family Type: Curtain Wall_975w x 3050h 2, Family: Window External Type 6 - Flush, Recessed</v>
      </c>
      <c r="F1081" t="str">
        <f t="shared" ca="1" si="209"/>
        <v>Vector(X = 0.212, Y = -0.977, Z = 0.000, Length = 1.000)</v>
      </c>
      <c r="G1081">
        <f t="shared" ca="1" si="210"/>
        <v>0.2</v>
      </c>
      <c r="H1081">
        <f t="shared" ca="1" si="211"/>
        <v>-1</v>
      </c>
      <c r="I1081">
        <f t="shared" ca="1" si="212"/>
        <v>0</v>
      </c>
      <c r="J1081" s="8">
        <f t="shared" ca="1" si="213"/>
        <v>-78.690067525979785</v>
      </c>
      <c r="K1081" s="9" t="str">
        <f t="shared" ca="1" si="214"/>
        <v>S</v>
      </c>
      <c r="L1081">
        <f ca="1">+_xlfn.IFNA(VLOOKUP(M1081,BespokeWindowsAreas!$A$1:$E$1999,1,FALSE),VLOOKUP(E1081,WindowTypeArea!$B$2:$C$2000,2,FALSE))</f>
        <v>2.9737499999999999</v>
      </c>
      <c r="M1081">
        <f t="shared" ca="1" si="215"/>
        <v>4929852</v>
      </c>
    </row>
    <row r="1082" spans="1:13" x14ac:dyDescent="0.25">
      <c r="A1082">
        <f t="shared" ca="1" si="206"/>
        <v>2</v>
      </c>
      <c r="B1082">
        <f t="shared" ca="1" si="207"/>
        <v>669</v>
      </c>
      <c r="C1082" t="str">
        <f t="shared" ca="1" si="216"/>
        <v>'WINDOWS-NCH-A-BDP-M3-00-00'!B668</v>
      </c>
      <c r="D1082" s="6" t="str">
        <f t="shared" ca="1" si="205"/>
        <v>L00-IMG-NMD-U1418-02</v>
      </c>
      <c r="E1082" t="str">
        <f t="shared" ca="1" si="208"/>
        <v>Family Type: Curtain Wall_975w x 3050h 2, Family: Window External Type 6 - Flush, Recessed</v>
      </c>
      <c r="F1082" t="str">
        <f t="shared" ca="1" si="209"/>
        <v>Vector(X = 0.212, Y = -0.977, Z = 0.000, Length = 1.000)</v>
      </c>
      <c r="G1082">
        <f t="shared" ca="1" si="210"/>
        <v>0.2</v>
      </c>
      <c r="H1082">
        <f t="shared" ca="1" si="211"/>
        <v>-1</v>
      </c>
      <c r="I1082">
        <f t="shared" ca="1" si="212"/>
        <v>0</v>
      </c>
      <c r="J1082" s="8">
        <f t="shared" ca="1" si="213"/>
        <v>-78.690067525979785</v>
      </c>
      <c r="K1082" s="9" t="str">
        <f t="shared" ca="1" si="214"/>
        <v>S</v>
      </c>
      <c r="L1082">
        <f ca="1">+_xlfn.IFNA(VLOOKUP(M1082,BespokeWindowsAreas!$A$1:$E$1999,1,FALSE),VLOOKUP(E1082,WindowTypeArea!$B$2:$C$2000,2,FALSE))</f>
        <v>2.9737499999999999</v>
      </c>
      <c r="M1082">
        <f t="shared" ca="1" si="215"/>
        <v>4929853</v>
      </c>
    </row>
    <row r="1083" spans="1:13" x14ac:dyDescent="0.25">
      <c r="A1083">
        <f t="shared" ca="1" si="206"/>
        <v>2</v>
      </c>
      <c r="B1083">
        <f t="shared" ca="1" si="207"/>
        <v>670</v>
      </c>
      <c r="C1083" t="str">
        <f t="shared" ca="1" si="216"/>
        <v>'WINDOWS-NCH-A-BDP-M3-00-00'!B669</v>
      </c>
      <c r="D1083" s="6" t="str">
        <f t="shared" ca="1" si="205"/>
        <v>L00-IMG-NMD-U1418-02</v>
      </c>
      <c r="E1083" t="str">
        <f t="shared" ca="1" si="208"/>
        <v>Family Type: Curtain Wall_975w x 3050h 2, Family: Window External Type 6 - Flush, Recessed</v>
      </c>
      <c r="F1083" t="str">
        <f t="shared" ca="1" si="209"/>
        <v>Vector(X = 0.212, Y = -0.977, Z = 0.000, Length = 1.000)</v>
      </c>
      <c r="G1083">
        <f t="shared" ca="1" si="210"/>
        <v>0.2</v>
      </c>
      <c r="H1083">
        <f t="shared" ca="1" si="211"/>
        <v>-1</v>
      </c>
      <c r="I1083">
        <f t="shared" ca="1" si="212"/>
        <v>0</v>
      </c>
      <c r="J1083" s="8">
        <f t="shared" ca="1" si="213"/>
        <v>-78.690067525979785</v>
      </c>
      <c r="K1083" s="9" t="str">
        <f t="shared" ca="1" si="214"/>
        <v>S</v>
      </c>
      <c r="L1083">
        <f ca="1">+_xlfn.IFNA(VLOOKUP(M1083,BespokeWindowsAreas!$A$1:$E$1999,1,FALSE),VLOOKUP(E1083,WindowTypeArea!$B$2:$C$2000,2,FALSE))</f>
        <v>2.9737499999999999</v>
      </c>
      <c r="M1083">
        <f t="shared" ca="1" si="215"/>
        <v>4929854</v>
      </c>
    </row>
    <row r="1084" spans="1:13" x14ac:dyDescent="0.25">
      <c r="A1084">
        <f t="shared" ca="1" si="206"/>
        <v>2</v>
      </c>
      <c r="B1084">
        <f t="shared" ca="1" si="207"/>
        <v>671</v>
      </c>
      <c r="C1084" t="str">
        <f t="shared" ca="1" si="216"/>
        <v>'WINDOWS-NCH-A-BDP-M3-00-00'!B670</v>
      </c>
      <c r="D1084" s="6" t="str">
        <f t="shared" ca="1" si="205"/>
        <v>L00-OPD-DC1-U1656-01</v>
      </c>
      <c r="E1084" t="str">
        <f t="shared" ca="1" si="208"/>
        <v>L00-OPD-DC1-U1656-01</v>
      </c>
      <c r="F1084">
        <f t="shared" ca="1" si="209"/>
        <v>2641896</v>
      </c>
      <c r="G1084">
        <f t="shared" ca="1" si="210"/>
        <v>0</v>
      </c>
      <c r="H1084">
        <f t="shared" ca="1" si="211"/>
        <v>0</v>
      </c>
      <c r="I1084">
        <f t="shared" ca="1" si="212"/>
        <v>0</v>
      </c>
      <c r="J1084" s="8" t="e">
        <f t="shared" ca="1" si="213"/>
        <v>#DIV/0!</v>
      </c>
      <c r="K1084" s="9" t="e">
        <f t="shared" ca="1" si="214"/>
        <v>#DIV/0!</v>
      </c>
      <c r="L1084" t="e">
        <f ca="1">+_xlfn.IFNA(VLOOKUP(M1084,BespokeWindowsAreas!$A$1:$E$1999,1,FALSE),VLOOKUP(E1084,WindowTypeArea!$B$2:$C$2000,2,FALSE))</f>
        <v>#N/A</v>
      </c>
      <c r="M1084">
        <f t="shared" ca="1" si="215"/>
        <v>0</v>
      </c>
    </row>
    <row r="1085" spans="1:13" x14ac:dyDescent="0.25">
      <c r="A1085">
        <f t="shared" ca="1" si="206"/>
        <v>2</v>
      </c>
      <c r="B1085">
        <f t="shared" ca="1" si="207"/>
        <v>672</v>
      </c>
      <c r="C1085" t="str">
        <f t="shared" ca="1" si="216"/>
        <v>'WINDOWS-NCH-A-BDP-M3-00-00'!B671</v>
      </c>
      <c r="D1085" s="6" t="str">
        <f t="shared" ca="1" si="205"/>
        <v>L00-OPD-DC1-U1656-01</v>
      </c>
      <c r="E1085" t="str">
        <f t="shared" ca="1" si="208"/>
        <v>Family Type: 975w x 3050h, Family: Window External Type 1 - Recessed</v>
      </c>
      <c r="F1085" t="str">
        <f t="shared" ca="1" si="209"/>
        <v>Vector(X = -0.212, Y = 0.977, Z = 0.000, Length = 1.000)</v>
      </c>
      <c r="G1085">
        <f t="shared" ca="1" si="210"/>
        <v>-0.2</v>
      </c>
      <c r="H1085">
        <f t="shared" ca="1" si="211"/>
        <v>1</v>
      </c>
      <c r="I1085">
        <f t="shared" ca="1" si="212"/>
        <v>0</v>
      </c>
      <c r="J1085" s="8">
        <f t="shared" ca="1" si="213"/>
        <v>101.3099324740202</v>
      </c>
      <c r="K1085" s="9" t="str">
        <f t="shared" ca="1" si="214"/>
        <v>N</v>
      </c>
      <c r="L1085">
        <f ca="1">+_xlfn.IFNA(VLOOKUP(M1085,BespokeWindowsAreas!$A$1:$E$1999,1,FALSE),VLOOKUP(E1085,WindowTypeArea!$B$2:$C$2000,2,FALSE))</f>
        <v>2.9737499999999999</v>
      </c>
      <c r="M1085">
        <f t="shared" ca="1" si="215"/>
        <v>4791460</v>
      </c>
    </row>
    <row r="1086" spans="1:13" x14ac:dyDescent="0.25">
      <c r="A1086">
        <f t="shared" ca="1" si="206"/>
        <v>2</v>
      </c>
      <c r="B1086">
        <f t="shared" ca="1" si="207"/>
        <v>673</v>
      </c>
      <c r="C1086" t="str">
        <f t="shared" ca="1" si="216"/>
        <v>'WINDOWS-NCH-A-BDP-M3-00-00'!B672</v>
      </c>
      <c r="D1086" s="6" t="str">
        <f t="shared" ca="1" si="205"/>
        <v>L00-OPD-DC1-U1656-01</v>
      </c>
      <c r="E1086" t="str">
        <f t="shared" ca="1" si="208"/>
        <v>Family Type: 1950w x 3050h, Family: Window External Type 3 - Recessed and Angle</v>
      </c>
      <c r="F1086" t="str">
        <f t="shared" ca="1" si="209"/>
        <v>Vector(X = -0.212, Y = 0.977, Z = 0.000, Length = 1.000)</v>
      </c>
      <c r="G1086">
        <f t="shared" ca="1" si="210"/>
        <v>-0.2</v>
      </c>
      <c r="H1086">
        <f t="shared" ca="1" si="211"/>
        <v>1</v>
      </c>
      <c r="I1086">
        <f t="shared" ca="1" si="212"/>
        <v>0</v>
      </c>
      <c r="J1086" s="8">
        <f t="shared" ca="1" si="213"/>
        <v>101.3099324740202</v>
      </c>
      <c r="K1086" s="9" t="str">
        <f t="shared" ca="1" si="214"/>
        <v>N</v>
      </c>
      <c r="L1086">
        <f ca="1">+_xlfn.IFNA(VLOOKUP(M1086,BespokeWindowsAreas!$A$1:$E$1999,1,FALSE),VLOOKUP(E1086,WindowTypeArea!$B$2:$C$2000,2,FALSE))</f>
        <v>5.9474999999999998</v>
      </c>
      <c r="M1086">
        <f t="shared" ca="1" si="215"/>
        <v>4791562</v>
      </c>
    </row>
    <row r="1087" spans="1:13" x14ac:dyDescent="0.25">
      <c r="A1087">
        <f t="shared" ca="1" si="206"/>
        <v>2</v>
      </c>
      <c r="B1087">
        <f t="shared" ca="1" si="207"/>
        <v>674</v>
      </c>
      <c r="C1087" t="str">
        <f t="shared" ca="1" si="216"/>
        <v>'WINDOWS-NCH-A-BDP-M3-00-00'!B673</v>
      </c>
      <c r="D1087" s="6" t="str">
        <f t="shared" ca="1" si="205"/>
        <v>L00-OPD-DC1-U1656-01</v>
      </c>
      <c r="E1087" t="str">
        <f t="shared" ca="1" si="208"/>
        <v>Family Type: 1500w x 3050h, Family: Window External Type 3 - Recessed and Angle</v>
      </c>
      <c r="F1087" t="str">
        <f t="shared" ca="1" si="209"/>
        <v>Vector(X = -0.212, Y = 0.977, Z = 0.000, Length = 1.000)</v>
      </c>
      <c r="G1087">
        <f t="shared" ca="1" si="210"/>
        <v>-0.2</v>
      </c>
      <c r="H1087">
        <f t="shared" ca="1" si="211"/>
        <v>1</v>
      </c>
      <c r="I1087">
        <f t="shared" ca="1" si="212"/>
        <v>0</v>
      </c>
      <c r="J1087" s="8">
        <f t="shared" ca="1" si="213"/>
        <v>101.3099324740202</v>
      </c>
      <c r="K1087" s="9" t="str">
        <f t="shared" ca="1" si="214"/>
        <v>N</v>
      </c>
      <c r="L1087">
        <f ca="1">+_xlfn.IFNA(VLOOKUP(M1087,BespokeWindowsAreas!$A$1:$E$1999,1,FALSE),VLOOKUP(E1087,WindowTypeArea!$B$2:$C$2000,2,FALSE))</f>
        <v>4.5750000000000002</v>
      </c>
      <c r="M1087">
        <f t="shared" ca="1" si="215"/>
        <v>4791606</v>
      </c>
    </row>
    <row r="1088" spans="1:13" x14ac:dyDescent="0.25">
      <c r="A1088">
        <f t="shared" ca="1" si="206"/>
        <v>2</v>
      </c>
      <c r="B1088">
        <f t="shared" ca="1" si="207"/>
        <v>675</v>
      </c>
      <c r="C1088" t="str">
        <f t="shared" ca="1" si="216"/>
        <v>'WINDOWS-NCH-A-BDP-M3-00-00'!B674</v>
      </c>
      <c r="D1088" s="6" t="str">
        <f t="shared" ca="1" si="205"/>
        <v>L00-OPD-DC1-U1656-01</v>
      </c>
      <c r="E1088" t="str">
        <f t="shared" ca="1" si="208"/>
        <v>Family Type: 1950w x 3050h, Family: Window External Type 3 - Recessed and Angle</v>
      </c>
      <c r="F1088" t="str">
        <f t="shared" ca="1" si="209"/>
        <v>Vector(X = -0.212, Y = 0.977, Z = 0.000, Length = 1.000)</v>
      </c>
      <c r="G1088">
        <f t="shared" ca="1" si="210"/>
        <v>-0.2</v>
      </c>
      <c r="H1088">
        <f t="shared" ca="1" si="211"/>
        <v>1</v>
      </c>
      <c r="I1088">
        <f t="shared" ca="1" si="212"/>
        <v>0</v>
      </c>
      <c r="J1088" s="8">
        <f t="shared" ca="1" si="213"/>
        <v>101.3099324740202</v>
      </c>
      <c r="K1088" s="9" t="str">
        <f t="shared" ca="1" si="214"/>
        <v>N</v>
      </c>
      <c r="L1088">
        <f ca="1">+_xlfn.IFNA(VLOOKUP(M1088,BespokeWindowsAreas!$A$1:$E$1999,1,FALSE),VLOOKUP(E1088,WindowTypeArea!$B$2:$C$2000,2,FALSE))</f>
        <v>5.9474999999999998</v>
      </c>
      <c r="M1088">
        <f t="shared" ca="1" si="215"/>
        <v>4791706</v>
      </c>
    </row>
    <row r="1089" spans="1:13" x14ac:dyDescent="0.25">
      <c r="A1089">
        <f t="shared" ca="1" si="206"/>
        <v>2</v>
      </c>
      <c r="B1089">
        <f t="shared" ca="1" si="207"/>
        <v>676</v>
      </c>
      <c r="C1089" t="str">
        <f t="shared" ca="1" si="216"/>
        <v>'WINDOWS-NCH-A-BDP-M3-00-00'!B675</v>
      </c>
      <c r="D1089" s="6" t="str">
        <f t="shared" ca="1" si="205"/>
        <v>L00-OPD-DC1-U1656-01</v>
      </c>
      <c r="E1089" t="str">
        <f t="shared" ca="1" si="208"/>
        <v>Family Type: 975w x 3050h, Family: Window External Type 1 - Recessed</v>
      </c>
      <c r="F1089" t="str">
        <f t="shared" ca="1" si="209"/>
        <v>Vector(X = -0.212, Y = 0.977, Z = 0.000, Length = 1.000)</v>
      </c>
      <c r="G1089">
        <f t="shared" ca="1" si="210"/>
        <v>-0.2</v>
      </c>
      <c r="H1089">
        <f t="shared" ca="1" si="211"/>
        <v>1</v>
      </c>
      <c r="I1089">
        <f t="shared" ca="1" si="212"/>
        <v>0</v>
      </c>
      <c r="J1089" s="8">
        <f t="shared" ca="1" si="213"/>
        <v>101.3099324740202</v>
      </c>
      <c r="K1089" s="9" t="str">
        <f t="shared" ca="1" si="214"/>
        <v>N</v>
      </c>
      <c r="L1089">
        <f ca="1">+_xlfn.IFNA(VLOOKUP(M1089,BespokeWindowsAreas!$A$1:$E$1999,1,FALSE),VLOOKUP(E1089,WindowTypeArea!$B$2:$C$2000,2,FALSE))</f>
        <v>2.9737499999999999</v>
      </c>
      <c r="M1089">
        <f t="shared" ca="1" si="215"/>
        <v>4791950</v>
      </c>
    </row>
    <row r="1090" spans="1:13" x14ac:dyDescent="0.25">
      <c r="A1090">
        <f t="shared" ca="1" si="206"/>
        <v>2</v>
      </c>
      <c r="B1090">
        <f t="shared" ca="1" si="207"/>
        <v>677</v>
      </c>
      <c r="C1090" t="str">
        <f t="shared" ca="1" si="216"/>
        <v>'WINDOWS-NCH-A-BDP-M3-00-00'!B676</v>
      </c>
      <c r="D1090" s="6" t="str">
        <f t="shared" ca="1" si="205"/>
        <v>L00-OPD-CC4-S028-15</v>
      </c>
      <c r="E1090" t="str">
        <f t="shared" ca="1" si="208"/>
        <v>L00-OPD-CC4-S028-15</v>
      </c>
      <c r="F1090" t="str">
        <f t="shared" ca="1" si="209"/>
        <v>ID not used</v>
      </c>
      <c r="G1090">
        <f t="shared" ca="1" si="210"/>
        <v>0</v>
      </c>
      <c r="H1090">
        <f t="shared" ca="1" si="211"/>
        <v>0</v>
      </c>
      <c r="I1090">
        <f t="shared" ca="1" si="212"/>
        <v>0</v>
      </c>
      <c r="J1090" s="8" t="e">
        <f t="shared" ca="1" si="213"/>
        <v>#DIV/0!</v>
      </c>
      <c r="K1090" s="9" t="e">
        <f t="shared" ca="1" si="214"/>
        <v>#DIV/0!</v>
      </c>
      <c r="L1090" t="e">
        <f ca="1">+_xlfn.IFNA(VLOOKUP(M1090,BespokeWindowsAreas!$A$1:$E$1999,1,FALSE),VLOOKUP(E1090,WindowTypeArea!$B$2:$C$2000,2,FALSE))</f>
        <v>#N/A</v>
      </c>
      <c r="M1090">
        <f t="shared" ca="1" si="215"/>
        <v>0</v>
      </c>
    </row>
    <row r="1091" spans="1:13" x14ac:dyDescent="0.25">
      <c r="A1091">
        <f t="shared" ca="1" si="206"/>
        <v>2</v>
      </c>
      <c r="B1091">
        <f t="shared" ca="1" si="207"/>
        <v>678</v>
      </c>
      <c r="C1091" t="str">
        <f t="shared" ca="1" si="216"/>
        <v>'WINDOWS-NCH-A-BDP-M3-00-00'!B677</v>
      </c>
      <c r="D1091" s="6" t="str">
        <f t="shared" ca="1" si="205"/>
        <v>L00-OPD-CC4-S028-15</v>
      </c>
      <c r="E1091" t="str">
        <f t="shared" ca="1" si="208"/>
        <v>Family Type: 1500w x 3050h, Family: Window External Type 3 - Recessed and Angle</v>
      </c>
      <c r="F1091" t="str">
        <f t="shared" ca="1" si="209"/>
        <v>Vector(X = 0.041, Y = -0.999, Z = 0.000, Length = 1.000)</v>
      </c>
      <c r="G1091">
        <f t="shared" ca="1" si="210"/>
        <v>0</v>
      </c>
      <c r="H1091">
        <f t="shared" ca="1" si="211"/>
        <v>-1</v>
      </c>
      <c r="I1091">
        <f t="shared" ca="1" si="212"/>
        <v>0</v>
      </c>
      <c r="J1091" s="8">
        <f t="shared" ca="1" si="213"/>
        <v>-90</v>
      </c>
      <c r="K1091" s="9" t="str">
        <f t="shared" ca="1" si="214"/>
        <v>S</v>
      </c>
      <c r="L1091">
        <f ca="1">+_xlfn.IFNA(VLOOKUP(M1091,BespokeWindowsAreas!$A$1:$E$1999,1,FALSE),VLOOKUP(E1091,WindowTypeArea!$B$2:$C$2000,2,FALSE))</f>
        <v>4.5750000000000002</v>
      </c>
      <c r="M1091">
        <f t="shared" ca="1" si="215"/>
        <v>4809695</v>
      </c>
    </row>
    <row r="1092" spans="1:13" x14ac:dyDescent="0.25">
      <c r="A1092">
        <f t="shared" ca="1" si="206"/>
        <v>2</v>
      </c>
      <c r="B1092">
        <f t="shared" ca="1" si="207"/>
        <v>679</v>
      </c>
      <c r="C1092" t="str">
        <f t="shared" ca="1" si="216"/>
        <v>'WINDOWS-NCH-A-BDP-M3-00-00'!B678</v>
      </c>
      <c r="D1092" s="6" t="str">
        <f t="shared" ca="1" si="205"/>
        <v>L00-OPD-CC4-S108-04</v>
      </c>
      <c r="E1092" t="str">
        <f t="shared" ca="1" si="208"/>
        <v>L00-OPD-CC4-S108-04</v>
      </c>
      <c r="F1092" t="str">
        <f t="shared" ca="1" si="209"/>
        <v>ID not used</v>
      </c>
      <c r="G1092">
        <f t="shared" ca="1" si="210"/>
        <v>0</v>
      </c>
      <c r="H1092">
        <f t="shared" ca="1" si="211"/>
        <v>0</v>
      </c>
      <c r="I1092">
        <f t="shared" ca="1" si="212"/>
        <v>0</v>
      </c>
      <c r="J1092" s="8" t="e">
        <f t="shared" ca="1" si="213"/>
        <v>#DIV/0!</v>
      </c>
      <c r="K1092" s="9" t="e">
        <f t="shared" ca="1" si="214"/>
        <v>#DIV/0!</v>
      </c>
      <c r="L1092" t="e">
        <f ca="1">+_xlfn.IFNA(VLOOKUP(M1092,BespokeWindowsAreas!$A$1:$E$1999,1,FALSE),VLOOKUP(E1092,WindowTypeArea!$B$2:$C$2000,2,FALSE))</f>
        <v>#N/A</v>
      </c>
      <c r="M1092">
        <f t="shared" ca="1" si="215"/>
        <v>0</v>
      </c>
    </row>
    <row r="1093" spans="1:13" x14ac:dyDescent="0.25">
      <c r="A1093">
        <f t="shared" ca="1" si="206"/>
        <v>2</v>
      </c>
      <c r="B1093">
        <f t="shared" ca="1" si="207"/>
        <v>680</v>
      </c>
      <c r="C1093" t="str">
        <f t="shared" ca="1" si="216"/>
        <v>'WINDOWS-NCH-A-BDP-M3-00-00'!B679</v>
      </c>
      <c r="D1093" s="6" t="str">
        <f t="shared" ca="1" si="205"/>
        <v>L00-OPD-CC4-S108-04</v>
      </c>
      <c r="E1093" t="str">
        <f t="shared" ca="1" si="208"/>
        <v>Family Type: 1500w x 3050h, Family: Window External Type 3 - Recessed and Angle</v>
      </c>
      <c r="F1093" t="str">
        <f t="shared" ca="1" si="209"/>
        <v>Vector(X = -0.041, Y = 0.999, Z = 0.000, Length = 1.000)</v>
      </c>
      <c r="G1093">
        <f t="shared" ca="1" si="210"/>
        <v>0</v>
      </c>
      <c r="H1093">
        <f t="shared" ca="1" si="211"/>
        <v>1</v>
      </c>
      <c r="I1093">
        <f t="shared" ca="1" si="212"/>
        <v>0</v>
      </c>
      <c r="J1093" s="8">
        <f t="shared" ca="1" si="213"/>
        <v>90</v>
      </c>
      <c r="K1093" s="9" t="str">
        <f t="shared" ca="1" si="214"/>
        <v>N</v>
      </c>
      <c r="L1093">
        <f ca="1">+_xlfn.IFNA(VLOOKUP(M1093,BespokeWindowsAreas!$A$1:$E$1999,1,FALSE),VLOOKUP(E1093,WindowTypeArea!$B$2:$C$2000,2,FALSE))</f>
        <v>4.5750000000000002</v>
      </c>
      <c r="M1093">
        <f t="shared" ca="1" si="215"/>
        <v>4809249</v>
      </c>
    </row>
    <row r="1094" spans="1:13" x14ac:dyDescent="0.25">
      <c r="A1094">
        <f t="shared" ca="1" si="206"/>
        <v>2</v>
      </c>
      <c r="B1094">
        <f t="shared" ca="1" si="207"/>
        <v>681</v>
      </c>
      <c r="C1094" t="str">
        <f t="shared" ca="1" si="216"/>
        <v>'WINDOWS-NCH-A-BDP-M3-00-00'!B680</v>
      </c>
      <c r="D1094" s="6" t="str">
        <f t="shared" ref="D1094:D1157" ca="1" si="217">+IF(IFERROR(FIND("Family",E1094)&gt;0,FALSE),D1093,E1094)</f>
        <v>L00-OPD-CC4-S108-04</v>
      </c>
      <c r="E1094" t="str">
        <f t="shared" ca="1" si="208"/>
        <v>Family Type: 1000w x 3050h, Family: Window External Type 4 - Extruded</v>
      </c>
      <c r="F1094" t="str">
        <f t="shared" ca="1" si="209"/>
        <v>Vector(X = -0.041, Y = 0.999, Z = 0.000, Length = 1.000)</v>
      </c>
      <c r="G1094">
        <f t="shared" ca="1" si="210"/>
        <v>0</v>
      </c>
      <c r="H1094">
        <f t="shared" ca="1" si="211"/>
        <v>1</v>
      </c>
      <c r="I1094">
        <f t="shared" ca="1" si="212"/>
        <v>0</v>
      </c>
      <c r="J1094" s="8">
        <f t="shared" ca="1" si="213"/>
        <v>90</v>
      </c>
      <c r="K1094" s="9" t="str">
        <f t="shared" ca="1" si="214"/>
        <v>N</v>
      </c>
      <c r="L1094">
        <f ca="1">+_xlfn.IFNA(VLOOKUP(M1094,BespokeWindowsAreas!$A$1:$E$1999,1,FALSE),VLOOKUP(E1094,WindowTypeArea!$B$2:$C$2000,2,FALSE))</f>
        <v>3.05</v>
      </c>
      <c r="M1094">
        <f t="shared" ca="1" si="215"/>
        <v>4809155</v>
      </c>
    </row>
    <row r="1095" spans="1:13" x14ac:dyDescent="0.25">
      <c r="A1095">
        <f t="shared" ca="1" si="206"/>
        <v>2</v>
      </c>
      <c r="B1095">
        <f t="shared" ca="1" si="207"/>
        <v>682</v>
      </c>
      <c r="C1095" t="str">
        <f t="shared" ca="1" si="216"/>
        <v>'WINDOWS-NCH-A-BDP-M3-00-00'!B681</v>
      </c>
      <c r="D1095" s="6" t="str">
        <f t="shared" ca="1" si="217"/>
        <v>L00-OPD-CC4-S137-01</v>
      </c>
      <c r="E1095" t="str">
        <f t="shared" ca="1" si="208"/>
        <v>L00-OPD-CC4-S137-01</v>
      </c>
      <c r="F1095" t="str">
        <f t="shared" ca="1" si="209"/>
        <v>ID not used</v>
      </c>
      <c r="G1095">
        <f t="shared" ca="1" si="210"/>
        <v>0</v>
      </c>
      <c r="H1095">
        <f t="shared" ca="1" si="211"/>
        <v>0</v>
      </c>
      <c r="I1095">
        <f t="shared" ca="1" si="212"/>
        <v>0</v>
      </c>
      <c r="J1095" s="8" t="e">
        <f t="shared" ca="1" si="213"/>
        <v>#DIV/0!</v>
      </c>
      <c r="K1095" s="9" t="e">
        <f t="shared" ca="1" si="214"/>
        <v>#DIV/0!</v>
      </c>
      <c r="L1095" t="e">
        <f ca="1">+_xlfn.IFNA(VLOOKUP(M1095,BespokeWindowsAreas!$A$1:$E$1999,1,FALSE),VLOOKUP(E1095,WindowTypeArea!$B$2:$C$2000,2,FALSE))</f>
        <v>#N/A</v>
      </c>
      <c r="M1095">
        <f t="shared" ca="1" si="215"/>
        <v>0</v>
      </c>
    </row>
    <row r="1096" spans="1:13" x14ac:dyDescent="0.25">
      <c r="A1096">
        <f t="shared" ca="1" si="206"/>
        <v>2</v>
      </c>
      <c r="B1096">
        <f t="shared" ca="1" si="207"/>
        <v>683</v>
      </c>
      <c r="C1096" t="str">
        <f t="shared" ca="1" si="216"/>
        <v>'WINDOWS-NCH-A-BDP-M3-00-00'!B682</v>
      </c>
      <c r="D1096" s="6" t="str">
        <f t="shared" ca="1" si="217"/>
        <v>L00-OPD-CC4-S137-01</v>
      </c>
      <c r="E1096" t="str">
        <f t="shared" ca="1" si="208"/>
        <v>Family Type: 975w x 3050h, Family: Window External Type 1 - Recessed</v>
      </c>
      <c r="F1096" t="str">
        <f t="shared" ca="1" si="209"/>
        <v>Vector(X = -0.041, Y = 0.999, Z = 0.000, Length = 1.000)</v>
      </c>
      <c r="G1096">
        <f t="shared" ca="1" si="210"/>
        <v>0</v>
      </c>
      <c r="H1096">
        <f t="shared" ca="1" si="211"/>
        <v>1</v>
      </c>
      <c r="I1096">
        <f t="shared" ca="1" si="212"/>
        <v>0</v>
      </c>
      <c r="J1096" s="8">
        <f t="shared" ca="1" si="213"/>
        <v>90</v>
      </c>
      <c r="K1096" s="9" t="str">
        <f t="shared" ca="1" si="214"/>
        <v>N</v>
      </c>
      <c r="L1096">
        <f ca="1">+_xlfn.IFNA(VLOOKUP(M1096,BespokeWindowsAreas!$A$1:$E$1999,1,FALSE),VLOOKUP(E1096,WindowTypeArea!$B$2:$C$2000,2,FALSE))</f>
        <v>2.9737499999999999</v>
      </c>
      <c r="M1096">
        <f t="shared" ca="1" si="215"/>
        <v>5207570</v>
      </c>
    </row>
    <row r="1097" spans="1:13" x14ac:dyDescent="0.25">
      <c r="A1097">
        <f t="shared" ca="1" si="206"/>
        <v>2</v>
      </c>
      <c r="B1097">
        <f t="shared" ca="1" si="207"/>
        <v>684</v>
      </c>
      <c r="C1097" t="str">
        <f t="shared" ca="1" si="216"/>
        <v>'WINDOWS-NCH-A-BDP-M3-00-00'!B683</v>
      </c>
      <c r="D1097" s="6" t="str">
        <f t="shared" ca="1" si="217"/>
        <v>L00-OPD-CC4-S137-01</v>
      </c>
      <c r="E1097" t="str">
        <f t="shared" ca="1" si="208"/>
        <v>Family Type: 1500w x 3050h, Family: Window External Type 3 - Recessed and Angle</v>
      </c>
      <c r="F1097" t="str">
        <f t="shared" ca="1" si="209"/>
        <v>Vector(X = -0.041, Y = 0.999, Z = 0.000, Length = 1.000)</v>
      </c>
      <c r="G1097">
        <f t="shared" ca="1" si="210"/>
        <v>0</v>
      </c>
      <c r="H1097">
        <f t="shared" ca="1" si="211"/>
        <v>1</v>
      </c>
      <c r="I1097">
        <f t="shared" ca="1" si="212"/>
        <v>0</v>
      </c>
      <c r="J1097" s="8">
        <f t="shared" ca="1" si="213"/>
        <v>90</v>
      </c>
      <c r="K1097" s="9" t="str">
        <f t="shared" ca="1" si="214"/>
        <v>N</v>
      </c>
      <c r="L1097">
        <f ca="1">+_xlfn.IFNA(VLOOKUP(M1097,BespokeWindowsAreas!$A$1:$E$1999,1,FALSE),VLOOKUP(E1097,WindowTypeArea!$B$2:$C$2000,2,FALSE))</f>
        <v>4.5750000000000002</v>
      </c>
      <c r="M1097">
        <f t="shared" ca="1" si="215"/>
        <v>5148586</v>
      </c>
    </row>
    <row r="1098" spans="1:13" x14ac:dyDescent="0.25">
      <c r="A1098">
        <f t="shared" ca="1" si="206"/>
        <v>2</v>
      </c>
      <c r="B1098">
        <f t="shared" ca="1" si="207"/>
        <v>685</v>
      </c>
      <c r="C1098" t="str">
        <f t="shared" ca="1" si="216"/>
        <v>'WINDOWS-NCH-A-BDP-M3-00-00'!B684</v>
      </c>
      <c r="D1098" s="6" t="str">
        <f t="shared" ca="1" si="217"/>
        <v>L00-OPD-CC4-S123-01</v>
      </c>
      <c r="E1098" t="str">
        <f t="shared" ca="1" si="208"/>
        <v>L00-OPD-CC4-S123-01</v>
      </c>
      <c r="F1098" t="str">
        <f t="shared" ca="1" si="209"/>
        <v>ID not used</v>
      </c>
      <c r="G1098">
        <f t="shared" ca="1" si="210"/>
        <v>0</v>
      </c>
      <c r="H1098">
        <f t="shared" ca="1" si="211"/>
        <v>0</v>
      </c>
      <c r="I1098">
        <f t="shared" ca="1" si="212"/>
        <v>0</v>
      </c>
      <c r="J1098" s="8" t="e">
        <f t="shared" ca="1" si="213"/>
        <v>#DIV/0!</v>
      </c>
      <c r="K1098" s="9" t="e">
        <f t="shared" ca="1" si="214"/>
        <v>#DIV/0!</v>
      </c>
      <c r="L1098" t="e">
        <f ca="1">+_xlfn.IFNA(VLOOKUP(M1098,BespokeWindowsAreas!$A$1:$E$1999,1,FALSE),VLOOKUP(E1098,WindowTypeArea!$B$2:$C$2000,2,FALSE))</f>
        <v>#N/A</v>
      </c>
      <c r="M1098">
        <f t="shared" ca="1" si="215"/>
        <v>0</v>
      </c>
    </row>
    <row r="1099" spans="1:13" x14ac:dyDescent="0.25">
      <c r="A1099">
        <f t="shared" ca="1" si="206"/>
        <v>2</v>
      </c>
      <c r="B1099">
        <f t="shared" ca="1" si="207"/>
        <v>686</v>
      </c>
      <c r="C1099" t="str">
        <f t="shared" ca="1" si="216"/>
        <v>'WINDOWS-NCH-A-BDP-M3-00-00'!B685</v>
      </c>
      <c r="D1099" s="6" t="str">
        <f t="shared" ca="1" si="217"/>
        <v>L00-OPD-CC4-S123-01</v>
      </c>
      <c r="E1099" t="str">
        <f t="shared" ca="1" si="208"/>
        <v>Family Type: 975w x 3600h, CURTAIN WALL-manual input</v>
      </c>
      <c r="F1099" t="str">
        <f t="shared" ca="1" si="209"/>
        <v>Vector(X = -0.041, Y = 0.999, Z = 0.000, Length = 1.000)</v>
      </c>
      <c r="G1099">
        <f t="shared" ca="1" si="210"/>
        <v>0</v>
      </c>
      <c r="H1099">
        <f t="shared" ca="1" si="211"/>
        <v>1</v>
      </c>
      <c r="I1099">
        <f t="shared" ca="1" si="212"/>
        <v>0</v>
      </c>
      <c r="J1099" s="8">
        <f t="shared" ca="1" si="213"/>
        <v>90</v>
      </c>
      <c r="K1099" s="9" t="str">
        <f t="shared" ca="1" si="214"/>
        <v>N</v>
      </c>
      <c r="L1099">
        <f ca="1">+_xlfn.IFNA(VLOOKUP(M1099,BespokeWindowsAreas!$A$1:$E$1999,1,FALSE),VLOOKUP(E1099,WindowTypeArea!$B$2:$C$2000,2,FALSE))</f>
        <v>3.51</v>
      </c>
      <c r="M1099" t="str">
        <f t="shared" ca="1" si="215"/>
        <v>ID</v>
      </c>
    </row>
    <row r="1100" spans="1:13" x14ac:dyDescent="0.25">
      <c r="A1100">
        <f t="shared" ca="1" si="206"/>
        <v>2</v>
      </c>
      <c r="B1100">
        <f t="shared" ca="1" si="207"/>
        <v>687</v>
      </c>
      <c r="C1100" t="str">
        <f t="shared" ca="1" si="216"/>
        <v>'WINDOWS-NCH-A-BDP-M3-00-00'!B686</v>
      </c>
      <c r="D1100" s="6" t="str">
        <f t="shared" ca="1" si="217"/>
        <v>L00-MAI-CRE-S081-01</v>
      </c>
      <c r="E1100" t="str">
        <f t="shared" ca="1" si="208"/>
        <v>L00-MAI-CRE-S081-01</v>
      </c>
      <c r="F1100" t="str">
        <f t="shared" ca="1" si="209"/>
        <v>ID not used</v>
      </c>
      <c r="G1100">
        <f t="shared" ca="1" si="210"/>
        <v>0</v>
      </c>
      <c r="H1100">
        <f t="shared" ca="1" si="211"/>
        <v>0</v>
      </c>
      <c r="I1100">
        <f t="shared" ca="1" si="212"/>
        <v>0</v>
      </c>
      <c r="J1100" s="8" t="e">
        <f t="shared" ca="1" si="213"/>
        <v>#DIV/0!</v>
      </c>
      <c r="K1100" s="9" t="e">
        <f t="shared" ca="1" si="214"/>
        <v>#DIV/0!</v>
      </c>
      <c r="L1100" t="e">
        <f ca="1">+_xlfn.IFNA(VLOOKUP(M1100,BespokeWindowsAreas!$A$1:$E$1999,1,FALSE),VLOOKUP(E1100,WindowTypeArea!$B$2:$C$2000,2,FALSE))</f>
        <v>#N/A</v>
      </c>
      <c r="M1100">
        <f t="shared" ca="1" si="215"/>
        <v>0</v>
      </c>
    </row>
    <row r="1101" spans="1:13" x14ac:dyDescent="0.25">
      <c r="A1101">
        <f t="shared" ca="1" si="206"/>
        <v>2</v>
      </c>
      <c r="B1101">
        <f t="shared" ca="1" si="207"/>
        <v>688</v>
      </c>
      <c r="C1101" t="str">
        <f t="shared" ca="1" si="216"/>
        <v>'WINDOWS-NCH-A-BDP-M3-00-00'!B687</v>
      </c>
      <c r="D1101" s="6" t="str">
        <f t="shared" ca="1" si="217"/>
        <v>L00-MAI-CRE-S081-01</v>
      </c>
      <c r="E1101" t="str">
        <f t="shared" ca="1" si="208"/>
        <v>Family Type: 1500w x 3050h, Family: Window Internal Type 2b - Recessed and Angle</v>
      </c>
      <c r="F1101" t="str">
        <f t="shared" ca="1" si="209"/>
        <v>Vector(X = 0.130, Y = 0.991, Z = 0.000, Length = 1.000)</v>
      </c>
      <c r="G1101">
        <f t="shared" ca="1" si="210"/>
        <v>0.1</v>
      </c>
      <c r="H1101">
        <f t="shared" ca="1" si="211"/>
        <v>1</v>
      </c>
      <c r="I1101">
        <f t="shared" ca="1" si="212"/>
        <v>0</v>
      </c>
      <c r="J1101" s="8">
        <f t="shared" ca="1" si="213"/>
        <v>84.289406862500371</v>
      </c>
      <c r="K1101" s="9" t="str">
        <f t="shared" ca="1" si="214"/>
        <v>NE</v>
      </c>
      <c r="L1101">
        <f ca="1">+_xlfn.IFNA(VLOOKUP(M1101,BespokeWindowsAreas!$A$1:$E$1999,1,FALSE),VLOOKUP(E1101,WindowTypeArea!$B$2:$C$2000,2,FALSE))</f>
        <v>4.5749999999999993</v>
      </c>
      <c r="M1101">
        <f t="shared" ca="1" si="215"/>
        <v>5148393</v>
      </c>
    </row>
    <row r="1102" spans="1:13" x14ac:dyDescent="0.25">
      <c r="A1102">
        <f t="shared" ca="1" si="206"/>
        <v>2</v>
      </c>
      <c r="B1102">
        <f t="shared" ca="1" si="207"/>
        <v>689</v>
      </c>
      <c r="C1102" t="str">
        <f t="shared" ca="1" si="216"/>
        <v>'WINDOWS-NCH-A-BDP-M3-00-00'!B688</v>
      </c>
      <c r="D1102" s="6" t="str">
        <f t="shared" ca="1" si="217"/>
        <v>L00-MAI-CRE-S081-01</v>
      </c>
      <c r="E1102" t="str">
        <f t="shared" ca="1" si="208"/>
        <v>Family Type: 1500w x 3050h, Family: Window Internal Type 2b - Recessed and Angle</v>
      </c>
      <c r="F1102" t="str">
        <f t="shared" ca="1" si="209"/>
        <v>Vector(X = 0.130, Y = 0.991, Z = 0.000, Length = 1.000)</v>
      </c>
      <c r="G1102">
        <f t="shared" ca="1" si="210"/>
        <v>0.1</v>
      </c>
      <c r="H1102">
        <f t="shared" ca="1" si="211"/>
        <v>1</v>
      </c>
      <c r="I1102">
        <f t="shared" ca="1" si="212"/>
        <v>0</v>
      </c>
      <c r="J1102" s="8">
        <f t="shared" ca="1" si="213"/>
        <v>84.289406862500371</v>
      </c>
      <c r="K1102" s="9" t="str">
        <f t="shared" ca="1" si="214"/>
        <v>NE</v>
      </c>
      <c r="L1102">
        <f ca="1">+_xlfn.IFNA(VLOOKUP(M1102,BespokeWindowsAreas!$A$1:$E$1999,1,FALSE),VLOOKUP(E1102,WindowTypeArea!$B$2:$C$2000,2,FALSE))</f>
        <v>4.5749999999999993</v>
      </c>
      <c r="M1102">
        <f t="shared" ca="1" si="215"/>
        <v>4810087</v>
      </c>
    </row>
    <row r="1103" spans="1:13" x14ac:dyDescent="0.25">
      <c r="A1103">
        <f t="shared" ca="1" si="206"/>
        <v>2</v>
      </c>
      <c r="B1103">
        <f t="shared" ca="1" si="207"/>
        <v>690</v>
      </c>
      <c r="C1103" t="str">
        <f t="shared" ca="1" si="216"/>
        <v>'WINDOWS-NCH-A-BDP-M3-00-00'!B689</v>
      </c>
      <c r="D1103" s="6" t="str">
        <f t="shared" ca="1" si="217"/>
        <v>L00-MAI-CRE-S081-01</v>
      </c>
      <c r="E1103" t="str">
        <f t="shared" ca="1" si="208"/>
        <v>Family Type: 1000w x 3050h, Family: Window External Type 4 - Extruded</v>
      </c>
      <c r="F1103" t="str">
        <f t="shared" ca="1" si="209"/>
        <v>Vector(X = 0.130, Y = 0.991, Z = 0.000, Length = 1.000)</v>
      </c>
      <c r="G1103">
        <f t="shared" ca="1" si="210"/>
        <v>0.1</v>
      </c>
      <c r="H1103">
        <f t="shared" ca="1" si="211"/>
        <v>1</v>
      </c>
      <c r="I1103">
        <f t="shared" ca="1" si="212"/>
        <v>0</v>
      </c>
      <c r="J1103" s="8">
        <f t="shared" ca="1" si="213"/>
        <v>84.289406862500371</v>
      </c>
      <c r="K1103" s="9" t="str">
        <f t="shared" ca="1" si="214"/>
        <v>NE</v>
      </c>
      <c r="L1103">
        <f ca="1">+_xlfn.IFNA(VLOOKUP(M1103,BespokeWindowsAreas!$A$1:$E$1999,1,FALSE),VLOOKUP(E1103,WindowTypeArea!$B$2:$C$2000,2,FALSE))</f>
        <v>3.05</v>
      </c>
      <c r="M1103">
        <f t="shared" ca="1" si="215"/>
        <v>4810159</v>
      </c>
    </row>
    <row r="1104" spans="1:13" x14ac:dyDescent="0.25">
      <c r="A1104">
        <f t="shared" ca="1" si="206"/>
        <v>2</v>
      </c>
      <c r="B1104">
        <f t="shared" ca="1" si="207"/>
        <v>691</v>
      </c>
      <c r="C1104" t="str">
        <f t="shared" ca="1" si="216"/>
        <v>'WINDOWS-NCH-A-BDP-M3-00-00'!B690</v>
      </c>
      <c r="D1104" s="6" t="str">
        <f t="shared" ca="1" si="217"/>
        <v>L00-MAI-CRE-S081-01</v>
      </c>
      <c r="E1104" t="str">
        <f t="shared" ca="1" si="208"/>
        <v>Family Type: 1500w x 3050h, Family: Window Internal Type 2b - Recessed and Angle</v>
      </c>
      <c r="F1104" t="str">
        <f t="shared" ca="1" si="209"/>
        <v>Vector(X = 0.130, Y = 0.991, Z = 0.000, Length = 1.000)</v>
      </c>
      <c r="G1104">
        <f t="shared" ca="1" si="210"/>
        <v>0.1</v>
      </c>
      <c r="H1104">
        <f t="shared" ca="1" si="211"/>
        <v>1</v>
      </c>
      <c r="I1104">
        <f t="shared" ca="1" si="212"/>
        <v>0</v>
      </c>
      <c r="J1104" s="8">
        <f t="shared" ca="1" si="213"/>
        <v>84.289406862500371</v>
      </c>
      <c r="K1104" s="9" t="str">
        <f t="shared" ca="1" si="214"/>
        <v>NE</v>
      </c>
      <c r="L1104">
        <f ca="1">+_xlfn.IFNA(VLOOKUP(M1104,BespokeWindowsAreas!$A$1:$E$1999,1,FALSE),VLOOKUP(E1104,WindowTypeArea!$B$2:$C$2000,2,FALSE))</f>
        <v>4.5749999999999993</v>
      </c>
      <c r="M1104">
        <f t="shared" ca="1" si="215"/>
        <v>4810260</v>
      </c>
    </row>
    <row r="1105" spans="1:13" x14ac:dyDescent="0.25">
      <c r="A1105">
        <f t="shared" ca="1" si="206"/>
        <v>2</v>
      </c>
      <c r="B1105">
        <f t="shared" ca="1" si="207"/>
        <v>692</v>
      </c>
      <c r="C1105" t="str">
        <f t="shared" ca="1" si="216"/>
        <v>'WINDOWS-NCH-A-BDP-M3-00-00'!B691</v>
      </c>
      <c r="D1105" s="6" t="str">
        <f t="shared" ca="1" si="217"/>
        <v>L00-MAI-CRE-S081-01</v>
      </c>
      <c r="E1105" t="str">
        <f t="shared" ca="1" si="208"/>
        <v>Family Type: 1500w x 3050h, Family: Window Internal Type 2b - Recessed and Angle</v>
      </c>
      <c r="F1105" t="str">
        <f t="shared" ca="1" si="209"/>
        <v>Vector(X = 0.130, Y = 0.991, Z = 0.000, Length = 1.000)</v>
      </c>
      <c r="G1105">
        <f t="shared" ca="1" si="210"/>
        <v>0.1</v>
      </c>
      <c r="H1105">
        <f t="shared" ca="1" si="211"/>
        <v>1</v>
      </c>
      <c r="I1105">
        <f t="shared" ca="1" si="212"/>
        <v>0</v>
      </c>
      <c r="J1105" s="8">
        <f t="shared" ca="1" si="213"/>
        <v>84.289406862500371</v>
      </c>
      <c r="K1105" s="9" t="str">
        <f t="shared" ca="1" si="214"/>
        <v>NE</v>
      </c>
      <c r="L1105">
        <f ca="1">+_xlfn.IFNA(VLOOKUP(M1105,BespokeWindowsAreas!$A$1:$E$1999,1,FALSE),VLOOKUP(E1105,WindowTypeArea!$B$2:$C$2000,2,FALSE))</f>
        <v>4.5749999999999993</v>
      </c>
      <c r="M1105">
        <f t="shared" ca="1" si="215"/>
        <v>4810393</v>
      </c>
    </row>
    <row r="1106" spans="1:13" x14ac:dyDescent="0.25">
      <c r="A1106">
        <f t="shared" ca="1" si="206"/>
        <v>2</v>
      </c>
      <c r="B1106">
        <f t="shared" ca="1" si="207"/>
        <v>693</v>
      </c>
      <c r="C1106" t="str">
        <f t="shared" ca="1" si="216"/>
        <v>'WINDOWS-NCH-A-BDP-M3-00-00'!B692</v>
      </c>
      <c r="D1106" s="6" t="str">
        <f t="shared" ca="1" si="217"/>
        <v>L00-MAI-CRE-S081-01</v>
      </c>
      <c r="E1106" t="str">
        <f t="shared" ca="1" si="208"/>
        <v>Family Type: 975w x 3600h, CURTAIN WALL-manual input</v>
      </c>
      <c r="F1106" t="str">
        <f t="shared" ca="1" si="209"/>
        <v>Vector(X = 0.130, Y = 0.991, Z = 0.000, Length = 1.000)</v>
      </c>
      <c r="G1106">
        <f t="shared" ca="1" si="210"/>
        <v>0.1</v>
      </c>
      <c r="H1106">
        <f t="shared" ca="1" si="211"/>
        <v>1</v>
      </c>
      <c r="I1106">
        <f t="shared" ca="1" si="212"/>
        <v>0</v>
      </c>
      <c r="J1106" s="8">
        <f t="shared" ca="1" si="213"/>
        <v>84.289406862500371</v>
      </c>
      <c r="K1106" s="9" t="str">
        <f t="shared" ca="1" si="214"/>
        <v>NE</v>
      </c>
      <c r="L1106">
        <f ca="1">+_xlfn.IFNA(VLOOKUP(M1106,BespokeWindowsAreas!$A$1:$E$1999,1,FALSE),VLOOKUP(E1106,WindowTypeArea!$B$2:$C$2000,2,FALSE))</f>
        <v>3.51</v>
      </c>
      <c r="M1106" t="str">
        <f t="shared" ca="1" si="215"/>
        <v>ID</v>
      </c>
    </row>
    <row r="1107" spans="1:13" x14ac:dyDescent="0.25">
      <c r="A1107">
        <f t="shared" ca="1" si="206"/>
        <v>2</v>
      </c>
      <c r="B1107">
        <f t="shared" ca="1" si="207"/>
        <v>694</v>
      </c>
      <c r="C1107" t="str">
        <f t="shared" ca="1" si="216"/>
        <v>'WINDOWS-NCH-A-BDP-M3-00-00'!B693</v>
      </c>
      <c r="D1107" s="6" t="str">
        <f t="shared" ca="1" si="217"/>
        <v>L00-MAI-CRE-S081-01</v>
      </c>
      <c r="E1107" t="str">
        <f t="shared" ca="1" si="208"/>
        <v>Family Type: 975w x 3600h, CURTAIN WALL-manual input</v>
      </c>
      <c r="F1107" t="str">
        <f t="shared" ca="1" si="209"/>
        <v>Vector(X = 0.130, Y = 0.991, Z = 0.000, Length = 1.000)</v>
      </c>
      <c r="G1107">
        <f t="shared" ca="1" si="210"/>
        <v>0.1</v>
      </c>
      <c r="H1107">
        <f t="shared" ca="1" si="211"/>
        <v>1</v>
      </c>
      <c r="I1107">
        <f t="shared" ca="1" si="212"/>
        <v>0</v>
      </c>
      <c r="J1107" s="8">
        <f t="shared" ca="1" si="213"/>
        <v>84.289406862500371</v>
      </c>
      <c r="K1107" s="9" t="str">
        <f t="shared" ca="1" si="214"/>
        <v>NE</v>
      </c>
      <c r="L1107">
        <f ca="1">+_xlfn.IFNA(VLOOKUP(M1107,BespokeWindowsAreas!$A$1:$E$1999,1,FALSE),VLOOKUP(E1107,WindowTypeArea!$B$2:$C$2000,2,FALSE))</f>
        <v>3.51</v>
      </c>
      <c r="M1107" t="str">
        <f t="shared" ca="1" si="215"/>
        <v>ID</v>
      </c>
    </row>
    <row r="1108" spans="1:13" x14ac:dyDescent="0.25">
      <c r="A1108">
        <f t="shared" ref="A1108:A1171" ca="1" si="218">+IF(B1107&lt;=VLOOKUP(MID(C1108,2,26),TABS,2,FALSE),A1107,+A1107+1)</f>
        <v>2</v>
      </c>
      <c r="B1108">
        <f t="shared" ref="B1108:B1171" ca="1" si="219">+IF(B1107&lt;=VLOOKUP(MID(C1108,2,26),TABS,2,FALSE),B1107+1,1)</f>
        <v>695</v>
      </c>
      <c r="C1108" t="str">
        <f t="shared" ca="1" si="216"/>
        <v>'WINDOWS-NCH-A-BDP-M3-00-00'!B694</v>
      </c>
      <c r="D1108" s="6" t="str">
        <f t="shared" ca="1" si="217"/>
        <v>L00-MAI-CRE-S081-01</v>
      </c>
      <c r="E1108" t="str">
        <f t="shared" ref="E1108:E1171" ca="1" si="220">+OFFSET(INDIRECT(C1108),0,0)</f>
        <v>Family Type: 1500w x 3050h, Family: Window External Type 3 - Recessed and Angle</v>
      </c>
      <c r="F1108" t="str">
        <f t="shared" ca="1" si="209"/>
        <v>Vector(X = -0.996, Y = 0.087, Z = 0.000, Length = 1.000)</v>
      </c>
      <c r="G1108">
        <f t="shared" ca="1" si="210"/>
        <v>-1</v>
      </c>
      <c r="H1108">
        <f t="shared" ca="1" si="211"/>
        <v>0.1</v>
      </c>
      <c r="I1108">
        <f t="shared" ca="1" si="212"/>
        <v>0</v>
      </c>
      <c r="J1108" s="8">
        <f t="shared" ca="1" si="213"/>
        <v>174.28940686250036</v>
      </c>
      <c r="K1108" s="9" t="str">
        <f t="shared" ca="1" si="214"/>
        <v>WN</v>
      </c>
      <c r="L1108">
        <f ca="1">+_xlfn.IFNA(VLOOKUP(M1108,BespokeWindowsAreas!$A$1:$E$1999,1,FALSE),VLOOKUP(E1108,WindowTypeArea!$B$2:$C$2000,2,FALSE))</f>
        <v>4.5750000000000002</v>
      </c>
      <c r="M1108">
        <f t="shared" ca="1" si="215"/>
        <v>4841854</v>
      </c>
    </row>
    <row r="1109" spans="1:13" x14ac:dyDescent="0.25">
      <c r="A1109">
        <f t="shared" ca="1" si="218"/>
        <v>2</v>
      </c>
      <c r="B1109">
        <f t="shared" ca="1" si="219"/>
        <v>696</v>
      </c>
      <c r="C1109" t="str">
        <f t="shared" ca="1" si="216"/>
        <v>'WINDOWS-NCH-A-BDP-M3-00-00'!B695</v>
      </c>
      <c r="D1109" s="6" t="str">
        <f t="shared" ca="1" si="217"/>
        <v>L00-MAI-CRE-S081-01</v>
      </c>
      <c r="E1109" t="str">
        <f t="shared" ca="1" si="220"/>
        <v>Family Type: 1500w x 3050h, Family: Window External Type 3 - Recessed and Angle</v>
      </c>
      <c r="F1109" t="str">
        <f t="shared" ca="1" si="209"/>
        <v>Vector(X = -0.996, Y = 0.087, Z = 0.000, Length = 1.000)</v>
      </c>
      <c r="G1109">
        <f t="shared" ca="1" si="210"/>
        <v>-1</v>
      </c>
      <c r="H1109">
        <f t="shared" ca="1" si="211"/>
        <v>0.1</v>
      </c>
      <c r="I1109">
        <f t="shared" ca="1" si="212"/>
        <v>0</v>
      </c>
      <c r="J1109" s="8">
        <f t="shared" ca="1" si="213"/>
        <v>174.28940686250036</v>
      </c>
      <c r="K1109" s="9" t="str">
        <f t="shared" ca="1" si="214"/>
        <v>WN</v>
      </c>
      <c r="L1109">
        <f ca="1">+_xlfn.IFNA(VLOOKUP(M1109,BespokeWindowsAreas!$A$1:$E$1999,1,FALSE),VLOOKUP(E1109,WindowTypeArea!$B$2:$C$2000,2,FALSE))</f>
        <v>4.5750000000000002</v>
      </c>
      <c r="M1109">
        <f t="shared" ca="1" si="215"/>
        <v>4841972</v>
      </c>
    </row>
    <row r="1110" spans="1:13" x14ac:dyDescent="0.25">
      <c r="A1110">
        <f t="shared" ca="1" si="218"/>
        <v>2</v>
      </c>
      <c r="B1110">
        <f t="shared" ca="1" si="219"/>
        <v>697</v>
      </c>
      <c r="C1110" t="str">
        <f t="shared" ca="1" si="216"/>
        <v>'WINDOWS-NCH-A-BDP-M3-00-00'!B696</v>
      </c>
      <c r="D1110" s="6" t="str">
        <f t="shared" ca="1" si="217"/>
        <v>L00-MAI-CRE-S081-01</v>
      </c>
      <c r="E1110" t="str">
        <f t="shared" ca="1" si="220"/>
        <v>Family Type: 1500w x 3050h, Family: Window External Type 3 - Recessed and Angle</v>
      </c>
      <c r="F1110" t="str">
        <f t="shared" ref="F1110:F1173" ca="1" si="221">+OFFSET(INDIRECT(C1110),0,1)</f>
        <v>Vector(X = -0.996, Y = 0.087, Z = 0.000, Length = 1.000)</v>
      </c>
      <c r="G1110">
        <f t="shared" ref="G1110:G1173" ca="1" si="222">+OFFSET(INDIRECT(C1110),0,2)</f>
        <v>-1</v>
      </c>
      <c r="H1110">
        <f t="shared" ref="H1110:H1173" ca="1" si="223">+OFFSET(INDIRECT(C1110),0,3)</f>
        <v>0.1</v>
      </c>
      <c r="I1110">
        <f t="shared" ref="I1110:I1173" ca="1" si="224">+OFFSET(INDIRECT(C1110),0,4)</f>
        <v>0</v>
      </c>
      <c r="J1110" s="8">
        <f t="shared" ref="J1110:J1173" ca="1" si="225">+DEGREES(ATAN2(G1110,H1110))</f>
        <v>174.28940686250036</v>
      </c>
      <c r="K1110" s="9" t="str">
        <f t="shared" ref="K1110:K1173" ca="1" si="226">VLOOKUP(J1110,$O$20:$P$36,2,-1)</f>
        <v>WN</v>
      </c>
      <c r="L1110">
        <f ca="1">+_xlfn.IFNA(VLOOKUP(M1110,BespokeWindowsAreas!$A$1:$E$1999,1,FALSE),VLOOKUP(E1110,WindowTypeArea!$B$2:$C$2000,2,FALSE))</f>
        <v>4.5750000000000002</v>
      </c>
      <c r="M1110">
        <f t="shared" ref="M1110:M1173" ca="1" si="227">+OFFSET(INDIRECT(C1110),0,5)</f>
        <v>4841923</v>
      </c>
    </row>
    <row r="1111" spans="1:13" x14ac:dyDescent="0.25">
      <c r="A1111">
        <f t="shared" ca="1" si="218"/>
        <v>2</v>
      </c>
      <c r="B1111">
        <f t="shared" ca="1" si="219"/>
        <v>698</v>
      </c>
      <c r="C1111" t="str">
        <f t="shared" ref="C1111:C1174" ca="1" si="228">+"'"&amp;INDIRECT("a"&amp;A1110)&amp;"'!B"&amp;B1110</f>
        <v>'WINDOWS-NCH-A-BDP-M3-00-00'!B697</v>
      </c>
      <c r="D1111" s="6" t="str">
        <f t="shared" ca="1" si="217"/>
        <v>L00-MAI-CRE-S081-01</v>
      </c>
      <c r="E1111" t="str">
        <f t="shared" ca="1" si="220"/>
        <v>Family Type: 1000w x 3050h, Family: Window External Type 4 - Extruded</v>
      </c>
      <c r="F1111" t="str">
        <f t="shared" ca="1" si="221"/>
        <v>Vector(X = -0.130, Y = -0.991, Z = 0.000, Length = 1.000)</v>
      </c>
      <c r="G1111">
        <f t="shared" ca="1" si="222"/>
        <v>-0.1</v>
      </c>
      <c r="H1111">
        <f t="shared" ca="1" si="223"/>
        <v>-1</v>
      </c>
      <c r="I1111">
        <f t="shared" ca="1" si="224"/>
        <v>0</v>
      </c>
      <c r="J1111" s="8">
        <f t="shared" ca="1" si="225"/>
        <v>-95.710593137499629</v>
      </c>
      <c r="K1111" s="9" t="str">
        <f t="shared" ca="1" si="226"/>
        <v>SW</v>
      </c>
      <c r="L1111">
        <f ca="1">+_xlfn.IFNA(VLOOKUP(M1111,BespokeWindowsAreas!$A$1:$E$1999,1,FALSE),VLOOKUP(E1111,WindowTypeArea!$B$2:$C$2000,2,FALSE))</f>
        <v>3.05</v>
      </c>
      <c r="M1111">
        <f t="shared" ca="1" si="227"/>
        <v>4795723</v>
      </c>
    </row>
    <row r="1112" spans="1:13" x14ac:dyDescent="0.25">
      <c r="A1112">
        <f t="shared" ca="1" si="218"/>
        <v>2</v>
      </c>
      <c r="B1112">
        <f t="shared" ca="1" si="219"/>
        <v>699</v>
      </c>
      <c r="C1112" t="str">
        <f t="shared" ca="1" si="228"/>
        <v>'WINDOWS-NCH-A-BDP-M3-00-00'!B698</v>
      </c>
      <c r="D1112" s="6" t="str">
        <f t="shared" ca="1" si="217"/>
        <v>L00-MAI-CRE-S081-01</v>
      </c>
      <c r="E1112" t="str">
        <f t="shared" ca="1" si="220"/>
        <v>Family Type: 1500w x 3050h, Family: Window External Type 3 - Recessed and Angle</v>
      </c>
      <c r="F1112" t="str">
        <f t="shared" ca="1" si="221"/>
        <v>Vector(X = -0.130, Y = -0.991, Z = 0.000, Length = 1.000)</v>
      </c>
      <c r="G1112">
        <f t="shared" ca="1" si="222"/>
        <v>-0.1</v>
      </c>
      <c r="H1112">
        <f t="shared" ca="1" si="223"/>
        <v>-1</v>
      </c>
      <c r="I1112">
        <f t="shared" ca="1" si="224"/>
        <v>0</v>
      </c>
      <c r="J1112" s="8">
        <f t="shared" ca="1" si="225"/>
        <v>-95.710593137499629</v>
      </c>
      <c r="K1112" s="9" t="str">
        <f t="shared" ca="1" si="226"/>
        <v>SW</v>
      </c>
      <c r="L1112">
        <f ca="1">+_xlfn.IFNA(VLOOKUP(M1112,BespokeWindowsAreas!$A$1:$E$1999,1,FALSE),VLOOKUP(E1112,WindowTypeArea!$B$2:$C$2000,2,FALSE))</f>
        <v>4.5750000000000002</v>
      </c>
      <c r="M1112">
        <f t="shared" ca="1" si="227"/>
        <v>4795778</v>
      </c>
    </row>
    <row r="1113" spans="1:13" x14ac:dyDescent="0.25">
      <c r="A1113">
        <f t="shared" ca="1" si="218"/>
        <v>2</v>
      </c>
      <c r="B1113">
        <f t="shared" ca="1" si="219"/>
        <v>700</v>
      </c>
      <c r="C1113" t="str">
        <f t="shared" ca="1" si="228"/>
        <v>'WINDOWS-NCH-A-BDP-M3-00-00'!B699</v>
      </c>
      <c r="D1113" s="6" t="str">
        <f t="shared" ca="1" si="217"/>
        <v>L00-MAI-CRE-S081-01</v>
      </c>
      <c r="E1113" t="str">
        <f t="shared" ca="1" si="220"/>
        <v>Family Type: 975w x 3050h, Family: Window External Type 1 - Recessed</v>
      </c>
      <c r="F1113" t="str">
        <f t="shared" ca="1" si="221"/>
        <v>Vector(X = -0.130, Y = -0.991, Z = 0.000, Length = 1.000)</v>
      </c>
      <c r="G1113">
        <f t="shared" ca="1" si="222"/>
        <v>-0.1</v>
      </c>
      <c r="H1113">
        <f t="shared" ca="1" si="223"/>
        <v>-1</v>
      </c>
      <c r="I1113">
        <f t="shared" ca="1" si="224"/>
        <v>0</v>
      </c>
      <c r="J1113" s="8">
        <f t="shared" ca="1" si="225"/>
        <v>-95.710593137499629</v>
      </c>
      <c r="K1113" s="9" t="str">
        <f t="shared" ca="1" si="226"/>
        <v>SW</v>
      </c>
      <c r="L1113">
        <f ca="1">+_xlfn.IFNA(VLOOKUP(M1113,BespokeWindowsAreas!$A$1:$E$1999,1,FALSE),VLOOKUP(E1113,WindowTypeArea!$B$2:$C$2000,2,FALSE))</f>
        <v>2.9737499999999999</v>
      </c>
      <c r="M1113">
        <f t="shared" ca="1" si="227"/>
        <v>4795768</v>
      </c>
    </row>
    <row r="1114" spans="1:13" x14ac:dyDescent="0.25">
      <c r="A1114">
        <f t="shared" ca="1" si="218"/>
        <v>2</v>
      </c>
      <c r="B1114">
        <f t="shared" ca="1" si="219"/>
        <v>701</v>
      </c>
      <c r="C1114" t="str">
        <f t="shared" ca="1" si="228"/>
        <v>'WINDOWS-NCH-A-BDP-M3-00-00'!B700</v>
      </c>
      <c r="D1114" s="6" t="str">
        <f t="shared" ca="1" si="217"/>
        <v>L00-MAI-CRE-S081-01</v>
      </c>
      <c r="E1114" t="str">
        <f t="shared" ca="1" si="220"/>
        <v>Family Type: 1000w x 3050h, Family: Window External Type 4 - Extruded</v>
      </c>
      <c r="F1114" t="str">
        <f t="shared" ca="1" si="221"/>
        <v>Vector(X = -0.130, Y = -0.991, Z = 0.000, Length = 1.000)</v>
      </c>
      <c r="G1114">
        <f t="shared" ca="1" si="222"/>
        <v>-0.1</v>
      </c>
      <c r="H1114">
        <f t="shared" ca="1" si="223"/>
        <v>-1</v>
      </c>
      <c r="I1114">
        <f t="shared" ca="1" si="224"/>
        <v>0</v>
      </c>
      <c r="J1114" s="8">
        <f t="shared" ca="1" si="225"/>
        <v>-95.710593137499629</v>
      </c>
      <c r="K1114" s="9" t="str">
        <f t="shared" ca="1" si="226"/>
        <v>SW</v>
      </c>
      <c r="L1114">
        <f ca="1">+_xlfn.IFNA(VLOOKUP(M1114,BespokeWindowsAreas!$A$1:$E$1999,1,FALSE),VLOOKUP(E1114,WindowTypeArea!$B$2:$C$2000,2,FALSE))</f>
        <v>3.05</v>
      </c>
      <c r="M1114">
        <f t="shared" ca="1" si="227"/>
        <v>4795770</v>
      </c>
    </row>
    <row r="1115" spans="1:13" x14ac:dyDescent="0.25">
      <c r="A1115">
        <f t="shared" ca="1" si="218"/>
        <v>2</v>
      </c>
      <c r="B1115">
        <f t="shared" ca="1" si="219"/>
        <v>702</v>
      </c>
      <c r="C1115" t="str">
        <f t="shared" ca="1" si="228"/>
        <v>'WINDOWS-NCH-A-BDP-M3-00-00'!B701</v>
      </c>
      <c r="D1115" s="6" t="str">
        <f t="shared" ca="1" si="217"/>
        <v>L00-MAI-CRE-S081-01</v>
      </c>
      <c r="E1115" t="str">
        <f t="shared" ca="1" si="220"/>
        <v>Family Type: 975w x 3050h, Family: Window External Type 1 - Recessed</v>
      </c>
      <c r="F1115" t="str">
        <f t="shared" ca="1" si="221"/>
        <v>Vector(X = -0.130, Y = -0.991, Z = 0.000, Length = 1.000)</v>
      </c>
      <c r="G1115">
        <f t="shared" ca="1" si="222"/>
        <v>-0.1</v>
      </c>
      <c r="H1115">
        <f t="shared" ca="1" si="223"/>
        <v>-1</v>
      </c>
      <c r="I1115">
        <f t="shared" ca="1" si="224"/>
        <v>0</v>
      </c>
      <c r="J1115" s="8">
        <f t="shared" ca="1" si="225"/>
        <v>-95.710593137499629</v>
      </c>
      <c r="K1115" s="9" t="str">
        <f t="shared" ca="1" si="226"/>
        <v>SW</v>
      </c>
      <c r="L1115">
        <f ca="1">+_xlfn.IFNA(VLOOKUP(M1115,BespokeWindowsAreas!$A$1:$E$1999,1,FALSE),VLOOKUP(E1115,WindowTypeArea!$B$2:$C$2000,2,FALSE))</f>
        <v>2.9737499999999999</v>
      </c>
      <c r="M1115">
        <f t="shared" ca="1" si="227"/>
        <v>4795769</v>
      </c>
    </row>
    <row r="1116" spans="1:13" x14ac:dyDescent="0.25">
      <c r="A1116">
        <f t="shared" ca="1" si="218"/>
        <v>2</v>
      </c>
      <c r="B1116">
        <f t="shared" ca="1" si="219"/>
        <v>703</v>
      </c>
      <c r="C1116" t="str">
        <f t="shared" ca="1" si="228"/>
        <v>'WINDOWS-NCH-A-BDP-M3-00-00'!B702</v>
      </c>
      <c r="D1116" s="6" t="str">
        <f t="shared" ca="1" si="217"/>
        <v>L00-MAI-CRE-S081-01</v>
      </c>
      <c r="E1116" t="str">
        <f t="shared" ca="1" si="220"/>
        <v>Family Type: 1500w x 3050h, Family: Window External Type 3 - Recessed and Angle</v>
      </c>
      <c r="F1116" t="str">
        <f t="shared" ca="1" si="221"/>
        <v>Vector(X = -0.130, Y = -0.991, Z = 0.000, Length = 1.000)</v>
      </c>
      <c r="G1116">
        <f t="shared" ca="1" si="222"/>
        <v>-0.1</v>
      </c>
      <c r="H1116">
        <f t="shared" ca="1" si="223"/>
        <v>-1</v>
      </c>
      <c r="I1116">
        <f t="shared" ca="1" si="224"/>
        <v>0</v>
      </c>
      <c r="J1116" s="8">
        <f t="shared" ca="1" si="225"/>
        <v>-95.710593137499629</v>
      </c>
      <c r="K1116" s="9" t="str">
        <f t="shared" ca="1" si="226"/>
        <v>SW</v>
      </c>
      <c r="L1116">
        <f ca="1">+_xlfn.IFNA(VLOOKUP(M1116,BespokeWindowsAreas!$A$1:$E$1999,1,FALSE),VLOOKUP(E1116,WindowTypeArea!$B$2:$C$2000,2,FALSE))</f>
        <v>4.5750000000000002</v>
      </c>
      <c r="M1116">
        <f t="shared" ca="1" si="227"/>
        <v>4795776</v>
      </c>
    </row>
    <row r="1117" spans="1:13" x14ac:dyDescent="0.25">
      <c r="A1117">
        <f t="shared" ca="1" si="218"/>
        <v>2</v>
      </c>
      <c r="B1117">
        <f t="shared" ca="1" si="219"/>
        <v>704</v>
      </c>
      <c r="C1117" t="str">
        <f t="shared" ca="1" si="228"/>
        <v>'WINDOWS-NCH-A-BDP-M3-00-00'!B703</v>
      </c>
      <c r="D1117" s="6" t="str">
        <f t="shared" ca="1" si="217"/>
        <v>L00-MAI-CRE-S081-01</v>
      </c>
      <c r="E1117" t="str">
        <f t="shared" ca="1" si="220"/>
        <v>Family Type: 1000w x 3050h, Family: Window External Type 4 - Extruded</v>
      </c>
      <c r="F1117" t="str">
        <f t="shared" ca="1" si="221"/>
        <v>Vector(X = -0.130, Y = -0.991, Z = 0.000, Length = 1.000)</v>
      </c>
      <c r="G1117">
        <f t="shared" ca="1" si="222"/>
        <v>-0.1</v>
      </c>
      <c r="H1117">
        <f t="shared" ca="1" si="223"/>
        <v>-1</v>
      </c>
      <c r="I1117">
        <f t="shared" ca="1" si="224"/>
        <v>0</v>
      </c>
      <c r="J1117" s="8">
        <f t="shared" ca="1" si="225"/>
        <v>-95.710593137499629</v>
      </c>
      <c r="K1117" s="9" t="str">
        <f t="shared" ca="1" si="226"/>
        <v>SW</v>
      </c>
      <c r="L1117">
        <f ca="1">+_xlfn.IFNA(VLOOKUP(M1117,BespokeWindowsAreas!$A$1:$E$1999,1,FALSE),VLOOKUP(E1117,WindowTypeArea!$B$2:$C$2000,2,FALSE))</f>
        <v>3.05</v>
      </c>
      <c r="M1117">
        <f t="shared" ca="1" si="227"/>
        <v>4795773</v>
      </c>
    </row>
    <row r="1118" spans="1:13" x14ac:dyDescent="0.25">
      <c r="A1118">
        <f t="shared" ca="1" si="218"/>
        <v>2</v>
      </c>
      <c r="B1118">
        <f t="shared" ca="1" si="219"/>
        <v>705</v>
      </c>
      <c r="C1118" t="str">
        <f t="shared" ca="1" si="228"/>
        <v>'WINDOWS-NCH-A-BDP-M3-00-00'!B704</v>
      </c>
      <c r="D1118" s="6" t="str">
        <f t="shared" ca="1" si="217"/>
        <v>L00-MAI-CRE-S081-01</v>
      </c>
      <c r="E1118" t="str">
        <f t="shared" ca="1" si="220"/>
        <v>Family Type: 1950w x 3050h, Family: Window External Type 3 - Recessed and Angle</v>
      </c>
      <c r="F1118" t="str">
        <f t="shared" ca="1" si="221"/>
        <v>Vector(X = -0.130, Y = -0.991, Z = 0.000, Length = 1.000)</v>
      </c>
      <c r="G1118">
        <f t="shared" ca="1" si="222"/>
        <v>-0.1</v>
      </c>
      <c r="H1118">
        <f t="shared" ca="1" si="223"/>
        <v>-1</v>
      </c>
      <c r="I1118">
        <f t="shared" ca="1" si="224"/>
        <v>0</v>
      </c>
      <c r="J1118" s="8">
        <f t="shared" ca="1" si="225"/>
        <v>-95.710593137499629</v>
      </c>
      <c r="K1118" s="9" t="str">
        <f t="shared" ca="1" si="226"/>
        <v>SW</v>
      </c>
      <c r="L1118">
        <f ca="1">+_xlfn.IFNA(VLOOKUP(M1118,BespokeWindowsAreas!$A$1:$E$1999,1,FALSE),VLOOKUP(E1118,WindowTypeArea!$B$2:$C$2000,2,FALSE))</f>
        <v>5.9474999999999998</v>
      </c>
      <c r="M1118">
        <f t="shared" ca="1" si="227"/>
        <v>4795779</v>
      </c>
    </row>
    <row r="1119" spans="1:13" x14ac:dyDescent="0.25">
      <c r="A1119">
        <f t="shared" ca="1" si="218"/>
        <v>2</v>
      </c>
      <c r="B1119">
        <f t="shared" ca="1" si="219"/>
        <v>706</v>
      </c>
      <c r="C1119" t="str">
        <f t="shared" ca="1" si="228"/>
        <v>'WINDOWS-NCH-A-BDP-M3-00-00'!B705</v>
      </c>
      <c r="D1119" s="6" t="str">
        <f t="shared" ca="1" si="217"/>
        <v>L00-MAI-CRE-S081-01</v>
      </c>
      <c r="E1119" t="str">
        <f t="shared" ca="1" si="220"/>
        <v>Family Type: 975w x 3050h, Family: Window External Type 1 - Recessed</v>
      </c>
      <c r="F1119" t="str">
        <f t="shared" ca="1" si="221"/>
        <v>Vector(X = -0.130, Y = -0.991, Z = 0.000, Length = 1.000)</v>
      </c>
      <c r="G1119">
        <f t="shared" ca="1" si="222"/>
        <v>-0.1</v>
      </c>
      <c r="H1119">
        <f t="shared" ca="1" si="223"/>
        <v>-1</v>
      </c>
      <c r="I1119">
        <f t="shared" ca="1" si="224"/>
        <v>0</v>
      </c>
      <c r="J1119" s="8">
        <f t="shared" ca="1" si="225"/>
        <v>-95.710593137499629</v>
      </c>
      <c r="K1119" s="9" t="str">
        <f t="shared" ca="1" si="226"/>
        <v>SW</v>
      </c>
      <c r="L1119">
        <f ca="1">+_xlfn.IFNA(VLOOKUP(M1119,BespokeWindowsAreas!$A$1:$E$1999,1,FALSE),VLOOKUP(E1119,WindowTypeArea!$B$2:$C$2000,2,FALSE))</f>
        <v>2.9737499999999999</v>
      </c>
      <c r="M1119">
        <f t="shared" ca="1" si="227"/>
        <v>4795783</v>
      </c>
    </row>
    <row r="1120" spans="1:13" x14ac:dyDescent="0.25">
      <c r="A1120">
        <f t="shared" ca="1" si="218"/>
        <v>2</v>
      </c>
      <c r="B1120">
        <f t="shared" ca="1" si="219"/>
        <v>707</v>
      </c>
      <c r="C1120" t="str">
        <f t="shared" ca="1" si="228"/>
        <v>'WINDOWS-NCH-A-BDP-M3-00-00'!B706</v>
      </c>
      <c r="D1120" s="6" t="str">
        <f t="shared" ca="1" si="217"/>
        <v>L00-MAI-CRE-S081-01</v>
      </c>
      <c r="E1120" t="str">
        <f t="shared" ca="1" si="220"/>
        <v>Family Type: 1500w x 3050h, Family: Window External Type 3 - Recessed and Angle</v>
      </c>
      <c r="F1120" t="str">
        <f t="shared" ca="1" si="221"/>
        <v>Vector(X = -0.130, Y = -0.991, Z = 0.000, Length = 1.000)</v>
      </c>
      <c r="G1120">
        <f t="shared" ca="1" si="222"/>
        <v>-0.1</v>
      </c>
      <c r="H1120">
        <f t="shared" ca="1" si="223"/>
        <v>-1</v>
      </c>
      <c r="I1120">
        <f t="shared" ca="1" si="224"/>
        <v>0</v>
      </c>
      <c r="J1120" s="8">
        <f t="shared" ca="1" si="225"/>
        <v>-95.710593137499629</v>
      </c>
      <c r="K1120" s="9" t="str">
        <f t="shared" ca="1" si="226"/>
        <v>SW</v>
      </c>
      <c r="L1120">
        <f ca="1">+_xlfn.IFNA(VLOOKUP(M1120,BespokeWindowsAreas!$A$1:$E$1999,1,FALSE),VLOOKUP(E1120,WindowTypeArea!$B$2:$C$2000,2,FALSE))</f>
        <v>4.5750000000000002</v>
      </c>
      <c r="M1120">
        <f t="shared" ca="1" si="227"/>
        <v>4795785</v>
      </c>
    </row>
    <row r="1121" spans="1:13" x14ac:dyDescent="0.25">
      <c r="A1121">
        <f t="shared" ca="1" si="218"/>
        <v>2</v>
      </c>
      <c r="B1121">
        <f t="shared" ca="1" si="219"/>
        <v>708</v>
      </c>
      <c r="C1121" t="str">
        <f t="shared" ca="1" si="228"/>
        <v>'WINDOWS-NCH-A-BDP-M3-00-00'!B707</v>
      </c>
      <c r="D1121" s="6" t="str">
        <f t="shared" ca="1" si="217"/>
        <v>L00-OPD-CC3-S156-03</v>
      </c>
      <c r="E1121" t="str">
        <f t="shared" ca="1" si="220"/>
        <v>L00-OPD-CC3-S156-03</v>
      </c>
      <c r="F1121" t="str">
        <f t="shared" ca="1" si="221"/>
        <v>ID not used</v>
      </c>
      <c r="G1121">
        <f t="shared" ca="1" si="222"/>
        <v>0</v>
      </c>
      <c r="H1121">
        <f t="shared" ca="1" si="223"/>
        <v>0</v>
      </c>
      <c r="I1121">
        <f t="shared" ca="1" si="224"/>
        <v>0</v>
      </c>
      <c r="J1121" s="8" t="e">
        <f t="shared" ca="1" si="225"/>
        <v>#DIV/0!</v>
      </c>
      <c r="K1121" s="9" t="e">
        <f t="shared" ca="1" si="226"/>
        <v>#DIV/0!</v>
      </c>
      <c r="L1121" t="e">
        <f ca="1">+_xlfn.IFNA(VLOOKUP(M1121,BespokeWindowsAreas!$A$1:$E$1999,1,FALSE),VLOOKUP(E1121,WindowTypeArea!$B$2:$C$2000,2,FALSE))</f>
        <v>#N/A</v>
      </c>
      <c r="M1121">
        <f t="shared" ca="1" si="227"/>
        <v>0</v>
      </c>
    </row>
    <row r="1122" spans="1:13" x14ac:dyDescent="0.25">
      <c r="A1122">
        <f t="shared" ca="1" si="218"/>
        <v>3</v>
      </c>
      <c r="B1122">
        <f t="shared" ca="1" si="219"/>
        <v>1</v>
      </c>
      <c r="C1122" t="str">
        <f t="shared" ca="1" si="228"/>
        <v>'WINDOWS-NCH-A-BDP-M3-00-00'!B708</v>
      </c>
      <c r="D1122" s="6" t="str">
        <f t="shared" ca="1" si="217"/>
        <v>L00-OPD-CC3-S156-03</v>
      </c>
      <c r="E1122" t="str">
        <f t="shared" ca="1" si="220"/>
        <v>Family Type: 975w x 3600h, CURTAIN WALL-manual input</v>
      </c>
      <c r="F1122" t="str">
        <f t="shared" ca="1" si="221"/>
        <v>Vector(X = 0.530, Y = -0.848, Z = 0.000, Length = 1.000)</v>
      </c>
      <c r="G1122">
        <f t="shared" ca="1" si="222"/>
        <v>0.5</v>
      </c>
      <c r="H1122">
        <f t="shared" ca="1" si="223"/>
        <v>-0.8</v>
      </c>
      <c r="I1122">
        <f t="shared" ca="1" si="224"/>
        <v>0</v>
      </c>
      <c r="J1122" s="8">
        <f t="shared" ca="1" si="225"/>
        <v>-57.994616791916499</v>
      </c>
      <c r="K1122" s="9" t="str">
        <f t="shared" ca="1" si="226"/>
        <v>S</v>
      </c>
      <c r="L1122">
        <f ca="1">+_xlfn.IFNA(VLOOKUP(M1122,BespokeWindowsAreas!$A$1:$E$1999,1,FALSE),VLOOKUP(E1122,WindowTypeArea!$B$2:$C$2000,2,FALSE))</f>
        <v>3.51</v>
      </c>
      <c r="M1122" t="str">
        <f t="shared" ca="1" si="227"/>
        <v>ID</v>
      </c>
    </row>
    <row r="1123" spans="1:13" x14ac:dyDescent="0.25">
      <c r="A1123">
        <f t="shared" ca="1" si="218"/>
        <v>3</v>
      </c>
      <c r="B1123">
        <f t="shared" ca="1" si="219"/>
        <v>2</v>
      </c>
      <c r="C1123" t="str">
        <f t="shared" ca="1" si="228"/>
        <v>'WINDOWS-NCH-A-BDP-M3-01-00'!B1</v>
      </c>
      <c r="D1123" s="6">
        <f t="shared" ca="1" si="217"/>
        <v>0</v>
      </c>
      <c r="E1123">
        <f t="shared" ca="1" si="220"/>
        <v>0</v>
      </c>
      <c r="F1123">
        <f t="shared" ca="1" si="221"/>
        <v>0</v>
      </c>
      <c r="G1123">
        <f t="shared" ca="1" si="222"/>
        <v>0</v>
      </c>
      <c r="H1123">
        <f t="shared" ca="1" si="223"/>
        <v>0</v>
      </c>
      <c r="I1123">
        <f t="shared" ca="1" si="224"/>
        <v>0</v>
      </c>
      <c r="J1123" s="8" t="e">
        <f t="shared" ca="1" si="225"/>
        <v>#DIV/0!</v>
      </c>
      <c r="K1123" s="9" t="e">
        <f t="shared" ca="1" si="226"/>
        <v>#DIV/0!</v>
      </c>
      <c r="L1123" t="e">
        <f ca="1">+_xlfn.IFNA(VLOOKUP(M1123,BespokeWindowsAreas!$A$1:$E$1999,1,FALSE),VLOOKUP(E1123,WindowTypeArea!$B$2:$C$2000,2,FALSE))</f>
        <v>#N/A</v>
      </c>
      <c r="M1123">
        <f t="shared" ca="1" si="227"/>
        <v>0</v>
      </c>
    </row>
    <row r="1124" spans="1:13" x14ac:dyDescent="0.25">
      <c r="A1124">
        <f t="shared" ca="1" si="218"/>
        <v>3</v>
      </c>
      <c r="B1124">
        <f t="shared" ca="1" si="219"/>
        <v>3</v>
      </c>
      <c r="C1124" t="str">
        <f t="shared" ca="1" si="228"/>
        <v>'WINDOWS-NCH-A-BDP-M3-01-00'!B2</v>
      </c>
      <c r="D1124" s="6" t="str">
        <f t="shared" ca="1" si="217"/>
        <v>L01-CAM-INP-L007-01</v>
      </c>
      <c r="E1124" t="str">
        <f t="shared" ca="1" si="220"/>
        <v>L01-CAM-INP-L007-01</v>
      </c>
      <c r="F1124">
        <f t="shared" ca="1" si="221"/>
        <v>1420927</v>
      </c>
      <c r="G1124">
        <f t="shared" ca="1" si="222"/>
        <v>0</v>
      </c>
      <c r="H1124">
        <f t="shared" ca="1" si="223"/>
        <v>0</v>
      </c>
      <c r="I1124">
        <f t="shared" ca="1" si="224"/>
        <v>0</v>
      </c>
      <c r="J1124" s="8" t="e">
        <f t="shared" ca="1" si="225"/>
        <v>#DIV/0!</v>
      </c>
      <c r="K1124" s="9" t="e">
        <f t="shared" ca="1" si="226"/>
        <v>#DIV/0!</v>
      </c>
      <c r="L1124" t="e">
        <f ca="1">+_xlfn.IFNA(VLOOKUP(M1124,BespokeWindowsAreas!$A$1:$E$1999,1,FALSE),VLOOKUP(E1124,WindowTypeArea!$B$2:$C$2000,2,FALSE))</f>
        <v>#N/A</v>
      </c>
      <c r="M1124">
        <f t="shared" ca="1" si="227"/>
        <v>0</v>
      </c>
    </row>
    <row r="1125" spans="1:13" x14ac:dyDescent="0.25">
      <c r="A1125">
        <f t="shared" ca="1" si="218"/>
        <v>3</v>
      </c>
      <c r="B1125">
        <f t="shared" ca="1" si="219"/>
        <v>4</v>
      </c>
      <c r="C1125" t="str">
        <f t="shared" ca="1" si="228"/>
        <v>'WINDOWS-NCH-A-BDP-M3-01-00'!B3</v>
      </c>
      <c r="D1125" s="6" t="str">
        <f t="shared" ca="1" si="217"/>
        <v>L01-CAM-INP-L007-01</v>
      </c>
      <c r="E1125" t="str">
        <f t="shared" ca="1" si="220"/>
        <v>Family Type: 3000w x 3050h, Family: Window External Type 3 - Recessed and Angle with Type 1 Flush</v>
      </c>
      <c r="F1125" t="str">
        <f t="shared" ca="1" si="221"/>
        <v>Vector(X = -0.130, Y = -0.991, Z = 0.000, Length = 1.000)</v>
      </c>
      <c r="G1125">
        <f t="shared" ca="1" si="222"/>
        <v>-0.1</v>
      </c>
      <c r="H1125">
        <f t="shared" ca="1" si="223"/>
        <v>-1</v>
      </c>
      <c r="I1125">
        <f t="shared" ca="1" si="224"/>
        <v>0</v>
      </c>
      <c r="J1125" s="8">
        <f t="shared" ca="1" si="225"/>
        <v>-95.710593137499629</v>
      </c>
      <c r="K1125" s="9" t="str">
        <f t="shared" ca="1" si="226"/>
        <v>SW</v>
      </c>
      <c r="L1125">
        <f ca="1">+_xlfn.IFNA(VLOOKUP(M1125,BespokeWindowsAreas!$A$1:$E$1999,1,FALSE),VLOOKUP(E1125,WindowTypeArea!$B$2:$C$2000,2,FALSE))</f>
        <v>6.1762499999999996</v>
      </c>
      <c r="M1125">
        <f t="shared" ca="1" si="227"/>
        <v>7064613</v>
      </c>
    </row>
    <row r="1126" spans="1:13" x14ac:dyDescent="0.25">
      <c r="A1126">
        <f t="shared" ca="1" si="218"/>
        <v>3</v>
      </c>
      <c r="B1126">
        <f t="shared" ca="1" si="219"/>
        <v>5</v>
      </c>
      <c r="C1126" t="str">
        <f t="shared" ca="1" si="228"/>
        <v>'WINDOWS-NCH-A-BDP-M3-01-00'!B4</v>
      </c>
      <c r="D1126" s="6" t="str">
        <f t="shared" ca="1" si="217"/>
        <v>L01-CAM-INP-U0047-01</v>
      </c>
      <c r="E1126" t="str">
        <f t="shared" ca="1" si="220"/>
        <v>L01-CAM-INP-U0047-01</v>
      </c>
      <c r="F1126">
        <f t="shared" ca="1" si="221"/>
        <v>1420937</v>
      </c>
      <c r="G1126">
        <f t="shared" ca="1" si="222"/>
        <v>0</v>
      </c>
      <c r="H1126">
        <f t="shared" ca="1" si="223"/>
        <v>0</v>
      </c>
      <c r="I1126">
        <f t="shared" ca="1" si="224"/>
        <v>0</v>
      </c>
      <c r="J1126" s="8" t="e">
        <f t="shared" ca="1" si="225"/>
        <v>#DIV/0!</v>
      </c>
      <c r="K1126" s="9" t="e">
        <f t="shared" ca="1" si="226"/>
        <v>#DIV/0!</v>
      </c>
      <c r="L1126" t="e">
        <f ca="1">+_xlfn.IFNA(VLOOKUP(M1126,BespokeWindowsAreas!$A$1:$E$1999,1,FALSE),VLOOKUP(E1126,WindowTypeArea!$B$2:$C$2000,2,FALSE))</f>
        <v>#N/A</v>
      </c>
      <c r="M1126">
        <f t="shared" ca="1" si="227"/>
        <v>0</v>
      </c>
    </row>
    <row r="1127" spans="1:13" x14ac:dyDescent="0.25">
      <c r="A1127">
        <f t="shared" ca="1" si="218"/>
        <v>3</v>
      </c>
      <c r="B1127">
        <f t="shared" ca="1" si="219"/>
        <v>6</v>
      </c>
      <c r="C1127" t="str">
        <f t="shared" ca="1" si="228"/>
        <v>'WINDOWS-NCH-A-BDP-M3-01-00'!B5</v>
      </c>
      <c r="D1127" s="6" t="str">
        <f t="shared" ca="1" si="217"/>
        <v>L01-CAM-INP-U0047-01</v>
      </c>
      <c r="E1127" t="str">
        <f t="shared" ca="1" si="220"/>
        <v>Family Type: 1950w x 3050h, Family: Window External Type 3 - Recessed and Angle</v>
      </c>
      <c r="F1127" t="str">
        <f t="shared" ca="1" si="221"/>
        <v>Vector(X = 0.130, Y = 0.991, Z = 0.000, Length = 1.000)</v>
      </c>
      <c r="G1127">
        <f t="shared" ca="1" si="222"/>
        <v>0.1</v>
      </c>
      <c r="H1127">
        <f t="shared" ca="1" si="223"/>
        <v>1</v>
      </c>
      <c r="I1127">
        <f t="shared" ca="1" si="224"/>
        <v>0</v>
      </c>
      <c r="J1127" s="8">
        <f t="shared" ca="1" si="225"/>
        <v>84.289406862500371</v>
      </c>
      <c r="K1127" s="9" t="str">
        <f t="shared" ca="1" si="226"/>
        <v>NE</v>
      </c>
      <c r="L1127">
        <f ca="1">+_xlfn.IFNA(VLOOKUP(M1127,BespokeWindowsAreas!$A$1:$E$1999,1,FALSE),VLOOKUP(E1127,WindowTypeArea!$B$2:$C$2000,2,FALSE))</f>
        <v>5.9474999999999998</v>
      </c>
      <c r="M1127">
        <f t="shared" ca="1" si="227"/>
        <v>4803208</v>
      </c>
    </row>
    <row r="1128" spans="1:13" x14ac:dyDescent="0.25">
      <c r="A1128">
        <f t="shared" ca="1" si="218"/>
        <v>3</v>
      </c>
      <c r="B1128">
        <f t="shared" ca="1" si="219"/>
        <v>7</v>
      </c>
      <c r="C1128" t="str">
        <f t="shared" ca="1" si="228"/>
        <v>'WINDOWS-NCH-A-BDP-M3-01-00'!B6</v>
      </c>
      <c r="D1128" s="6" t="str">
        <f t="shared" ca="1" si="217"/>
        <v>L01-CAM-INP-L007-13</v>
      </c>
      <c r="E1128" t="str">
        <f t="shared" ca="1" si="220"/>
        <v>L01-CAM-INP-L007-13</v>
      </c>
      <c r="F1128">
        <f t="shared" ca="1" si="221"/>
        <v>1420983</v>
      </c>
      <c r="G1128">
        <f t="shared" ca="1" si="222"/>
        <v>0</v>
      </c>
      <c r="H1128">
        <f t="shared" ca="1" si="223"/>
        <v>0</v>
      </c>
      <c r="I1128">
        <f t="shared" ca="1" si="224"/>
        <v>0</v>
      </c>
      <c r="J1128" s="8" t="e">
        <f t="shared" ca="1" si="225"/>
        <v>#DIV/0!</v>
      </c>
      <c r="K1128" s="9" t="e">
        <f t="shared" ca="1" si="226"/>
        <v>#DIV/0!</v>
      </c>
      <c r="L1128" t="e">
        <f ca="1">+_xlfn.IFNA(VLOOKUP(M1128,BespokeWindowsAreas!$A$1:$E$1999,1,FALSE),VLOOKUP(E1128,WindowTypeArea!$B$2:$C$2000,2,FALSE))</f>
        <v>#N/A</v>
      </c>
      <c r="M1128">
        <f t="shared" ca="1" si="227"/>
        <v>0</v>
      </c>
    </row>
    <row r="1129" spans="1:13" x14ac:dyDescent="0.25">
      <c r="A1129">
        <f t="shared" ca="1" si="218"/>
        <v>3</v>
      </c>
      <c r="B1129">
        <f t="shared" ca="1" si="219"/>
        <v>8</v>
      </c>
      <c r="C1129" t="str">
        <f t="shared" ca="1" si="228"/>
        <v>'WINDOWS-NCH-A-BDP-M3-01-00'!B7</v>
      </c>
      <c r="D1129" s="6" t="str">
        <f t="shared" ca="1" si="217"/>
        <v>L01-CAM-INP-L007-13</v>
      </c>
      <c r="E1129" t="str">
        <f t="shared" ca="1" si="220"/>
        <v>Family Type: 3490w x 3050h, Family: Window External Type 3 - Recessed and Angle with Type 1 Flush</v>
      </c>
      <c r="F1129" t="str">
        <f t="shared" ca="1" si="221"/>
        <v>Vector(X = -0.041, Y = 0.999, Z = 0.000, Length = 1.000)</v>
      </c>
      <c r="G1129">
        <f t="shared" ca="1" si="222"/>
        <v>0</v>
      </c>
      <c r="H1129">
        <f t="shared" ca="1" si="223"/>
        <v>1</v>
      </c>
      <c r="I1129">
        <f t="shared" ca="1" si="224"/>
        <v>0</v>
      </c>
      <c r="J1129" s="8">
        <f t="shared" ca="1" si="225"/>
        <v>90</v>
      </c>
      <c r="K1129" s="9" t="str">
        <f t="shared" ca="1" si="226"/>
        <v>N</v>
      </c>
      <c r="L1129">
        <f ca="1">+_xlfn.IFNA(VLOOKUP(M1129,BespokeWindowsAreas!$A$1:$E$1999,1,FALSE),VLOOKUP(E1129,WindowTypeArea!$B$2:$C$2000,2,FALSE))</f>
        <v>7.67075</v>
      </c>
      <c r="M1129">
        <f t="shared" ca="1" si="227"/>
        <v>7065331</v>
      </c>
    </row>
    <row r="1130" spans="1:13" x14ac:dyDescent="0.25">
      <c r="A1130">
        <f t="shared" ca="1" si="218"/>
        <v>3</v>
      </c>
      <c r="B1130">
        <f t="shared" ca="1" si="219"/>
        <v>9</v>
      </c>
      <c r="C1130" t="str">
        <f t="shared" ca="1" si="228"/>
        <v>'WINDOWS-NCH-A-BDP-M3-01-00'!B8</v>
      </c>
      <c r="D1130" s="6" t="str">
        <f t="shared" ca="1" si="217"/>
        <v>L01-CAM-INP-S134-01</v>
      </c>
      <c r="E1130" t="str">
        <f t="shared" ca="1" si="220"/>
        <v>L01-CAM-INP-S134-01</v>
      </c>
      <c r="F1130">
        <f t="shared" ca="1" si="221"/>
        <v>1421027</v>
      </c>
      <c r="G1130">
        <f t="shared" ca="1" si="222"/>
        <v>0</v>
      </c>
      <c r="H1130">
        <f t="shared" ca="1" si="223"/>
        <v>0</v>
      </c>
      <c r="I1130">
        <f t="shared" ca="1" si="224"/>
        <v>0</v>
      </c>
      <c r="J1130" s="8" t="e">
        <f t="shared" ca="1" si="225"/>
        <v>#DIV/0!</v>
      </c>
      <c r="K1130" s="9" t="e">
        <f t="shared" ca="1" si="226"/>
        <v>#DIV/0!</v>
      </c>
      <c r="L1130" t="e">
        <f ca="1">+_xlfn.IFNA(VLOOKUP(M1130,BespokeWindowsAreas!$A$1:$E$1999,1,FALSE),VLOOKUP(E1130,WindowTypeArea!$B$2:$C$2000,2,FALSE))</f>
        <v>#N/A</v>
      </c>
      <c r="M1130">
        <f t="shared" ca="1" si="227"/>
        <v>0</v>
      </c>
    </row>
    <row r="1131" spans="1:13" x14ac:dyDescent="0.25">
      <c r="A1131">
        <f t="shared" ca="1" si="218"/>
        <v>3</v>
      </c>
      <c r="B1131">
        <f t="shared" ca="1" si="219"/>
        <v>10</v>
      </c>
      <c r="C1131" t="str">
        <f t="shared" ca="1" si="228"/>
        <v>'WINDOWS-NCH-A-BDP-M3-01-00'!B9</v>
      </c>
      <c r="D1131" s="6" t="str">
        <f t="shared" ca="1" si="217"/>
        <v>L01-CAM-INP-S134-01</v>
      </c>
      <c r="E1131" t="str">
        <f t="shared" ca="1" si="220"/>
        <v>Family Type: 975w x 3050h, Family: Window Internal Type 2a - Recessed</v>
      </c>
      <c r="F1131" t="str">
        <f t="shared" ca="1" si="221"/>
        <v>Vector(X = 0.980, Y = -0.200, Z = 0.000, Length = 1.000)</v>
      </c>
      <c r="G1131">
        <f t="shared" ca="1" si="222"/>
        <v>1</v>
      </c>
      <c r="H1131">
        <f t="shared" ca="1" si="223"/>
        <v>-0.2</v>
      </c>
      <c r="I1131">
        <f t="shared" ca="1" si="224"/>
        <v>0</v>
      </c>
      <c r="J1131" s="8">
        <f t="shared" ca="1" si="225"/>
        <v>-11.309932474020215</v>
      </c>
      <c r="K1131" s="9" t="str">
        <f t="shared" ca="1" si="226"/>
        <v>SE</v>
      </c>
      <c r="L1131">
        <f ca="1">+_xlfn.IFNA(VLOOKUP(M1131,BespokeWindowsAreas!$A$1:$E$1999,1,FALSE),VLOOKUP(E1131,WindowTypeArea!$B$2:$C$2000,2,FALSE))</f>
        <v>2.9737499999999999</v>
      </c>
      <c r="M1131">
        <f t="shared" ca="1" si="227"/>
        <v>5209688</v>
      </c>
    </row>
    <row r="1132" spans="1:13" x14ac:dyDescent="0.25">
      <c r="A1132">
        <f t="shared" ca="1" si="218"/>
        <v>3</v>
      </c>
      <c r="B1132">
        <f t="shared" ca="1" si="219"/>
        <v>11</v>
      </c>
      <c r="C1132" t="str">
        <f t="shared" ca="1" si="228"/>
        <v>'WINDOWS-NCH-A-BDP-M3-01-00'!B10</v>
      </c>
      <c r="D1132" s="6" t="str">
        <f t="shared" ca="1" si="217"/>
        <v>L01-CAM-INP-S134-01</v>
      </c>
      <c r="E1132" t="str">
        <f t="shared" ca="1" si="220"/>
        <v>Family Type: 1950w x 3050h, Family: Window Internal Type 2a - Recessed</v>
      </c>
      <c r="F1132" t="str">
        <f t="shared" ca="1" si="221"/>
        <v>Vector(X = 0.984, Y = -0.175, Z = 0.000, Length = 1.000)</v>
      </c>
      <c r="G1132">
        <f t="shared" ca="1" si="222"/>
        <v>1</v>
      </c>
      <c r="H1132">
        <f t="shared" ca="1" si="223"/>
        <v>-0.2</v>
      </c>
      <c r="I1132">
        <f t="shared" ca="1" si="224"/>
        <v>0</v>
      </c>
      <c r="J1132" s="8">
        <f t="shared" ca="1" si="225"/>
        <v>-11.309932474020215</v>
      </c>
      <c r="K1132" s="9" t="str">
        <f t="shared" ca="1" si="226"/>
        <v>SE</v>
      </c>
      <c r="L1132">
        <f ca="1">+_xlfn.IFNA(VLOOKUP(M1132,BespokeWindowsAreas!$A$1:$E$1999,1,FALSE),VLOOKUP(E1132,WindowTypeArea!$B$2:$C$2000,2,FALSE))</f>
        <v>5.9474999999999998</v>
      </c>
      <c r="M1132">
        <f t="shared" ca="1" si="227"/>
        <v>5209690</v>
      </c>
    </row>
    <row r="1133" spans="1:13" x14ac:dyDescent="0.25">
      <c r="A1133">
        <f t="shared" ca="1" si="218"/>
        <v>3</v>
      </c>
      <c r="B1133">
        <f t="shared" ca="1" si="219"/>
        <v>12</v>
      </c>
      <c r="C1133" t="str">
        <f t="shared" ca="1" si="228"/>
        <v>'WINDOWS-NCH-A-BDP-M3-01-00'!B11</v>
      </c>
      <c r="D1133" s="6" t="str">
        <f t="shared" ca="1" si="217"/>
        <v>L01-CAM-INP-L007-02</v>
      </c>
      <c r="E1133" t="str">
        <f t="shared" ca="1" si="220"/>
        <v>L01-CAM-INP-L007-02</v>
      </c>
      <c r="F1133">
        <f t="shared" ca="1" si="221"/>
        <v>1421071</v>
      </c>
      <c r="G1133">
        <f t="shared" ca="1" si="222"/>
        <v>0</v>
      </c>
      <c r="H1133">
        <f t="shared" ca="1" si="223"/>
        <v>0</v>
      </c>
      <c r="I1133">
        <f t="shared" ca="1" si="224"/>
        <v>0</v>
      </c>
      <c r="J1133" s="8" t="e">
        <f t="shared" ca="1" si="225"/>
        <v>#DIV/0!</v>
      </c>
      <c r="K1133" s="9" t="e">
        <f t="shared" ca="1" si="226"/>
        <v>#DIV/0!</v>
      </c>
      <c r="L1133" t="e">
        <f ca="1">+_xlfn.IFNA(VLOOKUP(M1133,BespokeWindowsAreas!$A$1:$E$1999,1,FALSE),VLOOKUP(E1133,WindowTypeArea!$B$2:$C$2000,2,FALSE))</f>
        <v>#N/A</v>
      </c>
      <c r="M1133">
        <f t="shared" ca="1" si="227"/>
        <v>0</v>
      </c>
    </row>
    <row r="1134" spans="1:13" x14ac:dyDescent="0.25">
      <c r="A1134">
        <f t="shared" ca="1" si="218"/>
        <v>3</v>
      </c>
      <c r="B1134">
        <f t="shared" ca="1" si="219"/>
        <v>13</v>
      </c>
      <c r="C1134" t="str">
        <f t="shared" ca="1" si="228"/>
        <v>'WINDOWS-NCH-A-BDP-M3-01-00'!B12</v>
      </c>
      <c r="D1134" s="6" t="str">
        <f t="shared" ca="1" si="217"/>
        <v>L01-CAM-INP-L007-02</v>
      </c>
      <c r="E1134" t="str">
        <f t="shared" ca="1" si="220"/>
        <v>Family Type: 3000w x 3050h, Family: Window External Type 3 - Recessed and Angle with Type 1 Flush</v>
      </c>
      <c r="F1134" t="str">
        <f t="shared" ca="1" si="221"/>
        <v>Vector(X = -0.130, Y = -0.991, Z = 0.000, Length = 1.000)</v>
      </c>
      <c r="G1134">
        <f t="shared" ca="1" si="222"/>
        <v>-0.1</v>
      </c>
      <c r="H1134">
        <f t="shared" ca="1" si="223"/>
        <v>-1</v>
      </c>
      <c r="I1134">
        <f t="shared" ca="1" si="224"/>
        <v>0</v>
      </c>
      <c r="J1134" s="8">
        <f t="shared" ca="1" si="225"/>
        <v>-95.710593137499629</v>
      </c>
      <c r="K1134" s="9" t="str">
        <f t="shared" ca="1" si="226"/>
        <v>SW</v>
      </c>
      <c r="L1134">
        <f ca="1">+_xlfn.IFNA(VLOOKUP(M1134,BespokeWindowsAreas!$A$1:$E$1999,1,FALSE),VLOOKUP(E1134,WindowTypeArea!$B$2:$C$2000,2,FALSE))</f>
        <v>6.1762499999999996</v>
      </c>
      <c r="M1134">
        <f t="shared" ca="1" si="227"/>
        <v>7060821</v>
      </c>
    </row>
    <row r="1135" spans="1:13" x14ac:dyDescent="0.25">
      <c r="A1135">
        <f t="shared" ca="1" si="218"/>
        <v>3</v>
      </c>
      <c r="B1135">
        <f t="shared" ca="1" si="219"/>
        <v>14</v>
      </c>
      <c r="C1135" t="str">
        <f t="shared" ca="1" si="228"/>
        <v>'WINDOWS-NCH-A-BDP-M3-01-00'!B13</v>
      </c>
      <c r="D1135" s="6" t="str">
        <f t="shared" ca="1" si="217"/>
        <v>L01-CAM-INP-L007-05</v>
      </c>
      <c r="E1135" t="str">
        <f t="shared" ca="1" si="220"/>
        <v>L01-CAM-INP-L007-05</v>
      </c>
      <c r="F1135">
        <f t="shared" ca="1" si="221"/>
        <v>1421077</v>
      </c>
      <c r="G1135">
        <f t="shared" ca="1" si="222"/>
        <v>0</v>
      </c>
      <c r="H1135">
        <f t="shared" ca="1" si="223"/>
        <v>0</v>
      </c>
      <c r="I1135">
        <f t="shared" ca="1" si="224"/>
        <v>0</v>
      </c>
      <c r="J1135" s="8" t="e">
        <f t="shared" ca="1" si="225"/>
        <v>#DIV/0!</v>
      </c>
      <c r="K1135" s="9" t="e">
        <f t="shared" ca="1" si="226"/>
        <v>#DIV/0!</v>
      </c>
      <c r="L1135" t="e">
        <f ca="1">+_xlfn.IFNA(VLOOKUP(M1135,BespokeWindowsAreas!$A$1:$E$1999,1,FALSE),VLOOKUP(E1135,WindowTypeArea!$B$2:$C$2000,2,FALSE))</f>
        <v>#N/A</v>
      </c>
      <c r="M1135">
        <f t="shared" ca="1" si="227"/>
        <v>0</v>
      </c>
    </row>
    <row r="1136" spans="1:13" x14ac:dyDescent="0.25">
      <c r="A1136">
        <f t="shared" ca="1" si="218"/>
        <v>3</v>
      </c>
      <c r="B1136">
        <f t="shared" ca="1" si="219"/>
        <v>15</v>
      </c>
      <c r="C1136" t="str">
        <f t="shared" ca="1" si="228"/>
        <v>'WINDOWS-NCH-A-BDP-M3-01-00'!B14</v>
      </c>
      <c r="D1136" s="6" t="str">
        <f t="shared" ca="1" si="217"/>
        <v>L01-CAM-INP-L007-05</v>
      </c>
      <c r="E1136" t="str">
        <f t="shared" ca="1" si="220"/>
        <v>Family Type: 3000w x 3050h, Family: Window External Type 3 - Recessed and Angle with Type 1 Flush</v>
      </c>
      <c r="F1136" t="str">
        <f t="shared" ca="1" si="221"/>
        <v>Vector(X = 0.130, Y = 0.991, Z = 0.000, Length = 1.000)</v>
      </c>
      <c r="G1136">
        <f t="shared" ca="1" si="222"/>
        <v>0.1</v>
      </c>
      <c r="H1136">
        <f t="shared" ca="1" si="223"/>
        <v>1</v>
      </c>
      <c r="I1136">
        <f t="shared" ca="1" si="224"/>
        <v>0</v>
      </c>
      <c r="J1136" s="8">
        <f t="shared" ca="1" si="225"/>
        <v>84.289406862500371</v>
      </c>
      <c r="K1136" s="9" t="str">
        <f t="shared" ca="1" si="226"/>
        <v>NE</v>
      </c>
      <c r="L1136">
        <f ca="1">+_xlfn.IFNA(VLOOKUP(M1136,BespokeWindowsAreas!$A$1:$E$1999,1,FALSE),VLOOKUP(E1136,WindowTypeArea!$B$2:$C$2000,2,FALSE))</f>
        <v>6.1762499999999996</v>
      </c>
      <c r="M1136">
        <f t="shared" ca="1" si="227"/>
        <v>7064939</v>
      </c>
    </row>
    <row r="1137" spans="1:13" x14ac:dyDescent="0.25">
      <c r="A1137">
        <f t="shared" ca="1" si="218"/>
        <v>3</v>
      </c>
      <c r="B1137">
        <f t="shared" ca="1" si="219"/>
        <v>16</v>
      </c>
      <c r="C1137" t="str">
        <f t="shared" ca="1" si="228"/>
        <v>'WINDOWS-NCH-A-BDP-M3-01-00'!B15</v>
      </c>
      <c r="D1137" s="6" t="str">
        <f t="shared" ca="1" si="217"/>
        <v>L01-CAM-INP-L007-06</v>
      </c>
      <c r="E1137" t="str">
        <f t="shared" ca="1" si="220"/>
        <v>L01-CAM-INP-L007-06</v>
      </c>
      <c r="F1137">
        <f t="shared" ca="1" si="221"/>
        <v>1421079</v>
      </c>
      <c r="G1137">
        <f t="shared" ca="1" si="222"/>
        <v>0</v>
      </c>
      <c r="H1137">
        <f t="shared" ca="1" si="223"/>
        <v>0</v>
      </c>
      <c r="I1137">
        <f t="shared" ca="1" si="224"/>
        <v>0</v>
      </c>
      <c r="J1137" s="8" t="e">
        <f t="shared" ca="1" si="225"/>
        <v>#DIV/0!</v>
      </c>
      <c r="K1137" s="9" t="e">
        <f t="shared" ca="1" si="226"/>
        <v>#DIV/0!</v>
      </c>
      <c r="L1137" t="e">
        <f ca="1">+_xlfn.IFNA(VLOOKUP(M1137,BespokeWindowsAreas!$A$1:$E$1999,1,FALSE),VLOOKUP(E1137,WindowTypeArea!$B$2:$C$2000,2,FALSE))</f>
        <v>#N/A</v>
      </c>
      <c r="M1137">
        <f t="shared" ca="1" si="227"/>
        <v>0</v>
      </c>
    </row>
    <row r="1138" spans="1:13" x14ac:dyDescent="0.25">
      <c r="A1138">
        <f t="shared" ca="1" si="218"/>
        <v>3</v>
      </c>
      <c r="B1138">
        <f t="shared" ca="1" si="219"/>
        <v>17</v>
      </c>
      <c r="C1138" t="str">
        <f t="shared" ca="1" si="228"/>
        <v>'WINDOWS-NCH-A-BDP-M3-01-00'!B16</v>
      </c>
      <c r="D1138" s="6" t="str">
        <f t="shared" ca="1" si="217"/>
        <v>L01-CAM-INP-L007-06</v>
      </c>
      <c r="E1138" t="str">
        <f t="shared" ca="1" si="220"/>
        <v>Family Type: 3000w x 3050h, Family: Window External Type 3 - Recessed and Angle with Type 1 Flush</v>
      </c>
      <c r="F1138" t="str">
        <f t="shared" ca="1" si="221"/>
        <v>Vector(X = 0.130, Y = 0.991, Z = 0.000, Length = 1.000)</v>
      </c>
      <c r="G1138">
        <f t="shared" ca="1" si="222"/>
        <v>0.1</v>
      </c>
      <c r="H1138">
        <f t="shared" ca="1" si="223"/>
        <v>1</v>
      </c>
      <c r="I1138">
        <f t="shared" ca="1" si="224"/>
        <v>0</v>
      </c>
      <c r="J1138" s="8">
        <f t="shared" ca="1" si="225"/>
        <v>84.289406862500371</v>
      </c>
      <c r="K1138" s="9" t="str">
        <f t="shared" ca="1" si="226"/>
        <v>NE</v>
      </c>
      <c r="L1138">
        <f ca="1">+_xlfn.IFNA(VLOOKUP(M1138,BespokeWindowsAreas!$A$1:$E$1999,1,FALSE),VLOOKUP(E1138,WindowTypeArea!$B$2:$C$2000,2,FALSE))</f>
        <v>6.1762499999999996</v>
      </c>
      <c r="M1138">
        <f t="shared" ca="1" si="227"/>
        <v>7064898</v>
      </c>
    </row>
    <row r="1139" spans="1:13" x14ac:dyDescent="0.25">
      <c r="A1139">
        <f t="shared" ca="1" si="218"/>
        <v>3</v>
      </c>
      <c r="B1139">
        <f t="shared" ca="1" si="219"/>
        <v>18</v>
      </c>
      <c r="C1139" t="str">
        <f t="shared" ca="1" si="228"/>
        <v>'WINDOWS-NCH-A-BDP-M3-01-00'!B17</v>
      </c>
      <c r="D1139" s="6" t="str">
        <f t="shared" ca="1" si="217"/>
        <v>L01-CAM-INP-L007-07</v>
      </c>
      <c r="E1139" t="str">
        <f t="shared" ca="1" si="220"/>
        <v>L01-CAM-INP-L007-07</v>
      </c>
      <c r="F1139">
        <f t="shared" ca="1" si="221"/>
        <v>1421081</v>
      </c>
      <c r="G1139">
        <f t="shared" ca="1" si="222"/>
        <v>0</v>
      </c>
      <c r="H1139">
        <f t="shared" ca="1" si="223"/>
        <v>0</v>
      </c>
      <c r="I1139">
        <f t="shared" ca="1" si="224"/>
        <v>0</v>
      </c>
      <c r="J1139" s="8" t="e">
        <f t="shared" ca="1" si="225"/>
        <v>#DIV/0!</v>
      </c>
      <c r="K1139" s="9" t="e">
        <f t="shared" ca="1" si="226"/>
        <v>#DIV/0!</v>
      </c>
      <c r="L1139" t="e">
        <f ca="1">+_xlfn.IFNA(VLOOKUP(M1139,BespokeWindowsAreas!$A$1:$E$1999,1,FALSE),VLOOKUP(E1139,WindowTypeArea!$B$2:$C$2000,2,FALSE))</f>
        <v>#N/A</v>
      </c>
      <c r="M1139">
        <f t="shared" ca="1" si="227"/>
        <v>0</v>
      </c>
    </row>
    <row r="1140" spans="1:13" x14ac:dyDescent="0.25">
      <c r="A1140">
        <f t="shared" ca="1" si="218"/>
        <v>3</v>
      </c>
      <c r="B1140">
        <f t="shared" ca="1" si="219"/>
        <v>19</v>
      </c>
      <c r="C1140" t="str">
        <f t="shared" ca="1" si="228"/>
        <v>'WINDOWS-NCH-A-BDP-M3-01-00'!B18</v>
      </c>
      <c r="D1140" s="6" t="str">
        <f t="shared" ca="1" si="217"/>
        <v>L01-CAM-INP-L007-07</v>
      </c>
      <c r="E1140" t="str">
        <f t="shared" ca="1" si="220"/>
        <v>Family Type: 3000w x 3050h, Family: Window External Type 3 - Recessed and Angle with Type 1 Flush</v>
      </c>
      <c r="F1140" t="str">
        <f t="shared" ca="1" si="221"/>
        <v>Vector(X = -0.130, Y = -0.991, Z = 0.000, Length = 1.000)</v>
      </c>
      <c r="G1140">
        <f t="shared" ca="1" si="222"/>
        <v>-0.1</v>
      </c>
      <c r="H1140">
        <f t="shared" ca="1" si="223"/>
        <v>-1</v>
      </c>
      <c r="I1140">
        <f t="shared" ca="1" si="224"/>
        <v>0</v>
      </c>
      <c r="J1140" s="8">
        <f t="shared" ca="1" si="225"/>
        <v>-95.710593137499629</v>
      </c>
      <c r="K1140" s="9" t="str">
        <f t="shared" ca="1" si="226"/>
        <v>SW</v>
      </c>
      <c r="L1140">
        <f ca="1">+_xlfn.IFNA(VLOOKUP(M1140,BespokeWindowsAreas!$A$1:$E$1999,1,FALSE),VLOOKUP(E1140,WindowTypeArea!$B$2:$C$2000,2,FALSE))</f>
        <v>6.1762499999999996</v>
      </c>
      <c r="M1140">
        <f t="shared" ca="1" si="227"/>
        <v>7060877</v>
      </c>
    </row>
    <row r="1141" spans="1:13" x14ac:dyDescent="0.25">
      <c r="A1141">
        <f t="shared" ca="1" si="218"/>
        <v>3</v>
      </c>
      <c r="B1141">
        <f t="shared" ca="1" si="219"/>
        <v>20</v>
      </c>
      <c r="C1141" t="str">
        <f t="shared" ca="1" si="228"/>
        <v>'WINDOWS-NCH-A-BDP-M3-01-00'!B19</v>
      </c>
      <c r="D1141" s="6" t="str">
        <f t="shared" ca="1" si="217"/>
        <v>L01-CAM-INP-L007-08</v>
      </c>
      <c r="E1141" t="str">
        <f t="shared" ca="1" si="220"/>
        <v>L01-CAM-INP-L007-08</v>
      </c>
      <c r="F1141">
        <f t="shared" ca="1" si="221"/>
        <v>1421083</v>
      </c>
      <c r="G1141">
        <f t="shared" ca="1" si="222"/>
        <v>0</v>
      </c>
      <c r="H1141">
        <f t="shared" ca="1" si="223"/>
        <v>0</v>
      </c>
      <c r="I1141">
        <f t="shared" ca="1" si="224"/>
        <v>0</v>
      </c>
      <c r="J1141" s="8" t="e">
        <f t="shared" ca="1" si="225"/>
        <v>#DIV/0!</v>
      </c>
      <c r="K1141" s="9" t="e">
        <f t="shared" ca="1" si="226"/>
        <v>#DIV/0!</v>
      </c>
      <c r="L1141" t="e">
        <f ca="1">+_xlfn.IFNA(VLOOKUP(M1141,BespokeWindowsAreas!$A$1:$E$1999,1,FALSE),VLOOKUP(E1141,WindowTypeArea!$B$2:$C$2000,2,FALSE))</f>
        <v>#N/A</v>
      </c>
      <c r="M1141">
        <f t="shared" ca="1" si="227"/>
        <v>0</v>
      </c>
    </row>
    <row r="1142" spans="1:13" x14ac:dyDescent="0.25">
      <c r="A1142">
        <f t="shared" ca="1" si="218"/>
        <v>3</v>
      </c>
      <c r="B1142">
        <f t="shared" ca="1" si="219"/>
        <v>21</v>
      </c>
      <c r="C1142" t="str">
        <f t="shared" ca="1" si="228"/>
        <v>'WINDOWS-NCH-A-BDP-M3-01-00'!B20</v>
      </c>
      <c r="D1142" s="6" t="str">
        <f t="shared" ca="1" si="217"/>
        <v>L01-CAM-INP-L007-08</v>
      </c>
      <c r="E1142" t="str">
        <f t="shared" ca="1" si="220"/>
        <v>Family Type: 1500w x 3050h, Family: Window External Type 3 - Recessed and Angle</v>
      </c>
      <c r="F1142" t="str">
        <f t="shared" ca="1" si="221"/>
        <v>Vector(X = 0.130, Y = 0.991, Z = 0.000, Length = 1.000)</v>
      </c>
      <c r="G1142">
        <f t="shared" ca="1" si="222"/>
        <v>0.1</v>
      </c>
      <c r="H1142">
        <f t="shared" ca="1" si="223"/>
        <v>1</v>
      </c>
      <c r="I1142">
        <f t="shared" ca="1" si="224"/>
        <v>0</v>
      </c>
      <c r="J1142" s="8">
        <f t="shared" ca="1" si="225"/>
        <v>84.289406862500371</v>
      </c>
      <c r="K1142" s="9" t="str">
        <f t="shared" ca="1" si="226"/>
        <v>NE</v>
      </c>
      <c r="L1142">
        <f ca="1">+_xlfn.IFNA(VLOOKUP(M1142,BespokeWindowsAreas!$A$1:$E$1999,1,FALSE),VLOOKUP(E1142,WindowTypeArea!$B$2:$C$2000,2,FALSE))</f>
        <v>4.5750000000000002</v>
      </c>
      <c r="M1142">
        <f t="shared" ca="1" si="227"/>
        <v>6562531</v>
      </c>
    </row>
    <row r="1143" spans="1:13" x14ac:dyDescent="0.25">
      <c r="A1143">
        <f t="shared" ca="1" si="218"/>
        <v>3</v>
      </c>
      <c r="B1143">
        <f t="shared" ca="1" si="219"/>
        <v>22</v>
      </c>
      <c r="C1143" t="str">
        <f t="shared" ca="1" si="228"/>
        <v>'WINDOWS-NCH-A-BDP-M3-01-00'!B21</v>
      </c>
      <c r="D1143" s="6" t="str">
        <f t="shared" ca="1" si="217"/>
        <v>L01-CAM-INP-L007-09</v>
      </c>
      <c r="E1143" t="str">
        <f t="shared" ca="1" si="220"/>
        <v>L01-CAM-INP-L007-09</v>
      </c>
      <c r="F1143">
        <f t="shared" ca="1" si="221"/>
        <v>1421085</v>
      </c>
      <c r="G1143">
        <f t="shared" ca="1" si="222"/>
        <v>0</v>
      </c>
      <c r="H1143">
        <f t="shared" ca="1" si="223"/>
        <v>0</v>
      </c>
      <c r="I1143">
        <f t="shared" ca="1" si="224"/>
        <v>0</v>
      </c>
      <c r="J1143" s="8" t="e">
        <f t="shared" ca="1" si="225"/>
        <v>#DIV/0!</v>
      </c>
      <c r="K1143" s="9" t="e">
        <f t="shared" ca="1" si="226"/>
        <v>#DIV/0!</v>
      </c>
      <c r="L1143" t="e">
        <f ca="1">+_xlfn.IFNA(VLOOKUP(M1143,BespokeWindowsAreas!$A$1:$E$1999,1,FALSE),VLOOKUP(E1143,WindowTypeArea!$B$2:$C$2000,2,FALSE))</f>
        <v>#N/A</v>
      </c>
      <c r="M1143">
        <f t="shared" ca="1" si="227"/>
        <v>0</v>
      </c>
    </row>
    <row r="1144" spans="1:13" x14ac:dyDescent="0.25">
      <c r="A1144">
        <f t="shared" ca="1" si="218"/>
        <v>3</v>
      </c>
      <c r="B1144">
        <f t="shared" ca="1" si="219"/>
        <v>23</v>
      </c>
      <c r="C1144" t="str">
        <f t="shared" ca="1" si="228"/>
        <v>'WINDOWS-NCH-A-BDP-M3-01-00'!B22</v>
      </c>
      <c r="D1144" s="6" t="str">
        <f t="shared" ca="1" si="217"/>
        <v>L01-CAM-INP-L007-09</v>
      </c>
      <c r="E1144" t="str">
        <f t="shared" ca="1" si="220"/>
        <v>Family Type: 3000w x 3050h, Family: Window External Type 3 - Recessed and Angle with Type 1 Flush</v>
      </c>
      <c r="F1144" t="str">
        <f t="shared" ca="1" si="221"/>
        <v>Vector(X = -0.130, Y = -0.991, Z = 0.000, Length = 1.000)</v>
      </c>
      <c r="G1144">
        <f t="shared" ca="1" si="222"/>
        <v>-0.1</v>
      </c>
      <c r="H1144">
        <f t="shared" ca="1" si="223"/>
        <v>-1</v>
      </c>
      <c r="I1144">
        <f t="shared" ca="1" si="224"/>
        <v>0</v>
      </c>
      <c r="J1144" s="8">
        <f t="shared" ca="1" si="225"/>
        <v>-95.710593137499629</v>
      </c>
      <c r="K1144" s="9" t="str">
        <f t="shared" ca="1" si="226"/>
        <v>SW</v>
      </c>
      <c r="L1144">
        <f ca="1">+_xlfn.IFNA(VLOOKUP(M1144,BespokeWindowsAreas!$A$1:$E$1999,1,FALSE),VLOOKUP(E1144,WindowTypeArea!$B$2:$C$2000,2,FALSE))</f>
        <v>6.1762499999999996</v>
      </c>
      <c r="M1144">
        <f t="shared" ca="1" si="227"/>
        <v>7060921</v>
      </c>
    </row>
    <row r="1145" spans="1:13" x14ac:dyDescent="0.25">
      <c r="A1145">
        <f t="shared" ca="1" si="218"/>
        <v>3</v>
      </c>
      <c r="B1145">
        <f t="shared" ca="1" si="219"/>
        <v>24</v>
      </c>
      <c r="C1145" t="str">
        <f t="shared" ca="1" si="228"/>
        <v>'WINDOWS-NCH-A-BDP-M3-01-00'!B23</v>
      </c>
      <c r="D1145" s="6" t="str">
        <f t="shared" ca="1" si="217"/>
        <v>L01-CAM-INP-L007-10</v>
      </c>
      <c r="E1145" t="str">
        <f t="shared" ca="1" si="220"/>
        <v>L01-CAM-INP-L007-10</v>
      </c>
      <c r="F1145">
        <f t="shared" ca="1" si="221"/>
        <v>1421087</v>
      </c>
      <c r="G1145">
        <f t="shared" ca="1" si="222"/>
        <v>0</v>
      </c>
      <c r="H1145">
        <f t="shared" ca="1" si="223"/>
        <v>0</v>
      </c>
      <c r="I1145">
        <f t="shared" ca="1" si="224"/>
        <v>0</v>
      </c>
      <c r="J1145" s="8" t="e">
        <f t="shared" ca="1" si="225"/>
        <v>#DIV/0!</v>
      </c>
      <c r="K1145" s="9" t="e">
        <f t="shared" ca="1" si="226"/>
        <v>#DIV/0!</v>
      </c>
      <c r="L1145" t="e">
        <f ca="1">+_xlfn.IFNA(VLOOKUP(M1145,BespokeWindowsAreas!$A$1:$E$1999,1,FALSE),VLOOKUP(E1145,WindowTypeArea!$B$2:$C$2000,2,FALSE))</f>
        <v>#N/A</v>
      </c>
      <c r="M1145">
        <f t="shared" ca="1" si="227"/>
        <v>0</v>
      </c>
    </row>
    <row r="1146" spans="1:13" x14ac:dyDescent="0.25">
      <c r="A1146">
        <f t="shared" ca="1" si="218"/>
        <v>3</v>
      </c>
      <c r="B1146">
        <f t="shared" ca="1" si="219"/>
        <v>25</v>
      </c>
      <c r="C1146" t="str">
        <f t="shared" ca="1" si="228"/>
        <v>'WINDOWS-NCH-A-BDP-M3-01-00'!B24</v>
      </c>
      <c r="D1146" s="6" t="str">
        <f t="shared" ca="1" si="217"/>
        <v>L01-CAM-INP-L007-10</v>
      </c>
      <c r="E1146" t="str">
        <f t="shared" ca="1" si="220"/>
        <v>Family Type: 3000w x 3050h, Family: Window External Type 3 - Recessed and Angle with Type 1 Flush</v>
      </c>
      <c r="F1146" t="str">
        <f t="shared" ca="1" si="221"/>
        <v>Vector(X = -0.130, Y = -0.991, Z = 0.000, Length = 1.000)</v>
      </c>
      <c r="G1146">
        <f t="shared" ca="1" si="222"/>
        <v>-0.1</v>
      </c>
      <c r="H1146">
        <f t="shared" ca="1" si="223"/>
        <v>-1</v>
      </c>
      <c r="I1146">
        <f t="shared" ca="1" si="224"/>
        <v>0</v>
      </c>
      <c r="J1146" s="8">
        <f t="shared" ca="1" si="225"/>
        <v>-95.710593137499629</v>
      </c>
      <c r="K1146" s="9" t="str">
        <f t="shared" ca="1" si="226"/>
        <v>SW</v>
      </c>
      <c r="L1146">
        <f ca="1">+_xlfn.IFNA(VLOOKUP(M1146,BespokeWindowsAreas!$A$1:$E$1999,1,FALSE),VLOOKUP(E1146,WindowTypeArea!$B$2:$C$2000,2,FALSE))</f>
        <v>6.1762499999999996</v>
      </c>
      <c r="M1146">
        <f t="shared" ca="1" si="227"/>
        <v>7060942</v>
      </c>
    </row>
    <row r="1147" spans="1:13" x14ac:dyDescent="0.25">
      <c r="A1147">
        <f t="shared" ca="1" si="218"/>
        <v>3</v>
      </c>
      <c r="B1147">
        <f t="shared" ca="1" si="219"/>
        <v>26</v>
      </c>
      <c r="C1147" t="str">
        <f t="shared" ca="1" si="228"/>
        <v>'WINDOWS-NCH-A-BDP-M3-01-00'!B25</v>
      </c>
      <c r="D1147" s="6" t="str">
        <f t="shared" ca="1" si="217"/>
        <v>L01-CAM-INP-L007-11</v>
      </c>
      <c r="E1147" t="str">
        <f t="shared" ca="1" si="220"/>
        <v>L01-CAM-INP-L007-11</v>
      </c>
      <c r="F1147">
        <f t="shared" ca="1" si="221"/>
        <v>1421089</v>
      </c>
      <c r="G1147">
        <f t="shared" ca="1" si="222"/>
        <v>0</v>
      </c>
      <c r="H1147">
        <f t="shared" ca="1" si="223"/>
        <v>0</v>
      </c>
      <c r="I1147">
        <f t="shared" ca="1" si="224"/>
        <v>0</v>
      </c>
      <c r="J1147" s="8" t="e">
        <f t="shared" ca="1" si="225"/>
        <v>#DIV/0!</v>
      </c>
      <c r="K1147" s="9" t="e">
        <f t="shared" ca="1" si="226"/>
        <v>#DIV/0!</v>
      </c>
      <c r="L1147" t="e">
        <f ca="1">+_xlfn.IFNA(VLOOKUP(M1147,BespokeWindowsAreas!$A$1:$E$1999,1,FALSE),VLOOKUP(E1147,WindowTypeArea!$B$2:$C$2000,2,FALSE))</f>
        <v>#N/A</v>
      </c>
      <c r="M1147">
        <f t="shared" ca="1" si="227"/>
        <v>0</v>
      </c>
    </row>
    <row r="1148" spans="1:13" x14ac:dyDescent="0.25">
      <c r="A1148">
        <f t="shared" ca="1" si="218"/>
        <v>3</v>
      </c>
      <c r="B1148">
        <f t="shared" ca="1" si="219"/>
        <v>27</v>
      </c>
      <c r="C1148" t="str">
        <f t="shared" ca="1" si="228"/>
        <v>'WINDOWS-NCH-A-BDP-M3-01-00'!B26</v>
      </c>
      <c r="D1148" s="6" t="str">
        <f t="shared" ca="1" si="217"/>
        <v>L01-CAM-INP-L007-11</v>
      </c>
      <c r="E1148" t="str">
        <f t="shared" ca="1" si="220"/>
        <v>Family Type: 3000w x 3050h, Family: Window External Type 3 - Recessed and Angle with Type 1 Flush</v>
      </c>
      <c r="F1148" t="str">
        <f t="shared" ca="1" si="221"/>
        <v>Vector(X = -0.130, Y = -0.991, Z = 0.000, Length = 1.000)</v>
      </c>
      <c r="G1148">
        <f t="shared" ca="1" si="222"/>
        <v>-0.1</v>
      </c>
      <c r="H1148">
        <f t="shared" ca="1" si="223"/>
        <v>-1</v>
      </c>
      <c r="I1148">
        <f t="shared" ca="1" si="224"/>
        <v>0</v>
      </c>
      <c r="J1148" s="8">
        <f t="shared" ca="1" si="225"/>
        <v>-95.710593137499629</v>
      </c>
      <c r="K1148" s="9" t="str">
        <f t="shared" ca="1" si="226"/>
        <v>SW</v>
      </c>
      <c r="L1148">
        <f ca="1">+_xlfn.IFNA(VLOOKUP(M1148,BespokeWindowsAreas!$A$1:$E$1999,1,FALSE),VLOOKUP(E1148,WindowTypeArea!$B$2:$C$2000,2,FALSE))</f>
        <v>6.1762499999999996</v>
      </c>
      <c r="M1148">
        <f t="shared" ca="1" si="227"/>
        <v>7060977</v>
      </c>
    </row>
    <row r="1149" spans="1:13" x14ac:dyDescent="0.25">
      <c r="A1149">
        <f t="shared" ca="1" si="218"/>
        <v>3</v>
      </c>
      <c r="B1149">
        <f t="shared" ca="1" si="219"/>
        <v>28</v>
      </c>
      <c r="C1149" t="str">
        <f t="shared" ca="1" si="228"/>
        <v>'WINDOWS-NCH-A-BDP-M3-01-00'!B27</v>
      </c>
      <c r="D1149" s="6" t="str">
        <f t="shared" ca="1" si="217"/>
        <v>L01-CAM-INP-S044-05</v>
      </c>
      <c r="E1149" t="str">
        <f t="shared" ca="1" si="220"/>
        <v>L01-CAM-INP-S044-05</v>
      </c>
      <c r="F1149">
        <f t="shared" ca="1" si="221"/>
        <v>1421099</v>
      </c>
      <c r="G1149">
        <f t="shared" ca="1" si="222"/>
        <v>0</v>
      </c>
      <c r="H1149">
        <f t="shared" ca="1" si="223"/>
        <v>0</v>
      </c>
      <c r="I1149">
        <f t="shared" ca="1" si="224"/>
        <v>0</v>
      </c>
      <c r="J1149" s="8" t="e">
        <f t="shared" ca="1" si="225"/>
        <v>#DIV/0!</v>
      </c>
      <c r="K1149" s="9" t="e">
        <f t="shared" ca="1" si="226"/>
        <v>#DIV/0!</v>
      </c>
      <c r="L1149" t="e">
        <f ca="1">+_xlfn.IFNA(VLOOKUP(M1149,BespokeWindowsAreas!$A$1:$E$1999,1,FALSE),VLOOKUP(E1149,WindowTypeArea!$B$2:$C$2000,2,FALSE))</f>
        <v>#N/A</v>
      </c>
      <c r="M1149">
        <f t="shared" ca="1" si="227"/>
        <v>0</v>
      </c>
    </row>
    <row r="1150" spans="1:13" x14ac:dyDescent="0.25">
      <c r="A1150">
        <f t="shared" ca="1" si="218"/>
        <v>3</v>
      </c>
      <c r="B1150">
        <f t="shared" ca="1" si="219"/>
        <v>29</v>
      </c>
      <c r="C1150" t="str">
        <f t="shared" ca="1" si="228"/>
        <v>'WINDOWS-NCH-A-BDP-M3-01-00'!B28</v>
      </c>
      <c r="D1150" s="6" t="str">
        <f t="shared" ca="1" si="217"/>
        <v>L01-CAM-INP-S044-05</v>
      </c>
      <c r="E1150" t="str">
        <f t="shared" ca="1" si="220"/>
        <v>Family Type: 3000w x 3050h, Family: Window External Type 3 - Recessed and Angle with Type 1 Flush</v>
      </c>
      <c r="F1150" t="str">
        <f t="shared" ca="1" si="221"/>
        <v>Vector(X = 0.130, Y = 0.991, Z = 0.000, Length = 1.000)</v>
      </c>
      <c r="G1150">
        <f t="shared" ca="1" si="222"/>
        <v>0.1</v>
      </c>
      <c r="H1150">
        <f t="shared" ca="1" si="223"/>
        <v>1</v>
      </c>
      <c r="I1150">
        <f t="shared" ca="1" si="224"/>
        <v>0</v>
      </c>
      <c r="J1150" s="8">
        <f t="shared" ca="1" si="225"/>
        <v>84.289406862500371</v>
      </c>
      <c r="K1150" s="9" t="str">
        <f t="shared" ca="1" si="226"/>
        <v>NE</v>
      </c>
      <c r="L1150">
        <f ca="1">+_xlfn.IFNA(VLOOKUP(M1150,BespokeWindowsAreas!$A$1:$E$1999,1,FALSE),VLOOKUP(E1150,WindowTypeArea!$B$2:$C$2000,2,FALSE))</f>
        <v>6.1762499999999996</v>
      </c>
      <c r="M1150">
        <f t="shared" ca="1" si="227"/>
        <v>7064898</v>
      </c>
    </row>
    <row r="1151" spans="1:13" x14ac:dyDescent="0.25">
      <c r="A1151">
        <f t="shared" ca="1" si="218"/>
        <v>3</v>
      </c>
      <c r="B1151">
        <f t="shared" ca="1" si="219"/>
        <v>30</v>
      </c>
      <c r="C1151" t="str">
        <f t="shared" ca="1" si="228"/>
        <v>'WINDOWS-NCH-A-BDP-M3-01-00'!B29</v>
      </c>
      <c r="D1151" s="6" t="str">
        <f t="shared" ca="1" si="217"/>
        <v>L01-CAM-INP-L007-14</v>
      </c>
      <c r="E1151" t="str">
        <f t="shared" ca="1" si="220"/>
        <v>L01-CAM-INP-L007-14</v>
      </c>
      <c r="F1151">
        <f t="shared" ca="1" si="221"/>
        <v>1421113</v>
      </c>
      <c r="G1151">
        <f t="shared" ca="1" si="222"/>
        <v>0</v>
      </c>
      <c r="H1151">
        <f t="shared" ca="1" si="223"/>
        <v>0</v>
      </c>
      <c r="I1151">
        <f t="shared" ca="1" si="224"/>
        <v>0</v>
      </c>
      <c r="J1151" s="8" t="e">
        <f t="shared" ca="1" si="225"/>
        <v>#DIV/0!</v>
      </c>
      <c r="K1151" s="9" t="e">
        <f t="shared" ca="1" si="226"/>
        <v>#DIV/0!</v>
      </c>
      <c r="L1151" t="e">
        <f ca="1">+_xlfn.IFNA(VLOOKUP(M1151,BespokeWindowsAreas!$A$1:$E$1999,1,FALSE),VLOOKUP(E1151,WindowTypeArea!$B$2:$C$2000,2,FALSE))</f>
        <v>#N/A</v>
      </c>
      <c r="M1151">
        <f t="shared" ca="1" si="227"/>
        <v>0</v>
      </c>
    </row>
    <row r="1152" spans="1:13" x14ac:dyDescent="0.25">
      <c r="A1152">
        <f t="shared" ca="1" si="218"/>
        <v>3</v>
      </c>
      <c r="B1152">
        <f t="shared" ca="1" si="219"/>
        <v>31</v>
      </c>
      <c r="C1152" t="str">
        <f t="shared" ca="1" si="228"/>
        <v>'WINDOWS-NCH-A-BDP-M3-01-00'!B30</v>
      </c>
      <c r="D1152" s="6" t="str">
        <f t="shared" ca="1" si="217"/>
        <v>L01-CAM-INP-L007-14</v>
      </c>
      <c r="E1152" t="str">
        <f t="shared" ca="1" si="220"/>
        <v>Family Type: 1950w x 3050h, Family: Window External Type 3 - Recessed and Angle</v>
      </c>
      <c r="F1152" t="str">
        <f t="shared" ca="1" si="221"/>
        <v>Vector(X = -0.041, Y = 0.999, Z = 0.000, Length = 1.000)</v>
      </c>
      <c r="G1152">
        <f t="shared" ca="1" si="222"/>
        <v>0</v>
      </c>
      <c r="H1152">
        <f t="shared" ca="1" si="223"/>
        <v>1</v>
      </c>
      <c r="I1152">
        <f t="shared" ca="1" si="224"/>
        <v>0</v>
      </c>
      <c r="J1152" s="8">
        <f t="shared" ca="1" si="225"/>
        <v>90</v>
      </c>
      <c r="K1152" s="9" t="str">
        <f t="shared" ca="1" si="226"/>
        <v>N</v>
      </c>
      <c r="L1152">
        <f ca="1">+_xlfn.IFNA(VLOOKUP(M1152,BespokeWindowsAreas!$A$1:$E$1999,1,FALSE),VLOOKUP(E1152,WindowTypeArea!$B$2:$C$2000,2,FALSE))</f>
        <v>5.9474999999999998</v>
      </c>
      <c r="M1152">
        <f t="shared" ca="1" si="227"/>
        <v>7065521</v>
      </c>
    </row>
    <row r="1153" spans="1:13" x14ac:dyDescent="0.25">
      <c r="A1153">
        <f t="shared" ca="1" si="218"/>
        <v>3</v>
      </c>
      <c r="B1153">
        <f t="shared" ca="1" si="219"/>
        <v>32</v>
      </c>
      <c r="C1153" t="str">
        <f t="shared" ca="1" si="228"/>
        <v>'WINDOWS-NCH-A-BDP-M3-01-00'!B31</v>
      </c>
      <c r="D1153" s="6" t="str">
        <f t="shared" ca="1" si="217"/>
        <v>L01-CAM-INP-L007-15</v>
      </c>
      <c r="E1153" t="str">
        <f t="shared" ca="1" si="220"/>
        <v>L01-CAM-INP-L007-15</v>
      </c>
      <c r="F1153">
        <f t="shared" ca="1" si="221"/>
        <v>1421115</v>
      </c>
      <c r="G1153">
        <f t="shared" ca="1" si="222"/>
        <v>0</v>
      </c>
      <c r="H1153">
        <f t="shared" ca="1" si="223"/>
        <v>0</v>
      </c>
      <c r="I1153">
        <f t="shared" ca="1" si="224"/>
        <v>0</v>
      </c>
      <c r="J1153" s="8" t="e">
        <f t="shared" ca="1" si="225"/>
        <v>#DIV/0!</v>
      </c>
      <c r="K1153" s="9" t="e">
        <f t="shared" ca="1" si="226"/>
        <v>#DIV/0!</v>
      </c>
      <c r="L1153" t="e">
        <f ca="1">+_xlfn.IFNA(VLOOKUP(M1153,BespokeWindowsAreas!$A$1:$E$1999,1,FALSE),VLOOKUP(E1153,WindowTypeArea!$B$2:$C$2000,2,FALSE))</f>
        <v>#N/A</v>
      </c>
      <c r="M1153">
        <f t="shared" ca="1" si="227"/>
        <v>0</v>
      </c>
    </row>
    <row r="1154" spans="1:13" x14ac:dyDescent="0.25">
      <c r="A1154">
        <f t="shared" ca="1" si="218"/>
        <v>3</v>
      </c>
      <c r="B1154">
        <f t="shared" ca="1" si="219"/>
        <v>33</v>
      </c>
      <c r="C1154" t="str">
        <f t="shared" ca="1" si="228"/>
        <v>'WINDOWS-NCH-A-BDP-M3-01-00'!B32</v>
      </c>
      <c r="D1154" s="6" t="str">
        <f t="shared" ca="1" si="217"/>
        <v>L01-CAM-INP-L007-15</v>
      </c>
      <c r="E1154" t="str">
        <f t="shared" ca="1" si="220"/>
        <v>Family Type: 3000w x 3050h, Family: Window External Type 3 - Recessed and Angle with Type 1 Flush</v>
      </c>
      <c r="F1154" t="str">
        <f t="shared" ca="1" si="221"/>
        <v>Vector(X = -0.041, Y = 0.999, Z = 0.000, Length = 1.000)</v>
      </c>
      <c r="G1154">
        <f t="shared" ca="1" si="222"/>
        <v>0</v>
      </c>
      <c r="H1154">
        <f t="shared" ca="1" si="223"/>
        <v>1</v>
      </c>
      <c r="I1154">
        <f t="shared" ca="1" si="224"/>
        <v>0</v>
      </c>
      <c r="J1154" s="8">
        <f t="shared" ca="1" si="225"/>
        <v>90</v>
      </c>
      <c r="K1154" s="9" t="str">
        <f t="shared" ca="1" si="226"/>
        <v>N</v>
      </c>
      <c r="L1154">
        <f ca="1">+_xlfn.IFNA(VLOOKUP(M1154,BespokeWindowsAreas!$A$1:$E$1999,1,FALSE),VLOOKUP(E1154,WindowTypeArea!$B$2:$C$2000,2,FALSE))</f>
        <v>6.1762499999999996</v>
      </c>
      <c r="M1154">
        <f t="shared" ca="1" si="227"/>
        <v>7065311</v>
      </c>
    </row>
    <row r="1155" spans="1:13" x14ac:dyDescent="0.25">
      <c r="A1155">
        <f t="shared" ca="1" si="218"/>
        <v>3</v>
      </c>
      <c r="B1155">
        <f t="shared" ca="1" si="219"/>
        <v>34</v>
      </c>
      <c r="C1155" t="str">
        <f t="shared" ca="1" si="228"/>
        <v>'WINDOWS-NCH-A-BDP-M3-01-00'!B33</v>
      </c>
      <c r="D1155" s="6" t="str">
        <f t="shared" ca="1" si="217"/>
        <v>L01-CAM-INP-L007-17</v>
      </c>
      <c r="E1155" t="str">
        <f t="shared" ca="1" si="220"/>
        <v>L01-CAM-INP-L007-17</v>
      </c>
      <c r="F1155">
        <f t="shared" ca="1" si="221"/>
        <v>1421119</v>
      </c>
      <c r="G1155">
        <f t="shared" ca="1" si="222"/>
        <v>0</v>
      </c>
      <c r="H1155">
        <f t="shared" ca="1" si="223"/>
        <v>0</v>
      </c>
      <c r="I1155">
        <f t="shared" ca="1" si="224"/>
        <v>0</v>
      </c>
      <c r="J1155" s="8" t="e">
        <f t="shared" ca="1" si="225"/>
        <v>#DIV/0!</v>
      </c>
      <c r="K1155" s="9" t="e">
        <f t="shared" ca="1" si="226"/>
        <v>#DIV/0!</v>
      </c>
      <c r="L1155" t="e">
        <f ca="1">+_xlfn.IFNA(VLOOKUP(M1155,BespokeWindowsAreas!$A$1:$E$1999,1,FALSE),VLOOKUP(E1155,WindowTypeArea!$B$2:$C$2000,2,FALSE))</f>
        <v>#N/A</v>
      </c>
      <c r="M1155">
        <f t="shared" ca="1" si="227"/>
        <v>0</v>
      </c>
    </row>
    <row r="1156" spans="1:13" x14ac:dyDescent="0.25">
      <c r="A1156">
        <f t="shared" ca="1" si="218"/>
        <v>3</v>
      </c>
      <c r="B1156">
        <f t="shared" ca="1" si="219"/>
        <v>35</v>
      </c>
      <c r="C1156" t="str">
        <f t="shared" ca="1" si="228"/>
        <v>'WINDOWS-NCH-A-BDP-M3-01-00'!B34</v>
      </c>
      <c r="D1156" s="6" t="str">
        <f t="shared" ca="1" si="217"/>
        <v>L01-CAM-INP-L007-17</v>
      </c>
      <c r="E1156" t="str">
        <f t="shared" ca="1" si="220"/>
        <v>Family Type: 1950w x 3050h, Family: Window External Type 3 - Recessed and Angle</v>
      </c>
      <c r="F1156" t="str">
        <f t="shared" ca="1" si="221"/>
        <v>Vector(X = 0.041, Y = -0.999, Z = 0.000, Length = 1.000)</v>
      </c>
      <c r="G1156">
        <f t="shared" ca="1" si="222"/>
        <v>0</v>
      </c>
      <c r="H1156">
        <f t="shared" ca="1" si="223"/>
        <v>-1</v>
      </c>
      <c r="I1156">
        <f t="shared" ca="1" si="224"/>
        <v>0</v>
      </c>
      <c r="J1156" s="8">
        <f t="shared" ca="1" si="225"/>
        <v>-90</v>
      </c>
      <c r="K1156" s="9" t="str">
        <f t="shared" ca="1" si="226"/>
        <v>S</v>
      </c>
      <c r="L1156">
        <f ca="1">+_xlfn.IFNA(VLOOKUP(M1156,BespokeWindowsAreas!$A$1:$E$1999,1,FALSE),VLOOKUP(E1156,WindowTypeArea!$B$2:$C$2000,2,FALSE))</f>
        <v>5.9474999999999998</v>
      </c>
      <c r="M1156">
        <f t="shared" ca="1" si="227"/>
        <v>4803203</v>
      </c>
    </row>
    <row r="1157" spans="1:13" x14ac:dyDescent="0.25">
      <c r="A1157">
        <f t="shared" ca="1" si="218"/>
        <v>3</v>
      </c>
      <c r="B1157">
        <f t="shared" ca="1" si="219"/>
        <v>36</v>
      </c>
      <c r="C1157" t="str">
        <f t="shared" ca="1" si="228"/>
        <v>'WINDOWS-NCH-A-BDP-M3-01-00'!B35</v>
      </c>
      <c r="D1157" s="6" t="str">
        <f t="shared" ca="1" si="217"/>
        <v>L01-CAM-INP-L007-18</v>
      </c>
      <c r="E1157" t="str">
        <f t="shared" ca="1" si="220"/>
        <v>L01-CAM-INP-L007-18</v>
      </c>
      <c r="F1157">
        <f t="shared" ca="1" si="221"/>
        <v>1421121</v>
      </c>
      <c r="G1157">
        <f t="shared" ca="1" si="222"/>
        <v>0</v>
      </c>
      <c r="H1157">
        <f t="shared" ca="1" si="223"/>
        <v>0</v>
      </c>
      <c r="I1157">
        <f t="shared" ca="1" si="224"/>
        <v>0</v>
      </c>
      <c r="J1157" s="8" t="e">
        <f t="shared" ca="1" si="225"/>
        <v>#DIV/0!</v>
      </c>
      <c r="K1157" s="9" t="e">
        <f t="shared" ca="1" si="226"/>
        <v>#DIV/0!</v>
      </c>
      <c r="L1157" t="e">
        <f ca="1">+_xlfn.IFNA(VLOOKUP(M1157,BespokeWindowsAreas!$A$1:$E$1999,1,FALSE),VLOOKUP(E1157,WindowTypeArea!$B$2:$C$2000,2,FALSE))</f>
        <v>#N/A</v>
      </c>
      <c r="M1157">
        <f t="shared" ca="1" si="227"/>
        <v>0</v>
      </c>
    </row>
    <row r="1158" spans="1:13" x14ac:dyDescent="0.25">
      <c r="A1158">
        <f t="shared" ca="1" si="218"/>
        <v>3</v>
      </c>
      <c r="B1158">
        <f t="shared" ca="1" si="219"/>
        <v>37</v>
      </c>
      <c r="C1158" t="str">
        <f t="shared" ca="1" si="228"/>
        <v>'WINDOWS-NCH-A-BDP-M3-01-00'!B36</v>
      </c>
      <c r="D1158" s="6" t="str">
        <f t="shared" ref="D1158:D1221" ca="1" si="229">+IF(IFERROR(FIND("Family",E1158)&gt;0,FALSE),D1157,E1158)</f>
        <v>L01-CAM-INP-L007-18</v>
      </c>
      <c r="E1158" t="str">
        <f t="shared" ca="1" si="220"/>
        <v>Family Type: 3000w x 3050h, Family: Window External Type 3 - Recessed and Angle with Type 1 Flush</v>
      </c>
      <c r="F1158" t="str">
        <f t="shared" ca="1" si="221"/>
        <v>Vector(X = 0.041, Y = -0.999, Z = 0.000, Length = 1.000)</v>
      </c>
      <c r="G1158">
        <f t="shared" ca="1" si="222"/>
        <v>0</v>
      </c>
      <c r="H1158">
        <f t="shared" ca="1" si="223"/>
        <v>-1</v>
      </c>
      <c r="I1158">
        <f t="shared" ca="1" si="224"/>
        <v>0</v>
      </c>
      <c r="J1158" s="8">
        <f t="shared" ca="1" si="225"/>
        <v>-90</v>
      </c>
      <c r="K1158" s="9" t="str">
        <f t="shared" ca="1" si="226"/>
        <v>S</v>
      </c>
      <c r="L1158">
        <f ca="1">+_xlfn.IFNA(VLOOKUP(M1158,BespokeWindowsAreas!$A$1:$E$1999,1,FALSE),VLOOKUP(E1158,WindowTypeArea!$B$2:$C$2000,2,FALSE))</f>
        <v>6.1762499999999996</v>
      </c>
      <c r="M1158">
        <f t="shared" ca="1" si="227"/>
        <v>7065110</v>
      </c>
    </row>
    <row r="1159" spans="1:13" x14ac:dyDescent="0.25">
      <c r="A1159">
        <f t="shared" ca="1" si="218"/>
        <v>3</v>
      </c>
      <c r="B1159">
        <f t="shared" ca="1" si="219"/>
        <v>38</v>
      </c>
      <c r="C1159" t="str">
        <f t="shared" ca="1" si="228"/>
        <v>'WINDOWS-NCH-A-BDP-M3-01-00'!B37</v>
      </c>
      <c r="D1159" s="6" t="str">
        <f t="shared" ca="1" si="229"/>
        <v>L01-CAM-INP-L007-19</v>
      </c>
      <c r="E1159" t="str">
        <f t="shared" ca="1" si="220"/>
        <v>L01-CAM-INP-L007-19</v>
      </c>
      <c r="F1159">
        <f t="shared" ca="1" si="221"/>
        <v>1421123</v>
      </c>
      <c r="G1159">
        <f t="shared" ca="1" si="222"/>
        <v>0</v>
      </c>
      <c r="H1159">
        <f t="shared" ca="1" si="223"/>
        <v>0</v>
      </c>
      <c r="I1159">
        <f t="shared" ca="1" si="224"/>
        <v>0</v>
      </c>
      <c r="J1159" s="8" t="e">
        <f t="shared" ca="1" si="225"/>
        <v>#DIV/0!</v>
      </c>
      <c r="K1159" s="9" t="e">
        <f t="shared" ca="1" si="226"/>
        <v>#DIV/0!</v>
      </c>
      <c r="L1159" t="e">
        <f ca="1">+_xlfn.IFNA(VLOOKUP(M1159,BespokeWindowsAreas!$A$1:$E$1999,1,FALSE),VLOOKUP(E1159,WindowTypeArea!$B$2:$C$2000,2,FALSE))</f>
        <v>#N/A</v>
      </c>
      <c r="M1159">
        <f t="shared" ca="1" si="227"/>
        <v>0</v>
      </c>
    </row>
    <row r="1160" spans="1:13" x14ac:dyDescent="0.25">
      <c r="A1160">
        <f t="shared" ca="1" si="218"/>
        <v>3</v>
      </c>
      <c r="B1160">
        <f t="shared" ca="1" si="219"/>
        <v>39</v>
      </c>
      <c r="C1160" t="str">
        <f t="shared" ca="1" si="228"/>
        <v>'WINDOWS-NCH-A-BDP-M3-01-00'!B38</v>
      </c>
      <c r="D1160" s="6" t="str">
        <f t="shared" ca="1" si="229"/>
        <v>L01-CAM-INP-L007-19</v>
      </c>
      <c r="E1160" t="str">
        <f t="shared" ca="1" si="220"/>
        <v>Family Type: 3000w x 3050h, Family: Window External Type 3 - Recessed and Angle with Type 1 Flush</v>
      </c>
      <c r="F1160" t="str">
        <f t="shared" ca="1" si="221"/>
        <v>Vector(X = 0.041, Y = -0.999, Z = 0.000, Length = 1.000)</v>
      </c>
      <c r="G1160">
        <f t="shared" ca="1" si="222"/>
        <v>0</v>
      </c>
      <c r="H1160">
        <f t="shared" ca="1" si="223"/>
        <v>-1</v>
      </c>
      <c r="I1160">
        <f t="shared" ca="1" si="224"/>
        <v>0</v>
      </c>
      <c r="J1160" s="8">
        <f t="shared" ca="1" si="225"/>
        <v>-90</v>
      </c>
      <c r="K1160" s="9" t="str">
        <f t="shared" ca="1" si="226"/>
        <v>S</v>
      </c>
      <c r="L1160">
        <f ca="1">+_xlfn.IFNA(VLOOKUP(M1160,BespokeWindowsAreas!$A$1:$E$1999,1,FALSE),VLOOKUP(E1160,WindowTypeArea!$B$2:$C$2000,2,FALSE))</f>
        <v>6.1762499999999996</v>
      </c>
      <c r="M1160">
        <f t="shared" ca="1" si="227"/>
        <v>7065244</v>
      </c>
    </row>
    <row r="1161" spans="1:13" x14ac:dyDescent="0.25">
      <c r="A1161">
        <f t="shared" ca="1" si="218"/>
        <v>3</v>
      </c>
      <c r="B1161">
        <f t="shared" ca="1" si="219"/>
        <v>40</v>
      </c>
      <c r="C1161" t="str">
        <f t="shared" ca="1" si="228"/>
        <v>'WINDOWS-NCH-A-BDP-M3-01-00'!B39</v>
      </c>
      <c r="D1161" s="6" t="str">
        <f t="shared" ca="1" si="229"/>
        <v>L01-CAR-INP-S014-01</v>
      </c>
      <c r="E1161" t="str">
        <f t="shared" ca="1" si="220"/>
        <v>L01-CAR-INP-S014-01</v>
      </c>
      <c r="F1161">
        <f t="shared" ca="1" si="221"/>
        <v>1421162</v>
      </c>
      <c r="G1161">
        <f t="shared" ca="1" si="222"/>
        <v>0</v>
      </c>
      <c r="H1161">
        <f t="shared" ca="1" si="223"/>
        <v>0</v>
      </c>
      <c r="I1161">
        <f t="shared" ca="1" si="224"/>
        <v>0</v>
      </c>
      <c r="J1161" s="8" t="e">
        <f t="shared" ca="1" si="225"/>
        <v>#DIV/0!</v>
      </c>
      <c r="K1161" s="9" t="e">
        <f t="shared" ca="1" si="226"/>
        <v>#DIV/0!</v>
      </c>
      <c r="L1161" t="e">
        <f ca="1">+_xlfn.IFNA(VLOOKUP(M1161,BespokeWindowsAreas!$A$1:$E$1999,1,FALSE),VLOOKUP(E1161,WindowTypeArea!$B$2:$C$2000,2,FALSE))</f>
        <v>#N/A</v>
      </c>
      <c r="M1161">
        <f t="shared" ca="1" si="227"/>
        <v>0</v>
      </c>
    </row>
    <row r="1162" spans="1:13" x14ac:dyDescent="0.25">
      <c r="A1162">
        <f t="shared" ca="1" si="218"/>
        <v>3</v>
      </c>
      <c r="B1162">
        <f t="shared" ca="1" si="219"/>
        <v>41</v>
      </c>
      <c r="C1162" t="str">
        <f t="shared" ca="1" si="228"/>
        <v>'WINDOWS-NCH-A-BDP-M3-01-00'!B40</v>
      </c>
      <c r="D1162" s="6" t="str">
        <f t="shared" ca="1" si="229"/>
        <v>none - connected to atrium</v>
      </c>
      <c r="E1162" t="str">
        <f t="shared" ca="1" si="220"/>
        <v>none - connected to atrium</v>
      </c>
      <c r="F1162" t="str">
        <f t="shared" ca="1" si="221"/>
        <v>Vector(X = -0.323, Y = 0.946, Z = 0.000, Length = 1.000)</v>
      </c>
      <c r="G1162">
        <f t="shared" ca="1" si="222"/>
        <v>-0.3</v>
      </c>
      <c r="H1162">
        <f t="shared" ca="1" si="223"/>
        <v>0.9</v>
      </c>
      <c r="I1162">
        <f t="shared" ca="1" si="224"/>
        <v>0</v>
      </c>
      <c r="J1162" s="8">
        <f t="shared" ca="1" si="225"/>
        <v>108.43494882292201</v>
      </c>
      <c r="K1162" s="9" t="str">
        <f t="shared" ca="1" si="226"/>
        <v>N</v>
      </c>
      <c r="L1162" t="e">
        <f ca="1">+_xlfn.IFNA(VLOOKUP(M1162,BespokeWindowsAreas!$A$1:$E$1999,1,FALSE),VLOOKUP(E1162,WindowTypeArea!$B$2:$C$2000,2,FALSE))</f>
        <v>#N/A</v>
      </c>
      <c r="M1162">
        <f t="shared" ca="1" si="227"/>
        <v>5152713</v>
      </c>
    </row>
    <row r="1163" spans="1:13" x14ac:dyDescent="0.25">
      <c r="A1163">
        <f t="shared" ca="1" si="218"/>
        <v>3</v>
      </c>
      <c r="B1163">
        <f t="shared" ca="1" si="219"/>
        <v>42</v>
      </c>
      <c r="C1163" t="str">
        <f t="shared" ca="1" si="228"/>
        <v>'WINDOWS-NCH-A-BDP-M3-01-00'!B41</v>
      </c>
      <c r="D1163" s="6" t="str">
        <f t="shared" ca="1" si="229"/>
        <v>L01-CAR-INP-S019-01</v>
      </c>
      <c r="E1163" t="str">
        <f t="shared" ca="1" si="220"/>
        <v>L01-CAR-INP-S019-01</v>
      </c>
      <c r="F1163">
        <f t="shared" ca="1" si="221"/>
        <v>1421190</v>
      </c>
      <c r="G1163">
        <f t="shared" ca="1" si="222"/>
        <v>0</v>
      </c>
      <c r="H1163">
        <f t="shared" ca="1" si="223"/>
        <v>0</v>
      </c>
      <c r="I1163">
        <f t="shared" ca="1" si="224"/>
        <v>0</v>
      </c>
      <c r="J1163" s="8" t="e">
        <f t="shared" ca="1" si="225"/>
        <v>#DIV/0!</v>
      </c>
      <c r="K1163" s="9" t="e">
        <f t="shared" ca="1" si="226"/>
        <v>#DIV/0!</v>
      </c>
      <c r="L1163" t="e">
        <f ca="1">+_xlfn.IFNA(VLOOKUP(M1163,BespokeWindowsAreas!$A$1:$E$1999,1,FALSE),VLOOKUP(E1163,WindowTypeArea!$B$2:$C$2000,2,FALSE))</f>
        <v>#N/A</v>
      </c>
      <c r="M1163">
        <f t="shared" ca="1" si="227"/>
        <v>0</v>
      </c>
    </row>
    <row r="1164" spans="1:13" x14ac:dyDescent="0.25">
      <c r="A1164">
        <f t="shared" ca="1" si="218"/>
        <v>3</v>
      </c>
      <c r="B1164">
        <f t="shared" ca="1" si="219"/>
        <v>43</v>
      </c>
      <c r="C1164" t="str">
        <f t="shared" ca="1" si="228"/>
        <v>'WINDOWS-NCH-A-BDP-M3-01-00'!B42</v>
      </c>
      <c r="D1164" s="6" t="str">
        <f t="shared" ca="1" si="229"/>
        <v>none - connected to atrium</v>
      </c>
      <c r="E1164" t="str">
        <f t="shared" ca="1" si="220"/>
        <v>none - connected to atrium</v>
      </c>
      <c r="F1164" t="str">
        <f t="shared" ca="1" si="221"/>
        <v>Vector(X = 0.936, Y = 0.352, Z = 0.000, Length = 1.000)</v>
      </c>
      <c r="G1164">
        <f t="shared" ca="1" si="222"/>
        <v>0.9</v>
      </c>
      <c r="H1164">
        <f t="shared" ca="1" si="223"/>
        <v>0.4</v>
      </c>
      <c r="I1164">
        <f t="shared" ca="1" si="224"/>
        <v>0</v>
      </c>
      <c r="J1164" s="8">
        <f t="shared" ca="1" si="225"/>
        <v>23.962488974578186</v>
      </c>
      <c r="K1164" s="9" t="str">
        <f t="shared" ca="1" si="226"/>
        <v>E</v>
      </c>
      <c r="L1164" t="e">
        <f ca="1">+_xlfn.IFNA(VLOOKUP(M1164,BespokeWindowsAreas!$A$1:$E$1999,1,FALSE),VLOOKUP(E1164,WindowTypeArea!$B$2:$C$2000,2,FALSE))</f>
        <v>#N/A</v>
      </c>
      <c r="M1164">
        <f t="shared" ca="1" si="227"/>
        <v>5192183</v>
      </c>
    </row>
    <row r="1165" spans="1:13" x14ac:dyDescent="0.25">
      <c r="A1165">
        <f t="shared" ca="1" si="218"/>
        <v>3</v>
      </c>
      <c r="B1165">
        <f t="shared" ca="1" si="219"/>
        <v>44</v>
      </c>
      <c r="C1165" t="str">
        <f t="shared" ca="1" si="228"/>
        <v>'WINDOWS-NCH-A-BDP-M3-01-00'!B43</v>
      </c>
      <c r="D1165" s="6" t="str">
        <f t="shared" ca="1" si="229"/>
        <v>L01-CAR-INP-S094-01</v>
      </c>
      <c r="E1165" t="str">
        <f t="shared" ca="1" si="220"/>
        <v>L01-CAR-INP-S094-01</v>
      </c>
      <c r="F1165">
        <f t="shared" ca="1" si="221"/>
        <v>1421246</v>
      </c>
      <c r="G1165">
        <f t="shared" ca="1" si="222"/>
        <v>0</v>
      </c>
      <c r="H1165">
        <f t="shared" ca="1" si="223"/>
        <v>0</v>
      </c>
      <c r="I1165">
        <f t="shared" ca="1" si="224"/>
        <v>0</v>
      </c>
      <c r="J1165" s="8" t="e">
        <f t="shared" ca="1" si="225"/>
        <v>#DIV/0!</v>
      </c>
      <c r="K1165" s="9" t="e">
        <f t="shared" ca="1" si="226"/>
        <v>#DIV/0!</v>
      </c>
      <c r="L1165" t="e">
        <f ca="1">+_xlfn.IFNA(VLOOKUP(M1165,BespokeWindowsAreas!$A$1:$E$1999,1,FALSE),VLOOKUP(E1165,WindowTypeArea!$B$2:$C$2000,2,FALSE))</f>
        <v>#N/A</v>
      </c>
      <c r="M1165">
        <f t="shared" ca="1" si="227"/>
        <v>0</v>
      </c>
    </row>
    <row r="1166" spans="1:13" x14ac:dyDescent="0.25">
      <c r="A1166">
        <f t="shared" ca="1" si="218"/>
        <v>3</v>
      </c>
      <c r="B1166">
        <f t="shared" ca="1" si="219"/>
        <v>45</v>
      </c>
      <c r="C1166" t="str">
        <f t="shared" ca="1" si="228"/>
        <v>'WINDOWS-NCH-A-BDP-M3-01-00'!B44</v>
      </c>
      <c r="D1166" s="6" t="str">
        <f t="shared" ca="1" si="229"/>
        <v>none - connected to atrium</v>
      </c>
      <c r="E1166" t="str">
        <f t="shared" ca="1" si="220"/>
        <v>none - connected to atrium</v>
      </c>
      <c r="F1166" t="str">
        <f t="shared" ca="1" si="221"/>
        <v>Vector(X = 0.921, Y = 0.390, Z = 0.000, Length = 1.000)</v>
      </c>
      <c r="G1166">
        <f t="shared" ca="1" si="222"/>
        <v>0.9</v>
      </c>
      <c r="H1166">
        <f t="shared" ca="1" si="223"/>
        <v>0.4</v>
      </c>
      <c r="I1166">
        <f t="shared" ca="1" si="224"/>
        <v>0</v>
      </c>
      <c r="J1166" s="8">
        <f t="shared" ca="1" si="225"/>
        <v>23.962488974578186</v>
      </c>
      <c r="K1166" s="9" t="str">
        <f t="shared" ca="1" si="226"/>
        <v>E</v>
      </c>
      <c r="L1166" t="e">
        <f ca="1">+_xlfn.IFNA(VLOOKUP(M1166,BespokeWindowsAreas!$A$1:$E$1999,1,FALSE),VLOOKUP(E1166,WindowTypeArea!$B$2:$C$2000,2,FALSE))</f>
        <v>#N/A</v>
      </c>
      <c r="M1166">
        <f t="shared" ca="1" si="227"/>
        <v>6535223</v>
      </c>
    </row>
    <row r="1167" spans="1:13" x14ac:dyDescent="0.25">
      <c r="A1167">
        <f t="shared" ca="1" si="218"/>
        <v>3</v>
      </c>
      <c r="B1167">
        <f t="shared" ca="1" si="219"/>
        <v>46</v>
      </c>
      <c r="C1167" t="str">
        <f t="shared" ca="1" si="228"/>
        <v>'WINDOWS-NCH-A-BDP-M3-01-00'!B45</v>
      </c>
      <c r="D1167" s="6" t="str">
        <f t="shared" ca="1" si="229"/>
        <v>L01-CAR-DCU-S085-03</v>
      </c>
      <c r="E1167" t="str">
        <f t="shared" ca="1" si="220"/>
        <v>L01-CAR-DCU-S085-03</v>
      </c>
      <c r="F1167">
        <f t="shared" ca="1" si="221"/>
        <v>1421272</v>
      </c>
      <c r="G1167">
        <f t="shared" ca="1" si="222"/>
        <v>0</v>
      </c>
      <c r="H1167">
        <f t="shared" ca="1" si="223"/>
        <v>0</v>
      </c>
      <c r="I1167">
        <f t="shared" ca="1" si="224"/>
        <v>0</v>
      </c>
      <c r="J1167" s="8" t="e">
        <f t="shared" ca="1" si="225"/>
        <v>#DIV/0!</v>
      </c>
      <c r="K1167" s="9" t="e">
        <f t="shared" ca="1" si="226"/>
        <v>#DIV/0!</v>
      </c>
      <c r="L1167" t="e">
        <f ca="1">+_xlfn.IFNA(VLOOKUP(M1167,BespokeWindowsAreas!$A$1:$E$1999,1,FALSE),VLOOKUP(E1167,WindowTypeArea!$B$2:$C$2000,2,FALSE))</f>
        <v>#N/A</v>
      </c>
      <c r="M1167">
        <f t="shared" ca="1" si="227"/>
        <v>0</v>
      </c>
    </row>
    <row r="1168" spans="1:13" x14ac:dyDescent="0.25">
      <c r="A1168">
        <f t="shared" ca="1" si="218"/>
        <v>3</v>
      </c>
      <c r="B1168">
        <f t="shared" ca="1" si="219"/>
        <v>47</v>
      </c>
      <c r="C1168" t="str">
        <f t="shared" ca="1" si="228"/>
        <v>'WINDOWS-NCH-A-BDP-M3-01-00'!B46</v>
      </c>
      <c r="D1168" s="6" t="str">
        <f t="shared" ca="1" si="229"/>
        <v>none - connected to atrium</v>
      </c>
      <c r="E1168" t="str">
        <f t="shared" ca="1" si="220"/>
        <v>none - connected to atrium</v>
      </c>
      <c r="F1168" t="str">
        <f t="shared" ca="1" si="221"/>
        <v>Vector(X = 0.964, Y = 0.264, Z = 0.000, Length = 1.000)</v>
      </c>
      <c r="G1168">
        <f t="shared" ca="1" si="222"/>
        <v>1</v>
      </c>
      <c r="H1168">
        <f t="shared" ca="1" si="223"/>
        <v>0.3</v>
      </c>
      <c r="I1168">
        <f t="shared" ca="1" si="224"/>
        <v>0</v>
      </c>
      <c r="J1168" s="8">
        <f t="shared" ca="1" si="225"/>
        <v>16.699244233993621</v>
      </c>
      <c r="K1168" s="9" t="str">
        <f t="shared" ca="1" si="226"/>
        <v>E</v>
      </c>
      <c r="L1168" t="e">
        <f ca="1">+_xlfn.IFNA(VLOOKUP(M1168,BespokeWindowsAreas!$A$1:$E$1999,1,FALSE),VLOOKUP(E1168,WindowTypeArea!$B$2:$C$2000,2,FALSE))</f>
        <v>#N/A</v>
      </c>
      <c r="M1168">
        <f t="shared" ca="1" si="227"/>
        <v>5193943</v>
      </c>
    </row>
    <row r="1169" spans="1:13" x14ac:dyDescent="0.25">
      <c r="A1169">
        <f t="shared" ca="1" si="218"/>
        <v>3</v>
      </c>
      <c r="B1169">
        <f t="shared" ca="1" si="219"/>
        <v>48</v>
      </c>
      <c r="C1169" t="str">
        <f t="shared" ca="1" si="228"/>
        <v>'WINDOWS-NCH-A-BDP-M3-01-00'!B47</v>
      </c>
      <c r="D1169" s="6" t="str">
        <f t="shared" ca="1" si="229"/>
        <v>L01-CAR-DCU-S085-04</v>
      </c>
      <c r="E1169" t="str">
        <f t="shared" ca="1" si="220"/>
        <v>L01-CAR-DCU-S085-04</v>
      </c>
      <c r="F1169">
        <f t="shared" ca="1" si="221"/>
        <v>1421274</v>
      </c>
      <c r="G1169">
        <f t="shared" ca="1" si="222"/>
        <v>0</v>
      </c>
      <c r="H1169">
        <f t="shared" ca="1" si="223"/>
        <v>0</v>
      </c>
      <c r="I1169">
        <f t="shared" ca="1" si="224"/>
        <v>0</v>
      </c>
      <c r="J1169" s="8" t="e">
        <f t="shared" ca="1" si="225"/>
        <v>#DIV/0!</v>
      </c>
      <c r="K1169" s="9" t="e">
        <f t="shared" ca="1" si="226"/>
        <v>#DIV/0!</v>
      </c>
      <c r="L1169" t="e">
        <f ca="1">+_xlfn.IFNA(VLOOKUP(M1169,BespokeWindowsAreas!$A$1:$E$1999,1,FALSE),VLOOKUP(E1169,WindowTypeArea!$B$2:$C$2000,2,FALSE))</f>
        <v>#N/A</v>
      </c>
      <c r="M1169">
        <f t="shared" ca="1" si="227"/>
        <v>0</v>
      </c>
    </row>
    <row r="1170" spans="1:13" x14ac:dyDescent="0.25">
      <c r="A1170">
        <f t="shared" ca="1" si="218"/>
        <v>3</v>
      </c>
      <c r="B1170">
        <f t="shared" ca="1" si="219"/>
        <v>49</v>
      </c>
      <c r="C1170" t="str">
        <f t="shared" ca="1" si="228"/>
        <v>'WINDOWS-NCH-A-BDP-M3-01-00'!B48</v>
      </c>
      <c r="D1170" s="6" t="str">
        <f t="shared" ca="1" si="229"/>
        <v>none - connected to atrium</v>
      </c>
      <c r="E1170" t="str">
        <f t="shared" ca="1" si="220"/>
        <v>none - connected to atrium</v>
      </c>
      <c r="F1170" t="str">
        <f t="shared" ca="1" si="221"/>
        <v>Vector(X = 0.967, Y = 0.254, Z = 0.000, Length = 1.000)</v>
      </c>
      <c r="G1170">
        <f t="shared" ca="1" si="222"/>
        <v>1</v>
      </c>
      <c r="H1170">
        <f t="shared" ca="1" si="223"/>
        <v>0.3</v>
      </c>
      <c r="I1170">
        <f t="shared" ca="1" si="224"/>
        <v>0</v>
      </c>
      <c r="J1170" s="8">
        <f t="shared" ca="1" si="225"/>
        <v>16.699244233993621</v>
      </c>
      <c r="K1170" s="9" t="str">
        <f t="shared" ca="1" si="226"/>
        <v>E</v>
      </c>
      <c r="L1170" t="e">
        <f ca="1">+_xlfn.IFNA(VLOOKUP(M1170,BespokeWindowsAreas!$A$1:$E$1999,1,FALSE),VLOOKUP(E1170,WindowTypeArea!$B$2:$C$2000,2,FALSE))</f>
        <v>#N/A</v>
      </c>
      <c r="M1170">
        <f t="shared" ca="1" si="227"/>
        <v>6535143</v>
      </c>
    </row>
    <row r="1171" spans="1:13" x14ac:dyDescent="0.25">
      <c r="A1171">
        <f t="shared" ca="1" si="218"/>
        <v>3</v>
      </c>
      <c r="B1171">
        <f t="shared" ca="1" si="219"/>
        <v>50</v>
      </c>
      <c r="C1171" t="str">
        <f t="shared" ca="1" si="228"/>
        <v>'WINDOWS-NCH-A-BDP-M3-01-00'!B49</v>
      </c>
      <c r="D1171" s="6" t="str">
        <f t="shared" ca="1" si="229"/>
        <v>L01-CAR-INP-S014-02</v>
      </c>
      <c r="E1171" t="str">
        <f t="shared" ca="1" si="220"/>
        <v>L01-CAR-INP-S014-02</v>
      </c>
      <c r="F1171">
        <f t="shared" ca="1" si="221"/>
        <v>1421286</v>
      </c>
      <c r="G1171">
        <f t="shared" ca="1" si="222"/>
        <v>0</v>
      </c>
      <c r="H1171">
        <f t="shared" ca="1" si="223"/>
        <v>0</v>
      </c>
      <c r="I1171">
        <f t="shared" ca="1" si="224"/>
        <v>0</v>
      </c>
      <c r="J1171" s="8" t="e">
        <f t="shared" ca="1" si="225"/>
        <v>#DIV/0!</v>
      </c>
      <c r="K1171" s="9" t="e">
        <f t="shared" ca="1" si="226"/>
        <v>#DIV/0!</v>
      </c>
      <c r="L1171" t="e">
        <f ca="1">+_xlfn.IFNA(VLOOKUP(M1171,BespokeWindowsAreas!$A$1:$E$1999,1,FALSE),VLOOKUP(E1171,WindowTypeArea!$B$2:$C$2000,2,FALSE))</f>
        <v>#N/A</v>
      </c>
      <c r="M1171">
        <f t="shared" ca="1" si="227"/>
        <v>0</v>
      </c>
    </row>
    <row r="1172" spans="1:13" x14ac:dyDescent="0.25">
      <c r="A1172">
        <f t="shared" ref="A1172:A1235" ca="1" si="230">+IF(B1171&lt;=VLOOKUP(MID(C1172,2,26),TABS,2,FALSE),A1171,+A1171+1)</f>
        <v>3</v>
      </c>
      <c r="B1172">
        <f t="shared" ref="B1172:B1235" ca="1" si="231">+IF(B1171&lt;=VLOOKUP(MID(C1172,2,26),TABS,2,FALSE),B1171+1,1)</f>
        <v>51</v>
      </c>
      <c r="C1172" t="str">
        <f t="shared" ca="1" si="228"/>
        <v>'WINDOWS-NCH-A-BDP-M3-01-00'!B50</v>
      </c>
      <c r="D1172" s="6" t="str">
        <f t="shared" ca="1" si="229"/>
        <v>none - connected to atrium</v>
      </c>
      <c r="E1172" t="str">
        <f t="shared" ref="E1172:E1235" ca="1" si="232">+OFFSET(INDIRECT(C1172),0,0)</f>
        <v>none - connected to atrium</v>
      </c>
      <c r="F1172" t="str">
        <f t="shared" ca="1" si="221"/>
        <v>Vector(X = -0.323, Y = 0.946, Z = 0.000, Length = 1.000)</v>
      </c>
      <c r="G1172">
        <f t="shared" ca="1" si="222"/>
        <v>-0.3</v>
      </c>
      <c r="H1172">
        <f t="shared" ca="1" si="223"/>
        <v>0.9</v>
      </c>
      <c r="I1172">
        <f t="shared" ca="1" si="224"/>
        <v>0</v>
      </c>
      <c r="J1172" s="8">
        <f t="shared" ca="1" si="225"/>
        <v>108.43494882292201</v>
      </c>
      <c r="K1172" s="9" t="str">
        <f t="shared" ca="1" si="226"/>
        <v>N</v>
      </c>
      <c r="L1172" t="e">
        <f ca="1">+_xlfn.IFNA(VLOOKUP(M1172,BespokeWindowsAreas!$A$1:$E$1999,1,FALSE),VLOOKUP(E1172,WindowTypeArea!$B$2:$C$2000,2,FALSE))</f>
        <v>#N/A</v>
      </c>
      <c r="M1172">
        <f t="shared" ca="1" si="227"/>
        <v>5152712</v>
      </c>
    </row>
    <row r="1173" spans="1:13" x14ac:dyDescent="0.25">
      <c r="A1173">
        <f t="shared" ca="1" si="230"/>
        <v>3</v>
      </c>
      <c r="B1173">
        <f t="shared" ca="1" si="231"/>
        <v>52</v>
      </c>
      <c r="C1173" t="str">
        <f t="shared" ca="1" si="228"/>
        <v>'WINDOWS-NCH-A-BDP-M3-01-00'!B51</v>
      </c>
      <c r="D1173" s="6" t="str">
        <f t="shared" ca="1" si="229"/>
        <v>L01-CAR-INP-S014-03</v>
      </c>
      <c r="E1173" t="str">
        <f t="shared" ca="1" si="232"/>
        <v>L01-CAR-INP-S014-03</v>
      </c>
      <c r="F1173">
        <f t="shared" ca="1" si="221"/>
        <v>1421288</v>
      </c>
      <c r="G1173">
        <f t="shared" ca="1" si="222"/>
        <v>0</v>
      </c>
      <c r="H1173">
        <f t="shared" ca="1" si="223"/>
        <v>0</v>
      </c>
      <c r="I1173">
        <f t="shared" ca="1" si="224"/>
        <v>0</v>
      </c>
      <c r="J1173" s="8" t="e">
        <f t="shared" ca="1" si="225"/>
        <v>#DIV/0!</v>
      </c>
      <c r="K1173" s="9" t="e">
        <f t="shared" ca="1" si="226"/>
        <v>#DIV/0!</v>
      </c>
      <c r="L1173" t="e">
        <f ca="1">+_xlfn.IFNA(VLOOKUP(M1173,BespokeWindowsAreas!$A$1:$E$1999,1,FALSE),VLOOKUP(E1173,WindowTypeArea!$B$2:$C$2000,2,FALSE))</f>
        <v>#N/A</v>
      </c>
      <c r="M1173">
        <f t="shared" ca="1" si="227"/>
        <v>0</v>
      </c>
    </row>
    <row r="1174" spans="1:13" x14ac:dyDescent="0.25">
      <c r="A1174">
        <f t="shared" ca="1" si="230"/>
        <v>3</v>
      </c>
      <c r="B1174">
        <f t="shared" ca="1" si="231"/>
        <v>53</v>
      </c>
      <c r="C1174" t="str">
        <f t="shared" ca="1" si="228"/>
        <v>'WINDOWS-NCH-A-BDP-M3-01-00'!B52</v>
      </c>
      <c r="D1174" s="6" t="str">
        <f t="shared" ca="1" si="229"/>
        <v>L01-CAR-INP-S014-03</v>
      </c>
      <c r="E1174" t="str">
        <f t="shared" ca="1" si="232"/>
        <v>Family Type: 3490w x 3050h, Family: Window External Type 3 - Recessed and Angle with Type 1 Flush</v>
      </c>
      <c r="F1174" t="str">
        <f t="shared" ref="F1174:F1237" ca="1" si="233">+OFFSET(INDIRECT(C1174),0,1)</f>
        <v>Vector(X = -0.323, Y = 0.946, Z = 0.000, Length = 1.000)</v>
      </c>
      <c r="G1174">
        <f t="shared" ref="G1174:G1237" ca="1" si="234">+OFFSET(INDIRECT(C1174),0,2)</f>
        <v>-0.3</v>
      </c>
      <c r="H1174">
        <f t="shared" ref="H1174:H1237" ca="1" si="235">+OFFSET(INDIRECT(C1174),0,3)</f>
        <v>0.9</v>
      </c>
      <c r="I1174">
        <f t="shared" ref="I1174:I1237" ca="1" si="236">+OFFSET(INDIRECT(C1174),0,4)</f>
        <v>0</v>
      </c>
      <c r="J1174" s="8">
        <f t="shared" ref="J1174:J1237" ca="1" si="237">+DEGREES(ATAN2(G1174,H1174))</f>
        <v>108.43494882292201</v>
      </c>
      <c r="K1174" s="9" t="str">
        <f t="shared" ref="K1174:K1237" ca="1" si="238">VLOOKUP(J1174,$O$20:$P$36,2,-1)</f>
        <v>N</v>
      </c>
      <c r="L1174">
        <f ca="1">+_xlfn.IFNA(VLOOKUP(M1174,BespokeWindowsAreas!$A$1:$E$1999,1,FALSE),VLOOKUP(E1174,WindowTypeArea!$B$2:$C$2000,2,FALSE))</f>
        <v>7.67075</v>
      </c>
      <c r="M1174">
        <f t="shared" ref="M1174:M1237" ca="1" si="239">+OFFSET(INDIRECT(C1174),0,5)</f>
        <v>7058454</v>
      </c>
    </row>
    <row r="1175" spans="1:13" x14ac:dyDescent="0.25">
      <c r="A1175">
        <f t="shared" ca="1" si="230"/>
        <v>3</v>
      </c>
      <c r="B1175">
        <f t="shared" ca="1" si="231"/>
        <v>54</v>
      </c>
      <c r="C1175" t="str">
        <f t="shared" ref="C1175:C1238" ca="1" si="240">+"'"&amp;INDIRECT("a"&amp;A1174)&amp;"'!B"&amp;B1174</f>
        <v>'WINDOWS-NCH-A-BDP-M3-01-00'!B53</v>
      </c>
      <c r="D1175" s="6" t="str">
        <f t="shared" ca="1" si="229"/>
        <v>L01-CAR-INP-S014-03</v>
      </c>
      <c r="E1175" t="str">
        <f t="shared" ca="1" si="232"/>
        <v>Family Type: manual 2.6m2</v>
      </c>
      <c r="F1175" t="str">
        <f t="shared" ca="1" si="233"/>
        <v>Vector(X = -0.323, Y = 0.946, Z = 0.000, Length = 1.000)</v>
      </c>
      <c r="G1175">
        <f t="shared" ca="1" si="234"/>
        <v>-0.3</v>
      </c>
      <c r="H1175">
        <f t="shared" ca="1" si="235"/>
        <v>0.9</v>
      </c>
      <c r="I1175">
        <f t="shared" ca="1" si="236"/>
        <v>0</v>
      </c>
      <c r="J1175" s="8">
        <f t="shared" ca="1" si="237"/>
        <v>108.43494882292201</v>
      </c>
      <c r="K1175" s="9" t="str">
        <f t="shared" ca="1" si="238"/>
        <v>N</v>
      </c>
      <c r="L1175">
        <f ca="1">+_xlfn.IFNA(VLOOKUP(M1175,BespokeWindowsAreas!$A$1:$E$1999,1,FALSE),VLOOKUP(E1175,WindowTypeArea!$B$2:$C$2000,2,FALSE))</f>
        <v>2.6</v>
      </c>
      <c r="M1175" t="str">
        <f t="shared" ca="1" si="239"/>
        <v xml:space="preserve">ID </v>
      </c>
    </row>
    <row r="1176" spans="1:13" x14ac:dyDescent="0.25">
      <c r="A1176">
        <f t="shared" ca="1" si="230"/>
        <v>3</v>
      </c>
      <c r="B1176">
        <f t="shared" ca="1" si="231"/>
        <v>55</v>
      </c>
      <c r="C1176" t="str">
        <f t="shared" ca="1" si="240"/>
        <v>'WINDOWS-NCH-A-BDP-M3-01-00'!B54</v>
      </c>
      <c r="D1176" s="6" t="str">
        <f t="shared" ca="1" si="229"/>
        <v>L01-CAR-INP-S014-04</v>
      </c>
      <c r="E1176" t="str">
        <f t="shared" ca="1" si="232"/>
        <v>L01-CAR-INP-S014-04</v>
      </c>
      <c r="F1176">
        <f t="shared" ca="1" si="233"/>
        <v>1421290</v>
      </c>
      <c r="G1176">
        <f t="shared" ca="1" si="234"/>
        <v>0</v>
      </c>
      <c r="H1176">
        <f t="shared" ca="1" si="235"/>
        <v>0</v>
      </c>
      <c r="I1176">
        <f t="shared" ca="1" si="236"/>
        <v>0</v>
      </c>
      <c r="J1176" s="8" t="e">
        <f t="shared" ca="1" si="237"/>
        <v>#DIV/0!</v>
      </c>
      <c r="K1176" s="9" t="e">
        <f t="shared" ca="1" si="238"/>
        <v>#DIV/0!</v>
      </c>
      <c r="L1176" t="e">
        <f ca="1">+_xlfn.IFNA(VLOOKUP(M1176,BespokeWindowsAreas!$A$1:$E$1999,1,FALSE),VLOOKUP(E1176,WindowTypeArea!$B$2:$C$2000,2,FALSE))</f>
        <v>#N/A</v>
      </c>
      <c r="M1176">
        <f t="shared" ca="1" si="239"/>
        <v>0</v>
      </c>
    </row>
    <row r="1177" spans="1:13" x14ac:dyDescent="0.25">
      <c r="A1177">
        <f t="shared" ca="1" si="230"/>
        <v>3</v>
      </c>
      <c r="B1177">
        <f t="shared" ca="1" si="231"/>
        <v>56</v>
      </c>
      <c r="C1177" t="str">
        <f t="shared" ca="1" si="240"/>
        <v>'WINDOWS-NCH-A-BDP-M3-01-00'!B55</v>
      </c>
      <c r="D1177" s="6" t="str">
        <f t="shared" ca="1" si="229"/>
        <v>L01-CAR-INP-S014-04</v>
      </c>
      <c r="E1177" t="str">
        <f t="shared" ca="1" si="232"/>
        <v>Family Type: 1950w x 3050h, Family: Window External Type 3 - Recessed and Angle</v>
      </c>
      <c r="F1177" t="str">
        <f t="shared" ca="1" si="233"/>
        <v>Vector(X = -0.323, Y = 0.946, Z = 0.000, Length = 1.000)</v>
      </c>
      <c r="G1177">
        <f t="shared" ca="1" si="234"/>
        <v>-0.3</v>
      </c>
      <c r="H1177">
        <f t="shared" ca="1" si="235"/>
        <v>0.9</v>
      </c>
      <c r="I1177">
        <f t="shared" ca="1" si="236"/>
        <v>0</v>
      </c>
      <c r="J1177" s="8">
        <f t="shared" ca="1" si="237"/>
        <v>108.43494882292201</v>
      </c>
      <c r="K1177" s="9" t="str">
        <f t="shared" ca="1" si="238"/>
        <v>N</v>
      </c>
      <c r="L1177">
        <f ca="1">+_xlfn.IFNA(VLOOKUP(M1177,BespokeWindowsAreas!$A$1:$E$1999,1,FALSE),VLOOKUP(E1177,WindowTypeArea!$B$2:$C$2000,2,FALSE))</f>
        <v>5.9474999999999998</v>
      </c>
      <c r="M1177">
        <f t="shared" ca="1" si="239"/>
        <v>5152709</v>
      </c>
    </row>
    <row r="1178" spans="1:13" x14ac:dyDescent="0.25">
      <c r="A1178">
        <f t="shared" ca="1" si="230"/>
        <v>3</v>
      </c>
      <c r="B1178">
        <f t="shared" ca="1" si="231"/>
        <v>57</v>
      </c>
      <c r="C1178" t="str">
        <f t="shared" ca="1" si="240"/>
        <v>'WINDOWS-NCH-A-BDP-M3-01-00'!B56</v>
      </c>
      <c r="D1178" s="6" t="str">
        <f t="shared" ca="1" si="229"/>
        <v>L01-CAR-INP-S014-05</v>
      </c>
      <c r="E1178" t="str">
        <f t="shared" ca="1" si="232"/>
        <v>L01-CAR-INP-S014-05</v>
      </c>
      <c r="F1178">
        <f t="shared" ca="1" si="233"/>
        <v>1421292</v>
      </c>
      <c r="G1178">
        <f t="shared" ca="1" si="234"/>
        <v>0</v>
      </c>
      <c r="H1178">
        <f t="shared" ca="1" si="235"/>
        <v>0</v>
      </c>
      <c r="I1178">
        <f t="shared" ca="1" si="236"/>
        <v>0</v>
      </c>
      <c r="J1178" s="8" t="e">
        <f t="shared" ca="1" si="237"/>
        <v>#DIV/0!</v>
      </c>
      <c r="K1178" s="9" t="e">
        <f t="shared" ca="1" si="238"/>
        <v>#DIV/0!</v>
      </c>
      <c r="L1178" t="e">
        <f ca="1">+_xlfn.IFNA(VLOOKUP(M1178,BespokeWindowsAreas!$A$1:$E$1999,1,FALSE),VLOOKUP(E1178,WindowTypeArea!$B$2:$C$2000,2,FALSE))</f>
        <v>#N/A</v>
      </c>
      <c r="M1178">
        <f t="shared" ca="1" si="239"/>
        <v>0</v>
      </c>
    </row>
    <row r="1179" spans="1:13" x14ac:dyDescent="0.25">
      <c r="A1179">
        <f t="shared" ca="1" si="230"/>
        <v>3</v>
      </c>
      <c r="B1179">
        <f t="shared" ca="1" si="231"/>
        <v>58</v>
      </c>
      <c r="C1179" t="str">
        <f t="shared" ca="1" si="240"/>
        <v>'WINDOWS-NCH-A-BDP-M3-01-00'!B57</v>
      </c>
      <c r="D1179" s="6" t="str">
        <f t="shared" ca="1" si="229"/>
        <v>L01-CAR-INP-S014-05</v>
      </c>
      <c r="E1179" t="str">
        <f t="shared" ca="1" si="232"/>
        <v>Family Type: 3490w x 3050h, Family: Window External Type 3 - Recessed and Angle with Type 1 Flush</v>
      </c>
      <c r="F1179" t="str">
        <f t="shared" ca="1" si="233"/>
        <v>Vector(X = -0.323, Y = 0.946, Z = 0.000, Length = 1.000)</v>
      </c>
      <c r="G1179">
        <f t="shared" ca="1" si="234"/>
        <v>-0.3</v>
      </c>
      <c r="H1179">
        <f t="shared" ca="1" si="235"/>
        <v>0.9</v>
      </c>
      <c r="I1179">
        <f t="shared" ca="1" si="236"/>
        <v>0</v>
      </c>
      <c r="J1179" s="8">
        <f t="shared" ca="1" si="237"/>
        <v>108.43494882292201</v>
      </c>
      <c r="K1179" s="9" t="str">
        <f t="shared" ca="1" si="238"/>
        <v>N</v>
      </c>
      <c r="L1179">
        <f ca="1">+_xlfn.IFNA(VLOOKUP(M1179,BespokeWindowsAreas!$A$1:$E$1999,1,FALSE),VLOOKUP(E1179,WindowTypeArea!$B$2:$C$2000,2,FALSE))</f>
        <v>7.67075</v>
      </c>
      <c r="M1179">
        <f t="shared" ca="1" si="239"/>
        <v>7058672</v>
      </c>
    </row>
    <row r="1180" spans="1:13" x14ac:dyDescent="0.25">
      <c r="A1180">
        <f t="shared" ca="1" si="230"/>
        <v>3</v>
      </c>
      <c r="B1180">
        <f t="shared" ca="1" si="231"/>
        <v>59</v>
      </c>
      <c r="C1180" t="str">
        <f t="shared" ca="1" si="240"/>
        <v>'WINDOWS-NCH-A-BDP-M3-01-00'!B58</v>
      </c>
      <c r="D1180" s="6" t="str">
        <f t="shared" ca="1" si="229"/>
        <v>L01-CAR-INP-S014-05</v>
      </c>
      <c r="E1180" t="str">
        <f t="shared" ca="1" si="232"/>
        <v>Family Type: manual 2.6m2</v>
      </c>
      <c r="F1180" t="str">
        <f t="shared" ca="1" si="233"/>
        <v>Vector(X = -0.323, Y = 0.946, Z = 0.000, Length = 1.000)</v>
      </c>
      <c r="G1180">
        <f t="shared" ca="1" si="234"/>
        <v>-0.3</v>
      </c>
      <c r="H1180">
        <f t="shared" ca="1" si="235"/>
        <v>0.9</v>
      </c>
      <c r="I1180">
        <f t="shared" ca="1" si="236"/>
        <v>0</v>
      </c>
      <c r="J1180" s="8">
        <f t="shared" ca="1" si="237"/>
        <v>108.43494882292201</v>
      </c>
      <c r="K1180" s="9" t="str">
        <f t="shared" ca="1" si="238"/>
        <v>N</v>
      </c>
      <c r="L1180">
        <f ca="1">+_xlfn.IFNA(VLOOKUP(M1180,BespokeWindowsAreas!$A$1:$E$1999,1,FALSE),VLOOKUP(E1180,WindowTypeArea!$B$2:$C$2000,2,FALSE))</f>
        <v>2.6</v>
      </c>
      <c r="M1180" t="str">
        <f t="shared" ca="1" si="239"/>
        <v xml:space="preserve">ID </v>
      </c>
    </row>
    <row r="1181" spans="1:13" x14ac:dyDescent="0.25">
      <c r="A1181">
        <f t="shared" ca="1" si="230"/>
        <v>3</v>
      </c>
      <c r="B1181">
        <f t="shared" ca="1" si="231"/>
        <v>60</v>
      </c>
      <c r="C1181" t="str">
        <f t="shared" ca="1" si="240"/>
        <v>'WINDOWS-NCH-A-BDP-M3-01-00'!B59</v>
      </c>
      <c r="D1181" s="6" t="str">
        <f t="shared" ca="1" si="229"/>
        <v>L01-CAR-INP-S014-06</v>
      </c>
      <c r="E1181" t="str">
        <f t="shared" ca="1" si="232"/>
        <v>L01-CAR-INP-S014-06</v>
      </c>
      <c r="F1181">
        <f t="shared" ca="1" si="233"/>
        <v>1421294</v>
      </c>
      <c r="G1181">
        <f t="shared" ca="1" si="234"/>
        <v>0</v>
      </c>
      <c r="H1181">
        <f t="shared" ca="1" si="235"/>
        <v>0</v>
      </c>
      <c r="I1181">
        <f t="shared" ca="1" si="236"/>
        <v>0</v>
      </c>
      <c r="J1181" s="8" t="e">
        <f t="shared" ca="1" si="237"/>
        <v>#DIV/0!</v>
      </c>
      <c r="K1181" s="9" t="e">
        <f t="shared" ca="1" si="238"/>
        <v>#DIV/0!</v>
      </c>
      <c r="L1181" t="e">
        <f ca="1">+_xlfn.IFNA(VLOOKUP(M1181,BespokeWindowsAreas!$A$1:$E$1999,1,FALSE),VLOOKUP(E1181,WindowTypeArea!$B$2:$C$2000,2,FALSE))</f>
        <v>#N/A</v>
      </c>
      <c r="M1181">
        <f t="shared" ca="1" si="239"/>
        <v>0</v>
      </c>
    </row>
    <row r="1182" spans="1:13" x14ac:dyDescent="0.25">
      <c r="A1182">
        <f t="shared" ca="1" si="230"/>
        <v>3</v>
      </c>
      <c r="B1182">
        <f t="shared" ca="1" si="231"/>
        <v>61</v>
      </c>
      <c r="C1182" t="str">
        <f t="shared" ca="1" si="240"/>
        <v>'WINDOWS-NCH-A-BDP-M3-01-00'!B60</v>
      </c>
      <c r="D1182" s="6" t="str">
        <f t="shared" ca="1" si="229"/>
        <v>L01-CAR-INP-S014-06</v>
      </c>
      <c r="E1182" t="str">
        <f t="shared" ca="1" si="232"/>
        <v>Family Type: 3490w x 3050h, Family: Window External Type 3 - Recessed and Angle with Type 1 Flush</v>
      </c>
      <c r="F1182" t="str">
        <f t="shared" ca="1" si="233"/>
        <v>Vector(X = -0.323, Y = 0.946, Z = 0.000, Length = 1.000)</v>
      </c>
      <c r="G1182">
        <f t="shared" ca="1" si="234"/>
        <v>-0.3</v>
      </c>
      <c r="H1182">
        <f t="shared" ca="1" si="235"/>
        <v>0.9</v>
      </c>
      <c r="I1182">
        <f t="shared" ca="1" si="236"/>
        <v>0</v>
      </c>
      <c r="J1182" s="8">
        <f t="shared" ca="1" si="237"/>
        <v>108.43494882292201</v>
      </c>
      <c r="K1182" s="9" t="str">
        <f t="shared" ca="1" si="238"/>
        <v>N</v>
      </c>
      <c r="L1182">
        <f ca="1">+_xlfn.IFNA(VLOOKUP(M1182,BespokeWindowsAreas!$A$1:$E$1999,1,FALSE),VLOOKUP(E1182,WindowTypeArea!$B$2:$C$2000,2,FALSE))</f>
        <v>7.67075</v>
      </c>
      <c r="M1182">
        <f t="shared" ca="1" si="239"/>
        <v>7058794</v>
      </c>
    </row>
    <row r="1183" spans="1:13" x14ac:dyDescent="0.25">
      <c r="A1183">
        <f t="shared" ca="1" si="230"/>
        <v>3</v>
      </c>
      <c r="B1183">
        <f t="shared" ca="1" si="231"/>
        <v>62</v>
      </c>
      <c r="C1183" t="str">
        <f t="shared" ca="1" si="240"/>
        <v>'WINDOWS-NCH-A-BDP-M3-01-00'!B61</v>
      </c>
      <c r="D1183" s="6" t="str">
        <f t="shared" ca="1" si="229"/>
        <v>L01-CAR-INP-S014-06</v>
      </c>
      <c r="E1183" t="str">
        <f t="shared" ca="1" si="232"/>
        <v>Family Type: manual 2.6m2</v>
      </c>
      <c r="F1183" t="str">
        <f t="shared" ca="1" si="233"/>
        <v>Vector(X = -0.323, Y = 0.946, Z = 0.000, Length = 1.000)</v>
      </c>
      <c r="G1183">
        <f t="shared" ca="1" si="234"/>
        <v>-0.3</v>
      </c>
      <c r="H1183">
        <f t="shared" ca="1" si="235"/>
        <v>0.9</v>
      </c>
      <c r="I1183">
        <f t="shared" ca="1" si="236"/>
        <v>0</v>
      </c>
      <c r="J1183" s="8">
        <f t="shared" ca="1" si="237"/>
        <v>108.43494882292201</v>
      </c>
      <c r="K1183" s="9" t="str">
        <f t="shared" ca="1" si="238"/>
        <v>N</v>
      </c>
      <c r="L1183">
        <f ca="1">+_xlfn.IFNA(VLOOKUP(M1183,BespokeWindowsAreas!$A$1:$E$1999,1,FALSE),VLOOKUP(E1183,WindowTypeArea!$B$2:$C$2000,2,FALSE))</f>
        <v>2.6</v>
      </c>
      <c r="M1183" t="str">
        <f t="shared" ca="1" si="239"/>
        <v xml:space="preserve">ID </v>
      </c>
    </row>
    <row r="1184" spans="1:13" x14ac:dyDescent="0.25">
      <c r="A1184">
        <f t="shared" ca="1" si="230"/>
        <v>3</v>
      </c>
      <c r="B1184">
        <f t="shared" ca="1" si="231"/>
        <v>63</v>
      </c>
      <c r="C1184" t="str">
        <f t="shared" ca="1" si="240"/>
        <v>'WINDOWS-NCH-A-BDP-M3-01-00'!B62</v>
      </c>
      <c r="D1184" s="6" t="str">
        <f t="shared" ca="1" si="229"/>
        <v>L01-CAR-INP-S014-07</v>
      </c>
      <c r="E1184" t="str">
        <f t="shared" ca="1" si="232"/>
        <v>L01-CAR-INP-S014-07</v>
      </c>
      <c r="F1184">
        <f t="shared" ca="1" si="233"/>
        <v>1421296</v>
      </c>
      <c r="G1184">
        <f t="shared" ca="1" si="234"/>
        <v>0</v>
      </c>
      <c r="H1184">
        <f t="shared" ca="1" si="235"/>
        <v>0</v>
      </c>
      <c r="I1184">
        <f t="shared" ca="1" si="236"/>
        <v>0</v>
      </c>
      <c r="J1184" s="8" t="e">
        <f t="shared" ca="1" si="237"/>
        <v>#DIV/0!</v>
      </c>
      <c r="K1184" s="9" t="e">
        <f t="shared" ca="1" si="238"/>
        <v>#DIV/0!</v>
      </c>
      <c r="L1184" t="e">
        <f ca="1">+_xlfn.IFNA(VLOOKUP(M1184,BespokeWindowsAreas!$A$1:$E$1999,1,FALSE),VLOOKUP(E1184,WindowTypeArea!$B$2:$C$2000,2,FALSE))</f>
        <v>#N/A</v>
      </c>
      <c r="M1184">
        <f t="shared" ca="1" si="239"/>
        <v>0</v>
      </c>
    </row>
    <row r="1185" spans="1:13" x14ac:dyDescent="0.25">
      <c r="A1185">
        <f t="shared" ca="1" si="230"/>
        <v>3</v>
      </c>
      <c r="B1185">
        <f t="shared" ca="1" si="231"/>
        <v>64</v>
      </c>
      <c r="C1185" t="str">
        <f t="shared" ca="1" si="240"/>
        <v>'WINDOWS-NCH-A-BDP-M3-01-00'!B63</v>
      </c>
      <c r="D1185" s="6" t="str">
        <f t="shared" ca="1" si="229"/>
        <v>L01-CAR-INP-S014-07</v>
      </c>
      <c r="E1185" t="str">
        <f t="shared" ca="1" si="232"/>
        <v>Family Type: 3490w x 3050h, Family: Window External Type 3 - Recessed and Angle with Type 1 Flush</v>
      </c>
      <c r="F1185" t="str">
        <f t="shared" ca="1" si="233"/>
        <v>Vector(X = -0.323, Y = 0.946, Z = 0.000, Length = 1.000)</v>
      </c>
      <c r="G1185">
        <f t="shared" ca="1" si="234"/>
        <v>-0.3</v>
      </c>
      <c r="H1185">
        <f t="shared" ca="1" si="235"/>
        <v>0.9</v>
      </c>
      <c r="I1185">
        <f t="shared" ca="1" si="236"/>
        <v>0</v>
      </c>
      <c r="J1185" s="8">
        <f t="shared" ca="1" si="237"/>
        <v>108.43494882292201</v>
      </c>
      <c r="K1185" s="9" t="str">
        <f t="shared" ca="1" si="238"/>
        <v>N</v>
      </c>
      <c r="L1185">
        <f ca="1">+_xlfn.IFNA(VLOOKUP(M1185,BespokeWindowsAreas!$A$1:$E$1999,1,FALSE),VLOOKUP(E1185,WindowTypeArea!$B$2:$C$2000,2,FALSE))</f>
        <v>7.67075</v>
      </c>
      <c r="M1185">
        <f t="shared" ca="1" si="239"/>
        <v>7059039</v>
      </c>
    </row>
    <row r="1186" spans="1:13" x14ac:dyDescent="0.25">
      <c r="A1186">
        <f t="shared" ca="1" si="230"/>
        <v>3</v>
      </c>
      <c r="B1186">
        <f t="shared" ca="1" si="231"/>
        <v>65</v>
      </c>
      <c r="C1186" t="str">
        <f t="shared" ca="1" si="240"/>
        <v>'WINDOWS-NCH-A-BDP-M3-01-00'!B64</v>
      </c>
      <c r="D1186" s="6" t="str">
        <f t="shared" ca="1" si="229"/>
        <v>L01-CAR-INP-S014-07</v>
      </c>
      <c r="E1186" t="str">
        <f t="shared" ca="1" si="232"/>
        <v>Family Type: manual 2.6m2</v>
      </c>
      <c r="F1186" t="str">
        <f t="shared" ca="1" si="233"/>
        <v>Vector(X = -0.323, Y = 0.946, Z = 0.000, Length = 1.000)</v>
      </c>
      <c r="G1186">
        <f t="shared" ca="1" si="234"/>
        <v>-0.3</v>
      </c>
      <c r="H1186">
        <f t="shared" ca="1" si="235"/>
        <v>0.9</v>
      </c>
      <c r="I1186">
        <f t="shared" ca="1" si="236"/>
        <v>0</v>
      </c>
      <c r="J1186" s="8">
        <f t="shared" ca="1" si="237"/>
        <v>108.43494882292201</v>
      </c>
      <c r="K1186" s="9" t="str">
        <f t="shared" ca="1" si="238"/>
        <v>N</v>
      </c>
      <c r="L1186">
        <f ca="1">+_xlfn.IFNA(VLOOKUP(M1186,BespokeWindowsAreas!$A$1:$E$1999,1,FALSE),VLOOKUP(E1186,WindowTypeArea!$B$2:$C$2000,2,FALSE))</f>
        <v>2.6</v>
      </c>
      <c r="M1186" t="str">
        <f t="shared" ca="1" si="239"/>
        <v xml:space="preserve">ID </v>
      </c>
    </row>
    <row r="1187" spans="1:13" x14ac:dyDescent="0.25">
      <c r="A1187">
        <f t="shared" ca="1" si="230"/>
        <v>3</v>
      </c>
      <c r="B1187">
        <f t="shared" ca="1" si="231"/>
        <v>66</v>
      </c>
      <c r="C1187" t="str">
        <f t="shared" ca="1" si="240"/>
        <v>'WINDOWS-NCH-A-BDP-M3-01-00'!B65</v>
      </c>
      <c r="D1187" s="6" t="str">
        <f t="shared" ca="1" si="229"/>
        <v>L01-CAR-INP-S014-10</v>
      </c>
      <c r="E1187" t="str">
        <f t="shared" ca="1" si="232"/>
        <v>L01-CAR-INP-S014-10</v>
      </c>
      <c r="F1187">
        <f t="shared" ca="1" si="233"/>
        <v>1421302</v>
      </c>
      <c r="G1187">
        <f t="shared" ca="1" si="234"/>
        <v>0</v>
      </c>
      <c r="H1187">
        <f t="shared" ca="1" si="235"/>
        <v>0</v>
      </c>
      <c r="I1187">
        <f t="shared" ca="1" si="236"/>
        <v>0</v>
      </c>
      <c r="J1187" s="8" t="e">
        <f t="shared" ca="1" si="237"/>
        <v>#DIV/0!</v>
      </c>
      <c r="K1187" s="9" t="e">
        <f t="shared" ca="1" si="238"/>
        <v>#DIV/0!</v>
      </c>
      <c r="L1187" t="e">
        <f ca="1">+_xlfn.IFNA(VLOOKUP(M1187,BespokeWindowsAreas!$A$1:$E$1999,1,FALSE),VLOOKUP(E1187,WindowTypeArea!$B$2:$C$2000,2,FALSE))</f>
        <v>#N/A</v>
      </c>
      <c r="M1187">
        <f t="shared" ca="1" si="239"/>
        <v>0</v>
      </c>
    </row>
    <row r="1188" spans="1:13" x14ac:dyDescent="0.25">
      <c r="A1188">
        <f t="shared" ca="1" si="230"/>
        <v>3</v>
      </c>
      <c r="B1188">
        <f t="shared" ca="1" si="231"/>
        <v>67</v>
      </c>
      <c r="C1188" t="str">
        <f t="shared" ca="1" si="240"/>
        <v>'WINDOWS-NCH-A-BDP-M3-01-00'!B66</v>
      </c>
      <c r="D1188" s="6" t="str">
        <f t="shared" ca="1" si="229"/>
        <v>L01-CAR-INP-S014-10</v>
      </c>
      <c r="E1188" t="str">
        <f t="shared" ca="1" si="232"/>
        <v>Family Type: manual 2.6m2</v>
      </c>
      <c r="F1188" t="str">
        <f t="shared" ca="1" si="233"/>
        <v>Vector(X = -0.323, Y = 0.946, Z = 0.000, Length = 1.000)</v>
      </c>
      <c r="G1188">
        <f t="shared" ca="1" si="234"/>
        <v>0.3</v>
      </c>
      <c r="H1188">
        <f t="shared" ca="1" si="235"/>
        <v>-0.9</v>
      </c>
      <c r="I1188">
        <f t="shared" ca="1" si="236"/>
        <v>0</v>
      </c>
      <c r="J1188" s="8">
        <f t="shared" ca="1" si="237"/>
        <v>-71.56505117707799</v>
      </c>
      <c r="K1188" s="9" t="str">
        <f t="shared" ca="1" si="238"/>
        <v>S</v>
      </c>
      <c r="L1188">
        <f ca="1">+_xlfn.IFNA(VLOOKUP(M1188,BespokeWindowsAreas!$A$1:$E$1999,1,FALSE),VLOOKUP(E1188,WindowTypeArea!$B$2:$C$2000,2,FALSE))</f>
        <v>2.6</v>
      </c>
      <c r="M1188" t="str">
        <f t="shared" ca="1" si="239"/>
        <v xml:space="preserve">ID </v>
      </c>
    </row>
    <row r="1189" spans="1:13" x14ac:dyDescent="0.25">
      <c r="A1189">
        <f t="shared" ca="1" si="230"/>
        <v>3</v>
      </c>
      <c r="B1189">
        <f t="shared" ca="1" si="231"/>
        <v>68</v>
      </c>
      <c r="C1189" t="str">
        <f t="shared" ca="1" si="240"/>
        <v>'WINDOWS-NCH-A-BDP-M3-01-00'!B67</v>
      </c>
      <c r="D1189" s="6" t="str">
        <f t="shared" ca="1" si="229"/>
        <v>L01-CAR-INP-S014-10</v>
      </c>
      <c r="E1189" t="str">
        <f t="shared" ca="1" si="232"/>
        <v>Family Type: 3490w x 3050h, Family: Window External Type 3 - Recessed and Angle with Type 1 Flush</v>
      </c>
      <c r="F1189" t="str">
        <f t="shared" ca="1" si="233"/>
        <v>Vector(X = 0.323, Y = -0.946, Z = 0.000, Length = 1.000)</v>
      </c>
      <c r="G1189">
        <f t="shared" ca="1" si="234"/>
        <v>0.3</v>
      </c>
      <c r="H1189">
        <f t="shared" ca="1" si="235"/>
        <v>-0.9</v>
      </c>
      <c r="I1189">
        <f t="shared" ca="1" si="236"/>
        <v>0</v>
      </c>
      <c r="J1189" s="8">
        <f t="shared" ca="1" si="237"/>
        <v>-71.56505117707799</v>
      </c>
      <c r="K1189" s="9" t="str">
        <f t="shared" ca="1" si="238"/>
        <v>S</v>
      </c>
      <c r="L1189">
        <f ca="1">+_xlfn.IFNA(VLOOKUP(M1189,BespokeWindowsAreas!$A$1:$E$1999,1,FALSE),VLOOKUP(E1189,WindowTypeArea!$B$2:$C$2000,2,FALSE))</f>
        <v>7.67075</v>
      </c>
      <c r="M1189">
        <f t="shared" ca="1" si="239"/>
        <v>7057725</v>
      </c>
    </row>
    <row r="1190" spans="1:13" x14ac:dyDescent="0.25">
      <c r="A1190">
        <f t="shared" ca="1" si="230"/>
        <v>3</v>
      </c>
      <c r="B1190">
        <f t="shared" ca="1" si="231"/>
        <v>69</v>
      </c>
      <c r="C1190" t="str">
        <f t="shared" ca="1" si="240"/>
        <v>'WINDOWS-NCH-A-BDP-M3-01-00'!B68</v>
      </c>
      <c r="D1190" s="6" t="str">
        <f t="shared" ca="1" si="229"/>
        <v>L01-CAR-INP-S014-11</v>
      </c>
      <c r="E1190" t="str">
        <f t="shared" ca="1" si="232"/>
        <v>L01-CAR-INP-S014-11</v>
      </c>
      <c r="F1190">
        <f t="shared" ca="1" si="233"/>
        <v>1421304</v>
      </c>
      <c r="G1190">
        <f t="shared" ca="1" si="234"/>
        <v>0</v>
      </c>
      <c r="H1190">
        <f t="shared" ca="1" si="235"/>
        <v>0</v>
      </c>
      <c r="I1190">
        <f t="shared" ca="1" si="236"/>
        <v>0</v>
      </c>
      <c r="J1190" s="8" t="e">
        <f t="shared" ca="1" si="237"/>
        <v>#DIV/0!</v>
      </c>
      <c r="K1190" s="9" t="e">
        <f t="shared" ca="1" si="238"/>
        <v>#DIV/0!</v>
      </c>
      <c r="L1190" t="e">
        <f ca="1">+_xlfn.IFNA(VLOOKUP(M1190,BespokeWindowsAreas!$A$1:$E$1999,1,FALSE),VLOOKUP(E1190,WindowTypeArea!$B$2:$C$2000,2,FALSE))</f>
        <v>#N/A</v>
      </c>
      <c r="M1190">
        <f t="shared" ca="1" si="239"/>
        <v>0</v>
      </c>
    </row>
    <row r="1191" spans="1:13" x14ac:dyDescent="0.25">
      <c r="A1191">
        <f t="shared" ca="1" si="230"/>
        <v>3</v>
      </c>
      <c r="B1191">
        <f t="shared" ca="1" si="231"/>
        <v>70</v>
      </c>
      <c r="C1191" t="str">
        <f t="shared" ca="1" si="240"/>
        <v>'WINDOWS-NCH-A-BDP-M3-01-00'!B69</v>
      </c>
      <c r="D1191" s="6" t="str">
        <f t="shared" ca="1" si="229"/>
        <v>L01-CAR-INP-S014-11</v>
      </c>
      <c r="E1191" t="str">
        <f t="shared" ca="1" si="232"/>
        <v>Family Type: 3490w x 3050h, Family: Window External Type 3 - Recessed and Angle with Type 1 Flush</v>
      </c>
      <c r="F1191" t="str">
        <f t="shared" ca="1" si="233"/>
        <v>Vector(X = 0.323, Y = -0.946, Z = 0.000, Length = 1.000)</v>
      </c>
      <c r="G1191">
        <f t="shared" ca="1" si="234"/>
        <v>0.3</v>
      </c>
      <c r="H1191">
        <f t="shared" ca="1" si="235"/>
        <v>-0.9</v>
      </c>
      <c r="I1191">
        <f t="shared" ca="1" si="236"/>
        <v>0</v>
      </c>
      <c r="J1191" s="8">
        <f t="shared" ca="1" si="237"/>
        <v>-71.56505117707799</v>
      </c>
      <c r="K1191" s="9" t="str">
        <f t="shared" ca="1" si="238"/>
        <v>S</v>
      </c>
      <c r="L1191">
        <f ca="1">+_xlfn.IFNA(VLOOKUP(M1191,BespokeWindowsAreas!$A$1:$E$1999,1,FALSE),VLOOKUP(E1191,WindowTypeArea!$B$2:$C$2000,2,FALSE))</f>
        <v>7.67075</v>
      </c>
      <c r="M1191">
        <f t="shared" ca="1" si="239"/>
        <v>7057571</v>
      </c>
    </row>
    <row r="1192" spans="1:13" x14ac:dyDescent="0.25">
      <c r="A1192">
        <f t="shared" ca="1" si="230"/>
        <v>3</v>
      </c>
      <c r="B1192">
        <f t="shared" ca="1" si="231"/>
        <v>71</v>
      </c>
      <c r="C1192" t="str">
        <f t="shared" ca="1" si="240"/>
        <v>'WINDOWS-NCH-A-BDP-M3-01-00'!B70</v>
      </c>
      <c r="D1192" s="6" t="str">
        <f t="shared" ca="1" si="229"/>
        <v>L01-CAR-INP-S014-11</v>
      </c>
      <c r="E1192" t="str">
        <f t="shared" ca="1" si="232"/>
        <v>Family Type: manual 2.6m2</v>
      </c>
      <c r="F1192" t="str">
        <f t="shared" ca="1" si="233"/>
        <v>Vector(X = -0.323, Y = 0.946, Z = 0.000, Length = 1.000)</v>
      </c>
      <c r="G1192">
        <f t="shared" ca="1" si="234"/>
        <v>0.3</v>
      </c>
      <c r="H1192">
        <f t="shared" ca="1" si="235"/>
        <v>-0.9</v>
      </c>
      <c r="I1192">
        <f t="shared" ca="1" si="236"/>
        <v>0</v>
      </c>
      <c r="J1192" s="8">
        <f t="shared" ca="1" si="237"/>
        <v>-71.56505117707799</v>
      </c>
      <c r="K1192" s="9" t="str">
        <f t="shared" ca="1" si="238"/>
        <v>S</v>
      </c>
      <c r="L1192">
        <f ca="1">+_xlfn.IFNA(VLOOKUP(M1192,BespokeWindowsAreas!$A$1:$E$1999,1,FALSE),VLOOKUP(E1192,WindowTypeArea!$B$2:$C$2000,2,FALSE))</f>
        <v>2.6</v>
      </c>
      <c r="M1192" t="str">
        <f t="shared" ca="1" si="239"/>
        <v xml:space="preserve">ID </v>
      </c>
    </row>
    <row r="1193" spans="1:13" x14ac:dyDescent="0.25">
      <c r="A1193">
        <f t="shared" ca="1" si="230"/>
        <v>3</v>
      </c>
      <c r="B1193">
        <f t="shared" ca="1" si="231"/>
        <v>72</v>
      </c>
      <c r="C1193" t="str">
        <f t="shared" ca="1" si="240"/>
        <v>'WINDOWS-NCH-A-BDP-M3-01-00'!B71</v>
      </c>
      <c r="D1193" s="6" t="str">
        <f t="shared" ca="1" si="229"/>
        <v>L01-CAR-INP-S014-12</v>
      </c>
      <c r="E1193" t="str">
        <f t="shared" ca="1" si="232"/>
        <v>L01-CAR-INP-S014-12</v>
      </c>
      <c r="F1193">
        <f t="shared" ca="1" si="233"/>
        <v>1421306</v>
      </c>
      <c r="G1193">
        <f t="shared" ca="1" si="234"/>
        <v>0</v>
      </c>
      <c r="H1193">
        <f t="shared" ca="1" si="235"/>
        <v>0</v>
      </c>
      <c r="I1193">
        <f t="shared" ca="1" si="236"/>
        <v>0</v>
      </c>
      <c r="J1193" s="8" t="e">
        <f t="shared" ca="1" si="237"/>
        <v>#DIV/0!</v>
      </c>
      <c r="K1193" s="9" t="e">
        <f t="shared" ca="1" si="238"/>
        <v>#DIV/0!</v>
      </c>
      <c r="L1193" t="e">
        <f ca="1">+_xlfn.IFNA(VLOOKUP(M1193,BespokeWindowsAreas!$A$1:$E$1999,1,FALSE),VLOOKUP(E1193,WindowTypeArea!$B$2:$C$2000,2,FALSE))</f>
        <v>#N/A</v>
      </c>
      <c r="M1193">
        <f t="shared" ca="1" si="239"/>
        <v>0</v>
      </c>
    </row>
    <row r="1194" spans="1:13" x14ac:dyDescent="0.25">
      <c r="A1194">
        <f t="shared" ca="1" si="230"/>
        <v>3</v>
      </c>
      <c r="B1194">
        <f t="shared" ca="1" si="231"/>
        <v>73</v>
      </c>
      <c r="C1194" t="str">
        <f t="shared" ca="1" si="240"/>
        <v>'WINDOWS-NCH-A-BDP-M3-01-00'!B72</v>
      </c>
      <c r="D1194" s="6" t="str">
        <f t="shared" ca="1" si="229"/>
        <v>L01-CAR-INP-S014-12</v>
      </c>
      <c r="E1194" t="str">
        <f t="shared" ca="1" si="232"/>
        <v>Family Type: 3490w x 3050h, Family: Window External Type 3 - Recessed and Angle with Type 1 Flush</v>
      </c>
      <c r="F1194" t="str">
        <f t="shared" ca="1" si="233"/>
        <v>Vector(X = 0.323, Y = -0.946, Z = 0.000, Length = 1.000)</v>
      </c>
      <c r="G1194">
        <f t="shared" ca="1" si="234"/>
        <v>0.3</v>
      </c>
      <c r="H1194">
        <f t="shared" ca="1" si="235"/>
        <v>-0.9</v>
      </c>
      <c r="I1194">
        <f t="shared" ca="1" si="236"/>
        <v>0</v>
      </c>
      <c r="J1194" s="8">
        <f t="shared" ca="1" si="237"/>
        <v>-71.56505117707799</v>
      </c>
      <c r="K1194" s="9" t="str">
        <f t="shared" ca="1" si="238"/>
        <v>S</v>
      </c>
      <c r="L1194">
        <f ca="1">+_xlfn.IFNA(VLOOKUP(M1194,BespokeWindowsAreas!$A$1:$E$1999,1,FALSE),VLOOKUP(E1194,WindowTypeArea!$B$2:$C$2000,2,FALSE))</f>
        <v>7.67075</v>
      </c>
      <c r="M1194">
        <f t="shared" ca="1" si="239"/>
        <v>7057404</v>
      </c>
    </row>
    <row r="1195" spans="1:13" x14ac:dyDescent="0.25">
      <c r="A1195">
        <f t="shared" ca="1" si="230"/>
        <v>3</v>
      </c>
      <c r="B1195">
        <f t="shared" ca="1" si="231"/>
        <v>74</v>
      </c>
      <c r="C1195" t="str">
        <f t="shared" ca="1" si="240"/>
        <v>'WINDOWS-NCH-A-BDP-M3-01-00'!B73</v>
      </c>
      <c r="D1195" s="6" t="str">
        <f t="shared" ca="1" si="229"/>
        <v>L01-CAR-INP-S014-12</v>
      </c>
      <c r="E1195" t="str">
        <f t="shared" ca="1" si="232"/>
        <v>Family Type: manual 2.6m2</v>
      </c>
      <c r="F1195" t="str">
        <f t="shared" ca="1" si="233"/>
        <v>Vector(X = -0.323, Y = 0.946, Z = 0.000, Length = 1.000)</v>
      </c>
      <c r="G1195">
        <f t="shared" ca="1" si="234"/>
        <v>0.3</v>
      </c>
      <c r="H1195">
        <f t="shared" ca="1" si="235"/>
        <v>-0.9</v>
      </c>
      <c r="I1195">
        <f t="shared" ca="1" si="236"/>
        <v>0</v>
      </c>
      <c r="J1195" s="8">
        <f t="shared" ca="1" si="237"/>
        <v>-71.56505117707799</v>
      </c>
      <c r="K1195" s="9" t="str">
        <f t="shared" ca="1" si="238"/>
        <v>S</v>
      </c>
      <c r="L1195">
        <f ca="1">+_xlfn.IFNA(VLOOKUP(M1195,BespokeWindowsAreas!$A$1:$E$1999,1,FALSE),VLOOKUP(E1195,WindowTypeArea!$B$2:$C$2000,2,FALSE))</f>
        <v>2.6</v>
      </c>
      <c r="M1195" t="str">
        <f t="shared" ca="1" si="239"/>
        <v xml:space="preserve">ID </v>
      </c>
    </row>
    <row r="1196" spans="1:13" x14ac:dyDescent="0.25">
      <c r="A1196">
        <f t="shared" ca="1" si="230"/>
        <v>3</v>
      </c>
      <c r="B1196">
        <f t="shared" ca="1" si="231"/>
        <v>75</v>
      </c>
      <c r="C1196" t="str">
        <f t="shared" ca="1" si="240"/>
        <v>'WINDOWS-NCH-A-BDP-M3-01-00'!B74</v>
      </c>
      <c r="D1196" s="6" t="str">
        <f t="shared" ca="1" si="229"/>
        <v>L01-CAR-INP-S014-14</v>
      </c>
      <c r="E1196" t="str">
        <f t="shared" ca="1" si="232"/>
        <v>L01-CAR-INP-S014-14</v>
      </c>
      <c r="F1196">
        <f t="shared" ca="1" si="233"/>
        <v>1421310</v>
      </c>
      <c r="G1196">
        <f t="shared" ca="1" si="234"/>
        <v>0</v>
      </c>
      <c r="H1196">
        <f t="shared" ca="1" si="235"/>
        <v>0</v>
      </c>
      <c r="I1196">
        <f t="shared" ca="1" si="236"/>
        <v>0</v>
      </c>
      <c r="J1196" s="8" t="e">
        <f t="shared" ca="1" si="237"/>
        <v>#DIV/0!</v>
      </c>
      <c r="K1196" s="9" t="e">
        <f t="shared" ca="1" si="238"/>
        <v>#DIV/0!</v>
      </c>
      <c r="L1196" t="e">
        <f ca="1">+_xlfn.IFNA(VLOOKUP(M1196,BespokeWindowsAreas!$A$1:$E$1999,1,FALSE),VLOOKUP(E1196,WindowTypeArea!$B$2:$C$2000,2,FALSE))</f>
        <v>#N/A</v>
      </c>
      <c r="M1196">
        <f t="shared" ca="1" si="239"/>
        <v>0</v>
      </c>
    </row>
    <row r="1197" spans="1:13" x14ac:dyDescent="0.25">
      <c r="A1197">
        <f t="shared" ca="1" si="230"/>
        <v>3</v>
      </c>
      <c r="B1197">
        <f t="shared" ca="1" si="231"/>
        <v>76</v>
      </c>
      <c r="C1197" t="str">
        <f t="shared" ca="1" si="240"/>
        <v>'WINDOWS-NCH-A-BDP-M3-01-00'!B75</v>
      </c>
      <c r="D1197" s="6" t="str">
        <f t="shared" ca="1" si="229"/>
        <v>L01-CAR-INP-S014-14</v>
      </c>
      <c r="E1197" t="str">
        <f t="shared" ca="1" si="232"/>
        <v>Family Type: 3490w x 3050h, Family: Window External Type 3 - Recessed and Angle with Type 1 Flush</v>
      </c>
      <c r="F1197" t="str">
        <f t="shared" ca="1" si="233"/>
        <v>Vector(X = -0.212, Y = 0.977, Z = 0.000, Length = 1.000)</v>
      </c>
      <c r="G1197">
        <f t="shared" ca="1" si="234"/>
        <v>-0.2</v>
      </c>
      <c r="H1197">
        <f t="shared" ca="1" si="235"/>
        <v>1</v>
      </c>
      <c r="I1197">
        <f t="shared" ca="1" si="236"/>
        <v>0</v>
      </c>
      <c r="J1197" s="8">
        <f t="shared" ca="1" si="237"/>
        <v>101.3099324740202</v>
      </c>
      <c r="K1197" s="9" t="str">
        <f t="shared" ca="1" si="238"/>
        <v>N</v>
      </c>
      <c r="L1197">
        <f ca="1">+_xlfn.IFNA(VLOOKUP(M1197,BespokeWindowsAreas!$A$1:$E$1999,1,FALSE),VLOOKUP(E1197,WindowTypeArea!$B$2:$C$2000,2,FALSE))</f>
        <v>7.67075</v>
      </c>
      <c r="M1197">
        <f t="shared" ca="1" si="239"/>
        <v>7056755</v>
      </c>
    </row>
    <row r="1198" spans="1:13" x14ac:dyDescent="0.25">
      <c r="A1198">
        <f t="shared" ca="1" si="230"/>
        <v>3</v>
      </c>
      <c r="B1198">
        <f t="shared" ca="1" si="231"/>
        <v>77</v>
      </c>
      <c r="C1198" t="str">
        <f t="shared" ca="1" si="240"/>
        <v>'WINDOWS-NCH-A-BDP-M3-01-00'!B76</v>
      </c>
      <c r="D1198" s="6" t="str">
        <f t="shared" ca="1" si="229"/>
        <v>L01-CAR-INP-S014-14</v>
      </c>
      <c r="E1198" t="str">
        <f t="shared" ca="1" si="232"/>
        <v>Family Type: manual 2.6m2</v>
      </c>
      <c r="F1198" t="str">
        <f t="shared" ca="1" si="233"/>
        <v>Vector(X = -0.323, Y = 0.946, Z = 0.000, Length = 1.000)</v>
      </c>
      <c r="G1198">
        <f t="shared" ca="1" si="234"/>
        <v>-0.2</v>
      </c>
      <c r="H1198">
        <f t="shared" ca="1" si="235"/>
        <v>1</v>
      </c>
      <c r="I1198">
        <f t="shared" ca="1" si="236"/>
        <v>0</v>
      </c>
      <c r="J1198" s="8">
        <f t="shared" ca="1" si="237"/>
        <v>101.3099324740202</v>
      </c>
      <c r="K1198" s="9" t="str">
        <f t="shared" ca="1" si="238"/>
        <v>N</v>
      </c>
      <c r="L1198">
        <f ca="1">+_xlfn.IFNA(VLOOKUP(M1198,BespokeWindowsAreas!$A$1:$E$1999,1,FALSE),VLOOKUP(E1198,WindowTypeArea!$B$2:$C$2000,2,FALSE))</f>
        <v>2.6</v>
      </c>
      <c r="M1198" t="str">
        <f t="shared" ca="1" si="239"/>
        <v xml:space="preserve">ID </v>
      </c>
    </row>
    <row r="1199" spans="1:13" x14ac:dyDescent="0.25">
      <c r="A1199">
        <f t="shared" ca="1" si="230"/>
        <v>3</v>
      </c>
      <c r="B1199">
        <f t="shared" ca="1" si="231"/>
        <v>78</v>
      </c>
      <c r="C1199" t="str">
        <f t="shared" ca="1" si="240"/>
        <v>'WINDOWS-NCH-A-BDP-M3-01-00'!B77</v>
      </c>
      <c r="D1199" s="6" t="str">
        <f t="shared" ca="1" si="229"/>
        <v>L01-CAR-INP-S014-15</v>
      </c>
      <c r="E1199" t="str">
        <f t="shared" ca="1" si="232"/>
        <v>L01-CAR-INP-S014-15</v>
      </c>
      <c r="F1199">
        <f t="shared" ca="1" si="233"/>
        <v>1421312</v>
      </c>
      <c r="G1199">
        <f t="shared" ca="1" si="234"/>
        <v>0</v>
      </c>
      <c r="H1199">
        <f t="shared" ca="1" si="235"/>
        <v>0</v>
      </c>
      <c r="I1199">
        <f t="shared" ca="1" si="236"/>
        <v>0</v>
      </c>
      <c r="J1199" s="8" t="e">
        <f t="shared" ca="1" si="237"/>
        <v>#DIV/0!</v>
      </c>
      <c r="K1199" s="9" t="e">
        <f t="shared" ca="1" si="238"/>
        <v>#DIV/0!</v>
      </c>
      <c r="L1199" t="e">
        <f ca="1">+_xlfn.IFNA(VLOOKUP(M1199,BespokeWindowsAreas!$A$1:$E$1999,1,FALSE),VLOOKUP(E1199,WindowTypeArea!$B$2:$C$2000,2,FALSE))</f>
        <v>#N/A</v>
      </c>
      <c r="M1199">
        <f t="shared" ca="1" si="239"/>
        <v>0</v>
      </c>
    </row>
    <row r="1200" spans="1:13" x14ac:dyDescent="0.25">
      <c r="A1200">
        <f t="shared" ca="1" si="230"/>
        <v>3</v>
      </c>
      <c r="B1200">
        <f t="shared" ca="1" si="231"/>
        <v>79</v>
      </c>
      <c r="C1200" t="str">
        <f t="shared" ca="1" si="240"/>
        <v>'WINDOWS-NCH-A-BDP-M3-01-00'!B78</v>
      </c>
      <c r="D1200" s="6" t="str">
        <f t="shared" ca="1" si="229"/>
        <v>L01-CAR-INP-S014-15</v>
      </c>
      <c r="E1200" t="str">
        <f t="shared" ca="1" si="232"/>
        <v>Family Type: 3490w x 3050h, Family: Window External Type 3 - Recessed and Angle with Type 1 Flush</v>
      </c>
      <c r="F1200" t="str">
        <f t="shared" ca="1" si="233"/>
        <v>Vector(X = -0.212, Y = 0.977, Z = 0.000, Length = 1.000)</v>
      </c>
      <c r="G1200">
        <f t="shared" ca="1" si="234"/>
        <v>-0.2</v>
      </c>
      <c r="H1200">
        <f t="shared" ca="1" si="235"/>
        <v>1</v>
      </c>
      <c r="I1200">
        <f t="shared" ca="1" si="236"/>
        <v>0</v>
      </c>
      <c r="J1200" s="8">
        <f t="shared" ca="1" si="237"/>
        <v>101.3099324740202</v>
      </c>
      <c r="K1200" s="9" t="str">
        <f t="shared" ca="1" si="238"/>
        <v>N</v>
      </c>
      <c r="L1200">
        <f ca="1">+_xlfn.IFNA(VLOOKUP(M1200,BespokeWindowsAreas!$A$1:$E$1999,1,FALSE),VLOOKUP(E1200,WindowTypeArea!$B$2:$C$2000,2,FALSE))</f>
        <v>7.67075</v>
      </c>
      <c r="M1200">
        <f t="shared" ca="1" si="239"/>
        <v>7056786</v>
      </c>
    </row>
    <row r="1201" spans="1:13" x14ac:dyDescent="0.25">
      <c r="A1201">
        <f t="shared" ca="1" si="230"/>
        <v>3</v>
      </c>
      <c r="B1201">
        <f t="shared" ca="1" si="231"/>
        <v>80</v>
      </c>
      <c r="C1201" t="str">
        <f t="shared" ca="1" si="240"/>
        <v>'WINDOWS-NCH-A-BDP-M3-01-00'!B79</v>
      </c>
      <c r="D1201" s="6" t="str">
        <f t="shared" ca="1" si="229"/>
        <v>L01-CAR-INP-S014-15</v>
      </c>
      <c r="E1201" t="str">
        <f t="shared" ca="1" si="232"/>
        <v>Family Type: manual 2.6m2</v>
      </c>
      <c r="F1201" t="str">
        <f t="shared" ca="1" si="233"/>
        <v>Vector(X = -0.323, Y = 0.946, Z = 0.000, Length = 1.000)</v>
      </c>
      <c r="G1201">
        <f t="shared" ca="1" si="234"/>
        <v>-0.2</v>
      </c>
      <c r="H1201">
        <f t="shared" ca="1" si="235"/>
        <v>1</v>
      </c>
      <c r="I1201">
        <f t="shared" ca="1" si="236"/>
        <v>0</v>
      </c>
      <c r="J1201" s="8">
        <f t="shared" ca="1" si="237"/>
        <v>101.3099324740202</v>
      </c>
      <c r="K1201" s="9" t="str">
        <f t="shared" ca="1" si="238"/>
        <v>N</v>
      </c>
      <c r="L1201">
        <f ca="1">+_xlfn.IFNA(VLOOKUP(M1201,BespokeWindowsAreas!$A$1:$E$1999,1,FALSE),VLOOKUP(E1201,WindowTypeArea!$B$2:$C$2000,2,FALSE))</f>
        <v>2.6</v>
      </c>
      <c r="M1201" t="str">
        <f t="shared" ca="1" si="239"/>
        <v xml:space="preserve">ID </v>
      </c>
    </row>
    <row r="1202" spans="1:13" x14ac:dyDescent="0.25">
      <c r="A1202">
        <f t="shared" ca="1" si="230"/>
        <v>3</v>
      </c>
      <c r="B1202">
        <f t="shared" ca="1" si="231"/>
        <v>81</v>
      </c>
      <c r="C1202" t="str">
        <f t="shared" ca="1" si="240"/>
        <v>'WINDOWS-NCH-A-BDP-M3-01-00'!B80</v>
      </c>
      <c r="D1202" s="6" t="str">
        <f t="shared" ca="1" si="229"/>
        <v>L01-CAR-INP-S014-16</v>
      </c>
      <c r="E1202" t="str">
        <f t="shared" ca="1" si="232"/>
        <v>L01-CAR-INP-S014-16</v>
      </c>
      <c r="F1202">
        <f t="shared" ca="1" si="233"/>
        <v>1421314</v>
      </c>
      <c r="G1202">
        <f t="shared" ca="1" si="234"/>
        <v>0</v>
      </c>
      <c r="H1202">
        <f t="shared" ca="1" si="235"/>
        <v>0</v>
      </c>
      <c r="I1202">
        <f t="shared" ca="1" si="236"/>
        <v>0</v>
      </c>
      <c r="J1202" s="8" t="e">
        <f t="shared" ca="1" si="237"/>
        <v>#DIV/0!</v>
      </c>
      <c r="K1202" s="9" t="e">
        <f t="shared" ca="1" si="238"/>
        <v>#DIV/0!</v>
      </c>
      <c r="L1202" t="e">
        <f ca="1">+_xlfn.IFNA(VLOOKUP(M1202,BespokeWindowsAreas!$A$1:$E$1999,1,FALSE),VLOOKUP(E1202,WindowTypeArea!$B$2:$C$2000,2,FALSE))</f>
        <v>#N/A</v>
      </c>
      <c r="M1202">
        <f t="shared" ca="1" si="239"/>
        <v>0</v>
      </c>
    </row>
    <row r="1203" spans="1:13" x14ac:dyDescent="0.25">
      <c r="A1203">
        <f t="shared" ca="1" si="230"/>
        <v>3</v>
      </c>
      <c r="B1203">
        <f t="shared" ca="1" si="231"/>
        <v>82</v>
      </c>
      <c r="C1203" t="str">
        <f t="shared" ca="1" si="240"/>
        <v>'WINDOWS-NCH-A-BDP-M3-01-00'!B81</v>
      </c>
      <c r="D1203" s="6" t="str">
        <f t="shared" ca="1" si="229"/>
        <v>L01-CAR-INP-S014-16</v>
      </c>
      <c r="E1203" t="str">
        <f t="shared" ca="1" si="232"/>
        <v>Family Type: 3490w x 3050h, Family: Window External Type 3 - Recessed and Angle with Type 1 Flush</v>
      </c>
      <c r="F1203" t="str">
        <f t="shared" ca="1" si="233"/>
        <v>Vector(X = -0.212, Y = 0.977, Z = 0.000, Length = 1.000)</v>
      </c>
      <c r="G1203">
        <f t="shared" ca="1" si="234"/>
        <v>-0.2</v>
      </c>
      <c r="H1203">
        <f t="shared" ca="1" si="235"/>
        <v>1</v>
      </c>
      <c r="I1203">
        <f t="shared" ca="1" si="236"/>
        <v>0</v>
      </c>
      <c r="J1203" s="8">
        <f t="shared" ca="1" si="237"/>
        <v>101.3099324740202</v>
      </c>
      <c r="K1203" s="9" t="str">
        <f t="shared" ca="1" si="238"/>
        <v>N</v>
      </c>
      <c r="L1203">
        <f ca="1">+_xlfn.IFNA(VLOOKUP(M1203,BespokeWindowsAreas!$A$1:$E$1999,1,FALSE),VLOOKUP(E1203,WindowTypeArea!$B$2:$C$2000,2,FALSE))</f>
        <v>7.67075</v>
      </c>
      <c r="M1203">
        <f t="shared" ca="1" si="239"/>
        <v>7056832</v>
      </c>
    </row>
    <row r="1204" spans="1:13" x14ac:dyDescent="0.25">
      <c r="A1204">
        <f t="shared" ca="1" si="230"/>
        <v>3</v>
      </c>
      <c r="B1204">
        <f t="shared" ca="1" si="231"/>
        <v>83</v>
      </c>
      <c r="C1204" t="str">
        <f t="shared" ca="1" si="240"/>
        <v>'WINDOWS-NCH-A-BDP-M3-01-00'!B82</v>
      </c>
      <c r="D1204" s="6" t="str">
        <f t="shared" ca="1" si="229"/>
        <v>L01-CAR-INP-S014-16</v>
      </c>
      <c r="E1204" t="str">
        <f t="shared" ca="1" si="232"/>
        <v>Family Type: manual 2.6m2</v>
      </c>
      <c r="F1204" t="str">
        <f t="shared" ca="1" si="233"/>
        <v>Vector(X = -0.323, Y = 0.946, Z = 0.000, Length = 1.000)</v>
      </c>
      <c r="G1204">
        <f t="shared" ca="1" si="234"/>
        <v>-0.2</v>
      </c>
      <c r="H1204">
        <f t="shared" ca="1" si="235"/>
        <v>1</v>
      </c>
      <c r="I1204">
        <f t="shared" ca="1" si="236"/>
        <v>0</v>
      </c>
      <c r="J1204" s="8">
        <f t="shared" ca="1" si="237"/>
        <v>101.3099324740202</v>
      </c>
      <c r="K1204" s="9" t="str">
        <f t="shared" ca="1" si="238"/>
        <v>N</v>
      </c>
      <c r="L1204">
        <f ca="1">+_xlfn.IFNA(VLOOKUP(M1204,BespokeWindowsAreas!$A$1:$E$1999,1,FALSE),VLOOKUP(E1204,WindowTypeArea!$B$2:$C$2000,2,FALSE))</f>
        <v>2.6</v>
      </c>
      <c r="M1204" t="str">
        <f t="shared" ca="1" si="239"/>
        <v xml:space="preserve">ID </v>
      </c>
    </row>
    <row r="1205" spans="1:13" x14ac:dyDescent="0.25">
      <c r="A1205">
        <f t="shared" ca="1" si="230"/>
        <v>3</v>
      </c>
      <c r="B1205">
        <f t="shared" ca="1" si="231"/>
        <v>84</v>
      </c>
      <c r="C1205" t="str">
        <f t="shared" ca="1" si="240"/>
        <v>'WINDOWS-NCH-A-BDP-M3-01-00'!B83</v>
      </c>
      <c r="D1205" s="6" t="str">
        <f t="shared" ca="1" si="229"/>
        <v>L01-CAR-INP-S014-17</v>
      </c>
      <c r="E1205" t="str">
        <f t="shared" ca="1" si="232"/>
        <v>L01-CAR-INP-S014-17</v>
      </c>
      <c r="F1205">
        <f t="shared" ca="1" si="233"/>
        <v>1421316</v>
      </c>
      <c r="G1205">
        <f t="shared" ca="1" si="234"/>
        <v>0</v>
      </c>
      <c r="H1205">
        <f t="shared" ca="1" si="235"/>
        <v>0</v>
      </c>
      <c r="I1205">
        <f t="shared" ca="1" si="236"/>
        <v>0</v>
      </c>
      <c r="J1205" s="8" t="e">
        <f t="shared" ca="1" si="237"/>
        <v>#DIV/0!</v>
      </c>
      <c r="K1205" s="9" t="e">
        <f t="shared" ca="1" si="238"/>
        <v>#DIV/0!</v>
      </c>
      <c r="L1205" t="e">
        <f ca="1">+_xlfn.IFNA(VLOOKUP(M1205,BespokeWindowsAreas!$A$1:$E$1999,1,FALSE),VLOOKUP(E1205,WindowTypeArea!$B$2:$C$2000,2,FALSE))</f>
        <v>#N/A</v>
      </c>
      <c r="M1205">
        <f t="shared" ca="1" si="239"/>
        <v>0</v>
      </c>
    </row>
    <row r="1206" spans="1:13" x14ac:dyDescent="0.25">
      <c r="A1206">
        <f t="shared" ca="1" si="230"/>
        <v>3</v>
      </c>
      <c r="B1206">
        <f t="shared" ca="1" si="231"/>
        <v>85</v>
      </c>
      <c r="C1206" t="str">
        <f t="shared" ca="1" si="240"/>
        <v>'WINDOWS-NCH-A-BDP-M3-01-00'!B84</v>
      </c>
      <c r="D1206" s="6" t="str">
        <f t="shared" ca="1" si="229"/>
        <v>L01-CAR-INP-S014-17</v>
      </c>
      <c r="E1206" t="str">
        <f t="shared" ca="1" si="232"/>
        <v>Family Type: 3490w x 3050h, Family: Window External Type 3 - Recessed and Angle with Type 1 Flush</v>
      </c>
      <c r="F1206" t="str">
        <f t="shared" ca="1" si="233"/>
        <v>Vector(X = -0.212, Y = 0.977, Z = 0.000, Length = 1.000)</v>
      </c>
      <c r="G1206">
        <f t="shared" ca="1" si="234"/>
        <v>-0.2</v>
      </c>
      <c r="H1206">
        <f t="shared" ca="1" si="235"/>
        <v>1</v>
      </c>
      <c r="I1206">
        <f t="shared" ca="1" si="236"/>
        <v>0</v>
      </c>
      <c r="J1206" s="8">
        <f t="shared" ca="1" si="237"/>
        <v>101.3099324740202</v>
      </c>
      <c r="K1206" s="9" t="str">
        <f t="shared" ca="1" si="238"/>
        <v>N</v>
      </c>
      <c r="L1206">
        <f ca="1">+_xlfn.IFNA(VLOOKUP(M1206,BespokeWindowsAreas!$A$1:$E$1999,1,FALSE),VLOOKUP(E1206,WindowTypeArea!$B$2:$C$2000,2,FALSE))</f>
        <v>7.67075</v>
      </c>
      <c r="M1206">
        <f t="shared" ca="1" si="239"/>
        <v>7056569</v>
      </c>
    </row>
    <row r="1207" spans="1:13" x14ac:dyDescent="0.25">
      <c r="A1207">
        <f t="shared" ca="1" si="230"/>
        <v>3</v>
      </c>
      <c r="B1207">
        <f t="shared" ca="1" si="231"/>
        <v>86</v>
      </c>
      <c r="C1207" t="str">
        <f t="shared" ca="1" si="240"/>
        <v>'WINDOWS-NCH-A-BDP-M3-01-00'!B85</v>
      </c>
      <c r="D1207" s="6" t="str">
        <f t="shared" ca="1" si="229"/>
        <v>L01-CAR-INP-S014-17</v>
      </c>
      <c r="E1207" t="str">
        <f t="shared" ca="1" si="232"/>
        <v>Family Type: manual 2.6m2</v>
      </c>
      <c r="F1207" t="str">
        <f t="shared" ca="1" si="233"/>
        <v>Vector(X = -0.323, Y = 0.946, Z = 0.000, Length = 1.000)</v>
      </c>
      <c r="G1207">
        <f t="shared" ca="1" si="234"/>
        <v>-0.2</v>
      </c>
      <c r="H1207">
        <f t="shared" ca="1" si="235"/>
        <v>1</v>
      </c>
      <c r="I1207">
        <f t="shared" ca="1" si="236"/>
        <v>0</v>
      </c>
      <c r="J1207" s="8">
        <f t="shared" ca="1" si="237"/>
        <v>101.3099324740202</v>
      </c>
      <c r="K1207" s="9" t="str">
        <f t="shared" ca="1" si="238"/>
        <v>N</v>
      </c>
      <c r="L1207">
        <f ca="1">+_xlfn.IFNA(VLOOKUP(M1207,BespokeWindowsAreas!$A$1:$E$1999,1,FALSE),VLOOKUP(E1207,WindowTypeArea!$B$2:$C$2000,2,FALSE))</f>
        <v>2.6</v>
      </c>
      <c r="M1207" t="str">
        <f t="shared" ca="1" si="239"/>
        <v xml:space="preserve">ID </v>
      </c>
    </row>
    <row r="1208" spans="1:13" x14ac:dyDescent="0.25">
      <c r="A1208">
        <f t="shared" ca="1" si="230"/>
        <v>3</v>
      </c>
      <c r="B1208">
        <f t="shared" ca="1" si="231"/>
        <v>87</v>
      </c>
      <c r="C1208" t="str">
        <f t="shared" ca="1" si="240"/>
        <v>'WINDOWS-NCH-A-BDP-M3-01-00'!B86</v>
      </c>
      <c r="D1208" s="6" t="str">
        <f t="shared" ca="1" si="229"/>
        <v>L01-CAR-INP-S014-18</v>
      </c>
      <c r="E1208" t="str">
        <f t="shared" ca="1" si="232"/>
        <v>L01-CAR-INP-S014-18</v>
      </c>
      <c r="F1208">
        <f t="shared" ca="1" si="233"/>
        <v>1421318</v>
      </c>
      <c r="G1208">
        <f t="shared" ca="1" si="234"/>
        <v>0</v>
      </c>
      <c r="H1208">
        <f t="shared" ca="1" si="235"/>
        <v>0</v>
      </c>
      <c r="I1208">
        <f t="shared" ca="1" si="236"/>
        <v>0</v>
      </c>
      <c r="J1208" s="8" t="e">
        <f t="shared" ca="1" si="237"/>
        <v>#DIV/0!</v>
      </c>
      <c r="K1208" s="9" t="e">
        <f t="shared" ca="1" si="238"/>
        <v>#DIV/0!</v>
      </c>
      <c r="L1208" t="e">
        <f ca="1">+_xlfn.IFNA(VLOOKUP(M1208,BespokeWindowsAreas!$A$1:$E$1999,1,FALSE),VLOOKUP(E1208,WindowTypeArea!$B$2:$C$2000,2,FALSE))</f>
        <v>#N/A</v>
      </c>
      <c r="M1208">
        <f t="shared" ca="1" si="239"/>
        <v>0</v>
      </c>
    </row>
    <row r="1209" spans="1:13" x14ac:dyDescent="0.25">
      <c r="A1209">
        <f t="shared" ca="1" si="230"/>
        <v>3</v>
      </c>
      <c r="B1209">
        <f t="shared" ca="1" si="231"/>
        <v>88</v>
      </c>
      <c r="C1209" t="str">
        <f t="shared" ca="1" si="240"/>
        <v>'WINDOWS-NCH-A-BDP-M3-01-00'!B87</v>
      </c>
      <c r="D1209" s="6" t="str">
        <f t="shared" ca="1" si="229"/>
        <v>L01-CAR-INP-S014-18</v>
      </c>
      <c r="E1209" t="str">
        <f t="shared" ca="1" si="232"/>
        <v>Family Type: 1950w x 3050h, Family: Window External Type 1 - Recessed</v>
      </c>
      <c r="F1209" t="str">
        <f t="shared" ca="1" si="233"/>
        <v>Vector(X = -0.212, Y = 0.977, Z = 0.000, Length = 1.000)</v>
      </c>
      <c r="G1209">
        <f t="shared" ca="1" si="234"/>
        <v>-0.2</v>
      </c>
      <c r="H1209">
        <f t="shared" ca="1" si="235"/>
        <v>1</v>
      </c>
      <c r="I1209">
        <f t="shared" ca="1" si="236"/>
        <v>0</v>
      </c>
      <c r="J1209" s="8">
        <f t="shared" ca="1" si="237"/>
        <v>101.3099324740202</v>
      </c>
      <c r="K1209" s="9" t="str">
        <f t="shared" ca="1" si="238"/>
        <v>N</v>
      </c>
      <c r="L1209">
        <f ca="1">+_xlfn.IFNA(VLOOKUP(M1209,BespokeWindowsAreas!$A$1:$E$1999,1,FALSE),VLOOKUP(E1209,WindowTypeArea!$B$2:$C$2000,2,FALSE))</f>
        <v>5.9474999999999998</v>
      </c>
      <c r="M1209">
        <f t="shared" ca="1" si="239"/>
        <v>4839905</v>
      </c>
    </row>
    <row r="1210" spans="1:13" x14ac:dyDescent="0.25">
      <c r="A1210">
        <f t="shared" ca="1" si="230"/>
        <v>3</v>
      </c>
      <c r="B1210">
        <f t="shared" ca="1" si="231"/>
        <v>89</v>
      </c>
      <c r="C1210" t="str">
        <f t="shared" ca="1" si="240"/>
        <v>'WINDOWS-NCH-A-BDP-M3-01-00'!B88</v>
      </c>
      <c r="D1210" s="6" t="str">
        <f t="shared" ca="1" si="229"/>
        <v>L01-CAR-INP-S014-19</v>
      </c>
      <c r="E1210" t="str">
        <f t="shared" ca="1" si="232"/>
        <v>L01-CAR-INP-S014-19</v>
      </c>
      <c r="F1210">
        <f t="shared" ca="1" si="233"/>
        <v>1421320</v>
      </c>
      <c r="G1210">
        <f t="shared" ca="1" si="234"/>
        <v>0</v>
      </c>
      <c r="H1210">
        <f t="shared" ca="1" si="235"/>
        <v>0</v>
      </c>
      <c r="I1210">
        <f t="shared" ca="1" si="236"/>
        <v>0</v>
      </c>
      <c r="J1210" s="8" t="e">
        <f t="shared" ca="1" si="237"/>
        <v>#DIV/0!</v>
      </c>
      <c r="K1210" s="9" t="e">
        <f t="shared" ca="1" si="238"/>
        <v>#DIV/0!</v>
      </c>
      <c r="L1210" t="e">
        <f ca="1">+_xlfn.IFNA(VLOOKUP(M1210,BespokeWindowsAreas!$A$1:$E$1999,1,FALSE),VLOOKUP(E1210,WindowTypeArea!$B$2:$C$2000,2,FALSE))</f>
        <v>#N/A</v>
      </c>
      <c r="M1210">
        <f t="shared" ca="1" si="239"/>
        <v>0</v>
      </c>
    </row>
    <row r="1211" spans="1:13" x14ac:dyDescent="0.25">
      <c r="A1211">
        <f t="shared" ca="1" si="230"/>
        <v>3</v>
      </c>
      <c r="B1211">
        <f t="shared" ca="1" si="231"/>
        <v>90</v>
      </c>
      <c r="C1211" t="str">
        <f t="shared" ca="1" si="240"/>
        <v>'WINDOWS-NCH-A-BDP-M3-01-00'!B89</v>
      </c>
      <c r="D1211" s="6" t="str">
        <f t="shared" ca="1" si="229"/>
        <v>L01-CAR-INP-S014-19</v>
      </c>
      <c r="E1211" t="str">
        <f t="shared" ca="1" si="232"/>
        <v>Family Type: 3490w x 3050h, Family: Window External Type 3 - Recessed and Angle with Type 1 Flush</v>
      </c>
      <c r="F1211" t="str">
        <f t="shared" ca="1" si="233"/>
        <v>Vector(X = 0.212, Y = -0.977, Z = 0.000, Length = 1.000)</v>
      </c>
      <c r="G1211">
        <f t="shared" ca="1" si="234"/>
        <v>0.2</v>
      </c>
      <c r="H1211">
        <f t="shared" ca="1" si="235"/>
        <v>-1</v>
      </c>
      <c r="I1211">
        <f t="shared" ca="1" si="236"/>
        <v>0</v>
      </c>
      <c r="J1211" s="8">
        <f t="shared" ca="1" si="237"/>
        <v>-78.690067525979785</v>
      </c>
      <c r="K1211" s="9" t="str">
        <f t="shared" ca="1" si="238"/>
        <v>S</v>
      </c>
      <c r="L1211">
        <f ca="1">+_xlfn.IFNA(VLOOKUP(M1211,BespokeWindowsAreas!$A$1:$E$1999,1,FALSE),VLOOKUP(E1211,WindowTypeArea!$B$2:$C$2000,2,FALSE))</f>
        <v>7.67075</v>
      </c>
      <c r="M1211">
        <f t="shared" ca="1" si="239"/>
        <v>7055204</v>
      </c>
    </row>
    <row r="1212" spans="1:13" x14ac:dyDescent="0.25">
      <c r="A1212">
        <f t="shared" ca="1" si="230"/>
        <v>3</v>
      </c>
      <c r="B1212">
        <f t="shared" ca="1" si="231"/>
        <v>91</v>
      </c>
      <c r="C1212" t="str">
        <f t="shared" ca="1" si="240"/>
        <v>'WINDOWS-NCH-A-BDP-M3-01-00'!B90</v>
      </c>
      <c r="D1212" s="6" t="str">
        <f t="shared" ca="1" si="229"/>
        <v>L01-CAR-INP-S014-19</v>
      </c>
      <c r="E1212" t="str">
        <f t="shared" ca="1" si="232"/>
        <v>Family Type: manual 2.6m2</v>
      </c>
      <c r="F1212" t="str">
        <f t="shared" ca="1" si="233"/>
        <v>Vector(X = -0.323, Y = 0.946, Z = 0.000, Length = 1.000)</v>
      </c>
      <c r="G1212">
        <f t="shared" ca="1" si="234"/>
        <v>-0.2</v>
      </c>
      <c r="H1212">
        <f t="shared" ca="1" si="235"/>
        <v>1</v>
      </c>
      <c r="I1212">
        <f t="shared" ca="1" si="236"/>
        <v>0</v>
      </c>
      <c r="J1212" s="8">
        <f t="shared" ca="1" si="237"/>
        <v>101.3099324740202</v>
      </c>
      <c r="K1212" s="9" t="str">
        <f t="shared" ca="1" si="238"/>
        <v>N</v>
      </c>
      <c r="L1212">
        <f ca="1">+_xlfn.IFNA(VLOOKUP(M1212,BespokeWindowsAreas!$A$1:$E$1999,1,FALSE),VLOOKUP(E1212,WindowTypeArea!$B$2:$C$2000,2,FALSE))</f>
        <v>2.6</v>
      </c>
      <c r="M1212" t="str">
        <f t="shared" ca="1" si="239"/>
        <v xml:space="preserve">ID </v>
      </c>
    </row>
    <row r="1213" spans="1:13" x14ac:dyDescent="0.25">
      <c r="A1213">
        <f t="shared" ca="1" si="230"/>
        <v>3</v>
      </c>
      <c r="B1213">
        <f t="shared" ca="1" si="231"/>
        <v>92</v>
      </c>
      <c r="C1213" t="str">
        <f t="shared" ca="1" si="240"/>
        <v>'WINDOWS-NCH-A-BDP-M3-01-00'!B91</v>
      </c>
      <c r="D1213" s="6" t="str">
        <f t="shared" ca="1" si="229"/>
        <v>L01-CAR-INP-S014-20</v>
      </c>
      <c r="E1213" t="str">
        <f t="shared" ca="1" si="232"/>
        <v>L01-CAR-INP-S014-20</v>
      </c>
      <c r="F1213">
        <f t="shared" ca="1" si="233"/>
        <v>1421322</v>
      </c>
      <c r="G1213">
        <f t="shared" ca="1" si="234"/>
        <v>0</v>
      </c>
      <c r="H1213">
        <f t="shared" ca="1" si="235"/>
        <v>0</v>
      </c>
      <c r="I1213">
        <f t="shared" ca="1" si="236"/>
        <v>0</v>
      </c>
      <c r="J1213" s="8" t="e">
        <f t="shared" ca="1" si="237"/>
        <v>#DIV/0!</v>
      </c>
      <c r="K1213" s="9" t="e">
        <f t="shared" ca="1" si="238"/>
        <v>#DIV/0!</v>
      </c>
      <c r="L1213" t="e">
        <f ca="1">+_xlfn.IFNA(VLOOKUP(M1213,BespokeWindowsAreas!$A$1:$E$1999,1,FALSE),VLOOKUP(E1213,WindowTypeArea!$B$2:$C$2000,2,FALSE))</f>
        <v>#N/A</v>
      </c>
      <c r="M1213">
        <f t="shared" ca="1" si="239"/>
        <v>0</v>
      </c>
    </row>
    <row r="1214" spans="1:13" x14ac:dyDescent="0.25">
      <c r="A1214">
        <f t="shared" ca="1" si="230"/>
        <v>3</v>
      </c>
      <c r="B1214">
        <f t="shared" ca="1" si="231"/>
        <v>93</v>
      </c>
      <c r="C1214" t="str">
        <f t="shared" ca="1" si="240"/>
        <v>'WINDOWS-NCH-A-BDP-M3-01-00'!B92</v>
      </c>
      <c r="D1214" s="6" t="str">
        <f t="shared" ca="1" si="229"/>
        <v>L01-CAR-INP-S014-20</v>
      </c>
      <c r="E1214" t="str">
        <f t="shared" ca="1" si="232"/>
        <v>Family Type: 3490w x 3050h, Family: Window External Type 3 - Recessed and Angle with Type 1 Flush</v>
      </c>
      <c r="F1214" t="str">
        <f t="shared" ca="1" si="233"/>
        <v>Vector(X = 0.212, Y = -0.977, Z = 0.000, Length = 1.000)</v>
      </c>
      <c r="G1214">
        <f t="shared" ca="1" si="234"/>
        <v>0.2</v>
      </c>
      <c r="H1214">
        <f t="shared" ca="1" si="235"/>
        <v>-1</v>
      </c>
      <c r="I1214">
        <f t="shared" ca="1" si="236"/>
        <v>0</v>
      </c>
      <c r="J1214" s="8">
        <f t="shared" ca="1" si="237"/>
        <v>-78.690067525979785</v>
      </c>
      <c r="K1214" s="9" t="str">
        <f t="shared" ca="1" si="238"/>
        <v>S</v>
      </c>
      <c r="L1214">
        <f ca="1">+_xlfn.IFNA(VLOOKUP(M1214,BespokeWindowsAreas!$A$1:$E$1999,1,FALSE),VLOOKUP(E1214,WindowTypeArea!$B$2:$C$2000,2,FALSE))</f>
        <v>7.67075</v>
      </c>
      <c r="M1214">
        <f t="shared" ca="1" si="239"/>
        <v>7055205</v>
      </c>
    </row>
    <row r="1215" spans="1:13" x14ac:dyDescent="0.25">
      <c r="A1215">
        <f t="shared" ca="1" si="230"/>
        <v>3</v>
      </c>
      <c r="B1215">
        <f t="shared" ca="1" si="231"/>
        <v>94</v>
      </c>
      <c r="C1215" t="str">
        <f t="shared" ca="1" si="240"/>
        <v>'WINDOWS-NCH-A-BDP-M3-01-00'!B93</v>
      </c>
      <c r="D1215" s="6" t="str">
        <f t="shared" ca="1" si="229"/>
        <v>L01-CAR-INP-S014-20</v>
      </c>
      <c r="E1215" t="str">
        <f t="shared" ca="1" si="232"/>
        <v>Family Type: manual 2.6m2</v>
      </c>
      <c r="F1215" t="str">
        <f t="shared" ca="1" si="233"/>
        <v>Vector(X = -0.323, Y = 0.946, Z = 0.000, Length = 1.000)</v>
      </c>
      <c r="G1215">
        <f t="shared" ca="1" si="234"/>
        <v>-0.2</v>
      </c>
      <c r="H1215">
        <f t="shared" ca="1" si="235"/>
        <v>1</v>
      </c>
      <c r="I1215">
        <f t="shared" ca="1" si="236"/>
        <v>0</v>
      </c>
      <c r="J1215" s="8">
        <f t="shared" ca="1" si="237"/>
        <v>101.3099324740202</v>
      </c>
      <c r="K1215" s="9" t="str">
        <f t="shared" ca="1" si="238"/>
        <v>N</v>
      </c>
      <c r="L1215">
        <f ca="1">+_xlfn.IFNA(VLOOKUP(M1215,BespokeWindowsAreas!$A$1:$E$1999,1,FALSE),VLOOKUP(E1215,WindowTypeArea!$B$2:$C$2000,2,FALSE))</f>
        <v>2.6</v>
      </c>
      <c r="M1215" t="str">
        <f t="shared" ca="1" si="239"/>
        <v xml:space="preserve">ID </v>
      </c>
    </row>
    <row r="1216" spans="1:13" x14ac:dyDescent="0.25">
      <c r="A1216">
        <f t="shared" ca="1" si="230"/>
        <v>3</v>
      </c>
      <c r="B1216">
        <f t="shared" ca="1" si="231"/>
        <v>95</v>
      </c>
      <c r="C1216" t="str">
        <f t="shared" ca="1" si="240"/>
        <v>'WINDOWS-NCH-A-BDP-M3-01-00'!B94</v>
      </c>
      <c r="D1216" s="6" t="str">
        <f t="shared" ca="1" si="229"/>
        <v>L01-CAR-INP-S014-21</v>
      </c>
      <c r="E1216" t="str">
        <f t="shared" ca="1" si="232"/>
        <v>L01-CAR-INP-S014-21</v>
      </c>
      <c r="F1216">
        <f t="shared" ca="1" si="233"/>
        <v>1421324</v>
      </c>
      <c r="G1216">
        <f t="shared" ca="1" si="234"/>
        <v>0</v>
      </c>
      <c r="H1216">
        <f t="shared" ca="1" si="235"/>
        <v>0</v>
      </c>
      <c r="I1216">
        <f t="shared" ca="1" si="236"/>
        <v>0</v>
      </c>
      <c r="J1216" s="8" t="e">
        <f t="shared" ca="1" si="237"/>
        <v>#DIV/0!</v>
      </c>
      <c r="K1216" s="9" t="e">
        <f t="shared" ca="1" si="238"/>
        <v>#DIV/0!</v>
      </c>
      <c r="L1216" t="e">
        <f ca="1">+_xlfn.IFNA(VLOOKUP(M1216,BespokeWindowsAreas!$A$1:$E$1999,1,FALSE),VLOOKUP(E1216,WindowTypeArea!$B$2:$C$2000,2,FALSE))</f>
        <v>#N/A</v>
      </c>
      <c r="M1216">
        <f t="shared" ca="1" si="239"/>
        <v>0</v>
      </c>
    </row>
    <row r="1217" spans="1:13" x14ac:dyDescent="0.25">
      <c r="A1217">
        <f t="shared" ca="1" si="230"/>
        <v>3</v>
      </c>
      <c r="B1217">
        <f t="shared" ca="1" si="231"/>
        <v>96</v>
      </c>
      <c r="C1217" t="str">
        <f t="shared" ca="1" si="240"/>
        <v>'WINDOWS-NCH-A-BDP-M3-01-00'!B95</v>
      </c>
      <c r="D1217" s="6" t="str">
        <f t="shared" ca="1" si="229"/>
        <v>L01-CAR-INP-S014-21</v>
      </c>
      <c r="E1217" t="str">
        <f t="shared" ca="1" si="232"/>
        <v>Family Type: 3490w x 3050h, Family: Window External Type 3 - Recessed and Angle with Type 1 Flush</v>
      </c>
      <c r="F1217" t="str">
        <f t="shared" ca="1" si="233"/>
        <v>Vector(X = 0.212, Y = -0.977, Z = 0.000, Length = 1.000)</v>
      </c>
      <c r="G1217">
        <f t="shared" ca="1" si="234"/>
        <v>0.2</v>
      </c>
      <c r="H1217">
        <f t="shared" ca="1" si="235"/>
        <v>-1</v>
      </c>
      <c r="I1217">
        <f t="shared" ca="1" si="236"/>
        <v>0</v>
      </c>
      <c r="J1217" s="8">
        <f t="shared" ca="1" si="237"/>
        <v>-78.690067525979785</v>
      </c>
      <c r="K1217" s="9" t="str">
        <f t="shared" ca="1" si="238"/>
        <v>S</v>
      </c>
      <c r="L1217">
        <f ca="1">+_xlfn.IFNA(VLOOKUP(M1217,BespokeWindowsAreas!$A$1:$E$1999,1,FALSE),VLOOKUP(E1217,WindowTypeArea!$B$2:$C$2000,2,FALSE))</f>
        <v>7.67075</v>
      </c>
      <c r="M1217">
        <f t="shared" ca="1" si="239"/>
        <v>7055206</v>
      </c>
    </row>
    <row r="1218" spans="1:13" x14ac:dyDescent="0.25">
      <c r="A1218">
        <f t="shared" ca="1" si="230"/>
        <v>3</v>
      </c>
      <c r="B1218">
        <f t="shared" ca="1" si="231"/>
        <v>97</v>
      </c>
      <c r="C1218" t="str">
        <f t="shared" ca="1" si="240"/>
        <v>'WINDOWS-NCH-A-BDP-M3-01-00'!B96</v>
      </c>
      <c r="D1218" s="6" t="str">
        <f t="shared" ca="1" si="229"/>
        <v>L01-CAR-INP-S014-21</v>
      </c>
      <c r="E1218" t="str">
        <f t="shared" ca="1" si="232"/>
        <v>Family Type: manual 2.6m2</v>
      </c>
      <c r="F1218" t="str">
        <f t="shared" ca="1" si="233"/>
        <v>Vector(X = -0.323, Y = 0.946, Z = 0.000, Length = 1.000)</v>
      </c>
      <c r="G1218">
        <f t="shared" ca="1" si="234"/>
        <v>-0.2</v>
      </c>
      <c r="H1218">
        <f t="shared" ca="1" si="235"/>
        <v>1</v>
      </c>
      <c r="I1218">
        <f t="shared" ca="1" si="236"/>
        <v>0</v>
      </c>
      <c r="J1218" s="8">
        <f t="shared" ca="1" si="237"/>
        <v>101.3099324740202</v>
      </c>
      <c r="K1218" s="9" t="str">
        <f t="shared" ca="1" si="238"/>
        <v>N</v>
      </c>
      <c r="L1218">
        <f ca="1">+_xlfn.IFNA(VLOOKUP(M1218,BespokeWindowsAreas!$A$1:$E$1999,1,FALSE),VLOOKUP(E1218,WindowTypeArea!$B$2:$C$2000,2,FALSE))</f>
        <v>2.6</v>
      </c>
      <c r="M1218" t="str">
        <f t="shared" ca="1" si="239"/>
        <v xml:space="preserve">ID </v>
      </c>
    </row>
    <row r="1219" spans="1:13" x14ac:dyDescent="0.25">
      <c r="A1219">
        <f t="shared" ca="1" si="230"/>
        <v>3</v>
      </c>
      <c r="B1219">
        <f t="shared" ca="1" si="231"/>
        <v>98</v>
      </c>
      <c r="C1219" t="str">
        <f t="shared" ca="1" si="240"/>
        <v>'WINDOWS-NCH-A-BDP-M3-01-00'!B97</v>
      </c>
      <c r="D1219" s="6" t="str">
        <f t="shared" ca="1" si="229"/>
        <v>L01-CAR-INP-S014-22</v>
      </c>
      <c r="E1219" t="str">
        <f t="shared" ca="1" si="232"/>
        <v>L01-CAR-INP-S014-22</v>
      </c>
      <c r="F1219">
        <f t="shared" ca="1" si="233"/>
        <v>1421326</v>
      </c>
      <c r="G1219">
        <f t="shared" ca="1" si="234"/>
        <v>0</v>
      </c>
      <c r="H1219">
        <f t="shared" ca="1" si="235"/>
        <v>0</v>
      </c>
      <c r="I1219">
        <f t="shared" ca="1" si="236"/>
        <v>0</v>
      </c>
      <c r="J1219" s="8" t="e">
        <f t="shared" ca="1" si="237"/>
        <v>#DIV/0!</v>
      </c>
      <c r="K1219" s="9" t="e">
        <f t="shared" ca="1" si="238"/>
        <v>#DIV/0!</v>
      </c>
      <c r="L1219" t="e">
        <f ca="1">+_xlfn.IFNA(VLOOKUP(M1219,BespokeWindowsAreas!$A$1:$E$1999,1,FALSE),VLOOKUP(E1219,WindowTypeArea!$B$2:$C$2000,2,FALSE))</f>
        <v>#N/A</v>
      </c>
      <c r="M1219">
        <f t="shared" ca="1" si="239"/>
        <v>0</v>
      </c>
    </row>
    <row r="1220" spans="1:13" x14ac:dyDescent="0.25">
      <c r="A1220">
        <f t="shared" ca="1" si="230"/>
        <v>3</v>
      </c>
      <c r="B1220">
        <f t="shared" ca="1" si="231"/>
        <v>99</v>
      </c>
      <c r="C1220" t="str">
        <f t="shared" ca="1" si="240"/>
        <v>'WINDOWS-NCH-A-BDP-M3-01-00'!B98</v>
      </c>
      <c r="D1220" s="6" t="str">
        <f t="shared" ca="1" si="229"/>
        <v>L01-CAR-INP-S014-22</v>
      </c>
      <c r="E1220" t="str">
        <f t="shared" ca="1" si="232"/>
        <v>Family Type: 3490w x 3050h, Family: Window External Type 3 - Recessed and Angle with Type 1 Flush</v>
      </c>
      <c r="F1220" t="str">
        <f t="shared" ca="1" si="233"/>
        <v>Vector(X = 0.212, Y = -0.977, Z = 0.000, Length = 1.000)</v>
      </c>
      <c r="G1220">
        <f t="shared" ca="1" si="234"/>
        <v>0.2</v>
      </c>
      <c r="H1220">
        <f t="shared" ca="1" si="235"/>
        <v>-1</v>
      </c>
      <c r="I1220">
        <f t="shared" ca="1" si="236"/>
        <v>0</v>
      </c>
      <c r="J1220" s="8">
        <f t="shared" ca="1" si="237"/>
        <v>-78.690067525979785</v>
      </c>
      <c r="K1220" s="9" t="str">
        <f t="shared" ca="1" si="238"/>
        <v>S</v>
      </c>
      <c r="L1220">
        <f ca="1">+_xlfn.IFNA(VLOOKUP(M1220,BespokeWindowsAreas!$A$1:$E$1999,1,FALSE),VLOOKUP(E1220,WindowTypeArea!$B$2:$C$2000,2,FALSE))</f>
        <v>7.67075</v>
      </c>
      <c r="M1220">
        <f t="shared" ca="1" si="239"/>
        <v>7055224</v>
      </c>
    </row>
    <row r="1221" spans="1:13" x14ac:dyDescent="0.25">
      <c r="A1221">
        <f t="shared" ca="1" si="230"/>
        <v>3</v>
      </c>
      <c r="B1221">
        <f t="shared" ca="1" si="231"/>
        <v>100</v>
      </c>
      <c r="C1221" t="str">
        <f t="shared" ca="1" si="240"/>
        <v>'WINDOWS-NCH-A-BDP-M3-01-00'!B99</v>
      </c>
      <c r="D1221" s="6" t="str">
        <f t="shared" ca="1" si="229"/>
        <v>L01-CAR-INP-S014-22</v>
      </c>
      <c r="E1221" t="str">
        <f t="shared" ca="1" si="232"/>
        <v>Family Type: manual 2.6m2</v>
      </c>
      <c r="F1221" t="str">
        <f t="shared" ca="1" si="233"/>
        <v>Vector(X = -0.323, Y = 0.946, Z = 0.000, Length = 1.000)</v>
      </c>
      <c r="G1221">
        <f t="shared" ca="1" si="234"/>
        <v>-0.2</v>
      </c>
      <c r="H1221">
        <f t="shared" ca="1" si="235"/>
        <v>1</v>
      </c>
      <c r="I1221">
        <f t="shared" ca="1" si="236"/>
        <v>0</v>
      </c>
      <c r="J1221" s="8">
        <f t="shared" ca="1" si="237"/>
        <v>101.3099324740202</v>
      </c>
      <c r="K1221" s="9" t="str">
        <f t="shared" ca="1" si="238"/>
        <v>N</v>
      </c>
      <c r="L1221">
        <f ca="1">+_xlfn.IFNA(VLOOKUP(M1221,BespokeWindowsAreas!$A$1:$E$1999,1,FALSE),VLOOKUP(E1221,WindowTypeArea!$B$2:$C$2000,2,FALSE))</f>
        <v>2.6</v>
      </c>
      <c r="M1221" t="str">
        <f t="shared" ca="1" si="239"/>
        <v xml:space="preserve">ID </v>
      </c>
    </row>
    <row r="1222" spans="1:13" x14ac:dyDescent="0.25">
      <c r="A1222">
        <f t="shared" ca="1" si="230"/>
        <v>3</v>
      </c>
      <c r="B1222">
        <f t="shared" ca="1" si="231"/>
        <v>101</v>
      </c>
      <c r="C1222" t="str">
        <f t="shared" ca="1" si="240"/>
        <v>'WINDOWS-NCH-A-BDP-M3-01-00'!B100</v>
      </c>
      <c r="D1222" s="6" t="str">
        <f t="shared" ref="D1222:D1285" ca="1" si="241">+IF(IFERROR(FIND("Family",E1222)&gt;0,FALSE),D1221,E1222)</f>
        <v>L01-CAR-INP-S014-23</v>
      </c>
      <c r="E1222" t="str">
        <f t="shared" ca="1" si="232"/>
        <v>L01-CAR-INP-S014-23</v>
      </c>
      <c r="F1222">
        <f t="shared" ca="1" si="233"/>
        <v>1421328</v>
      </c>
      <c r="G1222">
        <f t="shared" ca="1" si="234"/>
        <v>0</v>
      </c>
      <c r="H1222">
        <f t="shared" ca="1" si="235"/>
        <v>0</v>
      </c>
      <c r="I1222">
        <f t="shared" ca="1" si="236"/>
        <v>0</v>
      </c>
      <c r="J1222" s="8" t="e">
        <f t="shared" ca="1" si="237"/>
        <v>#DIV/0!</v>
      </c>
      <c r="K1222" s="9" t="e">
        <f t="shared" ca="1" si="238"/>
        <v>#DIV/0!</v>
      </c>
      <c r="L1222" t="e">
        <f ca="1">+_xlfn.IFNA(VLOOKUP(M1222,BespokeWindowsAreas!$A$1:$E$1999,1,FALSE),VLOOKUP(E1222,WindowTypeArea!$B$2:$C$2000,2,FALSE))</f>
        <v>#N/A</v>
      </c>
      <c r="M1222">
        <f t="shared" ca="1" si="239"/>
        <v>0</v>
      </c>
    </row>
    <row r="1223" spans="1:13" x14ac:dyDescent="0.25">
      <c r="A1223">
        <f t="shared" ca="1" si="230"/>
        <v>3</v>
      </c>
      <c r="B1223">
        <f t="shared" ca="1" si="231"/>
        <v>102</v>
      </c>
      <c r="C1223" t="str">
        <f t="shared" ca="1" si="240"/>
        <v>'WINDOWS-NCH-A-BDP-M3-01-00'!B101</v>
      </c>
      <c r="D1223" s="6" t="str">
        <f t="shared" ca="1" si="241"/>
        <v>L01-CAR-INP-S014-23</v>
      </c>
      <c r="E1223" t="str">
        <f t="shared" ca="1" si="232"/>
        <v>Family Type: 3490w x 3050h, Family: Window External Type 3 - Recessed and Angle with Type 1 Flush</v>
      </c>
      <c r="F1223" t="str">
        <f t="shared" ca="1" si="233"/>
        <v>Vector(X = 0.212, Y = -0.977, Z = 0.000, Length = 1.000)</v>
      </c>
      <c r="G1223">
        <f t="shared" ca="1" si="234"/>
        <v>0.2</v>
      </c>
      <c r="H1223">
        <f t="shared" ca="1" si="235"/>
        <v>-1</v>
      </c>
      <c r="I1223">
        <f t="shared" ca="1" si="236"/>
        <v>0</v>
      </c>
      <c r="J1223" s="8">
        <f t="shared" ca="1" si="237"/>
        <v>-78.690067525979785</v>
      </c>
      <c r="K1223" s="9" t="str">
        <f t="shared" ca="1" si="238"/>
        <v>S</v>
      </c>
      <c r="L1223">
        <f ca="1">+_xlfn.IFNA(VLOOKUP(M1223,BespokeWindowsAreas!$A$1:$E$1999,1,FALSE),VLOOKUP(E1223,WindowTypeArea!$B$2:$C$2000,2,FALSE))</f>
        <v>7.67075</v>
      </c>
      <c r="M1223">
        <f t="shared" ca="1" si="239"/>
        <v>7055272</v>
      </c>
    </row>
    <row r="1224" spans="1:13" x14ac:dyDescent="0.25">
      <c r="A1224">
        <f t="shared" ca="1" si="230"/>
        <v>3</v>
      </c>
      <c r="B1224">
        <f t="shared" ca="1" si="231"/>
        <v>103</v>
      </c>
      <c r="C1224" t="str">
        <f t="shared" ca="1" si="240"/>
        <v>'WINDOWS-NCH-A-BDP-M3-01-00'!B102</v>
      </c>
      <c r="D1224" s="6" t="str">
        <f t="shared" ca="1" si="241"/>
        <v>L01-CAR-INP-S014-23</v>
      </c>
      <c r="E1224" t="str">
        <f t="shared" ca="1" si="232"/>
        <v>Family Type: manual 2.6m2</v>
      </c>
      <c r="F1224" t="str">
        <f t="shared" ca="1" si="233"/>
        <v>Vector(X = -0.323, Y = 0.946, Z = 0.000, Length = 1.000)</v>
      </c>
      <c r="G1224">
        <f t="shared" ca="1" si="234"/>
        <v>-0.2</v>
      </c>
      <c r="H1224">
        <f t="shared" ca="1" si="235"/>
        <v>1</v>
      </c>
      <c r="I1224">
        <f t="shared" ca="1" si="236"/>
        <v>0</v>
      </c>
      <c r="J1224" s="8">
        <f t="shared" ca="1" si="237"/>
        <v>101.3099324740202</v>
      </c>
      <c r="K1224" s="9" t="str">
        <f t="shared" ca="1" si="238"/>
        <v>N</v>
      </c>
      <c r="L1224">
        <f ca="1">+_xlfn.IFNA(VLOOKUP(M1224,BespokeWindowsAreas!$A$1:$E$1999,1,FALSE),VLOOKUP(E1224,WindowTypeArea!$B$2:$C$2000,2,FALSE))</f>
        <v>2.6</v>
      </c>
      <c r="M1224" t="str">
        <f t="shared" ca="1" si="239"/>
        <v xml:space="preserve">ID </v>
      </c>
    </row>
    <row r="1225" spans="1:13" x14ac:dyDescent="0.25">
      <c r="A1225">
        <f t="shared" ca="1" si="230"/>
        <v>3</v>
      </c>
      <c r="B1225">
        <f t="shared" ca="1" si="231"/>
        <v>104</v>
      </c>
      <c r="C1225" t="str">
        <f t="shared" ca="1" si="240"/>
        <v>'WINDOWS-NCH-A-BDP-M3-01-00'!B103</v>
      </c>
      <c r="D1225" s="6" t="str">
        <f t="shared" ca="1" si="241"/>
        <v>L01-CAR-INP-S014-24</v>
      </c>
      <c r="E1225" t="str">
        <f t="shared" ca="1" si="232"/>
        <v>L01-CAR-INP-S014-24</v>
      </c>
      <c r="F1225">
        <f t="shared" ca="1" si="233"/>
        <v>1421330</v>
      </c>
      <c r="G1225">
        <f t="shared" ca="1" si="234"/>
        <v>0</v>
      </c>
      <c r="H1225">
        <f t="shared" ca="1" si="235"/>
        <v>0</v>
      </c>
      <c r="I1225">
        <f t="shared" ca="1" si="236"/>
        <v>0</v>
      </c>
      <c r="J1225" s="8" t="e">
        <f t="shared" ca="1" si="237"/>
        <v>#DIV/0!</v>
      </c>
      <c r="K1225" s="9" t="e">
        <f t="shared" ca="1" si="238"/>
        <v>#DIV/0!</v>
      </c>
      <c r="L1225" t="e">
        <f ca="1">+_xlfn.IFNA(VLOOKUP(M1225,BespokeWindowsAreas!$A$1:$E$1999,1,FALSE),VLOOKUP(E1225,WindowTypeArea!$B$2:$C$2000,2,FALSE))</f>
        <v>#N/A</v>
      </c>
      <c r="M1225">
        <f t="shared" ca="1" si="239"/>
        <v>0</v>
      </c>
    </row>
    <row r="1226" spans="1:13" x14ac:dyDescent="0.25">
      <c r="A1226">
        <f t="shared" ca="1" si="230"/>
        <v>3</v>
      </c>
      <c r="B1226">
        <f t="shared" ca="1" si="231"/>
        <v>105</v>
      </c>
      <c r="C1226" t="str">
        <f t="shared" ca="1" si="240"/>
        <v>'WINDOWS-NCH-A-BDP-M3-01-00'!B104</v>
      </c>
      <c r="D1226" s="6" t="str">
        <f t="shared" ca="1" si="241"/>
        <v>L01-CAR-INP-S014-24</v>
      </c>
      <c r="E1226" t="str">
        <f t="shared" ca="1" si="232"/>
        <v>Family Type: 3490w x 3050h, Family: Window External Type 3 - Recessed and Angle with Type 1 Flush</v>
      </c>
      <c r="F1226" t="str">
        <f t="shared" ca="1" si="233"/>
        <v>Vector(X = 0.212, Y = -0.977, Z = 0.000, Length = 1.000)</v>
      </c>
      <c r="G1226">
        <f t="shared" ca="1" si="234"/>
        <v>0.2</v>
      </c>
      <c r="H1226">
        <f t="shared" ca="1" si="235"/>
        <v>-1</v>
      </c>
      <c r="I1226">
        <f t="shared" ca="1" si="236"/>
        <v>0</v>
      </c>
      <c r="J1226" s="8">
        <f t="shared" ca="1" si="237"/>
        <v>-78.690067525979785</v>
      </c>
      <c r="K1226" s="9" t="str">
        <f t="shared" ca="1" si="238"/>
        <v>S</v>
      </c>
      <c r="L1226">
        <f ca="1">+_xlfn.IFNA(VLOOKUP(M1226,BespokeWindowsAreas!$A$1:$E$1999,1,FALSE),VLOOKUP(E1226,WindowTypeArea!$B$2:$C$2000,2,FALSE))</f>
        <v>7.67075</v>
      </c>
      <c r="M1226">
        <f t="shared" ca="1" si="239"/>
        <v>7055891</v>
      </c>
    </row>
    <row r="1227" spans="1:13" x14ac:dyDescent="0.25">
      <c r="A1227">
        <f t="shared" ca="1" si="230"/>
        <v>3</v>
      </c>
      <c r="B1227">
        <f t="shared" ca="1" si="231"/>
        <v>106</v>
      </c>
      <c r="C1227" t="str">
        <f t="shared" ca="1" si="240"/>
        <v>'WINDOWS-NCH-A-BDP-M3-01-00'!B105</v>
      </c>
      <c r="D1227" s="6" t="str">
        <f t="shared" ca="1" si="241"/>
        <v>L01-CAR-INP-S014-24</v>
      </c>
      <c r="E1227" t="str">
        <f t="shared" ca="1" si="232"/>
        <v>Family Type: manual 2.6m2</v>
      </c>
      <c r="F1227" t="str">
        <f t="shared" ca="1" si="233"/>
        <v>Vector(X = -0.323, Y = 0.946, Z = 0.000, Length = 1.000)</v>
      </c>
      <c r="G1227">
        <f t="shared" ca="1" si="234"/>
        <v>-0.2</v>
      </c>
      <c r="H1227">
        <f t="shared" ca="1" si="235"/>
        <v>1</v>
      </c>
      <c r="I1227">
        <f t="shared" ca="1" si="236"/>
        <v>0</v>
      </c>
      <c r="J1227" s="8">
        <f t="shared" ca="1" si="237"/>
        <v>101.3099324740202</v>
      </c>
      <c r="K1227" s="9" t="str">
        <f t="shared" ca="1" si="238"/>
        <v>N</v>
      </c>
      <c r="L1227">
        <f ca="1">+_xlfn.IFNA(VLOOKUP(M1227,BespokeWindowsAreas!$A$1:$E$1999,1,FALSE),VLOOKUP(E1227,WindowTypeArea!$B$2:$C$2000,2,FALSE))</f>
        <v>2.6</v>
      </c>
      <c r="M1227" t="str">
        <f t="shared" ca="1" si="239"/>
        <v xml:space="preserve">ID </v>
      </c>
    </row>
    <row r="1228" spans="1:13" x14ac:dyDescent="0.25">
      <c r="A1228">
        <f t="shared" ca="1" si="230"/>
        <v>3</v>
      </c>
      <c r="B1228">
        <f t="shared" ca="1" si="231"/>
        <v>107</v>
      </c>
      <c r="C1228" t="str">
        <f t="shared" ca="1" si="240"/>
        <v>'WINDOWS-NCH-A-BDP-M3-01-00'!B106</v>
      </c>
      <c r="D1228" s="6" t="str">
        <f t="shared" ca="1" si="241"/>
        <v>L01-CAR-INP-S014-25</v>
      </c>
      <c r="E1228" t="str">
        <f t="shared" ca="1" si="232"/>
        <v>L01-CAR-INP-S014-25</v>
      </c>
      <c r="F1228">
        <f t="shared" ca="1" si="233"/>
        <v>1421332</v>
      </c>
      <c r="G1228">
        <f t="shared" ca="1" si="234"/>
        <v>0</v>
      </c>
      <c r="H1228">
        <f t="shared" ca="1" si="235"/>
        <v>0</v>
      </c>
      <c r="I1228">
        <f t="shared" ca="1" si="236"/>
        <v>0</v>
      </c>
      <c r="J1228" s="8" t="e">
        <f t="shared" ca="1" si="237"/>
        <v>#DIV/0!</v>
      </c>
      <c r="K1228" s="9" t="e">
        <f t="shared" ca="1" si="238"/>
        <v>#DIV/0!</v>
      </c>
      <c r="L1228" t="e">
        <f ca="1">+_xlfn.IFNA(VLOOKUP(M1228,BespokeWindowsAreas!$A$1:$E$1999,1,FALSE),VLOOKUP(E1228,WindowTypeArea!$B$2:$C$2000,2,FALSE))</f>
        <v>#N/A</v>
      </c>
      <c r="M1228">
        <f t="shared" ca="1" si="239"/>
        <v>0</v>
      </c>
    </row>
    <row r="1229" spans="1:13" x14ac:dyDescent="0.25">
      <c r="A1229">
        <f t="shared" ca="1" si="230"/>
        <v>3</v>
      </c>
      <c r="B1229">
        <f t="shared" ca="1" si="231"/>
        <v>108</v>
      </c>
      <c r="C1229" t="str">
        <f t="shared" ca="1" si="240"/>
        <v>'WINDOWS-NCH-A-BDP-M3-01-00'!B107</v>
      </c>
      <c r="D1229" s="6" t="str">
        <f t="shared" ca="1" si="241"/>
        <v>L01-CAR-INP-S014-25</v>
      </c>
      <c r="E1229" t="str">
        <f t="shared" ca="1" si="232"/>
        <v>Family Type: 3490w x 3050h, Family: Window External Type 3 - Recessed and Angle with Type 1 Flush</v>
      </c>
      <c r="F1229" t="str">
        <f t="shared" ca="1" si="233"/>
        <v>Vector(X = 0.212, Y = -0.977, Z = 0.000, Length = 1.000)</v>
      </c>
      <c r="G1229">
        <f t="shared" ca="1" si="234"/>
        <v>0.2</v>
      </c>
      <c r="H1229">
        <f t="shared" ca="1" si="235"/>
        <v>-1</v>
      </c>
      <c r="I1229">
        <f t="shared" ca="1" si="236"/>
        <v>0</v>
      </c>
      <c r="J1229" s="8">
        <f t="shared" ca="1" si="237"/>
        <v>-78.690067525979785</v>
      </c>
      <c r="K1229" s="9" t="str">
        <f t="shared" ca="1" si="238"/>
        <v>S</v>
      </c>
      <c r="L1229">
        <f ca="1">+_xlfn.IFNA(VLOOKUP(M1229,BespokeWindowsAreas!$A$1:$E$1999,1,FALSE),VLOOKUP(E1229,WindowTypeArea!$B$2:$C$2000,2,FALSE))</f>
        <v>7.67075</v>
      </c>
      <c r="M1229">
        <f t="shared" ca="1" si="239"/>
        <v>7055961</v>
      </c>
    </row>
    <row r="1230" spans="1:13" x14ac:dyDescent="0.25">
      <c r="A1230">
        <f t="shared" ca="1" si="230"/>
        <v>3</v>
      </c>
      <c r="B1230">
        <f t="shared" ca="1" si="231"/>
        <v>109</v>
      </c>
      <c r="C1230" t="str">
        <f t="shared" ca="1" si="240"/>
        <v>'WINDOWS-NCH-A-BDP-M3-01-00'!B108</v>
      </c>
      <c r="D1230" s="6" t="str">
        <f t="shared" ca="1" si="241"/>
        <v>L01-CAR-INP-S014-25</v>
      </c>
      <c r="E1230" t="str">
        <f t="shared" ca="1" si="232"/>
        <v>Family Type: manual 2.6m2</v>
      </c>
      <c r="F1230" t="str">
        <f t="shared" ca="1" si="233"/>
        <v>Vector(X = -0.323, Y = 0.946, Z = 0.000, Length = 1.000)</v>
      </c>
      <c r="G1230">
        <f t="shared" ca="1" si="234"/>
        <v>-0.2</v>
      </c>
      <c r="H1230">
        <f t="shared" ca="1" si="235"/>
        <v>1</v>
      </c>
      <c r="I1230">
        <f t="shared" ca="1" si="236"/>
        <v>0</v>
      </c>
      <c r="J1230" s="8">
        <f t="shared" ca="1" si="237"/>
        <v>101.3099324740202</v>
      </c>
      <c r="K1230" s="9" t="str">
        <f t="shared" ca="1" si="238"/>
        <v>N</v>
      </c>
      <c r="L1230">
        <f ca="1">+_xlfn.IFNA(VLOOKUP(M1230,BespokeWindowsAreas!$A$1:$E$1999,1,FALSE),VLOOKUP(E1230,WindowTypeArea!$B$2:$C$2000,2,FALSE))</f>
        <v>2.6</v>
      </c>
      <c r="M1230" t="str">
        <f t="shared" ca="1" si="239"/>
        <v xml:space="preserve">ID </v>
      </c>
    </row>
    <row r="1231" spans="1:13" x14ac:dyDescent="0.25">
      <c r="A1231">
        <f t="shared" ca="1" si="230"/>
        <v>3</v>
      </c>
      <c r="B1231">
        <f t="shared" ca="1" si="231"/>
        <v>110</v>
      </c>
      <c r="C1231" t="str">
        <f t="shared" ca="1" si="240"/>
        <v>'WINDOWS-NCH-A-BDP-M3-01-00'!B109</v>
      </c>
      <c r="D1231" s="6" t="str">
        <f t="shared" ca="1" si="241"/>
        <v>L01-CAR-INP-S014-26</v>
      </c>
      <c r="E1231" t="str">
        <f t="shared" ca="1" si="232"/>
        <v>L01-CAR-INP-S014-26</v>
      </c>
      <c r="F1231">
        <f t="shared" ca="1" si="233"/>
        <v>1421334</v>
      </c>
      <c r="G1231">
        <f t="shared" ca="1" si="234"/>
        <v>0</v>
      </c>
      <c r="H1231">
        <f t="shared" ca="1" si="235"/>
        <v>0</v>
      </c>
      <c r="I1231">
        <f t="shared" ca="1" si="236"/>
        <v>0</v>
      </c>
      <c r="J1231" s="8" t="e">
        <f t="shared" ca="1" si="237"/>
        <v>#DIV/0!</v>
      </c>
      <c r="K1231" s="9" t="e">
        <f t="shared" ca="1" si="238"/>
        <v>#DIV/0!</v>
      </c>
      <c r="L1231" t="e">
        <f ca="1">+_xlfn.IFNA(VLOOKUP(M1231,BespokeWindowsAreas!$A$1:$E$1999,1,FALSE),VLOOKUP(E1231,WindowTypeArea!$B$2:$C$2000,2,FALSE))</f>
        <v>#N/A</v>
      </c>
      <c r="M1231">
        <f t="shared" ca="1" si="239"/>
        <v>0</v>
      </c>
    </row>
    <row r="1232" spans="1:13" x14ac:dyDescent="0.25">
      <c r="A1232">
        <f t="shared" ca="1" si="230"/>
        <v>3</v>
      </c>
      <c r="B1232">
        <f t="shared" ca="1" si="231"/>
        <v>111</v>
      </c>
      <c r="C1232" t="str">
        <f t="shared" ca="1" si="240"/>
        <v>'WINDOWS-NCH-A-BDP-M3-01-00'!B110</v>
      </c>
      <c r="D1232" s="6" t="str">
        <f t="shared" ca="1" si="241"/>
        <v>L01-CAR-INP-S014-26</v>
      </c>
      <c r="E1232" t="str">
        <f t="shared" ca="1" si="232"/>
        <v>Family Type: 3490w x 3050h, Family: Window External Type 3 - Recessed and Angle with Type 1 Flush</v>
      </c>
      <c r="F1232" t="str">
        <f t="shared" ca="1" si="233"/>
        <v>Vector(X = 0.212, Y = -0.977, Z = 0.000, Length = 1.000)</v>
      </c>
      <c r="G1232">
        <f t="shared" ca="1" si="234"/>
        <v>0.2</v>
      </c>
      <c r="H1232">
        <f t="shared" ca="1" si="235"/>
        <v>-1</v>
      </c>
      <c r="I1232">
        <f t="shared" ca="1" si="236"/>
        <v>0</v>
      </c>
      <c r="J1232" s="8">
        <f t="shared" ca="1" si="237"/>
        <v>-78.690067525979785</v>
      </c>
      <c r="K1232" s="9" t="str">
        <f t="shared" ca="1" si="238"/>
        <v>S</v>
      </c>
      <c r="L1232">
        <f ca="1">+_xlfn.IFNA(VLOOKUP(M1232,BespokeWindowsAreas!$A$1:$E$1999,1,FALSE),VLOOKUP(E1232,WindowTypeArea!$B$2:$C$2000,2,FALSE))</f>
        <v>7.67075</v>
      </c>
      <c r="M1232">
        <f t="shared" ca="1" si="239"/>
        <v>7055995</v>
      </c>
    </row>
    <row r="1233" spans="1:13" x14ac:dyDescent="0.25">
      <c r="A1233">
        <f t="shared" ca="1" si="230"/>
        <v>3</v>
      </c>
      <c r="B1233">
        <f t="shared" ca="1" si="231"/>
        <v>112</v>
      </c>
      <c r="C1233" t="str">
        <f t="shared" ca="1" si="240"/>
        <v>'WINDOWS-NCH-A-BDP-M3-01-00'!B111</v>
      </c>
      <c r="D1233" s="6" t="str">
        <f t="shared" ca="1" si="241"/>
        <v>L01-CAR-INP-S014-26</v>
      </c>
      <c r="E1233" t="str">
        <f t="shared" ca="1" si="232"/>
        <v>Family Type: manual 2.6m2</v>
      </c>
      <c r="F1233" t="str">
        <f t="shared" ca="1" si="233"/>
        <v>Vector(X = -0.323, Y = 0.946, Z = 0.000, Length = 1.000)</v>
      </c>
      <c r="G1233">
        <f t="shared" ca="1" si="234"/>
        <v>-0.2</v>
      </c>
      <c r="H1233">
        <f t="shared" ca="1" si="235"/>
        <v>1</v>
      </c>
      <c r="I1233">
        <f t="shared" ca="1" si="236"/>
        <v>0</v>
      </c>
      <c r="J1233" s="8">
        <f t="shared" ca="1" si="237"/>
        <v>101.3099324740202</v>
      </c>
      <c r="K1233" s="9" t="str">
        <f t="shared" ca="1" si="238"/>
        <v>N</v>
      </c>
      <c r="L1233">
        <f ca="1">+_xlfn.IFNA(VLOOKUP(M1233,BespokeWindowsAreas!$A$1:$E$1999,1,FALSE),VLOOKUP(E1233,WindowTypeArea!$B$2:$C$2000,2,FALSE))</f>
        <v>2.6</v>
      </c>
      <c r="M1233" t="str">
        <f t="shared" ca="1" si="239"/>
        <v xml:space="preserve">ID </v>
      </c>
    </row>
    <row r="1234" spans="1:13" x14ac:dyDescent="0.25">
      <c r="A1234">
        <f t="shared" ca="1" si="230"/>
        <v>3</v>
      </c>
      <c r="B1234">
        <f t="shared" ca="1" si="231"/>
        <v>113</v>
      </c>
      <c r="C1234" t="str">
        <f t="shared" ca="1" si="240"/>
        <v>'WINDOWS-NCH-A-BDP-M3-01-00'!B112</v>
      </c>
      <c r="D1234" s="6" t="str">
        <f t="shared" ca="1" si="241"/>
        <v>L01-OPD-DC2-L036-01</v>
      </c>
      <c r="E1234" t="str">
        <f t="shared" ca="1" si="232"/>
        <v>L01-OPD-DC2-L036-01</v>
      </c>
      <c r="F1234">
        <f t="shared" ca="1" si="233"/>
        <v>1421442</v>
      </c>
      <c r="G1234">
        <f t="shared" ca="1" si="234"/>
        <v>0</v>
      </c>
      <c r="H1234">
        <f t="shared" ca="1" si="235"/>
        <v>0</v>
      </c>
      <c r="I1234">
        <f t="shared" ca="1" si="236"/>
        <v>0</v>
      </c>
      <c r="J1234" s="8" t="e">
        <f t="shared" ca="1" si="237"/>
        <v>#DIV/0!</v>
      </c>
      <c r="K1234" s="9" t="e">
        <f t="shared" ca="1" si="238"/>
        <v>#DIV/0!</v>
      </c>
      <c r="L1234" t="e">
        <f ca="1">+_xlfn.IFNA(VLOOKUP(M1234,BespokeWindowsAreas!$A$1:$E$1999,1,FALSE),VLOOKUP(E1234,WindowTypeArea!$B$2:$C$2000,2,FALSE))</f>
        <v>#N/A</v>
      </c>
      <c r="M1234">
        <f t="shared" ca="1" si="239"/>
        <v>0</v>
      </c>
    </row>
    <row r="1235" spans="1:13" x14ac:dyDescent="0.25">
      <c r="A1235">
        <f t="shared" ca="1" si="230"/>
        <v>3</v>
      </c>
      <c r="B1235">
        <f t="shared" ca="1" si="231"/>
        <v>114</v>
      </c>
      <c r="C1235" t="str">
        <f t="shared" ca="1" si="240"/>
        <v>'WINDOWS-NCH-A-BDP-M3-01-00'!B113</v>
      </c>
      <c r="D1235" s="6" t="str">
        <f t="shared" ca="1" si="241"/>
        <v>L01-OPD-DC2-L036-01</v>
      </c>
      <c r="E1235" t="str">
        <f t="shared" ca="1" si="232"/>
        <v>Family Type: 1950w x 3050h, Family: Window External Type 1 - Recessed</v>
      </c>
      <c r="F1235" t="str">
        <f t="shared" ca="1" si="233"/>
        <v>Vector(X = -0.530, Y = 0.848, Z = 0.000, Length = 1.000)</v>
      </c>
      <c r="G1235">
        <f t="shared" ca="1" si="234"/>
        <v>-0.5</v>
      </c>
      <c r="H1235">
        <f t="shared" ca="1" si="235"/>
        <v>0.8</v>
      </c>
      <c r="I1235">
        <f t="shared" ca="1" si="236"/>
        <v>0</v>
      </c>
      <c r="J1235" s="8">
        <f t="shared" ca="1" si="237"/>
        <v>122.0053832080835</v>
      </c>
      <c r="K1235" s="9" t="str">
        <f t="shared" ca="1" si="238"/>
        <v>N</v>
      </c>
      <c r="L1235">
        <f ca="1">+_xlfn.IFNA(VLOOKUP(M1235,BespokeWindowsAreas!$A$1:$E$1999,1,FALSE),VLOOKUP(E1235,WindowTypeArea!$B$2:$C$2000,2,FALSE))</f>
        <v>5.9474999999999998</v>
      </c>
      <c r="M1235">
        <f t="shared" ca="1" si="239"/>
        <v>6091440</v>
      </c>
    </row>
    <row r="1236" spans="1:13" x14ac:dyDescent="0.25">
      <c r="A1236">
        <f t="shared" ref="A1236:A1299" ca="1" si="242">+IF(B1235&lt;=VLOOKUP(MID(C1236,2,26),TABS,2,FALSE),A1235,+A1235+1)</f>
        <v>3</v>
      </c>
      <c r="B1236">
        <f t="shared" ref="B1236:B1299" ca="1" si="243">+IF(B1235&lt;=VLOOKUP(MID(C1236,2,26),TABS,2,FALSE),B1235+1,1)</f>
        <v>115</v>
      </c>
      <c r="C1236" t="str">
        <f t="shared" ca="1" si="240"/>
        <v>'WINDOWS-NCH-A-BDP-M3-01-00'!B114</v>
      </c>
      <c r="D1236" s="6" t="str">
        <f t="shared" ca="1" si="241"/>
        <v>L01-OPD-DC2-L021-01</v>
      </c>
      <c r="E1236" t="str">
        <f t="shared" ref="E1236:E1299" ca="1" si="244">+OFFSET(INDIRECT(C1236),0,0)</f>
        <v>L01-OPD-DC2-L021-01</v>
      </c>
      <c r="F1236">
        <f t="shared" ca="1" si="233"/>
        <v>1421454</v>
      </c>
      <c r="G1236">
        <f t="shared" ca="1" si="234"/>
        <v>0</v>
      </c>
      <c r="H1236">
        <f t="shared" ca="1" si="235"/>
        <v>0</v>
      </c>
      <c r="I1236">
        <f t="shared" ca="1" si="236"/>
        <v>0</v>
      </c>
      <c r="J1236" s="8" t="e">
        <f t="shared" ca="1" si="237"/>
        <v>#DIV/0!</v>
      </c>
      <c r="K1236" s="9" t="e">
        <f t="shared" ca="1" si="238"/>
        <v>#DIV/0!</v>
      </c>
      <c r="L1236" t="e">
        <f ca="1">+_xlfn.IFNA(VLOOKUP(M1236,BespokeWindowsAreas!$A$1:$E$1999,1,FALSE),VLOOKUP(E1236,WindowTypeArea!$B$2:$C$2000,2,FALSE))</f>
        <v>#N/A</v>
      </c>
      <c r="M1236">
        <f t="shared" ca="1" si="239"/>
        <v>0</v>
      </c>
    </row>
    <row r="1237" spans="1:13" x14ac:dyDescent="0.25">
      <c r="A1237">
        <f t="shared" ca="1" si="242"/>
        <v>3</v>
      </c>
      <c r="B1237">
        <f t="shared" ca="1" si="243"/>
        <v>116</v>
      </c>
      <c r="C1237" t="str">
        <f t="shared" ca="1" si="240"/>
        <v>'WINDOWS-NCH-A-BDP-M3-01-00'!B115</v>
      </c>
      <c r="D1237" s="6" t="str">
        <f t="shared" ca="1" si="241"/>
        <v>L01-OPD-DC2-L021-01</v>
      </c>
      <c r="E1237" t="str">
        <f t="shared" ca="1" si="244"/>
        <v>Family Type: 975w x 3050h, Family: Window External Type 1 - Recessed</v>
      </c>
      <c r="F1237" t="str">
        <f t="shared" ca="1" si="233"/>
        <v>Vector(X = 0.530, Y = -0.848, Z = 0.000, Length = 1.000)</v>
      </c>
      <c r="G1237">
        <f t="shared" ca="1" si="234"/>
        <v>0.5</v>
      </c>
      <c r="H1237">
        <f t="shared" ca="1" si="235"/>
        <v>-0.8</v>
      </c>
      <c r="I1237">
        <f t="shared" ca="1" si="236"/>
        <v>0</v>
      </c>
      <c r="J1237" s="8">
        <f t="shared" ca="1" si="237"/>
        <v>-57.994616791916499</v>
      </c>
      <c r="K1237" s="9" t="str">
        <f t="shared" ca="1" si="238"/>
        <v>S</v>
      </c>
      <c r="L1237">
        <f ca="1">+_xlfn.IFNA(VLOOKUP(M1237,BespokeWindowsAreas!$A$1:$E$1999,1,FALSE),VLOOKUP(E1237,WindowTypeArea!$B$2:$C$2000,2,FALSE))</f>
        <v>2.9737499999999999</v>
      </c>
      <c r="M1237">
        <f t="shared" ca="1" si="239"/>
        <v>4718414</v>
      </c>
    </row>
    <row r="1238" spans="1:13" x14ac:dyDescent="0.25">
      <c r="A1238">
        <f t="shared" ca="1" si="242"/>
        <v>3</v>
      </c>
      <c r="B1238">
        <f t="shared" ca="1" si="243"/>
        <v>117</v>
      </c>
      <c r="C1238" t="str">
        <f t="shared" ca="1" si="240"/>
        <v>'WINDOWS-NCH-A-BDP-M3-01-00'!B116</v>
      </c>
      <c r="D1238" s="6" t="str">
        <f t="shared" ca="1" si="241"/>
        <v>L01-OPD-DC2-U0233-01</v>
      </c>
      <c r="E1238" t="str">
        <f t="shared" ca="1" si="244"/>
        <v>L01-OPD-DC2-U0233-01</v>
      </c>
      <c r="F1238">
        <f t="shared" ref="F1238:F1301" ca="1" si="245">+OFFSET(INDIRECT(C1238),0,1)</f>
        <v>1421460</v>
      </c>
      <c r="G1238">
        <f t="shared" ref="G1238:G1301" ca="1" si="246">+OFFSET(INDIRECT(C1238),0,2)</f>
        <v>0</v>
      </c>
      <c r="H1238">
        <f t="shared" ref="H1238:H1301" ca="1" si="247">+OFFSET(INDIRECT(C1238),0,3)</f>
        <v>0</v>
      </c>
      <c r="I1238">
        <f t="shared" ref="I1238:I1301" ca="1" si="248">+OFFSET(INDIRECT(C1238),0,4)</f>
        <v>0</v>
      </c>
      <c r="J1238" s="8" t="e">
        <f t="shared" ref="J1238:J1301" ca="1" si="249">+DEGREES(ATAN2(G1238,H1238))</f>
        <v>#DIV/0!</v>
      </c>
      <c r="K1238" s="9" t="e">
        <f t="shared" ref="K1238:K1301" ca="1" si="250">VLOOKUP(J1238,$O$20:$P$36,2,-1)</f>
        <v>#DIV/0!</v>
      </c>
      <c r="L1238" t="e">
        <f ca="1">+_xlfn.IFNA(VLOOKUP(M1238,BespokeWindowsAreas!$A$1:$E$1999,1,FALSE),VLOOKUP(E1238,WindowTypeArea!$B$2:$C$2000,2,FALSE))</f>
        <v>#N/A</v>
      </c>
      <c r="M1238">
        <f t="shared" ref="M1238:M1301" ca="1" si="251">+OFFSET(INDIRECT(C1238),0,5)</f>
        <v>0</v>
      </c>
    </row>
    <row r="1239" spans="1:13" x14ac:dyDescent="0.25">
      <c r="A1239">
        <f t="shared" ca="1" si="242"/>
        <v>3</v>
      </c>
      <c r="B1239">
        <f t="shared" ca="1" si="243"/>
        <v>118</v>
      </c>
      <c r="C1239" t="str">
        <f t="shared" ref="C1239:C1302" ca="1" si="252">+"'"&amp;INDIRECT("a"&amp;A1238)&amp;"'!B"&amp;B1238</f>
        <v>'WINDOWS-NCH-A-BDP-M3-01-00'!B117</v>
      </c>
      <c r="D1239" s="6" t="str">
        <f t="shared" ca="1" si="241"/>
        <v>L01-OPD-DC2-U0233-01</v>
      </c>
      <c r="E1239" t="str">
        <f t="shared" ca="1" si="244"/>
        <v>Family Type: 1500w x 3050h, Family: Window External Type 3 - Recessed and Angle</v>
      </c>
      <c r="F1239" t="str">
        <f t="shared" ca="1" si="245"/>
        <v>Vector(X = 0.530, Y = -0.848, Z = 0.000, Length = 1.000)</v>
      </c>
      <c r="G1239">
        <f t="shared" ca="1" si="246"/>
        <v>0.5</v>
      </c>
      <c r="H1239">
        <f t="shared" ca="1" si="247"/>
        <v>-0.8</v>
      </c>
      <c r="I1239">
        <f t="shared" ca="1" si="248"/>
        <v>0</v>
      </c>
      <c r="J1239" s="8">
        <f t="shared" ca="1" si="249"/>
        <v>-57.994616791916499</v>
      </c>
      <c r="K1239" s="9" t="str">
        <f t="shared" ca="1" si="250"/>
        <v>S</v>
      </c>
      <c r="L1239">
        <f ca="1">+_xlfn.IFNA(VLOOKUP(M1239,BespokeWindowsAreas!$A$1:$E$1999,1,FALSE),VLOOKUP(E1239,WindowTypeArea!$B$2:$C$2000,2,FALSE))</f>
        <v>4.5750000000000002</v>
      </c>
      <c r="M1239">
        <f t="shared" ca="1" si="251"/>
        <v>4717715</v>
      </c>
    </row>
    <row r="1240" spans="1:13" x14ac:dyDescent="0.25">
      <c r="A1240">
        <f t="shared" ca="1" si="242"/>
        <v>3</v>
      </c>
      <c r="B1240">
        <f t="shared" ca="1" si="243"/>
        <v>119</v>
      </c>
      <c r="C1240" t="str">
        <f t="shared" ca="1" si="252"/>
        <v>'WINDOWS-NCH-A-BDP-M3-01-00'!B118</v>
      </c>
      <c r="D1240" s="6" t="str">
        <f t="shared" ca="1" si="241"/>
        <v>L01-OPD-DC2-L033-01</v>
      </c>
      <c r="E1240" t="str">
        <f t="shared" ca="1" si="244"/>
        <v>L01-OPD-DC2-L033-01</v>
      </c>
      <c r="F1240">
        <f t="shared" ca="1" si="245"/>
        <v>1421472</v>
      </c>
      <c r="G1240">
        <f t="shared" ca="1" si="246"/>
        <v>0</v>
      </c>
      <c r="H1240">
        <f t="shared" ca="1" si="247"/>
        <v>0</v>
      </c>
      <c r="I1240">
        <f t="shared" ca="1" si="248"/>
        <v>0</v>
      </c>
      <c r="J1240" s="8" t="e">
        <f t="shared" ca="1" si="249"/>
        <v>#DIV/0!</v>
      </c>
      <c r="K1240" s="9" t="e">
        <f t="shared" ca="1" si="250"/>
        <v>#DIV/0!</v>
      </c>
      <c r="L1240" t="e">
        <f ca="1">+_xlfn.IFNA(VLOOKUP(M1240,BespokeWindowsAreas!$A$1:$E$1999,1,FALSE),VLOOKUP(E1240,WindowTypeArea!$B$2:$C$2000,2,FALSE))</f>
        <v>#N/A</v>
      </c>
      <c r="M1240">
        <f t="shared" ca="1" si="251"/>
        <v>0</v>
      </c>
    </row>
    <row r="1241" spans="1:13" x14ac:dyDescent="0.25">
      <c r="A1241">
        <f t="shared" ca="1" si="242"/>
        <v>3</v>
      </c>
      <c r="B1241">
        <f t="shared" ca="1" si="243"/>
        <v>120</v>
      </c>
      <c r="C1241" t="str">
        <f t="shared" ca="1" si="252"/>
        <v>'WINDOWS-NCH-A-BDP-M3-01-00'!B119</v>
      </c>
      <c r="D1241" s="6" t="str">
        <f t="shared" ca="1" si="241"/>
        <v>L01-OPD-DC2-L033-01</v>
      </c>
      <c r="E1241" t="str">
        <f t="shared" ca="1" si="244"/>
        <v>Family Type: 1950w x 3050h, Family: Window External Type 3 - Recessed and Angle</v>
      </c>
      <c r="F1241" t="str">
        <f t="shared" ca="1" si="245"/>
        <v>Vector(X = -0.530, Y = 0.848, Z = 0.000, Length = 1.000)</v>
      </c>
      <c r="G1241">
        <f t="shared" ca="1" si="246"/>
        <v>-0.5</v>
      </c>
      <c r="H1241">
        <f t="shared" ca="1" si="247"/>
        <v>0.8</v>
      </c>
      <c r="I1241">
        <f t="shared" ca="1" si="248"/>
        <v>0</v>
      </c>
      <c r="J1241" s="8">
        <f t="shared" ca="1" si="249"/>
        <v>122.0053832080835</v>
      </c>
      <c r="K1241" s="9" t="str">
        <f t="shared" ca="1" si="250"/>
        <v>N</v>
      </c>
      <c r="L1241">
        <f ca="1">+_xlfn.IFNA(VLOOKUP(M1241,BespokeWindowsAreas!$A$1:$E$1999,1,FALSE),VLOOKUP(E1241,WindowTypeArea!$B$2:$C$2000,2,FALSE))</f>
        <v>5.9474999999999998</v>
      </c>
      <c r="M1241">
        <f t="shared" ca="1" si="251"/>
        <v>6091435</v>
      </c>
    </row>
    <row r="1242" spans="1:13" x14ac:dyDescent="0.25">
      <c r="A1242">
        <f t="shared" ca="1" si="242"/>
        <v>3</v>
      </c>
      <c r="B1242">
        <f t="shared" ca="1" si="243"/>
        <v>121</v>
      </c>
      <c r="C1242" t="str">
        <f t="shared" ca="1" si="252"/>
        <v>'WINDOWS-NCH-A-BDP-M3-01-00'!B120</v>
      </c>
      <c r="D1242" s="6" t="str">
        <f t="shared" ca="1" si="241"/>
        <v>L01-OPD-DC2-L021-02</v>
      </c>
      <c r="E1242" t="str">
        <f t="shared" ca="1" si="244"/>
        <v>L01-OPD-DC2-L021-02</v>
      </c>
      <c r="F1242">
        <f t="shared" ca="1" si="245"/>
        <v>1421478</v>
      </c>
      <c r="G1242">
        <f t="shared" ca="1" si="246"/>
        <v>0</v>
      </c>
      <c r="H1242">
        <f t="shared" ca="1" si="247"/>
        <v>0</v>
      </c>
      <c r="I1242">
        <f t="shared" ca="1" si="248"/>
        <v>0</v>
      </c>
      <c r="J1242" s="8" t="e">
        <f t="shared" ca="1" si="249"/>
        <v>#DIV/0!</v>
      </c>
      <c r="K1242" s="9" t="e">
        <f t="shared" ca="1" si="250"/>
        <v>#DIV/0!</v>
      </c>
      <c r="L1242" t="e">
        <f ca="1">+_xlfn.IFNA(VLOOKUP(M1242,BespokeWindowsAreas!$A$1:$E$1999,1,FALSE),VLOOKUP(E1242,WindowTypeArea!$B$2:$C$2000,2,FALSE))</f>
        <v>#N/A</v>
      </c>
      <c r="M1242">
        <f t="shared" ca="1" si="251"/>
        <v>0</v>
      </c>
    </row>
    <row r="1243" spans="1:13" x14ac:dyDescent="0.25">
      <c r="A1243">
        <f t="shared" ca="1" si="242"/>
        <v>3</v>
      </c>
      <c r="B1243">
        <f t="shared" ca="1" si="243"/>
        <v>122</v>
      </c>
      <c r="C1243" t="str">
        <f t="shared" ca="1" si="252"/>
        <v>'WINDOWS-NCH-A-BDP-M3-01-00'!B121</v>
      </c>
      <c r="D1243" s="6" t="str">
        <f t="shared" ca="1" si="241"/>
        <v>L01-OPD-DC2-L021-02</v>
      </c>
      <c r="E1243" t="str">
        <f t="shared" ca="1" si="244"/>
        <v>Family Type: 1500w x 3050h, Family: Window External Type 3 - Recessed and Angle</v>
      </c>
      <c r="F1243" t="str">
        <f t="shared" ca="1" si="245"/>
        <v>Vector(X = -0.530, Y = 0.848, Z = 0.000, Length = 1.000)</v>
      </c>
      <c r="G1243">
        <f t="shared" ca="1" si="246"/>
        <v>-0.5</v>
      </c>
      <c r="H1243">
        <f t="shared" ca="1" si="247"/>
        <v>0.8</v>
      </c>
      <c r="I1243">
        <f t="shared" ca="1" si="248"/>
        <v>0</v>
      </c>
      <c r="J1243" s="8">
        <f t="shared" ca="1" si="249"/>
        <v>122.0053832080835</v>
      </c>
      <c r="K1243" s="9" t="str">
        <f t="shared" ca="1" si="250"/>
        <v>N</v>
      </c>
      <c r="L1243">
        <f ca="1">+_xlfn.IFNA(VLOOKUP(M1243,BespokeWindowsAreas!$A$1:$E$1999,1,FALSE),VLOOKUP(E1243,WindowTypeArea!$B$2:$C$2000,2,FALSE))</f>
        <v>4.5750000000000002</v>
      </c>
      <c r="M1243">
        <f t="shared" ca="1" si="251"/>
        <v>6562783</v>
      </c>
    </row>
    <row r="1244" spans="1:13" x14ac:dyDescent="0.25">
      <c r="A1244">
        <f t="shared" ca="1" si="242"/>
        <v>3</v>
      </c>
      <c r="B1244">
        <f t="shared" ca="1" si="243"/>
        <v>123</v>
      </c>
      <c r="C1244" t="str">
        <f t="shared" ca="1" si="252"/>
        <v>'WINDOWS-NCH-A-BDP-M3-01-00'!B122</v>
      </c>
      <c r="D1244" s="6" t="str">
        <f t="shared" ca="1" si="241"/>
        <v>L01-OPD-DC2-L021-04</v>
      </c>
      <c r="E1244" t="str">
        <f t="shared" ca="1" si="244"/>
        <v>L01-OPD-DC2-L021-04</v>
      </c>
      <c r="F1244">
        <f t="shared" ca="1" si="245"/>
        <v>1421482</v>
      </c>
      <c r="G1244">
        <f t="shared" ca="1" si="246"/>
        <v>0</v>
      </c>
      <c r="H1244">
        <f t="shared" ca="1" si="247"/>
        <v>0</v>
      </c>
      <c r="I1244">
        <f t="shared" ca="1" si="248"/>
        <v>0</v>
      </c>
      <c r="J1244" s="8" t="e">
        <f t="shared" ca="1" si="249"/>
        <v>#DIV/0!</v>
      </c>
      <c r="K1244" s="9" t="e">
        <f t="shared" ca="1" si="250"/>
        <v>#DIV/0!</v>
      </c>
      <c r="L1244" t="e">
        <f ca="1">+_xlfn.IFNA(VLOOKUP(M1244,BespokeWindowsAreas!$A$1:$E$1999,1,FALSE),VLOOKUP(E1244,WindowTypeArea!$B$2:$C$2000,2,FALSE))</f>
        <v>#N/A</v>
      </c>
      <c r="M1244">
        <f t="shared" ca="1" si="251"/>
        <v>0</v>
      </c>
    </row>
    <row r="1245" spans="1:13" x14ac:dyDescent="0.25">
      <c r="A1245">
        <f t="shared" ca="1" si="242"/>
        <v>3</v>
      </c>
      <c r="B1245">
        <f t="shared" ca="1" si="243"/>
        <v>124</v>
      </c>
      <c r="C1245" t="str">
        <f t="shared" ca="1" si="252"/>
        <v>'WINDOWS-NCH-A-BDP-M3-01-00'!B123</v>
      </c>
      <c r="D1245" s="6" t="str">
        <f t="shared" ca="1" si="241"/>
        <v>L01-OPD-DC2-L021-04</v>
      </c>
      <c r="E1245" t="str">
        <f t="shared" ca="1" si="244"/>
        <v>Family Type: 1500w x 3050h, Family: Window External Type 3 - Recessed and Angle</v>
      </c>
      <c r="F1245" t="str">
        <f t="shared" ca="1" si="245"/>
        <v>Vector(X = -0.530, Y = 0.848, Z = 0.000, Length = 1.000)</v>
      </c>
      <c r="G1245">
        <f t="shared" ca="1" si="246"/>
        <v>-0.5</v>
      </c>
      <c r="H1245">
        <f t="shared" ca="1" si="247"/>
        <v>0.8</v>
      </c>
      <c r="I1245">
        <f t="shared" ca="1" si="248"/>
        <v>0</v>
      </c>
      <c r="J1245" s="8">
        <f t="shared" ca="1" si="249"/>
        <v>122.0053832080835</v>
      </c>
      <c r="K1245" s="9" t="str">
        <f t="shared" ca="1" si="250"/>
        <v>N</v>
      </c>
      <c r="L1245">
        <f ca="1">+_xlfn.IFNA(VLOOKUP(M1245,BespokeWindowsAreas!$A$1:$E$1999,1,FALSE),VLOOKUP(E1245,WindowTypeArea!$B$2:$C$2000,2,FALSE))</f>
        <v>4.5750000000000002</v>
      </c>
      <c r="M1245">
        <f t="shared" ca="1" si="251"/>
        <v>6091426</v>
      </c>
    </row>
    <row r="1246" spans="1:13" x14ac:dyDescent="0.25">
      <c r="A1246">
        <f t="shared" ca="1" si="242"/>
        <v>3</v>
      </c>
      <c r="B1246">
        <f t="shared" ca="1" si="243"/>
        <v>125</v>
      </c>
      <c r="C1246" t="str">
        <f t="shared" ca="1" si="252"/>
        <v>'WINDOWS-NCH-A-BDP-M3-01-00'!B124</v>
      </c>
      <c r="D1246" s="6" t="str">
        <f t="shared" ca="1" si="241"/>
        <v>L01-OPD-DC2-L021-06</v>
      </c>
      <c r="E1246" t="str">
        <f t="shared" ca="1" si="244"/>
        <v>L01-OPD-DC2-L021-06</v>
      </c>
      <c r="F1246">
        <f t="shared" ca="1" si="245"/>
        <v>1421486</v>
      </c>
      <c r="G1246">
        <f t="shared" ca="1" si="246"/>
        <v>0</v>
      </c>
      <c r="H1246">
        <f t="shared" ca="1" si="247"/>
        <v>0</v>
      </c>
      <c r="I1246">
        <f t="shared" ca="1" si="248"/>
        <v>0</v>
      </c>
      <c r="J1246" s="8" t="e">
        <f t="shared" ca="1" si="249"/>
        <v>#DIV/0!</v>
      </c>
      <c r="K1246" s="9" t="e">
        <f t="shared" ca="1" si="250"/>
        <v>#DIV/0!</v>
      </c>
      <c r="L1246" t="e">
        <f ca="1">+_xlfn.IFNA(VLOOKUP(M1246,BespokeWindowsAreas!$A$1:$E$1999,1,FALSE),VLOOKUP(E1246,WindowTypeArea!$B$2:$C$2000,2,FALSE))</f>
        <v>#N/A</v>
      </c>
      <c r="M1246">
        <f t="shared" ca="1" si="251"/>
        <v>0</v>
      </c>
    </row>
    <row r="1247" spans="1:13" x14ac:dyDescent="0.25">
      <c r="A1247">
        <f t="shared" ca="1" si="242"/>
        <v>3</v>
      </c>
      <c r="B1247">
        <f t="shared" ca="1" si="243"/>
        <v>126</v>
      </c>
      <c r="C1247" t="str">
        <f t="shared" ca="1" si="252"/>
        <v>'WINDOWS-NCH-A-BDP-M3-01-00'!B125</v>
      </c>
      <c r="D1247" s="6" t="str">
        <f t="shared" ca="1" si="241"/>
        <v>L01-OPD-DC2-L021-06</v>
      </c>
      <c r="E1247" t="str">
        <f t="shared" ca="1" si="244"/>
        <v>Family Type: 1500w x 3050h, Family: Window External Type 3 - Recessed and Angle</v>
      </c>
      <c r="F1247" t="str">
        <f t="shared" ca="1" si="245"/>
        <v>Vector(X = 0.530, Y = -0.848, Z = 0.000, Length = 1.000)</v>
      </c>
      <c r="G1247">
        <f t="shared" ca="1" si="246"/>
        <v>0.5</v>
      </c>
      <c r="H1247">
        <f t="shared" ca="1" si="247"/>
        <v>-0.8</v>
      </c>
      <c r="I1247">
        <f t="shared" ca="1" si="248"/>
        <v>0</v>
      </c>
      <c r="J1247" s="8">
        <f t="shared" ca="1" si="249"/>
        <v>-57.994616791916499</v>
      </c>
      <c r="K1247" s="9" t="str">
        <f t="shared" ca="1" si="250"/>
        <v>S</v>
      </c>
      <c r="L1247">
        <f ca="1">+_xlfn.IFNA(VLOOKUP(M1247,BespokeWindowsAreas!$A$1:$E$1999,1,FALSE),VLOOKUP(E1247,WindowTypeArea!$B$2:$C$2000,2,FALSE))</f>
        <v>4.5750000000000002</v>
      </c>
      <c r="M1247">
        <f t="shared" ca="1" si="251"/>
        <v>4718925</v>
      </c>
    </row>
    <row r="1248" spans="1:13" x14ac:dyDescent="0.25">
      <c r="A1248">
        <f t="shared" ca="1" si="242"/>
        <v>3</v>
      </c>
      <c r="B1248">
        <f t="shared" ca="1" si="243"/>
        <v>127</v>
      </c>
      <c r="C1248" t="str">
        <f t="shared" ca="1" si="252"/>
        <v>'WINDOWS-NCH-A-BDP-M3-01-00'!B126</v>
      </c>
      <c r="D1248" s="6" t="str">
        <f t="shared" ca="1" si="241"/>
        <v>L01-OPD-DC2-L021-07</v>
      </c>
      <c r="E1248" t="str">
        <f t="shared" ca="1" si="244"/>
        <v>L01-OPD-DC2-L021-07</v>
      </c>
      <c r="F1248">
        <f t="shared" ca="1" si="245"/>
        <v>1421488</v>
      </c>
      <c r="G1248">
        <f t="shared" ca="1" si="246"/>
        <v>0</v>
      </c>
      <c r="H1248">
        <f t="shared" ca="1" si="247"/>
        <v>0</v>
      </c>
      <c r="I1248">
        <f t="shared" ca="1" si="248"/>
        <v>0</v>
      </c>
      <c r="J1248" s="8" t="e">
        <f t="shared" ca="1" si="249"/>
        <v>#DIV/0!</v>
      </c>
      <c r="K1248" s="9" t="e">
        <f t="shared" ca="1" si="250"/>
        <v>#DIV/0!</v>
      </c>
      <c r="L1248" t="e">
        <f ca="1">+_xlfn.IFNA(VLOOKUP(M1248,BespokeWindowsAreas!$A$1:$E$1999,1,FALSE),VLOOKUP(E1248,WindowTypeArea!$B$2:$C$2000,2,FALSE))</f>
        <v>#N/A</v>
      </c>
      <c r="M1248">
        <f t="shared" ca="1" si="251"/>
        <v>0</v>
      </c>
    </row>
    <row r="1249" spans="1:13" x14ac:dyDescent="0.25">
      <c r="A1249">
        <f t="shared" ca="1" si="242"/>
        <v>3</v>
      </c>
      <c r="B1249">
        <f t="shared" ca="1" si="243"/>
        <v>128</v>
      </c>
      <c r="C1249" t="str">
        <f t="shared" ca="1" si="252"/>
        <v>'WINDOWS-NCH-A-BDP-M3-01-00'!B127</v>
      </c>
      <c r="D1249" s="6" t="str">
        <f t="shared" ca="1" si="241"/>
        <v>L01-OPD-DC2-L021-07</v>
      </c>
      <c r="E1249" t="str">
        <f t="shared" ca="1" si="244"/>
        <v>Family Type: 1000w x 3050h, Family: Window External Type 2 - Recessed and Fin</v>
      </c>
      <c r="F1249" t="str">
        <f t="shared" ca="1" si="245"/>
        <v>Vector(X = -0.530, Y = 0.848, Z = 0.000, Length = 1.000)</v>
      </c>
      <c r="G1249">
        <f t="shared" ca="1" si="246"/>
        <v>-0.5</v>
      </c>
      <c r="H1249">
        <f t="shared" ca="1" si="247"/>
        <v>0.8</v>
      </c>
      <c r="I1249">
        <f t="shared" ca="1" si="248"/>
        <v>0</v>
      </c>
      <c r="J1249" s="8">
        <f t="shared" ca="1" si="249"/>
        <v>122.0053832080835</v>
      </c>
      <c r="K1249" s="9" t="str">
        <f t="shared" ca="1" si="250"/>
        <v>N</v>
      </c>
      <c r="L1249">
        <f ca="1">+_xlfn.IFNA(VLOOKUP(M1249,BespokeWindowsAreas!$A$1:$E$1999,1,FALSE),VLOOKUP(E1249,WindowTypeArea!$B$2:$C$2000,2,FALSE))</f>
        <v>3.05</v>
      </c>
      <c r="M1249">
        <f t="shared" ca="1" si="251"/>
        <v>6091425</v>
      </c>
    </row>
    <row r="1250" spans="1:13" x14ac:dyDescent="0.25">
      <c r="A1250">
        <f t="shared" ca="1" si="242"/>
        <v>3</v>
      </c>
      <c r="B1250">
        <f t="shared" ca="1" si="243"/>
        <v>129</v>
      </c>
      <c r="C1250" t="str">
        <f t="shared" ca="1" si="252"/>
        <v>'WINDOWS-NCH-A-BDP-M3-01-00'!B128</v>
      </c>
      <c r="D1250" s="6" t="str">
        <f t="shared" ca="1" si="241"/>
        <v>L01-OPD-DC2-L021-10</v>
      </c>
      <c r="E1250" t="str">
        <f t="shared" ca="1" si="244"/>
        <v>L01-OPD-DC2-L021-10</v>
      </c>
      <c r="F1250">
        <f t="shared" ca="1" si="245"/>
        <v>1421494</v>
      </c>
      <c r="G1250">
        <f t="shared" ca="1" si="246"/>
        <v>0</v>
      </c>
      <c r="H1250">
        <f t="shared" ca="1" si="247"/>
        <v>0</v>
      </c>
      <c r="I1250">
        <f t="shared" ca="1" si="248"/>
        <v>0</v>
      </c>
      <c r="J1250" s="8" t="e">
        <f t="shared" ca="1" si="249"/>
        <v>#DIV/0!</v>
      </c>
      <c r="K1250" s="9" t="e">
        <f t="shared" ca="1" si="250"/>
        <v>#DIV/0!</v>
      </c>
      <c r="L1250" t="e">
        <f ca="1">+_xlfn.IFNA(VLOOKUP(M1250,BespokeWindowsAreas!$A$1:$E$1999,1,FALSE),VLOOKUP(E1250,WindowTypeArea!$B$2:$C$2000,2,FALSE))</f>
        <v>#N/A</v>
      </c>
      <c r="M1250">
        <f t="shared" ca="1" si="251"/>
        <v>0</v>
      </c>
    </row>
    <row r="1251" spans="1:13" x14ac:dyDescent="0.25">
      <c r="A1251">
        <f t="shared" ca="1" si="242"/>
        <v>3</v>
      </c>
      <c r="B1251">
        <f t="shared" ca="1" si="243"/>
        <v>130</v>
      </c>
      <c r="C1251" t="str">
        <f t="shared" ca="1" si="252"/>
        <v>'WINDOWS-NCH-A-BDP-M3-01-00'!B129</v>
      </c>
      <c r="D1251" s="6" t="str">
        <f t="shared" ca="1" si="241"/>
        <v>L01-OPD-DC2-L021-10</v>
      </c>
      <c r="E1251" t="str">
        <f t="shared" ca="1" si="244"/>
        <v>Family Type: 1000w x 3050h, Family: Window External Type 2 - Recessed and Fin</v>
      </c>
      <c r="F1251" t="str">
        <f t="shared" ca="1" si="245"/>
        <v>Vector(X = -0.530, Y = 0.848, Z = 0.000, Length = 1.000)</v>
      </c>
      <c r="G1251">
        <f t="shared" ca="1" si="246"/>
        <v>-0.5</v>
      </c>
      <c r="H1251">
        <f t="shared" ca="1" si="247"/>
        <v>0.8</v>
      </c>
      <c r="I1251">
        <f t="shared" ca="1" si="248"/>
        <v>0</v>
      </c>
      <c r="J1251" s="8">
        <f t="shared" ca="1" si="249"/>
        <v>122.0053832080835</v>
      </c>
      <c r="K1251" s="9" t="str">
        <f t="shared" ca="1" si="250"/>
        <v>N</v>
      </c>
      <c r="L1251">
        <f ca="1">+_xlfn.IFNA(VLOOKUP(M1251,BespokeWindowsAreas!$A$1:$E$1999,1,FALSE),VLOOKUP(E1251,WindowTypeArea!$B$2:$C$2000,2,FALSE))</f>
        <v>3.05</v>
      </c>
      <c r="M1251">
        <f t="shared" ca="1" si="251"/>
        <v>6091436</v>
      </c>
    </row>
    <row r="1252" spans="1:13" x14ac:dyDescent="0.25">
      <c r="A1252">
        <f t="shared" ca="1" si="242"/>
        <v>3</v>
      </c>
      <c r="B1252">
        <f t="shared" ca="1" si="243"/>
        <v>131</v>
      </c>
      <c r="C1252" t="str">
        <f t="shared" ca="1" si="252"/>
        <v>'WINDOWS-NCH-A-BDP-M3-01-00'!B130</v>
      </c>
      <c r="D1252" s="6" t="str">
        <f t="shared" ca="1" si="241"/>
        <v>L01-OPD-DC2-L033-02</v>
      </c>
      <c r="E1252" t="str">
        <f t="shared" ca="1" si="244"/>
        <v>L01-OPD-DC2-L033-02</v>
      </c>
      <c r="F1252">
        <f t="shared" ca="1" si="245"/>
        <v>1421512</v>
      </c>
      <c r="G1252">
        <f t="shared" ca="1" si="246"/>
        <v>0</v>
      </c>
      <c r="H1252">
        <f t="shared" ca="1" si="247"/>
        <v>0</v>
      </c>
      <c r="I1252">
        <f t="shared" ca="1" si="248"/>
        <v>0</v>
      </c>
      <c r="J1252" s="8" t="e">
        <f t="shared" ca="1" si="249"/>
        <v>#DIV/0!</v>
      </c>
      <c r="K1252" s="9" t="e">
        <f t="shared" ca="1" si="250"/>
        <v>#DIV/0!</v>
      </c>
      <c r="L1252" t="e">
        <f ca="1">+_xlfn.IFNA(VLOOKUP(M1252,BespokeWindowsAreas!$A$1:$E$1999,1,FALSE),VLOOKUP(E1252,WindowTypeArea!$B$2:$C$2000,2,FALSE))</f>
        <v>#N/A</v>
      </c>
      <c r="M1252">
        <f t="shared" ca="1" si="251"/>
        <v>0</v>
      </c>
    </row>
    <row r="1253" spans="1:13" x14ac:dyDescent="0.25">
      <c r="A1253">
        <f t="shared" ca="1" si="242"/>
        <v>3</v>
      </c>
      <c r="B1253">
        <f t="shared" ca="1" si="243"/>
        <v>132</v>
      </c>
      <c r="C1253" t="str">
        <f t="shared" ca="1" si="252"/>
        <v>'WINDOWS-NCH-A-BDP-M3-01-00'!B131</v>
      </c>
      <c r="D1253" s="6" t="str">
        <f t="shared" ca="1" si="241"/>
        <v>L01-OPD-DC2-L033-02</v>
      </c>
      <c r="E1253" t="str">
        <f t="shared" ca="1" si="244"/>
        <v>Family Type: 1950w x 3050h, Family: Window External Type 3 - Recessed and Angle</v>
      </c>
      <c r="F1253" t="str">
        <f t="shared" ca="1" si="245"/>
        <v>Vector(X = -0.530, Y = 0.848, Z = 0.000, Length = 1.000)</v>
      </c>
      <c r="G1253">
        <f t="shared" ca="1" si="246"/>
        <v>-0.5</v>
      </c>
      <c r="H1253">
        <f t="shared" ca="1" si="247"/>
        <v>0.8</v>
      </c>
      <c r="I1253">
        <f t="shared" ca="1" si="248"/>
        <v>0</v>
      </c>
      <c r="J1253" s="8">
        <f t="shared" ca="1" si="249"/>
        <v>122.0053832080835</v>
      </c>
      <c r="K1253" s="9" t="str">
        <f t="shared" ca="1" si="250"/>
        <v>N</v>
      </c>
      <c r="L1253">
        <f ca="1">+_xlfn.IFNA(VLOOKUP(M1253,BespokeWindowsAreas!$A$1:$E$1999,1,FALSE),VLOOKUP(E1253,WindowTypeArea!$B$2:$C$2000,2,FALSE))</f>
        <v>5.9474999999999998</v>
      </c>
      <c r="M1253">
        <f t="shared" ca="1" si="251"/>
        <v>6091431</v>
      </c>
    </row>
    <row r="1254" spans="1:13" x14ac:dyDescent="0.25">
      <c r="A1254">
        <f t="shared" ca="1" si="242"/>
        <v>3</v>
      </c>
      <c r="B1254">
        <f t="shared" ca="1" si="243"/>
        <v>133</v>
      </c>
      <c r="C1254" t="str">
        <f t="shared" ca="1" si="252"/>
        <v>'WINDOWS-NCH-A-BDP-M3-01-00'!B132</v>
      </c>
      <c r="D1254" s="6" t="str">
        <f t="shared" ca="1" si="241"/>
        <v>L01-OPD-DC2-L033-03</v>
      </c>
      <c r="E1254" t="str">
        <f t="shared" ca="1" si="244"/>
        <v>L01-OPD-DC2-L033-03</v>
      </c>
      <c r="F1254">
        <f t="shared" ca="1" si="245"/>
        <v>1421514</v>
      </c>
      <c r="G1254">
        <f t="shared" ca="1" si="246"/>
        <v>0</v>
      </c>
      <c r="H1254">
        <f t="shared" ca="1" si="247"/>
        <v>0</v>
      </c>
      <c r="I1254">
        <f t="shared" ca="1" si="248"/>
        <v>0</v>
      </c>
      <c r="J1254" s="8" t="e">
        <f t="shared" ca="1" si="249"/>
        <v>#DIV/0!</v>
      </c>
      <c r="K1254" s="9" t="e">
        <f t="shared" ca="1" si="250"/>
        <v>#DIV/0!</v>
      </c>
      <c r="L1254" t="e">
        <f ca="1">+_xlfn.IFNA(VLOOKUP(M1254,BespokeWindowsAreas!$A$1:$E$1999,1,FALSE),VLOOKUP(E1254,WindowTypeArea!$B$2:$C$2000,2,FALSE))</f>
        <v>#N/A</v>
      </c>
      <c r="M1254">
        <f t="shared" ca="1" si="251"/>
        <v>0</v>
      </c>
    </row>
    <row r="1255" spans="1:13" x14ac:dyDescent="0.25">
      <c r="A1255">
        <f t="shared" ca="1" si="242"/>
        <v>3</v>
      </c>
      <c r="B1255">
        <f t="shared" ca="1" si="243"/>
        <v>134</v>
      </c>
      <c r="C1255" t="str">
        <f t="shared" ca="1" si="252"/>
        <v>'WINDOWS-NCH-A-BDP-M3-01-00'!B133</v>
      </c>
      <c r="D1255" s="6" t="str">
        <f t="shared" ca="1" si="241"/>
        <v>L01-OPD-DC2-L033-03</v>
      </c>
      <c r="E1255" t="str">
        <f t="shared" ca="1" si="244"/>
        <v>Family Type: 1000w x 3050h, Family: Window External Type 2 - Recessed and Fin</v>
      </c>
      <c r="F1255" t="str">
        <f t="shared" ca="1" si="245"/>
        <v>Vector(X = -0.530, Y = 0.848, Z = 0.000, Length = 1.000)</v>
      </c>
      <c r="G1255">
        <f t="shared" ca="1" si="246"/>
        <v>-0.5</v>
      </c>
      <c r="H1255">
        <f t="shared" ca="1" si="247"/>
        <v>0.8</v>
      </c>
      <c r="I1255">
        <f t="shared" ca="1" si="248"/>
        <v>0</v>
      </c>
      <c r="J1255" s="8">
        <f t="shared" ca="1" si="249"/>
        <v>122.0053832080835</v>
      </c>
      <c r="K1255" s="9" t="str">
        <f t="shared" ca="1" si="250"/>
        <v>N</v>
      </c>
      <c r="L1255">
        <f ca="1">+_xlfn.IFNA(VLOOKUP(M1255,BespokeWindowsAreas!$A$1:$E$1999,1,FALSE),VLOOKUP(E1255,WindowTypeArea!$B$2:$C$2000,2,FALSE))</f>
        <v>3.05</v>
      </c>
      <c r="M1255">
        <f t="shared" ca="1" si="251"/>
        <v>6091428</v>
      </c>
    </row>
    <row r="1256" spans="1:13" x14ac:dyDescent="0.25">
      <c r="A1256">
        <f t="shared" ca="1" si="242"/>
        <v>3</v>
      </c>
      <c r="B1256">
        <f t="shared" ca="1" si="243"/>
        <v>135</v>
      </c>
      <c r="C1256" t="str">
        <f t="shared" ca="1" si="252"/>
        <v>'WINDOWS-NCH-A-BDP-M3-01-00'!B134</v>
      </c>
      <c r="D1256" s="6" t="str">
        <f t="shared" ca="1" si="241"/>
        <v>L01-OPD-DC2-L033-04</v>
      </c>
      <c r="E1256" t="str">
        <f t="shared" ca="1" si="244"/>
        <v>L01-OPD-DC2-L033-04</v>
      </c>
      <c r="F1256">
        <f t="shared" ca="1" si="245"/>
        <v>1421516</v>
      </c>
      <c r="G1256">
        <f t="shared" ca="1" si="246"/>
        <v>0</v>
      </c>
      <c r="H1256">
        <f t="shared" ca="1" si="247"/>
        <v>0</v>
      </c>
      <c r="I1256">
        <f t="shared" ca="1" si="248"/>
        <v>0</v>
      </c>
      <c r="J1256" s="8" t="e">
        <f t="shared" ca="1" si="249"/>
        <v>#DIV/0!</v>
      </c>
      <c r="K1256" s="9" t="e">
        <f t="shared" ca="1" si="250"/>
        <v>#DIV/0!</v>
      </c>
      <c r="L1256" t="e">
        <f ca="1">+_xlfn.IFNA(VLOOKUP(M1256,BespokeWindowsAreas!$A$1:$E$1999,1,FALSE),VLOOKUP(E1256,WindowTypeArea!$B$2:$C$2000,2,FALSE))</f>
        <v>#N/A</v>
      </c>
      <c r="M1256">
        <f t="shared" ca="1" si="251"/>
        <v>0</v>
      </c>
    </row>
    <row r="1257" spans="1:13" x14ac:dyDescent="0.25">
      <c r="A1257">
        <f t="shared" ca="1" si="242"/>
        <v>3</v>
      </c>
      <c r="B1257">
        <f t="shared" ca="1" si="243"/>
        <v>136</v>
      </c>
      <c r="C1257" t="str">
        <f t="shared" ca="1" si="252"/>
        <v>'WINDOWS-NCH-A-BDP-M3-01-00'!B135</v>
      </c>
      <c r="D1257" s="6" t="str">
        <f t="shared" ca="1" si="241"/>
        <v>L01-OPD-DC2-L033-04</v>
      </c>
      <c r="E1257" t="str">
        <f t="shared" ca="1" si="244"/>
        <v>Family Type: 975w x 3050h, Family: Window External Type 1 - Recessed</v>
      </c>
      <c r="F1257" t="str">
        <f t="shared" ca="1" si="245"/>
        <v>Vector(X = -0.530, Y = 0.848, Z = 0.000, Length = 1.000)</v>
      </c>
      <c r="G1257">
        <f t="shared" ca="1" si="246"/>
        <v>-0.5</v>
      </c>
      <c r="H1257">
        <f t="shared" ca="1" si="247"/>
        <v>0.8</v>
      </c>
      <c r="I1257">
        <f t="shared" ca="1" si="248"/>
        <v>0</v>
      </c>
      <c r="J1257" s="8">
        <f t="shared" ca="1" si="249"/>
        <v>122.0053832080835</v>
      </c>
      <c r="K1257" s="9" t="str">
        <f t="shared" ca="1" si="250"/>
        <v>N</v>
      </c>
      <c r="L1257">
        <f ca="1">+_xlfn.IFNA(VLOOKUP(M1257,BespokeWindowsAreas!$A$1:$E$1999,1,FALSE),VLOOKUP(E1257,WindowTypeArea!$B$2:$C$2000,2,FALSE))</f>
        <v>2.9737499999999999</v>
      </c>
      <c r="M1257">
        <f t="shared" ca="1" si="251"/>
        <v>6091427</v>
      </c>
    </row>
    <row r="1258" spans="1:13" x14ac:dyDescent="0.25">
      <c r="A1258">
        <f t="shared" ca="1" si="242"/>
        <v>3</v>
      </c>
      <c r="B1258">
        <f t="shared" ca="1" si="243"/>
        <v>137</v>
      </c>
      <c r="C1258" t="str">
        <f t="shared" ca="1" si="252"/>
        <v>'WINDOWS-NCH-A-BDP-M3-01-00'!B136</v>
      </c>
      <c r="D1258" s="6" t="str">
        <f t="shared" ca="1" si="241"/>
        <v>L01-OPD-DC2-L033-06</v>
      </c>
      <c r="E1258" t="str">
        <f t="shared" ca="1" si="244"/>
        <v>L01-OPD-DC2-L033-06</v>
      </c>
      <c r="F1258">
        <f t="shared" ca="1" si="245"/>
        <v>1421520</v>
      </c>
      <c r="G1258">
        <f t="shared" ca="1" si="246"/>
        <v>0</v>
      </c>
      <c r="H1258">
        <f t="shared" ca="1" si="247"/>
        <v>0</v>
      </c>
      <c r="I1258">
        <f t="shared" ca="1" si="248"/>
        <v>0</v>
      </c>
      <c r="J1258" s="8" t="e">
        <f t="shared" ca="1" si="249"/>
        <v>#DIV/0!</v>
      </c>
      <c r="K1258" s="9" t="e">
        <f t="shared" ca="1" si="250"/>
        <v>#DIV/0!</v>
      </c>
      <c r="L1258" t="e">
        <f ca="1">+_xlfn.IFNA(VLOOKUP(M1258,BespokeWindowsAreas!$A$1:$E$1999,1,FALSE),VLOOKUP(E1258,WindowTypeArea!$B$2:$C$2000,2,FALSE))</f>
        <v>#N/A</v>
      </c>
      <c r="M1258">
        <f t="shared" ca="1" si="251"/>
        <v>0</v>
      </c>
    </row>
    <row r="1259" spans="1:13" x14ac:dyDescent="0.25">
      <c r="A1259">
        <f t="shared" ca="1" si="242"/>
        <v>3</v>
      </c>
      <c r="B1259">
        <f t="shared" ca="1" si="243"/>
        <v>138</v>
      </c>
      <c r="C1259" t="str">
        <f t="shared" ca="1" si="252"/>
        <v>'WINDOWS-NCH-A-BDP-M3-01-00'!B137</v>
      </c>
      <c r="D1259" s="6" t="str">
        <f t="shared" ca="1" si="241"/>
        <v>L01-OPD-DC2-L033-06</v>
      </c>
      <c r="E1259" t="str">
        <f t="shared" ca="1" si="244"/>
        <v>Family Type: 1000w x 3050h, Family: Window External Type 2 - Recessed and Fin</v>
      </c>
      <c r="F1259" t="str">
        <f t="shared" ca="1" si="245"/>
        <v>Vector(X = 0.530, Y = -0.848, Z = 0.000, Length = 1.000)</v>
      </c>
      <c r="G1259">
        <f t="shared" ca="1" si="246"/>
        <v>0.5</v>
      </c>
      <c r="H1259">
        <f t="shared" ca="1" si="247"/>
        <v>-0.8</v>
      </c>
      <c r="I1259">
        <f t="shared" ca="1" si="248"/>
        <v>0</v>
      </c>
      <c r="J1259" s="8">
        <f t="shared" ca="1" si="249"/>
        <v>-57.994616791916499</v>
      </c>
      <c r="K1259" s="9" t="str">
        <f t="shared" ca="1" si="250"/>
        <v>S</v>
      </c>
      <c r="L1259">
        <f ca="1">+_xlfn.IFNA(VLOOKUP(M1259,BespokeWindowsAreas!$A$1:$E$1999,1,FALSE),VLOOKUP(E1259,WindowTypeArea!$B$2:$C$2000,2,FALSE))</f>
        <v>3.05</v>
      </c>
      <c r="M1259">
        <f t="shared" ca="1" si="251"/>
        <v>4721126</v>
      </c>
    </row>
    <row r="1260" spans="1:13" x14ac:dyDescent="0.25">
      <c r="A1260">
        <f t="shared" ca="1" si="242"/>
        <v>3</v>
      </c>
      <c r="B1260">
        <f t="shared" ca="1" si="243"/>
        <v>139</v>
      </c>
      <c r="C1260" t="str">
        <f t="shared" ca="1" si="252"/>
        <v>'WINDOWS-NCH-A-BDP-M3-01-00'!B138</v>
      </c>
      <c r="D1260" s="6" t="str">
        <f t="shared" ca="1" si="241"/>
        <v>L01-OPD-DC5-S060-01</v>
      </c>
      <c r="E1260" t="str">
        <f t="shared" ca="1" si="244"/>
        <v>L01-OPD-DC5-S060-01</v>
      </c>
      <c r="F1260">
        <f t="shared" ca="1" si="245"/>
        <v>1421554</v>
      </c>
      <c r="G1260">
        <f t="shared" ca="1" si="246"/>
        <v>0</v>
      </c>
      <c r="H1260">
        <f t="shared" ca="1" si="247"/>
        <v>0</v>
      </c>
      <c r="I1260">
        <f t="shared" ca="1" si="248"/>
        <v>0</v>
      </c>
      <c r="J1260" s="8" t="e">
        <f t="shared" ca="1" si="249"/>
        <v>#DIV/0!</v>
      </c>
      <c r="K1260" s="9" t="e">
        <f t="shared" ca="1" si="250"/>
        <v>#DIV/0!</v>
      </c>
      <c r="L1260" t="e">
        <f ca="1">+_xlfn.IFNA(VLOOKUP(M1260,BespokeWindowsAreas!$A$1:$E$1999,1,FALSE),VLOOKUP(E1260,WindowTypeArea!$B$2:$C$2000,2,FALSE))</f>
        <v>#N/A</v>
      </c>
      <c r="M1260">
        <f t="shared" ca="1" si="251"/>
        <v>0</v>
      </c>
    </row>
    <row r="1261" spans="1:13" x14ac:dyDescent="0.25">
      <c r="A1261">
        <f t="shared" ca="1" si="242"/>
        <v>3</v>
      </c>
      <c r="B1261">
        <f t="shared" ca="1" si="243"/>
        <v>140</v>
      </c>
      <c r="C1261" t="str">
        <f t="shared" ca="1" si="252"/>
        <v>'WINDOWS-NCH-A-BDP-M3-01-00'!B139</v>
      </c>
      <c r="D1261" s="6" t="str">
        <f t="shared" ca="1" si="241"/>
        <v>L01-OPD-DC5-S060-01</v>
      </c>
      <c r="E1261" t="str">
        <f t="shared" ca="1" si="244"/>
        <v>Family Type: 1950w x 3050h, Family: Window External Type 3 - Recessed and Angle</v>
      </c>
      <c r="F1261" t="str">
        <f t="shared" ca="1" si="245"/>
        <v>Vector(X = -0.429, Y = 0.903, Z = 0.000, Length = 1.000)</v>
      </c>
      <c r="G1261">
        <f t="shared" ca="1" si="246"/>
        <v>-0.4</v>
      </c>
      <c r="H1261">
        <f t="shared" ca="1" si="247"/>
        <v>0.9</v>
      </c>
      <c r="I1261">
        <f t="shared" ca="1" si="248"/>
        <v>0</v>
      </c>
      <c r="J1261" s="8">
        <f t="shared" ca="1" si="249"/>
        <v>113.96248897457818</v>
      </c>
      <c r="K1261" s="9" t="str">
        <f t="shared" ca="1" si="250"/>
        <v>N</v>
      </c>
      <c r="L1261">
        <f ca="1">+_xlfn.IFNA(VLOOKUP(M1261,BespokeWindowsAreas!$A$1:$E$1999,1,FALSE),VLOOKUP(E1261,WindowTypeArea!$B$2:$C$2000,2,FALSE))</f>
        <v>5.9474999999999998</v>
      </c>
      <c r="M1261">
        <f t="shared" ca="1" si="251"/>
        <v>4785969</v>
      </c>
    </row>
    <row r="1262" spans="1:13" x14ac:dyDescent="0.25">
      <c r="A1262">
        <f t="shared" ca="1" si="242"/>
        <v>3</v>
      </c>
      <c r="B1262">
        <f t="shared" ca="1" si="243"/>
        <v>141</v>
      </c>
      <c r="C1262" t="str">
        <f t="shared" ca="1" si="252"/>
        <v>'WINDOWS-NCH-A-BDP-M3-01-00'!B140</v>
      </c>
      <c r="D1262" s="6" t="str">
        <f t="shared" ca="1" si="241"/>
        <v>L01-OPD-DC5-S060-01</v>
      </c>
      <c r="E1262" t="str">
        <f t="shared" ca="1" si="244"/>
        <v>Family Type: 975w x 3050h, Family: Window External Type 1 - Recessed</v>
      </c>
      <c r="F1262" t="str">
        <f t="shared" ca="1" si="245"/>
        <v>Vector(X = -0.429, Y = 0.903, Z = 0.000, Length = 1.000)</v>
      </c>
      <c r="G1262">
        <f t="shared" ca="1" si="246"/>
        <v>-0.4</v>
      </c>
      <c r="H1262">
        <f t="shared" ca="1" si="247"/>
        <v>0.9</v>
      </c>
      <c r="I1262">
        <f t="shared" ca="1" si="248"/>
        <v>0</v>
      </c>
      <c r="J1262" s="8">
        <f t="shared" ca="1" si="249"/>
        <v>113.96248897457818</v>
      </c>
      <c r="K1262" s="9" t="str">
        <f t="shared" ca="1" si="250"/>
        <v>N</v>
      </c>
      <c r="L1262">
        <f ca="1">+_xlfn.IFNA(VLOOKUP(M1262,BespokeWindowsAreas!$A$1:$E$1999,1,FALSE),VLOOKUP(E1262,WindowTypeArea!$B$2:$C$2000,2,FALSE))</f>
        <v>2.9737499999999999</v>
      </c>
      <c r="M1262">
        <f t="shared" ca="1" si="251"/>
        <v>5169417</v>
      </c>
    </row>
    <row r="1263" spans="1:13" x14ac:dyDescent="0.25">
      <c r="A1263">
        <f t="shared" ca="1" si="242"/>
        <v>3</v>
      </c>
      <c r="B1263">
        <f t="shared" ca="1" si="243"/>
        <v>142</v>
      </c>
      <c r="C1263" t="str">
        <f t="shared" ca="1" si="252"/>
        <v>'WINDOWS-NCH-A-BDP-M3-01-00'!B141</v>
      </c>
      <c r="D1263" s="6" t="str">
        <f t="shared" ca="1" si="241"/>
        <v>L01-OPD-DC5-S028-02</v>
      </c>
      <c r="E1263" t="str">
        <f t="shared" ca="1" si="244"/>
        <v>L01-OPD-DC5-S028-02</v>
      </c>
      <c r="F1263">
        <f t="shared" ca="1" si="245"/>
        <v>1421556</v>
      </c>
      <c r="G1263">
        <f t="shared" ca="1" si="246"/>
        <v>0</v>
      </c>
      <c r="H1263">
        <f t="shared" ca="1" si="247"/>
        <v>0</v>
      </c>
      <c r="I1263">
        <f t="shared" ca="1" si="248"/>
        <v>0</v>
      </c>
      <c r="J1263" s="8" t="e">
        <f t="shared" ca="1" si="249"/>
        <v>#DIV/0!</v>
      </c>
      <c r="K1263" s="9" t="e">
        <f t="shared" ca="1" si="250"/>
        <v>#DIV/0!</v>
      </c>
      <c r="L1263" t="e">
        <f ca="1">+_xlfn.IFNA(VLOOKUP(M1263,BespokeWindowsAreas!$A$1:$E$1999,1,FALSE),VLOOKUP(E1263,WindowTypeArea!$B$2:$C$2000,2,FALSE))</f>
        <v>#N/A</v>
      </c>
      <c r="M1263">
        <f t="shared" ca="1" si="251"/>
        <v>0</v>
      </c>
    </row>
    <row r="1264" spans="1:13" x14ac:dyDescent="0.25">
      <c r="A1264">
        <f t="shared" ca="1" si="242"/>
        <v>3</v>
      </c>
      <c r="B1264">
        <f t="shared" ca="1" si="243"/>
        <v>143</v>
      </c>
      <c r="C1264" t="str">
        <f t="shared" ca="1" si="252"/>
        <v>'WINDOWS-NCH-A-BDP-M3-01-00'!B142</v>
      </c>
      <c r="D1264" s="6" t="str">
        <f t="shared" ca="1" si="241"/>
        <v>none - connected to atrium</v>
      </c>
      <c r="E1264" t="str">
        <f t="shared" ca="1" si="244"/>
        <v>none - connected to atrium</v>
      </c>
      <c r="F1264" t="str">
        <f t="shared" ca="1" si="245"/>
        <v>Vector(X = 0.429, Y = -0.903, Z = 0.000, Length = 1.000)</v>
      </c>
      <c r="G1264">
        <f t="shared" ca="1" si="246"/>
        <v>0.4</v>
      </c>
      <c r="H1264">
        <f t="shared" ca="1" si="247"/>
        <v>-0.9</v>
      </c>
      <c r="I1264">
        <f t="shared" ca="1" si="248"/>
        <v>0</v>
      </c>
      <c r="J1264" s="8">
        <f t="shared" ca="1" si="249"/>
        <v>-66.037511025421821</v>
      </c>
      <c r="K1264" s="9" t="str">
        <f t="shared" ca="1" si="250"/>
        <v>S</v>
      </c>
      <c r="L1264" t="e">
        <f ca="1">+_xlfn.IFNA(VLOOKUP(M1264,BespokeWindowsAreas!$A$1:$E$1999,1,FALSE),VLOOKUP(E1264,WindowTypeArea!$B$2:$C$2000,2,FALSE))</f>
        <v>#N/A</v>
      </c>
      <c r="M1264">
        <f t="shared" ca="1" si="251"/>
        <v>5152715</v>
      </c>
    </row>
    <row r="1265" spans="1:13" x14ac:dyDescent="0.25">
      <c r="A1265">
        <f t="shared" ca="1" si="242"/>
        <v>3</v>
      </c>
      <c r="B1265">
        <f t="shared" ca="1" si="243"/>
        <v>144</v>
      </c>
      <c r="C1265" t="str">
        <f t="shared" ca="1" si="252"/>
        <v>'WINDOWS-NCH-A-BDP-M3-01-00'!B143</v>
      </c>
      <c r="D1265" s="6" t="str">
        <f t="shared" ca="1" si="241"/>
        <v>L01-OPD-NIC-S132-01</v>
      </c>
      <c r="E1265" t="str">
        <f t="shared" ca="1" si="244"/>
        <v>L01-OPD-NIC-S132-01</v>
      </c>
      <c r="F1265">
        <f t="shared" ca="1" si="245"/>
        <v>1421721</v>
      </c>
      <c r="G1265">
        <f t="shared" ca="1" si="246"/>
        <v>0</v>
      </c>
      <c r="H1265">
        <f t="shared" ca="1" si="247"/>
        <v>0</v>
      </c>
      <c r="I1265">
        <f t="shared" ca="1" si="248"/>
        <v>0</v>
      </c>
      <c r="J1265" s="8" t="e">
        <f t="shared" ca="1" si="249"/>
        <v>#DIV/0!</v>
      </c>
      <c r="K1265" s="9" t="e">
        <f t="shared" ca="1" si="250"/>
        <v>#DIV/0!</v>
      </c>
      <c r="L1265" t="e">
        <f ca="1">+_xlfn.IFNA(VLOOKUP(M1265,BespokeWindowsAreas!$A$1:$E$1999,1,FALSE),VLOOKUP(E1265,WindowTypeArea!$B$2:$C$2000,2,FALSE))</f>
        <v>#N/A</v>
      </c>
      <c r="M1265">
        <f t="shared" ca="1" si="251"/>
        <v>0</v>
      </c>
    </row>
    <row r="1266" spans="1:13" x14ac:dyDescent="0.25">
      <c r="A1266">
        <f t="shared" ca="1" si="242"/>
        <v>3</v>
      </c>
      <c r="B1266">
        <f t="shared" ca="1" si="243"/>
        <v>145</v>
      </c>
      <c r="C1266" t="str">
        <f t="shared" ca="1" si="252"/>
        <v>'WINDOWS-NCH-A-BDP-M3-01-00'!B144</v>
      </c>
      <c r="D1266" s="6" t="str">
        <f t="shared" ca="1" si="241"/>
        <v>L01-OPD-NIC-S132-01</v>
      </c>
      <c r="E1266" t="str">
        <f t="shared" ca="1" si="244"/>
        <v>Family Type: 1500w x 3050h, Family: Window External Type 3 - Recessed and Angle</v>
      </c>
      <c r="F1266" t="str">
        <f t="shared" ca="1" si="245"/>
        <v>Vector(X = 0.429, Y = -0.903, Z = 0.000, Length = 1.000)</v>
      </c>
      <c r="G1266">
        <f t="shared" ca="1" si="246"/>
        <v>0.4</v>
      </c>
      <c r="H1266">
        <f t="shared" ca="1" si="247"/>
        <v>-0.9</v>
      </c>
      <c r="I1266">
        <f t="shared" ca="1" si="248"/>
        <v>0</v>
      </c>
      <c r="J1266" s="8">
        <f t="shared" ca="1" si="249"/>
        <v>-66.037511025421821</v>
      </c>
      <c r="K1266" s="9" t="str">
        <f t="shared" ca="1" si="250"/>
        <v>S</v>
      </c>
      <c r="L1266">
        <f ca="1">+_xlfn.IFNA(VLOOKUP(M1266,BespokeWindowsAreas!$A$1:$E$1999,1,FALSE),VLOOKUP(E1266,WindowTypeArea!$B$2:$C$2000,2,FALSE))</f>
        <v>4.5750000000000002</v>
      </c>
      <c r="M1266">
        <f t="shared" ca="1" si="251"/>
        <v>5186874</v>
      </c>
    </row>
    <row r="1267" spans="1:13" x14ac:dyDescent="0.25">
      <c r="A1267">
        <f t="shared" ca="1" si="242"/>
        <v>3</v>
      </c>
      <c r="B1267">
        <f t="shared" ca="1" si="243"/>
        <v>146</v>
      </c>
      <c r="C1267" t="str">
        <f t="shared" ca="1" si="252"/>
        <v>'WINDOWS-NCH-A-BDP-M3-01-00'!B145</v>
      </c>
      <c r="D1267" s="6" t="str">
        <f t="shared" ca="1" si="241"/>
        <v>L01-OPD-NIC-S132-01</v>
      </c>
      <c r="E1267" t="str">
        <f t="shared" ca="1" si="244"/>
        <v>Family Type: 975w x 3050h, Family: Window External Type 1 - Recessed</v>
      </c>
      <c r="F1267" t="str">
        <f t="shared" ca="1" si="245"/>
        <v>Vector(X = 0.429, Y = -0.903, Z = 0.000, Length = 1.000)</v>
      </c>
      <c r="G1267">
        <f t="shared" ca="1" si="246"/>
        <v>0.4</v>
      </c>
      <c r="H1267">
        <f t="shared" ca="1" si="247"/>
        <v>-0.9</v>
      </c>
      <c r="I1267">
        <f t="shared" ca="1" si="248"/>
        <v>0</v>
      </c>
      <c r="J1267" s="8">
        <f t="shared" ca="1" si="249"/>
        <v>-66.037511025421821</v>
      </c>
      <c r="K1267" s="9" t="str">
        <f t="shared" ca="1" si="250"/>
        <v>S</v>
      </c>
      <c r="L1267">
        <f ca="1">+_xlfn.IFNA(VLOOKUP(M1267,BespokeWindowsAreas!$A$1:$E$1999,1,FALSE),VLOOKUP(E1267,WindowTypeArea!$B$2:$C$2000,2,FALSE))</f>
        <v>2.9737499999999999</v>
      </c>
      <c r="M1267">
        <f t="shared" ca="1" si="251"/>
        <v>5186943</v>
      </c>
    </row>
    <row r="1268" spans="1:13" x14ac:dyDescent="0.25">
      <c r="A1268">
        <f t="shared" ca="1" si="242"/>
        <v>3</v>
      </c>
      <c r="B1268">
        <f t="shared" ca="1" si="243"/>
        <v>147</v>
      </c>
      <c r="C1268" t="str">
        <f t="shared" ca="1" si="252"/>
        <v>'WINDOWS-NCH-A-BDP-M3-01-00'!B146</v>
      </c>
      <c r="D1268" s="6" t="str">
        <f t="shared" ca="1" si="241"/>
        <v>L01-OPD-NIC-U0421-01</v>
      </c>
      <c r="E1268" t="str">
        <f t="shared" ca="1" si="244"/>
        <v>L01-OPD-NIC-U0421-01</v>
      </c>
      <c r="F1268">
        <f t="shared" ca="1" si="245"/>
        <v>1421725</v>
      </c>
      <c r="G1268">
        <f t="shared" ca="1" si="246"/>
        <v>0</v>
      </c>
      <c r="H1268">
        <f t="shared" ca="1" si="247"/>
        <v>0</v>
      </c>
      <c r="I1268">
        <f t="shared" ca="1" si="248"/>
        <v>0</v>
      </c>
      <c r="J1268" s="8" t="e">
        <f t="shared" ca="1" si="249"/>
        <v>#DIV/0!</v>
      </c>
      <c r="K1268" s="9" t="e">
        <f t="shared" ca="1" si="250"/>
        <v>#DIV/0!</v>
      </c>
      <c r="L1268" t="e">
        <f ca="1">+_xlfn.IFNA(VLOOKUP(M1268,BespokeWindowsAreas!$A$1:$E$1999,1,FALSE),VLOOKUP(E1268,WindowTypeArea!$B$2:$C$2000,2,FALSE))</f>
        <v>#N/A</v>
      </c>
      <c r="M1268">
        <f t="shared" ca="1" si="251"/>
        <v>0</v>
      </c>
    </row>
    <row r="1269" spans="1:13" x14ac:dyDescent="0.25">
      <c r="A1269">
        <f t="shared" ca="1" si="242"/>
        <v>3</v>
      </c>
      <c r="B1269">
        <f t="shared" ca="1" si="243"/>
        <v>148</v>
      </c>
      <c r="C1269" t="str">
        <f t="shared" ca="1" si="252"/>
        <v>'WINDOWS-NCH-A-BDP-M3-01-00'!B147</v>
      </c>
      <c r="D1269" s="6" t="str">
        <f t="shared" ca="1" si="241"/>
        <v>L01-OPD-NIC-U0421-01</v>
      </c>
      <c r="E1269" t="str">
        <f t="shared" ca="1" si="244"/>
        <v>Family Type: 1500w x 3050h, Family: Window External Type 3 - Recessed and Angle</v>
      </c>
      <c r="F1269" t="str">
        <f t="shared" ca="1" si="245"/>
        <v>Vector(X = -0.429, Y = 0.903, Z = 0.000, Length = 1.000)</v>
      </c>
      <c r="G1269">
        <f t="shared" ca="1" si="246"/>
        <v>-0.4</v>
      </c>
      <c r="H1269">
        <f t="shared" ca="1" si="247"/>
        <v>0.9</v>
      </c>
      <c r="I1269">
        <f t="shared" ca="1" si="248"/>
        <v>0</v>
      </c>
      <c r="J1269" s="8">
        <f t="shared" ca="1" si="249"/>
        <v>113.96248897457818</v>
      </c>
      <c r="K1269" s="9" t="str">
        <f t="shared" ca="1" si="250"/>
        <v>N</v>
      </c>
      <c r="L1269">
        <f ca="1">+_xlfn.IFNA(VLOOKUP(M1269,BespokeWindowsAreas!$A$1:$E$1999,1,FALSE),VLOOKUP(E1269,WindowTypeArea!$B$2:$C$2000,2,FALSE))</f>
        <v>4.5750000000000002</v>
      </c>
      <c r="M1269">
        <f t="shared" ca="1" si="251"/>
        <v>4785966</v>
      </c>
    </row>
    <row r="1270" spans="1:13" x14ac:dyDescent="0.25">
      <c r="A1270">
        <f t="shared" ca="1" si="242"/>
        <v>3</v>
      </c>
      <c r="B1270">
        <f t="shared" ca="1" si="243"/>
        <v>149</v>
      </c>
      <c r="C1270" t="str">
        <f t="shared" ca="1" si="252"/>
        <v>'WINDOWS-NCH-A-BDP-M3-01-00'!B148</v>
      </c>
      <c r="D1270" s="6" t="str">
        <f t="shared" ca="1" si="241"/>
        <v>L01-OPD-NIC-U0421-01</v>
      </c>
      <c r="E1270" t="str">
        <f t="shared" ca="1" si="244"/>
        <v>Family Type: 975w x 3050h, Family: Window External Type 1 - Recessed</v>
      </c>
      <c r="F1270" t="str">
        <f t="shared" ca="1" si="245"/>
        <v>Vector(X = -0.429, Y = 0.903, Z = 0.000, Length = 1.000)</v>
      </c>
      <c r="G1270">
        <f t="shared" ca="1" si="246"/>
        <v>-0.4</v>
      </c>
      <c r="H1270">
        <f t="shared" ca="1" si="247"/>
        <v>0.9</v>
      </c>
      <c r="I1270">
        <f t="shared" ca="1" si="248"/>
        <v>0</v>
      </c>
      <c r="J1270" s="8">
        <f t="shared" ca="1" si="249"/>
        <v>113.96248897457818</v>
      </c>
      <c r="K1270" s="9" t="str">
        <f t="shared" ca="1" si="250"/>
        <v>N</v>
      </c>
      <c r="L1270">
        <f ca="1">+_xlfn.IFNA(VLOOKUP(M1270,BespokeWindowsAreas!$A$1:$E$1999,1,FALSE),VLOOKUP(E1270,WindowTypeArea!$B$2:$C$2000,2,FALSE))</f>
        <v>2.9737499999999999</v>
      </c>
      <c r="M1270">
        <f t="shared" ca="1" si="251"/>
        <v>4785967</v>
      </c>
    </row>
    <row r="1271" spans="1:13" x14ac:dyDescent="0.25">
      <c r="A1271">
        <f t="shared" ca="1" si="242"/>
        <v>3</v>
      </c>
      <c r="B1271">
        <f t="shared" ca="1" si="243"/>
        <v>150</v>
      </c>
      <c r="C1271" t="str">
        <f t="shared" ca="1" si="252"/>
        <v>'WINDOWS-NCH-A-BDP-M3-01-00'!B149</v>
      </c>
      <c r="D1271" s="6" t="str">
        <f t="shared" ca="1" si="241"/>
        <v>L01-OPD-NIC-L025-01</v>
      </c>
      <c r="E1271" t="str">
        <f t="shared" ca="1" si="244"/>
        <v>L01-OPD-NIC-L025-01</v>
      </c>
      <c r="F1271">
        <f t="shared" ca="1" si="245"/>
        <v>1421729</v>
      </c>
      <c r="G1271">
        <f t="shared" ca="1" si="246"/>
        <v>0</v>
      </c>
      <c r="H1271">
        <f t="shared" ca="1" si="247"/>
        <v>0</v>
      </c>
      <c r="I1271">
        <f t="shared" ca="1" si="248"/>
        <v>0</v>
      </c>
      <c r="J1271" s="8" t="e">
        <f t="shared" ca="1" si="249"/>
        <v>#DIV/0!</v>
      </c>
      <c r="K1271" s="9" t="e">
        <f t="shared" ca="1" si="250"/>
        <v>#DIV/0!</v>
      </c>
      <c r="L1271" t="e">
        <f ca="1">+_xlfn.IFNA(VLOOKUP(M1271,BespokeWindowsAreas!$A$1:$E$1999,1,FALSE),VLOOKUP(E1271,WindowTypeArea!$B$2:$C$2000,2,FALSE))</f>
        <v>#N/A</v>
      </c>
      <c r="M1271">
        <f t="shared" ca="1" si="251"/>
        <v>0</v>
      </c>
    </row>
    <row r="1272" spans="1:13" x14ac:dyDescent="0.25">
      <c r="A1272">
        <f t="shared" ca="1" si="242"/>
        <v>3</v>
      </c>
      <c r="B1272">
        <f t="shared" ca="1" si="243"/>
        <v>151</v>
      </c>
      <c r="C1272" t="str">
        <f t="shared" ca="1" si="252"/>
        <v>'WINDOWS-NCH-A-BDP-M3-01-00'!B150</v>
      </c>
      <c r="D1272" s="6" t="str">
        <f t="shared" ca="1" si="241"/>
        <v>none - connected to atrium</v>
      </c>
      <c r="E1272" t="str">
        <f t="shared" ca="1" si="244"/>
        <v>none - connected to atrium</v>
      </c>
      <c r="F1272" t="str">
        <f t="shared" ca="1" si="245"/>
        <v>Vector(X = 0.429, Y = -0.903, Z = 0.000, Length = 1.000)</v>
      </c>
      <c r="G1272">
        <f t="shared" ca="1" si="246"/>
        <v>0.4</v>
      </c>
      <c r="H1272">
        <f t="shared" ca="1" si="247"/>
        <v>-0.9</v>
      </c>
      <c r="I1272">
        <f t="shared" ca="1" si="248"/>
        <v>0</v>
      </c>
      <c r="J1272" s="8">
        <f t="shared" ca="1" si="249"/>
        <v>-66.037511025421821</v>
      </c>
      <c r="K1272" s="9" t="str">
        <f t="shared" ca="1" si="250"/>
        <v>S</v>
      </c>
      <c r="L1272" t="e">
        <f ca="1">+_xlfn.IFNA(VLOOKUP(M1272,BespokeWindowsAreas!$A$1:$E$1999,1,FALSE),VLOOKUP(E1272,WindowTypeArea!$B$2:$C$2000,2,FALSE))</f>
        <v>#N/A</v>
      </c>
      <c r="M1272">
        <f t="shared" ca="1" si="251"/>
        <v>5152719</v>
      </c>
    </row>
    <row r="1273" spans="1:13" x14ac:dyDescent="0.25">
      <c r="A1273">
        <f t="shared" ca="1" si="242"/>
        <v>3</v>
      </c>
      <c r="B1273">
        <f t="shared" ca="1" si="243"/>
        <v>152</v>
      </c>
      <c r="C1273" t="str">
        <f t="shared" ca="1" si="252"/>
        <v>'WINDOWS-NCH-A-BDP-M3-01-00'!B151</v>
      </c>
      <c r="D1273" s="6" t="str">
        <f t="shared" ca="1" si="241"/>
        <v>L01-OPD-NIC-U0426-01</v>
      </c>
      <c r="E1273" t="str">
        <f t="shared" ca="1" si="244"/>
        <v>L01-OPD-NIC-U0426-01</v>
      </c>
      <c r="F1273">
        <f t="shared" ca="1" si="245"/>
        <v>1421735</v>
      </c>
      <c r="G1273">
        <f t="shared" ca="1" si="246"/>
        <v>0</v>
      </c>
      <c r="H1273">
        <f t="shared" ca="1" si="247"/>
        <v>0</v>
      </c>
      <c r="I1273">
        <f t="shared" ca="1" si="248"/>
        <v>0</v>
      </c>
      <c r="J1273" s="8" t="e">
        <f t="shared" ca="1" si="249"/>
        <v>#DIV/0!</v>
      </c>
      <c r="K1273" s="9" t="e">
        <f t="shared" ca="1" si="250"/>
        <v>#DIV/0!</v>
      </c>
      <c r="L1273" t="e">
        <f ca="1">+_xlfn.IFNA(VLOOKUP(M1273,BespokeWindowsAreas!$A$1:$E$1999,1,FALSE),VLOOKUP(E1273,WindowTypeArea!$B$2:$C$2000,2,FALSE))</f>
        <v>#N/A</v>
      </c>
      <c r="M1273">
        <f t="shared" ca="1" si="251"/>
        <v>0</v>
      </c>
    </row>
    <row r="1274" spans="1:13" x14ac:dyDescent="0.25">
      <c r="A1274">
        <f t="shared" ca="1" si="242"/>
        <v>3</v>
      </c>
      <c r="B1274">
        <f t="shared" ca="1" si="243"/>
        <v>153</v>
      </c>
      <c r="C1274" t="str">
        <f t="shared" ca="1" si="252"/>
        <v>'WINDOWS-NCH-A-BDP-M3-01-00'!B152</v>
      </c>
      <c r="D1274" s="6" t="str">
        <f t="shared" ca="1" si="241"/>
        <v>L01-OPD-NIC-U0426-01</v>
      </c>
      <c r="E1274" t="str">
        <f t="shared" ca="1" si="244"/>
        <v>Family Type: 1950w x 3050h, Family: Window External Type 3 - Recessed and Angle</v>
      </c>
      <c r="F1274" t="str">
        <f t="shared" ca="1" si="245"/>
        <v>Vector(X = 0.212, Y = -0.977, Z = 0.000, Length = 1.000)</v>
      </c>
      <c r="G1274">
        <f t="shared" ca="1" si="246"/>
        <v>0.2</v>
      </c>
      <c r="H1274">
        <f t="shared" ca="1" si="247"/>
        <v>-1</v>
      </c>
      <c r="I1274">
        <f t="shared" ca="1" si="248"/>
        <v>0</v>
      </c>
      <c r="J1274" s="8">
        <f t="shared" ca="1" si="249"/>
        <v>-78.690067525979785</v>
      </c>
      <c r="K1274" s="9" t="str">
        <f t="shared" ca="1" si="250"/>
        <v>S</v>
      </c>
      <c r="L1274">
        <f ca="1">+_xlfn.IFNA(VLOOKUP(M1274,BespokeWindowsAreas!$A$1:$E$1999,1,FALSE),VLOOKUP(E1274,WindowTypeArea!$B$2:$C$2000,2,FALSE))</f>
        <v>5.9474999999999998</v>
      </c>
      <c r="M1274">
        <f t="shared" ca="1" si="251"/>
        <v>5009730</v>
      </c>
    </row>
    <row r="1275" spans="1:13" x14ac:dyDescent="0.25">
      <c r="A1275">
        <f t="shared" ca="1" si="242"/>
        <v>3</v>
      </c>
      <c r="B1275">
        <f t="shared" ca="1" si="243"/>
        <v>154</v>
      </c>
      <c r="C1275" t="str">
        <f t="shared" ca="1" si="252"/>
        <v>'WINDOWS-NCH-A-BDP-M3-01-00'!B153</v>
      </c>
      <c r="D1275" s="6" t="str">
        <f t="shared" ca="1" si="241"/>
        <v>L01-OPD-NIC-U0426-01</v>
      </c>
      <c r="E1275" t="str">
        <f t="shared" ca="1" si="244"/>
        <v>Family Type: 2850w x 3850h, CURTAIN WALL-manual input</v>
      </c>
      <c r="F1275" t="str">
        <f t="shared" ca="1" si="245"/>
        <v>Vector(X = -0.992, Y = -0.128, Z = 0.000, Length = 1.000)</v>
      </c>
      <c r="G1275">
        <f t="shared" ca="1" si="246"/>
        <v>-1</v>
      </c>
      <c r="H1275">
        <f t="shared" ca="1" si="247"/>
        <v>-0.1</v>
      </c>
      <c r="I1275">
        <f t="shared" ca="1" si="248"/>
        <v>0</v>
      </c>
      <c r="J1275" s="8">
        <f t="shared" ca="1" si="249"/>
        <v>-174.28940686250036</v>
      </c>
      <c r="K1275" s="9" t="str">
        <f t="shared" ca="1" si="250"/>
        <v>W</v>
      </c>
      <c r="L1275">
        <f ca="1">+_xlfn.IFNA(VLOOKUP(M1275,BespokeWindowsAreas!$A$1:$E$1999,1,FALSE),VLOOKUP(E1275,WindowTypeArea!$B$2:$C$2000,2,FALSE))</f>
        <v>10.9725</v>
      </c>
      <c r="M1275" t="str">
        <f t="shared" ca="1" si="251"/>
        <v xml:space="preserve">ID </v>
      </c>
    </row>
    <row r="1276" spans="1:13" x14ac:dyDescent="0.25">
      <c r="A1276">
        <f t="shared" ca="1" si="242"/>
        <v>3</v>
      </c>
      <c r="B1276">
        <f t="shared" ca="1" si="243"/>
        <v>155</v>
      </c>
      <c r="C1276" t="str">
        <f t="shared" ca="1" si="252"/>
        <v>'WINDOWS-NCH-A-BDP-M3-01-00'!B154</v>
      </c>
      <c r="D1276" s="6" t="str">
        <f t="shared" ca="1" si="241"/>
        <v>L01-OPD-NIC-L025-02</v>
      </c>
      <c r="E1276" t="str">
        <f t="shared" ca="1" si="244"/>
        <v>L01-OPD-NIC-L025-02</v>
      </c>
      <c r="F1276">
        <f t="shared" ca="1" si="245"/>
        <v>1421765</v>
      </c>
      <c r="G1276">
        <f t="shared" ca="1" si="246"/>
        <v>0</v>
      </c>
      <c r="H1276">
        <f t="shared" ca="1" si="247"/>
        <v>0</v>
      </c>
      <c r="I1276">
        <f t="shared" ca="1" si="248"/>
        <v>0</v>
      </c>
      <c r="J1276" s="8" t="e">
        <f t="shared" ca="1" si="249"/>
        <v>#DIV/0!</v>
      </c>
      <c r="K1276" s="9" t="e">
        <f t="shared" ca="1" si="250"/>
        <v>#DIV/0!</v>
      </c>
      <c r="L1276" t="e">
        <f ca="1">+_xlfn.IFNA(VLOOKUP(M1276,BespokeWindowsAreas!$A$1:$E$1999,1,FALSE),VLOOKUP(E1276,WindowTypeArea!$B$2:$C$2000,2,FALSE))</f>
        <v>#N/A</v>
      </c>
      <c r="M1276">
        <f t="shared" ca="1" si="251"/>
        <v>0</v>
      </c>
    </row>
    <row r="1277" spans="1:13" x14ac:dyDescent="0.25">
      <c r="A1277">
        <f t="shared" ca="1" si="242"/>
        <v>3</v>
      </c>
      <c r="B1277">
        <f t="shared" ca="1" si="243"/>
        <v>156</v>
      </c>
      <c r="C1277" t="str">
        <f t="shared" ca="1" si="252"/>
        <v>'WINDOWS-NCH-A-BDP-M3-01-00'!B155</v>
      </c>
      <c r="D1277" s="6" t="str">
        <f t="shared" ca="1" si="241"/>
        <v>none - connected to atrium</v>
      </c>
      <c r="E1277" t="str">
        <f t="shared" ca="1" si="244"/>
        <v>none - connected to atrium</v>
      </c>
      <c r="F1277" t="str">
        <f t="shared" ca="1" si="245"/>
        <v>Vector(X = 0.429, Y = -0.903, Z = 0.000, Length = 1.000)</v>
      </c>
      <c r="G1277">
        <f t="shared" ca="1" si="246"/>
        <v>0.4</v>
      </c>
      <c r="H1277">
        <f t="shared" ca="1" si="247"/>
        <v>-0.9</v>
      </c>
      <c r="I1277">
        <f t="shared" ca="1" si="248"/>
        <v>0</v>
      </c>
      <c r="J1277" s="8">
        <f t="shared" ca="1" si="249"/>
        <v>-66.037511025421821</v>
      </c>
      <c r="K1277" s="9" t="str">
        <f t="shared" ca="1" si="250"/>
        <v>S</v>
      </c>
      <c r="L1277" t="e">
        <f ca="1">+_xlfn.IFNA(VLOOKUP(M1277,BespokeWindowsAreas!$A$1:$E$1999,1,FALSE),VLOOKUP(E1277,WindowTypeArea!$B$2:$C$2000,2,FALSE))</f>
        <v>#N/A</v>
      </c>
      <c r="M1277">
        <f t="shared" ca="1" si="251"/>
        <v>5152718</v>
      </c>
    </row>
    <row r="1278" spans="1:13" x14ac:dyDescent="0.25">
      <c r="A1278">
        <f t="shared" ca="1" si="242"/>
        <v>3</v>
      </c>
      <c r="B1278">
        <f t="shared" ca="1" si="243"/>
        <v>157</v>
      </c>
      <c r="C1278" t="str">
        <f t="shared" ca="1" si="252"/>
        <v>'WINDOWS-NCH-A-BDP-M3-01-00'!B156</v>
      </c>
      <c r="D1278" s="6" t="str">
        <f t="shared" ca="1" si="241"/>
        <v>L01-OPD-NIC-L025-03</v>
      </c>
      <c r="E1278" t="str">
        <f t="shared" ca="1" si="244"/>
        <v>L01-OPD-NIC-L025-03</v>
      </c>
      <c r="F1278">
        <f t="shared" ca="1" si="245"/>
        <v>1421767</v>
      </c>
      <c r="G1278">
        <f t="shared" ca="1" si="246"/>
        <v>0</v>
      </c>
      <c r="H1278">
        <f t="shared" ca="1" si="247"/>
        <v>0</v>
      </c>
      <c r="I1278">
        <f t="shared" ca="1" si="248"/>
        <v>0</v>
      </c>
      <c r="J1278" s="8" t="e">
        <f t="shared" ca="1" si="249"/>
        <v>#DIV/0!</v>
      </c>
      <c r="K1278" s="9" t="e">
        <f t="shared" ca="1" si="250"/>
        <v>#DIV/0!</v>
      </c>
      <c r="L1278" t="e">
        <f ca="1">+_xlfn.IFNA(VLOOKUP(M1278,BespokeWindowsAreas!$A$1:$E$1999,1,FALSE),VLOOKUP(E1278,WindowTypeArea!$B$2:$C$2000,2,FALSE))</f>
        <v>#N/A</v>
      </c>
      <c r="M1278">
        <f t="shared" ca="1" si="251"/>
        <v>0</v>
      </c>
    </row>
    <row r="1279" spans="1:13" x14ac:dyDescent="0.25">
      <c r="A1279">
        <f t="shared" ca="1" si="242"/>
        <v>3</v>
      </c>
      <c r="B1279">
        <f t="shared" ca="1" si="243"/>
        <v>158</v>
      </c>
      <c r="C1279" t="str">
        <f t="shared" ca="1" si="252"/>
        <v>'WINDOWS-NCH-A-BDP-M3-01-00'!B157</v>
      </c>
      <c r="D1279" s="6" t="str">
        <f t="shared" ca="1" si="241"/>
        <v>none - connected to atrium</v>
      </c>
      <c r="E1279" t="str">
        <f t="shared" ca="1" si="244"/>
        <v>none - connected to atrium</v>
      </c>
      <c r="F1279" t="str">
        <f t="shared" ca="1" si="245"/>
        <v>Vector(X = 0.429, Y = -0.903, Z = 0.000, Length = 1.000)</v>
      </c>
      <c r="G1279">
        <f t="shared" ca="1" si="246"/>
        <v>0.4</v>
      </c>
      <c r="H1279">
        <f t="shared" ca="1" si="247"/>
        <v>-0.9</v>
      </c>
      <c r="I1279">
        <f t="shared" ca="1" si="248"/>
        <v>0</v>
      </c>
      <c r="J1279" s="8">
        <f t="shared" ca="1" si="249"/>
        <v>-66.037511025421821</v>
      </c>
      <c r="K1279" s="9" t="str">
        <f t="shared" ca="1" si="250"/>
        <v>S</v>
      </c>
      <c r="L1279" t="e">
        <f ca="1">+_xlfn.IFNA(VLOOKUP(M1279,BespokeWindowsAreas!$A$1:$E$1999,1,FALSE),VLOOKUP(E1279,WindowTypeArea!$B$2:$C$2000,2,FALSE))</f>
        <v>#N/A</v>
      </c>
      <c r="M1279">
        <f t="shared" ca="1" si="251"/>
        <v>5152717</v>
      </c>
    </row>
    <row r="1280" spans="1:13" x14ac:dyDescent="0.25">
      <c r="A1280">
        <f t="shared" ca="1" si="242"/>
        <v>3</v>
      </c>
      <c r="B1280">
        <f t="shared" ca="1" si="243"/>
        <v>159</v>
      </c>
      <c r="C1280" t="str">
        <f t="shared" ca="1" si="252"/>
        <v>'WINDOWS-NCH-A-BDP-M3-01-00'!B158</v>
      </c>
      <c r="D1280" s="6" t="str">
        <f t="shared" ca="1" si="241"/>
        <v>L01-OPD-NIC-L025-04</v>
      </c>
      <c r="E1280" t="str">
        <f t="shared" ca="1" si="244"/>
        <v>L01-OPD-NIC-L025-04</v>
      </c>
      <c r="F1280">
        <f t="shared" ca="1" si="245"/>
        <v>1421769</v>
      </c>
      <c r="G1280">
        <f t="shared" ca="1" si="246"/>
        <v>0</v>
      </c>
      <c r="H1280">
        <f t="shared" ca="1" si="247"/>
        <v>0</v>
      </c>
      <c r="I1280">
        <f t="shared" ca="1" si="248"/>
        <v>0</v>
      </c>
      <c r="J1280" s="8" t="e">
        <f t="shared" ca="1" si="249"/>
        <v>#DIV/0!</v>
      </c>
      <c r="K1280" s="9" t="e">
        <f t="shared" ca="1" si="250"/>
        <v>#DIV/0!</v>
      </c>
      <c r="L1280" t="e">
        <f ca="1">+_xlfn.IFNA(VLOOKUP(M1280,BespokeWindowsAreas!$A$1:$E$1999,1,FALSE),VLOOKUP(E1280,WindowTypeArea!$B$2:$C$2000,2,FALSE))</f>
        <v>#N/A</v>
      </c>
      <c r="M1280">
        <f t="shared" ca="1" si="251"/>
        <v>0</v>
      </c>
    </row>
    <row r="1281" spans="1:13" x14ac:dyDescent="0.25">
      <c r="A1281">
        <f t="shared" ca="1" si="242"/>
        <v>3</v>
      </c>
      <c r="B1281">
        <f t="shared" ca="1" si="243"/>
        <v>160</v>
      </c>
      <c r="C1281" t="str">
        <f t="shared" ca="1" si="252"/>
        <v>'WINDOWS-NCH-A-BDP-M3-01-00'!B159</v>
      </c>
      <c r="D1281" s="6" t="str">
        <f t="shared" ca="1" si="241"/>
        <v>none - connected to atrium</v>
      </c>
      <c r="E1281" t="str">
        <f t="shared" ca="1" si="244"/>
        <v>none - connected to atrium</v>
      </c>
      <c r="F1281" t="str">
        <f t="shared" ca="1" si="245"/>
        <v>Vector(X = 0.429, Y = -0.903, Z = 0.000, Length = 1.000)</v>
      </c>
      <c r="G1281">
        <f t="shared" ca="1" si="246"/>
        <v>0.4</v>
      </c>
      <c r="H1281">
        <f t="shared" ca="1" si="247"/>
        <v>-0.9</v>
      </c>
      <c r="I1281">
        <f t="shared" ca="1" si="248"/>
        <v>0</v>
      </c>
      <c r="J1281" s="8">
        <f t="shared" ca="1" si="249"/>
        <v>-66.037511025421821</v>
      </c>
      <c r="K1281" s="9" t="str">
        <f t="shared" ca="1" si="250"/>
        <v>S</v>
      </c>
      <c r="L1281" t="e">
        <f ca="1">+_xlfn.IFNA(VLOOKUP(M1281,BespokeWindowsAreas!$A$1:$E$1999,1,FALSE),VLOOKUP(E1281,WindowTypeArea!$B$2:$C$2000,2,FALSE))</f>
        <v>#N/A</v>
      </c>
      <c r="M1281">
        <f t="shared" ca="1" si="251"/>
        <v>5152716</v>
      </c>
    </row>
    <row r="1282" spans="1:13" x14ac:dyDescent="0.25">
      <c r="A1282">
        <f t="shared" ca="1" si="242"/>
        <v>3</v>
      </c>
      <c r="B1282">
        <f t="shared" ca="1" si="243"/>
        <v>161</v>
      </c>
      <c r="C1282" t="str">
        <f t="shared" ca="1" si="252"/>
        <v>'WINDOWS-NCH-A-BDP-M3-01-00'!B160</v>
      </c>
      <c r="D1282" s="6" t="str">
        <f t="shared" ca="1" si="241"/>
        <v>L01-COR-CSV-U0794-01</v>
      </c>
      <c r="E1282" t="str">
        <f t="shared" ca="1" si="244"/>
        <v>L01-COR-CSV-U0794-01</v>
      </c>
      <c r="F1282">
        <f t="shared" ca="1" si="245"/>
        <v>1426499</v>
      </c>
      <c r="G1282">
        <f t="shared" ca="1" si="246"/>
        <v>0</v>
      </c>
      <c r="H1282">
        <f t="shared" ca="1" si="247"/>
        <v>0</v>
      </c>
      <c r="I1282">
        <f t="shared" ca="1" si="248"/>
        <v>0</v>
      </c>
      <c r="J1282" s="8" t="e">
        <f t="shared" ca="1" si="249"/>
        <v>#DIV/0!</v>
      </c>
      <c r="K1282" s="9" t="e">
        <f t="shared" ca="1" si="250"/>
        <v>#DIV/0!</v>
      </c>
      <c r="L1282" t="e">
        <f ca="1">+_xlfn.IFNA(VLOOKUP(M1282,BespokeWindowsAreas!$A$1:$E$1999,1,FALSE),VLOOKUP(E1282,WindowTypeArea!$B$2:$C$2000,2,FALSE))</f>
        <v>#N/A</v>
      </c>
      <c r="M1282">
        <f t="shared" ca="1" si="251"/>
        <v>0</v>
      </c>
    </row>
    <row r="1283" spans="1:13" x14ac:dyDescent="0.25">
      <c r="A1283">
        <f t="shared" ca="1" si="242"/>
        <v>3</v>
      </c>
      <c r="B1283">
        <f t="shared" ca="1" si="243"/>
        <v>162</v>
      </c>
      <c r="C1283" t="str">
        <f t="shared" ca="1" si="252"/>
        <v>'WINDOWS-NCH-A-BDP-M3-01-00'!B161</v>
      </c>
      <c r="D1283" s="6" t="str">
        <f t="shared" ca="1" si="241"/>
        <v>L01-COR-CSV-U0794-01</v>
      </c>
      <c r="E1283" t="str">
        <f t="shared" ca="1" si="244"/>
        <v>Family Type: 975w x 3050h, Family: Window External Type 1 - Recessed</v>
      </c>
      <c r="F1283" t="str">
        <f t="shared" ca="1" si="245"/>
        <v>Vector(X = -0.212, Y = 0.977, Z = 0.000, Length = 1.000)</v>
      </c>
      <c r="G1283">
        <f t="shared" ca="1" si="246"/>
        <v>-0.2</v>
      </c>
      <c r="H1283">
        <f t="shared" ca="1" si="247"/>
        <v>1</v>
      </c>
      <c r="I1283">
        <f t="shared" ca="1" si="248"/>
        <v>0</v>
      </c>
      <c r="J1283" s="8">
        <f t="shared" ca="1" si="249"/>
        <v>101.3099324740202</v>
      </c>
      <c r="K1283" s="9" t="str">
        <f t="shared" ca="1" si="250"/>
        <v>N</v>
      </c>
      <c r="L1283">
        <f ca="1">+_xlfn.IFNA(VLOOKUP(M1283,BespokeWindowsAreas!$A$1:$E$1999,1,FALSE),VLOOKUP(E1283,WindowTypeArea!$B$2:$C$2000,2,FALSE))</f>
        <v>2.9737499999999999</v>
      </c>
      <c r="M1283">
        <f t="shared" ca="1" si="251"/>
        <v>4306484</v>
      </c>
    </row>
    <row r="1284" spans="1:13" x14ac:dyDescent="0.25">
      <c r="A1284">
        <f t="shared" ca="1" si="242"/>
        <v>3</v>
      </c>
      <c r="B1284">
        <f t="shared" ca="1" si="243"/>
        <v>163</v>
      </c>
      <c r="C1284" t="str">
        <f t="shared" ca="1" si="252"/>
        <v>'WINDOWS-NCH-A-BDP-M3-01-00'!B162</v>
      </c>
      <c r="D1284" s="6" t="str">
        <f t="shared" ca="1" si="241"/>
        <v>L01-COR-CSV-U0794-01</v>
      </c>
      <c r="E1284" t="str">
        <f t="shared" ca="1" si="244"/>
        <v>Family Type: 1000w x 3050h, Family: Window External Type 2 - Recessed and Fin</v>
      </c>
      <c r="F1284" t="str">
        <f t="shared" ca="1" si="245"/>
        <v>Vector(X = -0.212, Y = 0.977, Z = 0.000, Length = 1.000)</v>
      </c>
      <c r="G1284">
        <f t="shared" ca="1" si="246"/>
        <v>-0.2</v>
      </c>
      <c r="H1284">
        <f t="shared" ca="1" si="247"/>
        <v>1</v>
      </c>
      <c r="I1284">
        <f t="shared" ca="1" si="248"/>
        <v>0</v>
      </c>
      <c r="J1284" s="8">
        <f t="shared" ca="1" si="249"/>
        <v>101.3099324740202</v>
      </c>
      <c r="K1284" s="9" t="str">
        <f t="shared" ca="1" si="250"/>
        <v>N</v>
      </c>
      <c r="L1284">
        <f ca="1">+_xlfn.IFNA(VLOOKUP(M1284,BespokeWindowsAreas!$A$1:$E$1999,1,FALSE),VLOOKUP(E1284,WindowTypeArea!$B$2:$C$2000,2,FALSE))</f>
        <v>3.05</v>
      </c>
      <c r="M1284">
        <f t="shared" ca="1" si="251"/>
        <v>4306488</v>
      </c>
    </row>
    <row r="1285" spans="1:13" x14ac:dyDescent="0.25">
      <c r="A1285">
        <f t="shared" ca="1" si="242"/>
        <v>3</v>
      </c>
      <c r="B1285">
        <f t="shared" ca="1" si="243"/>
        <v>164</v>
      </c>
      <c r="C1285" t="str">
        <f t="shared" ca="1" si="252"/>
        <v>'WINDOWS-NCH-A-BDP-M3-01-00'!B163</v>
      </c>
      <c r="D1285" s="6" t="str">
        <f t="shared" ca="1" si="241"/>
        <v>L01-COR-CSV-S115-66</v>
      </c>
      <c r="E1285" t="str">
        <f t="shared" ca="1" si="244"/>
        <v>L01-COR-CSV-S115-66</v>
      </c>
      <c r="F1285">
        <f t="shared" ca="1" si="245"/>
        <v>1426685</v>
      </c>
      <c r="G1285">
        <f t="shared" ca="1" si="246"/>
        <v>0</v>
      </c>
      <c r="H1285">
        <f t="shared" ca="1" si="247"/>
        <v>0</v>
      </c>
      <c r="I1285">
        <f t="shared" ca="1" si="248"/>
        <v>0</v>
      </c>
      <c r="J1285" s="8" t="e">
        <f t="shared" ca="1" si="249"/>
        <v>#DIV/0!</v>
      </c>
      <c r="K1285" s="9" t="e">
        <f t="shared" ca="1" si="250"/>
        <v>#DIV/0!</v>
      </c>
      <c r="L1285" t="e">
        <f ca="1">+_xlfn.IFNA(VLOOKUP(M1285,BespokeWindowsAreas!$A$1:$E$1999,1,FALSE),VLOOKUP(E1285,WindowTypeArea!$B$2:$C$2000,2,FALSE))</f>
        <v>#N/A</v>
      </c>
      <c r="M1285">
        <f t="shared" ca="1" si="251"/>
        <v>0</v>
      </c>
    </row>
    <row r="1286" spans="1:13" x14ac:dyDescent="0.25">
      <c r="A1286">
        <f t="shared" ca="1" si="242"/>
        <v>3</v>
      </c>
      <c r="B1286">
        <f t="shared" ca="1" si="243"/>
        <v>165</v>
      </c>
      <c r="C1286" t="str">
        <f t="shared" ca="1" si="252"/>
        <v>'WINDOWS-NCH-A-BDP-M3-01-00'!B164</v>
      </c>
      <c r="D1286" s="6" t="str">
        <f t="shared" ref="D1286:D1322" ca="1" si="253">+IF(IFERROR(FIND("Family",E1286)&gt;0,FALSE),D1285,E1286)</f>
        <v>L01-COR-CSV-S115-66</v>
      </c>
      <c r="E1286" t="str">
        <f t="shared" ca="1" si="244"/>
        <v>Family Type: 1950w x 3050h, Family: Window External Type 3 - Recessed and Angle</v>
      </c>
      <c r="F1286" t="str">
        <f t="shared" ca="1" si="245"/>
        <v>Vector(X = -0.977, Y = -0.212, Z = 0.000, Length = 1.000)</v>
      </c>
      <c r="G1286">
        <f t="shared" ca="1" si="246"/>
        <v>-1</v>
      </c>
      <c r="H1286">
        <f t="shared" ca="1" si="247"/>
        <v>-0.2</v>
      </c>
      <c r="I1286">
        <f t="shared" ca="1" si="248"/>
        <v>0</v>
      </c>
      <c r="J1286" s="8">
        <f t="shared" ca="1" si="249"/>
        <v>-168.69006752597977</v>
      </c>
      <c r="K1286" s="9" t="str">
        <f t="shared" ca="1" si="250"/>
        <v>W</v>
      </c>
      <c r="L1286">
        <f ca="1">+_xlfn.IFNA(VLOOKUP(M1286,BespokeWindowsAreas!$A$1:$E$1999,1,FALSE),VLOOKUP(E1286,WindowTypeArea!$B$2:$C$2000,2,FALSE))</f>
        <v>5.9474999999999998</v>
      </c>
      <c r="M1286">
        <f t="shared" ca="1" si="251"/>
        <v>5288075</v>
      </c>
    </row>
    <row r="1287" spans="1:13" x14ac:dyDescent="0.25">
      <c r="A1287">
        <f t="shared" ca="1" si="242"/>
        <v>3</v>
      </c>
      <c r="B1287">
        <f t="shared" ca="1" si="243"/>
        <v>166</v>
      </c>
      <c r="C1287" t="str">
        <f t="shared" ca="1" si="252"/>
        <v>'WINDOWS-NCH-A-BDP-M3-01-00'!B165</v>
      </c>
      <c r="D1287" s="6" t="str">
        <f t="shared" ca="1" si="253"/>
        <v>L01-COR-CSV-S115-67</v>
      </c>
      <c r="E1287" t="str">
        <f t="shared" ca="1" si="244"/>
        <v>L01-COR-CSV-S115-67</v>
      </c>
      <c r="F1287">
        <f t="shared" ca="1" si="245"/>
        <v>1426687</v>
      </c>
      <c r="G1287">
        <f t="shared" ca="1" si="246"/>
        <v>0</v>
      </c>
      <c r="H1287">
        <f t="shared" ca="1" si="247"/>
        <v>0</v>
      </c>
      <c r="I1287">
        <f t="shared" ca="1" si="248"/>
        <v>0</v>
      </c>
      <c r="J1287" s="8" t="e">
        <f t="shared" ca="1" si="249"/>
        <v>#DIV/0!</v>
      </c>
      <c r="K1287" s="9" t="e">
        <f t="shared" ca="1" si="250"/>
        <v>#DIV/0!</v>
      </c>
      <c r="L1287" t="e">
        <f ca="1">+_xlfn.IFNA(VLOOKUP(M1287,BespokeWindowsAreas!$A$1:$E$1999,1,FALSE),VLOOKUP(E1287,WindowTypeArea!$B$2:$C$2000,2,FALSE))</f>
        <v>#N/A</v>
      </c>
      <c r="M1287">
        <f t="shared" ca="1" si="251"/>
        <v>0</v>
      </c>
    </row>
    <row r="1288" spans="1:13" x14ac:dyDescent="0.25">
      <c r="A1288">
        <f t="shared" ca="1" si="242"/>
        <v>3</v>
      </c>
      <c r="B1288">
        <f t="shared" ca="1" si="243"/>
        <v>167</v>
      </c>
      <c r="C1288" t="str">
        <f t="shared" ca="1" si="252"/>
        <v>'WINDOWS-NCH-A-BDP-M3-01-00'!B166</v>
      </c>
      <c r="D1288" s="6" t="str">
        <f t="shared" ca="1" si="253"/>
        <v>L01-COR-CSV-S115-67</v>
      </c>
      <c r="E1288" t="str">
        <f t="shared" ca="1" si="244"/>
        <v>Family Type: 1000w x 3050h, Family: Window External Type 2 - Recessed and Fin</v>
      </c>
      <c r="F1288" t="str">
        <f t="shared" ca="1" si="245"/>
        <v>Vector(X = -0.212, Y = 0.977, Z = 0.000, Length = 1.000)</v>
      </c>
      <c r="G1288">
        <f t="shared" ca="1" si="246"/>
        <v>-0.2</v>
      </c>
      <c r="H1288">
        <f t="shared" ca="1" si="247"/>
        <v>1</v>
      </c>
      <c r="I1288">
        <f t="shared" ca="1" si="248"/>
        <v>0</v>
      </c>
      <c r="J1288" s="8">
        <f t="shared" ca="1" si="249"/>
        <v>101.3099324740202</v>
      </c>
      <c r="K1288" s="9" t="str">
        <f t="shared" ca="1" si="250"/>
        <v>N</v>
      </c>
      <c r="L1288">
        <f ca="1">+_xlfn.IFNA(VLOOKUP(M1288,BespokeWindowsAreas!$A$1:$E$1999,1,FALSE),VLOOKUP(E1288,WindowTypeArea!$B$2:$C$2000,2,FALSE))</f>
        <v>3.05</v>
      </c>
      <c r="M1288">
        <f t="shared" ca="1" si="251"/>
        <v>3418955</v>
      </c>
    </row>
    <row r="1289" spans="1:13" x14ac:dyDescent="0.25">
      <c r="A1289">
        <f t="shared" ca="1" si="242"/>
        <v>3</v>
      </c>
      <c r="B1289">
        <f t="shared" ca="1" si="243"/>
        <v>168</v>
      </c>
      <c r="C1289" t="str">
        <f t="shared" ca="1" si="252"/>
        <v>'WINDOWS-NCH-A-BDP-M3-01-00'!B167</v>
      </c>
      <c r="D1289" s="6" t="str">
        <f t="shared" ca="1" si="253"/>
        <v>L01-COR-CSV-S115-67</v>
      </c>
      <c r="E1289" t="str">
        <f t="shared" ca="1" si="244"/>
        <v>Family Type: 1000w x 3050h, Family: Window External Type 2 - Recessed and Fin</v>
      </c>
      <c r="F1289" t="str">
        <f t="shared" ca="1" si="245"/>
        <v>Vector(X = -0.212, Y = 0.977, Z = 0.000, Length = 1.000)</v>
      </c>
      <c r="G1289">
        <f t="shared" ca="1" si="246"/>
        <v>-0.2</v>
      </c>
      <c r="H1289">
        <f t="shared" ca="1" si="247"/>
        <v>1</v>
      </c>
      <c r="I1289">
        <f t="shared" ca="1" si="248"/>
        <v>0</v>
      </c>
      <c r="J1289" s="8">
        <f t="shared" ca="1" si="249"/>
        <v>101.3099324740202</v>
      </c>
      <c r="K1289" s="9" t="str">
        <f t="shared" ca="1" si="250"/>
        <v>N</v>
      </c>
      <c r="L1289">
        <f ca="1">+_xlfn.IFNA(VLOOKUP(M1289,BespokeWindowsAreas!$A$1:$E$1999,1,FALSE),VLOOKUP(E1289,WindowTypeArea!$B$2:$C$2000,2,FALSE))</f>
        <v>3.05</v>
      </c>
      <c r="M1289">
        <f t="shared" ca="1" si="251"/>
        <v>4826918</v>
      </c>
    </row>
    <row r="1290" spans="1:13" x14ac:dyDescent="0.25">
      <c r="A1290">
        <f t="shared" ca="1" si="242"/>
        <v>3</v>
      </c>
      <c r="B1290">
        <f t="shared" ca="1" si="243"/>
        <v>169</v>
      </c>
      <c r="C1290" t="str">
        <f t="shared" ca="1" si="252"/>
        <v>'WINDOWS-NCH-A-BDP-M3-01-00'!B168</v>
      </c>
      <c r="D1290" s="6" t="str">
        <f t="shared" ca="1" si="253"/>
        <v>L01-COR-CSV-S115-67</v>
      </c>
      <c r="E1290" t="str">
        <f t="shared" ca="1" si="244"/>
        <v>Family Type: 1500w x 3050h, Family: Window External Type 3 - Recessed and Angle</v>
      </c>
      <c r="F1290" t="str">
        <f t="shared" ca="1" si="245"/>
        <v>Vector(X = -0.212, Y = 0.977, Z = 0.000, Length = 1.000)</v>
      </c>
      <c r="G1290">
        <f t="shared" ca="1" si="246"/>
        <v>-0.2</v>
      </c>
      <c r="H1290">
        <f t="shared" ca="1" si="247"/>
        <v>1</v>
      </c>
      <c r="I1290">
        <f t="shared" ca="1" si="248"/>
        <v>0</v>
      </c>
      <c r="J1290" s="8">
        <f t="shared" ca="1" si="249"/>
        <v>101.3099324740202</v>
      </c>
      <c r="K1290" s="9" t="str">
        <f t="shared" ca="1" si="250"/>
        <v>N</v>
      </c>
      <c r="L1290">
        <f ca="1">+_xlfn.IFNA(VLOOKUP(M1290,BespokeWindowsAreas!$A$1:$E$1999,1,FALSE),VLOOKUP(E1290,WindowTypeArea!$B$2:$C$2000,2,FALSE))</f>
        <v>4.5750000000000002</v>
      </c>
      <c r="M1290">
        <f t="shared" ca="1" si="251"/>
        <v>4826926</v>
      </c>
    </row>
    <row r="1291" spans="1:13" x14ac:dyDescent="0.25">
      <c r="A1291">
        <f t="shared" ca="1" si="242"/>
        <v>3</v>
      </c>
      <c r="B1291">
        <f t="shared" ca="1" si="243"/>
        <v>170</v>
      </c>
      <c r="C1291" t="str">
        <f t="shared" ca="1" si="252"/>
        <v>'WINDOWS-NCH-A-BDP-M3-01-00'!B169</v>
      </c>
      <c r="D1291" s="6" t="str">
        <f t="shared" ca="1" si="253"/>
        <v>L01-COR-CSV-U0809-01</v>
      </c>
      <c r="E1291" t="str">
        <f t="shared" ca="1" si="244"/>
        <v>L01-COR-CSV-U0809-01</v>
      </c>
      <c r="F1291">
        <f t="shared" ca="1" si="245"/>
        <v>1426805</v>
      </c>
      <c r="G1291">
        <f t="shared" ca="1" si="246"/>
        <v>0</v>
      </c>
      <c r="H1291">
        <f t="shared" ca="1" si="247"/>
        <v>0</v>
      </c>
      <c r="I1291">
        <f t="shared" ca="1" si="248"/>
        <v>0</v>
      </c>
      <c r="J1291" s="8" t="e">
        <f t="shared" ca="1" si="249"/>
        <v>#DIV/0!</v>
      </c>
      <c r="K1291" s="9" t="e">
        <f t="shared" ca="1" si="250"/>
        <v>#DIV/0!</v>
      </c>
      <c r="L1291" t="e">
        <f ca="1">+_xlfn.IFNA(VLOOKUP(M1291,BespokeWindowsAreas!$A$1:$E$1999,1,FALSE),VLOOKUP(E1291,WindowTypeArea!$B$2:$C$2000,2,FALSE))</f>
        <v>#N/A</v>
      </c>
      <c r="M1291">
        <f t="shared" ca="1" si="251"/>
        <v>0</v>
      </c>
    </row>
    <row r="1292" spans="1:13" x14ac:dyDescent="0.25">
      <c r="A1292">
        <f t="shared" ca="1" si="242"/>
        <v>3</v>
      </c>
      <c r="B1292">
        <f t="shared" ca="1" si="243"/>
        <v>171</v>
      </c>
      <c r="C1292" t="str">
        <f t="shared" ca="1" si="252"/>
        <v>'WINDOWS-NCH-A-BDP-M3-01-00'!B170</v>
      </c>
      <c r="D1292" s="6" t="str">
        <f t="shared" ca="1" si="253"/>
        <v>L01-COR-CSV-U0809-01</v>
      </c>
      <c r="E1292" t="str">
        <f t="shared" ca="1" si="244"/>
        <v>Family Type: 1500w x 3050h, Family: Window External Type 3 - Recessed and Angle</v>
      </c>
      <c r="F1292" t="str">
        <f t="shared" ca="1" si="245"/>
        <v>Vector(X = -0.212, Y = 0.977, Z = 0.000, Length = 1.000)</v>
      </c>
      <c r="G1292">
        <f t="shared" ca="1" si="246"/>
        <v>-0.2</v>
      </c>
      <c r="H1292">
        <f t="shared" ca="1" si="247"/>
        <v>1</v>
      </c>
      <c r="I1292">
        <f t="shared" ca="1" si="248"/>
        <v>0</v>
      </c>
      <c r="J1292" s="8">
        <f t="shared" ca="1" si="249"/>
        <v>101.3099324740202</v>
      </c>
      <c r="K1292" s="9" t="str">
        <f t="shared" ca="1" si="250"/>
        <v>N</v>
      </c>
      <c r="L1292">
        <f ca="1">+_xlfn.IFNA(VLOOKUP(M1292,BespokeWindowsAreas!$A$1:$E$1999,1,FALSE),VLOOKUP(E1292,WindowTypeArea!$B$2:$C$2000,2,FALSE))</f>
        <v>4.5750000000000002</v>
      </c>
      <c r="M1292">
        <f t="shared" ca="1" si="251"/>
        <v>3418852</v>
      </c>
    </row>
    <row r="1293" spans="1:13" x14ac:dyDescent="0.25">
      <c r="A1293">
        <f t="shared" ca="1" si="242"/>
        <v>3</v>
      </c>
      <c r="B1293">
        <f t="shared" ca="1" si="243"/>
        <v>172</v>
      </c>
      <c r="C1293" t="str">
        <f t="shared" ca="1" si="252"/>
        <v>'WINDOWS-NCH-A-BDP-M3-01-00'!B171</v>
      </c>
      <c r="D1293" s="6" t="str">
        <f t="shared" ca="1" si="253"/>
        <v>L01-COR-CSV-U0809-01</v>
      </c>
      <c r="E1293" t="str">
        <f t="shared" ca="1" si="244"/>
        <v>Family Type: 1000w x 3050h, Family: Window External Type 2 - Recessed and Fin</v>
      </c>
      <c r="F1293" t="str">
        <f t="shared" ca="1" si="245"/>
        <v>Vector(X = -0.212, Y = 0.977, Z = 0.000, Length = 1.000)</v>
      </c>
      <c r="G1293">
        <f t="shared" ca="1" si="246"/>
        <v>-0.2</v>
      </c>
      <c r="H1293">
        <f t="shared" ca="1" si="247"/>
        <v>1</v>
      </c>
      <c r="I1293">
        <f t="shared" ca="1" si="248"/>
        <v>0</v>
      </c>
      <c r="J1293" s="8">
        <f t="shared" ca="1" si="249"/>
        <v>101.3099324740202</v>
      </c>
      <c r="K1293" s="9" t="str">
        <f t="shared" ca="1" si="250"/>
        <v>N</v>
      </c>
      <c r="L1293">
        <f ca="1">+_xlfn.IFNA(VLOOKUP(M1293,BespokeWindowsAreas!$A$1:$E$1999,1,FALSE),VLOOKUP(E1293,WindowTypeArea!$B$2:$C$2000,2,FALSE))</f>
        <v>3.05</v>
      </c>
      <c r="M1293">
        <f t="shared" ca="1" si="251"/>
        <v>3418883</v>
      </c>
    </row>
    <row r="1294" spans="1:13" x14ac:dyDescent="0.25">
      <c r="A1294">
        <f t="shared" ca="1" si="242"/>
        <v>3</v>
      </c>
      <c r="B1294">
        <f t="shared" ca="1" si="243"/>
        <v>173</v>
      </c>
      <c r="C1294" t="str">
        <f t="shared" ca="1" si="252"/>
        <v>'WINDOWS-NCH-A-BDP-M3-01-00'!B172</v>
      </c>
      <c r="D1294" s="6" t="str">
        <f t="shared" ca="1" si="253"/>
        <v>L01-COR-CSV-U0809-01</v>
      </c>
      <c r="E1294" t="str">
        <f t="shared" ca="1" si="244"/>
        <v>Family Type: 1000w x 3050h, Family: Window External Type 2 - Recessed and Fin</v>
      </c>
      <c r="F1294" t="str">
        <f t="shared" ca="1" si="245"/>
        <v>Vector(X = -0.212, Y = 0.977, Z = 0.000, Length = 1.000)</v>
      </c>
      <c r="G1294">
        <f t="shared" ca="1" si="246"/>
        <v>-0.2</v>
      </c>
      <c r="H1294">
        <f t="shared" ca="1" si="247"/>
        <v>1</v>
      </c>
      <c r="I1294">
        <f t="shared" ca="1" si="248"/>
        <v>0</v>
      </c>
      <c r="J1294" s="8">
        <f t="shared" ca="1" si="249"/>
        <v>101.3099324740202</v>
      </c>
      <c r="K1294" s="9" t="str">
        <f t="shared" ca="1" si="250"/>
        <v>N</v>
      </c>
      <c r="L1294">
        <f ca="1">+_xlfn.IFNA(VLOOKUP(M1294,BespokeWindowsAreas!$A$1:$E$1999,1,FALSE),VLOOKUP(E1294,WindowTypeArea!$B$2:$C$2000,2,FALSE))</f>
        <v>3.05</v>
      </c>
      <c r="M1294">
        <f t="shared" ca="1" si="251"/>
        <v>3418911</v>
      </c>
    </row>
    <row r="1295" spans="1:13" x14ac:dyDescent="0.25">
      <c r="A1295">
        <f t="shared" ca="1" si="242"/>
        <v>3</v>
      </c>
      <c r="B1295">
        <f t="shared" ca="1" si="243"/>
        <v>174</v>
      </c>
      <c r="C1295" t="str">
        <f t="shared" ca="1" si="252"/>
        <v>'WINDOWS-NCH-A-BDP-M3-01-00'!B173</v>
      </c>
      <c r="D1295" s="6" t="str">
        <f t="shared" ca="1" si="253"/>
        <v>L01-COR-CSV-U0809-01</v>
      </c>
      <c r="E1295" t="str">
        <f t="shared" ca="1" si="244"/>
        <v>Family Type: 1950w x 3050h, Family: Window External Type 3 - Recessed and Angle</v>
      </c>
      <c r="F1295" t="str">
        <f t="shared" ca="1" si="245"/>
        <v>Vector(X = -0.977, Y = -0.212, Z = 0.000, Length = 1.000)</v>
      </c>
      <c r="G1295">
        <f t="shared" ca="1" si="246"/>
        <v>-1</v>
      </c>
      <c r="H1295">
        <f t="shared" ca="1" si="247"/>
        <v>-0.2</v>
      </c>
      <c r="I1295">
        <f t="shared" ca="1" si="248"/>
        <v>0</v>
      </c>
      <c r="J1295" s="8">
        <f t="shared" ca="1" si="249"/>
        <v>-168.69006752597977</v>
      </c>
      <c r="K1295" s="9" t="str">
        <f t="shared" ca="1" si="250"/>
        <v>W</v>
      </c>
      <c r="L1295">
        <f ca="1">+_xlfn.IFNA(VLOOKUP(M1295,BespokeWindowsAreas!$A$1:$E$1999,1,FALSE),VLOOKUP(E1295,WindowTypeArea!$B$2:$C$2000,2,FALSE))</f>
        <v>5.9474999999999998</v>
      </c>
      <c r="M1295">
        <f t="shared" ca="1" si="251"/>
        <v>5287942</v>
      </c>
    </row>
    <row r="1296" spans="1:13" x14ac:dyDescent="0.25">
      <c r="A1296">
        <f t="shared" ca="1" si="242"/>
        <v>3</v>
      </c>
      <c r="B1296">
        <f t="shared" ca="1" si="243"/>
        <v>175</v>
      </c>
      <c r="C1296" t="str">
        <f t="shared" ca="1" si="252"/>
        <v>'WINDOWS-NCH-A-BDP-M3-01-00'!B174</v>
      </c>
      <c r="D1296" s="6" t="str">
        <f t="shared" ca="1" si="253"/>
        <v>L01-COR-CSV-U0809-01</v>
      </c>
      <c r="E1296" t="str">
        <f t="shared" ca="1" si="244"/>
        <v>Family Type: 975w x 3050h, Family: Window External Type 1 - Recessed</v>
      </c>
      <c r="F1296" t="str">
        <f t="shared" ca="1" si="245"/>
        <v>Vector(X = -0.977, Y = -0.212, Z = 0.000, Length = 1.000)</v>
      </c>
      <c r="G1296">
        <f t="shared" ca="1" si="246"/>
        <v>-1</v>
      </c>
      <c r="H1296">
        <f t="shared" ca="1" si="247"/>
        <v>-0.2</v>
      </c>
      <c r="I1296">
        <f t="shared" ca="1" si="248"/>
        <v>0</v>
      </c>
      <c r="J1296" s="8">
        <f t="shared" ca="1" si="249"/>
        <v>-168.69006752597977</v>
      </c>
      <c r="K1296" s="9" t="str">
        <f t="shared" ca="1" si="250"/>
        <v>W</v>
      </c>
      <c r="L1296">
        <f ca="1">+_xlfn.IFNA(VLOOKUP(M1296,BespokeWindowsAreas!$A$1:$E$1999,1,FALSE),VLOOKUP(E1296,WindowTypeArea!$B$2:$C$2000,2,FALSE))</f>
        <v>2.9737499999999999</v>
      </c>
      <c r="M1296">
        <f t="shared" ca="1" si="251"/>
        <v>5288002</v>
      </c>
    </row>
    <row r="1297" spans="1:13" x14ac:dyDescent="0.25">
      <c r="A1297">
        <f t="shared" ca="1" si="242"/>
        <v>3</v>
      </c>
      <c r="B1297">
        <f t="shared" ca="1" si="243"/>
        <v>176</v>
      </c>
      <c r="C1297" t="str">
        <f t="shared" ca="1" si="252"/>
        <v>'WINDOWS-NCH-A-BDP-M3-01-00'!B175</v>
      </c>
      <c r="D1297" s="6" t="str">
        <f t="shared" ca="1" si="253"/>
        <v>L01-COR-CSV-S125-01</v>
      </c>
      <c r="E1297" t="str">
        <f t="shared" ca="1" si="244"/>
        <v>L01-COR-CSV-S125-01</v>
      </c>
      <c r="F1297">
        <f t="shared" ca="1" si="245"/>
        <v>1426807</v>
      </c>
      <c r="G1297">
        <f t="shared" ca="1" si="246"/>
        <v>0</v>
      </c>
      <c r="H1297">
        <f t="shared" ca="1" si="247"/>
        <v>0</v>
      </c>
      <c r="I1297">
        <f t="shared" ca="1" si="248"/>
        <v>0</v>
      </c>
      <c r="J1297" s="8" t="e">
        <f t="shared" ca="1" si="249"/>
        <v>#DIV/0!</v>
      </c>
      <c r="K1297" s="9" t="e">
        <f t="shared" ca="1" si="250"/>
        <v>#DIV/0!</v>
      </c>
      <c r="L1297" t="e">
        <f ca="1">+_xlfn.IFNA(VLOOKUP(M1297,BespokeWindowsAreas!$A$1:$E$1999,1,FALSE),VLOOKUP(E1297,WindowTypeArea!$B$2:$C$2000,2,FALSE))</f>
        <v>#N/A</v>
      </c>
      <c r="M1297">
        <f t="shared" ca="1" si="251"/>
        <v>0</v>
      </c>
    </row>
    <row r="1298" spans="1:13" x14ac:dyDescent="0.25">
      <c r="A1298">
        <f t="shared" ca="1" si="242"/>
        <v>3</v>
      </c>
      <c r="B1298">
        <f t="shared" ca="1" si="243"/>
        <v>177</v>
      </c>
      <c r="C1298" t="str">
        <f t="shared" ca="1" si="252"/>
        <v>'WINDOWS-NCH-A-BDP-M3-01-00'!B176</v>
      </c>
      <c r="D1298" s="6" t="str">
        <f t="shared" ca="1" si="253"/>
        <v>L01-COR-CSV-S125-01</v>
      </c>
      <c r="E1298" t="str">
        <f t="shared" ca="1" si="244"/>
        <v>Family Type: 1950w x 3050h, Family: Window External Type 3 - Recessed and Angle</v>
      </c>
      <c r="F1298" t="str">
        <f t="shared" ca="1" si="245"/>
        <v>Vector(X = -0.212, Y = 0.977, Z = 0.000, Length = 1.000)</v>
      </c>
      <c r="G1298">
        <f t="shared" ca="1" si="246"/>
        <v>-0.2</v>
      </c>
      <c r="H1298">
        <f t="shared" ca="1" si="247"/>
        <v>1</v>
      </c>
      <c r="I1298">
        <f t="shared" ca="1" si="248"/>
        <v>0</v>
      </c>
      <c r="J1298" s="8">
        <f t="shared" ca="1" si="249"/>
        <v>101.3099324740202</v>
      </c>
      <c r="K1298" s="9" t="str">
        <f t="shared" ca="1" si="250"/>
        <v>N</v>
      </c>
      <c r="L1298">
        <f ca="1">+_xlfn.IFNA(VLOOKUP(M1298,BespokeWindowsAreas!$A$1:$E$1999,1,FALSE),VLOOKUP(E1298,WindowTypeArea!$B$2:$C$2000,2,FALSE))</f>
        <v>5.9474999999999998</v>
      </c>
      <c r="M1298">
        <f t="shared" ca="1" si="251"/>
        <v>3418912</v>
      </c>
    </row>
    <row r="1299" spans="1:13" x14ac:dyDescent="0.25">
      <c r="A1299">
        <f t="shared" ca="1" si="242"/>
        <v>3</v>
      </c>
      <c r="B1299">
        <f t="shared" ca="1" si="243"/>
        <v>178</v>
      </c>
      <c r="C1299" t="str">
        <f t="shared" ca="1" si="252"/>
        <v>'WINDOWS-NCH-A-BDP-M3-01-00'!B177</v>
      </c>
      <c r="D1299" s="6" t="str">
        <f t="shared" ca="1" si="253"/>
        <v>L01-COR-CSV-S053-01</v>
      </c>
      <c r="E1299" t="str">
        <f t="shared" ca="1" si="244"/>
        <v>L01-COR-CSV-S053-01</v>
      </c>
      <c r="F1299">
        <f t="shared" ca="1" si="245"/>
        <v>1426817</v>
      </c>
      <c r="G1299">
        <f t="shared" ca="1" si="246"/>
        <v>0</v>
      </c>
      <c r="H1299">
        <f t="shared" ca="1" si="247"/>
        <v>0</v>
      </c>
      <c r="I1299">
        <f t="shared" ca="1" si="248"/>
        <v>0</v>
      </c>
      <c r="J1299" s="8" t="e">
        <f t="shared" ca="1" si="249"/>
        <v>#DIV/0!</v>
      </c>
      <c r="K1299" s="9" t="e">
        <f t="shared" ca="1" si="250"/>
        <v>#DIV/0!</v>
      </c>
      <c r="L1299" t="e">
        <f ca="1">+_xlfn.IFNA(VLOOKUP(M1299,BespokeWindowsAreas!$A$1:$E$1999,1,FALSE),VLOOKUP(E1299,WindowTypeArea!$B$2:$C$2000,2,FALSE))</f>
        <v>#N/A</v>
      </c>
      <c r="M1299">
        <f t="shared" ca="1" si="251"/>
        <v>0</v>
      </c>
    </row>
    <row r="1300" spans="1:13" x14ac:dyDescent="0.25">
      <c r="A1300">
        <f t="shared" ref="A1300:A1363" ca="1" si="254">+IF(B1299&lt;=VLOOKUP(MID(C1300,2,26),TABS,2,FALSE),A1299,+A1299+1)</f>
        <v>3</v>
      </c>
      <c r="B1300">
        <f t="shared" ref="B1300:B1363" ca="1" si="255">+IF(B1299&lt;=VLOOKUP(MID(C1300,2,26),TABS,2,FALSE),B1299+1,1)</f>
        <v>179</v>
      </c>
      <c r="C1300" t="str">
        <f t="shared" ca="1" si="252"/>
        <v>'WINDOWS-NCH-A-BDP-M3-01-00'!B178</v>
      </c>
      <c r="D1300" s="6" t="str">
        <f t="shared" ca="1" si="253"/>
        <v>L01-COR-CSV-S053-01</v>
      </c>
      <c r="E1300" t="str">
        <f t="shared" ref="E1300:E1322" ca="1" si="256">+OFFSET(INDIRECT(C1300),0,0)</f>
        <v>Family Type: 975w x 3050h, Family: Window External Type 1 - Recessed</v>
      </c>
      <c r="F1300" t="str">
        <f t="shared" ca="1" si="245"/>
        <v>Vector(X = 0.977, Y = 0.212, Z = 0.000, Length = 1.000)</v>
      </c>
      <c r="G1300">
        <f t="shared" ca="1" si="246"/>
        <v>1</v>
      </c>
      <c r="H1300">
        <f t="shared" ca="1" si="247"/>
        <v>0.2</v>
      </c>
      <c r="I1300">
        <f t="shared" ca="1" si="248"/>
        <v>0</v>
      </c>
      <c r="J1300" s="8">
        <f t="shared" ca="1" si="249"/>
        <v>11.309932474020215</v>
      </c>
      <c r="K1300" s="9" t="str">
        <f t="shared" ca="1" si="250"/>
        <v>E</v>
      </c>
      <c r="L1300">
        <f ca="1">+_xlfn.IFNA(VLOOKUP(M1300,BespokeWindowsAreas!$A$1:$E$1999,1,FALSE),VLOOKUP(E1300,WindowTypeArea!$B$2:$C$2000,2,FALSE))</f>
        <v>2.9737499999999999</v>
      </c>
      <c r="M1300">
        <f t="shared" ca="1" si="251"/>
        <v>5065686</v>
      </c>
    </row>
    <row r="1301" spans="1:13" x14ac:dyDescent="0.25">
      <c r="A1301">
        <f t="shared" ca="1" si="254"/>
        <v>3</v>
      </c>
      <c r="B1301">
        <f t="shared" ca="1" si="255"/>
        <v>180</v>
      </c>
      <c r="C1301" t="str">
        <f t="shared" ca="1" si="252"/>
        <v>'WINDOWS-NCH-A-BDP-M3-01-00'!B179</v>
      </c>
      <c r="D1301" s="6" t="str">
        <f t="shared" ca="1" si="253"/>
        <v>L01-COR-CSV-S053-01</v>
      </c>
      <c r="E1301" t="str">
        <f t="shared" ca="1" si="256"/>
        <v>Family Type: 1500w x 3050h, Family: Window External Type 3 - Recessed and Angle</v>
      </c>
      <c r="F1301" t="str">
        <f t="shared" ca="1" si="245"/>
        <v>Vector(X = 0.977, Y = 0.212, Z = 0.000, Length = 1.000)</v>
      </c>
      <c r="G1301">
        <f t="shared" ca="1" si="246"/>
        <v>1</v>
      </c>
      <c r="H1301">
        <f t="shared" ca="1" si="247"/>
        <v>0.2</v>
      </c>
      <c r="I1301">
        <f t="shared" ca="1" si="248"/>
        <v>0</v>
      </c>
      <c r="J1301" s="8">
        <f t="shared" ca="1" si="249"/>
        <v>11.309932474020215</v>
      </c>
      <c r="K1301" s="9" t="str">
        <f t="shared" ca="1" si="250"/>
        <v>E</v>
      </c>
      <c r="L1301">
        <f ca="1">+_xlfn.IFNA(VLOOKUP(M1301,BespokeWindowsAreas!$A$1:$E$1999,1,FALSE),VLOOKUP(E1301,WindowTypeArea!$B$2:$C$2000,2,FALSE))</f>
        <v>4.5750000000000002</v>
      </c>
      <c r="M1301">
        <f t="shared" ca="1" si="251"/>
        <v>5065688</v>
      </c>
    </row>
    <row r="1302" spans="1:13" x14ac:dyDescent="0.25">
      <c r="A1302">
        <f t="shared" ca="1" si="254"/>
        <v>3</v>
      </c>
      <c r="B1302">
        <f t="shared" ca="1" si="255"/>
        <v>181</v>
      </c>
      <c r="C1302" t="str">
        <f t="shared" ca="1" si="252"/>
        <v>'WINDOWS-NCH-A-BDP-M3-01-00'!B180</v>
      </c>
      <c r="D1302" s="6" t="str">
        <f t="shared" ca="1" si="253"/>
        <v>L01-COR-CSV-S053-02</v>
      </c>
      <c r="E1302" t="str">
        <f t="shared" ca="1" si="256"/>
        <v>L01-COR-CSV-S053-02</v>
      </c>
      <c r="F1302">
        <f t="shared" ref="F1302:F1322" ca="1" si="257">+OFFSET(INDIRECT(C1302),0,1)</f>
        <v>1426819</v>
      </c>
      <c r="G1302">
        <f t="shared" ref="G1302:G1365" ca="1" si="258">+OFFSET(INDIRECT(C1302),0,2)</f>
        <v>0</v>
      </c>
      <c r="H1302">
        <f t="shared" ref="H1302:H1365" ca="1" si="259">+OFFSET(INDIRECT(C1302),0,3)</f>
        <v>0</v>
      </c>
      <c r="I1302">
        <f t="shared" ref="I1302:I1365" ca="1" si="260">+OFFSET(INDIRECT(C1302),0,4)</f>
        <v>0</v>
      </c>
      <c r="J1302" s="8" t="e">
        <f t="shared" ref="J1302:J1365" ca="1" si="261">+DEGREES(ATAN2(G1302,H1302))</f>
        <v>#DIV/0!</v>
      </c>
      <c r="K1302" s="9" t="e">
        <f t="shared" ref="K1302:K1365" ca="1" si="262">VLOOKUP(J1302,$O$20:$P$36,2,-1)</f>
        <v>#DIV/0!</v>
      </c>
      <c r="L1302" t="e">
        <f ca="1">+_xlfn.IFNA(VLOOKUP(M1302,BespokeWindowsAreas!$A$1:$E$1999,1,FALSE),VLOOKUP(E1302,WindowTypeArea!$B$2:$C$2000,2,FALSE))</f>
        <v>#N/A</v>
      </c>
      <c r="M1302">
        <f t="shared" ref="M1302:M1365" ca="1" si="263">+OFFSET(INDIRECT(C1302),0,5)</f>
        <v>0</v>
      </c>
    </row>
    <row r="1303" spans="1:13" x14ac:dyDescent="0.25">
      <c r="A1303">
        <f t="shared" ca="1" si="254"/>
        <v>3</v>
      </c>
      <c r="B1303">
        <f t="shared" ca="1" si="255"/>
        <v>182</v>
      </c>
      <c r="C1303" t="str">
        <f t="shared" ref="C1303:C1322" ca="1" si="264">+"'"&amp;INDIRECT("a"&amp;A1302)&amp;"'!B"&amp;B1302</f>
        <v>'WINDOWS-NCH-A-BDP-M3-01-00'!B181</v>
      </c>
      <c r="D1303" s="6" t="str">
        <f t="shared" ca="1" si="253"/>
        <v>L01-COR-CSV-S053-02</v>
      </c>
      <c r="E1303" t="str">
        <f t="shared" ca="1" si="256"/>
        <v>Family Type: 975w x 3050h, Family: Window External Type 1 - Recessed</v>
      </c>
      <c r="F1303" t="str">
        <f t="shared" ca="1" si="257"/>
        <v>Vector(X = 0.977, Y = 0.212, Z = 0.000, Length = 1.000)</v>
      </c>
      <c r="G1303">
        <f t="shared" ca="1" si="258"/>
        <v>1</v>
      </c>
      <c r="H1303">
        <f t="shared" ca="1" si="259"/>
        <v>0.2</v>
      </c>
      <c r="I1303">
        <f t="shared" ca="1" si="260"/>
        <v>0</v>
      </c>
      <c r="J1303" s="8">
        <f t="shared" ca="1" si="261"/>
        <v>11.309932474020215</v>
      </c>
      <c r="K1303" s="9" t="str">
        <f t="shared" ca="1" si="262"/>
        <v>E</v>
      </c>
      <c r="L1303">
        <f ca="1">+_xlfn.IFNA(VLOOKUP(M1303,BespokeWindowsAreas!$A$1:$E$1999,1,FALSE),VLOOKUP(E1303,WindowTypeArea!$B$2:$C$2000,2,FALSE))</f>
        <v>2.9737499999999999</v>
      </c>
      <c r="M1303">
        <f t="shared" ca="1" si="263"/>
        <v>5065684</v>
      </c>
    </row>
    <row r="1304" spans="1:13" x14ac:dyDescent="0.25">
      <c r="A1304">
        <f t="shared" ca="1" si="254"/>
        <v>3</v>
      </c>
      <c r="B1304">
        <f t="shared" ca="1" si="255"/>
        <v>183</v>
      </c>
      <c r="C1304" t="str">
        <f t="shared" ca="1" si="264"/>
        <v>'WINDOWS-NCH-A-BDP-M3-01-00'!B182</v>
      </c>
      <c r="D1304" s="6" t="str">
        <f t="shared" ca="1" si="253"/>
        <v>L01-COR-CSV-S053-02</v>
      </c>
      <c r="E1304" t="str">
        <f t="shared" ca="1" si="256"/>
        <v>Family Type: 1500w x 3050h, Family: Window External Type 3 - Recessed and Angle</v>
      </c>
      <c r="F1304" t="str">
        <f t="shared" ca="1" si="257"/>
        <v>Vector(X = 0.977, Y = 0.212, Z = 0.000, Length = 1.000)</v>
      </c>
      <c r="G1304">
        <f t="shared" ca="1" si="258"/>
        <v>1</v>
      </c>
      <c r="H1304">
        <f t="shared" ca="1" si="259"/>
        <v>0.2</v>
      </c>
      <c r="I1304">
        <f t="shared" ca="1" si="260"/>
        <v>0</v>
      </c>
      <c r="J1304" s="8">
        <f t="shared" ca="1" si="261"/>
        <v>11.309932474020215</v>
      </c>
      <c r="K1304" s="9" t="str">
        <f t="shared" ca="1" si="262"/>
        <v>E</v>
      </c>
      <c r="L1304">
        <f ca="1">+_xlfn.IFNA(VLOOKUP(M1304,BespokeWindowsAreas!$A$1:$E$1999,1,FALSE),VLOOKUP(E1304,WindowTypeArea!$B$2:$C$2000,2,FALSE))</f>
        <v>4.5750000000000002</v>
      </c>
      <c r="M1304">
        <f t="shared" ca="1" si="263"/>
        <v>5065688</v>
      </c>
    </row>
    <row r="1305" spans="1:13" x14ac:dyDescent="0.25">
      <c r="A1305">
        <f t="shared" ca="1" si="254"/>
        <v>3</v>
      </c>
      <c r="B1305">
        <f t="shared" ca="1" si="255"/>
        <v>184</v>
      </c>
      <c r="C1305" t="str">
        <f t="shared" ca="1" si="264"/>
        <v>'WINDOWS-NCH-A-BDP-M3-01-00'!B183</v>
      </c>
      <c r="D1305" s="6" t="str">
        <f t="shared" ca="1" si="253"/>
        <v>L01-COR-CSV-S074-08</v>
      </c>
      <c r="E1305" t="str">
        <f t="shared" ca="1" si="256"/>
        <v>L01-COR-CSV-S074-08</v>
      </c>
      <c r="F1305">
        <f t="shared" ca="1" si="257"/>
        <v>1426843</v>
      </c>
      <c r="G1305">
        <f t="shared" ca="1" si="258"/>
        <v>0</v>
      </c>
      <c r="H1305">
        <f t="shared" ca="1" si="259"/>
        <v>0</v>
      </c>
      <c r="I1305">
        <f t="shared" ca="1" si="260"/>
        <v>0</v>
      </c>
      <c r="J1305" s="8" t="e">
        <f t="shared" ca="1" si="261"/>
        <v>#DIV/0!</v>
      </c>
      <c r="K1305" s="9" t="e">
        <f t="shared" ca="1" si="262"/>
        <v>#DIV/0!</v>
      </c>
      <c r="L1305" t="e">
        <f ca="1">+_xlfn.IFNA(VLOOKUP(M1305,BespokeWindowsAreas!$A$1:$E$1999,1,FALSE),VLOOKUP(E1305,WindowTypeArea!$B$2:$C$2000,2,FALSE))</f>
        <v>#N/A</v>
      </c>
      <c r="M1305">
        <f t="shared" ca="1" si="263"/>
        <v>0</v>
      </c>
    </row>
    <row r="1306" spans="1:13" x14ac:dyDescent="0.25">
      <c r="A1306">
        <f t="shared" ca="1" si="254"/>
        <v>3</v>
      </c>
      <c r="B1306">
        <f t="shared" ca="1" si="255"/>
        <v>185</v>
      </c>
      <c r="C1306" t="str">
        <f t="shared" ca="1" si="264"/>
        <v>'WINDOWS-NCH-A-BDP-M3-01-00'!B184</v>
      </c>
      <c r="D1306" s="6" t="str">
        <f t="shared" ca="1" si="253"/>
        <v>L01-COR-CSV-S074-08</v>
      </c>
      <c r="E1306" t="str">
        <f t="shared" ca="1" si="256"/>
        <v>Family Type: 1500w x 3050h, Family: Window External Type 3 - Recessed and Angle</v>
      </c>
      <c r="F1306" t="str">
        <f t="shared" ca="1" si="257"/>
        <v>Vector(X = 0.977, Y = 0.212, Z = 0.000, Length = 1.000)</v>
      </c>
      <c r="G1306">
        <f t="shared" ca="1" si="258"/>
        <v>1</v>
      </c>
      <c r="H1306">
        <f t="shared" ca="1" si="259"/>
        <v>0.2</v>
      </c>
      <c r="I1306">
        <f t="shared" ca="1" si="260"/>
        <v>0</v>
      </c>
      <c r="J1306" s="8">
        <f t="shared" ca="1" si="261"/>
        <v>11.309932474020215</v>
      </c>
      <c r="K1306" s="9" t="str">
        <f t="shared" ca="1" si="262"/>
        <v>E</v>
      </c>
      <c r="L1306">
        <f ca="1">+_xlfn.IFNA(VLOOKUP(M1306,BespokeWindowsAreas!$A$1:$E$1999,1,FALSE),VLOOKUP(E1306,WindowTypeArea!$B$2:$C$2000,2,FALSE))</f>
        <v>4.5750000000000002</v>
      </c>
      <c r="M1306">
        <f t="shared" ca="1" si="263"/>
        <v>5065687</v>
      </c>
    </row>
    <row r="1307" spans="1:13" x14ac:dyDescent="0.25">
      <c r="A1307">
        <f t="shared" ca="1" si="254"/>
        <v>3</v>
      </c>
      <c r="B1307">
        <f t="shared" ca="1" si="255"/>
        <v>186</v>
      </c>
      <c r="C1307" t="str">
        <f t="shared" ca="1" si="264"/>
        <v>'WINDOWS-NCH-A-BDP-M3-01-00'!B185</v>
      </c>
      <c r="D1307" s="6" t="str">
        <f t="shared" ca="1" si="253"/>
        <v>L01-OPD-NEU-S109-01</v>
      </c>
      <c r="E1307" t="str">
        <f t="shared" ca="1" si="256"/>
        <v>L01-OPD-NEU-S109-01</v>
      </c>
      <c r="F1307">
        <f t="shared" ca="1" si="257"/>
        <v>1512587</v>
      </c>
      <c r="G1307">
        <f t="shared" ca="1" si="258"/>
        <v>0</v>
      </c>
      <c r="H1307">
        <f t="shared" ca="1" si="259"/>
        <v>0</v>
      </c>
      <c r="I1307">
        <f t="shared" ca="1" si="260"/>
        <v>0</v>
      </c>
      <c r="J1307" s="8" t="e">
        <f t="shared" ca="1" si="261"/>
        <v>#DIV/0!</v>
      </c>
      <c r="K1307" s="9" t="e">
        <f t="shared" ca="1" si="262"/>
        <v>#DIV/0!</v>
      </c>
      <c r="L1307" t="e">
        <f ca="1">+_xlfn.IFNA(VLOOKUP(M1307,BespokeWindowsAreas!$A$1:$E$1999,1,FALSE),VLOOKUP(E1307,WindowTypeArea!$B$2:$C$2000,2,FALSE))</f>
        <v>#N/A</v>
      </c>
      <c r="M1307">
        <f t="shared" ca="1" si="263"/>
        <v>0</v>
      </c>
    </row>
    <row r="1308" spans="1:13" x14ac:dyDescent="0.25">
      <c r="A1308">
        <f t="shared" ca="1" si="254"/>
        <v>3</v>
      </c>
      <c r="B1308">
        <f t="shared" ca="1" si="255"/>
        <v>187</v>
      </c>
      <c r="C1308" t="str">
        <f t="shared" ca="1" si="264"/>
        <v>'WINDOWS-NCH-A-BDP-M3-01-00'!B186</v>
      </c>
      <c r="D1308" s="6" t="str">
        <f t="shared" ca="1" si="253"/>
        <v>L01-OPD-NEU-S109-01</v>
      </c>
      <c r="E1308" t="str">
        <f t="shared" ca="1" si="256"/>
        <v>Family Type: 1000w x 3050h, Family: Window External Type 2 - Recessed and Fin</v>
      </c>
      <c r="F1308" t="str">
        <f t="shared" ca="1" si="257"/>
        <v>Vector(X = 0.212, Y = -0.977, Z = 0.000, Length = 1.000)</v>
      </c>
      <c r="G1308">
        <f t="shared" ca="1" si="258"/>
        <v>0.2</v>
      </c>
      <c r="H1308">
        <f t="shared" ca="1" si="259"/>
        <v>-1</v>
      </c>
      <c r="I1308">
        <f t="shared" ca="1" si="260"/>
        <v>0</v>
      </c>
      <c r="J1308" s="8">
        <f t="shared" ca="1" si="261"/>
        <v>-78.690067525979785</v>
      </c>
      <c r="K1308" s="9" t="str">
        <f t="shared" ca="1" si="262"/>
        <v>S</v>
      </c>
      <c r="L1308">
        <f ca="1">+_xlfn.IFNA(VLOOKUP(M1308,BespokeWindowsAreas!$A$1:$E$1999,1,FALSE),VLOOKUP(E1308,WindowTypeArea!$B$2:$C$2000,2,FALSE))</f>
        <v>3.05</v>
      </c>
      <c r="M1308">
        <f t="shared" ca="1" si="263"/>
        <v>4808465</v>
      </c>
    </row>
    <row r="1309" spans="1:13" x14ac:dyDescent="0.25">
      <c r="A1309">
        <f t="shared" ca="1" si="254"/>
        <v>3</v>
      </c>
      <c r="B1309">
        <f t="shared" ca="1" si="255"/>
        <v>188</v>
      </c>
      <c r="C1309" t="str">
        <f t="shared" ca="1" si="264"/>
        <v>'WINDOWS-NCH-A-BDP-M3-01-00'!B187</v>
      </c>
      <c r="D1309" s="6" t="str">
        <f t="shared" ca="1" si="253"/>
        <v>L01-OPD-NEU-U0408-01</v>
      </c>
      <c r="E1309" t="str">
        <f t="shared" ca="1" si="256"/>
        <v>L01-OPD-NEU-U0408-01</v>
      </c>
      <c r="F1309">
        <f t="shared" ca="1" si="257"/>
        <v>1512590</v>
      </c>
      <c r="G1309">
        <f t="shared" ca="1" si="258"/>
        <v>0</v>
      </c>
      <c r="H1309">
        <f t="shared" ca="1" si="259"/>
        <v>0</v>
      </c>
      <c r="I1309">
        <f t="shared" ca="1" si="260"/>
        <v>0</v>
      </c>
      <c r="J1309" s="8" t="e">
        <f t="shared" ca="1" si="261"/>
        <v>#DIV/0!</v>
      </c>
      <c r="K1309" s="9" t="e">
        <f t="shared" ca="1" si="262"/>
        <v>#DIV/0!</v>
      </c>
      <c r="L1309" t="e">
        <f ca="1">+_xlfn.IFNA(VLOOKUP(M1309,BespokeWindowsAreas!$A$1:$E$1999,1,FALSE),VLOOKUP(E1309,WindowTypeArea!$B$2:$C$2000,2,FALSE))</f>
        <v>#N/A</v>
      </c>
      <c r="M1309">
        <f t="shared" ca="1" si="263"/>
        <v>0</v>
      </c>
    </row>
    <row r="1310" spans="1:13" x14ac:dyDescent="0.25">
      <c r="A1310">
        <f t="shared" ca="1" si="254"/>
        <v>3</v>
      </c>
      <c r="B1310">
        <f t="shared" ca="1" si="255"/>
        <v>189</v>
      </c>
      <c r="C1310" t="str">
        <f t="shared" ca="1" si="264"/>
        <v>'WINDOWS-NCH-A-BDP-M3-01-00'!B188</v>
      </c>
      <c r="D1310" s="6" t="str">
        <f t="shared" ca="1" si="253"/>
        <v>L01-OPD-NEU-U0408-01</v>
      </c>
      <c r="E1310" t="str">
        <f t="shared" ca="1" si="256"/>
        <v>Family Type: 1950w x 3050h, Family: Window External Type 3 - Recessed and Angle</v>
      </c>
      <c r="F1310" t="str">
        <f t="shared" ca="1" si="257"/>
        <v>Vector(X = 0.212, Y = -0.977, Z = 0.000, Length = 1.000)</v>
      </c>
      <c r="G1310">
        <f t="shared" ca="1" si="258"/>
        <v>0.2</v>
      </c>
      <c r="H1310">
        <f t="shared" ca="1" si="259"/>
        <v>-1</v>
      </c>
      <c r="I1310">
        <f t="shared" ca="1" si="260"/>
        <v>0</v>
      </c>
      <c r="J1310" s="8">
        <f t="shared" ca="1" si="261"/>
        <v>-78.690067525979785</v>
      </c>
      <c r="K1310" s="9" t="str">
        <f t="shared" ca="1" si="262"/>
        <v>S</v>
      </c>
      <c r="L1310">
        <f ca="1">+_xlfn.IFNA(VLOOKUP(M1310,BespokeWindowsAreas!$A$1:$E$1999,1,FALSE),VLOOKUP(E1310,WindowTypeArea!$B$2:$C$2000,2,FALSE))</f>
        <v>5.9474999999999998</v>
      </c>
      <c r="M1310">
        <f t="shared" ca="1" si="263"/>
        <v>4808557</v>
      </c>
    </row>
    <row r="1311" spans="1:13" x14ac:dyDescent="0.25">
      <c r="A1311">
        <f t="shared" ca="1" si="254"/>
        <v>3</v>
      </c>
      <c r="B1311">
        <f t="shared" ca="1" si="255"/>
        <v>190</v>
      </c>
      <c r="C1311" t="str">
        <f t="shared" ca="1" si="264"/>
        <v>'WINDOWS-NCH-A-BDP-M3-01-00'!B189</v>
      </c>
      <c r="D1311" s="6" t="str">
        <f t="shared" ca="1" si="253"/>
        <v>L01-OPD-NEU-S053-01</v>
      </c>
      <c r="E1311" t="str">
        <f t="shared" ca="1" si="256"/>
        <v>L01-OPD-NEU-S053-01</v>
      </c>
      <c r="F1311">
        <f t="shared" ca="1" si="257"/>
        <v>1512591</v>
      </c>
      <c r="G1311">
        <f t="shared" ca="1" si="258"/>
        <v>0</v>
      </c>
      <c r="H1311">
        <f t="shared" ca="1" si="259"/>
        <v>0</v>
      </c>
      <c r="I1311">
        <f t="shared" ca="1" si="260"/>
        <v>0</v>
      </c>
      <c r="J1311" s="8" t="e">
        <f t="shared" ca="1" si="261"/>
        <v>#DIV/0!</v>
      </c>
      <c r="K1311" s="9" t="e">
        <f t="shared" ca="1" si="262"/>
        <v>#DIV/0!</v>
      </c>
      <c r="L1311" t="e">
        <f ca="1">+_xlfn.IFNA(VLOOKUP(M1311,BespokeWindowsAreas!$A$1:$E$1999,1,FALSE),VLOOKUP(E1311,WindowTypeArea!$B$2:$C$2000,2,FALSE))</f>
        <v>#N/A</v>
      </c>
      <c r="M1311">
        <f t="shared" ca="1" si="263"/>
        <v>0</v>
      </c>
    </row>
    <row r="1312" spans="1:13" x14ac:dyDescent="0.25">
      <c r="A1312">
        <f t="shared" ca="1" si="254"/>
        <v>3</v>
      </c>
      <c r="B1312">
        <f t="shared" ca="1" si="255"/>
        <v>191</v>
      </c>
      <c r="C1312" t="str">
        <f t="shared" ca="1" si="264"/>
        <v>'WINDOWS-NCH-A-BDP-M3-01-00'!B190</v>
      </c>
      <c r="D1312" s="6" t="str">
        <f t="shared" ca="1" si="253"/>
        <v>L01-OPD-NEU-S053-01</v>
      </c>
      <c r="E1312" t="str">
        <f t="shared" ca="1" si="256"/>
        <v>Family Type: 1500w x 3050h, Family: Window External Type 3 - Recessed and Angle</v>
      </c>
      <c r="F1312" t="str">
        <f t="shared" ca="1" si="257"/>
        <v>Vector(X = -0.212, Y = 0.977, Z = 0.000, Length = 1.000)</v>
      </c>
      <c r="G1312">
        <f t="shared" ca="1" si="258"/>
        <v>-0.2</v>
      </c>
      <c r="H1312">
        <f t="shared" ca="1" si="259"/>
        <v>1</v>
      </c>
      <c r="I1312">
        <f t="shared" ca="1" si="260"/>
        <v>0</v>
      </c>
      <c r="J1312" s="8">
        <f t="shared" ca="1" si="261"/>
        <v>101.3099324740202</v>
      </c>
      <c r="K1312" s="9" t="str">
        <f t="shared" ca="1" si="262"/>
        <v>N</v>
      </c>
      <c r="L1312">
        <f ca="1">+_xlfn.IFNA(VLOOKUP(M1312,BespokeWindowsAreas!$A$1:$E$1999,1,FALSE),VLOOKUP(E1312,WindowTypeArea!$B$2:$C$2000,2,FALSE))</f>
        <v>4.5750000000000002</v>
      </c>
      <c r="M1312">
        <f t="shared" ca="1" si="263"/>
        <v>4819493</v>
      </c>
    </row>
    <row r="1313" spans="1:16" x14ac:dyDescent="0.25">
      <c r="A1313">
        <f t="shared" ca="1" si="254"/>
        <v>3</v>
      </c>
      <c r="B1313">
        <f t="shared" ca="1" si="255"/>
        <v>192</v>
      </c>
      <c r="C1313" t="str">
        <f t="shared" ca="1" si="264"/>
        <v>'WINDOWS-NCH-A-BDP-M3-01-00'!B191</v>
      </c>
      <c r="D1313" s="6" t="str">
        <f t="shared" ca="1" si="253"/>
        <v>L01-OPD-NEU-L027-01</v>
      </c>
      <c r="E1313" t="str">
        <f t="shared" ca="1" si="256"/>
        <v>L01-OPD-NEU-L027-01</v>
      </c>
      <c r="F1313">
        <f t="shared" ca="1" si="257"/>
        <v>1512592</v>
      </c>
      <c r="G1313">
        <f t="shared" ca="1" si="258"/>
        <v>0</v>
      </c>
      <c r="H1313">
        <f t="shared" ca="1" si="259"/>
        <v>0</v>
      </c>
      <c r="I1313">
        <f t="shared" ca="1" si="260"/>
        <v>0</v>
      </c>
      <c r="J1313" s="8" t="e">
        <f t="shared" ca="1" si="261"/>
        <v>#DIV/0!</v>
      </c>
      <c r="K1313" s="9" t="e">
        <f t="shared" ca="1" si="262"/>
        <v>#DIV/0!</v>
      </c>
      <c r="L1313" t="e">
        <f ca="1">+_xlfn.IFNA(VLOOKUP(M1313,BespokeWindowsAreas!$A$1:$E$1999,1,FALSE),VLOOKUP(E1313,WindowTypeArea!$B$2:$C$2000,2,FALSE))</f>
        <v>#N/A</v>
      </c>
      <c r="M1313">
        <f t="shared" ca="1" si="263"/>
        <v>0</v>
      </c>
    </row>
    <row r="1314" spans="1:16" x14ac:dyDescent="0.25">
      <c r="A1314">
        <f t="shared" ca="1" si="254"/>
        <v>3</v>
      </c>
      <c r="B1314">
        <f t="shared" ca="1" si="255"/>
        <v>193</v>
      </c>
      <c r="C1314" t="str">
        <f t="shared" ca="1" si="264"/>
        <v>'WINDOWS-NCH-A-BDP-M3-01-00'!B192</v>
      </c>
      <c r="D1314" s="6" t="str">
        <f t="shared" ca="1" si="253"/>
        <v>L01-OPD-NEU-L027-01</v>
      </c>
      <c r="E1314" t="str">
        <f t="shared" ca="1" si="256"/>
        <v>Family Type: 1000w x 3050h, Family: Window External Type 2 - Recessed and Fin</v>
      </c>
      <c r="F1314" t="str">
        <f t="shared" ca="1" si="257"/>
        <v>Vector(X = -0.212, Y = 0.977, Z = 0.000, Length = 1.000)</v>
      </c>
      <c r="G1314">
        <f t="shared" ca="1" si="258"/>
        <v>-0.2</v>
      </c>
      <c r="H1314">
        <f t="shared" ca="1" si="259"/>
        <v>1</v>
      </c>
      <c r="I1314">
        <f t="shared" ca="1" si="260"/>
        <v>0</v>
      </c>
      <c r="J1314" s="8">
        <f t="shared" ca="1" si="261"/>
        <v>101.3099324740202</v>
      </c>
      <c r="K1314" s="9" t="str">
        <f t="shared" ca="1" si="262"/>
        <v>N</v>
      </c>
      <c r="L1314">
        <f ca="1">+_xlfn.IFNA(VLOOKUP(M1314,BespokeWindowsAreas!$A$1:$E$1999,1,FALSE),VLOOKUP(E1314,WindowTypeArea!$B$2:$C$2000,2,FALSE))</f>
        <v>3.05</v>
      </c>
      <c r="M1314">
        <f t="shared" ca="1" si="263"/>
        <v>4818597</v>
      </c>
    </row>
    <row r="1315" spans="1:16" x14ac:dyDescent="0.25">
      <c r="A1315">
        <f t="shared" ca="1" si="254"/>
        <v>3</v>
      </c>
      <c r="B1315">
        <f t="shared" ca="1" si="255"/>
        <v>194</v>
      </c>
      <c r="C1315" t="str">
        <f t="shared" ca="1" si="264"/>
        <v>'WINDOWS-NCH-A-BDP-M3-01-00'!B193</v>
      </c>
      <c r="D1315" s="6" t="str">
        <f t="shared" ca="1" si="253"/>
        <v>L01-OPD-NEU-U0411-01</v>
      </c>
      <c r="E1315" t="str">
        <f t="shared" ca="1" si="256"/>
        <v>L01-OPD-NEU-U0411-01</v>
      </c>
      <c r="F1315">
        <f t="shared" ca="1" si="257"/>
        <v>1512594</v>
      </c>
      <c r="G1315">
        <f t="shared" ca="1" si="258"/>
        <v>0</v>
      </c>
      <c r="H1315">
        <f t="shared" ca="1" si="259"/>
        <v>0</v>
      </c>
      <c r="I1315">
        <f t="shared" ca="1" si="260"/>
        <v>0</v>
      </c>
      <c r="J1315" s="8" t="e">
        <f t="shared" ca="1" si="261"/>
        <v>#DIV/0!</v>
      </c>
      <c r="K1315" s="9" t="e">
        <f t="shared" ca="1" si="262"/>
        <v>#DIV/0!</v>
      </c>
      <c r="L1315" t="e">
        <f ca="1">+_xlfn.IFNA(VLOOKUP(M1315,BespokeWindowsAreas!$A$1:$E$1999,1,FALSE),VLOOKUP(E1315,WindowTypeArea!$B$2:$C$2000,2,FALSE))</f>
        <v>#N/A</v>
      </c>
      <c r="M1315">
        <f t="shared" ca="1" si="263"/>
        <v>0</v>
      </c>
    </row>
    <row r="1316" spans="1:16" x14ac:dyDescent="0.25">
      <c r="A1316">
        <f t="shared" ca="1" si="254"/>
        <v>3</v>
      </c>
      <c r="B1316">
        <f t="shared" ca="1" si="255"/>
        <v>195</v>
      </c>
      <c r="C1316" t="str">
        <f t="shared" ca="1" si="264"/>
        <v>'WINDOWS-NCH-A-BDP-M3-01-00'!B194</v>
      </c>
      <c r="D1316" s="6" t="str">
        <f t="shared" ca="1" si="253"/>
        <v>L01-OPD-NEU-U0411-01</v>
      </c>
      <c r="E1316" t="str">
        <f t="shared" ca="1" si="256"/>
        <v>Family Type: 1500w x 3050h, Family: Window External Type 3 - Recessed and Angle</v>
      </c>
      <c r="F1316" t="str">
        <f t="shared" ca="1" si="257"/>
        <v>Vector(X = 0.212, Y = -0.977, Z = 0.000, Length = 1.000)</v>
      </c>
      <c r="G1316">
        <f t="shared" ca="1" si="258"/>
        <v>0.2</v>
      </c>
      <c r="H1316">
        <f t="shared" ca="1" si="259"/>
        <v>-1</v>
      </c>
      <c r="I1316">
        <f t="shared" ca="1" si="260"/>
        <v>0</v>
      </c>
      <c r="J1316" s="8">
        <f t="shared" ca="1" si="261"/>
        <v>-78.690067525979785</v>
      </c>
      <c r="K1316" s="9" t="str">
        <f t="shared" ca="1" si="262"/>
        <v>S</v>
      </c>
      <c r="L1316">
        <f ca="1">+_xlfn.IFNA(VLOOKUP(M1316,BespokeWindowsAreas!$A$1:$E$1999,1,FALSE),VLOOKUP(E1316,WindowTypeArea!$B$2:$C$2000,2,FALSE))</f>
        <v>4.5750000000000002</v>
      </c>
      <c r="M1316">
        <f t="shared" ca="1" si="263"/>
        <v>4808275</v>
      </c>
    </row>
    <row r="1317" spans="1:16" x14ac:dyDescent="0.25">
      <c r="A1317">
        <f t="shared" ca="1" si="254"/>
        <v>3</v>
      </c>
      <c r="B1317">
        <f t="shared" ca="1" si="255"/>
        <v>196</v>
      </c>
      <c r="C1317" t="str">
        <f t="shared" ca="1" si="264"/>
        <v>'WINDOWS-NCH-A-BDP-M3-01-00'!B195</v>
      </c>
      <c r="D1317" s="6" t="str">
        <f t="shared" ca="1" si="253"/>
        <v>L01-OPD-NEU-S015-01</v>
      </c>
      <c r="E1317" t="str">
        <f t="shared" ca="1" si="256"/>
        <v>L01-OPD-NEU-S015-01</v>
      </c>
      <c r="F1317">
        <f t="shared" ca="1" si="257"/>
        <v>1512600</v>
      </c>
      <c r="G1317">
        <f t="shared" ca="1" si="258"/>
        <v>0</v>
      </c>
      <c r="H1317">
        <f t="shared" ca="1" si="259"/>
        <v>0</v>
      </c>
      <c r="I1317">
        <f t="shared" ca="1" si="260"/>
        <v>0</v>
      </c>
      <c r="J1317" s="8" t="e">
        <f t="shared" ca="1" si="261"/>
        <v>#DIV/0!</v>
      </c>
      <c r="K1317" s="9" t="e">
        <f t="shared" ca="1" si="262"/>
        <v>#DIV/0!</v>
      </c>
      <c r="L1317" t="e">
        <f ca="1">+_xlfn.IFNA(VLOOKUP(M1317,BespokeWindowsAreas!$A$1:$E$1999,1,FALSE),VLOOKUP(E1317,WindowTypeArea!$B$2:$C$2000,2,FALSE))</f>
        <v>#N/A</v>
      </c>
      <c r="M1317">
        <f t="shared" ca="1" si="263"/>
        <v>0</v>
      </c>
    </row>
    <row r="1318" spans="1:16" x14ac:dyDescent="0.25">
      <c r="A1318">
        <f t="shared" ca="1" si="254"/>
        <v>3</v>
      </c>
      <c r="B1318">
        <f t="shared" ca="1" si="255"/>
        <v>197</v>
      </c>
      <c r="C1318" t="str">
        <f t="shared" ca="1" si="264"/>
        <v>'WINDOWS-NCH-A-BDP-M3-01-00'!B196</v>
      </c>
      <c r="D1318" s="6" t="str">
        <f t="shared" ca="1" si="253"/>
        <v>L01-OPD-NEU-S015-01</v>
      </c>
      <c r="E1318" t="str">
        <f t="shared" ca="1" si="256"/>
        <v>Family Type: 1000w x 3050h, Family: Window External Type 2 - Recessed and Fin</v>
      </c>
      <c r="F1318" t="str">
        <f t="shared" ca="1" si="257"/>
        <v>Vector(X = -0.212, Y = 0.977, Z = 0.000, Length = 1.000)</v>
      </c>
      <c r="G1318">
        <f t="shared" ca="1" si="258"/>
        <v>-0.2</v>
      </c>
      <c r="H1318">
        <f t="shared" ca="1" si="259"/>
        <v>1</v>
      </c>
      <c r="I1318">
        <f t="shared" ca="1" si="260"/>
        <v>0</v>
      </c>
      <c r="J1318" s="8">
        <f t="shared" ca="1" si="261"/>
        <v>101.3099324740202</v>
      </c>
      <c r="K1318" s="9" t="str">
        <f t="shared" ca="1" si="262"/>
        <v>N</v>
      </c>
      <c r="L1318">
        <f ca="1">+_xlfn.IFNA(VLOOKUP(M1318,BespokeWindowsAreas!$A$1:$E$1999,1,FALSE),VLOOKUP(E1318,WindowTypeArea!$B$2:$C$2000,2,FALSE))</f>
        <v>3.05</v>
      </c>
      <c r="M1318">
        <f t="shared" ca="1" si="263"/>
        <v>4822249</v>
      </c>
    </row>
    <row r="1319" spans="1:16" x14ac:dyDescent="0.25">
      <c r="A1319">
        <f t="shared" ca="1" si="254"/>
        <v>3</v>
      </c>
      <c r="B1319">
        <f t="shared" ca="1" si="255"/>
        <v>198</v>
      </c>
      <c r="C1319" t="str">
        <f t="shared" ca="1" si="264"/>
        <v>'WINDOWS-NCH-A-BDP-M3-01-00'!B197</v>
      </c>
      <c r="D1319" s="6" t="str">
        <f t="shared" ca="1" si="253"/>
        <v>L01-OPD-NEU-L027-02</v>
      </c>
      <c r="E1319" t="str">
        <f t="shared" ca="1" si="256"/>
        <v>L01-OPD-NEU-L027-02</v>
      </c>
      <c r="F1319">
        <f t="shared" ca="1" si="257"/>
        <v>1512601</v>
      </c>
      <c r="G1319">
        <f t="shared" ca="1" si="258"/>
        <v>0</v>
      </c>
      <c r="H1319">
        <f t="shared" ca="1" si="259"/>
        <v>0</v>
      </c>
      <c r="I1319">
        <f t="shared" ca="1" si="260"/>
        <v>0</v>
      </c>
      <c r="J1319" s="8" t="e">
        <f t="shared" ca="1" si="261"/>
        <v>#DIV/0!</v>
      </c>
      <c r="K1319" s="9" t="e">
        <f t="shared" ca="1" si="262"/>
        <v>#DIV/0!</v>
      </c>
      <c r="L1319" t="e">
        <f ca="1">+_xlfn.IFNA(VLOOKUP(M1319,BespokeWindowsAreas!$A$1:$E$1999,1,FALSE),VLOOKUP(E1319,WindowTypeArea!$B$2:$C$2000,2,FALSE))</f>
        <v>#N/A</v>
      </c>
      <c r="M1319">
        <f t="shared" ca="1" si="263"/>
        <v>0</v>
      </c>
    </row>
    <row r="1320" spans="1:16" x14ac:dyDescent="0.25">
      <c r="A1320">
        <f t="shared" ca="1" si="254"/>
        <v>3</v>
      </c>
      <c r="B1320">
        <f t="shared" ca="1" si="255"/>
        <v>199</v>
      </c>
      <c r="C1320" t="str">
        <f t="shared" ca="1" si="264"/>
        <v>'WINDOWS-NCH-A-BDP-M3-01-00'!B198</v>
      </c>
      <c r="D1320" s="6" t="str">
        <f t="shared" ca="1" si="253"/>
        <v>L01-OPD-NEU-L027-02</v>
      </c>
      <c r="E1320" t="str">
        <f t="shared" ca="1" si="256"/>
        <v>Family Type: 1500w x 3050h, Family: Window External Type 3 - Recessed and Angle</v>
      </c>
      <c r="F1320" t="str">
        <f t="shared" ca="1" si="257"/>
        <v>Vector(X = -0.212, Y = 0.977, Z = 0.000, Length = 1.000)</v>
      </c>
      <c r="G1320">
        <f t="shared" ca="1" si="258"/>
        <v>-0.2</v>
      </c>
      <c r="H1320">
        <f t="shared" ca="1" si="259"/>
        <v>1</v>
      </c>
      <c r="I1320">
        <f t="shared" ca="1" si="260"/>
        <v>0</v>
      </c>
      <c r="J1320" s="8">
        <f t="shared" ca="1" si="261"/>
        <v>101.3099324740202</v>
      </c>
      <c r="K1320" s="9" t="str">
        <f t="shared" ca="1" si="262"/>
        <v>N</v>
      </c>
      <c r="L1320">
        <f ca="1">+_xlfn.IFNA(VLOOKUP(M1320,BespokeWindowsAreas!$A$1:$E$1999,1,FALSE),VLOOKUP(E1320,WindowTypeArea!$B$2:$C$2000,2,FALSE))</f>
        <v>4.5750000000000002</v>
      </c>
      <c r="M1320">
        <f t="shared" ca="1" si="263"/>
        <v>4818772</v>
      </c>
    </row>
    <row r="1321" spans="1:16" x14ac:dyDescent="0.25">
      <c r="A1321">
        <f t="shared" ca="1" si="254"/>
        <v>3</v>
      </c>
      <c r="B1321">
        <f t="shared" ca="1" si="255"/>
        <v>200</v>
      </c>
      <c r="C1321" t="str">
        <f t="shared" ca="1" si="264"/>
        <v>'WINDOWS-NCH-A-BDP-M3-01-00'!B199</v>
      </c>
      <c r="D1321" s="6" t="str">
        <f t="shared" ca="1" si="253"/>
        <v>L01-OPD-NEU-L027-03</v>
      </c>
      <c r="E1321" t="str">
        <f t="shared" ca="1" si="256"/>
        <v>L01-OPD-NEU-L027-03</v>
      </c>
      <c r="F1321">
        <f t="shared" ca="1" si="257"/>
        <v>1512602</v>
      </c>
      <c r="G1321">
        <f t="shared" ca="1" si="258"/>
        <v>0</v>
      </c>
      <c r="H1321">
        <f t="shared" ca="1" si="259"/>
        <v>0</v>
      </c>
      <c r="I1321">
        <f t="shared" ca="1" si="260"/>
        <v>0</v>
      </c>
      <c r="J1321" s="8" t="e">
        <f t="shared" ca="1" si="261"/>
        <v>#DIV/0!</v>
      </c>
      <c r="K1321" s="9" t="e">
        <f t="shared" ca="1" si="262"/>
        <v>#DIV/0!</v>
      </c>
      <c r="L1321" t="e">
        <f ca="1">+_xlfn.IFNA(VLOOKUP(M1321,BespokeWindowsAreas!$A$1:$E$1999,1,FALSE),VLOOKUP(E1321,WindowTypeArea!$B$2:$C$2000,2,FALSE))</f>
        <v>#N/A</v>
      </c>
      <c r="M1321">
        <f t="shared" ca="1" si="263"/>
        <v>0</v>
      </c>
    </row>
    <row r="1322" spans="1:16" x14ac:dyDescent="0.25">
      <c r="A1322">
        <f t="shared" ca="1" si="254"/>
        <v>3</v>
      </c>
      <c r="B1322">
        <f t="shared" ca="1" si="255"/>
        <v>201</v>
      </c>
      <c r="C1322" t="str">
        <f t="shared" ca="1" si="264"/>
        <v>'WINDOWS-NCH-A-BDP-M3-01-00'!B200</v>
      </c>
      <c r="D1322" s="6" t="str">
        <f t="shared" ca="1" si="253"/>
        <v>L01-OPD-NEU-L027-03</v>
      </c>
      <c r="E1322" t="str">
        <f t="shared" ca="1" si="256"/>
        <v>Family Type: 1500w x 3050h, Family: Window External Type 3 - Recessed and Angle</v>
      </c>
      <c r="F1322" t="str">
        <f t="shared" ca="1" si="257"/>
        <v>Vector(X = -0.212, Y = 0.977, Z = 0.000, Length = 1.000)</v>
      </c>
      <c r="G1322">
        <f t="shared" ca="1" si="258"/>
        <v>-0.2</v>
      </c>
      <c r="H1322">
        <f t="shared" ca="1" si="259"/>
        <v>1</v>
      </c>
      <c r="I1322">
        <f t="shared" ca="1" si="260"/>
        <v>0</v>
      </c>
      <c r="J1322" s="8">
        <f t="shared" ca="1" si="261"/>
        <v>101.3099324740202</v>
      </c>
      <c r="K1322" s="9" t="str">
        <f t="shared" ca="1" si="262"/>
        <v>N</v>
      </c>
      <c r="L1322">
        <f ca="1">+_xlfn.IFNA(VLOOKUP(M1322,BespokeWindowsAreas!$A$1:$E$1999,1,FALSE),VLOOKUP(E1322,WindowTypeArea!$B$2:$C$2000,2,FALSE))</f>
        <v>4.5750000000000002</v>
      </c>
      <c r="M1322">
        <f t="shared" ca="1" si="263"/>
        <v>4821092</v>
      </c>
    </row>
    <row r="1323" spans="1:16" x14ac:dyDescent="0.25">
      <c r="A1323">
        <f t="shared" ca="1" si="254"/>
        <v>3</v>
      </c>
      <c r="B1323">
        <f t="shared" ca="1" si="255"/>
        <v>202</v>
      </c>
      <c r="C1323" t="str">
        <f t="shared" ref="C1323:C1386" ca="1" si="265">+"'"&amp;INDIRECT("a"&amp;A1322)&amp;"'!B"&amp;B1322</f>
        <v>'WINDOWS-NCH-A-BDP-M3-01-00'!B201</v>
      </c>
      <c r="D1323" s="6" t="str">
        <f t="shared" ref="D1323:D1386" ca="1" si="266">+IF(IFERROR(FIND("Family",E1323)&gt;0,FALSE),D1322,E1323)</f>
        <v>L01-OPD-NEU-L027-04</v>
      </c>
      <c r="E1323" t="str">
        <f t="shared" ref="E1323:E1386" ca="1" si="267">+OFFSET(INDIRECT(C1323),0,0)</f>
        <v>L01-OPD-NEU-L027-04</v>
      </c>
      <c r="F1323">
        <f t="shared" ref="F1323:F1386" ca="1" si="268">+OFFSET(INDIRECT(C1323),0,1)</f>
        <v>1512603</v>
      </c>
      <c r="G1323">
        <f t="shared" ca="1" si="258"/>
        <v>0</v>
      </c>
      <c r="H1323">
        <f t="shared" ca="1" si="259"/>
        <v>0</v>
      </c>
      <c r="I1323">
        <f t="shared" ca="1" si="260"/>
        <v>0</v>
      </c>
      <c r="J1323" s="8" t="e">
        <f t="shared" ca="1" si="261"/>
        <v>#DIV/0!</v>
      </c>
      <c r="K1323" s="9" t="e">
        <f t="shared" ca="1" si="262"/>
        <v>#DIV/0!</v>
      </c>
      <c r="L1323" t="e">
        <f ca="1">+_xlfn.IFNA(VLOOKUP(M1323,BespokeWindowsAreas!$A$1:$E$1999,1,FALSE),VLOOKUP(E1323,WindowTypeArea!$B$2:$C$2000,2,FALSE))</f>
        <v>#N/A</v>
      </c>
      <c r="M1323">
        <f t="shared" ca="1" si="263"/>
        <v>0</v>
      </c>
      <c r="O1323" s="20"/>
      <c r="P1323" s="21"/>
    </row>
    <row r="1324" spans="1:16" x14ac:dyDescent="0.25">
      <c r="A1324">
        <f t="shared" ca="1" si="254"/>
        <v>3</v>
      </c>
      <c r="B1324">
        <f t="shared" ca="1" si="255"/>
        <v>203</v>
      </c>
      <c r="C1324" t="str">
        <f t="shared" ca="1" si="265"/>
        <v>'WINDOWS-NCH-A-BDP-M3-01-00'!B202</v>
      </c>
      <c r="D1324" s="6" t="str">
        <f t="shared" ca="1" si="266"/>
        <v>L01-OPD-NEU-L027-04</v>
      </c>
      <c r="E1324" t="str">
        <f t="shared" ca="1" si="267"/>
        <v>Family Type: 1000w x 3050h, Family: Window External Type 2 - Recessed and Fin</v>
      </c>
      <c r="F1324" t="str">
        <f t="shared" ca="1" si="268"/>
        <v>Vector(X = -0.212, Y = 0.977, Z = 0.000, Length = 1.000)</v>
      </c>
      <c r="G1324">
        <f t="shared" ca="1" si="258"/>
        <v>-0.2</v>
      </c>
      <c r="H1324">
        <f t="shared" ca="1" si="259"/>
        <v>1</v>
      </c>
      <c r="I1324">
        <f t="shared" ca="1" si="260"/>
        <v>0</v>
      </c>
      <c r="J1324" s="8">
        <f t="shared" ca="1" si="261"/>
        <v>101.3099324740202</v>
      </c>
      <c r="K1324" s="9" t="str">
        <f t="shared" ca="1" si="262"/>
        <v>N</v>
      </c>
      <c r="L1324">
        <f ca="1">+_xlfn.IFNA(VLOOKUP(M1324,BespokeWindowsAreas!$A$1:$E$1999,1,FALSE),VLOOKUP(E1324,WindowTypeArea!$B$2:$C$2000,2,FALSE))</f>
        <v>3.05</v>
      </c>
      <c r="M1324">
        <f t="shared" ca="1" si="263"/>
        <v>4821156</v>
      </c>
      <c r="O1324" s="20"/>
      <c r="P1324" s="21"/>
    </row>
    <row r="1325" spans="1:16" x14ac:dyDescent="0.25">
      <c r="A1325">
        <f t="shared" ca="1" si="254"/>
        <v>3</v>
      </c>
      <c r="B1325">
        <f t="shared" ca="1" si="255"/>
        <v>204</v>
      </c>
      <c r="C1325" t="str">
        <f t="shared" ca="1" si="265"/>
        <v>'WINDOWS-NCH-A-BDP-M3-01-00'!B203</v>
      </c>
      <c r="D1325" s="6" t="str">
        <f t="shared" ca="1" si="266"/>
        <v>L01-OPD-NEU-L027-05</v>
      </c>
      <c r="E1325" t="str">
        <f t="shared" ca="1" si="267"/>
        <v>L01-OPD-NEU-L027-05</v>
      </c>
      <c r="F1325">
        <f t="shared" ca="1" si="268"/>
        <v>1512604</v>
      </c>
      <c r="G1325">
        <f t="shared" ca="1" si="258"/>
        <v>0</v>
      </c>
      <c r="H1325">
        <f t="shared" ca="1" si="259"/>
        <v>0</v>
      </c>
      <c r="I1325">
        <f t="shared" ca="1" si="260"/>
        <v>0</v>
      </c>
      <c r="J1325" s="8" t="e">
        <f t="shared" ca="1" si="261"/>
        <v>#DIV/0!</v>
      </c>
      <c r="K1325" s="9" t="e">
        <f t="shared" ca="1" si="262"/>
        <v>#DIV/0!</v>
      </c>
      <c r="L1325" t="e">
        <f ca="1">+_xlfn.IFNA(VLOOKUP(M1325,BespokeWindowsAreas!$A$1:$E$1999,1,FALSE),VLOOKUP(E1325,WindowTypeArea!$B$2:$C$2000,2,FALSE))</f>
        <v>#N/A</v>
      </c>
      <c r="M1325">
        <f t="shared" ca="1" si="263"/>
        <v>0</v>
      </c>
    </row>
    <row r="1326" spans="1:16" x14ac:dyDescent="0.25">
      <c r="A1326">
        <f t="shared" ca="1" si="254"/>
        <v>3</v>
      </c>
      <c r="B1326">
        <f t="shared" ca="1" si="255"/>
        <v>205</v>
      </c>
      <c r="C1326" t="str">
        <f t="shared" ca="1" si="265"/>
        <v>'WINDOWS-NCH-A-BDP-M3-01-00'!B204</v>
      </c>
      <c r="D1326" s="6" t="str">
        <f t="shared" ca="1" si="266"/>
        <v>L01-OPD-NEU-L027-05</v>
      </c>
      <c r="E1326" t="str">
        <f t="shared" ca="1" si="267"/>
        <v>Family Type: 1000w x 3050h, Family: Window External Type 2 - Recessed and Fin</v>
      </c>
      <c r="F1326" t="str">
        <f t="shared" ca="1" si="268"/>
        <v>Vector(X = -0.212, Y = 0.977, Z = 0.000, Length = 1.000)</v>
      </c>
      <c r="G1326">
        <f t="shared" ca="1" si="258"/>
        <v>-0.2</v>
      </c>
      <c r="H1326">
        <f t="shared" ca="1" si="259"/>
        <v>1</v>
      </c>
      <c r="I1326">
        <f t="shared" ca="1" si="260"/>
        <v>0</v>
      </c>
      <c r="J1326" s="8">
        <f t="shared" ca="1" si="261"/>
        <v>101.3099324740202</v>
      </c>
      <c r="K1326" s="9" t="str">
        <f t="shared" ca="1" si="262"/>
        <v>N</v>
      </c>
      <c r="L1326">
        <f ca="1">+_xlfn.IFNA(VLOOKUP(M1326,BespokeWindowsAreas!$A$1:$E$1999,1,FALSE),VLOOKUP(E1326,WindowTypeArea!$B$2:$C$2000,2,FALSE))</f>
        <v>3.05</v>
      </c>
      <c r="M1326">
        <f t="shared" ca="1" si="263"/>
        <v>4821193</v>
      </c>
    </row>
    <row r="1327" spans="1:16" x14ac:dyDescent="0.25">
      <c r="A1327">
        <f t="shared" ca="1" si="254"/>
        <v>3</v>
      </c>
      <c r="B1327">
        <f t="shared" ca="1" si="255"/>
        <v>206</v>
      </c>
      <c r="C1327" t="str">
        <f t="shared" ca="1" si="265"/>
        <v>'WINDOWS-NCH-A-BDP-M3-01-00'!B205</v>
      </c>
      <c r="D1327" s="6" t="str">
        <f t="shared" ca="1" si="266"/>
        <v>L01-OPD-NEU-L027-06</v>
      </c>
      <c r="E1327" t="str">
        <f t="shared" ca="1" si="267"/>
        <v>L01-OPD-NEU-L027-06</v>
      </c>
      <c r="F1327">
        <f t="shared" ca="1" si="268"/>
        <v>1512605</v>
      </c>
      <c r="G1327">
        <f t="shared" ca="1" si="258"/>
        <v>0</v>
      </c>
      <c r="H1327">
        <f t="shared" ca="1" si="259"/>
        <v>0</v>
      </c>
      <c r="I1327">
        <f t="shared" ca="1" si="260"/>
        <v>0</v>
      </c>
      <c r="J1327" s="8" t="e">
        <f t="shared" ca="1" si="261"/>
        <v>#DIV/0!</v>
      </c>
      <c r="K1327" s="9" t="e">
        <f t="shared" ca="1" si="262"/>
        <v>#DIV/0!</v>
      </c>
      <c r="L1327" t="e">
        <f ca="1">+_xlfn.IFNA(VLOOKUP(M1327,BespokeWindowsAreas!$A$1:$E$1999,1,FALSE),VLOOKUP(E1327,WindowTypeArea!$B$2:$C$2000,2,FALSE))</f>
        <v>#N/A</v>
      </c>
      <c r="M1327">
        <f t="shared" ca="1" si="263"/>
        <v>0</v>
      </c>
    </row>
    <row r="1328" spans="1:16" x14ac:dyDescent="0.25">
      <c r="A1328">
        <f t="shared" ca="1" si="254"/>
        <v>3</v>
      </c>
      <c r="B1328">
        <f t="shared" ca="1" si="255"/>
        <v>207</v>
      </c>
      <c r="C1328" t="str">
        <f t="shared" ca="1" si="265"/>
        <v>'WINDOWS-NCH-A-BDP-M3-01-00'!B206</v>
      </c>
      <c r="D1328" s="6" t="str">
        <f t="shared" ca="1" si="266"/>
        <v>L01-OPD-NEU-L027-06</v>
      </c>
      <c r="E1328" t="str">
        <f t="shared" ca="1" si="267"/>
        <v>Family Type: 1950w x 3050h, Family: Window External Type 3 - Recessed and Angle</v>
      </c>
      <c r="F1328" t="str">
        <f t="shared" ca="1" si="268"/>
        <v>Vector(X = -0.212, Y = 0.977, Z = 0.000, Length = 1.000)</v>
      </c>
      <c r="G1328">
        <f t="shared" ca="1" si="258"/>
        <v>-0.2</v>
      </c>
      <c r="H1328">
        <f t="shared" ca="1" si="259"/>
        <v>1</v>
      </c>
      <c r="I1328">
        <f t="shared" ca="1" si="260"/>
        <v>0</v>
      </c>
      <c r="J1328" s="8">
        <f t="shared" ca="1" si="261"/>
        <v>101.3099324740202</v>
      </c>
      <c r="K1328" s="9" t="str">
        <f t="shared" ca="1" si="262"/>
        <v>N</v>
      </c>
      <c r="L1328">
        <f ca="1">+_xlfn.IFNA(VLOOKUP(M1328,BespokeWindowsAreas!$A$1:$E$1999,1,FALSE),VLOOKUP(E1328,WindowTypeArea!$B$2:$C$2000,2,FALSE))</f>
        <v>5.9474999999999998</v>
      </c>
      <c r="M1328">
        <f t="shared" ca="1" si="263"/>
        <v>4821644</v>
      </c>
    </row>
    <row r="1329" spans="1:13" x14ac:dyDescent="0.25">
      <c r="A1329">
        <f t="shared" ca="1" si="254"/>
        <v>3</v>
      </c>
      <c r="B1329">
        <f t="shared" ca="1" si="255"/>
        <v>208</v>
      </c>
      <c r="C1329" t="str">
        <f t="shared" ca="1" si="265"/>
        <v>'WINDOWS-NCH-A-BDP-M3-01-00'!B207</v>
      </c>
      <c r="D1329" s="6" t="str">
        <f t="shared" ca="1" si="266"/>
        <v>L01-OPD-NEU-L028-02</v>
      </c>
      <c r="E1329" t="str">
        <f t="shared" ca="1" si="267"/>
        <v>L01-OPD-NEU-L028-02</v>
      </c>
      <c r="F1329">
        <f t="shared" ca="1" si="268"/>
        <v>1512607</v>
      </c>
      <c r="G1329">
        <f t="shared" ca="1" si="258"/>
        <v>0</v>
      </c>
      <c r="H1329">
        <f t="shared" ca="1" si="259"/>
        <v>0</v>
      </c>
      <c r="I1329">
        <f t="shared" ca="1" si="260"/>
        <v>0</v>
      </c>
      <c r="J1329" s="8" t="e">
        <f t="shared" ca="1" si="261"/>
        <v>#DIV/0!</v>
      </c>
      <c r="K1329" s="9" t="e">
        <f t="shared" ca="1" si="262"/>
        <v>#DIV/0!</v>
      </c>
      <c r="L1329" t="e">
        <f ca="1">+_xlfn.IFNA(VLOOKUP(M1329,BespokeWindowsAreas!$A$1:$E$1999,1,FALSE),VLOOKUP(E1329,WindowTypeArea!$B$2:$C$2000,2,FALSE))</f>
        <v>#N/A</v>
      </c>
      <c r="M1329">
        <f t="shared" ca="1" si="263"/>
        <v>0</v>
      </c>
    </row>
    <row r="1330" spans="1:13" x14ac:dyDescent="0.25">
      <c r="A1330">
        <f t="shared" ca="1" si="254"/>
        <v>3</v>
      </c>
      <c r="B1330">
        <f t="shared" ca="1" si="255"/>
        <v>209</v>
      </c>
      <c r="C1330" t="str">
        <f t="shared" ca="1" si="265"/>
        <v>'WINDOWS-NCH-A-BDP-M3-01-00'!B208</v>
      </c>
      <c r="D1330" s="6" t="str">
        <f t="shared" ca="1" si="266"/>
        <v>L01-OPD-NEU-L028-02</v>
      </c>
      <c r="E1330" t="str">
        <f t="shared" ca="1" si="267"/>
        <v>Family Type: 975w x 3050h, Family: Window External Type 1 - Recessed</v>
      </c>
      <c r="F1330" t="str">
        <f t="shared" ca="1" si="268"/>
        <v>Vector(X = 0.212, Y = -0.977, Z = 0.000, Length = 1.000)</v>
      </c>
      <c r="G1330">
        <f t="shared" ca="1" si="258"/>
        <v>0.2</v>
      </c>
      <c r="H1330">
        <f t="shared" ca="1" si="259"/>
        <v>-1</v>
      </c>
      <c r="I1330">
        <f t="shared" ca="1" si="260"/>
        <v>0</v>
      </c>
      <c r="J1330" s="8">
        <f t="shared" ca="1" si="261"/>
        <v>-78.690067525979785</v>
      </c>
      <c r="K1330" s="9" t="str">
        <f t="shared" ca="1" si="262"/>
        <v>S</v>
      </c>
      <c r="L1330">
        <f ca="1">+_xlfn.IFNA(VLOOKUP(M1330,BespokeWindowsAreas!$A$1:$E$1999,1,FALSE),VLOOKUP(E1330,WindowTypeArea!$B$2:$C$2000,2,FALSE))</f>
        <v>2.9737499999999999</v>
      </c>
      <c r="M1330">
        <f t="shared" ca="1" si="263"/>
        <v>5010479</v>
      </c>
    </row>
    <row r="1331" spans="1:13" x14ac:dyDescent="0.25">
      <c r="A1331">
        <f t="shared" ca="1" si="254"/>
        <v>3</v>
      </c>
      <c r="B1331">
        <f t="shared" ca="1" si="255"/>
        <v>210</v>
      </c>
      <c r="C1331" t="str">
        <f t="shared" ca="1" si="265"/>
        <v>'WINDOWS-NCH-A-BDP-M3-01-00'!B209</v>
      </c>
      <c r="D1331" s="6" t="str">
        <f t="shared" ca="1" si="266"/>
        <v>L01-OPD-CIR-C001-04</v>
      </c>
      <c r="E1331" t="str">
        <f t="shared" ca="1" si="267"/>
        <v>L01-OPD-CIR-C001-04</v>
      </c>
      <c r="F1331">
        <f t="shared" ca="1" si="268"/>
        <v>1605284</v>
      </c>
      <c r="G1331">
        <f t="shared" ca="1" si="258"/>
        <v>0</v>
      </c>
      <c r="H1331">
        <f t="shared" ca="1" si="259"/>
        <v>0</v>
      </c>
      <c r="I1331">
        <f t="shared" ca="1" si="260"/>
        <v>0</v>
      </c>
      <c r="J1331" s="8" t="e">
        <f t="shared" ca="1" si="261"/>
        <v>#DIV/0!</v>
      </c>
      <c r="K1331" s="9" t="e">
        <f t="shared" ca="1" si="262"/>
        <v>#DIV/0!</v>
      </c>
      <c r="L1331" t="e">
        <f ca="1">+_xlfn.IFNA(VLOOKUP(M1331,BespokeWindowsAreas!$A$1:$E$1999,1,FALSE),VLOOKUP(E1331,WindowTypeArea!$B$2:$C$2000,2,FALSE))</f>
        <v>#N/A</v>
      </c>
      <c r="M1331">
        <f t="shared" ca="1" si="263"/>
        <v>0</v>
      </c>
    </row>
    <row r="1332" spans="1:13" x14ac:dyDescent="0.25">
      <c r="A1332">
        <f t="shared" ca="1" si="254"/>
        <v>3</v>
      </c>
      <c r="B1332">
        <f t="shared" ca="1" si="255"/>
        <v>211</v>
      </c>
      <c r="C1332" t="str">
        <f t="shared" ca="1" si="265"/>
        <v>'WINDOWS-NCH-A-BDP-M3-01-00'!B210</v>
      </c>
      <c r="D1332" s="6" t="str">
        <f t="shared" ca="1" si="266"/>
        <v>none - connected to atrium</v>
      </c>
      <c r="E1332" t="str">
        <f t="shared" ca="1" si="267"/>
        <v>none - connected to atrium</v>
      </c>
      <c r="F1332" t="str">
        <f t="shared" ca="1" si="268"/>
        <v>Vector(X = 0.941, Y = 0.339, Z = 0.000, Length = 1.000)</v>
      </c>
      <c r="G1332">
        <f t="shared" ca="1" si="258"/>
        <v>0.9</v>
      </c>
      <c r="H1332">
        <f t="shared" ca="1" si="259"/>
        <v>0.3</v>
      </c>
      <c r="I1332">
        <f t="shared" ca="1" si="260"/>
        <v>0</v>
      </c>
      <c r="J1332" s="8">
        <f t="shared" ca="1" si="261"/>
        <v>18.43494882292201</v>
      </c>
      <c r="K1332" s="9" t="str">
        <f t="shared" ca="1" si="262"/>
        <v>E</v>
      </c>
      <c r="L1332" t="e">
        <f ca="1">+_xlfn.IFNA(VLOOKUP(M1332,BespokeWindowsAreas!$A$1:$E$1999,1,FALSE),VLOOKUP(E1332,WindowTypeArea!$B$2:$C$2000,2,FALSE))</f>
        <v>#N/A</v>
      </c>
      <c r="M1332">
        <f t="shared" ca="1" si="263"/>
        <v>5183261</v>
      </c>
    </row>
    <row r="1333" spans="1:13" x14ac:dyDescent="0.25">
      <c r="A1333">
        <f t="shared" ca="1" si="254"/>
        <v>3</v>
      </c>
      <c r="B1333">
        <f t="shared" ca="1" si="255"/>
        <v>212</v>
      </c>
      <c r="C1333" t="str">
        <f t="shared" ca="1" si="265"/>
        <v>'WINDOWS-NCH-A-BDP-M3-01-00'!B211</v>
      </c>
      <c r="D1333" s="6" t="str">
        <f t="shared" ca="1" si="266"/>
        <v>none - connected to atrium</v>
      </c>
      <c r="E1333" t="str">
        <f t="shared" ca="1" si="267"/>
        <v>none - connected to atrium</v>
      </c>
      <c r="F1333" t="str">
        <f t="shared" ca="1" si="268"/>
        <v>Vector(X = 0.931, Y = 0.364, Z = 0.000, Length = 1.000)</v>
      </c>
      <c r="G1333">
        <f t="shared" ca="1" si="258"/>
        <v>0.9</v>
      </c>
      <c r="H1333">
        <f t="shared" ca="1" si="259"/>
        <v>0.4</v>
      </c>
      <c r="I1333">
        <f t="shared" ca="1" si="260"/>
        <v>0</v>
      </c>
      <c r="J1333" s="8">
        <f t="shared" ca="1" si="261"/>
        <v>23.962488974578186</v>
      </c>
      <c r="K1333" s="9" t="str">
        <f t="shared" ca="1" si="262"/>
        <v>E</v>
      </c>
      <c r="L1333" t="e">
        <f ca="1">+_xlfn.IFNA(VLOOKUP(M1333,BespokeWindowsAreas!$A$1:$E$1999,1,FALSE),VLOOKUP(E1333,WindowTypeArea!$B$2:$C$2000,2,FALSE))</f>
        <v>#N/A</v>
      </c>
      <c r="M1333">
        <f t="shared" ca="1" si="263"/>
        <v>6552670</v>
      </c>
    </row>
    <row r="1334" spans="1:13" x14ac:dyDescent="0.25">
      <c r="A1334">
        <f t="shared" ca="1" si="254"/>
        <v>3</v>
      </c>
      <c r="B1334">
        <f t="shared" ca="1" si="255"/>
        <v>213</v>
      </c>
      <c r="C1334" t="str">
        <f t="shared" ca="1" si="265"/>
        <v>'WINDOWS-NCH-A-BDP-M3-01-00'!B212</v>
      </c>
      <c r="D1334" s="6" t="str">
        <f t="shared" ca="1" si="266"/>
        <v>none - connected to atrium</v>
      </c>
      <c r="E1334" t="str">
        <f t="shared" ca="1" si="267"/>
        <v>none - connected to atrium</v>
      </c>
      <c r="F1334" t="str">
        <f t="shared" ca="1" si="268"/>
        <v>Vector(X = 0.947, Y = 0.321, Z = 0.000, Length = 1.000)</v>
      </c>
      <c r="G1334">
        <f t="shared" ca="1" si="258"/>
        <v>0.9</v>
      </c>
      <c r="H1334">
        <f t="shared" ca="1" si="259"/>
        <v>0.3</v>
      </c>
      <c r="I1334">
        <f t="shared" ca="1" si="260"/>
        <v>0</v>
      </c>
      <c r="J1334" s="8">
        <f t="shared" ca="1" si="261"/>
        <v>18.43494882292201</v>
      </c>
      <c r="K1334" s="9" t="str">
        <f t="shared" ca="1" si="262"/>
        <v>E</v>
      </c>
      <c r="L1334" t="e">
        <f ca="1">+_xlfn.IFNA(VLOOKUP(M1334,BespokeWindowsAreas!$A$1:$E$1999,1,FALSE),VLOOKUP(E1334,WindowTypeArea!$B$2:$C$2000,2,FALSE))</f>
        <v>#N/A</v>
      </c>
      <c r="M1334">
        <f t="shared" ca="1" si="263"/>
        <v>6552671</v>
      </c>
    </row>
    <row r="1335" spans="1:13" x14ac:dyDescent="0.25">
      <c r="A1335">
        <f t="shared" ca="1" si="254"/>
        <v>3</v>
      </c>
      <c r="B1335">
        <f t="shared" ca="1" si="255"/>
        <v>214</v>
      </c>
      <c r="C1335" t="str">
        <f t="shared" ca="1" si="265"/>
        <v>'WINDOWS-NCH-A-BDP-M3-01-00'!B213</v>
      </c>
      <c r="D1335" s="6" t="str">
        <f t="shared" ca="1" si="266"/>
        <v>L01-OPD-DC2-U1368-01</v>
      </c>
      <c r="E1335" t="str">
        <f t="shared" ca="1" si="267"/>
        <v>L01-OPD-DC2-U1368-01</v>
      </c>
      <c r="F1335">
        <f t="shared" ca="1" si="268"/>
        <v>1605302</v>
      </c>
      <c r="G1335">
        <f t="shared" ca="1" si="258"/>
        <v>0</v>
      </c>
      <c r="H1335">
        <f t="shared" ca="1" si="259"/>
        <v>0</v>
      </c>
      <c r="I1335">
        <f t="shared" ca="1" si="260"/>
        <v>0</v>
      </c>
      <c r="J1335" s="8" t="e">
        <f t="shared" ca="1" si="261"/>
        <v>#DIV/0!</v>
      </c>
      <c r="K1335" s="9" t="e">
        <f t="shared" ca="1" si="262"/>
        <v>#DIV/0!</v>
      </c>
      <c r="L1335" t="e">
        <f ca="1">+_xlfn.IFNA(VLOOKUP(M1335,BespokeWindowsAreas!$A$1:$E$1999,1,FALSE),VLOOKUP(E1335,WindowTypeArea!$B$2:$C$2000,2,FALSE))</f>
        <v>#N/A</v>
      </c>
      <c r="M1335">
        <f t="shared" ca="1" si="263"/>
        <v>0</v>
      </c>
    </row>
    <row r="1336" spans="1:13" x14ac:dyDescent="0.25">
      <c r="A1336">
        <f t="shared" ca="1" si="254"/>
        <v>3</v>
      </c>
      <c r="B1336">
        <f t="shared" ca="1" si="255"/>
        <v>215</v>
      </c>
      <c r="C1336" t="str">
        <f t="shared" ca="1" si="265"/>
        <v>'WINDOWS-NCH-A-BDP-M3-01-00'!B214</v>
      </c>
      <c r="D1336" s="6" t="str">
        <f t="shared" ca="1" si="266"/>
        <v>L01-OPD-DC2-U1368-01</v>
      </c>
      <c r="E1336" t="str">
        <f t="shared" ca="1" si="267"/>
        <v>Family Type: 1500w x 3050h, Family: Window External Type 3 - Recessed and Angle</v>
      </c>
      <c r="F1336" t="str">
        <f t="shared" ca="1" si="268"/>
        <v>Vector(X = 0.530, Y = -0.848, Z = 0.000, Length = 1.000)</v>
      </c>
      <c r="G1336">
        <f t="shared" ca="1" si="258"/>
        <v>0.5</v>
      </c>
      <c r="H1336">
        <f t="shared" ca="1" si="259"/>
        <v>-0.8</v>
      </c>
      <c r="I1336">
        <f t="shared" ca="1" si="260"/>
        <v>0</v>
      </c>
      <c r="J1336" s="8">
        <f t="shared" ca="1" si="261"/>
        <v>-57.994616791916499</v>
      </c>
      <c r="K1336" s="9" t="str">
        <f t="shared" ca="1" si="262"/>
        <v>S</v>
      </c>
      <c r="L1336">
        <f ca="1">+_xlfn.IFNA(VLOOKUP(M1336,BespokeWindowsAreas!$A$1:$E$1999,1,FALSE),VLOOKUP(E1336,WindowTypeArea!$B$2:$C$2000,2,FALSE))</f>
        <v>4.5750000000000002</v>
      </c>
      <c r="M1336">
        <f t="shared" ca="1" si="263"/>
        <v>4718200</v>
      </c>
    </row>
    <row r="1337" spans="1:13" x14ac:dyDescent="0.25">
      <c r="A1337">
        <f t="shared" ca="1" si="254"/>
        <v>3</v>
      </c>
      <c r="B1337">
        <f t="shared" ca="1" si="255"/>
        <v>216</v>
      </c>
      <c r="C1337" t="str">
        <f t="shared" ca="1" si="265"/>
        <v>'WINDOWS-NCH-A-BDP-M3-01-00'!B215</v>
      </c>
      <c r="D1337" s="6" t="str">
        <f t="shared" ca="1" si="266"/>
        <v>L01-OPD-DC2-U1368-01</v>
      </c>
      <c r="E1337" t="str">
        <f t="shared" ca="1" si="267"/>
        <v>Family Type: 1000w x 3050h, Family: Window External Type 2 - Recessed and Fin</v>
      </c>
      <c r="F1337" t="str">
        <f t="shared" ca="1" si="268"/>
        <v>Vector(X = -0.530, Y = 0.848, Z = 0.000, Length = 1.000)</v>
      </c>
      <c r="G1337">
        <f t="shared" ca="1" si="258"/>
        <v>-0.5</v>
      </c>
      <c r="H1337">
        <f t="shared" ca="1" si="259"/>
        <v>0.8</v>
      </c>
      <c r="I1337">
        <f t="shared" ca="1" si="260"/>
        <v>0</v>
      </c>
      <c r="J1337" s="8">
        <f t="shared" ca="1" si="261"/>
        <v>122.0053832080835</v>
      </c>
      <c r="K1337" s="9" t="str">
        <f t="shared" ca="1" si="262"/>
        <v>N</v>
      </c>
      <c r="L1337">
        <f ca="1">+_xlfn.IFNA(VLOOKUP(M1337,BespokeWindowsAreas!$A$1:$E$1999,1,FALSE),VLOOKUP(E1337,WindowTypeArea!$B$2:$C$2000,2,FALSE))</f>
        <v>3.05</v>
      </c>
      <c r="M1337">
        <f t="shared" ca="1" si="263"/>
        <v>6091411</v>
      </c>
    </row>
    <row r="1338" spans="1:13" x14ac:dyDescent="0.25">
      <c r="A1338">
        <f t="shared" ca="1" si="254"/>
        <v>3</v>
      </c>
      <c r="B1338">
        <f t="shared" ca="1" si="255"/>
        <v>217</v>
      </c>
      <c r="C1338" t="str">
        <f t="shared" ca="1" si="265"/>
        <v>'WINDOWS-NCH-A-BDP-M3-01-00'!B216</v>
      </c>
      <c r="D1338" s="6" t="str">
        <f t="shared" ca="1" si="266"/>
        <v>L01-CAR-CIR-C001-07</v>
      </c>
      <c r="E1338" t="str">
        <f t="shared" ca="1" si="267"/>
        <v>L01-CAR-CIR-C001-07</v>
      </c>
      <c r="F1338">
        <f t="shared" ca="1" si="268"/>
        <v>1605759</v>
      </c>
      <c r="G1338">
        <f t="shared" ca="1" si="258"/>
        <v>0</v>
      </c>
      <c r="H1338">
        <f t="shared" ca="1" si="259"/>
        <v>0</v>
      </c>
      <c r="I1338">
        <f t="shared" ca="1" si="260"/>
        <v>0</v>
      </c>
      <c r="J1338" s="8" t="e">
        <f t="shared" ca="1" si="261"/>
        <v>#DIV/0!</v>
      </c>
      <c r="K1338" s="9" t="e">
        <f t="shared" ca="1" si="262"/>
        <v>#DIV/0!</v>
      </c>
      <c r="L1338" t="e">
        <f ca="1">+_xlfn.IFNA(VLOOKUP(M1338,BespokeWindowsAreas!$A$1:$E$1999,1,FALSE),VLOOKUP(E1338,WindowTypeArea!$B$2:$C$2000,2,FALSE))</f>
        <v>#N/A</v>
      </c>
      <c r="M1338">
        <f t="shared" ca="1" si="263"/>
        <v>0</v>
      </c>
    </row>
    <row r="1339" spans="1:13" x14ac:dyDescent="0.25">
      <c r="A1339">
        <f t="shared" ca="1" si="254"/>
        <v>3</v>
      </c>
      <c r="B1339">
        <f t="shared" ca="1" si="255"/>
        <v>218</v>
      </c>
      <c r="C1339" t="str">
        <f t="shared" ca="1" si="265"/>
        <v>'WINDOWS-NCH-A-BDP-M3-01-00'!B217</v>
      </c>
      <c r="D1339" s="6" t="str">
        <f t="shared" ca="1" si="266"/>
        <v>L01-CAR-CIR-C001-07</v>
      </c>
      <c r="E1339" t="str">
        <f t="shared" ca="1" si="267"/>
        <v>Family Type: 3490w x 3050h, Family: Window External Type 3 - Recessed and Angle with Type 1 Flush</v>
      </c>
      <c r="F1339" t="str">
        <f t="shared" ca="1" si="268"/>
        <v>Vector(X = 0.323, Y = -0.946, Z = 0.000, Length = 1.000)</v>
      </c>
      <c r="G1339">
        <f t="shared" ca="1" si="258"/>
        <v>0.3</v>
      </c>
      <c r="H1339">
        <f t="shared" ca="1" si="259"/>
        <v>-0.9</v>
      </c>
      <c r="I1339">
        <f t="shared" ca="1" si="260"/>
        <v>0</v>
      </c>
      <c r="J1339" s="8">
        <f t="shared" ca="1" si="261"/>
        <v>-71.56505117707799</v>
      </c>
      <c r="K1339" s="9" t="str">
        <f t="shared" ca="1" si="262"/>
        <v>S</v>
      </c>
      <c r="L1339">
        <f ca="1">+_xlfn.IFNA(VLOOKUP(M1339,BespokeWindowsAreas!$A$1:$E$1999,1,FALSE),VLOOKUP(E1339,WindowTypeArea!$B$2:$C$2000,2,FALSE))</f>
        <v>7.67075</v>
      </c>
      <c r="M1339">
        <f t="shared" ca="1" si="263"/>
        <v>7057404</v>
      </c>
    </row>
    <row r="1340" spans="1:13" x14ac:dyDescent="0.25">
      <c r="A1340">
        <f t="shared" ca="1" si="254"/>
        <v>3</v>
      </c>
      <c r="B1340">
        <f t="shared" ca="1" si="255"/>
        <v>219</v>
      </c>
      <c r="C1340" t="str">
        <f t="shared" ca="1" si="265"/>
        <v>'WINDOWS-NCH-A-BDP-M3-01-00'!B218</v>
      </c>
      <c r="D1340" s="6" t="str">
        <f t="shared" ca="1" si="266"/>
        <v>L01-CIR-CIR-C008-04</v>
      </c>
      <c r="E1340" t="str">
        <f t="shared" ca="1" si="267"/>
        <v>L01-CIR-CIR-C008-04</v>
      </c>
      <c r="F1340">
        <f t="shared" ca="1" si="268"/>
        <v>1605937</v>
      </c>
      <c r="G1340">
        <f t="shared" ca="1" si="258"/>
        <v>0</v>
      </c>
      <c r="H1340">
        <f t="shared" ca="1" si="259"/>
        <v>0</v>
      </c>
      <c r="I1340">
        <f t="shared" ca="1" si="260"/>
        <v>0</v>
      </c>
      <c r="J1340" s="8" t="e">
        <f t="shared" ca="1" si="261"/>
        <v>#DIV/0!</v>
      </c>
      <c r="K1340" s="9" t="e">
        <f t="shared" ca="1" si="262"/>
        <v>#DIV/0!</v>
      </c>
      <c r="L1340" t="e">
        <f ca="1">+_xlfn.IFNA(VLOOKUP(M1340,BespokeWindowsAreas!$A$1:$E$1999,1,FALSE),VLOOKUP(E1340,WindowTypeArea!$B$2:$C$2000,2,FALSE))</f>
        <v>#N/A</v>
      </c>
      <c r="M1340">
        <f t="shared" ca="1" si="263"/>
        <v>0</v>
      </c>
    </row>
    <row r="1341" spans="1:13" x14ac:dyDescent="0.25">
      <c r="A1341">
        <f t="shared" ca="1" si="254"/>
        <v>3</v>
      </c>
      <c r="B1341">
        <f t="shared" ca="1" si="255"/>
        <v>220</v>
      </c>
      <c r="C1341" t="str">
        <f t="shared" ca="1" si="265"/>
        <v>'WINDOWS-NCH-A-BDP-M3-01-00'!B219</v>
      </c>
      <c r="D1341" s="6" t="str">
        <f t="shared" ca="1" si="266"/>
        <v>L01-CIR-CIR-C008-04</v>
      </c>
      <c r="E1341" t="str">
        <f t="shared" ca="1" si="267"/>
        <v>Family Type: 975w x 3050h, Family: Window External Type 1 - Recessed</v>
      </c>
      <c r="F1341" t="str">
        <f t="shared" ca="1" si="268"/>
        <v>Vector(X = 0.977, Y = 0.212, Z = 0.000, Length = 1.000)</v>
      </c>
      <c r="G1341">
        <f t="shared" ca="1" si="258"/>
        <v>1</v>
      </c>
      <c r="H1341">
        <f t="shared" ca="1" si="259"/>
        <v>0.2</v>
      </c>
      <c r="I1341">
        <f t="shared" ca="1" si="260"/>
        <v>0</v>
      </c>
      <c r="J1341" s="8">
        <f t="shared" ca="1" si="261"/>
        <v>11.309932474020215</v>
      </c>
      <c r="K1341" s="9" t="str">
        <f t="shared" ca="1" si="262"/>
        <v>E</v>
      </c>
      <c r="L1341">
        <f ca="1">+_xlfn.IFNA(VLOOKUP(M1341,BespokeWindowsAreas!$A$1:$E$1999,1,FALSE),VLOOKUP(E1341,WindowTypeArea!$B$2:$C$2000,2,FALSE))</f>
        <v>2.9737499999999999</v>
      </c>
      <c r="M1341">
        <f t="shared" ca="1" si="263"/>
        <v>3697573</v>
      </c>
    </row>
    <row r="1342" spans="1:13" x14ac:dyDescent="0.25">
      <c r="A1342">
        <f t="shared" ca="1" si="254"/>
        <v>3</v>
      </c>
      <c r="B1342">
        <f t="shared" ca="1" si="255"/>
        <v>221</v>
      </c>
      <c r="C1342" t="str">
        <f t="shared" ca="1" si="265"/>
        <v>'WINDOWS-NCH-A-BDP-M3-01-00'!B220</v>
      </c>
      <c r="D1342" s="6" t="str">
        <f t="shared" ca="1" si="266"/>
        <v>L01-CIR-CIR-C008-04</v>
      </c>
      <c r="E1342" t="str">
        <f t="shared" ca="1" si="267"/>
        <v>Family Type: 975w x 3600h, CURTAIN WALL-manual input</v>
      </c>
      <c r="F1342" t="str">
        <f t="shared" ca="1" si="268"/>
        <v>Vector(X = 0.130, Y = 0.991, Z = 0.000, Length = 1.000)</v>
      </c>
      <c r="G1342">
        <f t="shared" ca="1" si="258"/>
        <v>0.1</v>
      </c>
      <c r="H1342">
        <f t="shared" ca="1" si="259"/>
        <v>1</v>
      </c>
      <c r="I1342">
        <f t="shared" ca="1" si="260"/>
        <v>0</v>
      </c>
      <c r="J1342" s="8">
        <f t="shared" ca="1" si="261"/>
        <v>84.289406862500371</v>
      </c>
      <c r="K1342" s="9" t="str">
        <f t="shared" ca="1" si="262"/>
        <v>NE</v>
      </c>
      <c r="L1342">
        <f ca="1">+_xlfn.IFNA(VLOOKUP(M1342,BespokeWindowsAreas!$A$1:$E$1999,1,FALSE),VLOOKUP(E1342,WindowTypeArea!$B$2:$C$2000,2,FALSE))</f>
        <v>3.51</v>
      </c>
      <c r="M1342">
        <f t="shared" ca="1" si="263"/>
        <v>4931361</v>
      </c>
    </row>
    <row r="1343" spans="1:13" x14ac:dyDescent="0.25">
      <c r="A1343">
        <f t="shared" ca="1" si="254"/>
        <v>3</v>
      </c>
      <c r="B1343">
        <f t="shared" ca="1" si="255"/>
        <v>222</v>
      </c>
      <c r="C1343" t="str">
        <f t="shared" ca="1" si="265"/>
        <v>'WINDOWS-NCH-A-BDP-M3-01-00'!B221</v>
      </c>
      <c r="D1343" s="6" t="str">
        <f t="shared" ca="1" si="266"/>
        <v>L01-CIR-CIR-C008-03</v>
      </c>
      <c r="E1343" t="str">
        <f t="shared" ca="1" si="267"/>
        <v>L01-CIR-CIR-C008-03</v>
      </c>
      <c r="F1343">
        <f t="shared" ca="1" si="268"/>
        <v>1605940</v>
      </c>
      <c r="G1343">
        <f t="shared" ca="1" si="258"/>
        <v>0</v>
      </c>
      <c r="H1343">
        <f t="shared" ca="1" si="259"/>
        <v>0</v>
      </c>
      <c r="I1343">
        <f t="shared" ca="1" si="260"/>
        <v>0</v>
      </c>
      <c r="J1343" s="8" t="e">
        <f t="shared" ca="1" si="261"/>
        <v>#DIV/0!</v>
      </c>
      <c r="K1343" s="9" t="e">
        <f t="shared" ca="1" si="262"/>
        <v>#DIV/0!</v>
      </c>
      <c r="L1343" t="e">
        <f ca="1">+_xlfn.IFNA(VLOOKUP(M1343,BespokeWindowsAreas!$A$1:$E$1999,1,FALSE),VLOOKUP(E1343,WindowTypeArea!$B$2:$C$2000,2,FALSE))</f>
        <v>#N/A</v>
      </c>
      <c r="M1343">
        <f t="shared" ca="1" si="263"/>
        <v>0</v>
      </c>
    </row>
    <row r="1344" spans="1:13" x14ac:dyDescent="0.25">
      <c r="A1344">
        <f t="shared" ca="1" si="254"/>
        <v>3</v>
      </c>
      <c r="B1344">
        <f t="shared" ca="1" si="255"/>
        <v>223</v>
      </c>
      <c r="C1344" t="str">
        <f t="shared" ca="1" si="265"/>
        <v>'WINDOWS-NCH-A-BDP-M3-01-00'!B222</v>
      </c>
      <c r="D1344" s="6" t="str">
        <f t="shared" ca="1" si="266"/>
        <v>L01-CIR-CIR-C008-03</v>
      </c>
      <c r="E1344" t="str">
        <f t="shared" ca="1" si="267"/>
        <v>Family Type: 975w x 3050h, Family: Window External Type 1 - Recessed</v>
      </c>
      <c r="F1344" t="str">
        <f t="shared" ca="1" si="268"/>
        <v>Vector(X = -0.130, Y = -0.991, Z = 0.000, Length = 1.000)</v>
      </c>
      <c r="G1344">
        <f t="shared" ca="1" si="258"/>
        <v>-0.1</v>
      </c>
      <c r="H1344">
        <f t="shared" ca="1" si="259"/>
        <v>-1</v>
      </c>
      <c r="I1344">
        <f t="shared" ca="1" si="260"/>
        <v>0</v>
      </c>
      <c r="J1344" s="8">
        <f t="shared" ca="1" si="261"/>
        <v>-95.710593137499629</v>
      </c>
      <c r="K1344" s="9" t="str">
        <f t="shared" ca="1" si="262"/>
        <v>SW</v>
      </c>
      <c r="L1344">
        <f ca="1">+_xlfn.IFNA(VLOOKUP(M1344,BespokeWindowsAreas!$A$1:$E$1999,1,FALSE),VLOOKUP(E1344,WindowTypeArea!$B$2:$C$2000,2,FALSE))</f>
        <v>2.9737499999999999</v>
      </c>
      <c r="M1344">
        <f t="shared" ca="1" si="263"/>
        <v>4795722</v>
      </c>
    </row>
    <row r="1345" spans="1:13" x14ac:dyDescent="0.25">
      <c r="A1345">
        <f t="shared" ca="1" si="254"/>
        <v>3</v>
      </c>
      <c r="B1345">
        <f t="shared" ca="1" si="255"/>
        <v>224</v>
      </c>
      <c r="C1345" t="str">
        <f t="shared" ca="1" si="265"/>
        <v>'WINDOWS-NCH-A-BDP-M3-01-00'!B223</v>
      </c>
      <c r="D1345" s="6" t="str">
        <f t="shared" ca="1" si="266"/>
        <v>L01-CIR-CIR-C008-03</v>
      </c>
      <c r="E1345" t="str">
        <f t="shared" ca="1" si="267"/>
        <v>Family Type: 1000w x 3050h, Family: Window External Type 4 - Extruded</v>
      </c>
      <c r="F1345" t="str">
        <f t="shared" ca="1" si="268"/>
        <v>Vector(X = -0.130, Y = -0.991, Z = 0.000, Length = 1.000)</v>
      </c>
      <c r="G1345">
        <f t="shared" ca="1" si="258"/>
        <v>-0.1</v>
      </c>
      <c r="H1345">
        <f t="shared" ca="1" si="259"/>
        <v>-1</v>
      </c>
      <c r="I1345">
        <f t="shared" ca="1" si="260"/>
        <v>0</v>
      </c>
      <c r="J1345" s="8">
        <f t="shared" ca="1" si="261"/>
        <v>-95.710593137499629</v>
      </c>
      <c r="K1345" s="9" t="str">
        <f t="shared" ca="1" si="262"/>
        <v>SW</v>
      </c>
      <c r="L1345">
        <f ca="1">+_xlfn.IFNA(VLOOKUP(M1345,BespokeWindowsAreas!$A$1:$E$1999,1,FALSE),VLOOKUP(E1345,WindowTypeArea!$B$2:$C$2000,2,FALSE))</f>
        <v>3.05</v>
      </c>
      <c r="M1345">
        <f t="shared" ca="1" si="263"/>
        <v>4795793</v>
      </c>
    </row>
    <row r="1346" spans="1:13" x14ac:dyDescent="0.25">
      <c r="A1346">
        <f t="shared" ca="1" si="254"/>
        <v>3</v>
      </c>
      <c r="B1346">
        <f t="shared" ca="1" si="255"/>
        <v>225</v>
      </c>
      <c r="C1346" t="str">
        <f t="shared" ca="1" si="265"/>
        <v>'WINDOWS-NCH-A-BDP-M3-01-00'!B224</v>
      </c>
      <c r="D1346" s="6" t="str">
        <f t="shared" ca="1" si="266"/>
        <v>L01-CIR-CIR-C008-02</v>
      </c>
      <c r="E1346" t="str">
        <f t="shared" ca="1" si="267"/>
        <v>L01-CIR-CIR-C008-02</v>
      </c>
      <c r="F1346">
        <f t="shared" ca="1" si="268"/>
        <v>1605943</v>
      </c>
      <c r="G1346">
        <f t="shared" ca="1" si="258"/>
        <v>0</v>
      </c>
      <c r="H1346">
        <f t="shared" ca="1" si="259"/>
        <v>0</v>
      </c>
      <c r="I1346">
        <f t="shared" ca="1" si="260"/>
        <v>0</v>
      </c>
      <c r="J1346" s="8" t="e">
        <f t="shared" ca="1" si="261"/>
        <v>#DIV/0!</v>
      </c>
      <c r="K1346" s="9" t="e">
        <f t="shared" ca="1" si="262"/>
        <v>#DIV/0!</v>
      </c>
      <c r="L1346" t="e">
        <f ca="1">+_xlfn.IFNA(VLOOKUP(M1346,BespokeWindowsAreas!$A$1:$E$1999,1,FALSE),VLOOKUP(E1346,WindowTypeArea!$B$2:$C$2000,2,FALSE))</f>
        <v>#N/A</v>
      </c>
      <c r="M1346">
        <f t="shared" ca="1" si="263"/>
        <v>0</v>
      </c>
    </row>
    <row r="1347" spans="1:13" x14ac:dyDescent="0.25">
      <c r="A1347">
        <f t="shared" ca="1" si="254"/>
        <v>3</v>
      </c>
      <c r="B1347">
        <f t="shared" ca="1" si="255"/>
        <v>226</v>
      </c>
      <c r="C1347" t="str">
        <f t="shared" ca="1" si="265"/>
        <v>'WINDOWS-NCH-A-BDP-M3-01-00'!B225</v>
      </c>
      <c r="D1347" s="6" t="str">
        <f t="shared" ca="1" si="266"/>
        <v>L01-CIR-CIR-C008-02</v>
      </c>
      <c r="E1347" t="str">
        <f t="shared" ca="1" si="267"/>
        <v>Family Type: 1950w x 3050h, Family: Window External Type 3 - Recessed and Angle</v>
      </c>
      <c r="F1347" t="str">
        <f t="shared" ca="1" si="268"/>
        <v>Vector(X = -0.530, Y = 0.848, Z = 0.000, Length = 1.000)</v>
      </c>
      <c r="G1347">
        <f t="shared" ca="1" si="258"/>
        <v>-0.5</v>
      </c>
      <c r="H1347">
        <f t="shared" ca="1" si="259"/>
        <v>0.8</v>
      </c>
      <c r="I1347">
        <f t="shared" ca="1" si="260"/>
        <v>0</v>
      </c>
      <c r="J1347" s="8">
        <f t="shared" ca="1" si="261"/>
        <v>122.0053832080835</v>
      </c>
      <c r="K1347" s="9" t="str">
        <f t="shared" ca="1" si="262"/>
        <v>N</v>
      </c>
      <c r="L1347">
        <f ca="1">+_xlfn.IFNA(VLOOKUP(M1347,BespokeWindowsAreas!$A$1:$E$1999,1,FALSE),VLOOKUP(E1347,WindowTypeArea!$B$2:$C$2000,2,FALSE))</f>
        <v>5.9474999999999998</v>
      </c>
      <c r="M1347">
        <f t="shared" ca="1" si="263"/>
        <v>6091462</v>
      </c>
    </row>
    <row r="1348" spans="1:13" x14ac:dyDescent="0.25">
      <c r="A1348">
        <f t="shared" ca="1" si="254"/>
        <v>3</v>
      </c>
      <c r="B1348">
        <f t="shared" ca="1" si="255"/>
        <v>227</v>
      </c>
      <c r="C1348" t="str">
        <f t="shared" ca="1" si="265"/>
        <v>'WINDOWS-NCH-A-BDP-M3-01-00'!B226</v>
      </c>
      <c r="D1348" s="6" t="str">
        <f t="shared" ca="1" si="266"/>
        <v>L01-CIR-CIR-C008-02</v>
      </c>
      <c r="E1348" t="str">
        <f t="shared" ca="1" si="267"/>
        <v>Family Type: 975w x 3050h, Family: Window External Type 1 - Recessed</v>
      </c>
      <c r="F1348" t="str">
        <f t="shared" ca="1" si="268"/>
        <v>Vector(X = -0.530, Y = 0.848, Z = 0.000, Length = 1.000)</v>
      </c>
      <c r="G1348">
        <f t="shared" ca="1" si="258"/>
        <v>-0.5</v>
      </c>
      <c r="H1348">
        <f t="shared" ca="1" si="259"/>
        <v>0.8</v>
      </c>
      <c r="I1348">
        <f t="shared" ca="1" si="260"/>
        <v>0</v>
      </c>
      <c r="J1348" s="8">
        <f t="shared" ca="1" si="261"/>
        <v>122.0053832080835</v>
      </c>
      <c r="K1348" s="9" t="str">
        <f t="shared" ca="1" si="262"/>
        <v>N</v>
      </c>
      <c r="L1348">
        <f ca="1">+_xlfn.IFNA(VLOOKUP(M1348,BespokeWindowsAreas!$A$1:$E$1999,1,FALSE),VLOOKUP(E1348,WindowTypeArea!$B$2:$C$2000,2,FALSE))</f>
        <v>2.9737499999999999</v>
      </c>
      <c r="M1348">
        <f t="shared" ca="1" si="263"/>
        <v>6091465</v>
      </c>
    </row>
    <row r="1349" spans="1:13" x14ac:dyDescent="0.25">
      <c r="A1349">
        <f t="shared" ca="1" si="254"/>
        <v>3</v>
      </c>
      <c r="B1349">
        <f t="shared" ca="1" si="255"/>
        <v>228</v>
      </c>
      <c r="C1349" t="str">
        <f t="shared" ca="1" si="265"/>
        <v>'WINDOWS-NCH-A-BDP-M3-01-00'!B227</v>
      </c>
      <c r="D1349" s="6" t="str">
        <f t="shared" ca="1" si="266"/>
        <v>L01-CIR-CIR-C008-01</v>
      </c>
      <c r="E1349" t="str">
        <f t="shared" ca="1" si="267"/>
        <v>L01-CIR-CIR-C008-01</v>
      </c>
      <c r="F1349">
        <f t="shared" ca="1" si="268"/>
        <v>1605946</v>
      </c>
      <c r="G1349">
        <f t="shared" ca="1" si="258"/>
        <v>0</v>
      </c>
      <c r="H1349">
        <f t="shared" ca="1" si="259"/>
        <v>0</v>
      </c>
      <c r="I1349">
        <f t="shared" ca="1" si="260"/>
        <v>0</v>
      </c>
      <c r="J1349" s="8" t="e">
        <f t="shared" ca="1" si="261"/>
        <v>#DIV/0!</v>
      </c>
      <c r="K1349" s="9" t="e">
        <f t="shared" ca="1" si="262"/>
        <v>#DIV/0!</v>
      </c>
      <c r="L1349" t="e">
        <f ca="1">+_xlfn.IFNA(VLOOKUP(M1349,BespokeWindowsAreas!$A$1:$E$1999,1,FALSE),VLOOKUP(E1349,WindowTypeArea!$B$2:$C$2000,2,FALSE))</f>
        <v>#N/A</v>
      </c>
      <c r="M1349">
        <f t="shared" ca="1" si="263"/>
        <v>0</v>
      </c>
    </row>
    <row r="1350" spans="1:13" x14ac:dyDescent="0.25">
      <c r="A1350">
        <f t="shared" ca="1" si="254"/>
        <v>3</v>
      </c>
      <c r="B1350">
        <f t="shared" ca="1" si="255"/>
        <v>229</v>
      </c>
      <c r="C1350" t="str">
        <f t="shared" ca="1" si="265"/>
        <v>'WINDOWS-NCH-A-BDP-M3-01-00'!B228</v>
      </c>
      <c r="D1350" s="6" t="str">
        <f t="shared" ca="1" si="266"/>
        <v>L01-CIR-CIR-C008-01</v>
      </c>
      <c r="E1350" t="str">
        <f t="shared" ca="1" si="267"/>
        <v>Family Type: 1000w x 3050h, Family: Window External Type 2 - Recessed and Fin</v>
      </c>
      <c r="F1350" t="str">
        <f t="shared" ca="1" si="268"/>
        <v>Vector(X = 0.212, Y = -0.977, Z = 0.000, Length = 1.000)</v>
      </c>
      <c r="G1350">
        <f t="shared" ca="1" si="258"/>
        <v>0.2</v>
      </c>
      <c r="H1350">
        <f t="shared" ca="1" si="259"/>
        <v>-1</v>
      </c>
      <c r="I1350">
        <f t="shared" ca="1" si="260"/>
        <v>0</v>
      </c>
      <c r="J1350" s="8">
        <f t="shared" ca="1" si="261"/>
        <v>-78.690067525979785</v>
      </c>
      <c r="K1350" s="9" t="str">
        <f t="shared" ca="1" si="262"/>
        <v>S</v>
      </c>
      <c r="L1350">
        <f ca="1">+_xlfn.IFNA(VLOOKUP(M1350,BespokeWindowsAreas!$A$1:$E$1999,1,FALSE),VLOOKUP(E1350,WindowTypeArea!$B$2:$C$2000,2,FALSE))</f>
        <v>3.05</v>
      </c>
      <c r="M1350">
        <f t="shared" ca="1" si="263"/>
        <v>4870679</v>
      </c>
    </row>
    <row r="1351" spans="1:13" x14ac:dyDescent="0.25">
      <c r="A1351">
        <f t="shared" ca="1" si="254"/>
        <v>3</v>
      </c>
      <c r="B1351">
        <f t="shared" ca="1" si="255"/>
        <v>230</v>
      </c>
      <c r="C1351" t="str">
        <f t="shared" ca="1" si="265"/>
        <v>'WINDOWS-NCH-A-BDP-M3-01-00'!B229</v>
      </c>
      <c r="D1351" s="6" t="str">
        <f t="shared" ca="1" si="266"/>
        <v>L01-CIR-CIR-C008-08</v>
      </c>
      <c r="E1351" t="str">
        <f t="shared" ca="1" si="267"/>
        <v>L01-CIR-CIR-C008-08</v>
      </c>
      <c r="F1351">
        <f t="shared" ca="1" si="268"/>
        <v>1605949</v>
      </c>
      <c r="G1351">
        <f t="shared" ca="1" si="258"/>
        <v>0</v>
      </c>
      <c r="H1351">
        <f t="shared" ca="1" si="259"/>
        <v>0</v>
      </c>
      <c r="I1351">
        <f t="shared" ca="1" si="260"/>
        <v>0</v>
      </c>
      <c r="J1351" s="8" t="e">
        <f t="shared" ca="1" si="261"/>
        <v>#DIV/0!</v>
      </c>
      <c r="K1351" s="9" t="e">
        <f t="shared" ca="1" si="262"/>
        <v>#DIV/0!</v>
      </c>
      <c r="L1351" t="e">
        <f ca="1">+_xlfn.IFNA(VLOOKUP(M1351,BespokeWindowsAreas!$A$1:$E$1999,1,FALSE),VLOOKUP(E1351,WindowTypeArea!$B$2:$C$2000,2,FALSE))</f>
        <v>#N/A</v>
      </c>
      <c r="M1351">
        <f t="shared" ca="1" si="263"/>
        <v>0</v>
      </c>
    </row>
    <row r="1352" spans="1:13" x14ac:dyDescent="0.25">
      <c r="A1352">
        <f t="shared" ca="1" si="254"/>
        <v>3</v>
      </c>
      <c r="B1352">
        <f t="shared" ca="1" si="255"/>
        <v>231</v>
      </c>
      <c r="C1352" t="str">
        <f t="shared" ca="1" si="265"/>
        <v>'WINDOWS-NCH-A-BDP-M3-01-00'!B230</v>
      </c>
      <c r="D1352" s="6" t="str">
        <f t="shared" ca="1" si="266"/>
        <v>L01-CIR-CIR-C008-08</v>
      </c>
      <c r="E1352" t="str">
        <f t="shared" ca="1" si="267"/>
        <v>Family Type: 1000w x 3050h, Family: Window External Type 2 - Recessed and Fin</v>
      </c>
      <c r="F1352" t="str">
        <f t="shared" ca="1" si="268"/>
        <v>Vector(X = 0.212, Y = -0.977, Z = 0.000, Length = 1.000)</v>
      </c>
      <c r="G1352">
        <f t="shared" ca="1" si="258"/>
        <v>0.2</v>
      </c>
      <c r="H1352">
        <f t="shared" ca="1" si="259"/>
        <v>-1</v>
      </c>
      <c r="I1352">
        <f t="shared" ca="1" si="260"/>
        <v>0</v>
      </c>
      <c r="J1352" s="8">
        <f t="shared" ca="1" si="261"/>
        <v>-78.690067525979785</v>
      </c>
      <c r="K1352" s="9" t="str">
        <f t="shared" ca="1" si="262"/>
        <v>S</v>
      </c>
      <c r="L1352">
        <f ca="1">+_xlfn.IFNA(VLOOKUP(M1352,BespokeWindowsAreas!$A$1:$E$1999,1,FALSE),VLOOKUP(E1352,WindowTypeArea!$B$2:$C$2000,2,FALSE))</f>
        <v>3.05</v>
      </c>
      <c r="M1352">
        <f t="shared" ca="1" si="263"/>
        <v>4929824</v>
      </c>
    </row>
    <row r="1353" spans="1:13" x14ac:dyDescent="0.25">
      <c r="A1353">
        <f t="shared" ca="1" si="254"/>
        <v>3</v>
      </c>
      <c r="B1353">
        <f t="shared" ca="1" si="255"/>
        <v>232</v>
      </c>
      <c r="C1353" t="str">
        <f t="shared" ca="1" si="265"/>
        <v>'WINDOWS-NCH-A-BDP-M3-01-00'!B231</v>
      </c>
      <c r="D1353" s="6" t="str">
        <f t="shared" ca="1" si="266"/>
        <v>L01-CIR-CIR-C006-01</v>
      </c>
      <c r="E1353" t="str">
        <f t="shared" ca="1" si="267"/>
        <v>L01-CIR-CIR-C006-01</v>
      </c>
      <c r="F1353">
        <f t="shared" ca="1" si="268"/>
        <v>1627937</v>
      </c>
      <c r="G1353">
        <f t="shared" ca="1" si="258"/>
        <v>0</v>
      </c>
      <c r="H1353">
        <f t="shared" ca="1" si="259"/>
        <v>0</v>
      </c>
      <c r="I1353">
        <f t="shared" ca="1" si="260"/>
        <v>0</v>
      </c>
      <c r="J1353" s="8" t="e">
        <f t="shared" ca="1" si="261"/>
        <v>#DIV/0!</v>
      </c>
      <c r="K1353" s="9" t="e">
        <f t="shared" ca="1" si="262"/>
        <v>#DIV/0!</v>
      </c>
      <c r="L1353" t="e">
        <f ca="1">+_xlfn.IFNA(VLOOKUP(M1353,BespokeWindowsAreas!$A$1:$E$1999,1,FALSE),VLOOKUP(E1353,WindowTypeArea!$B$2:$C$2000,2,FALSE))</f>
        <v>#N/A</v>
      </c>
      <c r="M1353">
        <f t="shared" ca="1" si="263"/>
        <v>0</v>
      </c>
    </row>
    <row r="1354" spans="1:13" x14ac:dyDescent="0.25">
      <c r="A1354">
        <f t="shared" ca="1" si="254"/>
        <v>3</v>
      </c>
      <c r="B1354">
        <f t="shared" ca="1" si="255"/>
        <v>233</v>
      </c>
      <c r="C1354" t="str">
        <f t="shared" ca="1" si="265"/>
        <v>'WINDOWS-NCH-A-BDP-M3-01-00'!B232</v>
      </c>
      <c r="D1354" s="6" t="str">
        <f t="shared" ca="1" si="266"/>
        <v>L01-CIR-CIR-C006-01</v>
      </c>
      <c r="E1354" t="str">
        <f t="shared" ca="1" si="267"/>
        <v>Family Type: 1000w x 3050h, Family: Window External Type 4 - Extruded</v>
      </c>
      <c r="F1354" t="str">
        <f t="shared" ca="1" si="268"/>
        <v>Vector(X = 0.212, Y = -0.977, Z = 0.000, Length = 1.000)</v>
      </c>
      <c r="G1354">
        <f t="shared" ca="1" si="258"/>
        <v>0.2</v>
      </c>
      <c r="H1354">
        <f t="shared" ca="1" si="259"/>
        <v>-1</v>
      </c>
      <c r="I1354">
        <f t="shared" ca="1" si="260"/>
        <v>0</v>
      </c>
      <c r="J1354" s="8">
        <f t="shared" ca="1" si="261"/>
        <v>-78.690067525979785</v>
      </c>
      <c r="K1354" s="9" t="str">
        <f t="shared" ca="1" si="262"/>
        <v>S</v>
      </c>
      <c r="L1354">
        <f ca="1">+_xlfn.IFNA(VLOOKUP(M1354,BespokeWindowsAreas!$A$1:$E$1999,1,FALSE),VLOOKUP(E1354,WindowTypeArea!$B$2:$C$2000,2,FALSE))</f>
        <v>3.05</v>
      </c>
      <c r="M1354">
        <f t="shared" ca="1" si="263"/>
        <v>4868138</v>
      </c>
    </row>
    <row r="1355" spans="1:13" x14ac:dyDescent="0.25">
      <c r="A1355">
        <f t="shared" ca="1" si="254"/>
        <v>3</v>
      </c>
      <c r="B1355">
        <f t="shared" ca="1" si="255"/>
        <v>234</v>
      </c>
      <c r="C1355" t="str">
        <f t="shared" ca="1" si="265"/>
        <v>'WINDOWS-NCH-A-BDP-M3-01-00'!B233</v>
      </c>
      <c r="D1355" s="6" t="str">
        <f t="shared" ca="1" si="266"/>
        <v>L01-HUB-ITH-U1343-02</v>
      </c>
      <c r="E1355" t="str">
        <f t="shared" ca="1" si="267"/>
        <v>L01-HUB-ITH-U1343-02</v>
      </c>
      <c r="F1355">
        <f t="shared" ca="1" si="268"/>
        <v>1628003</v>
      </c>
      <c r="G1355">
        <f t="shared" ca="1" si="258"/>
        <v>0</v>
      </c>
      <c r="H1355">
        <f t="shared" ca="1" si="259"/>
        <v>0</v>
      </c>
      <c r="I1355">
        <f t="shared" ca="1" si="260"/>
        <v>0</v>
      </c>
      <c r="J1355" s="8" t="e">
        <f t="shared" ca="1" si="261"/>
        <v>#DIV/0!</v>
      </c>
      <c r="K1355" s="9" t="e">
        <f t="shared" ca="1" si="262"/>
        <v>#DIV/0!</v>
      </c>
      <c r="L1355" t="e">
        <f ca="1">+_xlfn.IFNA(VLOOKUP(M1355,BespokeWindowsAreas!$A$1:$E$1999,1,FALSE),VLOOKUP(E1355,WindowTypeArea!$B$2:$C$2000,2,FALSE))</f>
        <v>#N/A</v>
      </c>
      <c r="M1355">
        <f t="shared" ca="1" si="263"/>
        <v>0</v>
      </c>
    </row>
    <row r="1356" spans="1:13" x14ac:dyDescent="0.25">
      <c r="A1356">
        <f t="shared" ca="1" si="254"/>
        <v>3</v>
      </c>
      <c r="B1356">
        <f t="shared" ca="1" si="255"/>
        <v>235</v>
      </c>
      <c r="C1356" t="str">
        <f t="shared" ca="1" si="265"/>
        <v>'WINDOWS-NCH-A-BDP-M3-01-00'!B234</v>
      </c>
      <c r="D1356" s="6" t="str">
        <f t="shared" ca="1" si="266"/>
        <v>L01-HUB-ITH-U1343-02</v>
      </c>
      <c r="E1356" t="str">
        <f t="shared" ca="1" si="267"/>
        <v>Family Type: 975w x 3050h, Family: Window Internal Type 1 - Flush</v>
      </c>
      <c r="F1356" t="str">
        <f t="shared" ca="1" si="268"/>
        <v>Vector(X = -0.872, Y = -0.489, Z = 0.000, Length = 1.000)</v>
      </c>
      <c r="G1356">
        <f t="shared" ca="1" si="258"/>
        <v>-0.9</v>
      </c>
      <c r="H1356">
        <f t="shared" ca="1" si="259"/>
        <v>-0.5</v>
      </c>
      <c r="I1356">
        <f t="shared" ca="1" si="260"/>
        <v>0</v>
      </c>
      <c r="J1356" s="8">
        <f t="shared" ca="1" si="261"/>
        <v>-150.94539590092285</v>
      </c>
      <c r="K1356" s="9" t="str">
        <f t="shared" ca="1" si="262"/>
        <v>W</v>
      </c>
      <c r="L1356">
        <f ca="1">+_xlfn.IFNA(VLOOKUP(M1356,BespokeWindowsAreas!$A$1:$E$1999,1,FALSE),VLOOKUP(E1356,WindowTypeArea!$B$2:$C$2000,2,FALSE))</f>
        <v>2.9737499999999999</v>
      </c>
      <c r="M1356">
        <f t="shared" ca="1" si="263"/>
        <v>6102336</v>
      </c>
    </row>
    <row r="1357" spans="1:13" x14ac:dyDescent="0.25">
      <c r="A1357">
        <f t="shared" ca="1" si="254"/>
        <v>3</v>
      </c>
      <c r="B1357">
        <f t="shared" ca="1" si="255"/>
        <v>236</v>
      </c>
      <c r="C1357" t="str">
        <f t="shared" ca="1" si="265"/>
        <v>'WINDOWS-NCH-A-BDP-M3-01-00'!B235</v>
      </c>
      <c r="D1357" s="6" t="str">
        <f t="shared" ca="1" si="266"/>
        <v>L01-HUB-ITH-U1343-02</v>
      </c>
      <c r="E1357" t="str">
        <f t="shared" ca="1" si="267"/>
        <v>Family Type: 1500w x 3050h, Family: Window Internal Type 1 - Flush</v>
      </c>
      <c r="F1357" t="str">
        <f t="shared" ca="1" si="268"/>
        <v>Vector(X = -0.872, Y = -0.489, Z = 0.000, Length = 1.000)</v>
      </c>
      <c r="G1357">
        <f t="shared" ca="1" si="258"/>
        <v>-0.9</v>
      </c>
      <c r="H1357">
        <f t="shared" ca="1" si="259"/>
        <v>-0.5</v>
      </c>
      <c r="I1357">
        <f t="shared" ca="1" si="260"/>
        <v>0</v>
      </c>
      <c r="J1357" s="8">
        <f t="shared" ca="1" si="261"/>
        <v>-150.94539590092285</v>
      </c>
      <c r="K1357" s="9" t="str">
        <f t="shared" ca="1" si="262"/>
        <v>W</v>
      </c>
      <c r="L1357">
        <f ca="1">+_xlfn.IFNA(VLOOKUP(M1357,BespokeWindowsAreas!$A$1:$E$1999,1,FALSE),VLOOKUP(E1357,WindowTypeArea!$B$2:$C$2000,2,FALSE))</f>
        <v>4.5749999999999993</v>
      </c>
      <c r="M1357">
        <f t="shared" ca="1" si="263"/>
        <v>6102422</v>
      </c>
    </row>
    <row r="1358" spans="1:13" x14ac:dyDescent="0.25">
      <c r="A1358">
        <f t="shared" ca="1" si="254"/>
        <v>3</v>
      </c>
      <c r="B1358">
        <f t="shared" ca="1" si="255"/>
        <v>237</v>
      </c>
      <c r="C1358" t="str">
        <f t="shared" ca="1" si="265"/>
        <v>'WINDOWS-NCH-A-BDP-M3-01-00'!B236</v>
      </c>
      <c r="D1358" s="6" t="str">
        <f t="shared" ca="1" si="266"/>
        <v>L01-HUB-ITH-U1343-02</v>
      </c>
      <c r="E1358" t="str">
        <f t="shared" ca="1" si="267"/>
        <v>Family Type: 1500w x 3050h, Family: Window Internal Type 1 - Flush</v>
      </c>
      <c r="F1358" t="str">
        <f t="shared" ca="1" si="268"/>
        <v>Vector(X = -0.872, Y = -0.489, Z = 0.000, Length = 1.000)</v>
      </c>
      <c r="G1358">
        <f t="shared" ca="1" si="258"/>
        <v>-0.9</v>
      </c>
      <c r="H1358">
        <f t="shared" ca="1" si="259"/>
        <v>-0.5</v>
      </c>
      <c r="I1358">
        <f t="shared" ca="1" si="260"/>
        <v>0</v>
      </c>
      <c r="J1358" s="8">
        <f t="shared" ca="1" si="261"/>
        <v>-150.94539590092285</v>
      </c>
      <c r="K1358" s="9" t="str">
        <f t="shared" ca="1" si="262"/>
        <v>W</v>
      </c>
      <c r="L1358">
        <f ca="1">+_xlfn.IFNA(VLOOKUP(M1358,BespokeWindowsAreas!$A$1:$E$1999,1,FALSE),VLOOKUP(E1358,WindowTypeArea!$B$2:$C$2000,2,FALSE))</f>
        <v>4.5749999999999993</v>
      </c>
      <c r="M1358">
        <f t="shared" ca="1" si="263"/>
        <v>6102446</v>
      </c>
    </row>
    <row r="1359" spans="1:13" x14ac:dyDescent="0.25">
      <c r="A1359">
        <f t="shared" ca="1" si="254"/>
        <v>3</v>
      </c>
      <c r="B1359">
        <f t="shared" ca="1" si="255"/>
        <v>238</v>
      </c>
      <c r="C1359" t="str">
        <f t="shared" ca="1" si="265"/>
        <v>'WINDOWS-NCH-A-BDP-M3-01-00'!B237</v>
      </c>
      <c r="D1359" s="6" t="str">
        <f t="shared" ca="1" si="266"/>
        <v>L01-HUB-ITH-U1343-02</v>
      </c>
      <c r="E1359" t="str">
        <f t="shared" ca="1" si="267"/>
        <v>Family Type: 650w x 3050h, Family: Window Internal Type 1 - Flush</v>
      </c>
      <c r="F1359" t="str">
        <f t="shared" ca="1" si="268"/>
        <v>Vector(X = 0.489, Y = -0.873, Z = 0.000, Length = 1.000)</v>
      </c>
      <c r="G1359">
        <f t="shared" ca="1" si="258"/>
        <v>0.5</v>
      </c>
      <c r="H1359">
        <f t="shared" ca="1" si="259"/>
        <v>-0.9</v>
      </c>
      <c r="I1359">
        <f t="shared" ca="1" si="260"/>
        <v>0</v>
      </c>
      <c r="J1359" s="8">
        <f t="shared" ca="1" si="261"/>
        <v>-60.945395900922861</v>
      </c>
      <c r="K1359" s="9" t="str">
        <f t="shared" ca="1" si="262"/>
        <v>S</v>
      </c>
      <c r="L1359">
        <f ca="1">+_xlfn.IFNA(VLOOKUP(M1359,BespokeWindowsAreas!$A$1:$E$1999,1,FALSE),VLOOKUP(E1359,WindowTypeArea!$B$2:$C$2000,2,FALSE))</f>
        <v>1.9824999999999999</v>
      </c>
      <c r="M1359">
        <f t="shared" ca="1" si="263"/>
        <v>6103228</v>
      </c>
    </row>
    <row r="1360" spans="1:13" x14ac:dyDescent="0.25">
      <c r="A1360">
        <f t="shared" ca="1" si="254"/>
        <v>3</v>
      </c>
      <c r="B1360">
        <f t="shared" ca="1" si="255"/>
        <v>239</v>
      </c>
      <c r="C1360" t="str">
        <f t="shared" ca="1" si="265"/>
        <v>'WINDOWS-NCH-A-BDP-M3-01-00'!B238</v>
      </c>
      <c r="D1360" s="6" t="str">
        <f t="shared" ca="1" si="266"/>
        <v>L01-HUB-ITH-U1343-02</v>
      </c>
      <c r="E1360" t="str">
        <f t="shared" ca="1" si="267"/>
        <v>Family Type: 1500w x 3050h, Family: Window Internal Type 1 - Flush</v>
      </c>
      <c r="F1360" t="str">
        <f t="shared" ca="1" si="268"/>
        <v>Vector(X = 0.489, Y = -0.873, Z = 0.000, Length = 1.000)</v>
      </c>
      <c r="G1360">
        <f t="shared" ca="1" si="258"/>
        <v>0.5</v>
      </c>
      <c r="H1360">
        <f t="shared" ca="1" si="259"/>
        <v>-0.9</v>
      </c>
      <c r="I1360">
        <f t="shared" ca="1" si="260"/>
        <v>0</v>
      </c>
      <c r="J1360" s="8">
        <f t="shared" ca="1" si="261"/>
        <v>-60.945395900922861</v>
      </c>
      <c r="K1360" s="9" t="str">
        <f t="shared" ca="1" si="262"/>
        <v>S</v>
      </c>
      <c r="L1360">
        <f ca="1">+_xlfn.IFNA(VLOOKUP(M1360,BespokeWindowsAreas!$A$1:$E$1999,1,FALSE),VLOOKUP(E1360,WindowTypeArea!$B$2:$C$2000,2,FALSE))</f>
        <v>4.5749999999999993</v>
      </c>
      <c r="M1360">
        <f t="shared" ca="1" si="263"/>
        <v>6103229</v>
      </c>
    </row>
    <row r="1361" spans="1:13" x14ac:dyDescent="0.25">
      <c r="A1361">
        <f t="shared" ca="1" si="254"/>
        <v>3</v>
      </c>
      <c r="B1361">
        <f t="shared" ca="1" si="255"/>
        <v>240</v>
      </c>
      <c r="C1361" t="str">
        <f t="shared" ca="1" si="265"/>
        <v>'WINDOWS-NCH-A-BDP-M3-01-00'!B239</v>
      </c>
      <c r="D1361" s="6" t="str">
        <f t="shared" ca="1" si="266"/>
        <v>L01-HUB-ITH-U1343-02</v>
      </c>
      <c r="E1361" t="str">
        <f t="shared" ca="1" si="267"/>
        <v>Family Type: 650w x 3050h, Family: Window Internal Type 1 - Flush</v>
      </c>
      <c r="F1361" t="str">
        <f t="shared" ca="1" si="268"/>
        <v>Vector(X = -0.872, Y = -0.489, Z = 0.000, Length = 1.000)</v>
      </c>
      <c r="G1361">
        <f t="shared" ca="1" si="258"/>
        <v>-0.9</v>
      </c>
      <c r="H1361">
        <f t="shared" ca="1" si="259"/>
        <v>-0.5</v>
      </c>
      <c r="I1361">
        <f t="shared" ca="1" si="260"/>
        <v>0</v>
      </c>
      <c r="J1361" s="8">
        <f t="shared" ca="1" si="261"/>
        <v>-150.94539590092285</v>
      </c>
      <c r="K1361" s="9" t="str">
        <f t="shared" ca="1" si="262"/>
        <v>W</v>
      </c>
      <c r="L1361">
        <f ca="1">+_xlfn.IFNA(VLOOKUP(M1361,BespokeWindowsAreas!$A$1:$E$1999,1,FALSE),VLOOKUP(E1361,WindowTypeArea!$B$2:$C$2000,2,FALSE))</f>
        <v>1.9824999999999999</v>
      </c>
      <c r="M1361">
        <f t="shared" ca="1" si="263"/>
        <v>6307445</v>
      </c>
    </row>
    <row r="1362" spans="1:13" x14ac:dyDescent="0.25">
      <c r="A1362">
        <f t="shared" ca="1" si="254"/>
        <v>3</v>
      </c>
      <c r="B1362">
        <f t="shared" ca="1" si="255"/>
        <v>241</v>
      </c>
      <c r="C1362" t="str">
        <f t="shared" ca="1" si="265"/>
        <v>'WINDOWS-NCH-A-BDP-M3-01-00'!B240</v>
      </c>
      <c r="D1362" s="6" t="str">
        <f t="shared" ca="1" si="266"/>
        <v>L01-HUB-ITH-U1343-02</v>
      </c>
      <c r="E1362" t="str">
        <f t="shared" ca="1" si="267"/>
        <v>Family Type: 975w x 3050h, Family: Window Internal Type 1 - Flush</v>
      </c>
      <c r="F1362" t="str">
        <f t="shared" ca="1" si="268"/>
        <v>Vector(X = -0.872, Y = -0.489, Z = 0.000, Length = 1.000)</v>
      </c>
      <c r="G1362">
        <f t="shared" ca="1" si="258"/>
        <v>-0.9</v>
      </c>
      <c r="H1362">
        <f t="shared" ca="1" si="259"/>
        <v>-0.5</v>
      </c>
      <c r="I1362">
        <f t="shared" ca="1" si="260"/>
        <v>0</v>
      </c>
      <c r="J1362" s="8">
        <f t="shared" ca="1" si="261"/>
        <v>-150.94539590092285</v>
      </c>
      <c r="K1362" s="9" t="str">
        <f t="shared" ca="1" si="262"/>
        <v>W</v>
      </c>
      <c r="L1362">
        <f ca="1">+_xlfn.IFNA(VLOOKUP(M1362,BespokeWindowsAreas!$A$1:$E$1999,1,FALSE),VLOOKUP(E1362,WindowTypeArea!$B$2:$C$2000,2,FALSE))</f>
        <v>2.9737499999999999</v>
      </c>
      <c r="M1362">
        <f t="shared" ca="1" si="263"/>
        <v>6308004</v>
      </c>
    </row>
    <row r="1363" spans="1:13" x14ac:dyDescent="0.25">
      <c r="A1363">
        <f t="shared" ca="1" si="254"/>
        <v>3</v>
      </c>
      <c r="B1363">
        <f t="shared" ca="1" si="255"/>
        <v>242</v>
      </c>
      <c r="C1363" t="str">
        <f t="shared" ca="1" si="265"/>
        <v>'WINDOWS-NCH-A-BDP-M3-01-00'!B241</v>
      </c>
      <c r="D1363" s="6" t="str">
        <f t="shared" ca="1" si="266"/>
        <v>L01-HUB-ITH-U1343-02</v>
      </c>
      <c r="E1363" t="str">
        <f t="shared" ca="1" si="267"/>
        <v>Family Type: 650w x 3050h, Family: Window Internal Type 1 - Flush</v>
      </c>
      <c r="F1363" t="str">
        <f t="shared" ca="1" si="268"/>
        <v>Vector(X = 0.489, Y = -0.873, Z = 0.000, Length = 1.000)</v>
      </c>
      <c r="G1363">
        <f t="shared" ca="1" si="258"/>
        <v>0.5</v>
      </c>
      <c r="H1363">
        <f t="shared" ca="1" si="259"/>
        <v>-0.9</v>
      </c>
      <c r="I1363">
        <f t="shared" ca="1" si="260"/>
        <v>0</v>
      </c>
      <c r="J1363" s="8">
        <f t="shared" ca="1" si="261"/>
        <v>-60.945395900922861</v>
      </c>
      <c r="K1363" s="9" t="str">
        <f t="shared" ca="1" si="262"/>
        <v>S</v>
      </c>
      <c r="L1363">
        <f ca="1">+_xlfn.IFNA(VLOOKUP(M1363,BespokeWindowsAreas!$A$1:$E$1999,1,FALSE),VLOOKUP(E1363,WindowTypeArea!$B$2:$C$2000,2,FALSE))</f>
        <v>1.9824999999999999</v>
      </c>
      <c r="M1363">
        <f t="shared" ca="1" si="263"/>
        <v>6313107</v>
      </c>
    </row>
    <row r="1364" spans="1:13" x14ac:dyDescent="0.25">
      <c r="A1364">
        <f t="shared" ref="A1364:A1427" ca="1" si="269">+IF(B1363&lt;=VLOOKUP(MID(C1364,2,26),TABS,2,FALSE),A1363,+A1363+1)</f>
        <v>3</v>
      </c>
      <c r="B1364">
        <f t="shared" ref="B1364:B1427" ca="1" si="270">+IF(B1363&lt;=VLOOKUP(MID(C1364,2,26),TABS,2,FALSE),B1363+1,1)</f>
        <v>243</v>
      </c>
      <c r="C1364" t="str">
        <f t="shared" ca="1" si="265"/>
        <v>'WINDOWS-NCH-A-BDP-M3-01-00'!B242</v>
      </c>
      <c r="D1364" s="6" t="str">
        <f t="shared" ca="1" si="266"/>
        <v>L01-HUB-ITH-U1343-03</v>
      </c>
      <c r="E1364" t="str">
        <f t="shared" ca="1" si="267"/>
        <v>L01-HUB-ITH-U1343-03</v>
      </c>
      <c r="F1364">
        <f t="shared" ca="1" si="268"/>
        <v>1628030</v>
      </c>
      <c r="G1364">
        <f t="shared" ca="1" si="258"/>
        <v>0</v>
      </c>
      <c r="H1364">
        <f t="shared" ca="1" si="259"/>
        <v>0</v>
      </c>
      <c r="I1364">
        <f t="shared" ca="1" si="260"/>
        <v>0</v>
      </c>
      <c r="J1364" s="8" t="e">
        <f t="shared" ca="1" si="261"/>
        <v>#DIV/0!</v>
      </c>
      <c r="K1364" s="9" t="e">
        <f t="shared" ca="1" si="262"/>
        <v>#DIV/0!</v>
      </c>
      <c r="L1364" t="e">
        <f ca="1">+_xlfn.IFNA(VLOOKUP(M1364,BespokeWindowsAreas!$A$1:$E$1999,1,FALSE),VLOOKUP(E1364,WindowTypeArea!$B$2:$C$2000,2,FALSE))</f>
        <v>#N/A</v>
      </c>
      <c r="M1364">
        <f t="shared" ca="1" si="263"/>
        <v>0</v>
      </c>
    </row>
    <row r="1365" spans="1:13" x14ac:dyDescent="0.25">
      <c r="A1365">
        <f t="shared" ca="1" si="269"/>
        <v>3</v>
      </c>
      <c r="B1365">
        <f t="shared" ca="1" si="270"/>
        <v>244</v>
      </c>
      <c r="C1365" t="str">
        <f t="shared" ca="1" si="265"/>
        <v>'WINDOWS-NCH-A-BDP-M3-01-00'!B243</v>
      </c>
      <c r="D1365" s="6" t="str">
        <f t="shared" ca="1" si="266"/>
        <v>L01-HUB-ITH-U1343-03</v>
      </c>
      <c r="E1365" t="str">
        <f t="shared" ca="1" si="267"/>
        <v>Family Type: 650w x 3050h, Family: Window Internal Type 1 - Flush</v>
      </c>
      <c r="F1365" t="str">
        <f t="shared" ca="1" si="268"/>
        <v>Vector(X = -0.977, Y = -0.212, Z = 0.000, Length = 1.000)</v>
      </c>
      <c r="G1365">
        <f t="shared" ca="1" si="258"/>
        <v>-1</v>
      </c>
      <c r="H1365">
        <f t="shared" ca="1" si="259"/>
        <v>-0.2</v>
      </c>
      <c r="I1365">
        <f t="shared" ca="1" si="260"/>
        <v>0</v>
      </c>
      <c r="J1365" s="8">
        <f t="shared" ca="1" si="261"/>
        <v>-168.69006752597977</v>
      </c>
      <c r="K1365" s="9" t="str">
        <f t="shared" ca="1" si="262"/>
        <v>W</v>
      </c>
      <c r="L1365">
        <f ca="1">+_xlfn.IFNA(VLOOKUP(M1365,BespokeWindowsAreas!$A$1:$E$1999,1,FALSE),VLOOKUP(E1365,WindowTypeArea!$B$2:$C$2000,2,FALSE))</f>
        <v>1.9824999999999999</v>
      </c>
      <c r="M1365">
        <f t="shared" ca="1" si="263"/>
        <v>6642853</v>
      </c>
    </row>
    <row r="1366" spans="1:13" x14ac:dyDescent="0.25">
      <c r="A1366">
        <f t="shared" ca="1" si="269"/>
        <v>3</v>
      </c>
      <c r="B1366">
        <f t="shared" ca="1" si="270"/>
        <v>245</v>
      </c>
      <c r="C1366" t="str">
        <f t="shared" ca="1" si="265"/>
        <v>'WINDOWS-NCH-A-BDP-M3-01-00'!B244</v>
      </c>
      <c r="D1366" s="6" t="str">
        <f t="shared" ca="1" si="266"/>
        <v>L01-HUB-ITH-U1343-03</v>
      </c>
      <c r="E1366" t="str">
        <f t="shared" ca="1" si="267"/>
        <v>Family Type: 975w x 3050h, Family: Window Internal Type 1 - Flush</v>
      </c>
      <c r="F1366" t="str">
        <f t="shared" ca="1" si="268"/>
        <v>Vector(X = -0.977, Y = -0.212, Z = 0.000, Length = 1.000)</v>
      </c>
      <c r="G1366">
        <f t="shared" ref="G1366:G1429" ca="1" si="271">+OFFSET(INDIRECT(C1366),0,2)</f>
        <v>-1</v>
      </c>
      <c r="H1366">
        <f t="shared" ref="H1366:H1429" ca="1" si="272">+OFFSET(INDIRECT(C1366),0,3)</f>
        <v>-0.2</v>
      </c>
      <c r="I1366">
        <f t="shared" ref="I1366:I1429" ca="1" si="273">+OFFSET(INDIRECT(C1366),0,4)</f>
        <v>0</v>
      </c>
      <c r="J1366" s="8">
        <f t="shared" ref="J1366:J1429" ca="1" si="274">+DEGREES(ATAN2(G1366,H1366))</f>
        <v>-168.69006752597977</v>
      </c>
      <c r="K1366" s="9" t="str">
        <f t="shared" ref="K1366:K1429" ca="1" si="275">VLOOKUP(J1366,$O$20:$P$36,2,-1)</f>
        <v>W</v>
      </c>
      <c r="L1366">
        <f ca="1">+_xlfn.IFNA(VLOOKUP(M1366,BespokeWindowsAreas!$A$1:$E$1999,1,FALSE),VLOOKUP(E1366,WindowTypeArea!$B$2:$C$2000,2,FALSE))</f>
        <v>2.9737499999999999</v>
      </c>
      <c r="M1366">
        <f t="shared" ref="M1366:M1429" ca="1" si="276">+OFFSET(INDIRECT(C1366),0,5)</f>
        <v>6642854</v>
      </c>
    </row>
    <row r="1367" spans="1:13" x14ac:dyDescent="0.25">
      <c r="A1367">
        <f t="shared" ca="1" si="269"/>
        <v>3</v>
      </c>
      <c r="B1367">
        <f t="shared" ca="1" si="270"/>
        <v>246</v>
      </c>
      <c r="C1367" t="str">
        <f t="shared" ca="1" si="265"/>
        <v>'WINDOWS-NCH-A-BDP-M3-01-00'!B245</v>
      </c>
      <c r="D1367" s="6" t="str">
        <f t="shared" ca="1" si="266"/>
        <v>L01-HUB-ITH-U1343-03</v>
      </c>
      <c r="E1367" t="str">
        <f t="shared" ca="1" si="267"/>
        <v>Family Type: 975w x 3050h, Family: Window Internal Type 1 - Flush</v>
      </c>
      <c r="F1367" t="str">
        <f t="shared" ca="1" si="268"/>
        <v>Vector(X = -0.977, Y = -0.212, Z = 0.000, Length = 1.000)</v>
      </c>
      <c r="G1367">
        <f t="shared" ca="1" si="271"/>
        <v>-1</v>
      </c>
      <c r="H1367">
        <f t="shared" ca="1" si="272"/>
        <v>-0.2</v>
      </c>
      <c r="I1367">
        <f t="shared" ca="1" si="273"/>
        <v>0</v>
      </c>
      <c r="J1367" s="8">
        <f t="shared" ca="1" si="274"/>
        <v>-168.69006752597977</v>
      </c>
      <c r="K1367" s="9" t="str">
        <f t="shared" ca="1" si="275"/>
        <v>W</v>
      </c>
      <c r="L1367">
        <f ca="1">+_xlfn.IFNA(VLOOKUP(M1367,BespokeWindowsAreas!$A$1:$E$1999,1,FALSE),VLOOKUP(E1367,WindowTypeArea!$B$2:$C$2000,2,FALSE))</f>
        <v>2.9737499999999999</v>
      </c>
      <c r="M1367">
        <f t="shared" ca="1" si="276"/>
        <v>6642855</v>
      </c>
    </row>
    <row r="1368" spans="1:13" x14ac:dyDescent="0.25">
      <c r="A1368">
        <f t="shared" ca="1" si="269"/>
        <v>3</v>
      </c>
      <c r="B1368">
        <f t="shared" ca="1" si="270"/>
        <v>247</v>
      </c>
      <c r="C1368" t="str">
        <f t="shared" ca="1" si="265"/>
        <v>'WINDOWS-NCH-A-BDP-M3-01-00'!B246</v>
      </c>
      <c r="D1368" s="6" t="str">
        <f t="shared" ca="1" si="266"/>
        <v>L01-HUB-ITH-U1343-03</v>
      </c>
      <c r="E1368" t="str">
        <f t="shared" ca="1" si="267"/>
        <v>Family Type: 650w x 3050h, Family: Window Internal Type 1 - Flush</v>
      </c>
      <c r="F1368" t="str">
        <f t="shared" ca="1" si="268"/>
        <v>Vector(X = 0.212, Y = -0.977, Z = 0.000, Length = 1.000)</v>
      </c>
      <c r="G1368">
        <f t="shared" ca="1" si="271"/>
        <v>0.2</v>
      </c>
      <c r="H1368">
        <f t="shared" ca="1" si="272"/>
        <v>-1</v>
      </c>
      <c r="I1368">
        <f t="shared" ca="1" si="273"/>
        <v>0</v>
      </c>
      <c r="J1368" s="8">
        <f t="shared" ca="1" si="274"/>
        <v>-78.690067525979785</v>
      </c>
      <c r="K1368" s="9" t="str">
        <f t="shared" ca="1" si="275"/>
        <v>S</v>
      </c>
      <c r="L1368">
        <f ca="1">+_xlfn.IFNA(VLOOKUP(M1368,BespokeWindowsAreas!$A$1:$E$1999,1,FALSE),VLOOKUP(E1368,WindowTypeArea!$B$2:$C$2000,2,FALSE))</f>
        <v>1.9824999999999999</v>
      </c>
      <c r="M1368">
        <f t="shared" ca="1" si="276"/>
        <v>6643439</v>
      </c>
    </row>
    <row r="1369" spans="1:13" x14ac:dyDescent="0.25">
      <c r="A1369">
        <f t="shared" ca="1" si="269"/>
        <v>3</v>
      </c>
      <c r="B1369">
        <f t="shared" ca="1" si="270"/>
        <v>248</v>
      </c>
      <c r="C1369" t="str">
        <f t="shared" ca="1" si="265"/>
        <v>'WINDOWS-NCH-A-BDP-M3-01-00'!B247</v>
      </c>
      <c r="D1369" s="6" t="str">
        <f t="shared" ca="1" si="266"/>
        <v>L01-HUB-ITH-U1343-03</v>
      </c>
      <c r="E1369" t="str">
        <f t="shared" ca="1" si="267"/>
        <v>Family Type: 975w x 3050h, Family: Window Internal Type 1 - Flush</v>
      </c>
      <c r="F1369" t="str">
        <f t="shared" ca="1" si="268"/>
        <v>Vector(X = 0.212, Y = -0.977, Z = 0.000, Length = 1.000)</v>
      </c>
      <c r="G1369">
        <f t="shared" ca="1" si="271"/>
        <v>0.2</v>
      </c>
      <c r="H1369">
        <f t="shared" ca="1" si="272"/>
        <v>-1</v>
      </c>
      <c r="I1369">
        <f t="shared" ca="1" si="273"/>
        <v>0</v>
      </c>
      <c r="J1369" s="8">
        <f t="shared" ca="1" si="274"/>
        <v>-78.690067525979785</v>
      </c>
      <c r="K1369" s="9" t="str">
        <f t="shared" ca="1" si="275"/>
        <v>S</v>
      </c>
      <c r="L1369">
        <f ca="1">+_xlfn.IFNA(VLOOKUP(M1369,BespokeWindowsAreas!$A$1:$E$1999,1,FALSE),VLOOKUP(E1369,WindowTypeArea!$B$2:$C$2000,2,FALSE))</f>
        <v>2.9737499999999999</v>
      </c>
      <c r="M1369">
        <f t="shared" ca="1" si="276"/>
        <v>6643547</v>
      </c>
    </row>
    <row r="1370" spans="1:13" x14ac:dyDescent="0.25">
      <c r="A1370">
        <f t="shared" ca="1" si="269"/>
        <v>3</v>
      </c>
      <c r="B1370">
        <f t="shared" ca="1" si="270"/>
        <v>249</v>
      </c>
      <c r="C1370" t="str">
        <f t="shared" ca="1" si="265"/>
        <v>'WINDOWS-NCH-A-BDP-M3-01-00'!B248</v>
      </c>
      <c r="D1370" s="6" t="str">
        <f t="shared" ca="1" si="266"/>
        <v>L01-HUB-ITH-U1343-03</v>
      </c>
      <c r="E1370" t="str">
        <f t="shared" ca="1" si="267"/>
        <v>Family Type: 1500w x 3050h, Family: Window Internal Type 1 - Flush</v>
      </c>
      <c r="F1370" t="str">
        <f t="shared" ca="1" si="268"/>
        <v>Vector(X = 0.212, Y = -0.977, Z = 0.000, Length = 1.000)</v>
      </c>
      <c r="G1370">
        <f t="shared" ca="1" si="271"/>
        <v>0.2</v>
      </c>
      <c r="H1370">
        <f t="shared" ca="1" si="272"/>
        <v>-1</v>
      </c>
      <c r="I1370">
        <f t="shared" ca="1" si="273"/>
        <v>0</v>
      </c>
      <c r="J1370" s="8">
        <f t="shared" ca="1" si="274"/>
        <v>-78.690067525979785</v>
      </c>
      <c r="K1370" s="9" t="str">
        <f t="shared" ca="1" si="275"/>
        <v>S</v>
      </c>
      <c r="L1370">
        <f ca="1">+_xlfn.IFNA(VLOOKUP(M1370,BespokeWindowsAreas!$A$1:$E$1999,1,FALSE),VLOOKUP(E1370,WindowTypeArea!$B$2:$C$2000,2,FALSE))</f>
        <v>4.5749999999999993</v>
      </c>
      <c r="M1370">
        <f t="shared" ca="1" si="276"/>
        <v>6643602</v>
      </c>
    </row>
    <row r="1371" spans="1:13" x14ac:dyDescent="0.25">
      <c r="A1371">
        <f t="shared" ca="1" si="269"/>
        <v>3</v>
      </c>
      <c r="B1371">
        <f t="shared" ca="1" si="270"/>
        <v>250</v>
      </c>
      <c r="C1371" t="str">
        <f t="shared" ca="1" si="265"/>
        <v>'WINDOWS-NCH-A-BDP-M3-01-00'!B249</v>
      </c>
      <c r="D1371" s="6" t="str">
        <f t="shared" ca="1" si="266"/>
        <v>L01-CAR-DCU-S075-01</v>
      </c>
      <c r="E1371" t="str">
        <f t="shared" ca="1" si="267"/>
        <v>L01-CAR-DCU-S075-01</v>
      </c>
      <c r="F1371">
        <f t="shared" ca="1" si="268"/>
        <v>1668530</v>
      </c>
      <c r="G1371">
        <f t="shared" ca="1" si="271"/>
        <v>0</v>
      </c>
      <c r="H1371">
        <f t="shared" ca="1" si="272"/>
        <v>0</v>
      </c>
      <c r="I1371">
        <f t="shared" ca="1" si="273"/>
        <v>0</v>
      </c>
      <c r="J1371" s="8" t="e">
        <f t="shared" ca="1" si="274"/>
        <v>#DIV/0!</v>
      </c>
      <c r="K1371" s="9" t="e">
        <f t="shared" ca="1" si="275"/>
        <v>#DIV/0!</v>
      </c>
      <c r="L1371" t="e">
        <f ca="1">+_xlfn.IFNA(VLOOKUP(M1371,BespokeWindowsAreas!$A$1:$E$1999,1,FALSE),VLOOKUP(E1371,WindowTypeArea!$B$2:$C$2000,2,FALSE))</f>
        <v>#N/A</v>
      </c>
      <c r="M1371">
        <f t="shared" ca="1" si="276"/>
        <v>0</v>
      </c>
    </row>
    <row r="1372" spans="1:13" x14ac:dyDescent="0.25">
      <c r="A1372">
        <f t="shared" ca="1" si="269"/>
        <v>3</v>
      </c>
      <c r="B1372">
        <f t="shared" ca="1" si="270"/>
        <v>251</v>
      </c>
      <c r="C1372" t="str">
        <f t="shared" ca="1" si="265"/>
        <v>'WINDOWS-NCH-A-BDP-M3-01-00'!B250</v>
      </c>
      <c r="D1372" s="6" t="str">
        <f t="shared" ca="1" si="266"/>
        <v>none - connected to atrium</v>
      </c>
      <c r="E1372" t="str">
        <f t="shared" ca="1" si="267"/>
        <v>none - connected to atrium</v>
      </c>
      <c r="F1372" t="str">
        <f t="shared" ca="1" si="268"/>
        <v>Vector(X = 0.973, Y = 0.231, Z = 0.000, Length = 1.000)</v>
      </c>
      <c r="G1372">
        <f t="shared" ca="1" si="271"/>
        <v>1</v>
      </c>
      <c r="H1372">
        <f t="shared" ca="1" si="272"/>
        <v>0.2</v>
      </c>
      <c r="I1372">
        <f t="shared" ca="1" si="273"/>
        <v>0</v>
      </c>
      <c r="J1372" s="8">
        <f t="shared" ca="1" si="274"/>
        <v>11.309932474020215</v>
      </c>
      <c r="K1372" s="9" t="str">
        <f t="shared" ca="1" si="275"/>
        <v>E</v>
      </c>
      <c r="L1372" t="e">
        <f ca="1">+_xlfn.IFNA(VLOOKUP(M1372,BespokeWindowsAreas!$A$1:$E$1999,1,FALSE),VLOOKUP(E1372,WindowTypeArea!$B$2:$C$2000,2,FALSE))</f>
        <v>#N/A</v>
      </c>
      <c r="M1372">
        <f t="shared" ca="1" si="276"/>
        <v>5194593</v>
      </c>
    </row>
    <row r="1373" spans="1:13" x14ac:dyDescent="0.25">
      <c r="A1373">
        <f t="shared" ca="1" si="269"/>
        <v>3</v>
      </c>
      <c r="B1373">
        <f t="shared" ca="1" si="270"/>
        <v>252</v>
      </c>
      <c r="C1373" t="str">
        <f t="shared" ca="1" si="265"/>
        <v>'WINDOWS-NCH-A-BDP-M3-01-00'!B251</v>
      </c>
      <c r="D1373" s="6" t="str">
        <f t="shared" ca="1" si="266"/>
        <v>L01-CIR-CIR-C006-04</v>
      </c>
      <c r="E1373" t="str">
        <f t="shared" ca="1" si="267"/>
        <v>L01-CIR-CIR-C006-04</v>
      </c>
      <c r="F1373">
        <f t="shared" ca="1" si="268"/>
        <v>1696036</v>
      </c>
      <c r="G1373">
        <f t="shared" ca="1" si="271"/>
        <v>0</v>
      </c>
      <c r="H1373">
        <f t="shared" ca="1" si="272"/>
        <v>0</v>
      </c>
      <c r="I1373">
        <f t="shared" ca="1" si="273"/>
        <v>0</v>
      </c>
      <c r="J1373" s="8" t="e">
        <f t="shared" ca="1" si="274"/>
        <v>#DIV/0!</v>
      </c>
      <c r="K1373" s="9" t="e">
        <f t="shared" ca="1" si="275"/>
        <v>#DIV/0!</v>
      </c>
      <c r="L1373" t="e">
        <f ca="1">+_xlfn.IFNA(VLOOKUP(M1373,BespokeWindowsAreas!$A$1:$E$1999,1,FALSE),VLOOKUP(E1373,WindowTypeArea!$B$2:$C$2000,2,FALSE))</f>
        <v>#N/A</v>
      </c>
      <c r="M1373">
        <f t="shared" ca="1" si="276"/>
        <v>0</v>
      </c>
    </row>
    <row r="1374" spans="1:13" x14ac:dyDescent="0.25">
      <c r="A1374">
        <f t="shared" ca="1" si="269"/>
        <v>3</v>
      </c>
      <c r="B1374">
        <f t="shared" ca="1" si="270"/>
        <v>253</v>
      </c>
      <c r="C1374" t="str">
        <f t="shared" ca="1" si="265"/>
        <v>'WINDOWS-NCH-A-BDP-M3-01-00'!B252</v>
      </c>
      <c r="D1374" s="6" t="str">
        <f t="shared" ca="1" si="266"/>
        <v>L01-CIR-CIR-C006-04</v>
      </c>
      <c r="E1374" t="str">
        <f t="shared" ca="1" si="267"/>
        <v>Family Type: 1950w x 3050h, Family: Window External Type 3 - Recessed and Angle</v>
      </c>
      <c r="F1374" t="str">
        <f t="shared" ca="1" si="268"/>
        <v>Vector(X = -0.212, Y = 0.977, Z = 0.000, Length = 1.000)</v>
      </c>
      <c r="G1374">
        <f t="shared" ca="1" si="271"/>
        <v>-0.2</v>
      </c>
      <c r="H1374">
        <f t="shared" ca="1" si="272"/>
        <v>1</v>
      </c>
      <c r="I1374">
        <f t="shared" ca="1" si="273"/>
        <v>0</v>
      </c>
      <c r="J1374" s="8">
        <f t="shared" ca="1" si="274"/>
        <v>101.3099324740202</v>
      </c>
      <c r="K1374" s="9" t="str">
        <f t="shared" ca="1" si="275"/>
        <v>N</v>
      </c>
      <c r="L1374">
        <f ca="1">+_xlfn.IFNA(VLOOKUP(M1374,BespokeWindowsAreas!$A$1:$E$1999,1,FALSE),VLOOKUP(E1374,WindowTypeArea!$B$2:$C$2000,2,FALSE))</f>
        <v>5.9474999999999998</v>
      </c>
      <c r="M1374">
        <f t="shared" ca="1" si="276"/>
        <v>4824485</v>
      </c>
    </row>
    <row r="1375" spans="1:13" x14ac:dyDescent="0.25">
      <c r="A1375">
        <f t="shared" ca="1" si="269"/>
        <v>3</v>
      </c>
      <c r="B1375">
        <f t="shared" ca="1" si="270"/>
        <v>254</v>
      </c>
      <c r="C1375" t="str">
        <f t="shared" ca="1" si="265"/>
        <v>'WINDOWS-NCH-A-BDP-M3-01-00'!B253</v>
      </c>
      <c r="D1375" s="6" t="str">
        <f t="shared" ca="1" si="266"/>
        <v>L01-CIR-CIR-C006-02</v>
      </c>
      <c r="E1375" t="str">
        <f t="shared" ca="1" si="267"/>
        <v>L01-CIR-CIR-C006-02</v>
      </c>
      <c r="F1375">
        <f t="shared" ca="1" si="268"/>
        <v>1698609</v>
      </c>
      <c r="G1375">
        <f t="shared" ca="1" si="271"/>
        <v>0</v>
      </c>
      <c r="H1375">
        <f t="shared" ca="1" si="272"/>
        <v>0</v>
      </c>
      <c r="I1375">
        <f t="shared" ca="1" si="273"/>
        <v>0</v>
      </c>
      <c r="J1375" s="8" t="e">
        <f t="shared" ca="1" si="274"/>
        <v>#DIV/0!</v>
      </c>
      <c r="K1375" s="9" t="e">
        <f t="shared" ca="1" si="275"/>
        <v>#DIV/0!</v>
      </c>
      <c r="L1375" t="e">
        <f ca="1">+_xlfn.IFNA(VLOOKUP(M1375,BespokeWindowsAreas!$A$1:$E$1999,1,FALSE),VLOOKUP(E1375,WindowTypeArea!$B$2:$C$2000,2,FALSE))</f>
        <v>#N/A</v>
      </c>
      <c r="M1375">
        <f t="shared" ca="1" si="276"/>
        <v>0</v>
      </c>
    </row>
    <row r="1376" spans="1:13" x14ac:dyDescent="0.25">
      <c r="A1376">
        <f t="shared" ca="1" si="269"/>
        <v>3</v>
      </c>
      <c r="B1376">
        <f t="shared" ca="1" si="270"/>
        <v>255</v>
      </c>
      <c r="C1376" t="str">
        <f t="shared" ca="1" si="265"/>
        <v>'WINDOWS-NCH-A-BDP-M3-01-00'!B254</v>
      </c>
      <c r="D1376" s="6" t="str">
        <f t="shared" ca="1" si="266"/>
        <v>L01-CIR-CIR-C006-02</v>
      </c>
      <c r="E1376" t="str">
        <f t="shared" ca="1" si="267"/>
        <v>Family Type: 975w x 3050h, Family: Window External Type 1 - Recessed</v>
      </c>
      <c r="F1376" t="str">
        <f t="shared" ca="1" si="268"/>
        <v>Vector(X = -0.530, Y = 0.848, Z = 0.000, Length = 1.000)</v>
      </c>
      <c r="G1376">
        <f t="shared" ca="1" si="271"/>
        <v>-0.5</v>
      </c>
      <c r="H1376">
        <f t="shared" ca="1" si="272"/>
        <v>0.8</v>
      </c>
      <c r="I1376">
        <f t="shared" ca="1" si="273"/>
        <v>0</v>
      </c>
      <c r="J1376" s="8">
        <f t="shared" ca="1" si="274"/>
        <v>122.0053832080835</v>
      </c>
      <c r="K1376" s="9" t="str">
        <f t="shared" ca="1" si="275"/>
        <v>N</v>
      </c>
      <c r="L1376">
        <f ca="1">+_xlfn.IFNA(VLOOKUP(M1376,BespokeWindowsAreas!$A$1:$E$1999,1,FALSE),VLOOKUP(E1376,WindowTypeArea!$B$2:$C$2000,2,FALSE))</f>
        <v>2.9737499999999999</v>
      </c>
      <c r="M1376">
        <f t="shared" ca="1" si="276"/>
        <v>6091441</v>
      </c>
    </row>
    <row r="1377" spans="1:13" x14ac:dyDescent="0.25">
      <c r="A1377">
        <f t="shared" ca="1" si="269"/>
        <v>3</v>
      </c>
      <c r="B1377">
        <f t="shared" ca="1" si="270"/>
        <v>256</v>
      </c>
      <c r="C1377" t="str">
        <f t="shared" ca="1" si="265"/>
        <v>'WINDOWS-NCH-A-BDP-M3-01-00'!B255</v>
      </c>
      <c r="D1377" s="6" t="str">
        <f t="shared" ca="1" si="266"/>
        <v>L01-CIR-CIR-C006-03</v>
      </c>
      <c r="E1377" t="str">
        <f t="shared" ca="1" si="267"/>
        <v>L01-CIR-CIR-C006-03</v>
      </c>
      <c r="F1377">
        <f t="shared" ca="1" si="268"/>
        <v>1709809</v>
      </c>
      <c r="G1377">
        <f t="shared" ca="1" si="271"/>
        <v>0</v>
      </c>
      <c r="H1377">
        <f t="shared" ca="1" si="272"/>
        <v>0</v>
      </c>
      <c r="I1377">
        <f t="shared" ca="1" si="273"/>
        <v>0</v>
      </c>
      <c r="J1377" s="8" t="e">
        <f t="shared" ca="1" si="274"/>
        <v>#DIV/0!</v>
      </c>
      <c r="K1377" s="9" t="e">
        <f t="shared" ca="1" si="275"/>
        <v>#DIV/0!</v>
      </c>
      <c r="L1377" t="e">
        <f ca="1">+_xlfn.IFNA(VLOOKUP(M1377,BespokeWindowsAreas!$A$1:$E$1999,1,FALSE),VLOOKUP(E1377,WindowTypeArea!$B$2:$C$2000,2,FALSE))</f>
        <v>#N/A</v>
      </c>
      <c r="M1377">
        <f t="shared" ca="1" si="276"/>
        <v>0</v>
      </c>
    </row>
    <row r="1378" spans="1:13" x14ac:dyDescent="0.25">
      <c r="A1378">
        <f t="shared" ca="1" si="269"/>
        <v>3</v>
      </c>
      <c r="B1378">
        <f t="shared" ca="1" si="270"/>
        <v>257</v>
      </c>
      <c r="C1378" t="str">
        <f t="shared" ca="1" si="265"/>
        <v>'WINDOWS-NCH-A-BDP-M3-01-00'!B256</v>
      </c>
      <c r="D1378" s="6" t="str">
        <f t="shared" ca="1" si="266"/>
        <v>L01-CIR-CIR-C006-03</v>
      </c>
      <c r="E1378" t="str">
        <f t="shared" ca="1" si="267"/>
        <v>Family Type: 1950w x 3050h, Family: Window External Type 1 - Recessed</v>
      </c>
      <c r="F1378" t="str">
        <f t="shared" ca="1" si="268"/>
        <v>Vector(X = -0.130, Y = -0.991, Z = 0.000, Length = 1.000)</v>
      </c>
      <c r="G1378">
        <f t="shared" ca="1" si="271"/>
        <v>-0.1</v>
      </c>
      <c r="H1378">
        <f t="shared" ca="1" si="272"/>
        <v>-1</v>
      </c>
      <c r="I1378">
        <f t="shared" ca="1" si="273"/>
        <v>0</v>
      </c>
      <c r="J1378" s="8">
        <f t="shared" ca="1" si="274"/>
        <v>-95.710593137499629</v>
      </c>
      <c r="K1378" s="9" t="str">
        <f t="shared" ca="1" si="275"/>
        <v>SW</v>
      </c>
      <c r="L1378">
        <f ca="1">+_xlfn.IFNA(VLOOKUP(M1378,BespokeWindowsAreas!$A$1:$E$1999,1,FALSE),VLOOKUP(E1378,WindowTypeArea!$B$2:$C$2000,2,FALSE))</f>
        <v>5.9474999999999998</v>
      </c>
      <c r="M1378">
        <f t="shared" ca="1" si="276"/>
        <v>4795720</v>
      </c>
    </row>
    <row r="1379" spans="1:13" x14ac:dyDescent="0.25">
      <c r="A1379">
        <f t="shared" ca="1" si="269"/>
        <v>3</v>
      </c>
      <c r="B1379">
        <f t="shared" ca="1" si="270"/>
        <v>258</v>
      </c>
      <c r="C1379" t="str">
        <f t="shared" ca="1" si="265"/>
        <v>'WINDOWS-NCH-A-BDP-M3-01-00'!B257</v>
      </c>
      <c r="D1379" s="6" t="str">
        <f t="shared" ca="1" si="266"/>
        <v>L01-CAR-INP-L026-01</v>
      </c>
      <c r="E1379" t="str">
        <f t="shared" ca="1" si="267"/>
        <v>L01-CAR-INP-L026-01</v>
      </c>
      <c r="F1379">
        <f t="shared" ca="1" si="268"/>
        <v>1839046</v>
      </c>
      <c r="G1379">
        <f t="shared" ca="1" si="271"/>
        <v>0</v>
      </c>
      <c r="H1379">
        <f t="shared" ca="1" si="272"/>
        <v>0</v>
      </c>
      <c r="I1379">
        <f t="shared" ca="1" si="273"/>
        <v>0</v>
      </c>
      <c r="J1379" s="8" t="e">
        <f t="shared" ca="1" si="274"/>
        <v>#DIV/0!</v>
      </c>
      <c r="K1379" s="9" t="e">
        <f t="shared" ca="1" si="275"/>
        <v>#DIV/0!</v>
      </c>
      <c r="L1379" t="e">
        <f ca="1">+_xlfn.IFNA(VLOOKUP(M1379,BespokeWindowsAreas!$A$1:$E$1999,1,FALSE),VLOOKUP(E1379,WindowTypeArea!$B$2:$C$2000,2,FALSE))</f>
        <v>#N/A</v>
      </c>
      <c r="M1379">
        <f t="shared" ca="1" si="276"/>
        <v>0</v>
      </c>
    </row>
    <row r="1380" spans="1:13" x14ac:dyDescent="0.25">
      <c r="A1380">
        <f t="shared" ca="1" si="269"/>
        <v>3</v>
      </c>
      <c r="B1380">
        <f t="shared" ca="1" si="270"/>
        <v>259</v>
      </c>
      <c r="C1380" t="str">
        <f t="shared" ca="1" si="265"/>
        <v>'WINDOWS-NCH-A-BDP-M3-01-00'!B258</v>
      </c>
      <c r="D1380" s="6" t="str">
        <f t="shared" ca="1" si="266"/>
        <v>none - connected to atrium</v>
      </c>
      <c r="E1380" t="str">
        <f t="shared" ca="1" si="267"/>
        <v>none - connected to atrium</v>
      </c>
      <c r="F1380" t="str">
        <f t="shared" ca="1" si="268"/>
        <v>Vector(X = 0.977, Y = 0.213, Z = 0.000, Length = 1.000)</v>
      </c>
      <c r="G1380">
        <f t="shared" ca="1" si="271"/>
        <v>1</v>
      </c>
      <c r="H1380">
        <f t="shared" ca="1" si="272"/>
        <v>0.2</v>
      </c>
      <c r="I1380">
        <f t="shared" ca="1" si="273"/>
        <v>0</v>
      </c>
      <c r="J1380" s="8">
        <f t="shared" ca="1" si="274"/>
        <v>11.309932474020215</v>
      </c>
      <c r="K1380" s="9" t="str">
        <f t="shared" ca="1" si="275"/>
        <v>E</v>
      </c>
      <c r="L1380" t="e">
        <f ca="1">+_xlfn.IFNA(VLOOKUP(M1380,BespokeWindowsAreas!$A$1:$E$1999,1,FALSE),VLOOKUP(E1380,WindowTypeArea!$B$2:$C$2000,2,FALSE))</f>
        <v>#N/A</v>
      </c>
      <c r="M1380">
        <f t="shared" ca="1" si="276"/>
        <v>5194192</v>
      </c>
    </row>
    <row r="1381" spans="1:13" x14ac:dyDescent="0.25">
      <c r="A1381">
        <f t="shared" ca="1" si="269"/>
        <v>3</v>
      </c>
      <c r="B1381">
        <f t="shared" ca="1" si="270"/>
        <v>260</v>
      </c>
      <c r="C1381" t="str">
        <f t="shared" ca="1" si="265"/>
        <v>'WINDOWS-NCH-A-BDP-M3-01-00'!B259</v>
      </c>
      <c r="D1381" s="6" t="str">
        <f t="shared" ca="1" si="266"/>
        <v>L01-MAI-PUB-U1830-01</v>
      </c>
      <c r="E1381" t="str">
        <f t="shared" ca="1" si="267"/>
        <v>L01-MAI-PUB-U1830-01</v>
      </c>
      <c r="F1381">
        <f t="shared" ca="1" si="268"/>
        <v>1887053</v>
      </c>
      <c r="G1381">
        <f t="shared" ca="1" si="271"/>
        <v>0</v>
      </c>
      <c r="H1381">
        <f t="shared" ca="1" si="272"/>
        <v>0</v>
      </c>
      <c r="I1381">
        <f t="shared" ca="1" si="273"/>
        <v>0</v>
      </c>
      <c r="J1381" s="8" t="e">
        <f t="shared" ca="1" si="274"/>
        <v>#DIV/0!</v>
      </c>
      <c r="K1381" s="9" t="e">
        <f t="shared" ca="1" si="275"/>
        <v>#DIV/0!</v>
      </c>
      <c r="L1381" t="e">
        <f ca="1">+_xlfn.IFNA(VLOOKUP(M1381,BespokeWindowsAreas!$A$1:$E$1999,1,FALSE),VLOOKUP(E1381,WindowTypeArea!$B$2:$C$2000,2,FALSE))</f>
        <v>#N/A</v>
      </c>
      <c r="M1381">
        <f t="shared" ca="1" si="276"/>
        <v>0</v>
      </c>
    </row>
    <row r="1382" spans="1:13" x14ac:dyDescent="0.25">
      <c r="A1382">
        <f t="shared" ca="1" si="269"/>
        <v>3</v>
      </c>
      <c r="B1382">
        <f t="shared" ca="1" si="270"/>
        <v>261</v>
      </c>
      <c r="C1382" t="str">
        <f t="shared" ca="1" si="265"/>
        <v>'WINDOWS-NCH-A-BDP-M3-01-00'!B260</v>
      </c>
      <c r="D1382" s="6" t="str">
        <f t="shared" ca="1" si="266"/>
        <v>L01-MAI-PUB-U1830-01</v>
      </c>
      <c r="E1382" t="str">
        <f t="shared" ca="1" si="267"/>
        <v>Family Type: 650w x 3050h, Family: Window Internal Type 1 - Flush</v>
      </c>
      <c r="F1382" t="str">
        <f t="shared" ca="1" si="268"/>
        <v>Vector(X = -0.977, Y = -0.212, Z = 0.000, Length = 1.000)</v>
      </c>
      <c r="G1382">
        <f t="shared" ca="1" si="271"/>
        <v>-1</v>
      </c>
      <c r="H1382">
        <f t="shared" ca="1" si="272"/>
        <v>-0.2</v>
      </c>
      <c r="I1382">
        <f t="shared" ca="1" si="273"/>
        <v>0</v>
      </c>
      <c r="J1382" s="8">
        <f t="shared" ca="1" si="274"/>
        <v>-168.69006752597977</v>
      </c>
      <c r="K1382" s="9" t="str">
        <f t="shared" ca="1" si="275"/>
        <v>W</v>
      </c>
      <c r="L1382">
        <f ca="1">+_xlfn.IFNA(VLOOKUP(M1382,BespokeWindowsAreas!$A$1:$E$1999,1,FALSE),VLOOKUP(E1382,WindowTypeArea!$B$2:$C$2000,2,FALSE))</f>
        <v>1.9824999999999999</v>
      </c>
      <c r="M1382">
        <f t="shared" ca="1" si="276"/>
        <v>6642853</v>
      </c>
    </row>
    <row r="1383" spans="1:13" x14ac:dyDescent="0.25">
      <c r="A1383">
        <f t="shared" ca="1" si="269"/>
        <v>3</v>
      </c>
      <c r="B1383">
        <f t="shared" ca="1" si="270"/>
        <v>262</v>
      </c>
      <c r="C1383" t="str">
        <f t="shared" ca="1" si="265"/>
        <v>'WINDOWS-NCH-A-BDP-M3-01-00'!B261</v>
      </c>
      <c r="D1383" s="6" t="str">
        <f t="shared" ca="1" si="266"/>
        <v>L01-MAI-PUB-U1830-01</v>
      </c>
      <c r="E1383" t="str">
        <f t="shared" ca="1" si="267"/>
        <v>Family Type: 975w x 3050h, Family: Window Internal Type 1 - Flush</v>
      </c>
      <c r="F1383" t="str">
        <f t="shared" ca="1" si="268"/>
        <v>Vector(X = -0.977, Y = -0.212, Z = 0.000, Length = 1.000)</v>
      </c>
      <c r="G1383">
        <f t="shared" ca="1" si="271"/>
        <v>-1</v>
      </c>
      <c r="H1383">
        <f t="shared" ca="1" si="272"/>
        <v>-0.2</v>
      </c>
      <c r="I1383">
        <f t="shared" ca="1" si="273"/>
        <v>0</v>
      </c>
      <c r="J1383" s="8">
        <f t="shared" ca="1" si="274"/>
        <v>-168.69006752597977</v>
      </c>
      <c r="K1383" s="9" t="str">
        <f t="shared" ca="1" si="275"/>
        <v>W</v>
      </c>
      <c r="L1383">
        <f ca="1">+_xlfn.IFNA(VLOOKUP(M1383,BespokeWindowsAreas!$A$1:$E$1999,1,FALSE),VLOOKUP(E1383,WindowTypeArea!$B$2:$C$2000,2,FALSE))</f>
        <v>2.9737499999999999</v>
      </c>
      <c r="M1383">
        <f t="shared" ca="1" si="276"/>
        <v>6642854</v>
      </c>
    </row>
    <row r="1384" spans="1:13" x14ac:dyDescent="0.25">
      <c r="A1384">
        <f t="shared" ca="1" si="269"/>
        <v>3</v>
      </c>
      <c r="B1384">
        <f t="shared" ca="1" si="270"/>
        <v>263</v>
      </c>
      <c r="C1384" t="str">
        <f t="shared" ca="1" si="265"/>
        <v>'WINDOWS-NCH-A-BDP-M3-01-00'!B262</v>
      </c>
      <c r="D1384" s="6" t="str">
        <f t="shared" ca="1" si="266"/>
        <v>L01-MAI-PUB-U1830-01</v>
      </c>
      <c r="E1384" t="str">
        <f t="shared" ca="1" si="267"/>
        <v>Family Type: 975w x 3050h, Family: Window Internal Type 1 - Flush</v>
      </c>
      <c r="F1384" t="str">
        <f t="shared" ca="1" si="268"/>
        <v>Vector(X = -0.977, Y = -0.212, Z = 0.000, Length = 1.000)</v>
      </c>
      <c r="G1384">
        <f t="shared" ca="1" si="271"/>
        <v>-1</v>
      </c>
      <c r="H1384">
        <f t="shared" ca="1" si="272"/>
        <v>-0.2</v>
      </c>
      <c r="I1384">
        <f t="shared" ca="1" si="273"/>
        <v>0</v>
      </c>
      <c r="J1384" s="8">
        <f t="shared" ca="1" si="274"/>
        <v>-168.69006752597977</v>
      </c>
      <c r="K1384" s="9" t="str">
        <f t="shared" ca="1" si="275"/>
        <v>W</v>
      </c>
      <c r="L1384">
        <f ca="1">+_xlfn.IFNA(VLOOKUP(M1384,BespokeWindowsAreas!$A$1:$E$1999,1,FALSE),VLOOKUP(E1384,WindowTypeArea!$B$2:$C$2000,2,FALSE))</f>
        <v>2.9737499999999999</v>
      </c>
      <c r="M1384">
        <f t="shared" ca="1" si="276"/>
        <v>6642855</v>
      </c>
    </row>
    <row r="1385" spans="1:13" x14ac:dyDescent="0.25">
      <c r="A1385">
        <f t="shared" ca="1" si="269"/>
        <v>3</v>
      </c>
      <c r="B1385">
        <f t="shared" ca="1" si="270"/>
        <v>264</v>
      </c>
      <c r="C1385" t="str">
        <f t="shared" ca="1" si="265"/>
        <v>'WINDOWS-NCH-A-BDP-M3-01-00'!B263</v>
      </c>
      <c r="D1385" s="6" t="str">
        <f t="shared" ca="1" si="266"/>
        <v>L01-MAI-PUB-U1830-01</v>
      </c>
      <c r="E1385" t="str">
        <f t="shared" ca="1" si="267"/>
        <v>Family Type: 650w x 3050h, Family: Window Internal Type 1 - Flush</v>
      </c>
      <c r="F1385" t="str">
        <f t="shared" ca="1" si="268"/>
        <v>Vector(X = 0.212, Y = -0.977, Z = 0.000, Length = 1.000)</v>
      </c>
      <c r="G1385">
        <f t="shared" ca="1" si="271"/>
        <v>0.2</v>
      </c>
      <c r="H1385">
        <f t="shared" ca="1" si="272"/>
        <v>-1</v>
      </c>
      <c r="I1385">
        <f t="shared" ca="1" si="273"/>
        <v>0</v>
      </c>
      <c r="J1385" s="8">
        <f t="shared" ca="1" si="274"/>
        <v>-78.690067525979785</v>
      </c>
      <c r="K1385" s="9" t="str">
        <f t="shared" ca="1" si="275"/>
        <v>S</v>
      </c>
      <c r="L1385">
        <f ca="1">+_xlfn.IFNA(VLOOKUP(M1385,BespokeWindowsAreas!$A$1:$E$1999,1,FALSE),VLOOKUP(E1385,WindowTypeArea!$B$2:$C$2000,2,FALSE))</f>
        <v>1.9824999999999999</v>
      </c>
      <c r="M1385">
        <f t="shared" ca="1" si="276"/>
        <v>6643439</v>
      </c>
    </row>
    <row r="1386" spans="1:13" x14ac:dyDescent="0.25">
      <c r="A1386">
        <f t="shared" ca="1" si="269"/>
        <v>3</v>
      </c>
      <c r="B1386">
        <f t="shared" ca="1" si="270"/>
        <v>265</v>
      </c>
      <c r="C1386" t="str">
        <f t="shared" ca="1" si="265"/>
        <v>'WINDOWS-NCH-A-BDP-M3-01-00'!B264</v>
      </c>
      <c r="D1386" s="6" t="str">
        <f t="shared" ca="1" si="266"/>
        <v>L01-MAI-PUB-U1830-01</v>
      </c>
      <c r="E1386" t="str">
        <f t="shared" ca="1" si="267"/>
        <v>Family Type: 975w x 3050h, Family: Window Internal Type 1 - Flush</v>
      </c>
      <c r="F1386" t="str">
        <f t="shared" ca="1" si="268"/>
        <v>Vector(X = 0.212, Y = -0.977, Z = 0.000, Length = 1.000)</v>
      </c>
      <c r="G1386">
        <f t="shared" ca="1" si="271"/>
        <v>0.2</v>
      </c>
      <c r="H1386">
        <f t="shared" ca="1" si="272"/>
        <v>-1</v>
      </c>
      <c r="I1386">
        <f t="shared" ca="1" si="273"/>
        <v>0</v>
      </c>
      <c r="J1386" s="8">
        <f t="shared" ca="1" si="274"/>
        <v>-78.690067525979785</v>
      </c>
      <c r="K1386" s="9" t="str">
        <f t="shared" ca="1" si="275"/>
        <v>S</v>
      </c>
      <c r="L1386">
        <f ca="1">+_xlfn.IFNA(VLOOKUP(M1386,BespokeWindowsAreas!$A$1:$E$1999,1,FALSE),VLOOKUP(E1386,WindowTypeArea!$B$2:$C$2000,2,FALSE))</f>
        <v>2.9737499999999999</v>
      </c>
      <c r="M1386">
        <f t="shared" ca="1" si="276"/>
        <v>6643547</v>
      </c>
    </row>
    <row r="1387" spans="1:13" x14ac:dyDescent="0.25">
      <c r="A1387">
        <f t="shared" ca="1" si="269"/>
        <v>3</v>
      </c>
      <c r="B1387">
        <f t="shared" ca="1" si="270"/>
        <v>266</v>
      </c>
      <c r="C1387" t="str">
        <f t="shared" ref="C1387:C1450" ca="1" si="277">+"'"&amp;INDIRECT("a"&amp;A1386)&amp;"'!B"&amp;B1386</f>
        <v>'WINDOWS-NCH-A-BDP-M3-01-00'!B265</v>
      </c>
      <c r="D1387" s="6" t="str">
        <f t="shared" ref="D1387:D1450" ca="1" si="278">+IF(IFERROR(FIND("Family",E1387)&gt;0,FALSE),D1386,E1387)</f>
        <v>L01-MAI-PUB-U1830-01</v>
      </c>
      <c r="E1387" t="str">
        <f t="shared" ref="E1387:E1450" ca="1" si="279">+OFFSET(INDIRECT(C1387),0,0)</f>
        <v>Family Type: 1500w x 3050h, Family: Window Internal Type 1 - Flush</v>
      </c>
      <c r="F1387" t="str">
        <f t="shared" ref="F1387:F1450" ca="1" si="280">+OFFSET(INDIRECT(C1387),0,1)</f>
        <v>Vector(X = 0.212, Y = -0.977, Z = 0.000, Length = 1.000)</v>
      </c>
      <c r="G1387">
        <f t="shared" ca="1" si="271"/>
        <v>0.2</v>
      </c>
      <c r="H1387">
        <f t="shared" ca="1" si="272"/>
        <v>-1</v>
      </c>
      <c r="I1387">
        <f t="shared" ca="1" si="273"/>
        <v>0</v>
      </c>
      <c r="J1387" s="8">
        <f t="shared" ca="1" si="274"/>
        <v>-78.690067525979785</v>
      </c>
      <c r="K1387" s="9" t="str">
        <f t="shared" ca="1" si="275"/>
        <v>S</v>
      </c>
      <c r="L1387">
        <f ca="1">+_xlfn.IFNA(VLOOKUP(M1387,BespokeWindowsAreas!$A$1:$E$1999,1,FALSE),VLOOKUP(E1387,WindowTypeArea!$B$2:$C$2000,2,FALSE))</f>
        <v>4.5749999999999993</v>
      </c>
      <c r="M1387">
        <f t="shared" ca="1" si="276"/>
        <v>6643602</v>
      </c>
    </row>
    <row r="1388" spans="1:13" x14ac:dyDescent="0.25">
      <c r="A1388">
        <f t="shared" ca="1" si="269"/>
        <v>3</v>
      </c>
      <c r="B1388">
        <f t="shared" ca="1" si="270"/>
        <v>267</v>
      </c>
      <c r="C1388" t="str">
        <f t="shared" ca="1" si="277"/>
        <v>'WINDOWS-NCH-A-BDP-M3-01-00'!B266</v>
      </c>
      <c r="D1388" s="6" t="str">
        <f t="shared" ca="1" si="278"/>
        <v>L01-MAI-PUB-U1830-03</v>
      </c>
      <c r="E1388" t="str">
        <f t="shared" ca="1" si="279"/>
        <v>L01-MAI-PUB-U1830-03</v>
      </c>
      <c r="F1388">
        <f t="shared" ca="1" si="280"/>
        <v>1887055</v>
      </c>
      <c r="G1388">
        <f t="shared" ca="1" si="271"/>
        <v>0</v>
      </c>
      <c r="H1388">
        <f t="shared" ca="1" si="272"/>
        <v>0</v>
      </c>
      <c r="I1388">
        <f t="shared" ca="1" si="273"/>
        <v>0</v>
      </c>
      <c r="J1388" s="8" t="e">
        <f t="shared" ca="1" si="274"/>
        <v>#DIV/0!</v>
      </c>
      <c r="K1388" s="9" t="e">
        <f t="shared" ca="1" si="275"/>
        <v>#DIV/0!</v>
      </c>
      <c r="L1388" t="e">
        <f ca="1">+_xlfn.IFNA(VLOOKUP(M1388,BespokeWindowsAreas!$A$1:$E$1999,1,FALSE),VLOOKUP(E1388,WindowTypeArea!$B$2:$C$2000,2,FALSE))</f>
        <v>#N/A</v>
      </c>
      <c r="M1388">
        <f t="shared" ca="1" si="276"/>
        <v>0</v>
      </c>
    </row>
    <row r="1389" spans="1:13" x14ac:dyDescent="0.25">
      <c r="A1389">
        <f t="shared" ca="1" si="269"/>
        <v>3</v>
      </c>
      <c r="B1389">
        <f t="shared" ca="1" si="270"/>
        <v>268</v>
      </c>
      <c r="C1389" t="str">
        <f t="shared" ca="1" si="277"/>
        <v>'WINDOWS-NCH-A-BDP-M3-01-00'!B267</v>
      </c>
      <c r="D1389" s="6" t="str">
        <f t="shared" ca="1" si="278"/>
        <v>L01-MAI-PUB-U1830-03</v>
      </c>
      <c r="E1389" t="str">
        <f t="shared" ca="1" si="279"/>
        <v>Family Type: 975w x 3050h, Family: Window Internal Type 1 - Flush</v>
      </c>
      <c r="F1389" t="str">
        <f t="shared" ca="1" si="280"/>
        <v>Vector(X = -0.872, Y = -0.489, Z = 0.000, Length = 1.000)</v>
      </c>
      <c r="G1389">
        <f t="shared" ca="1" si="271"/>
        <v>-0.9</v>
      </c>
      <c r="H1389">
        <f t="shared" ca="1" si="272"/>
        <v>-0.5</v>
      </c>
      <c r="I1389">
        <f t="shared" ca="1" si="273"/>
        <v>0</v>
      </c>
      <c r="J1389" s="8">
        <f t="shared" ca="1" si="274"/>
        <v>-150.94539590092285</v>
      </c>
      <c r="K1389" s="9" t="str">
        <f t="shared" ca="1" si="275"/>
        <v>W</v>
      </c>
      <c r="L1389">
        <f ca="1">+_xlfn.IFNA(VLOOKUP(M1389,BespokeWindowsAreas!$A$1:$E$1999,1,FALSE),VLOOKUP(E1389,WindowTypeArea!$B$2:$C$2000,2,FALSE))</f>
        <v>2.9737499999999999</v>
      </c>
      <c r="M1389">
        <f t="shared" ca="1" si="276"/>
        <v>6102336</v>
      </c>
    </row>
    <row r="1390" spans="1:13" x14ac:dyDescent="0.25">
      <c r="A1390">
        <f t="shared" ca="1" si="269"/>
        <v>3</v>
      </c>
      <c r="B1390">
        <f t="shared" ca="1" si="270"/>
        <v>269</v>
      </c>
      <c r="C1390" t="str">
        <f t="shared" ca="1" si="277"/>
        <v>'WINDOWS-NCH-A-BDP-M3-01-00'!B268</v>
      </c>
      <c r="D1390" s="6" t="str">
        <f t="shared" ca="1" si="278"/>
        <v>L01-MAI-PUB-U1830-03</v>
      </c>
      <c r="E1390" t="str">
        <f t="shared" ca="1" si="279"/>
        <v>Family Type: 1500w x 3050h, Family: Window Internal Type 1 - Flush</v>
      </c>
      <c r="F1390" t="str">
        <f t="shared" ca="1" si="280"/>
        <v>Vector(X = -0.872, Y = -0.489, Z = 0.000, Length = 1.000)</v>
      </c>
      <c r="G1390">
        <f t="shared" ca="1" si="271"/>
        <v>-0.9</v>
      </c>
      <c r="H1390">
        <f t="shared" ca="1" si="272"/>
        <v>-0.5</v>
      </c>
      <c r="I1390">
        <f t="shared" ca="1" si="273"/>
        <v>0</v>
      </c>
      <c r="J1390" s="8">
        <f t="shared" ca="1" si="274"/>
        <v>-150.94539590092285</v>
      </c>
      <c r="K1390" s="9" t="str">
        <f t="shared" ca="1" si="275"/>
        <v>W</v>
      </c>
      <c r="L1390">
        <f ca="1">+_xlfn.IFNA(VLOOKUP(M1390,BespokeWindowsAreas!$A$1:$E$1999,1,FALSE),VLOOKUP(E1390,WindowTypeArea!$B$2:$C$2000,2,FALSE))</f>
        <v>4.5749999999999993</v>
      </c>
      <c r="M1390">
        <f t="shared" ca="1" si="276"/>
        <v>6102422</v>
      </c>
    </row>
    <row r="1391" spans="1:13" x14ac:dyDescent="0.25">
      <c r="A1391">
        <f t="shared" ca="1" si="269"/>
        <v>3</v>
      </c>
      <c r="B1391">
        <f t="shared" ca="1" si="270"/>
        <v>270</v>
      </c>
      <c r="C1391" t="str">
        <f t="shared" ca="1" si="277"/>
        <v>'WINDOWS-NCH-A-BDP-M3-01-00'!B269</v>
      </c>
      <c r="D1391" s="6" t="str">
        <f t="shared" ca="1" si="278"/>
        <v>L01-MAI-PUB-U1830-03</v>
      </c>
      <c r="E1391" t="str">
        <f t="shared" ca="1" si="279"/>
        <v>Family Type: 1500w x 3050h, Family: Window Internal Type 1 - Flush</v>
      </c>
      <c r="F1391" t="str">
        <f t="shared" ca="1" si="280"/>
        <v>Vector(X = -0.872, Y = -0.489, Z = 0.000, Length = 1.000)</v>
      </c>
      <c r="G1391">
        <f t="shared" ca="1" si="271"/>
        <v>-0.9</v>
      </c>
      <c r="H1391">
        <f t="shared" ca="1" si="272"/>
        <v>-0.5</v>
      </c>
      <c r="I1391">
        <f t="shared" ca="1" si="273"/>
        <v>0</v>
      </c>
      <c r="J1391" s="8">
        <f t="shared" ca="1" si="274"/>
        <v>-150.94539590092285</v>
      </c>
      <c r="K1391" s="9" t="str">
        <f t="shared" ca="1" si="275"/>
        <v>W</v>
      </c>
      <c r="L1391">
        <f ca="1">+_xlfn.IFNA(VLOOKUP(M1391,BespokeWindowsAreas!$A$1:$E$1999,1,FALSE),VLOOKUP(E1391,WindowTypeArea!$B$2:$C$2000,2,FALSE))</f>
        <v>4.5749999999999993</v>
      </c>
      <c r="M1391">
        <f t="shared" ca="1" si="276"/>
        <v>6102446</v>
      </c>
    </row>
    <row r="1392" spans="1:13" x14ac:dyDescent="0.25">
      <c r="A1392">
        <f t="shared" ca="1" si="269"/>
        <v>3</v>
      </c>
      <c r="B1392">
        <f t="shared" ca="1" si="270"/>
        <v>271</v>
      </c>
      <c r="C1392" t="str">
        <f t="shared" ca="1" si="277"/>
        <v>'WINDOWS-NCH-A-BDP-M3-01-00'!B270</v>
      </c>
      <c r="D1392" s="6" t="str">
        <f t="shared" ca="1" si="278"/>
        <v>L01-MAI-PUB-U1830-03</v>
      </c>
      <c r="E1392" t="str">
        <f t="shared" ca="1" si="279"/>
        <v>Family Type: 650w x 3050h, Family: Window Internal Type 1 - Flush</v>
      </c>
      <c r="F1392" t="str">
        <f t="shared" ca="1" si="280"/>
        <v>Vector(X = 0.489, Y = -0.873, Z = 0.000, Length = 1.000)</v>
      </c>
      <c r="G1392">
        <f t="shared" ca="1" si="271"/>
        <v>0.5</v>
      </c>
      <c r="H1392">
        <f t="shared" ca="1" si="272"/>
        <v>-0.9</v>
      </c>
      <c r="I1392">
        <f t="shared" ca="1" si="273"/>
        <v>0</v>
      </c>
      <c r="J1392" s="8">
        <f t="shared" ca="1" si="274"/>
        <v>-60.945395900922861</v>
      </c>
      <c r="K1392" s="9" t="str">
        <f t="shared" ca="1" si="275"/>
        <v>S</v>
      </c>
      <c r="L1392">
        <f ca="1">+_xlfn.IFNA(VLOOKUP(M1392,BespokeWindowsAreas!$A$1:$E$1999,1,FALSE),VLOOKUP(E1392,WindowTypeArea!$B$2:$C$2000,2,FALSE))</f>
        <v>1.9824999999999999</v>
      </c>
      <c r="M1392">
        <f t="shared" ca="1" si="276"/>
        <v>6103228</v>
      </c>
    </row>
    <row r="1393" spans="1:13" x14ac:dyDescent="0.25">
      <c r="A1393">
        <f t="shared" ca="1" si="269"/>
        <v>3</v>
      </c>
      <c r="B1393">
        <f t="shared" ca="1" si="270"/>
        <v>272</v>
      </c>
      <c r="C1393" t="str">
        <f t="shared" ca="1" si="277"/>
        <v>'WINDOWS-NCH-A-BDP-M3-01-00'!B271</v>
      </c>
      <c r="D1393" s="6" t="str">
        <f t="shared" ca="1" si="278"/>
        <v>L01-MAI-PUB-U1830-03</v>
      </c>
      <c r="E1393" t="str">
        <f t="shared" ca="1" si="279"/>
        <v>Family Type: 650w x 3050h, Family: Window Internal Type 1 - Flush</v>
      </c>
      <c r="F1393" t="str">
        <f t="shared" ca="1" si="280"/>
        <v>Vector(X = -0.872, Y = -0.489, Z = 0.000, Length = 1.000)</v>
      </c>
      <c r="G1393">
        <f t="shared" ca="1" si="271"/>
        <v>-0.9</v>
      </c>
      <c r="H1393">
        <f t="shared" ca="1" si="272"/>
        <v>-0.5</v>
      </c>
      <c r="I1393">
        <f t="shared" ca="1" si="273"/>
        <v>0</v>
      </c>
      <c r="J1393" s="8">
        <f t="shared" ca="1" si="274"/>
        <v>-150.94539590092285</v>
      </c>
      <c r="K1393" s="9" t="str">
        <f t="shared" ca="1" si="275"/>
        <v>W</v>
      </c>
      <c r="L1393">
        <f ca="1">+_xlfn.IFNA(VLOOKUP(M1393,BespokeWindowsAreas!$A$1:$E$1999,1,FALSE),VLOOKUP(E1393,WindowTypeArea!$B$2:$C$2000,2,FALSE))</f>
        <v>1.9824999999999999</v>
      </c>
      <c r="M1393">
        <f t="shared" ca="1" si="276"/>
        <v>6307445</v>
      </c>
    </row>
    <row r="1394" spans="1:13" x14ac:dyDescent="0.25">
      <c r="A1394">
        <f t="shared" ca="1" si="269"/>
        <v>3</v>
      </c>
      <c r="B1394">
        <f t="shared" ca="1" si="270"/>
        <v>273</v>
      </c>
      <c r="C1394" t="str">
        <f t="shared" ca="1" si="277"/>
        <v>'WINDOWS-NCH-A-BDP-M3-01-00'!B272</v>
      </c>
      <c r="D1394" s="6" t="str">
        <f t="shared" ca="1" si="278"/>
        <v>L01-MAI-PUB-U1830-03</v>
      </c>
      <c r="E1394" t="str">
        <f t="shared" ca="1" si="279"/>
        <v>Family Type: 975w x 3050h, Family: Window Internal Type 1 - Flush</v>
      </c>
      <c r="F1394" t="str">
        <f t="shared" ca="1" si="280"/>
        <v>Vector(X = -0.872, Y = -0.489, Z = 0.000, Length = 1.000)</v>
      </c>
      <c r="G1394">
        <f t="shared" ca="1" si="271"/>
        <v>-0.9</v>
      </c>
      <c r="H1394">
        <f t="shared" ca="1" si="272"/>
        <v>-0.5</v>
      </c>
      <c r="I1394">
        <f t="shared" ca="1" si="273"/>
        <v>0</v>
      </c>
      <c r="J1394" s="8">
        <f t="shared" ca="1" si="274"/>
        <v>-150.94539590092285</v>
      </c>
      <c r="K1394" s="9" t="str">
        <f t="shared" ca="1" si="275"/>
        <v>W</v>
      </c>
      <c r="L1394">
        <f ca="1">+_xlfn.IFNA(VLOOKUP(M1394,BespokeWindowsAreas!$A$1:$E$1999,1,FALSE),VLOOKUP(E1394,WindowTypeArea!$B$2:$C$2000,2,FALSE))</f>
        <v>2.9737499999999999</v>
      </c>
      <c r="M1394">
        <f t="shared" ca="1" si="276"/>
        <v>6308004</v>
      </c>
    </row>
    <row r="1395" spans="1:13" x14ac:dyDescent="0.25">
      <c r="A1395">
        <f t="shared" ca="1" si="269"/>
        <v>3</v>
      </c>
      <c r="B1395">
        <f t="shared" ca="1" si="270"/>
        <v>274</v>
      </c>
      <c r="C1395" t="str">
        <f t="shared" ca="1" si="277"/>
        <v>'WINDOWS-NCH-A-BDP-M3-01-00'!B273</v>
      </c>
      <c r="D1395" s="6" t="str">
        <f t="shared" ca="1" si="278"/>
        <v>L01-MAI-PUB-U1830-03</v>
      </c>
      <c r="E1395" t="str">
        <f t="shared" ca="1" si="279"/>
        <v>Family Type: 650w x 3050h, Family: Window Internal Type 1 - Flush</v>
      </c>
      <c r="F1395" t="str">
        <f t="shared" ca="1" si="280"/>
        <v>Vector(X = 0.489, Y = -0.873, Z = 0.000, Length = 1.000)</v>
      </c>
      <c r="G1395">
        <f t="shared" ca="1" si="271"/>
        <v>0.5</v>
      </c>
      <c r="H1395">
        <f t="shared" ca="1" si="272"/>
        <v>-0.9</v>
      </c>
      <c r="I1395">
        <f t="shared" ca="1" si="273"/>
        <v>0</v>
      </c>
      <c r="J1395" s="8">
        <f t="shared" ca="1" si="274"/>
        <v>-60.945395900922861</v>
      </c>
      <c r="K1395" s="9" t="str">
        <f t="shared" ca="1" si="275"/>
        <v>S</v>
      </c>
      <c r="L1395">
        <f ca="1">+_xlfn.IFNA(VLOOKUP(M1395,BespokeWindowsAreas!$A$1:$E$1999,1,FALSE),VLOOKUP(E1395,WindowTypeArea!$B$2:$C$2000,2,FALSE))</f>
        <v>1.9824999999999999</v>
      </c>
      <c r="M1395">
        <f t="shared" ca="1" si="276"/>
        <v>6313107</v>
      </c>
    </row>
    <row r="1396" spans="1:13" x14ac:dyDescent="0.25">
      <c r="A1396">
        <f t="shared" ca="1" si="269"/>
        <v>3</v>
      </c>
      <c r="B1396">
        <f t="shared" ca="1" si="270"/>
        <v>275</v>
      </c>
      <c r="C1396" t="str">
        <f t="shared" ca="1" si="277"/>
        <v>'WINDOWS-NCH-A-BDP-M3-01-00'!B274</v>
      </c>
      <c r="D1396" s="6" t="str">
        <f t="shared" ca="1" si="278"/>
        <v>L01-OPD-C4W-S115-02</v>
      </c>
      <c r="E1396" t="str">
        <f t="shared" ca="1" si="279"/>
        <v>L01-OPD-C4W-S115-02</v>
      </c>
      <c r="F1396" t="str">
        <f t="shared" ca="1" si="280"/>
        <v>ID not used</v>
      </c>
      <c r="G1396">
        <f t="shared" ca="1" si="271"/>
        <v>0</v>
      </c>
      <c r="H1396">
        <f t="shared" ca="1" si="272"/>
        <v>0</v>
      </c>
      <c r="I1396">
        <f t="shared" ca="1" si="273"/>
        <v>0</v>
      </c>
      <c r="J1396" s="8" t="e">
        <f t="shared" ca="1" si="274"/>
        <v>#DIV/0!</v>
      </c>
      <c r="K1396" s="9" t="e">
        <f t="shared" ca="1" si="275"/>
        <v>#DIV/0!</v>
      </c>
      <c r="L1396" t="e">
        <f ca="1">+_xlfn.IFNA(VLOOKUP(M1396,BespokeWindowsAreas!$A$1:$E$1999,1,FALSE),VLOOKUP(E1396,WindowTypeArea!$B$2:$C$2000,2,FALSE))</f>
        <v>#N/A</v>
      </c>
      <c r="M1396">
        <f t="shared" ca="1" si="276"/>
        <v>0</v>
      </c>
    </row>
    <row r="1397" spans="1:13" x14ac:dyDescent="0.25">
      <c r="A1397">
        <f t="shared" ca="1" si="269"/>
        <v>3</v>
      </c>
      <c r="B1397">
        <f t="shared" ca="1" si="270"/>
        <v>276</v>
      </c>
      <c r="C1397" t="str">
        <f t="shared" ca="1" si="277"/>
        <v>'WINDOWS-NCH-A-BDP-M3-01-00'!B275</v>
      </c>
      <c r="D1397" s="6" t="str">
        <f t="shared" ca="1" si="278"/>
        <v>L01-OPD-C4W-S115-02</v>
      </c>
      <c r="E1397" t="str">
        <f t="shared" ca="1" si="279"/>
        <v>Family Type: 1950w x 3050h, Family: Window External Type 3 - Recessed and Angle</v>
      </c>
      <c r="F1397" t="str">
        <f t="shared" ca="1" si="280"/>
        <v>Vector(X = -0.212, Y = 0.977, Z = 0.000, Length = 1.000)</v>
      </c>
      <c r="G1397">
        <f t="shared" ca="1" si="271"/>
        <v>-0.2</v>
      </c>
      <c r="H1397">
        <f t="shared" ca="1" si="272"/>
        <v>1</v>
      </c>
      <c r="I1397">
        <f t="shared" ca="1" si="273"/>
        <v>0</v>
      </c>
      <c r="J1397" s="8">
        <f t="shared" ca="1" si="274"/>
        <v>101.3099324740202</v>
      </c>
      <c r="K1397" s="9" t="str">
        <f t="shared" ca="1" si="275"/>
        <v>N</v>
      </c>
      <c r="L1397">
        <f ca="1">+_xlfn.IFNA(VLOOKUP(M1397,BespokeWindowsAreas!$A$1:$E$1999,1,FALSE),VLOOKUP(E1397,WindowTypeArea!$B$2:$C$2000,2,FALSE))</f>
        <v>5.9474999999999998</v>
      </c>
      <c r="M1397">
        <f t="shared" ca="1" si="276"/>
        <v>4819536</v>
      </c>
    </row>
    <row r="1398" spans="1:13" x14ac:dyDescent="0.25">
      <c r="A1398">
        <f t="shared" ca="1" si="269"/>
        <v>3</v>
      </c>
      <c r="B1398">
        <f t="shared" ca="1" si="270"/>
        <v>277</v>
      </c>
      <c r="C1398" t="str">
        <f t="shared" ca="1" si="277"/>
        <v>'WINDOWS-NCH-A-BDP-M3-01-00'!B276</v>
      </c>
      <c r="D1398" s="6" t="str">
        <f t="shared" ca="1" si="278"/>
        <v>L01-OPD-C4W-S115-02</v>
      </c>
      <c r="E1398" t="str">
        <f t="shared" ca="1" si="279"/>
        <v>Family Type: 1500w x 3050h, Family: Window Internal Type 1 - Flush</v>
      </c>
      <c r="F1398" t="str">
        <f t="shared" ca="1" si="280"/>
        <v>Vector(X = -0.212, Y = 0.977, Z = 0.000, Length = 1.000)</v>
      </c>
      <c r="G1398">
        <f t="shared" ca="1" si="271"/>
        <v>-0.2</v>
      </c>
      <c r="H1398">
        <f t="shared" ca="1" si="272"/>
        <v>1</v>
      </c>
      <c r="I1398">
        <f t="shared" ca="1" si="273"/>
        <v>0</v>
      </c>
      <c r="J1398" s="8">
        <f t="shared" ca="1" si="274"/>
        <v>101.3099324740202</v>
      </c>
      <c r="K1398" s="9" t="str">
        <f t="shared" ca="1" si="275"/>
        <v>N</v>
      </c>
      <c r="L1398">
        <f ca="1">+_xlfn.IFNA(VLOOKUP(M1398,BespokeWindowsAreas!$A$1:$E$1999,1,FALSE),VLOOKUP(E1398,WindowTypeArea!$B$2:$C$2000,2,FALSE))</f>
        <v>4.5749999999999993</v>
      </c>
      <c r="M1398">
        <f t="shared" ca="1" si="276"/>
        <v>4819493</v>
      </c>
    </row>
    <row r="1399" spans="1:13" x14ac:dyDescent="0.25">
      <c r="A1399">
        <f t="shared" ca="1" si="269"/>
        <v>3</v>
      </c>
      <c r="B1399">
        <f t="shared" ca="1" si="270"/>
        <v>278</v>
      </c>
      <c r="C1399" t="str">
        <f t="shared" ca="1" si="277"/>
        <v>'WINDOWS-NCH-A-BDP-M3-01-00'!B277</v>
      </c>
      <c r="D1399" s="6" t="str">
        <f t="shared" ca="1" si="278"/>
        <v>L01-OPD-C4W-S115-02</v>
      </c>
      <c r="E1399" t="str">
        <f t="shared" ca="1" si="279"/>
        <v>Family Type: 975w x 3050h, Family: Window External Type 1 - Recessed</v>
      </c>
      <c r="F1399" t="str">
        <f t="shared" ca="1" si="280"/>
        <v>Vector(X = 0.977, Y = 0.212, Z = 0.000, Length = 1.000)</v>
      </c>
      <c r="G1399">
        <f t="shared" ca="1" si="271"/>
        <v>1</v>
      </c>
      <c r="H1399">
        <f t="shared" ca="1" si="272"/>
        <v>0.2</v>
      </c>
      <c r="I1399">
        <f t="shared" ca="1" si="273"/>
        <v>0</v>
      </c>
      <c r="J1399" s="8">
        <f t="shared" ca="1" si="274"/>
        <v>11.309932474020215</v>
      </c>
      <c r="K1399" s="9" t="str">
        <f t="shared" ca="1" si="275"/>
        <v>E</v>
      </c>
      <c r="L1399">
        <f ca="1">+_xlfn.IFNA(VLOOKUP(M1399,BespokeWindowsAreas!$A$1:$E$1999,1,FALSE),VLOOKUP(E1399,WindowTypeArea!$B$2:$C$2000,2,FALSE))</f>
        <v>2.9737499999999999</v>
      </c>
      <c r="M1399">
        <f t="shared" ca="1" si="276"/>
        <v>3697623</v>
      </c>
    </row>
    <row r="1400" spans="1:13" x14ac:dyDescent="0.25">
      <c r="A1400">
        <f t="shared" ca="1" si="269"/>
        <v>3</v>
      </c>
      <c r="B1400">
        <f t="shared" ca="1" si="270"/>
        <v>279</v>
      </c>
      <c r="C1400" t="str">
        <f t="shared" ca="1" si="277"/>
        <v>'WINDOWS-NCH-A-BDP-M3-01-00'!B278</v>
      </c>
      <c r="D1400" s="6" t="str">
        <f t="shared" ca="1" si="278"/>
        <v>L01-OPD-C4W-S115-02</v>
      </c>
      <c r="E1400" t="str">
        <f t="shared" ca="1" si="279"/>
        <v>Family Type: 1950w x 3050h, Family: Window External Type 3 - Recessed and Angle</v>
      </c>
      <c r="F1400" t="str">
        <f t="shared" ca="1" si="280"/>
        <v>Vector(X = 0.977, Y = 0.212, Z = 0.000, Length = 1.000)</v>
      </c>
      <c r="G1400">
        <f t="shared" ca="1" si="271"/>
        <v>1</v>
      </c>
      <c r="H1400">
        <f t="shared" ca="1" si="272"/>
        <v>0.2</v>
      </c>
      <c r="I1400">
        <f t="shared" ca="1" si="273"/>
        <v>0</v>
      </c>
      <c r="J1400" s="8">
        <f t="shared" ca="1" si="274"/>
        <v>11.309932474020215</v>
      </c>
      <c r="K1400" s="9" t="str">
        <f t="shared" ca="1" si="275"/>
        <v>E</v>
      </c>
      <c r="L1400">
        <f ca="1">+_xlfn.IFNA(VLOOKUP(M1400,BespokeWindowsAreas!$A$1:$E$1999,1,FALSE),VLOOKUP(E1400,WindowTypeArea!$B$2:$C$2000,2,FALSE))</f>
        <v>5.9474999999999998</v>
      </c>
      <c r="M1400">
        <f t="shared" ca="1" si="276"/>
        <v>5287445</v>
      </c>
    </row>
    <row r="1401" spans="1:13" x14ac:dyDescent="0.25">
      <c r="A1401">
        <f t="shared" ca="1" si="269"/>
        <v>3</v>
      </c>
      <c r="B1401">
        <f t="shared" ca="1" si="270"/>
        <v>280</v>
      </c>
      <c r="C1401" t="str">
        <f t="shared" ca="1" si="277"/>
        <v>'WINDOWS-NCH-A-BDP-M3-01-00'!B279</v>
      </c>
      <c r="D1401" s="6" t="str">
        <f t="shared" ca="1" si="278"/>
        <v>L01-OPD-NEU-S132-01</v>
      </c>
      <c r="E1401" t="str">
        <f t="shared" ca="1" si="279"/>
        <v>L01-OPD-NEU-S132-01</v>
      </c>
      <c r="F1401" t="str">
        <f t="shared" ca="1" si="280"/>
        <v>ID not used</v>
      </c>
      <c r="G1401">
        <f t="shared" ca="1" si="271"/>
        <v>0</v>
      </c>
      <c r="H1401">
        <f t="shared" ca="1" si="272"/>
        <v>0</v>
      </c>
      <c r="I1401">
        <f t="shared" ca="1" si="273"/>
        <v>0</v>
      </c>
      <c r="J1401" s="8" t="e">
        <f t="shared" ca="1" si="274"/>
        <v>#DIV/0!</v>
      </c>
      <c r="K1401" s="9" t="e">
        <f t="shared" ca="1" si="275"/>
        <v>#DIV/0!</v>
      </c>
      <c r="L1401" t="e">
        <f ca="1">+_xlfn.IFNA(VLOOKUP(M1401,BespokeWindowsAreas!$A$1:$E$1999,1,FALSE),VLOOKUP(E1401,WindowTypeArea!$B$2:$C$2000,2,FALSE))</f>
        <v>#N/A</v>
      </c>
      <c r="M1401">
        <f t="shared" ca="1" si="276"/>
        <v>0</v>
      </c>
    </row>
    <row r="1402" spans="1:13" x14ac:dyDescent="0.25">
      <c r="A1402">
        <f t="shared" ca="1" si="269"/>
        <v>3</v>
      </c>
      <c r="B1402">
        <f t="shared" ca="1" si="270"/>
        <v>281</v>
      </c>
      <c r="C1402" t="str">
        <f t="shared" ca="1" si="277"/>
        <v>'WINDOWS-NCH-A-BDP-M3-01-00'!B280</v>
      </c>
      <c r="D1402" s="6" t="str">
        <f t="shared" ca="1" si="278"/>
        <v>L01-OPD-NEU-S132-01</v>
      </c>
      <c r="E1402" t="str">
        <f t="shared" ca="1" si="279"/>
        <v>Family Type: 2850w x 3850h, CURTAIN WALL-manual input</v>
      </c>
      <c r="F1402" t="str">
        <f t="shared" ca="1" si="280"/>
        <v>Vector(X = -0.992, Y = -0.128, Z = 0.000, Length = 1.000)</v>
      </c>
      <c r="G1402">
        <f t="shared" ca="1" si="271"/>
        <v>-1</v>
      </c>
      <c r="H1402">
        <f t="shared" ca="1" si="272"/>
        <v>-0.1</v>
      </c>
      <c r="I1402">
        <f t="shared" ca="1" si="273"/>
        <v>0</v>
      </c>
      <c r="J1402" s="8">
        <f t="shared" ca="1" si="274"/>
        <v>-174.28940686250036</v>
      </c>
      <c r="K1402" s="9" t="str">
        <f t="shared" ca="1" si="275"/>
        <v>W</v>
      </c>
      <c r="L1402">
        <f ca="1">+_xlfn.IFNA(VLOOKUP(M1402,BespokeWindowsAreas!$A$1:$E$1999,1,FALSE),VLOOKUP(E1402,WindowTypeArea!$B$2:$C$2000,2,FALSE))</f>
        <v>10.9725</v>
      </c>
      <c r="M1402" t="str">
        <f t="shared" ca="1" si="276"/>
        <v xml:space="preserve">ID </v>
      </c>
    </row>
    <row r="1403" spans="1:13" x14ac:dyDescent="0.25">
      <c r="A1403">
        <f t="shared" ca="1" si="269"/>
        <v>3</v>
      </c>
      <c r="B1403">
        <f t="shared" ca="1" si="270"/>
        <v>282</v>
      </c>
      <c r="C1403" t="str">
        <f t="shared" ca="1" si="277"/>
        <v>'WINDOWS-NCH-A-BDP-M3-01-00'!B281</v>
      </c>
      <c r="D1403" s="6" t="str">
        <f t="shared" ca="1" si="278"/>
        <v>L01-CAM-INP-L007-16</v>
      </c>
      <c r="E1403" t="str">
        <f t="shared" ca="1" si="279"/>
        <v>L01-CAM-INP-L007-16</v>
      </c>
      <c r="F1403" t="str">
        <f t="shared" ca="1" si="280"/>
        <v>ID not used</v>
      </c>
      <c r="G1403">
        <f t="shared" ca="1" si="271"/>
        <v>0</v>
      </c>
      <c r="H1403">
        <f t="shared" ca="1" si="272"/>
        <v>0</v>
      </c>
      <c r="I1403">
        <f t="shared" ca="1" si="273"/>
        <v>0</v>
      </c>
      <c r="J1403" s="8" t="e">
        <f t="shared" ca="1" si="274"/>
        <v>#DIV/0!</v>
      </c>
      <c r="K1403" s="9" t="e">
        <f t="shared" ca="1" si="275"/>
        <v>#DIV/0!</v>
      </c>
      <c r="L1403" t="e">
        <f ca="1">+_xlfn.IFNA(VLOOKUP(M1403,BespokeWindowsAreas!$A$1:$E$1999,1,FALSE),VLOOKUP(E1403,WindowTypeArea!$B$2:$C$2000,2,FALSE))</f>
        <v>#N/A</v>
      </c>
      <c r="M1403">
        <f t="shared" ca="1" si="276"/>
        <v>0</v>
      </c>
    </row>
    <row r="1404" spans="1:13" x14ac:dyDescent="0.25">
      <c r="A1404">
        <f t="shared" ca="1" si="269"/>
        <v>3</v>
      </c>
      <c r="B1404">
        <f t="shared" ca="1" si="270"/>
        <v>283</v>
      </c>
      <c r="C1404" t="str">
        <f t="shared" ca="1" si="277"/>
        <v>'WINDOWS-NCH-A-BDP-M3-01-00'!B282</v>
      </c>
      <c r="D1404" s="6" t="str">
        <f t="shared" ca="1" si="278"/>
        <v>L01-CAM-INP-L007-16</v>
      </c>
      <c r="E1404" t="str">
        <f t="shared" ca="1" si="279"/>
        <v>Family Type: 975w x 3600h, CURTAIN WALL-manual input</v>
      </c>
      <c r="F1404" t="str">
        <f t="shared" ca="1" si="280"/>
        <v>Vector(X = -0.041, Y = 0.999, Z = 0.000, Length = 1.000)</v>
      </c>
      <c r="G1404">
        <f t="shared" ca="1" si="271"/>
        <v>0</v>
      </c>
      <c r="H1404">
        <f t="shared" ca="1" si="272"/>
        <v>1</v>
      </c>
      <c r="I1404">
        <f t="shared" ca="1" si="273"/>
        <v>0</v>
      </c>
      <c r="J1404" s="8">
        <f t="shared" ca="1" si="274"/>
        <v>90</v>
      </c>
      <c r="K1404" s="9" t="str">
        <f t="shared" ca="1" si="275"/>
        <v>N</v>
      </c>
      <c r="L1404">
        <f ca="1">+_xlfn.IFNA(VLOOKUP(M1404,BespokeWindowsAreas!$A$1:$E$1999,1,FALSE),VLOOKUP(E1404,WindowTypeArea!$B$2:$C$2000,2,FALSE))</f>
        <v>3.51</v>
      </c>
      <c r="M1404" t="str">
        <f t="shared" ca="1" si="276"/>
        <v xml:space="preserve">ID </v>
      </c>
    </row>
    <row r="1405" spans="1:13" x14ac:dyDescent="0.25">
      <c r="A1405">
        <f t="shared" ca="1" si="269"/>
        <v>3</v>
      </c>
      <c r="B1405">
        <f t="shared" ca="1" si="270"/>
        <v>284</v>
      </c>
      <c r="C1405" t="str">
        <f t="shared" ca="1" si="277"/>
        <v>'WINDOWS-NCH-A-BDP-M3-01-00'!B283</v>
      </c>
      <c r="D1405" s="6" t="str">
        <f t="shared" ca="1" si="278"/>
        <v>L01-CAM-INP-L008-01</v>
      </c>
      <c r="E1405" t="str">
        <f t="shared" ca="1" si="279"/>
        <v>L01-CAM-INP-L008-01</v>
      </c>
      <c r="F1405" t="str">
        <f t="shared" ca="1" si="280"/>
        <v>ID not used</v>
      </c>
      <c r="G1405">
        <f t="shared" ca="1" si="271"/>
        <v>0</v>
      </c>
      <c r="H1405">
        <f t="shared" ca="1" si="272"/>
        <v>0</v>
      </c>
      <c r="I1405">
        <f t="shared" ca="1" si="273"/>
        <v>0</v>
      </c>
      <c r="J1405" s="8" t="e">
        <f t="shared" ca="1" si="274"/>
        <v>#DIV/0!</v>
      </c>
      <c r="K1405" s="9" t="e">
        <f t="shared" ca="1" si="275"/>
        <v>#DIV/0!</v>
      </c>
      <c r="L1405" t="e">
        <f ca="1">+_xlfn.IFNA(VLOOKUP(M1405,BespokeWindowsAreas!$A$1:$E$1999,1,FALSE),VLOOKUP(E1405,WindowTypeArea!$B$2:$C$2000,2,FALSE))</f>
        <v>#N/A</v>
      </c>
      <c r="M1405">
        <f t="shared" ca="1" si="276"/>
        <v>0</v>
      </c>
    </row>
    <row r="1406" spans="1:13" x14ac:dyDescent="0.25">
      <c r="A1406">
        <f t="shared" ca="1" si="269"/>
        <v>3</v>
      </c>
      <c r="B1406">
        <f t="shared" ca="1" si="270"/>
        <v>285</v>
      </c>
      <c r="C1406" t="str">
        <f t="shared" ca="1" si="277"/>
        <v>'WINDOWS-NCH-A-BDP-M3-01-00'!B284</v>
      </c>
      <c r="D1406" s="6" t="str">
        <f t="shared" ca="1" si="278"/>
        <v>L01-CAM-INP-L008-01</v>
      </c>
      <c r="E1406" t="str">
        <f t="shared" ca="1" si="279"/>
        <v>Family Type: 975w x 3600h, CURTAIN WALL-manual input</v>
      </c>
      <c r="F1406" t="str">
        <f t="shared" ca="1" si="280"/>
        <v>Vector(X = 0.041, Y = -0.999, Z = 0.000, Length = 1.000)</v>
      </c>
      <c r="G1406">
        <f t="shared" ca="1" si="271"/>
        <v>0</v>
      </c>
      <c r="H1406">
        <f t="shared" ca="1" si="272"/>
        <v>-1</v>
      </c>
      <c r="I1406">
        <f t="shared" ca="1" si="273"/>
        <v>0</v>
      </c>
      <c r="J1406" s="8">
        <f t="shared" ca="1" si="274"/>
        <v>-90</v>
      </c>
      <c r="K1406" s="9" t="str">
        <f t="shared" ca="1" si="275"/>
        <v>S</v>
      </c>
      <c r="L1406">
        <f ca="1">+_xlfn.IFNA(VLOOKUP(M1406,BespokeWindowsAreas!$A$1:$E$1999,1,FALSE),VLOOKUP(E1406,WindowTypeArea!$B$2:$C$2000,2,FALSE))</f>
        <v>3.51</v>
      </c>
      <c r="M1406" t="str">
        <f t="shared" ca="1" si="276"/>
        <v xml:space="preserve">ID </v>
      </c>
    </row>
    <row r="1407" spans="1:13" x14ac:dyDescent="0.25">
      <c r="A1407">
        <f t="shared" ca="1" si="269"/>
        <v>3</v>
      </c>
      <c r="B1407">
        <f t="shared" ca="1" si="270"/>
        <v>286</v>
      </c>
      <c r="C1407" t="str">
        <f t="shared" ca="1" si="277"/>
        <v>'WINDOWS-NCH-A-BDP-M3-01-00'!B285</v>
      </c>
      <c r="D1407" s="6" t="str">
        <f t="shared" ca="1" si="278"/>
        <v>L01-CAM-INP-L007-12</v>
      </c>
      <c r="E1407" t="str">
        <f t="shared" ca="1" si="279"/>
        <v>L01-CAM-INP-L007-12</v>
      </c>
      <c r="F1407" t="str">
        <f t="shared" ca="1" si="280"/>
        <v>ID not used</v>
      </c>
      <c r="G1407">
        <f t="shared" ca="1" si="271"/>
        <v>0</v>
      </c>
      <c r="H1407">
        <f t="shared" ca="1" si="272"/>
        <v>0</v>
      </c>
      <c r="I1407">
        <f t="shared" ca="1" si="273"/>
        <v>0</v>
      </c>
      <c r="J1407" s="8" t="e">
        <f t="shared" ca="1" si="274"/>
        <v>#DIV/0!</v>
      </c>
      <c r="K1407" s="9" t="e">
        <f t="shared" ca="1" si="275"/>
        <v>#DIV/0!</v>
      </c>
      <c r="L1407" t="e">
        <f ca="1">+_xlfn.IFNA(VLOOKUP(M1407,BespokeWindowsAreas!$A$1:$E$1999,1,FALSE),VLOOKUP(E1407,WindowTypeArea!$B$2:$C$2000,2,FALSE))</f>
        <v>#N/A</v>
      </c>
      <c r="M1407">
        <f t="shared" ca="1" si="276"/>
        <v>0</v>
      </c>
    </row>
    <row r="1408" spans="1:13" x14ac:dyDescent="0.25">
      <c r="A1408">
        <f t="shared" ca="1" si="269"/>
        <v>3</v>
      </c>
      <c r="B1408">
        <f t="shared" ca="1" si="270"/>
        <v>287</v>
      </c>
      <c r="C1408" t="str">
        <f t="shared" ca="1" si="277"/>
        <v>'WINDOWS-NCH-A-BDP-M3-01-00'!B286</v>
      </c>
      <c r="D1408" s="6" t="str">
        <f t="shared" ca="1" si="278"/>
        <v>L01-CAM-INP-L007-12</v>
      </c>
      <c r="E1408" t="str">
        <f t="shared" ca="1" si="279"/>
        <v>Family Type: 975w x 3600h, CURTAIN WALL-manual input</v>
      </c>
      <c r="F1408" t="str">
        <f t="shared" ca="1" si="280"/>
        <v>Vector(X = 0.130, Y = 0.991, Z = 0.000, Length = 1.000)</v>
      </c>
      <c r="G1408">
        <f t="shared" ca="1" si="271"/>
        <v>0.1</v>
      </c>
      <c r="H1408">
        <f t="shared" ca="1" si="272"/>
        <v>1</v>
      </c>
      <c r="I1408">
        <f t="shared" ca="1" si="273"/>
        <v>0</v>
      </c>
      <c r="J1408" s="8">
        <f t="shared" ca="1" si="274"/>
        <v>84.289406862500371</v>
      </c>
      <c r="K1408" s="9" t="str">
        <f t="shared" ca="1" si="275"/>
        <v>NE</v>
      </c>
      <c r="L1408">
        <f ca="1">+_xlfn.IFNA(VLOOKUP(M1408,BespokeWindowsAreas!$A$1:$E$1999,1,FALSE),VLOOKUP(E1408,WindowTypeArea!$B$2:$C$2000,2,FALSE))</f>
        <v>3.51</v>
      </c>
      <c r="M1408" t="str">
        <f t="shared" ca="1" si="276"/>
        <v xml:space="preserve">ID </v>
      </c>
    </row>
    <row r="1409" spans="1:13" x14ac:dyDescent="0.25">
      <c r="A1409">
        <f t="shared" ca="1" si="269"/>
        <v>3</v>
      </c>
      <c r="B1409">
        <f t="shared" ca="1" si="270"/>
        <v>288</v>
      </c>
      <c r="C1409" t="str">
        <f t="shared" ca="1" si="277"/>
        <v>'WINDOWS-NCH-A-BDP-M3-01-00'!B287</v>
      </c>
      <c r="D1409" s="6" t="str">
        <f t="shared" ca="1" si="278"/>
        <v>L01-CAM-INP-L007-12</v>
      </c>
      <c r="E1409" t="str">
        <f t="shared" ca="1" si="279"/>
        <v>Family Type: 975w x 3600h, CURTAIN WALL-manual input</v>
      </c>
      <c r="F1409" t="str">
        <f t="shared" ca="1" si="280"/>
        <v>Vector(X = 0.130, Y = 0.991, Z = 0.000, Length = 1.000)</v>
      </c>
      <c r="G1409">
        <f t="shared" ca="1" si="271"/>
        <v>0.1</v>
      </c>
      <c r="H1409">
        <f t="shared" ca="1" si="272"/>
        <v>1</v>
      </c>
      <c r="I1409">
        <f t="shared" ca="1" si="273"/>
        <v>0</v>
      </c>
      <c r="J1409" s="8">
        <f t="shared" ca="1" si="274"/>
        <v>84.289406862500371</v>
      </c>
      <c r="K1409" s="9" t="str">
        <f t="shared" ca="1" si="275"/>
        <v>NE</v>
      </c>
      <c r="L1409">
        <f ca="1">+_xlfn.IFNA(VLOOKUP(M1409,BespokeWindowsAreas!$A$1:$E$1999,1,FALSE),VLOOKUP(E1409,WindowTypeArea!$B$2:$C$2000,2,FALSE))</f>
        <v>3.51</v>
      </c>
      <c r="M1409" t="str">
        <f t="shared" ca="1" si="276"/>
        <v xml:space="preserve">ID </v>
      </c>
    </row>
    <row r="1410" spans="1:13" x14ac:dyDescent="0.25">
      <c r="A1410">
        <f t="shared" ca="1" si="269"/>
        <v>3</v>
      </c>
      <c r="B1410">
        <f t="shared" ca="1" si="270"/>
        <v>289</v>
      </c>
      <c r="C1410" t="str">
        <f t="shared" ca="1" si="277"/>
        <v>'WINDOWS-NCH-A-BDP-M3-01-00'!B288</v>
      </c>
      <c r="D1410" s="6" t="str">
        <f t="shared" ca="1" si="278"/>
        <v>L01-OPD-NIC-U1367-01</v>
      </c>
      <c r="E1410" t="str">
        <f t="shared" ca="1" si="279"/>
        <v>L01-OPD-NIC-U1367-01</v>
      </c>
      <c r="F1410" t="str">
        <f t="shared" ca="1" si="280"/>
        <v>ID not used</v>
      </c>
      <c r="G1410">
        <f t="shared" ca="1" si="271"/>
        <v>0</v>
      </c>
      <c r="H1410">
        <f t="shared" ca="1" si="272"/>
        <v>0</v>
      </c>
      <c r="I1410">
        <f t="shared" ca="1" si="273"/>
        <v>0</v>
      </c>
      <c r="J1410" s="8" t="e">
        <f t="shared" ca="1" si="274"/>
        <v>#DIV/0!</v>
      </c>
      <c r="K1410" s="9" t="e">
        <f t="shared" ca="1" si="275"/>
        <v>#DIV/0!</v>
      </c>
      <c r="L1410" t="e">
        <f ca="1">+_xlfn.IFNA(VLOOKUP(M1410,BespokeWindowsAreas!$A$1:$E$1999,1,FALSE),VLOOKUP(E1410,WindowTypeArea!$B$2:$C$2000,2,FALSE))</f>
        <v>#N/A</v>
      </c>
      <c r="M1410">
        <f t="shared" ca="1" si="276"/>
        <v>0</v>
      </c>
    </row>
    <row r="1411" spans="1:13" x14ac:dyDescent="0.25">
      <c r="A1411">
        <f t="shared" ca="1" si="269"/>
        <v>3</v>
      </c>
      <c r="B1411">
        <f t="shared" ca="1" si="270"/>
        <v>290</v>
      </c>
      <c r="C1411" t="str">
        <f t="shared" ca="1" si="277"/>
        <v>'WINDOWS-NCH-A-BDP-M3-01-00'!B289</v>
      </c>
      <c r="D1411" s="6" t="str">
        <f t="shared" ca="1" si="278"/>
        <v>L01-OPD-NIC-U1367-01</v>
      </c>
      <c r="E1411" t="str">
        <f t="shared" ca="1" si="279"/>
        <v>Family Type: 975w x 3050h, Family: Window Internal Type 1 - Flush</v>
      </c>
      <c r="F1411" t="str">
        <f t="shared" ca="1" si="280"/>
        <v>Vector(X = -0.429, Y = 0.903, Z = 0.000, Length = 1.000)</v>
      </c>
      <c r="G1411">
        <f t="shared" ca="1" si="271"/>
        <v>-0.4</v>
      </c>
      <c r="H1411">
        <f t="shared" ca="1" si="272"/>
        <v>0.9</v>
      </c>
      <c r="I1411">
        <f t="shared" ca="1" si="273"/>
        <v>0</v>
      </c>
      <c r="J1411" s="8">
        <f t="shared" ca="1" si="274"/>
        <v>113.96248897457818</v>
      </c>
      <c r="K1411" s="9" t="str">
        <f t="shared" ca="1" si="275"/>
        <v>N</v>
      </c>
      <c r="L1411">
        <f ca="1">+_xlfn.IFNA(VLOOKUP(M1411,BespokeWindowsAreas!$A$1:$E$1999,1,FALSE),VLOOKUP(E1411,WindowTypeArea!$B$2:$C$2000,2,FALSE))</f>
        <v>2.9737499999999999</v>
      </c>
      <c r="M1411">
        <f t="shared" ca="1" si="276"/>
        <v>4785965</v>
      </c>
    </row>
    <row r="1412" spans="1:13" x14ac:dyDescent="0.25">
      <c r="A1412">
        <f t="shared" ca="1" si="269"/>
        <v>3</v>
      </c>
      <c r="B1412">
        <f t="shared" ca="1" si="270"/>
        <v>291</v>
      </c>
      <c r="C1412" t="str">
        <f t="shared" ca="1" si="277"/>
        <v>'WINDOWS-NCH-A-BDP-M3-01-00'!B290</v>
      </c>
      <c r="D1412" s="6" t="str">
        <f t="shared" ca="1" si="278"/>
        <v>L01-OPD-NIC-U1367-01</v>
      </c>
      <c r="E1412" t="str">
        <f t="shared" ca="1" si="279"/>
        <v>Family Type: 1000w x 3050h, Family: Window External Type 4 - Extruded</v>
      </c>
      <c r="F1412" t="str">
        <f t="shared" ca="1" si="280"/>
        <v>Vector(X = -0.429, Y = 0.903, Z = 0.000, Length = 1.000)</v>
      </c>
      <c r="G1412">
        <f t="shared" ca="1" si="271"/>
        <v>-0.4</v>
      </c>
      <c r="H1412">
        <f t="shared" ca="1" si="272"/>
        <v>0.9</v>
      </c>
      <c r="I1412">
        <f t="shared" ca="1" si="273"/>
        <v>0</v>
      </c>
      <c r="J1412" s="8">
        <f t="shared" ca="1" si="274"/>
        <v>113.96248897457818</v>
      </c>
      <c r="K1412" s="9" t="str">
        <f t="shared" ca="1" si="275"/>
        <v>N</v>
      </c>
      <c r="L1412">
        <f ca="1">+_xlfn.IFNA(VLOOKUP(M1412,BespokeWindowsAreas!$A$1:$E$1999,1,FALSE),VLOOKUP(E1412,WindowTypeArea!$B$2:$C$2000,2,FALSE))</f>
        <v>3.05</v>
      </c>
      <c r="M1412">
        <f t="shared" ca="1" si="276"/>
        <v>4837593</v>
      </c>
    </row>
    <row r="1413" spans="1:13" x14ac:dyDescent="0.25">
      <c r="A1413">
        <f t="shared" ca="1" si="269"/>
        <v>3</v>
      </c>
      <c r="B1413">
        <f t="shared" ca="1" si="270"/>
        <v>292</v>
      </c>
      <c r="C1413" t="str">
        <f t="shared" ca="1" si="277"/>
        <v>'WINDOWS-NCH-A-BDP-M3-01-00'!B291</v>
      </c>
      <c r="D1413" s="6" t="str">
        <f t="shared" ca="1" si="278"/>
        <v>L01-OPD-NIC-U1367-01</v>
      </c>
      <c r="E1413" t="str">
        <f t="shared" ca="1" si="279"/>
        <v>Family Type: 1500w x 3050h, Family: Window External Type 3 - Recessed and Angle</v>
      </c>
      <c r="F1413" t="str">
        <f t="shared" ca="1" si="280"/>
        <v>Vector(X = 0.429, Y = -0.903, Z = 0.000, Length = 1.000)</v>
      </c>
      <c r="G1413">
        <f t="shared" ca="1" si="271"/>
        <v>0.4</v>
      </c>
      <c r="H1413">
        <f t="shared" ca="1" si="272"/>
        <v>-0.9</v>
      </c>
      <c r="I1413">
        <f t="shared" ca="1" si="273"/>
        <v>0</v>
      </c>
      <c r="J1413" s="8">
        <f t="shared" ca="1" si="274"/>
        <v>-66.037511025421821</v>
      </c>
      <c r="K1413" s="9" t="str">
        <f t="shared" ca="1" si="275"/>
        <v>S</v>
      </c>
      <c r="L1413">
        <f ca="1">+_xlfn.IFNA(VLOOKUP(M1413,BespokeWindowsAreas!$A$1:$E$1999,1,FALSE),VLOOKUP(E1413,WindowTypeArea!$B$2:$C$2000,2,FALSE))</f>
        <v>4.5750000000000002</v>
      </c>
      <c r="M1413">
        <f t="shared" ca="1" si="276"/>
        <v>4837965</v>
      </c>
    </row>
    <row r="1414" spans="1:13" x14ac:dyDescent="0.25">
      <c r="A1414">
        <f t="shared" ca="1" si="269"/>
        <v>3</v>
      </c>
      <c r="B1414">
        <f t="shared" ca="1" si="270"/>
        <v>293</v>
      </c>
      <c r="C1414" t="str">
        <f t="shared" ca="1" si="277"/>
        <v>'WINDOWS-NCH-A-BDP-M3-01-00'!B292</v>
      </c>
      <c r="D1414" s="6" t="str">
        <f t="shared" ca="1" si="278"/>
        <v>L01-OPD-NIC-U1367-01</v>
      </c>
      <c r="E1414" t="str">
        <f t="shared" ca="1" si="279"/>
        <v>Family Type: 1500w x 3050h, Family: Window External Type 3 - Recessed and Angle</v>
      </c>
      <c r="F1414" t="str">
        <f t="shared" ca="1" si="280"/>
        <v>Vector(X = 0.429, Y = -0.903, Z = 0.000, Length = 1.000)</v>
      </c>
      <c r="G1414">
        <f t="shared" ca="1" si="271"/>
        <v>0.4</v>
      </c>
      <c r="H1414">
        <f t="shared" ca="1" si="272"/>
        <v>-0.9</v>
      </c>
      <c r="I1414">
        <f t="shared" ca="1" si="273"/>
        <v>0</v>
      </c>
      <c r="J1414" s="8">
        <f t="shared" ca="1" si="274"/>
        <v>-66.037511025421821</v>
      </c>
      <c r="K1414" s="9" t="str">
        <f t="shared" ca="1" si="275"/>
        <v>S</v>
      </c>
      <c r="L1414">
        <f ca="1">+_xlfn.IFNA(VLOOKUP(M1414,BespokeWindowsAreas!$A$1:$E$1999,1,FALSE),VLOOKUP(E1414,WindowTypeArea!$B$2:$C$2000,2,FALSE))</f>
        <v>4.5750000000000002</v>
      </c>
      <c r="M1414">
        <f t="shared" ca="1" si="276"/>
        <v>4788590</v>
      </c>
    </row>
    <row r="1415" spans="1:13" x14ac:dyDescent="0.25">
      <c r="A1415">
        <f t="shared" ca="1" si="269"/>
        <v>3</v>
      </c>
      <c r="B1415">
        <f t="shared" ca="1" si="270"/>
        <v>294</v>
      </c>
      <c r="C1415" t="str">
        <f t="shared" ca="1" si="277"/>
        <v>'WINDOWS-NCH-A-BDP-M3-01-00'!B293</v>
      </c>
      <c r="D1415" s="6" t="str">
        <f t="shared" ca="1" si="278"/>
        <v>L01-OPD-NIC-U1367-01</v>
      </c>
      <c r="E1415" t="str">
        <f t="shared" ca="1" si="279"/>
        <v>Family Type: 1000w x 3050h, Family: Window External Type 4 - Extruded</v>
      </c>
      <c r="F1415" t="str">
        <f t="shared" ca="1" si="280"/>
        <v>Vector(X = 0.429, Y = -0.903, Z = 0.000, Length = 1.000)</v>
      </c>
      <c r="G1415">
        <f t="shared" ca="1" si="271"/>
        <v>0.4</v>
      </c>
      <c r="H1415">
        <f t="shared" ca="1" si="272"/>
        <v>-0.9</v>
      </c>
      <c r="I1415">
        <f t="shared" ca="1" si="273"/>
        <v>0</v>
      </c>
      <c r="J1415" s="8">
        <f t="shared" ca="1" si="274"/>
        <v>-66.037511025421821</v>
      </c>
      <c r="K1415" s="9" t="str">
        <f t="shared" ca="1" si="275"/>
        <v>S</v>
      </c>
      <c r="L1415">
        <f ca="1">+_xlfn.IFNA(VLOOKUP(M1415,BespokeWindowsAreas!$A$1:$E$1999,1,FALSE),VLOOKUP(E1415,WindowTypeArea!$B$2:$C$2000,2,FALSE))</f>
        <v>3.05</v>
      </c>
      <c r="M1415">
        <f t="shared" ca="1" si="276"/>
        <v>4788572</v>
      </c>
    </row>
    <row r="1416" spans="1:13" x14ac:dyDescent="0.25">
      <c r="A1416">
        <f t="shared" ca="1" si="269"/>
        <v>3</v>
      </c>
      <c r="B1416">
        <f t="shared" ca="1" si="270"/>
        <v>295</v>
      </c>
      <c r="C1416" t="str">
        <f t="shared" ca="1" si="277"/>
        <v>'WINDOWS-NCH-A-BDP-M3-01-00'!B294</v>
      </c>
      <c r="D1416" s="6" t="str">
        <f t="shared" ca="1" si="278"/>
        <v>L01-OPD-NIC-U1367-01</v>
      </c>
      <c r="E1416" t="str">
        <f t="shared" ca="1" si="279"/>
        <v>Family Type: 1500w x 3050h, Family: Window External Type 3 - Recessed and Angle</v>
      </c>
      <c r="F1416" t="str">
        <f t="shared" ca="1" si="280"/>
        <v>Vector(X = 0.429, Y = -0.903, Z = 0.000, Length = 1.000)</v>
      </c>
      <c r="G1416">
        <f t="shared" ca="1" si="271"/>
        <v>0.4</v>
      </c>
      <c r="H1416">
        <f t="shared" ca="1" si="272"/>
        <v>-0.9</v>
      </c>
      <c r="I1416">
        <f t="shared" ca="1" si="273"/>
        <v>0</v>
      </c>
      <c r="J1416" s="8">
        <f t="shared" ca="1" si="274"/>
        <v>-66.037511025421821</v>
      </c>
      <c r="K1416" s="9" t="str">
        <f t="shared" ca="1" si="275"/>
        <v>S</v>
      </c>
      <c r="L1416">
        <f ca="1">+_xlfn.IFNA(VLOOKUP(M1416,BespokeWindowsAreas!$A$1:$E$1999,1,FALSE),VLOOKUP(E1416,WindowTypeArea!$B$2:$C$2000,2,FALSE))</f>
        <v>4.5750000000000002</v>
      </c>
      <c r="M1416">
        <f t="shared" ca="1" si="276"/>
        <v>5187190</v>
      </c>
    </row>
    <row r="1417" spans="1:13" x14ac:dyDescent="0.25">
      <c r="A1417">
        <f t="shared" ca="1" si="269"/>
        <v>3</v>
      </c>
      <c r="B1417">
        <f t="shared" ca="1" si="270"/>
        <v>296</v>
      </c>
      <c r="C1417" t="str">
        <f t="shared" ca="1" si="277"/>
        <v>'WINDOWS-NCH-A-BDP-M3-01-00'!B295</v>
      </c>
      <c r="D1417" s="6" t="str">
        <f t="shared" ca="1" si="278"/>
        <v>L01-OPD-NIC-U1367-01</v>
      </c>
      <c r="E1417" t="str">
        <f t="shared" ca="1" si="279"/>
        <v>Family Type: 1500w x 3050h, Family: Window External Type 3 - Recessed and Angle</v>
      </c>
      <c r="F1417" t="str">
        <f t="shared" ca="1" si="280"/>
        <v>Vector(X = 0.429, Y = -0.903, Z = 0.000, Length = 1.000)</v>
      </c>
      <c r="G1417">
        <f t="shared" ca="1" si="271"/>
        <v>0.4</v>
      </c>
      <c r="H1417">
        <f t="shared" ca="1" si="272"/>
        <v>-0.9</v>
      </c>
      <c r="I1417">
        <f t="shared" ca="1" si="273"/>
        <v>0</v>
      </c>
      <c r="J1417" s="8">
        <f t="shared" ca="1" si="274"/>
        <v>-66.037511025421821</v>
      </c>
      <c r="K1417" s="9" t="str">
        <f t="shared" ca="1" si="275"/>
        <v>S</v>
      </c>
      <c r="L1417">
        <f ca="1">+_xlfn.IFNA(VLOOKUP(M1417,BespokeWindowsAreas!$A$1:$E$1999,1,FALSE),VLOOKUP(E1417,WindowTypeArea!$B$2:$C$2000,2,FALSE))</f>
        <v>4.5750000000000002</v>
      </c>
      <c r="M1417">
        <f t="shared" ca="1" si="276"/>
        <v>4788512</v>
      </c>
    </row>
    <row r="1418" spans="1:13" x14ac:dyDescent="0.25">
      <c r="A1418">
        <f t="shared" ca="1" si="269"/>
        <v>3</v>
      </c>
      <c r="B1418">
        <f t="shared" ca="1" si="270"/>
        <v>297</v>
      </c>
      <c r="C1418" t="str">
        <f t="shared" ca="1" si="277"/>
        <v>'WINDOWS-NCH-A-BDP-M3-01-00'!B296</v>
      </c>
      <c r="D1418" s="6" t="str">
        <f t="shared" ca="1" si="278"/>
        <v>L01-OPD-NIC-U1367-01</v>
      </c>
      <c r="E1418" t="str">
        <f t="shared" ca="1" si="279"/>
        <v>Family Type: 1500w x 3050h, Family: Window External Type 3 - Recessed and Angle</v>
      </c>
      <c r="F1418" t="str">
        <f t="shared" ca="1" si="280"/>
        <v>Vector(X = 0.429, Y = -0.903, Z = 0.000, Length = 1.000)</v>
      </c>
      <c r="G1418">
        <f t="shared" ca="1" si="271"/>
        <v>0.4</v>
      </c>
      <c r="H1418">
        <f t="shared" ca="1" si="272"/>
        <v>-0.9</v>
      </c>
      <c r="I1418">
        <f t="shared" ca="1" si="273"/>
        <v>0</v>
      </c>
      <c r="J1418" s="8">
        <f t="shared" ca="1" si="274"/>
        <v>-66.037511025421821</v>
      </c>
      <c r="K1418" s="9" t="str">
        <f t="shared" ca="1" si="275"/>
        <v>S</v>
      </c>
      <c r="L1418">
        <f ca="1">+_xlfn.IFNA(VLOOKUP(M1418,BespokeWindowsAreas!$A$1:$E$1999,1,FALSE),VLOOKUP(E1418,WindowTypeArea!$B$2:$C$2000,2,FALSE))</f>
        <v>4.5750000000000002</v>
      </c>
      <c r="M1418">
        <f t="shared" ca="1" si="276"/>
        <v>4788416</v>
      </c>
    </row>
    <row r="1419" spans="1:13" x14ac:dyDescent="0.25">
      <c r="A1419">
        <f t="shared" ca="1" si="269"/>
        <v>3</v>
      </c>
      <c r="B1419">
        <f t="shared" ca="1" si="270"/>
        <v>298</v>
      </c>
      <c r="C1419" t="str">
        <f t="shared" ca="1" si="277"/>
        <v>'WINDOWS-NCH-A-BDP-M3-01-00'!B297</v>
      </c>
      <c r="D1419" s="6" t="str">
        <f t="shared" ca="1" si="278"/>
        <v>L01-OPD-DC2-S148-01</v>
      </c>
      <c r="E1419" t="str">
        <f t="shared" ca="1" si="279"/>
        <v>L01-OPD-DC2-S148-01</v>
      </c>
      <c r="F1419" t="str">
        <f t="shared" ca="1" si="280"/>
        <v>ID not used</v>
      </c>
      <c r="G1419">
        <f t="shared" ca="1" si="271"/>
        <v>0</v>
      </c>
      <c r="H1419">
        <f t="shared" ca="1" si="272"/>
        <v>0</v>
      </c>
      <c r="I1419">
        <f t="shared" ca="1" si="273"/>
        <v>0</v>
      </c>
      <c r="J1419" s="8" t="e">
        <f t="shared" ca="1" si="274"/>
        <v>#DIV/0!</v>
      </c>
      <c r="K1419" s="9" t="e">
        <f t="shared" ca="1" si="275"/>
        <v>#DIV/0!</v>
      </c>
      <c r="L1419" t="e">
        <f ca="1">+_xlfn.IFNA(VLOOKUP(M1419,BespokeWindowsAreas!$A$1:$E$1999,1,FALSE),VLOOKUP(E1419,WindowTypeArea!$B$2:$C$2000,2,FALSE))</f>
        <v>#N/A</v>
      </c>
      <c r="M1419">
        <f t="shared" ca="1" si="276"/>
        <v>0</v>
      </c>
    </row>
    <row r="1420" spans="1:13" x14ac:dyDescent="0.25">
      <c r="A1420">
        <f t="shared" ca="1" si="269"/>
        <v>3</v>
      </c>
      <c r="B1420">
        <f t="shared" ca="1" si="270"/>
        <v>299</v>
      </c>
      <c r="C1420" t="str">
        <f t="shared" ca="1" si="277"/>
        <v>'WINDOWS-NCH-A-BDP-M3-01-00'!B298</v>
      </c>
      <c r="D1420" s="6" t="str">
        <f t="shared" ca="1" si="278"/>
        <v>none - connected to atrium</v>
      </c>
      <c r="E1420" t="str">
        <f t="shared" ca="1" si="279"/>
        <v>none - connected to atrium</v>
      </c>
      <c r="F1420" t="str">
        <f t="shared" ca="1" si="280"/>
        <v>Vector(X = 0.931, Y = 0.364, Z = 0.000, Length = 1.000)</v>
      </c>
      <c r="G1420">
        <f t="shared" ca="1" si="271"/>
        <v>0.9</v>
      </c>
      <c r="H1420">
        <f t="shared" ca="1" si="272"/>
        <v>0.4</v>
      </c>
      <c r="I1420">
        <f t="shared" ca="1" si="273"/>
        <v>0</v>
      </c>
      <c r="J1420" s="8">
        <f t="shared" ca="1" si="274"/>
        <v>23.962488974578186</v>
      </c>
      <c r="K1420" s="9" t="str">
        <f t="shared" ca="1" si="275"/>
        <v>E</v>
      </c>
      <c r="L1420" t="e">
        <f ca="1">+_xlfn.IFNA(VLOOKUP(M1420,BespokeWindowsAreas!$A$1:$E$1999,1,FALSE),VLOOKUP(E1420,WindowTypeArea!$B$2:$C$2000,2,FALSE))</f>
        <v>#N/A</v>
      </c>
      <c r="M1420">
        <f t="shared" ca="1" si="276"/>
        <v>5183325</v>
      </c>
    </row>
    <row r="1421" spans="1:13" x14ac:dyDescent="0.25">
      <c r="A1421">
        <f t="shared" ca="1" si="269"/>
        <v>3</v>
      </c>
      <c r="B1421">
        <f t="shared" ca="1" si="270"/>
        <v>300</v>
      </c>
      <c r="C1421" t="str">
        <f t="shared" ca="1" si="277"/>
        <v>'WINDOWS-NCH-A-BDP-M3-01-00'!B299</v>
      </c>
      <c r="D1421" s="6" t="str">
        <f t="shared" ca="1" si="278"/>
        <v>none - connected to atrium</v>
      </c>
      <c r="E1421" t="str">
        <f t="shared" ca="1" si="279"/>
        <v>none - connected to atrium</v>
      </c>
      <c r="F1421" t="str">
        <f t="shared" ca="1" si="280"/>
        <v>Vector(X = 0.931, Y = 0.364, Z = 0.000, Length = 1.000)</v>
      </c>
      <c r="G1421">
        <f t="shared" ca="1" si="271"/>
        <v>0.9</v>
      </c>
      <c r="H1421">
        <f t="shared" ca="1" si="272"/>
        <v>0.4</v>
      </c>
      <c r="I1421">
        <f t="shared" ca="1" si="273"/>
        <v>0</v>
      </c>
      <c r="J1421" s="8">
        <f t="shared" ca="1" si="274"/>
        <v>23.962488974578186</v>
      </c>
      <c r="K1421" s="9" t="str">
        <f t="shared" ca="1" si="275"/>
        <v>E</v>
      </c>
      <c r="L1421" t="e">
        <f ca="1">+_xlfn.IFNA(VLOOKUP(M1421,BespokeWindowsAreas!$A$1:$E$1999,1,FALSE),VLOOKUP(E1421,WindowTypeArea!$B$2:$C$2000,2,FALSE))</f>
        <v>#N/A</v>
      </c>
      <c r="M1421">
        <f t="shared" ca="1" si="276"/>
        <v>6552673</v>
      </c>
    </row>
    <row r="1422" spans="1:13" x14ac:dyDescent="0.25">
      <c r="A1422">
        <f t="shared" ca="1" si="269"/>
        <v>3</v>
      </c>
      <c r="B1422">
        <f t="shared" ca="1" si="270"/>
        <v>301</v>
      </c>
      <c r="C1422" t="str">
        <f t="shared" ca="1" si="277"/>
        <v>'WINDOWS-NCH-A-BDP-M3-01-00'!B300</v>
      </c>
      <c r="D1422" s="6" t="str">
        <f t="shared" ca="1" si="278"/>
        <v>none - connected to atrium</v>
      </c>
      <c r="E1422" t="str">
        <f t="shared" ca="1" si="279"/>
        <v>none - connected to atrium</v>
      </c>
      <c r="F1422" t="str">
        <f t="shared" ca="1" si="280"/>
        <v>Vector(X = 0.931, Y = 0.364, Z = 0.000, Length = 1.000)</v>
      </c>
      <c r="G1422">
        <f t="shared" ca="1" si="271"/>
        <v>0.9</v>
      </c>
      <c r="H1422">
        <f t="shared" ca="1" si="272"/>
        <v>0.4</v>
      </c>
      <c r="I1422">
        <f t="shared" ca="1" si="273"/>
        <v>0</v>
      </c>
      <c r="J1422" s="8">
        <f t="shared" ca="1" si="274"/>
        <v>23.962488974578186</v>
      </c>
      <c r="K1422" s="9" t="str">
        <f t="shared" ca="1" si="275"/>
        <v>E</v>
      </c>
      <c r="L1422" t="e">
        <f ca="1">+_xlfn.IFNA(VLOOKUP(M1422,BespokeWindowsAreas!$A$1:$E$1999,1,FALSE),VLOOKUP(E1422,WindowTypeArea!$B$2:$C$2000,2,FALSE))</f>
        <v>#N/A</v>
      </c>
      <c r="M1422">
        <f t="shared" ca="1" si="276"/>
        <v>6552674</v>
      </c>
    </row>
    <row r="1423" spans="1:13" x14ac:dyDescent="0.25">
      <c r="A1423">
        <f t="shared" ca="1" si="269"/>
        <v>3</v>
      </c>
      <c r="B1423">
        <f t="shared" ca="1" si="270"/>
        <v>302</v>
      </c>
      <c r="C1423" t="str">
        <f t="shared" ca="1" si="277"/>
        <v>'WINDOWS-NCH-A-BDP-M3-01-00'!B301</v>
      </c>
      <c r="D1423" s="6" t="str">
        <f t="shared" ca="1" si="278"/>
        <v>L01-CAR-INP-U0025-01</v>
      </c>
      <c r="E1423" t="str">
        <f t="shared" ca="1" si="279"/>
        <v>L01-CAR-INP-U0025-01</v>
      </c>
      <c r="F1423" t="str">
        <f t="shared" ca="1" si="280"/>
        <v>ID not used</v>
      </c>
      <c r="G1423">
        <f t="shared" ca="1" si="271"/>
        <v>0</v>
      </c>
      <c r="H1423">
        <f t="shared" ca="1" si="272"/>
        <v>0</v>
      </c>
      <c r="I1423">
        <f t="shared" ca="1" si="273"/>
        <v>0</v>
      </c>
      <c r="J1423" s="8" t="e">
        <f t="shared" ca="1" si="274"/>
        <v>#DIV/0!</v>
      </c>
      <c r="K1423" s="9" t="e">
        <f t="shared" ca="1" si="275"/>
        <v>#DIV/0!</v>
      </c>
      <c r="L1423" t="e">
        <f ca="1">+_xlfn.IFNA(VLOOKUP(M1423,BespokeWindowsAreas!$A$1:$E$1999,1,FALSE),VLOOKUP(E1423,WindowTypeArea!$B$2:$C$2000,2,FALSE))</f>
        <v>#N/A</v>
      </c>
      <c r="M1423">
        <f t="shared" ca="1" si="276"/>
        <v>0</v>
      </c>
    </row>
    <row r="1424" spans="1:13" x14ac:dyDescent="0.25">
      <c r="A1424">
        <f t="shared" ca="1" si="269"/>
        <v>3</v>
      </c>
      <c r="B1424">
        <f t="shared" ca="1" si="270"/>
        <v>303</v>
      </c>
      <c r="C1424" t="str">
        <f t="shared" ca="1" si="277"/>
        <v>'WINDOWS-NCH-A-BDP-M3-01-00'!B302</v>
      </c>
      <c r="D1424" s="6" t="str">
        <f t="shared" ca="1" si="278"/>
        <v>L01-CAR-INP-U0025-01</v>
      </c>
      <c r="E1424" t="str">
        <f t="shared" ca="1" si="279"/>
        <v>Family Type: 975w x 3050h, Family: Window Internal Type 2a - Recessed</v>
      </c>
      <c r="F1424" t="str">
        <f t="shared" ca="1" si="280"/>
        <v>Vector(X = 0.921, Y = 0.390, Z = 0.000, Length = 1.000)</v>
      </c>
      <c r="G1424">
        <f t="shared" ca="1" si="271"/>
        <v>0.9</v>
      </c>
      <c r="H1424">
        <f t="shared" ca="1" si="272"/>
        <v>0.4</v>
      </c>
      <c r="I1424">
        <f t="shared" ca="1" si="273"/>
        <v>0</v>
      </c>
      <c r="J1424" s="8">
        <f t="shared" ca="1" si="274"/>
        <v>23.962488974578186</v>
      </c>
      <c r="K1424" s="9" t="str">
        <f t="shared" ca="1" si="275"/>
        <v>E</v>
      </c>
      <c r="L1424">
        <f ca="1">+_xlfn.IFNA(VLOOKUP(M1424,BespokeWindowsAreas!$A$1:$E$1999,1,FALSE),VLOOKUP(E1424,WindowTypeArea!$B$2:$C$2000,2,FALSE))</f>
        <v>2.9737499999999999</v>
      </c>
      <c r="M1424">
        <f t="shared" ca="1" si="276"/>
        <v>5192272</v>
      </c>
    </row>
    <row r="1425" spans="1:13" x14ac:dyDescent="0.25">
      <c r="A1425">
        <f t="shared" ca="1" si="269"/>
        <v>3</v>
      </c>
      <c r="B1425">
        <f t="shared" ca="1" si="270"/>
        <v>304</v>
      </c>
      <c r="C1425" t="str">
        <f t="shared" ca="1" si="277"/>
        <v>'WINDOWS-NCH-A-BDP-M3-01-00'!B303</v>
      </c>
      <c r="D1425" s="6" t="str">
        <f t="shared" ca="1" si="278"/>
        <v>L01-CAR-INP-U0025-01</v>
      </c>
      <c r="E1425" t="str">
        <f t="shared" ca="1" si="279"/>
        <v>Family Type: 975w x 3050h, Family: Window Internal Type 2a - Recessed</v>
      </c>
      <c r="F1425" t="str">
        <f t="shared" ca="1" si="280"/>
        <v>Vector(X = 0.921, Y = 0.390, Z = 0.000, Length = 1.000)</v>
      </c>
      <c r="G1425">
        <f t="shared" ca="1" si="271"/>
        <v>0.9</v>
      </c>
      <c r="H1425">
        <f t="shared" ca="1" si="272"/>
        <v>0.4</v>
      </c>
      <c r="I1425">
        <f t="shared" ca="1" si="273"/>
        <v>0</v>
      </c>
      <c r="J1425" s="8">
        <f t="shared" ca="1" si="274"/>
        <v>23.962488974578186</v>
      </c>
      <c r="K1425" s="9" t="str">
        <f t="shared" ca="1" si="275"/>
        <v>E</v>
      </c>
      <c r="L1425">
        <f ca="1">+_xlfn.IFNA(VLOOKUP(M1425,BespokeWindowsAreas!$A$1:$E$1999,1,FALSE),VLOOKUP(E1425,WindowTypeArea!$B$2:$C$2000,2,FALSE))</f>
        <v>2.9737499999999999</v>
      </c>
      <c r="M1425">
        <f t="shared" ca="1" si="276"/>
        <v>6535222</v>
      </c>
    </row>
    <row r="1426" spans="1:13" x14ac:dyDescent="0.25">
      <c r="A1426">
        <f t="shared" ca="1" si="269"/>
        <v>3</v>
      </c>
      <c r="B1426">
        <f t="shared" ca="1" si="270"/>
        <v>305</v>
      </c>
      <c r="C1426" t="str">
        <f t="shared" ca="1" si="277"/>
        <v>'WINDOWS-NCH-A-BDP-M3-01-00'!B304</v>
      </c>
      <c r="D1426" s="6" t="str">
        <f t="shared" ca="1" si="278"/>
        <v>L01-CAR-INP-U0025-01</v>
      </c>
      <c r="E1426" t="str">
        <f t="shared" ca="1" si="279"/>
        <v>Family Type: 1950w x 3050h, Family: Window Internal Type 2b - Recessed and Angle</v>
      </c>
      <c r="F1426" t="str">
        <f t="shared" ca="1" si="280"/>
        <v>Vector(X = 0.921, Y = 0.390, Z = 0.000, Length = 1.000)</v>
      </c>
      <c r="G1426">
        <f t="shared" ca="1" si="271"/>
        <v>0.9</v>
      </c>
      <c r="H1426">
        <f t="shared" ca="1" si="272"/>
        <v>0.4</v>
      </c>
      <c r="I1426">
        <f t="shared" ca="1" si="273"/>
        <v>0</v>
      </c>
      <c r="J1426" s="8">
        <f t="shared" ca="1" si="274"/>
        <v>23.962488974578186</v>
      </c>
      <c r="K1426" s="9" t="str">
        <f t="shared" ca="1" si="275"/>
        <v>E</v>
      </c>
      <c r="L1426">
        <f ca="1">+_xlfn.IFNA(VLOOKUP(M1426,BespokeWindowsAreas!$A$1:$E$1999,1,FALSE),VLOOKUP(E1426,WindowTypeArea!$B$2:$C$2000,2,FALSE))</f>
        <v>5.9474999999999998</v>
      </c>
      <c r="M1426">
        <f t="shared" ca="1" si="276"/>
        <v>5191989</v>
      </c>
    </row>
    <row r="1427" spans="1:13" x14ac:dyDescent="0.25">
      <c r="A1427">
        <f t="shared" ca="1" si="269"/>
        <v>3</v>
      </c>
      <c r="B1427">
        <f t="shared" ca="1" si="270"/>
        <v>306</v>
      </c>
      <c r="C1427" t="str">
        <f t="shared" ca="1" si="277"/>
        <v>'WINDOWS-NCH-A-BDP-M3-01-00'!B305</v>
      </c>
      <c r="D1427" s="6" t="str">
        <f t="shared" ca="1" si="278"/>
        <v>L01-CAR-INP-S014-08</v>
      </c>
      <c r="E1427" t="str">
        <f t="shared" ca="1" si="279"/>
        <v>L01-CAR-INP-S014-08</v>
      </c>
      <c r="F1427" t="str">
        <f t="shared" ca="1" si="280"/>
        <v>ID not used</v>
      </c>
      <c r="G1427">
        <f t="shared" ca="1" si="271"/>
        <v>0</v>
      </c>
      <c r="H1427">
        <f t="shared" ca="1" si="272"/>
        <v>0</v>
      </c>
      <c r="I1427">
        <f t="shared" ca="1" si="273"/>
        <v>0</v>
      </c>
      <c r="J1427" s="8" t="e">
        <f t="shared" ca="1" si="274"/>
        <v>#DIV/0!</v>
      </c>
      <c r="K1427" s="9" t="e">
        <f t="shared" ca="1" si="275"/>
        <v>#DIV/0!</v>
      </c>
      <c r="L1427" t="e">
        <f ca="1">+_xlfn.IFNA(VLOOKUP(M1427,BespokeWindowsAreas!$A$1:$E$1999,1,FALSE),VLOOKUP(E1427,WindowTypeArea!$B$2:$C$2000,2,FALSE))</f>
        <v>#N/A</v>
      </c>
      <c r="M1427">
        <f t="shared" ca="1" si="276"/>
        <v>0</v>
      </c>
    </row>
    <row r="1428" spans="1:13" x14ac:dyDescent="0.25">
      <c r="A1428">
        <f t="shared" ref="A1428:A1491" ca="1" si="281">+IF(B1427&lt;=VLOOKUP(MID(C1428,2,26),TABS,2,FALSE),A1427,+A1427+1)</f>
        <v>3</v>
      </c>
      <c r="B1428">
        <f t="shared" ref="B1428:B1491" ca="1" si="282">+IF(B1427&lt;=VLOOKUP(MID(C1428,2,26),TABS,2,FALSE),B1427+1,1)</f>
        <v>307</v>
      </c>
      <c r="C1428" t="str">
        <f t="shared" ca="1" si="277"/>
        <v>'WINDOWS-NCH-A-BDP-M3-01-00'!B306</v>
      </c>
      <c r="D1428" s="6" t="str">
        <f t="shared" ca="1" si="278"/>
        <v>L01-CAR-INP-S014-08</v>
      </c>
      <c r="E1428" t="str">
        <f t="shared" ca="1" si="279"/>
        <v>Family Type: 3490w x 3050h, Family: Window External Type 3 - Recessed and Angle with Type 1 Flush</v>
      </c>
      <c r="F1428" t="str">
        <f t="shared" ca="1" si="280"/>
        <v>Vector(X = -0.323, Y = 0.946, Z = 0.000, Length = 1.000)</v>
      </c>
      <c r="G1428">
        <f t="shared" ca="1" si="271"/>
        <v>-0.3</v>
      </c>
      <c r="H1428">
        <f t="shared" ca="1" si="272"/>
        <v>0.9</v>
      </c>
      <c r="I1428">
        <f t="shared" ca="1" si="273"/>
        <v>0</v>
      </c>
      <c r="J1428" s="8">
        <f t="shared" ca="1" si="274"/>
        <v>108.43494882292201</v>
      </c>
      <c r="K1428" s="9" t="str">
        <f t="shared" ca="1" si="275"/>
        <v>N</v>
      </c>
      <c r="L1428">
        <f ca="1">+_xlfn.IFNA(VLOOKUP(M1428,BespokeWindowsAreas!$A$1:$E$1999,1,FALSE),VLOOKUP(E1428,WindowTypeArea!$B$2:$C$2000,2,FALSE))</f>
        <v>7.67075</v>
      </c>
      <c r="M1428">
        <f t="shared" ca="1" si="276"/>
        <v>7059228</v>
      </c>
    </row>
    <row r="1429" spans="1:13" x14ac:dyDescent="0.25">
      <c r="A1429">
        <f t="shared" ca="1" si="281"/>
        <v>3</v>
      </c>
      <c r="B1429">
        <f t="shared" ca="1" si="282"/>
        <v>308</v>
      </c>
      <c r="C1429" t="str">
        <f t="shared" ca="1" si="277"/>
        <v>'WINDOWS-NCH-A-BDP-M3-01-00'!B307</v>
      </c>
      <c r="D1429" s="6" t="str">
        <f t="shared" ca="1" si="278"/>
        <v>L01-CAR-INP-S014-08</v>
      </c>
      <c r="E1429" t="str">
        <f t="shared" ca="1" si="279"/>
        <v>Family Type: manual 2.6m2</v>
      </c>
      <c r="F1429" t="str">
        <f t="shared" ca="1" si="280"/>
        <v>Vector(X = -0.323, Y = 0.946, Z = 0.000, Length = 1.000)</v>
      </c>
      <c r="G1429">
        <f t="shared" ca="1" si="271"/>
        <v>-0.3</v>
      </c>
      <c r="H1429">
        <f t="shared" ca="1" si="272"/>
        <v>0.9</v>
      </c>
      <c r="I1429">
        <f t="shared" ca="1" si="273"/>
        <v>0</v>
      </c>
      <c r="J1429" s="8">
        <f t="shared" ca="1" si="274"/>
        <v>108.43494882292201</v>
      </c>
      <c r="K1429" s="9" t="str">
        <f t="shared" ca="1" si="275"/>
        <v>N</v>
      </c>
      <c r="L1429">
        <f ca="1">+_xlfn.IFNA(VLOOKUP(M1429,BespokeWindowsAreas!$A$1:$E$1999,1,FALSE),VLOOKUP(E1429,WindowTypeArea!$B$2:$C$2000,2,FALSE))</f>
        <v>2.6</v>
      </c>
      <c r="M1429" t="str">
        <f t="shared" ca="1" si="276"/>
        <v xml:space="preserve">ID </v>
      </c>
    </row>
    <row r="1430" spans="1:13" x14ac:dyDescent="0.25">
      <c r="A1430">
        <f t="shared" ca="1" si="281"/>
        <v>3</v>
      </c>
      <c r="B1430">
        <f t="shared" ca="1" si="282"/>
        <v>309</v>
      </c>
      <c r="C1430" t="str">
        <f t="shared" ca="1" si="277"/>
        <v>'WINDOWS-NCH-A-BDP-M3-01-00'!B308</v>
      </c>
      <c r="D1430" s="6" t="str">
        <f t="shared" ca="1" si="278"/>
        <v>L01-CAR-INP-S014-13</v>
      </c>
      <c r="E1430" t="str">
        <f t="shared" ca="1" si="279"/>
        <v>L01-CAR-INP-S014-13</v>
      </c>
      <c r="F1430" t="str">
        <f t="shared" ca="1" si="280"/>
        <v>ID not used</v>
      </c>
      <c r="G1430">
        <f t="shared" ref="G1430:G1493" ca="1" si="283">+OFFSET(INDIRECT(C1430),0,2)</f>
        <v>0</v>
      </c>
      <c r="H1430">
        <f t="shared" ref="H1430:H1493" ca="1" si="284">+OFFSET(INDIRECT(C1430),0,3)</f>
        <v>0</v>
      </c>
      <c r="I1430">
        <f t="shared" ref="I1430:I1493" ca="1" si="285">+OFFSET(INDIRECT(C1430),0,4)</f>
        <v>0</v>
      </c>
      <c r="J1430" s="8" t="e">
        <f t="shared" ref="J1430:J1493" ca="1" si="286">+DEGREES(ATAN2(G1430,H1430))</f>
        <v>#DIV/0!</v>
      </c>
      <c r="K1430" s="9" t="e">
        <f t="shared" ref="K1430:K1493" ca="1" si="287">VLOOKUP(J1430,$O$20:$P$36,2,-1)</f>
        <v>#DIV/0!</v>
      </c>
      <c r="L1430" t="e">
        <f ca="1">+_xlfn.IFNA(VLOOKUP(M1430,BespokeWindowsAreas!$A$1:$E$1999,1,FALSE),VLOOKUP(E1430,WindowTypeArea!$B$2:$C$2000,2,FALSE))</f>
        <v>#N/A</v>
      </c>
      <c r="M1430">
        <f t="shared" ref="M1430:M1493" ca="1" si="288">+OFFSET(INDIRECT(C1430),0,5)</f>
        <v>0</v>
      </c>
    </row>
    <row r="1431" spans="1:13" x14ac:dyDescent="0.25">
      <c r="A1431">
        <f t="shared" ca="1" si="281"/>
        <v>3</v>
      </c>
      <c r="B1431">
        <f t="shared" ca="1" si="282"/>
        <v>310</v>
      </c>
      <c r="C1431" t="str">
        <f t="shared" ca="1" si="277"/>
        <v>'WINDOWS-NCH-A-BDP-M3-01-00'!B309</v>
      </c>
      <c r="D1431" s="6" t="str">
        <f t="shared" ca="1" si="278"/>
        <v>L01-CAR-INP-S014-13</v>
      </c>
      <c r="E1431" t="str">
        <f t="shared" ca="1" si="279"/>
        <v>Family Type: 1500w x 3050h, Family: Window External Type 3 - Recessed and Angle</v>
      </c>
      <c r="F1431" t="str">
        <f t="shared" ca="1" si="280"/>
        <v>Vector(X = 0.323, Y = -0.946, Z = 0.000, Length = 1.000)</v>
      </c>
      <c r="G1431">
        <f t="shared" ca="1" si="283"/>
        <v>0.3</v>
      </c>
      <c r="H1431">
        <f t="shared" ca="1" si="284"/>
        <v>-0.9</v>
      </c>
      <c r="I1431">
        <f t="shared" ca="1" si="285"/>
        <v>0</v>
      </c>
      <c r="J1431" s="8">
        <f t="shared" ca="1" si="286"/>
        <v>-71.56505117707799</v>
      </c>
      <c r="K1431" s="9" t="str">
        <f t="shared" ca="1" si="287"/>
        <v>S</v>
      </c>
      <c r="L1431">
        <f ca="1">+_xlfn.IFNA(VLOOKUP(M1431,BespokeWindowsAreas!$A$1:$E$1999,1,FALSE),VLOOKUP(E1431,WindowTypeArea!$B$2:$C$2000,2,FALSE))</f>
        <v>4.5750000000000002</v>
      </c>
      <c r="M1431">
        <f t="shared" ca="1" si="288"/>
        <v>5168591</v>
      </c>
    </row>
    <row r="1432" spans="1:13" x14ac:dyDescent="0.25">
      <c r="A1432">
        <f t="shared" ca="1" si="281"/>
        <v>3</v>
      </c>
      <c r="B1432">
        <f t="shared" ca="1" si="282"/>
        <v>311</v>
      </c>
      <c r="C1432" t="str">
        <f t="shared" ca="1" si="277"/>
        <v>'WINDOWS-NCH-A-BDP-M3-01-00'!B310</v>
      </c>
      <c r="D1432" s="6" t="str">
        <f t="shared" ca="1" si="278"/>
        <v>L01-CAR-INP-S014-09</v>
      </c>
      <c r="E1432" t="str">
        <f t="shared" ca="1" si="279"/>
        <v>L01-CAR-INP-S014-09</v>
      </c>
      <c r="F1432" t="str">
        <f t="shared" ca="1" si="280"/>
        <v>ID not used</v>
      </c>
      <c r="G1432">
        <f t="shared" ca="1" si="283"/>
        <v>0</v>
      </c>
      <c r="H1432">
        <f t="shared" ca="1" si="284"/>
        <v>0</v>
      </c>
      <c r="I1432">
        <f t="shared" ca="1" si="285"/>
        <v>0</v>
      </c>
      <c r="J1432" s="8" t="e">
        <f t="shared" ca="1" si="286"/>
        <v>#DIV/0!</v>
      </c>
      <c r="K1432" s="9" t="e">
        <f t="shared" ca="1" si="287"/>
        <v>#DIV/0!</v>
      </c>
      <c r="L1432" t="e">
        <f ca="1">+_xlfn.IFNA(VLOOKUP(M1432,BespokeWindowsAreas!$A$1:$E$1999,1,FALSE),VLOOKUP(E1432,WindowTypeArea!$B$2:$C$2000,2,FALSE))</f>
        <v>#N/A</v>
      </c>
      <c r="M1432">
        <f t="shared" ca="1" si="288"/>
        <v>0</v>
      </c>
    </row>
    <row r="1433" spans="1:13" x14ac:dyDescent="0.25">
      <c r="A1433">
        <f t="shared" ca="1" si="281"/>
        <v>3</v>
      </c>
      <c r="B1433">
        <f t="shared" ca="1" si="282"/>
        <v>312</v>
      </c>
      <c r="C1433" t="str">
        <f t="shared" ca="1" si="277"/>
        <v>'WINDOWS-NCH-A-BDP-M3-01-00'!B311</v>
      </c>
      <c r="D1433" s="6" t="str">
        <f t="shared" ca="1" si="278"/>
        <v>L01-CAR-INP-S014-09</v>
      </c>
      <c r="E1433" t="str">
        <f t="shared" ca="1" si="279"/>
        <v>Family Type: 3490w x 3050h, Family: Window External Type 3 - Recessed and Angle with Type 1 Flush</v>
      </c>
      <c r="F1433" t="str">
        <f t="shared" ca="1" si="280"/>
        <v>Vector(X = 0.323, Y = -0.946, Z = 0.000, Length = 1.000)</v>
      </c>
      <c r="G1433">
        <f t="shared" ca="1" si="283"/>
        <v>0.3</v>
      </c>
      <c r="H1433">
        <f t="shared" ca="1" si="284"/>
        <v>-0.9</v>
      </c>
      <c r="I1433">
        <f t="shared" ca="1" si="285"/>
        <v>0</v>
      </c>
      <c r="J1433" s="8">
        <f t="shared" ca="1" si="286"/>
        <v>-71.56505117707799</v>
      </c>
      <c r="K1433" s="9" t="str">
        <f t="shared" ca="1" si="287"/>
        <v>S</v>
      </c>
      <c r="L1433">
        <f ca="1">+_xlfn.IFNA(VLOOKUP(M1433,BespokeWindowsAreas!$A$1:$E$1999,1,FALSE),VLOOKUP(E1433,WindowTypeArea!$B$2:$C$2000,2,FALSE))</f>
        <v>7.67075</v>
      </c>
      <c r="M1433">
        <f t="shared" ca="1" si="288"/>
        <v>7057747</v>
      </c>
    </row>
    <row r="1434" spans="1:13" x14ac:dyDescent="0.25">
      <c r="A1434">
        <f t="shared" ca="1" si="281"/>
        <v>4</v>
      </c>
      <c r="B1434">
        <f t="shared" ca="1" si="282"/>
        <v>1</v>
      </c>
      <c r="C1434" t="str">
        <f t="shared" ca="1" si="277"/>
        <v>'WINDOWS-NCH-A-BDP-M3-01-00'!B312</v>
      </c>
      <c r="D1434" s="6" t="str">
        <f t="shared" ca="1" si="278"/>
        <v>L01-CAR-INP-S014-09</v>
      </c>
      <c r="E1434" t="str">
        <f t="shared" ca="1" si="279"/>
        <v>Family Type: manual 2.6m2</v>
      </c>
      <c r="F1434" t="str">
        <f t="shared" ca="1" si="280"/>
        <v>Vector(X = -0.323, Y = 0.946, Z = 0.000, Length = 1.000)</v>
      </c>
      <c r="G1434">
        <f t="shared" ca="1" si="283"/>
        <v>0.3</v>
      </c>
      <c r="H1434">
        <f t="shared" ca="1" si="284"/>
        <v>-0.9</v>
      </c>
      <c r="I1434">
        <f t="shared" ca="1" si="285"/>
        <v>0</v>
      </c>
      <c r="J1434" s="8">
        <f t="shared" ca="1" si="286"/>
        <v>-71.56505117707799</v>
      </c>
      <c r="K1434" s="9" t="str">
        <f t="shared" ca="1" si="287"/>
        <v>S</v>
      </c>
      <c r="L1434">
        <f ca="1">+_xlfn.IFNA(VLOOKUP(M1434,BespokeWindowsAreas!$A$1:$E$1999,1,FALSE),VLOOKUP(E1434,WindowTypeArea!$B$2:$C$2000,2,FALSE))</f>
        <v>2.6</v>
      </c>
      <c r="M1434" t="str">
        <f t="shared" ca="1" si="288"/>
        <v xml:space="preserve">ID </v>
      </c>
    </row>
    <row r="1435" spans="1:13" x14ac:dyDescent="0.25">
      <c r="A1435">
        <f t="shared" ca="1" si="281"/>
        <v>4</v>
      </c>
      <c r="B1435">
        <f t="shared" ca="1" si="282"/>
        <v>2</v>
      </c>
      <c r="C1435" t="str">
        <f t="shared" ca="1" si="277"/>
        <v>'WINDOWS-NCH-A-BDP-M3-02-00'!B1</v>
      </c>
      <c r="D1435" s="6">
        <f t="shared" ca="1" si="278"/>
        <v>0</v>
      </c>
      <c r="E1435">
        <f t="shared" ca="1" si="279"/>
        <v>0</v>
      </c>
      <c r="F1435">
        <f t="shared" ca="1" si="280"/>
        <v>0</v>
      </c>
      <c r="G1435">
        <f t="shared" ca="1" si="283"/>
        <v>0</v>
      </c>
      <c r="H1435">
        <f t="shared" ca="1" si="284"/>
        <v>0</v>
      </c>
      <c r="I1435">
        <f t="shared" ca="1" si="285"/>
        <v>0</v>
      </c>
      <c r="J1435" s="8" t="e">
        <f t="shared" ca="1" si="286"/>
        <v>#DIV/0!</v>
      </c>
      <c r="K1435" s="9" t="e">
        <f t="shared" ca="1" si="287"/>
        <v>#DIV/0!</v>
      </c>
      <c r="L1435" t="e">
        <f ca="1">+_xlfn.IFNA(VLOOKUP(M1435,BespokeWindowsAreas!$A$1:$E$1999,1,FALSE),VLOOKUP(E1435,WindowTypeArea!$B$2:$C$2000,2,FALSE))</f>
        <v>#N/A</v>
      </c>
      <c r="M1435">
        <f t="shared" ca="1" si="288"/>
        <v>0</v>
      </c>
    </row>
    <row r="1436" spans="1:13" x14ac:dyDescent="0.25">
      <c r="A1436">
        <f t="shared" ca="1" si="281"/>
        <v>4</v>
      </c>
      <c r="B1436">
        <f t="shared" ca="1" si="282"/>
        <v>3</v>
      </c>
      <c r="C1436" t="str">
        <f t="shared" ca="1" si="277"/>
        <v>'WINDOWS-NCH-A-BDP-M3-02-00'!B2</v>
      </c>
      <c r="D1436" s="6" t="str">
        <f t="shared" ca="1" si="278"/>
        <v>L02-PON-ACC-L008-01</v>
      </c>
      <c r="E1436" t="str">
        <f t="shared" ca="1" si="279"/>
        <v>L02-PON-ACC-L008-01</v>
      </c>
      <c r="F1436">
        <f t="shared" ca="1" si="280"/>
        <v>1543445</v>
      </c>
      <c r="G1436">
        <f t="shared" ca="1" si="283"/>
        <v>0</v>
      </c>
      <c r="H1436">
        <f t="shared" ca="1" si="284"/>
        <v>0</v>
      </c>
      <c r="I1436">
        <f t="shared" ca="1" si="285"/>
        <v>0</v>
      </c>
      <c r="J1436" s="8" t="e">
        <f t="shared" ca="1" si="286"/>
        <v>#DIV/0!</v>
      </c>
      <c r="K1436" s="9" t="e">
        <f t="shared" ca="1" si="287"/>
        <v>#DIV/0!</v>
      </c>
      <c r="L1436" t="e">
        <f ca="1">+_xlfn.IFNA(VLOOKUP(M1436,BespokeWindowsAreas!$A$1:$E$1999,1,FALSE),VLOOKUP(E1436,WindowTypeArea!$B$2:$C$2000,2,FALSE))</f>
        <v>#N/A</v>
      </c>
      <c r="M1436">
        <f t="shared" ca="1" si="288"/>
        <v>0</v>
      </c>
    </row>
    <row r="1437" spans="1:13" x14ac:dyDescent="0.25">
      <c r="A1437">
        <f t="shared" ca="1" si="281"/>
        <v>4</v>
      </c>
      <c r="B1437">
        <f t="shared" ca="1" si="282"/>
        <v>4</v>
      </c>
      <c r="C1437" t="str">
        <f t="shared" ca="1" si="277"/>
        <v>'WINDOWS-NCH-A-BDP-M3-02-00'!B3</v>
      </c>
      <c r="D1437" s="6" t="str">
        <f t="shared" ca="1" si="278"/>
        <v>L02-PON-ACC-L008-01</v>
      </c>
      <c r="E1437" t="str">
        <f t="shared" ca="1" si="279"/>
        <v>Family Type: 1500w x 3050h, Family: Window External Type 3 - Recessed and Angle</v>
      </c>
      <c r="F1437" t="str">
        <f t="shared" ca="1" si="280"/>
        <v>Vector(X = -0.977, Y = -0.212, Z = 0.000, Length = 1.000)</v>
      </c>
      <c r="G1437">
        <f t="shared" ca="1" si="283"/>
        <v>-1</v>
      </c>
      <c r="H1437">
        <f t="shared" ca="1" si="284"/>
        <v>-0.2</v>
      </c>
      <c r="I1437">
        <f t="shared" ca="1" si="285"/>
        <v>0</v>
      </c>
      <c r="J1437" s="8">
        <f t="shared" ca="1" si="286"/>
        <v>-168.69006752597977</v>
      </c>
      <c r="K1437" s="9" t="str">
        <f t="shared" ca="1" si="287"/>
        <v>W</v>
      </c>
      <c r="L1437">
        <f ca="1">+_xlfn.IFNA(VLOOKUP(M1437,BespokeWindowsAreas!$A$1:$E$1999,1,FALSE),VLOOKUP(E1437,WindowTypeArea!$B$2:$C$2000,2,FALSE))</f>
        <v>4.5750000000000002</v>
      </c>
      <c r="M1437">
        <f t="shared" ca="1" si="288"/>
        <v>5288091</v>
      </c>
    </row>
    <row r="1438" spans="1:13" x14ac:dyDescent="0.25">
      <c r="A1438">
        <f t="shared" ca="1" si="281"/>
        <v>4</v>
      </c>
      <c r="B1438">
        <f t="shared" ca="1" si="282"/>
        <v>5</v>
      </c>
      <c r="C1438" t="str">
        <f t="shared" ca="1" si="277"/>
        <v>'WINDOWS-NCH-A-BDP-M3-02-00'!B4</v>
      </c>
      <c r="D1438" s="6" t="str">
        <f t="shared" ca="1" si="278"/>
        <v>L02-PON-ACC-L008-21</v>
      </c>
      <c r="E1438" t="str">
        <f t="shared" ca="1" si="279"/>
        <v>L02-PON-ACC-L008-21</v>
      </c>
      <c r="F1438">
        <f t="shared" ca="1" si="280"/>
        <v>1543449</v>
      </c>
      <c r="G1438">
        <f t="shared" ca="1" si="283"/>
        <v>0</v>
      </c>
      <c r="H1438">
        <f t="shared" ca="1" si="284"/>
        <v>0</v>
      </c>
      <c r="I1438">
        <f t="shared" ca="1" si="285"/>
        <v>0</v>
      </c>
      <c r="J1438" s="8" t="e">
        <f t="shared" ca="1" si="286"/>
        <v>#DIV/0!</v>
      </c>
      <c r="K1438" s="9" t="e">
        <f t="shared" ca="1" si="287"/>
        <v>#DIV/0!</v>
      </c>
      <c r="L1438" t="e">
        <f ca="1">+_xlfn.IFNA(VLOOKUP(M1438,BespokeWindowsAreas!$A$1:$E$1999,1,FALSE),VLOOKUP(E1438,WindowTypeArea!$B$2:$C$2000,2,FALSE))</f>
        <v>#N/A</v>
      </c>
      <c r="M1438">
        <f t="shared" ca="1" si="288"/>
        <v>0</v>
      </c>
    </row>
    <row r="1439" spans="1:13" x14ac:dyDescent="0.25">
      <c r="A1439">
        <f t="shared" ca="1" si="281"/>
        <v>4</v>
      </c>
      <c r="B1439">
        <f t="shared" ca="1" si="282"/>
        <v>6</v>
      </c>
      <c r="C1439" t="str">
        <f t="shared" ca="1" si="277"/>
        <v>'WINDOWS-NCH-A-BDP-M3-02-00'!B5</v>
      </c>
      <c r="D1439" s="6" t="str">
        <f t="shared" ca="1" si="278"/>
        <v>L02-PON-ACC-L008-21</v>
      </c>
      <c r="E1439" t="str">
        <f t="shared" ca="1" si="279"/>
        <v>Family Type: 1500w x 3050h, Family: Window External Type 1 - Recessed</v>
      </c>
      <c r="F1439" t="str">
        <f t="shared" ca="1" si="280"/>
        <v>Vector(X = 0.212, Y = -0.977, Z = 0.000, Length = 1.000)</v>
      </c>
      <c r="G1439">
        <f t="shared" ca="1" si="283"/>
        <v>0.2</v>
      </c>
      <c r="H1439">
        <f t="shared" ca="1" si="284"/>
        <v>-1</v>
      </c>
      <c r="I1439">
        <f t="shared" ca="1" si="285"/>
        <v>0</v>
      </c>
      <c r="J1439" s="8">
        <f t="shared" ca="1" si="286"/>
        <v>-78.690067525979785</v>
      </c>
      <c r="K1439" s="9" t="str">
        <f t="shared" ca="1" si="287"/>
        <v>S</v>
      </c>
      <c r="L1439">
        <f ca="1">+_xlfn.IFNA(VLOOKUP(M1439,BespokeWindowsAreas!$A$1:$E$1999,1,FALSE),VLOOKUP(E1439,WindowTypeArea!$B$2:$C$2000,2,FALSE))</f>
        <v>4.5750000000000002</v>
      </c>
      <c r="M1439">
        <f t="shared" ca="1" si="288"/>
        <v>6095294</v>
      </c>
    </row>
    <row r="1440" spans="1:13" x14ac:dyDescent="0.25">
      <c r="A1440">
        <f t="shared" ca="1" si="281"/>
        <v>4</v>
      </c>
      <c r="B1440">
        <f t="shared" ca="1" si="282"/>
        <v>7</v>
      </c>
      <c r="C1440" t="str">
        <f t="shared" ca="1" si="277"/>
        <v>'WINDOWS-NCH-A-BDP-M3-02-00'!B6</v>
      </c>
      <c r="D1440" s="6" t="str">
        <f t="shared" ca="1" si="278"/>
        <v>L02-PON-ACC-L008-03</v>
      </c>
      <c r="E1440" t="str">
        <f t="shared" ca="1" si="279"/>
        <v>L02-PON-ACC-L008-03</v>
      </c>
      <c r="F1440">
        <f t="shared" ca="1" si="280"/>
        <v>1543469</v>
      </c>
      <c r="G1440">
        <f t="shared" ca="1" si="283"/>
        <v>0</v>
      </c>
      <c r="H1440">
        <f t="shared" ca="1" si="284"/>
        <v>0</v>
      </c>
      <c r="I1440">
        <f t="shared" ca="1" si="285"/>
        <v>0</v>
      </c>
      <c r="J1440" s="8" t="e">
        <f t="shared" ca="1" si="286"/>
        <v>#DIV/0!</v>
      </c>
      <c r="K1440" s="9" t="e">
        <f t="shared" ca="1" si="287"/>
        <v>#DIV/0!</v>
      </c>
      <c r="L1440" t="e">
        <f ca="1">+_xlfn.IFNA(VLOOKUP(M1440,BespokeWindowsAreas!$A$1:$E$1999,1,FALSE),VLOOKUP(E1440,WindowTypeArea!$B$2:$C$2000,2,FALSE))</f>
        <v>#N/A</v>
      </c>
      <c r="M1440">
        <f t="shared" ca="1" si="288"/>
        <v>0</v>
      </c>
    </row>
    <row r="1441" spans="1:13" x14ac:dyDescent="0.25">
      <c r="A1441">
        <f t="shared" ca="1" si="281"/>
        <v>4</v>
      </c>
      <c r="B1441">
        <f t="shared" ca="1" si="282"/>
        <v>8</v>
      </c>
      <c r="C1441" t="str">
        <f t="shared" ca="1" si="277"/>
        <v>'WINDOWS-NCH-A-BDP-M3-02-00'!B7</v>
      </c>
      <c r="D1441" s="6" t="str">
        <f t="shared" ca="1" si="278"/>
        <v>L02-PON-ACC-L008-03</v>
      </c>
      <c r="E1441" t="str">
        <f t="shared" ca="1" si="279"/>
        <v>Family Type: 975w x 3050h, Family: Window External Type 1 - Recessed</v>
      </c>
      <c r="F1441" t="str">
        <f t="shared" ca="1" si="280"/>
        <v>Vector(X = -0.977, Y = -0.212, Z = 0.000, Length = 1.000)</v>
      </c>
      <c r="G1441">
        <f t="shared" ca="1" si="283"/>
        <v>-1</v>
      </c>
      <c r="H1441">
        <f t="shared" ca="1" si="284"/>
        <v>-0.2</v>
      </c>
      <c r="I1441">
        <f t="shared" ca="1" si="285"/>
        <v>0</v>
      </c>
      <c r="J1441" s="8">
        <f t="shared" ca="1" si="286"/>
        <v>-168.69006752597977</v>
      </c>
      <c r="K1441" s="9" t="str">
        <f t="shared" ca="1" si="287"/>
        <v>W</v>
      </c>
      <c r="L1441">
        <f ca="1">+_xlfn.IFNA(VLOOKUP(M1441,BespokeWindowsAreas!$A$1:$E$1999,1,FALSE),VLOOKUP(E1441,WindowTypeArea!$B$2:$C$2000,2,FALSE))</f>
        <v>2.9737499999999999</v>
      </c>
      <c r="M1441">
        <f t="shared" ca="1" si="288"/>
        <v>5288342</v>
      </c>
    </row>
    <row r="1442" spans="1:13" x14ac:dyDescent="0.25">
      <c r="A1442">
        <f t="shared" ca="1" si="281"/>
        <v>4</v>
      </c>
      <c r="B1442">
        <f t="shared" ca="1" si="282"/>
        <v>9</v>
      </c>
      <c r="C1442" t="str">
        <f t="shared" ca="1" si="277"/>
        <v>'WINDOWS-NCH-A-BDP-M3-02-00'!B8</v>
      </c>
      <c r="D1442" s="6" t="str">
        <f t="shared" ca="1" si="278"/>
        <v>L02-PON-ACC-L008-04</v>
      </c>
      <c r="E1442" t="str">
        <f t="shared" ca="1" si="279"/>
        <v>L02-PON-ACC-L008-04</v>
      </c>
      <c r="F1442">
        <f t="shared" ca="1" si="280"/>
        <v>1543471</v>
      </c>
      <c r="G1442">
        <f t="shared" ca="1" si="283"/>
        <v>0</v>
      </c>
      <c r="H1442">
        <f t="shared" ca="1" si="284"/>
        <v>0</v>
      </c>
      <c r="I1442">
        <f t="shared" ca="1" si="285"/>
        <v>0</v>
      </c>
      <c r="J1442" s="8" t="e">
        <f t="shared" ca="1" si="286"/>
        <v>#DIV/0!</v>
      </c>
      <c r="K1442" s="9" t="e">
        <f t="shared" ca="1" si="287"/>
        <v>#DIV/0!</v>
      </c>
      <c r="L1442" t="e">
        <f ca="1">+_xlfn.IFNA(VLOOKUP(M1442,BespokeWindowsAreas!$A$1:$E$1999,1,FALSE),VLOOKUP(E1442,WindowTypeArea!$B$2:$C$2000,2,FALSE))</f>
        <v>#N/A</v>
      </c>
      <c r="M1442">
        <f t="shared" ca="1" si="288"/>
        <v>0</v>
      </c>
    </row>
    <row r="1443" spans="1:13" x14ac:dyDescent="0.25">
      <c r="A1443">
        <f t="shared" ca="1" si="281"/>
        <v>4</v>
      </c>
      <c r="B1443">
        <f t="shared" ca="1" si="282"/>
        <v>10</v>
      </c>
      <c r="C1443" t="str">
        <f t="shared" ca="1" si="277"/>
        <v>'WINDOWS-NCH-A-BDP-M3-02-00'!B9</v>
      </c>
      <c r="D1443" s="6" t="str">
        <f t="shared" ca="1" si="278"/>
        <v>L02-PON-ACC-L008-04</v>
      </c>
      <c r="E1443" t="str">
        <f t="shared" ca="1" si="279"/>
        <v>Family Type: 1500w x 3050h, Family: Window External Type 3 - Recessed and Angle</v>
      </c>
      <c r="F1443" t="str">
        <f t="shared" ca="1" si="280"/>
        <v>Vector(X = 0.977, Y = 0.212, Z = 0.000, Length = 1.000)</v>
      </c>
      <c r="G1443">
        <f t="shared" ca="1" si="283"/>
        <v>1</v>
      </c>
      <c r="H1443">
        <f t="shared" ca="1" si="284"/>
        <v>0.2</v>
      </c>
      <c r="I1443">
        <f t="shared" ca="1" si="285"/>
        <v>0</v>
      </c>
      <c r="J1443" s="8">
        <f t="shared" ca="1" si="286"/>
        <v>11.309932474020215</v>
      </c>
      <c r="K1443" s="9" t="str">
        <f t="shared" ca="1" si="287"/>
        <v>E</v>
      </c>
      <c r="L1443">
        <f ca="1">+_xlfn.IFNA(VLOOKUP(M1443,BespokeWindowsAreas!$A$1:$E$1999,1,FALSE),VLOOKUP(E1443,WindowTypeArea!$B$2:$C$2000,2,FALSE))</f>
        <v>4.5750000000000002</v>
      </c>
      <c r="M1443">
        <f t="shared" ca="1" si="288"/>
        <v>5287398</v>
      </c>
    </row>
    <row r="1444" spans="1:13" x14ac:dyDescent="0.25">
      <c r="A1444">
        <f t="shared" ca="1" si="281"/>
        <v>4</v>
      </c>
      <c r="B1444">
        <f t="shared" ca="1" si="282"/>
        <v>11</v>
      </c>
      <c r="C1444" t="str">
        <f t="shared" ca="1" si="277"/>
        <v>'WINDOWS-NCH-A-BDP-M3-02-00'!B10</v>
      </c>
      <c r="D1444" s="6" t="str">
        <f t="shared" ca="1" si="278"/>
        <v>L02-PON-ACC-L008-05</v>
      </c>
      <c r="E1444" t="str">
        <f t="shared" ca="1" si="279"/>
        <v>L02-PON-ACC-L008-05</v>
      </c>
      <c r="F1444">
        <f t="shared" ca="1" si="280"/>
        <v>1543473</v>
      </c>
      <c r="G1444">
        <f t="shared" ca="1" si="283"/>
        <v>0</v>
      </c>
      <c r="H1444">
        <f t="shared" ca="1" si="284"/>
        <v>0</v>
      </c>
      <c r="I1444">
        <f t="shared" ca="1" si="285"/>
        <v>0</v>
      </c>
      <c r="J1444" s="8" t="e">
        <f t="shared" ca="1" si="286"/>
        <v>#DIV/0!</v>
      </c>
      <c r="K1444" s="9" t="e">
        <f t="shared" ca="1" si="287"/>
        <v>#DIV/0!</v>
      </c>
      <c r="L1444" t="e">
        <f ca="1">+_xlfn.IFNA(VLOOKUP(M1444,BespokeWindowsAreas!$A$1:$E$1999,1,FALSE),VLOOKUP(E1444,WindowTypeArea!$B$2:$C$2000,2,FALSE))</f>
        <v>#N/A</v>
      </c>
      <c r="M1444">
        <f t="shared" ca="1" si="288"/>
        <v>0</v>
      </c>
    </row>
    <row r="1445" spans="1:13" x14ac:dyDescent="0.25">
      <c r="A1445">
        <f t="shared" ca="1" si="281"/>
        <v>4</v>
      </c>
      <c r="B1445">
        <f t="shared" ca="1" si="282"/>
        <v>12</v>
      </c>
      <c r="C1445" t="str">
        <f t="shared" ca="1" si="277"/>
        <v>'WINDOWS-NCH-A-BDP-M3-02-00'!B11</v>
      </c>
      <c r="D1445" s="6" t="str">
        <f t="shared" ca="1" si="278"/>
        <v>L02-PON-ACC-L008-05</v>
      </c>
      <c r="E1445" t="str">
        <f t="shared" ca="1" si="279"/>
        <v>Family Type: 1950w x 3050h, Family: Window External Type 3 - Recessed and Angle</v>
      </c>
      <c r="F1445" t="str">
        <f t="shared" ca="1" si="280"/>
        <v>Vector(X = 0.977, Y = 0.212, Z = 0.000, Length = 1.000)</v>
      </c>
      <c r="G1445">
        <f t="shared" ca="1" si="283"/>
        <v>1</v>
      </c>
      <c r="H1445">
        <f t="shared" ca="1" si="284"/>
        <v>0.2</v>
      </c>
      <c r="I1445">
        <f t="shared" ca="1" si="285"/>
        <v>0</v>
      </c>
      <c r="J1445" s="8">
        <f t="shared" ca="1" si="286"/>
        <v>11.309932474020215</v>
      </c>
      <c r="K1445" s="9" t="str">
        <f t="shared" ca="1" si="287"/>
        <v>E</v>
      </c>
      <c r="L1445">
        <f ca="1">+_xlfn.IFNA(VLOOKUP(M1445,BespokeWindowsAreas!$A$1:$E$1999,1,FALSE),VLOOKUP(E1445,WindowTypeArea!$B$2:$C$2000,2,FALSE))</f>
        <v>5.9474999999999998</v>
      </c>
      <c r="M1445">
        <f t="shared" ca="1" si="288"/>
        <v>3744527</v>
      </c>
    </row>
    <row r="1446" spans="1:13" x14ac:dyDescent="0.25">
      <c r="A1446">
        <f t="shared" ca="1" si="281"/>
        <v>4</v>
      </c>
      <c r="B1446">
        <f t="shared" ca="1" si="282"/>
        <v>13</v>
      </c>
      <c r="C1446" t="str">
        <f t="shared" ca="1" si="277"/>
        <v>'WINDOWS-NCH-A-BDP-M3-02-00'!B12</v>
      </c>
      <c r="D1446" s="6" t="str">
        <f t="shared" ca="1" si="278"/>
        <v>L02-PON-ACC-L008-06</v>
      </c>
      <c r="E1446" t="str">
        <f t="shared" ca="1" si="279"/>
        <v>L02-PON-ACC-L008-06</v>
      </c>
      <c r="F1446">
        <f t="shared" ca="1" si="280"/>
        <v>1543475</v>
      </c>
      <c r="G1446">
        <f t="shared" ca="1" si="283"/>
        <v>0</v>
      </c>
      <c r="H1446">
        <f t="shared" ca="1" si="284"/>
        <v>0</v>
      </c>
      <c r="I1446">
        <f t="shared" ca="1" si="285"/>
        <v>0</v>
      </c>
      <c r="J1446" s="8" t="e">
        <f t="shared" ca="1" si="286"/>
        <v>#DIV/0!</v>
      </c>
      <c r="K1446" s="9" t="e">
        <f t="shared" ca="1" si="287"/>
        <v>#DIV/0!</v>
      </c>
      <c r="L1446" t="e">
        <f ca="1">+_xlfn.IFNA(VLOOKUP(M1446,BespokeWindowsAreas!$A$1:$E$1999,1,FALSE),VLOOKUP(E1446,WindowTypeArea!$B$2:$C$2000,2,FALSE))</f>
        <v>#N/A</v>
      </c>
      <c r="M1446">
        <f t="shared" ca="1" si="288"/>
        <v>0</v>
      </c>
    </row>
    <row r="1447" spans="1:13" x14ac:dyDescent="0.25">
      <c r="A1447">
        <f t="shared" ca="1" si="281"/>
        <v>4</v>
      </c>
      <c r="B1447">
        <f t="shared" ca="1" si="282"/>
        <v>14</v>
      </c>
      <c r="C1447" t="str">
        <f t="shared" ca="1" si="277"/>
        <v>'WINDOWS-NCH-A-BDP-M3-02-00'!B13</v>
      </c>
      <c r="D1447" s="6" t="str">
        <f t="shared" ca="1" si="278"/>
        <v>L02-PON-ACC-L008-06</v>
      </c>
      <c r="E1447" t="str">
        <f t="shared" ca="1" si="279"/>
        <v>Family Type: 1000w x 3050h, Family: Window External Type 2 - Recessed and Fin</v>
      </c>
      <c r="F1447" t="str">
        <f t="shared" ca="1" si="280"/>
        <v>Vector(X = -0.212, Y = 0.977, Z = 0.000, Length = 1.000)</v>
      </c>
      <c r="G1447">
        <f t="shared" ca="1" si="283"/>
        <v>-0.2</v>
      </c>
      <c r="H1447">
        <f t="shared" ca="1" si="284"/>
        <v>1</v>
      </c>
      <c r="I1447">
        <f t="shared" ca="1" si="285"/>
        <v>0</v>
      </c>
      <c r="J1447" s="8">
        <f t="shared" ca="1" si="286"/>
        <v>101.3099324740202</v>
      </c>
      <c r="K1447" s="9" t="str">
        <f t="shared" ca="1" si="287"/>
        <v>N</v>
      </c>
      <c r="L1447">
        <f ca="1">+_xlfn.IFNA(VLOOKUP(M1447,BespokeWindowsAreas!$A$1:$E$1999,1,FALSE),VLOOKUP(E1447,WindowTypeArea!$B$2:$C$2000,2,FALSE))</f>
        <v>3.05</v>
      </c>
      <c r="M1447">
        <f t="shared" ca="1" si="288"/>
        <v>4813396</v>
      </c>
    </row>
    <row r="1448" spans="1:13" x14ac:dyDescent="0.25">
      <c r="A1448">
        <f t="shared" ca="1" si="281"/>
        <v>4</v>
      </c>
      <c r="B1448">
        <f t="shared" ca="1" si="282"/>
        <v>15</v>
      </c>
      <c r="C1448" t="str">
        <f t="shared" ca="1" si="277"/>
        <v>'WINDOWS-NCH-A-BDP-M3-02-00'!B14</v>
      </c>
      <c r="D1448" s="6" t="str">
        <f t="shared" ca="1" si="278"/>
        <v>L02-PON-ACC-L008-07</v>
      </c>
      <c r="E1448" t="str">
        <f t="shared" ca="1" si="279"/>
        <v>L02-PON-ACC-L008-07</v>
      </c>
      <c r="F1448">
        <f t="shared" ca="1" si="280"/>
        <v>1543477</v>
      </c>
      <c r="G1448">
        <f t="shared" ca="1" si="283"/>
        <v>0</v>
      </c>
      <c r="H1448">
        <f t="shared" ca="1" si="284"/>
        <v>0</v>
      </c>
      <c r="I1448">
        <f t="shared" ca="1" si="285"/>
        <v>0</v>
      </c>
      <c r="J1448" s="8" t="e">
        <f t="shared" ca="1" si="286"/>
        <v>#DIV/0!</v>
      </c>
      <c r="K1448" s="9" t="e">
        <f t="shared" ca="1" si="287"/>
        <v>#DIV/0!</v>
      </c>
      <c r="L1448" t="e">
        <f ca="1">+_xlfn.IFNA(VLOOKUP(M1448,BespokeWindowsAreas!$A$1:$E$1999,1,FALSE),VLOOKUP(E1448,WindowTypeArea!$B$2:$C$2000,2,FALSE))</f>
        <v>#N/A</v>
      </c>
      <c r="M1448">
        <f t="shared" ca="1" si="288"/>
        <v>0</v>
      </c>
    </row>
    <row r="1449" spans="1:13" x14ac:dyDescent="0.25">
      <c r="A1449">
        <f t="shared" ca="1" si="281"/>
        <v>4</v>
      </c>
      <c r="B1449">
        <f t="shared" ca="1" si="282"/>
        <v>16</v>
      </c>
      <c r="C1449" t="str">
        <f t="shared" ca="1" si="277"/>
        <v>'WINDOWS-NCH-A-BDP-M3-02-00'!B15</v>
      </c>
      <c r="D1449" s="6" t="str">
        <f t="shared" ca="1" si="278"/>
        <v>L02-PON-ACC-L008-07</v>
      </c>
      <c r="E1449" t="str">
        <f t="shared" ca="1" si="279"/>
        <v>Family Type: 1500w x 3050h, Family: Window External Type 3 - Recessed and Angle</v>
      </c>
      <c r="F1449" t="str">
        <f t="shared" ca="1" si="280"/>
        <v>Vector(X = -0.212, Y = 0.977, Z = 0.000, Length = 1.000)</v>
      </c>
      <c r="G1449">
        <f t="shared" ca="1" si="283"/>
        <v>-0.2</v>
      </c>
      <c r="H1449">
        <f t="shared" ca="1" si="284"/>
        <v>1</v>
      </c>
      <c r="I1449">
        <f t="shared" ca="1" si="285"/>
        <v>0</v>
      </c>
      <c r="J1449" s="8">
        <f t="shared" ca="1" si="286"/>
        <v>101.3099324740202</v>
      </c>
      <c r="K1449" s="9" t="str">
        <f t="shared" ca="1" si="287"/>
        <v>N</v>
      </c>
      <c r="L1449">
        <f ca="1">+_xlfn.IFNA(VLOOKUP(M1449,BespokeWindowsAreas!$A$1:$E$1999,1,FALSE),VLOOKUP(E1449,WindowTypeArea!$B$2:$C$2000,2,FALSE))</f>
        <v>4.5750000000000002</v>
      </c>
      <c r="M1449">
        <f t="shared" ca="1" si="288"/>
        <v>4813628</v>
      </c>
    </row>
    <row r="1450" spans="1:13" x14ac:dyDescent="0.25">
      <c r="A1450">
        <f t="shared" ca="1" si="281"/>
        <v>4</v>
      </c>
      <c r="B1450">
        <f t="shared" ca="1" si="282"/>
        <v>17</v>
      </c>
      <c r="C1450" t="str">
        <f t="shared" ca="1" si="277"/>
        <v>'WINDOWS-NCH-A-BDP-M3-02-00'!B16</v>
      </c>
      <c r="D1450" s="6" t="str">
        <f t="shared" ca="1" si="278"/>
        <v>L02-PON-ACC-L008-08</v>
      </c>
      <c r="E1450" t="str">
        <f t="shared" ca="1" si="279"/>
        <v>L02-PON-ACC-L008-08</v>
      </c>
      <c r="F1450">
        <f t="shared" ca="1" si="280"/>
        <v>1543479</v>
      </c>
      <c r="G1450">
        <f t="shared" ca="1" si="283"/>
        <v>0</v>
      </c>
      <c r="H1450">
        <f t="shared" ca="1" si="284"/>
        <v>0</v>
      </c>
      <c r="I1450">
        <f t="shared" ca="1" si="285"/>
        <v>0</v>
      </c>
      <c r="J1450" s="8" t="e">
        <f t="shared" ca="1" si="286"/>
        <v>#DIV/0!</v>
      </c>
      <c r="K1450" s="9" t="e">
        <f t="shared" ca="1" si="287"/>
        <v>#DIV/0!</v>
      </c>
      <c r="L1450" t="e">
        <f ca="1">+_xlfn.IFNA(VLOOKUP(M1450,BespokeWindowsAreas!$A$1:$E$1999,1,FALSE),VLOOKUP(E1450,WindowTypeArea!$B$2:$C$2000,2,FALSE))</f>
        <v>#N/A</v>
      </c>
      <c r="M1450">
        <f t="shared" ca="1" si="288"/>
        <v>0</v>
      </c>
    </row>
    <row r="1451" spans="1:13" x14ac:dyDescent="0.25">
      <c r="A1451">
        <f t="shared" ca="1" si="281"/>
        <v>4</v>
      </c>
      <c r="B1451">
        <f t="shared" ca="1" si="282"/>
        <v>18</v>
      </c>
      <c r="C1451" t="str">
        <f t="shared" ref="C1451:C1514" ca="1" si="289">+"'"&amp;INDIRECT("a"&amp;A1450)&amp;"'!B"&amp;B1450</f>
        <v>'WINDOWS-NCH-A-BDP-M3-02-00'!B17</v>
      </c>
      <c r="D1451" s="6" t="str">
        <f t="shared" ref="D1451:D1514" ca="1" si="290">+IF(IFERROR(FIND("Family",E1451)&gt;0,FALSE),D1450,E1451)</f>
        <v>L02-PON-ACC-L008-08</v>
      </c>
      <c r="E1451" t="str">
        <f t="shared" ref="E1451:E1514" ca="1" si="291">+OFFSET(INDIRECT(C1451),0,0)</f>
        <v>Family Type: 1000w x 3050h, Family: Window External Type 2 - Recessed and Fin</v>
      </c>
      <c r="F1451" t="str">
        <f t="shared" ref="F1451:F1514" ca="1" si="292">+OFFSET(INDIRECT(C1451),0,1)</f>
        <v>Vector(X = -0.212, Y = 0.977, Z = 0.000, Length = 1.000)</v>
      </c>
      <c r="G1451">
        <f t="shared" ca="1" si="283"/>
        <v>-0.2</v>
      </c>
      <c r="H1451">
        <f t="shared" ca="1" si="284"/>
        <v>1</v>
      </c>
      <c r="I1451">
        <f t="shared" ca="1" si="285"/>
        <v>0</v>
      </c>
      <c r="J1451" s="8">
        <f t="shared" ca="1" si="286"/>
        <v>101.3099324740202</v>
      </c>
      <c r="K1451" s="9" t="str">
        <f t="shared" ca="1" si="287"/>
        <v>N</v>
      </c>
      <c r="L1451">
        <f ca="1">+_xlfn.IFNA(VLOOKUP(M1451,BespokeWindowsAreas!$A$1:$E$1999,1,FALSE),VLOOKUP(E1451,WindowTypeArea!$B$2:$C$2000,2,FALSE))</f>
        <v>3.05</v>
      </c>
      <c r="M1451">
        <f t="shared" ca="1" si="288"/>
        <v>4814690</v>
      </c>
    </row>
    <row r="1452" spans="1:13" x14ac:dyDescent="0.25">
      <c r="A1452">
        <f t="shared" ca="1" si="281"/>
        <v>4</v>
      </c>
      <c r="B1452">
        <f t="shared" ca="1" si="282"/>
        <v>19</v>
      </c>
      <c r="C1452" t="str">
        <f t="shared" ca="1" si="289"/>
        <v>'WINDOWS-NCH-A-BDP-M3-02-00'!B18</v>
      </c>
      <c r="D1452" s="6" t="str">
        <f t="shared" ca="1" si="290"/>
        <v>L02-PON-ACC-L008-09</v>
      </c>
      <c r="E1452" t="str">
        <f t="shared" ca="1" si="291"/>
        <v>L02-PON-ACC-L008-09</v>
      </c>
      <c r="F1452">
        <f t="shared" ca="1" si="292"/>
        <v>1543481</v>
      </c>
      <c r="G1452">
        <f t="shared" ca="1" si="283"/>
        <v>0</v>
      </c>
      <c r="H1452">
        <f t="shared" ca="1" si="284"/>
        <v>0</v>
      </c>
      <c r="I1452">
        <f t="shared" ca="1" si="285"/>
        <v>0</v>
      </c>
      <c r="J1452" s="8" t="e">
        <f t="shared" ca="1" si="286"/>
        <v>#DIV/0!</v>
      </c>
      <c r="K1452" s="9" t="e">
        <f t="shared" ca="1" si="287"/>
        <v>#DIV/0!</v>
      </c>
      <c r="L1452" t="e">
        <f ca="1">+_xlfn.IFNA(VLOOKUP(M1452,BespokeWindowsAreas!$A$1:$E$1999,1,FALSE),VLOOKUP(E1452,WindowTypeArea!$B$2:$C$2000,2,FALSE))</f>
        <v>#N/A</v>
      </c>
      <c r="M1452">
        <f t="shared" ca="1" si="288"/>
        <v>0</v>
      </c>
    </row>
    <row r="1453" spans="1:13" x14ac:dyDescent="0.25">
      <c r="A1453">
        <f t="shared" ca="1" si="281"/>
        <v>4</v>
      </c>
      <c r="B1453">
        <f t="shared" ca="1" si="282"/>
        <v>20</v>
      </c>
      <c r="C1453" t="str">
        <f t="shared" ca="1" si="289"/>
        <v>'WINDOWS-NCH-A-BDP-M3-02-00'!B19</v>
      </c>
      <c r="D1453" s="6" t="str">
        <f t="shared" ca="1" si="290"/>
        <v>L02-PON-ACC-L008-09</v>
      </c>
      <c r="E1453" t="str">
        <f t="shared" ca="1" si="291"/>
        <v>Family Type: 975w x 3050h, Family: Window External Type 1 - Recessed</v>
      </c>
      <c r="F1453" t="str">
        <f t="shared" ca="1" si="292"/>
        <v>Vector(X = -0.212, Y = 0.977, Z = 0.000, Length = 1.000)</v>
      </c>
      <c r="G1453">
        <f t="shared" ca="1" si="283"/>
        <v>-0.2</v>
      </c>
      <c r="H1453">
        <f t="shared" ca="1" si="284"/>
        <v>1</v>
      </c>
      <c r="I1453">
        <f t="shared" ca="1" si="285"/>
        <v>0</v>
      </c>
      <c r="J1453" s="8">
        <f t="shared" ca="1" si="286"/>
        <v>101.3099324740202</v>
      </c>
      <c r="K1453" s="9" t="str">
        <f t="shared" ca="1" si="287"/>
        <v>N</v>
      </c>
      <c r="L1453">
        <f ca="1">+_xlfn.IFNA(VLOOKUP(M1453,BespokeWindowsAreas!$A$1:$E$1999,1,FALSE),VLOOKUP(E1453,WindowTypeArea!$B$2:$C$2000,2,FALSE))</f>
        <v>2.9737499999999999</v>
      </c>
      <c r="M1453">
        <f t="shared" ca="1" si="288"/>
        <v>4814715</v>
      </c>
    </row>
    <row r="1454" spans="1:13" x14ac:dyDescent="0.25">
      <c r="A1454">
        <f t="shared" ca="1" si="281"/>
        <v>4</v>
      </c>
      <c r="B1454">
        <f t="shared" ca="1" si="282"/>
        <v>21</v>
      </c>
      <c r="C1454" t="str">
        <f t="shared" ca="1" si="289"/>
        <v>'WINDOWS-NCH-A-BDP-M3-02-00'!B20</v>
      </c>
      <c r="D1454" s="6" t="str">
        <f t="shared" ca="1" si="290"/>
        <v>L02-PON-ACC-L008-10</v>
      </c>
      <c r="E1454" t="str">
        <f t="shared" ca="1" si="291"/>
        <v>L02-PON-ACC-L008-10</v>
      </c>
      <c r="F1454">
        <f t="shared" ca="1" si="292"/>
        <v>1543483</v>
      </c>
      <c r="G1454">
        <f t="shared" ca="1" si="283"/>
        <v>0</v>
      </c>
      <c r="H1454">
        <f t="shared" ca="1" si="284"/>
        <v>0</v>
      </c>
      <c r="I1454">
        <f t="shared" ca="1" si="285"/>
        <v>0</v>
      </c>
      <c r="J1454" s="8" t="e">
        <f t="shared" ca="1" si="286"/>
        <v>#DIV/0!</v>
      </c>
      <c r="K1454" s="9" t="e">
        <f t="shared" ca="1" si="287"/>
        <v>#DIV/0!</v>
      </c>
      <c r="L1454" t="e">
        <f ca="1">+_xlfn.IFNA(VLOOKUP(M1454,BespokeWindowsAreas!$A$1:$E$1999,1,FALSE),VLOOKUP(E1454,WindowTypeArea!$B$2:$C$2000,2,FALSE))</f>
        <v>#N/A</v>
      </c>
      <c r="M1454">
        <f t="shared" ca="1" si="288"/>
        <v>0</v>
      </c>
    </row>
    <row r="1455" spans="1:13" x14ac:dyDescent="0.25">
      <c r="A1455">
        <f t="shared" ca="1" si="281"/>
        <v>4</v>
      </c>
      <c r="B1455">
        <f t="shared" ca="1" si="282"/>
        <v>22</v>
      </c>
      <c r="C1455" t="str">
        <f t="shared" ca="1" si="289"/>
        <v>'WINDOWS-NCH-A-BDP-M3-02-00'!B21</v>
      </c>
      <c r="D1455" s="6" t="str">
        <f t="shared" ca="1" si="290"/>
        <v>L02-PON-ACC-L008-10</v>
      </c>
      <c r="E1455" t="str">
        <f t="shared" ca="1" si="291"/>
        <v>Family Type: 1500w x 3050h, Family: Window External Type 3 - Recessed and Angle</v>
      </c>
      <c r="F1455" t="str">
        <f t="shared" ca="1" si="292"/>
        <v>Vector(X = -0.212, Y = 0.977, Z = 0.000, Length = 1.000)</v>
      </c>
      <c r="G1455">
        <f t="shared" ca="1" si="283"/>
        <v>-0.2</v>
      </c>
      <c r="H1455">
        <f t="shared" ca="1" si="284"/>
        <v>1</v>
      </c>
      <c r="I1455">
        <f t="shared" ca="1" si="285"/>
        <v>0</v>
      </c>
      <c r="J1455" s="8">
        <f t="shared" ca="1" si="286"/>
        <v>101.3099324740202</v>
      </c>
      <c r="K1455" s="9" t="str">
        <f t="shared" ca="1" si="287"/>
        <v>N</v>
      </c>
      <c r="L1455">
        <f ca="1">+_xlfn.IFNA(VLOOKUP(M1455,BespokeWindowsAreas!$A$1:$E$1999,1,FALSE),VLOOKUP(E1455,WindowTypeArea!$B$2:$C$2000,2,FALSE))</f>
        <v>4.5750000000000002</v>
      </c>
      <c r="M1455">
        <f t="shared" ca="1" si="288"/>
        <v>4814368</v>
      </c>
    </row>
    <row r="1456" spans="1:13" x14ac:dyDescent="0.25">
      <c r="A1456">
        <f t="shared" ca="1" si="281"/>
        <v>4</v>
      </c>
      <c r="B1456">
        <f t="shared" ca="1" si="282"/>
        <v>23</v>
      </c>
      <c r="C1456" t="str">
        <f t="shared" ca="1" si="289"/>
        <v>'WINDOWS-NCH-A-BDP-M3-02-00'!B22</v>
      </c>
      <c r="D1456" s="6" t="str">
        <f t="shared" ca="1" si="290"/>
        <v>L02-PON-ACC-L008-11</v>
      </c>
      <c r="E1456" t="str">
        <f t="shared" ca="1" si="291"/>
        <v>L02-PON-ACC-L008-11</v>
      </c>
      <c r="F1456">
        <f t="shared" ca="1" si="292"/>
        <v>1543485</v>
      </c>
      <c r="G1456">
        <f t="shared" ca="1" si="283"/>
        <v>0</v>
      </c>
      <c r="H1456">
        <f t="shared" ca="1" si="284"/>
        <v>0</v>
      </c>
      <c r="I1456">
        <f t="shared" ca="1" si="285"/>
        <v>0</v>
      </c>
      <c r="J1456" s="8" t="e">
        <f t="shared" ca="1" si="286"/>
        <v>#DIV/0!</v>
      </c>
      <c r="K1456" s="9" t="e">
        <f t="shared" ca="1" si="287"/>
        <v>#DIV/0!</v>
      </c>
      <c r="L1456" t="e">
        <f ca="1">+_xlfn.IFNA(VLOOKUP(M1456,BespokeWindowsAreas!$A$1:$E$1999,1,FALSE),VLOOKUP(E1456,WindowTypeArea!$B$2:$C$2000,2,FALSE))</f>
        <v>#N/A</v>
      </c>
      <c r="M1456">
        <f t="shared" ca="1" si="288"/>
        <v>0</v>
      </c>
    </row>
    <row r="1457" spans="1:13" x14ac:dyDescent="0.25">
      <c r="A1457">
        <f t="shared" ca="1" si="281"/>
        <v>4</v>
      </c>
      <c r="B1457">
        <f t="shared" ca="1" si="282"/>
        <v>24</v>
      </c>
      <c r="C1457" t="str">
        <f t="shared" ca="1" si="289"/>
        <v>'WINDOWS-NCH-A-BDP-M3-02-00'!B23</v>
      </c>
      <c r="D1457" s="6" t="str">
        <f t="shared" ca="1" si="290"/>
        <v>L02-PON-ACC-L008-11</v>
      </c>
      <c r="E1457" t="str">
        <f t="shared" ca="1" si="291"/>
        <v>Family Type: 1000w x 3050h, Family: Window External Type 2 - Recessed and Fin</v>
      </c>
      <c r="F1457" t="str">
        <f t="shared" ca="1" si="292"/>
        <v>Vector(X = -0.212, Y = 0.977, Z = 0.000, Length = 1.000)</v>
      </c>
      <c r="G1457">
        <f t="shared" ca="1" si="283"/>
        <v>-0.2</v>
      </c>
      <c r="H1457">
        <f t="shared" ca="1" si="284"/>
        <v>1</v>
      </c>
      <c r="I1457">
        <f t="shared" ca="1" si="285"/>
        <v>0</v>
      </c>
      <c r="J1457" s="8">
        <f t="shared" ca="1" si="286"/>
        <v>101.3099324740202</v>
      </c>
      <c r="K1457" s="9" t="str">
        <f t="shared" ca="1" si="287"/>
        <v>N</v>
      </c>
      <c r="L1457">
        <f ca="1">+_xlfn.IFNA(VLOOKUP(M1457,BespokeWindowsAreas!$A$1:$E$1999,1,FALSE),VLOOKUP(E1457,WindowTypeArea!$B$2:$C$2000,2,FALSE))</f>
        <v>3.05</v>
      </c>
      <c r="M1457">
        <f t="shared" ca="1" si="288"/>
        <v>4814768</v>
      </c>
    </row>
    <row r="1458" spans="1:13" x14ac:dyDescent="0.25">
      <c r="A1458">
        <f t="shared" ca="1" si="281"/>
        <v>4</v>
      </c>
      <c r="B1458">
        <f t="shared" ca="1" si="282"/>
        <v>25</v>
      </c>
      <c r="C1458" t="str">
        <f t="shared" ca="1" si="289"/>
        <v>'WINDOWS-NCH-A-BDP-M3-02-00'!B24</v>
      </c>
      <c r="D1458" s="6" t="str">
        <f t="shared" ca="1" si="290"/>
        <v>L02-PON-ACC-L008-13</v>
      </c>
      <c r="E1458" t="str">
        <f t="shared" ca="1" si="291"/>
        <v>L02-PON-ACC-L008-13</v>
      </c>
      <c r="F1458">
        <f t="shared" ca="1" si="292"/>
        <v>1543489</v>
      </c>
      <c r="G1458">
        <f t="shared" ca="1" si="283"/>
        <v>0</v>
      </c>
      <c r="H1458">
        <f t="shared" ca="1" si="284"/>
        <v>0</v>
      </c>
      <c r="I1458">
        <f t="shared" ca="1" si="285"/>
        <v>0</v>
      </c>
      <c r="J1458" s="8" t="e">
        <f t="shared" ca="1" si="286"/>
        <v>#DIV/0!</v>
      </c>
      <c r="K1458" s="9" t="e">
        <f t="shared" ca="1" si="287"/>
        <v>#DIV/0!</v>
      </c>
      <c r="L1458" t="e">
        <f ca="1">+_xlfn.IFNA(VLOOKUP(M1458,BespokeWindowsAreas!$A$1:$E$1999,1,FALSE),VLOOKUP(E1458,WindowTypeArea!$B$2:$C$2000,2,FALSE))</f>
        <v>#N/A</v>
      </c>
      <c r="M1458">
        <f t="shared" ca="1" si="288"/>
        <v>0</v>
      </c>
    </row>
    <row r="1459" spans="1:13" x14ac:dyDescent="0.25">
      <c r="A1459">
        <f t="shared" ca="1" si="281"/>
        <v>4</v>
      </c>
      <c r="B1459">
        <f t="shared" ca="1" si="282"/>
        <v>26</v>
      </c>
      <c r="C1459" t="str">
        <f t="shared" ca="1" si="289"/>
        <v>'WINDOWS-NCH-A-BDP-M3-02-00'!B25</v>
      </c>
      <c r="D1459" s="6" t="str">
        <f t="shared" ca="1" si="290"/>
        <v>L02-PON-ACC-L008-13</v>
      </c>
      <c r="E1459" t="str">
        <f t="shared" ca="1" si="291"/>
        <v>Family Type: 1950w x 3050h, Family: Window External Type 3 - Recessed and Angle</v>
      </c>
      <c r="F1459" t="str">
        <f t="shared" ca="1" si="292"/>
        <v>Vector(X = -0.212, Y = 0.977, Z = 0.000, Length = 1.000)</v>
      </c>
      <c r="G1459">
        <f t="shared" ca="1" si="283"/>
        <v>-0.2</v>
      </c>
      <c r="H1459">
        <f t="shared" ca="1" si="284"/>
        <v>1</v>
      </c>
      <c r="I1459">
        <f t="shared" ca="1" si="285"/>
        <v>0</v>
      </c>
      <c r="J1459" s="8">
        <f t="shared" ca="1" si="286"/>
        <v>101.3099324740202</v>
      </c>
      <c r="K1459" s="9" t="str">
        <f t="shared" ca="1" si="287"/>
        <v>N</v>
      </c>
      <c r="L1459">
        <f ca="1">+_xlfn.IFNA(VLOOKUP(M1459,BespokeWindowsAreas!$A$1:$E$1999,1,FALSE),VLOOKUP(E1459,WindowTypeArea!$B$2:$C$2000,2,FALSE))</f>
        <v>5.9474999999999998</v>
      </c>
      <c r="M1459">
        <f t="shared" ca="1" si="288"/>
        <v>4814317</v>
      </c>
    </row>
    <row r="1460" spans="1:13" x14ac:dyDescent="0.25">
      <c r="A1460">
        <f t="shared" ca="1" si="281"/>
        <v>4</v>
      </c>
      <c r="B1460">
        <f t="shared" ca="1" si="282"/>
        <v>27</v>
      </c>
      <c r="C1460" t="str">
        <f t="shared" ca="1" si="289"/>
        <v>'WINDOWS-NCH-A-BDP-M3-02-00'!B26</v>
      </c>
      <c r="D1460" s="6" t="str">
        <f t="shared" ca="1" si="290"/>
        <v>L02-PON-ACC-L008-14</v>
      </c>
      <c r="E1460" t="str">
        <f t="shared" ca="1" si="291"/>
        <v>L02-PON-ACC-L008-14</v>
      </c>
      <c r="F1460">
        <f t="shared" ca="1" si="292"/>
        <v>1543491</v>
      </c>
      <c r="G1460">
        <f t="shared" ca="1" si="283"/>
        <v>0</v>
      </c>
      <c r="H1460">
        <f t="shared" ca="1" si="284"/>
        <v>0</v>
      </c>
      <c r="I1460">
        <f t="shared" ca="1" si="285"/>
        <v>0</v>
      </c>
      <c r="J1460" s="8" t="e">
        <f t="shared" ca="1" si="286"/>
        <v>#DIV/0!</v>
      </c>
      <c r="K1460" s="9" t="e">
        <f t="shared" ca="1" si="287"/>
        <v>#DIV/0!</v>
      </c>
      <c r="L1460" t="e">
        <f ca="1">+_xlfn.IFNA(VLOOKUP(M1460,BespokeWindowsAreas!$A$1:$E$1999,1,FALSE),VLOOKUP(E1460,WindowTypeArea!$B$2:$C$2000,2,FALSE))</f>
        <v>#N/A</v>
      </c>
      <c r="M1460">
        <f t="shared" ca="1" si="288"/>
        <v>0</v>
      </c>
    </row>
    <row r="1461" spans="1:13" x14ac:dyDescent="0.25">
      <c r="A1461">
        <f t="shared" ca="1" si="281"/>
        <v>4</v>
      </c>
      <c r="B1461">
        <f t="shared" ca="1" si="282"/>
        <v>28</v>
      </c>
      <c r="C1461" t="str">
        <f t="shared" ca="1" si="289"/>
        <v>'WINDOWS-NCH-A-BDP-M3-02-00'!B27</v>
      </c>
      <c r="D1461" s="6" t="str">
        <f t="shared" ca="1" si="290"/>
        <v>L02-PON-ACC-L008-14</v>
      </c>
      <c r="E1461" t="str">
        <f t="shared" ca="1" si="291"/>
        <v>Family Type: 1500w x 3050h, Family: Window External Type 3 - Recessed and Angle</v>
      </c>
      <c r="F1461" t="str">
        <f t="shared" ca="1" si="292"/>
        <v>Vector(X = -0.212, Y = 0.977, Z = 0.000, Length = 1.000)</v>
      </c>
      <c r="G1461">
        <f t="shared" ca="1" si="283"/>
        <v>-0.2</v>
      </c>
      <c r="H1461">
        <f t="shared" ca="1" si="284"/>
        <v>1</v>
      </c>
      <c r="I1461">
        <f t="shared" ca="1" si="285"/>
        <v>0</v>
      </c>
      <c r="J1461" s="8">
        <f t="shared" ca="1" si="286"/>
        <v>101.3099324740202</v>
      </c>
      <c r="K1461" s="9" t="str">
        <f t="shared" ca="1" si="287"/>
        <v>N</v>
      </c>
      <c r="L1461">
        <f ca="1">+_xlfn.IFNA(VLOOKUP(M1461,BespokeWindowsAreas!$A$1:$E$1999,1,FALSE),VLOOKUP(E1461,WindowTypeArea!$B$2:$C$2000,2,FALSE))</f>
        <v>4.5750000000000002</v>
      </c>
      <c r="M1461">
        <f t="shared" ca="1" si="288"/>
        <v>4814849</v>
      </c>
    </row>
    <row r="1462" spans="1:13" x14ac:dyDescent="0.25">
      <c r="A1462">
        <f t="shared" ca="1" si="281"/>
        <v>4</v>
      </c>
      <c r="B1462">
        <f t="shared" ca="1" si="282"/>
        <v>29</v>
      </c>
      <c r="C1462" t="str">
        <f t="shared" ca="1" si="289"/>
        <v>'WINDOWS-NCH-A-BDP-M3-02-00'!B28</v>
      </c>
      <c r="D1462" s="6" t="str">
        <f t="shared" ca="1" si="290"/>
        <v>L02-PON-ACC-L008-15</v>
      </c>
      <c r="E1462" t="str">
        <f t="shared" ca="1" si="291"/>
        <v>L02-PON-ACC-L008-15</v>
      </c>
      <c r="F1462">
        <f t="shared" ca="1" si="292"/>
        <v>1543493</v>
      </c>
      <c r="G1462">
        <f t="shared" ca="1" si="283"/>
        <v>0</v>
      </c>
      <c r="H1462">
        <f t="shared" ca="1" si="284"/>
        <v>0</v>
      </c>
      <c r="I1462">
        <f t="shared" ca="1" si="285"/>
        <v>0</v>
      </c>
      <c r="J1462" s="8" t="e">
        <f t="shared" ca="1" si="286"/>
        <v>#DIV/0!</v>
      </c>
      <c r="K1462" s="9" t="e">
        <f t="shared" ca="1" si="287"/>
        <v>#DIV/0!</v>
      </c>
      <c r="L1462" t="e">
        <f ca="1">+_xlfn.IFNA(VLOOKUP(M1462,BespokeWindowsAreas!$A$1:$E$1999,1,FALSE),VLOOKUP(E1462,WindowTypeArea!$B$2:$C$2000,2,FALSE))</f>
        <v>#N/A</v>
      </c>
      <c r="M1462">
        <f t="shared" ca="1" si="288"/>
        <v>0</v>
      </c>
    </row>
    <row r="1463" spans="1:13" x14ac:dyDescent="0.25">
      <c r="A1463">
        <f t="shared" ca="1" si="281"/>
        <v>4</v>
      </c>
      <c r="B1463">
        <f t="shared" ca="1" si="282"/>
        <v>30</v>
      </c>
      <c r="C1463" t="str">
        <f t="shared" ca="1" si="289"/>
        <v>'WINDOWS-NCH-A-BDP-M3-02-00'!B29</v>
      </c>
      <c r="D1463" s="6" t="str">
        <f t="shared" ca="1" si="290"/>
        <v>L02-PON-ACC-L008-15</v>
      </c>
      <c r="E1463" t="str">
        <f t="shared" ca="1" si="291"/>
        <v>Family Type: 1500w x 3050h, Family: Window External Type 1 - Recessed</v>
      </c>
      <c r="F1463" t="str">
        <f t="shared" ca="1" si="292"/>
        <v>Vector(X = 0.212, Y = -0.977, Z = 0.000, Length = 1.000)</v>
      </c>
      <c r="G1463">
        <f t="shared" ca="1" si="283"/>
        <v>0.2</v>
      </c>
      <c r="H1463">
        <f t="shared" ca="1" si="284"/>
        <v>-1</v>
      </c>
      <c r="I1463">
        <f t="shared" ca="1" si="285"/>
        <v>0</v>
      </c>
      <c r="J1463" s="8">
        <f t="shared" ca="1" si="286"/>
        <v>-78.690067525979785</v>
      </c>
      <c r="K1463" s="9" t="str">
        <f t="shared" ca="1" si="287"/>
        <v>S</v>
      </c>
      <c r="L1463">
        <f ca="1">+_xlfn.IFNA(VLOOKUP(M1463,BespokeWindowsAreas!$A$1:$E$1999,1,FALSE),VLOOKUP(E1463,WindowTypeArea!$B$2:$C$2000,2,FALSE))</f>
        <v>4.5750000000000002</v>
      </c>
      <c r="M1463">
        <f t="shared" ca="1" si="288"/>
        <v>6095238</v>
      </c>
    </row>
    <row r="1464" spans="1:13" x14ac:dyDescent="0.25">
      <c r="A1464">
        <f t="shared" ca="1" si="281"/>
        <v>4</v>
      </c>
      <c r="B1464">
        <f t="shared" ca="1" si="282"/>
        <v>31</v>
      </c>
      <c r="C1464" t="str">
        <f t="shared" ca="1" si="289"/>
        <v>'WINDOWS-NCH-A-BDP-M3-02-00'!B30</v>
      </c>
      <c r="D1464" s="6" t="str">
        <f t="shared" ca="1" si="290"/>
        <v>L02-PON-ACC-L008-16</v>
      </c>
      <c r="E1464" t="str">
        <f t="shared" ca="1" si="291"/>
        <v>L02-PON-ACC-L008-16</v>
      </c>
      <c r="F1464">
        <f t="shared" ca="1" si="292"/>
        <v>1543495</v>
      </c>
      <c r="G1464">
        <f t="shared" ca="1" si="283"/>
        <v>0</v>
      </c>
      <c r="H1464">
        <f t="shared" ca="1" si="284"/>
        <v>0</v>
      </c>
      <c r="I1464">
        <f t="shared" ca="1" si="285"/>
        <v>0</v>
      </c>
      <c r="J1464" s="8" t="e">
        <f t="shared" ca="1" si="286"/>
        <v>#DIV/0!</v>
      </c>
      <c r="K1464" s="9" t="e">
        <f t="shared" ca="1" si="287"/>
        <v>#DIV/0!</v>
      </c>
      <c r="L1464" t="e">
        <f ca="1">+_xlfn.IFNA(VLOOKUP(M1464,BespokeWindowsAreas!$A$1:$E$1999,1,FALSE),VLOOKUP(E1464,WindowTypeArea!$B$2:$C$2000,2,FALSE))</f>
        <v>#N/A</v>
      </c>
      <c r="M1464">
        <f t="shared" ca="1" si="288"/>
        <v>0</v>
      </c>
    </row>
    <row r="1465" spans="1:13" x14ac:dyDescent="0.25">
      <c r="A1465">
        <f t="shared" ca="1" si="281"/>
        <v>4</v>
      </c>
      <c r="B1465">
        <f t="shared" ca="1" si="282"/>
        <v>32</v>
      </c>
      <c r="C1465" t="str">
        <f t="shared" ca="1" si="289"/>
        <v>'WINDOWS-NCH-A-BDP-M3-02-00'!B31</v>
      </c>
      <c r="D1465" s="6" t="str">
        <f t="shared" ca="1" si="290"/>
        <v>L02-PON-ACC-L008-16</v>
      </c>
      <c r="E1465" t="str">
        <f t="shared" ca="1" si="291"/>
        <v>Family Type: 1500w x 3050h, Family: Window External Type 1 - Recessed</v>
      </c>
      <c r="F1465" t="str">
        <f t="shared" ca="1" si="292"/>
        <v>Vector(X = 0.212, Y = -0.977, Z = 0.000, Length = 1.000)</v>
      </c>
      <c r="G1465">
        <f t="shared" ca="1" si="283"/>
        <v>0.2</v>
      </c>
      <c r="H1465">
        <f t="shared" ca="1" si="284"/>
        <v>-1</v>
      </c>
      <c r="I1465">
        <f t="shared" ca="1" si="285"/>
        <v>0</v>
      </c>
      <c r="J1465" s="8">
        <f t="shared" ca="1" si="286"/>
        <v>-78.690067525979785</v>
      </c>
      <c r="K1465" s="9" t="str">
        <f t="shared" ca="1" si="287"/>
        <v>S</v>
      </c>
      <c r="L1465">
        <f ca="1">+_xlfn.IFNA(VLOOKUP(M1465,BespokeWindowsAreas!$A$1:$E$1999,1,FALSE),VLOOKUP(E1465,WindowTypeArea!$B$2:$C$2000,2,FALSE))</f>
        <v>4.5750000000000002</v>
      </c>
      <c r="M1465">
        <f t="shared" ca="1" si="288"/>
        <v>6095222</v>
      </c>
    </row>
    <row r="1466" spans="1:13" x14ac:dyDescent="0.25">
      <c r="A1466">
        <f t="shared" ca="1" si="281"/>
        <v>4</v>
      </c>
      <c r="B1466">
        <f t="shared" ca="1" si="282"/>
        <v>33</v>
      </c>
      <c r="C1466" t="str">
        <f t="shared" ca="1" si="289"/>
        <v>'WINDOWS-NCH-A-BDP-M3-02-00'!B32</v>
      </c>
      <c r="D1466" s="6" t="str">
        <f t="shared" ca="1" si="290"/>
        <v>L02-PON-ACC-L008-18</v>
      </c>
      <c r="E1466" t="str">
        <f t="shared" ca="1" si="291"/>
        <v>L02-PON-ACC-L008-18</v>
      </c>
      <c r="F1466">
        <f t="shared" ca="1" si="292"/>
        <v>1543499</v>
      </c>
      <c r="G1466">
        <f t="shared" ca="1" si="283"/>
        <v>0</v>
      </c>
      <c r="H1466">
        <f t="shared" ca="1" si="284"/>
        <v>0</v>
      </c>
      <c r="I1466">
        <f t="shared" ca="1" si="285"/>
        <v>0</v>
      </c>
      <c r="J1466" s="8" t="e">
        <f t="shared" ca="1" si="286"/>
        <v>#DIV/0!</v>
      </c>
      <c r="K1466" s="9" t="e">
        <f t="shared" ca="1" si="287"/>
        <v>#DIV/0!</v>
      </c>
      <c r="L1466" t="e">
        <f ca="1">+_xlfn.IFNA(VLOOKUP(M1466,BespokeWindowsAreas!$A$1:$E$1999,1,FALSE),VLOOKUP(E1466,WindowTypeArea!$B$2:$C$2000,2,FALSE))</f>
        <v>#N/A</v>
      </c>
      <c r="M1466">
        <f t="shared" ca="1" si="288"/>
        <v>0</v>
      </c>
    </row>
    <row r="1467" spans="1:13" x14ac:dyDescent="0.25">
      <c r="A1467">
        <f t="shared" ca="1" si="281"/>
        <v>4</v>
      </c>
      <c r="B1467">
        <f t="shared" ca="1" si="282"/>
        <v>34</v>
      </c>
      <c r="C1467" t="str">
        <f t="shared" ca="1" si="289"/>
        <v>'WINDOWS-NCH-A-BDP-M3-02-00'!B33</v>
      </c>
      <c r="D1467" s="6" t="str">
        <f t="shared" ca="1" si="290"/>
        <v>L02-PON-ACC-L008-18</v>
      </c>
      <c r="E1467" t="str">
        <f t="shared" ca="1" si="291"/>
        <v>Family Type: 1500w x 3050h, Family: Window External Type 3 - Recessed and Angle</v>
      </c>
      <c r="F1467" t="str">
        <f t="shared" ca="1" si="292"/>
        <v>Vector(X = -0.212, Y = 0.977, Z = 0.000, Length = 1.000)</v>
      </c>
      <c r="G1467">
        <f t="shared" ca="1" si="283"/>
        <v>-0.2</v>
      </c>
      <c r="H1467">
        <f t="shared" ca="1" si="284"/>
        <v>1</v>
      </c>
      <c r="I1467">
        <f t="shared" ca="1" si="285"/>
        <v>0</v>
      </c>
      <c r="J1467" s="8">
        <f t="shared" ca="1" si="286"/>
        <v>101.3099324740202</v>
      </c>
      <c r="K1467" s="9" t="str">
        <f t="shared" ca="1" si="287"/>
        <v>N</v>
      </c>
      <c r="L1467">
        <f ca="1">+_xlfn.IFNA(VLOOKUP(M1467,BespokeWindowsAreas!$A$1:$E$1999,1,FALSE),VLOOKUP(E1467,WindowTypeArea!$B$2:$C$2000,2,FALSE))</f>
        <v>4.5750000000000002</v>
      </c>
      <c r="M1467">
        <f t="shared" ca="1" si="288"/>
        <v>3684594</v>
      </c>
    </row>
    <row r="1468" spans="1:13" x14ac:dyDescent="0.25">
      <c r="A1468">
        <f t="shared" ca="1" si="281"/>
        <v>4</v>
      </c>
      <c r="B1468">
        <f t="shared" ca="1" si="282"/>
        <v>35</v>
      </c>
      <c r="C1468" t="str">
        <f t="shared" ca="1" si="289"/>
        <v>'WINDOWS-NCH-A-BDP-M3-02-00'!B34</v>
      </c>
      <c r="D1468" s="6" t="str">
        <f t="shared" ca="1" si="290"/>
        <v>L02-PON-ACC-S041-02</v>
      </c>
      <c r="E1468" t="str">
        <f t="shared" ca="1" si="291"/>
        <v>L02-PON-ACC-S041-02</v>
      </c>
      <c r="F1468">
        <f t="shared" ca="1" si="292"/>
        <v>1543531</v>
      </c>
      <c r="G1468">
        <f t="shared" ca="1" si="283"/>
        <v>0</v>
      </c>
      <c r="H1468">
        <f t="shared" ca="1" si="284"/>
        <v>0</v>
      </c>
      <c r="I1468">
        <f t="shared" ca="1" si="285"/>
        <v>0</v>
      </c>
      <c r="J1468" s="8" t="e">
        <f t="shared" ca="1" si="286"/>
        <v>#DIV/0!</v>
      </c>
      <c r="K1468" s="9" t="e">
        <f t="shared" ca="1" si="287"/>
        <v>#DIV/0!</v>
      </c>
      <c r="L1468" t="e">
        <f ca="1">+_xlfn.IFNA(VLOOKUP(M1468,BespokeWindowsAreas!$A$1:$E$1999,1,FALSE),VLOOKUP(E1468,WindowTypeArea!$B$2:$C$2000,2,FALSE))</f>
        <v>#N/A</v>
      </c>
      <c r="M1468">
        <f t="shared" ca="1" si="288"/>
        <v>0</v>
      </c>
    </row>
    <row r="1469" spans="1:13" x14ac:dyDescent="0.25">
      <c r="A1469">
        <f t="shared" ca="1" si="281"/>
        <v>4</v>
      </c>
      <c r="B1469">
        <f t="shared" ca="1" si="282"/>
        <v>36</v>
      </c>
      <c r="C1469" t="str">
        <f t="shared" ca="1" si="289"/>
        <v>'WINDOWS-NCH-A-BDP-M3-02-00'!B35</v>
      </c>
      <c r="D1469" s="6" t="str">
        <f t="shared" ca="1" si="290"/>
        <v>L02-PON-ACC-S041-02</v>
      </c>
      <c r="E1469" t="str">
        <f t="shared" ca="1" si="291"/>
        <v>Family Type: 487.5w x 3050H, Family: Window External Type 1 - Recessed</v>
      </c>
      <c r="F1469" t="str">
        <f t="shared" ca="1" si="292"/>
        <v>Vector(X = 0.212, Y = -0.977, Z = 0.000, Length = 1.000)</v>
      </c>
      <c r="G1469">
        <f t="shared" ca="1" si="283"/>
        <v>0.2</v>
      </c>
      <c r="H1469">
        <f t="shared" ca="1" si="284"/>
        <v>-1</v>
      </c>
      <c r="I1469">
        <f t="shared" ca="1" si="285"/>
        <v>0</v>
      </c>
      <c r="J1469" s="8">
        <f t="shared" ca="1" si="286"/>
        <v>-78.690067525979785</v>
      </c>
      <c r="K1469" s="9" t="str">
        <f t="shared" ca="1" si="287"/>
        <v>S</v>
      </c>
      <c r="L1469">
        <f ca="1">+_xlfn.IFNA(VLOOKUP(M1469,BespokeWindowsAreas!$A$1:$E$1999,1,FALSE),VLOOKUP(E1469,WindowTypeArea!$B$2:$C$2000,2,FALSE))</f>
        <v>1.4868749999999999</v>
      </c>
      <c r="M1469">
        <f t="shared" ca="1" si="288"/>
        <v>6095320</v>
      </c>
    </row>
    <row r="1470" spans="1:13" x14ac:dyDescent="0.25">
      <c r="A1470">
        <f t="shared" ca="1" si="281"/>
        <v>4</v>
      </c>
      <c r="B1470">
        <f t="shared" ca="1" si="282"/>
        <v>37</v>
      </c>
      <c r="C1470" t="str">
        <f t="shared" ca="1" si="289"/>
        <v>'WINDOWS-NCH-A-BDP-M3-02-00'!B36</v>
      </c>
      <c r="D1470" s="6" t="str">
        <f t="shared" ca="1" si="290"/>
        <v>L02-PON-ACC-S041-01</v>
      </c>
      <c r="E1470" t="str">
        <f t="shared" ca="1" si="291"/>
        <v>L02-PON-ACC-S041-01</v>
      </c>
      <c r="F1470">
        <f t="shared" ca="1" si="292"/>
        <v>1543533</v>
      </c>
      <c r="G1470">
        <f t="shared" ca="1" si="283"/>
        <v>0</v>
      </c>
      <c r="H1470">
        <f t="shared" ca="1" si="284"/>
        <v>0</v>
      </c>
      <c r="I1470">
        <f t="shared" ca="1" si="285"/>
        <v>0</v>
      </c>
      <c r="J1470" s="8" t="e">
        <f t="shared" ca="1" si="286"/>
        <v>#DIV/0!</v>
      </c>
      <c r="K1470" s="9" t="e">
        <f t="shared" ca="1" si="287"/>
        <v>#DIV/0!</v>
      </c>
      <c r="L1470" t="e">
        <f ca="1">+_xlfn.IFNA(VLOOKUP(M1470,BespokeWindowsAreas!$A$1:$E$1999,1,FALSE),VLOOKUP(E1470,WindowTypeArea!$B$2:$C$2000,2,FALSE))</f>
        <v>#N/A</v>
      </c>
      <c r="M1470">
        <f t="shared" ca="1" si="288"/>
        <v>0</v>
      </c>
    </row>
    <row r="1471" spans="1:13" x14ac:dyDescent="0.25">
      <c r="A1471">
        <f t="shared" ca="1" si="281"/>
        <v>4</v>
      </c>
      <c r="B1471">
        <f t="shared" ca="1" si="282"/>
        <v>38</v>
      </c>
      <c r="C1471" t="str">
        <f t="shared" ca="1" si="289"/>
        <v>'WINDOWS-NCH-A-BDP-M3-02-00'!B37</v>
      </c>
      <c r="D1471" s="6" t="str">
        <f t="shared" ca="1" si="290"/>
        <v>L02-PON-ACC-S041-01</v>
      </c>
      <c r="E1471" t="str">
        <f t="shared" ca="1" si="291"/>
        <v>Family Type: 487.5w x 3050H, Family: Window External Type 1 - Recessed</v>
      </c>
      <c r="F1471" t="str">
        <f t="shared" ca="1" si="292"/>
        <v>Vector(X = 0.212, Y = -0.977, Z = 0.000, Length = 1.000)</v>
      </c>
      <c r="G1471">
        <f t="shared" ca="1" si="283"/>
        <v>0.2</v>
      </c>
      <c r="H1471">
        <f t="shared" ca="1" si="284"/>
        <v>-1</v>
      </c>
      <c r="I1471">
        <f t="shared" ca="1" si="285"/>
        <v>0</v>
      </c>
      <c r="J1471" s="8">
        <f t="shared" ca="1" si="286"/>
        <v>-78.690067525979785</v>
      </c>
      <c r="K1471" s="9" t="str">
        <f t="shared" ca="1" si="287"/>
        <v>S</v>
      </c>
      <c r="L1471">
        <f ca="1">+_xlfn.IFNA(VLOOKUP(M1471,BespokeWindowsAreas!$A$1:$E$1999,1,FALSE),VLOOKUP(E1471,WindowTypeArea!$B$2:$C$2000,2,FALSE))</f>
        <v>1.4868749999999999</v>
      </c>
      <c r="M1471">
        <f t="shared" ca="1" si="288"/>
        <v>6095353</v>
      </c>
    </row>
    <row r="1472" spans="1:13" x14ac:dyDescent="0.25">
      <c r="A1472">
        <f t="shared" ca="1" si="281"/>
        <v>4</v>
      </c>
      <c r="B1472">
        <f t="shared" ca="1" si="282"/>
        <v>39</v>
      </c>
      <c r="C1472" t="str">
        <f t="shared" ca="1" si="289"/>
        <v>'WINDOWS-NCH-A-BDP-M3-02-00'!B38</v>
      </c>
      <c r="D1472" s="6" t="str">
        <f t="shared" ca="1" si="290"/>
        <v>L02-PON-ACC-L008-22</v>
      </c>
      <c r="E1472" t="str">
        <f t="shared" ca="1" si="291"/>
        <v>L02-PON-ACC-L008-22</v>
      </c>
      <c r="F1472">
        <f t="shared" ca="1" si="292"/>
        <v>1543543</v>
      </c>
      <c r="G1472">
        <f t="shared" ca="1" si="283"/>
        <v>0</v>
      </c>
      <c r="H1472">
        <f t="shared" ca="1" si="284"/>
        <v>0</v>
      </c>
      <c r="I1472">
        <f t="shared" ca="1" si="285"/>
        <v>0</v>
      </c>
      <c r="J1472" s="8" t="e">
        <f t="shared" ca="1" si="286"/>
        <v>#DIV/0!</v>
      </c>
      <c r="K1472" s="9" t="e">
        <f t="shared" ca="1" si="287"/>
        <v>#DIV/0!</v>
      </c>
      <c r="L1472" t="e">
        <f ca="1">+_xlfn.IFNA(VLOOKUP(M1472,BespokeWindowsAreas!$A$1:$E$1999,1,FALSE),VLOOKUP(E1472,WindowTypeArea!$B$2:$C$2000,2,FALSE))</f>
        <v>#N/A</v>
      </c>
      <c r="M1472">
        <f t="shared" ca="1" si="288"/>
        <v>0</v>
      </c>
    </row>
    <row r="1473" spans="1:13" x14ac:dyDescent="0.25">
      <c r="A1473">
        <f t="shared" ca="1" si="281"/>
        <v>4</v>
      </c>
      <c r="B1473">
        <f t="shared" ca="1" si="282"/>
        <v>40</v>
      </c>
      <c r="C1473" t="str">
        <f t="shared" ca="1" si="289"/>
        <v>'WINDOWS-NCH-A-BDP-M3-02-00'!B39</v>
      </c>
      <c r="D1473" s="6" t="str">
        <f t="shared" ca="1" si="290"/>
        <v>L02-PON-ACC-L008-22</v>
      </c>
      <c r="E1473" t="str">
        <f t="shared" ca="1" si="291"/>
        <v>Family Type: 1500w x 3050h, Family: Window External Type 1 - Recessed</v>
      </c>
      <c r="F1473" t="str">
        <f t="shared" ca="1" si="292"/>
        <v>Vector(X = 0.212, Y = -0.977, Z = 0.000, Length = 1.000)</v>
      </c>
      <c r="G1473">
        <f t="shared" ca="1" si="283"/>
        <v>0.2</v>
      </c>
      <c r="H1473">
        <f t="shared" ca="1" si="284"/>
        <v>-1</v>
      </c>
      <c r="I1473">
        <f t="shared" ca="1" si="285"/>
        <v>0</v>
      </c>
      <c r="J1473" s="8">
        <f t="shared" ca="1" si="286"/>
        <v>-78.690067525979785</v>
      </c>
      <c r="K1473" s="9" t="str">
        <f t="shared" ca="1" si="287"/>
        <v>S</v>
      </c>
      <c r="L1473">
        <f ca="1">+_xlfn.IFNA(VLOOKUP(M1473,BespokeWindowsAreas!$A$1:$E$1999,1,FALSE),VLOOKUP(E1473,WindowTypeArea!$B$2:$C$2000,2,FALSE))</f>
        <v>4.5750000000000002</v>
      </c>
      <c r="M1473">
        <f t="shared" ca="1" si="288"/>
        <v>6094971</v>
      </c>
    </row>
    <row r="1474" spans="1:13" x14ac:dyDescent="0.25">
      <c r="A1474">
        <f t="shared" ca="1" si="281"/>
        <v>4</v>
      </c>
      <c r="B1474">
        <f t="shared" ca="1" si="282"/>
        <v>41</v>
      </c>
      <c r="C1474" t="str">
        <f t="shared" ca="1" si="289"/>
        <v>'WINDOWS-NCH-A-BDP-M3-02-00'!B40</v>
      </c>
      <c r="D1474" s="6" t="str">
        <f t="shared" ca="1" si="290"/>
        <v>L02-PON-ACC-L008-29</v>
      </c>
      <c r="E1474" t="str">
        <f t="shared" ca="1" si="291"/>
        <v>L02-PON-ACC-L008-29</v>
      </c>
      <c r="F1474">
        <f t="shared" ca="1" si="292"/>
        <v>1543557</v>
      </c>
      <c r="G1474">
        <f t="shared" ca="1" si="283"/>
        <v>0</v>
      </c>
      <c r="H1474">
        <f t="shared" ca="1" si="284"/>
        <v>0</v>
      </c>
      <c r="I1474">
        <f t="shared" ca="1" si="285"/>
        <v>0</v>
      </c>
      <c r="J1474" s="8" t="e">
        <f t="shared" ca="1" si="286"/>
        <v>#DIV/0!</v>
      </c>
      <c r="K1474" s="9" t="e">
        <f t="shared" ca="1" si="287"/>
        <v>#DIV/0!</v>
      </c>
      <c r="L1474" t="e">
        <f ca="1">+_xlfn.IFNA(VLOOKUP(M1474,BespokeWindowsAreas!$A$1:$E$1999,1,FALSE),VLOOKUP(E1474,WindowTypeArea!$B$2:$C$2000,2,FALSE))</f>
        <v>#N/A</v>
      </c>
      <c r="M1474">
        <f t="shared" ca="1" si="288"/>
        <v>0</v>
      </c>
    </row>
    <row r="1475" spans="1:13" x14ac:dyDescent="0.25">
      <c r="A1475">
        <f t="shared" ca="1" si="281"/>
        <v>4</v>
      </c>
      <c r="B1475">
        <f t="shared" ca="1" si="282"/>
        <v>42</v>
      </c>
      <c r="C1475" t="str">
        <f t="shared" ca="1" si="289"/>
        <v>'WINDOWS-NCH-A-BDP-M3-02-00'!B41</v>
      </c>
      <c r="D1475" s="6" t="str">
        <f t="shared" ca="1" si="290"/>
        <v>L02-PON-ACC-L008-29</v>
      </c>
      <c r="E1475" t="str">
        <f t="shared" ca="1" si="291"/>
        <v>Family Type: 975w x 3050h, Family: Window External Type 1 - Recessed</v>
      </c>
      <c r="F1475" t="str">
        <f t="shared" ca="1" si="292"/>
        <v>Vector(X = -0.977, Y = -0.212, Z = 0.000, Length = 1.000)</v>
      </c>
      <c r="G1475">
        <f t="shared" ca="1" si="283"/>
        <v>-1</v>
      </c>
      <c r="H1475">
        <f t="shared" ca="1" si="284"/>
        <v>-0.2</v>
      </c>
      <c r="I1475">
        <f t="shared" ca="1" si="285"/>
        <v>0</v>
      </c>
      <c r="J1475" s="8">
        <f t="shared" ca="1" si="286"/>
        <v>-168.69006752597977</v>
      </c>
      <c r="K1475" s="9" t="str">
        <f t="shared" ca="1" si="287"/>
        <v>W</v>
      </c>
      <c r="L1475">
        <f ca="1">+_xlfn.IFNA(VLOOKUP(M1475,BespokeWindowsAreas!$A$1:$E$1999,1,FALSE),VLOOKUP(E1475,WindowTypeArea!$B$2:$C$2000,2,FALSE))</f>
        <v>2.9737499999999999</v>
      </c>
      <c r="M1475">
        <f t="shared" ca="1" si="288"/>
        <v>5288139</v>
      </c>
    </row>
    <row r="1476" spans="1:13" x14ac:dyDescent="0.25">
      <c r="A1476">
        <f t="shared" ca="1" si="281"/>
        <v>4</v>
      </c>
      <c r="B1476">
        <f t="shared" ca="1" si="282"/>
        <v>43</v>
      </c>
      <c r="C1476" t="str">
        <f t="shared" ca="1" si="289"/>
        <v>'WINDOWS-NCH-A-BDP-M3-02-00'!B42</v>
      </c>
      <c r="D1476" s="6" t="str">
        <f t="shared" ca="1" si="290"/>
        <v>L02-PON-ACC-L008-30</v>
      </c>
      <c r="E1476" t="str">
        <f t="shared" ca="1" si="291"/>
        <v>L02-PON-ACC-L008-30</v>
      </c>
      <c r="F1476">
        <f t="shared" ca="1" si="292"/>
        <v>1543559</v>
      </c>
      <c r="G1476">
        <f t="shared" ca="1" si="283"/>
        <v>0</v>
      </c>
      <c r="H1476">
        <f t="shared" ca="1" si="284"/>
        <v>0</v>
      </c>
      <c r="I1476">
        <f t="shared" ca="1" si="285"/>
        <v>0</v>
      </c>
      <c r="J1476" s="8" t="e">
        <f t="shared" ca="1" si="286"/>
        <v>#DIV/0!</v>
      </c>
      <c r="K1476" s="9" t="e">
        <f t="shared" ca="1" si="287"/>
        <v>#DIV/0!</v>
      </c>
      <c r="L1476" t="e">
        <f ca="1">+_xlfn.IFNA(VLOOKUP(M1476,BespokeWindowsAreas!$A$1:$E$1999,1,FALSE),VLOOKUP(E1476,WindowTypeArea!$B$2:$C$2000,2,FALSE))</f>
        <v>#N/A</v>
      </c>
      <c r="M1476">
        <f t="shared" ca="1" si="288"/>
        <v>0</v>
      </c>
    </row>
    <row r="1477" spans="1:13" x14ac:dyDescent="0.25">
      <c r="A1477">
        <f t="shared" ca="1" si="281"/>
        <v>4</v>
      </c>
      <c r="B1477">
        <f t="shared" ca="1" si="282"/>
        <v>44</v>
      </c>
      <c r="C1477" t="str">
        <f t="shared" ca="1" si="289"/>
        <v>'WINDOWS-NCH-A-BDP-M3-02-00'!B43</v>
      </c>
      <c r="D1477" s="6" t="str">
        <f t="shared" ca="1" si="290"/>
        <v>L02-PON-ACC-L008-30</v>
      </c>
      <c r="E1477" t="str">
        <f t="shared" ca="1" si="291"/>
        <v>Family Type: 1500w x 3050h, Family: Window External Type 3 - Recessed and Angle</v>
      </c>
      <c r="F1477" t="str">
        <f t="shared" ca="1" si="292"/>
        <v>Vector(X = -0.212, Y = 0.977, Z = 0.000, Length = 1.000)</v>
      </c>
      <c r="G1477">
        <f t="shared" ca="1" si="283"/>
        <v>-0.2</v>
      </c>
      <c r="H1477">
        <f t="shared" ca="1" si="284"/>
        <v>1</v>
      </c>
      <c r="I1477">
        <f t="shared" ca="1" si="285"/>
        <v>0</v>
      </c>
      <c r="J1477" s="8">
        <f t="shared" ca="1" si="286"/>
        <v>101.3099324740202</v>
      </c>
      <c r="K1477" s="9" t="str">
        <f t="shared" ca="1" si="287"/>
        <v>N</v>
      </c>
      <c r="L1477">
        <f ca="1">+_xlfn.IFNA(VLOOKUP(M1477,BespokeWindowsAreas!$A$1:$E$1999,1,FALSE),VLOOKUP(E1477,WindowTypeArea!$B$2:$C$2000,2,FALSE))</f>
        <v>4.5750000000000002</v>
      </c>
      <c r="M1477">
        <f t="shared" ca="1" si="288"/>
        <v>3684595</v>
      </c>
    </row>
    <row r="1478" spans="1:13" x14ac:dyDescent="0.25">
      <c r="A1478">
        <f t="shared" ca="1" si="281"/>
        <v>4</v>
      </c>
      <c r="B1478">
        <f t="shared" ca="1" si="282"/>
        <v>45</v>
      </c>
      <c r="C1478" t="str">
        <f t="shared" ca="1" si="289"/>
        <v>'WINDOWS-NCH-A-BDP-M3-02-00'!B44</v>
      </c>
      <c r="D1478" s="6" t="str">
        <f t="shared" ca="1" si="290"/>
        <v>L02-DCU-DMS-S089-04</v>
      </c>
      <c r="E1478" t="str">
        <f t="shared" ca="1" si="291"/>
        <v>L02-DCU-DMS-S089-04</v>
      </c>
      <c r="F1478">
        <f t="shared" ca="1" si="292"/>
        <v>1543751</v>
      </c>
      <c r="G1478">
        <f t="shared" ca="1" si="283"/>
        <v>0</v>
      </c>
      <c r="H1478">
        <f t="shared" ca="1" si="284"/>
        <v>0</v>
      </c>
      <c r="I1478">
        <f t="shared" ca="1" si="285"/>
        <v>0</v>
      </c>
      <c r="J1478" s="8" t="e">
        <f t="shared" ca="1" si="286"/>
        <v>#DIV/0!</v>
      </c>
      <c r="K1478" s="9" t="e">
        <f t="shared" ca="1" si="287"/>
        <v>#DIV/0!</v>
      </c>
      <c r="L1478" t="e">
        <f ca="1">+_xlfn.IFNA(VLOOKUP(M1478,BespokeWindowsAreas!$A$1:$E$1999,1,FALSE),VLOOKUP(E1478,WindowTypeArea!$B$2:$C$2000,2,FALSE))</f>
        <v>#N/A</v>
      </c>
      <c r="M1478">
        <f t="shared" ca="1" si="288"/>
        <v>0</v>
      </c>
    </row>
    <row r="1479" spans="1:13" x14ac:dyDescent="0.25">
      <c r="A1479">
        <f t="shared" ca="1" si="281"/>
        <v>4</v>
      </c>
      <c r="B1479">
        <f t="shared" ca="1" si="282"/>
        <v>46</v>
      </c>
      <c r="C1479" t="str">
        <f t="shared" ca="1" si="289"/>
        <v>'WINDOWS-NCH-A-BDP-M3-02-00'!B45</v>
      </c>
      <c r="D1479" s="6" t="str">
        <f t="shared" ca="1" si="290"/>
        <v>L02-DCU-DMS-S089-04</v>
      </c>
      <c r="E1479" t="str">
        <f t="shared" ca="1" si="291"/>
        <v>Family Type: 975w x 3050h, Family: Window External Type 1 - Recessed</v>
      </c>
      <c r="F1479" t="str">
        <f t="shared" ca="1" si="292"/>
        <v>Vector(X = -0.323, Y = 0.946, Z = 0.000, Length = 1.000)</v>
      </c>
      <c r="G1479">
        <f t="shared" ca="1" si="283"/>
        <v>-0.3</v>
      </c>
      <c r="H1479">
        <f t="shared" ca="1" si="284"/>
        <v>0.9</v>
      </c>
      <c r="I1479">
        <f t="shared" ca="1" si="285"/>
        <v>0</v>
      </c>
      <c r="J1479" s="8">
        <f t="shared" ca="1" si="286"/>
        <v>108.43494882292201</v>
      </c>
      <c r="K1479" s="9" t="str">
        <f t="shared" ca="1" si="287"/>
        <v>N</v>
      </c>
      <c r="L1479">
        <f ca="1">+_xlfn.IFNA(VLOOKUP(M1479,BespokeWindowsAreas!$A$1:$E$1999,1,FALSE),VLOOKUP(E1479,WindowTypeArea!$B$2:$C$2000,2,FALSE))</f>
        <v>2.9737499999999999</v>
      </c>
      <c r="M1479">
        <f t="shared" ca="1" si="288"/>
        <v>4804991</v>
      </c>
    </row>
    <row r="1480" spans="1:13" x14ac:dyDescent="0.25">
      <c r="A1480">
        <f t="shared" ca="1" si="281"/>
        <v>4</v>
      </c>
      <c r="B1480">
        <f t="shared" ca="1" si="282"/>
        <v>47</v>
      </c>
      <c r="C1480" t="str">
        <f t="shared" ca="1" si="289"/>
        <v>'WINDOWS-NCH-A-BDP-M3-02-00'!B46</v>
      </c>
      <c r="D1480" s="6" t="str">
        <f t="shared" ca="1" si="290"/>
        <v>L02-DCU-DMS-S043-04</v>
      </c>
      <c r="E1480" t="str">
        <f t="shared" ca="1" si="291"/>
        <v>L02-DCU-DMS-S043-04</v>
      </c>
      <c r="F1480">
        <f t="shared" ca="1" si="292"/>
        <v>1543753</v>
      </c>
      <c r="G1480">
        <f t="shared" ca="1" si="283"/>
        <v>0</v>
      </c>
      <c r="H1480">
        <f t="shared" ca="1" si="284"/>
        <v>0</v>
      </c>
      <c r="I1480">
        <f t="shared" ca="1" si="285"/>
        <v>0</v>
      </c>
      <c r="J1480" s="8" t="e">
        <f t="shared" ca="1" si="286"/>
        <v>#DIV/0!</v>
      </c>
      <c r="K1480" s="9" t="e">
        <f t="shared" ca="1" si="287"/>
        <v>#DIV/0!</v>
      </c>
      <c r="L1480" t="e">
        <f ca="1">+_xlfn.IFNA(VLOOKUP(M1480,BespokeWindowsAreas!$A$1:$E$1999,1,FALSE),VLOOKUP(E1480,WindowTypeArea!$B$2:$C$2000,2,FALSE))</f>
        <v>#N/A</v>
      </c>
      <c r="M1480">
        <f t="shared" ca="1" si="288"/>
        <v>0</v>
      </c>
    </row>
    <row r="1481" spans="1:13" x14ac:dyDescent="0.25">
      <c r="A1481">
        <f t="shared" ca="1" si="281"/>
        <v>4</v>
      </c>
      <c r="B1481">
        <f t="shared" ca="1" si="282"/>
        <v>48</v>
      </c>
      <c r="C1481" t="str">
        <f t="shared" ca="1" si="289"/>
        <v>'WINDOWS-NCH-A-BDP-M3-02-00'!B47</v>
      </c>
      <c r="D1481" s="6" t="str">
        <f t="shared" ca="1" si="290"/>
        <v>L02-DCU-DMS-S043-04</v>
      </c>
      <c r="E1481" t="str">
        <f t="shared" ca="1" si="291"/>
        <v>Family Type: 1950w x 3050h, Family: Window External Type 3 - Recessed and Angle</v>
      </c>
      <c r="F1481" t="str">
        <f t="shared" ca="1" si="292"/>
        <v>Vector(X = -0.323, Y = 0.946, Z = 0.000, Length = 1.000)</v>
      </c>
      <c r="G1481">
        <f t="shared" ca="1" si="283"/>
        <v>-0.3</v>
      </c>
      <c r="H1481">
        <f t="shared" ca="1" si="284"/>
        <v>0.9</v>
      </c>
      <c r="I1481">
        <f t="shared" ca="1" si="285"/>
        <v>0</v>
      </c>
      <c r="J1481" s="8">
        <f t="shared" ca="1" si="286"/>
        <v>108.43494882292201</v>
      </c>
      <c r="K1481" s="9" t="str">
        <f t="shared" ca="1" si="287"/>
        <v>N</v>
      </c>
      <c r="L1481">
        <f ca="1">+_xlfn.IFNA(VLOOKUP(M1481,BespokeWindowsAreas!$A$1:$E$1999,1,FALSE),VLOOKUP(E1481,WindowTypeArea!$B$2:$C$2000,2,FALSE))</f>
        <v>5.9474999999999998</v>
      </c>
      <c r="M1481">
        <f t="shared" ca="1" si="288"/>
        <v>4804881</v>
      </c>
    </row>
    <row r="1482" spans="1:13" x14ac:dyDescent="0.25">
      <c r="A1482">
        <f t="shared" ca="1" si="281"/>
        <v>4</v>
      </c>
      <c r="B1482">
        <f t="shared" ca="1" si="282"/>
        <v>49</v>
      </c>
      <c r="C1482" t="str">
        <f t="shared" ca="1" si="289"/>
        <v>'WINDOWS-NCH-A-BDP-M3-02-00'!B48</v>
      </c>
      <c r="D1482" s="6" t="str">
        <f t="shared" ca="1" si="290"/>
        <v>L02-DCU-DMS-S083-01</v>
      </c>
      <c r="E1482" t="str">
        <f t="shared" ca="1" si="291"/>
        <v>L02-DCU-DMS-S083-01</v>
      </c>
      <c r="F1482">
        <f t="shared" ca="1" si="292"/>
        <v>1543771</v>
      </c>
      <c r="G1482">
        <f t="shared" ca="1" si="283"/>
        <v>0</v>
      </c>
      <c r="H1482">
        <f t="shared" ca="1" si="284"/>
        <v>0</v>
      </c>
      <c r="I1482">
        <f t="shared" ca="1" si="285"/>
        <v>0</v>
      </c>
      <c r="J1482" s="8" t="e">
        <f t="shared" ca="1" si="286"/>
        <v>#DIV/0!</v>
      </c>
      <c r="K1482" s="9" t="e">
        <f t="shared" ca="1" si="287"/>
        <v>#DIV/0!</v>
      </c>
      <c r="L1482" t="e">
        <f ca="1">+_xlfn.IFNA(VLOOKUP(M1482,BespokeWindowsAreas!$A$1:$E$1999,1,FALSE),VLOOKUP(E1482,WindowTypeArea!$B$2:$C$2000,2,FALSE))</f>
        <v>#N/A</v>
      </c>
      <c r="M1482">
        <f t="shared" ca="1" si="288"/>
        <v>0</v>
      </c>
    </row>
    <row r="1483" spans="1:13" x14ac:dyDescent="0.25">
      <c r="A1483">
        <f t="shared" ca="1" si="281"/>
        <v>4</v>
      </c>
      <c r="B1483">
        <f t="shared" ca="1" si="282"/>
        <v>50</v>
      </c>
      <c r="C1483" t="str">
        <f t="shared" ca="1" si="289"/>
        <v>'WINDOWS-NCH-A-BDP-M3-02-00'!B49</v>
      </c>
      <c r="D1483" s="6" t="str">
        <f t="shared" ca="1" si="290"/>
        <v>L02-DCU-DMS-S083-01</v>
      </c>
      <c r="E1483" t="str">
        <f t="shared" ca="1" si="291"/>
        <v>Family Type: 975w x 3050h, Family: Window External Type 1 - Recessed</v>
      </c>
      <c r="F1483" t="str">
        <f t="shared" ca="1" si="292"/>
        <v>Vector(X = -0.212, Y = 0.977, Z = 0.000, Length = 1.000)</v>
      </c>
      <c r="G1483">
        <f t="shared" ca="1" si="283"/>
        <v>-0.2</v>
      </c>
      <c r="H1483">
        <f t="shared" ca="1" si="284"/>
        <v>1</v>
      </c>
      <c r="I1483">
        <f t="shared" ca="1" si="285"/>
        <v>0</v>
      </c>
      <c r="J1483" s="8">
        <f t="shared" ca="1" si="286"/>
        <v>101.3099324740202</v>
      </c>
      <c r="K1483" s="9" t="str">
        <f t="shared" ca="1" si="287"/>
        <v>N</v>
      </c>
      <c r="L1483">
        <f ca="1">+_xlfn.IFNA(VLOOKUP(M1483,BespokeWindowsAreas!$A$1:$E$1999,1,FALSE),VLOOKUP(E1483,WindowTypeArea!$B$2:$C$2000,2,FALSE))</f>
        <v>2.9737499999999999</v>
      </c>
      <c r="M1483">
        <f t="shared" ca="1" si="288"/>
        <v>4807048</v>
      </c>
    </row>
    <row r="1484" spans="1:13" x14ac:dyDescent="0.25">
      <c r="A1484">
        <f t="shared" ca="1" si="281"/>
        <v>4</v>
      </c>
      <c r="B1484">
        <f t="shared" ca="1" si="282"/>
        <v>51</v>
      </c>
      <c r="C1484" t="str">
        <f t="shared" ca="1" si="289"/>
        <v>'WINDOWS-NCH-A-BDP-M3-02-00'!B50</v>
      </c>
      <c r="D1484" s="6" t="str">
        <f t="shared" ca="1" si="290"/>
        <v>L02-DCU-DMS-S060-01</v>
      </c>
      <c r="E1484" t="str">
        <f t="shared" ca="1" si="291"/>
        <v>L02-DCU-DMS-S060-01</v>
      </c>
      <c r="F1484">
        <f t="shared" ca="1" si="292"/>
        <v>1543787</v>
      </c>
      <c r="G1484">
        <f t="shared" ca="1" si="283"/>
        <v>0</v>
      </c>
      <c r="H1484">
        <f t="shared" ca="1" si="284"/>
        <v>0</v>
      </c>
      <c r="I1484">
        <f t="shared" ca="1" si="285"/>
        <v>0</v>
      </c>
      <c r="J1484" s="8" t="e">
        <f t="shared" ca="1" si="286"/>
        <v>#DIV/0!</v>
      </c>
      <c r="K1484" s="9" t="e">
        <f t="shared" ca="1" si="287"/>
        <v>#DIV/0!</v>
      </c>
      <c r="L1484" t="e">
        <f ca="1">+_xlfn.IFNA(VLOOKUP(M1484,BespokeWindowsAreas!$A$1:$E$1999,1,FALSE),VLOOKUP(E1484,WindowTypeArea!$B$2:$C$2000,2,FALSE))</f>
        <v>#N/A</v>
      </c>
      <c r="M1484">
        <f t="shared" ca="1" si="288"/>
        <v>0</v>
      </c>
    </row>
    <row r="1485" spans="1:13" x14ac:dyDescent="0.25">
      <c r="A1485">
        <f t="shared" ca="1" si="281"/>
        <v>4</v>
      </c>
      <c r="B1485">
        <f t="shared" ca="1" si="282"/>
        <v>52</v>
      </c>
      <c r="C1485" t="str">
        <f t="shared" ca="1" si="289"/>
        <v>'WINDOWS-NCH-A-BDP-M3-02-00'!B51</v>
      </c>
      <c r="D1485" s="6" t="str">
        <f t="shared" ca="1" si="290"/>
        <v>L02-DCU-DMS-S060-01</v>
      </c>
      <c r="E1485" t="str">
        <f t="shared" ca="1" si="291"/>
        <v>Family Type: 1950w x 3050h, Family: Window External Type 3 - Recessed and Angle</v>
      </c>
      <c r="F1485" t="str">
        <f t="shared" ca="1" si="292"/>
        <v>Vector(X = -0.212, Y = 0.977, Z = 0.000, Length = 1.000)</v>
      </c>
      <c r="G1485">
        <f t="shared" ca="1" si="283"/>
        <v>-0.2</v>
      </c>
      <c r="H1485">
        <f t="shared" ca="1" si="284"/>
        <v>1</v>
      </c>
      <c r="I1485">
        <f t="shared" ca="1" si="285"/>
        <v>0</v>
      </c>
      <c r="J1485" s="8">
        <f t="shared" ca="1" si="286"/>
        <v>101.3099324740202</v>
      </c>
      <c r="K1485" s="9" t="str">
        <f t="shared" ca="1" si="287"/>
        <v>N</v>
      </c>
      <c r="L1485">
        <f ca="1">+_xlfn.IFNA(VLOOKUP(M1485,BespokeWindowsAreas!$A$1:$E$1999,1,FALSE),VLOOKUP(E1485,WindowTypeArea!$B$2:$C$2000,2,FALSE))</f>
        <v>5.9474999999999998</v>
      </c>
      <c r="M1485">
        <f t="shared" ca="1" si="288"/>
        <v>4807127</v>
      </c>
    </row>
    <row r="1486" spans="1:13" x14ac:dyDescent="0.25">
      <c r="A1486">
        <f t="shared" ca="1" si="281"/>
        <v>4</v>
      </c>
      <c r="B1486">
        <f t="shared" ca="1" si="282"/>
        <v>53</v>
      </c>
      <c r="C1486" t="str">
        <f t="shared" ca="1" si="289"/>
        <v>'WINDOWS-NCH-A-BDP-M3-02-00'!B52</v>
      </c>
      <c r="D1486" s="6" t="str">
        <f t="shared" ca="1" si="290"/>
        <v>L02-DCU-DMS-S077-01</v>
      </c>
      <c r="E1486" t="str">
        <f t="shared" ca="1" si="291"/>
        <v>L02-DCU-DMS-S077-01</v>
      </c>
      <c r="F1486">
        <f t="shared" ca="1" si="292"/>
        <v>1543789</v>
      </c>
      <c r="G1486">
        <f t="shared" ca="1" si="283"/>
        <v>0</v>
      </c>
      <c r="H1486">
        <f t="shared" ca="1" si="284"/>
        <v>0</v>
      </c>
      <c r="I1486">
        <f t="shared" ca="1" si="285"/>
        <v>0</v>
      </c>
      <c r="J1486" s="8" t="e">
        <f t="shared" ca="1" si="286"/>
        <v>#DIV/0!</v>
      </c>
      <c r="K1486" s="9" t="e">
        <f t="shared" ca="1" si="287"/>
        <v>#DIV/0!</v>
      </c>
      <c r="L1486" t="e">
        <f ca="1">+_xlfn.IFNA(VLOOKUP(M1486,BespokeWindowsAreas!$A$1:$E$1999,1,FALSE),VLOOKUP(E1486,WindowTypeArea!$B$2:$C$2000,2,FALSE))</f>
        <v>#N/A</v>
      </c>
      <c r="M1486">
        <f t="shared" ca="1" si="288"/>
        <v>0</v>
      </c>
    </row>
    <row r="1487" spans="1:13" x14ac:dyDescent="0.25">
      <c r="A1487">
        <f t="shared" ca="1" si="281"/>
        <v>4</v>
      </c>
      <c r="B1487">
        <f t="shared" ca="1" si="282"/>
        <v>54</v>
      </c>
      <c r="C1487" t="str">
        <f t="shared" ca="1" si="289"/>
        <v>'WINDOWS-NCH-A-BDP-M3-02-00'!B53</v>
      </c>
      <c r="D1487" s="6" t="str">
        <f t="shared" ca="1" si="290"/>
        <v>L02-DCU-DMS-S077-01</v>
      </c>
      <c r="E1487" t="str">
        <f t="shared" ca="1" si="291"/>
        <v>Family Type: 975w x 3050h, Family: Window External Type 1 - Recessed</v>
      </c>
      <c r="F1487" t="str">
        <f t="shared" ca="1" si="292"/>
        <v>Vector(X = 0.323, Y = -0.946, Z = 0.000, Length = 1.000)</v>
      </c>
      <c r="G1487">
        <f t="shared" ca="1" si="283"/>
        <v>0.3</v>
      </c>
      <c r="H1487">
        <f t="shared" ca="1" si="284"/>
        <v>-0.9</v>
      </c>
      <c r="I1487">
        <f t="shared" ca="1" si="285"/>
        <v>0</v>
      </c>
      <c r="J1487" s="8">
        <f t="shared" ca="1" si="286"/>
        <v>-71.56505117707799</v>
      </c>
      <c r="K1487" s="9" t="str">
        <f t="shared" ca="1" si="287"/>
        <v>S</v>
      </c>
      <c r="L1487">
        <f ca="1">+_xlfn.IFNA(VLOOKUP(M1487,BespokeWindowsAreas!$A$1:$E$1999,1,FALSE),VLOOKUP(E1487,WindowTypeArea!$B$2:$C$2000,2,FALSE))</f>
        <v>2.9737499999999999</v>
      </c>
      <c r="M1487">
        <f t="shared" ca="1" si="288"/>
        <v>4806321</v>
      </c>
    </row>
    <row r="1488" spans="1:13" x14ac:dyDescent="0.25">
      <c r="A1488">
        <f t="shared" ca="1" si="281"/>
        <v>4</v>
      </c>
      <c r="B1488">
        <f t="shared" ca="1" si="282"/>
        <v>55</v>
      </c>
      <c r="C1488" t="str">
        <f t="shared" ca="1" si="289"/>
        <v>'WINDOWS-NCH-A-BDP-M3-02-00'!B54</v>
      </c>
      <c r="D1488" s="6" t="str">
        <f t="shared" ca="1" si="290"/>
        <v>L02-DCU-DMS-S095-01</v>
      </c>
      <c r="E1488" t="str">
        <f t="shared" ca="1" si="291"/>
        <v>L02-DCU-DMS-S095-01</v>
      </c>
      <c r="F1488">
        <f t="shared" ca="1" si="292"/>
        <v>1543805</v>
      </c>
      <c r="G1488">
        <f t="shared" ca="1" si="283"/>
        <v>0</v>
      </c>
      <c r="H1488">
        <f t="shared" ca="1" si="284"/>
        <v>0</v>
      </c>
      <c r="I1488">
        <f t="shared" ca="1" si="285"/>
        <v>0</v>
      </c>
      <c r="J1488" s="8" t="e">
        <f t="shared" ca="1" si="286"/>
        <v>#DIV/0!</v>
      </c>
      <c r="K1488" s="9" t="e">
        <f t="shared" ca="1" si="287"/>
        <v>#DIV/0!</v>
      </c>
      <c r="L1488" t="e">
        <f ca="1">+_xlfn.IFNA(VLOOKUP(M1488,BespokeWindowsAreas!$A$1:$E$1999,1,FALSE),VLOOKUP(E1488,WindowTypeArea!$B$2:$C$2000,2,FALSE))</f>
        <v>#N/A</v>
      </c>
      <c r="M1488">
        <f t="shared" ca="1" si="288"/>
        <v>0</v>
      </c>
    </row>
    <row r="1489" spans="1:13" x14ac:dyDescent="0.25">
      <c r="A1489">
        <f t="shared" ca="1" si="281"/>
        <v>4</v>
      </c>
      <c r="B1489">
        <f t="shared" ca="1" si="282"/>
        <v>56</v>
      </c>
      <c r="C1489" t="str">
        <f t="shared" ca="1" si="289"/>
        <v>'WINDOWS-NCH-A-BDP-M3-02-00'!B55</v>
      </c>
      <c r="D1489" s="6" t="str">
        <f t="shared" ca="1" si="290"/>
        <v>none - connects to atrium</v>
      </c>
      <c r="E1489" t="str">
        <f t="shared" ca="1" si="291"/>
        <v>none - connects to atrium</v>
      </c>
      <c r="F1489" t="str">
        <f t="shared" ca="1" si="292"/>
        <v>Vector(X = 0.921, Y = 0.390, Z = 0.000, Length = 1.000)</v>
      </c>
      <c r="G1489">
        <f t="shared" ca="1" si="283"/>
        <v>0.9</v>
      </c>
      <c r="H1489">
        <f t="shared" ca="1" si="284"/>
        <v>0.4</v>
      </c>
      <c r="I1489">
        <f t="shared" ca="1" si="285"/>
        <v>0</v>
      </c>
      <c r="J1489" s="8">
        <f t="shared" ca="1" si="286"/>
        <v>23.962488974578186</v>
      </c>
      <c r="K1489" s="9" t="str">
        <f t="shared" ca="1" si="287"/>
        <v>E</v>
      </c>
      <c r="L1489" t="e">
        <f ca="1">+_xlfn.IFNA(VLOOKUP(M1489,BespokeWindowsAreas!$A$1:$E$1999,1,FALSE),VLOOKUP(E1489,WindowTypeArea!$B$2:$C$2000,2,FALSE))</f>
        <v>#N/A</v>
      </c>
      <c r="M1489">
        <f t="shared" ca="1" si="288"/>
        <v>5191993</v>
      </c>
    </row>
    <row r="1490" spans="1:13" x14ac:dyDescent="0.25">
      <c r="A1490">
        <f t="shared" ca="1" si="281"/>
        <v>4</v>
      </c>
      <c r="B1490">
        <f t="shared" ca="1" si="282"/>
        <v>57</v>
      </c>
      <c r="C1490" t="str">
        <f t="shared" ca="1" si="289"/>
        <v>'WINDOWS-NCH-A-BDP-M3-02-00'!B56</v>
      </c>
      <c r="D1490" s="6" t="str">
        <f t="shared" ca="1" si="290"/>
        <v>L02-DCU-DMS-S077-02</v>
      </c>
      <c r="E1490" t="str">
        <f t="shared" ca="1" si="291"/>
        <v>L02-DCU-DMS-S077-02</v>
      </c>
      <c r="F1490">
        <f t="shared" ca="1" si="292"/>
        <v>1543845</v>
      </c>
      <c r="G1490">
        <f t="shared" ca="1" si="283"/>
        <v>0</v>
      </c>
      <c r="H1490">
        <f t="shared" ca="1" si="284"/>
        <v>0</v>
      </c>
      <c r="I1490">
        <f t="shared" ca="1" si="285"/>
        <v>0</v>
      </c>
      <c r="J1490" s="8" t="e">
        <f t="shared" ca="1" si="286"/>
        <v>#DIV/0!</v>
      </c>
      <c r="K1490" s="9" t="e">
        <f t="shared" ca="1" si="287"/>
        <v>#DIV/0!</v>
      </c>
      <c r="L1490" t="e">
        <f ca="1">+_xlfn.IFNA(VLOOKUP(M1490,BespokeWindowsAreas!$A$1:$E$1999,1,FALSE),VLOOKUP(E1490,WindowTypeArea!$B$2:$C$2000,2,FALSE))</f>
        <v>#N/A</v>
      </c>
      <c r="M1490">
        <f t="shared" ca="1" si="288"/>
        <v>0</v>
      </c>
    </row>
    <row r="1491" spans="1:13" x14ac:dyDescent="0.25">
      <c r="A1491">
        <f t="shared" ca="1" si="281"/>
        <v>4</v>
      </c>
      <c r="B1491">
        <f t="shared" ca="1" si="282"/>
        <v>58</v>
      </c>
      <c r="C1491" t="str">
        <f t="shared" ca="1" si="289"/>
        <v>'WINDOWS-NCH-A-BDP-M3-02-00'!B57</v>
      </c>
      <c r="D1491" s="6" t="str">
        <f t="shared" ca="1" si="290"/>
        <v>L02-DCU-DMS-S077-02</v>
      </c>
      <c r="E1491" t="str">
        <f t="shared" ca="1" si="291"/>
        <v>Family Type: 1500w x 3050h, Family: Window External Type 3 - Recessed and Angle</v>
      </c>
      <c r="F1491" t="str">
        <f t="shared" ca="1" si="292"/>
        <v>Vector(X = -0.212, Y = 0.977, Z = 0.000, Length = 1.000)</v>
      </c>
      <c r="G1491">
        <f t="shared" ca="1" si="283"/>
        <v>-0.2</v>
      </c>
      <c r="H1491">
        <f t="shared" ca="1" si="284"/>
        <v>1</v>
      </c>
      <c r="I1491">
        <f t="shared" ca="1" si="285"/>
        <v>0</v>
      </c>
      <c r="J1491" s="8">
        <f t="shared" ca="1" si="286"/>
        <v>101.3099324740202</v>
      </c>
      <c r="K1491" s="9" t="str">
        <f t="shared" ca="1" si="287"/>
        <v>N</v>
      </c>
      <c r="L1491">
        <f ca="1">+_xlfn.IFNA(VLOOKUP(M1491,BespokeWindowsAreas!$A$1:$E$1999,1,FALSE),VLOOKUP(E1491,WindowTypeArea!$B$2:$C$2000,2,FALSE))</f>
        <v>4.5750000000000002</v>
      </c>
      <c r="M1491">
        <f t="shared" ca="1" si="288"/>
        <v>4807206</v>
      </c>
    </row>
    <row r="1492" spans="1:13" x14ac:dyDescent="0.25">
      <c r="A1492">
        <f t="shared" ref="A1492:A1555" ca="1" si="293">+IF(B1491&lt;=VLOOKUP(MID(C1492,2,26),TABS,2,FALSE),A1491,+A1491+1)</f>
        <v>4</v>
      </c>
      <c r="B1492">
        <f t="shared" ref="B1492:B1555" ca="1" si="294">+IF(B1491&lt;=VLOOKUP(MID(C1492,2,26),TABS,2,FALSE),B1491+1,1)</f>
        <v>59</v>
      </c>
      <c r="C1492" t="str">
        <f t="shared" ca="1" si="289"/>
        <v>'WINDOWS-NCH-A-BDP-M3-02-00'!B58</v>
      </c>
      <c r="D1492" s="6" t="str">
        <f t="shared" ca="1" si="290"/>
        <v>L02-DCU-DMS-S085-09</v>
      </c>
      <c r="E1492" t="str">
        <f t="shared" ca="1" si="291"/>
        <v>L02-DCU-DMS-S085-09</v>
      </c>
      <c r="F1492">
        <f t="shared" ca="1" si="292"/>
        <v>1543865</v>
      </c>
      <c r="G1492">
        <f t="shared" ca="1" si="283"/>
        <v>0</v>
      </c>
      <c r="H1492">
        <f t="shared" ca="1" si="284"/>
        <v>0</v>
      </c>
      <c r="I1492">
        <f t="shared" ca="1" si="285"/>
        <v>0</v>
      </c>
      <c r="J1492" s="8" t="e">
        <f t="shared" ca="1" si="286"/>
        <v>#DIV/0!</v>
      </c>
      <c r="K1492" s="9" t="e">
        <f t="shared" ca="1" si="287"/>
        <v>#DIV/0!</v>
      </c>
      <c r="L1492" t="e">
        <f ca="1">+_xlfn.IFNA(VLOOKUP(M1492,BespokeWindowsAreas!$A$1:$E$1999,1,FALSE),VLOOKUP(E1492,WindowTypeArea!$B$2:$C$2000,2,FALSE))</f>
        <v>#N/A</v>
      </c>
      <c r="M1492">
        <f t="shared" ca="1" si="288"/>
        <v>0</v>
      </c>
    </row>
    <row r="1493" spans="1:13" x14ac:dyDescent="0.25">
      <c r="A1493">
        <f t="shared" ca="1" si="293"/>
        <v>4</v>
      </c>
      <c r="B1493">
        <f t="shared" ca="1" si="294"/>
        <v>60</v>
      </c>
      <c r="C1493" t="str">
        <f t="shared" ca="1" si="289"/>
        <v>'WINDOWS-NCH-A-BDP-M3-02-00'!B59</v>
      </c>
      <c r="D1493" s="6" t="str">
        <f t="shared" ca="1" si="290"/>
        <v>none - connects to atrium</v>
      </c>
      <c r="E1493" t="str">
        <f t="shared" ca="1" si="291"/>
        <v>none - connects to atrium</v>
      </c>
      <c r="F1493" t="str">
        <f t="shared" ca="1" si="292"/>
        <v>Vector(X = 0.909, Y = 0.417, Z = 0.000, Length = 1.000)</v>
      </c>
      <c r="G1493">
        <f t="shared" ca="1" si="283"/>
        <v>0.9</v>
      </c>
      <c r="H1493">
        <f t="shared" ca="1" si="284"/>
        <v>0.4</v>
      </c>
      <c r="I1493">
        <f t="shared" ca="1" si="285"/>
        <v>0</v>
      </c>
      <c r="J1493" s="8">
        <f t="shared" ca="1" si="286"/>
        <v>23.962488974578186</v>
      </c>
      <c r="K1493" s="9" t="str">
        <f t="shared" ca="1" si="287"/>
        <v>E</v>
      </c>
      <c r="L1493" t="e">
        <f ca="1">+_xlfn.IFNA(VLOOKUP(M1493,BespokeWindowsAreas!$A$1:$E$1999,1,FALSE),VLOOKUP(E1493,WindowTypeArea!$B$2:$C$2000,2,FALSE))</f>
        <v>#N/A</v>
      </c>
      <c r="M1493">
        <f t="shared" ca="1" si="288"/>
        <v>5191990</v>
      </c>
    </row>
    <row r="1494" spans="1:13" x14ac:dyDescent="0.25">
      <c r="A1494">
        <f t="shared" ca="1" si="293"/>
        <v>4</v>
      </c>
      <c r="B1494">
        <f t="shared" ca="1" si="294"/>
        <v>61</v>
      </c>
      <c r="C1494" t="str">
        <f t="shared" ca="1" si="289"/>
        <v>'WINDOWS-NCH-A-BDP-M3-02-00'!B60</v>
      </c>
      <c r="D1494" s="6" t="str">
        <f t="shared" ca="1" si="290"/>
        <v>L02-DCU-DMS-S089-02</v>
      </c>
      <c r="E1494" t="str">
        <f t="shared" ca="1" si="291"/>
        <v>L02-DCU-DMS-S089-02</v>
      </c>
      <c r="F1494">
        <f t="shared" ca="1" si="292"/>
        <v>1543883</v>
      </c>
      <c r="G1494">
        <f t="shared" ref="G1494:G1557" ca="1" si="295">+OFFSET(INDIRECT(C1494),0,2)</f>
        <v>0</v>
      </c>
      <c r="H1494">
        <f t="shared" ref="H1494:H1557" ca="1" si="296">+OFFSET(INDIRECT(C1494),0,3)</f>
        <v>0</v>
      </c>
      <c r="I1494">
        <f t="shared" ref="I1494:I1557" ca="1" si="297">+OFFSET(INDIRECT(C1494),0,4)</f>
        <v>0</v>
      </c>
      <c r="J1494" s="8" t="e">
        <f t="shared" ref="J1494:J1557" ca="1" si="298">+DEGREES(ATAN2(G1494,H1494))</f>
        <v>#DIV/0!</v>
      </c>
      <c r="K1494" s="9" t="e">
        <f t="shared" ref="K1494:K1557" ca="1" si="299">VLOOKUP(J1494,$O$20:$P$36,2,-1)</f>
        <v>#DIV/0!</v>
      </c>
      <c r="L1494" t="e">
        <f ca="1">+_xlfn.IFNA(VLOOKUP(M1494,BespokeWindowsAreas!$A$1:$E$1999,1,FALSE),VLOOKUP(E1494,WindowTypeArea!$B$2:$C$2000,2,FALSE))</f>
        <v>#N/A</v>
      </c>
      <c r="M1494">
        <f t="shared" ref="M1494:M1557" ca="1" si="300">+OFFSET(INDIRECT(C1494),0,5)</f>
        <v>0</v>
      </c>
    </row>
    <row r="1495" spans="1:13" x14ac:dyDescent="0.25">
      <c r="A1495">
        <f t="shared" ca="1" si="293"/>
        <v>4</v>
      </c>
      <c r="B1495">
        <f t="shared" ca="1" si="294"/>
        <v>62</v>
      </c>
      <c r="C1495" t="str">
        <f t="shared" ca="1" si="289"/>
        <v>'WINDOWS-NCH-A-BDP-M3-02-00'!B61</v>
      </c>
      <c r="D1495" s="6" t="str">
        <f t="shared" ca="1" si="290"/>
        <v>none - connects to atrium</v>
      </c>
      <c r="E1495" t="str">
        <f t="shared" ca="1" si="291"/>
        <v>none - connects to atrium</v>
      </c>
      <c r="F1495" t="str">
        <f t="shared" ca="1" si="292"/>
        <v>Vector(X = 0.866, Y = 0.499, Z = 0.000, Length = 1.000)</v>
      </c>
      <c r="G1495">
        <f t="shared" ca="1" si="295"/>
        <v>0.9</v>
      </c>
      <c r="H1495">
        <f t="shared" ca="1" si="296"/>
        <v>0.5</v>
      </c>
      <c r="I1495">
        <f t="shared" ca="1" si="297"/>
        <v>0</v>
      </c>
      <c r="J1495" s="8">
        <f t="shared" ca="1" si="298"/>
        <v>29.054604099077146</v>
      </c>
      <c r="K1495" s="9" t="str">
        <f t="shared" ca="1" si="299"/>
        <v>E</v>
      </c>
      <c r="L1495" t="e">
        <f ca="1">+_xlfn.IFNA(VLOOKUP(M1495,BespokeWindowsAreas!$A$1:$E$1999,1,FALSE),VLOOKUP(E1495,WindowTypeArea!$B$2:$C$2000,2,FALSE))</f>
        <v>#N/A</v>
      </c>
      <c r="M1495">
        <f t="shared" ca="1" si="300"/>
        <v>5188263</v>
      </c>
    </row>
    <row r="1496" spans="1:13" x14ac:dyDescent="0.25">
      <c r="A1496">
        <f t="shared" ca="1" si="293"/>
        <v>4</v>
      </c>
      <c r="B1496">
        <f t="shared" ca="1" si="294"/>
        <v>63</v>
      </c>
      <c r="C1496" t="str">
        <f t="shared" ca="1" si="289"/>
        <v>'WINDOWS-NCH-A-BDP-M3-02-00'!B62</v>
      </c>
      <c r="D1496" s="6" t="str">
        <f t="shared" ca="1" si="290"/>
        <v>L02-DCU-DMS-S089-03</v>
      </c>
      <c r="E1496" t="str">
        <f t="shared" ca="1" si="291"/>
        <v>L02-DCU-DMS-S089-03</v>
      </c>
      <c r="F1496">
        <f t="shared" ca="1" si="292"/>
        <v>1543885</v>
      </c>
      <c r="G1496">
        <f t="shared" ca="1" si="295"/>
        <v>0</v>
      </c>
      <c r="H1496">
        <f t="shared" ca="1" si="296"/>
        <v>0</v>
      </c>
      <c r="I1496">
        <f t="shared" ca="1" si="297"/>
        <v>0</v>
      </c>
      <c r="J1496" s="8" t="e">
        <f t="shared" ca="1" si="298"/>
        <v>#DIV/0!</v>
      </c>
      <c r="K1496" s="9" t="e">
        <f t="shared" ca="1" si="299"/>
        <v>#DIV/0!</v>
      </c>
      <c r="L1496" t="e">
        <f ca="1">+_xlfn.IFNA(VLOOKUP(M1496,BespokeWindowsAreas!$A$1:$E$1999,1,FALSE),VLOOKUP(E1496,WindowTypeArea!$B$2:$C$2000,2,FALSE))</f>
        <v>#N/A</v>
      </c>
      <c r="M1496">
        <f t="shared" ca="1" si="300"/>
        <v>0</v>
      </c>
    </row>
    <row r="1497" spans="1:13" x14ac:dyDescent="0.25">
      <c r="A1497">
        <f t="shared" ca="1" si="293"/>
        <v>4</v>
      </c>
      <c r="B1497">
        <f t="shared" ca="1" si="294"/>
        <v>64</v>
      </c>
      <c r="C1497" t="str">
        <f t="shared" ca="1" si="289"/>
        <v>'WINDOWS-NCH-A-BDP-M3-02-00'!B63</v>
      </c>
      <c r="D1497" s="6" t="str">
        <f t="shared" ca="1" si="290"/>
        <v>L02-DCU-DMS-S089-03</v>
      </c>
      <c r="E1497" t="str">
        <f t="shared" ca="1" si="291"/>
        <v>Family Type: 975w x 3050h, Family: Window External Type 1 - Recessed</v>
      </c>
      <c r="F1497" t="str">
        <f t="shared" ca="1" si="292"/>
        <v>Vector(X = -0.323, Y = 0.946, Z = 0.000, Length = 1.000)</v>
      </c>
      <c r="G1497">
        <f t="shared" ca="1" si="295"/>
        <v>-0.3</v>
      </c>
      <c r="H1497">
        <f t="shared" ca="1" si="296"/>
        <v>0.9</v>
      </c>
      <c r="I1497">
        <f t="shared" ca="1" si="297"/>
        <v>0</v>
      </c>
      <c r="J1497" s="8">
        <f t="shared" ca="1" si="298"/>
        <v>108.43494882292201</v>
      </c>
      <c r="K1497" s="9" t="str">
        <f t="shared" ca="1" si="299"/>
        <v>N</v>
      </c>
      <c r="L1497">
        <f ca="1">+_xlfn.IFNA(VLOOKUP(M1497,BespokeWindowsAreas!$A$1:$E$1999,1,FALSE),VLOOKUP(E1497,WindowTypeArea!$B$2:$C$2000,2,FALSE))</f>
        <v>2.9737499999999999</v>
      </c>
      <c r="M1497">
        <f t="shared" ca="1" si="300"/>
        <v>4805405</v>
      </c>
    </row>
    <row r="1498" spans="1:13" x14ac:dyDescent="0.25">
      <c r="A1498">
        <f t="shared" ca="1" si="293"/>
        <v>4</v>
      </c>
      <c r="B1498">
        <f t="shared" ca="1" si="294"/>
        <v>65</v>
      </c>
      <c r="C1498" t="str">
        <f t="shared" ca="1" si="289"/>
        <v>'WINDOWS-NCH-A-BDP-M3-02-00'!B64</v>
      </c>
      <c r="D1498" s="6" t="str">
        <f t="shared" ca="1" si="290"/>
        <v>L02-DCU-DMS-S089-03</v>
      </c>
      <c r="E1498" t="str">
        <f t="shared" ca="1" si="291"/>
        <v>Family Type: 1950w x 3050h, Family: Window External Type 3 - Recessed and Angle</v>
      </c>
      <c r="F1498" t="str">
        <f t="shared" ca="1" si="292"/>
        <v>Vector(X = -0.323, Y = 0.946, Z = 0.000, Length = 1.000)</v>
      </c>
      <c r="G1498">
        <f t="shared" ca="1" si="295"/>
        <v>-0.3</v>
      </c>
      <c r="H1498">
        <f t="shared" ca="1" si="296"/>
        <v>0.9</v>
      </c>
      <c r="I1498">
        <f t="shared" ca="1" si="297"/>
        <v>0</v>
      </c>
      <c r="J1498" s="8">
        <f t="shared" ca="1" si="298"/>
        <v>108.43494882292201</v>
      </c>
      <c r="K1498" s="9" t="str">
        <f t="shared" ca="1" si="299"/>
        <v>N</v>
      </c>
      <c r="L1498">
        <f ca="1">+_xlfn.IFNA(VLOOKUP(M1498,BespokeWindowsAreas!$A$1:$E$1999,1,FALSE),VLOOKUP(E1498,WindowTypeArea!$B$2:$C$2000,2,FALSE))</f>
        <v>5.9474999999999998</v>
      </c>
      <c r="M1498">
        <f t="shared" ca="1" si="300"/>
        <v>4805453</v>
      </c>
    </row>
    <row r="1499" spans="1:13" x14ac:dyDescent="0.25">
      <c r="A1499">
        <f t="shared" ca="1" si="293"/>
        <v>4</v>
      </c>
      <c r="B1499">
        <f t="shared" ca="1" si="294"/>
        <v>66</v>
      </c>
      <c r="C1499" t="str">
        <f t="shared" ca="1" si="289"/>
        <v>'WINDOWS-NCH-A-BDP-M3-02-00'!B65</v>
      </c>
      <c r="D1499" s="6" t="str">
        <f t="shared" ca="1" si="290"/>
        <v>L02-DCU-DMS-S085-21</v>
      </c>
      <c r="E1499" t="str">
        <f t="shared" ca="1" si="291"/>
        <v>L02-DCU-DMS-S085-21</v>
      </c>
      <c r="F1499">
        <f t="shared" ca="1" si="292"/>
        <v>1543899</v>
      </c>
      <c r="G1499">
        <f t="shared" ca="1" si="295"/>
        <v>0</v>
      </c>
      <c r="H1499">
        <f t="shared" ca="1" si="296"/>
        <v>0</v>
      </c>
      <c r="I1499">
        <f t="shared" ca="1" si="297"/>
        <v>0</v>
      </c>
      <c r="J1499" s="8" t="e">
        <f t="shared" ca="1" si="298"/>
        <v>#DIV/0!</v>
      </c>
      <c r="K1499" s="9" t="e">
        <f t="shared" ca="1" si="299"/>
        <v>#DIV/0!</v>
      </c>
      <c r="L1499" t="e">
        <f ca="1">+_xlfn.IFNA(VLOOKUP(M1499,BespokeWindowsAreas!$A$1:$E$1999,1,FALSE),VLOOKUP(E1499,WindowTypeArea!$B$2:$C$2000,2,FALSE))</f>
        <v>#N/A</v>
      </c>
      <c r="M1499">
        <f t="shared" ca="1" si="300"/>
        <v>0</v>
      </c>
    </row>
    <row r="1500" spans="1:13" x14ac:dyDescent="0.25">
      <c r="A1500">
        <f t="shared" ca="1" si="293"/>
        <v>4</v>
      </c>
      <c r="B1500">
        <f t="shared" ca="1" si="294"/>
        <v>67</v>
      </c>
      <c r="C1500" t="str">
        <f t="shared" ca="1" si="289"/>
        <v>'WINDOWS-NCH-A-BDP-M3-02-00'!B66</v>
      </c>
      <c r="D1500" s="6" t="str">
        <f t="shared" ca="1" si="290"/>
        <v>L02-DCU-DMS-S085-21</v>
      </c>
      <c r="E1500" t="str">
        <f t="shared" ca="1" si="291"/>
        <v>Family Type: 975w x 3050h, Family: Window External Type 1 - Recessed</v>
      </c>
      <c r="F1500" t="str">
        <f t="shared" ca="1" si="292"/>
        <v>Vector(X = -0.323, Y = 0.946, Z = 0.000, Length = 1.000)</v>
      </c>
      <c r="G1500">
        <f t="shared" ca="1" si="295"/>
        <v>-0.3</v>
      </c>
      <c r="H1500">
        <f t="shared" ca="1" si="296"/>
        <v>0.9</v>
      </c>
      <c r="I1500">
        <f t="shared" ca="1" si="297"/>
        <v>0</v>
      </c>
      <c r="J1500" s="8">
        <f t="shared" ca="1" si="298"/>
        <v>108.43494882292201</v>
      </c>
      <c r="K1500" s="9" t="str">
        <f t="shared" ca="1" si="299"/>
        <v>N</v>
      </c>
      <c r="L1500">
        <f ca="1">+_xlfn.IFNA(VLOOKUP(M1500,BespokeWindowsAreas!$A$1:$E$1999,1,FALSE),VLOOKUP(E1500,WindowTypeArea!$B$2:$C$2000,2,FALSE))</f>
        <v>2.9737499999999999</v>
      </c>
      <c r="M1500">
        <f t="shared" ca="1" si="300"/>
        <v>4805085</v>
      </c>
    </row>
    <row r="1501" spans="1:13" x14ac:dyDescent="0.25">
      <c r="A1501">
        <f t="shared" ca="1" si="293"/>
        <v>4</v>
      </c>
      <c r="B1501">
        <f t="shared" ca="1" si="294"/>
        <v>68</v>
      </c>
      <c r="C1501" t="str">
        <f t="shared" ca="1" si="289"/>
        <v>'WINDOWS-NCH-A-BDP-M3-02-00'!B67</v>
      </c>
      <c r="D1501" s="6" t="str">
        <f t="shared" ca="1" si="290"/>
        <v>L02-DCU-DMS-S085-22</v>
      </c>
      <c r="E1501" t="str">
        <f t="shared" ca="1" si="291"/>
        <v>L02-DCU-DMS-S085-22</v>
      </c>
      <c r="F1501">
        <f t="shared" ca="1" si="292"/>
        <v>1543901</v>
      </c>
      <c r="G1501">
        <f t="shared" ca="1" si="295"/>
        <v>0</v>
      </c>
      <c r="H1501">
        <f t="shared" ca="1" si="296"/>
        <v>0</v>
      </c>
      <c r="I1501">
        <f t="shared" ca="1" si="297"/>
        <v>0</v>
      </c>
      <c r="J1501" s="8" t="e">
        <f t="shared" ca="1" si="298"/>
        <v>#DIV/0!</v>
      </c>
      <c r="K1501" s="9" t="e">
        <f t="shared" ca="1" si="299"/>
        <v>#DIV/0!</v>
      </c>
      <c r="L1501" t="e">
        <f ca="1">+_xlfn.IFNA(VLOOKUP(M1501,BespokeWindowsAreas!$A$1:$E$1999,1,FALSE),VLOOKUP(E1501,WindowTypeArea!$B$2:$C$2000,2,FALSE))</f>
        <v>#N/A</v>
      </c>
      <c r="M1501">
        <f t="shared" ca="1" si="300"/>
        <v>0</v>
      </c>
    </row>
    <row r="1502" spans="1:13" x14ac:dyDescent="0.25">
      <c r="A1502">
        <f t="shared" ca="1" si="293"/>
        <v>4</v>
      </c>
      <c r="B1502">
        <f t="shared" ca="1" si="294"/>
        <v>69</v>
      </c>
      <c r="C1502" t="str">
        <f t="shared" ca="1" si="289"/>
        <v>'WINDOWS-NCH-A-BDP-M3-02-00'!B68</v>
      </c>
      <c r="D1502" s="6" t="str">
        <f t="shared" ca="1" si="290"/>
        <v>L02-DCU-DMS-S085-22</v>
      </c>
      <c r="E1502" t="str">
        <f t="shared" ca="1" si="291"/>
        <v>Family Type: 975w x 3050h, Family: Window External Type 1 - Recessed</v>
      </c>
      <c r="F1502" t="str">
        <f t="shared" ca="1" si="292"/>
        <v>Vector(X = -0.323, Y = 0.946, Z = 0.000, Length = 1.000)</v>
      </c>
      <c r="G1502">
        <f t="shared" ca="1" si="295"/>
        <v>-0.3</v>
      </c>
      <c r="H1502">
        <f t="shared" ca="1" si="296"/>
        <v>0.9</v>
      </c>
      <c r="I1502">
        <f t="shared" ca="1" si="297"/>
        <v>0</v>
      </c>
      <c r="J1502" s="8">
        <f t="shared" ca="1" si="298"/>
        <v>108.43494882292201</v>
      </c>
      <c r="K1502" s="9" t="str">
        <f t="shared" ca="1" si="299"/>
        <v>N</v>
      </c>
      <c r="L1502">
        <f ca="1">+_xlfn.IFNA(VLOOKUP(M1502,BespokeWindowsAreas!$A$1:$E$1999,1,FALSE),VLOOKUP(E1502,WindowTypeArea!$B$2:$C$2000,2,FALSE))</f>
        <v>2.9737499999999999</v>
      </c>
      <c r="M1502">
        <f t="shared" ca="1" si="300"/>
        <v>4805235</v>
      </c>
    </row>
    <row r="1503" spans="1:13" x14ac:dyDescent="0.25">
      <c r="A1503">
        <f t="shared" ca="1" si="293"/>
        <v>4</v>
      </c>
      <c r="B1503">
        <f t="shared" ca="1" si="294"/>
        <v>70</v>
      </c>
      <c r="C1503" t="str">
        <f t="shared" ca="1" si="289"/>
        <v>'WINDOWS-NCH-A-BDP-M3-02-00'!B69</v>
      </c>
      <c r="D1503" s="6" t="str">
        <f t="shared" ca="1" si="290"/>
        <v>L02-DCU-DMS-S085-23</v>
      </c>
      <c r="E1503" t="str">
        <f t="shared" ca="1" si="291"/>
        <v>L02-DCU-DMS-S085-23</v>
      </c>
      <c r="F1503">
        <f t="shared" ca="1" si="292"/>
        <v>1543903</v>
      </c>
      <c r="G1503">
        <f t="shared" ca="1" si="295"/>
        <v>0</v>
      </c>
      <c r="H1503">
        <f t="shared" ca="1" si="296"/>
        <v>0</v>
      </c>
      <c r="I1503">
        <f t="shared" ca="1" si="297"/>
        <v>0</v>
      </c>
      <c r="J1503" s="8" t="e">
        <f t="shared" ca="1" si="298"/>
        <v>#DIV/0!</v>
      </c>
      <c r="K1503" s="9" t="e">
        <f t="shared" ca="1" si="299"/>
        <v>#DIV/0!</v>
      </c>
      <c r="L1503" t="e">
        <f ca="1">+_xlfn.IFNA(VLOOKUP(M1503,BespokeWindowsAreas!$A$1:$E$1999,1,FALSE),VLOOKUP(E1503,WindowTypeArea!$B$2:$C$2000,2,FALSE))</f>
        <v>#N/A</v>
      </c>
      <c r="M1503">
        <f t="shared" ca="1" si="300"/>
        <v>0</v>
      </c>
    </row>
    <row r="1504" spans="1:13" x14ac:dyDescent="0.25">
      <c r="A1504">
        <f t="shared" ca="1" si="293"/>
        <v>4</v>
      </c>
      <c r="B1504">
        <f t="shared" ca="1" si="294"/>
        <v>71</v>
      </c>
      <c r="C1504" t="str">
        <f t="shared" ca="1" si="289"/>
        <v>'WINDOWS-NCH-A-BDP-M3-02-00'!B70</v>
      </c>
      <c r="D1504" s="6" t="str">
        <f t="shared" ca="1" si="290"/>
        <v>L02-DCU-DMS-S085-23</v>
      </c>
      <c r="E1504" t="str">
        <f t="shared" ca="1" si="291"/>
        <v>Family Type: 1950w x 3050h, Family: Window External Type 3 - Recessed and Angle</v>
      </c>
      <c r="F1504" t="str">
        <f t="shared" ca="1" si="292"/>
        <v>Vector(X = -0.323, Y = 0.946, Z = 0.000, Length = 1.000)</v>
      </c>
      <c r="G1504">
        <f t="shared" ca="1" si="295"/>
        <v>-0.3</v>
      </c>
      <c r="H1504">
        <f t="shared" ca="1" si="296"/>
        <v>0.9</v>
      </c>
      <c r="I1504">
        <f t="shared" ca="1" si="297"/>
        <v>0</v>
      </c>
      <c r="J1504" s="8">
        <f t="shared" ca="1" si="298"/>
        <v>108.43494882292201</v>
      </c>
      <c r="K1504" s="9" t="str">
        <f t="shared" ca="1" si="299"/>
        <v>N</v>
      </c>
      <c r="L1504">
        <f ca="1">+_xlfn.IFNA(VLOOKUP(M1504,BespokeWindowsAreas!$A$1:$E$1999,1,FALSE),VLOOKUP(E1504,WindowTypeArea!$B$2:$C$2000,2,FALSE))</f>
        <v>5.9474999999999998</v>
      </c>
      <c r="M1504">
        <f t="shared" ca="1" si="300"/>
        <v>4805297</v>
      </c>
    </row>
    <row r="1505" spans="1:13" x14ac:dyDescent="0.25">
      <c r="A1505">
        <f t="shared" ca="1" si="293"/>
        <v>4</v>
      </c>
      <c r="B1505">
        <f t="shared" ca="1" si="294"/>
        <v>72</v>
      </c>
      <c r="C1505" t="str">
        <f t="shared" ca="1" si="289"/>
        <v>'WINDOWS-NCH-A-BDP-M3-02-00'!B71</v>
      </c>
      <c r="D1505" s="6" t="str">
        <f t="shared" ca="1" si="290"/>
        <v>L02-DCU-DMS-S085-27</v>
      </c>
      <c r="E1505" t="str">
        <f t="shared" ca="1" si="291"/>
        <v>L02-DCU-DMS-S085-27</v>
      </c>
      <c r="F1505">
        <f t="shared" ca="1" si="292"/>
        <v>1543911</v>
      </c>
      <c r="G1505">
        <f t="shared" ca="1" si="295"/>
        <v>0</v>
      </c>
      <c r="H1505">
        <f t="shared" ca="1" si="296"/>
        <v>0</v>
      </c>
      <c r="I1505">
        <f t="shared" ca="1" si="297"/>
        <v>0</v>
      </c>
      <c r="J1505" s="8" t="e">
        <f t="shared" ca="1" si="298"/>
        <v>#DIV/0!</v>
      </c>
      <c r="K1505" s="9" t="e">
        <f t="shared" ca="1" si="299"/>
        <v>#DIV/0!</v>
      </c>
      <c r="L1505" t="e">
        <f ca="1">+_xlfn.IFNA(VLOOKUP(M1505,BespokeWindowsAreas!$A$1:$E$1999,1,FALSE),VLOOKUP(E1505,WindowTypeArea!$B$2:$C$2000,2,FALSE))</f>
        <v>#N/A</v>
      </c>
      <c r="M1505">
        <f t="shared" ca="1" si="300"/>
        <v>0</v>
      </c>
    </row>
    <row r="1506" spans="1:13" x14ac:dyDescent="0.25">
      <c r="A1506">
        <f t="shared" ca="1" si="293"/>
        <v>4</v>
      </c>
      <c r="B1506">
        <f t="shared" ca="1" si="294"/>
        <v>73</v>
      </c>
      <c r="C1506" t="str">
        <f t="shared" ca="1" si="289"/>
        <v>'WINDOWS-NCH-A-BDP-M3-02-00'!B72</v>
      </c>
      <c r="D1506" s="6" t="str">
        <f t="shared" ca="1" si="290"/>
        <v>L02-DCU-DMS-S085-27</v>
      </c>
      <c r="E1506" t="str">
        <f t="shared" ca="1" si="291"/>
        <v>Family Type: 1500w x 3050h, Family: Window External Type 3 - Recessed and Angle</v>
      </c>
      <c r="F1506" t="str">
        <f t="shared" ca="1" si="292"/>
        <v>Vector(X = 0.323, Y = -0.946, Z = 0.000, Length = 1.000)</v>
      </c>
      <c r="G1506">
        <f t="shared" ca="1" si="295"/>
        <v>0.3</v>
      </c>
      <c r="H1506">
        <f t="shared" ca="1" si="296"/>
        <v>-0.9</v>
      </c>
      <c r="I1506">
        <f t="shared" ca="1" si="297"/>
        <v>0</v>
      </c>
      <c r="J1506" s="8">
        <f t="shared" ca="1" si="298"/>
        <v>-71.56505117707799</v>
      </c>
      <c r="K1506" s="9" t="str">
        <f t="shared" ca="1" si="299"/>
        <v>S</v>
      </c>
      <c r="L1506">
        <f ca="1">+_xlfn.IFNA(VLOOKUP(M1506,BespokeWindowsAreas!$A$1:$E$1999,1,FALSE),VLOOKUP(E1506,WindowTypeArea!$B$2:$C$2000,2,FALSE))</f>
        <v>4.5750000000000002</v>
      </c>
      <c r="M1506">
        <f t="shared" ca="1" si="300"/>
        <v>4806213</v>
      </c>
    </row>
    <row r="1507" spans="1:13" x14ac:dyDescent="0.25">
      <c r="A1507">
        <f t="shared" ca="1" si="293"/>
        <v>4</v>
      </c>
      <c r="B1507">
        <f t="shared" ca="1" si="294"/>
        <v>74</v>
      </c>
      <c r="C1507" t="str">
        <f t="shared" ca="1" si="289"/>
        <v>'WINDOWS-NCH-A-BDP-M3-02-00'!B73</v>
      </c>
      <c r="D1507" s="6" t="str">
        <f t="shared" ca="1" si="290"/>
        <v>L02-DCU-DMS-S085-28</v>
      </c>
      <c r="E1507" t="str">
        <f t="shared" ca="1" si="291"/>
        <v>L02-DCU-DMS-S085-28</v>
      </c>
      <c r="F1507">
        <f t="shared" ca="1" si="292"/>
        <v>1543913</v>
      </c>
      <c r="G1507">
        <f t="shared" ca="1" si="295"/>
        <v>0</v>
      </c>
      <c r="H1507">
        <f t="shared" ca="1" si="296"/>
        <v>0</v>
      </c>
      <c r="I1507">
        <f t="shared" ca="1" si="297"/>
        <v>0</v>
      </c>
      <c r="J1507" s="8" t="e">
        <f t="shared" ca="1" si="298"/>
        <v>#DIV/0!</v>
      </c>
      <c r="K1507" s="9" t="e">
        <f t="shared" ca="1" si="299"/>
        <v>#DIV/0!</v>
      </c>
      <c r="L1507" t="e">
        <f ca="1">+_xlfn.IFNA(VLOOKUP(M1507,BespokeWindowsAreas!$A$1:$E$1999,1,FALSE),VLOOKUP(E1507,WindowTypeArea!$B$2:$C$2000,2,FALSE))</f>
        <v>#N/A</v>
      </c>
      <c r="M1507">
        <f t="shared" ca="1" si="300"/>
        <v>0</v>
      </c>
    </row>
    <row r="1508" spans="1:13" x14ac:dyDescent="0.25">
      <c r="A1508">
        <f t="shared" ca="1" si="293"/>
        <v>4</v>
      </c>
      <c r="B1508">
        <f t="shared" ca="1" si="294"/>
        <v>75</v>
      </c>
      <c r="C1508" t="str">
        <f t="shared" ca="1" si="289"/>
        <v>'WINDOWS-NCH-A-BDP-M3-02-00'!B74</v>
      </c>
      <c r="D1508" s="6" t="str">
        <f t="shared" ca="1" si="290"/>
        <v>L02-DCU-DMS-S085-28</v>
      </c>
      <c r="E1508" t="str">
        <f t="shared" ca="1" si="291"/>
        <v>Family Type: 975w x 3050h, Family: Window External Type 1 - Recessed</v>
      </c>
      <c r="F1508" t="str">
        <f t="shared" ca="1" si="292"/>
        <v>Vector(X = 0.323, Y = -0.946, Z = 0.000, Length = 1.000)</v>
      </c>
      <c r="G1508">
        <f t="shared" ca="1" si="295"/>
        <v>0.3</v>
      </c>
      <c r="H1508">
        <f t="shared" ca="1" si="296"/>
        <v>-0.9</v>
      </c>
      <c r="I1508">
        <f t="shared" ca="1" si="297"/>
        <v>0</v>
      </c>
      <c r="J1508" s="8">
        <f t="shared" ca="1" si="298"/>
        <v>-71.56505117707799</v>
      </c>
      <c r="K1508" s="9" t="str">
        <f t="shared" ca="1" si="299"/>
        <v>S</v>
      </c>
      <c r="L1508">
        <f ca="1">+_xlfn.IFNA(VLOOKUP(M1508,BespokeWindowsAreas!$A$1:$E$1999,1,FALSE),VLOOKUP(E1508,WindowTypeArea!$B$2:$C$2000,2,FALSE))</f>
        <v>2.9737499999999999</v>
      </c>
      <c r="M1508">
        <f t="shared" ca="1" si="300"/>
        <v>4806003</v>
      </c>
    </row>
    <row r="1509" spans="1:13" x14ac:dyDescent="0.25">
      <c r="A1509">
        <f t="shared" ca="1" si="293"/>
        <v>4</v>
      </c>
      <c r="B1509">
        <f t="shared" ca="1" si="294"/>
        <v>76</v>
      </c>
      <c r="C1509" t="str">
        <f t="shared" ca="1" si="289"/>
        <v>'WINDOWS-NCH-A-BDP-M3-02-00'!B75</v>
      </c>
      <c r="D1509" s="6" t="str">
        <f t="shared" ca="1" si="290"/>
        <v>L02-DCU-DMS-S085-29</v>
      </c>
      <c r="E1509" t="str">
        <f t="shared" ca="1" si="291"/>
        <v>L02-DCU-DMS-S085-29</v>
      </c>
      <c r="F1509">
        <f t="shared" ca="1" si="292"/>
        <v>1543915</v>
      </c>
      <c r="G1509">
        <f t="shared" ca="1" si="295"/>
        <v>0</v>
      </c>
      <c r="H1509">
        <f t="shared" ca="1" si="296"/>
        <v>0</v>
      </c>
      <c r="I1509">
        <f t="shared" ca="1" si="297"/>
        <v>0</v>
      </c>
      <c r="J1509" s="8" t="e">
        <f t="shared" ca="1" si="298"/>
        <v>#DIV/0!</v>
      </c>
      <c r="K1509" s="9" t="e">
        <f t="shared" ca="1" si="299"/>
        <v>#DIV/0!</v>
      </c>
      <c r="L1509" t="e">
        <f ca="1">+_xlfn.IFNA(VLOOKUP(M1509,BespokeWindowsAreas!$A$1:$E$1999,1,FALSE),VLOOKUP(E1509,WindowTypeArea!$B$2:$C$2000,2,FALSE))</f>
        <v>#N/A</v>
      </c>
      <c r="M1509">
        <f t="shared" ca="1" si="300"/>
        <v>0</v>
      </c>
    </row>
    <row r="1510" spans="1:13" x14ac:dyDescent="0.25">
      <c r="A1510">
        <f t="shared" ca="1" si="293"/>
        <v>4</v>
      </c>
      <c r="B1510">
        <f t="shared" ca="1" si="294"/>
        <v>77</v>
      </c>
      <c r="C1510" t="str">
        <f t="shared" ca="1" si="289"/>
        <v>'WINDOWS-NCH-A-BDP-M3-02-00'!B76</v>
      </c>
      <c r="D1510" s="6" t="str">
        <f t="shared" ca="1" si="290"/>
        <v>L02-DCU-DMS-S085-29</v>
      </c>
      <c r="E1510" t="str">
        <f t="shared" ca="1" si="291"/>
        <v>Family Type: 1950w x 3050h, Family: Window External Type 3 - Recessed and Angle</v>
      </c>
      <c r="F1510" t="str">
        <f t="shared" ca="1" si="292"/>
        <v>Vector(X = 0.323, Y = -0.946, Z = 0.000, Length = 1.000)</v>
      </c>
      <c r="G1510">
        <f t="shared" ca="1" si="295"/>
        <v>0.3</v>
      </c>
      <c r="H1510">
        <f t="shared" ca="1" si="296"/>
        <v>-0.9</v>
      </c>
      <c r="I1510">
        <f t="shared" ca="1" si="297"/>
        <v>0</v>
      </c>
      <c r="J1510" s="8">
        <f t="shared" ca="1" si="298"/>
        <v>-71.56505117707799</v>
      </c>
      <c r="K1510" s="9" t="str">
        <f t="shared" ca="1" si="299"/>
        <v>S</v>
      </c>
      <c r="L1510">
        <f ca="1">+_xlfn.IFNA(VLOOKUP(M1510,BespokeWindowsAreas!$A$1:$E$1999,1,FALSE),VLOOKUP(E1510,WindowTypeArea!$B$2:$C$2000,2,FALSE))</f>
        <v>5.9474999999999998</v>
      </c>
      <c r="M1510">
        <f t="shared" ca="1" si="300"/>
        <v>4805915</v>
      </c>
    </row>
    <row r="1511" spans="1:13" x14ac:dyDescent="0.25">
      <c r="A1511">
        <f t="shared" ca="1" si="293"/>
        <v>4</v>
      </c>
      <c r="B1511">
        <f t="shared" ca="1" si="294"/>
        <v>78</v>
      </c>
      <c r="C1511" t="str">
        <f t="shared" ca="1" si="289"/>
        <v>'WINDOWS-NCH-A-BDP-M3-02-00'!B77</v>
      </c>
      <c r="D1511" s="6" t="str">
        <f t="shared" ca="1" si="290"/>
        <v>L02-DCU-DMS-S085-30</v>
      </c>
      <c r="E1511" t="str">
        <f t="shared" ca="1" si="291"/>
        <v>L02-DCU-DMS-S085-30</v>
      </c>
      <c r="F1511">
        <f t="shared" ca="1" si="292"/>
        <v>1543917</v>
      </c>
      <c r="G1511">
        <f t="shared" ca="1" si="295"/>
        <v>0</v>
      </c>
      <c r="H1511">
        <f t="shared" ca="1" si="296"/>
        <v>0</v>
      </c>
      <c r="I1511">
        <f t="shared" ca="1" si="297"/>
        <v>0</v>
      </c>
      <c r="J1511" s="8" t="e">
        <f t="shared" ca="1" si="298"/>
        <v>#DIV/0!</v>
      </c>
      <c r="K1511" s="9" t="e">
        <f t="shared" ca="1" si="299"/>
        <v>#DIV/0!</v>
      </c>
      <c r="L1511" t="e">
        <f ca="1">+_xlfn.IFNA(VLOOKUP(M1511,BespokeWindowsAreas!$A$1:$E$1999,1,FALSE),VLOOKUP(E1511,WindowTypeArea!$B$2:$C$2000,2,FALSE))</f>
        <v>#N/A</v>
      </c>
      <c r="M1511">
        <f t="shared" ca="1" si="300"/>
        <v>0</v>
      </c>
    </row>
    <row r="1512" spans="1:13" x14ac:dyDescent="0.25">
      <c r="A1512">
        <f t="shared" ca="1" si="293"/>
        <v>4</v>
      </c>
      <c r="B1512">
        <f t="shared" ca="1" si="294"/>
        <v>79</v>
      </c>
      <c r="C1512" t="str">
        <f t="shared" ca="1" si="289"/>
        <v>'WINDOWS-NCH-A-BDP-M3-02-00'!B78</v>
      </c>
      <c r="D1512" s="6" t="str">
        <f t="shared" ca="1" si="290"/>
        <v>L02-DCU-DMS-S085-30</v>
      </c>
      <c r="E1512" t="str">
        <f t="shared" ca="1" si="291"/>
        <v>Family Type: 975w x 3050h, Family: Window External Type 1 - Recessed</v>
      </c>
      <c r="F1512" t="str">
        <f t="shared" ca="1" si="292"/>
        <v>Vector(X = 0.323, Y = -0.946, Z = 0.000, Length = 1.000)</v>
      </c>
      <c r="G1512">
        <f t="shared" ca="1" si="295"/>
        <v>0.3</v>
      </c>
      <c r="H1512">
        <f t="shared" ca="1" si="296"/>
        <v>-0.9</v>
      </c>
      <c r="I1512">
        <f t="shared" ca="1" si="297"/>
        <v>0</v>
      </c>
      <c r="J1512" s="8">
        <f t="shared" ca="1" si="298"/>
        <v>-71.56505117707799</v>
      </c>
      <c r="K1512" s="9" t="str">
        <f t="shared" ca="1" si="299"/>
        <v>S</v>
      </c>
      <c r="L1512">
        <f ca="1">+_xlfn.IFNA(VLOOKUP(M1512,BespokeWindowsAreas!$A$1:$E$1999,1,FALSE),VLOOKUP(E1512,WindowTypeArea!$B$2:$C$2000,2,FALSE))</f>
        <v>2.9737499999999999</v>
      </c>
      <c r="M1512">
        <f t="shared" ca="1" si="300"/>
        <v>4805760</v>
      </c>
    </row>
    <row r="1513" spans="1:13" x14ac:dyDescent="0.25">
      <c r="A1513">
        <f t="shared" ca="1" si="293"/>
        <v>4</v>
      </c>
      <c r="B1513">
        <f t="shared" ca="1" si="294"/>
        <v>80</v>
      </c>
      <c r="C1513" t="str">
        <f t="shared" ca="1" si="289"/>
        <v>'WINDOWS-NCH-A-BDP-M3-02-00'!B79</v>
      </c>
      <c r="D1513" s="6" t="str">
        <f t="shared" ca="1" si="290"/>
        <v>L02-DCU-DMS-S085-31</v>
      </c>
      <c r="E1513" t="str">
        <f t="shared" ca="1" si="291"/>
        <v>L02-DCU-DMS-S085-31</v>
      </c>
      <c r="F1513">
        <f t="shared" ca="1" si="292"/>
        <v>1543919</v>
      </c>
      <c r="G1513">
        <f t="shared" ca="1" si="295"/>
        <v>0</v>
      </c>
      <c r="H1513">
        <f t="shared" ca="1" si="296"/>
        <v>0</v>
      </c>
      <c r="I1513">
        <f t="shared" ca="1" si="297"/>
        <v>0</v>
      </c>
      <c r="J1513" s="8" t="e">
        <f t="shared" ca="1" si="298"/>
        <v>#DIV/0!</v>
      </c>
      <c r="K1513" s="9" t="e">
        <f t="shared" ca="1" si="299"/>
        <v>#DIV/0!</v>
      </c>
      <c r="L1513" t="e">
        <f ca="1">+_xlfn.IFNA(VLOOKUP(M1513,BespokeWindowsAreas!$A$1:$E$1999,1,FALSE),VLOOKUP(E1513,WindowTypeArea!$B$2:$C$2000,2,FALSE))</f>
        <v>#N/A</v>
      </c>
      <c r="M1513">
        <f t="shared" ca="1" si="300"/>
        <v>0</v>
      </c>
    </row>
    <row r="1514" spans="1:13" x14ac:dyDescent="0.25">
      <c r="A1514">
        <f t="shared" ca="1" si="293"/>
        <v>4</v>
      </c>
      <c r="B1514">
        <f t="shared" ca="1" si="294"/>
        <v>81</v>
      </c>
      <c r="C1514" t="str">
        <f t="shared" ca="1" si="289"/>
        <v>'WINDOWS-NCH-A-BDP-M3-02-00'!B80</v>
      </c>
      <c r="D1514" s="6" t="str">
        <f t="shared" ca="1" si="290"/>
        <v>L02-DCU-DMS-S085-31</v>
      </c>
      <c r="E1514" t="str">
        <f t="shared" ca="1" si="291"/>
        <v>Family Type: 975w x 3050h, Family: Window External Type 1 - Recessed</v>
      </c>
      <c r="F1514" t="str">
        <f t="shared" ca="1" si="292"/>
        <v>Vector(X = 0.323, Y = -0.946, Z = 0.000, Length = 1.000)</v>
      </c>
      <c r="G1514">
        <f t="shared" ca="1" si="295"/>
        <v>0.3</v>
      </c>
      <c r="H1514">
        <f t="shared" ca="1" si="296"/>
        <v>-0.9</v>
      </c>
      <c r="I1514">
        <f t="shared" ca="1" si="297"/>
        <v>0</v>
      </c>
      <c r="J1514" s="8">
        <f t="shared" ca="1" si="298"/>
        <v>-71.56505117707799</v>
      </c>
      <c r="K1514" s="9" t="str">
        <f t="shared" ca="1" si="299"/>
        <v>S</v>
      </c>
      <c r="L1514">
        <f ca="1">+_xlfn.IFNA(VLOOKUP(M1514,BespokeWindowsAreas!$A$1:$E$1999,1,FALSE),VLOOKUP(E1514,WindowTypeArea!$B$2:$C$2000,2,FALSE))</f>
        <v>2.9737499999999999</v>
      </c>
      <c r="M1514">
        <f t="shared" ca="1" si="300"/>
        <v>4805693</v>
      </c>
    </row>
    <row r="1515" spans="1:13" s="36" customFormat="1" x14ac:dyDescent="0.25">
      <c r="A1515" s="36">
        <f t="shared" ca="1" si="293"/>
        <v>4</v>
      </c>
      <c r="B1515" s="36">
        <f t="shared" ca="1" si="294"/>
        <v>82</v>
      </c>
      <c r="C1515" s="36" t="str">
        <f t="shared" ref="C1515:C1578" ca="1" si="301">+"'"&amp;INDIRECT("a"&amp;A1514)&amp;"'!B"&amp;B1514</f>
        <v>'WINDOWS-NCH-A-BDP-M3-02-00'!B81</v>
      </c>
      <c r="D1515" s="37" t="str">
        <f t="shared" ref="D1515:D1578" ca="1" si="302">+IF(IFERROR(FIND("Family",E1515)&gt;0,FALSE),D1514,E1515)</f>
        <v>L02-DCU-DMS-S085-32</v>
      </c>
      <c r="E1515" s="36" t="str">
        <f t="shared" ref="E1515:E1578" ca="1" si="303">+OFFSET(INDIRECT(C1515),0,0)</f>
        <v>L02-DCU-DMS-S085-32</v>
      </c>
      <c r="F1515" s="36">
        <f t="shared" ref="F1515:F1578" ca="1" si="304">+OFFSET(INDIRECT(C1515),0,1)</f>
        <v>1543921</v>
      </c>
      <c r="G1515" s="36">
        <f t="shared" ca="1" si="295"/>
        <v>0</v>
      </c>
      <c r="H1515" s="36">
        <f t="shared" ca="1" si="296"/>
        <v>0</v>
      </c>
      <c r="I1515" s="36">
        <f t="shared" ca="1" si="297"/>
        <v>0</v>
      </c>
      <c r="J1515" s="38" t="e">
        <f t="shared" ca="1" si="298"/>
        <v>#DIV/0!</v>
      </c>
      <c r="K1515" s="39" t="e">
        <f t="shared" ca="1" si="299"/>
        <v>#DIV/0!</v>
      </c>
      <c r="M1515" s="36">
        <f t="shared" ca="1" si="300"/>
        <v>0</v>
      </c>
    </row>
    <row r="1516" spans="1:13" x14ac:dyDescent="0.25">
      <c r="A1516">
        <f t="shared" ca="1" si="293"/>
        <v>4</v>
      </c>
      <c r="B1516">
        <f t="shared" ca="1" si="294"/>
        <v>83</v>
      </c>
      <c r="C1516" t="str">
        <f t="shared" ca="1" si="301"/>
        <v>'WINDOWS-NCH-A-BDP-M3-02-00'!B82</v>
      </c>
      <c r="D1516" s="6" t="str">
        <f t="shared" ca="1" si="302"/>
        <v>L02-DCU-DMS-S085-32</v>
      </c>
      <c r="E1516" t="str">
        <f t="shared" ca="1" si="303"/>
        <v>Family Type: 1950w x 3050h, Family: Window External Type 3 - Recessed and Angle</v>
      </c>
      <c r="F1516" t="str">
        <f t="shared" ca="1" si="304"/>
        <v>Vector(X = 0.323, Y = -0.946, Z = 0.000, Length = 1.000)</v>
      </c>
      <c r="G1516">
        <f t="shared" ca="1" si="295"/>
        <v>0.3</v>
      </c>
      <c r="H1516">
        <f t="shared" ca="1" si="296"/>
        <v>-0.9</v>
      </c>
      <c r="I1516">
        <f t="shared" ca="1" si="297"/>
        <v>0</v>
      </c>
      <c r="J1516" s="8">
        <f t="shared" ca="1" si="298"/>
        <v>-71.56505117707799</v>
      </c>
      <c r="K1516" s="9" t="str">
        <f t="shared" ca="1" si="299"/>
        <v>S</v>
      </c>
      <c r="L1516">
        <f ca="1">+_xlfn.IFNA(VLOOKUP(M1516,BespokeWindowsAreas!$B$2:$E$1999,4,FALSE),VLOOKUP(E1516,WindowTypeArea!$B$2:$C$113,2,FALSE))</f>
        <v>5.9474999999999998</v>
      </c>
      <c r="M1516">
        <f t="shared" ca="1" si="300"/>
        <v>4805653</v>
      </c>
    </row>
    <row r="1517" spans="1:13" x14ac:dyDescent="0.25">
      <c r="A1517">
        <f t="shared" ca="1" si="293"/>
        <v>4</v>
      </c>
      <c r="B1517">
        <f t="shared" ca="1" si="294"/>
        <v>84</v>
      </c>
      <c r="C1517" t="str">
        <f t="shared" ca="1" si="301"/>
        <v>'WINDOWS-NCH-A-BDP-M3-02-00'!B83</v>
      </c>
      <c r="D1517" s="6" t="str">
        <f t="shared" ca="1" si="302"/>
        <v>L02-DCU-DMS-S089-05</v>
      </c>
      <c r="E1517" t="str">
        <f t="shared" ca="1" si="303"/>
        <v>L02-DCU-DMS-S089-05</v>
      </c>
      <c r="F1517">
        <f t="shared" ca="1" si="304"/>
        <v>1543927</v>
      </c>
      <c r="G1517">
        <f t="shared" ca="1" si="295"/>
        <v>0</v>
      </c>
      <c r="H1517">
        <f t="shared" ca="1" si="296"/>
        <v>0</v>
      </c>
      <c r="I1517">
        <f t="shared" ca="1" si="297"/>
        <v>0</v>
      </c>
      <c r="J1517" s="8" t="e">
        <f t="shared" ca="1" si="298"/>
        <v>#DIV/0!</v>
      </c>
      <c r="K1517" s="9" t="e">
        <f t="shared" ca="1" si="299"/>
        <v>#DIV/0!</v>
      </c>
      <c r="L1517" t="e">
        <f ca="1">+_xlfn.IFNA(VLOOKUP(M1517,BespokeWindowsAreas!$B$2:$E$1999,4,FALSE),VLOOKUP(E1517,WindowTypeArea!$B$2:$C$113,2,FALSE))</f>
        <v>#N/A</v>
      </c>
      <c r="M1517">
        <f t="shared" ca="1" si="300"/>
        <v>0</v>
      </c>
    </row>
    <row r="1518" spans="1:13" x14ac:dyDescent="0.25">
      <c r="A1518">
        <f t="shared" ca="1" si="293"/>
        <v>4</v>
      </c>
      <c r="B1518">
        <f t="shared" ca="1" si="294"/>
        <v>85</v>
      </c>
      <c r="C1518" t="str">
        <f t="shared" ca="1" si="301"/>
        <v>'WINDOWS-NCH-A-BDP-M3-02-00'!B84</v>
      </c>
      <c r="D1518" s="6" t="str">
        <f t="shared" ca="1" si="302"/>
        <v>L02-DCU-DMS-S089-05</v>
      </c>
      <c r="E1518" t="str">
        <f t="shared" ca="1" si="303"/>
        <v>Family Type: 1500w x 3050h, Family: Window External Type 3 - Recessed and Angle</v>
      </c>
      <c r="F1518" t="str">
        <f t="shared" ca="1" si="304"/>
        <v>Vector(X = 0.323, Y = -0.946, Z = 0.000, Length = 1.000)</v>
      </c>
      <c r="G1518">
        <f t="shared" ca="1" si="295"/>
        <v>0.3</v>
      </c>
      <c r="H1518">
        <f t="shared" ca="1" si="296"/>
        <v>-0.9</v>
      </c>
      <c r="I1518">
        <f t="shared" ca="1" si="297"/>
        <v>0</v>
      </c>
      <c r="J1518" s="8">
        <f t="shared" ca="1" si="298"/>
        <v>-71.56505117707799</v>
      </c>
      <c r="K1518" s="9" t="str">
        <f t="shared" ca="1" si="299"/>
        <v>S</v>
      </c>
      <c r="L1518">
        <f ca="1">+_xlfn.IFNA(VLOOKUP(M1518,BespokeWindowsAreas!$B$2:$E$1999,4,FALSE),VLOOKUP(E1518,WindowTypeArea!$B$2:$C$113,2,FALSE))</f>
        <v>4.5750000000000002</v>
      </c>
      <c r="M1518">
        <f t="shared" ca="1" si="300"/>
        <v>4839221</v>
      </c>
    </row>
    <row r="1519" spans="1:13" x14ac:dyDescent="0.25">
      <c r="A1519">
        <f t="shared" ca="1" si="293"/>
        <v>4</v>
      </c>
      <c r="B1519">
        <f t="shared" ca="1" si="294"/>
        <v>86</v>
      </c>
      <c r="C1519" t="str">
        <f t="shared" ca="1" si="301"/>
        <v>'WINDOWS-NCH-A-BDP-M3-02-00'!B85</v>
      </c>
      <c r="D1519" s="6" t="str">
        <f t="shared" ca="1" si="302"/>
        <v>L02-DCU-DMS-S083-03</v>
      </c>
      <c r="E1519" t="str">
        <f t="shared" ca="1" si="303"/>
        <v>L02-DCU-DMS-S083-03</v>
      </c>
      <c r="F1519">
        <f t="shared" ca="1" si="304"/>
        <v>1543941</v>
      </c>
      <c r="G1519">
        <f t="shared" ca="1" si="295"/>
        <v>0</v>
      </c>
      <c r="H1519">
        <f t="shared" ca="1" si="296"/>
        <v>0</v>
      </c>
      <c r="I1519">
        <f t="shared" ca="1" si="297"/>
        <v>0</v>
      </c>
      <c r="J1519" s="8" t="e">
        <f t="shared" ca="1" si="298"/>
        <v>#DIV/0!</v>
      </c>
      <c r="K1519" s="9" t="e">
        <f t="shared" ca="1" si="299"/>
        <v>#DIV/0!</v>
      </c>
      <c r="L1519" t="e">
        <f ca="1">+_xlfn.IFNA(VLOOKUP(M1519,BespokeWindowsAreas!$B$2:$E$1999,4,FALSE),VLOOKUP(E1519,WindowTypeArea!$B$2:$C$113,2,FALSE))</f>
        <v>#N/A</v>
      </c>
      <c r="M1519">
        <f t="shared" ca="1" si="300"/>
        <v>0</v>
      </c>
    </row>
    <row r="1520" spans="1:13" x14ac:dyDescent="0.25">
      <c r="A1520">
        <f t="shared" ca="1" si="293"/>
        <v>4</v>
      </c>
      <c r="B1520">
        <f t="shared" ca="1" si="294"/>
        <v>87</v>
      </c>
      <c r="C1520" t="str">
        <f t="shared" ca="1" si="301"/>
        <v>'WINDOWS-NCH-A-BDP-M3-02-00'!B86</v>
      </c>
      <c r="D1520" s="6" t="str">
        <f t="shared" ca="1" si="302"/>
        <v>L02-DCU-DMS-S083-03</v>
      </c>
      <c r="E1520" t="str">
        <f t="shared" ca="1" si="303"/>
        <v>Family Type: 1500w x 3050h, Family: Window External Type 3 - Recessed and Angle</v>
      </c>
      <c r="F1520" t="str">
        <f t="shared" ca="1" si="304"/>
        <v>Vector(X = -0.212, Y = 0.977, Z = 0.000, Length = 1.000)</v>
      </c>
      <c r="G1520">
        <f t="shared" ca="1" si="295"/>
        <v>-0.2</v>
      </c>
      <c r="H1520">
        <f t="shared" ca="1" si="296"/>
        <v>1</v>
      </c>
      <c r="I1520">
        <f t="shared" ca="1" si="297"/>
        <v>0</v>
      </c>
      <c r="J1520" s="8">
        <f t="shared" ca="1" si="298"/>
        <v>101.3099324740202</v>
      </c>
      <c r="K1520" s="9" t="str">
        <f t="shared" ca="1" si="299"/>
        <v>N</v>
      </c>
      <c r="L1520">
        <f ca="1">+_xlfn.IFNA(VLOOKUP(M1520,BespokeWindowsAreas!$B$2:$E$1999,4,FALSE),VLOOKUP(E1520,WindowTypeArea!$B$2:$C$113,2,FALSE))</f>
        <v>4.5750000000000002</v>
      </c>
      <c r="M1520">
        <f t="shared" ca="1" si="300"/>
        <v>4806622</v>
      </c>
    </row>
    <row r="1521" spans="1:13" x14ac:dyDescent="0.25">
      <c r="A1521">
        <f t="shared" ca="1" si="293"/>
        <v>4</v>
      </c>
      <c r="B1521">
        <f t="shared" ca="1" si="294"/>
        <v>88</v>
      </c>
      <c r="C1521" t="str">
        <f t="shared" ca="1" si="301"/>
        <v>'WINDOWS-NCH-A-BDP-M3-02-00'!B87</v>
      </c>
      <c r="D1521" s="6" t="str">
        <f t="shared" ca="1" si="302"/>
        <v>L02-DCU-DMS-S083-04</v>
      </c>
      <c r="E1521" t="str">
        <f t="shared" ca="1" si="303"/>
        <v>L02-DCU-DMS-S083-04</v>
      </c>
      <c r="F1521">
        <f t="shared" ca="1" si="304"/>
        <v>1543943</v>
      </c>
      <c r="G1521">
        <f t="shared" ca="1" si="295"/>
        <v>0</v>
      </c>
      <c r="H1521">
        <f t="shared" ca="1" si="296"/>
        <v>0</v>
      </c>
      <c r="I1521">
        <f t="shared" ca="1" si="297"/>
        <v>0</v>
      </c>
      <c r="J1521" s="8" t="e">
        <f t="shared" ca="1" si="298"/>
        <v>#DIV/0!</v>
      </c>
      <c r="K1521" s="9" t="e">
        <f t="shared" ca="1" si="299"/>
        <v>#DIV/0!</v>
      </c>
      <c r="L1521" t="e">
        <f ca="1">+_xlfn.IFNA(VLOOKUP(M1521,BespokeWindowsAreas!$B$2:$E$1999,4,FALSE),VLOOKUP(E1521,WindowTypeArea!$B$2:$C$113,2,FALSE))</f>
        <v>#N/A</v>
      </c>
      <c r="M1521">
        <f t="shared" ca="1" si="300"/>
        <v>0</v>
      </c>
    </row>
    <row r="1522" spans="1:13" x14ac:dyDescent="0.25">
      <c r="A1522">
        <f t="shared" ca="1" si="293"/>
        <v>4</v>
      </c>
      <c r="B1522">
        <f t="shared" ca="1" si="294"/>
        <v>89</v>
      </c>
      <c r="C1522" t="str">
        <f t="shared" ca="1" si="301"/>
        <v>'WINDOWS-NCH-A-BDP-M3-02-00'!B88</v>
      </c>
      <c r="D1522" s="6" t="str">
        <f t="shared" ca="1" si="302"/>
        <v>L02-DCU-DMS-S083-04</v>
      </c>
      <c r="E1522" t="str">
        <f t="shared" ca="1" si="303"/>
        <v>Family Type: 975w x 3050h, Family: Window External Type 1 - Recessed</v>
      </c>
      <c r="F1522" t="str">
        <f t="shared" ca="1" si="304"/>
        <v>Vector(X = -0.212, Y = 0.977, Z = 0.000, Length = 1.000)</v>
      </c>
      <c r="G1522">
        <f t="shared" ca="1" si="295"/>
        <v>-0.2</v>
      </c>
      <c r="H1522">
        <f t="shared" ca="1" si="296"/>
        <v>1</v>
      </c>
      <c r="I1522">
        <f t="shared" ca="1" si="297"/>
        <v>0</v>
      </c>
      <c r="J1522" s="8">
        <f t="shared" ca="1" si="298"/>
        <v>101.3099324740202</v>
      </c>
      <c r="K1522" s="9" t="str">
        <f t="shared" ca="1" si="299"/>
        <v>N</v>
      </c>
      <c r="L1522">
        <f ca="1">+_xlfn.IFNA(VLOOKUP(M1522,BespokeWindowsAreas!$B$2:$E$1999,4,FALSE),VLOOKUP(E1522,WindowTypeArea!$B$2:$C$113,2,FALSE))</f>
        <v>2.9737499999999999</v>
      </c>
      <c r="M1522">
        <f t="shared" ca="1" si="300"/>
        <v>4806948</v>
      </c>
    </row>
    <row r="1523" spans="1:13" x14ac:dyDescent="0.25">
      <c r="A1523">
        <f t="shared" ca="1" si="293"/>
        <v>4</v>
      </c>
      <c r="B1523">
        <f t="shared" ca="1" si="294"/>
        <v>90</v>
      </c>
      <c r="C1523" t="str">
        <f t="shared" ca="1" si="301"/>
        <v>'WINDOWS-NCH-A-BDP-M3-02-00'!B89</v>
      </c>
      <c r="D1523" s="6" t="str">
        <f t="shared" ca="1" si="302"/>
        <v>L02-DCU-DMS-S083-05</v>
      </c>
      <c r="E1523" t="str">
        <f t="shared" ca="1" si="303"/>
        <v>L02-DCU-DMS-S083-05</v>
      </c>
      <c r="F1523">
        <f t="shared" ca="1" si="304"/>
        <v>1543945</v>
      </c>
      <c r="G1523">
        <f t="shared" ca="1" si="295"/>
        <v>0</v>
      </c>
      <c r="H1523">
        <f t="shared" ca="1" si="296"/>
        <v>0</v>
      </c>
      <c r="I1523">
        <f t="shared" ca="1" si="297"/>
        <v>0</v>
      </c>
      <c r="J1523" s="8" t="e">
        <f t="shared" ca="1" si="298"/>
        <v>#DIV/0!</v>
      </c>
      <c r="K1523" s="9" t="e">
        <f t="shared" ca="1" si="299"/>
        <v>#DIV/0!</v>
      </c>
      <c r="L1523" t="e">
        <f ca="1">+_xlfn.IFNA(VLOOKUP(M1523,BespokeWindowsAreas!$B$2:$E$1999,4,FALSE),VLOOKUP(E1523,WindowTypeArea!$B$2:$C$113,2,FALSE))</f>
        <v>#N/A</v>
      </c>
      <c r="M1523">
        <f t="shared" ca="1" si="300"/>
        <v>0</v>
      </c>
    </row>
    <row r="1524" spans="1:13" x14ac:dyDescent="0.25">
      <c r="A1524">
        <f t="shared" ca="1" si="293"/>
        <v>4</v>
      </c>
      <c r="B1524">
        <f t="shared" ca="1" si="294"/>
        <v>91</v>
      </c>
      <c r="C1524" t="str">
        <f t="shared" ca="1" si="301"/>
        <v>'WINDOWS-NCH-A-BDP-M3-02-00'!B90</v>
      </c>
      <c r="D1524" s="6" t="str">
        <f t="shared" ca="1" si="302"/>
        <v>L02-DCU-DMS-S083-05</v>
      </c>
      <c r="E1524" t="str">
        <f t="shared" ca="1" si="303"/>
        <v>Family Type: 1500w x 3050h, Family: Window External Type 3 - Recessed and Angle</v>
      </c>
      <c r="F1524" t="str">
        <f t="shared" ca="1" si="304"/>
        <v>Vector(X = -0.212, Y = 0.977, Z = 0.000, Length = 1.000)</v>
      </c>
      <c r="G1524">
        <f t="shared" ca="1" si="295"/>
        <v>-0.2</v>
      </c>
      <c r="H1524">
        <f t="shared" ca="1" si="296"/>
        <v>1</v>
      </c>
      <c r="I1524">
        <f t="shared" ca="1" si="297"/>
        <v>0</v>
      </c>
      <c r="J1524" s="8">
        <f t="shared" ca="1" si="298"/>
        <v>101.3099324740202</v>
      </c>
      <c r="K1524" s="9" t="str">
        <f t="shared" ca="1" si="299"/>
        <v>N</v>
      </c>
      <c r="L1524">
        <f ca="1">+_xlfn.IFNA(VLOOKUP(M1524,BespokeWindowsAreas!$B$2:$E$1999,4,FALSE),VLOOKUP(E1524,WindowTypeArea!$B$2:$C$113,2,FALSE))</f>
        <v>4.5750000000000002</v>
      </c>
      <c r="M1524">
        <f t="shared" ca="1" si="300"/>
        <v>4806386</v>
      </c>
    </row>
    <row r="1525" spans="1:13" x14ac:dyDescent="0.25">
      <c r="A1525">
        <f t="shared" ca="1" si="293"/>
        <v>4</v>
      </c>
      <c r="B1525">
        <f t="shared" ca="1" si="294"/>
        <v>92</v>
      </c>
      <c r="C1525" t="str">
        <f t="shared" ca="1" si="301"/>
        <v>'WINDOWS-NCH-A-BDP-M3-02-00'!B91</v>
      </c>
      <c r="D1525" s="6" t="str">
        <f t="shared" ca="1" si="302"/>
        <v>L02-DCU-DMS-S083-06</v>
      </c>
      <c r="E1525" t="str">
        <f t="shared" ca="1" si="303"/>
        <v>L02-DCU-DMS-S083-06</v>
      </c>
      <c r="F1525">
        <f t="shared" ca="1" si="304"/>
        <v>1543947</v>
      </c>
      <c r="G1525">
        <f t="shared" ca="1" si="295"/>
        <v>0</v>
      </c>
      <c r="H1525">
        <f t="shared" ca="1" si="296"/>
        <v>0</v>
      </c>
      <c r="I1525">
        <f t="shared" ca="1" si="297"/>
        <v>0</v>
      </c>
      <c r="J1525" s="8" t="e">
        <f t="shared" ca="1" si="298"/>
        <v>#DIV/0!</v>
      </c>
      <c r="K1525" s="9" t="e">
        <f t="shared" ca="1" si="299"/>
        <v>#DIV/0!</v>
      </c>
      <c r="L1525" t="e">
        <f ca="1">+_xlfn.IFNA(VLOOKUP(M1525,BespokeWindowsAreas!$B$2:$E$1999,4,FALSE),VLOOKUP(E1525,WindowTypeArea!$B$2:$C$113,2,FALSE))</f>
        <v>#N/A</v>
      </c>
      <c r="M1525">
        <f t="shared" ca="1" si="300"/>
        <v>0</v>
      </c>
    </row>
    <row r="1526" spans="1:13" x14ac:dyDescent="0.25">
      <c r="A1526">
        <f t="shared" ca="1" si="293"/>
        <v>4</v>
      </c>
      <c r="B1526">
        <f t="shared" ca="1" si="294"/>
        <v>93</v>
      </c>
      <c r="C1526" t="str">
        <f t="shared" ca="1" si="301"/>
        <v>'WINDOWS-NCH-A-BDP-M3-02-00'!B92</v>
      </c>
      <c r="D1526" s="6" t="str">
        <f t="shared" ca="1" si="302"/>
        <v>L02-DCU-DMS-S083-06</v>
      </c>
      <c r="E1526" t="str">
        <f t="shared" ca="1" si="303"/>
        <v>Family Type: 975w x 3050h, Family: Window External Type 1 - Recessed</v>
      </c>
      <c r="F1526" t="str">
        <f t="shared" ca="1" si="304"/>
        <v>Vector(X = -0.212, Y = 0.977, Z = 0.000, Length = 1.000)</v>
      </c>
      <c r="G1526">
        <f t="shared" ca="1" si="295"/>
        <v>-0.2</v>
      </c>
      <c r="H1526">
        <f t="shared" ca="1" si="296"/>
        <v>1</v>
      </c>
      <c r="I1526">
        <f t="shared" ca="1" si="297"/>
        <v>0</v>
      </c>
      <c r="J1526" s="8">
        <f t="shared" ca="1" si="298"/>
        <v>101.3099324740202</v>
      </c>
      <c r="K1526" s="9" t="str">
        <f t="shared" ca="1" si="299"/>
        <v>N</v>
      </c>
      <c r="L1526">
        <f ca="1">+_xlfn.IFNA(VLOOKUP(M1526,BespokeWindowsAreas!$B$2:$E$1999,4,FALSE),VLOOKUP(E1526,WindowTypeArea!$B$2:$C$113,2,FALSE))</f>
        <v>2.9737499999999999</v>
      </c>
      <c r="M1526">
        <f t="shared" ca="1" si="300"/>
        <v>4806491</v>
      </c>
    </row>
    <row r="1527" spans="1:13" x14ac:dyDescent="0.25">
      <c r="A1527">
        <f t="shared" ca="1" si="293"/>
        <v>4</v>
      </c>
      <c r="B1527">
        <f t="shared" ca="1" si="294"/>
        <v>94</v>
      </c>
      <c r="C1527" t="str">
        <f t="shared" ca="1" si="301"/>
        <v>'WINDOWS-NCH-A-BDP-M3-02-00'!B93</v>
      </c>
      <c r="D1527" s="6" t="str">
        <f t="shared" ca="1" si="302"/>
        <v>L02-DCU-DMS-S083-06</v>
      </c>
      <c r="E1527" t="str">
        <f t="shared" ca="1" si="303"/>
        <v>Family Type: 975w x 3050h, Family: Window External Type 1 - Recessed</v>
      </c>
      <c r="F1527" t="str">
        <f t="shared" ca="1" si="304"/>
        <v>Vector(X = -0.212, Y = 0.977, Z = 0.000, Length = 1.000)</v>
      </c>
      <c r="G1527">
        <f t="shared" ca="1" si="295"/>
        <v>-0.2</v>
      </c>
      <c r="H1527">
        <f t="shared" ca="1" si="296"/>
        <v>1</v>
      </c>
      <c r="I1527">
        <f t="shared" ca="1" si="297"/>
        <v>0</v>
      </c>
      <c r="J1527" s="8">
        <f t="shared" ca="1" si="298"/>
        <v>101.3099324740202</v>
      </c>
      <c r="K1527" s="9" t="str">
        <f t="shared" ca="1" si="299"/>
        <v>N</v>
      </c>
      <c r="L1527">
        <f ca="1">+_xlfn.IFNA(VLOOKUP(M1527,BespokeWindowsAreas!$B$2:$E$1999,4,FALSE),VLOOKUP(E1527,WindowTypeArea!$B$2:$C$113,2,FALSE))</f>
        <v>2.9737499999999999</v>
      </c>
      <c r="M1527">
        <f t="shared" ca="1" si="300"/>
        <v>4806565</v>
      </c>
    </row>
    <row r="1528" spans="1:13" x14ac:dyDescent="0.25">
      <c r="A1528">
        <f t="shared" ca="1" si="293"/>
        <v>4</v>
      </c>
      <c r="B1528">
        <f t="shared" ca="1" si="294"/>
        <v>95</v>
      </c>
      <c r="C1528" t="str">
        <f t="shared" ca="1" si="301"/>
        <v>'WINDOWS-NCH-A-BDP-M3-02-00'!B94</v>
      </c>
      <c r="D1528" s="6" t="str">
        <f t="shared" ca="1" si="302"/>
        <v>L02-DCU-DMS-S083-08</v>
      </c>
      <c r="E1528" t="str">
        <f t="shared" ca="1" si="303"/>
        <v>L02-DCU-DMS-S083-08</v>
      </c>
      <c r="F1528">
        <f t="shared" ca="1" si="304"/>
        <v>1543951</v>
      </c>
      <c r="G1528">
        <f t="shared" ca="1" si="295"/>
        <v>0</v>
      </c>
      <c r="H1528">
        <f t="shared" ca="1" si="296"/>
        <v>0</v>
      </c>
      <c r="I1528">
        <f t="shared" ca="1" si="297"/>
        <v>0</v>
      </c>
      <c r="J1528" s="8" t="e">
        <f t="shared" ca="1" si="298"/>
        <v>#DIV/0!</v>
      </c>
      <c r="K1528" s="9" t="e">
        <f t="shared" ca="1" si="299"/>
        <v>#DIV/0!</v>
      </c>
      <c r="L1528" t="e">
        <f ca="1">+_xlfn.IFNA(VLOOKUP(M1528,BespokeWindowsAreas!$B$2:$E$1999,4,FALSE),VLOOKUP(E1528,WindowTypeArea!$B$2:$C$113,2,FALSE))</f>
        <v>#N/A</v>
      </c>
      <c r="M1528">
        <f t="shared" ca="1" si="300"/>
        <v>0</v>
      </c>
    </row>
    <row r="1529" spans="1:13" x14ac:dyDescent="0.25">
      <c r="A1529">
        <f t="shared" ca="1" si="293"/>
        <v>4</v>
      </c>
      <c r="B1529">
        <f t="shared" ca="1" si="294"/>
        <v>96</v>
      </c>
      <c r="C1529" t="str">
        <f t="shared" ca="1" si="301"/>
        <v>'WINDOWS-NCH-A-BDP-M3-02-00'!B95</v>
      </c>
      <c r="D1529" s="6" t="str">
        <f t="shared" ca="1" si="302"/>
        <v>L02-DCU-DMS-S083-08</v>
      </c>
      <c r="E1529" t="str">
        <f t="shared" ca="1" si="303"/>
        <v>Family Type: 975w x 3050h, Family: Window External Type 1 - Recessed</v>
      </c>
      <c r="F1529" t="str">
        <f t="shared" ca="1" si="304"/>
        <v>Vector(X = -0.212, Y = 0.977, Z = 0.000, Length = 1.000)</v>
      </c>
      <c r="G1529">
        <f t="shared" ca="1" si="295"/>
        <v>-0.2</v>
      </c>
      <c r="H1529">
        <f t="shared" ca="1" si="296"/>
        <v>1</v>
      </c>
      <c r="I1529">
        <f t="shared" ca="1" si="297"/>
        <v>0</v>
      </c>
      <c r="J1529" s="8">
        <f t="shared" ca="1" si="298"/>
        <v>101.3099324740202</v>
      </c>
      <c r="K1529" s="9" t="str">
        <f t="shared" ca="1" si="299"/>
        <v>N</v>
      </c>
      <c r="L1529">
        <f ca="1">+_xlfn.IFNA(VLOOKUP(M1529,BespokeWindowsAreas!$B$2:$E$1999,4,FALSE),VLOOKUP(E1529,WindowTypeArea!$B$2:$C$113,2,FALSE))</f>
        <v>2.9737499999999999</v>
      </c>
      <c r="M1529">
        <f t="shared" ca="1" si="300"/>
        <v>4840015</v>
      </c>
    </row>
    <row r="1530" spans="1:13" x14ac:dyDescent="0.25">
      <c r="A1530">
        <f t="shared" ca="1" si="293"/>
        <v>4</v>
      </c>
      <c r="B1530">
        <f t="shared" ca="1" si="294"/>
        <v>97</v>
      </c>
      <c r="C1530" t="str">
        <f t="shared" ca="1" si="301"/>
        <v>'WINDOWS-NCH-A-BDP-M3-02-00'!B96</v>
      </c>
      <c r="D1530" s="6" t="str">
        <f t="shared" ca="1" si="302"/>
        <v>L02-DCU-DMS-S083-13</v>
      </c>
      <c r="E1530" t="str">
        <f t="shared" ca="1" si="303"/>
        <v>L02-DCU-DMS-S083-13</v>
      </c>
      <c r="F1530">
        <f t="shared" ca="1" si="304"/>
        <v>1543961</v>
      </c>
      <c r="G1530">
        <f t="shared" ca="1" si="295"/>
        <v>0</v>
      </c>
      <c r="H1530">
        <f t="shared" ca="1" si="296"/>
        <v>0</v>
      </c>
      <c r="I1530">
        <f t="shared" ca="1" si="297"/>
        <v>0</v>
      </c>
      <c r="J1530" s="8" t="e">
        <f t="shared" ca="1" si="298"/>
        <v>#DIV/0!</v>
      </c>
      <c r="K1530" s="9" t="e">
        <f t="shared" ca="1" si="299"/>
        <v>#DIV/0!</v>
      </c>
      <c r="L1530" t="e">
        <f ca="1">+_xlfn.IFNA(VLOOKUP(M1530,BespokeWindowsAreas!$B$2:$E$1999,4,FALSE),VLOOKUP(E1530,WindowTypeArea!$B$2:$C$113,2,FALSE))</f>
        <v>#N/A</v>
      </c>
      <c r="M1530">
        <f t="shared" ca="1" si="300"/>
        <v>0</v>
      </c>
    </row>
    <row r="1531" spans="1:13" x14ac:dyDescent="0.25">
      <c r="A1531">
        <f t="shared" ca="1" si="293"/>
        <v>4</v>
      </c>
      <c r="B1531">
        <f t="shared" ca="1" si="294"/>
        <v>98</v>
      </c>
      <c r="C1531" t="str">
        <f t="shared" ca="1" si="301"/>
        <v>'WINDOWS-NCH-A-BDP-M3-02-00'!B97</v>
      </c>
      <c r="D1531" s="6" t="str">
        <f t="shared" ca="1" si="302"/>
        <v>L02-DCU-DMS-S083-13</v>
      </c>
      <c r="E1531" t="str">
        <f t="shared" ca="1" si="303"/>
        <v>Family Type: 1500w x 3050h, Family: Window External Type 3 - Recessed and Angle</v>
      </c>
      <c r="F1531" t="str">
        <f t="shared" ca="1" si="304"/>
        <v>Vector(X = 0.212, Y = -0.977, Z = 0.000, Length = 1.000)</v>
      </c>
      <c r="G1531">
        <f t="shared" ca="1" si="295"/>
        <v>0.2</v>
      </c>
      <c r="H1531">
        <f t="shared" ca="1" si="296"/>
        <v>-1</v>
      </c>
      <c r="I1531">
        <f t="shared" ca="1" si="297"/>
        <v>0</v>
      </c>
      <c r="J1531" s="8">
        <f t="shared" ca="1" si="298"/>
        <v>-78.690067525979785</v>
      </c>
      <c r="K1531" s="9" t="str">
        <f t="shared" ca="1" si="299"/>
        <v>S</v>
      </c>
      <c r="L1531">
        <f ca="1">+_xlfn.IFNA(VLOOKUP(M1531,BespokeWindowsAreas!$B$2:$E$1999,4,FALSE),VLOOKUP(E1531,WindowTypeArea!$B$2:$C$113,2,FALSE))</f>
        <v>4.5750000000000002</v>
      </c>
      <c r="M1531">
        <f t="shared" ca="1" si="300"/>
        <v>4869218</v>
      </c>
    </row>
    <row r="1532" spans="1:13" x14ac:dyDescent="0.25">
      <c r="A1532">
        <f t="shared" ca="1" si="293"/>
        <v>4</v>
      </c>
      <c r="B1532">
        <f t="shared" ca="1" si="294"/>
        <v>99</v>
      </c>
      <c r="C1532" t="str">
        <f t="shared" ca="1" si="301"/>
        <v>'WINDOWS-NCH-A-BDP-M3-02-00'!B98</v>
      </c>
      <c r="D1532" s="6" t="str">
        <f t="shared" ca="1" si="302"/>
        <v>L02-DCU-DMS-S083-14</v>
      </c>
      <c r="E1532" t="str">
        <f t="shared" ca="1" si="303"/>
        <v>L02-DCU-DMS-S083-14</v>
      </c>
      <c r="F1532">
        <f t="shared" ca="1" si="304"/>
        <v>1543963</v>
      </c>
      <c r="G1532">
        <f t="shared" ca="1" si="295"/>
        <v>0</v>
      </c>
      <c r="H1532">
        <f t="shared" ca="1" si="296"/>
        <v>0</v>
      </c>
      <c r="I1532">
        <f t="shared" ca="1" si="297"/>
        <v>0</v>
      </c>
      <c r="J1532" s="8" t="e">
        <f t="shared" ca="1" si="298"/>
        <v>#DIV/0!</v>
      </c>
      <c r="K1532" s="9" t="e">
        <f t="shared" ca="1" si="299"/>
        <v>#DIV/0!</v>
      </c>
      <c r="L1532" t="e">
        <f ca="1">+_xlfn.IFNA(VLOOKUP(M1532,BespokeWindowsAreas!$B$2:$E$1999,4,FALSE),VLOOKUP(E1532,WindowTypeArea!$B$2:$C$113,2,FALSE))</f>
        <v>#N/A</v>
      </c>
      <c r="M1532">
        <f t="shared" ca="1" si="300"/>
        <v>0</v>
      </c>
    </row>
    <row r="1533" spans="1:13" x14ac:dyDescent="0.25">
      <c r="A1533">
        <f t="shared" ca="1" si="293"/>
        <v>4</v>
      </c>
      <c r="B1533">
        <f t="shared" ca="1" si="294"/>
        <v>100</v>
      </c>
      <c r="C1533" t="str">
        <f t="shared" ca="1" si="301"/>
        <v>'WINDOWS-NCH-A-BDP-M3-02-00'!B99</v>
      </c>
      <c r="D1533" s="6" t="str">
        <f t="shared" ca="1" si="302"/>
        <v>L02-DCU-DMS-S083-14</v>
      </c>
      <c r="E1533" t="str">
        <f t="shared" ca="1" si="303"/>
        <v>Family Type: 1000w x 3050h, Family: Window External Type 2 - Recessed and Fin</v>
      </c>
      <c r="F1533" t="str">
        <f t="shared" ca="1" si="304"/>
        <v>Vector(X = 0.212, Y = -0.977, Z = 0.000, Length = 1.000)</v>
      </c>
      <c r="G1533">
        <f t="shared" ca="1" si="295"/>
        <v>0.2</v>
      </c>
      <c r="H1533">
        <f t="shared" ca="1" si="296"/>
        <v>-1</v>
      </c>
      <c r="I1533">
        <f t="shared" ca="1" si="297"/>
        <v>0</v>
      </c>
      <c r="J1533" s="8">
        <f t="shared" ca="1" si="298"/>
        <v>-78.690067525979785</v>
      </c>
      <c r="K1533" s="9" t="str">
        <f t="shared" ca="1" si="299"/>
        <v>S</v>
      </c>
      <c r="L1533">
        <f ca="1">+_xlfn.IFNA(VLOOKUP(M1533,BespokeWindowsAreas!$B$2:$E$1999,4,FALSE),VLOOKUP(E1533,WindowTypeArea!$B$2:$C$113,2,FALSE))</f>
        <v>3.05</v>
      </c>
      <c r="M1533">
        <f t="shared" ca="1" si="300"/>
        <v>4868636</v>
      </c>
    </row>
    <row r="1534" spans="1:13" x14ac:dyDescent="0.25">
      <c r="A1534">
        <f t="shared" ca="1" si="293"/>
        <v>4</v>
      </c>
      <c r="B1534">
        <f t="shared" ca="1" si="294"/>
        <v>101</v>
      </c>
      <c r="C1534" t="str">
        <f t="shared" ca="1" si="301"/>
        <v>'WINDOWS-NCH-A-BDP-M3-02-00'!B100</v>
      </c>
      <c r="D1534" s="6" t="str">
        <f t="shared" ca="1" si="302"/>
        <v>L02-DCU-DMS-S083-15</v>
      </c>
      <c r="E1534" t="str">
        <f t="shared" ca="1" si="303"/>
        <v>L02-DCU-DMS-S083-15</v>
      </c>
      <c r="F1534">
        <f t="shared" ca="1" si="304"/>
        <v>1543965</v>
      </c>
      <c r="G1534">
        <f t="shared" ca="1" si="295"/>
        <v>0</v>
      </c>
      <c r="H1534">
        <f t="shared" ca="1" si="296"/>
        <v>0</v>
      </c>
      <c r="I1534">
        <f t="shared" ca="1" si="297"/>
        <v>0</v>
      </c>
      <c r="J1534" s="8" t="e">
        <f t="shared" ca="1" si="298"/>
        <v>#DIV/0!</v>
      </c>
      <c r="K1534" s="9" t="e">
        <f t="shared" ca="1" si="299"/>
        <v>#DIV/0!</v>
      </c>
      <c r="L1534" t="e">
        <f ca="1">+_xlfn.IFNA(VLOOKUP(M1534,BespokeWindowsAreas!$B$2:$E$1999,4,FALSE),VLOOKUP(E1534,WindowTypeArea!$B$2:$C$113,2,FALSE))</f>
        <v>#N/A</v>
      </c>
      <c r="M1534">
        <f t="shared" ca="1" si="300"/>
        <v>0</v>
      </c>
    </row>
    <row r="1535" spans="1:13" x14ac:dyDescent="0.25">
      <c r="A1535">
        <f t="shared" ca="1" si="293"/>
        <v>4</v>
      </c>
      <c r="B1535">
        <f t="shared" ca="1" si="294"/>
        <v>102</v>
      </c>
      <c r="C1535" t="str">
        <f t="shared" ca="1" si="301"/>
        <v>'WINDOWS-NCH-A-BDP-M3-02-00'!B101</v>
      </c>
      <c r="D1535" s="6" t="str">
        <f t="shared" ca="1" si="302"/>
        <v>L02-DCU-DMS-S083-15</v>
      </c>
      <c r="E1535" t="str">
        <f t="shared" ca="1" si="303"/>
        <v>Family Type: 1000w x 3050h, Family: Window External Type 2 - Recessed and Fin</v>
      </c>
      <c r="F1535" t="str">
        <f t="shared" ca="1" si="304"/>
        <v>Vector(X = 0.212, Y = -0.977, Z = 0.000, Length = 1.000)</v>
      </c>
      <c r="G1535">
        <f t="shared" ca="1" si="295"/>
        <v>0.2</v>
      </c>
      <c r="H1535">
        <f t="shared" ca="1" si="296"/>
        <v>-1</v>
      </c>
      <c r="I1535">
        <f t="shared" ca="1" si="297"/>
        <v>0</v>
      </c>
      <c r="J1535" s="8">
        <f t="shared" ca="1" si="298"/>
        <v>-78.690067525979785</v>
      </c>
      <c r="K1535" s="9" t="str">
        <f t="shared" ca="1" si="299"/>
        <v>S</v>
      </c>
      <c r="L1535">
        <f ca="1">+_xlfn.IFNA(VLOOKUP(M1535,BespokeWindowsAreas!$B$2:$E$1999,4,FALSE),VLOOKUP(E1535,WindowTypeArea!$B$2:$C$113,2,FALSE))</f>
        <v>3.05</v>
      </c>
      <c r="M1535">
        <f t="shared" ca="1" si="300"/>
        <v>4868595</v>
      </c>
    </row>
    <row r="1536" spans="1:13" x14ac:dyDescent="0.25">
      <c r="A1536">
        <f t="shared" ca="1" si="293"/>
        <v>4</v>
      </c>
      <c r="B1536">
        <f t="shared" ca="1" si="294"/>
        <v>103</v>
      </c>
      <c r="C1536" t="str">
        <f t="shared" ca="1" si="301"/>
        <v>'WINDOWS-NCH-A-BDP-M3-02-00'!B102</v>
      </c>
      <c r="D1536" s="6" t="str">
        <f t="shared" ca="1" si="302"/>
        <v>L02-DCU-DMS-S083-16</v>
      </c>
      <c r="E1536" t="str">
        <f t="shared" ca="1" si="303"/>
        <v>L02-DCU-DMS-S083-16</v>
      </c>
      <c r="F1536">
        <f t="shared" ca="1" si="304"/>
        <v>1543967</v>
      </c>
      <c r="G1536">
        <f t="shared" ca="1" si="295"/>
        <v>0</v>
      </c>
      <c r="H1536">
        <f t="shared" ca="1" si="296"/>
        <v>0</v>
      </c>
      <c r="I1536">
        <f t="shared" ca="1" si="297"/>
        <v>0</v>
      </c>
      <c r="J1536" s="8" t="e">
        <f t="shared" ca="1" si="298"/>
        <v>#DIV/0!</v>
      </c>
      <c r="K1536" s="9" t="e">
        <f t="shared" ca="1" si="299"/>
        <v>#DIV/0!</v>
      </c>
      <c r="L1536" t="e">
        <f ca="1">+_xlfn.IFNA(VLOOKUP(M1536,BespokeWindowsAreas!$B$2:$E$1999,4,FALSE),VLOOKUP(E1536,WindowTypeArea!$B$2:$C$113,2,FALSE))</f>
        <v>#N/A</v>
      </c>
      <c r="M1536">
        <f t="shared" ca="1" si="300"/>
        <v>0</v>
      </c>
    </row>
    <row r="1537" spans="1:13" x14ac:dyDescent="0.25">
      <c r="A1537">
        <f t="shared" ca="1" si="293"/>
        <v>4</v>
      </c>
      <c r="B1537">
        <f t="shared" ca="1" si="294"/>
        <v>104</v>
      </c>
      <c r="C1537" t="str">
        <f t="shared" ca="1" si="301"/>
        <v>'WINDOWS-NCH-A-BDP-M3-02-00'!B103</v>
      </c>
      <c r="D1537" s="6" t="str">
        <f t="shared" ca="1" si="302"/>
        <v>L02-DCU-DMS-S083-16</v>
      </c>
      <c r="E1537" t="str">
        <f t="shared" ca="1" si="303"/>
        <v>Family Type: 1000w x 3050h, Family: Window External Type 4 - Extruded</v>
      </c>
      <c r="F1537" t="str">
        <f t="shared" ca="1" si="304"/>
        <v>Vector(X = 0.212, Y = -0.977, Z = 0.000, Length = 1.000)</v>
      </c>
      <c r="G1537">
        <f t="shared" ca="1" si="295"/>
        <v>0.2</v>
      </c>
      <c r="H1537">
        <f t="shared" ca="1" si="296"/>
        <v>-1</v>
      </c>
      <c r="I1537">
        <f t="shared" ca="1" si="297"/>
        <v>0</v>
      </c>
      <c r="J1537" s="8">
        <f t="shared" ca="1" si="298"/>
        <v>-78.690067525979785</v>
      </c>
      <c r="K1537" s="9" t="str">
        <f t="shared" ca="1" si="299"/>
        <v>S</v>
      </c>
      <c r="L1537">
        <f ca="1">+_xlfn.IFNA(VLOOKUP(M1537,BespokeWindowsAreas!$B$2:$E$1999,4,FALSE),VLOOKUP(E1537,WindowTypeArea!$B$2:$C$113,2,FALSE))</f>
        <v>3.05</v>
      </c>
      <c r="M1537">
        <f t="shared" ca="1" si="300"/>
        <v>4868427</v>
      </c>
    </row>
    <row r="1538" spans="1:13" x14ac:dyDescent="0.25">
      <c r="A1538">
        <f t="shared" ca="1" si="293"/>
        <v>4</v>
      </c>
      <c r="B1538">
        <f t="shared" ca="1" si="294"/>
        <v>105</v>
      </c>
      <c r="C1538" t="str">
        <f t="shared" ca="1" si="301"/>
        <v>'WINDOWS-NCH-A-BDP-M3-02-00'!B104</v>
      </c>
      <c r="D1538" s="6" t="str">
        <f t="shared" ca="1" si="302"/>
        <v>L02-DCU-DMS-S083-16</v>
      </c>
      <c r="E1538" t="str">
        <f t="shared" ca="1" si="303"/>
        <v>Family Type: 1000w x 3050h, Family: Window External Type 2 - Recessed and Fin</v>
      </c>
      <c r="F1538" t="str">
        <f t="shared" ca="1" si="304"/>
        <v>Vector(X = 0.212, Y = -0.977, Z = 0.000, Length = 1.000)</v>
      </c>
      <c r="G1538">
        <f t="shared" ca="1" si="295"/>
        <v>0.2</v>
      </c>
      <c r="H1538">
        <f t="shared" ca="1" si="296"/>
        <v>-1</v>
      </c>
      <c r="I1538">
        <f t="shared" ca="1" si="297"/>
        <v>0</v>
      </c>
      <c r="J1538" s="8">
        <f t="shared" ca="1" si="298"/>
        <v>-78.690067525979785</v>
      </c>
      <c r="K1538" s="9" t="str">
        <f t="shared" ca="1" si="299"/>
        <v>S</v>
      </c>
      <c r="L1538">
        <f ca="1">+_xlfn.IFNA(VLOOKUP(M1538,BespokeWindowsAreas!$B$2:$E$1999,4,FALSE),VLOOKUP(E1538,WindowTypeArea!$B$2:$C$113,2,FALSE))</f>
        <v>3.05</v>
      </c>
      <c r="M1538">
        <f t="shared" ca="1" si="300"/>
        <v>4868502</v>
      </c>
    </row>
    <row r="1539" spans="1:13" x14ac:dyDescent="0.25">
      <c r="A1539">
        <f t="shared" ca="1" si="293"/>
        <v>4</v>
      </c>
      <c r="B1539">
        <f t="shared" ca="1" si="294"/>
        <v>106</v>
      </c>
      <c r="C1539" t="str">
        <f t="shared" ca="1" si="301"/>
        <v>'WINDOWS-NCH-A-BDP-M3-02-00'!B105</v>
      </c>
      <c r="D1539" s="6" t="str">
        <f t="shared" ca="1" si="302"/>
        <v>L02-DCU-DMS-S083-17</v>
      </c>
      <c r="E1539" t="str">
        <f t="shared" ca="1" si="303"/>
        <v>L02-DCU-DMS-S083-17</v>
      </c>
      <c r="F1539">
        <f t="shared" ca="1" si="304"/>
        <v>1543969</v>
      </c>
      <c r="G1539">
        <f t="shared" ca="1" si="295"/>
        <v>0</v>
      </c>
      <c r="H1539">
        <f t="shared" ca="1" si="296"/>
        <v>0</v>
      </c>
      <c r="I1539">
        <f t="shared" ca="1" si="297"/>
        <v>0</v>
      </c>
      <c r="J1539" s="8" t="e">
        <f t="shared" ca="1" si="298"/>
        <v>#DIV/0!</v>
      </c>
      <c r="K1539" s="9" t="e">
        <f t="shared" ca="1" si="299"/>
        <v>#DIV/0!</v>
      </c>
      <c r="L1539" t="e">
        <f ca="1">+_xlfn.IFNA(VLOOKUP(M1539,BespokeWindowsAreas!$B$2:$E$1999,4,FALSE),VLOOKUP(E1539,WindowTypeArea!$B$2:$C$113,2,FALSE))</f>
        <v>#N/A</v>
      </c>
      <c r="M1539">
        <f t="shared" ca="1" si="300"/>
        <v>0</v>
      </c>
    </row>
    <row r="1540" spans="1:13" x14ac:dyDescent="0.25">
      <c r="A1540">
        <f t="shared" ca="1" si="293"/>
        <v>4</v>
      </c>
      <c r="B1540">
        <f t="shared" ca="1" si="294"/>
        <v>107</v>
      </c>
      <c r="C1540" t="str">
        <f t="shared" ca="1" si="301"/>
        <v>'WINDOWS-NCH-A-BDP-M3-02-00'!B106</v>
      </c>
      <c r="D1540" s="6" t="str">
        <f t="shared" ca="1" si="302"/>
        <v>L02-DCU-DMS-S083-17</v>
      </c>
      <c r="E1540" t="str">
        <f t="shared" ca="1" si="303"/>
        <v>Family Type: 1000w x 3050h, Family: Window External Type 4 - Extruded</v>
      </c>
      <c r="F1540" t="str">
        <f t="shared" ca="1" si="304"/>
        <v>Vector(X = 0.212, Y = -0.977, Z = 0.000, Length = 1.000)</v>
      </c>
      <c r="G1540">
        <f t="shared" ca="1" si="295"/>
        <v>0.2</v>
      </c>
      <c r="H1540">
        <f t="shared" ca="1" si="296"/>
        <v>-1</v>
      </c>
      <c r="I1540">
        <f t="shared" ca="1" si="297"/>
        <v>0</v>
      </c>
      <c r="J1540" s="8">
        <f t="shared" ca="1" si="298"/>
        <v>-78.690067525979785</v>
      </c>
      <c r="K1540" s="9" t="str">
        <f t="shared" ca="1" si="299"/>
        <v>S</v>
      </c>
      <c r="L1540">
        <f ca="1">+_xlfn.IFNA(VLOOKUP(M1540,BespokeWindowsAreas!$B$2:$E$1999,4,FALSE),VLOOKUP(E1540,WindowTypeArea!$B$2:$C$113,2,FALSE))</f>
        <v>3.05</v>
      </c>
      <c r="M1540">
        <f t="shared" ca="1" si="300"/>
        <v>4868427</v>
      </c>
    </row>
    <row r="1541" spans="1:13" x14ac:dyDescent="0.25">
      <c r="A1541">
        <f t="shared" ca="1" si="293"/>
        <v>4</v>
      </c>
      <c r="B1541">
        <f t="shared" ca="1" si="294"/>
        <v>108</v>
      </c>
      <c r="C1541" t="str">
        <f t="shared" ca="1" si="301"/>
        <v>'WINDOWS-NCH-A-BDP-M3-02-00'!B107</v>
      </c>
      <c r="D1541" s="6" t="str">
        <f t="shared" ca="1" si="302"/>
        <v>L02-DCU-DMS-S083-18</v>
      </c>
      <c r="E1541" t="str">
        <f t="shared" ca="1" si="303"/>
        <v>L02-DCU-DMS-S083-18</v>
      </c>
      <c r="F1541">
        <f t="shared" ca="1" si="304"/>
        <v>1543971</v>
      </c>
      <c r="G1541">
        <f t="shared" ca="1" si="295"/>
        <v>0</v>
      </c>
      <c r="H1541">
        <f t="shared" ca="1" si="296"/>
        <v>0</v>
      </c>
      <c r="I1541">
        <f t="shared" ca="1" si="297"/>
        <v>0</v>
      </c>
      <c r="J1541" s="8" t="e">
        <f t="shared" ca="1" si="298"/>
        <v>#DIV/0!</v>
      </c>
      <c r="K1541" s="9" t="e">
        <f t="shared" ca="1" si="299"/>
        <v>#DIV/0!</v>
      </c>
      <c r="L1541" t="e">
        <f ca="1">+_xlfn.IFNA(VLOOKUP(M1541,BespokeWindowsAreas!$B$2:$E$1999,4,FALSE),VLOOKUP(E1541,WindowTypeArea!$B$2:$C$113,2,FALSE))</f>
        <v>#N/A</v>
      </c>
      <c r="M1541">
        <f t="shared" ca="1" si="300"/>
        <v>0</v>
      </c>
    </row>
    <row r="1542" spans="1:13" x14ac:dyDescent="0.25">
      <c r="A1542">
        <f t="shared" ca="1" si="293"/>
        <v>4</v>
      </c>
      <c r="B1542">
        <f t="shared" ca="1" si="294"/>
        <v>109</v>
      </c>
      <c r="C1542" t="str">
        <f t="shared" ca="1" si="301"/>
        <v>'WINDOWS-NCH-A-BDP-M3-02-00'!B108</v>
      </c>
      <c r="D1542" s="6" t="str">
        <f t="shared" ca="1" si="302"/>
        <v>L02-DCU-DMS-S083-18</v>
      </c>
      <c r="E1542" t="str">
        <f t="shared" ca="1" si="303"/>
        <v>Family Type: 1500w x 3050h, Family: Window External Type 3 - Recessed and Angle</v>
      </c>
      <c r="F1542" t="str">
        <f t="shared" ca="1" si="304"/>
        <v>Vector(X = 0.212, Y = -0.977, Z = 0.000, Length = 1.000)</v>
      </c>
      <c r="G1542">
        <f t="shared" ca="1" si="295"/>
        <v>0.2</v>
      </c>
      <c r="H1542">
        <f t="shared" ca="1" si="296"/>
        <v>-1</v>
      </c>
      <c r="I1542">
        <f t="shared" ca="1" si="297"/>
        <v>0</v>
      </c>
      <c r="J1542" s="8">
        <f t="shared" ca="1" si="298"/>
        <v>-78.690067525979785</v>
      </c>
      <c r="K1542" s="9" t="str">
        <f t="shared" ca="1" si="299"/>
        <v>S</v>
      </c>
      <c r="L1542">
        <f ca="1">+_xlfn.IFNA(VLOOKUP(M1542,BespokeWindowsAreas!$B$2:$E$1999,4,FALSE),VLOOKUP(E1542,WindowTypeArea!$B$2:$C$113,2,FALSE))</f>
        <v>4.5750000000000002</v>
      </c>
      <c r="M1542">
        <f t="shared" ca="1" si="300"/>
        <v>4868366</v>
      </c>
    </row>
    <row r="1543" spans="1:13" x14ac:dyDescent="0.25">
      <c r="A1543">
        <f t="shared" ca="1" si="293"/>
        <v>4</v>
      </c>
      <c r="B1543">
        <f t="shared" ca="1" si="294"/>
        <v>110</v>
      </c>
      <c r="C1543" t="str">
        <f t="shared" ca="1" si="301"/>
        <v>'WINDOWS-NCH-A-BDP-M3-02-00'!B109</v>
      </c>
      <c r="D1543" s="6" t="str">
        <f t="shared" ca="1" si="302"/>
        <v>L02-DCU-DMS-S083-19</v>
      </c>
      <c r="E1543" t="str">
        <f t="shared" ca="1" si="303"/>
        <v>L02-DCU-DMS-S083-19</v>
      </c>
      <c r="F1543">
        <f t="shared" ca="1" si="304"/>
        <v>1543973</v>
      </c>
      <c r="G1543">
        <f t="shared" ca="1" si="295"/>
        <v>0</v>
      </c>
      <c r="H1543">
        <f t="shared" ca="1" si="296"/>
        <v>0</v>
      </c>
      <c r="I1543">
        <f t="shared" ca="1" si="297"/>
        <v>0</v>
      </c>
      <c r="J1543" s="8" t="e">
        <f t="shared" ca="1" si="298"/>
        <v>#DIV/0!</v>
      </c>
      <c r="K1543" s="9" t="e">
        <f t="shared" ca="1" si="299"/>
        <v>#DIV/0!</v>
      </c>
      <c r="L1543" t="e">
        <f ca="1">+_xlfn.IFNA(VLOOKUP(M1543,BespokeWindowsAreas!$B$2:$E$1999,4,FALSE),VLOOKUP(E1543,WindowTypeArea!$B$2:$C$113,2,FALSE))</f>
        <v>#N/A</v>
      </c>
      <c r="M1543">
        <f t="shared" ca="1" si="300"/>
        <v>0</v>
      </c>
    </row>
    <row r="1544" spans="1:13" x14ac:dyDescent="0.25">
      <c r="A1544">
        <f t="shared" ca="1" si="293"/>
        <v>4</v>
      </c>
      <c r="B1544">
        <f t="shared" ca="1" si="294"/>
        <v>111</v>
      </c>
      <c r="C1544" t="str">
        <f t="shared" ca="1" si="301"/>
        <v>'WINDOWS-NCH-A-BDP-M3-02-00'!B110</v>
      </c>
      <c r="D1544" s="6" t="str">
        <f t="shared" ca="1" si="302"/>
        <v>L02-DCU-DMS-S083-19</v>
      </c>
      <c r="E1544" t="str">
        <f t="shared" ca="1" si="303"/>
        <v>Family Type: 1000w x 3050h, Family: Window External Type 2 - Recessed and Fin</v>
      </c>
      <c r="F1544" t="str">
        <f t="shared" ca="1" si="304"/>
        <v>Vector(X = 0.212, Y = -0.977, Z = 0.000, Length = 1.000)</v>
      </c>
      <c r="G1544">
        <f t="shared" ca="1" si="295"/>
        <v>0.2</v>
      </c>
      <c r="H1544">
        <f t="shared" ca="1" si="296"/>
        <v>-1</v>
      </c>
      <c r="I1544">
        <f t="shared" ca="1" si="297"/>
        <v>0</v>
      </c>
      <c r="J1544" s="8">
        <f t="shared" ca="1" si="298"/>
        <v>-78.690067525979785</v>
      </c>
      <c r="K1544" s="9" t="str">
        <f t="shared" ca="1" si="299"/>
        <v>S</v>
      </c>
      <c r="L1544">
        <f ca="1">+_xlfn.IFNA(VLOOKUP(M1544,BespokeWindowsAreas!$B$2:$E$1999,4,FALSE),VLOOKUP(E1544,WindowTypeArea!$B$2:$C$113,2,FALSE))</f>
        <v>3.05</v>
      </c>
      <c r="M1544">
        <f t="shared" ca="1" si="300"/>
        <v>4868309</v>
      </c>
    </row>
    <row r="1545" spans="1:13" x14ac:dyDescent="0.25">
      <c r="A1545">
        <f t="shared" ca="1" si="293"/>
        <v>4</v>
      </c>
      <c r="B1545">
        <f t="shared" ca="1" si="294"/>
        <v>112</v>
      </c>
      <c r="C1545" t="str">
        <f t="shared" ca="1" si="301"/>
        <v>'WINDOWS-NCH-A-BDP-M3-02-00'!B111</v>
      </c>
      <c r="D1545" s="6" t="str">
        <f t="shared" ca="1" si="302"/>
        <v>L02-DCU-DMS-S083-20</v>
      </c>
      <c r="E1545" t="str">
        <f t="shared" ca="1" si="303"/>
        <v>L02-DCU-DMS-S083-20</v>
      </c>
      <c r="F1545">
        <f t="shared" ca="1" si="304"/>
        <v>1543975</v>
      </c>
      <c r="G1545">
        <f t="shared" ca="1" si="295"/>
        <v>0</v>
      </c>
      <c r="H1545">
        <f t="shared" ca="1" si="296"/>
        <v>0</v>
      </c>
      <c r="I1545">
        <f t="shared" ca="1" si="297"/>
        <v>0</v>
      </c>
      <c r="J1545" s="8" t="e">
        <f t="shared" ca="1" si="298"/>
        <v>#DIV/0!</v>
      </c>
      <c r="K1545" s="9" t="e">
        <f t="shared" ca="1" si="299"/>
        <v>#DIV/0!</v>
      </c>
      <c r="L1545" t="e">
        <f ca="1">+_xlfn.IFNA(VLOOKUP(M1545,BespokeWindowsAreas!$B$2:$E$1999,4,FALSE),VLOOKUP(E1545,WindowTypeArea!$B$2:$C$113,2,FALSE))</f>
        <v>#N/A</v>
      </c>
      <c r="M1545">
        <f t="shared" ca="1" si="300"/>
        <v>0</v>
      </c>
    </row>
    <row r="1546" spans="1:13" x14ac:dyDescent="0.25">
      <c r="A1546">
        <f t="shared" ca="1" si="293"/>
        <v>4</v>
      </c>
      <c r="B1546">
        <f t="shared" ca="1" si="294"/>
        <v>113</v>
      </c>
      <c r="C1546" t="str">
        <f t="shared" ca="1" si="301"/>
        <v>'WINDOWS-NCH-A-BDP-M3-02-00'!B112</v>
      </c>
      <c r="D1546" s="6" t="str">
        <f t="shared" ca="1" si="302"/>
        <v>L02-DCU-DMS-S083-20</v>
      </c>
      <c r="E1546" t="str">
        <f t="shared" ca="1" si="303"/>
        <v>Family Type: 1950w x 3050h, Family: Window External Type 3 - Recessed and Angle</v>
      </c>
      <c r="F1546" t="str">
        <f t="shared" ca="1" si="304"/>
        <v>Vector(X = 0.212, Y = -0.977, Z = 0.000, Length = 1.000)</v>
      </c>
      <c r="G1546">
        <f t="shared" ca="1" si="295"/>
        <v>0.2</v>
      </c>
      <c r="H1546">
        <f t="shared" ca="1" si="296"/>
        <v>-1</v>
      </c>
      <c r="I1546">
        <f t="shared" ca="1" si="297"/>
        <v>0</v>
      </c>
      <c r="J1546" s="8">
        <f t="shared" ca="1" si="298"/>
        <v>-78.690067525979785</v>
      </c>
      <c r="K1546" s="9" t="str">
        <f t="shared" ca="1" si="299"/>
        <v>S</v>
      </c>
      <c r="L1546">
        <f ca="1">+_xlfn.IFNA(VLOOKUP(M1546,BespokeWindowsAreas!$B$2:$E$1999,4,FALSE),VLOOKUP(E1546,WindowTypeArea!$B$2:$C$113,2,FALSE))</f>
        <v>5.9474999999999998</v>
      </c>
      <c r="M1546">
        <f t="shared" ca="1" si="300"/>
        <v>4865749</v>
      </c>
    </row>
    <row r="1547" spans="1:13" x14ac:dyDescent="0.25">
      <c r="A1547">
        <f t="shared" ca="1" si="293"/>
        <v>4</v>
      </c>
      <c r="B1547">
        <f t="shared" ca="1" si="294"/>
        <v>114</v>
      </c>
      <c r="C1547" t="str">
        <f t="shared" ca="1" si="301"/>
        <v>'WINDOWS-NCH-A-BDP-M3-02-00'!B113</v>
      </c>
      <c r="D1547" s="6" t="str">
        <f t="shared" ca="1" si="302"/>
        <v>L02-THE-DOT-L004-02</v>
      </c>
      <c r="E1547" t="str">
        <f t="shared" ca="1" si="303"/>
        <v>L02-THE-DOT-L004-02</v>
      </c>
      <c r="F1547">
        <f t="shared" ca="1" si="304"/>
        <v>1544018</v>
      </c>
      <c r="G1547">
        <f t="shared" ca="1" si="295"/>
        <v>0</v>
      </c>
      <c r="H1547">
        <f t="shared" ca="1" si="296"/>
        <v>0</v>
      </c>
      <c r="I1547">
        <f t="shared" ca="1" si="297"/>
        <v>0</v>
      </c>
      <c r="J1547" s="8" t="e">
        <f t="shared" ca="1" si="298"/>
        <v>#DIV/0!</v>
      </c>
      <c r="K1547" s="9" t="e">
        <f t="shared" ca="1" si="299"/>
        <v>#DIV/0!</v>
      </c>
      <c r="L1547" t="e">
        <f ca="1">+_xlfn.IFNA(VLOOKUP(M1547,BespokeWindowsAreas!$B$2:$E$1999,4,FALSE),VLOOKUP(E1547,WindowTypeArea!$B$2:$C$113,2,FALSE))</f>
        <v>#N/A</v>
      </c>
      <c r="M1547">
        <f t="shared" ca="1" si="300"/>
        <v>0</v>
      </c>
    </row>
    <row r="1548" spans="1:13" x14ac:dyDescent="0.25">
      <c r="A1548">
        <f t="shared" ca="1" si="293"/>
        <v>4</v>
      </c>
      <c r="B1548">
        <f t="shared" ca="1" si="294"/>
        <v>115</v>
      </c>
      <c r="C1548" t="str">
        <f t="shared" ca="1" si="301"/>
        <v>'WINDOWS-NCH-A-BDP-M3-02-00'!B114</v>
      </c>
      <c r="D1548" s="6" t="str">
        <f t="shared" ca="1" si="302"/>
        <v>none - connects to atrium</v>
      </c>
      <c r="E1548" t="str">
        <f t="shared" ca="1" si="303"/>
        <v>none - connects to atrium</v>
      </c>
      <c r="F1548" t="str">
        <f t="shared" ca="1" si="304"/>
        <v>Vector(X = 0.966, Y = 0.260, Z = 0.000, Length = 1.000)</v>
      </c>
      <c r="G1548">
        <f t="shared" ca="1" si="295"/>
        <v>1</v>
      </c>
      <c r="H1548">
        <f t="shared" ca="1" si="296"/>
        <v>0.3</v>
      </c>
      <c r="I1548">
        <f t="shared" ca="1" si="297"/>
        <v>0</v>
      </c>
      <c r="J1548" s="8">
        <f t="shared" ca="1" si="298"/>
        <v>16.699244233993621</v>
      </c>
      <c r="K1548" s="9" t="str">
        <f t="shared" ca="1" si="299"/>
        <v>E</v>
      </c>
      <c r="L1548" t="e">
        <f ca="1">+_xlfn.IFNA(VLOOKUP(M1548,BespokeWindowsAreas!$B$2:$E$1999,4,FALSE),VLOOKUP(E1548,WindowTypeArea!$B$2:$C$113,2,FALSE))</f>
        <v>#N/A</v>
      </c>
      <c r="M1548">
        <f t="shared" ca="1" si="300"/>
        <v>5193960</v>
      </c>
    </row>
    <row r="1549" spans="1:13" x14ac:dyDescent="0.25">
      <c r="A1549">
        <f t="shared" ca="1" si="293"/>
        <v>4</v>
      </c>
      <c r="B1549">
        <f t="shared" ca="1" si="294"/>
        <v>116</v>
      </c>
      <c r="C1549" t="str">
        <f t="shared" ca="1" si="301"/>
        <v>'WINDOWS-NCH-A-BDP-M3-02-00'!B115</v>
      </c>
      <c r="D1549" s="6" t="str">
        <f t="shared" ca="1" si="302"/>
        <v>L02-THE-DOT-S050-01</v>
      </c>
      <c r="E1549" t="str">
        <f t="shared" ca="1" si="303"/>
        <v>L02-THE-DOT-S050-01</v>
      </c>
      <c r="F1549">
        <f t="shared" ca="1" si="304"/>
        <v>1544034</v>
      </c>
      <c r="G1549">
        <f t="shared" ca="1" si="295"/>
        <v>0</v>
      </c>
      <c r="H1549">
        <f t="shared" ca="1" si="296"/>
        <v>0</v>
      </c>
      <c r="I1549">
        <f t="shared" ca="1" si="297"/>
        <v>0</v>
      </c>
      <c r="J1549" s="8" t="e">
        <f t="shared" ca="1" si="298"/>
        <v>#DIV/0!</v>
      </c>
      <c r="K1549" s="9" t="e">
        <f t="shared" ca="1" si="299"/>
        <v>#DIV/0!</v>
      </c>
      <c r="L1549" t="e">
        <f ca="1">+_xlfn.IFNA(VLOOKUP(M1549,BespokeWindowsAreas!$B$2:$E$1999,4,FALSE),VLOOKUP(E1549,WindowTypeArea!$B$2:$C$113,2,FALSE))</f>
        <v>#N/A</v>
      </c>
      <c r="M1549">
        <f t="shared" ca="1" si="300"/>
        <v>0</v>
      </c>
    </row>
    <row r="1550" spans="1:13" x14ac:dyDescent="0.25">
      <c r="A1550">
        <f t="shared" ca="1" si="293"/>
        <v>4</v>
      </c>
      <c r="B1550">
        <f t="shared" ca="1" si="294"/>
        <v>117</v>
      </c>
      <c r="C1550" t="str">
        <f t="shared" ca="1" si="301"/>
        <v>'WINDOWS-NCH-A-BDP-M3-02-00'!B116</v>
      </c>
      <c r="D1550" s="6" t="str">
        <f t="shared" ca="1" si="302"/>
        <v>none - connects to atrium</v>
      </c>
      <c r="E1550" t="str">
        <f t="shared" ca="1" si="303"/>
        <v>none - connects to atrium</v>
      </c>
      <c r="F1550" t="str">
        <f t="shared" ca="1" si="304"/>
        <v>Vector(X = 0.834, Y = 0.552, Z = 0.000, Length = 1.000)</v>
      </c>
      <c r="G1550">
        <f t="shared" ca="1" si="295"/>
        <v>0.8</v>
      </c>
      <c r="H1550">
        <f t="shared" ca="1" si="296"/>
        <v>0.6</v>
      </c>
      <c r="I1550">
        <f t="shared" ca="1" si="297"/>
        <v>0</v>
      </c>
      <c r="J1550" s="8">
        <f t="shared" ca="1" si="298"/>
        <v>36.86989764584402</v>
      </c>
      <c r="K1550" s="9" t="str">
        <f t="shared" ca="1" si="299"/>
        <v>E</v>
      </c>
      <c r="L1550" t="e">
        <f ca="1">+_xlfn.IFNA(VLOOKUP(M1550,BespokeWindowsAreas!$B$2:$E$1999,4,FALSE),VLOOKUP(E1550,WindowTypeArea!$B$2:$C$113,2,FALSE))</f>
        <v>#N/A</v>
      </c>
      <c r="M1550">
        <f t="shared" ca="1" si="300"/>
        <v>6536955</v>
      </c>
    </row>
    <row r="1551" spans="1:13" x14ac:dyDescent="0.25">
      <c r="A1551">
        <f t="shared" ca="1" si="293"/>
        <v>4</v>
      </c>
      <c r="B1551">
        <f t="shared" ca="1" si="294"/>
        <v>118</v>
      </c>
      <c r="C1551" t="str">
        <f t="shared" ca="1" si="301"/>
        <v>'WINDOWS-NCH-A-BDP-M3-02-00'!B117</v>
      </c>
      <c r="D1551" s="6" t="str">
        <f t="shared" ca="1" si="302"/>
        <v>L02-THE-DOT-S115-04</v>
      </c>
      <c r="E1551" t="str">
        <f t="shared" ca="1" si="303"/>
        <v>L02-THE-DOT-S115-04</v>
      </c>
      <c r="F1551">
        <f t="shared" ca="1" si="304"/>
        <v>1544348</v>
      </c>
      <c r="G1551">
        <f t="shared" ca="1" si="295"/>
        <v>0</v>
      </c>
      <c r="H1551">
        <f t="shared" ca="1" si="296"/>
        <v>0</v>
      </c>
      <c r="I1551">
        <f t="shared" ca="1" si="297"/>
        <v>0</v>
      </c>
      <c r="J1551" s="8" t="e">
        <f t="shared" ca="1" si="298"/>
        <v>#DIV/0!</v>
      </c>
      <c r="K1551" s="9" t="e">
        <f t="shared" ca="1" si="299"/>
        <v>#DIV/0!</v>
      </c>
      <c r="L1551" t="e">
        <f ca="1">+_xlfn.IFNA(VLOOKUP(M1551,BespokeWindowsAreas!$B$2:$E$1999,4,FALSE),VLOOKUP(E1551,WindowTypeArea!$B$2:$C$113,2,FALSE))</f>
        <v>#N/A</v>
      </c>
      <c r="M1551">
        <f t="shared" ca="1" si="300"/>
        <v>0</v>
      </c>
    </row>
    <row r="1552" spans="1:13" x14ac:dyDescent="0.25">
      <c r="A1552">
        <f t="shared" ca="1" si="293"/>
        <v>4</v>
      </c>
      <c r="B1552">
        <f t="shared" ca="1" si="294"/>
        <v>119</v>
      </c>
      <c r="C1552" t="str">
        <f t="shared" ca="1" si="301"/>
        <v>'WINDOWS-NCH-A-BDP-M3-02-00'!B118</v>
      </c>
      <c r="D1552" s="6" t="str">
        <f t="shared" ca="1" si="302"/>
        <v>none - connects to atrium</v>
      </c>
      <c r="E1552" t="str">
        <f t="shared" ca="1" si="303"/>
        <v>none - connects to atrium</v>
      </c>
      <c r="F1552" t="str">
        <f t="shared" ca="1" si="304"/>
        <v>Vector(X = 0.937, Y = 0.350, Z = 0.000, Length = 1.000)</v>
      </c>
      <c r="G1552">
        <f t="shared" ca="1" si="295"/>
        <v>0.9</v>
      </c>
      <c r="H1552">
        <f t="shared" ca="1" si="296"/>
        <v>0.4</v>
      </c>
      <c r="I1552">
        <f t="shared" ca="1" si="297"/>
        <v>0</v>
      </c>
      <c r="J1552" s="8">
        <f t="shared" ca="1" si="298"/>
        <v>23.962488974578186</v>
      </c>
      <c r="K1552" s="9" t="str">
        <f t="shared" ca="1" si="299"/>
        <v>E</v>
      </c>
      <c r="L1552" t="e">
        <f ca="1">+_xlfn.IFNA(VLOOKUP(M1552,BespokeWindowsAreas!$B$2:$E$1999,4,FALSE),VLOOKUP(E1552,WindowTypeArea!$B$2:$C$113,2,FALSE))</f>
        <v>#N/A</v>
      </c>
      <c r="M1552">
        <f t="shared" ca="1" si="300"/>
        <v>5191994</v>
      </c>
    </row>
    <row r="1553" spans="1:13" x14ac:dyDescent="0.25">
      <c r="A1553">
        <f t="shared" ca="1" si="293"/>
        <v>4</v>
      </c>
      <c r="B1553">
        <f t="shared" ca="1" si="294"/>
        <v>120</v>
      </c>
      <c r="C1553" t="str">
        <f t="shared" ca="1" si="301"/>
        <v>'WINDOWS-NCH-A-BDP-M3-02-00'!B119</v>
      </c>
      <c r="D1553" s="6" t="str">
        <f t="shared" ca="1" si="302"/>
        <v>L02-IPA-GW9-S014-01</v>
      </c>
      <c r="E1553" t="str">
        <f t="shared" ca="1" si="303"/>
        <v>L02-IPA-GW9-S014-01</v>
      </c>
      <c r="F1553">
        <f t="shared" ca="1" si="304"/>
        <v>1544445</v>
      </c>
      <c r="G1553">
        <f t="shared" ca="1" si="295"/>
        <v>0</v>
      </c>
      <c r="H1553">
        <f t="shared" ca="1" si="296"/>
        <v>0</v>
      </c>
      <c r="I1553">
        <f t="shared" ca="1" si="297"/>
        <v>0</v>
      </c>
      <c r="J1553" s="8" t="e">
        <f t="shared" ca="1" si="298"/>
        <v>#DIV/0!</v>
      </c>
      <c r="K1553" s="9" t="e">
        <f t="shared" ca="1" si="299"/>
        <v>#DIV/0!</v>
      </c>
      <c r="L1553" t="e">
        <f ca="1">+_xlfn.IFNA(VLOOKUP(M1553,BespokeWindowsAreas!$B$2:$E$1999,4,FALSE),VLOOKUP(E1553,WindowTypeArea!$B$2:$C$113,2,FALSE))</f>
        <v>#N/A</v>
      </c>
      <c r="M1553">
        <f t="shared" ca="1" si="300"/>
        <v>0</v>
      </c>
    </row>
    <row r="1554" spans="1:13" x14ac:dyDescent="0.25">
      <c r="A1554">
        <f t="shared" ca="1" si="293"/>
        <v>4</v>
      </c>
      <c r="B1554">
        <f t="shared" ca="1" si="294"/>
        <v>121</v>
      </c>
      <c r="C1554" t="str">
        <f t="shared" ca="1" si="301"/>
        <v>'WINDOWS-NCH-A-BDP-M3-02-00'!B120</v>
      </c>
      <c r="D1554" s="6" t="str">
        <f t="shared" ca="1" si="302"/>
        <v>L02-IPA-GW9-S014-01</v>
      </c>
      <c r="E1554" t="str">
        <f t="shared" ca="1" si="303"/>
        <v>Family Type: 3490w x 3050h, Family: Window External Type 3 - Recessed and Angle with Type 1 Flush</v>
      </c>
      <c r="F1554" t="str">
        <f t="shared" ca="1" si="304"/>
        <v>Vector(X = -0.530, Y = 0.848, Z = 0.000, Length = 1.000)</v>
      </c>
      <c r="G1554">
        <f t="shared" ca="1" si="295"/>
        <v>-0.5</v>
      </c>
      <c r="H1554">
        <f t="shared" ca="1" si="296"/>
        <v>0.8</v>
      </c>
      <c r="I1554">
        <f t="shared" ca="1" si="297"/>
        <v>0</v>
      </c>
      <c r="J1554" s="8">
        <f t="shared" ca="1" si="298"/>
        <v>122.0053832080835</v>
      </c>
      <c r="K1554" s="9" t="str">
        <f t="shared" ca="1" si="299"/>
        <v>N</v>
      </c>
      <c r="L1554">
        <f ca="1">+_xlfn.IFNA(VLOOKUP(M1554,BespokeWindowsAreas!$B$2:$E$1999,4,FALSE),VLOOKUP(E1554,WindowTypeArea!$B$2:$C$113,2,FALSE))</f>
        <v>7.67075</v>
      </c>
      <c r="M1554">
        <f t="shared" ca="1" si="300"/>
        <v>7067624</v>
      </c>
    </row>
    <row r="1555" spans="1:13" x14ac:dyDescent="0.25">
      <c r="A1555">
        <f t="shared" ca="1" si="293"/>
        <v>4</v>
      </c>
      <c r="B1555">
        <f t="shared" ca="1" si="294"/>
        <v>122</v>
      </c>
      <c r="C1555" t="str">
        <f t="shared" ca="1" si="301"/>
        <v>'WINDOWS-NCH-A-BDP-M3-02-00'!B121</v>
      </c>
      <c r="D1555" s="6" t="str">
        <f t="shared" ca="1" si="302"/>
        <v>L02-IPA-GW9-S014-01</v>
      </c>
      <c r="E1555" t="str">
        <f t="shared" ca="1" si="303"/>
        <v>Family Type: manual 2.6m2</v>
      </c>
      <c r="F1555" t="str">
        <f t="shared" ca="1" si="304"/>
        <v>Vector(X = -0.530, Y = 0.848, Z = 0.000, Length = 1.000)</v>
      </c>
      <c r="G1555">
        <f t="shared" ca="1" si="295"/>
        <v>-0.5</v>
      </c>
      <c r="H1555">
        <f t="shared" ca="1" si="296"/>
        <v>0.8</v>
      </c>
      <c r="I1555">
        <f t="shared" ca="1" si="297"/>
        <v>0</v>
      </c>
      <c r="J1555" s="8">
        <f t="shared" ca="1" si="298"/>
        <v>122.0053832080835</v>
      </c>
      <c r="K1555" s="9" t="str">
        <f t="shared" ca="1" si="299"/>
        <v>N</v>
      </c>
      <c r="L1555">
        <f ca="1">+_xlfn.IFNA(VLOOKUP(M1555,BespokeWindowsAreas!$B$2:$E$1999,4,FALSE),VLOOKUP(E1555,WindowTypeArea!$B$2:$C$113,2,FALSE))</f>
        <v>2.6</v>
      </c>
      <c r="M1555" t="str">
        <f t="shared" ca="1" si="300"/>
        <v>id</v>
      </c>
    </row>
    <row r="1556" spans="1:13" x14ac:dyDescent="0.25">
      <c r="A1556">
        <f t="shared" ref="A1556:A1619" ca="1" si="305">+IF(B1555&lt;=VLOOKUP(MID(C1556,2,26),TABS,2,FALSE),A1555,+A1555+1)</f>
        <v>4</v>
      </c>
      <c r="B1556">
        <f t="shared" ref="B1556:B1619" ca="1" si="306">+IF(B1555&lt;=VLOOKUP(MID(C1556,2,26),TABS,2,FALSE),B1555+1,1)</f>
        <v>123</v>
      </c>
      <c r="C1556" t="str">
        <f t="shared" ca="1" si="301"/>
        <v>'WINDOWS-NCH-A-BDP-M3-02-00'!B122</v>
      </c>
      <c r="D1556" s="6" t="str">
        <f t="shared" ca="1" si="302"/>
        <v>L02-IPA-GW9-S013-01</v>
      </c>
      <c r="E1556" t="str">
        <f t="shared" ca="1" si="303"/>
        <v>L02-IPA-GW9-S013-01</v>
      </c>
      <c r="F1556">
        <f t="shared" ca="1" si="304"/>
        <v>1544447</v>
      </c>
      <c r="G1556">
        <f t="shared" ca="1" si="295"/>
        <v>0</v>
      </c>
      <c r="H1556">
        <f t="shared" ca="1" si="296"/>
        <v>0</v>
      </c>
      <c r="I1556">
        <f t="shared" ca="1" si="297"/>
        <v>0</v>
      </c>
      <c r="J1556" s="8" t="e">
        <f t="shared" ca="1" si="298"/>
        <v>#DIV/0!</v>
      </c>
      <c r="K1556" s="9" t="e">
        <f t="shared" ca="1" si="299"/>
        <v>#DIV/0!</v>
      </c>
      <c r="L1556" t="e">
        <f ca="1">+_xlfn.IFNA(VLOOKUP(M1556,BespokeWindowsAreas!$B$2:$E$1999,4,FALSE),VLOOKUP(E1556,WindowTypeArea!$B$2:$C$113,2,FALSE))</f>
        <v>#N/A</v>
      </c>
      <c r="M1556">
        <f t="shared" ca="1" si="300"/>
        <v>0</v>
      </c>
    </row>
    <row r="1557" spans="1:13" x14ac:dyDescent="0.25">
      <c r="A1557">
        <f t="shared" ca="1" si="305"/>
        <v>4</v>
      </c>
      <c r="B1557">
        <f t="shared" ca="1" si="306"/>
        <v>124</v>
      </c>
      <c r="C1557" t="str">
        <f t="shared" ca="1" si="301"/>
        <v>'WINDOWS-NCH-A-BDP-M3-02-00'!B123</v>
      </c>
      <c r="D1557" s="6" t="str">
        <f t="shared" ca="1" si="302"/>
        <v>none - connects to atrium</v>
      </c>
      <c r="E1557" t="str">
        <f t="shared" ca="1" si="303"/>
        <v>none - connects to atrium</v>
      </c>
      <c r="F1557" t="str">
        <f t="shared" ca="1" si="304"/>
        <v>Vector(X = 0.889, Y = 0.458, Z = 0.000, Length = 1.000)</v>
      </c>
      <c r="G1557">
        <f t="shared" ca="1" si="295"/>
        <v>0.9</v>
      </c>
      <c r="H1557">
        <f t="shared" ca="1" si="296"/>
        <v>0.5</v>
      </c>
      <c r="I1557">
        <f t="shared" ca="1" si="297"/>
        <v>0</v>
      </c>
      <c r="J1557" s="8">
        <f t="shared" ca="1" si="298"/>
        <v>29.054604099077146</v>
      </c>
      <c r="K1557" s="9" t="str">
        <f t="shared" ca="1" si="299"/>
        <v>E</v>
      </c>
      <c r="L1557" t="e">
        <f ca="1">+_xlfn.IFNA(VLOOKUP(M1557,BespokeWindowsAreas!$B$2:$E$1999,4,FALSE),VLOOKUP(E1557,WindowTypeArea!$B$2:$C$113,2,FALSE))</f>
        <v>#N/A</v>
      </c>
      <c r="M1557">
        <f t="shared" ca="1" si="300"/>
        <v>5183462</v>
      </c>
    </row>
    <row r="1558" spans="1:13" x14ac:dyDescent="0.25">
      <c r="A1558">
        <f t="shared" ca="1" si="305"/>
        <v>4</v>
      </c>
      <c r="B1558">
        <f t="shared" ca="1" si="306"/>
        <v>125</v>
      </c>
      <c r="C1558" t="str">
        <f t="shared" ca="1" si="301"/>
        <v>'WINDOWS-NCH-A-BDP-M3-02-00'!B124</v>
      </c>
      <c r="D1558" s="6" t="str">
        <f t="shared" ca="1" si="302"/>
        <v>L02-IPA-GW9-S014-02</v>
      </c>
      <c r="E1558" t="str">
        <f t="shared" ca="1" si="303"/>
        <v>L02-IPA-GW9-S014-02</v>
      </c>
      <c r="F1558">
        <f t="shared" ca="1" si="304"/>
        <v>1544513</v>
      </c>
      <c r="G1558">
        <f t="shared" ref="G1558:G1621" ca="1" si="307">+OFFSET(INDIRECT(C1558),0,2)</f>
        <v>0</v>
      </c>
      <c r="H1558">
        <f t="shared" ref="H1558:H1621" ca="1" si="308">+OFFSET(INDIRECT(C1558),0,3)</f>
        <v>0</v>
      </c>
      <c r="I1558">
        <f t="shared" ref="I1558:I1621" ca="1" si="309">+OFFSET(INDIRECT(C1558),0,4)</f>
        <v>0</v>
      </c>
      <c r="J1558" s="8" t="e">
        <f t="shared" ref="J1558:J1621" ca="1" si="310">+DEGREES(ATAN2(G1558,H1558))</f>
        <v>#DIV/0!</v>
      </c>
      <c r="K1558" s="9" t="e">
        <f t="shared" ref="K1558:K1621" ca="1" si="311">VLOOKUP(J1558,$O$20:$P$36,2,-1)</f>
        <v>#DIV/0!</v>
      </c>
      <c r="L1558" t="e">
        <f ca="1">+_xlfn.IFNA(VLOOKUP(M1558,BespokeWindowsAreas!$B$2:$E$1999,4,FALSE),VLOOKUP(E1558,WindowTypeArea!$B$2:$C$113,2,FALSE))</f>
        <v>#N/A</v>
      </c>
      <c r="M1558">
        <f t="shared" ref="M1558:M1621" ca="1" si="312">+OFFSET(INDIRECT(C1558),0,5)</f>
        <v>0</v>
      </c>
    </row>
    <row r="1559" spans="1:13" x14ac:dyDescent="0.25">
      <c r="A1559">
        <f t="shared" ca="1" si="305"/>
        <v>4</v>
      </c>
      <c r="B1559">
        <f t="shared" ca="1" si="306"/>
        <v>126</v>
      </c>
      <c r="C1559" t="str">
        <f t="shared" ca="1" si="301"/>
        <v>'WINDOWS-NCH-A-BDP-M3-02-00'!B125</v>
      </c>
      <c r="D1559" s="6" t="str">
        <f t="shared" ca="1" si="302"/>
        <v>L02-IPA-GW9-S014-02</v>
      </c>
      <c r="E1559" t="str">
        <f t="shared" ca="1" si="303"/>
        <v>Family Type: 3490w x 3050h, Family: Window External Type 3 - Recessed and Angle with Type 1 Flush</v>
      </c>
      <c r="F1559" t="str">
        <f t="shared" ca="1" si="304"/>
        <v>Vector(X = -0.530, Y = 0.848, Z = 0.000, Length = 1.000)</v>
      </c>
      <c r="G1559">
        <f t="shared" ca="1" si="307"/>
        <v>-0.5</v>
      </c>
      <c r="H1559">
        <f t="shared" ca="1" si="308"/>
        <v>0.8</v>
      </c>
      <c r="I1559">
        <f t="shared" ca="1" si="309"/>
        <v>0</v>
      </c>
      <c r="J1559" s="8">
        <f t="shared" ca="1" si="310"/>
        <v>122.0053832080835</v>
      </c>
      <c r="K1559" s="9" t="str">
        <f t="shared" ca="1" si="311"/>
        <v>N</v>
      </c>
      <c r="L1559">
        <f ca="1">+_xlfn.IFNA(VLOOKUP(M1559,BespokeWindowsAreas!$B$2:$E$1999,4,FALSE),VLOOKUP(E1559,WindowTypeArea!$B$2:$C$113,2,FALSE))</f>
        <v>7.67075</v>
      </c>
      <c r="M1559">
        <f t="shared" ca="1" si="312"/>
        <v>7067601</v>
      </c>
    </row>
    <row r="1560" spans="1:13" x14ac:dyDescent="0.25">
      <c r="A1560">
        <f t="shared" ca="1" si="305"/>
        <v>4</v>
      </c>
      <c r="B1560">
        <f t="shared" ca="1" si="306"/>
        <v>127</v>
      </c>
      <c r="C1560" t="str">
        <f t="shared" ca="1" si="301"/>
        <v>'WINDOWS-NCH-A-BDP-M3-02-00'!B126</v>
      </c>
      <c r="D1560" s="6" t="str">
        <f t="shared" ca="1" si="302"/>
        <v>L02-IPA-GW9-S014-02</v>
      </c>
      <c r="E1560" t="str">
        <f t="shared" ca="1" si="303"/>
        <v>Family Type: manual 2.6m2</v>
      </c>
      <c r="F1560" t="str">
        <f t="shared" ca="1" si="304"/>
        <v>Vector(X = -0.530, Y = 0.848, Z = 0.000, Length = 1.000)</v>
      </c>
      <c r="G1560">
        <f t="shared" ca="1" si="307"/>
        <v>-0.5</v>
      </c>
      <c r="H1560">
        <f t="shared" ca="1" si="308"/>
        <v>0.8</v>
      </c>
      <c r="I1560">
        <f t="shared" ca="1" si="309"/>
        <v>0</v>
      </c>
      <c r="J1560" s="8">
        <f t="shared" ca="1" si="310"/>
        <v>122.0053832080835</v>
      </c>
      <c r="K1560" s="9" t="str">
        <f t="shared" ca="1" si="311"/>
        <v>N</v>
      </c>
      <c r="L1560">
        <f ca="1">+_xlfn.IFNA(VLOOKUP(M1560,BespokeWindowsAreas!$B$2:$E$1999,4,FALSE),VLOOKUP(E1560,WindowTypeArea!$B$2:$C$113,2,FALSE))</f>
        <v>2.6</v>
      </c>
      <c r="M1560" t="str">
        <f t="shared" ca="1" si="312"/>
        <v>id</v>
      </c>
    </row>
    <row r="1561" spans="1:13" x14ac:dyDescent="0.25">
      <c r="A1561">
        <f t="shared" ca="1" si="305"/>
        <v>4</v>
      </c>
      <c r="B1561">
        <f t="shared" ca="1" si="306"/>
        <v>128</v>
      </c>
      <c r="C1561" t="str">
        <f t="shared" ca="1" si="301"/>
        <v>'WINDOWS-NCH-A-BDP-M3-02-00'!B127</v>
      </c>
      <c r="D1561" s="6" t="str">
        <f t="shared" ca="1" si="302"/>
        <v>L02-IPA-GW9-S014-03</v>
      </c>
      <c r="E1561" t="str">
        <f t="shared" ca="1" si="303"/>
        <v>L02-IPA-GW9-S014-03</v>
      </c>
      <c r="F1561">
        <f t="shared" ca="1" si="304"/>
        <v>1544515</v>
      </c>
      <c r="G1561">
        <f t="shared" ca="1" si="307"/>
        <v>0</v>
      </c>
      <c r="H1561">
        <f t="shared" ca="1" si="308"/>
        <v>0</v>
      </c>
      <c r="I1561">
        <f t="shared" ca="1" si="309"/>
        <v>0</v>
      </c>
      <c r="J1561" s="8" t="e">
        <f t="shared" ca="1" si="310"/>
        <v>#DIV/0!</v>
      </c>
      <c r="K1561" s="9" t="e">
        <f t="shared" ca="1" si="311"/>
        <v>#DIV/0!</v>
      </c>
      <c r="L1561" t="e">
        <f ca="1">+_xlfn.IFNA(VLOOKUP(M1561,BespokeWindowsAreas!$B$2:$E$1999,4,FALSE),VLOOKUP(E1561,WindowTypeArea!$B$2:$C$113,2,FALSE))</f>
        <v>#N/A</v>
      </c>
      <c r="M1561">
        <f t="shared" ca="1" si="312"/>
        <v>0</v>
      </c>
    </row>
    <row r="1562" spans="1:13" x14ac:dyDescent="0.25">
      <c r="A1562">
        <f t="shared" ca="1" si="305"/>
        <v>4</v>
      </c>
      <c r="B1562">
        <f t="shared" ca="1" si="306"/>
        <v>129</v>
      </c>
      <c r="C1562" t="str">
        <f t="shared" ca="1" si="301"/>
        <v>'WINDOWS-NCH-A-BDP-M3-02-00'!B128</v>
      </c>
      <c r="D1562" s="6" t="str">
        <f t="shared" ca="1" si="302"/>
        <v>L02-IPA-GW9-S014-03</v>
      </c>
      <c r="E1562" t="str">
        <f t="shared" ca="1" si="303"/>
        <v>Family Type: 3490w x 3050h, Family: Window External Type 3 - Recessed and Angle with Type 1 Flush</v>
      </c>
      <c r="F1562" t="str">
        <f t="shared" ca="1" si="304"/>
        <v>Vector(X = -0.530, Y = 0.848, Z = 0.000, Length = 1.000)</v>
      </c>
      <c r="G1562">
        <f t="shared" ca="1" si="307"/>
        <v>-0.5</v>
      </c>
      <c r="H1562">
        <f t="shared" ca="1" si="308"/>
        <v>0.8</v>
      </c>
      <c r="I1562">
        <f t="shared" ca="1" si="309"/>
        <v>0</v>
      </c>
      <c r="J1562" s="8">
        <f t="shared" ca="1" si="310"/>
        <v>122.0053832080835</v>
      </c>
      <c r="K1562" s="9" t="str">
        <f t="shared" ca="1" si="311"/>
        <v>N</v>
      </c>
      <c r="L1562">
        <f ca="1">+_xlfn.IFNA(VLOOKUP(M1562,BespokeWindowsAreas!$B$2:$E$1999,4,FALSE),VLOOKUP(E1562,WindowTypeArea!$B$2:$C$113,2,FALSE))</f>
        <v>7.67075</v>
      </c>
      <c r="M1562">
        <f t="shared" ca="1" si="312"/>
        <v>7067541</v>
      </c>
    </row>
    <row r="1563" spans="1:13" x14ac:dyDescent="0.25">
      <c r="A1563">
        <f t="shared" ca="1" si="305"/>
        <v>4</v>
      </c>
      <c r="B1563">
        <f t="shared" ca="1" si="306"/>
        <v>130</v>
      </c>
      <c r="C1563" t="str">
        <f t="shared" ca="1" si="301"/>
        <v>'WINDOWS-NCH-A-BDP-M3-02-00'!B129</v>
      </c>
      <c r="D1563" s="6" t="str">
        <f t="shared" ca="1" si="302"/>
        <v>L02-IPA-GW9-S014-03</v>
      </c>
      <c r="E1563" t="str">
        <f t="shared" ca="1" si="303"/>
        <v>Family Type: manual 2.6m2</v>
      </c>
      <c r="F1563" t="str">
        <f t="shared" ca="1" si="304"/>
        <v>Vector(X = -0.530, Y = 0.848, Z = 0.000, Length = 1.000)</v>
      </c>
      <c r="G1563">
        <f t="shared" ca="1" si="307"/>
        <v>-0.5</v>
      </c>
      <c r="H1563">
        <f t="shared" ca="1" si="308"/>
        <v>0.8</v>
      </c>
      <c r="I1563">
        <f t="shared" ca="1" si="309"/>
        <v>0</v>
      </c>
      <c r="J1563" s="8">
        <f t="shared" ca="1" si="310"/>
        <v>122.0053832080835</v>
      </c>
      <c r="K1563" s="9" t="str">
        <f t="shared" ca="1" si="311"/>
        <v>N</v>
      </c>
      <c r="L1563">
        <f ca="1">+_xlfn.IFNA(VLOOKUP(M1563,BespokeWindowsAreas!$B$2:$E$1999,4,FALSE),VLOOKUP(E1563,WindowTypeArea!$B$2:$C$113,2,FALSE))</f>
        <v>2.6</v>
      </c>
      <c r="M1563" t="str">
        <f t="shared" ca="1" si="312"/>
        <v>id</v>
      </c>
    </row>
    <row r="1564" spans="1:13" x14ac:dyDescent="0.25">
      <c r="A1564">
        <f t="shared" ca="1" si="305"/>
        <v>4</v>
      </c>
      <c r="B1564">
        <f t="shared" ca="1" si="306"/>
        <v>131</v>
      </c>
      <c r="C1564" t="str">
        <f t="shared" ca="1" si="301"/>
        <v>'WINDOWS-NCH-A-BDP-M3-02-00'!B130</v>
      </c>
      <c r="D1564" s="6" t="str">
        <f t="shared" ca="1" si="302"/>
        <v>L02-IPA-GW9-S014-04</v>
      </c>
      <c r="E1564" t="str">
        <f t="shared" ca="1" si="303"/>
        <v>L02-IPA-GW9-S014-04</v>
      </c>
      <c r="F1564">
        <f t="shared" ca="1" si="304"/>
        <v>1544517</v>
      </c>
      <c r="G1564">
        <f t="shared" ca="1" si="307"/>
        <v>0</v>
      </c>
      <c r="H1564">
        <f t="shared" ca="1" si="308"/>
        <v>0</v>
      </c>
      <c r="I1564">
        <f t="shared" ca="1" si="309"/>
        <v>0</v>
      </c>
      <c r="J1564" s="8" t="e">
        <f t="shared" ca="1" si="310"/>
        <v>#DIV/0!</v>
      </c>
      <c r="K1564" s="9" t="e">
        <f t="shared" ca="1" si="311"/>
        <v>#DIV/0!</v>
      </c>
      <c r="L1564" t="e">
        <f ca="1">+_xlfn.IFNA(VLOOKUP(M1564,BespokeWindowsAreas!$B$2:$E$1999,4,FALSE),VLOOKUP(E1564,WindowTypeArea!$B$2:$C$113,2,FALSE))</f>
        <v>#N/A</v>
      </c>
      <c r="M1564">
        <f t="shared" ca="1" si="312"/>
        <v>0</v>
      </c>
    </row>
    <row r="1565" spans="1:13" x14ac:dyDescent="0.25">
      <c r="A1565">
        <f t="shared" ca="1" si="305"/>
        <v>4</v>
      </c>
      <c r="B1565">
        <f t="shared" ca="1" si="306"/>
        <v>132</v>
      </c>
      <c r="C1565" t="str">
        <f t="shared" ca="1" si="301"/>
        <v>'WINDOWS-NCH-A-BDP-M3-02-00'!B131</v>
      </c>
      <c r="D1565" s="6" t="str">
        <f t="shared" ca="1" si="302"/>
        <v>L02-IPA-GW9-S014-04</v>
      </c>
      <c r="E1565" t="str">
        <f t="shared" ca="1" si="303"/>
        <v>Family Type: 3490w x 3050h, Family: Window External Type 3 - Recessed and Angle with Type 1 Flush</v>
      </c>
      <c r="F1565" t="str">
        <f t="shared" ca="1" si="304"/>
        <v>Vector(X = -0.530, Y = 0.848, Z = 0.000, Length = 1.000)</v>
      </c>
      <c r="G1565">
        <f t="shared" ca="1" si="307"/>
        <v>-0.5</v>
      </c>
      <c r="H1565">
        <f t="shared" ca="1" si="308"/>
        <v>0.8</v>
      </c>
      <c r="I1565">
        <f t="shared" ca="1" si="309"/>
        <v>0</v>
      </c>
      <c r="J1565" s="8">
        <f t="shared" ca="1" si="310"/>
        <v>122.0053832080835</v>
      </c>
      <c r="K1565" s="9" t="str">
        <f t="shared" ca="1" si="311"/>
        <v>N</v>
      </c>
      <c r="L1565">
        <f ca="1">+_xlfn.IFNA(VLOOKUP(M1565,BespokeWindowsAreas!$B$2:$E$1999,4,FALSE),VLOOKUP(E1565,WindowTypeArea!$B$2:$C$113,2,FALSE))</f>
        <v>7.67075</v>
      </c>
      <c r="M1565">
        <f t="shared" ca="1" si="312"/>
        <v>7067489</v>
      </c>
    </row>
    <row r="1566" spans="1:13" x14ac:dyDescent="0.25">
      <c r="A1566">
        <f t="shared" ca="1" si="305"/>
        <v>4</v>
      </c>
      <c r="B1566">
        <f t="shared" ca="1" si="306"/>
        <v>133</v>
      </c>
      <c r="C1566" t="str">
        <f t="shared" ca="1" si="301"/>
        <v>'WINDOWS-NCH-A-BDP-M3-02-00'!B132</v>
      </c>
      <c r="D1566" s="6" t="str">
        <f t="shared" ca="1" si="302"/>
        <v>L02-IPA-GW9-S014-04</v>
      </c>
      <c r="E1566" t="str">
        <f t="shared" ca="1" si="303"/>
        <v>Family Type: manual 2.6m2</v>
      </c>
      <c r="F1566" t="str">
        <f t="shared" ca="1" si="304"/>
        <v>Vector(X = -0.530, Y = 0.848, Z = 0.000, Length = 1.000)</v>
      </c>
      <c r="G1566">
        <f t="shared" ca="1" si="307"/>
        <v>-0.5</v>
      </c>
      <c r="H1566">
        <f t="shared" ca="1" si="308"/>
        <v>0.8</v>
      </c>
      <c r="I1566">
        <f t="shared" ca="1" si="309"/>
        <v>0</v>
      </c>
      <c r="J1566" s="8">
        <f t="shared" ca="1" si="310"/>
        <v>122.0053832080835</v>
      </c>
      <c r="K1566" s="9" t="str">
        <f t="shared" ca="1" si="311"/>
        <v>N</v>
      </c>
      <c r="L1566">
        <f ca="1">+_xlfn.IFNA(VLOOKUP(M1566,BespokeWindowsAreas!$B$2:$E$1999,4,FALSE),VLOOKUP(E1566,WindowTypeArea!$B$2:$C$113,2,FALSE))</f>
        <v>2.6</v>
      </c>
      <c r="M1566" t="str">
        <f t="shared" ca="1" si="312"/>
        <v>id</v>
      </c>
    </row>
    <row r="1567" spans="1:13" x14ac:dyDescent="0.25">
      <c r="A1567">
        <f t="shared" ca="1" si="305"/>
        <v>4</v>
      </c>
      <c r="B1567">
        <f t="shared" ca="1" si="306"/>
        <v>134</v>
      </c>
      <c r="C1567" t="str">
        <f t="shared" ca="1" si="301"/>
        <v>'WINDOWS-NCH-A-BDP-M3-02-00'!B133</v>
      </c>
      <c r="D1567" s="6" t="str">
        <f t="shared" ca="1" si="302"/>
        <v>L02-IPA-GW9-S014-05</v>
      </c>
      <c r="E1567" t="str">
        <f t="shared" ca="1" si="303"/>
        <v>L02-IPA-GW9-S014-05</v>
      </c>
      <c r="F1567">
        <f t="shared" ca="1" si="304"/>
        <v>1544519</v>
      </c>
      <c r="G1567">
        <f t="shared" ca="1" si="307"/>
        <v>0</v>
      </c>
      <c r="H1567">
        <f t="shared" ca="1" si="308"/>
        <v>0</v>
      </c>
      <c r="I1567">
        <f t="shared" ca="1" si="309"/>
        <v>0</v>
      </c>
      <c r="J1567" s="8" t="e">
        <f t="shared" ca="1" si="310"/>
        <v>#DIV/0!</v>
      </c>
      <c r="K1567" s="9" t="e">
        <f t="shared" ca="1" si="311"/>
        <v>#DIV/0!</v>
      </c>
      <c r="L1567" t="e">
        <f ca="1">+_xlfn.IFNA(VLOOKUP(M1567,BespokeWindowsAreas!$B$2:$E$1999,4,FALSE),VLOOKUP(E1567,WindowTypeArea!$B$2:$C$113,2,FALSE))</f>
        <v>#N/A</v>
      </c>
      <c r="M1567">
        <f t="shared" ca="1" si="312"/>
        <v>0</v>
      </c>
    </row>
    <row r="1568" spans="1:13" x14ac:dyDescent="0.25">
      <c r="A1568">
        <f t="shared" ca="1" si="305"/>
        <v>4</v>
      </c>
      <c r="B1568">
        <f t="shared" ca="1" si="306"/>
        <v>135</v>
      </c>
      <c r="C1568" t="str">
        <f t="shared" ca="1" si="301"/>
        <v>'WINDOWS-NCH-A-BDP-M3-02-00'!B134</v>
      </c>
      <c r="D1568" s="6" t="str">
        <f t="shared" ca="1" si="302"/>
        <v>L02-IPA-GW9-S014-05</v>
      </c>
      <c r="E1568" t="str">
        <f t="shared" ca="1" si="303"/>
        <v>Family Type: 3490w x 3050h, Family: Window External Type 3 - Recessed and Angle with Type 1 Flush</v>
      </c>
      <c r="F1568" t="str">
        <f t="shared" ca="1" si="304"/>
        <v>Vector(X = -0.530, Y = 0.848, Z = 0.000, Length = 1.000)</v>
      </c>
      <c r="G1568">
        <f t="shared" ca="1" si="307"/>
        <v>-0.5</v>
      </c>
      <c r="H1568">
        <f t="shared" ca="1" si="308"/>
        <v>0.8</v>
      </c>
      <c r="I1568">
        <f t="shared" ca="1" si="309"/>
        <v>0</v>
      </c>
      <c r="J1568" s="8">
        <f t="shared" ca="1" si="310"/>
        <v>122.0053832080835</v>
      </c>
      <c r="K1568" s="9" t="str">
        <f t="shared" ca="1" si="311"/>
        <v>N</v>
      </c>
      <c r="L1568">
        <f ca="1">+_xlfn.IFNA(VLOOKUP(M1568,BespokeWindowsAreas!$B$2:$E$1999,4,FALSE),VLOOKUP(E1568,WindowTypeArea!$B$2:$C$113,2,FALSE))</f>
        <v>7.67075</v>
      </c>
      <c r="M1568">
        <f t="shared" ca="1" si="312"/>
        <v>7067445</v>
      </c>
    </row>
    <row r="1569" spans="1:13" x14ac:dyDescent="0.25">
      <c r="A1569">
        <f t="shared" ca="1" si="305"/>
        <v>4</v>
      </c>
      <c r="B1569">
        <f t="shared" ca="1" si="306"/>
        <v>136</v>
      </c>
      <c r="C1569" t="str">
        <f t="shared" ca="1" si="301"/>
        <v>'WINDOWS-NCH-A-BDP-M3-02-00'!B135</v>
      </c>
      <c r="D1569" s="6" t="str">
        <f t="shared" ca="1" si="302"/>
        <v>L02-IPA-GW9-S014-05</v>
      </c>
      <c r="E1569" t="str">
        <f t="shared" ca="1" si="303"/>
        <v>Family Type: manual 2.6m2</v>
      </c>
      <c r="F1569" t="str">
        <f t="shared" ca="1" si="304"/>
        <v>Vector(X = -0.530, Y = 0.848, Z = 0.000, Length = 1.000)</v>
      </c>
      <c r="G1569">
        <f t="shared" ca="1" si="307"/>
        <v>-0.5</v>
      </c>
      <c r="H1569">
        <f t="shared" ca="1" si="308"/>
        <v>0.8</v>
      </c>
      <c r="I1569">
        <f t="shared" ca="1" si="309"/>
        <v>0</v>
      </c>
      <c r="J1569" s="8">
        <f t="shared" ca="1" si="310"/>
        <v>122.0053832080835</v>
      </c>
      <c r="K1569" s="9" t="str">
        <f t="shared" ca="1" si="311"/>
        <v>N</v>
      </c>
      <c r="L1569">
        <f ca="1">+_xlfn.IFNA(VLOOKUP(M1569,BespokeWindowsAreas!$B$2:$E$1999,4,FALSE),VLOOKUP(E1569,WindowTypeArea!$B$2:$C$113,2,FALSE))</f>
        <v>2.6</v>
      </c>
      <c r="M1569" t="str">
        <f t="shared" ca="1" si="312"/>
        <v>id</v>
      </c>
    </row>
    <row r="1570" spans="1:13" x14ac:dyDescent="0.25">
      <c r="A1570">
        <f t="shared" ca="1" si="305"/>
        <v>4</v>
      </c>
      <c r="B1570">
        <f t="shared" ca="1" si="306"/>
        <v>137</v>
      </c>
      <c r="C1570" t="str">
        <f t="shared" ca="1" si="301"/>
        <v>'WINDOWS-NCH-A-BDP-M3-02-00'!B136</v>
      </c>
      <c r="D1570" s="6" t="str">
        <f t="shared" ca="1" si="302"/>
        <v>L02-IPA-GW9-S014-06</v>
      </c>
      <c r="E1570" t="str">
        <f t="shared" ca="1" si="303"/>
        <v>L02-IPA-GW9-S014-06</v>
      </c>
      <c r="F1570">
        <f t="shared" ca="1" si="304"/>
        <v>1544521</v>
      </c>
      <c r="G1570">
        <f t="shared" ca="1" si="307"/>
        <v>0</v>
      </c>
      <c r="H1570">
        <f t="shared" ca="1" si="308"/>
        <v>0</v>
      </c>
      <c r="I1570">
        <f t="shared" ca="1" si="309"/>
        <v>0</v>
      </c>
      <c r="J1570" s="8" t="e">
        <f t="shared" ca="1" si="310"/>
        <v>#DIV/0!</v>
      </c>
      <c r="K1570" s="9" t="e">
        <f t="shared" ca="1" si="311"/>
        <v>#DIV/0!</v>
      </c>
      <c r="L1570" t="e">
        <f ca="1">+_xlfn.IFNA(VLOOKUP(M1570,BespokeWindowsAreas!$B$2:$E$1999,4,FALSE),VLOOKUP(E1570,WindowTypeArea!$B$2:$C$113,2,FALSE))</f>
        <v>#N/A</v>
      </c>
      <c r="M1570">
        <f t="shared" ca="1" si="312"/>
        <v>0</v>
      </c>
    </row>
    <row r="1571" spans="1:13" x14ac:dyDescent="0.25">
      <c r="A1571">
        <f t="shared" ca="1" si="305"/>
        <v>4</v>
      </c>
      <c r="B1571">
        <f t="shared" ca="1" si="306"/>
        <v>138</v>
      </c>
      <c r="C1571" t="str">
        <f t="shared" ca="1" si="301"/>
        <v>'WINDOWS-NCH-A-BDP-M3-02-00'!B137</v>
      </c>
      <c r="D1571" s="6" t="str">
        <f t="shared" ca="1" si="302"/>
        <v>L02-IPA-GW9-S014-06</v>
      </c>
      <c r="E1571" t="str">
        <f t="shared" ca="1" si="303"/>
        <v>Family Type: 975w x 3050h, Family: Window External Type 1 - Recessed</v>
      </c>
      <c r="F1571" t="str">
        <f t="shared" ca="1" si="304"/>
        <v>Vector(X = 0.530, Y = -0.848, Z = 0.000, Length = 1.000)</v>
      </c>
      <c r="G1571">
        <f t="shared" ca="1" si="307"/>
        <v>0.5</v>
      </c>
      <c r="H1571">
        <f t="shared" ca="1" si="308"/>
        <v>-0.8</v>
      </c>
      <c r="I1571">
        <f t="shared" ca="1" si="309"/>
        <v>0</v>
      </c>
      <c r="J1571" s="8">
        <f t="shared" ca="1" si="310"/>
        <v>-57.994616791916499</v>
      </c>
      <c r="K1571" s="9" t="str">
        <f t="shared" ca="1" si="311"/>
        <v>S</v>
      </c>
      <c r="L1571">
        <f ca="1">+_xlfn.IFNA(VLOOKUP(M1571,BespokeWindowsAreas!$B$2:$E$1999,4,FALSE),VLOOKUP(E1571,WindowTypeArea!$B$2:$C$113,2,FALSE))</f>
        <v>2.9737499999999999</v>
      </c>
      <c r="M1571">
        <f t="shared" ca="1" si="312"/>
        <v>4709846</v>
      </c>
    </row>
    <row r="1572" spans="1:13" x14ac:dyDescent="0.25">
      <c r="A1572">
        <f t="shared" ca="1" si="305"/>
        <v>4</v>
      </c>
      <c r="B1572">
        <f t="shared" ca="1" si="306"/>
        <v>139</v>
      </c>
      <c r="C1572" t="str">
        <f t="shared" ca="1" si="301"/>
        <v>'WINDOWS-NCH-A-BDP-M3-02-00'!B138</v>
      </c>
      <c r="D1572" s="6" t="str">
        <f t="shared" ca="1" si="302"/>
        <v>L02-IPA-GW9-S014-06</v>
      </c>
      <c r="E1572" t="str">
        <f t="shared" ca="1" si="303"/>
        <v>Family Type: 2515w x 3050h, Family: Window External Type 3 - Recessed and Angle</v>
      </c>
      <c r="F1572" t="str">
        <f t="shared" ca="1" si="304"/>
        <v>Vector(X = 0.530, Y = -0.848, Z = 0.000, Length = 1.000)</v>
      </c>
      <c r="G1572">
        <f t="shared" ca="1" si="307"/>
        <v>0.5</v>
      </c>
      <c r="H1572">
        <f t="shared" ca="1" si="308"/>
        <v>-0.8</v>
      </c>
      <c r="I1572">
        <f t="shared" ca="1" si="309"/>
        <v>0</v>
      </c>
      <c r="J1572" s="8">
        <f t="shared" ca="1" si="310"/>
        <v>-57.994616791916499</v>
      </c>
      <c r="K1572" s="9" t="str">
        <f t="shared" ca="1" si="311"/>
        <v>S</v>
      </c>
      <c r="L1572">
        <f ca="1">+_xlfn.IFNA(VLOOKUP(M1572,BespokeWindowsAreas!$B$2:$E$1999,4,FALSE),VLOOKUP(E1572,WindowTypeArea!$B$2:$C$113,2,FALSE))</f>
        <v>7.67075</v>
      </c>
      <c r="M1572">
        <f t="shared" ca="1" si="312"/>
        <v>4710845</v>
      </c>
    </row>
    <row r="1573" spans="1:13" x14ac:dyDescent="0.25">
      <c r="A1573">
        <f t="shared" ca="1" si="305"/>
        <v>4</v>
      </c>
      <c r="B1573">
        <f t="shared" ca="1" si="306"/>
        <v>140</v>
      </c>
      <c r="C1573" t="str">
        <f t="shared" ca="1" si="301"/>
        <v>'WINDOWS-NCH-A-BDP-M3-02-00'!B139</v>
      </c>
      <c r="D1573" s="6" t="str">
        <f t="shared" ca="1" si="302"/>
        <v>L02-IPA-GW9-S014-07</v>
      </c>
      <c r="E1573" t="str">
        <f t="shared" ca="1" si="303"/>
        <v>L02-IPA-GW9-S014-07</v>
      </c>
      <c r="F1573">
        <f t="shared" ca="1" si="304"/>
        <v>1544523</v>
      </c>
      <c r="G1573">
        <f t="shared" ca="1" si="307"/>
        <v>0</v>
      </c>
      <c r="H1573">
        <f t="shared" ca="1" si="308"/>
        <v>0</v>
      </c>
      <c r="I1573">
        <f t="shared" ca="1" si="309"/>
        <v>0</v>
      </c>
      <c r="J1573" s="8" t="e">
        <f t="shared" ca="1" si="310"/>
        <v>#DIV/0!</v>
      </c>
      <c r="K1573" s="9" t="e">
        <f t="shared" ca="1" si="311"/>
        <v>#DIV/0!</v>
      </c>
      <c r="L1573" t="e">
        <f ca="1">+_xlfn.IFNA(VLOOKUP(M1573,BespokeWindowsAreas!$B$2:$E$1999,4,FALSE),VLOOKUP(E1573,WindowTypeArea!$B$2:$C$113,2,FALSE))</f>
        <v>#N/A</v>
      </c>
      <c r="M1573">
        <f t="shared" ca="1" si="312"/>
        <v>0</v>
      </c>
    </row>
    <row r="1574" spans="1:13" x14ac:dyDescent="0.25">
      <c r="A1574">
        <f t="shared" ca="1" si="305"/>
        <v>4</v>
      </c>
      <c r="B1574">
        <f t="shared" ca="1" si="306"/>
        <v>141</v>
      </c>
      <c r="C1574" t="str">
        <f t="shared" ca="1" si="301"/>
        <v>'WINDOWS-NCH-A-BDP-M3-02-00'!B140</v>
      </c>
      <c r="D1574" s="6" t="str">
        <f t="shared" ca="1" si="302"/>
        <v>L02-IPA-GW9-S014-07</v>
      </c>
      <c r="E1574" t="str">
        <f t="shared" ca="1" si="303"/>
        <v>Family Type: 3490w x 3050h, Family: Window External Type 3 - Recessed and Angle with Type 1 Flush</v>
      </c>
      <c r="F1574" t="str">
        <f t="shared" ca="1" si="304"/>
        <v>Vector(X = 0.530, Y = -0.848, Z = 0.000, Length = 1.000)</v>
      </c>
      <c r="G1574">
        <f t="shared" ca="1" si="307"/>
        <v>0.5</v>
      </c>
      <c r="H1574">
        <f t="shared" ca="1" si="308"/>
        <v>-0.8</v>
      </c>
      <c r="I1574">
        <f t="shared" ca="1" si="309"/>
        <v>0</v>
      </c>
      <c r="J1574" s="8">
        <f t="shared" ca="1" si="310"/>
        <v>-57.994616791916499</v>
      </c>
      <c r="K1574" s="9" t="str">
        <f t="shared" ca="1" si="311"/>
        <v>S</v>
      </c>
      <c r="L1574">
        <f ca="1">+_xlfn.IFNA(VLOOKUP(M1574,BespokeWindowsAreas!$B$2:$E$1999,4,FALSE),VLOOKUP(E1574,WindowTypeArea!$B$2:$C$113,2,FALSE))</f>
        <v>7.67075</v>
      </c>
      <c r="M1574">
        <f t="shared" ca="1" si="312"/>
        <v>7067215</v>
      </c>
    </row>
    <row r="1575" spans="1:13" x14ac:dyDescent="0.25">
      <c r="A1575">
        <f t="shared" ca="1" si="305"/>
        <v>4</v>
      </c>
      <c r="B1575">
        <f t="shared" ca="1" si="306"/>
        <v>142</v>
      </c>
      <c r="C1575" t="str">
        <f t="shared" ca="1" si="301"/>
        <v>'WINDOWS-NCH-A-BDP-M3-02-00'!B141</v>
      </c>
      <c r="D1575" s="6" t="str">
        <f t="shared" ca="1" si="302"/>
        <v>L02-IPA-GW9-S014-07</v>
      </c>
      <c r="E1575" t="str">
        <f t="shared" ca="1" si="303"/>
        <v>Family Type: manual 2.6m2</v>
      </c>
      <c r="F1575" t="str">
        <f t="shared" ca="1" si="304"/>
        <v>Vector(X = -0.530, Y = 0.848, Z = 0.000, Length = 1.000)</v>
      </c>
      <c r="G1575">
        <f t="shared" ca="1" si="307"/>
        <v>-0.5</v>
      </c>
      <c r="H1575">
        <f t="shared" ca="1" si="308"/>
        <v>0.8</v>
      </c>
      <c r="I1575">
        <f t="shared" ca="1" si="309"/>
        <v>0</v>
      </c>
      <c r="J1575" s="8">
        <f t="shared" ca="1" si="310"/>
        <v>122.0053832080835</v>
      </c>
      <c r="K1575" s="9" t="str">
        <f t="shared" ca="1" si="311"/>
        <v>N</v>
      </c>
      <c r="L1575">
        <f ca="1">+_xlfn.IFNA(VLOOKUP(M1575,BespokeWindowsAreas!$B$2:$E$1999,4,FALSE),VLOOKUP(E1575,WindowTypeArea!$B$2:$C$113,2,FALSE))</f>
        <v>2.6</v>
      </c>
      <c r="M1575" t="str">
        <f t="shared" ca="1" si="312"/>
        <v>id</v>
      </c>
    </row>
    <row r="1576" spans="1:13" x14ac:dyDescent="0.25">
      <c r="A1576">
        <f t="shared" ca="1" si="305"/>
        <v>4</v>
      </c>
      <c r="B1576">
        <f t="shared" ca="1" si="306"/>
        <v>143</v>
      </c>
      <c r="C1576" t="str">
        <f t="shared" ca="1" si="301"/>
        <v>'WINDOWS-NCH-A-BDP-M3-02-00'!B142</v>
      </c>
      <c r="D1576" s="6" t="str">
        <f t="shared" ca="1" si="302"/>
        <v>L02-IPA-GW9-S014-08</v>
      </c>
      <c r="E1576" t="str">
        <f t="shared" ca="1" si="303"/>
        <v>L02-IPA-GW9-S014-08</v>
      </c>
      <c r="F1576">
        <f t="shared" ca="1" si="304"/>
        <v>1544525</v>
      </c>
      <c r="G1576">
        <f t="shared" ca="1" si="307"/>
        <v>0</v>
      </c>
      <c r="H1576">
        <f t="shared" ca="1" si="308"/>
        <v>0</v>
      </c>
      <c r="I1576">
        <f t="shared" ca="1" si="309"/>
        <v>0</v>
      </c>
      <c r="J1576" s="8" t="e">
        <f t="shared" ca="1" si="310"/>
        <v>#DIV/0!</v>
      </c>
      <c r="K1576" s="9" t="e">
        <f t="shared" ca="1" si="311"/>
        <v>#DIV/0!</v>
      </c>
      <c r="L1576" t="e">
        <f ca="1">+_xlfn.IFNA(VLOOKUP(M1576,BespokeWindowsAreas!$B$2:$E$1999,4,FALSE),VLOOKUP(E1576,WindowTypeArea!$B$2:$C$113,2,FALSE))</f>
        <v>#N/A</v>
      </c>
      <c r="M1576">
        <f t="shared" ca="1" si="312"/>
        <v>0</v>
      </c>
    </row>
    <row r="1577" spans="1:13" x14ac:dyDescent="0.25">
      <c r="A1577">
        <f t="shared" ca="1" si="305"/>
        <v>4</v>
      </c>
      <c r="B1577">
        <f t="shared" ca="1" si="306"/>
        <v>144</v>
      </c>
      <c r="C1577" t="str">
        <f t="shared" ca="1" si="301"/>
        <v>'WINDOWS-NCH-A-BDP-M3-02-00'!B143</v>
      </c>
      <c r="D1577" s="6" t="str">
        <f t="shared" ca="1" si="302"/>
        <v>L02-IPA-GW9-S014-08</v>
      </c>
      <c r="E1577" t="str">
        <f t="shared" ca="1" si="303"/>
        <v>Family Type: 3490w x 3050h, Family: Window External Type 3 - Recessed and Angle with Type 1 Flush</v>
      </c>
      <c r="F1577" t="str">
        <f t="shared" ca="1" si="304"/>
        <v>Vector(X = 0.530, Y = -0.848, Z = 0.000, Length = 1.000)</v>
      </c>
      <c r="G1577">
        <f t="shared" ca="1" si="307"/>
        <v>0.5</v>
      </c>
      <c r="H1577">
        <f t="shared" ca="1" si="308"/>
        <v>-0.8</v>
      </c>
      <c r="I1577">
        <f t="shared" ca="1" si="309"/>
        <v>0</v>
      </c>
      <c r="J1577" s="8">
        <f t="shared" ca="1" si="310"/>
        <v>-57.994616791916499</v>
      </c>
      <c r="K1577" s="9" t="str">
        <f t="shared" ca="1" si="311"/>
        <v>S</v>
      </c>
      <c r="L1577">
        <f ca="1">+_xlfn.IFNA(VLOOKUP(M1577,BespokeWindowsAreas!$B$2:$E$1999,4,FALSE),VLOOKUP(E1577,WindowTypeArea!$B$2:$C$113,2,FALSE))</f>
        <v>7.67075</v>
      </c>
      <c r="M1577">
        <f t="shared" ca="1" si="312"/>
        <v>7067153</v>
      </c>
    </row>
    <row r="1578" spans="1:13" x14ac:dyDescent="0.25">
      <c r="A1578">
        <f t="shared" ca="1" si="305"/>
        <v>4</v>
      </c>
      <c r="B1578">
        <f t="shared" ca="1" si="306"/>
        <v>145</v>
      </c>
      <c r="C1578" t="str">
        <f t="shared" ca="1" si="301"/>
        <v>'WINDOWS-NCH-A-BDP-M3-02-00'!B144</v>
      </c>
      <c r="D1578" s="6" t="str">
        <f t="shared" ca="1" si="302"/>
        <v>L02-IPA-GW9-S014-08</v>
      </c>
      <c r="E1578" t="str">
        <f t="shared" ca="1" si="303"/>
        <v>Family Type: manual 2.6m2</v>
      </c>
      <c r="F1578" t="str">
        <f t="shared" ca="1" si="304"/>
        <v>Vector(X = -0.530, Y = 0.848, Z = 0.000, Length = 1.000)</v>
      </c>
      <c r="G1578">
        <f t="shared" ca="1" si="307"/>
        <v>-0.5</v>
      </c>
      <c r="H1578">
        <f t="shared" ca="1" si="308"/>
        <v>0.8</v>
      </c>
      <c r="I1578">
        <f t="shared" ca="1" si="309"/>
        <v>0</v>
      </c>
      <c r="J1578" s="8">
        <f t="shared" ca="1" si="310"/>
        <v>122.0053832080835</v>
      </c>
      <c r="K1578" s="9" t="str">
        <f t="shared" ca="1" si="311"/>
        <v>N</v>
      </c>
      <c r="L1578">
        <f ca="1">+_xlfn.IFNA(VLOOKUP(M1578,BespokeWindowsAreas!$B$2:$E$1999,4,FALSE),VLOOKUP(E1578,WindowTypeArea!$B$2:$C$113,2,FALSE))</f>
        <v>2.6</v>
      </c>
      <c r="M1578" t="str">
        <f t="shared" ca="1" si="312"/>
        <v>id</v>
      </c>
    </row>
    <row r="1579" spans="1:13" x14ac:dyDescent="0.25">
      <c r="A1579">
        <f t="shared" ca="1" si="305"/>
        <v>4</v>
      </c>
      <c r="B1579">
        <f t="shared" ca="1" si="306"/>
        <v>146</v>
      </c>
      <c r="C1579" t="str">
        <f t="shared" ref="C1579:C1642" ca="1" si="313">+"'"&amp;INDIRECT("a"&amp;A1578)&amp;"'!B"&amp;B1578</f>
        <v>'WINDOWS-NCH-A-BDP-M3-02-00'!B145</v>
      </c>
      <c r="D1579" s="6" t="str">
        <f t="shared" ref="D1579:D1642" ca="1" si="314">+IF(IFERROR(FIND("Family",E1579)&gt;0,FALSE),D1578,E1579)</f>
        <v>L02-IPA-GW9-S014-09</v>
      </c>
      <c r="E1579" t="str">
        <f t="shared" ref="E1579:E1642" ca="1" si="315">+OFFSET(INDIRECT(C1579),0,0)</f>
        <v>L02-IPA-GW9-S014-09</v>
      </c>
      <c r="F1579">
        <f t="shared" ref="F1579:F1642" ca="1" si="316">+OFFSET(INDIRECT(C1579),0,1)</f>
        <v>1544527</v>
      </c>
      <c r="G1579">
        <f t="shared" ca="1" si="307"/>
        <v>0</v>
      </c>
      <c r="H1579">
        <f t="shared" ca="1" si="308"/>
        <v>0</v>
      </c>
      <c r="I1579">
        <f t="shared" ca="1" si="309"/>
        <v>0</v>
      </c>
      <c r="J1579" s="8" t="e">
        <f t="shared" ca="1" si="310"/>
        <v>#DIV/0!</v>
      </c>
      <c r="K1579" s="9" t="e">
        <f t="shared" ca="1" si="311"/>
        <v>#DIV/0!</v>
      </c>
      <c r="L1579" t="e">
        <f ca="1">+_xlfn.IFNA(VLOOKUP(M1579,BespokeWindowsAreas!$B$2:$E$1999,4,FALSE),VLOOKUP(E1579,WindowTypeArea!$B$2:$C$113,2,FALSE))</f>
        <v>#N/A</v>
      </c>
      <c r="M1579">
        <f t="shared" ca="1" si="312"/>
        <v>0</v>
      </c>
    </row>
    <row r="1580" spans="1:13" x14ac:dyDescent="0.25">
      <c r="A1580">
        <f t="shared" ca="1" si="305"/>
        <v>4</v>
      </c>
      <c r="B1580">
        <f t="shared" ca="1" si="306"/>
        <v>147</v>
      </c>
      <c r="C1580" t="str">
        <f t="shared" ca="1" si="313"/>
        <v>'WINDOWS-NCH-A-BDP-M3-02-00'!B146</v>
      </c>
      <c r="D1580" s="6" t="str">
        <f t="shared" ca="1" si="314"/>
        <v>L02-IPA-GW9-S014-09</v>
      </c>
      <c r="E1580" t="str">
        <f t="shared" ca="1" si="315"/>
        <v>Family Type: 2515w x 3050h, Family: Window External Type 3 - Recessed and Angle</v>
      </c>
      <c r="F1580" t="str">
        <f t="shared" ca="1" si="316"/>
        <v>Vector(X = 0.530, Y = -0.848, Z = 0.000, Length = 1.000)</v>
      </c>
      <c r="G1580">
        <f t="shared" ca="1" si="307"/>
        <v>0.5</v>
      </c>
      <c r="H1580">
        <f t="shared" ca="1" si="308"/>
        <v>-0.8</v>
      </c>
      <c r="I1580">
        <f t="shared" ca="1" si="309"/>
        <v>0</v>
      </c>
      <c r="J1580" s="8">
        <f t="shared" ca="1" si="310"/>
        <v>-57.994616791916499</v>
      </c>
      <c r="K1580" s="9" t="str">
        <f t="shared" ca="1" si="311"/>
        <v>S</v>
      </c>
      <c r="L1580">
        <f ca="1">+_xlfn.IFNA(VLOOKUP(M1580,BespokeWindowsAreas!$B$2:$E$1999,4,FALSE),VLOOKUP(E1580,WindowTypeArea!$B$2:$C$113,2,FALSE))</f>
        <v>7.67075</v>
      </c>
      <c r="M1580">
        <f t="shared" ca="1" si="312"/>
        <v>4716594</v>
      </c>
    </row>
    <row r="1581" spans="1:13" x14ac:dyDescent="0.25">
      <c r="A1581">
        <f t="shared" ca="1" si="305"/>
        <v>4</v>
      </c>
      <c r="B1581">
        <f t="shared" ca="1" si="306"/>
        <v>148</v>
      </c>
      <c r="C1581" t="str">
        <f t="shared" ca="1" si="313"/>
        <v>'WINDOWS-NCH-A-BDP-M3-02-00'!B147</v>
      </c>
      <c r="D1581" s="6" t="str">
        <f t="shared" ca="1" si="314"/>
        <v>L02-IPA-GW9-S014-14</v>
      </c>
      <c r="E1581" t="str">
        <f t="shared" ca="1" si="315"/>
        <v>L02-IPA-GW9-S014-14</v>
      </c>
      <c r="F1581">
        <f t="shared" ca="1" si="316"/>
        <v>1544537</v>
      </c>
      <c r="G1581">
        <f t="shared" ca="1" si="307"/>
        <v>0</v>
      </c>
      <c r="H1581">
        <f t="shared" ca="1" si="308"/>
        <v>0</v>
      </c>
      <c r="I1581">
        <f t="shared" ca="1" si="309"/>
        <v>0</v>
      </c>
      <c r="J1581" s="8" t="e">
        <f t="shared" ca="1" si="310"/>
        <v>#DIV/0!</v>
      </c>
      <c r="K1581" s="9" t="e">
        <f t="shared" ca="1" si="311"/>
        <v>#DIV/0!</v>
      </c>
      <c r="L1581" t="e">
        <f ca="1">+_xlfn.IFNA(VLOOKUP(M1581,BespokeWindowsAreas!$B$2:$E$1999,4,FALSE),VLOOKUP(E1581,WindowTypeArea!$B$2:$C$113,2,FALSE))</f>
        <v>#N/A</v>
      </c>
      <c r="M1581">
        <f t="shared" ca="1" si="312"/>
        <v>0</v>
      </c>
    </row>
    <row r="1582" spans="1:13" x14ac:dyDescent="0.25">
      <c r="A1582">
        <f t="shared" ca="1" si="305"/>
        <v>4</v>
      </c>
      <c r="B1582">
        <f t="shared" ca="1" si="306"/>
        <v>149</v>
      </c>
      <c r="C1582" t="str">
        <f t="shared" ca="1" si="313"/>
        <v>'WINDOWS-NCH-A-BDP-M3-02-00'!B148</v>
      </c>
      <c r="D1582" s="6" t="str">
        <f t="shared" ca="1" si="314"/>
        <v>L02-IPA-GW9-S014-14</v>
      </c>
      <c r="E1582" t="str">
        <f t="shared" ca="1" si="315"/>
        <v>Family Type: 2515w x 3050h, Family: Window External Type 3 - Recessed and Angle</v>
      </c>
      <c r="F1582" t="str">
        <f t="shared" ca="1" si="316"/>
        <v>Vector(X = -0.429, Y = 0.903, Z = 0.000, Length = 1.000)</v>
      </c>
      <c r="G1582">
        <f t="shared" ca="1" si="307"/>
        <v>-0.4</v>
      </c>
      <c r="H1582">
        <f t="shared" ca="1" si="308"/>
        <v>0.9</v>
      </c>
      <c r="I1582">
        <f t="shared" ca="1" si="309"/>
        <v>0</v>
      </c>
      <c r="J1582" s="8">
        <f t="shared" ca="1" si="310"/>
        <v>113.96248897457818</v>
      </c>
      <c r="K1582" s="9" t="str">
        <f t="shared" ca="1" si="311"/>
        <v>N</v>
      </c>
      <c r="L1582">
        <f ca="1">+_xlfn.IFNA(VLOOKUP(M1582,BespokeWindowsAreas!$B$2:$E$1999,4,FALSE),VLOOKUP(E1582,WindowTypeArea!$B$2:$C$113,2,FALSE))</f>
        <v>7.67075</v>
      </c>
      <c r="M1582">
        <f t="shared" ca="1" si="312"/>
        <v>4779506</v>
      </c>
    </row>
    <row r="1583" spans="1:13" x14ac:dyDescent="0.25">
      <c r="A1583">
        <f t="shared" ca="1" si="305"/>
        <v>4</v>
      </c>
      <c r="B1583">
        <f t="shared" ca="1" si="306"/>
        <v>150</v>
      </c>
      <c r="C1583" t="str">
        <f t="shared" ca="1" si="313"/>
        <v>'WINDOWS-NCH-A-BDP-M3-02-00'!B149</v>
      </c>
      <c r="D1583" s="6" t="str">
        <f t="shared" ca="1" si="314"/>
        <v>L02-IPA-GW9-S014-15</v>
      </c>
      <c r="E1583" t="str">
        <f t="shared" ca="1" si="315"/>
        <v>L02-IPA-GW9-S014-15</v>
      </c>
      <c r="F1583">
        <f t="shared" ca="1" si="316"/>
        <v>1544539</v>
      </c>
      <c r="G1583">
        <f t="shared" ca="1" si="307"/>
        <v>0</v>
      </c>
      <c r="H1583">
        <f t="shared" ca="1" si="308"/>
        <v>0</v>
      </c>
      <c r="I1583">
        <f t="shared" ca="1" si="309"/>
        <v>0</v>
      </c>
      <c r="J1583" s="8" t="e">
        <f t="shared" ca="1" si="310"/>
        <v>#DIV/0!</v>
      </c>
      <c r="K1583" s="9" t="e">
        <f t="shared" ca="1" si="311"/>
        <v>#DIV/0!</v>
      </c>
      <c r="L1583" t="e">
        <f ca="1">+_xlfn.IFNA(VLOOKUP(M1583,BespokeWindowsAreas!$B$2:$E$1999,4,FALSE),VLOOKUP(E1583,WindowTypeArea!$B$2:$C$113,2,FALSE))</f>
        <v>#N/A</v>
      </c>
      <c r="M1583">
        <f t="shared" ca="1" si="312"/>
        <v>0</v>
      </c>
    </row>
    <row r="1584" spans="1:13" x14ac:dyDescent="0.25">
      <c r="A1584">
        <f t="shared" ca="1" si="305"/>
        <v>4</v>
      </c>
      <c r="B1584">
        <f t="shared" ca="1" si="306"/>
        <v>151</v>
      </c>
      <c r="C1584" t="str">
        <f t="shared" ca="1" si="313"/>
        <v>'WINDOWS-NCH-A-BDP-M3-02-00'!B150</v>
      </c>
      <c r="D1584" s="6" t="str">
        <f t="shared" ca="1" si="314"/>
        <v>L02-IPA-GW9-S014-15</v>
      </c>
      <c r="E1584" t="str">
        <f t="shared" ca="1" si="315"/>
        <v>Family Type: 3490w x 3050h, Family: Window External Type 3 - Recessed and Angle with Type 1 Flush</v>
      </c>
      <c r="F1584" t="str">
        <f t="shared" ca="1" si="316"/>
        <v>Vector(X = -0.429, Y = 0.903, Z = 0.000, Length = 1.000)</v>
      </c>
      <c r="G1584">
        <f t="shared" ca="1" si="307"/>
        <v>-0.4</v>
      </c>
      <c r="H1584">
        <f t="shared" ca="1" si="308"/>
        <v>0.9</v>
      </c>
      <c r="I1584">
        <f t="shared" ca="1" si="309"/>
        <v>0</v>
      </c>
      <c r="J1584" s="8">
        <f t="shared" ca="1" si="310"/>
        <v>113.96248897457818</v>
      </c>
      <c r="K1584" s="9" t="str">
        <f t="shared" ca="1" si="311"/>
        <v>N</v>
      </c>
      <c r="L1584">
        <f ca="1">+_xlfn.IFNA(VLOOKUP(M1584,BespokeWindowsAreas!$B$2:$E$1999,4,FALSE),VLOOKUP(E1584,WindowTypeArea!$B$2:$C$113,2,FALSE))</f>
        <v>7.67075</v>
      </c>
      <c r="M1584">
        <f t="shared" ca="1" si="312"/>
        <v>7066972</v>
      </c>
    </row>
    <row r="1585" spans="1:13" x14ac:dyDescent="0.25">
      <c r="A1585">
        <f t="shared" ca="1" si="305"/>
        <v>4</v>
      </c>
      <c r="B1585">
        <f t="shared" ca="1" si="306"/>
        <v>152</v>
      </c>
      <c r="C1585" t="str">
        <f t="shared" ca="1" si="313"/>
        <v>'WINDOWS-NCH-A-BDP-M3-02-00'!B151</v>
      </c>
      <c r="D1585" s="6" t="str">
        <f t="shared" ca="1" si="314"/>
        <v>L02-IPA-GW9-S014-15</v>
      </c>
      <c r="E1585" t="str">
        <f t="shared" ca="1" si="315"/>
        <v>Family Type: manual 2.6m2</v>
      </c>
      <c r="F1585" t="str">
        <f t="shared" ca="1" si="316"/>
        <v>Vector(X = -0.530, Y = 0.848, Z = 0.000, Length = 1.000)</v>
      </c>
      <c r="G1585">
        <f t="shared" ca="1" si="307"/>
        <v>-0.4</v>
      </c>
      <c r="H1585">
        <f t="shared" ca="1" si="308"/>
        <v>0.9</v>
      </c>
      <c r="I1585">
        <f t="shared" ca="1" si="309"/>
        <v>0</v>
      </c>
      <c r="J1585" s="8">
        <f t="shared" ca="1" si="310"/>
        <v>113.96248897457818</v>
      </c>
      <c r="K1585" s="9" t="str">
        <f t="shared" ca="1" si="311"/>
        <v>N</v>
      </c>
      <c r="L1585">
        <f ca="1">+_xlfn.IFNA(VLOOKUP(M1585,BespokeWindowsAreas!$B$2:$E$1999,4,FALSE),VLOOKUP(E1585,WindowTypeArea!$B$2:$C$113,2,FALSE))</f>
        <v>2.6</v>
      </c>
      <c r="M1585" t="str">
        <f t="shared" ca="1" si="312"/>
        <v>id</v>
      </c>
    </row>
    <row r="1586" spans="1:13" x14ac:dyDescent="0.25">
      <c r="A1586">
        <f t="shared" ca="1" si="305"/>
        <v>4</v>
      </c>
      <c r="B1586">
        <f t="shared" ca="1" si="306"/>
        <v>153</v>
      </c>
      <c r="C1586" t="str">
        <f t="shared" ca="1" si="313"/>
        <v>'WINDOWS-NCH-A-BDP-M3-02-00'!B152</v>
      </c>
      <c r="D1586" s="6" t="str">
        <f t="shared" ca="1" si="314"/>
        <v>L02-IPA-GW9-S014-16</v>
      </c>
      <c r="E1586" t="str">
        <f t="shared" ca="1" si="315"/>
        <v>L02-IPA-GW9-S014-16</v>
      </c>
      <c r="F1586">
        <f t="shared" ca="1" si="316"/>
        <v>1544541</v>
      </c>
      <c r="G1586">
        <f t="shared" ca="1" si="307"/>
        <v>0</v>
      </c>
      <c r="H1586">
        <f t="shared" ca="1" si="308"/>
        <v>0</v>
      </c>
      <c r="I1586">
        <f t="shared" ca="1" si="309"/>
        <v>0</v>
      </c>
      <c r="J1586" s="8" t="e">
        <f t="shared" ca="1" si="310"/>
        <v>#DIV/0!</v>
      </c>
      <c r="K1586" s="9" t="e">
        <f t="shared" ca="1" si="311"/>
        <v>#DIV/0!</v>
      </c>
      <c r="L1586" t="e">
        <f ca="1">+_xlfn.IFNA(VLOOKUP(M1586,BespokeWindowsAreas!$B$2:$E$1999,4,FALSE),VLOOKUP(E1586,WindowTypeArea!$B$2:$C$113,2,FALSE))</f>
        <v>#N/A</v>
      </c>
      <c r="M1586">
        <f t="shared" ca="1" si="312"/>
        <v>0</v>
      </c>
    </row>
    <row r="1587" spans="1:13" x14ac:dyDescent="0.25">
      <c r="A1587">
        <f t="shared" ca="1" si="305"/>
        <v>4</v>
      </c>
      <c r="B1587">
        <f t="shared" ca="1" si="306"/>
        <v>154</v>
      </c>
      <c r="C1587" t="str">
        <f t="shared" ca="1" si="313"/>
        <v>'WINDOWS-NCH-A-BDP-M3-02-00'!B153</v>
      </c>
      <c r="D1587" s="6" t="str">
        <f t="shared" ca="1" si="314"/>
        <v>L02-IPA-GW9-S014-16</v>
      </c>
      <c r="E1587" t="str">
        <f t="shared" ca="1" si="315"/>
        <v>Family Type: 3490w x 3050h, Family: Window External Type 3 - Recessed and Angle with Type 1 Flush</v>
      </c>
      <c r="F1587" t="str">
        <f t="shared" ca="1" si="316"/>
        <v>Vector(X = -0.429, Y = 0.903, Z = 0.000, Length = 1.000)</v>
      </c>
      <c r="G1587">
        <f t="shared" ca="1" si="307"/>
        <v>-0.4</v>
      </c>
      <c r="H1587">
        <f t="shared" ca="1" si="308"/>
        <v>0.9</v>
      </c>
      <c r="I1587">
        <f t="shared" ca="1" si="309"/>
        <v>0</v>
      </c>
      <c r="J1587" s="8">
        <f t="shared" ca="1" si="310"/>
        <v>113.96248897457818</v>
      </c>
      <c r="K1587" s="9" t="str">
        <f t="shared" ca="1" si="311"/>
        <v>N</v>
      </c>
      <c r="L1587">
        <f ca="1">+_xlfn.IFNA(VLOOKUP(M1587,BespokeWindowsAreas!$B$2:$E$1999,4,FALSE),VLOOKUP(E1587,WindowTypeArea!$B$2:$C$113,2,FALSE))</f>
        <v>7.67075</v>
      </c>
      <c r="M1587">
        <f t="shared" ca="1" si="312"/>
        <v>7066928</v>
      </c>
    </row>
    <row r="1588" spans="1:13" x14ac:dyDescent="0.25">
      <c r="A1588">
        <f t="shared" ca="1" si="305"/>
        <v>4</v>
      </c>
      <c r="B1588">
        <f t="shared" ca="1" si="306"/>
        <v>155</v>
      </c>
      <c r="C1588" t="str">
        <f t="shared" ca="1" si="313"/>
        <v>'WINDOWS-NCH-A-BDP-M3-02-00'!B154</v>
      </c>
      <c r="D1588" s="6" t="str">
        <f t="shared" ca="1" si="314"/>
        <v>L02-IPA-GW9-S014-16</v>
      </c>
      <c r="E1588" t="str">
        <f t="shared" ca="1" si="315"/>
        <v>Family Type: manual 2.6m2</v>
      </c>
      <c r="F1588" t="str">
        <f t="shared" ca="1" si="316"/>
        <v>Vector(X = -0.530, Y = 0.848, Z = 0.000, Length = 1.000)</v>
      </c>
      <c r="G1588">
        <f t="shared" ca="1" si="307"/>
        <v>-0.4</v>
      </c>
      <c r="H1588">
        <f t="shared" ca="1" si="308"/>
        <v>0.9</v>
      </c>
      <c r="I1588">
        <f t="shared" ca="1" si="309"/>
        <v>0</v>
      </c>
      <c r="J1588" s="8">
        <f t="shared" ca="1" si="310"/>
        <v>113.96248897457818</v>
      </c>
      <c r="K1588" s="9" t="str">
        <f t="shared" ca="1" si="311"/>
        <v>N</v>
      </c>
      <c r="L1588">
        <f ca="1">+_xlfn.IFNA(VLOOKUP(M1588,BespokeWindowsAreas!$B$2:$E$1999,4,FALSE),VLOOKUP(E1588,WindowTypeArea!$B$2:$C$113,2,FALSE))</f>
        <v>2.6</v>
      </c>
      <c r="M1588" t="str">
        <f t="shared" ca="1" si="312"/>
        <v>id</v>
      </c>
    </row>
    <row r="1589" spans="1:13" x14ac:dyDescent="0.25">
      <c r="A1589">
        <f t="shared" ca="1" si="305"/>
        <v>4</v>
      </c>
      <c r="B1589">
        <f t="shared" ca="1" si="306"/>
        <v>156</v>
      </c>
      <c r="C1589" t="str">
        <f t="shared" ca="1" si="313"/>
        <v>'WINDOWS-NCH-A-BDP-M3-02-00'!B155</v>
      </c>
      <c r="D1589" s="6" t="str">
        <f t="shared" ca="1" si="314"/>
        <v>L02-IPA-GW9-S014-17</v>
      </c>
      <c r="E1589" t="str">
        <f t="shared" ca="1" si="315"/>
        <v>L02-IPA-GW9-S014-17</v>
      </c>
      <c r="F1589">
        <f t="shared" ca="1" si="316"/>
        <v>1544543</v>
      </c>
      <c r="G1589">
        <f t="shared" ca="1" si="307"/>
        <v>0</v>
      </c>
      <c r="H1589">
        <f t="shared" ca="1" si="308"/>
        <v>0</v>
      </c>
      <c r="I1589">
        <f t="shared" ca="1" si="309"/>
        <v>0</v>
      </c>
      <c r="J1589" s="8" t="e">
        <f t="shared" ca="1" si="310"/>
        <v>#DIV/0!</v>
      </c>
      <c r="K1589" s="9" t="e">
        <f t="shared" ca="1" si="311"/>
        <v>#DIV/0!</v>
      </c>
      <c r="L1589" t="e">
        <f ca="1">+_xlfn.IFNA(VLOOKUP(M1589,BespokeWindowsAreas!$B$2:$E$1999,4,FALSE),VLOOKUP(E1589,WindowTypeArea!$B$2:$C$113,2,FALSE))</f>
        <v>#N/A</v>
      </c>
      <c r="M1589">
        <f t="shared" ca="1" si="312"/>
        <v>0</v>
      </c>
    </row>
    <row r="1590" spans="1:13" x14ac:dyDescent="0.25">
      <c r="A1590">
        <f t="shared" ca="1" si="305"/>
        <v>4</v>
      </c>
      <c r="B1590">
        <f t="shared" ca="1" si="306"/>
        <v>157</v>
      </c>
      <c r="C1590" t="str">
        <f t="shared" ca="1" si="313"/>
        <v>'WINDOWS-NCH-A-BDP-M3-02-00'!B156</v>
      </c>
      <c r="D1590" s="6" t="str">
        <f t="shared" ca="1" si="314"/>
        <v>L02-IPA-GW9-S014-17</v>
      </c>
      <c r="E1590" t="str">
        <f t="shared" ca="1" si="315"/>
        <v>Family Type: 3490w x 3050h, Family: Window External Type 3 - Recessed and Angle with Type 1 Flush</v>
      </c>
      <c r="F1590" t="str">
        <f t="shared" ca="1" si="316"/>
        <v>Vector(X = -0.429, Y = 0.903, Z = 0.000, Length = 1.000)</v>
      </c>
      <c r="G1590">
        <f t="shared" ca="1" si="307"/>
        <v>-0.4</v>
      </c>
      <c r="H1590">
        <f t="shared" ca="1" si="308"/>
        <v>0.9</v>
      </c>
      <c r="I1590">
        <f t="shared" ca="1" si="309"/>
        <v>0</v>
      </c>
      <c r="J1590" s="8">
        <f t="shared" ca="1" si="310"/>
        <v>113.96248897457818</v>
      </c>
      <c r="K1590" s="9" t="str">
        <f t="shared" ca="1" si="311"/>
        <v>N</v>
      </c>
      <c r="L1590">
        <f ca="1">+_xlfn.IFNA(VLOOKUP(M1590,BespokeWindowsAreas!$B$2:$E$1999,4,FALSE),VLOOKUP(E1590,WindowTypeArea!$B$2:$C$113,2,FALSE))</f>
        <v>7.67075</v>
      </c>
      <c r="M1590">
        <f t="shared" ca="1" si="312"/>
        <v>7066896</v>
      </c>
    </row>
    <row r="1591" spans="1:13" x14ac:dyDescent="0.25">
      <c r="A1591">
        <f t="shared" ca="1" si="305"/>
        <v>4</v>
      </c>
      <c r="B1591">
        <f t="shared" ca="1" si="306"/>
        <v>158</v>
      </c>
      <c r="C1591" t="str">
        <f t="shared" ca="1" si="313"/>
        <v>'WINDOWS-NCH-A-BDP-M3-02-00'!B157</v>
      </c>
      <c r="D1591" s="6" t="str">
        <f t="shared" ca="1" si="314"/>
        <v>L02-IPA-GW9-S014-17</v>
      </c>
      <c r="E1591" t="str">
        <f t="shared" ca="1" si="315"/>
        <v>Family Type: manual 2.6m2</v>
      </c>
      <c r="F1591" t="str">
        <f t="shared" ca="1" si="316"/>
        <v>Vector(X = -0.530, Y = 0.848, Z = 0.000, Length = 1.000)</v>
      </c>
      <c r="G1591">
        <f t="shared" ca="1" si="307"/>
        <v>-0.4</v>
      </c>
      <c r="H1591">
        <f t="shared" ca="1" si="308"/>
        <v>0.9</v>
      </c>
      <c r="I1591">
        <f t="shared" ca="1" si="309"/>
        <v>0</v>
      </c>
      <c r="J1591" s="8">
        <f t="shared" ca="1" si="310"/>
        <v>113.96248897457818</v>
      </c>
      <c r="K1591" s="9" t="str">
        <f t="shared" ca="1" si="311"/>
        <v>N</v>
      </c>
      <c r="L1591">
        <f ca="1">+_xlfn.IFNA(VLOOKUP(M1591,BespokeWindowsAreas!$B$2:$E$1999,4,FALSE),VLOOKUP(E1591,WindowTypeArea!$B$2:$C$113,2,FALSE))</f>
        <v>2.6</v>
      </c>
      <c r="M1591" t="str">
        <f t="shared" ca="1" si="312"/>
        <v>id</v>
      </c>
    </row>
    <row r="1592" spans="1:13" x14ac:dyDescent="0.25">
      <c r="A1592">
        <f t="shared" ca="1" si="305"/>
        <v>4</v>
      </c>
      <c r="B1592">
        <f t="shared" ca="1" si="306"/>
        <v>159</v>
      </c>
      <c r="C1592" t="str">
        <f t="shared" ca="1" si="313"/>
        <v>'WINDOWS-NCH-A-BDP-M3-02-00'!B158</v>
      </c>
      <c r="D1592" s="6" t="str">
        <f t="shared" ca="1" si="314"/>
        <v>L02-IPA-GW9-S014-18</v>
      </c>
      <c r="E1592" t="str">
        <f t="shared" ca="1" si="315"/>
        <v>L02-IPA-GW9-S014-18</v>
      </c>
      <c r="F1592">
        <f t="shared" ca="1" si="316"/>
        <v>1544545</v>
      </c>
      <c r="G1592">
        <f t="shared" ca="1" si="307"/>
        <v>0</v>
      </c>
      <c r="H1592">
        <f t="shared" ca="1" si="308"/>
        <v>0</v>
      </c>
      <c r="I1592">
        <f t="shared" ca="1" si="309"/>
        <v>0</v>
      </c>
      <c r="J1592" s="8" t="e">
        <f t="shared" ca="1" si="310"/>
        <v>#DIV/0!</v>
      </c>
      <c r="K1592" s="9" t="e">
        <f t="shared" ca="1" si="311"/>
        <v>#DIV/0!</v>
      </c>
      <c r="L1592" t="e">
        <f ca="1">+_xlfn.IFNA(VLOOKUP(M1592,BespokeWindowsAreas!$B$2:$E$1999,4,FALSE),VLOOKUP(E1592,WindowTypeArea!$B$2:$C$113,2,FALSE))</f>
        <v>#N/A</v>
      </c>
      <c r="M1592">
        <f t="shared" ca="1" si="312"/>
        <v>0</v>
      </c>
    </row>
    <row r="1593" spans="1:13" x14ac:dyDescent="0.25">
      <c r="A1593">
        <f t="shared" ca="1" si="305"/>
        <v>4</v>
      </c>
      <c r="B1593">
        <f t="shared" ca="1" si="306"/>
        <v>160</v>
      </c>
      <c r="C1593" t="str">
        <f t="shared" ca="1" si="313"/>
        <v>'WINDOWS-NCH-A-BDP-M3-02-00'!B159</v>
      </c>
      <c r="D1593" s="6" t="str">
        <f t="shared" ca="1" si="314"/>
        <v>L02-IPA-GW9-S014-18</v>
      </c>
      <c r="E1593" t="str">
        <f t="shared" ca="1" si="315"/>
        <v>Family Type: 3490w x 3050h, Family: Window External Type 3 - Recessed and Angle with Type 1 Flush</v>
      </c>
      <c r="F1593" t="str">
        <f t="shared" ca="1" si="316"/>
        <v>Vector(X = 0.429, Y = -0.903, Z = 0.000, Length = 1.000)</v>
      </c>
      <c r="G1593">
        <f t="shared" ca="1" si="307"/>
        <v>0.4</v>
      </c>
      <c r="H1593">
        <f t="shared" ca="1" si="308"/>
        <v>-0.9</v>
      </c>
      <c r="I1593">
        <f t="shared" ca="1" si="309"/>
        <v>0</v>
      </c>
      <c r="J1593" s="8">
        <f t="shared" ca="1" si="310"/>
        <v>-66.037511025421821</v>
      </c>
      <c r="K1593" s="9" t="str">
        <f t="shared" ca="1" si="311"/>
        <v>S</v>
      </c>
      <c r="L1593">
        <f ca="1">+_xlfn.IFNA(VLOOKUP(M1593,BespokeWindowsAreas!$B$2:$E$1999,4,FALSE),VLOOKUP(E1593,WindowTypeArea!$B$2:$C$113,2,FALSE))</f>
        <v>7.67075</v>
      </c>
      <c r="M1593">
        <f t="shared" ca="1" si="312"/>
        <v>7066581</v>
      </c>
    </row>
    <row r="1594" spans="1:13" x14ac:dyDescent="0.25">
      <c r="A1594">
        <f t="shared" ca="1" si="305"/>
        <v>4</v>
      </c>
      <c r="B1594">
        <f t="shared" ca="1" si="306"/>
        <v>161</v>
      </c>
      <c r="C1594" t="str">
        <f t="shared" ca="1" si="313"/>
        <v>'WINDOWS-NCH-A-BDP-M3-02-00'!B160</v>
      </c>
      <c r="D1594" s="6" t="str">
        <f t="shared" ca="1" si="314"/>
        <v>L02-IPA-GW9-S014-18</v>
      </c>
      <c r="E1594" t="str">
        <f t="shared" ca="1" si="315"/>
        <v>Family Type: manual 2.6m2</v>
      </c>
      <c r="F1594" t="str">
        <f t="shared" ca="1" si="316"/>
        <v>Vector(X = -0.530, Y = 0.848, Z = 0.000, Length = 1.000)</v>
      </c>
      <c r="G1594">
        <f t="shared" ca="1" si="307"/>
        <v>-0.4</v>
      </c>
      <c r="H1594">
        <f t="shared" ca="1" si="308"/>
        <v>0.9</v>
      </c>
      <c r="I1594">
        <f t="shared" ca="1" si="309"/>
        <v>0</v>
      </c>
      <c r="J1594" s="8">
        <f t="shared" ca="1" si="310"/>
        <v>113.96248897457818</v>
      </c>
      <c r="K1594" s="9" t="str">
        <f t="shared" ca="1" si="311"/>
        <v>N</v>
      </c>
      <c r="L1594">
        <f ca="1">+_xlfn.IFNA(VLOOKUP(M1594,BespokeWindowsAreas!$B$2:$E$1999,4,FALSE),VLOOKUP(E1594,WindowTypeArea!$B$2:$C$113,2,FALSE))</f>
        <v>2.6</v>
      </c>
      <c r="M1594" t="str">
        <f t="shared" ca="1" si="312"/>
        <v>id</v>
      </c>
    </row>
    <row r="1595" spans="1:13" x14ac:dyDescent="0.25">
      <c r="A1595">
        <f t="shared" ca="1" si="305"/>
        <v>4</v>
      </c>
      <c r="B1595">
        <f t="shared" ca="1" si="306"/>
        <v>162</v>
      </c>
      <c r="C1595" t="str">
        <f t="shared" ca="1" si="313"/>
        <v>'WINDOWS-NCH-A-BDP-M3-02-00'!B161</v>
      </c>
      <c r="D1595" s="6" t="str">
        <f t="shared" ca="1" si="314"/>
        <v>L02-IPA-GW9-S014-19</v>
      </c>
      <c r="E1595" t="str">
        <f t="shared" ca="1" si="315"/>
        <v>L02-IPA-GW9-S014-19</v>
      </c>
      <c r="F1595">
        <f t="shared" ca="1" si="316"/>
        <v>1544547</v>
      </c>
      <c r="G1595">
        <f t="shared" ca="1" si="307"/>
        <v>0</v>
      </c>
      <c r="H1595">
        <f t="shared" ca="1" si="308"/>
        <v>0</v>
      </c>
      <c r="I1595">
        <f t="shared" ca="1" si="309"/>
        <v>0</v>
      </c>
      <c r="J1595" s="8" t="e">
        <f t="shared" ca="1" si="310"/>
        <v>#DIV/0!</v>
      </c>
      <c r="K1595" s="9" t="e">
        <f t="shared" ca="1" si="311"/>
        <v>#DIV/0!</v>
      </c>
      <c r="L1595" t="e">
        <f ca="1">+_xlfn.IFNA(VLOOKUP(M1595,BespokeWindowsAreas!$B$2:$E$1999,4,FALSE),VLOOKUP(E1595,WindowTypeArea!$B$2:$C$113,2,FALSE))</f>
        <v>#N/A</v>
      </c>
      <c r="M1595">
        <f t="shared" ca="1" si="312"/>
        <v>0</v>
      </c>
    </row>
    <row r="1596" spans="1:13" x14ac:dyDescent="0.25">
      <c r="A1596">
        <f t="shared" ca="1" si="305"/>
        <v>4</v>
      </c>
      <c r="B1596">
        <f t="shared" ca="1" si="306"/>
        <v>163</v>
      </c>
      <c r="C1596" t="str">
        <f t="shared" ca="1" si="313"/>
        <v>'WINDOWS-NCH-A-BDP-M3-02-00'!B162</v>
      </c>
      <c r="D1596" s="6" t="str">
        <f t="shared" ca="1" si="314"/>
        <v>L02-IPA-GW9-S014-19</v>
      </c>
      <c r="E1596" t="str">
        <f t="shared" ca="1" si="315"/>
        <v>Family Type: 3490w x 3050h, Family: Window External Type 3 - Recessed and Angle with Type 1 Flush</v>
      </c>
      <c r="F1596" t="str">
        <f t="shared" ca="1" si="316"/>
        <v>Vector(X = 0.429, Y = -0.903, Z = 0.000, Length = 1.000)</v>
      </c>
      <c r="G1596">
        <f t="shared" ca="1" si="307"/>
        <v>0.4</v>
      </c>
      <c r="H1596">
        <f t="shared" ca="1" si="308"/>
        <v>-0.9</v>
      </c>
      <c r="I1596">
        <f t="shared" ca="1" si="309"/>
        <v>0</v>
      </c>
      <c r="J1596" s="8">
        <f t="shared" ca="1" si="310"/>
        <v>-66.037511025421821</v>
      </c>
      <c r="K1596" s="9" t="str">
        <f t="shared" ca="1" si="311"/>
        <v>S</v>
      </c>
      <c r="L1596">
        <f ca="1">+_xlfn.IFNA(VLOOKUP(M1596,BespokeWindowsAreas!$B$2:$E$1999,4,FALSE),VLOOKUP(E1596,WindowTypeArea!$B$2:$C$113,2,FALSE))</f>
        <v>7.67075</v>
      </c>
      <c r="M1596">
        <f t="shared" ca="1" si="312"/>
        <v>7066596</v>
      </c>
    </row>
    <row r="1597" spans="1:13" x14ac:dyDescent="0.25">
      <c r="A1597">
        <f t="shared" ca="1" si="305"/>
        <v>4</v>
      </c>
      <c r="B1597">
        <f t="shared" ca="1" si="306"/>
        <v>164</v>
      </c>
      <c r="C1597" t="str">
        <f t="shared" ca="1" si="313"/>
        <v>'WINDOWS-NCH-A-BDP-M3-02-00'!B163</v>
      </c>
      <c r="D1597" s="6" t="str">
        <f t="shared" ca="1" si="314"/>
        <v>L02-IPA-GW9-S014-19</v>
      </c>
      <c r="E1597" t="str">
        <f t="shared" ca="1" si="315"/>
        <v>Family Type: manual 2.6m2</v>
      </c>
      <c r="F1597" t="str">
        <f t="shared" ca="1" si="316"/>
        <v>Vector(X = -0.530, Y = 0.848, Z = 0.000, Length = 1.000)</v>
      </c>
      <c r="G1597">
        <f t="shared" ca="1" si="307"/>
        <v>-0.4</v>
      </c>
      <c r="H1597">
        <f t="shared" ca="1" si="308"/>
        <v>0.9</v>
      </c>
      <c r="I1597">
        <f t="shared" ca="1" si="309"/>
        <v>0</v>
      </c>
      <c r="J1597" s="8">
        <f t="shared" ca="1" si="310"/>
        <v>113.96248897457818</v>
      </c>
      <c r="K1597" s="9" t="str">
        <f t="shared" ca="1" si="311"/>
        <v>N</v>
      </c>
      <c r="L1597">
        <f ca="1">+_xlfn.IFNA(VLOOKUP(M1597,BespokeWindowsAreas!$B$2:$E$1999,4,FALSE),VLOOKUP(E1597,WindowTypeArea!$B$2:$C$113,2,FALSE))</f>
        <v>2.6</v>
      </c>
      <c r="M1597" t="str">
        <f t="shared" ca="1" si="312"/>
        <v>id</v>
      </c>
    </row>
    <row r="1598" spans="1:13" x14ac:dyDescent="0.25">
      <c r="A1598">
        <f t="shared" ca="1" si="305"/>
        <v>4</v>
      </c>
      <c r="B1598">
        <f t="shared" ca="1" si="306"/>
        <v>165</v>
      </c>
      <c r="C1598" t="str">
        <f t="shared" ca="1" si="313"/>
        <v>'WINDOWS-NCH-A-BDP-M3-02-00'!B164</v>
      </c>
      <c r="D1598" s="6" t="str">
        <f t="shared" ca="1" si="314"/>
        <v>L02-IPA-GW9-S014-20</v>
      </c>
      <c r="E1598" t="str">
        <f t="shared" ca="1" si="315"/>
        <v>L02-IPA-GW9-S014-20</v>
      </c>
      <c r="F1598">
        <f t="shared" ca="1" si="316"/>
        <v>1544549</v>
      </c>
      <c r="G1598">
        <f t="shared" ca="1" si="307"/>
        <v>0</v>
      </c>
      <c r="H1598">
        <f t="shared" ca="1" si="308"/>
        <v>0</v>
      </c>
      <c r="I1598">
        <f t="shared" ca="1" si="309"/>
        <v>0</v>
      </c>
      <c r="J1598" s="8" t="e">
        <f t="shared" ca="1" si="310"/>
        <v>#DIV/0!</v>
      </c>
      <c r="K1598" s="9" t="e">
        <f t="shared" ca="1" si="311"/>
        <v>#DIV/0!</v>
      </c>
      <c r="L1598" t="e">
        <f ca="1">+_xlfn.IFNA(VLOOKUP(M1598,BespokeWindowsAreas!$B$2:$E$1999,4,FALSE),VLOOKUP(E1598,WindowTypeArea!$B$2:$C$113,2,FALSE))</f>
        <v>#N/A</v>
      </c>
      <c r="M1598">
        <f t="shared" ca="1" si="312"/>
        <v>0</v>
      </c>
    </row>
    <row r="1599" spans="1:13" x14ac:dyDescent="0.25">
      <c r="A1599">
        <f t="shared" ca="1" si="305"/>
        <v>4</v>
      </c>
      <c r="B1599">
        <f t="shared" ca="1" si="306"/>
        <v>166</v>
      </c>
      <c r="C1599" t="str">
        <f t="shared" ca="1" si="313"/>
        <v>'WINDOWS-NCH-A-BDP-M3-02-00'!B165</v>
      </c>
      <c r="D1599" s="6" t="str">
        <f t="shared" ca="1" si="314"/>
        <v>L02-IPA-GW9-S014-20</v>
      </c>
      <c r="E1599" t="str">
        <f t="shared" ca="1" si="315"/>
        <v>Family Type: 3490w x 3050h, Family: Window External Type 3 - Recessed and Angle with Type 1 Flush</v>
      </c>
      <c r="F1599" t="str">
        <f t="shared" ca="1" si="316"/>
        <v>Vector(X = 0.429, Y = -0.903, Z = 0.000, Length = 1.000)</v>
      </c>
      <c r="G1599">
        <f t="shared" ca="1" si="307"/>
        <v>0.4</v>
      </c>
      <c r="H1599">
        <f t="shared" ca="1" si="308"/>
        <v>-0.9</v>
      </c>
      <c r="I1599">
        <f t="shared" ca="1" si="309"/>
        <v>0</v>
      </c>
      <c r="J1599" s="8">
        <f t="shared" ca="1" si="310"/>
        <v>-66.037511025421821</v>
      </c>
      <c r="K1599" s="9" t="str">
        <f t="shared" ca="1" si="311"/>
        <v>S</v>
      </c>
      <c r="L1599">
        <f ca="1">+_xlfn.IFNA(VLOOKUP(M1599,BespokeWindowsAreas!$B$2:$E$1999,4,FALSE),VLOOKUP(E1599,WindowTypeArea!$B$2:$C$113,2,FALSE))</f>
        <v>7.67075</v>
      </c>
      <c r="M1599">
        <f t="shared" ca="1" si="312"/>
        <v>7066647</v>
      </c>
    </row>
    <row r="1600" spans="1:13" x14ac:dyDescent="0.25">
      <c r="A1600">
        <f t="shared" ca="1" si="305"/>
        <v>4</v>
      </c>
      <c r="B1600">
        <f t="shared" ca="1" si="306"/>
        <v>167</v>
      </c>
      <c r="C1600" t="str">
        <f t="shared" ca="1" si="313"/>
        <v>'WINDOWS-NCH-A-BDP-M3-02-00'!B166</v>
      </c>
      <c r="D1600" s="6" t="str">
        <f t="shared" ca="1" si="314"/>
        <v>L02-IPA-GW9-S014-20</v>
      </c>
      <c r="E1600" t="str">
        <f t="shared" ca="1" si="315"/>
        <v>Family Type: manual 2.6m2</v>
      </c>
      <c r="F1600" t="str">
        <f t="shared" ca="1" si="316"/>
        <v>Vector(X = -0.530, Y = 0.848, Z = 0.000, Length = 1.000)</v>
      </c>
      <c r="G1600">
        <f t="shared" ca="1" si="307"/>
        <v>-0.4</v>
      </c>
      <c r="H1600">
        <f t="shared" ca="1" si="308"/>
        <v>0.9</v>
      </c>
      <c r="I1600">
        <f t="shared" ca="1" si="309"/>
        <v>0</v>
      </c>
      <c r="J1600" s="8">
        <f t="shared" ca="1" si="310"/>
        <v>113.96248897457818</v>
      </c>
      <c r="K1600" s="9" t="str">
        <f t="shared" ca="1" si="311"/>
        <v>N</v>
      </c>
      <c r="L1600">
        <f ca="1">+_xlfn.IFNA(VLOOKUP(M1600,BespokeWindowsAreas!$B$2:$E$1999,4,FALSE),VLOOKUP(E1600,WindowTypeArea!$B$2:$C$113,2,FALSE))</f>
        <v>2.6</v>
      </c>
      <c r="M1600" t="str">
        <f t="shared" ca="1" si="312"/>
        <v>id</v>
      </c>
    </row>
    <row r="1601" spans="1:13" x14ac:dyDescent="0.25">
      <c r="A1601">
        <f t="shared" ca="1" si="305"/>
        <v>4</v>
      </c>
      <c r="B1601">
        <f t="shared" ca="1" si="306"/>
        <v>168</v>
      </c>
      <c r="C1601" t="str">
        <f t="shared" ca="1" si="313"/>
        <v>'WINDOWS-NCH-A-BDP-M3-02-00'!B167</v>
      </c>
      <c r="D1601" s="6" t="str">
        <f t="shared" ca="1" si="314"/>
        <v>L02-IPA-GW9-S014-21</v>
      </c>
      <c r="E1601" t="str">
        <f t="shared" ca="1" si="315"/>
        <v>L02-IPA-GW9-S014-21</v>
      </c>
      <c r="F1601">
        <f t="shared" ca="1" si="316"/>
        <v>1544551</v>
      </c>
      <c r="G1601">
        <f t="shared" ca="1" si="307"/>
        <v>0</v>
      </c>
      <c r="H1601">
        <f t="shared" ca="1" si="308"/>
        <v>0</v>
      </c>
      <c r="I1601">
        <f t="shared" ca="1" si="309"/>
        <v>0</v>
      </c>
      <c r="J1601" s="8" t="e">
        <f t="shared" ca="1" si="310"/>
        <v>#DIV/0!</v>
      </c>
      <c r="K1601" s="9" t="e">
        <f t="shared" ca="1" si="311"/>
        <v>#DIV/0!</v>
      </c>
      <c r="L1601" t="e">
        <f ca="1">+_xlfn.IFNA(VLOOKUP(M1601,BespokeWindowsAreas!$B$2:$E$1999,4,FALSE),VLOOKUP(E1601,WindowTypeArea!$B$2:$C$113,2,FALSE))</f>
        <v>#N/A</v>
      </c>
      <c r="M1601">
        <f t="shared" ca="1" si="312"/>
        <v>0</v>
      </c>
    </row>
    <row r="1602" spans="1:13" x14ac:dyDescent="0.25">
      <c r="A1602">
        <f t="shared" ca="1" si="305"/>
        <v>4</v>
      </c>
      <c r="B1602">
        <f t="shared" ca="1" si="306"/>
        <v>169</v>
      </c>
      <c r="C1602" t="str">
        <f t="shared" ca="1" si="313"/>
        <v>'WINDOWS-NCH-A-BDP-M3-02-00'!B168</v>
      </c>
      <c r="D1602" s="6" t="str">
        <f t="shared" ca="1" si="314"/>
        <v>L02-IPA-GW9-S014-21</v>
      </c>
      <c r="E1602" t="str">
        <f t="shared" ca="1" si="315"/>
        <v>Family Type: 3490w x 3050h, Family: Window External Type 3 - Recessed and Angle with Type 1 Flush</v>
      </c>
      <c r="F1602" t="str">
        <f t="shared" ca="1" si="316"/>
        <v>Vector(X = -0.530, Y = 0.848, Z = 0.000, Length = 1.000)</v>
      </c>
      <c r="G1602">
        <f t="shared" ca="1" si="307"/>
        <v>-0.5</v>
      </c>
      <c r="H1602">
        <f t="shared" ca="1" si="308"/>
        <v>0.8</v>
      </c>
      <c r="I1602">
        <f t="shared" ca="1" si="309"/>
        <v>0</v>
      </c>
      <c r="J1602" s="8">
        <f t="shared" ca="1" si="310"/>
        <v>122.0053832080835</v>
      </c>
      <c r="K1602" s="9" t="str">
        <f t="shared" ca="1" si="311"/>
        <v>N</v>
      </c>
      <c r="L1602">
        <f ca="1">+_xlfn.IFNA(VLOOKUP(M1602,BespokeWindowsAreas!$B$2:$E$1999,4,FALSE),VLOOKUP(E1602,WindowTypeArea!$B$2:$C$113,2,FALSE))</f>
        <v>7.67075</v>
      </c>
      <c r="M1602">
        <f t="shared" ca="1" si="312"/>
        <v>7067924</v>
      </c>
    </row>
    <row r="1603" spans="1:13" x14ac:dyDescent="0.25">
      <c r="A1603">
        <f t="shared" ca="1" si="305"/>
        <v>4</v>
      </c>
      <c r="B1603">
        <f t="shared" ca="1" si="306"/>
        <v>170</v>
      </c>
      <c r="C1603" t="str">
        <f t="shared" ca="1" si="313"/>
        <v>'WINDOWS-NCH-A-BDP-M3-02-00'!B169</v>
      </c>
      <c r="D1603" s="6" t="str">
        <f t="shared" ca="1" si="314"/>
        <v>L02-IPA-GW9-S014-21</v>
      </c>
      <c r="E1603" t="str">
        <f t="shared" ca="1" si="315"/>
        <v>Family Type: manual 2.6m2</v>
      </c>
      <c r="F1603" t="str">
        <f t="shared" ca="1" si="316"/>
        <v>Vector(X = -0.530, Y = 0.848, Z = 0.000, Length = 1.000)</v>
      </c>
      <c r="G1603">
        <f t="shared" ca="1" si="307"/>
        <v>-0.5</v>
      </c>
      <c r="H1603">
        <f t="shared" ca="1" si="308"/>
        <v>0.8</v>
      </c>
      <c r="I1603">
        <f t="shared" ca="1" si="309"/>
        <v>0</v>
      </c>
      <c r="J1603" s="8">
        <f t="shared" ca="1" si="310"/>
        <v>122.0053832080835</v>
      </c>
      <c r="K1603" s="9" t="str">
        <f t="shared" ca="1" si="311"/>
        <v>N</v>
      </c>
      <c r="L1603">
        <f ca="1">+_xlfn.IFNA(VLOOKUP(M1603,BespokeWindowsAreas!$B$2:$E$1999,4,FALSE),VLOOKUP(E1603,WindowTypeArea!$B$2:$C$113,2,FALSE))</f>
        <v>2.6</v>
      </c>
      <c r="M1603" t="str">
        <f t="shared" ca="1" si="312"/>
        <v>id</v>
      </c>
    </row>
    <row r="1604" spans="1:13" x14ac:dyDescent="0.25">
      <c r="A1604">
        <f t="shared" ca="1" si="305"/>
        <v>4</v>
      </c>
      <c r="B1604">
        <f t="shared" ca="1" si="306"/>
        <v>171</v>
      </c>
      <c r="C1604" t="str">
        <f t="shared" ca="1" si="313"/>
        <v>'WINDOWS-NCH-A-BDP-M3-02-00'!B170</v>
      </c>
      <c r="D1604" s="6" t="str">
        <f t="shared" ca="1" si="314"/>
        <v>L02-IPA-GW9-S014-22</v>
      </c>
      <c r="E1604" t="str">
        <f t="shared" ca="1" si="315"/>
        <v>L02-IPA-GW9-S014-22</v>
      </c>
      <c r="F1604">
        <f t="shared" ca="1" si="316"/>
        <v>1544553</v>
      </c>
      <c r="G1604">
        <f t="shared" ca="1" si="307"/>
        <v>0</v>
      </c>
      <c r="H1604">
        <f t="shared" ca="1" si="308"/>
        <v>0</v>
      </c>
      <c r="I1604">
        <f t="shared" ca="1" si="309"/>
        <v>0</v>
      </c>
      <c r="J1604" s="8" t="e">
        <f t="shared" ca="1" si="310"/>
        <v>#DIV/0!</v>
      </c>
      <c r="K1604" s="9" t="e">
        <f t="shared" ca="1" si="311"/>
        <v>#DIV/0!</v>
      </c>
      <c r="L1604" t="e">
        <f ca="1">+_xlfn.IFNA(VLOOKUP(M1604,BespokeWindowsAreas!$B$2:$E$1999,4,FALSE),VLOOKUP(E1604,WindowTypeArea!$B$2:$C$113,2,FALSE))</f>
        <v>#N/A</v>
      </c>
      <c r="M1604">
        <f t="shared" ca="1" si="312"/>
        <v>0</v>
      </c>
    </row>
    <row r="1605" spans="1:13" x14ac:dyDescent="0.25">
      <c r="A1605">
        <f t="shared" ca="1" si="305"/>
        <v>4</v>
      </c>
      <c r="B1605">
        <f t="shared" ca="1" si="306"/>
        <v>172</v>
      </c>
      <c r="C1605" t="str">
        <f t="shared" ca="1" si="313"/>
        <v>'WINDOWS-NCH-A-BDP-M3-02-00'!B171</v>
      </c>
      <c r="D1605" s="6" t="str">
        <f t="shared" ca="1" si="314"/>
        <v>L02-IPA-GW9-S014-22</v>
      </c>
      <c r="E1605" t="str">
        <f t="shared" ca="1" si="315"/>
        <v>Family Type: 3490w x 3050h, Family: Window External Type 3 - Recessed and Angle with Type 1 Flush</v>
      </c>
      <c r="F1605" t="str">
        <f t="shared" ca="1" si="316"/>
        <v>Vector(X = 0.429, Y = -0.903, Z = 0.000, Length = 1.000)</v>
      </c>
      <c r="G1605">
        <f t="shared" ca="1" si="307"/>
        <v>0.4</v>
      </c>
      <c r="H1605">
        <f t="shared" ca="1" si="308"/>
        <v>-0.9</v>
      </c>
      <c r="I1605">
        <f t="shared" ca="1" si="309"/>
        <v>0</v>
      </c>
      <c r="J1605" s="8">
        <f t="shared" ca="1" si="310"/>
        <v>-66.037511025421821</v>
      </c>
      <c r="K1605" s="9" t="str">
        <f t="shared" ca="1" si="311"/>
        <v>S</v>
      </c>
      <c r="L1605">
        <f ca="1">+_xlfn.IFNA(VLOOKUP(M1605,BespokeWindowsAreas!$B$2:$E$1999,4,FALSE),VLOOKUP(E1605,WindowTypeArea!$B$2:$C$113,2,FALSE))</f>
        <v>7.67075</v>
      </c>
      <c r="M1605">
        <f t="shared" ca="1" si="312"/>
        <v>7066700</v>
      </c>
    </row>
    <row r="1606" spans="1:13" x14ac:dyDescent="0.25">
      <c r="A1606">
        <f t="shared" ca="1" si="305"/>
        <v>4</v>
      </c>
      <c r="B1606">
        <f t="shared" ca="1" si="306"/>
        <v>173</v>
      </c>
      <c r="C1606" t="str">
        <f t="shared" ca="1" si="313"/>
        <v>'WINDOWS-NCH-A-BDP-M3-02-00'!B172</v>
      </c>
      <c r="D1606" s="6" t="str">
        <f t="shared" ca="1" si="314"/>
        <v>L02-IPA-GW9-S014-22</v>
      </c>
      <c r="E1606" t="str">
        <f t="shared" ca="1" si="315"/>
        <v>Family Type: manual 2.6m2</v>
      </c>
      <c r="F1606" t="str">
        <f t="shared" ca="1" si="316"/>
        <v>Vector(X = -0.530, Y = 0.848, Z = 0.000, Length = 1.000)</v>
      </c>
      <c r="G1606">
        <f t="shared" ca="1" si="307"/>
        <v>-0.4</v>
      </c>
      <c r="H1606">
        <f t="shared" ca="1" si="308"/>
        <v>0.9</v>
      </c>
      <c r="I1606">
        <f t="shared" ca="1" si="309"/>
        <v>0</v>
      </c>
      <c r="J1606" s="8">
        <f t="shared" ca="1" si="310"/>
        <v>113.96248897457818</v>
      </c>
      <c r="K1606" s="9" t="str">
        <f t="shared" ca="1" si="311"/>
        <v>N</v>
      </c>
      <c r="L1606">
        <f ca="1">+_xlfn.IFNA(VLOOKUP(M1606,BespokeWindowsAreas!$B$2:$E$1999,4,FALSE),VLOOKUP(E1606,WindowTypeArea!$B$2:$C$113,2,FALSE))</f>
        <v>2.6</v>
      </c>
      <c r="M1606" t="str">
        <f t="shared" ca="1" si="312"/>
        <v>id</v>
      </c>
    </row>
    <row r="1607" spans="1:13" x14ac:dyDescent="0.25">
      <c r="A1607">
        <f t="shared" ca="1" si="305"/>
        <v>4</v>
      </c>
      <c r="B1607">
        <f t="shared" ca="1" si="306"/>
        <v>174</v>
      </c>
      <c r="C1607" t="str">
        <f t="shared" ca="1" si="313"/>
        <v>'WINDOWS-NCH-A-BDP-M3-02-00'!B173</v>
      </c>
      <c r="D1607" s="6" t="str">
        <f t="shared" ca="1" si="314"/>
        <v>L02-REE-PPR-S023-01</v>
      </c>
      <c r="E1607" t="str">
        <f t="shared" ca="1" si="315"/>
        <v>L02-REE-PPR-S023-01</v>
      </c>
      <c r="F1607">
        <f t="shared" ca="1" si="316"/>
        <v>1544802</v>
      </c>
      <c r="G1607">
        <f t="shared" ca="1" si="307"/>
        <v>0</v>
      </c>
      <c r="H1607">
        <f t="shared" ca="1" si="308"/>
        <v>0</v>
      </c>
      <c r="I1607">
        <f t="shared" ca="1" si="309"/>
        <v>0</v>
      </c>
      <c r="J1607" s="8" t="e">
        <f t="shared" ca="1" si="310"/>
        <v>#DIV/0!</v>
      </c>
      <c r="K1607" s="9" t="e">
        <f t="shared" ca="1" si="311"/>
        <v>#DIV/0!</v>
      </c>
      <c r="L1607" t="e">
        <f ca="1">+_xlfn.IFNA(VLOOKUP(M1607,BespokeWindowsAreas!$B$2:$E$1999,4,FALSE),VLOOKUP(E1607,WindowTypeArea!$B$2:$C$113,2,FALSE))</f>
        <v>#N/A</v>
      </c>
      <c r="M1607">
        <f t="shared" ca="1" si="312"/>
        <v>0</v>
      </c>
    </row>
    <row r="1608" spans="1:13" x14ac:dyDescent="0.25">
      <c r="A1608">
        <f t="shared" ca="1" si="305"/>
        <v>4</v>
      </c>
      <c r="B1608">
        <f t="shared" ca="1" si="306"/>
        <v>175</v>
      </c>
      <c r="C1608" t="str">
        <f t="shared" ca="1" si="313"/>
        <v>'WINDOWS-NCH-A-BDP-M3-02-00'!B174</v>
      </c>
      <c r="D1608" s="6" t="str">
        <f t="shared" ca="1" si="314"/>
        <v>none - connects to atrium</v>
      </c>
      <c r="E1608" t="str">
        <f t="shared" ca="1" si="315"/>
        <v>none - connects to atrium</v>
      </c>
      <c r="F1608" t="str">
        <f t="shared" ca="1" si="316"/>
        <v>Vector(X = 0.212, Y = -0.977, Z = 0.000, Length = 1.000)</v>
      </c>
      <c r="G1608">
        <f t="shared" ca="1" si="307"/>
        <v>0.2</v>
      </c>
      <c r="H1608">
        <f t="shared" ca="1" si="308"/>
        <v>-1</v>
      </c>
      <c r="I1608">
        <f t="shared" ca="1" si="309"/>
        <v>0</v>
      </c>
      <c r="J1608" s="8">
        <f t="shared" ca="1" si="310"/>
        <v>-78.690067525979785</v>
      </c>
      <c r="K1608" s="9" t="str">
        <f t="shared" ca="1" si="311"/>
        <v>S</v>
      </c>
      <c r="L1608" t="e">
        <f ca="1">+_xlfn.IFNA(VLOOKUP(M1608,BespokeWindowsAreas!$B$2:$E$1999,4,FALSE),VLOOKUP(E1608,WindowTypeArea!$B$2:$C$113,2,FALSE))</f>
        <v>#N/A</v>
      </c>
      <c r="M1608">
        <f t="shared" ca="1" si="312"/>
        <v>4865750</v>
      </c>
    </row>
    <row r="1609" spans="1:13" x14ac:dyDescent="0.25">
      <c r="A1609">
        <f t="shared" ca="1" si="305"/>
        <v>4</v>
      </c>
      <c r="B1609">
        <f t="shared" ca="1" si="306"/>
        <v>176</v>
      </c>
      <c r="C1609" t="str">
        <f t="shared" ca="1" si="313"/>
        <v>'WINDOWS-NCH-A-BDP-M3-02-00'!B175</v>
      </c>
      <c r="D1609" s="6" t="str">
        <f t="shared" ca="1" si="314"/>
        <v>L02-REE-PPR-U1053-01</v>
      </c>
      <c r="E1609" t="str">
        <f t="shared" ca="1" si="315"/>
        <v>L02-REE-PPR-U1053-01</v>
      </c>
      <c r="F1609">
        <f t="shared" ca="1" si="316"/>
        <v>1544810</v>
      </c>
      <c r="G1609">
        <f t="shared" ca="1" si="307"/>
        <v>0</v>
      </c>
      <c r="H1609">
        <f t="shared" ca="1" si="308"/>
        <v>0</v>
      </c>
      <c r="I1609">
        <f t="shared" ca="1" si="309"/>
        <v>0</v>
      </c>
      <c r="J1609" s="8" t="e">
        <f t="shared" ca="1" si="310"/>
        <v>#DIV/0!</v>
      </c>
      <c r="K1609" s="9" t="e">
        <f t="shared" ca="1" si="311"/>
        <v>#DIV/0!</v>
      </c>
      <c r="L1609" t="e">
        <f ca="1">+_xlfn.IFNA(VLOOKUP(M1609,BespokeWindowsAreas!$B$2:$E$1999,4,FALSE),VLOOKUP(E1609,WindowTypeArea!$B$2:$C$113,2,FALSE))</f>
        <v>#N/A</v>
      </c>
      <c r="M1609">
        <f t="shared" ca="1" si="312"/>
        <v>0</v>
      </c>
    </row>
    <row r="1610" spans="1:13" x14ac:dyDescent="0.25">
      <c r="A1610">
        <f t="shared" ca="1" si="305"/>
        <v>4</v>
      </c>
      <c r="B1610">
        <f t="shared" ca="1" si="306"/>
        <v>177</v>
      </c>
      <c r="C1610" t="str">
        <f t="shared" ca="1" si="313"/>
        <v>'WINDOWS-NCH-A-BDP-M3-02-00'!B176</v>
      </c>
      <c r="D1610" s="6" t="str">
        <f t="shared" ca="1" si="314"/>
        <v>L02-REE-PPR-U1053-01</v>
      </c>
      <c r="E1610" t="str">
        <f t="shared" ca="1" si="315"/>
        <v>Family Type: 1000w x 3050h, Family: Window External Type 2 - Recessed and Fin</v>
      </c>
      <c r="F1610" t="str">
        <f t="shared" ca="1" si="316"/>
        <v>Vector(X = 0.212, Y = -0.977, Z = 0.000, Length = 1.000)</v>
      </c>
      <c r="G1610">
        <f t="shared" ca="1" si="307"/>
        <v>0.2</v>
      </c>
      <c r="H1610">
        <f t="shared" ca="1" si="308"/>
        <v>-1</v>
      </c>
      <c r="I1610">
        <f t="shared" ca="1" si="309"/>
        <v>0</v>
      </c>
      <c r="J1610" s="8">
        <f t="shared" ca="1" si="310"/>
        <v>-78.690067525979785</v>
      </c>
      <c r="K1610" s="9" t="str">
        <f t="shared" ca="1" si="311"/>
        <v>S</v>
      </c>
      <c r="L1610">
        <f ca="1">+_xlfn.IFNA(VLOOKUP(M1610,BespokeWindowsAreas!$B$2:$E$1999,4,FALSE),VLOOKUP(E1610,WindowTypeArea!$B$2:$C$113,2,FALSE))</f>
        <v>3.05</v>
      </c>
      <c r="M1610">
        <f t="shared" ca="1" si="312"/>
        <v>4869553</v>
      </c>
    </row>
    <row r="1611" spans="1:13" x14ac:dyDescent="0.25">
      <c r="A1611">
        <f t="shared" ca="1" si="305"/>
        <v>4</v>
      </c>
      <c r="B1611">
        <f t="shared" ca="1" si="306"/>
        <v>178</v>
      </c>
      <c r="C1611" t="str">
        <f t="shared" ca="1" si="313"/>
        <v>'WINDOWS-NCH-A-BDP-M3-02-00'!B177</v>
      </c>
      <c r="D1611" s="6" t="str">
        <f t="shared" ca="1" si="314"/>
        <v>L02-REE-PPR-U1053-01</v>
      </c>
      <c r="E1611" t="str">
        <f t="shared" ca="1" si="315"/>
        <v>Family Type: 1000w x 3050h, Family: Window External Type 4 - Extruded</v>
      </c>
      <c r="F1611" t="str">
        <f t="shared" ca="1" si="316"/>
        <v>Vector(X = 0.212, Y = -0.977, Z = 0.000, Length = 1.000)</v>
      </c>
      <c r="G1611">
        <f t="shared" ca="1" si="307"/>
        <v>0.2</v>
      </c>
      <c r="H1611">
        <f t="shared" ca="1" si="308"/>
        <v>-1</v>
      </c>
      <c r="I1611">
        <f t="shared" ca="1" si="309"/>
        <v>0</v>
      </c>
      <c r="J1611" s="8">
        <f t="shared" ca="1" si="310"/>
        <v>-78.690067525979785</v>
      </c>
      <c r="K1611" s="9" t="str">
        <f t="shared" ca="1" si="311"/>
        <v>S</v>
      </c>
      <c r="L1611">
        <f ca="1">+_xlfn.IFNA(VLOOKUP(M1611,BespokeWindowsAreas!$B$2:$E$1999,4,FALSE),VLOOKUP(E1611,WindowTypeArea!$B$2:$C$113,2,FALSE))</f>
        <v>3.05</v>
      </c>
      <c r="M1611">
        <f t="shared" ca="1" si="312"/>
        <v>4869608</v>
      </c>
    </row>
    <row r="1612" spans="1:13" x14ac:dyDescent="0.25">
      <c r="A1612">
        <f t="shared" ca="1" si="305"/>
        <v>4</v>
      </c>
      <c r="B1612">
        <f t="shared" ca="1" si="306"/>
        <v>179</v>
      </c>
      <c r="C1612" t="str">
        <f t="shared" ca="1" si="313"/>
        <v>'WINDOWS-NCH-A-BDP-M3-02-00'!B178</v>
      </c>
      <c r="D1612" s="6" t="str">
        <f t="shared" ca="1" si="314"/>
        <v>L02-REE-PPR-S139-01</v>
      </c>
      <c r="E1612" t="str">
        <f t="shared" ca="1" si="315"/>
        <v>L02-REE-PPR-S139-01</v>
      </c>
      <c r="F1612">
        <f t="shared" ca="1" si="316"/>
        <v>1544812</v>
      </c>
      <c r="G1612">
        <f t="shared" ca="1" si="307"/>
        <v>0</v>
      </c>
      <c r="H1612">
        <f t="shared" ca="1" si="308"/>
        <v>0</v>
      </c>
      <c r="I1612">
        <f t="shared" ca="1" si="309"/>
        <v>0</v>
      </c>
      <c r="J1612" s="8" t="e">
        <f t="shared" ca="1" si="310"/>
        <v>#DIV/0!</v>
      </c>
      <c r="K1612" s="9" t="e">
        <f t="shared" ca="1" si="311"/>
        <v>#DIV/0!</v>
      </c>
      <c r="L1612" t="e">
        <f ca="1">+_xlfn.IFNA(VLOOKUP(M1612,BespokeWindowsAreas!$B$2:$E$1999,4,FALSE),VLOOKUP(E1612,WindowTypeArea!$B$2:$C$113,2,FALSE))</f>
        <v>#N/A</v>
      </c>
      <c r="M1612">
        <f t="shared" ca="1" si="312"/>
        <v>0</v>
      </c>
    </row>
    <row r="1613" spans="1:13" x14ac:dyDescent="0.25">
      <c r="A1613">
        <f t="shared" ca="1" si="305"/>
        <v>4</v>
      </c>
      <c r="B1613">
        <f t="shared" ca="1" si="306"/>
        <v>180</v>
      </c>
      <c r="C1613" t="str">
        <f t="shared" ca="1" si="313"/>
        <v>'WINDOWS-NCH-A-BDP-M3-02-00'!B179</v>
      </c>
      <c r="D1613" s="6" t="str">
        <f t="shared" ca="1" si="314"/>
        <v>L02-REE-PPR-S139-01</v>
      </c>
      <c r="E1613" t="str">
        <f t="shared" ca="1" si="315"/>
        <v>Family Type: 1950w x 3050h, Family: Window External Type 3 - Recessed and Angle</v>
      </c>
      <c r="F1613" t="str">
        <f t="shared" ca="1" si="316"/>
        <v>Vector(X = 0.212, Y = -0.977, Z = 0.000, Length = 1.000)</v>
      </c>
      <c r="G1613">
        <f t="shared" ca="1" si="307"/>
        <v>0.2</v>
      </c>
      <c r="H1613">
        <f t="shared" ca="1" si="308"/>
        <v>-1</v>
      </c>
      <c r="I1613">
        <f t="shared" ca="1" si="309"/>
        <v>0</v>
      </c>
      <c r="J1613" s="8">
        <f t="shared" ca="1" si="310"/>
        <v>-78.690067525979785</v>
      </c>
      <c r="K1613" s="9" t="str">
        <f t="shared" ca="1" si="311"/>
        <v>S</v>
      </c>
      <c r="L1613">
        <f ca="1">+_xlfn.IFNA(VLOOKUP(M1613,BespokeWindowsAreas!$B$2:$E$1999,4,FALSE),VLOOKUP(E1613,WindowTypeArea!$B$2:$C$113,2,FALSE))</f>
        <v>5.9474999999999998</v>
      </c>
      <c r="M1613">
        <f t="shared" ca="1" si="312"/>
        <v>4865750</v>
      </c>
    </row>
    <row r="1614" spans="1:13" x14ac:dyDescent="0.25">
      <c r="A1614">
        <f t="shared" ca="1" si="305"/>
        <v>4</v>
      </c>
      <c r="B1614">
        <f t="shared" ca="1" si="306"/>
        <v>181</v>
      </c>
      <c r="C1614" t="str">
        <f t="shared" ca="1" si="313"/>
        <v>'WINDOWS-NCH-A-BDP-M3-02-00'!B180</v>
      </c>
      <c r="D1614" s="6" t="str">
        <f t="shared" ca="1" si="314"/>
        <v>L02-REE-PPR-U1057-01</v>
      </c>
      <c r="E1614" t="str">
        <f t="shared" ca="1" si="315"/>
        <v>L02-REE-PPR-U1057-01</v>
      </c>
      <c r="F1614">
        <f t="shared" ca="1" si="316"/>
        <v>1544818</v>
      </c>
      <c r="G1614">
        <f t="shared" ca="1" si="307"/>
        <v>0</v>
      </c>
      <c r="H1614">
        <f t="shared" ca="1" si="308"/>
        <v>0</v>
      </c>
      <c r="I1614">
        <f t="shared" ca="1" si="309"/>
        <v>0</v>
      </c>
      <c r="J1614" s="8" t="e">
        <f t="shared" ca="1" si="310"/>
        <v>#DIV/0!</v>
      </c>
      <c r="K1614" s="9" t="e">
        <f t="shared" ca="1" si="311"/>
        <v>#DIV/0!</v>
      </c>
      <c r="L1614" t="e">
        <f ca="1">+_xlfn.IFNA(VLOOKUP(M1614,BespokeWindowsAreas!$B$2:$E$1999,4,FALSE),VLOOKUP(E1614,WindowTypeArea!$B$2:$C$113,2,FALSE))</f>
        <v>#N/A</v>
      </c>
      <c r="M1614">
        <f t="shared" ca="1" si="312"/>
        <v>0</v>
      </c>
    </row>
    <row r="1615" spans="1:13" x14ac:dyDescent="0.25">
      <c r="A1615">
        <f t="shared" ca="1" si="305"/>
        <v>4</v>
      </c>
      <c r="B1615">
        <f t="shared" ca="1" si="306"/>
        <v>182</v>
      </c>
      <c r="C1615" t="str">
        <f t="shared" ca="1" si="313"/>
        <v>'WINDOWS-NCH-A-BDP-M3-02-00'!B181</v>
      </c>
      <c r="D1615" s="6" t="str">
        <f t="shared" ca="1" si="314"/>
        <v>L02-REE-PPR-U1057-01</v>
      </c>
      <c r="E1615" t="str">
        <f t="shared" ca="1" si="315"/>
        <v>Family</v>
      </c>
      <c r="F1615" t="str">
        <f t="shared" ca="1" si="316"/>
        <v>Vector(X = 0.973, Y = 0.232, Z = 0.000, Length = 1.000)</v>
      </c>
      <c r="G1615">
        <f t="shared" ca="1" si="307"/>
        <v>1</v>
      </c>
      <c r="H1615">
        <f t="shared" ca="1" si="308"/>
        <v>0.2</v>
      </c>
      <c r="I1615">
        <f t="shared" ca="1" si="309"/>
        <v>0</v>
      </c>
      <c r="J1615" s="8">
        <f t="shared" ca="1" si="310"/>
        <v>11.309932474020215</v>
      </c>
      <c r="K1615" s="9" t="str">
        <f t="shared" ca="1" si="311"/>
        <v>E</v>
      </c>
      <c r="L1615" t="e">
        <f ca="1">+_xlfn.IFNA(VLOOKUP(M1615,BespokeWindowsAreas!$B$2:$E$1999,4,FALSE),VLOOKUP(E1615,WindowTypeArea!$B$2:$C$113,2,FALSE))</f>
        <v>#N/A</v>
      </c>
      <c r="M1615">
        <f t="shared" ca="1" si="312"/>
        <v>5193961</v>
      </c>
    </row>
    <row r="1616" spans="1:13" x14ac:dyDescent="0.25">
      <c r="A1616">
        <f t="shared" ca="1" si="305"/>
        <v>4</v>
      </c>
      <c r="B1616">
        <f t="shared" ca="1" si="306"/>
        <v>183</v>
      </c>
      <c r="C1616" t="str">
        <f t="shared" ca="1" si="313"/>
        <v>'WINDOWS-NCH-A-BDP-M3-02-00'!B182</v>
      </c>
      <c r="D1616" s="6" t="str">
        <f t="shared" ca="1" si="314"/>
        <v>L02-REE-PPR-U1057-01</v>
      </c>
      <c r="E1616" t="str">
        <f t="shared" ca="1" si="315"/>
        <v>Family</v>
      </c>
      <c r="F1616" t="str">
        <f t="shared" ca="1" si="316"/>
        <v>Vector(X = 0.977, Y = 0.213, Z = 0.000, Length = 1.000)</v>
      </c>
      <c r="G1616">
        <f t="shared" ca="1" si="307"/>
        <v>1</v>
      </c>
      <c r="H1616">
        <f t="shared" ca="1" si="308"/>
        <v>0.2</v>
      </c>
      <c r="I1616">
        <f t="shared" ca="1" si="309"/>
        <v>0</v>
      </c>
      <c r="J1616" s="8">
        <f t="shared" ca="1" si="310"/>
        <v>11.309932474020215</v>
      </c>
      <c r="K1616" s="9" t="str">
        <f t="shared" ca="1" si="311"/>
        <v>E</v>
      </c>
      <c r="L1616" t="e">
        <f ca="1">+_xlfn.IFNA(VLOOKUP(M1616,BespokeWindowsAreas!$B$2:$E$1999,4,FALSE),VLOOKUP(E1616,WindowTypeArea!$B$2:$C$113,2,FALSE))</f>
        <v>#N/A</v>
      </c>
      <c r="M1616">
        <f t="shared" ca="1" si="312"/>
        <v>6535160</v>
      </c>
    </row>
    <row r="1617" spans="1:13" x14ac:dyDescent="0.25">
      <c r="A1617">
        <f t="shared" ca="1" si="305"/>
        <v>4</v>
      </c>
      <c r="B1617">
        <f t="shared" ca="1" si="306"/>
        <v>184</v>
      </c>
      <c r="C1617" t="str">
        <f t="shared" ca="1" si="313"/>
        <v>'WINDOWS-NCH-A-BDP-M3-02-00'!B183</v>
      </c>
      <c r="D1617" s="6" t="str">
        <f t="shared" ca="1" si="314"/>
        <v>L02-REE-PPR-S028-03</v>
      </c>
      <c r="E1617" t="str">
        <f t="shared" ca="1" si="315"/>
        <v>L02-REE-PPR-S028-03</v>
      </c>
      <c r="F1617">
        <f t="shared" ca="1" si="316"/>
        <v>1544840</v>
      </c>
      <c r="G1617">
        <f t="shared" ca="1" si="307"/>
        <v>0</v>
      </c>
      <c r="H1617">
        <f t="shared" ca="1" si="308"/>
        <v>0</v>
      </c>
      <c r="I1617">
        <f t="shared" ca="1" si="309"/>
        <v>0</v>
      </c>
      <c r="J1617" s="8" t="e">
        <f t="shared" ca="1" si="310"/>
        <v>#DIV/0!</v>
      </c>
      <c r="K1617" s="9" t="e">
        <f t="shared" ca="1" si="311"/>
        <v>#DIV/0!</v>
      </c>
      <c r="L1617" t="e">
        <f ca="1">+_xlfn.IFNA(VLOOKUP(M1617,BespokeWindowsAreas!$B$2:$E$1999,4,FALSE),VLOOKUP(E1617,WindowTypeArea!$B$2:$C$113,2,FALSE))</f>
        <v>#N/A</v>
      </c>
      <c r="M1617">
        <f t="shared" ca="1" si="312"/>
        <v>0</v>
      </c>
    </row>
    <row r="1618" spans="1:13" x14ac:dyDescent="0.25">
      <c r="A1618">
        <f t="shared" ca="1" si="305"/>
        <v>4</v>
      </c>
      <c r="B1618">
        <f t="shared" ca="1" si="306"/>
        <v>185</v>
      </c>
      <c r="C1618" t="str">
        <f t="shared" ca="1" si="313"/>
        <v>'WINDOWS-NCH-A-BDP-M3-02-00'!B184</v>
      </c>
      <c r="D1618" s="6" t="str">
        <f t="shared" ca="1" si="314"/>
        <v>none - connects to atrium</v>
      </c>
      <c r="E1618" t="str">
        <f t="shared" ca="1" si="315"/>
        <v>none - connects to atrium</v>
      </c>
      <c r="F1618" t="str">
        <f t="shared" ca="1" si="316"/>
        <v>Vector(X = 0.973, Y = 0.232, Z = 0.000, Length = 1.000)</v>
      </c>
      <c r="G1618">
        <f t="shared" ca="1" si="307"/>
        <v>1</v>
      </c>
      <c r="H1618">
        <f t="shared" ca="1" si="308"/>
        <v>0.2</v>
      </c>
      <c r="I1618">
        <f t="shared" ca="1" si="309"/>
        <v>0</v>
      </c>
      <c r="J1618" s="8">
        <f t="shared" ca="1" si="310"/>
        <v>11.309932474020215</v>
      </c>
      <c r="K1618" s="9" t="str">
        <f t="shared" ca="1" si="311"/>
        <v>E</v>
      </c>
      <c r="L1618" t="e">
        <f ca="1">+_xlfn.IFNA(VLOOKUP(M1618,BespokeWindowsAreas!$B$2:$E$1999,4,FALSE),VLOOKUP(E1618,WindowTypeArea!$B$2:$C$113,2,FALSE))</f>
        <v>#N/A</v>
      </c>
      <c r="M1618">
        <f t="shared" ca="1" si="312"/>
        <v>5193961</v>
      </c>
    </row>
    <row r="1619" spans="1:13" x14ac:dyDescent="0.25">
      <c r="A1619">
        <f t="shared" ca="1" si="305"/>
        <v>4</v>
      </c>
      <c r="B1619">
        <f t="shared" ca="1" si="306"/>
        <v>186</v>
      </c>
      <c r="C1619" t="str">
        <f t="shared" ca="1" si="313"/>
        <v>'WINDOWS-NCH-A-BDP-M3-02-00'!B185</v>
      </c>
      <c r="D1619" s="6" t="str">
        <f t="shared" ca="1" si="314"/>
        <v>L02-REE-PPR-L018-02</v>
      </c>
      <c r="E1619" t="str">
        <f t="shared" ca="1" si="315"/>
        <v>L02-REE-PPR-L018-02</v>
      </c>
      <c r="F1619">
        <f t="shared" ca="1" si="316"/>
        <v>1544842</v>
      </c>
      <c r="G1619">
        <f t="shared" ca="1" si="307"/>
        <v>0</v>
      </c>
      <c r="H1619">
        <f t="shared" ca="1" si="308"/>
        <v>0</v>
      </c>
      <c r="I1619">
        <f t="shared" ca="1" si="309"/>
        <v>0</v>
      </c>
      <c r="J1619" s="8" t="e">
        <f t="shared" ca="1" si="310"/>
        <v>#DIV/0!</v>
      </c>
      <c r="K1619" s="9" t="e">
        <f t="shared" ca="1" si="311"/>
        <v>#DIV/0!</v>
      </c>
      <c r="L1619" t="e">
        <f ca="1">+_xlfn.IFNA(VLOOKUP(M1619,BespokeWindowsAreas!$B$2:$E$1999,4,FALSE),VLOOKUP(E1619,WindowTypeArea!$B$2:$C$113,2,FALSE))</f>
        <v>#N/A</v>
      </c>
      <c r="M1619">
        <f t="shared" ca="1" si="312"/>
        <v>0</v>
      </c>
    </row>
    <row r="1620" spans="1:13" x14ac:dyDescent="0.25">
      <c r="A1620">
        <f t="shared" ref="A1620:A1683" ca="1" si="317">+IF(B1619&lt;=VLOOKUP(MID(C1620,2,26),TABS,2,FALSE),A1619,+A1619+1)</f>
        <v>4</v>
      </c>
      <c r="B1620">
        <f t="shared" ref="B1620:B1683" ca="1" si="318">+IF(B1619&lt;=VLOOKUP(MID(C1620,2,26),TABS,2,FALSE),B1619+1,1)</f>
        <v>187</v>
      </c>
      <c r="C1620" t="str">
        <f t="shared" ca="1" si="313"/>
        <v>'WINDOWS-NCH-A-BDP-M3-02-00'!B186</v>
      </c>
      <c r="D1620" s="6" t="str">
        <f t="shared" ca="1" si="314"/>
        <v>L02-REE-PPR-L018-02</v>
      </c>
      <c r="E1620" t="str">
        <f t="shared" ca="1" si="315"/>
        <v>Family Type: 1500w x 3050h, Family: Window External Type 3 - Recessed and Angle</v>
      </c>
      <c r="F1620" t="str">
        <f t="shared" ca="1" si="316"/>
        <v>Vector(X = 0.212, Y = -0.977, Z = 0.000, Length = 1.000)</v>
      </c>
      <c r="G1620">
        <f t="shared" ca="1" si="307"/>
        <v>0.2</v>
      </c>
      <c r="H1620">
        <f t="shared" ca="1" si="308"/>
        <v>-1</v>
      </c>
      <c r="I1620">
        <f t="shared" ca="1" si="309"/>
        <v>0</v>
      </c>
      <c r="J1620" s="8">
        <f t="shared" ca="1" si="310"/>
        <v>-78.690067525979785</v>
      </c>
      <c r="K1620" s="9" t="str">
        <f t="shared" ca="1" si="311"/>
        <v>S</v>
      </c>
      <c r="L1620">
        <f ca="1">+_xlfn.IFNA(VLOOKUP(M1620,BespokeWindowsAreas!$B$2:$E$1999,4,FALSE),VLOOKUP(E1620,WindowTypeArea!$B$2:$C$113,2,FALSE))</f>
        <v>4.5750000000000002</v>
      </c>
      <c r="M1620">
        <f t="shared" ca="1" si="312"/>
        <v>4869510</v>
      </c>
    </row>
    <row r="1621" spans="1:13" x14ac:dyDescent="0.25">
      <c r="A1621">
        <f t="shared" ca="1" si="317"/>
        <v>4</v>
      </c>
      <c r="B1621">
        <f t="shared" ca="1" si="318"/>
        <v>188</v>
      </c>
      <c r="C1621" t="str">
        <f t="shared" ca="1" si="313"/>
        <v>'WINDOWS-NCH-A-BDP-M3-02-00'!B187</v>
      </c>
      <c r="D1621" s="6" t="str">
        <f t="shared" ca="1" si="314"/>
        <v>L02-REE-PPR-L018-03</v>
      </c>
      <c r="E1621" t="str">
        <f t="shared" ca="1" si="315"/>
        <v>L02-REE-PPR-L018-03</v>
      </c>
      <c r="F1621">
        <f t="shared" ca="1" si="316"/>
        <v>1544844</v>
      </c>
      <c r="G1621">
        <f t="shared" ca="1" si="307"/>
        <v>0</v>
      </c>
      <c r="H1621">
        <f t="shared" ca="1" si="308"/>
        <v>0</v>
      </c>
      <c r="I1621">
        <f t="shared" ca="1" si="309"/>
        <v>0</v>
      </c>
      <c r="J1621" s="8" t="e">
        <f t="shared" ca="1" si="310"/>
        <v>#DIV/0!</v>
      </c>
      <c r="K1621" s="9" t="e">
        <f t="shared" ca="1" si="311"/>
        <v>#DIV/0!</v>
      </c>
      <c r="L1621" t="e">
        <f ca="1">+_xlfn.IFNA(VLOOKUP(M1621,BespokeWindowsAreas!$B$2:$E$1999,4,FALSE),VLOOKUP(E1621,WindowTypeArea!$B$2:$C$113,2,FALSE))</f>
        <v>#N/A</v>
      </c>
      <c r="M1621">
        <f t="shared" ca="1" si="312"/>
        <v>0</v>
      </c>
    </row>
    <row r="1622" spans="1:13" x14ac:dyDescent="0.25">
      <c r="A1622">
        <f t="shared" ca="1" si="317"/>
        <v>4</v>
      </c>
      <c r="B1622">
        <f t="shared" ca="1" si="318"/>
        <v>189</v>
      </c>
      <c r="C1622" t="str">
        <f t="shared" ca="1" si="313"/>
        <v>'WINDOWS-NCH-A-BDP-M3-02-00'!B188</v>
      </c>
      <c r="D1622" s="6" t="str">
        <f t="shared" ca="1" si="314"/>
        <v>L02-REE-PPR-L018-03</v>
      </c>
      <c r="E1622" t="str">
        <f t="shared" ca="1" si="315"/>
        <v>Family Type: 1000w x 3050h, Family: Window External Type 2 - Recessed and Fin</v>
      </c>
      <c r="F1622" t="str">
        <f t="shared" ca="1" si="316"/>
        <v>Vector(X = 0.212, Y = -0.977, Z = 0.000, Length = 1.000)</v>
      </c>
      <c r="G1622">
        <f t="shared" ref="G1622:G1685" ca="1" si="319">+OFFSET(INDIRECT(C1622),0,2)</f>
        <v>0.2</v>
      </c>
      <c r="H1622">
        <f t="shared" ref="H1622:H1685" ca="1" si="320">+OFFSET(INDIRECT(C1622),0,3)</f>
        <v>-1</v>
      </c>
      <c r="I1622">
        <f t="shared" ref="I1622:I1685" ca="1" si="321">+OFFSET(INDIRECT(C1622),0,4)</f>
        <v>0</v>
      </c>
      <c r="J1622" s="8">
        <f t="shared" ref="J1622:J1685" ca="1" si="322">+DEGREES(ATAN2(G1622,H1622))</f>
        <v>-78.690067525979785</v>
      </c>
      <c r="K1622" s="9" t="str">
        <f t="shared" ref="K1622:K1685" ca="1" si="323">VLOOKUP(J1622,$O$20:$P$36,2,-1)</f>
        <v>S</v>
      </c>
      <c r="L1622">
        <f ca="1">+_xlfn.IFNA(VLOOKUP(M1622,BespokeWindowsAreas!$B$2:$E$1999,4,FALSE),VLOOKUP(E1622,WindowTypeArea!$B$2:$C$113,2,FALSE))</f>
        <v>3.05</v>
      </c>
      <c r="M1622">
        <f t="shared" ref="M1622:M1685" ca="1" si="324">+OFFSET(INDIRECT(C1622),0,5)</f>
        <v>4869141</v>
      </c>
    </row>
    <row r="1623" spans="1:13" x14ac:dyDescent="0.25">
      <c r="A1623">
        <f t="shared" ca="1" si="317"/>
        <v>4</v>
      </c>
      <c r="B1623">
        <f t="shared" ca="1" si="318"/>
        <v>190</v>
      </c>
      <c r="C1623" t="str">
        <f t="shared" ca="1" si="313"/>
        <v>'WINDOWS-NCH-A-BDP-M3-02-00'!B189</v>
      </c>
      <c r="D1623" s="6" t="str">
        <f t="shared" ca="1" si="314"/>
        <v>L02-REE-PPR-L018-04</v>
      </c>
      <c r="E1623" t="str">
        <f t="shared" ca="1" si="315"/>
        <v>L02-REE-PPR-L018-04</v>
      </c>
      <c r="F1623">
        <f t="shared" ca="1" si="316"/>
        <v>1544846</v>
      </c>
      <c r="G1623">
        <f t="shared" ca="1" si="319"/>
        <v>0</v>
      </c>
      <c r="H1623">
        <f t="shared" ca="1" si="320"/>
        <v>0</v>
      </c>
      <c r="I1623">
        <f t="shared" ca="1" si="321"/>
        <v>0</v>
      </c>
      <c r="J1623" s="8" t="e">
        <f t="shared" ca="1" si="322"/>
        <v>#DIV/0!</v>
      </c>
      <c r="K1623" s="9" t="e">
        <f t="shared" ca="1" si="323"/>
        <v>#DIV/0!</v>
      </c>
      <c r="L1623" t="e">
        <f ca="1">+_xlfn.IFNA(VLOOKUP(M1623,BespokeWindowsAreas!$B$2:$E$1999,4,FALSE),VLOOKUP(E1623,WindowTypeArea!$B$2:$C$113,2,FALSE))</f>
        <v>#N/A</v>
      </c>
      <c r="M1623">
        <f t="shared" ca="1" si="324"/>
        <v>0</v>
      </c>
    </row>
    <row r="1624" spans="1:13" x14ac:dyDescent="0.25">
      <c r="A1624">
        <f t="shared" ca="1" si="317"/>
        <v>4</v>
      </c>
      <c r="B1624">
        <f t="shared" ca="1" si="318"/>
        <v>191</v>
      </c>
      <c r="C1624" t="str">
        <f t="shared" ca="1" si="313"/>
        <v>'WINDOWS-NCH-A-BDP-M3-02-00'!B190</v>
      </c>
      <c r="D1624" s="6" t="str">
        <f t="shared" ca="1" si="314"/>
        <v>L02-REE-PPR-L018-04</v>
      </c>
      <c r="E1624" t="str">
        <f t="shared" ca="1" si="315"/>
        <v>Family Type: 1000w x 3050h, Family: Window External Type 4 - Extruded</v>
      </c>
      <c r="F1624" t="str">
        <f t="shared" ca="1" si="316"/>
        <v>Vector(X = 0.212, Y = -0.977, Z = 0.000, Length = 1.000)</v>
      </c>
      <c r="G1624">
        <f t="shared" ca="1" si="319"/>
        <v>0.2</v>
      </c>
      <c r="H1624">
        <f t="shared" ca="1" si="320"/>
        <v>-1</v>
      </c>
      <c r="I1624">
        <f t="shared" ca="1" si="321"/>
        <v>0</v>
      </c>
      <c r="J1624" s="8">
        <f t="shared" ca="1" si="322"/>
        <v>-78.690067525979785</v>
      </c>
      <c r="K1624" s="9" t="str">
        <f t="shared" ca="1" si="323"/>
        <v>S</v>
      </c>
      <c r="L1624">
        <f ca="1">+_xlfn.IFNA(VLOOKUP(M1624,BespokeWindowsAreas!$B$2:$E$1999,4,FALSE),VLOOKUP(E1624,WindowTypeArea!$B$2:$C$113,2,FALSE))</f>
        <v>3.05</v>
      </c>
      <c r="M1624">
        <f t="shared" ca="1" si="324"/>
        <v>4869245</v>
      </c>
    </row>
    <row r="1625" spans="1:13" x14ac:dyDescent="0.25">
      <c r="A1625">
        <f t="shared" ca="1" si="317"/>
        <v>4</v>
      </c>
      <c r="B1625">
        <f t="shared" ca="1" si="318"/>
        <v>192</v>
      </c>
      <c r="C1625" t="str">
        <f t="shared" ca="1" si="313"/>
        <v>'WINDOWS-NCH-A-BDP-M3-02-00'!B191</v>
      </c>
      <c r="D1625" s="6" t="str">
        <f t="shared" ca="1" si="314"/>
        <v>L02-THR-RPM-S146-01</v>
      </c>
      <c r="E1625" t="str">
        <f t="shared" ca="1" si="315"/>
        <v>L02-THR-RPM-S146-01</v>
      </c>
      <c r="F1625">
        <f t="shared" ca="1" si="316"/>
        <v>1544892</v>
      </c>
      <c r="G1625">
        <f t="shared" ca="1" si="319"/>
        <v>0</v>
      </c>
      <c r="H1625">
        <f t="shared" ca="1" si="320"/>
        <v>0</v>
      </c>
      <c r="I1625">
        <f t="shared" ca="1" si="321"/>
        <v>0</v>
      </c>
      <c r="J1625" s="8" t="e">
        <f t="shared" ca="1" si="322"/>
        <v>#DIV/0!</v>
      </c>
      <c r="K1625" s="9" t="e">
        <f t="shared" ca="1" si="323"/>
        <v>#DIV/0!</v>
      </c>
      <c r="L1625" t="e">
        <f ca="1">+_xlfn.IFNA(VLOOKUP(M1625,BespokeWindowsAreas!$B$2:$E$1999,4,FALSE),VLOOKUP(E1625,WindowTypeArea!$B$2:$C$113,2,FALSE))</f>
        <v>#N/A</v>
      </c>
      <c r="M1625">
        <f t="shared" ca="1" si="324"/>
        <v>0</v>
      </c>
    </row>
    <row r="1626" spans="1:13" x14ac:dyDescent="0.25">
      <c r="A1626">
        <f t="shared" ca="1" si="317"/>
        <v>4</v>
      </c>
      <c r="B1626">
        <f t="shared" ca="1" si="318"/>
        <v>193</v>
      </c>
      <c r="C1626" t="str">
        <f t="shared" ca="1" si="313"/>
        <v>'WINDOWS-NCH-A-BDP-M3-02-00'!B192</v>
      </c>
      <c r="D1626" s="6" t="str">
        <f t="shared" ca="1" si="314"/>
        <v>L02-THR-RPM-S146-01</v>
      </c>
      <c r="E1626" t="str">
        <f t="shared" ca="1" si="315"/>
        <v>Family Type: 1950w x 3050h, Family: Window Internal Type 2a - Recessed</v>
      </c>
      <c r="F1626" t="str">
        <f t="shared" ca="1" si="316"/>
        <v>Vector(X = 0.979, Y = -0.206, Z = 0.000, Length = 1.000)</v>
      </c>
      <c r="G1626">
        <f t="shared" ca="1" si="319"/>
        <v>1</v>
      </c>
      <c r="H1626">
        <f t="shared" ca="1" si="320"/>
        <v>-0.2</v>
      </c>
      <c r="I1626">
        <f t="shared" ca="1" si="321"/>
        <v>0</v>
      </c>
      <c r="J1626" s="8">
        <f t="shared" ca="1" si="322"/>
        <v>-11.309932474020215</v>
      </c>
      <c r="K1626" s="9" t="str">
        <f t="shared" ca="1" si="323"/>
        <v>SE</v>
      </c>
      <c r="L1626">
        <f ca="1">+_xlfn.IFNA(VLOOKUP(M1626,BespokeWindowsAreas!$B$2:$E$1999,4,FALSE),VLOOKUP(E1626,WindowTypeArea!$B$2:$C$113,2,FALSE))</f>
        <v>5.9474999999999998</v>
      </c>
      <c r="M1626">
        <f t="shared" ca="1" si="324"/>
        <v>5209292</v>
      </c>
    </row>
    <row r="1627" spans="1:13" x14ac:dyDescent="0.25">
      <c r="A1627">
        <f t="shared" ca="1" si="317"/>
        <v>4</v>
      </c>
      <c r="B1627">
        <f t="shared" ca="1" si="318"/>
        <v>194</v>
      </c>
      <c r="C1627" t="str">
        <f t="shared" ca="1" si="313"/>
        <v>'WINDOWS-NCH-A-BDP-M3-02-00'!B193</v>
      </c>
      <c r="D1627" s="6" t="str">
        <f t="shared" ca="1" si="314"/>
        <v>L02-THR-RPM-U0762-01</v>
      </c>
      <c r="E1627" t="str">
        <f t="shared" ca="1" si="315"/>
        <v>L02-THR-RPM-U0762-01</v>
      </c>
      <c r="F1627">
        <f t="shared" ca="1" si="316"/>
        <v>1544904</v>
      </c>
      <c r="G1627">
        <f t="shared" ca="1" si="319"/>
        <v>0</v>
      </c>
      <c r="H1627">
        <f t="shared" ca="1" si="320"/>
        <v>0</v>
      </c>
      <c r="I1627">
        <f t="shared" ca="1" si="321"/>
        <v>0</v>
      </c>
      <c r="J1627" s="8" t="e">
        <f t="shared" ca="1" si="322"/>
        <v>#DIV/0!</v>
      </c>
      <c r="K1627" s="9" t="e">
        <f t="shared" ca="1" si="323"/>
        <v>#DIV/0!</v>
      </c>
      <c r="L1627" t="e">
        <f ca="1">+_xlfn.IFNA(VLOOKUP(M1627,BespokeWindowsAreas!$B$2:$E$1999,4,FALSE),VLOOKUP(E1627,WindowTypeArea!$B$2:$C$113,2,FALSE))</f>
        <v>#N/A</v>
      </c>
      <c r="M1627">
        <f t="shared" ca="1" si="324"/>
        <v>0</v>
      </c>
    </row>
    <row r="1628" spans="1:13" x14ac:dyDescent="0.25">
      <c r="A1628">
        <f t="shared" ca="1" si="317"/>
        <v>4</v>
      </c>
      <c r="B1628">
        <f t="shared" ca="1" si="318"/>
        <v>195</v>
      </c>
      <c r="C1628" t="str">
        <f t="shared" ca="1" si="313"/>
        <v>'WINDOWS-NCH-A-BDP-M3-02-00'!B194</v>
      </c>
      <c r="D1628" s="6" t="str">
        <f t="shared" ca="1" si="314"/>
        <v>L02-THR-RPM-U0762-01</v>
      </c>
      <c r="E1628" t="str">
        <f t="shared" ca="1" si="315"/>
        <v>Family Type: 975w x 3050h, Family: Window External Type 1 - Recessed</v>
      </c>
      <c r="F1628" t="str">
        <f t="shared" ca="1" si="316"/>
        <v>Vector(X = -0.041, Y = 0.999, Z = 0.000, Length = 1.000)</v>
      </c>
      <c r="G1628">
        <f t="shared" ca="1" si="319"/>
        <v>0</v>
      </c>
      <c r="H1628">
        <f t="shared" ca="1" si="320"/>
        <v>1</v>
      </c>
      <c r="I1628">
        <f t="shared" ca="1" si="321"/>
        <v>0</v>
      </c>
      <c r="J1628" s="8">
        <f t="shared" ca="1" si="322"/>
        <v>90</v>
      </c>
      <c r="K1628" s="9" t="str">
        <f t="shared" ca="1" si="323"/>
        <v>N</v>
      </c>
      <c r="L1628">
        <f ca="1">+_xlfn.IFNA(VLOOKUP(M1628,BespokeWindowsAreas!$B$2:$E$1999,4,FALSE),VLOOKUP(E1628,WindowTypeArea!$B$2:$C$113,2,FALSE))</f>
        <v>2.9737499999999999</v>
      </c>
      <c r="M1628">
        <f t="shared" ca="1" si="324"/>
        <v>5207393</v>
      </c>
    </row>
    <row r="1629" spans="1:13" x14ac:dyDescent="0.25">
      <c r="A1629">
        <f t="shared" ca="1" si="317"/>
        <v>4</v>
      </c>
      <c r="B1629">
        <f t="shared" ca="1" si="318"/>
        <v>196</v>
      </c>
      <c r="C1629" t="str">
        <f t="shared" ca="1" si="313"/>
        <v>'WINDOWS-NCH-A-BDP-M3-02-00'!B195</v>
      </c>
      <c r="D1629" s="6" t="str">
        <f t="shared" ca="1" si="314"/>
        <v>L02-THR-RPM-U0763-01</v>
      </c>
      <c r="E1629" t="str">
        <f t="shared" ca="1" si="315"/>
        <v>L02-THR-RPM-U0763-01</v>
      </c>
      <c r="F1629">
        <f t="shared" ca="1" si="316"/>
        <v>1544908</v>
      </c>
      <c r="G1629">
        <f t="shared" ca="1" si="319"/>
        <v>0</v>
      </c>
      <c r="H1629">
        <f t="shared" ca="1" si="320"/>
        <v>0</v>
      </c>
      <c r="I1629">
        <f t="shared" ca="1" si="321"/>
        <v>0</v>
      </c>
      <c r="J1629" s="8" t="e">
        <f t="shared" ca="1" si="322"/>
        <v>#DIV/0!</v>
      </c>
      <c r="K1629" s="9" t="e">
        <f t="shared" ca="1" si="323"/>
        <v>#DIV/0!</v>
      </c>
      <c r="L1629" t="e">
        <f ca="1">+_xlfn.IFNA(VLOOKUP(M1629,BespokeWindowsAreas!$B$2:$E$1999,4,FALSE),VLOOKUP(E1629,WindowTypeArea!$B$2:$C$113,2,FALSE))</f>
        <v>#N/A</v>
      </c>
      <c r="M1629">
        <f t="shared" ca="1" si="324"/>
        <v>0</v>
      </c>
    </row>
    <row r="1630" spans="1:13" x14ac:dyDescent="0.25">
      <c r="A1630">
        <f t="shared" ca="1" si="317"/>
        <v>4</v>
      </c>
      <c r="B1630">
        <f t="shared" ca="1" si="318"/>
        <v>197</v>
      </c>
      <c r="C1630" t="str">
        <f t="shared" ca="1" si="313"/>
        <v>'WINDOWS-NCH-A-BDP-M3-02-00'!B196</v>
      </c>
      <c r="D1630" s="6" t="str">
        <f t="shared" ca="1" si="314"/>
        <v>L02-THR-RPM-U0763-01</v>
      </c>
      <c r="E1630" t="str">
        <f t="shared" ca="1" si="315"/>
        <v>Family Type: 1950w x 3050h, Family: Window External Type 3 - Recessed and Angle</v>
      </c>
      <c r="F1630" t="str">
        <f t="shared" ca="1" si="316"/>
        <v>Vector(X = 0.041, Y = -0.999, Z = 0.000, Length = 1.000)</v>
      </c>
      <c r="G1630">
        <f t="shared" ca="1" si="319"/>
        <v>0</v>
      </c>
      <c r="H1630">
        <f t="shared" ca="1" si="320"/>
        <v>-1</v>
      </c>
      <c r="I1630">
        <f t="shared" ca="1" si="321"/>
        <v>0</v>
      </c>
      <c r="J1630" s="8">
        <f t="shared" ca="1" si="322"/>
        <v>-90</v>
      </c>
      <c r="K1630" s="9" t="str">
        <f t="shared" ca="1" si="323"/>
        <v>S</v>
      </c>
      <c r="L1630">
        <f ca="1">+_xlfn.IFNA(VLOOKUP(M1630,BespokeWindowsAreas!$B$2:$E$1999,4,FALSE),VLOOKUP(E1630,WindowTypeArea!$B$2:$C$113,2,FALSE))</f>
        <v>5.9474999999999998</v>
      </c>
      <c r="M1630">
        <f t="shared" ca="1" si="324"/>
        <v>5032142</v>
      </c>
    </row>
    <row r="1631" spans="1:13" x14ac:dyDescent="0.25">
      <c r="A1631">
        <f t="shared" ca="1" si="317"/>
        <v>4</v>
      </c>
      <c r="B1631">
        <f t="shared" ca="1" si="318"/>
        <v>198</v>
      </c>
      <c r="C1631" t="str">
        <f t="shared" ca="1" si="313"/>
        <v>'WINDOWS-NCH-A-BDP-M3-02-00'!B197</v>
      </c>
      <c r="D1631" s="6" t="str">
        <f t="shared" ca="1" si="314"/>
        <v>L02-THR-RPM-U0763-01</v>
      </c>
      <c r="E1631" t="str">
        <f t="shared" ca="1" si="315"/>
        <v>Family Type: 975w x 3050h, Family: Window External Type 1 - Recessed</v>
      </c>
      <c r="F1631" t="str">
        <f t="shared" ca="1" si="316"/>
        <v>Vector(X = 0.041, Y = -0.999, Z = 0.000, Length = 1.000)</v>
      </c>
      <c r="G1631">
        <f t="shared" ca="1" si="319"/>
        <v>0</v>
      </c>
      <c r="H1631">
        <f t="shared" ca="1" si="320"/>
        <v>-1</v>
      </c>
      <c r="I1631">
        <f t="shared" ca="1" si="321"/>
        <v>0</v>
      </c>
      <c r="J1631" s="8">
        <f t="shared" ca="1" si="322"/>
        <v>-90</v>
      </c>
      <c r="K1631" s="9" t="str">
        <f t="shared" ca="1" si="323"/>
        <v>S</v>
      </c>
      <c r="L1631">
        <f ca="1">+_xlfn.IFNA(VLOOKUP(M1631,BespokeWindowsAreas!$B$2:$E$1999,4,FALSE),VLOOKUP(E1631,WindowTypeArea!$B$2:$C$113,2,FALSE))</f>
        <v>2.9737499999999999</v>
      </c>
      <c r="M1631">
        <f t="shared" ca="1" si="324"/>
        <v>5032223</v>
      </c>
    </row>
    <row r="1632" spans="1:13" x14ac:dyDescent="0.25">
      <c r="A1632">
        <f t="shared" ca="1" si="317"/>
        <v>4</v>
      </c>
      <c r="B1632">
        <f t="shared" ca="1" si="318"/>
        <v>199</v>
      </c>
      <c r="C1632" t="str">
        <f t="shared" ca="1" si="313"/>
        <v>'WINDOWS-NCH-A-BDP-M3-02-00'!B198</v>
      </c>
      <c r="D1632" s="6" t="str">
        <f t="shared" ca="1" si="314"/>
        <v>L02-THR-RPM-S075-01</v>
      </c>
      <c r="E1632" t="str">
        <f t="shared" ca="1" si="315"/>
        <v>L02-THR-RPM-S075-01</v>
      </c>
      <c r="F1632">
        <f t="shared" ca="1" si="316"/>
        <v>1544912</v>
      </c>
      <c r="G1632">
        <f t="shared" ca="1" si="319"/>
        <v>0</v>
      </c>
      <c r="H1632">
        <f t="shared" ca="1" si="320"/>
        <v>0</v>
      </c>
      <c r="I1632">
        <f t="shared" ca="1" si="321"/>
        <v>0</v>
      </c>
      <c r="J1632" s="8" t="e">
        <f t="shared" ca="1" si="322"/>
        <v>#DIV/0!</v>
      </c>
      <c r="K1632" s="9" t="e">
        <f t="shared" ca="1" si="323"/>
        <v>#DIV/0!</v>
      </c>
      <c r="L1632" t="e">
        <f ca="1">+_xlfn.IFNA(VLOOKUP(M1632,BespokeWindowsAreas!$B$2:$E$1999,4,FALSE),VLOOKUP(E1632,WindowTypeArea!$B$2:$C$113,2,FALSE))</f>
        <v>#N/A</v>
      </c>
      <c r="M1632">
        <f t="shared" ca="1" si="324"/>
        <v>0</v>
      </c>
    </row>
    <row r="1633" spans="1:13" x14ac:dyDescent="0.25">
      <c r="A1633">
        <f t="shared" ca="1" si="317"/>
        <v>4</v>
      </c>
      <c r="B1633">
        <f t="shared" ca="1" si="318"/>
        <v>200</v>
      </c>
      <c r="C1633" t="str">
        <f t="shared" ca="1" si="313"/>
        <v>'WINDOWS-NCH-A-BDP-M3-02-00'!B199</v>
      </c>
      <c r="D1633" s="6" t="str">
        <f t="shared" ca="1" si="314"/>
        <v>L02-THR-RPM-S075-01</v>
      </c>
      <c r="E1633" t="str">
        <f t="shared" ca="1" si="315"/>
        <v>Family Type: 1950w x 3050h, Family: Window External Type 3 - Recessed and Angle</v>
      </c>
      <c r="F1633" t="str">
        <f t="shared" ca="1" si="316"/>
        <v>Vector(X = -0.041, Y = 0.999, Z = 0.000, Length = 1.000)</v>
      </c>
      <c r="G1633">
        <f t="shared" ca="1" si="319"/>
        <v>0</v>
      </c>
      <c r="H1633">
        <f t="shared" ca="1" si="320"/>
        <v>1</v>
      </c>
      <c r="I1633">
        <f t="shared" ca="1" si="321"/>
        <v>0</v>
      </c>
      <c r="J1633" s="8">
        <f t="shared" ca="1" si="322"/>
        <v>90</v>
      </c>
      <c r="K1633" s="9" t="str">
        <f t="shared" ca="1" si="323"/>
        <v>N</v>
      </c>
      <c r="L1633">
        <f ca="1">+_xlfn.IFNA(VLOOKUP(M1633,BespokeWindowsAreas!$B$2:$E$1999,4,FALSE),VLOOKUP(E1633,WindowTypeArea!$B$2:$C$113,2,FALSE))</f>
        <v>5.9474999999999998</v>
      </c>
      <c r="M1633">
        <f t="shared" ca="1" si="324"/>
        <v>5029206</v>
      </c>
    </row>
    <row r="1634" spans="1:13" x14ac:dyDescent="0.25">
      <c r="A1634">
        <f t="shared" ca="1" si="317"/>
        <v>4</v>
      </c>
      <c r="B1634">
        <f t="shared" ca="1" si="318"/>
        <v>201</v>
      </c>
      <c r="C1634" t="str">
        <f t="shared" ca="1" si="313"/>
        <v>'WINDOWS-NCH-A-BDP-M3-02-00'!B200</v>
      </c>
      <c r="D1634" s="6" t="str">
        <f t="shared" ca="1" si="314"/>
        <v>L02-THR-RPM-U0766-01</v>
      </c>
      <c r="E1634" t="str">
        <f t="shared" ca="1" si="315"/>
        <v>L02-THR-RPM-U0766-01</v>
      </c>
      <c r="F1634">
        <f t="shared" ca="1" si="316"/>
        <v>1544916</v>
      </c>
      <c r="G1634">
        <f t="shared" ca="1" si="319"/>
        <v>0</v>
      </c>
      <c r="H1634">
        <f t="shared" ca="1" si="320"/>
        <v>0</v>
      </c>
      <c r="I1634">
        <f t="shared" ca="1" si="321"/>
        <v>0</v>
      </c>
      <c r="J1634" s="8" t="e">
        <f t="shared" ca="1" si="322"/>
        <v>#DIV/0!</v>
      </c>
      <c r="K1634" s="9" t="e">
        <f t="shared" ca="1" si="323"/>
        <v>#DIV/0!</v>
      </c>
      <c r="L1634" t="e">
        <f ca="1">+_xlfn.IFNA(VLOOKUP(M1634,BespokeWindowsAreas!$B$2:$E$1999,4,FALSE),VLOOKUP(E1634,WindowTypeArea!$B$2:$C$113,2,FALSE))</f>
        <v>#N/A</v>
      </c>
      <c r="M1634">
        <f t="shared" ca="1" si="324"/>
        <v>0</v>
      </c>
    </row>
    <row r="1635" spans="1:13" x14ac:dyDescent="0.25">
      <c r="A1635">
        <f t="shared" ca="1" si="317"/>
        <v>4</v>
      </c>
      <c r="B1635">
        <f t="shared" ca="1" si="318"/>
        <v>202</v>
      </c>
      <c r="C1635" t="str">
        <f t="shared" ca="1" si="313"/>
        <v>'WINDOWS-NCH-A-BDP-M3-02-00'!B201</v>
      </c>
      <c r="D1635" s="6" t="str">
        <f t="shared" ca="1" si="314"/>
        <v>L02-THR-RPM-U0766-01</v>
      </c>
      <c r="E1635" t="str">
        <f t="shared" ca="1" si="315"/>
        <v>Family Type: 1500w x 3050h, Family: Window External Type 3 - Recessed and Angle</v>
      </c>
      <c r="F1635" t="str">
        <f t="shared" ca="1" si="316"/>
        <v>Vector(X = -0.041, Y = 0.999, Z = 0.000, Length = 1.000)</v>
      </c>
      <c r="G1635">
        <f t="shared" ca="1" si="319"/>
        <v>0</v>
      </c>
      <c r="H1635">
        <f t="shared" ca="1" si="320"/>
        <v>1</v>
      </c>
      <c r="I1635">
        <f t="shared" ca="1" si="321"/>
        <v>0</v>
      </c>
      <c r="J1635" s="8">
        <f t="shared" ca="1" si="322"/>
        <v>90</v>
      </c>
      <c r="K1635" s="9" t="str">
        <f t="shared" ca="1" si="323"/>
        <v>N</v>
      </c>
      <c r="L1635">
        <f ca="1">+_xlfn.IFNA(VLOOKUP(M1635,BespokeWindowsAreas!$B$2:$E$1999,4,FALSE),VLOOKUP(E1635,WindowTypeArea!$B$2:$C$113,2,FALSE))</f>
        <v>4.5750000000000002</v>
      </c>
      <c r="M1635">
        <f t="shared" ca="1" si="324"/>
        <v>4804278</v>
      </c>
    </row>
    <row r="1636" spans="1:13" x14ac:dyDescent="0.25">
      <c r="A1636">
        <f t="shared" ca="1" si="317"/>
        <v>4</v>
      </c>
      <c r="B1636">
        <f t="shared" ca="1" si="318"/>
        <v>203</v>
      </c>
      <c r="C1636" t="str">
        <f t="shared" ca="1" si="313"/>
        <v>'WINDOWS-NCH-A-BDP-M3-02-00'!B202</v>
      </c>
      <c r="D1636" s="6" t="str">
        <f t="shared" ca="1" si="314"/>
        <v>L02-THR-RPM-U0766-01</v>
      </c>
      <c r="E1636" t="str">
        <f t="shared" ca="1" si="315"/>
        <v>Family Type: 975w x 3050h, Family: Window External Type 1 - Recessed</v>
      </c>
      <c r="F1636" t="str">
        <f t="shared" ca="1" si="316"/>
        <v>Vector(X = -0.041, Y = 0.999, Z = 0.000, Length = 1.000)</v>
      </c>
      <c r="G1636">
        <f t="shared" ca="1" si="319"/>
        <v>0</v>
      </c>
      <c r="H1636">
        <f t="shared" ca="1" si="320"/>
        <v>1</v>
      </c>
      <c r="I1636">
        <f t="shared" ca="1" si="321"/>
        <v>0</v>
      </c>
      <c r="J1636" s="8">
        <f t="shared" ca="1" si="322"/>
        <v>90</v>
      </c>
      <c r="K1636" s="9" t="str">
        <f t="shared" ca="1" si="323"/>
        <v>N</v>
      </c>
      <c r="L1636">
        <f ca="1">+_xlfn.IFNA(VLOOKUP(M1636,BespokeWindowsAreas!$B$2:$E$1999,4,FALSE),VLOOKUP(E1636,WindowTypeArea!$B$2:$C$113,2,FALSE))</f>
        <v>2.9737499999999999</v>
      </c>
      <c r="M1636">
        <f t="shared" ca="1" si="324"/>
        <v>5207395</v>
      </c>
    </row>
    <row r="1637" spans="1:13" x14ac:dyDescent="0.25">
      <c r="A1637">
        <f t="shared" ca="1" si="317"/>
        <v>4</v>
      </c>
      <c r="B1637">
        <f t="shared" ca="1" si="318"/>
        <v>204</v>
      </c>
      <c r="C1637" t="str">
        <f t="shared" ca="1" si="313"/>
        <v>'WINDOWS-NCH-A-BDP-M3-02-00'!B203</v>
      </c>
      <c r="D1637" s="6" t="str">
        <f t="shared" ca="1" si="314"/>
        <v>L02-THR-RPM-S099-01</v>
      </c>
      <c r="E1637" t="str">
        <f t="shared" ca="1" si="315"/>
        <v>L02-THR-RPM-S099-01</v>
      </c>
      <c r="F1637">
        <f t="shared" ca="1" si="316"/>
        <v>1544918</v>
      </c>
      <c r="G1637">
        <f t="shared" ca="1" si="319"/>
        <v>0</v>
      </c>
      <c r="H1637">
        <f t="shared" ca="1" si="320"/>
        <v>0</v>
      </c>
      <c r="I1637">
        <f t="shared" ca="1" si="321"/>
        <v>0</v>
      </c>
      <c r="J1637" s="8" t="e">
        <f t="shared" ca="1" si="322"/>
        <v>#DIV/0!</v>
      </c>
      <c r="K1637" s="9" t="e">
        <f t="shared" ca="1" si="323"/>
        <v>#DIV/0!</v>
      </c>
      <c r="L1637" t="e">
        <f ca="1">+_xlfn.IFNA(VLOOKUP(M1637,BespokeWindowsAreas!$B$2:$E$1999,4,FALSE),VLOOKUP(E1637,WindowTypeArea!$B$2:$C$113,2,FALSE))</f>
        <v>#N/A</v>
      </c>
      <c r="M1637">
        <f t="shared" ca="1" si="324"/>
        <v>0</v>
      </c>
    </row>
    <row r="1638" spans="1:13" x14ac:dyDescent="0.25">
      <c r="A1638">
        <f t="shared" ca="1" si="317"/>
        <v>4</v>
      </c>
      <c r="B1638">
        <f t="shared" ca="1" si="318"/>
        <v>205</v>
      </c>
      <c r="C1638" t="str">
        <f t="shared" ca="1" si="313"/>
        <v>'WINDOWS-NCH-A-BDP-M3-02-00'!B204</v>
      </c>
      <c r="D1638" s="6" t="str">
        <f t="shared" ca="1" si="314"/>
        <v>L02-THR-RPM-S099-01</v>
      </c>
      <c r="E1638" t="str">
        <f t="shared" ca="1" si="315"/>
        <v>Family Type: 975w x 3050h, Family: Window External Type 1 - Recessed</v>
      </c>
      <c r="F1638" t="str">
        <f t="shared" ca="1" si="316"/>
        <v>Vector(X = -0.041, Y = 0.999, Z = 0.000, Length = 1.000)</v>
      </c>
      <c r="G1638">
        <f t="shared" ca="1" si="319"/>
        <v>0</v>
      </c>
      <c r="H1638">
        <f t="shared" ca="1" si="320"/>
        <v>1</v>
      </c>
      <c r="I1638">
        <f t="shared" ca="1" si="321"/>
        <v>0</v>
      </c>
      <c r="J1638" s="8">
        <f t="shared" ca="1" si="322"/>
        <v>90</v>
      </c>
      <c r="K1638" s="9" t="str">
        <f t="shared" ca="1" si="323"/>
        <v>N</v>
      </c>
      <c r="L1638">
        <f ca="1">+_xlfn.IFNA(VLOOKUP(M1638,BespokeWindowsAreas!$B$2:$E$1999,4,FALSE),VLOOKUP(E1638,WindowTypeArea!$B$2:$C$113,2,FALSE))</f>
        <v>2.9737499999999999</v>
      </c>
      <c r="M1638">
        <f t="shared" ca="1" si="324"/>
        <v>5207392</v>
      </c>
    </row>
    <row r="1639" spans="1:13" x14ac:dyDescent="0.25">
      <c r="A1639">
        <f t="shared" ca="1" si="317"/>
        <v>4</v>
      </c>
      <c r="B1639">
        <f t="shared" ca="1" si="318"/>
        <v>206</v>
      </c>
      <c r="C1639" t="str">
        <f t="shared" ca="1" si="313"/>
        <v>'WINDOWS-NCH-A-BDP-M3-02-00'!B205</v>
      </c>
      <c r="D1639" s="6" t="str">
        <f t="shared" ca="1" si="314"/>
        <v>L02-THR-RPM-S075-02</v>
      </c>
      <c r="E1639" t="str">
        <f t="shared" ca="1" si="315"/>
        <v>L02-THR-RPM-S075-02</v>
      </c>
      <c r="F1639">
        <f t="shared" ca="1" si="316"/>
        <v>1544940</v>
      </c>
      <c r="G1639">
        <f t="shared" ca="1" si="319"/>
        <v>0</v>
      </c>
      <c r="H1639">
        <f t="shared" ca="1" si="320"/>
        <v>0</v>
      </c>
      <c r="I1639">
        <f t="shared" ca="1" si="321"/>
        <v>0</v>
      </c>
      <c r="J1639" s="8" t="e">
        <f t="shared" ca="1" si="322"/>
        <v>#DIV/0!</v>
      </c>
      <c r="K1639" s="9" t="e">
        <f t="shared" ca="1" si="323"/>
        <v>#DIV/0!</v>
      </c>
      <c r="L1639" t="e">
        <f ca="1">+_xlfn.IFNA(VLOOKUP(M1639,BespokeWindowsAreas!$B$2:$E$1999,4,FALSE),VLOOKUP(E1639,WindowTypeArea!$B$2:$C$113,2,FALSE))</f>
        <v>#N/A</v>
      </c>
      <c r="M1639">
        <f t="shared" ca="1" si="324"/>
        <v>0</v>
      </c>
    </row>
    <row r="1640" spans="1:13" x14ac:dyDescent="0.25">
      <c r="A1640">
        <f t="shared" ca="1" si="317"/>
        <v>4</v>
      </c>
      <c r="B1640">
        <f t="shared" ca="1" si="318"/>
        <v>207</v>
      </c>
      <c r="C1640" t="str">
        <f t="shared" ca="1" si="313"/>
        <v>'WINDOWS-NCH-A-BDP-M3-02-00'!B206</v>
      </c>
      <c r="D1640" s="6" t="str">
        <f t="shared" ca="1" si="314"/>
        <v>L02-THR-RPM-S075-02</v>
      </c>
      <c r="E1640" t="str">
        <f t="shared" ca="1" si="315"/>
        <v>Family Type: 1500w x 3050h, Family: Window External Type 3 - Recessed and Angle</v>
      </c>
      <c r="F1640" t="str">
        <f t="shared" ca="1" si="316"/>
        <v>Vector(X = 0.041, Y = -0.999, Z = 0.000, Length = 1.000)</v>
      </c>
      <c r="G1640">
        <f t="shared" ca="1" si="319"/>
        <v>0</v>
      </c>
      <c r="H1640">
        <f t="shared" ca="1" si="320"/>
        <v>-1</v>
      </c>
      <c r="I1640">
        <f t="shared" ca="1" si="321"/>
        <v>0</v>
      </c>
      <c r="J1640" s="8">
        <f t="shared" ca="1" si="322"/>
        <v>-90</v>
      </c>
      <c r="K1640" s="9" t="str">
        <f t="shared" ca="1" si="323"/>
        <v>S</v>
      </c>
      <c r="L1640">
        <f ca="1">+_xlfn.IFNA(VLOOKUP(M1640,BespokeWindowsAreas!$B$2:$E$1999,4,FALSE),VLOOKUP(E1640,WindowTypeArea!$B$2:$C$113,2,FALSE))</f>
        <v>4.5750000000000002</v>
      </c>
      <c r="M1640">
        <f t="shared" ca="1" si="324"/>
        <v>4803839</v>
      </c>
    </row>
    <row r="1641" spans="1:13" x14ac:dyDescent="0.25">
      <c r="A1641">
        <f t="shared" ca="1" si="317"/>
        <v>4</v>
      </c>
      <c r="B1641">
        <f t="shared" ca="1" si="318"/>
        <v>208</v>
      </c>
      <c r="C1641" t="str">
        <f t="shared" ca="1" si="313"/>
        <v>'WINDOWS-NCH-A-BDP-M3-02-00'!B207</v>
      </c>
      <c r="D1641" s="6" t="str">
        <f t="shared" ca="1" si="314"/>
        <v>L02-THR-RPM-S075-02</v>
      </c>
      <c r="E1641" t="str">
        <f t="shared" ca="1" si="315"/>
        <v>Family Type: 1950w x 3050h, Family: Window External Type 3 - Recessed and Angle</v>
      </c>
      <c r="F1641" t="str">
        <f t="shared" ca="1" si="316"/>
        <v>Vector(X = 0.041, Y = -0.999, Z = 0.000, Length = 1.000)</v>
      </c>
      <c r="G1641">
        <f t="shared" ca="1" si="319"/>
        <v>0</v>
      </c>
      <c r="H1641">
        <f t="shared" ca="1" si="320"/>
        <v>-1</v>
      </c>
      <c r="I1641">
        <f t="shared" ca="1" si="321"/>
        <v>0</v>
      </c>
      <c r="J1641" s="8">
        <f t="shared" ca="1" si="322"/>
        <v>-90</v>
      </c>
      <c r="K1641" s="9" t="str">
        <f t="shared" ca="1" si="323"/>
        <v>S</v>
      </c>
      <c r="L1641">
        <f ca="1">+_xlfn.IFNA(VLOOKUP(M1641,BespokeWindowsAreas!$B$2:$E$1999,4,FALSE),VLOOKUP(E1641,WindowTypeArea!$B$2:$C$113,2,FALSE))</f>
        <v>5.9474999999999998</v>
      </c>
      <c r="M1641">
        <f t="shared" ca="1" si="324"/>
        <v>4803887</v>
      </c>
    </row>
    <row r="1642" spans="1:13" x14ac:dyDescent="0.25">
      <c r="A1642">
        <f t="shared" ca="1" si="317"/>
        <v>4</v>
      </c>
      <c r="B1642">
        <f t="shared" ca="1" si="318"/>
        <v>209</v>
      </c>
      <c r="C1642" t="str">
        <f t="shared" ca="1" si="313"/>
        <v>'WINDOWS-NCH-A-BDP-M3-02-00'!B208</v>
      </c>
      <c r="D1642" s="6" t="str">
        <f t="shared" ca="1" si="314"/>
        <v>L02-HOS-DOE-L015-01</v>
      </c>
      <c r="E1642" t="str">
        <f t="shared" ca="1" si="315"/>
        <v>L02-HOS-DOE-L015-01</v>
      </c>
      <c r="F1642">
        <f t="shared" ca="1" si="316"/>
        <v>1544952</v>
      </c>
      <c r="G1642">
        <f t="shared" ca="1" si="319"/>
        <v>0</v>
      </c>
      <c r="H1642">
        <f t="shared" ca="1" si="320"/>
        <v>0</v>
      </c>
      <c r="I1642">
        <f t="shared" ca="1" si="321"/>
        <v>0</v>
      </c>
      <c r="J1642" s="8" t="e">
        <f t="shared" ca="1" si="322"/>
        <v>#DIV/0!</v>
      </c>
      <c r="K1642" s="9" t="e">
        <f t="shared" ca="1" si="323"/>
        <v>#DIV/0!</v>
      </c>
      <c r="L1642" t="e">
        <f ca="1">+_xlfn.IFNA(VLOOKUP(M1642,BespokeWindowsAreas!$B$2:$E$1999,4,FALSE),VLOOKUP(E1642,WindowTypeArea!$B$2:$C$113,2,FALSE))</f>
        <v>#N/A</v>
      </c>
      <c r="M1642">
        <f t="shared" ca="1" si="324"/>
        <v>0</v>
      </c>
    </row>
    <row r="1643" spans="1:13" x14ac:dyDescent="0.25">
      <c r="A1643">
        <f t="shared" ca="1" si="317"/>
        <v>4</v>
      </c>
      <c r="B1643">
        <f t="shared" ca="1" si="318"/>
        <v>210</v>
      </c>
      <c r="C1643" t="str">
        <f t="shared" ref="C1643:C1706" ca="1" si="325">+"'"&amp;INDIRECT("a"&amp;A1642)&amp;"'!B"&amp;B1642</f>
        <v>'WINDOWS-NCH-A-BDP-M3-02-00'!B209</v>
      </c>
      <c r="D1643" s="6" t="str">
        <f t="shared" ref="D1643:D1706" ca="1" si="326">+IF(IFERROR(FIND("Family",E1643)&gt;0,FALSE),D1642,E1643)</f>
        <v>L02-HOS-DOE-L015-01</v>
      </c>
      <c r="E1643" t="str">
        <f t="shared" ref="E1643:E1706" ca="1" si="327">+OFFSET(INDIRECT(C1643),0,0)</f>
        <v>Family Type: 1950w x 3050h, Family: Window External Type 3 - Recessed and Angle</v>
      </c>
      <c r="F1643" t="str">
        <f t="shared" ref="F1643:F1706" ca="1" si="328">+OFFSET(INDIRECT(C1643),0,1)</f>
        <v>Vector(X = -0.130, Y = -0.991, Z = 0.000, Length = 1.000)</v>
      </c>
      <c r="G1643">
        <f t="shared" ca="1" si="319"/>
        <v>-0.1</v>
      </c>
      <c r="H1643">
        <f t="shared" ca="1" si="320"/>
        <v>-1</v>
      </c>
      <c r="I1643">
        <f t="shared" ca="1" si="321"/>
        <v>0</v>
      </c>
      <c r="J1643" s="8">
        <f t="shared" ca="1" si="322"/>
        <v>-95.710593137499629</v>
      </c>
      <c r="K1643" s="9" t="str">
        <f t="shared" ca="1" si="323"/>
        <v>SW</v>
      </c>
      <c r="L1643">
        <f ca="1">+_xlfn.IFNA(VLOOKUP(M1643,BespokeWindowsAreas!$B$2:$E$1999,4,FALSE),VLOOKUP(E1643,WindowTypeArea!$B$2:$C$113,2,FALSE))</f>
        <v>5.9474999999999998</v>
      </c>
      <c r="M1643">
        <f t="shared" ca="1" si="324"/>
        <v>4795798</v>
      </c>
    </row>
    <row r="1644" spans="1:13" x14ac:dyDescent="0.25">
      <c r="A1644">
        <f t="shared" ca="1" si="317"/>
        <v>4</v>
      </c>
      <c r="B1644">
        <f t="shared" ca="1" si="318"/>
        <v>211</v>
      </c>
      <c r="C1644" t="str">
        <f t="shared" ca="1" si="325"/>
        <v>'WINDOWS-NCH-A-BDP-M3-02-00'!B210</v>
      </c>
      <c r="D1644" s="6" t="str">
        <f t="shared" ca="1" si="326"/>
        <v>L02-HOS-DOE-L015-01</v>
      </c>
      <c r="E1644" t="str">
        <f t="shared" ca="1" si="327"/>
        <v>Family Type: 1500w x 3050h, Family: Window External Type 3 - Recessed and Angle</v>
      </c>
      <c r="F1644" t="str">
        <f t="shared" ca="1" si="328"/>
        <v>Vector(X = -0.130, Y = -0.991, Z = 0.000, Length = 1.000)</v>
      </c>
      <c r="G1644">
        <f t="shared" ca="1" si="319"/>
        <v>-0.1</v>
      </c>
      <c r="H1644">
        <f t="shared" ca="1" si="320"/>
        <v>-1</v>
      </c>
      <c r="I1644">
        <f t="shared" ca="1" si="321"/>
        <v>0</v>
      </c>
      <c r="J1644" s="8">
        <f t="shared" ca="1" si="322"/>
        <v>-95.710593137499629</v>
      </c>
      <c r="K1644" s="9" t="str">
        <f t="shared" ca="1" si="323"/>
        <v>SW</v>
      </c>
      <c r="L1644">
        <f ca="1">+_xlfn.IFNA(VLOOKUP(M1644,BespokeWindowsAreas!$B$2:$E$1999,4,FALSE),VLOOKUP(E1644,WindowTypeArea!$B$2:$C$113,2,FALSE))</f>
        <v>4.5750000000000002</v>
      </c>
      <c r="M1644">
        <f t="shared" ca="1" si="324"/>
        <v>4795800</v>
      </c>
    </row>
    <row r="1645" spans="1:13" x14ac:dyDescent="0.25">
      <c r="A1645">
        <f t="shared" ca="1" si="317"/>
        <v>4</v>
      </c>
      <c r="B1645">
        <f t="shared" ca="1" si="318"/>
        <v>212</v>
      </c>
      <c r="C1645" t="str">
        <f t="shared" ca="1" si="325"/>
        <v>'WINDOWS-NCH-A-BDP-M3-02-00'!B211</v>
      </c>
      <c r="D1645" s="6" t="str">
        <f t="shared" ca="1" si="326"/>
        <v>L02-HOS-DOE-L015-02</v>
      </c>
      <c r="E1645" t="str">
        <f t="shared" ca="1" si="327"/>
        <v>L02-HOS-DOE-L015-02</v>
      </c>
      <c r="F1645">
        <f t="shared" ca="1" si="328"/>
        <v>1544954</v>
      </c>
      <c r="G1645">
        <f t="shared" ca="1" si="319"/>
        <v>0</v>
      </c>
      <c r="H1645">
        <f t="shared" ca="1" si="320"/>
        <v>0</v>
      </c>
      <c r="I1645">
        <f t="shared" ca="1" si="321"/>
        <v>0</v>
      </c>
      <c r="J1645" s="8" t="e">
        <f t="shared" ca="1" si="322"/>
        <v>#DIV/0!</v>
      </c>
      <c r="K1645" s="9" t="e">
        <f t="shared" ca="1" si="323"/>
        <v>#DIV/0!</v>
      </c>
      <c r="L1645" t="e">
        <f ca="1">+_xlfn.IFNA(VLOOKUP(M1645,BespokeWindowsAreas!$B$2:$E$1999,4,FALSE),VLOOKUP(E1645,WindowTypeArea!$B$2:$C$113,2,FALSE))</f>
        <v>#N/A</v>
      </c>
      <c r="M1645">
        <f t="shared" ca="1" si="324"/>
        <v>0</v>
      </c>
    </row>
    <row r="1646" spans="1:13" x14ac:dyDescent="0.25">
      <c r="A1646">
        <f t="shared" ca="1" si="317"/>
        <v>4</v>
      </c>
      <c r="B1646">
        <f t="shared" ca="1" si="318"/>
        <v>213</v>
      </c>
      <c r="C1646" t="str">
        <f t="shared" ca="1" si="325"/>
        <v>'WINDOWS-NCH-A-BDP-M3-02-00'!B212</v>
      </c>
      <c r="D1646" s="6" t="str">
        <f t="shared" ca="1" si="326"/>
        <v>L02-HOS-DOE-L015-02</v>
      </c>
      <c r="E1646" t="str">
        <f t="shared" ca="1" si="327"/>
        <v>Family Type: 975w x 3050h, Family: Window External Type 1 - Recessed</v>
      </c>
      <c r="F1646" t="str">
        <f t="shared" ca="1" si="328"/>
        <v>Vector(X = -0.130, Y = -0.991, Z = 0.000, Length = 1.000)</v>
      </c>
      <c r="G1646">
        <f t="shared" ca="1" si="319"/>
        <v>-0.1</v>
      </c>
      <c r="H1646">
        <f t="shared" ca="1" si="320"/>
        <v>-1</v>
      </c>
      <c r="I1646">
        <f t="shared" ca="1" si="321"/>
        <v>0</v>
      </c>
      <c r="J1646" s="8">
        <f t="shared" ca="1" si="322"/>
        <v>-95.710593137499629</v>
      </c>
      <c r="K1646" s="9" t="str">
        <f t="shared" ca="1" si="323"/>
        <v>SW</v>
      </c>
      <c r="L1646">
        <f ca="1">+_xlfn.IFNA(VLOOKUP(M1646,BespokeWindowsAreas!$B$2:$E$1999,4,FALSE),VLOOKUP(E1646,WindowTypeArea!$B$2:$C$113,2,FALSE))</f>
        <v>2.9737499999999999</v>
      </c>
      <c r="M1646">
        <f t="shared" ca="1" si="324"/>
        <v>4797694</v>
      </c>
    </row>
    <row r="1647" spans="1:13" x14ac:dyDescent="0.25">
      <c r="A1647">
        <f t="shared" ca="1" si="317"/>
        <v>4</v>
      </c>
      <c r="B1647">
        <f t="shared" ca="1" si="318"/>
        <v>214</v>
      </c>
      <c r="C1647" t="str">
        <f t="shared" ca="1" si="325"/>
        <v>'WINDOWS-NCH-A-BDP-M3-02-00'!B213</v>
      </c>
      <c r="D1647" s="6" t="str">
        <f t="shared" ca="1" si="326"/>
        <v>L02-HOS-DOE-L015-02</v>
      </c>
      <c r="E1647" t="str">
        <f t="shared" ca="1" si="327"/>
        <v>Family Type: 1500w x 3050h, Family: Window External Type 3 - Recessed and Angle</v>
      </c>
      <c r="F1647" t="str">
        <f t="shared" ca="1" si="328"/>
        <v>Vector(X = -0.130, Y = -0.991, Z = 0.000, Length = 1.000)</v>
      </c>
      <c r="G1647">
        <f t="shared" ca="1" si="319"/>
        <v>-0.1</v>
      </c>
      <c r="H1647">
        <f t="shared" ca="1" si="320"/>
        <v>-1</v>
      </c>
      <c r="I1647">
        <f t="shared" ca="1" si="321"/>
        <v>0</v>
      </c>
      <c r="J1647" s="8">
        <f t="shared" ca="1" si="322"/>
        <v>-95.710593137499629</v>
      </c>
      <c r="K1647" s="9" t="str">
        <f t="shared" ca="1" si="323"/>
        <v>SW</v>
      </c>
      <c r="L1647">
        <f ca="1">+_xlfn.IFNA(VLOOKUP(M1647,BespokeWindowsAreas!$B$2:$E$1999,4,FALSE),VLOOKUP(E1647,WindowTypeArea!$B$2:$C$113,2,FALSE))</f>
        <v>4.5750000000000002</v>
      </c>
      <c r="M1647">
        <f t="shared" ca="1" si="324"/>
        <v>4797907</v>
      </c>
    </row>
    <row r="1648" spans="1:13" x14ac:dyDescent="0.25">
      <c r="A1648">
        <f t="shared" ca="1" si="317"/>
        <v>4</v>
      </c>
      <c r="B1648">
        <f t="shared" ca="1" si="318"/>
        <v>215</v>
      </c>
      <c r="C1648" t="str">
        <f t="shared" ca="1" si="325"/>
        <v>'WINDOWS-NCH-A-BDP-M3-02-00'!B214</v>
      </c>
      <c r="D1648" s="6" t="str">
        <f t="shared" ca="1" si="326"/>
        <v>L02-HOS-DOE-L015-02</v>
      </c>
      <c r="E1648" t="str">
        <f t="shared" ca="1" si="327"/>
        <v>Family Type: 975w x 3050h, Family: Window External Type 1 - Recessed</v>
      </c>
      <c r="F1648" t="str">
        <f t="shared" ca="1" si="328"/>
        <v>Vector(X = -0.130, Y = -0.991, Z = 0.000, Length = 1.000)</v>
      </c>
      <c r="G1648">
        <f t="shared" ca="1" si="319"/>
        <v>-0.1</v>
      </c>
      <c r="H1648">
        <f t="shared" ca="1" si="320"/>
        <v>-1</v>
      </c>
      <c r="I1648">
        <f t="shared" ca="1" si="321"/>
        <v>0</v>
      </c>
      <c r="J1648" s="8">
        <f t="shared" ca="1" si="322"/>
        <v>-95.710593137499629</v>
      </c>
      <c r="K1648" s="9" t="str">
        <f t="shared" ca="1" si="323"/>
        <v>SW</v>
      </c>
      <c r="L1648">
        <f ca="1">+_xlfn.IFNA(VLOOKUP(M1648,BespokeWindowsAreas!$B$2:$E$1999,4,FALSE),VLOOKUP(E1648,WindowTypeArea!$B$2:$C$113,2,FALSE))</f>
        <v>2.9737499999999999</v>
      </c>
      <c r="M1648">
        <f t="shared" ca="1" si="324"/>
        <v>4798261</v>
      </c>
    </row>
    <row r="1649" spans="1:13" x14ac:dyDescent="0.25">
      <c r="A1649">
        <f t="shared" ca="1" si="317"/>
        <v>4</v>
      </c>
      <c r="B1649">
        <f t="shared" ca="1" si="318"/>
        <v>216</v>
      </c>
      <c r="C1649" t="str">
        <f t="shared" ca="1" si="325"/>
        <v>'WINDOWS-NCH-A-BDP-M3-02-00'!B215</v>
      </c>
      <c r="D1649" s="6" t="str">
        <f t="shared" ca="1" si="326"/>
        <v>L02-HOS-DOE-S134-01</v>
      </c>
      <c r="E1649" t="str">
        <f t="shared" ca="1" si="327"/>
        <v>L02-HOS-DOE-S134-01</v>
      </c>
      <c r="F1649">
        <f t="shared" ca="1" si="328"/>
        <v>1544960</v>
      </c>
      <c r="G1649">
        <f t="shared" ca="1" si="319"/>
        <v>0</v>
      </c>
      <c r="H1649">
        <f t="shared" ca="1" si="320"/>
        <v>0</v>
      </c>
      <c r="I1649">
        <f t="shared" ca="1" si="321"/>
        <v>0</v>
      </c>
      <c r="J1649" s="8" t="e">
        <f t="shared" ca="1" si="322"/>
        <v>#DIV/0!</v>
      </c>
      <c r="K1649" s="9" t="e">
        <f t="shared" ca="1" si="323"/>
        <v>#DIV/0!</v>
      </c>
      <c r="L1649" t="e">
        <f ca="1">+_xlfn.IFNA(VLOOKUP(M1649,BespokeWindowsAreas!$B$2:$E$1999,4,FALSE),VLOOKUP(E1649,WindowTypeArea!$B$2:$C$113,2,FALSE))</f>
        <v>#N/A</v>
      </c>
      <c r="M1649">
        <f t="shared" ca="1" si="324"/>
        <v>0</v>
      </c>
    </row>
    <row r="1650" spans="1:13" x14ac:dyDescent="0.25">
      <c r="A1650">
        <f t="shared" ca="1" si="317"/>
        <v>4</v>
      </c>
      <c r="B1650">
        <f t="shared" ca="1" si="318"/>
        <v>217</v>
      </c>
      <c r="C1650" t="str">
        <f t="shared" ca="1" si="325"/>
        <v>'WINDOWS-NCH-A-BDP-M3-02-00'!B216</v>
      </c>
      <c r="D1650" s="6" t="str">
        <f t="shared" ca="1" si="326"/>
        <v>L02-HOS-DOE-S134-01</v>
      </c>
      <c r="E1650" t="str">
        <f t="shared" ca="1" si="327"/>
        <v>Family Type: 1950w x 3050h, Family: Window External Type 3 - Recessed and Angle</v>
      </c>
      <c r="F1650" t="str">
        <f t="shared" ca="1" si="328"/>
        <v>Vector(X = 0.130, Y = 0.991, Z = 0.000, Length = 1.000)</v>
      </c>
      <c r="G1650">
        <f t="shared" ca="1" si="319"/>
        <v>0.1</v>
      </c>
      <c r="H1650">
        <f t="shared" ca="1" si="320"/>
        <v>1</v>
      </c>
      <c r="I1650">
        <f t="shared" ca="1" si="321"/>
        <v>0</v>
      </c>
      <c r="J1650" s="8">
        <f t="shared" ca="1" si="322"/>
        <v>84.289406862500371</v>
      </c>
      <c r="K1650" s="9" t="str">
        <f t="shared" ca="1" si="323"/>
        <v>NE</v>
      </c>
      <c r="L1650">
        <f ca="1">+_xlfn.IFNA(VLOOKUP(M1650,BespokeWindowsAreas!$B$2:$E$1999,4,FALSE),VLOOKUP(E1650,WindowTypeArea!$B$2:$C$113,2,FALSE))</f>
        <v>5.9474999999999998</v>
      </c>
      <c r="M1650">
        <f t="shared" ca="1" si="324"/>
        <v>4803348</v>
      </c>
    </row>
    <row r="1651" spans="1:13" x14ac:dyDescent="0.25">
      <c r="A1651">
        <f t="shared" ca="1" si="317"/>
        <v>4</v>
      </c>
      <c r="B1651">
        <f t="shared" ca="1" si="318"/>
        <v>218</v>
      </c>
      <c r="C1651" t="str">
        <f t="shared" ca="1" si="325"/>
        <v>'WINDOWS-NCH-A-BDP-M3-02-00'!B217</v>
      </c>
      <c r="D1651" s="6" t="str">
        <f t="shared" ca="1" si="326"/>
        <v>L02-HOS-DOE-S134-01</v>
      </c>
      <c r="E1651" t="str">
        <f t="shared" ca="1" si="327"/>
        <v>Family Type: 1500w x 3050h, Family: Window External Type 3 - Recessed and Angle</v>
      </c>
      <c r="F1651" t="str">
        <f t="shared" ca="1" si="328"/>
        <v>Vector(X = 0.130, Y = 0.991, Z = 0.000, Length = 1.000)</v>
      </c>
      <c r="G1651">
        <f t="shared" ca="1" si="319"/>
        <v>0.1</v>
      </c>
      <c r="H1651">
        <f t="shared" ca="1" si="320"/>
        <v>1</v>
      </c>
      <c r="I1651">
        <f t="shared" ca="1" si="321"/>
        <v>0</v>
      </c>
      <c r="J1651" s="8">
        <f t="shared" ca="1" si="322"/>
        <v>84.289406862500371</v>
      </c>
      <c r="K1651" s="9" t="str">
        <f t="shared" ca="1" si="323"/>
        <v>NE</v>
      </c>
      <c r="L1651">
        <f ca="1">+_xlfn.IFNA(VLOOKUP(M1651,BespokeWindowsAreas!$B$2:$E$1999,4,FALSE),VLOOKUP(E1651,WindowTypeArea!$B$2:$C$113,2,FALSE))</f>
        <v>4.5750000000000002</v>
      </c>
      <c r="M1651">
        <f t="shared" ca="1" si="324"/>
        <v>4803434</v>
      </c>
    </row>
    <row r="1652" spans="1:13" x14ac:dyDescent="0.25">
      <c r="A1652">
        <f t="shared" ca="1" si="317"/>
        <v>4</v>
      </c>
      <c r="B1652">
        <f t="shared" ca="1" si="318"/>
        <v>219</v>
      </c>
      <c r="C1652" t="str">
        <f t="shared" ca="1" si="325"/>
        <v>'WINDOWS-NCH-A-BDP-M3-02-00'!B218</v>
      </c>
      <c r="D1652" s="6" t="str">
        <f t="shared" ca="1" si="326"/>
        <v>L02-HOS-DOE-S134-02</v>
      </c>
      <c r="E1652" t="str">
        <f t="shared" ca="1" si="327"/>
        <v>L02-HOS-DOE-S134-02</v>
      </c>
      <c r="F1652">
        <f t="shared" ca="1" si="328"/>
        <v>1544962</v>
      </c>
      <c r="G1652">
        <f t="shared" ca="1" si="319"/>
        <v>0</v>
      </c>
      <c r="H1652">
        <f t="shared" ca="1" si="320"/>
        <v>0</v>
      </c>
      <c r="I1652">
        <f t="shared" ca="1" si="321"/>
        <v>0</v>
      </c>
      <c r="J1652" s="8" t="e">
        <f t="shared" ca="1" si="322"/>
        <v>#DIV/0!</v>
      </c>
      <c r="K1652" s="9" t="e">
        <f t="shared" ca="1" si="323"/>
        <v>#DIV/0!</v>
      </c>
      <c r="L1652" t="e">
        <f ca="1">+_xlfn.IFNA(VLOOKUP(M1652,BespokeWindowsAreas!$B$2:$E$1999,4,FALSE),VLOOKUP(E1652,WindowTypeArea!$B$2:$C$113,2,FALSE))</f>
        <v>#N/A</v>
      </c>
      <c r="M1652">
        <f t="shared" ca="1" si="324"/>
        <v>0</v>
      </c>
    </row>
    <row r="1653" spans="1:13" x14ac:dyDescent="0.25">
      <c r="A1653">
        <f t="shared" ca="1" si="317"/>
        <v>4</v>
      </c>
      <c r="B1653">
        <f t="shared" ca="1" si="318"/>
        <v>220</v>
      </c>
      <c r="C1653" t="str">
        <f t="shared" ca="1" si="325"/>
        <v>'WINDOWS-NCH-A-BDP-M3-02-00'!B219</v>
      </c>
      <c r="D1653" s="6" t="str">
        <f t="shared" ca="1" si="326"/>
        <v>L02-HOS-DOE-S134-02</v>
      </c>
      <c r="E1653" t="str">
        <f t="shared" ca="1" si="327"/>
        <v>Family Type: 1950w x 3050h, Family: Window External Type 3 - Recessed and Angle</v>
      </c>
      <c r="F1653" t="str">
        <f t="shared" ca="1" si="328"/>
        <v>Vector(X = 0.130, Y = 0.991, Z = 0.000, Length = 1.000)</v>
      </c>
      <c r="G1653">
        <f t="shared" ca="1" si="319"/>
        <v>0.1</v>
      </c>
      <c r="H1653">
        <f t="shared" ca="1" si="320"/>
        <v>1</v>
      </c>
      <c r="I1653">
        <f t="shared" ca="1" si="321"/>
        <v>0</v>
      </c>
      <c r="J1653" s="8">
        <f t="shared" ca="1" si="322"/>
        <v>84.289406862500371</v>
      </c>
      <c r="K1653" s="9" t="str">
        <f t="shared" ca="1" si="323"/>
        <v>NE</v>
      </c>
      <c r="L1653">
        <f ca="1">+_xlfn.IFNA(VLOOKUP(M1653,BespokeWindowsAreas!$B$2:$E$1999,4,FALSE),VLOOKUP(E1653,WindowTypeArea!$B$2:$C$113,2,FALSE))</f>
        <v>5.9474999999999998</v>
      </c>
      <c r="M1653">
        <f t="shared" ca="1" si="324"/>
        <v>4803314</v>
      </c>
    </row>
    <row r="1654" spans="1:13" x14ac:dyDescent="0.25">
      <c r="A1654">
        <f t="shared" ca="1" si="317"/>
        <v>4</v>
      </c>
      <c r="B1654">
        <f t="shared" ca="1" si="318"/>
        <v>221</v>
      </c>
      <c r="C1654" t="str">
        <f t="shared" ca="1" si="325"/>
        <v>'WINDOWS-NCH-A-BDP-M3-02-00'!B220</v>
      </c>
      <c r="D1654" s="6" t="str">
        <f t="shared" ca="1" si="326"/>
        <v>L02-HOS-DOE-S134-02</v>
      </c>
      <c r="E1654" t="str">
        <f t="shared" ca="1" si="327"/>
        <v>Family Type: 975w x 3050h, Family: Window External Type 1 - Recessed</v>
      </c>
      <c r="F1654" t="str">
        <f t="shared" ca="1" si="328"/>
        <v>Vector(X = 0.130, Y = 0.991, Z = 0.000, Length = 1.000)</v>
      </c>
      <c r="G1654">
        <f t="shared" ca="1" si="319"/>
        <v>0.1</v>
      </c>
      <c r="H1654">
        <f t="shared" ca="1" si="320"/>
        <v>1</v>
      </c>
      <c r="I1654">
        <f t="shared" ca="1" si="321"/>
        <v>0</v>
      </c>
      <c r="J1654" s="8">
        <f t="shared" ca="1" si="322"/>
        <v>84.289406862500371</v>
      </c>
      <c r="K1654" s="9" t="str">
        <f t="shared" ca="1" si="323"/>
        <v>NE</v>
      </c>
      <c r="L1654">
        <f ca="1">+_xlfn.IFNA(VLOOKUP(M1654,BespokeWindowsAreas!$B$2:$E$1999,4,FALSE),VLOOKUP(E1654,WindowTypeArea!$B$2:$C$113,2,FALSE))</f>
        <v>2.9737499999999999</v>
      </c>
      <c r="M1654">
        <f t="shared" ca="1" si="324"/>
        <v>4803388</v>
      </c>
    </row>
    <row r="1655" spans="1:13" x14ac:dyDescent="0.25">
      <c r="A1655">
        <f t="shared" ca="1" si="317"/>
        <v>4</v>
      </c>
      <c r="B1655">
        <f t="shared" ca="1" si="318"/>
        <v>222</v>
      </c>
      <c r="C1655" t="str">
        <f t="shared" ca="1" si="325"/>
        <v>'WINDOWS-NCH-A-BDP-M3-02-00'!B221</v>
      </c>
      <c r="D1655" s="6" t="str">
        <f t="shared" ca="1" si="326"/>
        <v>L02-HOS-DOE-U0696-01</v>
      </c>
      <c r="E1655" t="str">
        <f t="shared" ca="1" si="327"/>
        <v>L02-HOS-DOE-U0696-01</v>
      </c>
      <c r="F1655">
        <f t="shared" ca="1" si="328"/>
        <v>1544970</v>
      </c>
      <c r="G1655">
        <f t="shared" ca="1" si="319"/>
        <v>0</v>
      </c>
      <c r="H1655">
        <f t="shared" ca="1" si="320"/>
        <v>0</v>
      </c>
      <c r="I1655">
        <f t="shared" ca="1" si="321"/>
        <v>0</v>
      </c>
      <c r="J1655" s="8" t="e">
        <f t="shared" ca="1" si="322"/>
        <v>#DIV/0!</v>
      </c>
      <c r="K1655" s="9" t="e">
        <f t="shared" ca="1" si="323"/>
        <v>#DIV/0!</v>
      </c>
      <c r="L1655" t="e">
        <f ca="1">+_xlfn.IFNA(VLOOKUP(M1655,BespokeWindowsAreas!$B$2:$E$1999,4,FALSE),VLOOKUP(E1655,WindowTypeArea!$B$2:$C$113,2,FALSE))</f>
        <v>#N/A</v>
      </c>
      <c r="M1655">
        <f t="shared" ca="1" si="324"/>
        <v>0</v>
      </c>
    </row>
    <row r="1656" spans="1:13" x14ac:dyDescent="0.25">
      <c r="A1656">
        <f t="shared" ca="1" si="317"/>
        <v>4</v>
      </c>
      <c r="B1656">
        <f t="shared" ca="1" si="318"/>
        <v>223</v>
      </c>
      <c r="C1656" t="str">
        <f t="shared" ca="1" si="325"/>
        <v>'WINDOWS-NCH-A-BDP-M3-02-00'!B222</v>
      </c>
      <c r="D1656" s="6" t="str">
        <f t="shared" ca="1" si="326"/>
        <v>L02-HOS-DOE-U0696-01</v>
      </c>
      <c r="E1656" t="str">
        <f t="shared" ca="1" si="327"/>
        <v>Family Type: 975w x 3050h, Family: Window External Type 1 - Recessed</v>
      </c>
      <c r="F1656" t="str">
        <f t="shared" ca="1" si="328"/>
        <v>Vector(X = -0.130, Y = -0.991, Z = 0.000, Length = 1.000)</v>
      </c>
      <c r="G1656">
        <f t="shared" ca="1" si="319"/>
        <v>-0.1</v>
      </c>
      <c r="H1656">
        <f t="shared" ca="1" si="320"/>
        <v>-1</v>
      </c>
      <c r="I1656">
        <f t="shared" ca="1" si="321"/>
        <v>0</v>
      </c>
      <c r="J1656" s="8">
        <f t="shared" ca="1" si="322"/>
        <v>-95.710593137499629</v>
      </c>
      <c r="K1656" s="9" t="str">
        <f t="shared" ca="1" si="323"/>
        <v>SW</v>
      </c>
      <c r="L1656">
        <f ca="1">+_xlfn.IFNA(VLOOKUP(M1656,BespokeWindowsAreas!$B$2:$E$1999,4,FALSE),VLOOKUP(E1656,WindowTypeArea!$B$2:$C$113,2,FALSE))</f>
        <v>2.9737499999999999</v>
      </c>
      <c r="M1656">
        <f t="shared" ca="1" si="324"/>
        <v>4798919</v>
      </c>
    </row>
    <row r="1657" spans="1:13" x14ac:dyDescent="0.25">
      <c r="A1657">
        <f t="shared" ca="1" si="317"/>
        <v>4</v>
      </c>
      <c r="B1657">
        <f t="shared" ca="1" si="318"/>
        <v>224</v>
      </c>
      <c r="C1657" t="str">
        <f t="shared" ca="1" si="325"/>
        <v>'WINDOWS-NCH-A-BDP-M3-02-00'!B223</v>
      </c>
      <c r="D1657" s="6" t="str">
        <f t="shared" ca="1" si="326"/>
        <v>L02-HOS-DOE-S095-01</v>
      </c>
      <c r="E1657" t="str">
        <f t="shared" ca="1" si="327"/>
        <v>L02-HOS-DOE-S095-01</v>
      </c>
      <c r="F1657">
        <f t="shared" ca="1" si="328"/>
        <v>1544976</v>
      </c>
      <c r="G1657">
        <f t="shared" ca="1" si="319"/>
        <v>0</v>
      </c>
      <c r="H1657">
        <f t="shared" ca="1" si="320"/>
        <v>0</v>
      </c>
      <c r="I1657">
        <f t="shared" ca="1" si="321"/>
        <v>0</v>
      </c>
      <c r="J1657" s="8" t="e">
        <f t="shared" ca="1" si="322"/>
        <v>#DIV/0!</v>
      </c>
      <c r="K1657" s="9" t="e">
        <f t="shared" ca="1" si="323"/>
        <v>#DIV/0!</v>
      </c>
      <c r="L1657" t="e">
        <f ca="1">+_xlfn.IFNA(VLOOKUP(M1657,BespokeWindowsAreas!$B$2:$E$1999,4,FALSE),VLOOKUP(E1657,WindowTypeArea!$B$2:$C$113,2,FALSE))</f>
        <v>#N/A</v>
      </c>
      <c r="M1657">
        <f t="shared" ca="1" si="324"/>
        <v>0</v>
      </c>
    </row>
    <row r="1658" spans="1:13" x14ac:dyDescent="0.25">
      <c r="A1658">
        <f t="shared" ca="1" si="317"/>
        <v>4</v>
      </c>
      <c r="B1658">
        <f t="shared" ca="1" si="318"/>
        <v>225</v>
      </c>
      <c r="C1658" t="str">
        <f t="shared" ca="1" si="325"/>
        <v>'WINDOWS-NCH-A-BDP-M3-02-00'!B224</v>
      </c>
      <c r="D1658" s="6" t="str">
        <f t="shared" ca="1" si="326"/>
        <v>L02-HOS-DOE-S095-01</v>
      </c>
      <c r="E1658" t="str">
        <f t="shared" ca="1" si="327"/>
        <v>Family Type: 1500w x 3050h, Family: Window External Type 3 - Recessed and Angle</v>
      </c>
      <c r="F1658" t="str">
        <f t="shared" ca="1" si="328"/>
        <v>Vector(X = -0.130, Y = -0.991, Z = 0.000, Length = 1.000)</v>
      </c>
      <c r="G1658">
        <f t="shared" ca="1" si="319"/>
        <v>-0.1</v>
      </c>
      <c r="H1658">
        <f t="shared" ca="1" si="320"/>
        <v>-1</v>
      </c>
      <c r="I1658">
        <f t="shared" ca="1" si="321"/>
        <v>0</v>
      </c>
      <c r="J1658" s="8">
        <f t="shared" ca="1" si="322"/>
        <v>-95.710593137499629</v>
      </c>
      <c r="K1658" s="9" t="str">
        <f t="shared" ca="1" si="323"/>
        <v>SW</v>
      </c>
      <c r="L1658">
        <f ca="1">+_xlfn.IFNA(VLOOKUP(M1658,BespokeWindowsAreas!$B$2:$E$1999,4,FALSE),VLOOKUP(E1658,WindowTypeArea!$B$2:$C$113,2,FALSE))</f>
        <v>4.5750000000000002</v>
      </c>
      <c r="M1658">
        <f t="shared" ca="1" si="324"/>
        <v>4798822</v>
      </c>
    </row>
    <row r="1659" spans="1:13" x14ac:dyDescent="0.25">
      <c r="A1659">
        <f t="shared" ca="1" si="317"/>
        <v>4</v>
      </c>
      <c r="B1659">
        <f t="shared" ca="1" si="318"/>
        <v>226</v>
      </c>
      <c r="C1659" t="str">
        <f t="shared" ca="1" si="325"/>
        <v>'WINDOWS-NCH-A-BDP-M3-02-00'!B225</v>
      </c>
      <c r="D1659" s="6" t="str">
        <f t="shared" ca="1" si="326"/>
        <v>L02-IPA-SHS-S038-01</v>
      </c>
      <c r="E1659" t="str">
        <f t="shared" ca="1" si="327"/>
        <v>L02-IPA-SHS-S038-01</v>
      </c>
      <c r="F1659">
        <f t="shared" ca="1" si="328"/>
        <v>1545042</v>
      </c>
      <c r="G1659">
        <f t="shared" ca="1" si="319"/>
        <v>0</v>
      </c>
      <c r="H1659">
        <f t="shared" ca="1" si="320"/>
        <v>0</v>
      </c>
      <c r="I1659">
        <f t="shared" ca="1" si="321"/>
        <v>0</v>
      </c>
      <c r="J1659" s="8" t="e">
        <f t="shared" ca="1" si="322"/>
        <v>#DIV/0!</v>
      </c>
      <c r="K1659" s="9" t="e">
        <f t="shared" ca="1" si="323"/>
        <v>#DIV/0!</v>
      </c>
      <c r="L1659" t="e">
        <f ca="1">+_xlfn.IFNA(VLOOKUP(M1659,BespokeWindowsAreas!$B$2:$E$1999,4,FALSE),VLOOKUP(E1659,WindowTypeArea!$B$2:$C$113,2,FALSE))</f>
        <v>#N/A</v>
      </c>
      <c r="M1659">
        <f t="shared" ca="1" si="324"/>
        <v>0</v>
      </c>
    </row>
    <row r="1660" spans="1:13" x14ac:dyDescent="0.25">
      <c r="A1660">
        <f t="shared" ca="1" si="317"/>
        <v>4</v>
      </c>
      <c r="B1660">
        <f t="shared" ca="1" si="318"/>
        <v>227</v>
      </c>
      <c r="C1660" t="str">
        <f t="shared" ca="1" si="325"/>
        <v>'WINDOWS-NCH-A-BDP-M3-02-00'!B226</v>
      </c>
      <c r="D1660" s="6" t="str">
        <f t="shared" ca="1" si="326"/>
        <v>none - connects to atrium</v>
      </c>
      <c r="E1660" t="str">
        <f t="shared" ca="1" si="327"/>
        <v>none - connects to atrium</v>
      </c>
      <c r="F1660" t="str">
        <f t="shared" ca="1" si="328"/>
        <v>Vector(X = 0.829, Y = 0.559, Z = 0.000, Length = 1.000)</v>
      </c>
      <c r="G1660">
        <f t="shared" ca="1" si="319"/>
        <v>0.8</v>
      </c>
      <c r="H1660">
        <f t="shared" ca="1" si="320"/>
        <v>0.6</v>
      </c>
      <c r="I1660">
        <f t="shared" ca="1" si="321"/>
        <v>0</v>
      </c>
      <c r="J1660" s="8">
        <f t="shared" ca="1" si="322"/>
        <v>36.86989764584402</v>
      </c>
      <c r="K1660" s="9" t="str">
        <f t="shared" ca="1" si="323"/>
        <v>E</v>
      </c>
      <c r="L1660" t="e">
        <f ca="1">+_xlfn.IFNA(VLOOKUP(M1660,BespokeWindowsAreas!$B$2:$E$1999,4,FALSE),VLOOKUP(E1660,WindowTypeArea!$B$2:$C$113,2,FALSE))</f>
        <v>#N/A</v>
      </c>
      <c r="M1660">
        <f t="shared" ca="1" si="324"/>
        <v>6536870</v>
      </c>
    </row>
    <row r="1661" spans="1:13" x14ac:dyDescent="0.25">
      <c r="A1661">
        <f t="shared" ca="1" si="317"/>
        <v>4</v>
      </c>
      <c r="B1661">
        <f t="shared" ca="1" si="318"/>
        <v>228</v>
      </c>
      <c r="C1661" t="str">
        <f t="shared" ca="1" si="325"/>
        <v>'WINDOWS-NCH-A-BDP-M3-02-00'!B227</v>
      </c>
      <c r="D1661" s="6">
        <f t="shared" ca="1" si="326"/>
        <v>0</v>
      </c>
      <c r="E1661">
        <f t="shared" ca="1" si="327"/>
        <v>0</v>
      </c>
      <c r="F1661">
        <f t="shared" ca="1" si="328"/>
        <v>1634473</v>
      </c>
      <c r="G1661">
        <f t="shared" ca="1" si="319"/>
        <v>0</v>
      </c>
      <c r="H1661">
        <f t="shared" ca="1" si="320"/>
        <v>0</v>
      </c>
      <c r="I1661">
        <f t="shared" ca="1" si="321"/>
        <v>0</v>
      </c>
      <c r="J1661" s="8" t="e">
        <f t="shared" ca="1" si="322"/>
        <v>#DIV/0!</v>
      </c>
      <c r="K1661" s="9" t="e">
        <f t="shared" ca="1" si="323"/>
        <v>#DIV/0!</v>
      </c>
      <c r="L1661" t="e">
        <f ca="1">+_xlfn.IFNA(VLOOKUP(M1661,BespokeWindowsAreas!$B$2:$E$1999,4,FALSE),VLOOKUP(E1661,WindowTypeArea!$B$2:$C$113,2,FALSE))</f>
        <v>#N/A</v>
      </c>
      <c r="M1661">
        <f t="shared" ca="1" si="324"/>
        <v>0</v>
      </c>
    </row>
    <row r="1662" spans="1:13" x14ac:dyDescent="0.25">
      <c r="A1662">
        <f t="shared" ca="1" si="317"/>
        <v>4</v>
      </c>
      <c r="B1662">
        <f t="shared" ca="1" si="318"/>
        <v>229</v>
      </c>
      <c r="C1662" t="str">
        <f t="shared" ca="1" si="325"/>
        <v>'WINDOWS-NCH-A-BDP-M3-02-00'!B228</v>
      </c>
      <c r="D1662" s="6">
        <f t="shared" ca="1" si="326"/>
        <v>0</v>
      </c>
      <c r="E1662" t="str">
        <f t="shared" ca="1" si="327"/>
        <v>Family Type: 1500w x 3050h, Family: Window External Type 1 - Recessed</v>
      </c>
      <c r="F1662" t="str">
        <f t="shared" ca="1" si="328"/>
        <v>Vector(X = 0.212, Y = -0.977, Z = 0.000, Length = 1.000)</v>
      </c>
      <c r="G1662">
        <f t="shared" ca="1" si="319"/>
        <v>0.2</v>
      </c>
      <c r="H1662">
        <f t="shared" ca="1" si="320"/>
        <v>-1</v>
      </c>
      <c r="I1662">
        <f t="shared" ca="1" si="321"/>
        <v>0</v>
      </c>
      <c r="J1662" s="8">
        <f t="shared" ca="1" si="322"/>
        <v>-78.690067525979785</v>
      </c>
      <c r="K1662" s="9" t="str">
        <f t="shared" ca="1" si="323"/>
        <v>S</v>
      </c>
      <c r="L1662">
        <f ca="1">+_xlfn.IFNA(VLOOKUP(M1662,BespokeWindowsAreas!$B$2:$E$1999,4,FALSE),VLOOKUP(E1662,WindowTypeArea!$B$2:$C$113,2,FALSE))</f>
        <v>4.5750000000000002</v>
      </c>
      <c r="M1662">
        <f t="shared" ca="1" si="324"/>
        <v>6094971</v>
      </c>
    </row>
    <row r="1663" spans="1:13" x14ac:dyDescent="0.25">
      <c r="A1663">
        <f t="shared" ca="1" si="317"/>
        <v>4</v>
      </c>
      <c r="B1663">
        <f t="shared" ca="1" si="318"/>
        <v>230</v>
      </c>
      <c r="C1663" t="str">
        <f t="shared" ca="1" si="325"/>
        <v>'WINDOWS-NCH-A-BDP-M3-02-00'!B229</v>
      </c>
      <c r="D1663" s="6">
        <f t="shared" ca="1" si="326"/>
        <v>0</v>
      </c>
      <c r="E1663" t="str">
        <f t="shared" ca="1" si="327"/>
        <v>Family Type: 1500w x 3050h, Family: Window External Type 1 - Recessed</v>
      </c>
      <c r="F1663" t="str">
        <f t="shared" ca="1" si="328"/>
        <v>Vector(X = 0.212, Y = -0.977, Z = 0.000, Length = 1.000)</v>
      </c>
      <c r="G1663">
        <f t="shared" ca="1" si="319"/>
        <v>0.2</v>
      </c>
      <c r="H1663">
        <f t="shared" ca="1" si="320"/>
        <v>-1</v>
      </c>
      <c r="I1663">
        <f t="shared" ca="1" si="321"/>
        <v>0</v>
      </c>
      <c r="J1663" s="8">
        <f t="shared" ca="1" si="322"/>
        <v>-78.690067525979785</v>
      </c>
      <c r="K1663" s="9" t="str">
        <f t="shared" ca="1" si="323"/>
        <v>S</v>
      </c>
      <c r="L1663">
        <f ca="1">+_xlfn.IFNA(VLOOKUP(M1663,BespokeWindowsAreas!$B$2:$E$1999,4,FALSE),VLOOKUP(E1663,WindowTypeArea!$B$2:$C$113,2,FALSE))</f>
        <v>4.5750000000000002</v>
      </c>
      <c r="M1663">
        <f t="shared" ca="1" si="324"/>
        <v>6095222</v>
      </c>
    </row>
    <row r="1664" spans="1:13" x14ac:dyDescent="0.25">
      <c r="A1664">
        <f t="shared" ca="1" si="317"/>
        <v>4</v>
      </c>
      <c r="B1664">
        <f t="shared" ca="1" si="318"/>
        <v>231</v>
      </c>
      <c r="C1664" t="str">
        <f t="shared" ca="1" si="325"/>
        <v>'WINDOWS-NCH-A-BDP-M3-02-00'!B230</v>
      </c>
      <c r="D1664" s="6">
        <f t="shared" ca="1" si="326"/>
        <v>0</v>
      </c>
      <c r="E1664" t="str">
        <f t="shared" ca="1" si="327"/>
        <v>Family Type: 487.5w x 3050H, Family: Window External Type 1 - Recessed</v>
      </c>
      <c r="F1664" t="str">
        <f t="shared" ca="1" si="328"/>
        <v>Vector(X = 0.212, Y = -0.977, Z = 0.000, Length = 1.000)</v>
      </c>
      <c r="G1664">
        <f t="shared" ca="1" si="319"/>
        <v>0.2</v>
      </c>
      <c r="H1664">
        <f t="shared" ca="1" si="320"/>
        <v>-1</v>
      </c>
      <c r="I1664">
        <f t="shared" ca="1" si="321"/>
        <v>0</v>
      </c>
      <c r="J1664" s="8">
        <f t="shared" ca="1" si="322"/>
        <v>-78.690067525979785</v>
      </c>
      <c r="K1664" s="9" t="str">
        <f t="shared" ca="1" si="323"/>
        <v>S</v>
      </c>
      <c r="L1664">
        <f ca="1">+_xlfn.IFNA(VLOOKUP(M1664,BespokeWindowsAreas!$B$2:$E$1999,4,FALSE),VLOOKUP(E1664,WindowTypeArea!$B$2:$C$113,2,FALSE))</f>
        <v>1.4868749999999999</v>
      </c>
      <c r="M1664">
        <f t="shared" ca="1" si="324"/>
        <v>6095320</v>
      </c>
    </row>
    <row r="1665" spans="1:13" x14ac:dyDescent="0.25">
      <c r="A1665">
        <f t="shared" ca="1" si="317"/>
        <v>4</v>
      </c>
      <c r="B1665">
        <f t="shared" ca="1" si="318"/>
        <v>232</v>
      </c>
      <c r="C1665" t="str">
        <f t="shared" ca="1" si="325"/>
        <v>'WINDOWS-NCH-A-BDP-M3-02-00'!B231</v>
      </c>
      <c r="D1665" s="6">
        <f t="shared" ca="1" si="326"/>
        <v>0</v>
      </c>
      <c r="E1665" t="str">
        <f t="shared" ca="1" si="327"/>
        <v>Family Type: 487.5w x 3050H, Family: Window External Type 1 - Recessed</v>
      </c>
      <c r="F1665" t="str">
        <f t="shared" ca="1" si="328"/>
        <v>Vector(X = 0.212, Y = -0.977, Z = 0.000, Length = 1.000)</v>
      </c>
      <c r="G1665">
        <f t="shared" ca="1" si="319"/>
        <v>0.2</v>
      </c>
      <c r="H1665">
        <f t="shared" ca="1" si="320"/>
        <v>-1</v>
      </c>
      <c r="I1665">
        <f t="shared" ca="1" si="321"/>
        <v>0</v>
      </c>
      <c r="J1665" s="8">
        <f t="shared" ca="1" si="322"/>
        <v>-78.690067525979785</v>
      </c>
      <c r="K1665" s="9" t="str">
        <f t="shared" ca="1" si="323"/>
        <v>S</v>
      </c>
      <c r="L1665">
        <f ca="1">+_xlfn.IFNA(VLOOKUP(M1665,BespokeWindowsAreas!$B$2:$E$1999,4,FALSE),VLOOKUP(E1665,WindowTypeArea!$B$2:$C$113,2,FALSE))</f>
        <v>1.4868749999999999</v>
      </c>
      <c r="M1665">
        <f t="shared" ca="1" si="324"/>
        <v>6095353</v>
      </c>
    </row>
    <row r="1666" spans="1:13" x14ac:dyDescent="0.25">
      <c r="A1666">
        <f t="shared" ca="1" si="317"/>
        <v>4</v>
      </c>
      <c r="B1666">
        <f t="shared" ca="1" si="318"/>
        <v>233</v>
      </c>
      <c r="C1666" t="str">
        <f t="shared" ca="1" si="325"/>
        <v>'WINDOWS-NCH-A-BDP-M3-02-00'!B232</v>
      </c>
      <c r="D1666" s="6" t="str">
        <f t="shared" ca="1" si="326"/>
        <v>L02-IPA-GW9-S094-01</v>
      </c>
      <c r="E1666" t="str">
        <f t="shared" ca="1" si="327"/>
        <v>L02-IPA-GW9-S094-01</v>
      </c>
      <c r="F1666">
        <f t="shared" ca="1" si="328"/>
        <v>1666257</v>
      </c>
      <c r="G1666">
        <f t="shared" ca="1" si="319"/>
        <v>0</v>
      </c>
      <c r="H1666">
        <f t="shared" ca="1" si="320"/>
        <v>0</v>
      </c>
      <c r="I1666">
        <f t="shared" ca="1" si="321"/>
        <v>0</v>
      </c>
      <c r="J1666" s="8" t="e">
        <f t="shared" ca="1" si="322"/>
        <v>#DIV/0!</v>
      </c>
      <c r="K1666" s="9" t="e">
        <f t="shared" ca="1" si="323"/>
        <v>#DIV/0!</v>
      </c>
      <c r="L1666" t="e">
        <f ca="1">+_xlfn.IFNA(VLOOKUP(M1666,BespokeWindowsAreas!$B$2:$E$1999,4,FALSE),VLOOKUP(E1666,WindowTypeArea!$B$2:$C$113,2,FALSE))</f>
        <v>#N/A</v>
      </c>
      <c r="M1666">
        <f t="shared" ca="1" si="324"/>
        <v>0</v>
      </c>
    </row>
    <row r="1667" spans="1:13" x14ac:dyDescent="0.25">
      <c r="A1667">
        <f t="shared" ca="1" si="317"/>
        <v>4</v>
      </c>
      <c r="B1667">
        <f t="shared" ca="1" si="318"/>
        <v>234</v>
      </c>
      <c r="C1667" t="str">
        <f t="shared" ca="1" si="325"/>
        <v>'WINDOWS-NCH-A-BDP-M3-02-00'!B233</v>
      </c>
      <c r="D1667" s="6" t="str">
        <f t="shared" ca="1" si="326"/>
        <v>none - connects to atrium</v>
      </c>
      <c r="E1667" t="str">
        <f t="shared" ca="1" si="327"/>
        <v>none - connects to atrium</v>
      </c>
      <c r="F1667" t="str">
        <f t="shared" ca="1" si="328"/>
        <v>Vector(X = 0.920, Y = 0.393, Z = 0.000, Length = 1.000)</v>
      </c>
      <c r="G1667">
        <f t="shared" ca="1" si="319"/>
        <v>0.9</v>
      </c>
      <c r="H1667">
        <f t="shared" ca="1" si="320"/>
        <v>0.4</v>
      </c>
      <c r="I1667">
        <f t="shared" ca="1" si="321"/>
        <v>0</v>
      </c>
      <c r="J1667" s="8">
        <f t="shared" ca="1" si="322"/>
        <v>23.962488974578186</v>
      </c>
      <c r="K1667" s="9" t="str">
        <f t="shared" ca="1" si="323"/>
        <v>E</v>
      </c>
      <c r="L1667" t="e">
        <f ca="1">+_xlfn.IFNA(VLOOKUP(M1667,BespokeWindowsAreas!$B$2:$E$1999,4,FALSE),VLOOKUP(E1667,WindowTypeArea!$B$2:$C$113,2,FALSE))</f>
        <v>#N/A</v>
      </c>
      <c r="M1667">
        <f t="shared" ca="1" si="324"/>
        <v>5183440</v>
      </c>
    </row>
    <row r="1668" spans="1:13" x14ac:dyDescent="0.25">
      <c r="A1668">
        <f t="shared" ca="1" si="317"/>
        <v>4</v>
      </c>
      <c r="B1668">
        <f t="shared" ca="1" si="318"/>
        <v>235</v>
      </c>
      <c r="C1668" t="str">
        <f t="shared" ca="1" si="325"/>
        <v>'WINDOWS-NCH-A-BDP-M3-02-00'!B234</v>
      </c>
      <c r="D1668" s="6" t="str">
        <f t="shared" ca="1" si="326"/>
        <v>L02-DCU-DMS-U1108-01</v>
      </c>
      <c r="E1668" t="str">
        <f t="shared" ca="1" si="327"/>
        <v>L02-DCU-DMS-U1108-01</v>
      </c>
      <c r="F1668">
        <f t="shared" ca="1" si="328"/>
        <v>1666277</v>
      </c>
      <c r="G1668">
        <f t="shared" ca="1" si="319"/>
        <v>0</v>
      </c>
      <c r="H1668">
        <f t="shared" ca="1" si="320"/>
        <v>0</v>
      </c>
      <c r="I1668">
        <f t="shared" ca="1" si="321"/>
        <v>0</v>
      </c>
      <c r="J1668" s="8" t="e">
        <f t="shared" ca="1" si="322"/>
        <v>#DIV/0!</v>
      </c>
      <c r="K1668" s="9" t="e">
        <f t="shared" ca="1" si="323"/>
        <v>#DIV/0!</v>
      </c>
      <c r="L1668" t="e">
        <f ca="1">+_xlfn.IFNA(VLOOKUP(M1668,BespokeWindowsAreas!$B$2:$E$1999,4,FALSE),VLOOKUP(E1668,WindowTypeArea!$B$2:$C$113,2,FALSE))</f>
        <v>#N/A</v>
      </c>
      <c r="M1668">
        <f t="shared" ca="1" si="324"/>
        <v>0</v>
      </c>
    </row>
    <row r="1669" spans="1:13" x14ac:dyDescent="0.25">
      <c r="A1669">
        <f t="shared" ca="1" si="317"/>
        <v>4</v>
      </c>
      <c r="B1669">
        <f t="shared" ca="1" si="318"/>
        <v>236</v>
      </c>
      <c r="C1669" t="str">
        <f t="shared" ca="1" si="325"/>
        <v>'WINDOWS-NCH-A-BDP-M3-02-00'!B235</v>
      </c>
      <c r="D1669" s="6" t="str">
        <f t="shared" ca="1" si="326"/>
        <v>none - connects to atrium</v>
      </c>
      <c r="E1669" t="str">
        <f t="shared" ca="1" si="327"/>
        <v>none - connects to atrium</v>
      </c>
      <c r="F1669" t="str">
        <f t="shared" ca="1" si="328"/>
        <v>Vector(X = 0.850, Y = 0.526, Z = 0.000, Length = 1.000)</v>
      </c>
      <c r="G1669">
        <f t="shared" ca="1" si="319"/>
        <v>0.9</v>
      </c>
      <c r="H1669">
        <f t="shared" ca="1" si="320"/>
        <v>0.5</v>
      </c>
      <c r="I1669">
        <f t="shared" ca="1" si="321"/>
        <v>0</v>
      </c>
      <c r="J1669" s="8">
        <f t="shared" ca="1" si="322"/>
        <v>29.054604099077146</v>
      </c>
      <c r="K1669" s="9" t="str">
        <f t="shared" ca="1" si="323"/>
        <v>E</v>
      </c>
      <c r="L1669" t="e">
        <f ca="1">+_xlfn.IFNA(VLOOKUP(M1669,BespokeWindowsAreas!$B$2:$E$1999,4,FALSE),VLOOKUP(E1669,WindowTypeArea!$B$2:$C$113,2,FALSE))</f>
        <v>#N/A</v>
      </c>
      <c r="M1669">
        <f t="shared" ca="1" si="324"/>
        <v>6537104</v>
      </c>
    </row>
    <row r="1670" spans="1:13" x14ac:dyDescent="0.25">
      <c r="A1670">
        <f t="shared" ca="1" si="317"/>
        <v>4</v>
      </c>
      <c r="B1670">
        <f t="shared" ca="1" si="318"/>
        <v>237</v>
      </c>
      <c r="C1670" t="str">
        <f t="shared" ca="1" si="325"/>
        <v>'WINDOWS-NCH-A-BDP-M3-02-00'!B236</v>
      </c>
      <c r="D1670" s="6" t="str">
        <f t="shared" ca="1" si="326"/>
        <v>L02-DCU-DMS-U1207-01</v>
      </c>
      <c r="E1670" t="str">
        <f t="shared" ca="1" si="327"/>
        <v>L02-DCU-DMS-U1207-01</v>
      </c>
      <c r="F1670">
        <f t="shared" ca="1" si="328"/>
        <v>1666287</v>
      </c>
      <c r="G1670">
        <f t="shared" ca="1" si="319"/>
        <v>0</v>
      </c>
      <c r="H1670">
        <f t="shared" ca="1" si="320"/>
        <v>0</v>
      </c>
      <c r="I1670">
        <f t="shared" ca="1" si="321"/>
        <v>0</v>
      </c>
      <c r="J1670" s="8" t="e">
        <f t="shared" ca="1" si="322"/>
        <v>#DIV/0!</v>
      </c>
      <c r="K1670" s="9" t="e">
        <f t="shared" ca="1" si="323"/>
        <v>#DIV/0!</v>
      </c>
      <c r="L1670" t="e">
        <f ca="1">+_xlfn.IFNA(VLOOKUP(M1670,BespokeWindowsAreas!$B$2:$E$1999,4,FALSE),VLOOKUP(E1670,WindowTypeArea!$B$2:$C$113,2,FALSE))</f>
        <v>#N/A</v>
      </c>
      <c r="M1670">
        <f t="shared" ca="1" si="324"/>
        <v>0</v>
      </c>
    </row>
    <row r="1671" spans="1:13" x14ac:dyDescent="0.25">
      <c r="A1671">
        <f t="shared" ca="1" si="317"/>
        <v>4</v>
      </c>
      <c r="B1671">
        <f t="shared" ca="1" si="318"/>
        <v>238</v>
      </c>
      <c r="C1671" t="str">
        <f t="shared" ca="1" si="325"/>
        <v>'WINDOWS-NCH-A-BDP-M3-02-00'!B237</v>
      </c>
      <c r="D1671" s="6" t="str">
        <f t="shared" ca="1" si="326"/>
        <v>none - connects to atrium</v>
      </c>
      <c r="E1671" t="str">
        <f t="shared" ca="1" si="327"/>
        <v>none - connects to atrium</v>
      </c>
      <c r="F1671" t="str">
        <f t="shared" ca="1" si="328"/>
        <v>Vector(X = 0.834, Y = 0.552, Z = 0.000, Length = 1.000)</v>
      </c>
      <c r="G1671">
        <f t="shared" ca="1" si="319"/>
        <v>0.8</v>
      </c>
      <c r="H1671">
        <f t="shared" ca="1" si="320"/>
        <v>0.6</v>
      </c>
      <c r="I1671">
        <f t="shared" ca="1" si="321"/>
        <v>0</v>
      </c>
      <c r="J1671" s="8">
        <f t="shared" ca="1" si="322"/>
        <v>36.86989764584402</v>
      </c>
      <c r="K1671" s="9" t="str">
        <f t="shared" ca="1" si="323"/>
        <v>E</v>
      </c>
      <c r="L1671" t="e">
        <f ca="1">+_xlfn.IFNA(VLOOKUP(M1671,BespokeWindowsAreas!$B$2:$E$1999,4,FALSE),VLOOKUP(E1671,WindowTypeArea!$B$2:$C$113,2,FALSE))</f>
        <v>#N/A</v>
      </c>
      <c r="M1671">
        <f t="shared" ca="1" si="324"/>
        <v>6536955</v>
      </c>
    </row>
    <row r="1672" spans="1:13" x14ac:dyDescent="0.25">
      <c r="A1672">
        <f t="shared" ca="1" si="317"/>
        <v>4</v>
      </c>
      <c r="B1672">
        <f t="shared" ca="1" si="318"/>
        <v>239</v>
      </c>
      <c r="C1672" t="str">
        <f t="shared" ca="1" si="325"/>
        <v>'WINDOWS-NCH-A-BDP-M3-02-00'!B238</v>
      </c>
      <c r="D1672" s="6" t="str">
        <f t="shared" ca="1" si="326"/>
        <v>none - connects to atrium</v>
      </c>
      <c r="E1672" t="str">
        <f t="shared" ca="1" si="327"/>
        <v>none - connects to atrium</v>
      </c>
      <c r="F1672" t="str">
        <f t="shared" ca="1" si="328"/>
        <v>Vector(X = 0.840, Y = 0.543, Z = 0.000, Length = 1.000)</v>
      </c>
      <c r="G1672">
        <f t="shared" ca="1" si="319"/>
        <v>0.8</v>
      </c>
      <c r="H1672">
        <f t="shared" ca="1" si="320"/>
        <v>0.5</v>
      </c>
      <c r="I1672">
        <f t="shared" ca="1" si="321"/>
        <v>0</v>
      </c>
      <c r="J1672" s="8">
        <f t="shared" ca="1" si="322"/>
        <v>32.005383208083494</v>
      </c>
      <c r="K1672" s="9" t="str">
        <f t="shared" ca="1" si="323"/>
        <v>E</v>
      </c>
      <c r="L1672" t="e">
        <f ca="1">+_xlfn.IFNA(VLOOKUP(M1672,BespokeWindowsAreas!$B$2:$E$1999,4,FALSE),VLOOKUP(E1672,WindowTypeArea!$B$2:$C$113,2,FALSE))</f>
        <v>#N/A</v>
      </c>
      <c r="M1672">
        <f t="shared" ca="1" si="324"/>
        <v>6537017</v>
      </c>
    </row>
    <row r="1673" spans="1:13" x14ac:dyDescent="0.25">
      <c r="A1673">
        <f t="shared" ca="1" si="317"/>
        <v>4</v>
      </c>
      <c r="B1673">
        <f t="shared" ca="1" si="318"/>
        <v>240</v>
      </c>
      <c r="C1673" t="str">
        <f t="shared" ca="1" si="325"/>
        <v>'WINDOWS-NCH-A-BDP-M3-02-00'!B239</v>
      </c>
      <c r="D1673" s="6" t="str">
        <f t="shared" ca="1" si="326"/>
        <v>L02-DCU-DMS-S139-06</v>
      </c>
      <c r="E1673" t="str">
        <f t="shared" ca="1" si="327"/>
        <v>L02-DCU-DMS-S139-06</v>
      </c>
      <c r="F1673">
        <f t="shared" ca="1" si="328"/>
        <v>1666299</v>
      </c>
      <c r="G1673">
        <f t="shared" ca="1" si="319"/>
        <v>0</v>
      </c>
      <c r="H1673">
        <f t="shared" ca="1" si="320"/>
        <v>0</v>
      </c>
      <c r="I1673">
        <f t="shared" ca="1" si="321"/>
        <v>0</v>
      </c>
      <c r="J1673" s="8" t="e">
        <f t="shared" ca="1" si="322"/>
        <v>#DIV/0!</v>
      </c>
      <c r="K1673" s="9" t="e">
        <f t="shared" ca="1" si="323"/>
        <v>#DIV/0!</v>
      </c>
      <c r="L1673" t="e">
        <f ca="1">+_xlfn.IFNA(VLOOKUP(M1673,BespokeWindowsAreas!$B$2:$E$1999,4,FALSE),VLOOKUP(E1673,WindowTypeArea!$B$2:$C$113,2,FALSE))</f>
        <v>#N/A</v>
      </c>
      <c r="M1673">
        <f t="shared" ca="1" si="324"/>
        <v>0</v>
      </c>
    </row>
    <row r="1674" spans="1:13" x14ac:dyDescent="0.25">
      <c r="A1674">
        <f t="shared" ca="1" si="317"/>
        <v>4</v>
      </c>
      <c r="B1674">
        <f t="shared" ca="1" si="318"/>
        <v>241</v>
      </c>
      <c r="C1674" t="str">
        <f t="shared" ca="1" si="325"/>
        <v>'WINDOWS-NCH-A-BDP-M3-02-00'!B240</v>
      </c>
      <c r="D1674" s="6" t="str">
        <f t="shared" ca="1" si="326"/>
        <v>L02-DCU-DMS-S139-06</v>
      </c>
      <c r="E1674" t="str">
        <f t="shared" ca="1" si="327"/>
        <v>Family Type: 1950w x 3050h, Family: Window External Type 3 - Recessed and Angle</v>
      </c>
      <c r="F1674" t="str">
        <f t="shared" ca="1" si="328"/>
        <v>Vector(X = -0.323, Y = 0.946, Z = 0.000, Length = 1.000)</v>
      </c>
      <c r="G1674">
        <f t="shared" ca="1" si="319"/>
        <v>-0.3</v>
      </c>
      <c r="H1674">
        <f t="shared" ca="1" si="320"/>
        <v>0.9</v>
      </c>
      <c r="I1674">
        <f t="shared" ca="1" si="321"/>
        <v>0</v>
      </c>
      <c r="J1674" s="8">
        <f t="shared" ca="1" si="322"/>
        <v>108.43494882292201</v>
      </c>
      <c r="K1674" s="9" t="str">
        <f t="shared" ca="1" si="323"/>
        <v>N</v>
      </c>
      <c r="L1674">
        <f ca="1">+_xlfn.IFNA(VLOOKUP(M1674,BespokeWindowsAreas!$B$2:$E$1999,4,FALSE),VLOOKUP(E1674,WindowTypeArea!$B$2:$C$113,2,FALSE))</f>
        <v>5.9474999999999998</v>
      </c>
      <c r="M1674">
        <f t="shared" ca="1" si="324"/>
        <v>4804881</v>
      </c>
    </row>
    <row r="1675" spans="1:13" x14ac:dyDescent="0.25">
      <c r="A1675">
        <f t="shared" ca="1" si="317"/>
        <v>4</v>
      </c>
      <c r="B1675">
        <f t="shared" ca="1" si="318"/>
        <v>242</v>
      </c>
      <c r="C1675" t="str">
        <f t="shared" ca="1" si="325"/>
        <v>'WINDOWS-NCH-A-BDP-M3-02-00'!B241</v>
      </c>
      <c r="D1675" s="6" t="str">
        <f t="shared" ca="1" si="326"/>
        <v>L02-DCU-DMS-S139-06</v>
      </c>
      <c r="E1675" t="str">
        <f t="shared" ca="1" si="327"/>
        <v>Family Type: 975w x 3050h, Family: Window External Type 1 - Recessed</v>
      </c>
      <c r="F1675" t="str">
        <f t="shared" ca="1" si="328"/>
        <v>Vector(X = -0.323, Y = 0.946, Z = 0.000, Length = 1.000)</v>
      </c>
      <c r="G1675">
        <f t="shared" ca="1" si="319"/>
        <v>-0.3</v>
      </c>
      <c r="H1675">
        <f t="shared" ca="1" si="320"/>
        <v>0.9</v>
      </c>
      <c r="I1675">
        <f t="shared" ca="1" si="321"/>
        <v>0</v>
      </c>
      <c r="J1675" s="8">
        <f t="shared" ca="1" si="322"/>
        <v>108.43494882292201</v>
      </c>
      <c r="K1675" s="9" t="str">
        <f t="shared" ca="1" si="323"/>
        <v>N</v>
      </c>
      <c r="L1675">
        <f ca="1">+_xlfn.IFNA(VLOOKUP(M1675,BespokeWindowsAreas!$B$2:$E$1999,4,FALSE),VLOOKUP(E1675,WindowTypeArea!$B$2:$C$113,2,FALSE))</f>
        <v>2.9737499999999999</v>
      </c>
      <c r="M1675">
        <f t="shared" ca="1" si="324"/>
        <v>4804991</v>
      </c>
    </row>
    <row r="1676" spans="1:13" x14ac:dyDescent="0.25">
      <c r="A1676">
        <f t="shared" ca="1" si="317"/>
        <v>4</v>
      </c>
      <c r="B1676">
        <f t="shared" ca="1" si="318"/>
        <v>243</v>
      </c>
      <c r="C1676" t="str">
        <f t="shared" ca="1" si="325"/>
        <v>'WINDOWS-NCH-A-BDP-M3-02-00'!B242</v>
      </c>
      <c r="D1676" s="6" t="str">
        <f t="shared" ca="1" si="326"/>
        <v>L02-DCU-DMS-S139-06</v>
      </c>
      <c r="E1676" t="str">
        <f t="shared" ca="1" si="327"/>
        <v>Family Type: 975w x 3050h, Family: Window External Type 1 - Recessed</v>
      </c>
      <c r="F1676" t="str">
        <f t="shared" ca="1" si="328"/>
        <v>Vector(X = -0.323, Y = 0.946, Z = 0.000, Length = 1.000)</v>
      </c>
      <c r="G1676">
        <f t="shared" ca="1" si="319"/>
        <v>-0.3</v>
      </c>
      <c r="H1676">
        <f t="shared" ca="1" si="320"/>
        <v>0.9</v>
      </c>
      <c r="I1676">
        <f t="shared" ca="1" si="321"/>
        <v>0</v>
      </c>
      <c r="J1676" s="8">
        <f t="shared" ca="1" si="322"/>
        <v>108.43494882292201</v>
      </c>
      <c r="K1676" s="9" t="str">
        <f t="shared" ca="1" si="323"/>
        <v>N</v>
      </c>
      <c r="L1676">
        <f ca="1">+_xlfn.IFNA(VLOOKUP(M1676,BespokeWindowsAreas!$B$2:$E$1999,4,FALSE),VLOOKUP(E1676,WindowTypeArea!$B$2:$C$113,2,FALSE))</f>
        <v>2.9737499999999999</v>
      </c>
      <c r="M1676">
        <f t="shared" ca="1" si="324"/>
        <v>4805085</v>
      </c>
    </row>
    <row r="1677" spans="1:13" x14ac:dyDescent="0.25">
      <c r="A1677">
        <f t="shared" ca="1" si="317"/>
        <v>4</v>
      </c>
      <c r="B1677">
        <f t="shared" ca="1" si="318"/>
        <v>244</v>
      </c>
      <c r="C1677" t="str">
        <f t="shared" ca="1" si="325"/>
        <v>'WINDOWS-NCH-A-BDP-M3-02-00'!B243</v>
      </c>
      <c r="D1677" s="6" t="str">
        <f t="shared" ca="1" si="326"/>
        <v>L02-DCU-DMS-S139-06</v>
      </c>
      <c r="E1677" t="str">
        <f t="shared" ca="1" si="327"/>
        <v>Family Type: 1500w x 3050h, Family: Window External Type 3 - Recessed and Angle</v>
      </c>
      <c r="F1677" t="str">
        <f t="shared" ca="1" si="328"/>
        <v>Vector(X = -0.323, Y = 0.946, Z = 0.000, Length = 1.000)</v>
      </c>
      <c r="G1677">
        <f t="shared" ca="1" si="319"/>
        <v>-0.3</v>
      </c>
      <c r="H1677">
        <f t="shared" ca="1" si="320"/>
        <v>0.9</v>
      </c>
      <c r="I1677">
        <f t="shared" ca="1" si="321"/>
        <v>0</v>
      </c>
      <c r="J1677" s="8">
        <f t="shared" ca="1" si="322"/>
        <v>108.43494882292201</v>
      </c>
      <c r="K1677" s="9" t="str">
        <f t="shared" ca="1" si="323"/>
        <v>N</v>
      </c>
      <c r="L1677">
        <f ca="1">+_xlfn.IFNA(VLOOKUP(M1677,BespokeWindowsAreas!$B$2:$E$1999,4,FALSE),VLOOKUP(E1677,WindowTypeArea!$B$2:$C$113,2,FALSE))</f>
        <v>4.5750000000000002</v>
      </c>
      <c r="M1677">
        <f t="shared" ca="1" si="324"/>
        <v>4805153</v>
      </c>
    </row>
    <row r="1678" spans="1:13" x14ac:dyDescent="0.25">
      <c r="A1678">
        <f t="shared" ca="1" si="317"/>
        <v>4</v>
      </c>
      <c r="B1678">
        <f t="shared" ca="1" si="318"/>
        <v>245</v>
      </c>
      <c r="C1678" t="str">
        <f t="shared" ca="1" si="325"/>
        <v>'WINDOWS-NCH-A-BDP-M3-02-00'!B244</v>
      </c>
      <c r="D1678" s="6" t="str">
        <f t="shared" ca="1" si="326"/>
        <v>L02-DCU-DMS-S139-06</v>
      </c>
      <c r="E1678" t="str">
        <f t="shared" ca="1" si="327"/>
        <v>Family Type: 975w x 3050h, Family: Window External Type 1 - Recessed</v>
      </c>
      <c r="F1678" t="str">
        <f t="shared" ca="1" si="328"/>
        <v>Vector(X = -0.323, Y = 0.946, Z = 0.000, Length = 1.000)</v>
      </c>
      <c r="G1678">
        <f t="shared" ca="1" si="319"/>
        <v>-0.3</v>
      </c>
      <c r="H1678">
        <f t="shared" ca="1" si="320"/>
        <v>0.9</v>
      </c>
      <c r="I1678">
        <f t="shared" ca="1" si="321"/>
        <v>0</v>
      </c>
      <c r="J1678" s="8">
        <f t="shared" ca="1" si="322"/>
        <v>108.43494882292201</v>
      </c>
      <c r="K1678" s="9" t="str">
        <f t="shared" ca="1" si="323"/>
        <v>N</v>
      </c>
      <c r="L1678">
        <f ca="1">+_xlfn.IFNA(VLOOKUP(M1678,BespokeWindowsAreas!$B$2:$E$1999,4,FALSE),VLOOKUP(E1678,WindowTypeArea!$B$2:$C$113,2,FALSE))</f>
        <v>2.9737499999999999</v>
      </c>
      <c r="M1678">
        <f t="shared" ca="1" si="324"/>
        <v>4805235</v>
      </c>
    </row>
    <row r="1679" spans="1:13" x14ac:dyDescent="0.25">
      <c r="A1679">
        <f t="shared" ca="1" si="317"/>
        <v>4</v>
      </c>
      <c r="B1679">
        <f t="shared" ca="1" si="318"/>
        <v>246</v>
      </c>
      <c r="C1679" t="str">
        <f t="shared" ca="1" si="325"/>
        <v>'WINDOWS-NCH-A-BDP-M3-02-00'!B245</v>
      </c>
      <c r="D1679" s="6" t="str">
        <f t="shared" ca="1" si="326"/>
        <v>L02-DCU-DMS-S139-06</v>
      </c>
      <c r="E1679" t="str">
        <f t="shared" ca="1" si="327"/>
        <v>Family Type: 1950w x 3050h, Family: Window External Type 3 - Recessed and Angle</v>
      </c>
      <c r="F1679" t="str">
        <f t="shared" ca="1" si="328"/>
        <v>Vector(X = -0.323, Y = 0.946, Z = 0.000, Length = 1.000)</v>
      </c>
      <c r="G1679">
        <f t="shared" ca="1" si="319"/>
        <v>-0.3</v>
      </c>
      <c r="H1679">
        <f t="shared" ca="1" si="320"/>
        <v>0.9</v>
      </c>
      <c r="I1679">
        <f t="shared" ca="1" si="321"/>
        <v>0</v>
      </c>
      <c r="J1679" s="8">
        <f t="shared" ca="1" si="322"/>
        <v>108.43494882292201</v>
      </c>
      <c r="K1679" s="9" t="str">
        <f t="shared" ca="1" si="323"/>
        <v>N</v>
      </c>
      <c r="L1679">
        <f ca="1">+_xlfn.IFNA(VLOOKUP(M1679,BespokeWindowsAreas!$B$2:$E$1999,4,FALSE),VLOOKUP(E1679,WindowTypeArea!$B$2:$C$113,2,FALSE))</f>
        <v>5.9474999999999998</v>
      </c>
      <c r="M1679">
        <f t="shared" ca="1" si="324"/>
        <v>4805297</v>
      </c>
    </row>
    <row r="1680" spans="1:13" x14ac:dyDescent="0.25">
      <c r="A1680">
        <f t="shared" ca="1" si="317"/>
        <v>4</v>
      </c>
      <c r="B1680">
        <f t="shared" ca="1" si="318"/>
        <v>247</v>
      </c>
      <c r="C1680" t="str">
        <f t="shared" ca="1" si="325"/>
        <v>'WINDOWS-NCH-A-BDP-M3-02-00'!B246</v>
      </c>
      <c r="D1680" s="6" t="str">
        <f t="shared" ca="1" si="326"/>
        <v>L02-DCU-DMS-S139-06</v>
      </c>
      <c r="E1680" t="str">
        <f t="shared" ca="1" si="327"/>
        <v>Family Type: 3490w x 3050h, Family: Window External Type 3 - Recessed and Angle with Type 1 Flush</v>
      </c>
      <c r="F1680" t="str">
        <f t="shared" ca="1" si="328"/>
        <v>Vector(X = 0.429, Y = -0.903, Z = 0.000, Length = 1.000)</v>
      </c>
      <c r="G1680">
        <f t="shared" ca="1" si="319"/>
        <v>0.4</v>
      </c>
      <c r="H1680">
        <f t="shared" ca="1" si="320"/>
        <v>-0.9</v>
      </c>
      <c r="I1680">
        <f t="shared" ca="1" si="321"/>
        <v>0</v>
      </c>
      <c r="J1680" s="8">
        <f t="shared" ca="1" si="322"/>
        <v>-66.037511025421821</v>
      </c>
      <c r="K1680" s="9" t="str">
        <f t="shared" ca="1" si="323"/>
        <v>S</v>
      </c>
      <c r="L1680">
        <f ca="1">+_xlfn.IFNA(VLOOKUP(M1680,BespokeWindowsAreas!$B$2:$E$1999,4,FALSE),VLOOKUP(E1680,WindowTypeArea!$B$2:$C$113,2,FALSE))</f>
        <v>7.67075</v>
      </c>
      <c r="M1680">
        <f t="shared" ca="1" si="324"/>
        <v>7066581</v>
      </c>
    </row>
    <row r="1681" spans="1:13" x14ac:dyDescent="0.25">
      <c r="A1681">
        <f t="shared" ca="1" si="317"/>
        <v>4</v>
      </c>
      <c r="B1681">
        <f t="shared" ca="1" si="318"/>
        <v>248</v>
      </c>
      <c r="C1681" t="str">
        <f t="shared" ca="1" si="325"/>
        <v>'WINDOWS-NCH-A-BDP-M3-02-00'!B247</v>
      </c>
      <c r="D1681" s="6" t="str">
        <f t="shared" ca="1" si="326"/>
        <v>L02-DCU-DMS-S139-06</v>
      </c>
      <c r="E1681" t="str">
        <f t="shared" ca="1" si="327"/>
        <v>Family Type: 3490w x 3050h, Family: Window External Type 3 - Recessed and Angle with Type 1 Flush</v>
      </c>
      <c r="F1681" t="str">
        <f t="shared" ca="1" si="328"/>
        <v>Vector(X = 0.429, Y = -0.903, Z = 0.000, Length = 1.000)</v>
      </c>
      <c r="G1681">
        <f t="shared" ca="1" si="319"/>
        <v>0.4</v>
      </c>
      <c r="H1681">
        <f t="shared" ca="1" si="320"/>
        <v>-0.9</v>
      </c>
      <c r="I1681">
        <f t="shared" ca="1" si="321"/>
        <v>0</v>
      </c>
      <c r="J1681" s="8">
        <f t="shared" ca="1" si="322"/>
        <v>-66.037511025421821</v>
      </c>
      <c r="K1681" s="9" t="str">
        <f t="shared" ca="1" si="323"/>
        <v>S</v>
      </c>
      <c r="L1681">
        <f ca="1">+_xlfn.IFNA(VLOOKUP(M1681,BespokeWindowsAreas!$B$2:$E$1999,4,FALSE),VLOOKUP(E1681,WindowTypeArea!$B$2:$C$113,2,FALSE))</f>
        <v>7.67075</v>
      </c>
      <c r="M1681">
        <f t="shared" ca="1" si="324"/>
        <v>7066596</v>
      </c>
    </row>
    <row r="1682" spans="1:13" x14ac:dyDescent="0.25">
      <c r="A1682">
        <f t="shared" ca="1" si="317"/>
        <v>4</v>
      </c>
      <c r="B1682">
        <f t="shared" ca="1" si="318"/>
        <v>249</v>
      </c>
      <c r="C1682" t="str">
        <f t="shared" ca="1" si="325"/>
        <v>'WINDOWS-NCH-A-BDP-M3-02-00'!B248</v>
      </c>
      <c r="D1682" s="6" t="str">
        <f t="shared" ca="1" si="326"/>
        <v>L02-DCU-DMS-S139-06</v>
      </c>
      <c r="E1682" t="str">
        <f t="shared" ca="1" si="327"/>
        <v>Family Type: 3490w x 3050h, Family: Window External Type 3 - Recessed and Angle with Type 1 Flush</v>
      </c>
      <c r="F1682" t="str">
        <f t="shared" ca="1" si="328"/>
        <v>Vector(X = 0.429, Y = -0.903, Z = 0.000, Length = 1.000)</v>
      </c>
      <c r="G1682">
        <f t="shared" ca="1" si="319"/>
        <v>0.4</v>
      </c>
      <c r="H1682">
        <f t="shared" ca="1" si="320"/>
        <v>-0.9</v>
      </c>
      <c r="I1682">
        <f t="shared" ca="1" si="321"/>
        <v>0</v>
      </c>
      <c r="J1682" s="8">
        <f t="shared" ca="1" si="322"/>
        <v>-66.037511025421821</v>
      </c>
      <c r="K1682" s="9" t="str">
        <f t="shared" ca="1" si="323"/>
        <v>S</v>
      </c>
      <c r="L1682">
        <f ca="1">+_xlfn.IFNA(VLOOKUP(M1682,BespokeWindowsAreas!$B$2:$E$1999,4,FALSE),VLOOKUP(E1682,WindowTypeArea!$B$2:$C$113,2,FALSE))</f>
        <v>7.67075</v>
      </c>
      <c r="M1682">
        <f t="shared" ca="1" si="324"/>
        <v>7066647</v>
      </c>
    </row>
    <row r="1683" spans="1:13" x14ac:dyDescent="0.25">
      <c r="A1683">
        <f t="shared" ca="1" si="317"/>
        <v>4</v>
      </c>
      <c r="B1683">
        <f t="shared" ca="1" si="318"/>
        <v>250</v>
      </c>
      <c r="C1683" t="str">
        <f t="shared" ca="1" si="325"/>
        <v>'WINDOWS-NCH-A-BDP-M3-02-00'!B249</v>
      </c>
      <c r="D1683" s="6">
        <f t="shared" ca="1" si="326"/>
        <v>0</v>
      </c>
      <c r="E1683">
        <f t="shared" ca="1" si="327"/>
        <v>0</v>
      </c>
      <c r="F1683">
        <f t="shared" ca="1" si="328"/>
        <v>1676453</v>
      </c>
      <c r="G1683">
        <f t="shared" ca="1" si="319"/>
        <v>0</v>
      </c>
      <c r="H1683">
        <f t="shared" ca="1" si="320"/>
        <v>0</v>
      </c>
      <c r="I1683">
        <f t="shared" ca="1" si="321"/>
        <v>0</v>
      </c>
      <c r="J1683" s="8" t="e">
        <f t="shared" ca="1" si="322"/>
        <v>#DIV/0!</v>
      </c>
      <c r="K1683" s="9" t="e">
        <f t="shared" ca="1" si="323"/>
        <v>#DIV/0!</v>
      </c>
      <c r="L1683" t="e">
        <f ca="1">+_xlfn.IFNA(VLOOKUP(M1683,BespokeWindowsAreas!$B$2:$E$1999,4,FALSE),VLOOKUP(E1683,WindowTypeArea!$B$2:$C$113,2,FALSE))</f>
        <v>#N/A</v>
      </c>
      <c r="M1683">
        <f t="shared" ca="1" si="324"/>
        <v>0</v>
      </c>
    </row>
    <row r="1684" spans="1:13" x14ac:dyDescent="0.25">
      <c r="A1684">
        <f t="shared" ref="A1684:A1747" ca="1" si="329">+IF(B1683&lt;=VLOOKUP(MID(C1684,2,26),TABS,2,FALSE),A1683,+A1683+1)</f>
        <v>4</v>
      </c>
      <c r="B1684">
        <f t="shared" ref="B1684:B1747" ca="1" si="330">+IF(B1683&lt;=VLOOKUP(MID(C1684,2,26),TABS,2,FALSE),B1683+1,1)</f>
        <v>251</v>
      </c>
      <c r="C1684" t="str">
        <f t="shared" ca="1" si="325"/>
        <v>'WINDOWS-NCH-A-BDP-M3-02-00'!B250</v>
      </c>
      <c r="D1684" s="6">
        <f t="shared" ca="1" si="326"/>
        <v>0</v>
      </c>
      <c r="E1684" t="str">
        <f t="shared" ca="1" si="327"/>
        <v>Family Type: 1950w x 3050h, Family: Window External Type 3 - Recessed and Angle</v>
      </c>
      <c r="F1684" t="str">
        <f t="shared" ca="1" si="328"/>
        <v>Vector(X = 0.041, Y = -0.999, Z = 0.000, Length = 1.000)</v>
      </c>
      <c r="G1684">
        <f t="shared" ca="1" si="319"/>
        <v>0</v>
      </c>
      <c r="H1684">
        <f t="shared" ca="1" si="320"/>
        <v>-1</v>
      </c>
      <c r="I1684">
        <f t="shared" ca="1" si="321"/>
        <v>0</v>
      </c>
      <c r="J1684" s="8">
        <f t="shared" ca="1" si="322"/>
        <v>-90</v>
      </c>
      <c r="K1684" s="9" t="str">
        <f t="shared" ca="1" si="323"/>
        <v>S</v>
      </c>
      <c r="L1684">
        <f ca="1">+_xlfn.IFNA(VLOOKUP(M1684,BespokeWindowsAreas!$B$2:$E$1999,4,FALSE),VLOOKUP(E1684,WindowTypeArea!$B$2:$C$113,2,FALSE))</f>
        <v>5.9474999999999998</v>
      </c>
      <c r="M1684">
        <f t="shared" ca="1" si="324"/>
        <v>5032142</v>
      </c>
    </row>
    <row r="1685" spans="1:13" x14ac:dyDescent="0.25">
      <c r="A1685">
        <f t="shared" ca="1" si="329"/>
        <v>4</v>
      </c>
      <c r="B1685">
        <f t="shared" ca="1" si="330"/>
        <v>252</v>
      </c>
      <c r="C1685" t="str">
        <f t="shared" ca="1" si="325"/>
        <v>'WINDOWS-NCH-A-BDP-M3-02-00'!B251</v>
      </c>
      <c r="D1685" s="6" t="str">
        <f t="shared" ca="1" si="326"/>
        <v>L02-PON-CIR-C001-02</v>
      </c>
      <c r="E1685" t="str">
        <f t="shared" ca="1" si="327"/>
        <v>L02-PON-CIR-C001-02</v>
      </c>
      <c r="F1685">
        <f t="shared" ca="1" si="328"/>
        <v>1686817</v>
      </c>
      <c r="G1685">
        <f t="shared" ca="1" si="319"/>
        <v>0</v>
      </c>
      <c r="H1685">
        <f t="shared" ca="1" si="320"/>
        <v>0</v>
      </c>
      <c r="I1685">
        <f t="shared" ca="1" si="321"/>
        <v>0</v>
      </c>
      <c r="J1685" s="8" t="e">
        <f t="shared" ca="1" si="322"/>
        <v>#DIV/0!</v>
      </c>
      <c r="K1685" s="9" t="e">
        <f t="shared" ca="1" si="323"/>
        <v>#DIV/0!</v>
      </c>
      <c r="L1685" t="e">
        <f ca="1">+_xlfn.IFNA(VLOOKUP(M1685,BespokeWindowsAreas!$B$2:$E$1999,4,FALSE),VLOOKUP(E1685,WindowTypeArea!$B$2:$C$113,2,FALSE))</f>
        <v>#N/A</v>
      </c>
      <c r="M1685">
        <f t="shared" ca="1" si="324"/>
        <v>0</v>
      </c>
    </row>
    <row r="1686" spans="1:13" x14ac:dyDescent="0.25">
      <c r="A1686">
        <f t="shared" ca="1" si="329"/>
        <v>4</v>
      </c>
      <c r="B1686">
        <f t="shared" ca="1" si="330"/>
        <v>253</v>
      </c>
      <c r="C1686" t="str">
        <f t="shared" ca="1" si="325"/>
        <v>'WINDOWS-NCH-A-BDP-M3-02-00'!B252</v>
      </c>
      <c r="D1686" s="6" t="str">
        <f t="shared" ca="1" si="326"/>
        <v>L02-PON-CIR-C001-02</v>
      </c>
      <c r="E1686" t="str">
        <f t="shared" ca="1" si="327"/>
        <v>Family Type: 1000w x 3050h, Family: Window External Type 2 - Recessed and Fin</v>
      </c>
      <c r="F1686" t="str">
        <f t="shared" ca="1" si="328"/>
        <v>Vector(X = -0.212, Y = 0.977, Z = 0.000, Length = 1.000)</v>
      </c>
      <c r="G1686">
        <f t="shared" ref="G1686:G1749" ca="1" si="331">+OFFSET(INDIRECT(C1686),0,2)</f>
        <v>-0.2</v>
      </c>
      <c r="H1686">
        <f t="shared" ref="H1686:H1749" ca="1" si="332">+OFFSET(INDIRECT(C1686),0,3)</f>
        <v>1</v>
      </c>
      <c r="I1686">
        <f t="shared" ref="I1686:I1749" ca="1" si="333">+OFFSET(INDIRECT(C1686),0,4)</f>
        <v>0</v>
      </c>
      <c r="J1686" s="8">
        <f t="shared" ref="J1686:J1749" ca="1" si="334">+DEGREES(ATAN2(G1686,H1686))</f>
        <v>101.3099324740202</v>
      </c>
      <c r="K1686" s="9" t="str">
        <f t="shared" ref="K1686:K1749" ca="1" si="335">VLOOKUP(J1686,$O$20:$P$36,2,-1)</f>
        <v>N</v>
      </c>
      <c r="L1686">
        <f ca="1">+_xlfn.IFNA(VLOOKUP(M1686,BespokeWindowsAreas!$B$2:$E$1999,4,FALSE),VLOOKUP(E1686,WindowTypeArea!$B$2:$C$113,2,FALSE))</f>
        <v>3.05</v>
      </c>
      <c r="M1686">
        <f t="shared" ref="M1686:M1749" ca="1" si="336">+OFFSET(INDIRECT(C1686),0,5)</f>
        <v>4306480</v>
      </c>
    </row>
    <row r="1687" spans="1:13" x14ac:dyDescent="0.25">
      <c r="A1687">
        <f t="shared" ca="1" si="329"/>
        <v>4</v>
      </c>
      <c r="B1687">
        <f t="shared" ca="1" si="330"/>
        <v>254</v>
      </c>
      <c r="C1687" t="str">
        <f t="shared" ca="1" si="325"/>
        <v>'WINDOWS-NCH-A-BDP-M3-02-00'!B253</v>
      </c>
      <c r="D1687" s="6">
        <f t="shared" ca="1" si="326"/>
        <v>0</v>
      </c>
      <c r="E1687">
        <f t="shared" ca="1" si="327"/>
        <v>0</v>
      </c>
      <c r="F1687">
        <f t="shared" ca="1" si="328"/>
        <v>1687895</v>
      </c>
      <c r="G1687">
        <f t="shared" ca="1" si="331"/>
        <v>0</v>
      </c>
      <c r="H1687">
        <f t="shared" ca="1" si="332"/>
        <v>0</v>
      </c>
      <c r="I1687">
        <f t="shared" ca="1" si="333"/>
        <v>0</v>
      </c>
      <c r="J1687" s="8" t="e">
        <f t="shared" ca="1" si="334"/>
        <v>#DIV/0!</v>
      </c>
      <c r="K1687" s="9" t="e">
        <f t="shared" ca="1" si="335"/>
        <v>#DIV/0!</v>
      </c>
      <c r="L1687" t="e">
        <f ca="1">+_xlfn.IFNA(VLOOKUP(M1687,BespokeWindowsAreas!$B$2:$E$1999,4,FALSE),VLOOKUP(E1687,WindowTypeArea!$B$2:$C$113,2,FALSE))</f>
        <v>#N/A</v>
      </c>
      <c r="M1687">
        <f t="shared" ca="1" si="336"/>
        <v>0</v>
      </c>
    </row>
    <row r="1688" spans="1:13" x14ac:dyDescent="0.25">
      <c r="A1688">
        <f t="shared" ca="1" si="329"/>
        <v>4</v>
      </c>
      <c r="B1688">
        <f t="shared" ca="1" si="330"/>
        <v>255</v>
      </c>
      <c r="C1688" t="str">
        <f t="shared" ca="1" si="325"/>
        <v>'WINDOWS-NCH-A-BDP-M3-02-00'!B254</v>
      </c>
      <c r="D1688" s="6">
        <f t="shared" ca="1" si="326"/>
        <v>0</v>
      </c>
      <c r="E1688" t="str">
        <f t="shared" ca="1" si="327"/>
        <v>Family Type: 1500w x 3050h, Family: Window External Type 3 - Recessed and Angle</v>
      </c>
      <c r="F1688" t="str">
        <f t="shared" ca="1" si="328"/>
        <v>Vector(X = 0.212, Y = -0.977, Z = 0.000, Length = 1.000)</v>
      </c>
      <c r="G1688">
        <f t="shared" ca="1" si="331"/>
        <v>0.2</v>
      </c>
      <c r="H1688">
        <f t="shared" ca="1" si="332"/>
        <v>-1</v>
      </c>
      <c r="I1688">
        <f t="shared" ca="1" si="333"/>
        <v>0</v>
      </c>
      <c r="J1688" s="8">
        <f t="shared" ca="1" si="334"/>
        <v>-78.690067525979785</v>
      </c>
      <c r="K1688" s="9" t="str">
        <f t="shared" ca="1" si="335"/>
        <v>S</v>
      </c>
      <c r="L1688">
        <f ca="1">+_xlfn.IFNA(VLOOKUP(M1688,BespokeWindowsAreas!$B$2:$E$1999,4,FALSE),VLOOKUP(E1688,WindowTypeArea!$B$2:$C$113,2,FALSE))</f>
        <v>4.5750000000000002</v>
      </c>
      <c r="M1688">
        <f t="shared" ca="1" si="336"/>
        <v>4928962</v>
      </c>
    </row>
    <row r="1689" spans="1:13" x14ac:dyDescent="0.25">
      <c r="A1689">
        <f t="shared" ca="1" si="329"/>
        <v>4</v>
      </c>
      <c r="B1689">
        <f t="shared" ca="1" si="330"/>
        <v>256</v>
      </c>
      <c r="C1689" t="str">
        <f t="shared" ca="1" si="325"/>
        <v>'WINDOWS-NCH-A-BDP-M3-02-00'!B255</v>
      </c>
      <c r="D1689" s="6">
        <f t="shared" ca="1" si="326"/>
        <v>0</v>
      </c>
      <c r="E1689" t="str">
        <f t="shared" ca="1" si="327"/>
        <v>Family Type: 1950w x 3050h, Family: Window External Type 3 - Recessed and Angle</v>
      </c>
      <c r="F1689" t="str">
        <f t="shared" ca="1" si="328"/>
        <v>Vector(X = 0.212, Y = -0.977, Z = 0.000, Length = 1.000)</v>
      </c>
      <c r="G1689">
        <f t="shared" ca="1" si="331"/>
        <v>0.2</v>
      </c>
      <c r="H1689">
        <f t="shared" ca="1" si="332"/>
        <v>-1</v>
      </c>
      <c r="I1689">
        <f t="shared" ca="1" si="333"/>
        <v>0</v>
      </c>
      <c r="J1689" s="8">
        <f t="shared" ca="1" si="334"/>
        <v>-78.690067525979785</v>
      </c>
      <c r="K1689" s="9" t="str">
        <f t="shared" ca="1" si="335"/>
        <v>S</v>
      </c>
      <c r="L1689">
        <f ca="1">+_xlfn.IFNA(VLOOKUP(M1689,BespokeWindowsAreas!$B$2:$E$1999,4,FALSE),VLOOKUP(E1689,WindowTypeArea!$B$2:$C$113,2,FALSE))</f>
        <v>5.9474999999999998</v>
      </c>
      <c r="M1689">
        <f t="shared" ca="1" si="336"/>
        <v>4928964</v>
      </c>
    </row>
    <row r="1690" spans="1:13" x14ac:dyDescent="0.25">
      <c r="A1690">
        <f t="shared" ca="1" si="329"/>
        <v>4</v>
      </c>
      <c r="B1690">
        <f t="shared" ca="1" si="330"/>
        <v>257</v>
      </c>
      <c r="C1690" t="str">
        <f t="shared" ca="1" si="325"/>
        <v>'WINDOWS-NCH-A-BDP-M3-02-00'!B256</v>
      </c>
      <c r="D1690" s="6" t="str">
        <f t="shared" ca="1" si="326"/>
        <v>L02-CIR-CIR-C008-01</v>
      </c>
      <c r="E1690" t="str">
        <f t="shared" ca="1" si="327"/>
        <v>L02-CIR-CIR-C008-01</v>
      </c>
      <c r="F1690">
        <f t="shared" ca="1" si="328"/>
        <v>1687921</v>
      </c>
      <c r="G1690">
        <f t="shared" ca="1" si="331"/>
        <v>0</v>
      </c>
      <c r="H1690">
        <f t="shared" ca="1" si="332"/>
        <v>0</v>
      </c>
      <c r="I1690">
        <f t="shared" ca="1" si="333"/>
        <v>0</v>
      </c>
      <c r="J1690" s="8" t="e">
        <f t="shared" ca="1" si="334"/>
        <v>#DIV/0!</v>
      </c>
      <c r="K1690" s="9" t="e">
        <f t="shared" ca="1" si="335"/>
        <v>#DIV/0!</v>
      </c>
      <c r="L1690" t="e">
        <f ca="1">+_xlfn.IFNA(VLOOKUP(M1690,BespokeWindowsAreas!$B$2:$E$1999,4,FALSE),VLOOKUP(E1690,WindowTypeArea!$B$2:$C$113,2,FALSE))</f>
        <v>#N/A</v>
      </c>
      <c r="M1690">
        <f t="shared" ca="1" si="336"/>
        <v>0</v>
      </c>
    </row>
    <row r="1691" spans="1:13" x14ac:dyDescent="0.25">
      <c r="A1691">
        <f t="shared" ca="1" si="329"/>
        <v>4</v>
      </c>
      <c r="B1691">
        <f t="shared" ca="1" si="330"/>
        <v>258</v>
      </c>
      <c r="C1691" t="str">
        <f t="shared" ca="1" si="325"/>
        <v>'WINDOWS-NCH-A-BDP-M3-02-00'!B257</v>
      </c>
      <c r="D1691" s="6" t="str">
        <f t="shared" ca="1" si="326"/>
        <v>L02-CIR-CIR-C008-01</v>
      </c>
      <c r="E1691" t="str">
        <f t="shared" ca="1" si="327"/>
        <v>Family Type: 1000w x 3050h, Family: Window External Type 2 - Recessed and Fin</v>
      </c>
      <c r="F1691" t="str">
        <f t="shared" ca="1" si="328"/>
        <v>Vector(X = 0.212, Y = -0.977, Z = 0.000, Length = 1.000)</v>
      </c>
      <c r="G1691">
        <f t="shared" ca="1" si="331"/>
        <v>0.2</v>
      </c>
      <c r="H1691">
        <f t="shared" ca="1" si="332"/>
        <v>-1</v>
      </c>
      <c r="I1691">
        <f t="shared" ca="1" si="333"/>
        <v>0</v>
      </c>
      <c r="J1691" s="8">
        <f t="shared" ca="1" si="334"/>
        <v>-78.690067525979785</v>
      </c>
      <c r="K1691" s="9" t="str">
        <f t="shared" ca="1" si="335"/>
        <v>S</v>
      </c>
      <c r="L1691">
        <f ca="1">+_xlfn.IFNA(VLOOKUP(M1691,BespokeWindowsAreas!$B$2:$E$1999,4,FALSE),VLOOKUP(E1691,WindowTypeArea!$B$2:$C$113,2,FALSE))</f>
        <v>3.05</v>
      </c>
      <c r="M1691">
        <f t="shared" ca="1" si="336"/>
        <v>4870412</v>
      </c>
    </row>
    <row r="1692" spans="1:13" x14ac:dyDescent="0.25">
      <c r="A1692">
        <f t="shared" ca="1" si="329"/>
        <v>4</v>
      </c>
      <c r="B1692">
        <f t="shared" ca="1" si="330"/>
        <v>259</v>
      </c>
      <c r="C1692" t="str">
        <f t="shared" ca="1" si="325"/>
        <v>'WINDOWS-NCH-A-BDP-M3-02-00'!B258</v>
      </c>
      <c r="D1692" s="6" t="str">
        <f t="shared" ca="1" si="326"/>
        <v>L02-CIR-CIR-C008-03</v>
      </c>
      <c r="E1692" t="str">
        <f t="shared" ca="1" si="327"/>
        <v>L02-CIR-CIR-C008-03</v>
      </c>
      <c r="F1692">
        <f t="shared" ca="1" si="328"/>
        <v>1687931</v>
      </c>
      <c r="G1692">
        <f t="shared" ca="1" si="331"/>
        <v>0</v>
      </c>
      <c r="H1692">
        <f t="shared" ca="1" si="332"/>
        <v>0</v>
      </c>
      <c r="I1692">
        <f t="shared" ca="1" si="333"/>
        <v>0</v>
      </c>
      <c r="J1692" s="8" t="e">
        <f t="shared" ca="1" si="334"/>
        <v>#DIV/0!</v>
      </c>
      <c r="K1692" s="9" t="e">
        <f t="shared" ca="1" si="335"/>
        <v>#DIV/0!</v>
      </c>
      <c r="L1692" t="e">
        <f ca="1">+_xlfn.IFNA(VLOOKUP(M1692,BespokeWindowsAreas!$B$2:$E$1999,4,FALSE),VLOOKUP(E1692,WindowTypeArea!$B$2:$C$113,2,FALSE))</f>
        <v>#N/A</v>
      </c>
      <c r="M1692">
        <f t="shared" ca="1" si="336"/>
        <v>0</v>
      </c>
    </row>
    <row r="1693" spans="1:13" x14ac:dyDescent="0.25">
      <c r="A1693">
        <f t="shared" ca="1" si="329"/>
        <v>4</v>
      </c>
      <c r="B1693">
        <f t="shared" ca="1" si="330"/>
        <v>260</v>
      </c>
      <c r="C1693" t="str">
        <f t="shared" ca="1" si="325"/>
        <v>'WINDOWS-NCH-A-BDP-M3-02-00'!B259</v>
      </c>
      <c r="D1693" s="6" t="str">
        <f t="shared" ca="1" si="326"/>
        <v>L02-CIR-CIR-C008-03</v>
      </c>
      <c r="E1693" t="str">
        <f t="shared" ca="1" si="327"/>
        <v>Family Type: 1000w x 3050h, Family: Window External Type 2 - Recessed and Fin</v>
      </c>
      <c r="F1693" t="str">
        <f t="shared" ca="1" si="328"/>
        <v>Vector(X = -0.530, Y = 0.848, Z = 0.000, Length = 1.000)</v>
      </c>
      <c r="G1693">
        <f t="shared" ca="1" si="331"/>
        <v>-0.5</v>
      </c>
      <c r="H1693">
        <f t="shared" ca="1" si="332"/>
        <v>0.8</v>
      </c>
      <c r="I1693">
        <f t="shared" ca="1" si="333"/>
        <v>0</v>
      </c>
      <c r="J1693" s="8">
        <f t="shared" ca="1" si="334"/>
        <v>122.0053832080835</v>
      </c>
      <c r="K1693" s="9" t="str">
        <f t="shared" ca="1" si="335"/>
        <v>N</v>
      </c>
      <c r="L1693">
        <f ca="1">+_xlfn.IFNA(VLOOKUP(M1693,BespokeWindowsAreas!$B$2:$E$1999,4,FALSE),VLOOKUP(E1693,WindowTypeArea!$B$2:$C$113,2,FALSE))</f>
        <v>3.05</v>
      </c>
      <c r="M1693">
        <f t="shared" ca="1" si="336"/>
        <v>6091460</v>
      </c>
    </row>
    <row r="1694" spans="1:13" x14ac:dyDescent="0.25">
      <c r="A1694">
        <f t="shared" ca="1" si="329"/>
        <v>4</v>
      </c>
      <c r="B1694">
        <f t="shared" ca="1" si="330"/>
        <v>261</v>
      </c>
      <c r="C1694" t="str">
        <f t="shared" ca="1" si="325"/>
        <v>'WINDOWS-NCH-A-BDP-M3-02-00'!B260</v>
      </c>
      <c r="D1694" s="6" t="str">
        <f t="shared" ca="1" si="326"/>
        <v>L02-CIR-CIR-C008-03</v>
      </c>
      <c r="E1694" t="str">
        <f t="shared" ca="1" si="327"/>
        <v>Family Type: 1500w x 3050h, Family: Window External Type 3 - Recessed and Angle</v>
      </c>
      <c r="F1694" t="str">
        <f t="shared" ca="1" si="328"/>
        <v>Vector(X = -0.530, Y = 0.848, Z = 0.000, Length = 1.000)</v>
      </c>
      <c r="G1694">
        <f t="shared" ca="1" si="331"/>
        <v>-0.5</v>
      </c>
      <c r="H1694">
        <f t="shared" ca="1" si="332"/>
        <v>0.8</v>
      </c>
      <c r="I1694">
        <f t="shared" ca="1" si="333"/>
        <v>0</v>
      </c>
      <c r="J1694" s="8">
        <f t="shared" ca="1" si="334"/>
        <v>122.0053832080835</v>
      </c>
      <c r="K1694" s="9" t="str">
        <f t="shared" ca="1" si="335"/>
        <v>N</v>
      </c>
      <c r="L1694">
        <f ca="1">+_xlfn.IFNA(VLOOKUP(M1694,BespokeWindowsAreas!$B$2:$E$1999,4,FALSE),VLOOKUP(E1694,WindowTypeArea!$B$2:$C$113,2,FALSE))</f>
        <v>4.5750000000000002</v>
      </c>
      <c r="M1694">
        <f t="shared" ca="1" si="336"/>
        <v>6091461</v>
      </c>
    </row>
    <row r="1695" spans="1:13" x14ac:dyDescent="0.25">
      <c r="A1695">
        <f t="shared" ca="1" si="329"/>
        <v>4</v>
      </c>
      <c r="B1695">
        <f t="shared" ca="1" si="330"/>
        <v>262</v>
      </c>
      <c r="C1695" t="str">
        <f t="shared" ca="1" si="325"/>
        <v>'WINDOWS-NCH-A-BDP-M3-02-00'!B261</v>
      </c>
      <c r="D1695" s="6" t="str">
        <f t="shared" ca="1" si="326"/>
        <v>L02-CIR-CIR-C008-04</v>
      </c>
      <c r="E1695" t="str">
        <f t="shared" ca="1" si="327"/>
        <v>L02-CIR-CIR-C008-04</v>
      </c>
      <c r="F1695">
        <f t="shared" ca="1" si="328"/>
        <v>1687933</v>
      </c>
      <c r="G1695">
        <f t="shared" ca="1" si="331"/>
        <v>0</v>
      </c>
      <c r="H1695">
        <f t="shared" ca="1" si="332"/>
        <v>0</v>
      </c>
      <c r="I1695">
        <f t="shared" ca="1" si="333"/>
        <v>0</v>
      </c>
      <c r="J1695" s="8" t="e">
        <f t="shared" ca="1" si="334"/>
        <v>#DIV/0!</v>
      </c>
      <c r="K1695" s="9" t="e">
        <f t="shared" ca="1" si="335"/>
        <v>#DIV/0!</v>
      </c>
      <c r="L1695" t="e">
        <f ca="1">+_xlfn.IFNA(VLOOKUP(M1695,BespokeWindowsAreas!$B$2:$E$1999,4,FALSE),VLOOKUP(E1695,WindowTypeArea!$B$2:$C$113,2,FALSE))</f>
        <v>#N/A</v>
      </c>
      <c r="M1695">
        <f t="shared" ca="1" si="336"/>
        <v>0</v>
      </c>
    </row>
    <row r="1696" spans="1:13" x14ac:dyDescent="0.25">
      <c r="A1696">
        <f t="shared" ca="1" si="329"/>
        <v>4</v>
      </c>
      <c r="B1696">
        <f t="shared" ca="1" si="330"/>
        <v>263</v>
      </c>
      <c r="C1696" t="str">
        <f t="shared" ca="1" si="325"/>
        <v>'WINDOWS-NCH-A-BDP-M3-02-00'!B262</v>
      </c>
      <c r="D1696" s="6" t="str">
        <f t="shared" ca="1" si="326"/>
        <v>L02-CIR-CIR-C008-04</v>
      </c>
      <c r="E1696" t="str">
        <f t="shared" ca="1" si="327"/>
        <v>Family Type: 1500w x 3050h, Family: Window External Type 3 - Recessed and Angle</v>
      </c>
      <c r="F1696" t="str">
        <f t="shared" ca="1" si="328"/>
        <v>Vector(X = -0.130, Y = -0.991, Z = 0.000, Length = 1.000)</v>
      </c>
      <c r="G1696">
        <f t="shared" ca="1" si="331"/>
        <v>-0.1</v>
      </c>
      <c r="H1696">
        <f t="shared" ca="1" si="332"/>
        <v>-1</v>
      </c>
      <c r="I1696">
        <f t="shared" ca="1" si="333"/>
        <v>0</v>
      </c>
      <c r="J1696" s="8">
        <f t="shared" ca="1" si="334"/>
        <v>-95.710593137499629</v>
      </c>
      <c r="K1696" s="9" t="str">
        <f t="shared" ca="1" si="335"/>
        <v>SW</v>
      </c>
      <c r="L1696">
        <f ca="1">+_xlfn.IFNA(VLOOKUP(M1696,BespokeWindowsAreas!$B$2:$E$1999,4,FALSE),VLOOKUP(E1696,WindowTypeArea!$B$2:$C$113,2,FALSE))</f>
        <v>4.5750000000000002</v>
      </c>
      <c r="M1696">
        <f t="shared" ca="1" si="336"/>
        <v>4798427</v>
      </c>
    </row>
    <row r="1697" spans="1:13" x14ac:dyDescent="0.25">
      <c r="A1697">
        <f t="shared" ca="1" si="329"/>
        <v>4</v>
      </c>
      <c r="B1697">
        <f t="shared" ca="1" si="330"/>
        <v>264</v>
      </c>
      <c r="C1697" t="str">
        <f t="shared" ca="1" si="325"/>
        <v>'WINDOWS-NCH-A-BDP-M3-02-00'!B263</v>
      </c>
      <c r="D1697" s="6" t="str">
        <f t="shared" ca="1" si="326"/>
        <v>L02-CIR-CIR-C008-04</v>
      </c>
      <c r="E1697" t="str">
        <f t="shared" ca="1" si="327"/>
        <v>Family Type: 1500w x 3050h, Family: Window External Type 3 - Recessed and Angle</v>
      </c>
      <c r="F1697" t="str">
        <f t="shared" ca="1" si="328"/>
        <v>Vector(X = -0.130, Y = -0.991, Z = 0.000, Length = 1.000)</v>
      </c>
      <c r="G1697">
        <f t="shared" ca="1" si="331"/>
        <v>-0.1</v>
      </c>
      <c r="H1697">
        <f t="shared" ca="1" si="332"/>
        <v>-1</v>
      </c>
      <c r="I1697">
        <f t="shared" ca="1" si="333"/>
        <v>0</v>
      </c>
      <c r="J1697" s="8">
        <f t="shared" ca="1" si="334"/>
        <v>-95.710593137499629</v>
      </c>
      <c r="K1697" s="9" t="str">
        <f t="shared" ca="1" si="335"/>
        <v>SW</v>
      </c>
      <c r="L1697">
        <f ca="1">+_xlfn.IFNA(VLOOKUP(M1697,BespokeWindowsAreas!$B$2:$E$1999,4,FALSE),VLOOKUP(E1697,WindowTypeArea!$B$2:$C$113,2,FALSE))</f>
        <v>4.5750000000000002</v>
      </c>
      <c r="M1697">
        <f t="shared" ca="1" si="336"/>
        <v>4800657</v>
      </c>
    </row>
    <row r="1698" spans="1:13" x14ac:dyDescent="0.25">
      <c r="A1698">
        <f t="shared" ca="1" si="329"/>
        <v>4</v>
      </c>
      <c r="B1698">
        <f t="shared" ca="1" si="330"/>
        <v>265</v>
      </c>
      <c r="C1698" t="str">
        <f t="shared" ca="1" si="325"/>
        <v>'WINDOWS-NCH-A-BDP-M3-02-00'!B264</v>
      </c>
      <c r="D1698" s="6" t="str">
        <f t="shared" ca="1" si="326"/>
        <v>L02-CIR-CIR-C008-06</v>
      </c>
      <c r="E1698" t="str">
        <f t="shared" ca="1" si="327"/>
        <v>L02-CIR-CIR-C008-06</v>
      </c>
      <c r="F1698">
        <f t="shared" ca="1" si="328"/>
        <v>1687939</v>
      </c>
      <c r="G1698">
        <f t="shared" ca="1" si="331"/>
        <v>0</v>
      </c>
      <c r="H1698">
        <f t="shared" ca="1" si="332"/>
        <v>0</v>
      </c>
      <c r="I1698">
        <f t="shared" ca="1" si="333"/>
        <v>0</v>
      </c>
      <c r="J1698" s="8" t="e">
        <f t="shared" ca="1" si="334"/>
        <v>#DIV/0!</v>
      </c>
      <c r="K1698" s="9" t="e">
        <f t="shared" ca="1" si="335"/>
        <v>#DIV/0!</v>
      </c>
      <c r="L1698" t="e">
        <f ca="1">+_xlfn.IFNA(VLOOKUP(M1698,BespokeWindowsAreas!$B$2:$E$1999,4,FALSE),VLOOKUP(E1698,WindowTypeArea!$B$2:$C$113,2,FALSE))</f>
        <v>#N/A</v>
      </c>
      <c r="M1698">
        <f t="shared" ca="1" si="336"/>
        <v>0</v>
      </c>
    </row>
    <row r="1699" spans="1:13" x14ac:dyDescent="0.25">
      <c r="A1699">
        <f t="shared" ca="1" si="329"/>
        <v>4</v>
      </c>
      <c r="B1699">
        <f t="shared" ca="1" si="330"/>
        <v>266</v>
      </c>
      <c r="C1699" t="str">
        <f t="shared" ca="1" si="325"/>
        <v>'WINDOWS-NCH-A-BDP-M3-02-00'!B265</v>
      </c>
      <c r="D1699" s="6" t="str">
        <f t="shared" ca="1" si="326"/>
        <v>L02-CIR-CIR-C008-06</v>
      </c>
      <c r="E1699" t="str">
        <f t="shared" ca="1" si="327"/>
        <v>Family Type: 1500w x 3050h, Family: Window External Type 3 - Recessed and Angle</v>
      </c>
      <c r="F1699" t="str">
        <f t="shared" ca="1" si="328"/>
        <v>Vector(X = 0.977, Y = 0.212, Z = 0.000, Length = 1.000)</v>
      </c>
      <c r="G1699">
        <f t="shared" ca="1" si="331"/>
        <v>1</v>
      </c>
      <c r="H1699">
        <f t="shared" ca="1" si="332"/>
        <v>0.2</v>
      </c>
      <c r="I1699">
        <f t="shared" ca="1" si="333"/>
        <v>0</v>
      </c>
      <c r="J1699" s="8">
        <f t="shared" ca="1" si="334"/>
        <v>11.309932474020215</v>
      </c>
      <c r="K1699" s="9" t="str">
        <f t="shared" ca="1" si="335"/>
        <v>E</v>
      </c>
      <c r="L1699">
        <f ca="1">+_xlfn.IFNA(VLOOKUP(M1699,BespokeWindowsAreas!$B$2:$E$1999,4,FALSE),VLOOKUP(E1699,WindowTypeArea!$B$2:$C$113,2,FALSE))</f>
        <v>4.5750000000000002</v>
      </c>
      <c r="M1699">
        <f t="shared" ca="1" si="336"/>
        <v>3744526</v>
      </c>
    </row>
    <row r="1700" spans="1:13" x14ac:dyDescent="0.25">
      <c r="A1700">
        <f t="shared" ca="1" si="329"/>
        <v>4</v>
      </c>
      <c r="B1700">
        <f t="shared" ca="1" si="330"/>
        <v>267</v>
      </c>
      <c r="C1700" t="str">
        <f t="shared" ca="1" si="325"/>
        <v>'WINDOWS-NCH-A-BDP-M3-02-00'!B266</v>
      </c>
      <c r="D1700" s="6">
        <f t="shared" ca="1" si="326"/>
        <v>0</v>
      </c>
      <c r="E1700">
        <f t="shared" ca="1" si="327"/>
        <v>0</v>
      </c>
      <c r="F1700">
        <f t="shared" ca="1" si="328"/>
        <v>1714073</v>
      </c>
      <c r="G1700">
        <f t="shared" ca="1" si="331"/>
        <v>0</v>
      </c>
      <c r="H1700">
        <f t="shared" ca="1" si="332"/>
        <v>0</v>
      </c>
      <c r="I1700">
        <f t="shared" ca="1" si="333"/>
        <v>0</v>
      </c>
      <c r="J1700" s="8" t="e">
        <f t="shared" ca="1" si="334"/>
        <v>#DIV/0!</v>
      </c>
      <c r="K1700" s="9" t="e">
        <f t="shared" ca="1" si="335"/>
        <v>#DIV/0!</v>
      </c>
      <c r="L1700" t="e">
        <f ca="1">+_xlfn.IFNA(VLOOKUP(M1700,BespokeWindowsAreas!$B$2:$E$1999,4,FALSE),VLOOKUP(E1700,WindowTypeArea!$B$2:$C$113,2,FALSE))</f>
        <v>#N/A</v>
      </c>
      <c r="M1700">
        <f t="shared" ca="1" si="336"/>
        <v>0</v>
      </c>
    </row>
    <row r="1701" spans="1:13" x14ac:dyDescent="0.25">
      <c r="A1701">
        <f t="shared" ca="1" si="329"/>
        <v>4</v>
      </c>
      <c r="B1701">
        <f t="shared" ca="1" si="330"/>
        <v>268</v>
      </c>
      <c r="C1701" t="str">
        <f t="shared" ca="1" si="325"/>
        <v>'WINDOWS-NCH-A-BDP-M3-02-00'!B267</v>
      </c>
      <c r="D1701" s="6">
        <f t="shared" ca="1" si="326"/>
        <v>0</v>
      </c>
      <c r="E1701" t="str">
        <f t="shared" ca="1" si="327"/>
        <v>Family Type: 1950w x 3050h, Family: Window External Type 3 - Recessed and Angle</v>
      </c>
      <c r="F1701" t="str">
        <f t="shared" ca="1" si="328"/>
        <v>Vector(X = 0.212, Y = -0.977, Z = 0.000, Length = 1.000)</v>
      </c>
      <c r="G1701">
        <f t="shared" ca="1" si="331"/>
        <v>0.2</v>
      </c>
      <c r="H1701">
        <f t="shared" ca="1" si="332"/>
        <v>-1</v>
      </c>
      <c r="I1701">
        <f t="shared" ca="1" si="333"/>
        <v>0</v>
      </c>
      <c r="J1701" s="8">
        <f t="shared" ca="1" si="334"/>
        <v>-78.690067525979785</v>
      </c>
      <c r="K1701" s="9" t="str">
        <f t="shared" ca="1" si="335"/>
        <v>S</v>
      </c>
      <c r="L1701">
        <f ca="1">+_xlfn.IFNA(VLOOKUP(M1701,BespokeWindowsAreas!$B$2:$E$1999,4,FALSE),VLOOKUP(E1701,WindowTypeArea!$B$2:$C$113,2,FALSE))</f>
        <v>5.9474999999999998</v>
      </c>
      <c r="M1701">
        <f t="shared" ca="1" si="336"/>
        <v>4928964</v>
      </c>
    </row>
    <row r="1702" spans="1:13" x14ac:dyDescent="0.25">
      <c r="A1702">
        <f t="shared" ca="1" si="329"/>
        <v>4</v>
      </c>
      <c r="B1702">
        <f t="shared" ca="1" si="330"/>
        <v>269</v>
      </c>
      <c r="C1702" t="str">
        <f t="shared" ca="1" si="325"/>
        <v>'WINDOWS-NCH-A-BDP-M3-02-00'!B268</v>
      </c>
      <c r="D1702" s="6">
        <f t="shared" ca="1" si="326"/>
        <v>0</v>
      </c>
      <c r="E1702" t="str">
        <f t="shared" ca="1" si="327"/>
        <v>Family Type: 1500w x 3050h, Family: Window External Type 3 - Recessed and Angle</v>
      </c>
      <c r="F1702" t="str">
        <f t="shared" ca="1" si="328"/>
        <v>Vector(X = 0.212, Y = -0.977, Z = 0.000, Length = 1.000)</v>
      </c>
      <c r="G1702">
        <f t="shared" ca="1" si="331"/>
        <v>0.2</v>
      </c>
      <c r="H1702">
        <f t="shared" ca="1" si="332"/>
        <v>-1</v>
      </c>
      <c r="I1702">
        <f t="shared" ca="1" si="333"/>
        <v>0</v>
      </c>
      <c r="J1702" s="8">
        <f t="shared" ca="1" si="334"/>
        <v>-78.690067525979785</v>
      </c>
      <c r="K1702" s="9" t="str">
        <f t="shared" ca="1" si="335"/>
        <v>S</v>
      </c>
      <c r="L1702">
        <f ca="1">+_xlfn.IFNA(VLOOKUP(M1702,BespokeWindowsAreas!$B$2:$E$1999,4,FALSE),VLOOKUP(E1702,WindowTypeArea!$B$2:$C$113,2,FALSE))</f>
        <v>4.5750000000000002</v>
      </c>
      <c r="M1702">
        <f t="shared" ca="1" si="336"/>
        <v>4929825</v>
      </c>
    </row>
    <row r="1703" spans="1:13" x14ac:dyDescent="0.25">
      <c r="A1703">
        <f t="shared" ca="1" si="329"/>
        <v>4</v>
      </c>
      <c r="B1703">
        <f t="shared" ca="1" si="330"/>
        <v>270</v>
      </c>
      <c r="C1703" t="str">
        <f t="shared" ca="1" si="325"/>
        <v>'WINDOWS-NCH-A-BDP-M3-02-00'!B269</v>
      </c>
      <c r="D1703" s="6" t="str">
        <f t="shared" ca="1" si="326"/>
        <v>L02-CIR-CIR-C006-05</v>
      </c>
      <c r="E1703" t="str">
        <f t="shared" ca="1" si="327"/>
        <v>L02-CIR-CIR-C006-05</v>
      </c>
      <c r="F1703">
        <f t="shared" ca="1" si="328"/>
        <v>1775251</v>
      </c>
      <c r="G1703">
        <f t="shared" ca="1" si="331"/>
        <v>0</v>
      </c>
      <c r="H1703">
        <f t="shared" ca="1" si="332"/>
        <v>0</v>
      </c>
      <c r="I1703">
        <f t="shared" ca="1" si="333"/>
        <v>0</v>
      </c>
      <c r="J1703" s="8" t="e">
        <f t="shared" ca="1" si="334"/>
        <v>#DIV/0!</v>
      </c>
      <c r="K1703" s="9" t="e">
        <f t="shared" ca="1" si="335"/>
        <v>#DIV/0!</v>
      </c>
      <c r="L1703" t="e">
        <f ca="1">+_xlfn.IFNA(VLOOKUP(M1703,BespokeWindowsAreas!$B$2:$E$1999,4,FALSE),VLOOKUP(E1703,WindowTypeArea!$B$2:$C$113,2,FALSE))</f>
        <v>#N/A</v>
      </c>
      <c r="M1703">
        <f t="shared" ca="1" si="336"/>
        <v>0</v>
      </c>
    </row>
    <row r="1704" spans="1:13" x14ac:dyDescent="0.25">
      <c r="A1704">
        <f t="shared" ca="1" si="329"/>
        <v>4</v>
      </c>
      <c r="B1704">
        <f t="shared" ca="1" si="330"/>
        <v>271</v>
      </c>
      <c r="C1704" t="str">
        <f t="shared" ca="1" si="325"/>
        <v>'WINDOWS-NCH-A-BDP-M3-02-00'!B270</v>
      </c>
      <c r="D1704" s="6" t="str">
        <f t="shared" ca="1" si="326"/>
        <v>L02-CIR-CIR-C006-05</v>
      </c>
      <c r="E1704" t="str">
        <f t="shared" ca="1" si="327"/>
        <v>Family Type: 1950w x 3050h, Family: Window External Type 3 - Recessed and Angle</v>
      </c>
      <c r="F1704" t="str">
        <f t="shared" ca="1" si="328"/>
        <v>Vector(X = -0.130, Y = -0.991, Z = 0.000, Length = 1.000)</v>
      </c>
      <c r="G1704">
        <f t="shared" ca="1" si="331"/>
        <v>-0.1</v>
      </c>
      <c r="H1704">
        <f t="shared" ca="1" si="332"/>
        <v>-1</v>
      </c>
      <c r="I1704">
        <f t="shared" ca="1" si="333"/>
        <v>0</v>
      </c>
      <c r="J1704" s="8">
        <f t="shared" ca="1" si="334"/>
        <v>-95.710593137499629</v>
      </c>
      <c r="K1704" s="9" t="str">
        <f t="shared" ca="1" si="335"/>
        <v>SW</v>
      </c>
      <c r="L1704">
        <f ca="1">+_xlfn.IFNA(VLOOKUP(M1704,BespokeWindowsAreas!$B$2:$E$1999,4,FALSE),VLOOKUP(E1704,WindowTypeArea!$B$2:$C$113,2,FALSE))</f>
        <v>5.9474999999999998</v>
      </c>
      <c r="M1704">
        <f t="shared" ca="1" si="336"/>
        <v>4799077</v>
      </c>
    </row>
    <row r="1705" spans="1:13" x14ac:dyDescent="0.25">
      <c r="A1705">
        <f t="shared" ca="1" si="329"/>
        <v>4</v>
      </c>
      <c r="B1705">
        <f t="shared" ca="1" si="330"/>
        <v>272</v>
      </c>
      <c r="C1705" t="str">
        <f t="shared" ca="1" si="325"/>
        <v>'WINDOWS-NCH-A-BDP-M3-02-00'!B271</v>
      </c>
      <c r="D1705" s="6" t="str">
        <f t="shared" ca="1" si="326"/>
        <v>L02-CIR-CIR-C006-07</v>
      </c>
      <c r="E1705" t="str">
        <f t="shared" ca="1" si="327"/>
        <v>L02-CIR-CIR-C006-07</v>
      </c>
      <c r="F1705">
        <f t="shared" ca="1" si="328"/>
        <v>1778842</v>
      </c>
      <c r="G1705">
        <f t="shared" ca="1" si="331"/>
        <v>0</v>
      </c>
      <c r="H1705">
        <f t="shared" ca="1" si="332"/>
        <v>0</v>
      </c>
      <c r="I1705">
        <f t="shared" ca="1" si="333"/>
        <v>0</v>
      </c>
      <c r="J1705" s="8" t="e">
        <f t="shared" ca="1" si="334"/>
        <v>#DIV/0!</v>
      </c>
      <c r="K1705" s="9" t="e">
        <f t="shared" ca="1" si="335"/>
        <v>#DIV/0!</v>
      </c>
      <c r="L1705" t="e">
        <f ca="1">+_xlfn.IFNA(VLOOKUP(M1705,BespokeWindowsAreas!$B$2:$E$1999,4,FALSE),VLOOKUP(E1705,WindowTypeArea!$B$2:$C$113,2,FALSE))</f>
        <v>#N/A</v>
      </c>
      <c r="M1705">
        <f t="shared" ca="1" si="336"/>
        <v>0</v>
      </c>
    </row>
    <row r="1706" spans="1:13" x14ac:dyDescent="0.25">
      <c r="A1706">
        <f t="shared" ca="1" si="329"/>
        <v>4</v>
      </c>
      <c r="B1706">
        <f t="shared" ca="1" si="330"/>
        <v>273</v>
      </c>
      <c r="C1706" t="str">
        <f t="shared" ca="1" si="325"/>
        <v>'WINDOWS-NCH-A-BDP-M3-02-00'!B272</v>
      </c>
      <c r="D1706" s="6" t="str">
        <f t="shared" ca="1" si="326"/>
        <v>L02-CIR-CIR-C006-07</v>
      </c>
      <c r="E1706" t="str">
        <f t="shared" ca="1" si="327"/>
        <v>Family Type: 1500w x 3050h, Family: Window External Type 3 - Recessed and Angle</v>
      </c>
      <c r="F1706" t="str">
        <f t="shared" ca="1" si="328"/>
        <v>Vector(X = -0.212, Y = 0.977, Z = 0.000, Length = 1.000)</v>
      </c>
      <c r="G1706">
        <f t="shared" ca="1" si="331"/>
        <v>-0.2</v>
      </c>
      <c r="H1706">
        <f t="shared" ca="1" si="332"/>
        <v>1</v>
      </c>
      <c r="I1706">
        <f t="shared" ca="1" si="333"/>
        <v>0</v>
      </c>
      <c r="J1706" s="8">
        <f t="shared" ca="1" si="334"/>
        <v>101.3099324740202</v>
      </c>
      <c r="K1706" s="9" t="str">
        <f t="shared" ca="1" si="335"/>
        <v>N</v>
      </c>
      <c r="L1706">
        <f ca="1">+_xlfn.IFNA(VLOOKUP(M1706,BespokeWindowsAreas!$B$2:$E$1999,4,FALSE),VLOOKUP(E1706,WindowTypeArea!$B$2:$C$113,2,FALSE))</f>
        <v>4.5750000000000002</v>
      </c>
      <c r="M1706">
        <f t="shared" ca="1" si="336"/>
        <v>4812716</v>
      </c>
    </row>
    <row r="1707" spans="1:13" x14ac:dyDescent="0.25">
      <c r="A1707">
        <f t="shared" ca="1" si="329"/>
        <v>4</v>
      </c>
      <c r="B1707">
        <f t="shared" ca="1" si="330"/>
        <v>274</v>
      </c>
      <c r="C1707" t="str">
        <f t="shared" ref="C1707:C1770" ca="1" si="337">+"'"&amp;INDIRECT("a"&amp;A1706)&amp;"'!B"&amp;B1706</f>
        <v>'WINDOWS-NCH-A-BDP-M3-02-00'!B273</v>
      </c>
      <c r="D1707" s="6" t="str">
        <f t="shared" ref="D1707:D1770" ca="1" si="338">+IF(IFERROR(FIND("Family",E1707)&gt;0,FALSE),D1706,E1707)</f>
        <v>L02-CIR-CIR-C006-04</v>
      </c>
      <c r="E1707" t="str">
        <f t="shared" ref="E1707:E1770" ca="1" si="339">+OFFSET(INDIRECT(C1707),0,0)</f>
        <v>L02-CIR-CIR-C006-04</v>
      </c>
      <c r="F1707">
        <f t="shared" ref="F1707:F1770" ca="1" si="340">+OFFSET(INDIRECT(C1707),0,1)</f>
        <v>1778927</v>
      </c>
      <c r="G1707">
        <f t="shared" ca="1" si="331"/>
        <v>0</v>
      </c>
      <c r="H1707">
        <f t="shared" ca="1" si="332"/>
        <v>0</v>
      </c>
      <c r="I1707">
        <f t="shared" ca="1" si="333"/>
        <v>0</v>
      </c>
      <c r="J1707" s="8" t="e">
        <f t="shared" ca="1" si="334"/>
        <v>#DIV/0!</v>
      </c>
      <c r="K1707" s="9" t="e">
        <f t="shared" ca="1" si="335"/>
        <v>#DIV/0!</v>
      </c>
      <c r="L1707" t="e">
        <f ca="1">+_xlfn.IFNA(VLOOKUP(M1707,BespokeWindowsAreas!$B$2:$E$1999,4,FALSE),VLOOKUP(E1707,WindowTypeArea!$B$2:$C$113,2,FALSE))</f>
        <v>#N/A</v>
      </c>
      <c r="M1707">
        <f t="shared" ca="1" si="336"/>
        <v>0</v>
      </c>
    </row>
    <row r="1708" spans="1:13" x14ac:dyDescent="0.25">
      <c r="A1708">
        <f t="shared" ca="1" si="329"/>
        <v>4</v>
      </c>
      <c r="B1708">
        <f t="shared" ca="1" si="330"/>
        <v>275</v>
      </c>
      <c r="C1708" t="str">
        <f t="shared" ca="1" si="337"/>
        <v>'WINDOWS-NCH-A-BDP-M3-02-00'!B274</v>
      </c>
      <c r="D1708" s="6" t="str">
        <f t="shared" ca="1" si="338"/>
        <v>L02-CIR-CIR-C006-04</v>
      </c>
      <c r="E1708" t="str">
        <f t="shared" ca="1" si="339"/>
        <v>Family Type: 1950w x 3050h, Family: Window External Type 1 - Recessed</v>
      </c>
      <c r="F1708" t="str">
        <f t="shared" ca="1" si="340"/>
        <v>Vector(X = -0.530, Y = 0.848, Z = 0.000, Length = 1.000)</v>
      </c>
      <c r="G1708">
        <f t="shared" ca="1" si="331"/>
        <v>-0.5</v>
      </c>
      <c r="H1708">
        <f t="shared" ca="1" si="332"/>
        <v>0.8</v>
      </c>
      <c r="I1708">
        <f t="shared" ca="1" si="333"/>
        <v>0</v>
      </c>
      <c r="J1708" s="8">
        <f t="shared" ca="1" si="334"/>
        <v>122.0053832080835</v>
      </c>
      <c r="K1708" s="9" t="str">
        <f t="shared" ca="1" si="335"/>
        <v>N</v>
      </c>
      <c r="L1708">
        <f ca="1">+_xlfn.IFNA(VLOOKUP(M1708,BespokeWindowsAreas!$B$2:$E$1999,4,FALSE),VLOOKUP(E1708,WindowTypeArea!$B$2:$C$113,2,FALSE))</f>
        <v>5.9474999999999998</v>
      </c>
      <c r="M1708">
        <f t="shared" ca="1" si="336"/>
        <v>6091456</v>
      </c>
    </row>
    <row r="1709" spans="1:13" x14ac:dyDescent="0.25">
      <c r="A1709">
        <f t="shared" ca="1" si="329"/>
        <v>4</v>
      </c>
      <c r="B1709">
        <f t="shared" ca="1" si="330"/>
        <v>276</v>
      </c>
      <c r="C1709" t="str">
        <f t="shared" ca="1" si="337"/>
        <v>'WINDOWS-NCH-A-BDP-M3-02-00'!B275</v>
      </c>
      <c r="D1709" s="6" t="str">
        <f t="shared" ca="1" si="338"/>
        <v>L02-CIR-CIR-C006-01</v>
      </c>
      <c r="E1709" t="str">
        <f t="shared" ca="1" si="339"/>
        <v>L02-CIR-CIR-C006-01</v>
      </c>
      <c r="F1709">
        <f t="shared" ca="1" si="340"/>
        <v>1779017</v>
      </c>
      <c r="G1709">
        <f t="shared" ca="1" si="331"/>
        <v>0</v>
      </c>
      <c r="H1709">
        <f t="shared" ca="1" si="332"/>
        <v>0</v>
      </c>
      <c r="I1709">
        <f t="shared" ca="1" si="333"/>
        <v>0</v>
      </c>
      <c r="J1709" s="8" t="e">
        <f t="shared" ca="1" si="334"/>
        <v>#DIV/0!</v>
      </c>
      <c r="K1709" s="9" t="e">
        <f t="shared" ca="1" si="335"/>
        <v>#DIV/0!</v>
      </c>
      <c r="L1709" t="e">
        <f ca="1">+_xlfn.IFNA(VLOOKUP(M1709,BespokeWindowsAreas!$B$2:$E$1999,4,FALSE),VLOOKUP(E1709,WindowTypeArea!$B$2:$C$113,2,FALSE))</f>
        <v>#N/A</v>
      </c>
      <c r="M1709">
        <f t="shared" ca="1" si="336"/>
        <v>0</v>
      </c>
    </row>
    <row r="1710" spans="1:13" x14ac:dyDescent="0.25">
      <c r="A1710">
        <f t="shared" ca="1" si="329"/>
        <v>4</v>
      </c>
      <c r="B1710">
        <f t="shared" ca="1" si="330"/>
        <v>277</v>
      </c>
      <c r="C1710" t="str">
        <f t="shared" ca="1" si="337"/>
        <v>'WINDOWS-NCH-A-BDP-M3-02-00'!B276</v>
      </c>
      <c r="D1710" s="6" t="str">
        <f t="shared" ca="1" si="338"/>
        <v>L02-CIR-CIR-C006-01</v>
      </c>
      <c r="E1710" t="str">
        <f t="shared" ca="1" si="339"/>
        <v>Family Type: 1950w x 3050h, Family: Window External Type 3 - Recessed and Angle</v>
      </c>
      <c r="F1710" t="str">
        <f t="shared" ca="1" si="340"/>
        <v>Vector(X = 0.212, Y = -0.977, Z = 0.000, Length = 1.000)</v>
      </c>
      <c r="G1710">
        <f t="shared" ca="1" si="331"/>
        <v>0.2</v>
      </c>
      <c r="H1710">
        <f t="shared" ca="1" si="332"/>
        <v>-1</v>
      </c>
      <c r="I1710">
        <f t="shared" ca="1" si="333"/>
        <v>0</v>
      </c>
      <c r="J1710" s="8">
        <f t="shared" ca="1" si="334"/>
        <v>-78.690067525979785</v>
      </c>
      <c r="K1710" s="9" t="str">
        <f t="shared" ca="1" si="335"/>
        <v>S</v>
      </c>
      <c r="L1710">
        <f ca="1">+_xlfn.IFNA(VLOOKUP(M1710,BespokeWindowsAreas!$B$2:$E$1999,4,FALSE),VLOOKUP(E1710,WindowTypeArea!$B$2:$C$113,2,FALSE))</f>
        <v>5.9474999999999998</v>
      </c>
      <c r="M1710">
        <f t="shared" ca="1" si="336"/>
        <v>4869656</v>
      </c>
    </row>
    <row r="1711" spans="1:13" x14ac:dyDescent="0.25">
      <c r="A1711">
        <f t="shared" ca="1" si="329"/>
        <v>4</v>
      </c>
      <c r="B1711">
        <f t="shared" ca="1" si="330"/>
        <v>278</v>
      </c>
      <c r="C1711" t="str">
        <f t="shared" ca="1" si="337"/>
        <v>'WINDOWS-NCH-A-BDP-M3-02-00'!B277</v>
      </c>
      <c r="D1711" s="6" t="str">
        <f t="shared" ca="1" si="338"/>
        <v>L02-DCU-DMS-S132-01</v>
      </c>
      <c r="E1711" t="str">
        <f t="shared" ca="1" si="339"/>
        <v>L02-DCU-DMS-S132-01</v>
      </c>
      <c r="F1711">
        <f t="shared" ca="1" si="340"/>
        <v>1924672</v>
      </c>
      <c r="G1711">
        <f t="shared" ca="1" si="331"/>
        <v>0</v>
      </c>
      <c r="H1711">
        <f t="shared" ca="1" si="332"/>
        <v>0</v>
      </c>
      <c r="I1711">
        <f t="shared" ca="1" si="333"/>
        <v>0</v>
      </c>
      <c r="J1711" s="8" t="e">
        <f t="shared" ca="1" si="334"/>
        <v>#DIV/0!</v>
      </c>
      <c r="K1711" s="9" t="e">
        <f t="shared" ca="1" si="335"/>
        <v>#DIV/0!</v>
      </c>
      <c r="L1711" t="e">
        <f ca="1">+_xlfn.IFNA(VLOOKUP(M1711,BespokeWindowsAreas!$B$2:$E$1999,4,FALSE),VLOOKUP(E1711,WindowTypeArea!$B$2:$C$113,2,FALSE))</f>
        <v>#N/A</v>
      </c>
      <c r="M1711">
        <f t="shared" ca="1" si="336"/>
        <v>0</v>
      </c>
    </row>
    <row r="1712" spans="1:13" x14ac:dyDescent="0.25">
      <c r="A1712">
        <f t="shared" ca="1" si="329"/>
        <v>4</v>
      </c>
      <c r="B1712">
        <f t="shared" ca="1" si="330"/>
        <v>279</v>
      </c>
      <c r="C1712" t="str">
        <f t="shared" ca="1" si="337"/>
        <v>'WINDOWS-NCH-A-BDP-M3-02-00'!B278</v>
      </c>
      <c r="D1712" s="6" t="str">
        <f t="shared" ca="1" si="338"/>
        <v>L02-DCU-DMS-S132-01</v>
      </c>
      <c r="E1712" t="str">
        <f t="shared" ca="1" si="339"/>
        <v>Family Type: 1500w x 3050h, Family: Window External Type 3 - Recessed and Angle</v>
      </c>
      <c r="F1712" t="str">
        <f t="shared" ca="1" si="340"/>
        <v>Vector(X = -0.323, Y = 0.946, Z = 0.000, Length = 1.000)</v>
      </c>
      <c r="G1712">
        <f t="shared" ca="1" si="331"/>
        <v>-0.3</v>
      </c>
      <c r="H1712">
        <f t="shared" ca="1" si="332"/>
        <v>0.9</v>
      </c>
      <c r="I1712">
        <f t="shared" ca="1" si="333"/>
        <v>0</v>
      </c>
      <c r="J1712" s="8">
        <f t="shared" ca="1" si="334"/>
        <v>108.43494882292201</v>
      </c>
      <c r="K1712" s="9" t="str">
        <f t="shared" ca="1" si="335"/>
        <v>N</v>
      </c>
      <c r="L1712">
        <f ca="1">+_xlfn.IFNA(VLOOKUP(M1712,BespokeWindowsAreas!$B$2:$E$1999,4,FALSE),VLOOKUP(E1712,WindowTypeArea!$B$2:$C$113,2,FALSE))</f>
        <v>4.5750000000000002</v>
      </c>
      <c r="M1712">
        <f t="shared" ca="1" si="336"/>
        <v>4805153</v>
      </c>
    </row>
    <row r="1713" spans="1:13" x14ac:dyDescent="0.25">
      <c r="A1713">
        <f t="shared" ca="1" si="329"/>
        <v>4</v>
      </c>
      <c r="B1713">
        <f t="shared" ca="1" si="330"/>
        <v>280</v>
      </c>
      <c r="C1713" t="str">
        <f t="shared" ca="1" si="337"/>
        <v>'WINDOWS-NCH-A-BDP-M3-02-00'!B279</v>
      </c>
      <c r="D1713" s="6" t="str">
        <f t="shared" ca="1" si="338"/>
        <v>L02-CIR-CIR-C001-14</v>
      </c>
      <c r="E1713" t="str">
        <f t="shared" ca="1" si="339"/>
        <v>L02-CIR-CIR-C001-14</v>
      </c>
      <c r="F1713">
        <f t="shared" ca="1" si="340"/>
        <v>1933601</v>
      </c>
      <c r="G1713">
        <f t="shared" ca="1" si="331"/>
        <v>0</v>
      </c>
      <c r="H1713">
        <f t="shared" ca="1" si="332"/>
        <v>0</v>
      </c>
      <c r="I1713">
        <f t="shared" ca="1" si="333"/>
        <v>0</v>
      </c>
      <c r="J1713" s="8" t="e">
        <f t="shared" ca="1" si="334"/>
        <v>#DIV/0!</v>
      </c>
      <c r="K1713" s="9" t="e">
        <f t="shared" ca="1" si="335"/>
        <v>#DIV/0!</v>
      </c>
      <c r="L1713" t="e">
        <f ca="1">+_xlfn.IFNA(VLOOKUP(M1713,BespokeWindowsAreas!$B$2:$E$1999,4,FALSE),VLOOKUP(E1713,WindowTypeArea!$B$2:$C$113,2,FALSE))</f>
        <v>#N/A</v>
      </c>
      <c r="M1713">
        <f t="shared" ca="1" si="336"/>
        <v>0</v>
      </c>
    </row>
    <row r="1714" spans="1:13" x14ac:dyDescent="0.25">
      <c r="A1714">
        <f t="shared" ca="1" si="329"/>
        <v>4</v>
      </c>
      <c r="B1714">
        <f t="shared" ca="1" si="330"/>
        <v>281</v>
      </c>
      <c r="C1714" t="str">
        <f t="shared" ca="1" si="337"/>
        <v>'WINDOWS-NCH-A-BDP-M3-02-00'!B280</v>
      </c>
      <c r="D1714" s="6" t="str">
        <f t="shared" ca="1" si="338"/>
        <v>none - connects to atrium</v>
      </c>
      <c r="E1714" t="str">
        <f t="shared" ca="1" si="339"/>
        <v>none - connects to atrium</v>
      </c>
      <c r="F1714" t="str">
        <f t="shared" ca="1" si="340"/>
        <v>Vector(X = 0.948, Y = 0.317, Z = 0.000, Length = 1.000)</v>
      </c>
      <c r="G1714">
        <f t="shared" ca="1" si="331"/>
        <v>0.9</v>
      </c>
      <c r="H1714">
        <f t="shared" ca="1" si="332"/>
        <v>0.3</v>
      </c>
      <c r="I1714">
        <f t="shared" ca="1" si="333"/>
        <v>0</v>
      </c>
      <c r="J1714" s="8">
        <f t="shared" ca="1" si="334"/>
        <v>18.43494882292201</v>
      </c>
      <c r="K1714" s="9" t="str">
        <f t="shared" ca="1" si="335"/>
        <v>E</v>
      </c>
      <c r="L1714" t="e">
        <f ca="1">+_xlfn.IFNA(VLOOKUP(M1714,BespokeWindowsAreas!$B$2:$E$1999,4,FALSE),VLOOKUP(E1714,WindowTypeArea!$B$2:$C$113,2,FALSE))</f>
        <v>#N/A</v>
      </c>
      <c r="M1714">
        <f t="shared" ca="1" si="336"/>
        <v>5183404</v>
      </c>
    </row>
    <row r="1715" spans="1:13" x14ac:dyDescent="0.25">
      <c r="A1715">
        <f t="shared" ca="1" si="329"/>
        <v>4</v>
      </c>
      <c r="B1715">
        <f t="shared" ca="1" si="330"/>
        <v>282</v>
      </c>
      <c r="C1715" t="str">
        <f t="shared" ca="1" si="337"/>
        <v>'WINDOWS-NCH-A-BDP-M3-02-00'!B281</v>
      </c>
      <c r="D1715" s="6" t="str">
        <f t="shared" ca="1" si="338"/>
        <v>none - connects to atrium</v>
      </c>
      <c r="E1715" t="str">
        <f t="shared" ca="1" si="339"/>
        <v>none - connects to atrium</v>
      </c>
      <c r="F1715" t="str">
        <f t="shared" ca="1" si="340"/>
        <v>Vector(X = 0.931, Y = 0.364, Z = 0.000, Length = 1.000)</v>
      </c>
      <c r="G1715">
        <f t="shared" ca="1" si="331"/>
        <v>0.9</v>
      </c>
      <c r="H1715">
        <f t="shared" ca="1" si="332"/>
        <v>0.4</v>
      </c>
      <c r="I1715">
        <f t="shared" ca="1" si="333"/>
        <v>0</v>
      </c>
      <c r="J1715" s="8">
        <f t="shared" ca="1" si="334"/>
        <v>23.962488974578186</v>
      </c>
      <c r="K1715" s="9" t="str">
        <f t="shared" ca="1" si="335"/>
        <v>E</v>
      </c>
      <c r="L1715" t="e">
        <f ca="1">+_xlfn.IFNA(VLOOKUP(M1715,BespokeWindowsAreas!$B$2:$E$1999,4,FALSE),VLOOKUP(E1715,WindowTypeArea!$B$2:$C$113,2,FALSE))</f>
        <v>#N/A</v>
      </c>
      <c r="M1715">
        <f t="shared" ca="1" si="336"/>
        <v>5183579</v>
      </c>
    </row>
    <row r="1716" spans="1:13" x14ac:dyDescent="0.25">
      <c r="A1716">
        <f t="shared" ca="1" si="329"/>
        <v>4</v>
      </c>
      <c r="B1716">
        <f t="shared" ca="1" si="330"/>
        <v>283</v>
      </c>
      <c r="C1716" t="str">
        <f t="shared" ca="1" si="337"/>
        <v>'WINDOWS-NCH-A-BDP-M3-02-00'!B282</v>
      </c>
      <c r="D1716" s="6" t="str">
        <f t="shared" ca="1" si="338"/>
        <v>none - connects to atrium</v>
      </c>
      <c r="E1716" t="str">
        <f t="shared" ca="1" si="339"/>
        <v>none - connects to atrium</v>
      </c>
      <c r="F1716" t="str">
        <f t="shared" ca="1" si="340"/>
        <v>Vector(X = 0.938, Y = 0.347, Z = 0.000, Length = 1.000)</v>
      </c>
      <c r="G1716">
        <f t="shared" ca="1" si="331"/>
        <v>0.9</v>
      </c>
      <c r="H1716">
        <f t="shared" ca="1" si="332"/>
        <v>0.3</v>
      </c>
      <c r="I1716">
        <f t="shared" ca="1" si="333"/>
        <v>0</v>
      </c>
      <c r="J1716" s="8">
        <f t="shared" ca="1" si="334"/>
        <v>18.43494882292201</v>
      </c>
      <c r="K1716" s="9" t="str">
        <f t="shared" ca="1" si="335"/>
        <v>E</v>
      </c>
      <c r="L1716" t="e">
        <f ca="1">+_xlfn.IFNA(VLOOKUP(M1716,BespokeWindowsAreas!$B$2:$E$1999,4,FALSE),VLOOKUP(E1716,WindowTypeArea!$B$2:$C$113,2,FALSE))</f>
        <v>#N/A</v>
      </c>
      <c r="M1716">
        <f t="shared" ca="1" si="336"/>
        <v>6552697</v>
      </c>
    </row>
    <row r="1717" spans="1:13" x14ac:dyDescent="0.25">
      <c r="A1717">
        <f t="shared" ca="1" si="329"/>
        <v>4</v>
      </c>
      <c r="B1717">
        <f t="shared" ca="1" si="330"/>
        <v>284</v>
      </c>
      <c r="C1717" t="str">
        <f t="shared" ca="1" si="337"/>
        <v>'WINDOWS-NCH-A-BDP-M3-02-00'!B283</v>
      </c>
      <c r="D1717" s="6">
        <f t="shared" ca="1" si="338"/>
        <v>0</v>
      </c>
      <c r="E1717">
        <f t="shared" ca="1" si="339"/>
        <v>0</v>
      </c>
      <c r="F1717">
        <f t="shared" ca="1" si="340"/>
        <v>1969730</v>
      </c>
      <c r="G1717">
        <f t="shared" ca="1" si="331"/>
        <v>0</v>
      </c>
      <c r="H1717">
        <f t="shared" ca="1" si="332"/>
        <v>0</v>
      </c>
      <c r="I1717">
        <f t="shared" ca="1" si="333"/>
        <v>0</v>
      </c>
      <c r="J1717" s="8" t="e">
        <f t="shared" ca="1" si="334"/>
        <v>#DIV/0!</v>
      </c>
      <c r="K1717" s="9" t="e">
        <f t="shared" ca="1" si="335"/>
        <v>#DIV/0!</v>
      </c>
      <c r="L1717" t="e">
        <f ca="1">+_xlfn.IFNA(VLOOKUP(M1717,BespokeWindowsAreas!$B$2:$E$1999,4,FALSE),VLOOKUP(E1717,WindowTypeArea!$B$2:$C$113,2,FALSE))</f>
        <v>#N/A</v>
      </c>
      <c r="M1717">
        <f t="shared" ca="1" si="336"/>
        <v>0</v>
      </c>
    </row>
    <row r="1718" spans="1:13" x14ac:dyDescent="0.25">
      <c r="A1718">
        <f t="shared" ca="1" si="329"/>
        <v>4</v>
      </c>
      <c r="B1718">
        <f t="shared" ca="1" si="330"/>
        <v>285</v>
      </c>
      <c r="C1718" t="str">
        <f t="shared" ca="1" si="337"/>
        <v>'WINDOWS-NCH-A-BDP-M3-02-00'!B284</v>
      </c>
      <c r="D1718" s="6">
        <f t="shared" ca="1" si="338"/>
        <v>0</v>
      </c>
      <c r="E1718" t="str">
        <f t="shared" ca="1" si="339"/>
        <v>Family Type: 975w x 3050h, Family: Window Internal Type 2a - Recessed</v>
      </c>
      <c r="F1718" t="str">
        <f t="shared" ca="1" si="340"/>
        <v>Vector(X = 0.977, Y = 0.213, Z = 0.000, Length = 1.000)</v>
      </c>
      <c r="G1718">
        <f t="shared" ca="1" si="331"/>
        <v>1</v>
      </c>
      <c r="H1718">
        <f t="shared" ca="1" si="332"/>
        <v>0.2</v>
      </c>
      <c r="I1718">
        <f t="shared" ca="1" si="333"/>
        <v>0</v>
      </c>
      <c r="J1718" s="8">
        <f t="shared" ca="1" si="334"/>
        <v>11.309932474020215</v>
      </c>
      <c r="K1718" s="9" t="str">
        <f t="shared" ca="1" si="335"/>
        <v>E</v>
      </c>
      <c r="L1718">
        <f ca="1">+_xlfn.IFNA(VLOOKUP(M1718,BespokeWindowsAreas!$B$2:$E$1999,4,FALSE),VLOOKUP(E1718,WindowTypeArea!$B$2:$C$113,2,FALSE))</f>
        <v>2.9737499999999999</v>
      </c>
      <c r="M1718">
        <f t="shared" ca="1" si="336"/>
        <v>6535160</v>
      </c>
    </row>
    <row r="1719" spans="1:13" x14ac:dyDescent="0.25">
      <c r="A1719">
        <f t="shared" ca="1" si="329"/>
        <v>4</v>
      </c>
      <c r="B1719">
        <f t="shared" ca="1" si="330"/>
        <v>286</v>
      </c>
      <c r="C1719" t="str">
        <f t="shared" ca="1" si="337"/>
        <v>'WINDOWS-NCH-A-BDP-M3-02-00'!B285</v>
      </c>
      <c r="D1719" s="6" t="str">
        <f t="shared" ca="1" si="338"/>
        <v>L02-REE-PPR-S139-03</v>
      </c>
      <c r="E1719" t="str">
        <f t="shared" ca="1" si="339"/>
        <v>L02-REE-PPR-S139-03</v>
      </c>
      <c r="F1719">
        <f t="shared" ca="1" si="340"/>
        <v>1980072</v>
      </c>
      <c r="G1719">
        <f t="shared" ca="1" si="331"/>
        <v>0</v>
      </c>
      <c r="H1719">
        <f t="shared" ca="1" si="332"/>
        <v>0</v>
      </c>
      <c r="I1719">
        <f t="shared" ca="1" si="333"/>
        <v>0</v>
      </c>
      <c r="J1719" s="8" t="e">
        <f t="shared" ca="1" si="334"/>
        <v>#DIV/0!</v>
      </c>
      <c r="K1719" s="9" t="e">
        <f t="shared" ca="1" si="335"/>
        <v>#DIV/0!</v>
      </c>
      <c r="L1719" t="e">
        <f ca="1">+_xlfn.IFNA(VLOOKUP(M1719,BespokeWindowsAreas!$B$2:$E$1999,4,FALSE),VLOOKUP(E1719,WindowTypeArea!$B$2:$C$113,2,FALSE))</f>
        <v>#N/A</v>
      </c>
      <c r="M1719">
        <f t="shared" ca="1" si="336"/>
        <v>0</v>
      </c>
    </row>
    <row r="1720" spans="1:13" x14ac:dyDescent="0.25">
      <c r="A1720">
        <f t="shared" ca="1" si="329"/>
        <v>5</v>
      </c>
      <c r="B1720">
        <f t="shared" ca="1" si="330"/>
        <v>1</v>
      </c>
      <c r="C1720" t="str">
        <f t="shared" ca="1" si="337"/>
        <v>'WINDOWS-NCH-A-BDP-M3-02-00'!B286</v>
      </c>
      <c r="D1720" s="6" t="str">
        <f t="shared" ca="1" si="338"/>
        <v>none - connects to atrium</v>
      </c>
      <c r="E1720" t="str">
        <f t="shared" ca="1" si="339"/>
        <v>none - connects to atrium</v>
      </c>
      <c r="F1720" t="str">
        <f t="shared" ca="1" si="340"/>
        <v>Vector(X = 0.977, Y = 0.213, Z = 0.000, Length = 1.000)</v>
      </c>
      <c r="G1720">
        <f t="shared" ca="1" si="331"/>
        <v>1</v>
      </c>
      <c r="H1720">
        <f t="shared" ca="1" si="332"/>
        <v>0.2</v>
      </c>
      <c r="I1720">
        <f t="shared" ca="1" si="333"/>
        <v>0</v>
      </c>
      <c r="J1720" s="8">
        <f t="shared" ca="1" si="334"/>
        <v>11.309932474020215</v>
      </c>
      <c r="K1720" s="9" t="str">
        <f t="shared" ca="1" si="335"/>
        <v>E</v>
      </c>
      <c r="L1720" t="e">
        <f ca="1">+_xlfn.IFNA(VLOOKUP(M1720,BespokeWindowsAreas!$B$2:$E$1999,4,FALSE),VLOOKUP(E1720,WindowTypeArea!$B$2:$C$113,2,FALSE))</f>
        <v>#N/A</v>
      </c>
      <c r="M1720">
        <f t="shared" ca="1" si="336"/>
        <v>6535160</v>
      </c>
    </row>
    <row r="1721" spans="1:13" x14ac:dyDescent="0.25">
      <c r="A1721">
        <f t="shared" ca="1" si="329"/>
        <v>5</v>
      </c>
      <c r="B1721">
        <f t="shared" ca="1" si="330"/>
        <v>2</v>
      </c>
      <c r="C1721" t="str">
        <f t="shared" ca="1" si="337"/>
        <v>'WINDOWS-NCH-A-BDP-M3-03-00'!B1</v>
      </c>
      <c r="D1721" s="6">
        <f t="shared" ca="1" si="338"/>
        <v>0</v>
      </c>
      <c r="E1721">
        <f t="shared" ca="1" si="339"/>
        <v>0</v>
      </c>
      <c r="F1721">
        <f t="shared" ca="1" si="340"/>
        <v>0</v>
      </c>
      <c r="G1721">
        <f t="shared" ca="1" si="331"/>
        <v>0</v>
      </c>
      <c r="H1721">
        <f t="shared" ca="1" si="332"/>
        <v>0</v>
      </c>
      <c r="I1721">
        <f t="shared" ca="1" si="333"/>
        <v>0</v>
      </c>
      <c r="J1721" s="8" t="e">
        <f t="shared" ca="1" si="334"/>
        <v>#DIV/0!</v>
      </c>
      <c r="K1721" s="9" t="e">
        <f t="shared" ca="1" si="335"/>
        <v>#DIV/0!</v>
      </c>
      <c r="L1721" t="e">
        <f ca="1">+_xlfn.IFNA(VLOOKUP(M1721,BespokeWindowsAreas!$B$2:$E$1999,4,FALSE),VLOOKUP(E1721,WindowTypeArea!$B$2:$C$113,2,FALSE))</f>
        <v>#N/A</v>
      </c>
      <c r="M1721">
        <f t="shared" ca="1" si="336"/>
        <v>0</v>
      </c>
    </row>
    <row r="1722" spans="1:13" x14ac:dyDescent="0.25">
      <c r="A1722">
        <f t="shared" ca="1" si="329"/>
        <v>5</v>
      </c>
      <c r="B1722">
        <f t="shared" ca="1" si="330"/>
        <v>3</v>
      </c>
      <c r="C1722" t="str">
        <f t="shared" ca="1" si="337"/>
        <v>'WINDOWS-NCH-A-BDP-M3-03-00'!B2</v>
      </c>
      <c r="D1722" s="6" t="str">
        <f t="shared" ca="1" si="338"/>
        <v>L03-6-PHA-DPA-U0621-01</v>
      </c>
      <c r="E1722" t="str">
        <f t="shared" ca="1" si="339"/>
        <v>L03-6-PHA-DPA-U0621-01</v>
      </c>
      <c r="F1722">
        <f t="shared" ca="1" si="340"/>
        <v>1133530</v>
      </c>
      <c r="G1722">
        <f t="shared" ca="1" si="331"/>
        <v>0</v>
      </c>
      <c r="H1722">
        <f t="shared" ca="1" si="332"/>
        <v>0</v>
      </c>
      <c r="I1722">
        <f t="shared" ca="1" si="333"/>
        <v>0</v>
      </c>
      <c r="J1722" s="8" t="e">
        <f t="shared" ca="1" si="334"/>
        <v>#DIV/0!</v>
      </c>
      <c r="K1722" s="9" t="e">
        <f t="shared" ca="1" si="335"/>
        <v>#DIV/0!</v>
      </c>
      <c r="L1722" t="e">
        <f ca="1">+_xlfn.IFNA(VLOOKUP(M1722,BespokeWindowsAreas!$B$2:$E$1999,4,FALSE),VLOOKUP(E1722,WindowTypeArea!$B$2:$C$113,2,FALSE))</f>
        <v>#N/A</v>
      </c>
      <c r="M1722">
        <f t="shared" ca="1" si="336"/>
        <v>0</v>
      </c>
    </row>
    <row r="1723" spans="1:13" x14ac:dyDescent="0.25">
      <c r="A1723">
        <f t="shared" ca="1" si="329"/>
        <v>5</v>
      </c>
      <c r="B1723">
        <f t="shared" ca="1" si="330"/>
        <v>4</v>
      </c>
      <c r="C1723" t="str">
        <f t="shared" ca="1" si="337"/>
        <v>'WINDOWS-NCH-A-BDP-M3-03-00'!B3</v>
      </c>
      <c r="D1723" s="6" t="str">
        <f t="shared" ca="1" si="338"/>
        <v>L03-6-PHA-DPA-U0621-01</v>
      </c>
      <c r="E1723" t="str">
        <f t="shared" ca="1" si="339"/>
        <v>Family Type: Curtain Wall_1950w x 3800h, Family: Window External Type 5 - Flush</v>
      </c>
      <c r="F1723" t="str">
        <f t="shared" ca="1" si="340"/>
        <v>Vector(X = -0.212, Y = 0.977, Z = 0.000, Length = 1.000)</v>
      </c>
      <c r="G1723">
        <f t="shared" ca="1" si="331"/>
        <v>-0.2</v>
      </c>
      <c r="H1723">
        <f t="shared" ca="1" si="332"/>
        <v>1</v>
      </c>
      <c r="I1723">
        <f t="shared" ca="1" si="333"/>
        <v>0</v>
      </c>
      <c r="J1723" s="8">
        <f t="shared" ca="1" si="334"/>
        <v>101.3099324740202</v>
      </c>
      <c r="K1723" s="9" t="str">
        <f t="shared" ca="1" si="335"/>
        <v>N</v>
      </c>
      <c r="L1723">
        <f ca="1">+_xlfn.IFNA(VLOOKUP(M1723,BespokeWindowsAreas!$B$2:$E$1999,4,FALSE),VLOOKUP(E1723,WindowTypeArea!$B$2:$C$113,2,FALSE))</f>
        <v>7.9950000000000001</v>
      </c>
      <c r="M1723">
        <f t="shared" ca="1" si="336"/>
        <v>4940775</v>
      </c>
    </row>
    <row r="1724" spans="1:13" x14ac:dyDescent="0.25">
      <c r="A1724">
        <f t="shared" ca="1" si="329"/>
        <v>5</v>
      </c>
      <c r="B1724">
        <f t="shared" ca="1" si="330"/>
        <v>5</v>
      </c>
      <c r="C1724" t="str">
        <f t="shared" ca="1" si="337"/>
        <v>'WINDOWS-NCH-A-BDP-M3-03-00'!B4</v>
      </c>
      <c r="D1724" s="6" t="str">
        <f t="shared" ca="1" si="338"/>
        <v>L03-6-PHA-DPA-U0621-01</v>
      </c>
      <c r="E1724" t="str">
        <f t="shared" ca="1" si="339"/>
        <v>Family Type: Curtain Wall_1950w x 3800h, Family: Window External Type 5 - Flush</v>
      </c>
      <c r="F1724" t="str">
        <f t="shared" ca="1" si="340"/>
        <v>Vector(X = -0.212, Y = 0.977, Z = 0.000, Length = 1.000)</v>
      </c>
      <c r="G1724">
        <f t="shared" ca="1" si="331"/>
        <v>-0.2</v>
      </c>
      <c r="H1724">
        <f t="shared" ca="1" si="332"/>
        <v>1</v>
      </c>
      <c r="I1724">
        <f t="shared" ca="1" si="333"/>
        <v>0</v>
      </c>
      <c r="J1724" s="8">
        <f t="shared" ca="1" si="334"/>
        <v>101.3099324740202</v>
      </c>
      <c r="K1724" s="9" t="str">
        <f t="shared" ca="1" si="335"/>
        <v>N</v>
      </c>
      <c r="L1724">
        <f ca="1">+_xlfn.IFNA(VLOOKUP(M1724,BespokeWindowsAreas!$B$2:$E$1999,4,FALSE),VLOOKUP(E1724,WindowTypeArea!$B$2:$C$113,2,FALSE))</f>
        <v>7.9950000000000001</v>
      </c>
      <c r="M1724">
        <f t="shared" ca="1" si="336"/>
        <v>4940776</v>
      </c>
    </row>
    <row r="1725" spans="1:13" x14ac:dyDescent="0.25">
      <c r="A1725">
        <f t="shared" ca="1" si="329"/>
        <v>5</v>
      </c>
      <c r="B1725">
        <f t="shared" ca="1" si="330"/>
        <v>6</v>
      </c>
      <c r="C1725" t="str">
        <f t="shared" ca="1" si="337"/>
        <v>'WINDOWS-NCH-A-BDP-M3-03-00'!B5</v>
      </c>
      <c r="D1725" s="6" t="str">
        <f t="shared" ca="1" si="338"/>
        <v>L03-CIR-CIR-C008-05</v>
      </c>
      <c r="E1725" t="str">
        <f t="shared" ca="1" si="339"/>
        <v>L03-CIR-CIR-C008-05</v>
      </c>
      <c r="F1725">
        <f t="shared" ca="1" si="340"/>
        <v>1202652</v>
      </c>
      <c r="G1725">
        <f t="shared" ca="1" si="331"/>
        <v>0</v>
      </c>
      <c r="H1725">
        <f t="shared" ca="1" si="332"/>
        <v>0</v>
      </c>
      <c r="I1725">
        <f t="shared" ca="1" si="333"/>
        <v>0</v>
      </c>
      <c r="J1725" s="8" t="e">
        <f t="shared" ca="1" si="334"/>
        <v>#DIV/0!</v>
      </c>
      <c r="K1725" s="9" t="e">
        <f t="shared" ca="1" si="335"/>
        <v>#DIV/0!</v>
      </c>
      <c r="L1725" t="e">
        <f ca="1">+_xlfn.IFNA(VLOOKUP(M1725,BespokeWindowsAreas!$B$2:$E$1999,4,FALSE),VLOOKUP(E1725,WindowTypeArea!$B$2:$C$113,2,FALSE))</f>
        <v>#N/A</v>
      </c>
      <c r="M1725">
        <f t="shared" ca="1" si="336"/>
        <v>0</v>
      </c>
    </row>
    <row r="1726" spans="1:13" x14ac:dyDescent="0.25">
      <c r="A1726">
        <f t="shared" ca="1" si="329"/>
        <v>5</v>
      </c>
      <c r="B1726">
        <f t="shared" ca="1" si="330"/>
        <v>7</v>
      </c>
      <c r="C1726" t="str">
        <f t="shared" ca="1" si="337"/>
        <v>'WINDOWS-NCH-A-BDP-M3-03-00'!B6</v>
      </c>
      <c r="D1726" s="6" t="str">
        <f t="shared" ca="1" si="338"/>
        <v>L03-CIR-CIR-C008-05</v>
      </c>
      <c r="E1726" t="str">
        <f t="shared" ca="1" si="339"/>
        <v>Family Type: Curtain Wall_Bespoke 1 - 1979.5 x 3800, Family: Window External Type 5 - Flush Instance Width</v>
      </c>
      <c r="F1726" t="str">
        <f t="shared" ca="1" si="340"/>
        <v>Vector(X = -0.212, Y = 0.977, Z = 0.000, Length = 1.000)</v>
      </c>
      <c r="G1726">
        <f t="shared" ca="1" si="331"/>
        <v>-0.2</v>
      </c>
      <c r="H1726">
        <f t="shared" ca="1" si="332"/>
        <v>1</v>
      </c>
      <c r="I1726">
        <f t="shared" ca="1" si="333"/>
        <v>0</v>
      </c>
      <c r="J1726" s="8">
        <f t="shared" ca="1" si="334"/>
        <v>101.3099324740202</v>
      </c>
      <c r="K1726" s="9" t="str">
        <f t="shared" ca="1" si="335"/>
        <v>N</v>
      </c>
      <c r="L1726">
        <f ca="1">+_xlfn.IFNA(VLOOKUP(M1726,BespokeWindowsAreas!$B$2:$E$1999,4,FALSE),VLOOKUP(E1726,WindowTypeArea!$B$2:$C$113,2,FALSE))</f>
        <v>6.1100249999997951</v>
      </c>
      <c r="M1726">
        <f t="shared" ca="1" si="336"/>
        <v>4940794</v>
      </c>
    </row>
    <row r="1727" spans="1:13" x14ac:dyDescent="0.25">
      <c r="A1727">
        <f t="shared" ca="1" si="329"/>
        <v>5</v>
      </c>
      <c r="B1727">
        <f t="shared" ca="1" si="330"/>
        <v>8</v>
      </c>
      <c r="C1727" t="str">
        <f t="shared" ca="1" si="337"/>
        <v>'WINDOWS-NCH-A-BDP-M3-03-00'!B7</v>
      </c>
      <c r="D1727" s="6" t="str">
        <f t="shared" ca="1" si="338"/>
        <v>L03-CIR-CIR-C008-05</v>
      </c>
      <c r="E1727" t="str">
        <f t="shared" ca="1" si="339"/>
        <v>Family Type: Curtain Wall_975w x 3800h, Family: Window External Type 5 - Flush</v>
      </c>
      <c r="F1727" t="str">
        <f t="shared" ca="1" si="340"/>
        <v>Vector(X = -0.212, Y = 0.977, Z = 0.000, Length = 1.000)</v>
      </c>
      <c r="G1727">
        <f t="shared" ca="1" si="331"/>
        <v>-0.2</v>
      </c>
      <c r="H1727">
        <f t="shared" ca="1" si="332"/>
        <v>1</v>
      </c>
      <c r="I1727">
        <f t="shared" ca="1" si="333"/>
        <v>0</v>
      </c>
      <c r="J1727" s="8">
        <f t="shared" ca="1" si="334"/>
        <v>101.3099324740202</v>
      </c>
      <c r="K1727" s="9" t="str">
        <f t="shared" ca="1" si="335"/>
        <v>N</v>
      </c>
      <c r="L1727">
        <f ca="1">+_xlfn.IFNA(VLOOKUP(M1727,BespokeWindowsAreas!$B$2:$E$1999,4,FALSE),VLOOKUP(E1727,WindowTypeArea!$B$2:$C$113,2,FALSE))</f>
        <v>3.9975000000000001</v>
      </c>
      <c r="M1727">
        <f t="shared" ca="1" si="336"/>
        <v>4940795</v>
      </c>
    </row>
    <row r="1728" spans="1:13" x14ac:dyDescent="0.25">
      <c r="A1728">
        <f t="shared" ca="1" si="329"/>
        <v>5</v>
      </c>
      <c r="B1728">
        <f t="shared" ca="1" si="330"/>
        <v>9</v>
      </c>
      <c r="C1728" t="str">
        <f t="shared" ca="1" si="337"/>
        <v>'WINDOWS-NCH-A-BDP-M3-03-00'!B8</v>
      </c>
      <c r="D1728" s="6" t="str">
        <f t="shared" ca="1" si="338"/>
        <v>L03-CIR-CIR-C008-05</v>
      </c>
      <c r="E1728" t="str">
        <f t="shared" ca="1" si="339"/>
        <v>Family Type: Curtain Wall_975w x 3800h, Family: Window External Type 5 - Flush</v>
      </c>
      <c r="F1728" t="str">
        <f t="shared" ca="1" si="340"/>
        <v>Vector(X = -0.212, Y = 0.977, Z = 0.000, Length = 1.000)</v>
      </c>
      <c r="G1728">
        <f t="shared" ca="1" si="331"/>
        <v>-0.2</v>
      </c>
      <c r="H1728">
        <f t="shared" ca="1" si="332"/>
        <v>1</v>
      </c>
      <c r="I1728">
        <f t="shared" ca="1" si="333"/>
        <v>0</v>
      </c>
      <c r="J1728" s="8">
        <f t="shared" ca="1" si="334"/>
        <v>101.3099324740202</v>
      </c>
      <c r="K1728" s="9" t="str">
        <f t="shared" ca="1" si="335"/>
        <v>N</v>
      </c>
      <c r="L1728">
        <f ca="1">+_xlfn.IFNA(VLOOKUP(M1728,BespokeWindowsAreas!$B$2:$E$1999,4,FALSE),VLOOKUP(E1728,WindowTypeArea!$B$2:$C$113,2,FALSE))</f>
        <v>3.9975000000000001</v>
      </c>
      <c r="M1728">
        <f t="shared" ca="1" si="336"/>
        <v>4940796</v>
      </c>
    </row>
    <row r="1729" spans="1:13" x14ac:dyDescent="0.25">
      <c r="A1729">
        <f t="shared" ca="1" si="329"/>
        <v>5</v>
      </c>
      <c r="B1729">
        <f t="shared" ca="1" si="330"/>
        <v>10</v>
      </c>
      <c r="C1729" t="str">
        <f t="shared" ca="1" si="337"/>
        <v>'WINDOWS-NCH-A-BDP-M3-03-00'!B9</v>
      </c>
      <c r="D1729" s="6" t="str">
        <f t="shared" ca="1" si="338"/>
        <v>L03-CIR-CIR-C008-05</v>
      </c>
      <c r="E1729" t="str">
        <f t="shared" ca="1" si="339"/>
        <v>Family Type: Curtain Wall_1950w x 3800h, Family: Window External Type 5 - Flush</v>
      </c>
      <c r="F1729" t="str">
        <f t="shared" ca="1" si="340"/>
        <v>Vector(X = -0.212, Y = 0.977, Z = 0.000, Length = 1.000)</v>
      </c>
      <c r="G1729">
        <f t="shared" ca="1" si="331"/>
        <v>-0.2</v>
      </c>
      <c r="H1729">
        <f t="shared" ca="1" si="332"/>
        <v>1</v>
      </c>
      <c r="I1729">
        <f t="shared" ca="1" si="333"/>
        <v>0</v>
      </c>
      <c r="J1729" s="8">
        <f t="shared" ca="1" si="334"/>
        <v>101.3099324740202</v>
      </c>
      <c r="K1729" s="9" t="str">
        <f t="shared" ca="1" si="335"/>
        <v>N</v>
      </c>
      <c r="L1729">
        <f ca="1">+_xlfn.IFNA(VLOOKUP(M1729,BespokeWindowsAreas!$B$2:$E$1999,4,FALSE),VLOOKUP(E1729,WindowTypeArea!$B$2:$C$113,2,FALSE))</f>
        <v>7.9950000000000001</v>
      </c>
      <c r="M1729">
        <f t="shared" ca="1" si="336"/>
        <v>4940797</v>
      </c>
    </row>
    <row r="1730" spans="1:13" x14ac:dyDescent="0.25">
      <c r="A1730">
        <f t="shared" ca="1" si="329"/>
        <v>5</v>
      </c>
      <c r="B1730">
        <f t="shared" ca="1" si="330"/>
        <v>11</v>
      </c>
      <c r="C1730" t="str">
        <f t="shared" ca="1" si="337"/>
        <v>'WINDOWS-NCH-A-BDP-M3-03-00'!B10</v>
      </c>
      <c r="D1730" s="6" t="str">
        <f t="shared" ca="1" si="338"/>
        <v>L03-CIR-CIR-C008-05</v>
      </c>
      <c r="E1730" t="str">
        <f t="shared" ca="1" si="339"/>
        <v>Family Type: Curtain Wall_975w x 3800h, Family: Window External Type 5 - Flush</v>
      </c>
      <c r="F1730" t="str">
        <f t="shared" ca="1" si="340"/>
        <v>Vector(X = -0.212, Y = 0.977, Z = 0.000, Length = 1.000)</v>
      </c>
      <c r="G1730">
        <f t="shared" ca="1" si="331"/>
        <v>-0.2</v>
      </c>
      <c r="H1730">
        <f t="shared" ca="1" si="332"/>
        <v>1</v>
      </c>
      <c r="I1730">
        <f t="shared" ca="1" si="333"/>
        <v>0</v>
      </c>
      <c r="J1730" s="8">
        <f t="shared" ca="1" si="334"/>
        <v>101.3099324740202</v>
      </c>
      <c r="K1730" s="9" t="str">
        <f t="shared" ca="1" si="335"/>
        <v>N</v>
      </c>
      <c r="L1730">
        <f ca="1">+_xlfn.IFNA(VLOOKUP(M1730,BespokeWindowsAreas!$B$2:$E$1999,4,FALSE),VLOOKUP(E1730,WindowTypeArea!$B$2:$C$113,2,FALSE))</f>
        <v>3.9975000000000001</v>
      </c>
      <c r="M1730">
        <f t="shared" ca="1" si="336"/>
        <v>4940798</v>
      </c>
    </row>
    <row r="1731" spans="1:13" x14ac:dyDescent="0.25">
      <c r="A1731">
        <f t="shared" ca="1" si="329"/>
        <v>5</v>
      </c>
      <c r="B1731">
        <f t="shared" ca="1" si="330"/>
        <v>12</v>
      </c>
      <c r="C1731" t="str">
        <f t="shared" ca="1" si="337"/>
        <v>'WINDOWS-NCH-A-BDP-M3-03-00'!B11</v>
      </c>
      <c r="D1731" s="6" t="str">
        <f t="shared" ca="1" si="338"/>
        <v>L03-CIR-CIR-C008-05</v>
      </c>
      <c r="E1731" t="str">
        <f t="shared" ca="1" si="339"/>
        <v>Family Type: Curtain Wall_975w x 3800h, Family: Window External Type 5 - Flush</v>
      </c>
      <c r="F1731" t="str">
        <f t="shared" ca="1" si="340"/>
        <v>Vector(X = -0.212, Y = 0.977, Z = 0.000, Length = 1.000)</v>
      </c>
      <c r="G1731">
        <f t="shared" ca="1" si="331"/>
        <v>-0.2</v>
      </c>
      <c r="H1731">
        <f t="shared" ca="1" si="332"/>
        <v>1</v>
      </c>
      <c r="I1731">
        <f t="shared" ca="1" si="333"/>
        <v>0</v>
      </c>
      <c r="J1731" s="8">
        <f t="shared" ca="1" si="334"/>
        <v>101.3099324740202</v>
      </c>
      <c r="K1731" s="9" t="str">
        <f t="shared" ca="1" si="335"/>
        <v>N</v>
      </c>
      <c r="L1731">
        <f ca="1">+_xlfn.IFNA(VLOOKUP(M1731,BespokeWindowsAreas!$B$2:$E$1999,4,FALSE),VLOOKUP(E1731,WindowTypeArea!$B$2:$C$113,2,FALSE))</f>
        <v>3.9975000000000001</v>
      </c>
      <c r="M1731">
        <f t="shared" ca="1" si="336"/>
        <v>4940799</v>
      </c>
    </row>
    <row r="1732" spans="1:13" x14ac:dyDescent="0.25">
      <c r="A1732">
        <f t="shared" ca="1" si="329"/>
        <v>5</v>
      </c>
      <c r="B1732">
        <f t="shared" ca="1" si="330"/>
        <v>13</v>
      </c>
      <c r="C1732" t="str">
        <f t="shared" ca="1" si="337"/>
        <v>'WINDOWS-NCH-A-BDP-M3-03-00'!B12</v>
      </c>
      <c r="D1732" s="6" t="str">
        <f t="shared" ca="1" si="338"/>
        <v>L03-CIR-CIR-C008-05</v>
      </c>
      <c r="E1732" t="str">
        <f t="shared" ca="1" si="339"/>
        <v>Family Type: Curtain Wall_975w x 3800h, Family: Window External Type 5 - Flush</v>
      </c>
      <c r="F1732" t="str">
        <f t="shared" ca="1" si="340"/>
        <v>Vector(X = -0.212, Y = 0.977, Z = 0.000, Length = 1.000)</v>
      </c>
      <c r="G1732">
        <f t="shared" ca="1" si="331"/>
        <v>-0.2</v>
      </c>
      <c r="H1732">
        <f t="shared" ca="1" si="332"/>
        <v>1</v>
      </c>
      <c r="I1732">
        <f t="shared" ca="1" si="333"/>
        <v>0</v>
      </c>
      <c r="J1732" s="8">
        <f t="shared" ca="1" si="334"/>
        <v>101.3099324740202</v>
      </c>
      <c r="K1732" s="9" t="str">
        <f t="shared" ca="1" si="335"/>
        <v>N</v>
      </c>
      <c r="L1732">
        <f ca="1">+_xlfn.IFNA(VLOOKUP(M1732,BespokeWindowsAreas!$B$2:$E$1999,4,FALSE),VLOOKUP(E1732,WindowTypeArea!$B$2:$C$113,2,FALSE))</f>
        <v>3.9975000000000001</v>
      </c>
      <c r="M1732">
        <f t="shared" ca="1" si="336"/>
        <v>4940800</v>
      </c>
    </row>
    <row r="1733" spans="1:13" x14ac:dyDescent="0.25">
      <c r="A1733">
        <f t="shared" ca="1" si="329"/>
        <v>5</v>
      </c>
      <c r="B1733">
        <f t="shared" ca="1" si="330"/>
        <v>14</v>
      </c>
      <c r="C1733" t="str">
        <f t="shared" ca="1" si="337"/>
        <v>'WINDOWS-NCH-A-BDP-M3-03-00'!B13</v>
      </c>
      <c r="D1733" s="6" t="str">
        <f t="shared" ca="1" si="338"/>
        <v>L03-ONC-DW3-S115-43</v>
      </c>
      <c r="E1733" t="str">
        <f t="shared" ca="1" si="339"/>
        <v>L03-ONC-DW3-S115-43</v>
      </c>
      <c r="F1733">
        <f t="shared" ca="1" si="340"/>
        <v>1295814</v>
      </c>
      <c r="G1733">
        <f t="shared" ca="1" si="331"/>
        <v>0</v>
      </c>
      <c r="H1733">
        <f t="shared" ca="1" si="332"/>
        <v>0</v>
      </c>
      <c r="I1733">
        <f t="shared" ca="1" si="333"/>
        <v>0</v>
      </c>
      <c r="J1733" s="8" t="e">
        <f t="shared" ca="1" si="334"/>
        <v>#DIV/0!</v>
      </c>
      <c r="K1733" s="9" t="e">
        <f t="shared" ca="1" si="335"/>
        <v>#DIV/0!</v>
      </c>
      <c r="L1733" t="e">
        <f ca="1">+_xlfn.IFNA(VLOOKUP(M1733,BespokeWindowsAreas!$B$2:$E$1999,4,FALSE),VLOOKUP(E1733,WindowTypeArea!$B$2:$C$113,2,FALSE))</f>
        <v>#N/A</v>
      </c>
      <c r="M1733">
        <f t="shared" ca="1" si="336"/>
        <v>0</v>
      </c>
    </row>
    <row r="1734" spans="1:13" x14ac:dyDescent="0.25">
      <c r="A1734">
        <f t="shared" ca="1" si="329"/>
        <v>5</v>
      </c>
      <c r="B1734">
        <f t="shared" ca="1" si="330"/>
        <v>15</v>
      </c>
      <c r="C1734" t="str">
        <f t="shared" ca="1" si="337"/>
        <v>'WINDOWS-NCH-A-BDP-M3-03-00'!B14</v>
      </c>
      <c r="D1734" s="6" t="str">
        <f t="shared" ca="1" si="338"/>
        <v>L03-ONC-DW3-S115-43</v>
      </c>
      <c r="E1734" t="str">
        <f t="shared" ca="1" si="339"/>
        <v>Family Type: Curtain Wall_1950w x 3800h, Family: Window External Type 5 - Flush</v>
      </c>
      <c r="F1734" t="str">
        <f t="shared" ca="1" si="340"/>
        <v>Vector(X = -0.953, Y = -0.302, Z = 0.000, Length = 1.000)</v>
      </c>
      <c r="G1734">
        <f t="shared" ca="1" si="331"/>
        <v>-1</v>
      </c>
      <c r="H1734">
        <f t="shared" ca="1" si="332"/>
        <v>-0.3</v>
      </c>
      <c r="I1734">
        <f t="shared" ca="1" si="333"/>
        <v>0</v>
      </c>
      <c r="J1734" s="8">
        <f t="shared" ca="1" si="334"/>
        <v>-163.30075576600638</v>
      </c>
      <c r="K1734" s="9" t="str">
        <f t="shared" ca="1" si="335"/>
        <v>W</v>
      </c>
      <c r="L1734">
        <f ca="1">+_xlfn.IFNA(VLOOKUP(M1734,BespokeWindowsAreas!$B$2:$E$1999,4,FALSE),VLOOKUP(E1734,WindowTypeArea!$B$2:$C$113,2,FALSE))</f>
        <v>7.9950000000000001</v>
      </c>
      <c r="M1734">
        <f t="shared" ca="1" si="336"/>
        <v>4838638</v>
      </c>
    </row>
    <row r="1735" spans="1:13" x14ac:dyDescent="0.25">
      <c r="A1735">
        <f t="shared" ca="1" si="329"/>
        <v>5</v>
      </c>
      <c r="B1735">
        <f t="shared" ca="1" si="330"/>
        <v>16</v>
      </c>
      <c r="C1735" t="str">
        <f t="shared" ca="1" si="337"/>
        <v>'WINDOWS-NCH-A-BDP-M3-03-00'!B15</v>
      </c>
      <c r="D1735" s="6" t="str">
        <f t="shared" ca="1" si="338"/>
        <v>L03-ONC-DW3-S115-43</v>
      </c>
      <c r="E1735" t="str">
        <f t="shared" ca="1" si="339"/>
        <v>Family Type: Curtain Wall_Bespoke 1 - 1979.5 x 3800, Family: Window External Type 5 - Flush Instance Width</v>
      </c>
      <c r="F1735" t="str">
        <f t="shared" ca="1" si="340"/>
        <v>Vector(X = -0.953, Y = -0.302, Z = 0.000, Length = 1.000)</v>
      </c>
      <c r="G1735">
        <f t="shared" ca="1" si="331"/>
        <v>-1</v>
      </c>
      <c r="H1735">
        <f t="shared" ca="1" si="332"/>
        <v>-0.3</v>
      </c>
      <c r="I1735">
        <f t="shared" ca="1" si="333"/>
        <v>0</v>
      </c>
      <c r="J1735" s="8">
        <f t="shared" ca="1" si="334"/>
        <v>-163.30075576600638</v>
      </c>
      <c r="K1735" s="9" t="str">
        <f t="shared" ca="1" si="335"/>
        <v>W</v>
      </c>
      <c r="L1735">
        <f ca="1">+_xlfn.IFNA(VLOOKUP(M1735,BespokeWindowsAreas!$B$2:$E$1999,4,FALSE),VLOOKUP(E1735,WindowTypeArea!$B$2:$C$113,2,FALSE))</f>
        <v>7.9950000000000001</v>
      </c>
      <c r="M1735">
        <f t="shared" ca="1" si="336"/>
        <v>4838639</v>
      </c>
    </row>
    <row r="1736" spans="1:13" x14ac:dyDescent="0.25">
      <c r="A1736">
        <f t="shared" ca="1" si="329"/>
        <v>5</v>
      </c>
      <c r="B1736">
        <f t="shared" ca="1" si="330"/>
        <v>17</v>
      </c>
      <c r="C1736" t="str">
        <f t="shared" ca="1" si="337"/>
        <v>'WINDOWS-NCH-A-BDP-M3-03-00'!B16</v>
      </c>
      <c r="D1736" s="6" t="str">
        <f t="shared" ca="1" si="338"/>
        <v>L03-ONC-DW3-S115-43</v>
      </c>
      <c r="E1736" t="str">
        <f t="shared" ca="1" si="339"/>
        <v>Family Type: Curtain Wall_1950w x 3800h, Family: Window External Type 5 - Flush</v>
      </c>
      <c r="F1736" t="str">
        <f t="shared" ca="1" si="340"/>
        <v>Vector(X = -0.953, Y = -0.302, Z = 0.000, Length = 1.000)</v>
      </c>
      <c r="G1736">
        <f t="shared" ca="1" si="331"/>
        <v>-1</v>
      </c>
      <c r="H1736">
        <f t="shared" ca="1" si="332"/>
        <v>-0.3</v>
      </c>
      <c r="I1736">
        <f t="shared" ca="1" si="333"/>
        <v>0</v>
      </c>
      <c r="J1736" s="8">
        <f t="shared" ca="1" si="334"/>
        <v>-163.30075576600638</v>
      </c>
      <c r="K1736" s="9" t="str">
        <f t="shared" ca="1" si="335"/>
        <v>W</v>
      </c>
      <c r="L1736">
        <f ca="1">+_xlfn.IFNA(VLOOKUP(M1736,BespokeWindowsAreas!$B$2:$E$1999,4,FALSE),VLOOKUP(E1736,WindowTypeArea!$B$2:$C$113,2,FALSE))</f>
        <v>7.9950000000000001</v>
      </c>
      <c r="M1736">
        <f t="shared" ca="1" si="336"/>
        <v>4838640</v>
      </c>
    </row>
    <row r="1737" spans="1:13" x14ac:dyDescent="0.25">
      <c r="A1737">
        <f t="shared" ca="1" si="329"/>
        <v>5</v>
      </c>
      <c r="B1737">
        <f t="shared" ca="1" si="330"/>
        <v>18</v>
      </c>
      <c r="C1737" t="str">
        <f t="shared" ca="1" si="337"/>
        <v>'WINDOWS-NCH-A-BDP-M3-03-00'!B17</v>
      </c>
      <c r="D1737" s="6" t="str">
        <f t="shared" ca="1" si="338"/>
        <v>L03-ONC-DW3-S115-43</v>
      </c>
      <c r="E1737" t="str">
        <f t="shared" ca="1" si="339"/>
        <v>Family Type: Curtain Wall_1950w x 3800h, Family: Window External Type 5 - Flush</v>
      </c>
      <c r="F1737" t="str">
        <f t="shared" ca="1" si="340"/>
        <v>Vector(X = -0.953, Y = -0.302, Z = 0.000, Length = 1.000)</v>
      </c>
      <c r="G1737">
        <f t="shared" ca="1" si="331"/>
        <v>-1</v>
      </c>
      <c r="H1737">
        <f t="shared" ca="1" si="332"/>
        <v>-0.3</v>
      </c>
      <c r="I1737">
        <f t="shared" ca="1" si="333"/>
        <v>0</v>
      </c>
      <c r="J1737" s="8">
        <f t="shared" ca="1" si="334"/>
        <v>-163.30075576600638</v>
      </c>
      <c r="K1737" s="9" t="str">
        <f t="shared" ca="1" si="335"/>
        <v>W</v>
      </c>
      <c r="L1737">
        <f ca="1">+_xlfn.IFNA(VLOOKUP(M1737,BespokeWindowsAreas!$B$2:$E$1999,4,FALSE),VLOOKUP(E1737,WindowTypeArea!$B$2:$C$113,2,FALSE))</f>
        <v>7.9950000000000001</v>
      </c>
      <c r="M1737">
        <f t="shared" ca="1" si="336"/>
        <v>4838645</v>
      </c>
    </row>
    <row r="1738" spans="1:13" x14ac:dyDescent="0.25">
      <c r="A1738">
        <f t="shared" ca="1" si="329"/>
        <v>5</v>
      </c>
      <c r="B1738">
        <f t="shared" ca="1" si="330"/>
        <v>19</v>
      </c>
      <c r="C1738" t="str">
        <f t="shared" ca="1" si="337"/>
        <v>'WINDOWS-NCH-A-BDP-M3-03-00'!B18</v>
      </c>
      <c r="D1738" s="6" t="str">
        <f t="shared" ca="1" si="338"/>
        <v>L03-ONC-DW3-S115-43</v>
      </c>
      <c r="E1738" t="str">
        <f t="shared" ca="1" si="339"/>
        <v>Family Type: Curtain Wall_Bespoke 1 - 1979.5 x 3800, Family: Window External Type 5 - Flush Instance Width</v>
      </c>
      <c r="F1738" t="str">
        <f t="shared" ca="1" si="340"/>
        <v>Vector(X = -0.953, Y = -0.302, Z = 0.000, Length = 1.000)</v>
      </c>
      <c r="G1738">
        <f t="shared" ca="1" si="331"/>
        <v>-1</v>
      </c>
      <c r="H1738">
        <f t="shared" ca="1" si="332"/>
        <v>-0.3</v>
      </c>
      <c r="I1738">
        <f t="shared" ca="1" si="333"/>
        <v>0</v>
      </c>
      <c r="J1738" s="8">
        <f t="shared" ca="1" si="334"/>
        <v>-163.30075576600638</v>
      </c>
      <c r="K1738" s="9" t="str">
        <f t="shared" ca="1" si="335"/>
        <v>W</v>
      </c>
      <c r="L1738">
        <f ca="1">+_xlfn.IFNA(VLOOKUP(M1738,BespokeWindowsAreas!$B$2:$E$1999,4,FALSE),VLOOKUP(E1738,WindowTypeArea!$B$2:$C$113,2,FALSE))</f>
        <v>7.9950000000000001</v>
      </c>
      <c r="M1738">
        <f t="shared" ca="1" si="336"/>
        <v>4913555</v>
      </c>
    </row>
    <row r="1739" spans="1:13" x14ac:dyDescent="0.25">
      <c r="A1739">
        <f t="shared" ca="1" si="329"/>
        <v>5</v>
      </c>
      <c r="B1739">
        <f t="shared" ca="1" si="330"/>
        <v>20</v>
      </c>
      <c r="C1739" t="str">
        <f t="shared" ca="1" si="337"/>
        <v>'WINDOWS-NCH-A-BDP-M3-03-00'!B19</v>
      </c>
      <c r="D1739" s="6" t="str">
        <f t="shared" ca="1" si="338"/>
        <v>L03-ONC-DW3-S115-43</v>
      </c>
      <c r="E1739" t="str">
        <f t="shared" ca="1" si="339"/>
        <v>Family Type: Curtain Wall_Bespoke 1 - 1979.5 x 3800, Family: Window External Type 5 - Flush Instance Width</v>
      </c>
      <c r="F1739" t="str">
        <f t="shared" ca="1" si="340"/>
        <v>Vector(X = -0.953, Y = -0.302, Z = 0.000, Length = 1.000)</v>
      </c>
      <c r="G1739">
        <f t="shared" ca="1" si="331"/>
        <v>-1</v>
      </c>
      <c r="H1739">
        <f t="shared" ca="1" si="332"/>
        <v>-0.3</v>
      </c>
      <c r="I1739">
        <f t="shared" ca="1" si="333"/>
        <v>0</v>
      </c>
      <c r="J1739" s="8">
        <f t="shared" ca="1" si="334"/>
        <v>-163.30075576600638</v>
      </c>
      <c r="K1739" s="9" t="str">
        <f t="shared" ca="1" si="335"/>
        <v>W</v>
      </c>
      <c r="L1739">
        <f ca="1">+_xlfn.IFNA(VLOOKUP(M1739,BespokeWindowsAreas!$B$2:$E$1999,4,FALSE),VLOOKUP(E1739,WindowTypeArea!$B$2:$C$113,2,FALSE))</f>
        <v>7.9950000000000001</v>
      </c>
      <c r="M1739">
        <f t="shared" ca="1" si="336"/>
        <v>4913556</v>
      </c>
    </row>
    <row r="1740" spans="1:13" x14ac:dyDescent="0.25">
      <c r="A1740">
        <f t="shared" ca="1" si="329"/>
        <v>5</v>
      </c>
      <c r="B1740">
        <f t="shared" ca="1" si="330"/>
        <v>21</v>
      </c>
      <c r="C1740" t="str">
        <f t="shared" ca="1" si="337"/>
        <v>'WINDOWS-NCH-A-BDP-M3-03-00'!B20</v>
      </c>
      <c r="D1740" s="6" t="str">
        <f t="shared" ca="1" si="338"/>
        <v>L03-ONC-DW3-S115-43</v>
      </c>
      <c r="E1740" t="str">
        <f t="shared" ca="1" si="339"/>
        <v>Family Type: Curtain Wall_Bespoke 1 - 1979.5 x 3800, Family: Window External Type 5 - Flush Instance Width</v>
      </c>
      <c r="F1740" t="str">
        <f t="shared" ca="1" si="340"/>
        <v>Vector(X = -0.953, Y = -0.302, Z = 0.000, Length = 1.000)</v>
      </c>
      <c r="G1740">
        <f t="shared" ca="1" si="331"/>
        <v>-1</v>
      </c>
      <c r="H1740">
        <f t="shared" ca="1" si="332"/>
        <v>-0.3</v>
      </c>
      <c r="I1740">
        <f t="shared" ca="1" si="333"/>
        <v>0</v>
      </c>
      <c r="J1740" s="8">
        <f t="shared" ca="1" si="334"/>
        <v>-163.30075576600638</v>
      </c>
      <c r="K1740" s="9" t="str">
        <f t="shared" ca="1" si="335"/>
        <v>W</v>
      </c>
      <c r="L1740">
        <f ca="1">+_xlfn.IFNA(VLOOKUP(M1740,BespokeWindowsAreas!$B$2:$E$1999,4,FALSE),VLOOKUP(E1740,WindowTypeArea!$B$2:$C$113,2,FALSE))</f>
        <v>6.8613499999999998</v>
      </c>
      <c r="M1740">
        <f t="shared" ca="1" si="336"/>
        <v>4913557</v>
      </c>
    </row>
    <row r="1741" spans="1:13" x14ac:dyDescent="0.25">
      <c r="A1741">
        <f t="shared" ca="1" si="329"/>
        <v>5</v>
      </c>
      <c r="B1741">
        <f t="shared" ca="1" si="330"/>
        <v>22</v>
      </c>
      <c r="C1741" t="str">
        <f t="shared" ca="1" si="337"/>
        <v>'WINDOWS-NCH-A-BDP-M3-03-00'!B21</v>
      </c>
      <c r="D1741" s="6" t="str">
        <f t="shared" ca="1" si="338"/>
        <v>L03-ONC-DW3-S115-43</v>
      </c>
      <c r="E1741" t="str">
        <f t="shared" ca="1" si="339"/>
        <v>Family Type: Curtain Wall_Bespoke 1 - 1979.5 x 3800, Family: Window External Type 5 - Flush Instance Width</v>
      </c>
      <c r="F1741" t="str">
        <f t="shared" ca="1" si="340"/>
        <v>Vector(X = -0.953, Y = -0.302, Z = 0.000, Length = 1.000)</v>
      </c>
      <c r="G1741">
        <f t="shared" ca="1" si="331"/>
        <v>-1</v>
      </c>
      <c r="H1741">
        <f t="shared" ca="1" si="332"/>
        <v>-0.3</v>
      </c>
      <c r="I1741">
        <f t="shared" ca="1" si="333"/>
        <v>0</v>
      </c>
      <c r="J1741" s="8">
        <f t="shared" ca="1" si="334"/>
        <v>-163.30075576600638</v>
      </c>
      <c r="K1741" s="9" t="str">
        <f t="shared" ca="1" si="335"/>
        <v>W</v>
      </c>
      <c r="L1741">
        <f ca="1">+_xlfn.IFNA(VLOOKUP(M1741,BespokeWindowsAreas!$B$2:$E$1999,4,FALSE),VLOOKUP(E1741,WindowTypeArea!$B$2:$C$113,2,FALSE))</f>
        <v>1.95</v>
      </c>
      <c r="M1741">
        <f t="shared" ca="1" si="336"/>
        <v>5143652</v>
      </c>
    </row>
    <row r="1742" spans="1:13" x14ac:dyDescent="0.25">
      <c r="A1742">
        <f t="shared" ca="1" si="329"/>
        <v>5</v>
      </c>
      <c r="B1742">
        <f t="shared" ca="1" si="330"/>
        <v>23</v>
      </c>
      <c r="C1742" t="str">
        <f t="shared" ca="1" si="337"/>
        <v>'WINDOWS-NCH-A-BDP-M3-03-00'!B22</v>
      </c>
      <c r="D1742" s="6" t="str">
        <f t="shared" ca="1" si="338"/>
        <v>L03-ONC-DW3-S115-43</v>
      </c>
      <c r="E1742" t="str">
        <f t="shared" ca="1" si="339"/>
        <v>Family Type: Curtain Wall_Bespoke 1 - 1979.5 x 3800, Family: Window External Type 5 - Flush Instance Width</v>
      </c>
      <c r="F1742" t="str">
        <f t="shared" ca="1" si="340"/>
        <v>Vector(X = -0.953, Y = -0.302, Z = 0.000, Length = 1.000)</v>
      </c>
      <c r="G1742">
        <f t="shared" ca="1" si="331"/>
        <v>-1</v>
      </c>
      <c r="H1742">
        <f t="shared" ca="1" si="332"/>
        <v>-0.3</v>
      </c>
      <c r="I1742">
        <f t="shared" ca="1" si="333"/>
        <v>0</v>
      </c>
      <c r="J1742" s="8">
        <f t="shared" ca="1" si="334"/>
        <v>-163.30075576600638</v>
      </c>
      <c r="K1742" s="9" t="str">
        <f t="shared" ca="1" si="335"/>
        <v>W</v>
      </c>
      <c r="L1742">
        <f ca="1">+_xlfn.IFNA(VLOOKUP(M1742,BespokeWindowsAreas!$B$2:$E$1999,4,FALSE),VLOOKUP(E1742,WindowTypeArea!$B$2:$C$113,2,FALSE))</f>
        <v>1.95</v>
      </c>
      <c r="M1742">
        <f t="shared" ca="1" si="336"/>
        <v>5143653</v>
      </c>
    </row>
    <row r="1743" spans="1:13" x14ac:dyDescent="0.25">
      <c r="A1743">
        <f t="shared" ca="1" si="329"/>
        <v>5</v>
      </c>
      <c r="B1743">
        <f t="shared" ca="1" si="330"/>
        <v>24</v>
      </c>
      <c r="C1743" t="str">
        <f t="shared" ca="1" si="337"/>
        <v>'WINDOWS-NCH-A-BDP-M3-03-00'!B23</v>
      </c>
      <c r="D1743" s="6" t="str">
        <f t="shared" ca="1" si="338"/>
        <v>L03-ONC-DW3-S115-43</v>
      </c>
      <c r="E1743" t="str">
        <f t="shared" ca="1" si="339"/>
        <v>Family Type: Curtain Wall_Bespoke 1 - 1979.5 x 3800, Family: Window External Type 5 - Flush Instance Width</v>
      </c>
      <c r="F1743" t="str">
        <f t="shared" ca="1" si="340"/>
        <v>Vector(X = -0.953, Y = -0.302, Z = 0.000, Length = 1.000)</v>
      </c>
      <c r="G1743">
        <f t="shared" ca="1" si="331"/>
        <v>-1</v>
      </c>
      <c r="H1743">
        <f t="shared" ca="1" si="332"/>
        <v>-0.3</v>
      </c>
      <c r="I1743">
        <f t="shared" ca="1" si="333"/>
        <v>0</v>
      </c>
      <c r="J1743" s="8">
        <f t="shared" ca="1" si="334"/>
        <v>-163.30075576600638</v>
      </c>
      <c r="K1743" s="9" t="str">
        <f t="shared" ca="1" si="335"/>
        <v>W</v>
      </c>
      <c r="L1743">
        <f ca="1">+_xlfn.IFNA(VLOOKUP(M1743,BespokeWindowsAreas!$B$2:$E$1999,4,FALSE),VLOOKUP(E1743,WindowTypeArea!$B$2:$C$113,2,FALSE))</f>
        <v>1.95</v>
      </c>
      <c r="M1743">
        <f t="shared" ca="1" si="336"/>
        <v>5143654</v>
      </c>
    </row>
    <row r="1744" spans="1:13" x14ac:dyDescent="0.25">
      <c r="A1744">
        <f t="shared" ca="1" si="329"/>
        <v>5</v>
      </c>
      <c r="B1744">
        <f t="shared" ca="1" si="330"/>
        <v>25</v>
      </c>
      <c r="C1744" t="str">
        <f t="shared" ca="1" si="337"/>
        <v>'WINDOWS-NCH-A-BDP-M3-03-00'!B24</v>
      </c>
      <c r="D1744" s="6" t="str">
        <f t="shared" ca="1" si="338"/>
        <v>L03-ONC-DW3-S115-43</v>
      </c>
      <c r="E1744" t="str">
        <f t="shared" ca="1" si="339"/>
        <v>Family Type: Curtain Wall_Bespoke 1 - 1979.5 x 3800, Family: Window External Type 5 - Flush Instance Width</v>
      </c>
      <c r="F1744" t="str">
        <f t="shared" ca="1" si="340"/>
        <v>Vector(X = -0.953, Y = -0.302, Z = 0.000, Length = 1.000)</v>
      </c>
      <c r="G1744">
        <f t="shared" ca="1" si="331"/>
        <v>-1</v>
      </c>
      <c r="H1744">
        <f t="shared" ca="1" si="332"/>
        <v>-0.3</v>
      </c>
      <c r="I1744">
        <f t="shared" ca="1" si="333"/>
        <v>0</v>
      </c>
      <c r="J1744" s="8">
        <f t="shared" ca="1" si="334"/>
        <v>-163.30075576600638</v>
      </c>
      <c r="K1744" s="9" t="str">
        <f t="shared" ca="1" si="335"/>
        <v>W</v>
      </c>
      <c r="L1744">
        <f ca="1">+_xlfn.IFNA(VLOOKUP(M1744,BespokeWindowsAreas!$B$2:$E$1999,4,FALSE),VLOOKUP(E1744,WindowTypeArea!$B$2:$C$113,2,FALSE))</f>
        <v>1.95</v>
      </c>
      <c r="M1744">
        <f t="shared" ca="1" si="336"/>
        <v>5143655</v>
      </c>
    </row>
    <row r="1745" spans="1:13" x14ac:dyDescent="0.25">
      <c r="A1745">
        <f t="shared" ca="1" si="329"/>
        <v>5</v>
      </c>
      <c r="B1745">
        <f t="shared" ca="1" si="330"/>
        <v>26</v>
      </c>
      <c r="C1745" t="str">
        <f t="shared" ca="1" si="337"/>
        <v>'WINDOWS-NCH-A-BDP-M3-03-00'!B25</v>
      </c>
      <c r="D1745" s="6" t="str">
        <f t="shared" ca="1" si="338"/>
        <v>L03-ONC-DW3-S115-43</v>
      </c>
      <c r="E1745" t="str">
        <f t="shared" ca="1" si="339"/>
        <v>Family Type: Curtain Wall_Bespoke 1 - 1979.5 x 3800, Family: Window External Type 5 - Flush Instance Width</v>
      </c>
      <c r="F1745" t="str">
        <f t="shared" ca="1" si="340"/>
        <v>Vector(X = -0.953, Y = -0.302, Z = 0.000, Length = 1.000)</v>
      </c>
      <c r="G1745">
        <f t="shared" ca="1" si="331"/>
        <v>-1</v>
      </c>
      <c r="H1745">
        <f t="shared" ca="1" si="332"/>
        <v>-0.3</v>
      </c>
      <c r="I1745">
        <f t="shared" ca="1" si="333"/>
        <v>0</v>
      </c>
      <c r="J1745" s="8">
        <f t="shared" ca="1" si="334"/>
        <v>-163.30075576600638</v>
      </c>
      <c r="K1745" s="9" t="str">
        <f t="shared" ca="1" si="335"/>
        <v>W</v>
      </c>
      <c r="L1745">
        <f ca="1">+_xlfn.IFNA(VLOOKUP(M1745,BespokeWindowsAreas!$B$2:$E$1999,4,FALSE),VLOOKUP(E1745,WindowTypeArea!$B$2:$C$113,2,FALSE))</f>
        <v>1.95</v>
      </c>
      <c r="M1745">
        <f t="shared" ca="1" si="336"/>
        <v>5143656</v>
      </c>
    </row>
    <row r="1746" spans="1:13" x14ac:dyDescent="0.25">
      <c r="A1746">
        <f t="shared" ca="1" si="329"/>
        <v>5</v>
      </c>
      <c r="B1746">
        <f t="shared" ca="1" si="330"/>
        <v>27</v>
      </c>
      <c r="C1746" t="str">
        <f t="shared" ca="1" si="337"/>
        <v>'WINDOWS-NCH-A-BDP-M3-03-00'!B26</v>
      </c>
      <c r="D1746" s="6" t="str">
        <f t="shared" ca="1" si="338"/>
        <v>L03-ONC-DW3-S115-43</v>
      </c>
      <c r="E1746" t="str">
        <f t="shared" ca="1" si="339"/>
        <v>Family Type: Curtain Wall_Bespoke 1 - 1979.5 x 3800, Family: Window External Type 5 - Flush Instance Width</v>
      </c>
      <c r="F1746" t="str">
        <f t="shared" ca="1" si="340"/>
        <v>Vector(X = -0.953, Y = -0.302, Z = 0.000, Length = 1.000)</v>
      </c>
      <c r="G1746">
        <f t="shared" ca="1" si="331"/>
        <v>-1</v>
      </c>
      <c r="H1746">
        <f t="shared" ca="1" si="332"/>
        <v>-0.3</v>
      </c>
      <c r="I1746">
        <f t="shared" ca="1" si="333"/>
        <v>0</v>
      </c>
      <c r="J1746" s="8">
        <f t="shared" ca="1" si="334"/>
        <v>-163.30075576600638</v>
      </c>
      <c r="K1746" s="9" t="str">
        <f t="shared" ca="1" si="335"/>
        <v>W</v>
      </c>
      <c r="L1746">
        <f ca="1">+_xlfn.IFNA(VLOOKUP(M1746,BespokeWindowsAreas!$B$2:$E$1999,4,FALSE),VLOOKUP(E1746,WindowTypeArea!$B$2:$C$113,2,FALSE))</f>
        <v>1.95</v>
      </c>
      <c r="M1746">
        <f t="shared" ca="1" si="336"/>
        <v>5143657</v>
      </c>
    </row>
    <row r="1747" spans="1:13" x14ac:dyDescent="0.25">
      <c r="A1747">
        <f t="shared" ca="1" si="329"/>
        <v>5</v>
      </c>
      <c r="B1747">
        <f t="shared" ca="1" si="330"/>
        <v>28</v>
      </c>
      <c r="C1747" t="str">
        <f t="shared" ca="1" si="337"/>
        <v>'WINDOWS-NCH-A-BDP-M3-03-00'!B27</v>
      </c>
      <c r="D1747" s="6" t="str">
        <f t="shared" ca="1" si="338"/>
        <v>L03-ONC-DW3-S115-43</v>
      </c>
      <c r="E1747" t="str">
        <f t="shared" ca="1" si="339"/>
        <v>Family Type: Curtain Wall_Bespoke 1 - 1979.5 x 3800, Family: Window External Type 5 - Flush Instance Width</v>
      </c>
      <c r="F1747" t="str">
        <f t="shared" ca="1" si="340"/>
        <v>Vector(X = -0.953, Y = -0.302, Z = 0.000, Length = 1.000)</v>
      </c>
      <c r="G1747">
        <f t="shared" ca="1" si="331"/>
        <v>-1</v>
      </c>
      <c r="H1747">
        <f t="shared" ca="1" si="332"/>
        <v>-0.3</v>
      </c>
      <c r="I1747">
        <f t="shared" ca="1" si="333"/>
        <v>0</v>
      </c>
      <c r="J1747" s="8">
        <f t="shared" ca="1" si="334"/>
        <v>-163.30075576600638</v>
      </c>
      <c r="K1747" s="9" t="str">
        <f t="shared" ca="1" si="335"/>
        <v>W</v>
      </c>
      <c r="L1747">
        <f ca="1">+_xlfn.IFNA(VLOOKUP(M1747,BespokeWindowsAreas!$B$2:$E$1999,4,FALSE),VLOOKUP(E1747,WindowTypeArea!$B$2:$C$113,2,FALSE))</f>
        <v>1.6735</v>
      </c>
      <c r="M1747">
        <f t="shared" ca="1" si="336"/>
        <v>5143658</v>
      </c>
    </row>
    <row r="1748" spans="1:13" x14ac:dyDescent="0.25">
      <c r="A1748">
        <f t="shared" ref="A1748:A1811" ca="1" si="341">+IF(B1747&lt;=VLOOKUP(MID(C1748,2,26),TABS,2,FALSE),A1747,+A1747+1)</f>
        <v>5</v>
      </c>
      <c r="B1748">
        <f t="shared" ref="B1748:B1811" ca="1" si="342">+IF(B1747&lt;=VLOOKUP(MID(C1748,2,26),TABS,2,FALSE),B1747+1,1)</f>
        <v>29</v>
      </c>
      <c r="C1748" t="str">
        <f t="shared" ca="1" si="337"/>
        <v>'WINDOWS-NCH-A-BDP-M3-03-00'!B28</v>
      </c>
      <c r="D1748" s="6" t="str">
        <f t="shared" ca="1" si="338"/>
        <v>L03-THR-MSW-S095-01</v>
      </c>
      <c r="E1748" t="str">
        <f t="shared" ca="1" si="339"/>
        <v>L03-THR-MSW-S095-01</v>
      </c>
      <c r="F1748">
        <f t="shared" ca="1" si="340"/>
        <v>1295976</v>
      </c>
      <c r="G1748">
        <f t="shared" ca="1" si="331"/>
        <v>0</v>
      </c>
      <c r="H1748">
        <f t="shared" ca="1" si="332"/>
        <v>0</v>
      </c>
      <c r="I1748">
        <f t="shared" ca="1" si="333"/>
        <v>0</v>
      </c>
      <c r="J1748" s="8" t="e">
        <f t="shared" ca="1" si="334"/>
        <v>#DIV/0!</v>
      </c>
      <c r="K1748" s="9" t="e">
        <f t="shared" ca="1" si="335"/>
        <v>#DIV/0!</v>
      </c>
      <c r="L1748" t="e">
        <f ca="1">+_xlfn.IFNA(VLOOKUP(M1748,BespokeWindowsAreas!$B$2:$E$1999,4,FALSE),VLOOKUP(E1748,WindowTypeArea!$B$2:$C$113,2,FALSE))</f>
        <v>#N/A</v>
      </c>
      <c r="M1748">
        <f t="shared" ca="1" si="336"/>
        <v>0</v>
      </c>
    </row>
    <row r="1749" spans="1:13" x14ac:dyDescent="0.25">
      <c r="A1749">
        <f t="shared" ca="1" si="341"/>
        <v>5</v>
      </c>
      <c r="B1749">
        <f t="shared" ca="1" si="342"/>
        <v>30</v>
      </c>
      <c r="C1749" t="str">
        <f t="shared" ca="1" si="337"/>
        <v>'WINDOWS-NCH-A-BDP-M3-03-00'!B29</v>
      </c>
      <c r="D1749" s="6" t="str">
        <f t="shared" ca="1" si="338"/>
        <v>L03-THR-MSW-S095-01</v>
      </c>
      <c r="E1749" t="str">
        <f t="shared" ca="1" si="339"/>
        <v>Family Type: Curtain Wall_975w x 3800h, Family: Window External Type 5 - Flush</v>
      </c>
      <c r="F1749" t="str">
        <f t="shared" ca="1" si="340"/>
        <v>Vector(X = -0.985, Y = -0.170, Z = 0.000, Length = 1.000)</v>
      </c>
      <c r="G1749">
        <f t="shared" ca="1" si="331"/>
        <v>-1</v>
      </c>
      <c r="H1749">
        <f t="shared" ca="1" si="332"/>
        <v>-0.2</v>
      </c>
      <c r="I1749">
        <f t="shared" ca="1" si="333"/>
        <v>0</v>
      </c>
      <c r="J1749" s="8">
        <f t="shared" ca="1" si="334"/>
        <v>-168.69006752597977</v>
      </c>
      <c r="K1749" s="9" t="str">
        <f t="shared" ca="1" si="335"/>
        <v>W</v>
      </c>
      <c r="L1749">
        <f ca="1">+_xlfn.IFNA(VLOOKUP(M1749,BespokeWindowsAreas!$B$2:$E$1999,4,FALSE),VLOOKUP(E1749,WindowTypeArea!$B$2:$C$113,2,FALSE))</f>
        <v>3.9975000000000001</v>
      </c>
      <c r="M1749">
        <f t="shared" ca="1" si="336"/>
        <v>4913575</v>
      </c>
    </row>
    <row r="1750" spans="1:13" x14ac:dyDescent="0.25">
      <c r="A1750">
        <f t="shared" ca="1" si="341"/>
        <v>5</v>
      </c>
      <c r="B1750">
        <f t="shared" ca="1" si="342"/>
        <v>31</v>
      </c>
      <c r="C1750" t="str">
        <f t="shared" ca="1" si="337"/>
        <v>'WINDOWS-NCH-A-BDP-M3-03-00'!B30</v>
      </c>
      <c r="D1750" s="6" t="str">
        <f t="shared" ca="1" si="338"/>
        <v>L03-THR-MSW-S095-01</v>
      </c>
      <c r="E1750" t="str">
        <f t="shared" ca="1" si="339"/>
        <v>Family Type: Curtain Wall_Bespoke 1 - 1979.5 x 3800, Family: Window External Type 5 - Flush Instance Width</v>
      </c>
      <c r="F1750" t="str">
        <f t="shared" ca="1" si="340"/>
        <v>Vector(X = -0.985, Y = -0.170, Z = 0.000, Length = 1.000)</v>
      </c>
      <c r="G1750">
        <f t="shared" ref="G1750:G1813" ca="1" si="343">+OFFSET(INDIRECT(C1750),0,2)</f>
        <v>-1</v>
      </c>
      <c r="H1750">
        <f t="shared" ref="H1750:H1813" ca="1" si="344">+OFFSET(INDIRECT(C1750),0,3)</f>
        <v>-0.2</v>
      </c>
      <c r="I1750">
        <f t="shared" ref="I1750:I1813" ca="1" si="345">+OFFSET(INDIRECT(C1750),0,4)</f>
        <v>0</v>
      </c>
      <c r="J1750" s="8">
        <f t="shared" ref="J1750:J1813" ca="1" si="346">+DEGREES(ATAN2(G1750,H1750))</f>
        <v>-168.69006752597977</v>
      </c>
      <c r="K1750" s="9" t="str">
        <f t="shared" ref="K1750:K1813" ca="1" si="347">VLOOKUP(J1750,$O$20:$P$36,2,-1)</f>
        <v>W</v>
      </c>
      <c r="L1750">
        <f ca="1">+_xlfn.IFNA(VLOOKUP(M1750,BespokeWindowsAreas!$B$2:$E$1999,4,FALSE),VLOOKUP(E1750,WindowTypeArea!$B$2:$C$113,2,FALSE))</f>
        <v>7.9950000000000001</v>
      </c>
      <c r="M1750">
        <f t="shared" ref="M1750:M1813" ca="1" si="348">+OFFSET(INDIRECT(C1750),0,5)</f>
        <v>4913576</v>
      </c>
    </row>
    <row r="1751" spans="1:13" x14ac:dyDescent="0.25">
      <c r="A1751">
        <f t="shared" ca="1" si="341"/>
        <v>5</v>
      </c>
      <c r="B1751">
        <f t="shared" ca="1" si="342"/>
        <v>32</v>
      </c>
      <c r="C1751" t="str">
        <f t="shared" ca="1" si="337"/>
        <v>'WINDOWS-NCH-A-BDP-M3-03-00'!B31</v>
      </c>
      <c r="D1751" s="6" t="str">
        <f t="shared" ca="1" si="338"/>
        <v>L03-THR-MSW-S095-01</v>
      </c>
      <c r="E1751" t="str">
        <f t="shared" ca="1" si="339"/>
        <v>Family Type: Curtain Wall_Bespoke 1 - 1979.5 x 3800, Family: Window External Type 5 - Flush Instance Width</v>
      </c>
      <c r="F1751" t="str">
        <f t="shared" ca="1" si="340"/>
        <v>Vector(X = -0.985, Y = -0.170, Z = 0.000, Length = 1.000)</v>
      </c>
      <c r="G1751">
        <f t="shared" ca="1" si="343"/>
        <v>-1</v>
      </c>
      <c r="H1751">
        <f t="shared" ca="1" si="344"/>
        <v>-0.2</v>
      </c>
      <c r="I1751">
        <f t="shared" ca="1" si="345"/>
        <v>0</v>
      </c>
      <c r="J1751" s="8">
        <f t="shared" ca="1" si="346"/>
        <v>-168.69006752597977</v>
      </c>
      <c r="K1751" s="9" t="str">
        <f t="shared" ca="1" si="347"/>
        <v>W</v>
      </c>
      <c r="L1751">
        <f ca="1">+_xlfn.IFNA(VLOOKUP(M1751,BespokeWindowsAreas!$B$2:$E$1999,4,FALSE),VLOOKUP(E1751,WindowTypeArea!$B$2:$C$113,2,FALSE))</f>
        <v>7.9950000000000001</v>
      </c>
      <c r="M1751">
        <f t="shared" ca="1" si="348"/>
        <v>4913577</v>
      </c>
    </row>
    <row r="1752" spans="1:13" x14ac:dyDescent="0.25">
      <c r="A1752">
        <f t="shared" ca="1" si="341"/>
        <v>5</v>
      </c>
      <c r="B1752">
        <f t="shared" ca="1" si="342"/>
        <v>33</v>
      </c>
      <c r="C1752" t="str">
        <f t="shared" ca="1" si="337"/>
        <v>'WINDOWS-NCH-A-BDP-M3-03-00'!B32</v>
      </c>
      <c r="D1752" s="6" t="str">
        <f t="shared" ca="1" si="338"/>
        <v>L03-THR-MSW-S095-01</v>
      </c>
      <c r="E1752" t="str">
        <f t="shared" ca="1" si="339"/>
        <v>Family Type: Curtain Wall_Bespoke 1 - 1979.5 x 3800, Family: Window External Type 5 - Flush Instance Width</v>
      </c>
      <c r="F1752" t="str">
        <f t="shared" ca="1" si="340"/>
        <v>Vector(X = -0.985, Y = -0.170, Z = 0.000, Length = 1.000)</v>
      </c>
      <c r="G1752">
        <f t="shared" ca="1" si="343"/>
        <v>-1</v>
      </c>
      <c r="H1752">
        <f t="shared" ca="1" si="344"/>
        <v>-0.2</v>
      </c>
      <c r="I1752">
        <f t="shared" ca="1" si="345"/>
        <v>0</v>
      </c>
      <c r="J1752" s="8">
        <f t="shared" ca="1" si="346"/>
        <v>-168.69006752597977</v>
      </c>
      <c r="K1752" s="9" t="str">
        <f t="shared" ca="1" si="347"/>
        <v>W</v>
      </c>
      <c r="L1752">
        <f ca="1">+_xlfn.IFNA(VLOOKUP(M1752,BespokeWindowsAreas!$B$2:$E$1999,4,FALSE),VLOOKUP(E1752,WindowTypeArea!$B$2:$C$113,2,FALSE))</f>
        <v>1.94975442974914</v>
      </c>
      <c r="M1752">
        <f t="shared" ca="1" si="348"/>
        <v>5143375</v>
      </c>
    </row>
    <row r="1753" spans="1:13" x14ac:dyDescent="0.25">
      <c r="A1753">
        <f t="shared" ca="1" si="341"/>
        <v>5</v>
      </c>
      <c r="B1753">
        <f t="shared" ca="1" si="342"/>
        <v>34</v>
      </c>
      <c r="C1753" t="str">
        <f t="shared" ca="1" si="337"/>
        <v>'WINDOWS-NCH-A-BDP-M3-03-00'!B33</v>
      </c>
      <c r="D1753" s="6" t="str">
        <f t="shared" ca="1" si="338"/>
        <v>L03-THR-MSW-S115-02</v>
      </c>
      <c r="E1753" t="str">
        <f t="shared" ca="1" si="339"/>
        <v>L03-THR-MSW-S115-02</v>
      </c>
      <c r="F1753">
        <f t="shared" ca="1" si="340"/>
        <v>1295992</v>
      </c>
      <c r="G1753">
        <f t="shared" ca="1" si="343"/>
        <v>0</v>
      </c>
      <c r="H1753">
        <f t="shared" ca="1" si="344"/>
        <v>0</v>
      </c>
      <c r="I1753">
        <f t="shared" ca="1" si="345"/>
        <v>0</v>
      </c>
      <c r="J1753" s="8" t="e">
        <f t="shared" ca="1" si="346"/>
        <v>#DIV/0!</v>
      </c>
      <c r="K1753" s="9" t="e">
        <f t="shared" ca="1" si="347"/>
        <v>#DIV/0!</v>
      </c>
      <c r="L1753" t="e">
        <f ca="1">+_xlfn.IFNA(VLOOKUP(M1753,BespokeWindowsAreas!$B$2:$E$1999,4,FALSE),VLOOKUP(E1753,WindowTypeArea!$B$2:$C$113,2,FALSE))</f>
        <v>#N/A</v>
      </c>
      <c r="M1753">
        <f t="shared" ca="1" si="348"/>
        <v>0</v>
      </c>
    </row>
    <row r="1754" spans="1:13" x14ac:dyDescent="0.25">
      <c r="A1754">
        <f t="shared" ca="1" si="341"/>
        <v>5</v>
      </c>
      <c r="B1754">
        <f t="shared" ca="1" si="342"/>
        <v>35</v>
      </c>
      <c r="C1754" t="str">
        <f t="shared" ca="1" si="337"/>
        <v>'WINDOWS-NCH-A-BDP-M3-03-00'!B34</v>
      </c>
      <c r="D1754" s="6" t="str">
        <f t="shared" ca="1" si="338"/>
        <v>L03-THR-MSW-S115-02</v>
      </c>
      <c r="E1754" t="str">
        <f t="shared" ca="1" si="339"/>
        <v>Family Type: Curtain Wall_Bespoke 1 - 1979.5 x 3800, Family: Window External Type 5 - Flush Instance Width</v>
      </c>
      <c r="F1754" t="str">
        <f t="shared" ca="1" si="340"/>
        <v>Vector(X = -0.985, Y = -0.170, Z = 0.000, Length = 1.000)</v>
      </c>
      <c r="G1754">
        <f t="shared" ca="1" si="343"/>
        <v>-1</v>
      </c>
      <c r="H1754">
        <f t="shared" ca="1" si="344"/>
        <v>-0.2</v>
      </c>
      <c r="I1754">
        <f t="shared" ca="1" si="345"/>
        <v>0</v>
      </c>
      <c r="J1754" s="8">
        <f t="shared" ca="1" si="346"/>
        <v>-168.69006752597977</v>
      </c>
      <c r="K1754" s="9" t="str">
        <f t="shared" ca="1" si="347"/>
        <v>W</v>
      </c>
      <c r="L1754">
        <f ca="1">+_xlfn.IFNA(VLOOKUP(M1754,BespokeWindowsAreas!$B$2:$E$1999,4,FALSE),VLOOKUP(E1754,WindowTypeArea!$B$2:$C$113,2,FALSE))</f>
        <v>7.9950000000000001</v>
      </c>
      <c r="M1754">
        <f t="shared" ca="1" si="348"/>
        <v>4913578</v>
      </c>
    </row>
    <row r="1755" spans="1:13" x14ac:dyDescent="0.25">
      <c r="A1755">
        <f t="shared" ca="1" si="341"/>
        <v>5</v>
      </c>
      <c r="B1755">
        <f t="shared" ca="1" si="342"/>
        <v>36</v>
      </c>
      <c r="C1755" t="str">
        <f t="shared" ca="1" si="337"/>
        <v>'WINDOWS-NCH-A-BDP-M3-03-00'!B35</v>
      </c>
      <c r="D1755" s="6" t="str">
        <f t="shared" ca="1" si="338"/>
        <v>L03-THR-MSW-S115-02</v>
      </c>
      <c r="E1755" t="str">
        <f t="shared" ca="1" si="339"/>
        <v>Family Type: Curtain Wall_Bespoke 1 - 1979.5 x 3800, Family: Window External Type 5 - Flush Instance Width</v>
      </c>
      <c r="F1755" t="str">
        <f t="shared" ca="1" si="340"/>
        <v>Vector(X = -0.985, Y = -0.170, Z = 0.000, Length = 1.000)</v>
      </c>
      <c r="G1755">
        <f t="shared" ca="1" si="343"/>
        <v>-1</v>
      </c>
      <c r="H1755">
        <f t="shared" ca="1" si="344"/>
        <v>-0.2</v>
      </c>
      <c r="I1755">
        <f t="shared" ca="1" si="345"/>
        <v>0</v>
      </c>
      <c r="J1755" s="8">
        <f t="shared" ca="1" si="346"/>
        <v>-168.69006752597977</v>
      </c>
      <c r="K1755" s="9" t="str">
        <f t="shared" ca="1" si="347"/>
        <v>W</v>
      </c>
      <c r="L1755">
        <f ca="1">+_xlfn.IFNA(VLOOKUP(M1755,BespokeWindowsAreas!$B$2:$E$1999,4,FALSE),VLOOKUP(E1755,WindowTypeArea!$B$2:$C$113,2,FALSE))</f>
        <v>7.9950000000000001</v>
      </c>
      <c r="M1755">
        <f t="shared" ca="1" si="348"/>
        <v>4913579</v>
      </c>
    </row>
    <row r="1756" spans="1:13" x14ac:dyDescent="0.25">
      <c r="A1756">
        <f t="shared" ca="1" si="341"/>
        <v>5</v>
      </c>
      <c r="B1756">
        <f t="shared" ca="1" si="342"/>
        <v>37</v>
      </c>
      <c r="C1756" t="str">
        <f t="shared" ca="1" si="337"/>
        <v>'WINDOWS-NCH-A-BDP-M3-03-00'!B36</v>
      </c>
      <c r="D1756" s="6" t="str">
        <f t="shared" ca="1" si="338"/>
        <v>L03-THR-MSW-S115-02</v>
      </c>
      <c r="E1756" t="str">
        <f t="shared" ca="1" si="339"/>
        <v>Family Type: Curtain Wall_Bespoke 1 - 1979.5 x 3800, Family: Window External Type 5 - Flush Instance Width</v>
      </c>
      <c r="F1756" t="str">
        <f t="shared" ca="1" si="340"/>
        <v>Vector(X = -0.985, Y = -0.170, Z = 0.000, Length = 1.000)</v>
      </c>
      <c r="G1756">
        <f t="shared" ca="1" si="343"/>
        <v>-1</v>
      </c>
      <c r="H1756">
        <f t="shared" ca="1" si="344"/>
        <v>-0.2</v>
      </c>
      <c r="I1756">
        <f t="shared" ca="1" si="345"/>
        <v>0</v>
      </c>
      <c r="J1756" s="8">
        <f t="shared" ca="1" si="346"/>
        <v>-168.69006752597977</v>
      </c>
      <c r="K1756" s="9" t="str">
        <f t="shared" ca="1" si="347"/>
        <v>W</v>
      </c>
      <c r="L1756">
        <f ca="1">+_xlfn.IFNA(VLOOKUP(M1756,BespokeWindowsAreas!$B$2:$E$1999,4,FALSE),VLOOKUP(E1756,WindowTypeArea!$B$2:$C$113,2,FALSE))</f>
        <v>7.9950000000000001</v>
      </c>
      <c r="M1756">
        <f t="shared" ca="1" si="348"/>
        <v>4913580</v>
      </c>
    </row>
    <row r="1757" spans="1:13" x14ac:dyDescent="0.25">
      <c r="A1757">
        <f t="shared" ca="1" si="341"/>
        <v>5</v>
      </c>
      <c r="B1757">
        <f t="shared" ca="1" si="342"/>
        <v>38</v>
      </c>
      <c r="C1757" t="str">
        <f t="shared" ca="1" si="337"/>
        <v>'WINDOWS-NCH-A-BDP-M3-03-00'!B37</v>
      </c>
      <c r="D1757" s="6" t="str">
        <f t="shared" ca="1" si="338"/>
        <v>L03-THR-MSW-S115-02</v>
      </c>
      <c r="E1757" t="str">
        <f t="shared" ca="1" si="339"/>
        <v>Family Type: Curtain Wall_Bespoke 1 - 1979.5 x 3800, Family: Window External Type 5 - Flush Instance Width</v>
      </c>
      <c r="F1757" t="str">
        <f t="shared" ca="1" si="340"/>
        <v>Vector(X = -0.985, Y = -0.170, Z = 0.000, Length = 1.000)</v>
      </c>
      <c r="G1757">
        <f t="shared" ca="1" si="343"/>
        <v>-1</v>
      </c>
      <c r="H1757">
        <f t="shared" ca="1" si="344"/>
        <v>-0.2</v>
      </c>
      <c r="I1757">
        <f t="shared" ca="1" si="345"/>
        <v>0</v>
      </c>
      <c r="J1757" s="8">
        <f t="shared" ca="1" si="346"/>
        <v>-168.69006752597977</v>
      </c>
      <c r="K1757" s="9" t="str">
        <f t="shared" ca="1" si="347"/>
        <v>W</v>
      </c>
      <c r="L1757">
        <f ca="1">+_xlfn.IFNA(VLOOKUP(M1757,BespokeWindowsAreas!$B$2:$E$1999,4,FALSE),VLOOKUP(E1757,WindowTypeArea!$B$2:$C$113,2,FALSE))</f>
        <v>7.9950000000000001</v>
      </c>
      <c r="M1757">
        <f t="shared" ca="1" si="348"/>
        <v>4913581</v>
      </c>
    </row>
    <row r="1758" spans="1:13" x14ac:dyDescent="0.25">
      <c r="A1758">
        <f t="shared" ca="1" si="341"/>
        <v>5</v>
      </c>
      <c r="B1758">
        <f t="shared" ca="1" si="342"/>
        <v>39</v>
      </c>
      <c r="C1758" t="str">
        <f t="shared" ca="1" si="337"/>
        <v>'WINDOWS-NCH-A-BDP-M3-03-00'!B38</v>
      </c>
      <c r="D1758" s="6" t="str">
        <f t="shared" ca="1" si="338"/>
        <v>L03-THR-MSW-S115-02</v>
      </c>
      <c r="E1758" t="str">
        <f t="shared" ca="1" si="339"/>
        <v>Family Type: Curtain Wall_Bespoke 1 - 1979.5 x 3800, Family: Window External Type 5 - Flush Instance Width</v>
      </c>
      <c r="F1758" t="str">
        <f t="shared" ca="1" si="340"/>
        <v>Vector(X = -0.985, Y = -0.170, Z = 0.000, Length = 1.000)</v>
      </c>
      <c r="G1758">
        <f t="shared" ca="1" si="343"/>
        <v>-1</v>
      </c>
      <c r="H1758">
        <f t="shared" ca="1" si="344"/>
        <v>-0.2</v>
      </c>
      <c r="I1758">
        <f t="shared" ca="1" si="345"/>
        <v>0</v>
      </c>
      <c r="J1758" s="8">
        <f t="shared" ca="1" si="346"/>
        <v>-168.69006752597977</v>
      </c>
      <c r="K1758" s="9" t="str">
        <f t="shared" ca="1" si="347"/>
        <v>W</v>
      </c>
      <c r="L1758">
        <f ca="1">+_xlfn.IFNA(VLOOKUP(M1758,BespokeWindowsAreas!$B$2:$E$1999,4,FALSE),VLOOKUP(E1758,WindowTypeArea!$B$2:$C$113,2,FALSE))</f>
        <v>7.9950000000000001</v>
      </c>
      <c r="M1758">
        <f t="shared" ca="1" si="348"/>
        <v>4913582</v>
      </c>
    </row>
    <row r="1759" spans="1:13" x14ac:dyDescent="0.25">
      <c r="A1759">
        <f t="shared" ca="1" si="341"/>
        <v>5</v>
      </c>
      <c r="B1759">
        <f t="shared" ca="1" si="342"/>
        <v>40</v>
      </c>
      <c r="C1759" t="str">
        <f t="shared" ca="1" si="337"/>
        <v>'WINDOWS-NCH-A-BDP-M3-03-00'!B39</v>
      </c>
      <c r="D1759" s="6" t="str">
        <f t="shared" ca="1" si="338"/>
        <v>L03-THR-MSW-S115-02</v>
      </c>
      <c r="E1759" t="str">
        <f t="shared" ca="1" si="339"/>
        <v>Family Type: Curtain Wall_Bespoke 1 - 1979.5 x 3800, Family: Window External Type 5 - Flush Instance Width</v>
      </c>
      <c r="F1759" t="str">
        <f t="shared" ca="1" si="340"/>
        <v>Vector(X = -0.985, Y = -0.170, Z = 0.000, Length = 1.000)</v>
      </c>
      <c r="G1759">
        <f t="shared" ca="1" si="343"/>
        <v>-1</v>
      </c>
      <c r="H1759">
        <f t="shared" ca="1" si="344"/>
        <v>-0.2</v>
      </c>
      <c r="I1759">
        <f t="shared" ca="1" si="345"/>
        <v>0</v>
      </c>
      <c r="J1759" s="8">
        <f t="shared" ca="1" si="346"/>
        <v>-168.69006752597977</v>
      </c>
      <c r="K1759" s="9" t="str">
        <f t="shared" ca="1" si="347"/>
        <v>W</v>
      </c>
      <c r="L1759">
        <f ca="1">+_xlfn.IFNA(VLOOKUP(M1759,BespokeWindowsAreas!$B$2:$E$1999,4,FALSE),VLOOKUP(E1759,WindowTypeArea!$B$2:$C$113,2,FALSE))</f>
        <v>7.9950000000000001</v>
      </c>
      <c r="M1759">
        <f t="shared" ca="1" si="348"/>
        <v>4913584</v>
      </c>
    </row>
    <row r="1760" spans="1:13" x14ac:dyDescent="0.25">
      <c r="A1760">
        <f t="shared" ca="1" si="341"/>
        <v>5</v>
      </c>
      <c r="B1760">
        <f t="shared" ca="1" si="342"/>
        <v>41</v>
      </c>
      <c r="C1760" t="str">
        <f t="shared" ca="1" si="337"/>
        <v>'WINDOWS-NCH-A-BDP-M3-03-00'!B40</v>
      </c>
      <c r="D1760" s="6" t="str">
        <f t="shared" ca="1" si="338"/>
        <v>L03-THR-MSW-S115-02</v>
      </c>
      <c r="E1760" t="str">
        <f t="shared" ca="1" si="339"/>
        <v>Family Type: Curtain Wall_Bespoke 1 - 1979.5 x 3800, Family: Window External Type 5 - Flush Instance Width</v>
      </c>
      <c r="F1760" t="str">
        <f t="shared" ca="1" si="340"/>
        <v>Vector(X = -0.985, Y = -0.170, Z = 0.000, Length = 1.000)</v>
      </c>
      <c r="G1760">
        <f t="shared" ca="1" si="343"/>
        <v>-1</v>
      </c>
      <c r="H1760">
        <f t="shared" ca="1" si="344"/>
        <v>-0.2</v>
      </c>
      <c r="I1760">
        <f t="shared" ca="1" si="345"/>
        <v>0</v>
      </c>
      <c r="J1760" s="8">
        <f t="shared" ca="1" si="346"/>
        <v>-168.69006752597977</v>
      </c>
      <c r="K1760" s="9" t="str">
        <f t="shared" ca="1" si="347"/>
        <v>W</v>
      </c>
      <c r="L1760">
        <f ca="1">+_xlfn.IFNA(VLOOKUP(M1760,BespokeWindowsAreas!$B$2:$E$1999,4,FALSE),VLOOKUP(E1760,WindowTypeArea!$B$2:$C$113,2,FALSE))</f>
        <v>7.8310000000000004</v>
      </c>
      <c r="M1760">
        <f t="shared" ca="1" si="348"/>
        <v>4913585</v>
      </c>
    </row>
    <row r="1761" spans="1:13" x14ac:dyDescent="0.25">
      <c r="A1761">
        <f t="shared" ca="1" si="341"/>
        <v>5</v>
      </c>
      <c r="B1761">
        <f t="shared" ca="1" si="342"/>
        <v>42</v>
      </c>
      <c r="C1761" t="str">
        <f t="shared" ca="1" si="337"/>
        <v>'WINDOWS-NCH-A-BDP-M3-03-00'!B41</v>
      </c>
      <c r="D1761" s="6" t="str">
        <f t="shared" ca="1" si="338"/>
        <v>L03-THR-MSW-S115-02</v>
      </c>
      <c r="E1761" t="str">
        <f t="shared" ca="1" si="339"/>
        <v>Family Type: Curtain Wall_Bespoke 1 - 1979.5 x 3800, Family: Window External Type 5 - Flush Instance Width</v>
      </c>
      <c r="F1761" t="str">
        <f t="shared" ca="1" si="340"/>
        <v>Vector(X = -0.985, Y = -0.170, Z = 0.000, Length = 1.000)</v>
      </c>
      <c r="G1761">
        <f t="shared" ca="1" si="343"/>
        <v>-1</v>
      </c>
      <c r="H1761">
        <f t="shared" ca="1" si="344"/>
        <v>-0.2</v>
      </c>
      <c r="I1761">
        <f t="shared" ca="1" si="345"/>
        <v>0</v>
      </c>
      <c r="J1761" s="8">
        <f t="shared" ca="1" si="346"/>
        <v>-168.69006752597977</v>
      </c>
      <c r="K1761" s="9" t="str">
        <f t="shared" ca="1" si="347"/>
        <v>W</v>
      </c>
      <c r="L1761">
        <f ca="1">+_xlfn.IFNA(VLOOKUP(M1761,BespokeWindowsAreas!$B$2:$E$1999,4,FALSE),VLOOKUP(E1761,WindowTypeArea!$B$2:$C$113,2,FALSE))</f>
        <v>1.95</v>
      </c>
      <c r="M1761">
        <f t="shared" ca="1" si="348"/>
        <v>5143376</v>
      </c>
    </row>
    <row r="1762" spans="1:13" x14ac:dyDescent="0.25">
      <c r="A1762">
        <f t="shared" ca="1" si="341"/>
        <v>5</v>
      </c>
      <c r="B1762">
        <f t="shared" ca="1" si="342"/>
        <v>43</v>
      </c>
      <c r="C1762" t="str">
        <f t="shared" ca="1" si="337"/>
        <v>'WINDOWS-NCH-A-BDP-M3-03-00'!B42</v>
      </c>
      <c r="D1762" s="6" t="str">
        <f t="shared" ca="1" si="338"/>
        <v>L03-THR-MSW-S115-02</v>
      </c>
      <c r="E1762" t="str">
        <f t="shared" ca="1" si="339"/>
        <v>Family Type: Curtain Wall_Bespoke 1 - 1979.5 x 3800, Family: Window External Type 5 - Flush Instance Width</v>
      </c>
      <c r="F1762" t="str">
        <f t="shared" ca="1" si="340"/>
        <v>Vector(X = -0.985, Y = -0.170, Z = 0.000, Length = 1.000)</v>
      </c>
      <c r="G1762">
        <f t="shared" ca="1" si="343"/>
        <v>-1</v>
      </c>
      <c r="H1762">
        <f t="shared" ca="1" si="344"/>
        <v>-0.2</v>
      </c>
      <c r="I1762">
        <f t="shared" ca="1" si="345"/>
        <v>0</v>
      </c>
      <c r="J1762" s="8">
        <f t="shared" ca="1" si="346"/>
        <v>-168.69006752597977</v>
      </c>
      <c r="K1762" s="9" t="str">
        <f t="shared" ca="1" si="347"/>
        <v>W</v>
      </c>
      <c r="L1762">
        <f ca="1">+_xlfn.IFNA(VLOOKUP(M1762,BespokeWindowsAreas!$B$2:$E$1999,4,FALSE),VLOOKUP(E1762,WindowTypeArea!$B$2:$C$113,2,FALSE))</f>
        <v>1.95</v>
      </c>
      <c r="M1762">
        <f t="shared" ca="1" si="348"/>
        <v>5143377</v>
      </c>
    </row>
    <row r="1763" spans="1:13" x14ac:dyDescent="0.25">
      <c r="A1763">
        <f t="shared" ca="1" si="341"/>
        <v>5</v>
      </c>
      <c r="B1763">
        <f t="shared" ca="1" si="342"/>
        <v>44</v>
      </c>
      <c r="C1763" t="str">
        <f t="shared" ca="1" si="337"/>
        <v>'WINDOWS-NCH-A-BDP-M3-03-00'!B43</v>
      </c>
      <c r="D1763" s="6" t="str">
        <f t="shared" ca="1" si="338"/>
        <v>L03-THR-MSW-S115-02</v>
      </c>
      <c r="E1763" t="str">
        <f t="shared" ca="1" si="339"/>
        <v>Family Type: Curtain Wall_Bespoke 1 - 1979.5 x 3800, Family: Window External Type 5 - Flush Instance Width</v>
      </c>
      <c r="F1763" t="str">
        <f t="shared" ca="1" si="340"/>
        <v>Vector(X = -0.985, Y = -0.170, Z = 0.000, Length = 1.000)</v>
      </c>
      <c r="G1763">
        <f t="shared" ca="1" si="343"/>
        <v>-1</v>
      </c>
      <c r="H1763">
        <f t="shared" ca="1" si="344"/>
        <v>-0.2</v>
      </c>
      <c r="I1763">
        <f t="shared" ca="1" si="345"/>
        <v>0</v>
      </c>
      <c r="J1763" s="8">
        <f t="shared" ca="1" si="346"/>
        <v>-168.69006752597977</v>
      </c>
      <c r="K1763" s="9" t="str">
        <f t="shared" ca="1" si="347"/>
        <v>W</v>
      </c>
      <c r="L1763">
        <f ca="1">+_xlfn.IFNA(VLOOKUP(M1763,BespokeWindowsAreas!$B$2:$E$1999,4,FALSE),VLOOKUP(E1763,WindowTypeArea!$B$2:$C$113,2,FALSE))</f>
        <v>1.95</v>
      </c>
      <c r="M1763">
        <f t="shared" ca="1" si="348"/>
        <v>5143378</v>
      </c>
    </row>
    <row r="1764" spans="1:13" x14ac:dyDescent="0.25">
      <c r="A1764">
        <f t="shared" ca="1" si="341"/>
        <v>5</v>
      </c>
      <c r="B1764">
        <f t="shared" ca="1" si="342"/>
        <v>45</v>
      </c>
      <c r="C1764" t="str">
        <f t="shared" ca="1" si="337"/>
        <v>'WINDOWS-NCH-A-BDP-M3-03-00'!B44</v>
      </c>
      <c r="D1764" s="6" t="str">
        <f t="shared" ca="1" si="338"/>
        <v>L03-THR-MSW-S115-02</v>
      </c>
      <c r="E1764" t="str">
        <f t="shared" ca="1" si="339"/>
        <v>Family Type: Curtain Wall_Bespoke 1 - 1979.5 x 3800, Family: Window External Type 5 - Flush Instance Width</v>
      </c>
      <c r="F1764" t="str">
        <f t="shared" ca="1" si="340"/>
        <v>Vector(X = -0.985, Y = -0.170, Z = 0.000, Length = 1.000)</v>
      </c>
      <c r="G1764">
        <f t="shared" ca="1" si="343"/>
        <v>-1</v>
      </c>
      <c r="H1764">
        <f t="shared" ca="1" si="344"/>
        <v>-0.2</v>
      </c>
      <c r="I1764">
        <f t="shared" ca="1" si="345"/>
        <v>0</v>
      </c>
      <c r="J1764" s="8">
        <f t="shared" ca="1" si="346"/>
        <v>-168.69006752597977</v>
      </c>
      <c r="K1764" s="9" t="str">
        <f t="shared" ca="1" si="347"/>
        <v>W</v>
      </c>
      <c r="L1764">
        <f ca="1">+_xlfn.IFNA(VLOOKUP(M1764,BespokeWindowsAreas!$B$2:$E$1999,4,FALSE),VLOOKUP(E1764,WindowTypeArea!$B$2:$C$113,2,FALSE))</f>
        <v>1.95</v>
      </c>
      <c r="M1764">
        <f t="shared" ca="1" si="348"/>
        <v>5143379</v>
      </c>
    </row>
    <row r="1765" spans="1:13" x14ac:dyDescent="0.25">
      <c r="A1765">
        <f t="shared" ca="1" si="341"/>
        <v>5</v>
      </c>
      <c r="B1765">
        <f t="shared" ca="1" si="342"/>
        <v>46</v>
      </c>
      <c r="C1765" t="str">
        <f t="shared" ca="1" si="337"/>
        <v>'WINDOWS-NCH-A-BDP-M3-03-00'!B45</v>
      </c>
      <c r="D1765" s="6" t="str">
        <f t="shared" ca="1" si="338"/>
        <v>L03-THR-MSW-S115-02</v>
      </c>
      <c r="E1765" t="str">
        <f t="shared" ca="1" si="339"/>
        <v>Family Type: Curtain Wall_Bespoke 1 - 1979.5 x 3800, Family: Window External Type 5 - Flush Instance Width</v>
      </c>
      <c r="F1765" t="str">
        <f t="shared" ca="1" si="340"/>
        <v>Vector(X = -0.985, Y = -0.170, Z = 0.000, Length = 1.000)</v>
      </c>
      <c r="G1765">
        <f t="shared" ca="1" si="343"/>
        <v>-1</v>
      </c>
      <c r="H1765">
        <f t="shared" ca="1" si="344"/>
        <v>-0.2</v>
      </c>
      <c r="I1765">
        <f t="shared" ca="1" si="345"/>
        <v>0</v>
      </c>
      <c r="J1765" s="8">
        <f t="shared" ca="1" si="346"/>
        <v>-168.69006752597977</v>
      </c>
      <c r="K1765" s="9" t="str">
        <f t="shared" ca="1" si="347"/>
        <v>W</v>
      </c>
      <c r="L1765">
        <f ca="1">+_xlfn.IFNA(VLOOKUP(M1765,BespokeWindowsAreas!$B$2:$E$1999,4,FALSE),VLOOKUP(E1765,WindowTypeArea!$B$2:$C$113,2,FALSE))</f>
        <v>1.95</v>
      </c>
      <c r="M1765">
        <f t="shared" ca="1" si="348"/>
        <v>5143380</v>
      </c>
    </row>
    <row r="1766" spans="1:13" x14ac:dyDescent="0.25">
      <c r="A1766">
        <f t="shared" ca="1" si="341"/>
        <v>5</v>
      </c>
      <c r="B1766">
        <f t="shared" ca="1" si="342"/>
        <v>47</v>
      </c>
      <c r="C1766" t="str">
        <f t="shared" ca="1" si="337"/>
        <v>'WINDOWS-NCH-A-BDP-M3-03-00'!B46</v>
      </c>
      <c r="D1766" s="6" t="str">
        <f t="shared" ca="1" si="338"/>
        <v>L03-THR-MSW-S115-02</v>
      </c>
      <c r="E1766" t="str">
        <f t="shared" ca="1" si="339"/>
        <v>Family Type: Curtain Wall_Bespoke 1 - 1979.5 x 3800, Family: Window External Type 5 - Flush Instance Width</v>
      </c>
      <c r="F1766" t="str">
        <f t="shared" ca="1" si="340"/>
        <v>Vector(X = -0.985, Y = -0.170, Z = 0.000, Length = 1.000)</v>
      </c>
      <c r="G1766">
        <f t="shared" ca="1" si="343"/>
        <v>-1</v>
      </c>
      <c r="H1766">
        <f t="shared" ca="1" si="344"/>
        <v>-0.2</v>
      </c>
      <c r="I1766">
        <f t="shared" ca="1" si="345"/>
        <v>0</v>
      </c>
      <c r="J1766" s="8">
        <f t="shared" ca="1" si="346"/>
        <v>-168.69006752597977</v>
      </c>
      <c r="K1766" s="9" t="str">
        <f t="shared" ca="1" si="347"/>
        <v>W</v>
      </c>
      <c r="L1766">
        <f ca="1">+_xlfn.IFNA(VLOOKUP(M1766,BespokeWindowsAreas!$B$2:$E$1999,4,FALSE),VLOOKUP(E1766,WindowTypeArea!$B$2:$C$113,2,FALSE))</f>
        <v>1.95</v>
      </c>
      <c r="M1766">
        <f t="shared" ca="1" si="348"/>
        <v>5143382</v>
      </c>
    </row>
    <row r="1767" spans="1:13" x14ac:dyDescent="0.25">
      <c r="A1767">
        <f t="shared" ca="1" si="341"/>
        <v>5</v>
      </c>
      <c r="B1767">
        <f t="shared" ca="1" si="342"/>
        <v>48</v>
      </c>
      <c r="C1767" t="str">
        <f t="shared" ca="1" si="337"/>
        <v>'WINDOWS-NCH-A-BDP-M3-03-00'!B47</v>
      </c>
      <c r="D1767" s="6" t="str">
        <f t="shared" ca="1" si="338"/>
        <v>L03-THR-MSW-S115-02</v>
      </c>
      <c r="E1767" t="str">
        <f t="shared" ca="1" si="339"/>
        <v>Family Type: Curtain Wall_Bespoke 1 - 1979.5 x 3800, Family: Window External Type 5 - Flush Instance Width</v>
      </c>
      <c r="F1767" t="str">
        <f t="shared" ca="1" si="340"/>
        <v>Vector(X = -0.985, Y = -0.170, Z = 0.000, Length = 1.000)</v>
      </c>
      <c r="G1767">
        <f t="shared" ca="1" si="343"/>
        <v>-1</v>
      </c>
      <c r="H1767">
        <f t="shared" ca="1" si="344"/>
        <v>-0.2</v>
      </c>
      <c r="I1767">
        <f t="shared" ca="1" si="345"/>
        <v>0</v>
      </c>
      <c r="J1767" s="8">
        <f t="shared" ca="1" si="346"/>
        <v>-168.69006752597977</v>
      </c>
      <c r="K1767" s="9" t="str">
        <f t="shared" ca="1" si="347"/>
        <v>W</v>
      </c>
      <c r="L1767">
        <f ca="1">+_xlfn.IFNA(VLOOKUP(M1767,BespokeWindowsAreas!$B$2:$E$1999,4,FALSE),VLOOKUP(E1767,WindowTypeArea!$B$2:$C$113,2,FALSE))</f>
        <v>1.91</v>
      </c>
      <c r="M1767">
        <f t="shared" ca="1" si="348"/>
        <v>5143383</v>
      </c>
    </row>
    <row r="1768" spans="1:13" x14ac:dyDescent="0.25">
      <c r="A1768">
        <f t="shared" ca="1" si="341"/>
        <v>5</v>
      </c>
      <c r="B1768">
        <f t="shared" ca="1" si="342"/>
        <v>49</v>
      </c>
      <c r="C1768" t="str">
        <f t="shared" ca="1" si="337"/>
        <v>'WINDOWS-NCH-A-BDP-M3-03-00'!B48</v>
      </c>
      <c r="D1768" s="6" t="str">
        <f t="shared" ca="1" si="338"/>
        <v>L03-THR-NAD-S115-01</v>
      </c>
      <c r="E1768" t="str">
        <f t="shared" ca="1" si="339"/>
        <v>L03-THR-NAD-S115-01</v>
      </c>
      <c r="F1768">
        <f t="shared" ca="1" si="340"/>
        <v>1296071</v>
      </c>
      <c r="G1768">
        <f t="shared" ca="1" si="343"/>
        <v>0</v>
      </c>
      <c r="H1768">
        <f t="shared" ca="1" si="344"/>
        <v>0</v>
      </c>
      <c r="I1768">
        <f t="shared" ca="1" si="345"/>
        <v>0</v>
      </c>
      <c r="J1768" s="8" t="e">
        <f t="shared" ca="1" si="346"/>
        <v>#DIV/0!</v>
      </c>
      <c r="K1768" s="9" t="e">
        <f t="shared" ca="1" si="347"/>
        <v>#DIV/0!</v>
      </c>
      <c r="L1768" t="e">
        <f ca="1">+_xlfn.IFNA(VLOOKUP(M1768,BespokeWindowsAreas!$B$2:$E$1999,4,FALSE),VLOOKUP(E1768,WindowTypeArea!$B$2:$C$113,2,FALSE))</f>
        <v>#N/A</v>
      </c>
      <c r="M1768">
        <f t="shared" ca="1" si="348"/>
        <v>0</v>
      </c>
    </row>
    <row r="1769" spans="1:13" x14ac:dyDescent="0.25">
      <c r="A1769">
        <f t="shared" ca="1" si="341"/>
        <v>5</v>
      </c>
      <c r="B1769">
        <f t="shared" ca="1" si="342"/>
        <v>50</v>
      </c>
      <c r="C1769" t="str">
        <f t="shared" ca="1" si="337"/>
        <v>'WINDOWS-NCH-A-BDP-M3-03-00'!B49</v>
      </c>
      <c r="D1769" s="6" t="str">
        <f t="shared" ca="1" si="338"/>
        <v>L03-THR-NAD-S115-01</v>
      </c>
      <c r="E1769" t="str">
        <f t="shared" ca="1" si="339"/>
        <v>Family Type: Curtain Wall_1950x1950x3800, Family: Window External Type 5 - Flush Corner 2</v>
      </c>
      <c r="F1769" t="str">
        <f t="shared" ca="1" si="340"/>
        <v>Vector(X = -0.985, Y = -0.170, Z = 0.000, Length = 1.000)</v>
      </c>
      <c r="G1769">
        <f t="shared" ca="1" si="343"/>
        <v>-1</v>
      </c>
      <c r="H1769">
        <f t="shared" ca="1" si="344"/>
        <v>-0.2</v>
      </c>
      <c r="I1769">
        <f t="shared" ca="1" si="345"/>
        <v>0</v>
      </c>
      <c r="J1769" s="8">
        <f t="shared" ca="1" si="346"/>
        <v>-168.69006752597977</v>
      </c>
      <c r="K1769" s="9" t="str">
        <f t="shared" ca="1" si="347"/>
        <v>W</v>
      </c>
      <c r="L1769">
        <f ca="1">+_xlfn.IFNA(VLOOKUP(M1769,BespokeWindowsAreas!$B$2:$E$1999,4,FALSE),VLOOKUP(E1769,WindowTypeArea!$B$2:$C$113,2,FALSE))</f>
        <v>0</v>
      </c>
      <c r="M1769">
        <f t="shared" ca="1" si="348"/>
        <v>4661514</v>
      </c>
    </row>
    <row r="1770" spans="1:13" x14ac:dyDescent="0.25">
      <c r="A1770">
        <f t="shared" ca="1" si="341"/>
        <v>5</v>
      </c>
      <c r="B1770">
        <f t="shared" ca="1" si="342"/>
        <v>51</v>
      </c>
      <c r="C1770" t="str">
        <f t="shared" ca="1" si="337"/>
        <v>'WINDOWS-NCH-A-BDP-M3-03-00'!B50</v>
      </c>
      <c r="D1770" s="6" t="str">
        <f t="shared" ca="1" si="338"/>
        <v>L03-THR-NAD-S115-01</v>
      </c>
      <c r="E1770" t="str">
        <f t="shared" ca="1" si="339"/>
        <v>Family Type: Curtain Wall_1950w x 3800h, Family: Window External Type 5 - Flush</v>
      </c>
      <c r="F1770" t="str">
        <f t="shared" ca="1" si="340"/>
        <v>Vector(X = -0.985, Y = -0.170, Z = 0.000, Length = 1.000)</v>
      </c>
      <c r="G1770">
        <f t="shared" ca="1" si="343"/>
        <v>-1</v>
      </c>
      <c r="H1770">
        <f t="shared" ca="1" si="344"/>
        <v>-0.2</v>
      </c>
      <c r="I1770">
        <f t="shared" ca="1" si="345"/>
        <v>0</v>
      </c>
      <c r="J1770" s="8">
        <f t="shared" ca="1" si="346"/>
        <v>-168.69006752597977</v>
      </c>
      <c r="K1770" s="9" t="str">
        <f t="shared" ca="1" si="347"/>
        <v>W</v>
      </c>
      <c r="L1770">
        <f ca="1">+_xlfn.IFNA(VLOOKUP(M1770,BespokeWindowsAreas!$B$2:$E$1999,4,FALSE),VLOOKUP(E1770,WindowTypeArea!$B$2:$C$113,2,FALSE))</f>
        <v>7.9950000000000001</v>
      </c>
      <c r="M1770">
        <f t="shared" ca="1" si="348"/>
        <v>4913562</v>
      </c>
    </row>
    <row r="1771" spans="1:13" x14ac:dyDescent="0.25">
      <c r="A1771">
        <f t="shared" ca="1" si="341"/>
        <v>5</v>
      </c>
      <c r="B1771">
        <f t="shared" ca="1" si="342"/>
        <v>52</v>
      </c>
      <c r="C1771" t="str">
        <f t="shared" ref="C1771:C1834" ca="1" si="349">+"'"&amp;INDIRECT("a"&amp;A1770)&amp;"'!B"&amp;B1770</f>
        <v>'WINDOWS-NCH-A-BDP-M3-03-00'!B51</v>
      </c>
      <c r="D1771" s="6" t="str">
        <f t="shared" ref="D1771:D1834" ca="1" si="350">+IF(IFERROR(FIND("Family",E1771)&gt;0,FALSE),D1770,E1771)</f>
        <v>L03-THR-NAD-S115-01</v>
      </c>
      <c r="E1771" t="str">
        <f t="shared" ref="E1771:E1834" ca="1" si="351">+OFFSET(INDIRECT(C1771),0,0)</f>
        <v>Family Type: Curtain Wall_975w x 3800h, Family: Window External Type 5 - Flush</v>
      </c>
      <c r="F1771" t="str">
        <f t="shared" ref="F1771:F1834" ca="1" si="352">+OFFSET(INDIRECT(C1771),0,1)</f>
        <v>Vector(X = -0.985, Y = -0.170, Z = 0.000, Length = 1.000)</v>
      </c>
      <c r="G1771">
        <f t="shared" ca="1" si="343"/>
        <v>-1</v>
      </c>
      <c r="H1771">
        <f t="shared" ca="1" si="344"/>
        <v>-0.2</v>
      </c>
      <c r="I1771">
        <f t="shared" ca="1" si="345"/>
        <v>0</v>
      </c>
      <c r="J1771" s="8">
        <f t="shared" ca="1" si="346"/>
        <v>-168.69006752597977</v>
      </c>
      <c r="K1771" s="9" t="str">
        <f t="shared" ca="1" si="347"/>
        <v>W</v>
      </c>
      <c r="L1771">
        <f ca="1">+_xlfn.IFNA(VLOOKUP(M1771,BespokeWindowsAreas!$B$2:$E$1999,4,FALSE),VLOOKUP(E1771,WindowTypeArea!$B$2:$C$113,2,FALSE))</f>
        <v>3.9975000000000001</v>
      </c>
      <c r="M1771">
        <f t="shared" ca="1" si="348"/>
        <v>4913563</v>
      </c>
    </row>
    <row r="1772" spans="1:13" x14ac:dyDescent="0.25">
      <c r="A1772">
        <f t="shared" ca="1" si="341"/>
        <v>5</v>
      </c>
      <c r="B1772">
        <f t="shared" ca="1" si="342"/>
        <v>53</v>
      </c>
      <c r="C1772" t="str">
        <f t="shared" ca="1" si="349"/>
        <v>'WINDOWS-NCH-A-BDP-M3-03-00'!B52</v>
      </c>
      <c r="D1772" s="6" t="str">
        <f t="shared" ca="1" si="350"/>
        <v>L03-THR-NAD-S115-01</v>
      </c>
      <c r="E1772" t="str">
        <f t="shared" ca="1" si="351"/>
        <v>Family Type: Curtain Wall_975w x 3800h, Family: Window External Type 5 - Flush</v>
      </c>
      <c r="F1772" t="str">
        <f t="shared" ca="1" si="352"/>
        <v>Vector(X = -0.985, Y = -0.170, Z = 0.000, Length = 1.000)</v>
      </c>
      <c r="G1772">
        <f t="shared" ca="1" si="343"/>
        <v>-1</v>
      </c>
      <c r="H1772">
        <f t="shared" ca="1" si="344"/>
        <v>-0.2</v>
      </c>
      <c r="I1772">
        <f t="shared" ca="1" si="345"/>
        <v>0</v>
      </c>
      <c r="J1772" s="8">
        <f t="shared" ca="1" si="346"/>
        <v>-168.69006752597977</v>
      </c>
      <c r="K1772" s="9" t="str">
        <f t="shared" ca="1" si="347"/>
        <v>W</v>
      </c>
      <c r="L1772">
        <f ca="1">+_xlfn.IFNA(VLOOKUP(M1772,BespokeWindowsAreas!$B$2:$E$1999,4,FALSE),VLOOKUP(E1772,WindowTypeArea!$B$2:$C$113,2,FALSE))</f>
        <v>3.9975000000000001</v>
      </c>
      <c r="M1772">
        <f t="shared" ca="1" si="348"/>
        <v>4913564</v>
      </c>
    </row>
    <row r="1773" spans="1:13" x14ac:dyDescent="0.25">
      <c r="A1773">
        <f t="shared" ca="1" si="341"/>
        <v>5</v>
      </c>
      <c r="B1773">
        <f t="shared" ca="1" si="342"/>
        <v>54</v>
      </c>
      <c r="C1773" t="str">
        <f t="shared" ca="1" si="349"/>
        <v>'WINDOWS-NCH-A-BDP-M3-03-00'!B53</v>
      </c>
      <c r="D1773" s="6" t="str">
        <f t="shared" ca="1" si="350"/>
        <v>L03-THR-NAD-S115-01</v>
      </c>
      <c r="E1773" t="str">
        <f t="shared" ca="1" si="351"/>
        <v>Family Type: Curtain Wall_975w x 3800h, Family: Window External Type 5 - Flush</v>
      </c>
      <c r="F1773" t="str">
        <f t="shared" ca="1" si="352"/>
        <v>Vector(X = -0.985, Y = -0.170, Z = 0.000, Length = 1.000)</v>
      </c>
      <c r="G1773">
        <f t="shared" ca="1" si="343"/>
        <v>-1</v>
      </c>
      <c r="H1773">
        <f t="shared" ca="1" si="344"/>
        <v>-0.2</v>
      </c>
      <c r="I1773">
        <f t="shared" ca="1" si="345"/>
        <v>0</v>
      </c>
      <c r="J1773" s="8">
        <f t="shared" ca="1" si="346"/>
        <v>-168.69006752597977</v>
      </c>
      <c r="K1773" s="9" t="str">
        <f t="shared" ca="1" si="347"/>
        <v>W</v>
      </c>
      <c r="L1773">
        <f ca="1">+_xlfn.IFNA(VLOOKUP(M1773,BespokeWindowsAreas!$B$2:$E$1999,4,FALSE),VLOOKUP(E1773,WindowTypeArea!$B$2:$C$113,2,FALSE))</f>
        <v>3.9975000000000001</v>
      </c>
      <c r="M1773">
        <f t="shared" ca="1" si="348"/>
        <v>4913565</v>
      </c>
    </row>
    <row r="1774" spans="1:13" x14ac:dyDescent="0.25">
      <c r="A1774">
        <f t="shared" ca="1" si="341"/>
        <v>5</v>
      </c>
      <c r="B1774">
        <f t="shared" ca="1" si="342"/>
        <v>55</v>
      </c>
      <c r="C1774" t="str">
        <f t="shared" ca="1" si="349"/>
        <v>'WINDOWS-NCH-A-BDP-M3-03-00'!B54</v>
      </c>
      <c r="D1774" s="6" t="str">
        <f t="shared" ca="1" si="350"/>
        <v>L03-THR-NAD-S115-01</v>
      </c>
      <c r="E1774" t="str">
        <f t="shared" ca="1" si="351"/>
        <v>Family Type: Curtain Wall_975w x 3800h, Family: Window External Type 5 - Flush</v>
      </c>
      <c r="F1774" t="str">
        <f t="shared" ca="1" si="352"/>
        <v>Vector(X = -0.985, Y = -0.170, Z = 0.000, Length = 1.000)</v>
      </c>
      <c r="G1774">
        <f t="shared" ca="1" si="343"/>
        <v>-1</v>
      </c>
      <c r="H1774">
        <f t="shared" ca="1" si="344"/>
        <v>-0.2</v>
      </c>
      <c r="I1774">
        <f t="shared" ca="1" si="345"/>
        <v>0</v>
      </c>
      <c r="J1774" s="8">
        <f t="shared" ca="1" si="346"/>
        <v>-168.69006752597977</v>
      </c>
      <c r="K1774" s="9" t="str">
        <f t="shared" ca="1" si="347"/>
        <v>W</v>
      </c>
      <c r="L1774">
        <f ca="1">+_xlfn.IFNA(VLOOKUP(M1774,BespokeWindowsAreas!$B$2:$E$1999,4,FALSE),VLOOKUP(E1774,WindowTypeArea!$B$2:$C$113,2,FALSE))</f>
        <v>3.9975000000000001</v>
      </c>
      <c r="M1774">
        <f t="shared" ca="1" si="348"/>
        <v>4913566</v>
      </c>
    </row>
    <row r="1775" spans="1:13" x14ac:dyDescent="0.25">
      <c r="A1775">
        <f t="shared" ca="1" si="341"/>
        <v>5</v>
      </c>
      <c r="B1775">
        <f t="shared" ca="1" si="342"/>
        <v>56</v>
      </c>
      <c r="C1775" t="str">
        <f t="shared" ca="1" si="349"/>
        <v>'WINDOWS-NCH-A-BDP-M3-03-00'!B55</v>
      </c>
      <c r="D1775" s="6" t="str">
        <f t="shared" ca="1" si="350"/>
        <v>L03-THR-NAD-S115-01</v>
      </c>
      <c r="E1775" t="str">
        <f t="shared" ca="1" si="351"/>
        <v>Family Type: Curtain Wall_975w x 3800h, Family: Window External Type 5 - Flush</v>
      </c>
      <c r="F1775" t="str">
        <f t="shared" ca="1" si="352"/>
        <v>Vector(X = -0.985, Y = -0.170, Z = 0.000, Length = 1.000)</v>
      </c>
      <c r="G1775">
        <f t="shared" ca="1" si="343"/>
        <v>-1</v>
      </c>
      <c r="H1775">
        <f t="shared" ca="1" si="344"/>
        <v>-0.2</v>
      </c>
      <c r="I1775">
        <f t="shared" ca="1" si="345"/>
        <v>0</v>
      </c>
      <c r="J1775" s="8">
        <f t="shared" ca="1" si="346"/>
        <v>-168.69006752597977</v>
      </c>
      <c r="K1775" s="9" t="str">
        <f t="shared" ca="1" si="347"/>
        <v>W</v>
      </c>
      <c r="L1775">
        <f ca="1">+_xlfn.IFNA(VLOOKUP(M1775,BespokeWindowsAreas!$B$2:$E$1999,4,FALSE),VLOOKUP(E1775,WindowTypeArea!$B$2:$C$113,2,FALSE))</f>
        <v>3.9975000000000001</v>
      </c>
      <c r="M1775">
        <f t="shared" ca="1" si="348"/>
        <v>4913567</v>
      </c>
    </row>
    <row r="1776" spans="1:13" x14ac:dyDescent="0.25">
      <c r="A1776">
        <f t="shared" ca="1" si="341"/>
        <v>5</v>
      </c>
      <c r="B1776">
        <f t="shared" ca="1" si="342"/>
        <v>57</v>
      </c>
      <c r="C1776" t="str">
        <f t="shared" ca="1" si="349"/>
        <v>'WINDOWS-NCH-A-BDP-M3-03-00'!B56</v>
      </c>
      <c r="D1776" s="6" t="str">
        <f t="shared" ca="1" si="350"/>
        <v>L03-THR-NAD-S115-01</v>
      </c>
      <c r="E1776" t="str">
        <f t="shared" ca="1" si="351"/>
        <v>Family Type: Curtain Wall_975w x 3800h, Family: Window External Type 5 - Flush</v>
      </c>
      <c r="F1776" t="str">
        <f t="shared" ca="1" si="352"/>
        <v>Vector(X = -0.985, Y = -0.170, Z = 0.000, Length = 1.000)</v>
      </c>
      <c r="G1776">
        <f t="shared" ca="1" si="343"/>
        <v>-1</v>
      </c>
      <c r="H1776">
        <f t="shared" ca="1" si="344"/>
        <v>-0.2</v>
      </c>
      <c r="I1776">
        <f t="shared" ca="1" si="345"/>
        <v>0</v>
      </c>
      <c r="J1776" s="8">
        <f t="shared" ca="1" si="346"/>
        <v>-168.69006752597977</v>
      </c>
      <c r="K1776" s="9" t="str">
        <f t="shared" ca="1" si="347"/>
        <v>W</v>
      </c>
      <c r="L1776">
        <f ca="1">+_xlfn.IFNA(VLOOKUP(M1776,BespokeWindowsAreas!$B$2:$E$1999,4,FALSE),VLOOKUP(E1776,WindowTypeArea!$B$2:$C$113,2,FALSE))</f>
        <v>3.9975000000000001</v>
      </c>
      <c r="M1776">
        <f t="shared" ca="1" si="348"/>
        <v>4913568</v>
      </c>
    </row>
    <row r="1777" spans="1:13" x14ac:dyDescent="0.25">
      <c r="A1777">
        <f t="shared" ca="1" si="341"/>
        <v>5</v>
      </c>
      <c r="B1777">
        <f t="shared" ca="1" si="342"/>
        <v>58</v>
      </c>
      <c r="C1777" t="str">
        <f t="shared" ca="1" si="349"/>
        <v>'WINDOWS-NCH-A-BDP-M3-03-00'!B57</v>
      </c>
      <c r="D1777" s="6" t="str">
        <f t="shared" ca="1" si="350"/>
        <v>L03-THR-NAD-S115-01</v>
      </c>
      <c r="E1777" t="str">
        <f t="shared" ca="1" si="351"/>
        <v>Family Type: Curtain Wall_1950w x 3800h, Family: Window External Type 5 - Flush</v>
      </c>
      <c r="F1777" t="str">
        <f t="shared" ca="1" si="352"/>
        <v>Vector(X = -0.985, Y = -0.170, Z = 0.000, Length = 1.000)</v>
      </c>
      <c r="G1777">
        <f t="shared" ca="1" si="343"/>
        <v>-1</v>
      </c>
      <c r="H1777">
        <f t="shared" ca="1" si="344"/>
        <v>-0.2</v>
      </c>
      <c r="I1777">
        <f t="shared" ca="1" si="345"/>
        <v>0</v>
      </c>
      <c r="J1777" s="8">
        <f t="shared" ca="1" si="346"/>
        <v>-168.69006752597977</v>
      </c>
      <c r="K1777" s="9" t="str">
        <f t="shared" ca="1" si="347"/>
        <v>W</v>
      </c>
      <c r="L1777">
        <f ca="1">+_xlfn.IFNA(VLOOKUP(M1777,BespokeWindowsAreas!$B$2:$E$1999,4,FALSE),VLOOKUP(E1777,WindowTypeArea!$B$2:$C$113,2,FALSE))</f>
        <v>7.9950000000000001</v>
      </c>
      <c r="M1777">
        <f t="shared" ca="1" si="348"/>
        <v>4913569</v>
      </c>
    </row>
    <row r="1778" spans="1:13" x14ac:dyDescent="0.25">
      <c r="A1778">
        <f t="shared" ca="1" si="341"/>
        <v>5</v>
      </c>
      <c r="B1778">
        <f t="shared" ca="1" si="342"/>
        <v>59</v>
      </c>
      <c r="C1778" t="str">
        <f t="shared" ca="1" si="349"/>
        <v>'WINDOWS-NCH-A-BDP-M3-03-00'!B58</v>
      </c>
      <c r="D1778" s="6" t="str">
        <f t="shared" ca="1" si="350"/>
        <v>L03-THR-NAD-S115-01</v>
      </c>
      <c r="E1778" t="str">
        <f t="shared" ca="1" si="351"/>
        <v>Family Type: Curtain Wall_1950w x 3800h, Family: Window External Type 5 - Flush</v>
      </c>
      <c r="F1778" t="str">
        <f t="shared" ca="1" si="352"/>
        <v>Vector(X = 0.323, Y = -0.946, Z = 0.000, Length = 1.000)</v>
      </c>
      <c r="G1778">
        <f t="shared" ca="1" si="343"/>
        <v>0.3</v>
      </c>
      <c r="H1778">
        <f t="shared" ca="1" si="344"/>
        <v>-0.9</v>
      </c>
      <c r="I1778">
        <f t="shared" ca="1" si="345"/>
        <v>0</v>
      </c>
      <c r="J1778" s="8">
        <f t="shared" ca="1" si="346"/>
        <v>-71.56505117707799</v>
      </c>
      <c r="K1778" s="9" t="str">
        <f t="shared" ca="1" si="347"/>
        <v>S</v>
      </c>
      <c r="L1778">
        <f ca="1">+_xlfn.IFNA(VLOOKUP(M1778,BespokeWindowsAreas!$B$2:$E$1999,4,FALSE),VLOOKUP(E1778,WindowTypeArea!$B$2:$C$113,2,FALSE))</f>
        <v>7.9950000000000001</v>
      </c>
      <c r="M1778">
        <f t="shared" ca="1" si="348"/>
        <v>4913586</v>
      </c>
    </row>
    <row r="1779" spans="1:13" x14ac:dyDescent="0.25">
      <c r="A1779">
        <f t="shared" ca="1" si="341"/>
        <v>5</v>
      </c>
      <c r="B1779">
        <f t="shared" ca="1" si="342"/>
        <v>60</v>
      </c>
      <c r="C1779" t="str">
        <f t="shared" ca="1" si="349"/>
        <v>'WINDOWS-NCH-A-BDP-M3-03-00'!B59</v>
      </c>
      <c r="D1779" s="6" t="str">
        <f t="shared" ca="1" si="350"/>
        <v>L03-THR-NAD-S115-01</v>
      </c>
      <c r="E1779" t="str">
        <f t="shared" ca="1" si="351"/>
        <v>Family Type: Curtain Wall_1950w x 3800h, Family: Window External Type 5 - Flush</v>
      </c>
      <c r="F1779" t="str">
        <f t="shared" ca="1" si="352"/>
        <v>Vector(X = 0.323, Y = -0.946, Z = 0.000, Length = 1.000)</v>
      </c>
      <c r="G1779">
        <f t="shared" ca="1" si="343"/>
        <v>0.3</v>
      </c>
      <c r="H1779">
        <f t="shared" ca="1" si="344"/>
        <v>-0.9</v>
      </c>
      <c r="I1779">
        <f t="shared" ca="1" si="345"/>
        <v>0</v>
      </c>
      <c r="J1779" s="8">
        <f t="shared" ca="1" si="346"/>
        <v>-71.56505117707799</v>
      </c>
      <c r="K1779" s="9" t="str">
        <f t="shared" ca="1" si="347"/>
        <v>S</v>
      </c>
      <c r="L1779">
        <f ca="1">+_xlfn.IFNA(VLOOKUP(M1779,BespokeWindowsAreas!$B$2:$E$1999,4,FALSE),VLOOKUP(E1779,WindowTypeArea!$B$2:$C$113,2,FALSE))</f>
        <v>7.9950000000000001</v>
      </c>
      <c r="M1779">
        <f t="shared" ca="1" si="348"/>
        <v>4913587</v>
      </c>
    </row>
    <row r="1780" spans="1:13" x14ac:dyDescent="0.25">
      <c r="A1780">
        <f t="shared" ca="1" si="341"/>
        <v>5</v>
      </c>
      <c r="B1780">
        <f t="shared" ca="1" si="342"/>
        <v>61</v>
      </c>
      <c r="C1780" t="str">
        <f t="shared" ca="1" si="349"/>
        <v>'WINDOWS-NCH-A-BDP-M3-03-00'!B60</v>
      </c>
      <c r="D1780" s="6" t="str">
        <f t="shared" ca="1" si="350"/>
        <v>L03-THR-NAD-S115-01</v>
      </c>
      <c r="E1780" t="str">
        <f t="shared" ca="1" si="351"/>
        <v>Family Type: Curtain Wall_1950w x 3800h, Family: Window External Type 5 - Flush</v>
      </c>
      <c r="F1780" t="str">
        <f t="shared" ca="1" si="352"/>
        <v>Vector(X = 0.323, Y = -0.946, Z = 0.000, Length = 1.000)</v>
      </c>
      <c r="G1780">
        <f t="shared" ca="1" si="343"/>
        <v>0.3</v>
      </c>
      <c r="H1780">
        <f t="shared" ca="1" si="344"/>
        <v>-0.9</v>
      </c>
      <c r="I1780">
        <f t="shared" ca="1" si="345"/>
        <v>0</v>
      </c>
      <c r="J1780" s="8">
        <f t="shared" ca="1" si="346"/>
        <v>-71.56505117707799</v>
      </c>
      <c r="K1780" s="9" t="str">
        <f t="shared" ca="1" si="347"/>
        <v>S</v>
      </c>
      <c r="L1780">
        <f ca="1">+_xlfn.IFNA(VLOOKUP(M1780,BespokeWindowsAreas!$B$2:$E$1999,4,FALSE),VLOOKUP(E1780,WindowTypeArea!$B$2:$C$113,2,FALSE))</f>
        <v>7.9950000000000001</v>
      </c>
      <c r="M1780">
        <f t="shared" ca="1" si="348"/>
        <v>4913588</v>
      </c>
    </row>
    <row r="1781" spans="1:13" x14ac:dyDescent="0.25">
      <c r="A1781">
        <f t="shared" ca="1" si="341"/>
        <v>5</v>
      </c>
      <c r="B1781">
        <f t="shared" ca="1" si="342"/>
        <v>62</v>
      </c>
      <c r="C1781" t="str">
        <f t="shared" ca="1" si="349"/>
        <v>'WINDOWS-NCH-A-BDP-M3-03-00'!B61</v>
      </c>
      <c r="D1781" s="6" t="str">
        <f t="shared" ca="1" si="350"/>
        <v>L03-THR-NAD-S115-01</v>
      </c>
      <c r="E1781" t="str">
        <f t="shared" ca="1" si="351"/>
        <v>Family Type: Curtain Wall_Bespoke 1 - 1979.5 x 3800, Family: Window External Type 5 - Flush Instance Width</v>
      </c>
      <c r="F1781" t="str">
        <f t="shared" ca="1" si="352"/>
        <v>Vector(X = 0.323, Y = -0.946, Z = 0.000, Length = 1.000)</v>
      </c>
      <c r="G1781">
        <f t="shared" ca="1" si="343"/>
        <v>0.3</v>
      </c>
      <c r="H1781">
        <f t="shared" ca="1" si="344"/>
        <v>-0.9</v>
      </c>
      <c r="I1781">
        <f t="shared" ca="1" si="345"/>
        <v>0</v>
      </c>
      <c r="J1781" s="8">
        <f t="shared" ca="1" si="346"/>
        <v>-71.56505117707799</v>
      </c>
      <c r="K1781" s="9" t="str">
        <f t="shared" ca="1" si="347"/>
        <v>S</v>
      </c>
      <c r="L1781">
        <f ca="1">+_xlfn.IFNA(VLOOKUP(M1781,BespokeWindowsAreas!$B$2:$E$1999,4,FALSE),VLOOKUP(E1781,WindowTypeArea!$B$2:$C$113,2,FALSE))</f>
        <v>9.4004330933600109</v>
      </c>
      <c r="M1781">
        <f t="shared" ca="1" si="348"/>
        <v>4913589</v>
      </c>
    </row>
    <row r="1782" spans="1:13" x14ac:dyDescent="0.25">
      <c r="A1782">
        <f t="shared" ca="1" si="341"/>
        <v>5</v>
      </c>
      <c r="B1782">
        <f t="shared" ca="1" si="342"/>
        <v>63</v>
      </c>
      <c r="C1782" t="str">
        <f t="shared" ca="1" si="349"/>
        <v>'WINDOWS-NCH-A-BDP-M3-03-00'!B62</v>
      </c>
      <c r="D1782" s="6" t="str">
        <f t="shared" ca="1" si="350"/>
        <v>L03-THR-NAD-S115-01</v>
      </c>
      <c r="E1782" t="str">
        <f t="shared" ca="1" si="351"/>
        <v>Family Type: Curtain Wall_Bespoke 1 - 1979.5 x 3800, Family: Window External Type 5 - Flush Instance Width</v>
      </c>
      <c r="F1782" t="str">
        <f t="shared" ca="1" si="352"/>
        <v>Vector(X = -1.000, Y = -0.010, Z = 0.000, Length = 1.000)</v>
      </c>
      <c r="G1782">
        <f t="shared" ca="1" si="343"/>
        <v>-1</v>
      </c>
      <c r="H1782">
        <f t="shared" ca="1" si="344"/>
        <v>0</v>
      </c>
      <c r="I1782">
        <f t="shared" ca="1" si="345"/>
        <v>0</v>
      </c>
      <c r="J1782" s="8">
        <f t="shared" ca="1" si="346"/>
        <v>180</v>
      </c>
      <c r="K1782" s="9" t="str">
        <f t="shared" ca="1" si="347"/>
        <v>W</v>
      </c>
      <c r="L1782">
        <f ca="1">+_xlfn.IFNA(VLOOKUP(M1782,BespokeWindowsAreas!$B$2:$E$1999,4,FALSE),VLOOKUP(E1782,WindowTypeArea!$B$2:$C$113,2,FALSE))</f>
        <v>6.0331706472066866</v>
      </c>
      <c r="M1782">
        <f t="shared" ca="1" si="348"/>
        <v>4913642</v>
      </c>
    </row>
    <row r="1783" spans="1:13" x14ac:dyDescent="0.25">
      <c r="A1783">
        <f t="shared" ca="1" si="341"/>
        <v>5</v>
      </c>
      <c r="B1783">
        <f t="shared" ca="1" si="342"/>
        <v>64</v>
      </c>
      <c r="C1783" t="str">
        <f t="shared" ca="1" si="349"/>
        <v>'WINDOWS-NCH-A-BDP-M3-03-00'!B63</v>
      </c>
      <c r="D1783" s="6" t="str">
        <f t="shared" ca="1" si="350"/>
        <v>L03-COR-OCR-U0826-01</v>
      </c>
      <c r="E1783" t="str">
        <f t="shared" ca="1" si="351"/>
        <v>L03-COR-OCR-U0826-01</v>
      </c>
      <c r="F1783">
        <f t="shared" ca="1" si="352"/>
        <v>1296155</v>
      </c>
      <c r="G1783">
        <f t="shared" ca="1" si="343"/>
        <v>0</v>
      </c>
      <c r="H1783">
        <f t="shared" ca="1" si="344"/>
        <v>0</v>
      </c>
      <c r="I1783">
        <f t="shared" ca="1" si="345"/>
        <v>0</v>
      </c>
      <c r="J1783" s="8" t="e">
        <f t="shared" ca="1" si="346"/>
        <v>#DIV/0!</v>
      </c>
      <c r="K1783" s="9" t="e">
        <f t="shared" ca="1" si="347"/>
        <v>#DIV/0!</v>
      </c>
      <c r="L1783" t="e">
        <f ca="1">+_xlfn.IFNA(VLOOKUP(M1783,BespokeWindowsAreas!$B$2:$E$1999,4,FALSE),VLOOKUP(E1783,WindowTypeArea!$B$2:$C$113,2,FALSE))</f>
        <v>#N/A</v>
      </c>
      <c r="M1783">
        <f t="shared" ca="1" si="348"/>
        <v>0</v>
      </c>
    </row>
    <row r="1784" spans="1:13" x14ac:dyDescent="0.25">
      <c r="A1784">
        <f t="shared" ca="1" si="341"/>
        <v>5</v>
      </c>
      <c r="B1784">
        <f t="shared" ca="1" si="342"/>
        <v>65</v>
      </c>
      <c r="C1784" t="str">
        <f t="shared" ca="1" si="349"/>
        <v>'WINDOWS-NCH-A-BDP-M3-03-00'!B64</v>
      </c>
      <c r="D1784" s="6" t="str">
        <f t="shared" ca="1" si="350"/>
        <v>L03-COR-OCR-U0826-01</v>
      </c>
      <c r="E1784" t="str">
        <f t="shared" ca="1" si="351"/>
        <v>Family Type: 1950w x 3050h, Family: Window Internal Type 1 - Flush</v>
      </c>
      <c r="F1784" t="str">
        <f t="shared" ca="1" si="352"/>
        <v>Vector(X = 0.212, Y = -0.977, Z = 0.000, Length = 1.000)</v>
      </c>
      <c r="G1784">
        <f t="shared" ca="1" si="343"/>
        <v>0.2</v>
      </c>
      <c r="H1784">
        <f t="shared" ca="1" si="344"/>
        <v>-1</v>
      </c>
      <c r="I1784">
        <f t="shared" ca="1" si="345"/>
        <v>0</v>
      </c>
      <c r="J1784" s="8">
        <f t="shared" ca="1" si="346"/>
        <v>-78.690067525979785</v>
      </c>
      <c r="K1784" s="9" t="str">
        <f t="shared" ca="1" si="347"/>
        <v>S</v>
      </c>
      <c r="L1784">
        <f ca="1">+_xlfn.IFNA(VLOOKUP(M1784,BespokeWindowsAreas!$B$2:$E$1999,4,FALSE),VLOOKUP(E1784,WindowTypeArea!$B$2:$C$113,2,FALSE))</f>
        <v>5.9474999999999998</v>
      </c>
      <c r="M1784">
        <f t="shared" ca="1" si="348"/>
        <v>6905360</v>
      </c>
    </row>
    <row r="1785" spans="1:13" x14ac:dyDescent="0.25">
      <c r="A1785">
        <f t="shared" ca="1" si="341"/>
        <v>5</v>
      </c>
      <c r="B1785">
        <f t="shared" ca="1" si="342"/>
        <v>66</v>
      </c>
      <c r="C1785" t="str">
        <f t="shared" ca="1" si="349"/>
        <v>'WINDOWS-NCH-A-BDP-M3-03-00'!B65</v>
      </c>
      <c r="D1785" s="6" t="str">
        <f t="shared" ca="1" si="350"/>
        <v>L03-COR-OCR-U0826-01</v>
      </c>
      <c r="E1785" t="str">
        <f t="shared" ca="1" si="351"/>
        <v>Family Type: 975w x 3050h, Family: Window Internal Type 1 - Flush</v>
      </c>
      <c r="F1785" t="str">
        <f t="shared" ca="1" si="352"/>
        <v>Vector(X = 0.212, Y = -0.977, Z = 0.000, Length = 1.000)</v>
      </c>
      <c r="G1785">
        <f t="shared" ca="1" si="343"/>
        <v>0.2</v>
      </c>
      <c r="H1785">
        <f t="shared" ca="1" si="344"/>
        <v>-1</v>
      </c>
      <c r="I1785">
        <f t="shared" ca="1" si="345"/>
        <v>0</v>
      </c>
      <c r="J1785" s="8">
        <f t="shared" ca="1" si="346"/>
        <v>-78.690067525979785</v>
      </c>
      <c r="K1785" s="9" t="str">
        <f t="shared" ca="1" si="347"/>
        <v>S</v>
      </c>
      <c r="L1785">
        <f ca="1">+_xlfn.IFNA(VLOOKUP(M1785,BespokeWindowsAreas!$B$2:$E$1999,4,FALSE),VLOOKUP(E1785,WindowTypeArea!$B$2:$C$113,2,FALSE))</f>
        <v>2.9737499999999999</v>
      </c>
      <c r="M1785">
        <f t="shared" ca="1" si="348"/>
        <v>6905361</v>
      </c>
    </row>
    <row r="1786" spans="1:13" x14ac:dyDescent="0.25">
      <c r="A1786">
        <f t="shared" ca="1" si="341"/>
        <v>5</v>
      </c>
      <c r="B1786">
        <f t="shared" ca="1" si="342"/>
        <v>67</v>
      </c>
      <c r="C1786" t="str">
        <f t="shared" ca="1" si="349"/>
        <v>'WINDOWS-NCH-A-BDP-M3-03-00'!B66</v>
      </c>
      <c r="D1786" s="6" t="str">
        <f t="shared" ca="1" si="350"/>
        <v>L03-PHA-PHA-U0609-01</v>
      </c>
      <c r="E1786" t="str">
        <f t="shared" ca="1" si="351"/>
        <v>L03-PHA-PHA-U0609-01</v>
      </c>
      <c r="F1786">
        <f t="shared" ca="1" si="352"/>
        <v>1296191</v>
      </c>
      <c r="G1786">
        <f t="shared" ca="1" si="343"/>
        <v>0</v>
      </c>
      <c r="H1786">
        <f t="shared" ca="1" si="344"/>
        <v>0</v>
      </c>
      <c r="I1786">
        <f t="shared" ca="1" si="345"/>
        <v>0</v>
      </c>
      <c r="J1786" s="8" t="e">
        <f t="shared" ca="1" si="346"/>
        <v>#DIV/0!</v>
      </c>
      <c r="K1786" s="9" t="e">
        <f t="shared" ca="1" si="347"/>
        <v>#DIV/0!</v>
      </c>
      <c r="L1786" t="e">
        <f ca="1">+_xlfn.IFNA(VLOOKUP(M1786,BespokeWindowsAreas!$B$2:$E$1999,4,FALSE),VLOOKUP(E1786,WindowTypeArea!$B$2:$C$113,2,FALSE))</f>
        <v>#N/A</v>
      </c>
      <c r="M1786">
        <f t="shared" ca="1" si="348"/>
        <v>0</v>
      </c>
    </row>
    <row r="1787" spans="1:13" x14ac:dyDescent="0.25">
      <c r="A1787">
        <f t="shared" ca="1" si="341"/>
        <v>5</v>
      </c>
      <c r="B1787">
        <f t="shared" ca="1" si="342"/>
        <v>68</v>
      </c>
      <c r="C1787" t="str">
        <f t="shared" ca="1" si="349"/>
        <v>'WINDOWS-NCH-A-BDP-M3-03-00'!B67</v>
      </c>
      <c r="D1787" s="6" t="str">
        <f t="shared" ca="1" si="350"/>
        <v>L03-PHA-PHA-U0609-01</v>
      </c>
      <c r="E1787" t="str">
        <f t="shared" ca="1" si="351"/>
        <v>Family Type: Curtain Wall_Bespoke 1 - 1979.5 x 3800, Family: Window External Type 5 - Flush Instance Width</v>
      </c>
      <c r="F1787" t="str">
        <f t="shared" ca="1" si="352"/>
        <v>Vector(X = -0.212, Y = 0.977, Z = 0.000, Length = 1.000)</v>
      </c>
      <c r="G1787">
        <f t="shared" ca="1" si="343"/>
        <v>-0.2</v>
      </c>
      <c r="H1787">
        <f t="shared" ca="1" si="344"/>
        <v>1</v>
      </c>
      <c r="I1787">
        <f t="shared" ca="1" si="345"/>
        <v>0</v>
      </c>
      <c r="J1787" s="8">
        <f t="shared" ca="1" si="346"/>
        <v>101.3099324740202</v>
      </c>
      <c r="K1787" s="9" t="str">
        <f t="shared" ca="1" si="347"/>
        <v>N</v>
      </c>
      <c r="L1787">
        <f ca="1">+_xlfn.IFNA(VLOOKUP(M1787,BespokeWindowsAreas!$B$2:$E$1999,4,FALSE),VLOOKUP(E1787,WindowTypeArea!$B$2:$C$113,2,FALSE))</f>
        <v>5.1044999999999998</v>
      </c>
      <c r="M1787">
        <f t="shared" ca="1" si="348"/>
        <v>5280256</v>
      </c>
    </row>
    <row r="1788" spans="1:13" x14ac:dyDescent="0.25">
      <c r="A1788">
        <f t="shared" ca="1" si="341"/>
        <v>5</v>
      </c>
      <c r="B1788">
        <f t="shared" ca="1" si="342"/>
        <v>69</v>
      </c>
      <c r="C1788" t="str">
        <f t="shared" ca="1" si="349"/>
        <v>'WINDOWS-NCH-A-BDP-M3-03-00'!B68</v>
      </c>
      <c r="D1788" s="6" t="str">
        <f t="shared" ca="1" si="350"/>
        <v>L03-PHA-PHA-U0609-01</v>
      </c>
      <c r="E1788" t="str">
        <f t="shared" ca="1" si="351"/>
        <v>Family Type: Curtain Wall_Bespoke 1 - 1979.5 x 3800, Family: Window External Type 5 - Flush Instance Width</v>
      </c>
      <c r="F1788" t="str">
        <f t="shared" ca="1" si="352"/>
        <v>Vector(X = -0.212, Y = 0.977, Z = 0.000, Length = 1.000)</v>
      </c>
      <c r="G1788">
        <f t="shared" ca="1" si="343"/>
        <v>-0.2</v>
      </c>
      <c r="H1788">
        <f t="shared" ca="1" si="344"/>
        <v>1</v>
      </c>
      <c r="I1788">
        <f t="shared" ca="1" si="345"/>
        <v>0</v>
      </c>
      <c r="J1788" s="8">
        <f t="shared" ca="1" si="346"/>
        <v>101.3099324740202</v>
      </c>
      <c r="K1788" s="9" t="str">
        <f t="shared" ca="1" si="347"/>
        <v>N</v>
      </c>
      <c r="L1788">
        <f ca="1">+_xlfn.IFNA(VLOOKUP(M1788,BespokeWindowsAreas!$B$2:$E$1999,4,FALSE),VLOOKUP(E1788,WindowTypeArea!$B$2:$C$113,2,FALSE))</f>
        <v>5.1044999999999998</v>
      </c>
      <c r="M1788">
        <f t="shared" ca="1" si="348"/>
        <v>5280303</v>
      </c>
    </row>
    <row r="1789" spans="1:13" x14ac:dyDescent="0.25">
      <c r="A1789">
        <f t="shared" ca="1" si="341"/>
        <v>5</v>
      </c>
      <c r="B1789">
        <f t="shared" ca="1" si="342"/>
        <v>70</v>
      </c>
      <c r="C1789" t="str">
        <f t="shared" ca="1" si="349"/>
        <v>'WINDOWS-NCH-A-BDP-M3-03-00'!B69</v>
      </c>
      <c r="D1789" s="6" t="str">
        <f t="shared" ca="1" si="350"/>
        <v>L03-PHA-PHA-U0609-01</v>
      </c>
      <c r="E1789" t="str">
        <f t="shared" ca="1" si="351"/>
        <v>Family Type: Curtain Wall_Bespoke 1 - 1979.5 x 3800, Family: Window External Type 5 - Flush Instance Width</v>
      </c>
      <c r="F1789" t="str">
        <f t="shared" ca="1" si="352"/>
        <v>Vector(X = -0.212, Y = 0.977, Z = 0.000, Length = 1.000)</v>
      </c>
      <c r="G1789">
        <f t="shared" ca="1" si="343"/>
        <v>-0.2</v>
      </c>
      <c r="H1789">
        <f t="shared" ca="1" si="344"/>
        <v>1</v>
      </c>
      <c r="I1789">
        <f t="shared" ca="1" si="345"/>
        <v>0</v>
      </c>
      <c r="J1789" s="8">
        <f t="shared" ca="1" si="346"/>
        <v>101.3099324740202</v>
      </c>
      <c r="K1789" s="9" t="str">
        <f t="shared" ca="1" si="347"/>
        <v>N</v>
      </c>
      <c r="L1789">
        <f ca="1">+_xlfn.IFNA(VLOOKUP(M1789,BespokeWindowsAreas!$B$2:$E$1999,4,FALSE),VLOOKUP(E1789,WindowTypeArea!$B$2:$C$113,2,FALSE))</f>
        <v>5.1044999999999998</v>
      </c>
      <c r="M1789">
        <f t="shared" ca="1" si="348"/>
        <v>5280392</v>
      </c>
    </row>
    <row r="1790" spans="1:13" x14ac:dyDescent="0.25">
      <c r="A1790">
        <f t="shared" ca="1" si="341"/>
        <v>5</v>
      </c>
      <c r="B1790">
        <f t="shared" ca="1" si="342"/>
        <v>71</v>
      </c>
      <c r="C1790" t="str">
        <f t="shared" ca="1" si="349"/>
        <v>'WINDOWS-NCH-A-BDP-M3-03-00'!B70</v>
      </c>
      <c r="D1790" s="6" t="str">
        <f t="shared" ca="1" si="350"/>
        <v>L03-PHA-PHA-U0609-01</v>
      </c>
      <c r="E1790" t="str">
        <f t="shared" ca="1" si="351"/>
        <v>Family Type: Curtain Wall_Bespoke 1 - 1979.5 x 3800, Family: Window External Type 5 - Flush Instance Width</v>
      </c>
      <c r="F1790" t="str">
        <f t="shared" ca="1" si="352"/>
        <v>Vector(X = -0.212, Y = 0.977, Z = 0.000, Length = 1.000)</v>
      </c>
      <c r="G1790">
        <f t="shared" ca="1" si="343"/>
        <v>-0.2</v>
      </c>
      <c r="H1790">
        <f t="shared" ca="1" si="344"/>
        <v>1</v>
      </c>
      <c r="I1790">
        <f t="shared" ca="1" si="345"/>
        <v>0</v>
      </c>
      <c r="J1790" s="8">
        <f t="shared" ca="1" si="346"/>
        <v>101.3099324740202</v>
      </c>
      <c r="K1790" s="9" t="str">
        <f t="shared" ca="1" si="347"/>
        <v>N</v>
      </c>
      <c r="L1790">
        <f ca="1">+_xlfn.IFNA(VLOOKUP(M1790,BespokeWindowsAreas!$B$2:$E$1999,4,FALSE),VLOOKUP(E1790,WindowTypeArea!$B$2:$C$113,2,FALSE))</f>
        <v>5.1044999999999998</v>
      </c>
      <c r="M1790">
        <f t="shared" ca="1" si="348"/>
        <v>5280780</v>
      </c>
    </row>
    <row r="1791" spans="1:13" x14ac:dyDescent="0.25">
      <c r="A1791">
        <f t="shared" ca="1" si="341"/>
        <v>5</v>
      </c>
      <c r="B1791">
        <f t="shared" ca="1" si="342"/>
        <v>72</v>
      </c>
      <c r="C1791" t="str">
        <f t="shared" ca="1" si="349"/>
        <v>'WINDOWS-NCH-A-BDP-M3-03-00'!B71</v>
      </c>
      <c r="D1791" s="6" t="str">
        <f t="shared" ca="1" si="350"/>
        <v>L03-PHA-PHA-U0609-01</v>
      </c>
      <c r="E1791" t="str">
        <f t="shared" ca="1" si="351"/>
        <v>Family Type: Curtain Wall_Bespoke 1 - 1979.5 x 3800, Family: Window External Type 5 - Flush Instance Width</v>
      </c>
      <c r="F1791" t="str">
        <f t="shared" ca="1" si="352"/>
        <v>Vector(X = -0.212, Y = 0.977, Z = 0.000, Length = 1.000)</v>
      </c>
      <c r="G1791">
        <f t="shared" ca="1" si="343"/>
        <v>-0.2</v>
      </c>
      <c r="H1791">
        <f t="shared" ca="1" si="344"/>
        <v>1</v>
      </c>
      <c r="I1791">
        <f t="shared" ca="1" si="345"/>
        <v>0</v>
      </c>
      <c r="J1791" s="8">
        <f t="shared" ca="1" si="346"/>
        <v>101.3099324740202</v>
      </c>
      <c r="K1791" s="9" t="str">
        <f t="shared" ca="1" si="347"/>
        <v>N</v>
      </c>
      <c r="L1791">
        <f ca="1">+_xlfn.IFNA(VLOOKUP(M1791,BespokeWindowsAreas!$B$2:$E$1999,4,FALSE),VLOOKUP(E1791,WindowTypeArea!$B$2:$C$113,2,FALSE))</f>
        <v>1.2450000000000001</v>
      </c>
      <c r="M1791">
        <f t="shared" ca="1" si="348"/>
        <v>5282409</v>
      </c>
    </row>
    <row r="1792" spans="1:13" x14ac:dyDescent="0.25">
      <c r="A1792">
        <f t="shared" ca="1" si="341"/>
        <v>5</v>
      </c>
      <c r="B1792">
        <f t="shared" ca="1" si="342"/>
        <v>73</v>
      </c>
      <c r="C1792" t="str">
        <f t="shared" ca="1" si="349"/>
        <v>'WINDOWS-NCH-A-BDP-M3-03-00'!B72</v>
      </c>
      <c r="D1792" s="6" t="str">
        <f t="shared" ca="1" si="350"/>
        <v>L03-PHA-PHA-U0609-01</v>
      </c>
      <c r="E1792" t="str">
        <f t="shared" ca="1" si="351"/>
        <v>Family Type: Curtain Wall_Bespoke 1 - 1979.5 x 3800, Family: Window External Type 5 - Flush Instance Width</v>
      </c>
      <c r="F1792" t="str">
        <f t="shared" ca="1" si="352"/>
        <v>Vector(X = -0.212, Y = 0.977, Z = 0.000, Length = 1.000)</v>
      </c>
      <c r="G1792">
        <f t="shared" ca="1" si="343"/>
        <v>-0.2</v>
      </c>
      <c r="H1792">
        <f t="shared" ca="1" si="344"/>
        <v>1</v>
      </c>
      <c r="I1792">
        <f t="shared" ca="1" si="345"/>
        <v>0</v>
      </c>
      <c r="J1792" s="8">
        <f t="shared" ca="1" si="346"/>
        <v>101.3099324740202</v>
      </c>
      <c r="K1792" s="9" t="str">
        <f t="shared" ca="1" si="347"/>
        <v>N</v>
      </c>
      <c r="L1792">
        <f ca="1">+_xlfn.IFNA(VLOOKUP(M1792,BespokeWindowsAreas!$B$2:$E$1999,4,FALSE),VLOOKUP(E1792,WindowTypeArea!$B$2:$C$113,2,FALSE))</f>
        <v>1.2450000000000001</v>
      </c>
      <c r="M1792">
        <f t="shared" ca="1" si="348"/>
        <v>5282410</v>
      </c>
    </row>
    <row r="1793" spans="1:13" x14ac:dyDescent="0.25">
      <c r="A1793">
        <f t="shared" ca="1" si="341"/>
        <v>5</v>
      </c>
      <c r="B1793">
        <f t="shared" ca="1" si="342"/>
        <v>74</v>
      </c>
      <c r="C1793" t="str">
        <f t="shared" ca="1" si="349"/>
        <v>'WINDOWS-NCH-A-BDP-M3-03-00'!B73</v>
      </c>
      <c r="D1793" s="6" t="str">
        <f t="shared" ca="1" si="350"/>
        <v>L03-PHA-PHA-U0609-01</v>
      </c>
      <c r="E1793" t="str">
        <f t="shared" ca="1" si="351"/>
        <v>Family Type: Curtain Wall_Bespoke 1 - 1979.5 x 3800, Family: Window External Type 5 - Flush Instance Width</v>
      </c>
      <c r="F1793" t="str">
        <f t="shared" ca="1" si="352"/>
        <v>Vector(X = -0.212, Y = 0.977, Z = 0.000, Length = 1.000)</v>
      </c>
      <c r="G1793">
        <f t="shared" ca="1" si="343"/>
        <v>-0.2</v>
      </c>
      <c r="H1793">
        <f t="shared" ca="1" si="344"/>
        <v>1</v>
      </c>
      <c r="I1793">
        <f t="shared" ca="1" si="345"/>
        <v>0</v>
      </c>
      <c r="J1793" s="8">
        <f t="shared" ca="1" si="346"/>
        <v>101.3099324740202</v>
      </c>
      <c r="K1793" s="9" t="str">
        <f t="shared" ca="1" si="347"/>
        <v>N</v>
      </c>
      <c r="L1793">
        <f ca="1">+_xlfn.IFNA(VLOOKUP(M1793,BespokeWindowsAreas!$B$2:$E$1999,4,FALSE),VLOOKUP(E1793,WindowTypeArea!$B$2:$C$113,2,FALSE))</f>
        <v>1.2450000000000001</v>
      </c>
      <c r="M1793">
        <f t="shared" ca="1" si="348"/>
        <v>5282411</v>
      </c>
    </row>
    <row r="1794" spans="1:13" x14ac:dyDescent="0.25">
      <c r="A1794">
        <f t="shared" ca="1" si="341"/>
        <v>5</v>
      </c>
      <c r="B1794">
        <f t="shared" ca="1" si="342"/>
        <v>75</v>
      </c>
      <c r="C1794" t="str">
        <f t="shared" ca="1" si="349"/>
        <v>'WINDOWS-NCH-A-BDP-M3-03-00'!B74</v>
      </c>
      <c r="D1794" s="6" t="str">
        <f t="shared" ca="1" si="350"/>
        <v>L03-PHA-PHA-U0609-01</v>
      </c>
      <c r="E1794" t="str">
        <f t="shared" ca="1" si="351"/>
        <v>Family Type: Curtain Wall_Bespoke 1 - 1979.5 x 3800, Family: Window External Type 5 - Flush Instance Width</v>
      </c>
      <c r="F1794" t="str">
        <f t="shared" ca="1" si="352"/>
        <v>Vector(X = -0.212, Y = 0.977, Z = 0.000, Length = 1.000)</v>
      </c>
      <c r="G1794">
        <f t="shared" ca="1" si="343"/>
        <v>-0.2</v>
      </c>
      <c r="H1794">
        <f t="shared" ca="1" si="344"/>
        <v>1</v>
      </c>
      <c r="I1794">
        <f t="shared" ca="1" si="345"/>
        <v>0</v>
      </c>
      <c r="J1794" s="8">
        <f t="shared" ca="1" si="346"/>
        <v>101.3099324740202</v>
      </c>
      <c r="K1794" s="9" t="str">
        <f t="shared" ca="1" si="347"/>
        <v>N</v>
      </c>
      <c r="L1794">
        <f ca="1">+_xlfn.IFNA(VLOOKUP(M1794,BespokeWindowsAreas!$B$2:$E$1999,4,FALSE),VLOOKUP(E1794,WindowTypeArea!$B$2:$C$113,2,FALSE))</f>
        <v>1.2450000000000001</v>
      </c>
      <c r="M1794">
        <f t="shared" ca="1" si="348"/>
        <v>5282412</v>
      </c>
    </row>
    <row r="1795" spans="1:13" x14ac:dyDescent="0.25">
      <c r="A1795">
        <f t="shared" ca="1" si="341"/>
        <v>5</v>
      </c>
      <c r="B1795">
        <f t="shared" ca="1" si="342"/>
        <v>76</v>
      </c>
      <c r="C1795" t="str">
        <f t="shared" ca="1" si="349"/>
        <v>'WINDOWS-NCH-A-BDP-M3-03-00'!B75</v>
      </c>
      <c r="D1795" s="6" t="str">
        <f t="shared" ca="1" si="350"/>
        <v>L03-PHA-PHA-U0609-01</v>
      </c>
      <c r="E1795" t="str">
        <f t="shared" ca="1" si="351"/>
        <v>Family Type: Curtain Wall_Bespoke 1 - 1979.5 x 3800, Family: Window External Type 5 - Flush Instance Width</v>
      </c>
      <c r="F1795" t="str">
        <f t="shared" ca="1" si="352"/>
        <v>Vector(X = -0.212, Y = 0.977, Z = 0.000, Length = 1.000)</v>
      </c>
      <c r="G1795">
        <f t="shared" ca="1" si="343"/>
        <v>-0.2</v>
      </c>
      <c r="H1795">
        <f t="shared" ca="1" si="344"/>
        <v>1</v>
      </c>
      <c r="I1795">
        <f t="shared" ca="1" si="345"/>
        <v>0</v>
      </c>
      <c r="J1795" s="8">
        <f t="shared" ca="1" si="346"/>
        <v>101.3099324740202</v>
      </c>
      <c r="K1795" s="9" t="str">
        <f t="shared" ca="1" si="347"/>
        <v>N</v>
      </c>
      <c r="L1795">
        <f ca="1">+_xlfn.IFNA(VLOOKUP(M1795,BespokeWindowsAreas!$B$2:$E$1999,4,FALSE),VLOOKUP(E1795,WindowTypeArea!$B$2:$C$113,2,FALSE))</f>
        <v>4.979450000002255</v>
      </c>
      <c r="M1795">
        <f t="shared" ca="1" si="348"/>
        <v>5282679</v>
      </c>
    </row>
    <row r="1796" spans="1:13" x14ac:dyDescent="0.25">
      <c r="A1796">
        <f t="shared" ca="1" si="341"/>
        <v>5</v>
      </c>
      <c r="B1796">
        <f t="shared" ca="1" si="342"/>
        <v>77</v>
      </c>
      <c r="C1796" t="str">
        <f t="shared" ca="1" si="349"/>
        <v>'WINDOWS-NCH-A-BDP-M3-03-00'!B76</v>
      </c>
      <c r="D1796" s="6" t="str">
        <f t="shared" ca="1" si="350"/>
        <v>L03-PHA-PHA-U0610-01</v>
      </c>
      <c r="E1796" t="str">
        <f t="shared" ca="1" si="351"/>
        <v>L03-PHA-PHA-U0610-01</v>
      </c>
      <c r="F1796">
        <f t="shared" ca="1" si="352"/>
        <v>1296195</v>
      </c>
      <c r="G1796">
        <f t="shared" ca="1" si="343"/>
        <v>0</v>
      </c>
      <c r="H1796">
        <f t="shared" ca="1" si="344"/>
        <v>0</v>
      </c>
      <c r="I1796">
        <f t="shared" ca="1" si="345"/>
        <v>0</v>
      </c>
      <c r="J1796" s="8" t="e">
        <f t="shared" ca="1" si="346"/>
        <v>#DIV/0!</v>
      </c>
      <c r="K1796" s="9" t="e">
        <f t="shared" ca="1" si="347"/>
        <v>#DIV/0!</v>
      </c>
      <c r="L1796" t="e">
        <f ca="1">+_xlfn.IFNA(VLOOKUP(M1796,BespokeWindowsAreas!$B$2:$E$1999,4,FALSE),VLOOKUP(E1796,WindowTypeArea!$B$2:$C$113,2,FALSE))</f>
        <v>#N/A</v>
      </c>
      <c r="M1796">
        <f t="shared" ca="1" si="348"/>
        <v>0</v>
      </c>
    </row>
    <row r="1797" spans="1:13" x14ac:dyDescent="0.25">
      <c r="A1797">
        <f t="shared" ca="1" si="341"/>
        <v>5</v>
      </c>
      <c r="B1797">
        <f t="shared" ca="1" si="342"/>
        <v>78</v>
      </c>
      <c r="C1797" t="str">
        <f t="shared" ca="1" si="349"/>
        <v>'WINDOWS-NCH-A-BDP-M3-03-00'!B77</v>
      </c>
      <c r="D1797" s="6" t="str">
        <f t="shared" ca="1" si="350"/>
        <v>L03-PHA-PHA-U0610-01</v>
      </c>
      <c r="E1797" t="str">
        <f t="shared" ca="1" si="351"/>
        <v>Family Type: Curtain Wall_1950w x 3800h, Family: Window External Type 5 - Flush</v>
      </c>
      <c r="F1797" t="str">
        <f t="shared" ca="1" si="352"/>
        <v>Vector(X = -0.212, Y = 0.977, Z = 0.000, Length = 1.000)</v>
      </c>
      <c r="G1797">
        <f t="shared" ca="1" si="343"/>
        <v>-0.2</v>
      </c>
      <c r="H1797">
        <f t="shared" ca="1" si="344"/>
        <v>1</v>
      </c>
      <c r="I1797">
        <f t="shared" ca="1" si="345"/>
        <v>0</v>
      </c>
      <c r="J1797" s="8">
        <f t="shared" ca="1" si="346"/>
        <v>101.3099324740202</v>
      </c>
      <c r="K1797" s="9" t="str">
        <f t="shared" ca="1" si="347"/>
        <v>N</v>
      </c>
      <c r="L1797">
        <f ca="1">+_xlfn.IFNA(VLOOKUP(M1797,BespokeWindowsAreas!$B$2:$E$1999,4,FALSE),VLOOKUP(E1797,WindowTypeArea!$B$2:$C$113,2,FALSE))</f>
        <v>7.9950000000000001</v>
      </c>
      <c r="M1797">
        <f t="shared" ca="1" si="348"/>
        <v>4940773</v>
      </c>
    </row>
    <row r="1798" spans="1:13" x14ac:dyDescent="0.25">
      <c r="A1798">
        <f t="shared" ca="1" si="341"/>
        <v>5</v>
      </c>
      <c r="B1798">
        <f t="shared" ca="1" si="342"/>
        <v>79</v>
      </c>
      <c r="C1798" t="str">
        <f t="shared" ca="1" si="349"/>
        <v>'WINDOWS-NCH-A-BDP-M3-03-00'!B78</v>
      </c>
      <c r="D1798" s="6" t="str">
        <f t="shared" ca="1" si="350"/>
        <v>L03-PHA-PHA-U0610-01</v>
      </c>
      <c r="E1798" t="str">
        <f t="shared" ca="1" si="351"/>
        <v>Family Type: Curtain Wall_975w x 3800h, Family: Window External Type 5 - Flush</v>
      </c>
      <c r="F1798" t="str">
        <f t="shared" ca="1" si="352"/>
        <v>Vector(X = -0.212, Y = 0.977, Z = 0.000, Length = 1.000)</v>
      </c>
      <c r="G1798">
        <f t="shared" ca="1" si="343"/>
        <v>-0.2</v>
      </c>
      <c r="H1798">
        <f t="shared" ca="1" si="344"/>
        <v>1</v>
      </c>
      <c r="I1798">
        <f t="shared" ca="1" si="345"/>
        <v>0</v>
      </c>
      <c r="J1798" s="8">
        <f t="shared" ca="1" si="346"/>
        <v>101.3099324740202</v>
      </c>
      <c r="K1798" s="9" t="str">
        <f t="shared" ca="1" si="347"/>
        <v>N</v>
      </c>
      <c r="L1798">
        <f ca="1">+_xlfn.IFNA(VLOOKUP(M1798,BespokeWindowsAreas!$B$2:$E$1999,4,FALSE),VLOOKUP(E1798,WindowTypeArea!$B$2:$C$113,2,FALSE))</f>
        <v>3.9975000000000001</v>
      </c>
      <c r="M1798">
        <f t="shared" ca="1" si="348"/>
        <v>4940774</v>
      </c>
    </row>
    <row r="1799" spans="1:13" x14ac:dyDescent="0.25">
      <c r="A1799">
        <f t="shared" ca="1" si="341"/>
        <v>5</v>
      </c>
      <c r="B1799">
        <f t="shared" ca="1" si="342"/>
        <v>80</v>
      </c>
      <c r="C1799" t="str">
        <f t="shared" ca="1" si="349"/>
        <v>'WINDOWS-NCH-A-BDP-M3-03-00'!B79</v>
      </c>
      <c r="D1799" s="6" t="str">
        <f t="shared" ca="1" si="350"/>
        <v>L03-PHA-PHA-U0610-01</v>
      </c>
      <c r="E1799" t="str">
        <f t="shared" ca="1" si="351"/>
        <v>Family Type: Curtain Wall_1950w x 3800h, Family: Window External Type 5 - Flush</v>
      </c>
      <c r="F1799" t="str">
        <f t="shared" ca="1" si="352"/>
        <v>Vector(X = -0.212, Y = 0.977, Z = 0.000, Length = 1.000)</v>
      </c>
      <c r="G1799">
        <f t="shared" ca="1" si="343"/>
        <v>-0.2</v>
      </c>
      <c r="H1799">
        <f t="shared" ca="1" si="344"/>
        <v>1</v>
      </c>
      <c r="I1799">
        <f t="shared" ca="1" si="345"/>
        <v>0</v>
      </c>
      <c r="J1799" s="8">
        <f t="shared" ca="1" si="346"/>
        <v>101.3099324740202</v>
      </c>
      <c r="K1799" s="9" t="str">
        <f t="shared" ca="1" si="347"/>
        <v>N</v>
      </c>
      <c r="L1799">
        <f ca="1">+_xlfn.IFNA(VLOOKUP(M1799,BespokeWindowsAreas!$B$2:$E$1999,4,FALSE),VLOOKUP(E1799,WindowTypeArea!$B$2:$C$113,2,FALSE))</f>
        <v>7.9950000000000001</v>
      </c>
      <c r="M1799">
        <f t="shared" ca="1" si="348"/>
        <v>4940775</v>
      </c>
    </row>
    <row r="1800" spans="1:13" x14ac:dyDescent="0.25">
      <c r="A1800">
        <f t="shared" ca="1" si="341"/>
        <v>5</v>
      </c>
      <c r="B1800">
        <f t="shared" ca="1" si="342"/>
        <v>81</v>
      </c>
      <c r="C1800" t="str">
        <f t="shared" ca="1" si="349"/>
        <v>'WINDOWS-NCH-A-BDP-M3-03-00'!B80</v>
      </c>
      <c r="D1800" s="6" t="str">
        <f t="shared" ca="1" si="350"/>
        <v>L03-PHA-PHA-U0610-01</v>
      </c>
      <c r="E1800" t="str">
        <f t="shared" ca="1" si="351"/>
        <v>Family Type: Curtain Wall_1950w x 3800h, Family: Window External Type 5 - Flush</v>
      </c>
      <c r="F1800" t="str">
        <f t="shared" ca="1" si="352"/>
        <v>Vector(X = -0.212, Y = 0.977, Z = 0.000, Length = 1.000)</v>
      </c>
      <c r="G1800">
        <f t="shared" ca="1" si="343"/>
        <v>-0.2</v>
      </c>
      <c r="H1800">
        <f t="shared" ca="1" si="344"/>
        <v>1</v>
      </c>
      <c r="I1800">
        <f t="shared" ca="1" si="345"/>
        <v>0</v>
      </c>
      <c r="J1800" s="8">
        <f t="shared" ca="1" si="346"/>
        <v>101.3099324740202</v>
      </c>
      <c r="K1800" s="9" t="str">
        <f t="shared" ca="1" si="347"/>
        <v>N</v>
      </c>
      <c r="L1800">
        <f ca="1">+_xlfn.IFNA(VLOOKUP(M1800,BespokeWindowsAreas!$B$2:$E$1999,4,FALSE),VLOOKUP(E1800,WindowTypeArea!$B$2:$C$113,2,FALSE))</f>
        <v>7.9950000000000001</v>
      </c>
      <c r="M1800">
        <f t="shared" ca="1" si="348"/>
        <v>4940776</v>
      </c>
    </row>
    <row r="1801" spans="1:13" x14ac:dyDescent="0.25">
      <c r="A1801">
        <f t="shared" ca="1" si="341"/>
        <v>5</v>
      </c>
      <c r="B1801">
        <f t="shared" ca="1" si="342"/>
        <v>82</v>
      </c>
      <c r="C1801" t="str">
        <f t="shared" ca="1" si="349"/>
        <v>'WINDOWS-NCH-A-BDP-M3-03-00'!B81</v>
      </c>
      <c r="D1801" s="6" t="str">
        <f t="shared" ca="1" si="350"/>
        <v>L03-PHA-PHA-U0610-01</v>
      </c>
      <c r="E1801" t="str">
        <f t="shared" ca="1" si="351"/>
        <v>Family Type: Curtain Wall_1950w x 3800h, Family: Window External Type 5 - Flush</v>
      </c>
      <c r="F1801" t="str">
        <f t="shared" ca="1" si="352"/>
        <v>Vector(X = -0.212, Y = 0.977, Z = 0.000, Length = 1.000)</v>
      </c>
      <c r="G1801">
        <f t="shared" ca="1" si="343"/>
        <v>-0.2</v>
      </c>
      <c r="H1801">
        <f t="shared" ca="1" si="344"/>
        <v>1</v>
      </c>
      <c r="I1801">
        <f t="shared" ca="1" si="345"/>
        <v>0</v>
      </c>
      <c r="J1801" s="8">
        <f t="shared" ca="1" si="346"/>
        <v>101.3099324740202</v>
      </c>
      <c r="K1801" s="9" t="str">
        <f t="shared" ca="1" si="347"/>
        <v>N</v>
      </c>
      <c r="L1801">
        <f ca="1">+_xlfn.IFNA(VLOOKUP(M1801,BespokeWindowsAreas!$B$2:$E$1999,4,FALSE),VLOOKUP(E1801,WindowTypeArea!$B$2:$C$113,2,FALSE))</f>
        <v>7.9950000000000001</v>
      </c>
      <c r="M1801">
        <f t="shared" ca="1" si="348"/>
        <v>4940777</v>
      </c>
    </row>
    <row r="1802" spans="1:13" x14ac:dyDescent="0.25">
      <c r="A1802">
        <f t="shared" ca="1" si="341"/>
        <v>5</v>
      </c>
      <c r="B1802">
        <f t="shared" ca="1" si="342"/>
        <v>83</v>
      </c>
      <c r="C1802" t="str">
        <f t="shared" ca="1" si="349"/>
        <v>'WINDOWS-NCH-A-BDP-M3-03-00'!B82</v>
      </c>
      <c r="D1802" s="6" t="str">
        <f t="shared" ca="1" si="350"/>
        <v>L03-PHA-PHA-S115-02</v>
      </c>
      <c r="E1802" t="str">
        <f t="shared" ca="1" si="351"/>
        <v>L03-PHA-PHA-S115-02</v>
      </c>
      <c r="F1802">
        <f t="shared" ca="1" si="352"/>
        <v>1296197</v>
      </c>
      <c r="G1802">
        <f t="shared" ca="1" si="343"/>
        <v>0</v>
      </c>
      <c r="H1802">
        <f t="shared" ca="1" si="344"/>
        <v>0</v>
      </c>
      <c r="I1802">
        <f t="shared" ca="1" si="345"/>
        <v>0</v>
      </c>
      <c r="J1802" s="8" t="e">
        <f t="shared" ca="1" si="346"/>
        <v>#DIV/0!</v>
      </c>
      <c r="K1802" s="9" t="e">
        <f t="shared" ca="1" si="347"/>
        <v>#DIV/0!</v>
      </c>
      <c r="L1802" t="e">
        <f ca="1">+_xlfn.IFNA(VLOOKUP(M1802,BespokeWindowsAreas!$B$2:$E$1999,4,FALSE),VLOOKUP(E1802,WindowTypeArea!$B$2:$C$113,2,FALSE))</f>
        <v>#N/A</v>
      </c>
      <c r="M1802">
        <f t="shared" ca="1" si="348"/>
        <v>0</v>
      </c>
    </row>
    <row r="1803" spans="1:13" x14ac:dyDescent="0.25">
      <c r="A1803">
        <f t="shared" ca="1" si="341"/>
        <v>5</v>
      </c>
      <c r="B1803">
        <f t="shared" ca="1" si="342"/>
        <v>84</v>
      </c>
      <c r="C1803" t="str">
        <f t="shared" ca="1" si="349"/>
        <v>'WINDOWS-NCH-A-BDP-M3-03-00'!B83</v>
      </c>
      <c r="D1803" s="6" t="str">
        <f t="shared" ca="1" si="350"/>
        <v>L03-PHA-PHA-S115-02</v>
      </c>
      <c r="E1803" t="str">
        <f t="shared" ca="1" si="351"/>
        <v>Family Type: Curtain Wall_Bespoke 1 - 1979.5 x 3800, Family: Window External Type 5 - Flush Instance Width</v>
      </c>
      <c r="F1803" t="str">
        <f t="shared" ca="1" si="352"/>
        <v>Vector(X = -0.956, Y = 0.294, Z = 0.000, Length = 1.000)</v>
      </c>
      <c r="G1803">
        <f t="shared" ca="1" si="343"/>
        <v>-1</v>
      </c>
      <c r="H1803">
        <f t="shared" ca="1" si="344"/>
        <v>0.3</v>
      </c>
      <c r="I1803">
        <f t="shared" ca="1" si="345"/>
        <v>0</v>
      </c>
      <c r="J1803" s="8">
        <f t="shared" ca="1" si="346"/>
        <v>163.30075576600638</v>
      </c>
      <c r="K1803" s="9" t="str">
        <f t="shared" ca="1" si="347"/>
        <v>WN</v>
      </c>
      <c r="L1803">
        <f ca="1">+_xlfn.IFNA(VLOOKUP(M1803,BespokeWindowsAreas!$B$2:$E$1999,4,FALSE),VLOOKUP(E1803,WindowTypeArea!$B$2:$C$113,2,FALSE))</f>
        <v>7.9950000000000001</v>
      </c>
      <c r="M1803">
        <f t="shared" ca="1" si="348"/>
        <v>4915175</v>
      </c>
    </row>
    <row r="1804" spans="1:13" x14ac:dyDescent="0.25">
      <c r="A1804">
        <f t="shared" ca="1" si="341"/>
        <v>5</v>
      </c>
      <c r="B1804">
        <f t="shared" ca="1" si="342"/>
        <v>85</v>
      </c>
      <c r="C1804" t="str">
        <f t="shared" ca="1" si="349"/>
        <v>'WINDOWS-NCH-A-BDP-M3-03-00'!B84</v>
      </c>
      <c r="D1804" s="6" t="str">
        <f t="shared" ca="1" si="350"/>
        <v>L03-PHA-PHA-S115-02</v>
      </c>
      <c r="E1804" t="str">
        <f t="shared" ca="1" si="351"/>
        <v>Family Type: Curtain Wall_Bespoke 1 - 1979.5 x 3800, Family: Window External Type 5 - Flush Instance Width</v>
      </c>
      <c r="F1804" t="str">
        <f t="shared" ca="1" si="352"/>
        <v>Vector(X = -0.956, Y = 0.294, Z = 0.000, Length = 1.000)</v>
      </c>
      <c r="G1804">
        <f t="shared" ca="1" si="343"/>
        <v>-1</v>
      </c>
      <c r="H1804">
        <f t="shared" ca="1" si="344"/>
        <v>0.3</v>
      </c>
      <c r="I1804">
        <f t="shared" ca="1" si="345"/>
        <v>0</v>
      </c>
      <c r="J1804" s="8">
        <f t="shared" ca="1" si="346"/>
        <v>163.30075576600638</v>
      </c>
      <c r="K1804" s="9" t="str">
        <f t="shared" ca="1" si="347"/>
        <v>WN</v>
      </c>
      <c r="L1804">
        <f ca="1">+_xlfn.IFNA(VLOOKUP(M1804,BespokeWindowsAreas!$B$2:$E$1999,4,FALSE),VLOOKUP(E1804,WindowTypeArea!$B$2:$C$113,2,FALSE))</f>
        <v>7.9950000000000001</v>
      </c>
      <c r="M1804">
        <f t="shared" ca="1" si="348"/>
        <v>4915176</v>
      </c>
    </row>
    <row r="1805" spans="1:13" x14ac:dyDescent="0.25">
      <c r="A1805">
        <f t="shared" ca="1" si="341"/>
        <v>5</v>
      </c>
      <c r="B1805">
        <f t="shared" ca="1" si="342"/>
        <v>86</v>
      </c>
      <c r="C1805" t="str">
        <f t="shared" ca="1" si="349"/>
        <v>'WINDOWS-NCH-A-BDP-M3-03-00'!B85</v>
      </c>
      <c r="D1805" s="6" t="str">
        <f t="shared" ca="1" si="350"/>
        <v>L03-PHA-PHA-S115-02</v>
      </c>
      <c r="E1805" t="str">
        <f t="shared" ca="1" si="351"/>
        <v>Family Type: Curtain Wall_Bespoke 1 - 1979.5 x 3800, Family: Window External Type 5 - Flush Instance Width</v>
      </c>
      <c r="F1805" t="str">
        <f t="shared" ca="1" si="352"/>
        <v>Vector(X = -0.956, Y = 0.294, Z = 0.000, Length = 1.000)</v>
      </c>
      <c r="G1805">
        <f t="shared" ca="1" si="343"/>
        <v>-1</v>
      </c>
      <c r="H1805">
        <f t="shared" ca="1" si="344"/>
        <v>0.3</v>
      </c>
      <c r="I1805">
        <f t="shared" ca="1" si="345"/>
        <v>0</v>
      </c>
      <c r="J1805" s="8">
        <f t="shared" ca="1" si="346"/>
        <v>163.30075576600638</v>
      </c>
      <c r="K1805" s="9" t="str">
        <f t="shared" ca="1" si="347"/>
        <v>WN</v>
      </c>
      <c r="L1805">
        <f ca="1">+_xlfn.IFNA(VLOOKUP(M1805,BespokeWindowsAreas!$B$2:$E$1999,4,FALSE),VLOOKUP(E1805,WindowTypeArea!$B$2:$C$113,2,FALSE))</f>
        <v>7.9950000000000001</v>
      </c>
      <c r="M1805">
        <f t="shared" ca="1" si="348"/>
        <v>4915177</v>
      </c>
    </row>
    <row r="1806" spans="1:13" x14ac:dyDescent="0.25">
      <c r="A1806">
        <f t="shared" ca="1" si="341"/>
        <v>5</v>
      </c>
      <c r="B1806">
        <f t="shared" ca="1" si="342"/>
        <v>87</v>
      </c>
      <c r="C1806" t="str">
        <f t="shared" ca="1" si="349"/>
        <v>'WINDOWS-NCH-A-BDP-M3-03-00'!B86</v>
      </c>
      <c r="D1806" s="6" t="str">
        <f t="shared" ca="1" si="350"/>
        <v>L03-PHA-PHA-S115-02</v>
      </c>
      <c r="E1806" t="str">
        <f t="shared" ca="1" si="351"/>
        <v>Family Type: Curtain Wall_975x1950x4100, Family: Window External Type 5 - Flush Corner 5</v>
      </c>
      <c r="F1806" t="str">
        <f t="shared" ca="1" si="352"/>
        <v>Vector(X = -0.212, Y = 0.977, Z = 0.000, Length = 1.000)</v>
      </c>
      <c r="G1806">
        <f t="shared" ca="1" si="343"/>
        <v>-0.2</v>
      </c>
      <c r="H1806">
        <f t="shared" ca="1" si="344"/>
        <v>1</v>
      </c>
      <c r="I1806">
        <f t="shared" ca="1" si="345"/>
        <v>0</v>
      </c>
      <c r="J1806" s="8">
        <f t="shared" ca="1" si="346"/>
        <v>101.3099324740202</v>
      </c>
      <c r="K1806" s="9" t="str">
        <f t="shared" ca="1" si="347"/>
        <v>N</v>
      </c>
      <c r="L1806">
        <f ca="1">+_xlfn.IFNA(VLOOKUP(M1806,BespokeWindowsAreas!$B$2:$E$1999,4,FALSE),VLOOKUP(E1806,WindowTypeArea!$B$2:$C$113,2,FALSE))</f>
        <v>0</v>
      </c>
      <c r="M1806">
        <f t="shared" ca="1" si="348"/>
        <v>4926055</v>
      </c>
    </row>
    <row r="1807" spans="1:13" x14ac:dyDescent="0.25">
      <c r="A1807">
        <f t="shared" ca="1" si="341"/>
        <v>5</v>
      </c>
      <c r="B1807">
        <f t="shared" ca="1" si="342"/>
        <v>88</v>
      </c>
      <c r="C1807" t="str">
        <f t="shared" ca="1" si="349"/>
        <v>'WINDOWS-NCH-A-BDP-M3-03-00'!B87</v>
      </c>
      <c r="D1807" s="6" t="str">
        <f t="shared" ca="1" si="350"/>
        <v>L03-PHA-PHA-S115-02</v>
      </c>
      <c r="E1807" t="str">
        <f t="shared" ca="1" si="351"/>
        <v>Family Type: Curtain Wall_1950w x 3800h, Family: Window External Type 5 - Flush</v>
      </c>
      <c r="F1807" t="str">
        <f t="shared" ca="1" si="352"/>
        <v>Vector(X = 0.212, Y = -0.977, Z = 0.000, Length = 1.000)</v>
      </c>
      <c r="G1807">
        <f t="shared" ca="1" si="343"/>
        <v>0.2</v>
      </c>
      <c r="H1807">
        <f t="shared" ca="1" si="344"/>
        <v>-1</v>
      </c>
      <c r="I1807">
        <f t="shared" ca="1" si="345"/>
        <v>0</v>
      </c>
      <c r="J1807" s="8">
        <f t="shared" ca="1" si="346"/>
        <v>-78.690067525979785</v>
      </c>
      <c r="K1807" s="9" t="str">
        <f t="shared" ca="1" si="347"/>
        <v>S</v>
      </c>
      <c r="L1807">
        <f ca="1">+_xlfn.IFNA(VLOOKUP(M1807,BespokeWindowsAreas!$B$2:$E$1999,4,FALSE),VLOOKUP(E1807,WindowTypeArea!$B$2:$C$113,2,FALSE))</f>
        <v>7.9950000000000001</v>
      </c>
      <c r="M1807">
        <f t="shared" ca="1" si="348"/>
        <v>4926058</v>
      </c>
    </row>
    <row r="1808" spans="1:13" x14ac:dyDescent="0.25">
      <c r="A1808">
        <f t="shared" ca="1" si="341"/>
        <v>5</v>
      </c>
      <c r="B1808">
        <f t="shared" ca="1" si="342"/>
        <v>89</v>
      </c>
      <c r="C1808" t="str">
        <f t="shared" ca="1" si="349"/>
        <v>'WINDOWS-NCH-A-BDP-M3-03-00'!B88</v>
      </c>
      <c r="D1808" s="6" t="str">
        <f t="shared" ca="1" si="350"/>
        <v>L03-PHA-PHA-S115-02</v>
      </c>
      <c r="E1808" t="str">
        <f t="shared" ca="1" si="351"/>
        <v>Family Type: Curtain Wall_1950w x 3800h, Family: Window External Type 5 - Flush</v>
      </c>
      <c r="F1808" t="str">
        <f t="shared" ca="1" si="352"/>
        <v>Vector(X = 0.212, Y = -0.977, Z = 0.000, Length = 1.000)</v>
      </c>
      <c r="G1808">
        <f t="shared" ca="1" si="343"/>
        <v>0.2</v>
      </c>
      <c r="H1808">
        <f t="shared" ca="1" si="344"/>
        <v>-1</v>
      </c>
      <c r="I1808">
        <f t="shared" ca="1" si="345"/>
        <v>0</v>
      </c>
      <c r="J1808" s="8">
        <f t="shared" ca="1" si="346"/>
        <v>-78.690067525979785</v>
      </c>
      <c r="K1808" s="9" t="str">
        <f t="shared" ca="1" si="347"/>
        <v>S</v>
      </c>
      <c r="L1808">
        <f ca="1">+_xlfn.IFNA(VLOOKUP(M1808,BespokeWindowsAreas!$B$2:$E$1999,4,FALSE),VLOOKUP(E1808,WindowTypeArea!$B$2:$C$113,2,FALSE))</f>
        <v>7.9950000000000001</v>
      </c>
      <c r="M1808">
        <f t="shared" ca="1" si="348"/>
        <v>4926059</v>
      </c>
    </row>
    <row r="1809" spans="1:13" x14ac:dyDescent="0.25">
      <c r="A1809">
        <f t="shared" ca="1" si="341"/>
        <v>5</v>
      </c>
      <c r="B1809">
        <f t="shared" ca="1" si="342"/>
        <v>90</v>
      </c>
      <c r="C1809" t="str">
        <f t="shared" ca="1" si="349"/>
        <v>'WINDOWS-NCH-A-BDP-M3-03-00'!B89</v>
      </c>
      <c r="D1809" s="6" t="str">
        <f t="shared" ca="1" si="350"/>
        <v>L03-PHA-PHA-S115-02</v>
      </c>
      <c r="E1809" t="str">
        <f t="shared" ca="1" si="351"/>
        <v>Family Type: Curtain Wall_1950w x 3800h, Family: Window External Type 5 - Flush</v>
      </c>
      <c r="F1809" t="str">
        <f t="shared" ca="1" si="352"/>
        <v>Vector(X = 0.212, Y = -0.977, Z = 0.000, Length = 1.000)</v>
      </c>
      <c r="G1809">
        <f t="shared" ca="1" si="343"/>
        <v>0.2</v>
      </c>
      <c r="H1809">
        <f t="shared" ca="1" si="344"/>
        <v>-1</v>
      </c>
      <c r="I1809">
        <f t="shared" ca="1" si="345"/>
        <v>0</v>
      </c>
      <c r="J1809" s="8">
        <f t="shared" ca="1" si="346"/>
        <v>-78.690067525979785</v>
      </c>
      <c r="K1809" s="9" t="str">
        <f t="shared" ca="1" si="347"/>
        <v>S</v>
      </c>
      <c r="L1809">
        <f ca="1">+_xlfn.IFNA(VLOOKUP(M1809,BespokeWindowsAreas!$B$2:$E$1999,4,FALSE),VLOOKUP(E1809,WindowTypeArea!$B$2:$C$113,2,FALSE))</f>
        <v>7.9950000000000001</v>
      </c>
      <c r="M1809">
        <f t="shared" ca="1" si="348"/>
        <v>4926060</v>
      </c>
    </row>
    <row r="1810" spans="1:13" x14ac:dyDescent="0.25">
      <c r="A1810">
        <f t="shared" ca="1" si="341"/>
        <v>5</v>
      </c>
      <c r="B1810">
        <f t="shared" ca="1" si="342"/>
        <v>91</v>
      </c>
      <c r="C1810" t="str">
        <f t="shared" ca="1" si="349"/>
        <v>'WINDOWS-NCH-A-BDP-M3-03-00'!B90</v>
      </c>
      <c r="D1810" s="6" t="str">
        <f t="shared" ca="1" si="350"/>
        <v>L03-PHA-PHA-S115-02</v>
      </c>
      <c r="E1810" t="str">
        <f t="shared" ca="1" si="351"/>
        <v>Family Type: Curtain Wall_975w x 3800h, Family: Window External Type 5 - Flush</v>
      </c>
      <c r="F1810" t="str">
        <f t="shared" ca="1" si="352"/>
        <v>Vector(X = -0.962, Y = 0.271, Z = 0.000, Length = 1.000)</v>
      </c>
      <c r="G1810">
        <f t="shared" ca="1" si="343"/>
        <v>-1</v>
      </c>
      <c r="H1810">
        <f t="shared" ca="1" si="344"/>
        <v>0.3</v>
      </c>
      <c r="I1810">
        <f t="shared" ca="1" si="345"/>
        <v>0</v>
      </c>
      <c r="J1810" s="8">
        <f t="shared" ca="1" si="346"/>
        <v>163.30075576600638</v>
      </c>
      <c r="K1810" s="9" t="str">
        <f t="shared" ca="1" si="347"/>
        <v>WN</v>
      </c>
      <c r="L1810">
        <f ca="1">+_xlfn.IFNA(VLOOKUP(M1810,BespokeWindowsAreas!$B$2:$E$1999,4,FALSE),VLOOKUP(E1810,WindowTypeArea!$B$2:$C$113,2,FALSE))</f>
        <v>3.9975000000000001</v>
      </c>
      <c r="M1810">
        <f t="shared" ca="1" si="348"/>
        <v>4926061</v>
      </c>
    </row>
    <row r="1811" spans="1:13" x14ac:dyDescent="0.25">
      <c r="A1811">
        <f t="shared" ca="1" si="341"/>
        <v>5</v>
      </c>
      <c r="B1811">
        <f t="shared" ca="1" si="342"/>
        <v>92</v>
      </c>
      <c r="C1811" t="str">
        <f t="shared" ca="1" si="349"/>
        <v>'WINDOWS-NCH-A-BDP-M3-03-00'!B91</v>
      </c>
      <c r="D1811" s="6" t="str">
        <f t="shared" ca="1" si="350"/>
        <v>L03-PHA-PHA-S115-02</v>
      </c>
      <c r="E1811" t="str">
        <f t="shared" ca="1" si="351"/>
        <v>Family Type: Curtain Wall_975w x 3800h, Family: Window External Type 5 - Flush</v>
      </c>
      <c r="F1811" t="str">
        <f t="shared" ca="1" si="352"/>
        <v>Vector(X = -0.962, Y = 0.271, Z = 0.000, Length = 1.000)</v>
      </c>
      <c r="G1811">
        <f t="shared" ca="1" si="343"/>
        <v>-1</v>
      </c>
      <c r="H1811">
        <f t="shared" ca="1" si="344"/>
        <v>0.3</v>
      </c>
      <c r="I1811">
        <f t="shared" ca="1" si="345"/>
        <v>0</v>
      </c>
      <c r="J1811" s="8">
        <f t="shared" ca="1" si="346"/>
        <v>163.30075576600638</v>
      </c>
      <c r="K1811" s="9" t="str">
        <f t="shared" ca="1" si="347"/>
        <v>WN</v>
      </c>
      <c r="L1811">
        <f ca="1">+_xlfn.IFNA(VLOOKUP(M1811,BespokeWindowsAreas!$B$2:$E$1999,4,FALSE),VLOOKUP(E1811,WindowTypeArea!$B$2:$C$113,2,FALSE))</f>
        <v>3.9975000000000001</v>
      </c>
      <c r="M1811">
        <f t="shared" ca="1" si="348"/>
        <v>4926062</v>
      </c>
    </row>
    <row r="1812" spans="1:13" x14ac:dyDescent="0.25">
      <c r="A1812">
        <f t="shared" ref="A1812:A1875" ca="1" si="353">+IF(B1811&lt;=VLOOKUP(MID(C1812,2,26),TABS,2,FALSE),A1811,+A1811+1)</f>
        <v>5</v>
      </c>
      <c r="B1812">
        <f t="shared" ref="B1812:B1875" ca="1" si="354">+IF(B1811&lt;=VLOOKUP(MID(C1812,2,26),TABS,2,FALSE),B1811+1,1)</f>
        <v>93</v>
      </c>
      <c r="C1812" t="str">
        <f t="shared" ca="1" si="349"/>
        <v>'WINDOWS-NCH-A-BDP-M3-03-00'!B92</v>
      </c>
      <c r="D1812" s="6" t="str">
        <f t="shared" ca="1" si="350"/>
        <v>L03-PHA-PHA-S115-02</v>
      </c>
      <c r="E1812" t="str">
        <f t="shared" ca="1" si="351"/>
        <v>Family Type: Curtain Wall_975w x 3800h, Family: Window External Type 5 - Flush</v>
      </c>
      <c r="F1812" t="str">
        <f t="shared" ca="1" si="352"/>
        <v>Vector(X = -0.962, Y = 0.271, Z = 0.000, Length = 1.000)</v>
      </c>
      <c r="G1812">
        <f t="shared" ca="1" si="343"/>
        <v>-1</v>
      </c>
      <c r="H1812">
        <f t="shared" ca="1" si="344"/>
        <v>0.3</v>
      </c>
      <c r="I1812">
        <f t="shared" ca="1" si="345"/>
        <v>0</v>
      </c>
      <c r="J1812" s="8">
        <f t="shared" ca="1" si="346"/>
        <v>163.30075576600638</v>
      </c>
      <c r="K1812" s="9" t="str">
        <f t="shared" ca="1" si="347"/>
        <v>WN</v>
      </c>
      <c r="L1812">
        <f ca="1">+_xlfn.IFNA(VLOOKUP(M1812,BespokeWindowsAreas!$B$2:$E$1999,4,FALSE),VLOOKUP(E1812,WindowTypeArea!$B$2:$C$113,2,FALSE))</f>
        <v>3.9975000000000001</v>
      </c>
      <c r="M1812">
        <f t="shared" ca="1" si="348"/>
        <v>4926063</v>
      </c>
    </row>
    <row r="1813" spans="1:13" x14ac:dyDescent="0.25">
      <c r="A1813">
        <f t="shared" ca="1" si="353"/>
        <v>5</v>
      </c>
      <c r="B1813">
        <f t="shared" ca="1" si="354"/>
        <v>94</v>
      </c>
      <c r="C1813" t="str">
        <f t="shared" ca="1" si="349"/>
        <v>'WINDOWS-NCH-A-BDP-M3-03-00'!B93</v>
      </c>
      <c r="D1813" s="6" t="str">
        <f t="shared" ca="1" si="350"/>
        <v>L03-PHA-PHA-S115-02</v>
      </c>
      <c r="E1813" t="str">
        <f t="shared" ca="1" si="351"/>
        <v>Family Type: Curtain Wall_1950w x 3800h, Family: Window External Type 5 - Flush</v>
      </c>
      <c r="F1813" t="str">
        <f t="shared" ca="1" si="352"/>
        <v>Vector(X = -0.962, Y = 0.271, Z = 0.000, Length = 1.000)</v>
      </c>
      <c r="G1813">
        <f t="shared" ca="1" si="343"/>
        <v>-1</v>
      </c>
      <c r="H1813">
        <f t="shared" ca="1" si="344"/>
        <v>0.3</v>
      </c>
      <c r="I1813">
        <f t="shared" ca="1" si="345"/>
        <v>0</v>
      </c>
      <c r="J1813" s="8">
        <f t="shared" ca="1" si="346"/>
        <v>163.30075576600638</v>
      </c>
      <c r="K1813" s="9" t="str">
        <f t="shared" ca="1" si="347"/>
        <v>WN</v>
      </c>
      <c r="L1813">
        <f ca="1">+_xlfn.IFNA(VLOOKUP(M1813,BespokeWindowsAreas!$B$2:$E$1999,4,FALSE),VLOOKUP(E1813,WindowTypeArea!$B$2:$C$113,2,FALSE))</f>
        <v>7.9950000000000001</v>
      </c>
      <c r="M1813">
        <f t="shared" ca="1" si="348"/>
        <v>4926064</v>
      </c>
    </row>
    <row r="1814" spans="1:13" x14ac:dyDescent="0.25">
      <c r="A1814">
        <f t="shared" ca="1" si="353"/>
        <v>5</v>
      </c>
      <c r="B1814">
        <f t="shared" ca="1" si="354"/>
        <v>95</v>
      </c>
      <c r="C1814" t="str">
        <f t="shared" ca="1" si="349"/>
        <v>'WINDOWS-NCH-A-BDP-M3-03-00'!B94</v>
      </c>
      <c r="D1814" s="6" t="str">
        <f t="shared" ca="1" si="350"/>
        <v>L03-PHA-PHA-S115-02</v>
      </c>
      <c r="E1814" t="str">
        <f t="shared" ca="1" si="351"/>
        <v>Family Type: Curtain Wall_975w x 3800h, Family: Window External Type 5 - Flush</v>
      </c>
      <c r="F1814" t="str">
        <f t="shared" ca="1" si="352"/>
        <v>Vector(X = -0.962, Y = 0.271, Z = 0.000, Length = 1.000)</v>
      </c>
      <c r="G1814">
        <f t="shared" ref="G1814:G1877" ca="1" si="355">+OFFSET(INDIRECT(C1814),0,2)</f>
        <v>-1</v>
      </c>
      <c r="H1814">
        <f t="shared" ref="H1814:H1877" ca="1" si="356">+OFFSET(INDIRECT(C1814),0,3)</f>
        <v>0.3</v>
      </c>
      <c r="I1814">
        <f t="shared" ref="I1814:I1877" ca="1" si="357">+OFFSET(INDIRECT(C1814),0,4)</f>
        <v>0</v>
      </c>
      <c r="J1814" s="8">
        <f t="shared" ref="J1814:J1877" ca="1" si="358">+DEGREES(ATAN2(G1814,H1814))</f>
        <v>163.30075576600638</v>
      </c>
      <c r="K1814" s="9" t="str">
        <f t="shared" ref="K1814:K1877" ca="1" si="359">VLOOKUP(J1814,$O$20:$P$36,2,-1)</f>
        <v>WN</v>
      </c>
      <c r="L1814">
        <f ca="1">+_xlfn.IFNA(VLOOKUP(M1814,BespokeWindowsAreas!$B$2:$E$1999,4,FALSE),VLOOKUP(E1814,WindowTypeArea!$B$2:$C$113,2,FALSE))</f>
        <v>3.9975000000000001</v>
      </c>
      <c r="M1814">
        <f t="shared" ref="M1814:M1877" ca="1" si="360">+OFFSET(INDIRECT(C1814),0,5)</f>
        <v>4926065</v>
      </c>
    </row>
    <row r="1815" spans="1:13" x14ac:dyDescent="0.25">
      <c r="A1815">
        <f t="shared" ca="1" si="353"/>
        <v>5</v>
      </c>
      <c r="B1815">
        <f t="shared" ca="1" si="354"/>
        <v>96</v>
      </c>
      <c r="C1815" t="str">
        <f t="shared" ca="1" si="349"/>
        <v>'WINDOWS-NCH-A-BDP-M3-03-00'!B95</v>
      </c>
      <c r="D1815" s="6" t="str">
        <f t="shared" ca="1" si="350"/>
        <v>L03-PHA-PHA-S115-02</v>
      </c>
      <c r="E1815" t="str">
        <f t="shared" ca="1" si="351"/>
        <v>Family Type: Curtain Wall_975w x 3800h, Family: Window External Type 5 - Flush</v>
      </c>
      <c r="F1815" t="str">
        <f t="shared" ca="1" si="352"/>
        <v>Vector(X = -0.962, Y = 0.271, Z = 0.000, Length = 1.000)</v>
      </c>
      <c r="G1815">
        <f t="shared" ca="1" si="355"/>
        <v>-1</v>
      </c>
      <c r="H1815">
        <f t="shared" ca="1" si="356"/>
        <v>0.3</v>
      </c>
      <c r="I1815">
        <f t="shared" ca="1" si="357"/>
        <v>0</v>
      </c>
      <c r="J1815" s="8">
        <f t="shared" ca="1" si="358"/>
        <v>163.30075576600638</v>
      </c>
      <c r="K1815" s="9" t="str">
        <f t="shared" ca="1" si="359"/>
        <v>WN</v>
      </c>
      <c r="L1815">
        <f ca="1">+_xlfn.IFNA(VLOOKUP(M1815,BespokeWindowsAreas!$B$2:$E$1999,4,FALSE),VLOOKUP(E1815,WindowTypeArea!$B$2:$C$113,2,FALSE))</f>
        <v>3.9975000000000001</v>
      </c>
      <c r="M1815">
        <f t="shared" ca="1" si="360"/>
        <v>4926066</v>
      </c>
    </row>
    <row r="1816" spans="1:13" x14ac:dyDescent="0.25">
      <c r="A1816">
        <f t="shared" ca="1" si="353"/>
        <v>5</v>
      </c>
      <c r="B1816">
        <f t="shared" ca="1" si="354"/>
        <v>97</v>
      </c>
      <c r="C1816" t="str">
        <f t="shared" ca="1" si="349"/>
        <v>'WINDOWS-NCH-A-BDP-M3-03-00'!B96</v>
      </c>
      <c r="D1816" s="6" t="str">
        <f t="shared" ca="1" si="350"/>
        <v>L03-PHA-PHA-S115-02</v>
      </c>
      <c r="E1816" t="str">
        <f t="shared" ca="1" si="351"/>
        <v>Family Type: Curtain Wall_975w x 3800h, Family: Window External Type 5 - Flush</v>
      </c>
      <c r="F1816" t="str">
        <f t="shared" ca="1" si="352"/>
        <v>Vector(X = -0.962, Y = 0.271, Z = 0.000, Length = 1.000)</v>
      </c>
      <c r="G1816">
        <f t="shared" ca="1" si="355"/>
        <v>-1</v>
      </c>
      <c r="H1816">
        <f t="shared" ca="1" si="356"/>
        <v>0.3</v>
      </c>
      <c r="I1816">
        <f t="shared" ca="1" si="357"/>
        <v>0</v>
      </c>
      <c r="J1816" s="8">
        <f t="shared" ca="1" si="358"/>
        <v>163.30075576600638</v>
      </c>
      <c r="K1816" s="9" t="str">
        <f t="shared" ca="1" si="359"/>
        <v>WN</v>
      </c>
      <c r="L1816">
        <f ca="1">+_xlfn.IFNA(VLOOKUP(M1816,BespokeWindowsAreas!$B$2:$E$1999,4,FALSE),VLOOKUP(E1816,WindowTypeArea!$B$2:$C$113,2,FALSE))</f>
        <v>3.9975000000000001</v>
      </c>
      <c r="M1816">
        <f t="shared" ca="1" si="360"/>
        <v>4926067</v>
      </c>
    </row>
    <row r="1817" spans="1:13" x14ac:dyDescent="0.25">
      <c r="A1817">
        <f t="shared" ca="1" si="353"/>
        <v>5</v>
      </c>
      <c r="B1817">
        <f t="shared" ca="1" si="354"/>
        <v>98</v>
      </c>
      <c r="C1817" t="str">
        <f t="shared" ca="1" si="349"/>
        <v>'WINDOWS-NCH-A-BDP-M3-03-00'!B97</v>
      </c>
      <c r="D1817" s="6" t="str">
        <f t="shared" ca="1" si="350"/>
        <v>L03-PHA-PHA-S115-02</v>
      </c>
      <c r="E1817" t="str">
        <f t="shared" ca="1" si="351"/>
        <v>Family Type: Curtain Wall_1950w x 3800h, Family: Window External Type 5 - Flush</v>
      </c>
      <c r="F1817" t="str">
        <f t="shared" ca="1" si="352"/>
        <v>Vector(X = -0.962, Y = 0.271, Z = 0.000, Length = 1.000)</v>
      </c>
      <c r="G1817">
        <f t="shared" ca="1" si="355"/>
        <v>-1</v>
      </c>
      <c r="H1817">
        <f t="shared" ca="1" si="356"/>
        <v>0.3</v>
      </c>
      <c r="I1817">
        <f t="shared" ca="1" si="357"/>
        <v>0</v>
      </c>
      <c r="J1817" s="8">
        <f t="shared" ca="1" si="358"/>
        <v>163.30075576600638</v>
      </c>
      <c r="K1817" s="9" t="str">
        <f t="shared" ca="1" si="359"/>
        <v>WN</v>
      </c>
      <c r="L1817">
        <f ca="1">+_xlfn.IFNA(VLOOKUP(M1817,BespokeWindowsAreas!$B$2:$E$1999,4,FALSE),VLOOKUP(E1817,WindowTypeArea!$B$2:$C$113,2,FALSE))</f>
        <v>7.9950000000000001</v>
      </c>
      <c r="M1817">
        <f t="shared" ca="1" si="360"/>
        <v>4926068</v>
      </c>
    </row>
    <row r="1818" spans="1:13" x14ac:dyDescent="0.25">
      <c r="A1818">
        <f t="shared" ca="1" si="353"/>
        <v>5</v>
      </c>
      <c r="B1818">
        <f t="shared" ca="1" si="354"/>
        <v>99</v>
      </c>
      <c r="C1818" t="str">
        <f t="shared" ca="1" si="349"/>
        <v>'WINDOWS-NCH-A-BDP-M3-03-00'!B98</v>
      </c>
      <c r="D1818" s="6" t="str">
        <f t="shared" ca="1" si="350"/>
        <v>L03-PHA-PHA-S115-02</v>
      </c>
      <c r="E1818" t="str">
        <f t="shared" ca="1" si="351"/>
        <v>Family Type: Curtain Wall_Bespoke 1 - 1979.5 x 3800, Family: Window External Type 5 - Flush Instance Width</v>
      </c>
      <c r="F1818" t="str">
        <f t="shared" ca="1" si="352"/>
        <v>Vector(X = -0.956, Y = 0.294, Z = 0.000, Length = 1.000)</v>
      </c>
      <c r="G1818">
        <f t="shared" ca="1" si="355"/>
        <v>-1</v>
      </c>
      <c r="H1818">
        <f t="shared" ca="1" si="356"/>
        <v>0.3</v>
      </c>
      <c r="I1818">
        <f t="shared" ca="1" si="357"/>
        <v>0</v>
      </c>
      <c r="J1818" s="8">
        <f t="shared" ca="1" si="358"/>
        <v>163.30075576600638</v>
      </c>
      <c r="K1818" s="9" t="str">
        <f t="shared" ca="1" si="359"/>
        <v>WN</v>
      </c>
      <c r="L1818">
        <f ca="1">+_xlfn.IFNA(VLOOKUP(M1818,BespokeWindowsAreas!$B$2:$E$1999,4,FALSE),VLOOKUP(E1818,WindowTypeArea!$B$2:$C$113,2,FALSE))</f>
        <v>5.0025740000000001</v>
      </c>
      <c r="M1818">
        <f t="shared" ca="1" si="360"/>
        <v>5142604</v>
      </c>
    </row>
    <row r="1819" spans="1:13" x14ac:dyDescent="0.25">
      <c r="A1819">
        <f t="shared" ca="1" si="353"/>
        <v>5</v>
      </c>
      <c r="B1819">
        <f t="shared" ca="1" si="354"/>
        <v>100</v>
      </c>
      <c r="C1819" t="str">
        <f t="shared" ca="1" si="349"/>
        <v>'WINDOWS-NCH-A-BDP-M3-03-00'!B99</v>
      </c>
      <c r="D1819" s="6" t="str">
        <f t="shared" ca="1" si="350"/>
        <v>L03-PHA-PHA-S115-02</v>
      </c>
      <c r="E1819" t="str">
        <f t="shared" ca="1" si="351"/>
        <v>Family Type: Curtain Wall_Bespoke 1 - 1979.5 x 3800, Family: Window External Type 5 - Flush Instance Width</v>
      </c>
      <c r="F1819" t="str">
        <f t="shared" ca="1" si="352"/>
        <v>Vector(X = -0.956, Y = 0.294, Z = 0.000, Length = 1.000)</v>
      </c>
      <c r="G1819">
        <f t="shared" ca="1" si="355"/>
        <v>-1</v>
      </c>
      <c r="H1819">
        <f t="shared" ca="1" si="356"/>
        <v>0.3</v>
      </c>
      <c r="I1819">
        <f t="shared" ca="1" si="357"/>
        <v>0</v>
      </c>
      <c r="J1819" s="8">
        <f t="shared" ca="1" si="358"/>
        <v>163.30075576600638</v>
      </c>
      <c r="K1819" s="9" t="str">
        <f t="shared" ca="1" si="359"/>
        <v>WN</v>
      </c>
      <c r="L1819">
        <f ca="1">+_xlfn.IFNA(VLOOKUP(M1819,BespokeWindowsAreas!$B$2:$E$1999,4,FALSE),VLOOKUP(E1819,WindowTypeArea!$B$2:$C$113,2,FALSE))</f>
        <v>1.95</v>
      </c>
      <c r="M1819">
        <f t="shared" ca="1" si="360"/>
        <v>5144169</v>
      </c>
    </row>
    <row r="1820" spans="1:13" x14ac:dyDescent="0.25">
      <c r="A1820">
        <f t="shared" ca="1" si="353"/>
        <v>5</v>
      </c>
      <c r="B1820">
        <f t="shared" ca="1" si="354"/>
        <v>101</v>
      </c>
      <c r="C1820" t="str">
        <f t="shared" ca="1" si="349"/>
        <v>'WINDOWS-NCH-A-BDP-M3-03-00'!B100</v>
      </c>
      <c r="D1820" s="6" t="str">
        <f t="shared" ca="1" si="350"/>
        <v>L03-PHA-PHA-S115-02</v>
      </c>
      <c r="E1820" t="str">
        <f t="shared" ca="1" si="351"/>
        <v>Family Type: Curtain Wall_Bespoke 1 - 1979.5 x 3800, Family: Window External Type 5 - Flush Instance Width</v>
      </c>
      <c r="F1820" t="str">
        <f t="shared" ca="1" si="352"/>
        <v>Vector(X = -0.956, Y = 0.294, Z = 0.000, Length = 1.000)</v>
      </c>
      <c r="G1820">
        <f t="shared" ca="1" si="355"/>
        <v>-1</v>
      </c>
      <c r="H1820">
        <f t="shared" ca="1" si="356"/>
        <v>0.3</v>
      </c>
      <c r="I1820">
        <f t="shared" ca="1" si="357"/>
        <v>0</v>
      </c>
      <c r="J1820" s="8">
        <f t="shared" ca="1" si="358"/>
        <v>163.30075576600638</v>
      </c>
      <c r="K1820" s="9" t="str">
        <f t="shared" ca="1" si="359"/>
        <v>WN</v>
      </c>
      <c r="L1820">
        <f ca="1">+_xlfn.IFNA(VLOOKUP(M1820,BespokeWindowsAreas!$B$2:$E$1999,4,FALSE),VLOOKUP(E1820,WindowTypeArea!$B$2:$C$113,2,FALSE))</f>
        <v>1.95</v>
      </c>
      <c r="M1820">
        <f t="shared" ca="1" si="360"/>
        <v>5144170</v>
      </c>
    </row>
    <row r="1821" spans="1:13" x14ac:dyDescent="0.25">
      <c r="A1821">
        <f t="shared" ca="1" si="353"/>
        <v>5</v>
      </c>
      <c r="B1821">
        <f t="shared" ca="1" si="354"/>
        <v>102</v>
      </c>
      <c r="C1821" t="str">
        <f t="shared" ca="1" si="349"/>
        <v>'WINDOWS-NCH-A-BDP-M3-03-00'!B101</v>
      </c>
      <c r="D1821" s="6" t="str">
        <f t="shared" ca="1" si="350"/>
        <v>L03-PHA-PHA-S115-02</v>
      </c>
      <c r="E1821" t="str">
        <f t="shared" ca="1" si="351"/>
        <v>Family Type: Curtain Wall_Bespoke 1 - 1979.5 x 3800, Family: Window External Type 5 - Flush Instance Width</v>
      </c>
      <c r="F1821" t="str">
        <f t="shared" ca="1" si="352"/>
        <v>Vector(X = -0.956, Y = 0.294, Z = 0.000, Length = 1.000)</v>
      </c>
      <c r="G1821">
        <f t="shared" ca="1" si="355"/>
        <v>-1</v>
      </c>
      <c r="H1821">
        <f t="shared" ca="1" si="356"/>
        <v>0.3</v>
      </c>
      <c r="I1821">
        <f t="shared" ca="1" si="357"/>
        <v>0</v>
      </c>
      <c r="J1821" s="8">
        <f t="shared" ca="1" si="358"/>
        <v>163.30075576600638</v>
      </c>
      <c r="K1821" s="9" t="str">
        <f t="shared" ca="1" si="359"/>
        <v>WN</v>
      </c>
      <c r="L1821">
        <f ca="1">+_xlfn.IFNA(VLOOKUP(M1821,BespokeWindowsAreas!$B$2:$E$1999,4,FALSE),VLOOKUP(E1821,WindowTypeArea!$B$2:$C$113,2,FALSE))</f>
        <v>1.95</v>
      </c>
      <c r="M1821">
        <f t="shared" ca="1" si="360"/>
        <v>5144171</v>
      </c>
    </row>
    <row r="1822" spans="1:13" x14ac:dyDescent="0.25">
      <c r="A1822">
        <f t="shared" ca="1" si="353"/>
        <v>5</v>
      </c>
      <c r="B1822">
        <f t="shared" ca="1" si="354"/>
        <v>103</v>
      </c>
      <c r="C1822" t="str">
        <f t="shared" ca="1" si="349"/>
        <v>'WINDOWS-NCH-A-BDP-M3-03-00'!B102</v>
      </c>
      <c r="D1822" s="6" t="str">
        <f t="shared" ca="1" si="350"/>
        <v>L03-PHA-PHA-S115-02</v>
      </c>
      <c r="E1822" t="str">
        <f t="shared" ca="1" si="351"/>
        <v>Family Type: Curtain Wall_Bespoke 1 - 1979.5 x 3800, Family: Window External Type 5 - Flush Instance Width</v>
      </c>
      <c r="F1822" t="str">
        <f t="shared" ca="1" si="352"/>
        <v>Vector(X = -0.956, Y = 0.294, Z = 0.000, Length = 1.000)</v>
      </c>
      <c r="G1822">
        <f t="shared" ca="1" si="355"/>
        <v>-1</v>
      </c>
      <c r="H1822">
        <f t="shared" ca="1" si="356"/>
        <v>0.3</v>
      </c>
      <c r="I1822">
        <f t="shared" ca="1" si="357"/>
        <v>0</v>
      </c>
      <c r="J1822" s="8">
        <f t="shared" ca="1" si="358"/>
        <v>163.30075576600638</v>
      </c>
      <c r="K1822" s="9" t="str">
        <f t="shared" ca="1" si="359"/>
        <v>WN</v>
      </c>
      <c r="L1822">
        <f ca="1">+_xlfn.IFNA(VLOOKUP(M1822,BespokeWindowsAreas!$B$2:$E$1999,4,FALSE),VLOOKUP(E1822,WindowTypeArea!$B$2:$C$113,2,FALSE))</f>
        <v>1.22014</v>
      </c>
      <c r="M1822">
        <f t="shared" ca="1" si="360"/>
        <v>5144217</v>
      </c>
    </row>
    <row r="1823" spans="1:13" x14ac:dyDescent="0.25">
      <c r="A1823">
        <f t="shared" ca="1" si="353"/>
        <v>5</v>
      </c>
      <c r="B1823">
        <f t="shared" ca="1" si="354"/>
        <v>104</v>
      </c>
      <c r="C1823" t="str">
        <f t="shared" ca="1" si="349"/>
        <v>'WINDOWS-NCH-A-BDP-M3-03-00'!B103</v>
      </c>
      <c r="D1823" s="6" t="str">
        <f t="shared" ca="1" si="350"/>
        <v>L03-PHA-PHA-S062-01</v>
      </c>
      <c r="E1823" t="str">
        <f t="shared" ca="1" si="351"/>
        <v>L03-PHA-PHA-S062-01</v>
      </c>
      <c r="F1823">
        <f t="shared" ca="1" si="352"/>
        <v>1296205</v>
      </c>
      <c r="G1823">
        <f t="shared" ca="1" si="355"/>
        <v>0</v>
      </c>
      <c r="H1823">
        <f t="shared" ca="1" si="356"/>
        <v>0</v>
      </c>
      <c r="I1823">
        <f t="shared" ca="1" si="357"/>
        <v>0</v>
      </c>
      <c r="J1823" s="8" t="e">
        <f t="shared" ca="1" si="358"/>
        <v>#DIV/0!</v>
      </c>
      <c r="K1823" s="9" t="e">
        <f t="shared" ca="1" si="359"/>
        <v>#DIV/0!</v>
      </c>
      <c r="L1823" t="e">
        <f ca="1">+_xlfn.IFNA(VLOOKUP(M1823,BespokeWindowsAreas!$B$2:$E$1999,4,FALSE),VLOOKUP(E1823,WindowTypeArea!$B$2:$C$113,2,FALSE))</f>
        <v>#N/A</v>
      </c>
      <c r="M1823">
        <f t="shared" ca="1" si="360"/>
        <v>0</v>
      </c>
    </row>
    <row r="1824" spans="1:13" x14ac:dyDescent="0.25">
      <c r="A1824">
        <f t="shared" ca="1" si="353"/>
        <v>5</v>
      </c>
      <c r="B1824">
        <f t="shared" ca="1" si="354"/>
        <v>105</v>
      </c>
      <c r="C1824" t="str">
        <f t="shared" ca="1" si="349"/>
        <v>'WINDOWS-NCH-A-BDP-M3-03-00'!B104</v>
      </c>
      <c r="D1824" s="6" t="str">
        <f t="shared" ca="1" si="350"/>
        <v>L03-PHA-PHA-S062-01</v>
      </c>
      <c r="E1824" t="str">
        <f t="shared" ca="1" si="351"/>
        <v>Family Type: Curtain Wall_975w x 3800h, Family: Window External Type 5 - Flush</v>
      </c>
      <c r="F1824" t="str">
        <f t="shared" ca="1" si="352"/>
        <v>Vector(X = -0.212, Y = 0.977, Z = 0.000, Length = 1.000)</v>
      </c>
      <c r="G1824">
        <f t="shared" ca="1" si="355"/>
        <v>-0.2</v>
      </c>
      <c r="H1824">
        <f t="shared" ca="1" si="356"/>
        <v>1</v>
      </c>
      <c r="I1824">
        <f t="shared" ca="1" si="357"/>
        <v>0</v>
      </c>
      <c r="J1824" s="8">
        <f t="shared" ca="1" si="358"/>
        <v>101.3099324740202</v>
      </c>
      <c r="K1824" s="9" t="str">
        <f t="shared" ca="1" si="359"/>
        <v>N</v>
      </c>
      <c r="L1824">
        <f ca="1">+_xlfn.IFNA(VLOOKUP(M1824,BespokeWindowsAreas!$B$2:$E$1999,4,FALSE),VLOOKUP(E1824,WindowTypeArea!$B$2:$C$113,2,FALSE))</f>
        <v>3.9975000000000001</v>
      </c>
      <c r="M1824">
        <f t="shared" ca="1" si="360"/>
        <v>4940802</v>
      </c>
    </row>
    <row r="1825" spans="1:13" x14ac:dyDescent="0.25">
      <c r="A1825">
        <f t="shared" ca="1" si="353"/>
        <v>5</v>
      </c>
      <c r="B1825">
        <f t="shared" ca="1" si="354"/>
        <v>106</v>
      </c>
      <c r="C1825" t="str">
        <f t="shared" ca="1" si="349"/>
        <v>'WINDOWS-NCH-A-BDP-M3-03-00'!B105</v>
      </c>
      <c r="D1825" s="6" t="str">
        <f t="shared" ca="1" si="350"/>
        <v>L03-PHA-PHA-S062-01</v>
      </c>
      <c r="E1825" t="str">
        <f t="shared" ca="1" si="351"/>
        <v>Family Type: Curtain Wall_975w x 3800h, Family: Window External Type 5 - Flush</v>
      </c>
      <c r="F1825" t="str">
        <f t="shared" ca="1" si="352"/>
        <v>Vector(X = -0.212, Y = 0.977, Z = 0.000, Length = 1.000)</v>
      </c>
      <c r="G1825">
        <f t="shared" ca="1" si="355"/>
        <v>-0.2</v>
      </c>
      <c r="H1825">
        <f t="shared" ca="1" si="356"/>
        <v>1</v>
      </c>
      <c r="I1825">
        <f t="shared" ca="1" si="357"/>
        <v>0</v>
      </c>
      <c r="J1825" s="8">
        <f t="shared" ca="1" si="358"/>
        <v>101.3099324740202</v>
      </c>
      <c r="K1825" s="9" t="str">
        <f t="shared" ca="1" si="359"/>
        <v>N</v>
      </c>
      <c r="L1825">
        <f ca="1">+_xlfn.IFNA(VLOOKUP(M1825,BespokeWindowsAreas!$B$2:$E$1999,4,FALSE),VLOOKUP(E1825,WindowTypeArea!$B$2:$C$113,2,FALSE))</f>
        <v>3.9975000000000001</v>
      </c>
      <c r="M1825">
        <f t="shared" ca="1" si="360"/>
        <v>4940803</v>
      </c>
    </row>
    <row r="1826" spans="1:13" x14ac:dyDescent="0.25">
      <c r="A1826">
        <f t="shared" ca="1" si="353"/>
        <v>5</v>
      </c>
      <c r="B1826">
        <f t="shared" ca="1" si="354"/>
        <v>107</v>
      </c>
      <c r="C1826" t="str">
        <f t="shared" ca="1" si="349"/>
        <v>'WINDOWS-NCH-A-BDP-M3-03-00'!B106</v>
      </c>
      <c r="D1826" s="6" t="str">
        <f t="shared" ca="1" si="350"/>
        <v>L03-PHA-PHA-S062-01</v>
      </c>
      <c r="E1826" t="str">
        <f t="shared" ca="1" si="351"/>
        <v>Family Type: Curtain Wall_1950w x 3800h, Family: Window External Type 5 - Flush</v>
      </c>
      <c r="F1826" t="str">
        <f t="shared" ca="1" si="352"/>
        <v>Vector(X = -0.212, Y = 0.977, Z = 0.000, Length = 1.000)</v>
      </c>
      <c r="G1826">
        <f t="shared" ca="1" si="355"/>
        <v>-0.2</v>
      </c>
      <c r="H1826">
        <f t="shared" ca="1" si="356"/>
        <v>1</v>
      </c>
      <c r="I1826">
        <f t="shared" ca="1" si="357"/>
        <v>0</v>
      </c>
      <c r="J1826" s="8">
        <f t="shared" ca="1" si="358"/>
        <v>101.3099324740202</v>
      </c>
      <c r="K1826" s="9" t="str">
        <f t="shared" ca="1" si="359"/>
        <v>N</v>
      </c>
      <c r="L1826">
        <f ca="1">+_xlfn.IFNA(VLOOKUP(M1826,BespokeWindowsAreas!$B$2:$E$1999,4,FALSE),VLOOKUP(E1826,WindowTypeArea!$B$2:$C$113,2,FALSE))</f>
        <v>7.9950000000000001</v>
      </c>
      <c r="M1826">
        <f t="shared" ca="1" si="360"/>
        <v>4940804</v>
      </c>
    </row>
    <row r="1827" spans="1:13" x14ac:dyDescent="0.25">
      <c r="A1827">
        <f t="shared" ca="1" si="353"/>
        <v>5</v>
      </c>
      <c r="B1827">
        <f t="shared" ca="1" si="354"/>
        <v>108</v>
      </c>
      <c r="C1827" t="str">
        <f t="shared" ca="1" si="349"/>
        <v>'WINDOWS-NCH-A-BDP-M3-03-00'!B107</v>
      </c>
      <c r="D1827" s="6" t="str">
        <f t="shared" ca="1" si="350"/>
        <v>L03-PHA-PHA-U0611-01</v>
      </c>
      <c r="E1827" t="str">
        <f t="shared" ca="1" si="351"/>
        <v>L03-PHA-PHA-U0611-01</v>
      </c>
      <c r="F1827">
        <f t="shared" ca="1" si="352"/>
        <v>1296207</v>
      </c>
      <c r="G1827">
        <f t="shared" ca="1" si="355"/>
        <v>0</v>
      </c>
      <c r="H1827">
        <f t="shared" ca="1" si="356"/>
        <v>0</v>
      </c>
      <c r="I1827">
        <f t="shared" ca="1" si="357"/>
        <v>0</v>
      </c>
      <c r="J1827" s="8" t="e">
        <f t="shared" ca="1" si="358"/>
        <v>#DIV/0!</v>
      </c>
      <c r="K1827" s="9" t="e">
        <f t="shared" ca="1" si="359"/>
        <v>#DIV/0!</v>
      </c>
      <c r="L1827" t="e">
        <f ca="1">+_xlfn.IFNA(VLOOKUP(M1827,BespokeWindowsAreas!$B$2:$E$1999,4,FALSE),VLOOKUP(E1827,WindowTypeArea!$B$2:$C$113,2,FALSE))</f>
        <v>#N/A</v>
      </c>
      <c r="M1827">
        <f t="shared" ca="1" si="360"/>
        <v>0</v>
      </c>
    </row>
    <row r="1828" spans="1:13" x14ac:dyDescent="0.25">
      <c r="A1828">
        <f t="shared" ca="1" si="353"/>
        <v>5</v>
      </c>
      <c r="B1828">
        <f t="shared" ca="1" si="354"/>
        <v>109</v>
      </c>
      <c r="C1828" t="str">
        <f t="shared" ca="1" si="349"/>
        <v>'WINDOWS-NCH-A-BDP-M3-03-00'!B108</v>
      </c>
      <c r="D1828" s="6" t="str">
        <f t="shared" ca="1" si="350"/>
        <v>L03-PHA-PHA-U0611-01</v>
      </c>
      <c r="E1828" t="str">
        <f t="shared" ca="1" si="351"/>
        <v>Family Type: Curtain Wall_1950w x 3800h, Family: Window External Type 5 - Flush</v>
      </c>
      <c r="F1828" t="str">
        <f t="shared" ca="1" si="352"/>
        <v>Vector(X = -0.212, Y = 0.977, Z = 0.000, Length = 1.000)</v>
      </c>
      <c r="G1828">
        <f t="shared" ca="1" si="355"/>
        <v>-0.2</v>
      </c>
      <c r="H1828">
        <f t="shared" ca="1" si="356"/>
        <v>1</v>
      </c>
      <c r="I1828">
        <f t="shared" ca="1" si="357"/>
        <v>0</v>
      </c>
      <c r="J1828" s="8">
        <f t="shared" ca="1" si="358"/>
        <v>101.3099324740202</v>
      </c>
      <c r="K1828" s="9" t="str">
        <f t="shared" ca="1" si="359"/>
        <v>N</v>
      </c>
      <c r="L1828">
        <f ca="1">+_xlfn.IFNA(VLOOKUP(M1828,BespokeWindowsAreas!$B$2:$E$1999,4,FALSE),VLOOKUP(E1828,WindowTypeArea!$B$2:$C$113,2,FALSE))</f>
        <v>7.9950000000000001</v>
      </c>
      <c r="M1828">
        <f t="shared" ca="1" si="360"/>
        <v>4940770</v>
      </c>
    </row>
    <row r="1829" spans="1:13" x14ac:dyDescent="0.25">
      <c r="A1829">
        <f t="shared" ca="1" si="353"/>
        <v>5</v>
      </c>
      <c r="B1829">
        <f t="shared" ca="1" si="354"/>
        <v>110</v>
      </c>
      <c r="C1829" t="str">
        <f t="shared" ca="1" si="349"/>
        <v>'WINDOWS-NCH-A-BDP-M3-03-00'!B109</v>
      </c>
      <c r="D1829" s="6" t="str">
        <f t="shared" ca="1" si="350"/>
        <v>L03-PHA-PHA-U0611-01</v>
      </c>
      <c r="E1829" t="str">
        <f t="shared" ca="1" si="351"/>
        <v>Family Type: Curtain Wall_Bespoke 1 - 1979.5 x 3800, Family: Window External Type 5 - Flush Instance Width</v>
      </c>
      <c r="F1829" t="str">
        <f t="shared" ca="1" si="352"/>
        <v>Vector(X = -0.212, Y = 0.977, Z = 0.000, Length = 1.000)</v>
      </c>
      <c r="G1829">
        <f t="shared" ca="1" si="355"/>
        <v>-0.2</v>
      </c>
      <c r="H1829">
        <f t="shared" ca="1" si="356"/>
        <v>1</v>
      </c>
      <c r="I1829">
        <f t="shared" ca="1" si="357"/>
        <v>0</v>
      </c>
      <c r="J1829" s="8">
        <f t="shared" ca="1" si="358"/>
        <v>101.3099324740202</v>
      </c>
      <c r="K1829" s="9" t="str">
        <f t="shared" ca="1" si="359"/>
        <v>N</v>
      </c>
      <c r="L1829">
        <f ca="1">+_xlfn.IFNA(VLOOKUP(M1829,BespokeWindowsAreas!$B$2:$E$1999,4,FALSE),VLOOKUP(E1829,WindowTypeArea!$B$2:$C$113,2,FALSE))</f>
        <v>4.979450000002255</v>
      </c>
      <c r="M1829">
        <f t="shared" ca="1" si="360"/>
        <v>5282679</v>
      </c>
    </row>
    <row r="1830" spans="1:13" x14ac:dyDescent="0.25">
      <c r="A1830">
        <f t="shared" ca="1" si="353"/>
        <v>5</v>
      </c>
      <c r="B1830">
        <f t="shared" ca="1" si="354"/>
        <v>111</v>
      </c>
      <c r="C1830" t="str">
        <f t="shared" ca="1" si="349"/>
        <v>'WINDOWS-NCH-A-BDP-M3-03-00'!B110</v>
      </c>
      <c r="D1830" s="6" t="str">
        <f t="shared" ca="1" si="350"/>
        <v>L03-PHA-PHA-U0619-01</v>
      </c>
      <c r="E1830" t="str">
        <f t="shared" ca="1" si="351"/>
        <v>L03-PHA-PHA-U0619-01</v>
      </c>
      <c r="F1830">
        <f t="shared" ca="1" si="352"/>
        <v>1296225</v>
      </c>
      <c r="G1830">
        <f t="shared" ca="1" si="355"/>
        <v>0</v>
      </c>
      <c r="H1830">
        <f t="shared" ca="1" si="356"/>
        <v>0</v>
      </c>
      <c r="I1830">
        <f t="shared" ca="1" si="357"/>
        <v>0</v>
      </c>
      <c r="J1830" s="8" t="e">
        <f t="shared" ca="1" si="358"/>
        <v>#DIV/0!</v>
      </c>
      <c r="K1830" s="9" t="e">
        <f t="shared" ca="1" si="359"/>
        <v>#DIV/0!</v>
      </c>
      <c r="L1830" t="e">
        <f ca="1">+_xlfn.IFNA(VLOOKUP(M1830,BespokeWindowsAreas!$B$2:$E$1999,4,FALSE),VLOOKUP(E1830,WindowTypeArea!$B$2:$C$113,2,FALSE))</f>
        <v>#N/A</v>
      </c>
      <c r="M1830">
        <f t="shared" ca="1" si="360"/>
        <v>0</v>
      </c>
    </row>
    <row r="1831" spans="1:13" x14ac:dyDescent="0.25">
      <c r="A1831">
        <f t="shared" ca="1" si="353"/>
        <v>5</v>
      </c>
      <c r="B1831">
        <f t="shared" ca="1" si="354"/>
        <v>112</v>
      </c>
      <c r="C1831" t="str">
        <f t="shared" ca="1" si="349"/>
        <v>'WINDOWS-NCH-A-BDP-M3-03-00'!B111</v>
      </c>
      <c r="D1831" s="6" t="str">
        <f t="shared" ca="1" si="350"/>
        <v>L03-PHA-PHA-U0619-01</v>
      </c>
      <c r="E1831" t="str">
        <f t="shared" ca="1" si="351"/>
        <v>Family Type: Curtain Wall_1950w x 3800h, Family: Window External Type 5 - Flush</v>
      </c>
      <c r="F1831" t="str">
        <f t="shared" ca="1" si="352"/>
        <v>Vector(X = -0.212, Y = 0.977, Z = 0.000, Length = 1.000)</v>
      </c>
      <c r="G1831">
        <f t="shared" ca="1" si="355"/>
        <v>-0.2</v>
      </c>
      <c r="H1831">
        <f t="shared" ca="1" si="356"/>
        <v>1</v>
      </c>
      <c r="I1831">
        <f t="shared" ca="1" si="357"/>
        <v>0</v>
      </c>
      <c r="J1831" s="8">
        <f t="shared" ca="1" si="358"/>
        <v>101.3099324740202</v>
      </c>
      <c r="K1831" s="9" t="str">
        <f t="shared" ca="1" si="359"/>
        <v>N</v>
      </c>
      <c r="L1831">
        <f ca="1">+_xlfn.IFNA(VLOOKUP(M1831,BespokeWindowsAreas!$B$2:$E$1999,4,FALSE),VLOOKUP(E1831,WindowTypeArea!$B$2:$C$113,2,FALSE))</f>
        <v>7.9950000000000001</v>
      </c>
      <c r="M1831">
        <f t="shared" ca="1" si="360"/>
        <v>4940771</v>
      </c>
    </row>
    <row r="1832" spans="1:13" x14ac:dyDescent="0.25">
      <c r="A1832">
        <f t="shared" ca="1" si="353"/>
        <v>5</v>
      </c>
      <c r="B1832">
        <f t="shared" ca="1" si="354"/>
        <v>113</v>
      </c>
      <c r="C1832" t="str">
        <f t="shared" ca="1" si="349"/>
        <v>'WINDOWS-NCH-A-BDP-M3-03-00'!B112</v>
      </c>
      <c r="D1832" s="6" t="str">
        <f t="shared" ca="1" si="350"/>
        <v>L03-PHA-PHA-U0619-01</v>
      </c>
      <c r="E1832" t="str">
        <f t="shared" ca="1" si="351"/>
        <v>Family Type: Curtain Wall_1950w x 3800h, Family: Window External Type 5 - Flush</v>
      </c>
      <c r="F1832" t="str">
        <f t="shared" ca="1" si="352"/>
        <v>Vector(X = -0.212, Y = 0.977, Z = 0.000, Length = 1.000)</v>
      </c>
      <c r="G1832">
        <f t="shared" ca="1" si="355"/>
        <v>-0.2</v>
      </c>
      <c r="H1832">
        <f t="shared" ca="1" si="356"/>
        <v>1</v>
      </c>
      <c r="I1832">
        <f t="shared" ca="1" si="357"/>
        <v>0</v>
      </c>
      <c r="J1832" s="8">
        <f t="shared" ca="1" si="358"/>
        <v>101.3099324740202</v>
      </c>
      <c r="K1832" s="9" t="str">
        <f t="shared" ca="1" si="359"/>
        <v>N</v>
      </c>
      <c r="L1832">
        <f ca="1">+_xlfn.IFNA(VLOOKUP(M1832,BespokeWindowsAreas!$B$2:$E$1999,4,FALSE),VLOOKUP(E1832,WindowTypeArea!$B$2:$C$113,2,FALSE))</f>
        <v>7.9950000000000001</v>
      </c>
      <c r="M1832">
        <f t="shared" ca="1" si="360"/>
        <v>4940772</v>
      </c>
    </row>
    <row r="1833" spans="1:13" x14ac:dyDescent="0.25">
      <c r="A1833">
        <f t="shared" ca="1" si="353"/>
        <v>5</v>
      </c>
      <c r="B1833">
        <f t="shared" ca="1" si="354"/>
        <v>114</v>
      </c>
      <c r="C1833" t="str">
        <f t="shared" ca="1" si="349"/>
        <v>'WINDOWS-NCH-A-BDP-M3-03-00'!B113</v>
      </c>
      <c r="D1833" s="6" t="str">
        <f t="shared" ca="1" si="350"/>
        <v>L03-PHA-PHA-U0619-01</v>
      </c>
      <c r="E1833" t="str">
        <f t="shared" ca="1" si="351"/>
        <v>Family Type: Curtain Wall_1950w x 3800h, Family: Window External Type 5 - Flush</v>
      </c>
      <c r="F1833" t="str">
        <f t="shared" ca="1" si="352"/>
        <v>Vector(X = -0.212, Y = 0.977, Z = 0.000, Length = 1.000)</v>
      </c>
      <c r="G1833">
        <f t="shared" ca="1" si="355"/>
        <v>-0.2</v>
      </c>
      <c r="H1833">
        <f t="shared" ca="1" si="356"/>
        <v>1</v>
      </c>
      <c r="I1833">
        <f t="shared" ca="1" si="357"/>
        <v>0</v>
      </c>
      <c r="J1833" s="8">
        <f t="shared" ca="1" si="358"/>
        <v>101.3099324740202</v>
      </c>
      <c r="K1833" s="9" t="str">
        <f t="shared" ca="1" si="359"/>
        <v>N</v>
      </c>
      <c r="L1833">
        <f ca="1">+_xlfn.IFNA(VLOOKUP(M1833,BespokeWindowsAreas!$B$2:$E$1999,4,FALSE),VLOOKUP(E1833,WindowTypeArea!$B$2:$C$113,2,FALSE))</f>
        <v>7.9950000000000001</v>
      </c>
      <c r="M1833">
        <f t="shared" ca="1" si="360"/>
        <v>4940773</v>
      </c>
    </row>
    <row r="1834" spans="1:13" x14ac:dyDescent="0.25">
      <c r="A1834">
        <f t="shared" ca="1" si="353"/>
        <v>5</v>
      </c>
      <c r="B1834">
        <f t="shared" ca="1" si="354"/>
        <v>115</v>
      </c>
      <c r="C1834" t="str">
        <f t="shared" ca="1" si="349"/>
        <v>'WINDOWS-NCH-A-BDP-M3-03-00'!B114</v>
      </c>
      <c r="D1834" s="6" t="str">
        <f t="shared" ca="1" si="350"/>
        <v>L03-PHA-PHA-S094-01</v>
      </c>
      <c r="E1834" t="str">
        <f t="shared" ca="1" si="351"/>
        <v>L03-PHA-PHA-S094-01</v>
      </c>
      <c r="F1834">
        <f t="shared" ca="1" si="352"/>
        <v>1296239</v>
      </c>
      <c r="G1834">
        <f t="shared" ca="1" si="355"/>
        <v>0</v>
      </c>
      <c r="H1834">
        <f t="shared" ca="1" si="356"/>
        <v>0</v>
      </c>
      <c r="I1834">
        <f t="shared" ca="1" si="357"/>
        <v>0</v>
      </c>
      <c r="J1834" s="8" t="e">
        <f t="shared" ca="1" si="358"/>
        <v>#DIV/0!</v>
      </c>
      <c r="K1834" s="9" t="e">
        <f t="shared" ca="1" si="359"/>
        <v>#DIV/0!</v>
      </c>
      <c r="L1834" t="e">
        <f ca="1">+_xlfn.IFNA(VLOOKUP(M1834,BespokeWindowsAreas!$B$2:$E$1999,4,FALSE),VLOOKUP(E1834,WindowTypeArea!$B$2:$C$113,2,FALSE))</f>
        <v>#N/A</v>
      </c>
      <c r="M1834">
        <f t="shared" ca="1" si="360"/>
        <v>0</v>
      </c>
    </row>
    <row r="1835" spans="1:13" x14ac:dyDescent="0.25">
      <c r="A1835">
        <f t="shared" ca="1" si="353"/>
        <v>5</v>
      </c>
      <c r="B1835">
        <f t="shared" ca="1" si="354"/>
        <v>116</v>
      </c>
      <c r="C1835" t="str">
        <f t="shared" ref="C1835:C1898" ca="1" si="361">+"'"&amp;INDIRECT("a"&amp;A1834)&amp;"'!B"&amp;B1834</f>
        <v>'WINDOWS-NCH-A-BDP-M3-03-00'!B115</v>
      </c>
      <c r="D1835" s="6" t="str">
        <f t="shared" ref="D1835:D1898" ca="1" si="362">+IF(IFERROR(FIND("Family",E1835)&gt;0,FALSE),D1834,E1835)</f>
        <v>L03-PHA-PHA-S094-01</v>
      </c>
      <c r="E1835" t="str">
        <f t="shared" ref="E1835:E1898" ca="1" si="363">+OFFSET(INDIRECT(C1835),0,0)</f>
        <v>Family Type: Curtain Wall_975w x 3800h, Family: Window External Type 5 - Flush</v>
      </c>
      <c r="F1835" t="str">
        <f t="shared" ref="F1835:F1898" ca="1" si="364">+OFFSET(INDIRECT(C1835),0,1)</f>
        <v>Vector(X = -0.962, Y = 0.271, Z = 0.000, Length = 1.000)</v>
      </c>
      <c r="G1835">
        <f t="shared" ca="1" si="355"/>
        <v>-1</v>
      </c>
      <c r="H1835">
        <f t="shared" ca="1" si="356"/>
        <v>0.3</v>
      </c>
      <c r="I1835">
        <f t="shared" ca="1" si="357"/>
        <v>0</v>
      </c>
      <c r="J1835" s="8">
        <f t="shared" ca="1" si="358"/>
        <v>163.30075576600638</v>
      </c>
      <c r="K1835" s="9" t="str">
        <f t="shared" ca="1" si="359"/>
        <v>WN</v>
      </c>
      <c r="L1835">
        <f ca="1">+_xlfn.IFNA(VLOOKUP(M1835,BespokeWindowsAreas!$B$2:$E$1999,4,FALSE),VLOOKUP(E1835,WindowTypeArea!$B$2:$C$113,2,FALSE))</f>
        <v>3.9975000000000001</v>
      </c>
      <c r="M1835">
        <f t="shared" ca="1" si="360"/>
        <v>4926070</v>
      </c>
    </row>
    <row r="1836" spans="1:13" x14ac:dyDescent="0.25">
      <c r="A1836">
        <f t="shared" ca="1" si="353"/>
        <v>5</v>
      </c>
      <c r="B1836">
        <f t="shared" ca="1" si="354"/>
        <v>117</v>
      </c>
      <c r="C1836" t="str">
        <f t="shared" ca="1" si="361"/>
        <v>'WINDOWS-NCH-A-BDP-M3-03-00'!B116</v>
      </c>
      <c r="D1836" s="6" t="str">
        <f t="shared" ca="1" si="362"/>
        <v>L03-PHA-PHA-S094-01</v>
      </c>
      <c r="E1836" t="str">
        <f t="shared" ca="1" si="363"/>
        <v>Family Type: Curtain Wall_1950w x 3800h, Family: Window External Type 5 - Flush</v>
      </c>
      <c r="F1836" t="str">
        <f t="shared" ca="1" si="364"/>
        <v>Vector(X = -0.962, Y = 0.271, Z = 0.000, Length = 1.000)</v>
      </c>
      <c r="G1836">
        <f t="shared" ca="1" si="355"/>
        <v>-1</v>
      </c>
      <c r="H1836">
        <f t="shared" ca="1" si="356"/>
        <v>0.3</v>
      </c>
      <c r="I1836">
        <f t="shared" ca="1" si="357"/>
        <v>0</v>
      </c>
      <c r="J1836" s="8">
        <f t="shared" ca="1" si="358"/>
        <v>163.30075576600638</v>
      </c>
      <c r="K1836" s="9" t="str">
        <f t="shared" ca="1" si="359"/>
        <v>WN</v>
      </c>
      <c r="L1836">
        <f ca="1">+_xlfn.IFNA(VLOOKUP(M1836,BespokeWindowsAreas!$B$2:$E$1999,4,FALSE),VLOOKUP(E1836,WindowTypeArea!$B$2:$C$113,2,FALSE))</f>
        <v>7.9950000000000001</v>
      </c>
      <c r="M1836">
        <f t="shared" ca="1" si="360"/>
        <v>4926071</v>
      </c>
    </row>
    <row r="1837" spans="1:13" x14ac:dyDescent="0.25">
      <c r="A1837">
        <f t="shared" ca="1" si="353"/>
        <v>5</v>
      </c>
      <c r="B1837">
        <f t="shared" ca="1" si="354"/>
        <v>118</v>
      </c>
      <c r="C1837" t="str">
        <f t="shared" ca="1" si="361"/>
        <v>'WINDOWS-NCH-A-BDP-M3-03-00'!B117</v>
      </c>
      <c r="D1837" s="6" t="str">
        <f t="shared" ca="1" si="362"/>
        <v>L03-PHA-PHA-S094-01</v>
      </c>
      <c r="E1837" t="str">
        <f t="shared" ca="1" si="363"/>
        <v>Family Type: Curtain Wall_975w x 3800h, Family: Window External Type 5 - Flush</v>
      </c>
      <c r="F1837" t="str">
        <f t="shared" ca="1" si="364"/>
        <v>Vector(X = -0.962, Y = 0.271, Z = 0.000, Length = 1.000)</v>
      </c>
      <c r="G1837">
        <f t="shared" ca="1" si="355"/>
        <v>-1</v>
      </c>
      <c r="H1837">
        <f t="shared" ca="1" si="356"/>
        <v>0.3</v>
      </c>
      <c r="I1837">
        <f t="shared" ca="1" si="357"/>
        <v>0</v>
      </c>
      <c r="J1837" s="8">
        <f t="shared" ca="1" si="358"/>
        <v>163.30075576600638</v>
      </c>
      <c r="K1837" s="9" t="str">
        <f t="shared" ca="1" si="359"/>
        <v>WN</v>
      </c>
      <c r="L1837">
        <f ca="1">+_xlfn.IFNA(VLOOKUP(M1837,BespokeWindowsAreas!$B$2:$E$1999,4,FALSE),VLOOKUP(E1837,WindowTypeArea!$B$2:$C$113,2,FALSE))</f>
        <v>3.9975000000000001</v>
      </c>
      <c r="M1837">
        <f t="shared" ca="1" si="360"/>
        <v>4926072</v>
      </c>
    </row>
    <row r="1838" spans="1:13" x14ac:dyDescent="0.25">
      <c r="A1838">
        <f t="shared" ca="1" si="353"/>
        <v>5</v>
      </c>
      <c r="B1838">
        <f t="shared" ca="1" si="354"/>
        <v>119</v>
      </c>
      <c r="C1838" t="str">
        <f t="shared" ca="1" si="361"/>
        <v>'WINDOWS-NCH-A-BDP-M3-03-00'!B118</v>
      </c>
      <c r="D1838" s="6" t="str">
        <f t="shared" ca="1" si="362"/>
        <v>L03-PHA-PHA-S094-01</v>
      </c>
      <c r="E1838" t="str">
        <f t="shared" ca="1" si="363"/>
        <v>Family Type: Curtain Wall_1950w x 3800h, Family: Window External Type 5 - Flush</v>
      </c>
      <c r="F1838" t="str">
        <f t="shared" ca="1" si="364"/>
        <v>Vector(X = -0.962, Y = 0.271, Z = 0.000, Length = 1.000)</v>
      </c>
      <c r="G1838">
        <f t="shared" ca="1" si="355"/>
        <v>-1</v>
      </c>
      <c r="H1838">
        <f t="shared" ca="1" si="356"/>
        <v>0.3</v>
      </c>
      <c r="I1838">
        <f t="shared" ca="1" si="357"/>
        <v>0</v>
      </c>
      <c r="J1838" s="8">
        <f t="shared" ca="1" si="358"/>
        <v>163.30075576600638</v>
      </c>
      <c r="K1838" s="9" t="str">
        <f t="shared" ca="1" si="359"/>
        <v>WN</v>
      </c>
      <c r="L1838">
        <f ca="1">+_xlfn.IFNA(VLOOKUP(M1838,BespokeWindowsAreas!$B$2:$E$1999,4,FALSE),VLOOKUP(E1838,WindowTypeArea!$B$2:$C$113,2,FALSE))</f>
        <v>7.9950000000000001</v>
      </c>
      <c r="M1838">
        <f t="shared" ca="1" si="360"/>
        <v>4926073</v>
      </c>
    </row>
    <row r="1839" spans="1:13" x14ac:dyDescent="0.25">
      <c r="A1839">
        <f t="shared" ca="1" si="353"/>
        <v>5</v>
      </c>
      <c r="B1839">
        <f t="shared" ca="1" si="354"/>
        <v>120</v>
      </c>
      <c r="C1839" t="str">
        <f t="shared" ca="1" si="361"/>
        <v>'WINDOWS-NCH-A-BDP-M3-03-00'!B119</v>
      </c>
      <c r="D1839" s="6" t="str">
        <f t="shared" ca="1" si="362"/>
        <v>L03-PHA-PHA-S094-01</v>
      </c>
      <c r="E1839" t="str">
        <f t="shared" ca="1" si="363"/>
        <v>Family Type: Curtain Wall_975w x 3800h, Family: Window External Type 5 - Flush</v>
      </c>
      <c r="F1839" t="str">
        <f t="shared" ca="1" si="364"/>
        <v>Vector(X = -0.212, Y = 0.977, Z = 0.000, Length = 1.000)</v>
      </c>
      <c r="G1839">
        <f t="shared" ca="1" si="355"/>
        <v>-0.2</v>
      </c>
      <c r="H1839">
        <f t="shared" ca="1" si="356"/>
        <v>1</v>
      </c>
      <c r="I1839">
        <f t="shared" ca="1" si="357"/>
        <v>0</v>
      </c>
      <c r="J1839" s="8">
        <f t="shared" ca="1" si="358"/>
        <v>101.3099324740202</v>
      </c>
      <c r="K1839" s="9" t="str">
        <f t="shared" ca="1" si="359"/>
        <v>N</v>
      </c>
      <c r="L1839">
        <f ca="1">+_xlfn.IFNA(VLOOKUP(M1839,BespokeWindowsAreas!$B$2:$E$1999,4,FALSE),VLOOKUP(E1839,WindowTypeArea!$B$2:$C$113,2,FALSE))</f>
        <v>3.9975000000000001</v>
      </c>
      <c r="M1839">
        <f t="shared" ca="1" si="360"/>
        <v>4940807</v>
      </c>
    </row>
    <row r="1840" spans="1:13" x14ac:dyDescent="0.25">
      <c r="A1840">
        <f t="shared" ca="1" si="353"/>
        <v>5</v>
      </c>
      <c r="B1840">
        <f t="shared" ca="1" si="354"/>
        <v>121</v>
      </c>
      <c r="C1840" t="str">
        <f t="shared" ca="1" si="361"/>
        <v>'WINDOWS-NCH-A-BDP-M3-03-00'!B120</v>
      </c>
      <c r="D1840" s="6" t="str">
        <f t="shared" ca="1" si="362"/>
        <v>L03-PHA-PHA-S094-01</v>
      </c>
      <c r="E1840" t="str">
        <f t="shared" ca="1" si="363"/>
        <v>Family Type: Curtain Wall_1950w x 3800h, Family: Window External Type 5 - Flush</v>
      </c>
      <c r="F1840" t="str">
        <f t="shared" ca="1" si="364"/>
        <v>Vector(X = -0.212, Y = 0.977, Z = 0.000, Length = 1.000)</v>
      </c>
      <c r="G1840">
        <f t="shared" ca="1" si="355"/>
        <v>-0.2</v>
      </c>
      <c r="H1840">
        <f t="shared" ca="1" si="356"/>
        <v>1</v>
      </c>
      <c r="I1840">
        <f t="shared" ca="1" si="357"/>
        <v>0</v>
      </c>
      <c r="J1840" s="8">
        <f t="shared" ca="1" si="358"/>
        <v>101.3099324740202</v>
      </c>
      <c r="K1840" s="9" t="str">
        <f t="shared" ca="1" si="359"/>
        <v>N</v>
      </c>
      <c r="L1840">
        <f ca="1">+_xlfn.IFNA(VLOOKUP(M1840,BespokeWindowsAreas!$B$2:$E$1999,4,FALSE),VLOOKUP(E1840,WindowTypeArea!$B$2:$C$113,2,FALSE))</f>
        <v>7.9950000000000001</v>
      </c>
      <c r="M1840">
        <f t="shared" ca="1" si="360"/>
        <v>4940808</v>
      </c>
    </row>
    <row r="1841" spans="1:13" x14ac:dyDescent="0.25">
      <c r="A1841">
        <f t="shared" ca="1" si="353"/>
        <v>5</v>
      </c>
      <c r="B1841">
        <f t="shared" ca="1" si="354"/>
        <v>122</v>
      </c>
      <c r="C1841" t="str">
        <f t="shared" ca="1" si="361"/>
        <v>'WINDOWS-NCH-A-BDP-M3-03-00'!B121</v>
      </c>
      <c r="D1841" s="6" t="str">
        <f t="shared" ca="1" si="362"/>
        <v>L03-PHA-PHA-S024-01</v>
      </c>
      <c r="E1841" t="str">
        <f t="shared" ca="1" si="363"/>
        <v>L03-PHA-PHA-S024-01</v>
      </c>
      <c r="F1841">
        <f t="shared" ca="1" si="364"/>
        <v>1296241</v>
      </c>
      <c r="G1841">
        <f t="shared" ca="1" si="355"/>
        <v>0</v>
      </c>
      <c r="H1841">
        <f t="shared" ca="1" si="356"/>
        <v>0</v>
      </c>
      <c r="I1841">
        <f t="shared" ca="1" si="357"/>
        <v>0</v>
      </c>
      <c r="J1841" s="8" t="e">
        <f t="shared" ca="1" si="358"/>
        <v>#DIV/0!</v>
      </c>
      <c r="K1841" s="9" t="e">
        <f t="shared" ca="1" si="359"/>
        <v>#DIV/0!</v>
      </c>
      <c r="L1841" t="e">
        <f ca="1">+_xlfn.IFNA(VLOOKUP(M1841,BespokeWindowsAreas!$B$2:$E$1999,4,FALSE),VLOOKUP(E1841,WindowTypeArea!$B$2:$C$113,2,FALSE))</f>
        <v>#N/A</v>
      </c>
      <c r="M1841">
        <f t="shared" ca="1" si="360"/>
        <v>0</v>
      </c>
    </row>
    <row r="1842" spans="1:13" x14ac:dyDescent="0.25">
      <c r="A1842">
        <f t="shared" ca="1" si="353"/>
        <v>5</v>
      </c>
      <c r="B1842">
        <f t="shared" ca="1" si="354"/>
        <v>123</v>
      </c>
      <c r="C1842" t="str">
        <f t="shared" ca="1" si="361"/>
        <v>'WINDOWS-NCH-A-BDP-M3-03-00'!B122</v>
      </c>
      <c r="D1842" s="6" t="str">
        <f t="shared" ca="1" si="362"/>
        <v>L03-PHA-PHA-S024-01</v>
      </c>
      <c r="E1842" t="str">
        <f t="shared" ca="1" si="363"/>
        <v>Family Type: Curtain Wall_1950w x 3800h, Family: Window External Type 5 - Flush</v>
      </c>
      <c r="F1842" t="str">
        <f t="shared" ca="1" si="364"/>
        <v>Vector(X = -0.212, Y = 0.977, Z = 0.000, Length = 1.000)</v>
      </c>
      <c r="G1842">
        <f t="shared" ca="1" si="355"/>
        <v>-0.2</v>
      </c>
      <c r="H1842">
        <f t="shared" ca="1" si="356"/>
        <v>1</v>
      </c>
      <c r="I1842">
        <f t="shared" ca="1" si="357"/>
        <v>0</v>
      </c>
      <c r="J1842" s="8">
        <f t="shared" ca="1" si="358"/>
        <v>101.3099324740202</v>
      </c>
      <c r="K1842" s="9" t="str">
        <f t="shared" ca="1" si="359"/>
        <v>N</v>
      </c>
      <c r="L1842">
        <f ca="1">+_xlfn.IFNA(VLOOKUP(M1842,BespokeWindowsAreas!$B$2:$E$1999,4,FALSE),VLOOKUP(E1842,WindowTypeArea!$B$2:$C$113,2,FALSE))</f>
        <v>7.9950000000000001</v>
      </c>
      <c r="M1842">
        <f t="shared" ca="1" si="360"/>
        <v>4940770</v>
      </c>
    </row>
    <row r="1843" spans="1:13" x14ac:dyDescent="0.25">
      <c r="A1843">
        <f t="shared" ca="1" si="353"/>
        <v>5</v>
      </c>
      <c r="B1843">
        <f t="shared" ca="1" si="354"/>
        <v>124</v>
      </c>
      <c r="C1843" t="str">
        <f t="shared" ca="1" si="361"/>
        <v>'WINDOWS-NCH-A-BDP-M3-03-00'!B123</v>
      </c>
      <c r="D1843" s="6" t="str">
        <f t="shared" ca="1" si="362"/>
        <v>L03-PHA-PHA-S024-01</v>
      </c>
      <c r="E1843" t="str">
        <f t="shared" ca="1" si="363"/>
        <v>Family Type: Curtain Wall_1950w x 3800h, Family: Window External Type 5 - Flush</v>
      </c>
      <c r="F1843" t="str">
        <f t="shared" ca="1" si="364"/>
        <v>Vector(X = -0.212, Y = 0.977, Z = 0.000, Length = 1.000)</v>
      </c>
      <c r="G1843">
        <f t="shared" ca="1" si="355"/>
        <v>-0.2</v>
      </c>
      <c r="H1843">
        <f t="shared" ca="1" si="356"/>
        <v>1</v>
      </c>
      <c r="I1843">
        <f t="shared" ca="1" si="357"/>
        <v>0</v>
      </c>
      <c r="J1843" s="8">
        <f t="shared" ca="1" si="358"/>
        <v>101.3099324740202</v>
      </c>
      <c r="K1843" s="9" t="str">
        <f t="shared" ca="1" si="359"/>
        <v>N</v>
      </c>
      <c r="L1843">
        <f ca="1">+_xlfn.IFNA(VLOOKUP(M1843,BespokeWindowsAreas!$B$2:$E$1999,4,FALSE),VLOOKUP(E1843,WindowTypeArea!$B$2:$C$113,2,FALSE))</f>
        <v>7.9950000000000001</v>
      </c>
      <c r="M1843">
        <f t="shared" ca="1" si="360"/>
        <v>4940771</v>
      </c>
    </row>
    <row r="1844" spans="1:13" x14ac:dyDescent="0.25">
      <c r="A1844">
        <f t="shared" ca="1" si="353"/>
        <v>5</v>
      </c>
      <c r="B1844">
        <f t="shared" ca="1" si="354"/>
        <v>125</v>
      </c>
      <c r="C1844" t="str">
        <f t="shared" ca="1" si="361"/>
        <v>'WINDOWS-NCH-A-BDP-M3-03-00'!B124</v>
      </c>
      <c r="D1844" s="6" t="str">
        <f t="shared" ca="1" si="362"/>
        <v>L03-PHA-PHA-S024-01</v>
      </c>
      <c r="E1844" t="str">
        <f t="shared" ca="1" si="363"/>
        <v>Family Type: Curtain Wall_1950w x 3800h, Family: Window External Type 5 - Flush</v>
      </c>
      <c r="F1844" t="str">
        <f t="shared" ca="1" si="364"/>
        <v>Vector(X = -0.212, Y = 0.977, Z = 0.000, Length = 1.000)</v>
      </c>
      <c r="G1844">
        <f t="shared" ca="1" si="355"/>
        <v>-0.2</v>
      </c>
      <c r="H1844">
        <f t="shared" ca="1" si="356"/>
        <v>1</v>
      </c>
      <c r="I1844">
        <f t="shared" ca="1" si="357"/>
        <v>0</v>
      </c>
      <c r="J1844" s="8">
        <f t="shared" ca="1" si="358"/>
        <v>101.3099324740202</v>
      </c>
      <c r="K1844" s="9" t="str">
        <f t="shared" ca="1" si="359"/>
        <v>N</v>
      </c>
      <c r="L1844">
        <f ca="1">+_xlfn.IFNA(VLOOKUP(M1844,BespokeWindowsAreas!$B$2:$E$1999,4,FALSE),VLOOKUP(E1844,WindowTypeArea!$B$2:$C$113,2,FALSE))</f>
        <v>7.9950000000000001</v>
      </c>
      <c r="M1844">
        <f t="shared" ca="1" si="360"/>
        <v>4940772</v>
      </c>
    </row>
    <row r="1845" spans="1:13" x14ac:dyDescent="0.25">
      <c r="A1845">
        <f t="shared" ca="1" si="353"/>
        <v>5</v>
      </c>
      <c r="B1845">
        <f t="shared" ca="1" si="354"/>
        <v>126</v>
      </c>
      <c r="C1845" t="str">
        <f t="shared" ca="1" si="361"/>
        <v>'WINDOWS-NCH-A-BDP-M3-03-00'!B125</v>
      </c>
      <c r="D1845" s="6" t="str">
        <f t="shared" ca="1" si="362"/>
        <v>L03-PHA-PHA-S024-01</v>
      </c>
      <c r="E1845" t="str">
        <f t="shared" ca="1" si="363"/>
        <v>Family Type: Curtain Wall_1950w x 3800h, Family: Window External Type 5 - Flush</v>
      </c>
      <c r="F1845" t="str">
        <f t="shared" ca="1" si="364"/>
        <v>Vector(X = -0.212, Y = 0.977, Z = 0.000, Length = 1.000)</v>
      </c>
      <c r="G1845">
        <f t="shared" ca="1" si="355"/>
        <v>-0.2</v>
      </c>
      <c r="H1845">
        <f t="shared" ca="1" si="356"/>
        <v>1</v>
      </c>
      <c r="I1845">
        <f t="shared" ca="1" si="357"/>
        <v>0</v>
      </c>
      <c r="J1845" s="8">
        <f t="shared" ca="1" si="358"/>
        <v>101.3099324740202</v>
      </c>
      <c r="K1845" s="9" t="str">
        <f t="shared" ca="1" si="359"/>
        <v>N</v>
      </c>
      <c r="L1845">
        <f ca="1">+_xlfn.IFNA(VLOOKUP(M1845,BespokeWindowsAreas!$B$2:$E$1999,4,FALSE),VLOOKUP(E1845,WindowTypeArea!$B$2:$C$113,2,FALSE))</f>
        <v>7.9950000000000001</v>
      </c>
      <c r="M1845">
        <f t="shared" ca="1" si="360"/>
        <v>4940773</v>
      </c>
    </row>
    <row r="1846" spans="1:13" x14ac:dyDescent="0.25">
      <c r="A1846">
        <f t="shared" ca="1" si="353"/>
        <v>5</v>
      </c>
      <c r="B1846">
        <f t="shared" ca="1" si="354"/>
        <v>127</v>
      </c>
      <c r="C1846" t="str">
        <f t="shared" ca="1" si="361"/>
        <v>'WINDOWS-NCH-A-BDP-M3-03-00'!B126</v>
      </c>
      <c r="D1846" s="6" t="str">
        <f t="shared" ca="1" si="362"/>
        <v>L03-PHA-CYT-L023-02</v>
      </c>
      <c r="E1846" t="str">
        <f t="shared" ca="1" si="363"/>
        <v>L03-PHA-CYT-L023-02</v>
      </c>
      <c r="F1846">
        <f t="shared" ca="1" si="364"/>
        <v>1296283</v>
      </c>
      <c r="G1846">
        <f t="shared" ca="1" si="355"/>
        <v>0</v>
      </c>
      <c r="H1846">
        <f t="shared" ca="1" si="356"/>
        <v>0</v>
      </c>
      <c r="I1846">
        <f t="shared" ca="1" si="357"/>
        <v>0</v>
      </c>
      <c r="J1846" s="8" t="e">
        <f t="shared" ca="1" si="358"/>
        <v>#DIV/0!</v>
      </c>
      <c r="K1846" s="9" t="e">
        <f t="shared" ca="1" si="359"/>
        <v>#DIV/0!</v>
      </c>
      <c r="L1846" t="e">
        <f ca="1">+_xlfn.IFNA(VLOOKUP(M1846,BespokeWindowsAreas!$B$2:$E$1999,4,FALSE),VLOOKUP(E1846,WindowTypeArea!$B$2:$C$113,2,FALSE))</f>
        <v>#N/A</v>
      </c>
      <c r="M1846">
        <f t="shared" ca="1" si="360"/>
        <v>0</v>
      </c>
    </row>
    <row r="1847" spans="1:13" x14ac:dyDescent="0.25">
      <c r="A1847">
        <f t="shared" ca="1" si="353"/>
        <v>5</v>
      </c>
      <c r="B1847">
        <f t="shared" ca="1" si="354"/>
        <v>128</v>
      </c>
      <c r="C1847" t="str">
        <f t="shared" ca="1" si="361"/>
        <v>'WINDOWS-NCH-A-BDP-M3-03-00'!B127</v>
      </c>
      <c r="D1847" s="6" t="str">
        <f t="shared" ca="1" si="362"/>
        <v>L03-PHA-CYT-L023-02</v>
      </c>
      <c r="E1847" t="str">
        <f t="shared" ca="1" si="363"/>
        <v>Family Type: Curtain Wall_1950w x 3800h, Family: Window External Type 5 - Flush</v>
      </c>
      <c r="F1847" t="str">
        <f t="shared" ca="1" si="364"/>
        <v>Vector(X = -0.212, Y = 0.977, Z = 0.000, Length = 1.000)</v>
      </c>
      <c r="G1847">
        <f t="shared" ca="1" si="355"/>
        <v>-0.2</v>
      </c>
      <c r="H1847">
        <f t="shared" ca="1" si="356"/>
        <v>1</v>
      </c>
      <c r="I1847">
        <f t="shared" ca="1" si="357"/>
        <v>0</v>
      </c>
      <c r="J1847" s="8">
        <f t="shared" ca="1" si="358"/>
        <v>101.3099324740202</v>
      </c>
      <c r="K1847" s="9" t="str">
        <f t="shared" ca="1" si="359"/>
        <v>N</v>
      </c>
      <c r="L1847">
        <f ca="1">+_xlfn.IFNA(VLOOKUP(M1847,BespokeWindowsAreas!$B$2:$E$1999,4,FALSE),VLOOKUP(E1847,WindowTypeArea!$B$2:$C$113,2,FALSE))</f>
        <v>7.9950000000000001</v>
      </c>
      <c r="M1847">
        <f t="shared" ca="1" si="360"/>
        <v>4940777</v>
      </c>
    </row>
    <row r="1848" spans="1:13" x14ac:dyDescent="0.25">
      <c r="A1848">
        <f t="shared" ca="1" si="353"/>
        <v>5</v>
      </c>
      <c r="B1848">
        <f t="shared" ca="1" si="354"/>
        <v>129</v>
      </c>
      <c r="C1848" t="str">
        <f t="shared" ca="1" si="361"/>
        <v>'WINDOWS-NCH-A-BDP-M3-03-00'!B128</v>
      </c>
      <c r="D1848" s="6" t="str">
        <f t="shared" ca="1" si="362"/>
        <v>L03-PHA-CYT-L023-02</v>
      </c>
      <c r="E1848" t="str">
        <f t="shared" ca="1" si="363"/>
        <v>Family Type: Curtain Wall_975w x 3800h, Family: Window External Type 5 - Flush</v>
      </c>
      <c r="F1848" t="str">
        <f t="shared" ca="1" si="364"/>
        <v>Vector(X = -0.212, Y = 0.977, Z = 0.000, Length = 1.000)</v>
      </c>
      <c r="G1848">
        <f t="shared" ca="1" si="355"/>
        <v>-0.2</v>
      </c>
      <c r="H1848">
        <f t="shared" ca="1" si="356"/>
        <v>1</v>
      </c>
      <c r="I1848">
        <f t="shared" ca="1" si="357"/>
        <v>0</v>
      </c>
      <c r="J1848" s="8">
        <f t="shared" ca="1" si="358"/>
        <v>101.3099324740202</v>
      </c>
      <c r="K1848" s="9" t="str">
        <f t="shared" ca="1" si="359"/>
        <v>N</v>
      </c>
      <c r="L1848">
        <f ca="1">+_xlfn.IFNA(VLOOKUP(M1848,BespokeWindowsAreas!$B$2:$E$1999,4,FALSE),VLOOKUP(E1848,WindowTypeArea!$B$2:$C$113,2,FALSE))</f>
        <v>3.9975000000000001</v>
      </c>
      <c r="M1848">
        <f t="shared" ca="1" si="360"/>
        <v>4940778</v>
      </c>
    </row>
    <row r="1849" spans="1:13" x14ac:dyDescent="0.25">
      <c r="A1849">
        <f t="shared" ca="1" si="353"/>
        <v>5</v>
      </c>
      <c r="B1849">
        <f t="shared" ca="1" si="354"/>
        <v>130</v>
      </c>
      <c r="C1849" t="str">
        <f t="shared" ca="1" si="361"/>
        <v>'WINDOWS-NCH-A-BDP-M3-03-00'!B129</v>
      </c>
      <c r="D1849" s="6" t="str">
        <f t="shared" ca="1" si="362"/>
        <v>L03-PHA-CYT-L023-02</v>
      </c>
      <c r="E1849" t="str">
        <f t="shared" ca="1" si="363"/>
        <v>Family Type: Curtain Wall_1950w x 3800h, Family: Window External Type 5 - Flush</v>
      </c>
      <c r="F1849" t="str">
        <f t="shared" ca="1" si="364"/>
        <v>Vector(X = -0.212, Y = 0.977, Z = 0.000, Length = 1.000)</v>
      </c>
      <c r="G1849">
        <f t="shared" ca="1" si="355"/>
        <v>-0.2</v>
      </c>
      <c r="H1849">
        <f t="shared" ca="1" si="356"/>
        <v>1</v>
      </c>
      <c r="I1849">
        <f t="shared" ca="1" si="357"/>
        <v>0</v>
      </c>
      <c r="J1849" s="8">
        <f t="shared" ca="1" si="358"/>
        <v>101.3099324740202</v>
      </c>
      <c r="K1849" s="9" t="str">
        <f t="shared" ca="1" si="359"/>
        <v>N</v>
      </c>
      <c r="L1849">
        <f ca="1">+_xlfn.IFNA(VLOOKUP(M1849,BespokeWindowsAreas!$B$2:$E$1999,4,FALSE),VLOOKUP(E1849,WindowTypeArea!$B$2:$C$113,2,FALSE))</f>
        <v>7.9950000000000001</v>
      </c>
      <c r="M1849">
        <f t="shared" ca="1" si="360"/>
        <v>4940779</v>
      </c>
    </row>
    <row r="1850" spans="1:13" x14ac:dyDescent="0.25">
      <c r="A1850">
        <f t="shared" ca="1" si="353"/>
        <v>5</v>
      </c>
      <c r="B1850">
        <f t="shared" ca="1" si="354"/>
        <v>131</v>
      </c>
      <c r="C1850" t="str">
        <f t="shared" ca="1" si="361"/>
        <v>'WINDOWS-NCH-A-BDP-M3-03-00'!B130</v>
      </c>
      <c r="D1850" s="6" t="str">
        <f t="shared" ca="1" si="362"/>
        <v>L03-PHA-CYT-L023-02</v>
      </c>
      <c r="E1850" t="str">
        <f t="shared" ca="1" si="363"/>
        <v>Family Type: Curtain Wall_1950w x 3800h, Family: Window External Type 5 - Flush</v>
      </c>
      <c r="F1850" t="str">
        <f t="shared" ca="1" si="364"/>
        <v>Vector(X = -0.212, Y = 0.977, Z = 0.000, Length = 1.000)</v>
      </c>
      <c r="G1850">
        <f t="shared" ca="1" si="355"/>
        <v>-0.2</v>
      </c>
      <c r="H1850">
        <f t="shared" ca="1" si="356"/>
        <v>1</v>
      </c>
      <c r="I1850">
        <f t="shared" ca="1" si="357"/>
        <v>0</v>
      </c>
      <c r="J1850" s="8">
        <f t="shared" ca="1" si="358"/>
        <v>101.3099324740202</v>
      </c>
      <c r="K1850" s="9" t="str">
        <f t="shared" ca="1" si="359"/>
        <v>N</v>
      </c>
      <c r="L1850">
        <f ca="1">+_xlfn.IFNA(VLOOKUP(M1850,BespokeWindowsAreas!$B$2:$E$1999,4,FALSE),VLOOKUP(E1850,WindowTypeArea!$B$2:$C$113,2,FALSE))</f>
        <v>7.9950000000000001</v>
      </c>
      <c r="M1850">
        <f t="shared" ca="1" si="360"/>
        <v>4940780</v>
      </c>
    </row>
    <row r="1851" spans="1:13" x14ac:dyDescent="0.25">
      <c r="A1851">
        <f t="shared" ca="1" si="353"/>
        <v>5</v>
      </c>
      <c r="B1851">
        <f t="shared" ca="1" si="354"/>
        <v>132</v>
      </c>
      <c r="C1851" t="str">
        <f t="shared" ca="1" si="361"/>
        <v>'WINDOWS-NCH-A-BDP-M3-03-00'!B131</v>
      </c>
      <c r="D1851" s="6" t="str">
        <f t="shared" ca="1" si="362"/>
        <v>L03-PHA-CYT-L023-02</v>
      </c>
      <c r="E1851" t="str">
        <f t="shared" ca="1" si="363"/>
        <v>Family Type: Curtain Wall_975w x 3800h, Family: Window External Type 5 - Flush</v>
      </c>
      <c r="F1851" t="str">
        <f t="shared" ca="1" si="364"/>
        <v>Vector(X = -0.212, Y = 0.977, Z = 0.000, Length = 1.000)</v>
      </c>
      <c r="G1851">
        <f t="shared" ca="1" si="355"/>
        <v>-0.2</v>
      </c>
      <c r="H1851">
        <f t="shared" ca="1" si="356"/>
        <v>1</v>
      </c>
      <c r="I1851">
        <f t="shared" ca="1" si="357"/>
        <v>0</v>
      </c>
      <c r="J1851" s="8">
        <f t="shared" ca="1" si="358"/>
        <v>101.3099324740202</v>
      </c>
      <c r="K1851" s="9" t="str">
        <f t="shared" ca="1" si="359"/>
        <v>N</v>
      </c>
      <c r="L1851">
        <f ca="1">+_xlfn.IFNA(VLOOKUP(M1851,BespokeWindowsAreas!$B$2:$E$1999,4,FALSE),VLOOKUP(E1851,WindowTypeArea!$B$2:$C$113,2,FALSE))</f>
        <v>3.9975000000000001</v>
      </c>
      <c r="M1851">
        <f t="shared" ca="1" si="360"/>
        <v>4940781</v>
      </c>
    </row>
    <row r="1852" spans="1:13" x14ac:dyDescent="0.25">
      <c r="A1852">
        <f t="shared" ca="1" si="353"/>
        <v>5</v>
      </c>
      <c r="B1852">
        <f t="shared" ca="1" si="354"/>
        <v>133</v>
      </c>
      <c r="C1852" t="str">
        <f t="shared" ca="1" si="361"/>
        <v>'WINDOWS-NCH-A-BDP-M3-03-00'!B132</v>
      </c>
      <c r="D1852" s="6" t="str">
        <f t="shared" ca="1" si="362"/>
        <v>L03-PHA-CYT-L023-02</v>
      </c>
      <c r="E1852" t="str">
        <f t="shared" ca="1" si="363"/>
        <v>Family Type: Curtain Wall_1950w x 3800h, Family: Window External Type 5 - Flush</v>
      </c>
      <c r="F1852" t="str">
        <f t="shared" ca="1" si="364"/>
        <v>Vector(X = -0.212, Y = 0.977, Z = 0.000, Length = 1.000)</v>
      </c>
      <c r="G1852">
        <f t="shared" ca="1" si="355"/>
        <v>-0.2</v>
      </c>
      <c r="H1852">
        <f t="shared" ca="1" si="356"/>
        <v>1</v>
      </c>
      <c r="I1852">
        <f t="shared" ca="1" si="357"/>
        <v>0</v>
      </c>
      <c r="J1852" s="8">
        <f t="shared" ca="1" si="358"/>
        <v>101.3099324740202</v>
      </c>
      <c r="K1852" s="9" t="str">
        <f t="shared" ca="1" si="359"/>
        <v>N</v>
      </c>
      <c r="L1852">
        <f ca="1">+_xlfn.IFNA(VLOOKUP(M1852,BespokeWindowsAreas!$B$2:$E$1999,4,FALSE),VLOOKUP(E1852,WindowTypeArea!$B$2:$C$113,2,FALSE))</f>
        <v>7.9950000000000001</v>
      </c>
      <c r="M1852">
        <f t="shared" ca="1" si="360"/>
        <v>4940782</v>
      </c>
    </row>
    <row r="1853" spans="1:13" x14ac:dyDescent="0.25">
      <c r="A1853">
        <f t="shared" ca="1" si="353"/>
        <v>5</v>
      </c>
      <c r="B1853">
        <f t="shared" ca="1" si="354"/>
        <v>134</v>
      </c>
      <c r="C1853" t="str">
        <f t="shared" ca="1" si="361"/>
        <v>'WINDOWS-NCH-A-BDP-M3-03-00'!B133</v>
      </c>
      <c r="D1853" s="6" t="str">
        <f t="shared" ca="1" si="362"/>
        <v>L03-PHA-CYT-L023-02</v>
      </c>
      <c r="E1853" t="str">
        <f t="shared" ca="1" si="363"/>
        <v>Family Type: Curtain Wall_975w x 3800h, Family: Window External Type 5 - Flush</v>
      </c>
      <c r="F1853" t="str">
        <f t="shared" ca="1" si="364"/>
        <v>Vector(X = -0.212, Y = 0.977, Z = 0.000, Length = 1.000)</v>
      </c>
      <c r="G1853">
        <f t="shared" ca="1" si="355"/>
        <v>-0.2</v>
      </c>
      <c r="H1853">
        <f t="shared" ca="1" si="356"/>
        <v>1</v>
      </c>
      <c r="I1853">
        <f t="shared" ca="1" si="357"/>
        <v>0</v>
      </c>
      <c r="J1853" s="8">
        <f t="shared" ca="1" si="358"/>
        <v>101.3099324740202</v>
      </c>
      <c r="K1853" s="9" t="str">
        <f t="shared" ca="1" si="359"/>
        <v>N</v>
      </c>
      <c r="L1853">
        <f ca="1">+_xlfn.IFNA(VLOOKUP(M1853,BespokeWindowsAreas!$B$2:$E$1999,4,FALSE),VLOOKUP(E1853,WindowTypeArea!$B$2:$C$113,2,FALSE))</f>
        <v>3.9975000000000001</v>
      </c>
      <c r="M1853">
        <f t="shared" ca="1" si="360"/>
        <v>4940783</v>
      </c>
    </row>
    <row r="1854" spans="1:13" x14ac:dyDescent="0.25">
      <c r="A1854">
        <f t="shared" ca="1" si="353"/>
        <v>5</v>
      </c>
      <c r="B1854">
        <f t="shared" ca="1" si="354"/>
        <v>135</v>
      </c>
      <c r="C1854" t="str">
        <f t="shared" ca="1" si="361"/>
        <v>'WINDOWS-NCH-A-BDP-M3-03-00'!B134</v>
      </c>
      <c r="D1854" s="6" t="str">
        <f t="shared" ca="1" si="362"/>
        <v>L03-PHA-CYT-L023-02</v>
      </c>
      <c r="E1854" t="str">
        <f t="shared" ca="1" si="363"/>
        <v>Family Type: Curtain Wall_1950w x 3800h, Family: Window External Type 5 - Flush</v>
      </c>
      <c r="F1854" t="str">
        <f t="shared" ca="1" si="364"/>
        <v>Vector(X = -0.212, Y = 0.977, Z = 0.000, Length = 1.000)</v>
      </c>
      <c r="G1854">
        <f t="shared" ca="1" si="355"/>
        <v>-0.2</v>
      </c>
      <c r="H1854">
        <f t="shared" ca="1" si="356"/>
        <v>1</v>
      </c>
      <c r="I1854">
        <f t="shared" ca="1" si="357"/>
        <v>0</v>
      </c>
      <c r="J1854" s="8">
        <f t="shared" ca="1" si="358"/>
        <v>101.3099324740202</v>
      </c>
      <c r="K1854" s="9" t="str">
        <f t="shared" ca="1" si="359"/>
        <v>N</v>
      </c>
      <c r="L1854">
        <f ca="1">+_xlfn.IFNA(VLOOKUP(M1854,BespokeWindowsAreas!$B$2:$E$1999,4,FALSE),VLOOKUP(E1854,WindowTypeArea!$B$2:$C$113,2,FALSE))</f>
        <v>7.9950000000000001</v>
      </c>
      <c r="M1854">
        <f t="shared" ca="1" si="360"/>
        <v>4940784</v>
      </c>
    </row>
    <row r="1855" spans="1:13" x14ac:dyDescent="0.25">
      <c r="A1855">
        <f t="shared" ca="1" si="353"/>
        <v>5</v>
      </c>
      <c r="B1855">
        <f t="shared" ca="1" si="354"/>
        <v>136</v>
      </c>
      <c r="C1855" t="str">
        <f t="shared" ca="1" si="361"/>
        <v>'WINDOWS-NCH-A-BDP-M3-03-00'!B135</v>
      </c>
      <c r="D1855" s="6" t="str">
        <f t="shared" ca="1" si="362"/>
        <v>L03-PHA-CYT-L023-02</v>
      </c>
      <c r="E1855" t="str">
        <f t="shared" ca="1" si="363"/>
        <v>Family Type: Curtain Wall_975w x 3800h, Family: Window External Type 5 - Flush</v>
      </c>
      <c r="F1855" t="str">
        <f t="shared" ca="1" si="364"/>
        <v>Vector(X = -0.212, Y = 0.977, Z = 0.000, Length = 1.000)</v>
      </c>
      <c r="G1855">
        <f t="shared" ca="1" si="355"/>
        <v>-0.2</v>
      </c>
      <c r="H1855">
        <f t="shared" ca="1" si="356"/>
        <v>1</v>
      </c>
      <c r="I1855">
        <f t="shared" ca="1" si="357"/>
        <v>0</v>
      </c>
      <c r="J1855" s="8">
        <f t="shared" ca="1" si="358"/>
        <v>101.3099324740202</v>
      </c>
      <c r="K1855" s="9" t="str">
        <f t="shared" ca="1" si="359"/>
        <v>N</v>
      </c>
      <c r="L1855">
        <f ca="1">+_xlfn.IFNA(VLOOKUP(M1855,BespokeWindowsAreas!$B$2:$E$1999,4,FALSE),VLOOKUP(E1855,WindowTypeArea!$B$2:$C$113,2,FALSE))</f>
        <v>3.9975000000000001</v>
      </c>
      <c r="M1855">
        <f t="shared" ca="1" si="360"/>
        <v>4940785</v>
      </c>
    </row>
    <row r="1856" spans="1:13" x14ac:dyDescent="0.25">
      <c r="A1856">
        <f t="shared" ca="1" si="353"/>
        <v>5</v>
      </c>
      <c r="B1856">
        <f t="shared" ca="1" si="354"/>
        <v>137</v>
      </c>
      <c r="C1856" t="str">
        <f t="shared" ca="1" si="361"/>
        <v>'WINDOWS-NCH-A-BDP-M3-03-00'!B136</v>
      </c>
      <c r="D1856" s="6" t="str">
        <f t="shared" ca="1" si="362"/>
        <v>L03-PHA-CYT-L023-02</v>
      </c>
      <c r="E1856" t="str">
        <f t="shared" ca="1" si="363"/>
        <v>Family Type: Curtain Wall_1950w x 3800h, Family: Window External Type 5 - Flush</v>
      </c>
      <c r="F1856" t="str">
        <f t="shared" ca="1" si="364"/>
        <v>Vector(X = -0.212, Y = 0.977, Z = 0.000, Length = 1.000)</v>
      </c>
      <c r="G1856">
        <f t="shared" ca="1" si="355"/>
        <v>-0.2</v>
      </c>
      <c r="H1856">
        <f t="shared" ca="1" si="356"/>
        <v>1</v>
      </c>
      <c r="I1856">
        <f t="shared" ca="1" si="357"/>
        <v>0</v>
      </c>
      <c r="J1856" s="8">
        <f t="shared" ca="1" si="358"/>
        <v>101.3099324740202</v>
      </c>
      <c r="K1856" s="9" t="str">
        <f t="shared" ca="1" si="359"/>
        <v>N</v>
      </c>
      <c r="L1856">
        <f ca="1">+_xlfn.IFNA(VLOOKUP(M1856,BespokeWindowsAreas!$B$2:$E$1999,4,FALSE),VLOOKUP(E1856,WindowTypeArea!$B$2:$C$113,2,FALSE))</f>
        <v>7.9950000000000001</v>
      </c>
      <c r="M1856">
        <f t="shared" ca="1" si="360"/>
        <v>4940786</v>
      </c>
    </row>
    <row r="1857" spans="1:13" x14ac:dyDescent="0.25">
      <c r="A1857">
        <f t="shared" ca="1" si="353"/>
        <v>5</v>
      </c>
      <c r="B1857">
        <f t="shared" ca="1" si="354"/>
        <v>138</v>
      </c>
      <c r="C1857" t="str">
        <f t="shared" ca="1" si="361"/>
        <v>'WINDOWS-NCH-A-BDP-M3-03-00'!B137</v>
      </c>
      <c r="D1857" s="6" t="str">
        <f t="shared" ca="1" si="362"/>
        <v>L03-PHA-CYT-L023-02</v>
      </c>
      <c r="E1857" t="str">
        <f t="shared" ca="1" si="363"/>
        <v>Family Type: Curtain Wall_975w x 3800h, Family: Window External Type 5 - Flush</v>
      </c>
      <c r="F1857" t="str">
        <f t="shared" ca="1" si="364"/>
        <v>Vector(X = -0.212, Y = 0.977, Z = 0.000, Length = 1.000)</v>
      </c>
      <c r="G1857">
        <f t="shared" ca="1" si="355"/>
        <v>-0.2</v>
      </c>
      <c r="H1857">
        <f t="shared" ca="1" si="356"/>
        <v>1</v>
      </c>
      <c r="I1857">
        <f t="shared" ca="1" si="357"/>
        <v>0</v>
      </c>
      <c r="J1857" s="8">
        <f t="shared" ca="1" si="358"/>
        <v>101.3099324740202</v>
      </c>
      <c r="K1857" s="9" t="str">
        <f t="shared" ca="1" si="359"/>
        <v>N</v>
      </c>
      <c r="L1857">
        <f ca="1">+_xlfn.IFNA(VLOOKUP(M1857,BespokeWindowsAreas!$B$2:$E$1999,4,FALSE),VLOOKUP(E1857,WindowTypeArea!$B$2:$C$113,2,FALSE))</f>
        <v>3.9975000000000001</v>
      </c>
      <c r="M1857">
        <f t="shared" ca="1" si="360"/>
        <v>4940787</v>
      </c>
    </row>
    <row r="1858" spans="1:13" x14ac:dyDescent="0.25">
      <c r="A1858">
        <f t="shared" ca="1" si="353"/>
        <v>5</v>
      </c>
      <c r="B1858">
        <f t="shared" ca="1" si="354"/>
        <v>139</v>
      </c>
      <c r="C1858" t="str">
        <f t="shared" ca="1" si="361"/>
        <v>'WINDOWS-NCH-A-BDP-M3-03-00'!B138</v>
      </c>
      <c r="D1858" s="6" t="str">
        <f t="shared" ca="1" si="362"/>
        <v>L03-PHA-CYT-L023-02</v>
      </c>
      <c r="E1858" t="str">
        <f t="shared" ca="1" si="363"/>
        <v>Family Type: Curtain Wall_975w x 3800h, Family: Window External Type 5 - Flush</v>
      </c>
      <c r="F1858" t="str">
        <f t="shared" ca="1" si="364"/>
        <v>Vector(X = -0.212, Y = 0.977, Z = 0.000, Length = 1.000)</v>
      </c>
      <c r="G1858">
        <f t="shared" ca="1" si="355"/>
        <v>-0.2</v>
      </c>
      <c r="H1858">
        <f t="shared" ca="1" si="356"/>
        <v>1</v>
      </c>
      <c r="I1858">
        <f t="shared" ca="1" si="357"/>
        <v>0</v>
      </c>
      <c r="J1858" s="8">
        <f t="shared" ca="1" si="358"/>
        <v>101.3099324740202</v>
      </c>
      <c r="K1858" s="9" t="str">
        <f t="shared" ca="1" si="359"/>
        <v>N</v>
      </c>
      <c r="L1858">
        <f ca="1">+_xlfn.IFNA(VLOOKUP(M1858,BespokeWindowsAreas!$B$2:$E$1999,4,FALSE),VLOOKUP(E1858,WindowTypeArea!$B$2:$C$113,2,FALSE))</f>
        <v>3.9975000000000001</v>
      </c>
      <c r="M1858">
        <f t="shared" ca="1" si="360"/>
        <v>4940788</v>
      </c>
    </row>
    <row r="1859" spans="1:13" x14ac:dyDescent="0.25">
      <c r="A1859">
        <f t="shared" ca="1" si="353"/>
        <v>5</v>
      </c>
      <c r="B1859">
        <f t="shared" ca="1" si="354"/>
        <v>140</v>
      </c>
      <c r="C1859" t="str">
        <f t="shared" ca="1" si="361"/>
        <v>'WINDOWS-NCH-A-BDP-M3-03-00'!B139</v>
      </c>
      <c r="D1859" s="6" t="str">
        <f t="shared" ca="1" si="362"/>
        <v>L03-PHA-CYT-L023-02</v>
      </c>
      <c r="E1859" t="str">
        <f t="shared" ca="1" si="363"/>
        <v>Family Type: Curtain Wall_1950w x 3800h, Family: Window External Type 5 - Flush</v>
      </c>
      <c r="F1859" t="str">
        <f t="shared" ca="1" si="364"/>
        <v>Vector(X = -0.212, Y = 0.977, Z = 0.000, Length = 1.000)</v>
      </c>
      <c r="G1859">
        <f t="shared" ca="1" si="355"/>
        <v>-0.2</v>
      </c>
      <c r="H1859">
        <f t="shared" ca="1" si="356"/>
        <v>1</v>
      </c>
      <c r="I1859">
        <f t="shared" ca="1" si="357"/>
        <v>0</v>
      </c>
      <c r="J1859" s="8">
        <f t="shared" ca="1" si="358"/>
        <v>101.3099324740202</v>
      </c>
      <c r="K1859" s="9" t="str">
        <f t="shared" ca="1" si="359"/>
        <v>N</v>
      </c>
      <c r="L1859">
        <f ca="1">+_xlfn.IFNA(VLOOKUP(M1859,BespokeWindowsAreas!$B$2:$E$1999,4,FALSE),VLOOKUP(E1859,WindowTypeArea!$B$2:$C$113,2,FALSE))</f>
        <v>7.9950000000000001</v>
      </c>
      <c r="M1859">
        <f t="shared" ca="1" si="360"/>
        <v>4940789</v>
      </c>
    </row>
    <row r="1860" spans="1:13" x14ac:dyDescent="0.25">
      <c r="A1860">
        <f t="shared" ca="1" si="353"/>
        <v>5</v>
      </c>
      <c r="B1860">
        <f t="shared" ca="1" si="354"/>
        <v>141</v>
      </c>
      <c r="C1860" t="str">
        <f t="shared" ca="1" si="361"/>
        <v>'WINDOWS-NCH-A-BDP-M3-03-00'!B140</v>
      </c>
      <c r="D1860" s="6" t="str">
        <f t="shared" ca="1" si="362"/>
        <v>L03-PHA-CYT-L023-02</v>
      </c>
      <c r="E1860" t="str">
        <f t="shared" ca="1" si="363"/>
        <v>Family Type: Curtain Wall_975w x 3800h, Family: Window External Type 5 - Flush</v>
      </c>
      <c r="F1860" t="str">
        <f t="shared" ca="1" si="364"/>
        <v>Vector(X = -0.212, Y = 0.977, Z = 0.000, Length = 1.000)</v>
      </c>
      <c r="G1860">
        <f t="shared" ca="1" si="355"/>
        <v>-0.2</v>
      </c>
      <c r="H1860">
        <f t="shared" ca="1" si="356"/>
        <v>1</v>
      </c>
      <c r="I1860">
        <f t="shared" ca="1" si="357"/>
        <v>0</v>
      </c>
      <c r="J1860" s="8">
        <f t="shared" ca="1" si="358"/>
        <v>101.3099324740202</v>
      </c>
      <c r="K1860" s="9" t="str">
        <f t="shared" ca="1" si="359"/>
        <v>N</v>
      </c>
      <c r="L1860">
        <f ca="1">+_xlfn.IFNA(VLOOKUP(M1860,BespokeWindowsAreas!$B$2:$E$1999,4,FALSE),VLOOKUP(E1860,WindowTypeArea!$B$2:$C$113,2,FALSE))</f>
        <v>3.9975000000000001</v>
      </c>
      <c r="M1860">
        <f t="shared" ca="1" si="360"/>
        <v>4940790</v>
      </c>
    </row>
    <row r="1861" spans="1:13" x14ac:dyDescent="0.25">
      <c r="A1861">
        <f t="shared" ca="1" si="353"/>
        <v>5</v>
      </c>
      <c r="B1861">
        <f t="shared" ca="1" si="354"/>
        <v>142</v>
      </c>
      <c r="C1861" t="str">
        <f t="shared" ca="1" si="361"/>
        <v>'WINDOWS-NCH-A-BDP-M3-03-00'!B141</v>
      </c>
      <c r="D1861" s="6" t="str">
        <f t="shared" ca="1" si="362"/>
        <v>L03-PHA-CYT-L023-02</v>
      </c>
      <c r="E1861" t="str">
        <f t="shared" ca="1" si="363"/>
        <v>Family Type: Curtain Wall_975w x 3800h, Family: Window External Type 5 - Flush</v>
      </c>
      <c r="F1861" t="str">
        <f t="shared" ca="1" si="364"/>
        <v>Vector(X = -0.212, Y = 0.977, Z = 0.000, Length = 1.000)</v>
      </c>
      <c r="G1861">
        <f t="shared" ca="1" si="355"/>
        <v>-0.2</v>
      </c>
      <c r="H1861">
        <f t="shared" ca="1" si="356"/>
        <v>1</v>
      </c>
      <c r="I1861">
        <f t="shared" ca="1" si="357"/>
        <v>0</v>
      </c>
      <c r="J1861" s="8">
        <f t="shared" ca="1" si="358"/>
        <v>101.3099324740202</v>
      </c>
      <c r="K1861" s="9" t="str">
        <f t="shared" ca="1" si="359"/>
        <v>N</v>
      </c>
      <c r="L1861">
        <f ca="1">+_xlfn.IFNA(VLOOKUP(M1861,BespokeWindowsAreas!$B$2:$E$1999,4,FALSE),VLOOKUP(E1861,WindowTypeArea!$B$2:$C$113,2,FALSE))</f>
        <v>3.9975000000000001</v>
      </c>
      <c r="M1861">
        <f t="shared" ca="1" si="360"/>
        <v>4940791</v>
      </c>
    </row>
    <row r="1862" spans="1:13" x14ac:dyDescent="0.25">
      <c r="A1862">
        <f t="shared" ca="1" si="353"/>
        <v>5</v>
      </c>
      <c r="B1862">
        <f t="shared" ca="1" si="354"/>
        <v>143</v>
      </c>
      <c r="C1862" t="str">
        <f t="shared" ca="1" si="361"/>
        <v>'WINDOWS-NCH-A-BDP-M3-03-00'!B142</v>
      </c>
      <c r="D1862" s="6" t="str">
        <f t="shared" ca="1" si="362"/>
        <v>L03-PHA-CYT-L023-02</v>
      </c>
      <c r="E1862" t="str">
        <f t="shared" ca="1" si="363"/>
        <v>Family Type: Curtain Wall_975w x 3800h, Family: Window External Type 5 - Flush</v>
      </c>
      <c r="F1862" t="str">
        <f t="shared" ca="1" si="364"/>
        <v>Vector(X = -0.212, Y = 0.977, Z = 0.000, Length = 1.000)</v>
      </c>
      <c r="G1862">
        <f t="shared" ca="1" si="355"/>
        <v>-0.2</v>
      </c>
      <c r="H1862">
        <f t="shared" ca="1" si="356"/>
        <v>1</v>
      </c>
      <c r="I1862">
        <f t="shared" ca="1" si="357"/>
        <v>0</v>
      </c>
      <c r="J1862" s="8">
        <f t="shared" ca="1" si="358"/>
        <v>101.3099324740202</v>
      </c>
      <c r="K1862" s="9" t="str">
        <f t="shared" ca="1" si="359"/>
        <v>N</v>
      </c>
      <c r="L1862">
        <f ca="1">+_xlfn.IFNA(VLOOKUP(M1862,BespokeWindowsAreas!$B$2:$E$1999,4,FALSE),VLOOKUP(E1862,WindowTypeArea!$B$2:$C$113,2,FALSE))</f>
        <v>3.9975000000000001</v>
      </c>
      <c r="M1862">
        <f t="shared" ca="1" si="360"/>
        <v>4940792</v>
      </c>
    </row>
    <row r="1863" spans="1:13" x14ac:dyDescent="0.25">
      <c r="A1863">
        <f t="shared" ca="1" si="353"/>
        <v>5</v>
      </c>
      <c r="B1863">
        <f t="shared" ca="1" si="354"/>
        <v>144</v>
      </c>
      <c r="C1863" t="str">
        <f t="shared" ca="1" si="361"/>
        <v>'WINDOWS-NCH-A-BDP-M3-03-00'!B143</v>
      </c>
      <c r="D1863" s="6" t="str">
        <f t="shared" ca="1" si="362"/>
        <v>L03-PHA-CYT-L023-02</v>
      </c>
      <c r="E1863" t="str">
        <f t="shared" ca="1" si="363"/>
        <v>Family Type: Curtain Wall_1950w x 3800h, Family: Window External Type 5 - Flush</v>
      </c>
      <c r="F1863" t="str">
        <f t="shared" ca="1" si="364"/>
        <v>Vector(X = 0.977, Y = 0.212, Z = 0.000, Length = 1.000)</v>
      </c>
      <c r="G1863">
        <f t="shared" ca="1" si="355"/>
        <v>1</v>
      </c>
      <c r="H1863">
        <f t="shared" ca="1" si="356"/>
        <v>0.2</v>
      </c>
      <c r="I1863">
        <f t="shared" ca="1" si="357"/>
        <v>0</v>
      </c>
      <c r="J1863" s="8">
        <f t="shared" ca="1" si="358"/>
        <v>11.309932474020215</v>
      </c>
      <c r="K1863" s="9" t="str">
        <f t="shared" ca="1" si="359"/>
        <v>E</v>
      </c>
      <c r="L1863">
        <f ca="1">+_xlfn.IFNA(VLOOKUP(M1863,BespokeWindowsAreas!$B$2:$E$1999,4,FALSE),VLOOKUP(E1863,WindowTypeArea!$B$2:$C$113,2,FALSE))</f>
        <v>7.9950000000000001</v>
      </c>
      <c r="M1863">
        <f t="shared" ca="1" si="360"/>
        <v>4948357</v>
      </c>
    </row>
    <row r="1864" spans="1:13" x14ac:dyDescent="0.25">
      <c r="A1864">
        <f t="shared" ca="1" si="353"/>
        <v>5</v>
      </c>
      <c r="B1864">
        <f t="shared" ca="1" si="354"/>
        <v>145</v>
      </c>
      <c r="C1864" t="str">
        <f t="shared" ca="1" si="361"/>
        <v>'WINDOWS-NCH-A-BDP-M3-03-00'!B144</v>
      </c>
      <c r="D1864" s="6" t="str">
        <f t="shared" ca="1" si="362"/>
        <v>L03-PHA-CYT-L023-02</v>
      </c>
      <c r="E1864" t="str">
        <f t="shared" ca="1" si="363"/>
        <v>Family Type: Curtain Wall_1950w x 3800h, Family: Window External Type 5 - Flush</v>
      </c>
      <c r="F1864" t="str">
        <f t="shared" ca="1" si="364"/>
        <v>Vector(X = 0.977, Y = 0.212, Z = 0.000, Length = 1.000)</v>
      </c>
      <c r="G1864">
        <f t="shared" ca="1" si="355"/>
        <v>1</v>
      </c>
      <c r="H1864">
        <f t="shared" ca="1" si="356"/>
        <v>0.2</v>
      </c>
      <c r="I1864">
        <f t="shared" ca="1" si="357"/>
        <v>0</v>
      </c>
      <c r="J1864" s="8">
        <f t="shared" ca="1" si="358"/>
        <v>11.309932474020215</v>
      </c>
      <c r="K1864" s="9" t="str">
        <f t="shared" ca="1" si="359"/>
        <v>E</v>
      </c>
      <c r="L1864">
        <f ca="1">+_xlfn.IFNA(VLOOKUP(M1864,BespokeWindowsAreas!$B$2:$E$1999,4,FALSE),VLOOKUP(E1864,WindowTypeArea!$B$2:$C$113,2,FALSE))</f>
        <v>7.9950000000000001</v>
      </c>
      <c r="M1864">
        <f t="shared" ca="1" si="360"/>
        <v>4948364</v>
      </c>
    </row>
    <row r="1865" spans="1:13" x14ac:dyDescent="0.25">
      <c r="A1865">
        <f t="shared" ca="1" si="353"/>
        <v>5</v>
      </c>
      <c r="B1865">
        <f t="shared" ca="1" si="354"/>
        <v>146</v>
      </c>
      <c r="C1865" t="str">
        <f t="shared" ca="1" si="361"/>
        <v>'WINDOWS-NCH-A-BDP-M3-03-00'!B145</v>
      </c>
      <c r="D1865" s="6" t="str">
        <f t="shared" ca="1" si="362"/>
        <v>L03-PHA-CYT-L023-02</v>
      </c>
      <c r="E1865" t="str">
        <f t="shared" ca="1" si="363"/>
        <v>Family Type: Curtain Wall_1950w x 3800h, Family: Window External Type 5 - Flush</v>
      </c>
      <c r="F1865" t="str">
        <f t="shared" ca="1" si="364"/>
        <v>Vector(X = 0.977, Y = 0.212, Z = 0.000, Length = 1.000)</v>
      </c>
      <c r="G1865">
        <f t="shared" ca="1" si="355"/>
        <v>1</v>
      </c>
      <c r="H1865">
        <f t="shared" ca="1" si="356"/>
        <v>0.2</v>
      </c>
      <c r="I1865">
        <f t="shared" ca="1" si="357"/>
        <v>0</v>
      </c>
      <c r="J1865" s="8">
        <f t="shared" ca="1" si="358"/>
        <v>11.309932474020215</v>
      </c>
      <c r="K1865" s="9" t="str">
        <f t="shared" ca="1" si="359"/>
        <v>E</v>
      </c>
      <c r="L1865">
        <f ca="1">+_xlfn.IFNA(VLOOKUP(M1865,BespokeWindowsAreas!$B$2:$E$1999,4,FALSE),VLOOKUP(E1865,WindowTypeArea!$B$2:$C$113,2,FALSE))</f>
        <v>7.9950000000000001</v>
      </c>
      <c r="M1865">
        <f t="shared" ca="1" si="360"/>
        <v>4948371</v>
      </c>
    </row>
    <row r="1866" spans="1:13" x14ac:dyDescent="0.25">
      <c r="A1866">
        <f t="shared" ca="1" si="353"/>
        <v>5</v>
      </c>
      <c r="B1866">
        <f t="shared" ca="1" si="354"/>
        <v>147</v>
      </c>
      <c r="C1866" t="str">
        <f t="shared" ca="1" si="361"/>
        <v>'WINDOWS-NCH-A-BDP-M3-03-00'!B146</v>
      </c>
      <c r="D1866" s="6" t="str">
        <f t="shared" ca="1" si="362"/>
        <v>L03-PHA-CYT-L023-02</v>
      </c>
      <c r="E1866" t="str">
        <f t="shared" ca="1" si="363"/>
        <v>Family Type: Curtain Wall_1950w x 3800h, Family: Window External Type 5 - Flush</v>
      </c>
      <c r="F1866" t="str">
        <f t="shared" ca="1" si="364"/>
        <v>Vector(X = 0.977, Y = 0.212, Z = 0.000, Length = 1.000)</v>
      </c>
      <c r="G1866">
        <f t="shared" ca="1" si="355"/>
        <v>1</v>
      </c>
      <c r="H1866">
        <f t="shared" ca="1" si="356"/>
        <v>0.2</v>
      </c>
      <c r="I1866">
        <f t="shared" ca="1" si="357"/>
        <v>0</v>
      </c>
      <c r="J1866" s="8">
        <f t="shared" ca="1" si="358"/>
        <v>11.309932474020215</v>
      </c>
      <c r="K1866" s="9" t="str">
        <f t="shared" ca="1" si="359"/>
        <v>E</v>
      </c>
      <c r="L1866">
        <f ca="1">+_xlfn.IFNA(VLOOKUP(M1866,BespokeWindowsAreas!$B$2:$E$1999,4,FALSE),VLOOKUP(E1866,WindowTypeArea!$B$2:$C$113,2,FALSE))</f>
        <v>7.9950000000000001</v>
      </c>
      <c r="M1866">
        <f t="shared" ca="1" si="360"/>
        <v>4948378</v>
      </c>
    </row>
    <row r="1867" spans="1:13" x14ac:dyDescent="0.25">
      <c r="A1867">
        <f t="shared" ca="1" si="353"/>
        <v>5</v>
      </c>
      <c r="B1867">
        <f t="shared" ca="1" si="354"/>
        <v>148</v>
      </c>
      <c r="C1867" t="str">
        <f t="shared" ca="1" si="361"/>
        <v>'WINDOWS-NCH-A-BDP-M3-03-00'!B147</v>
      </c>
      <c r="D1867" s="6" t="str">
        <f t="shared" ca="1" si="362"/>
        <v>L03-PHA-CYT-L023-02</v>
      </c>
      <c r="E1867" t="str">
        <f t="shared" ca="1" si="363"/>
        <v>Family Type: Curtain Wall_1950w x 3800h, Family: Window External Type 5 - Flush</v>
      </c>
      <c r="F1867" t="str">
        <f t="shared" ca="1" si="364"/>
        <v>Vector(X = 0.977, Y = 0.212, Z = 0.000, Length = 1.000)</v>
      </c>
      <c r="G1867">
        <f t="shared" ca="1" si="355"/>
        <v>1</v>
      </c>
      <c r="H1867">
        <f t="shared" ca="1" si="356"/>
        <v>0.2</v>
      </c>
      <c r="I1867">
        <f t="shared" ca="1" si="357"/>
        <v>0</v>
      </c>
      <c r="J1867" s="8">
        <f t="shared" ca="1" si="358"/>
        <v>11.309932474020215</v>
      </c>
      <c r="K1867" s="9" t="str">
        <f t="shared" ca="1" si="359"/>
        <v>E</v>
      </c>
      <c r="L1867">
        <f ca="1">+_xlfn.IFNA(VLOOKUP(M1867,BespokeWindowsAreas!$B$2:$E$1999,4,FALSE),VLOOKUP(E1867,WindowTypeArea!$B$2:$C$113,2,FALSE))</f>
        <v>7.9950000000000001</v>
      </c>
      <c r="M1867">
        <f t="shared" ca="1" si="360"/>
        <v>4948385</v>
      </c>
    </row>
    <row r="1868" spans="1:13" x14ac:dyDescent="0.25">
      <c r="A1868">
        <f t="shared" ca="1" si="353"/>
        <v>5</v>
      </c>
      <c r="B1868">
        <f t="shared" ca="1" si="354"/>
        <v>149</v>
      </c>
      <c r="C1868" t="str">
        <f t="shared" ca="1" si="361"/>
        <v>'WINDOWS-NCH-A-BDP-M3-03-00'!B148</v>
      </c>
      <c r="D1868" s="6" t="str">
        <f t="shared" ca="1" si="362"/>
        <v>L03-PHA-CYT-L023-02</v>
      </c>
      <c r="E1868" t="str">
        <f t="shared" ca="1" si="363"/>
        <v>Family Type: Curtain Wall_1950w x 3800h, Family: Window External Type 5 - Flush</v>
      </c>
      <c r="F1868" t="str">
        <f t="shared" ca="1" si="364"/>
        <v>Vector(X = 0.977, Y = 0.212, Z = 0.000, Length = 1.000)</v>
      </c>
      <c r="G1868">
        <f t="shared" ca="1" si="355"/>
        <v>1</v>
      </c>
      <c r="H1868">
        <f t="shared" ca="1" si="356"/>
        <v>0.2</v>
      </c>
      <c r="I1868">
        <f t="shared" ca="1" si="357"/>
        <v>0</v>
      </c>
      <c r="J1868" s="8">
        <f t="shared" ca="1" si="358"/>
        <v>11.309932474020215</v>
      </c>
      <c r="K1868" s="9" t="str">
        <f t="shared" ca="1" si="359"/>
        <v>E</v>
      </c>
      <c r="L1868">
        <f ca="1">+_xlfn.IFNA(VLOOKUP(M1868,BespokeWindowsAreas!$B$2:$E$1999,4,FALSE),VLOOKUP(E1868,WindowTypeArea!$B$2:$C$113,2,FALSE))</f>
        <v>7.9950000000000001</v>
      </c>
      <c r="M1868">
        <f t="shared" ca="1" si="360"/>
        <v>4948392</v>
      </c>
    </row>
    <row r="1869" spans="1:13" x14ac:dyDescent="0.25">
      <c r="A1869">
        <f t="shared" ca="1" si="353"/>
        <v>5</v>
      </c>
      <c r="B1869">
        <f t="shared" ca="1" si="354"/>
        <v>150</v>
      </c>
      <c r="C1869" t="str">
        <f t="shared" ca="1" si="361"/>
        <v>'WINDOWS-NCH-A-BDP-M3-03-00'!B149</v>
      </c>
      <c r="D1869" s="6" t="str">
        <f t="shared" ca="1" si="362"/>
        <v>L03-PHA-CYT-L023-02</v>
      </c>
      <c r="E1869" t="str">
        <f t="shared" ca="1" si="363"/>
        <v>Family Type: Curtain Wall_1950w x 3800h, Family: Window External Type 5 - Flush</v>
      </c>
      <c r="F1869" t="str">
        <f t="shared" ca="1" si="364"/>
        <v>Vector(X = 0.977, Y = 0.212, Z = 0.000, Length = 1.000)</v>
      </c>
      <c r="G1869">
        <f t="shared" ca="1" si="355"/>
        <v>1</v>
      </c>
      <c r="H1869">
        <f t="shared" ca="1" si="356"/>
        <v>0.2</v>
      </c>
      <c r="I1869">
        <f t="shared" ca="1" si="357"/>
        <v>0</v>
      </c>
      <c r="J1869" s="8">
        <f t="shared" ca="1" si="358"/>
        <v>11.309932474020215</v>
      </c>
      <c r="K1869" s="9" t="str">
        <f t="shared" ca="1" si="359"/>
        <v>E</v>
      </c>
      <c r="L1869">
        <f ca="1">+_xlfn.IFNA(VLOOKUP(M1869,BespokeWindowsAreas!$B$2:$E$1999,4,FALSE),VLOOKUP(E1869,WindowTypeArea!$B$2:$C$113,2,FALSE))</f>
        <v>7.9950000000000001</v>
      </c>
      <c r="M1869">
        <f t="shared" ca="1" si="360"/>
        <v>4948399</v>
      </c>
    </row>
    <row r="1870" spans="1:13" x14ac:dyDescent="0.25">
      <c r="A1870">
        <f t="shared" ca="1" si="353"/>
        <v>5</v>
      </c>
      <c r="B1870">
        <f t="shared" ca="1" si="354"/>
        <v>151</v>
      </c>
      <c r="C1870" t="str">
        <f t="shared" ca="1" si="361"/>
        <v>'WINDOWS-NCH-A-BDP-M3-03-00'!B150</v>
      </c>
      <c r="D1870" s="6" t="str">
        <f t="shared" ca="1" si="362"/>
        <v>L03-PHA-CYT-L023-02</v>
      </c>
      <c r="E1870" t="str">
        <f t="shared" ca="1" si="363"/>
        <v>Family Type: Curtain Wall_Bespoke 1 - 1979.5 x 3800, Family: Window External Type 5 - Flush Instance Width</v>
      </c>
      <c r="F1870" t="str">
        <f t="shared" ca="1" si="364"/>
        <v>Vector(X = 0.977, Y = 0.212, Z = 0.000, Length = 1.000)</v>
      </c>
      <c r="G1870">
        <f t="shared" ca="1" si="355"/>
        <v>1</v>
      </c>
      <c r="H1870">
        <f t="shared" ca="1" si="356"/>
        <v>0.2</v>
      </c>
      <c r="I1870">
        <f t="shared" ca="1" si="357"/>
        <v>0</v>
      </c>
      <c r="J1870" s="8">
        <f t="shared" ca="1" si="358"/>
        <v>11.309932474020215</v>
      </c>
      <c r="K1870" s="9" t="str">
        <f t="shared" ca="1" si="359"/>
        <v>E</v>
      </c>
      <c r="L1870">
        <f ca="1">+_xlfn.IFNA(VLOOKUP(M1870,BespokeWindowsAreas!$B$2:$E$1999,4,FALSE),VLOOKUP(E1870,WindowTypeArea!$B$2:$C$113,2,FALSE))</f>
        <v>7.4619999999999997</v>
      </c>
      <c r="M1870">
        <f t="shared" ca="1" si="360"/>
        <v>4948738</v>
      </c>
    </row>
    <row r="1871" spans="1:13" x14ac:dyDescent="0.25">
      <c r="A1871">
        <f t="shared" ca="1" si="353"/>
        <v>5</v>
      </c>
      <c r="B1871">
        <f t="shared" ca="1" si="354"/>
        <v>152</v>
      </c>
      <c r="C1871" t="str">
        <f t="shared" ca="1" si="361"/>
        <v>'WINDOWS-NCH-A-BDP-M3-03-00'!B151</v>
      </c>
      <c r="D1871" s="6" t="str">
        <f t="shared" ca="1" si="362"/>
        <v>L03-PHA-CYT-L023-02</v>
      </c>
      <c r="E1871" t="str">
        <f t="shared" ca="1" si="363"/>
        <v>Family Type: 975w x 3050h, Family: Window External Type 1 - Recessed</v>
      </c>
      <c r="F1871" t="str">
        <f t="shared" ca="1" si="364"/>
        <v>Vector(X = 0.212, Y = -0.977, Z = 0.000, Length = 1.000)</v>
      </c>
      <c r="G1871">
        <f t="shared" ca="1" si="355"/>
        <v>0.2</v>
      </c>
      <c r="H1871">
        <f t="shared" ca="1" si="356"/>
        <v>-1</v>
      </c>
      <c r="I1871">
        <f t="shared" ca="1" si="357"/>
        <v>0</v>
      </c>
      <c r="J1871" s="8">
        <f t="shared" ca="1" si="358"/>
        <v>-78.690067525979785</v>
      </c>
      <c r="K1871" s="9" t="str">
        <f t="shared" ca="1" si="359"/>
        <v>S</v>
      </c>
      <c r="L1871">
        <f ca="1">+_xlfn.IFNA(VLOOKUP(M1871,BespokeWindowsAreas!$B$2:$E$1999,4,FALSE),VLOOKUP(E1871,WindowTypeArea!$B$2:$C$113,2,FALSE))</f>
        <v>2.9737499999999999</v>
      </c>
      <c r="M1871">
        <f t="shared" ca="1" si="360"/>
        <v>5711799</v>
      </c>
    </row>
    <row r="1872" spans="1:13" x14ac:dyDescent="0.25">
      <c r="A1872">
        <f t="shared" ca="1" si="353"/>
        <v>5</v>
      </c>
      <c r="B1872">
        <f t="shared" ca="1" si="354"/>
        <v>153</v>
      </c>
      <c r="C1872" t="str">
        <f t="shared" ca="1" si="361"/>
        <v>'WINDOWS-NCH-A-BDP-M3-03-00'!B152</v>
      </c>
      <c r="D1872" s="6" t="str">
        <f t="shared" ca="1" si="362"/>
        <v>L03-PHA-CYT-L023-02</v>
      </c>
      <c r="E1872" t="str">
        <f t="shared" ca="1" si="363"/>
        <v>Family Type: 975w x 3050h, Family: Window External Type 1 - Recessed</v>
      </c>
      <c r="F1872" t="str">
        <f t="shared" ca="1" si="364"/>
        <v>Vector(X = 0.212, Y = -0.977, Z = 0.000, Length = 1.000)</v>
      </c>
      <c r="G1872">
        <f t="shared" ca="1" si="355"/>
        <v>0.2</v>
      </c>
      <c r="H1872">
        <f t="shared" ca="1" si="356"/>
        <v>-1</v>
      </c>
      <c r="I1872">
        <f t="shared" ca="1" si="357"/>
        <v>0</v>
      </c>
      <c r="J1872" s="8">
        <f t="shared" ca="1" si="358"/>
        <v>-78.690067525979785</v>
      </c>
      <c r="K1872" s="9" t="str">
        <f t="shared" ca="1" si="359"/>
        <v>S</v>
      </c>
      <c r="L1872">
        <f ca="1">+_xlfn.IFNA(VLOOKUP(M1872,BespokeWindowsAreas!$B$2:$E$1999,4,FALSE),VLOOKUP(E1872,WindowTypeArea!$B$2:$C$113,2,FALSE))</f>
        <v>2.9737499999999999</v>
      </c>
      <c r="M1872">
        <f t="shared" ca="1" si="360"/>
        <v>5711857</v>
      </c>
    </row>
    <row r="1873" spans="1:13" x14ac:dyDescent="0.25">
      <c r="A1873">
        <f t="shared" ca="1" si="353"/>
        <v>5</v>
      </c>
      <c r="B1873">
        <f t="shared" ca="1" si="354"/>
        <v>154</v>
      </c>
      <c r="C1873" t="str">
        <f t="shared" ca="1" si="361"/>
        <v>'WINDOWS-NCH-A-BDP-M3-03-00'!B153</v>
      </c>
      <c r="D1873" s="6" t="str">
        <f t="shared" ca="1" si="362"/>
        <v>L03-PHA-PHA-S016-03</v>
      </c>
      <c r="E1873" t="str">
        <f t="shared" ca="1" si="363"/>
        <v>L03-PHA-PHA-S016-03</v>
      </c>
      <c r="F1873">
        <f t="shared" ca="1" si="364"/>
        <v>1296393</v>
      </c>
      <c r="G1873">
        <f t="shared" ca="1" si="355"/>
        <v>0</v>
      </c>
      <c r="H1873">
        <f t="shared" ca="1" si="356"/>
        <v>0</v>
      </c>
      <c r="I1873">
        <f t="shared" ca="1" si="357"/>
        <v>0</v>
      </c>
      <c r="J1873" s="8" t="e">
        <f t="shared" ca="1" si="358"/>
        <v>#DIV/0!</v>
      </c>
      <c r="K1873" s="9" t="e">
        <f t="shared" ca="1" si="359"/>
        <v>#DIV/0!</v>
      </c>
      <c r="L1873" t="e">
        <f ca="1">+_xlfn.IFNA(VLOOKUP(M1873,BespokeWindowsAreas!$B$2:$E$1999,4,FALSE),VLOOKUP(E1873,WindowTypeArea!$B$2:$C$113,2,FALSE))</f>
        <v>#N/A</v>
      </c>
      <c r="M1873">
        <f t="shared" ca="1" si="360"/>
        <v>0</v>
      </c>
    </row>
    <row r="1874" spans="1:13" x14ac:dyDescent="0.25">
      <c r="A1874">
        <f t="shared" ca="1" si="353"/>
        <v>5</v>
      </c>
      <c r="B1874">
        <f t="shared" ca="1" si="354"/>
        <v>155</v>
      </c>
      <c r="C1874" t="str">
        <f t="shared" ca="1" si="361"/>
        <v>'WINDOWS-NCH-A-BDP-M3-03-00'!B154</v>
      </c>
      <c r="D1874" s="6" t="str">
        <f t="shared" ca="1" si="362"/>
        <v>L03-PHA-PHA-S016-03</v>
      </c>
      <c r="E1874" t="str">
        <f t="shared" ca="1" si="363"/>
        <v>Family Type: Curtain Wall_975w x 3800h, Family: Window External Type 5 - Flush</v>
      </c>
      <c r="F1874" t="str">
        <f t="shared" ca="1" si="364"/>
        <v>Vector(X = -0.962, Y = 0.271, Z = 0.000, Length = 1.000)</v>
      </c>
      <c r="G1874">
        <f t="shared" ca="1" si="355"/>
        <v>-1</v>
      </c>
      <c r="H1874">
        <f t="shared" ca="1" si="356"/>
        <v>0.3</v>
      </c>
      <c r="I1874">
        <f t="shared" ca="1" si="357"/>
        <v>0</v>
      </c>
      <c r="J1874" s="8">
        <f t="shared" ca="1" si="358"/>
        <v>163.30075576600638</v>
      </c>
      <c r="K1874" s="9" t="str">
        <f t="shared" ca="1" si="359"/>
        <v>WN</v>
      </c>
      <c r="L1874">
        <f ca="1">+_xlfn.IFNA(VLOOKUP(M1874,BespokeWindowsAreas!$B$2:$E$1999,4,FALSE),VLOOKUP(E1874,WindowTypeArea!$B$2:$C$113,2,FALSE))</f>
        <v>3.9975000000000001</v>
      </c>
      <c r="M1874">
        <f t="shared" ca="1" si="360"/>
        <v>4926066</v>
      </c>
    </row>
    <row r="1875" spans="1:13" x14ac:dyDescent="0.25">
      <c r="A1875">
        <f t="shared" ca="1" si="353"/>
        <v>5</v>
      </c>
      <c r="B1875">
        <f t="shared" ca="1" si="354"/>
        <v>156</v>
      </c>
      <c r="C1875" t="str">
        <f t="shared" ca="1" si="361"/>
        <v>'WINDOWS-NCH-A-BDP-M3-03-00'!B155</v>
      </c>
      <c r="D1875" s="6" t="str">
        <f t="shared" ca="1" si="362"/>
        <v>L03-PHA-PHA-S016-03</v>
      </c>
      <c r="E1875" t="str">
        <f t="shared" ca="1" si="363"/>
        <v>Family Type: Curtain Wall_975w x 3800h, Family: Window External Type 5 - Flush</v>
      </c>
      <c r="F1875" t="str">
        <f t="shared" ca="1" si="364"/>
        <v>Vector(X = -0.962, Y = 0.271, Z = 0.000, Length = 1.000)</v>
      </c>
      <c r="G1875">
        <f t="shared" ca="1" si="355"/>
        <v>-1</v>
      </c>
      <c r="H1875">
        <f t="shared" ca="1" si="356"/>
        <v>0.3</v>
      </c>
      <c r="I1875">
        <f t="shared" ca="1" si="357"/>
        <v>0</v>
      </c>
      <c r="J1875" s="8">
        <f t="shared" ca="1" si="358"/>
        <v>163.30075576600638</v>
      </c>
      <c r="K1875" s="9" t="str">
        <f t="shared" ca="1" si="359"/>
        <v>WN</v>
      </c>
      <c r="L1875">
        <f ca="1">+_xlfn.IFNA(VLOOKUP(M1875,BespokeWindowsAreas!$B$2:$E$1999,4,FALSE),VLOOKUP(E1875,WindowTypeArea!$B$2:$C$113,2,FALSE))</f>
        <v>3.9975000000000001</v>
      </c>
      <c r="M1875">
        <f t="shared" ca="1" si="360"/>
        <v>4926067</v>
      </c>
    </row>
    <row r="1876" spans="1:13" x14ac:dyDescent="0.25">
      <c r="A1876">
        <f t="shared" ref="A1876:A1939" ca="1" si="365">+IF(B1875&lt;=VLOOKUP(MID(C1876,2,26),TABS,2,FALSE),A1875,+A1875+1)</f>
        <v>5</v>
      </c>
      <c r="B1876">
        <f t="shared" ref="B1876:B1939" ca="1" si="366">+IF(B1875&lt;=VLOOKUP(MID(C1876,2,26),TABS,2,FALSE),B1875+1,1)</f>
        <v>157</v>
      </c>
      <c r="C1876" t="str">
        <f t="shared" ca="1" si="361"/>
        <v>'WINDOWS-NCH-A-BDP-M3-03-00'!B156</v>
      </c>
      <c r="D1876" s="6" t="str">
        <f t="shared" ca="1" si="362"/>
        <v>L03-PHA-PHA-S016-03</v>
      </c>
      <c r="E1876" t="str">
        <f t="shared" ca="1" si="363"/>
        <v>Family Type: Curtain Wall_1950w x 3800h, Family: Window External Type 5 - Flush</v>
      </c>
      <c r="F1876" t="str">
        <f t="shared" ca="1" si="364"/>
        <v>Vector(X = -0.962, Y = 0.271, Z = 0.000, Length = 1.000)</v>
      </c>
      <c r="G1876">
        <f t="shared" ca="1" si="355"/>
        <v>-1</v>
      </c>
      <c r="H1876">
        <f t="shared" ca="1" si="356"/>
        <v>0.3</v>
      </c>
      <c r="I1876">
        <f t="shared" ca="1" si="357"/>
        <v>0</v>
      </c>
      <c r="J1876" s="8">
        <f t="shared" ca="1" si="358"/>
        <v>163.30075576600638</v>
      </c>
      <c r="K1876" s="9" t="str">
        <f t="shared" ca="1" si="359"/>
        <v>WN</v>
      </c>
      <c r="L1876">
        <f ca="1">+_xlfn.IFNA(VLOOKUP(M1876,BespokeWindowsAreas!$B$2:$E$1999,4,FALSE),VLOOKUP(E1876,WindowTypeArea!$B$2:$C$113,2,FALSE))</f>
        <v>7.9950000000000001</v>
      </c>
      <c r="M1876">
        <f t="shared" ca="1" si="360"/>
        <v>4926068</v>
      </c>
    </row>
    <row r="1877" spans="1:13" x14ac:dyDescent="0.25">
      <c r="A1877">
        <f t="shared" ca="1" si="365"/>
        <v>5</v>
      </c>
      <c r="B1877">
        <f t="shared" ca="1" si="366"/>
        <v>158</v>
      </c>
      <c r="C1877" t="str">
        <f t="shared" ca="1" si="361"/>
        <v>'WINDOWS-NCH-A-BDP-M3-03-00'!B157</v>
      </c>
      <c r="D1877" s="6" t="str">
        <f t="shared" ca="1" si="362"/>
        <v>L03-PHA-PHA-S016-03</v>
      </c>
      <c r="E1877" t="str">
        <f t="shared" ca="1" si="363"/>
        <v>Family Type: Curtain Wall_1950w x 3800h, Family: Window External Type 5 - Flush</v>
      </c>
      <c r="F1877" t="str">
        <f t="shared" ca="1" si="364"/>
        <v>Vector(X = -0.212, Y = 0.977, Z = 0.000, Length = 1.000)</v>
      </c>
      <c r="G1877">
        <f t="shared" ca="1" si="355"/>
        <v>-0.2</v>
      </c>
      <c r="H1877">
        <f t="shared" ca="1" si="356"/>
        <v>1</v>
      </c>
      <c r="I1877">
        <f t="shared" ca="1" si="357"/>
        <v>0</v>
      </c>
      <c r="J1877" s="8">
        <f t="shared" ca="1" si="358"/>
        <v>101.3099324740202</v>
      </c>
      <c r="K1877" s="9" t="str">
        <f t="shared" ca="1" si="359"/>
        <v>N</v>
      </c>
      <c r="L1877">
        <f ca="1">+_xlfn.IFNA(VLOOKUP(M1877,BespokeWindowsAreas!$B$2:$E$1999,4,FALSE),VLOOKUP(E1877,WindowTypeArea!$B$2:$C$113,2,FALSE))</f>
        <v>7.9950000000000001</v>
      </c>
      <c r="M1877">
        <f t="shared" ca="1" si="360"/>
        <v>4940770</v>
      </c>
    </row>
    <row r="1878" spans="1:13" x14ac:dyDescent="0.25">
      <c r="A1878">
        <f t="shared" ca="1" si="365"/>
        <v>5</v>
      </c>
      <c r="B1878">
        <f t="shared" ca="1" si="366"/>
        <v>159</v>
      </c>
      <c r="C1878" t="str">
        <f t="shared" ca="1" si="361"/>
        <v>'WINDOWS-NCH-A-BDP-M3-03-00'!B158</v>
      </c>
      <c r="D1878" s="6" t="str">
        <f t="shared" ca="1" si="362"/>
        <v>L03-PHA-PHA-S016-03</v>
      </c>
      <c r="E1878" t="str">
        <f t="shared" ca="1" si="363"/>
        <v>Family Type: Curtain Wall_1950w x 3800h, Family: Window External Type 5 - Flush</v>
      </c>
      <c r="F1878" t="str">
        <f t="shared" ca="1" si="364"/>
        <v>Vector(X = -0.212, Y = 0.977, Z = 0.000, Length = 1.000)</v>
      </c>
      <c r="G1878">
        <f t="shared" ref="G1878:G1941" ca="1" si="367">+OFFSET(INDIRECT(C1878),0,2)</f>
        <v>-0.2</v>
      </c>
      <c r="H1878">
        <f t="shared" ref="H1878:H1941" ca="1" si="368">+OFFSET(INDIRECT(C1878),0,3)</f>
        <v>1</v>
      </c>
      <c r="I1878">
        <f t="shared" ref="I1878:I1941" ca="1" si="369">+OFFSET(INDIRECT(C1878),0,4)</f>
        <v>0</v>
      </c>
      <c r="J1878" s="8">
        <f t="shared" ref="J1878:J1941" ca="1" si="370">+DEGREES(ATAN2(G1878,H1878))</f>
        <v>101.3099324740202</v>
      </c>
      <c r="K1878" s="9" t="str">
        <f t="shared" ref="K1878:K1941" ca="1" si="371">VLOOKUP(J1878,$O$20:$P$36,2,-1)</f>
        <v>N</v>
      </c>
      <c r="L1878">
        <f ca="1">+_xlfn.IFNA(VLOOKUP(M1878,BespokeWindowsAreas!$B$2:$E$1999,4,FALSE),VLOOKUP(E1878,WindowTypeArea!$B$2:$C$113,2,FALSE))</f>
        <v>7.9950000000000001</v>
      </c>
      <c r="M1878">
        <f t="shared" ref="M1878:M1941" ca="1" si="372">+OFFSET(INDIRECT(C1878),0,5)</f>
        <v>4940771</v>
      </c>
    </row>
    <row r="1879" spans="1:13" x14ac:dyDescent="0.25">
      <c r="A1879">
        <f t="shared" ca="1" si="365"/>
        <v>5</v>
      </c>
      <c r="B1879">
        <f t="shared" ca="1" si="366"/>
        <v>160</v>
      </c>
      <c r="C1879" t="str">
        <f t="shared" ca="1" si="361"/>
        <v>'WINDOWS-NCH-A-BDP-M3-03-00'!B159</v>
      </c>
      <c r="D1879" s="6" t="str">
        <f t="shared" ca="1" si="362"/>
        <v>L03-PHA-PHA-S016-03</v>
      </c>
      <c r="E1879" t="str">
        <f t="shared" ca="1" si="363"/>
        <v>Family Type: Curtain Wall_1950w x 3800h, Family: Window External Type 5 - Flush</v>
      </c>
      <c r="F1879" t="str">
        <f t="shared" ca="1" si="364"/>
        <v>Vector(X = -0.212, Y = 0.977, Z = 0.000, Length = 1.000)</v>
      </c>
      <c r="G1879">
        <f t="shared" ca="1" si="367"/>
        <v>-0.2</v>
      </c>
      <c r="H1879">
        <f t="shared" ca="1" si="368"/>
        <v>1</v>
      </c>
      <c r="I1879">
        <f t="shared" ca="1" si="369"/>
        <v>0</v>
      </c>
      <c r="J1879" s="8">
        <f t="shared" ca="1" si="370"/>
        <v>101.3099324740202</v>
      </c>
      <c r="K1879" s="9" t="str">
        <f t="shared" ca="1" si="371"/>
        <v>N</v>
      </c>
      <c r="L1879">
        <f ca="1">+_xlfn.IFNA(VLOOKUP(M1879,BespokeWindowsAreas!$B$2:$E$1999,4,FALSE),VLOOKUP(E1879,WindowTypeArea!$B$2:$C$113,2,FALSE))</f>
        <v>7.9950000000000001</v>
      </c>
      <c r="M1879">
        <f t="shared" ca="1" si="372"/>
        <v>4940772</v>
      </c>
    </row>
    <row r="1880" spans="1:13" x14ac:dyDescent="0.25">
      <c r="A1880">
        <f t="shared" ca="1" si="365"/>
        <v>5</v>
      </c>
      <c r="B1880">
        <f t="shared" ca="1" si="366"/>
        <v>161</v>
      </c>
      <c r="C1880" t="str">
        <f t="shared" ca="1" si="361"/>
        <v>'WINDOWS-NCH-A-BDP-M3-03-00'!B160</v>
      </c>
      <c r="D1880" s="6" t="str">
        <f t="shared" ca="1" si="362"/>
        <v>L03-PHA-PHA-S016-03</v>
      </c>
      <c r="E1880" t="str">
        <f t="shared" ca="1" si="363"/>
        <v>Family Type: Curtain Wall_1950w x 3800h, Family: Window External Type 5 - Flush</v>
      </c>
      <c r="F1880" t="str">
        <f t="shared" ca="1" si="364"/>
        <v>Vector(X = -0.212, Y = 0.977, Z = 0.000, Length = 1.000)</v>
      </c>
      <c r="G1880">
        <f t="shared" ca="1" si="367"/>
        <v>-0.2</v>
      </c>
      <c r="H1880">
        <f t="shared" ca="1" si="368"/>
        <v>1</v>
      </c>
      <c r="I1880">
        <f t="shared" ca="1" si="369"/>
        <v>0</v>
      </c>
      <c r="J1880" s="8">
        <f t="shared" ca="1" si="370"/>
        <v>101.3099324740202</v>
      </c>
      <c r="K1880" s="9" t="str">
        <f t="shared" ca="1" si="371"/>
        <v>N</v>
      </c>
      <c r="L1880">
        <f ca="1">+_xlfn.IFNA(VLOOKUP(M1880,BespokeWindowsAreas!$B$2:$E$1999,4,FALSE),VLOOKUP(E1880,WindowTypeArea!$B$2:$C$113,2,FALSE))</f>
        <v>7.9950000000000001</v>
      </c>
      <c r="M1880">
        <f t="shared" ca="1" si="372"/>
        <v>4940773</v>
      </c>
    </row>
    <row r="1881" spans="1:13" x14ac:dyDescent="0.25">
      <c r="A1881">
        <f t="shared" ca="1" si="365"/>
        <v>5</v>
      </c>
      <c r="B1881">
        <f t="shared" ca="1" si="366"/>
        <v>162</v>
      </c>
      <c r="C1881" t="str">
        <f t="shared" ca="1" si="361"/>
        <v>'WINDOWS-NCH-A-BDP-M3-03-00'!B161</v>
      </c>
      <c r="D1881" s="6" t="str">
        <f t="shared" ca="1" si="362"/>
        <v>L03-PHA-PHA-S016-03</v>
      </c>
      <c r="E1881" t="str">
        <f t="shared" ca="1" si="363"/>
        <v>Family Type: Curtain Wall_975w x 3800h, Family: Window External Type 5 - Flush</v>
      </c>
      <c r="F1881" t="str">
        <f t="shared" ca="1" si="364"/>
        <v>Vector(X = -0.212, Y = 0.977, Z = 0.000, Length = 1.000)</v>
      </c>
      <c r="G1881">
        <f t="shared" ca="1" si="367"/>
        <v>-0.2</v>
      </c>
      <c r="H1881">
        <f t="shared" ca="1" si="368"/>
        <v>1</v>
      </c>
      <c r="I1881">
        <f t="shared" ca="1" si="369"/>
        <v>0</v>
      </c>
      <c r="J1881" s="8">
        <f t="shared" ca="1" si="370"/>
        <v>101.3099324740202</v>
      </c>
      <c r="K1881" s="9" t="str">
        <f t="shared" ca="1" si="371"/>
        <v>N</v>
      </c>
      <c r="L1881">
        <f ca="1">+_xlfn.IFNA(VLOOKUP(M1881,BespokeWindowsAreas!$B$2:$E$1999,4,FALSE),VLOOKUP(E1881,WindowTypeArea!$B$2:$C$113,2,FALSE))</f>
        <v>3.9975000000000001</v>
      </c>
      <c r="M1881">
        <f t="shared" ca="1" si="372"/>
        <v>4940774</v>
      </c>
    </row>
    <row r="1882" spans="1:13" x14ac:dyDescent="0.25">
      <c r="A1882">
        <f t="shared" ca="1" si="365"/>
        <v>5</v>
      </c>
      <c r="B1882">
        <f t="shared" ca="1" si="366"/>
        <v>163</v>
      </c>
      <c r="C1882" t="str">
        <f t="shared" ca="1" si="361"/>
        <v>'WINDOWS-NCH-A-BDP-M3-03-00'!B162</v>
      </c>
      <c r="D1882" s="6" t="str">
        <f t="shared" ca="1" si="362"/>
        <v>L03-PHA-PHA-S016-03</v>
      </c>
      <c r="E1882" t="str">
        <f t="shared" ca="1" si="363"/>
        <v>Family Type: Curtain Wall_1950w x 3800h, Family: Window External Type 5 - Flush</v>
      </c>
      <c r="F1882" t="str">
        <f t="shared" ca="1" si="364"/>
        <v>Vector(X = -0.212, Y = 0.977, Z = 0.000, Length = 1.000)</v>
      </c>
      <c r="G1882">
        <f t="shared" ca="1" si="367"/>
        <v>-0.2</v>
      </c>
      <c r="H1882">
        <f t="shared" ca="1" si="368"/>
        <v>1</v>
      </c>
      <c r="I1882">
        <f t="shared" ca="1" si="369"/>
        <v>0</v>
      </c>
      <c r="J1882" s="8">
        <f t="shared" ca="1" si="370"/>
        <v>101.3099324740202</v>
      </c>
      <c r="K1882" s="9" t="str">
        <f t="shared" ca="1" si="371"/>
        <v>N</v>
      </c>
      <c r="L1882">
        <f ca="1">+_xlfn.IFNA(VLOOKUP(M1882,BespokeWindowsAreas!$B$2:$E$1999,4,FALSE),VLOOKUP(E1882,WindowTypeArea!$B$2:$C$113,2,FALSE))</f>
        <v>7.9950000000000001</v>
      </c>
      <c r="M1882">
        <f t="shared" ca="1" si="372"/>
        <v>4940775</v>
      </c>
    </row>
    <row r="1883" spans="1:13" x14ac:dyDescent="0.25">
      <c r="A1883">
        <f t="shared" ca="1" si="365"/>
        <v>5</v>
      </c>
      <c r="B1883">
        <f t="shared" ca="1" si="366"/>
        <v>164</v>
      </c>
      <c r="C1883" t="str">
        <f t="shared" ca="1" si="361"/>
        <v>'WINDOWS-NCH-A-BDP-M3-03-00'!B163</v>
      </c>
      <c r="D1883" s="6" t="str">
        <f t="shared" ca="1" si="362"/>
        <v>L03-PHA-PHA-S016-03</v>
      </c>
      <c r="E1883" t="str">
        <f t="shared" ca="1" si="363"/>
        <v>Family Type: Curtain Wall_1950w x 3800h, Family: Window External Type 5 - Flush</v>
      </c>
      <c r="F1883" t="str">
        <f t="shared" ca="1" si="364"/>
        <v>Vector(X = -0.212, Y = 0.977, Z = 0.000, Length = 1.000)</v>
      </c>
      <c r="G1883">
        <f t="shared" ca="1" si="367"/>
        <v>-0.2</v>
      </c>
      <c r="H1883">
        <f t="shared" ca="1" si="368"/>
        <v>1</v>
      </c>
      <c r="I1883">
        <f t="shared" ca="1" si="369"/>
        <v>0</v>
      </c>
      <c r="J1883" s="8">
        <f t="shared" ca="1" si="370"/>
        <v>101.3099324740202</v>
      </c>
      <c r="K1883" s="9" t="str">
        <f t="shared" ca="1" si="371"/>
        <v>N</v>
      </c>
      <c r="L1883">
        <f ca="1">+_xlfn.IFNA(VLOOKUP(M1883,BespokeWindowsAreas!$B$2:$E$1999,4,FALSE),VLOOKUP(E1883,WindowTypeArea!$B$2:$C$113,2,FALSE))</f>
        <v>7.9950000000000001</v>
      </c>
      <c r="M1883">
        <f t="shared" ca="1" si="372"/>
        <v>4940776</v>
      </c>
    </row>
    <row r="1884" spans="1:13" x14ac:dyDescent="0.25">
      <c r="A1884">
        <f t="shared" ca="1" si="365"/>
        <v>5</v>
      </c>
      <c r="B1884">
        <f t="shared" ca="1" si="366"/>
        <v>165</v>
      </c>
      <c r="C1884" t="str">
        <f t="shared" ca="1" si="361"/>
        <v>'WINDOWS-NCH-A-BDP-M3-03-00'!B164</v>
      </c>
      <c r="D1884" s="6" t="str">
        <f t="shared" ca="1" si="362"/>
        <v>L03-PHA-PHA-S016-03</v>
      </c>
      <c r="E1884" t="str">
        <f t="shared" ca="1" si="363"/>
        <v>Family Type: Curtain Wall_1950w x 3800h, Family: Window External Type 5 - Flush</v>
      </c>
      <c r="F1884" t="str">
        <f t="shared" ca="1" si="364"/>
        <v>Vector(X = -0.212, Y = 0.977, Z = 0.000, Length = 1.000)</v>
      </c>
      <c r="G1884">
        <f t="shared" ca="1" si="367"/>
        <v>-0.2</v>
      </c>
      <c r="H1884">
        <f t="shared" ca="1" si="368"/>
        <v>1</v>
      </c>
      <c r="I1884">
        <f t="shared" ca="1" si="369"/>
        <v>0</v>
      </c>
      <c r="J1884" s="8">
        <f t="shared" ca="1" si="370"/>
        <v>101.3099324740202</v>
      </c>
      <c r="K1884" s="9" t="str">
        <f t="shared" ca="1" si="371"/>
        <v>N</v>
      </c>
      <c r="L1884">
        <f ca="1">+_xlfn.IFNA(VLOOKUP(M1884,BespokeWindowsAreas!$B$2:$E$1999,4,FALSE),VLOOKUP(E1884,WindowTypeArea!$B$2:$C$113,2,FALSE))</f>
        <v>7.9950000000000001</v>
      </c>
      <c r="M1884">
        <f t="shared" ca="1" si="372"/>
        <v>4940777</v>
      </c>
    </row>
    <row r="1885" spans="1:13" x14ac:dyDescent="0.25">
      <c r="A1885">
        <f t="shared" ca="1" si="365"/>
        <v>5</v>
      </c>
      <c r="B1885">
        <f t="shared" ca="1" si="366"/>
        <v>166</v>
      </c>
      <c r="C1885" t="str">
        <f t="shared" ca="1" si="361"/>
        <v>'WINDOWS-NCH-A-BDP-M3-03-00'!B165</v>
      </c>
      <c r="D1885" s="6" t="str">
        <f t="shared" ca="1" si="362"/>
        <v>L03-PHA-PHA-S016-03</v>
      </c>
      <c r="E1885" t="str">
        <f t="shared" ca="1" si="363"/>
        <v>Family Type: Curtain Wall_975w x 3800h, Family: Window External Type 5 - Flush</v>
      </c>
      <c r="F1885" t="str">
        <f t="shared" ca="1" si="364"/>
        <v>Vector(X = -0.212, Y = 0.977, Z = 0.000, Length = 1.000)</v>
      </c>
      <c r="G1885">
        <f t="shared" ca="1" si="367"/>
        <v>-0.2</v>
      </c>
      <c r="H1885">
        <f t="shared" ca="1" si="368"/>
        <v>1</v>
      </c>
      <c r="I1885">
        <f t="shared" ca="1" si="369"/>
        <v>0</v>
      </c>
      <c r="J1885" s="8">
        <f t="shared" ca="1" si="370"/>
        <v>101.3099324740202</v>
      </c>
      <c r="K1885" s="9" t="str">
        <f t="shared" ca="1" si="371"/>
        <v>N</v>
      </c>
      <c r="L1885">
        <f ca="1">+_xlfn.IFNA(VLOOKUP(M1885,BespokeWindowsAreas!$B$2:$E$1999,4,FALSE),VLOOKUP(E1885,WindowTypeArea!$B$2:$C$113,2,FALSE))</f>
        <v>3.9975000000000001</v>
      </c>
      <c r="M1885">
        <f t="shared" ca="1" si="372"/>
        <v>4940778</v>
      </c>
    </row>
    <row r="1886" spans="1:13" x14ac:dyDescent="0.25">
      <c r="A1886">
        <f t="shared" ca="1" si="365"/>
        <v>5</v>
      </c>
      <c r="B1886">
        <f t="shared" ca="1" si="366"/>
        <v>167</v>
      </c>
      <c r="C1886" t="str">
        <f t="shared" ca="1" si="361"/>
        <v>'WINDOWS-NCH-A-BDP-M3-03-00'!B166</v>
      </c>
      <c r="D1886" s="6" t="str">
        <f t="shared" ca="1" si="362"/>
        <v>L03-PHA-PHA-S016-03</v>
      </c>
      <c r="E1886" t="str">
        <f t="shared" ca="1" si="363"/>
        <v>Family Type: Curtain Wall_1950w x 3800h, Family: Window External Type 5 - Flush</v>
      </c>
      <c r="F1886" t="str">
        <f t="shared" ca="1" si="364"/>
        <v>Vector(X = -0.212, Y = 0.977, Z = 0.000, Length = 1.000)</v>
      </c>
      <c r="G1886">
        <f t="shared" ca="1" si="367"/>
        <v>-0.2</v>
      </c>
      <c r="H1886">
        <f t="shared" ca="1" si="368"/>
        <v>1</v>
      </c>
      <c r="I1886">
        <f t="shared" ca="1" si="369"/>
        <v>0</v>
      </c>
      <c r="J1886" s="8">
        <f t="shared" ca="1" si="370"/>
        <v>101.3099324740202</v>
      </c>
      <c r="K1886" s="9" t="str">
        <f t="shared" ca="1" si="371"/>
        <v>N</v>
      </c>
      <c r="L1886">
        <f ca="1">+_xlfn.IFNA(VLOOKUP(M1886,BespokeWindowsAreas!$B$2:$E$1999,4,FALSE),VLOOKUP(E1886,WindowTypeArea!$B$2:$C$113,2,FALSE))</f>
        <v>7.9950000000000001</v>
      </c>
      <c r="M1886">
        <f t="shared" ca="1" si="372"/>
        <v>4940779</v>
      </c>
    </row>
    <row r="1887" spans="1:13" x14ac:dyDescent="0.25">
      <c r="A1887">
        <f t="shared" ca="1" si="365"/>
        <v>5</v>
      </c>
      <c r="B1887">
        <f t="shared" ca="1" si="366"/>
        <v>168</v>
      </c>
      <c r="C1887" t="str">
        <f t="shared" ca="1" si="361"/>
        <v>'WINDOWS-NCH-A-BDP-M3-03-00'!B167</v>
      </c>
      <c r="D1887" s="6" t="str">
        <f t="shared" ca="1" si="362"/>
        <v>L03-PHA-PHA-S016-03</v>
      </c>
      <c r="E1887" t="str">
        <f t="shared" ca="1" si="363"/>
        <v>Family Type: Curtain Wall_1950w x 3800h, Family: Window External Type 5 - Flush</v>
      </c>
      <c r="F1887" t="str">
        <f t="shared" ca="1" si="364"/>
        <v>Vector(X = -0.212, Y = 0.977, Z = 0.000, Length = 1.000)</v>
      </c>
      <c r="G1887">
        <f t="shared" ca="1" si="367"/>
        <v>-0.2</v>
      </c>
      <c r="H1887">
        <f t="shared" ca="1" si="368"/>
        <v>1</v>
      </c>
      <c r="I1887">
        <f t="shared" ca="1" si="369"/>
        <v>0</v>
      </c>
      <c r="J1887" s="8">
        <f t="shared" ca="1" si="370"/>
        <v>101.3099324740202</v>
      </c>
      <c r="K1887" s="9" t="str">
        <f t="shared" ca="1" si="371"/>
        <v>N</v>
      </c>
      <c r="L1887">
        <f ca="1">+_xlfn.IFNA(VLOOKUP(M1887,BespokeWindowsAreas!$B$2:$E$1999,4,FALSE),VLOOKUP(E1887,WindowTypeArea!$B$2:$C$113,2,FALSE))</f>
        <v>7.9950000000000001</v>
      </c>
      <c r="M1887">
        <f t="shared" ca="1" si="372"/>
        <v>4940780</v>
      </c>
    </row>
    <row r="1888" spans="1:13" x14ac:dyDescent="0.25">
      <c r="A1888">
        <f t="shared" ca="1" si="365"/>
        <v>5</v>
      </c>
      <c r="B1888">
        <f t="shared" ca="1" si="366"/>
        <v>169</v>
      </c>
      <c r="C1888" t="str">
        <f t="shared" ca="1" si="361"/>
        <v>'WINDOWS-NCH-A-BDP-M3-03-00'!B168</v>
      </c>
      <c r="D1888" s="6" t="str">
        <f t="shared" ca="1" si="362"/>
        <v>L03-PHA-PHA-S016-03</v>
      </c>
      <c r="E1888" t="str">
        <f t="shared" ca="1" si="363"/>
        <v>Family Type: Curtain Wall_975w x 3800h, Family: Window External Type 5 - Flush</v>
      </c>
      <c r="F1888" t="str">
        <f t="shared" ca="1" si="364"/>
        <v>Vector(X = -0.212, Y = 0.977, Z = 0.000, Length = 1.000)</v>
      </c>
      <c r="G1888">
        <f t="shared" ca="1" si="367"/>
        <v>-0.2</v>
      </c>
      <c r="H1888">
        <f t="shared" ca="1" si="368"/>
        <v>1</v>
      </c>
      <c r="I1888">
        <f t="shared" ca="1" si="369"/>
        <v>0</v>
      </c>
      <c r="J1888" s="8">
        <f t="shared" ca="1" si="370"/>
        <v>101.3099324740202</v>
      </c>
      <c r="K1888" s="9" t="str">
        <f t="shared" ca="1" si="371"/>
        <v>N</v>
      </c>
      <c r="L1888">
        <f ca="1">+_xlfn.IFNA(VLOOKUP(M1888,BespokeWindowsAreas!$B$2:$E$1999,4,FALSE),VLOOKUP(E1888,WindowTypeArea!$B$2:$C$113,2,FALSE))</f>
        <v>3.9975000000000001</v>
      </c>
      <c r="M1888">
        <f t="shared" ca="1" si="372"/>
        <v>4940781</v>
      </c>
    </row>
    <row r="1889" spans="1:13" x14ac:dyDescent="0.25">
      <c r="A1889">
        <f t="shared" ca="1" si="365"/>
        <v>5</v>
      </c>
      <c r="B1889">
        <f t="shared" ca="1" si="366"/>
        <v>170</v>
      </c>
      <c r="C1889" t="str">
        <f t="shared" ca="1" si="361"/>
        <v>'WINDOWS-NCH-A-BDP-M3-03-00'!B169</v>
      </c>
      <c r="D1889" s="6" t="str">
        <f t="shared" ca="1" si="362"/>
        <v>L03-PHA-PHA-S016-03</v>
      </c>
      <c r="E1889" t="str">
        <f t="shared" ca="1" si="363"/>
        <v>Family Type: Curtain Wall_1950w x 3800h, Family: Window External Type 5 - Flush</v>
      </c>
      <c r="F1889" t="str">
        <f t="shared" ca="1" si="364"/>
        <v>Vector(X = -0.212, Y = 0.977, Z = 0.000, Length = 1.000)</v>
      </c>
      <c r="G1889">
        <f t="shared" ca="1" si="367"/>
        <v>-0.2</v>
      </c>
      <c r="H1889">
        <f t="shared" ca="1" si="368"/>
        <v>1</v>
      </c>
      <c r="I1889">
        <f t="shared" ca="1" si="369"/>
        <v>0</v>
      </c>
      <c r="J1889" s="8">
        <f t="shared" ca="1" si="370"/>
        <v>101.3099324740202</v>
      </c>
      <c r="K1889" s="9" t="str">
        <f t="shared" ca="1" si="371"/>
        <v>N</v>
      </c>
      <c r="L1889">
        <f ca="1">+_xlfn.IFNA(VLOOKUP(M1889,BespokeWindowsAreas!$B$2:$E$1999,4,FALSE),VLOOKUP(E1889,WindowTypeArea!$B$2:$C$113,2,FALSE))</f>
        <v>7.9950000000000001</v>
      </c>
      <c r="M1889">
        <f t="shared" ca="1" si="372"/>
        <v>4940782</v>
      </c>
    </row>
    <row r="1890" spans="1:13" x14ac:dyDescent="0.25">
      <c r="A1890">
        <f t="shared" ca="1" si="365"/>
        <v>5</v>
      </c>
      <c r="B1890">
        <f t="shared" ca="1" si="366"/>
        <v>171</v>
      </c>
      <c r="C1890" t="str">
        <f t="shared" ca="1" si="361"/>
        <v>'WINDOWS-NCH-A-BDP-M3-03-00'!B170</v>
      </c>
      <c r="D1890" s="6" t="str">
        <f t="shared" ca="1" si="362"/>
        <v>L03-PHA-PHA-S016-03</v>
      </c>
      <c r="E1890" t="str">
        <f t="shared" ca="1" si="363"/>
        <v>Family Type: Curtain Wall_Bespoke 1 - 1979.5 x 3800, Family: Window External Type 5 - Flush Instance Width</v>
      </c>
      <c r="F1890" t="str">
        <f t="shared" ca="1" si="364"/>
        <v>Vector(X = -0.212, Y = 0.977, Z = 0.000, Length = 1.000)</v>
      </c>
      <c r="G1890">
        <f t="shared" ca="1" si="367"/>
        <v>-0.2</v>
      </c>
      <c r="H1890">
        <f t="shared" ca="1" si="368"/>
        <v>1</v>
      </c>
      <c r="I1890">
        <f t="shared" ca="1" si="369"/>
        <v>0</v>
      </c>
      <c r="J1890" s="8">
        <f t="shared" ca="1" si="370"/>
        <v>101.3099324740202</v>
      </c>
      <c r="K1890" s="9" t="str">
        <f t="shared" ca="1" si="371"/>
        <v>N</v>
      </c>
      <c r="L1890">
        <f ca="1">+_xlfn.IFNA(VLOOKUP(M1890,BespokeWindowsAreas!$B$2:$E$1999,4,FALSE),VLOOKUP(E1890,WindowTypeArea!$B$2:$C$113,2,FALSE))</f>
        <v>6.1100249999997951</v>
      </c>
      <c r="M1890">
        <f t="shared" ca="1" si="372"/>
        <v>4940794</v>
      </c>
    </row>
    <row r="1891" spans="1:13" x14ac:dyDescent="0.25">
      <c r="A1891">
        <f t="shared" ca="1" si="365"/>
        <v>5</v>
      </c>
      <c r="B1891">
        <f t="shared" ca="1" si="366"/>
        <v>172</v>
      </c>
      <c r="C1891" t="str">
        <f t="shared" ca="1" si="361"/>
        <v>'WINDOWS-NCH-A-BDP-M3-03-00'!B171</v>
      </c>
      <c r="D1891" s="6" t="str">
        <f t="shared" ca="1" si="362"/>
        <v>L03-PHA-PHA-S016-03</v>
      </c>
      <c r="E1891" t="str">
        <f t="shared" ca="1" si="363"/>
        <v>Family Type: Curtain Wall_Bespoke 1 - 1979.5 x 3800, Family: Window External Type 5 - Flush Instance Width</v>
      </c>
      <c r="F1891" t="str">
        <f t="shared" ca="1" si="364"/>
        <v>Vector(X = -0.212, Y = 0.977, Z = 0.000, Length = 1.000)</v>
      </c>
      <c r="G1891">
        <f t="shared" ca="1" si="367"/>
        <v>-0.2</v>
      </c>
      <c r="H1891">
        <f t="shared" ca="1" si="368"/>
        <v>1</v>
      </c>
      <c r="I1891">
        <f t="shared" ca="1" si="369"/>
        <v>0</v>
      </c>
      <c r="J1891" s="8">
        <f t="shared" ca="1" si="370"/>
        <v>101.3099324740202</v>
      </c>
      <c r="K1891" s="9" t="str">
        <f t="shared" ca="1" si="371"/>
        <v>N</v>
      </c>
      <c r="L1891">
        <f ca="1">+_xlfn.IFNA(VLOOKUP(M1891,BespokeWindowsAreas!$B$2:$E$1999,4,FALSE),VLOOKUP(E1891,WindowTypeArea!$B$2:$C$113,2,FALSE))</f>
        <v>5.1044999999999998</v>
      </c>
      <c r="M1891">
        <f t="shared" ca="1" si="372"/>
        <v>5280085</v>
      </c>
    </row>
    <row r="1892" spans="1:13" x14ac:dyDescent="0.25">
      <c r="A1892">
        <f t="shared" ca="1" si="365"/>
        <v>5</v>
      </c>
      <c r="B1892">
        <f t="shared" ca="1" si="366"/>
        <v>173</v>
      </c>
      <c r="C1892" t="str">
        <f t="shared" ca="1" si="361"/>
        <v>'WINDOWS-NCH-A-BDP-M3-03-00'!B172</v>
      </c>
      <c r="D1892" s="6" t="str">
        <f t="shared" ca="1" si="362"/>
        <v>L03-PHA-PHA-S016-03</v>
      </c>
      <c r="E1892" t="str">
        <f t="shared" ca="1" si="363"/>
        <v>Family Type: Curtain Wall_Bespoke 1 - 1979.5 x 3800, Family: Window External Type 5 - Flush Instance Width</v>
      </c>
      <c r="F1892" t="str">
        <f t="shared" ca="1" si="364"/>
        <v>Vector(X = -0.212, Y = 0.977, Z = 0.000, Length = 1.000)</v>
      </c>
      <c r="G1892">
        <f t="shared" ca="1" si="367"/>
        <v>-0.2</v>
      </c>
      <c r="H1892">
        <f t="shared" ca="1" si="368"/>
        <v>1</v>
      </c>
      <c r="I1892">
        <f t="shared" ca="1" si="369"/>
        <v>0</v>
      </c>
      <c r="J1892" s="8">
        <f t="shared" ca="1" si="370"/>
        <v>101.3099324740202</v>
      </c>
      <c r="K1892" s="9" t="str">
        <f t="shared" ca="1" si="371"/>
        <v>N</v>
      </c>
      <c r="L1892">
        <f ca="1">+_xlfn.IFNA(VLOOKUP(M1892,BespokeWindowsAreas!$B$2:$E$1999,4,FALSE),VLOOKUP(E1892,WindowTypeArea!$B$2:$C$113,2,FALSE))</f>
        <v>5.1044999999999998</v>
      </c>
      <c r="M1892">
        <f t="shared" ca="1" si="372"/>
        <v>5280095</v>
      </c>
    </row>
    <row r="1893" spans="1:13" x14ac:dyDescent="0.25">
      <c r="A1893">
        <f t="shared" ca="1" si="365"/>
        <v>5</v>
      </c>
      <c r="B1893">
        <f t="shared" ca="1" si="366"/>
        <v>174</v>
      </c>
      <c r="C1893" t="str">
        <f t="shared" ca="1" si="361"/>
        <v>'WINDOWS-NCH-A-BDP-M3-03-00'!B173</v>
      </c>
      <c r="D1893" s="6" t="str">
        <f t="shared" ca="1" si="362"/>
        <v>L03-PHA-PHA-S016-03</v>
      </c>
      <c r="E1893" t="str">
        <f t="shared" ca="1" si="363"/>
        <v>Family Type: Curtain Wall_Bespoke 1 - 1979.5 x 3800, Family: Window External Type 5 - Flush Instance Width</v>
      </c>
      <c r="F1893" t="str">
        <f t="shared" ca="1" si="364"/>
        <v>Vector(X = -0.212, Y = 0.977, Z = 0.000, Length = 1.000)</v>
      </c>
      <c r="G1893">
        <f t="shared" ca="1" si="367"/>
        <v>-0.2</v>
      </c>
      <c r="H1893">
        <f t="shared" ca="1" si="368"/>
        <v>1</v>
      </c>
      <c r="I1893">
        <f t="shared" ca="1" si="369"/>
        <v>0</v>
      </c>
      <c r="J1893" s="8">
        <f t="shared" ca="1" si="370"/>
        <v>101.3099324740202</v>
      </c>
      <c r="K1893" s="9" t="str">
        <f t="shared" ca="1" si="371"/>
        <v>N</v>
      </c>
      <c r="L1893">
        <f ca="1">+_xlfn.IFNA(VLOOKUP(M1893,BespokeWindowsAreas!$B$2:$E$1999,4,FALSE),VLOOKUP(E1893,WindowTypeArea!$B$2:$C$113,2,FALSE))</f>
        <v>5.1044999999999998</v>
      </c>
      <c r="M1893">
        <f t="shared" ca="1" si="372"/>
        <v>5280136</v>
      </c>
    </row>
    <row r="1894" spans="1:13" x14ac:dyDescent="0.25">
      <c r="A1894">
        <f t="shared" ca="1" si="365"/>
        <v>5</v>
      </c>
      <c r="B1894">
        <f t="shared" ca="1" si="366"/>
        <v>175</v>
      </c>
      <c r="C1894" t="str">
        <f t="shared" ca="1" si="361"/>
        <v>'WINDOWS-NCH-A-BDP-M3-03-00'!B174</v>
      </c>
      <c r="D1894" s="6" t="str">
        <f t="shared" ca="1" si="362"/>
        <v>L03-PHA-PHA-S016-03</v>
      </c>
      <c r="E1894" t="str">
        <f t="shared" ca="1" si="363"/>
        <v>Family Type: Curtain Wall_Bespoke 1 - 1979.5 x 3800, Family: Window External Type 5 - Flush Instance Width</v>
      </c>
      <c r="F1894" t="str">
        <f t="shared" ca="1" si="364"/>
        <v>Vector(X = -0.212, Y = 0.977, Z = 0.000, Length = 1.000)</v>
      </c>
      <c r="G1894">
        <f t="shared" ca="1" si="367"/>
        <v>-0.2</v>
      </c>
      <c r="H1894">
        <f t="shared" ca="1" si="368"/>
        <v>1</v>
      </c>
      <c r="I1894">
        <f t="shared" ca="1" si="369"/>
        <v>0</v>
      </c>
      <c r="J1894" s="8">
        <f t="shared" ca="1" si="370"/>
        <v>101.3099324740202</v>
      </c>
      <c r="K1894" s="9" t="str">
        <f t="shared" ca="1" si="371"/>
        <v>N</v>
      </c>
      <c r="L1894">
        <f ca="1">+_xlfn.IFNA(VLOOKUP(M1894,BespokeWindowsAreas!$B$2:$E$1999,4,FALSE),VLOOKUP(E1894,WindowTypeArea!$B$2:$C$113,2,FALSE))</f>
        <v>5.1044999999999998</v>
      </c>
      <c r="M1894">
        <f t="shared" ca="1" si="372"/>
        <v>5280181</v>
      </c>
    </row>
    <row r="1895" spans="1:13" x14ac:dyDescent="0.25">
      <c r="A1895">
        <f t="shared" ca="1" si="365"/>
        <v>5</v>
      </c>
      <c r="B1895">
        <f t="shared" ca="1" si="366"/>
        <v>176</v>
      </c>
      <c r="C1895" t="str">
        <f t="shared" ca="1" si="361"/>
        <v>'WINDOWS-NCH-A-BDP-M3-03-00'!B175</v>
      </c>
      <c r="D1895" s="6" t="str">
        <f t="shared" ca="1" si="362"/>
        <v>L03-PHA-PHA-S016-03</v>
      </c>
      <c r="E1895" t="str">
        <f t="shared" ca="1" si="363"/>
        <v>Family Type: Curtain Wall_Bespoke 1 - 1979.5 x 3800, Family: Window External Type 5 - Flush Instance Width</v>
      </c>
      <c r="F1895" t="str">
        <f t="shared" ca="1" si="364"/>
        <v>Vector(X = -0.212, Y = 0.977, Z = 0.000, Length = 1.000)</v>
      </c>
      <c r="G1895">
        <f t="shared" ca="1" si="367"/>
        <v>-0.2</v>
      </c>
      <c r="H1895">
        <f t="shared" ca="1" si="368"/>
        <v>1</v>
      </c>
      <c r="I1895">
        <f t="shared" ca="1" si="369"/>
        <v>0</v>
      </c>
      <c r="J1895" s="8">
        <f t="shared" ca="1" si="370"/>
        <v>101.3099324740202</v>
      </c>
      <c r="K1895" s="9" t="str">
        <f t="shared" ca="1" si="371"/>
        <v>N</v>
      </c>
      <c r="L1895">
        <f ca="1">+_xlfn.IFNA(VLOOKUP(M1895,BespokeWindowsAreas!$B$2:$E$1999,4,FALSE),VLOOKUP(E1895,WindowTypeArea!$B$2:$C$113,2,FALSE))</f>
        <v>5.1044999999999998</v>
      </c>
      <c r="M1895">
        <f t="shared" ca="1" si="372"/>
        <v>5280256</v>
      </c>
    </row>
    <row r="1896" spans="1:13" x14ac:dyDescent="0.25">
      <c r="A1896">
        <f t="shared" ca="1" si="365"/>
        <v>5</v>
      </c>
      <c r="B1896">
        <f t="shared" ca="1" si="366"/>
        <v>177</v>
      </c>
      <c r="C1896" t="str">
        <f t="shared" ca="1" si="361"/>
        <v>'WINDOWS-NCH-A-BDP-M3-03-00'!B176</v>
      </c>
      <c r="D1896" s="6" t="str">
        <f t="shared" ca="1" si="362"/>
        <v>L03-PHA-PHA-S016-03</v>
      </c>
      <c r="E1896" t="str">
        <f t="shared" ca="1" si="363"/>
        <v>Family Type: Curtain Wall_Bespoke 1 - 1979.5 x 3800, Family: Window External Type 5 - Flush Instance Width</v>
      </c>
      <c r="F1896" t="str">
        <f t="shared" ca="1" si="364"/>
        <v>Vector(X = -0.212, Y = 0.977, Z = 0.000, Length = 1.000)</v>
      </c>
      <c r="G1896">
        <f t="shared" ca="1" si="367"/>
        <v>-0.2</v>
      </c>
      <c r="H1896">
        <f t="shared" ca="1" si="368"/>
        <v>1</v>
      </c>
      <c r="I1896">
        <f t="shared" ca="1" si="369"/>
        <v>0</v>
      </c>
      <c r="J1896" s="8">
        <f t="shared" ca="1" si="370"/>
        <v>101.3099324740202</v>
      </c>
      <c r="K1896" s="9" t="str">
        <f t="shared" ca="1" si="371"/>
        <v>N</v>
      </c>
      <c r="L1896">
        <f ca="1">+_xlfn.IFNA(VLOOKUP(M1896,BespokeWindowsAreas!$B$2:$E$1999,4,FALSE),VLOOKUP(E1896,WindowTypeArea!$B$2:$C$113,2,FALSE))</f>
        <v>5.1044999999999998</v>
      </c>
      <c r="M1896">
        <f t="shared" ca="1" si="372"/>
        <v>5280303</v>
      </c>
    </row>
    <row r="1897" spans="1:13" x14ac:dyDescent="0.25">
      <c r="A1897">
        <f t="shared" ca="1" si="365"/>
        <v>5</v>
      </c>
      <c r="B1897">
        <f t="shared" ca="1" si="366"/>
        <v>178</v>
      </c>
      <c r="C1897" t="str">
        <f t="shared" ca="1" si="361"/>
        <v>'WINDOWS-NCH-A-BDP-M3-03-00'!B177</v>
      </c>
      <c r="D1897" s="6" t="str">
        <f t="shared" ca="1" si="362"/>
        <v>L03-PHA-PHA-S016-03</v>
      </c>
      <c r="E1897" t="str">
        <f t="shared" ca="1" si="363"/>
        <v>Family Type: Curtain Wall_Bespoke 1 - 1979.5 x 3800, Family: Window External Type 5 - Flush Instance Width</v>
      </c>
      <c r="F1897" t="str">
        <f t="shared" ca="1" si="364"/>
        <v>Vector(X = -0.212, Y = 0.977, Z = 0.000, Length = 1.000)</v>
      </c>
      <c r="G1897">
        <f t="shared" ca="1" si="367"/>
        <v>-0.2</v>
      </c>
      <c r="H1897">
        <f t="shared" ca="1" si="368"/>
        <v>1</v>
      </c>
      <c r="I1897">
        <f t="shared" ca="1" si="369"/>
        <v>0</v>
      </c>
      <c r="J1897" s="8">
        <f t="shared" ca="1" si="370"/>
        <v>101.3099324740202</v>
      </c>
      <c r="K1897" s="9" t="str">
        <f t="shared" ca="1" si="371"/>
        <v>N</v>
      </c>
      <c r="L1897">
        <f ca="1">+_xlfn.IFNA(VLOOKUP(M1897,BespokeWindowsAreas!$B$2:$E$1999,4,FALSE),VLOOKUP(E1897,WindowTypeArea!$B$2:$C$113,2,FALSE))</f>
        <v>5.1044999999999998</v>
      </c>
      <c r="M1897">
        <f t="shared" ca="1" si="372"/>
        <v>5280392</v>
      </c>
    </row>
    <row r="1898" spans="1:13" x14ac:dyDescent="0.25">
      <c r="A1898">
        <f t="shared" ca="1" si="365"/>
        <v>5</v>
      </c>
      <c r="B1898">
        <f t="shared" ca="1" si="366"/>
        <v>179</v>
      </c>
      <c r="C1898" t="str">
        <f t="shared" ca="1" si="361"/>
        <v>'WINDOWS-NCH-A-BDP-M3-03-00'!B178</v>
      </c>
      <c r="D1898" s="6" t="str">
        <f t="shared" ca="1" si="362"/>
        <v>L03-PHA-PHA-S016-03</v>
      </c>
      <c r="E1898" t="str">
        <f t="shared" ca="1" si="363"/>
        <v>Family Type: Curtain Wall_Bespoke 1 - 1979.5 x 3800, Family: Window External Type 5 - Flush Instance Width</v>
      </c>
      <c r="F1898" t="str">
        <f t="shared" ca="1" si="364"/>
        <v>Vector(X = -0.212, Y = 0.977, Z = 0.000, Length = 1.000)</v>
      </c>
      <c r="G1898">
        <f t="shared" ca="1" si="367"/>
        <v>-0.2</v>
      </c>
      <c r="H1898">
        <f t="shared" ca="1" si="368"/>
        <v>1</v>
      </c>
      <c r="I1898">
        <f t="shared" ca="1" si="369"/>
        <v>0</v>
      </c>
      <c r="J1898" s="8">
        <f t="shared" ca="1" si="370"/>
        <v>101.3099324740202</v>
      </c>
      <c r="K1898" s="9" t="str">
        <f t="shared" ca="1" si="371"/>
        <v>N</v>
      </c>
      <c r="L1898">
        <f ca="1">+_xlfn.IFNA(VLOOKUP(M1898,BespokeWindowsAreas!$B$2:$E$1999,4,FALSE),VLOOKUP(E1898,WindowTypeArea!$B$2:$C$113,2,FALSE))</f>
        <v>5.1044999999999998</v>
      </c>
      <c r="M1898">
        <f t="shared" ca="1" si="372"/>
        <v>5280780</v>
      </c>
    </row>
    <row r="1899" spans="1:13" x14ac:dyDescent="0.25">
      <c r="A1899">
        <f t="shared" ca="1" si="365"/>
        <v>5</v>
      </c>
      <c r="B1899">
        <f t="shared" ca="1" si="366"/>
        <v>180</v>
      </c>
      <c r="C1899" t="str">
        <f t="shared" ref="C1899:C1962" ca="1" si="373">+"'"&amp;INDIRECT("a"&amp;A1898)&amp;"'!B"&amp;B1898</f>
        <v>'WINDOWS-NCH-A-BDP-M3-03-00'!B179</v>
      </c>
      <c r="D1899" s="6" t="str">
        <f t="shared" ref="D1899:D1962" ca="1" si="374">+IF(IFERROR(FIND("Family",E1899)&gt;0,FALSE),D1898,E1899)</f>
        <v>L03-PHA-PHA-S016-03</v>
      </c>
      <c r="E1899" t="str">
        <f t="shared" ref="E1899:E1962" ca="1" si="375">+OFFSET(INDIRECT(C1899),0,0)</f>
        <v>Family Type: Curtain Wall_Bespoke 1 - 1979.5 x 3800, Family: Window External Type 5 - Flush Instance Width</v>
      </c>
      <c r="F1899" t="str">
        <f t="shared" ref="F1899:F1962" ca="1" si="376">+OFFSET(INDIRECT(C1899),0,1)</f>
        <v>Vector(X = -0.212, Y = 0.977, Z = 0.000, Length = 1.000)</v>
      </c>
      <c r="G1899">
        <f t="shared" ca="1" si="367"/>
        <v>-0.2</v>
      </c>
      <c r="H1899">
        <f t="shared" ca="1" si="368"/>
        <v>1</v>
      </c>
      <c r="I1899">
        <f t="shared" ca="1" si="369"/>
        <v>0</v>
      </c>
      <c r="J1899" s="8">
        <f t="shared" ca="1" si="370"/>
        <v>101.3099324740202</v>
      </c>
      <c r="K1899" s="9" t="str">
        <f t="shared" ca="1" si="371"/>
        <v>N</v>
      </c>
      <c r="L1899">
        <f ca="1">+_xlfn.IFNA(VLOOKUP(M1899,BespokeWindowsAreas!$B$2:$E$1999,4,FALSE),VLOOKUP(E1899,WindowTypeArea!$B$2:$C$113,2,FALSE))</f>
        <v>1.2450000000000001</v>
      </c>
      <c r="M1899">
        <f t="shared" ca="1" si="372"/>
        <v>5282405</v>
      </c>
    </row>
    <row r="1900" spans="1:13" x14ac:dyDescent="0.25">
      <c r="A1900">
        <f t="shared" ca="1" si="365"/>
        <v>5</v>
      </c>
      <c r="B1900">
        <f t="shared" ca="1" si="366"/>
        <v>181</v>
      </c>
      <c r="C1900" t="str">
        <f t="shared" ca="1" si="373"/>
        <v>'WINDOWS-NCH-A-BDP-M3-03-00'!B180</v>
      </c>
      <c r="D1900" s="6" t="str">
        <f t="shared" ca="1" si="374"/>
        <v>L03-PHA-PHA-S016-03</v>
      </c>
      <c r="E1900" t="str">
        <f t="shared" ca="1" si="375"/>
        <v>Family Type: Curtain Wall_Bespoke 1 - 1979.5 x 3800, Family: Window External Type 5 - Flush Instance Width</v>
      </c>
      <c r="F1900" t="str">
        <f t="shared" ca="1" si="376"/>
        <v>Vector(X = -0.212, Y = 0.977, Z = 0.000, Length = 1.000)</v>
      </c>
      <c r="G1900">
        <f t="shared" ca="1" si="367"/>
        <v>-0.2</v>
      </c>
      <c r="H1900">
        <f t="shared" ca="1" si="368"/>
        <v>1</v>
      </c>
      <c r="I1900">
        <f t="shared" ca="1" si="369"/>
        <v>0</v>
      </c>
      <c r="J1900" s="8">
        <f t="shared" ca="1" si="370"/>
        <v>101.3099324740202</v>
      </c>
      <c r="K1900" s="9" t="str">
        <f t="shared" ca="1" si="371"/>
        <v>N</v>
      </c>
      <c r="L1900">
        <f ca="1">+_xlfn.IFNA(VLOOKUP(M1900,BespokeWindowsAreas!$B$2:$E$1999,4,FALSE),VLOOKUP(E1900,WindowTypeArea!$B$2:$C$113,2,FALSE))</f>
        <v>1.2450000000000001</v>
      </c>
      <c r="M1900">
        <f t="shared" ca="1" si="372"/>
        <v>5282406</v>
      </c>
    </row>
    <row r="1901" spans="1:13" x14ac:dyDescent="0.25">
      <c r="A1901">
        <f t="shared" ca="1" si="365"/>
        <v>5</v>
      </c>
      <c r="B1901">
        <f t="shared" ca="1" si="366"/>
        <v>182</v>
      </c>
      <c r="C1901" t="str">
        <f t="shared" ca="1" si="373"/>
        <v>'WINDOWS-NCH-A-BDP-M3-03-00'!B181</v>
      </c>
      <c r="D1901" s="6" t="str">
        <f t="shared" ca="1" si="374"/>
        <v>L03-PHA-PHA-S016-03</v>
      </c>
      <c r="E1901" t="str">
        <f t="shared" ca="1" si="375"/>
        <v>Family Type: Curtain Wall_Bespoke 1 - 1979.5 x 3800, Family: Window External Type 5 - Flush Instance Width</v>
      </c>
      <c r="F1901" t="str">
        <f t="shared" ca="1" si="376"/>
        <v>Vector(X = -0.212, Y = 0.977, Z = 0.000, Length = 1.000)</v>
      </c>
      <c r="G1901">
        <f t="shared" ca="1" si="367"/>
        <v>-0.2</v>
      </c>
      <c r="H1901">
        <f t="shared" ca="1" si="368"/>
        <v>1</v>
      </c>
      <c r="I1901">
        <f t="shared" ca="1" si="369"/>
        <v>0</v>
      </c>
      <c r="J1901" s="8">
        <f t="shared" ca="1" si="370"/>
        <v>101.3099324740202</v>
      </c>
      <c r="K1901" s="9" t="str">
        <f t="shared" ca="1" si="371"/>
        <v>N</v>
      </c>
      <c r="L1901">
        <f ca="1">+_xlfn.IFNA(VLOOKUP(M1901,BespokeWindowsAreas!$B$2:$E$1999,4,FALSE),VLOOKUP(E1901,WindowTypeArea!$B$2:$C$113,2,FALSE))</f>
        <v>1.2450000000000001</v>
      </c>
      <c r="M1901">
        <f t="shared" ca="1" si="372"/>
        <v>5282407</v>
      </c>
    </row>
    <row r="1902" spans="1:13" x14ac:dyDescent="0.25">
      <c r="A1902">
        <f t="shared" ca="1" si="365"/>
        <v>5</v>
      </c>
      <c r="B1902">
        <f t="shared" ca="1" si="366"/>
        <v>183</v>
      </c>
      <c r="C1902" t="str">
        <f t="shared" ca="1" si="373"/>
        <v>'WINDOWS-NCH-A-BDP-M3-03-00'!B182</v>
      </c>
      <c r="D1902" s="6" t="str">
        <f t="shared" ca="1" si="374"/>
        <v>L03-PHA-PHA-S016-03</v>
      </c>
      <c r="E1902" t="str">
        <f t="shared" ca="1" si="375"/>
        <v>Family Type: Curtain Wall_Bespoke 1 - 1979.5 x 3800, Family: Window External Type 5 - Flush Instance Width</v>
      </c>
      <c r="F1902" t="str">
        <f t="shared" ca="1" si="376"/>
        <v>Vector(X = -0.212, Y = 0.977, Z = 0.000, Length = 1.000)</v>
      </c>
      <c r="G1902">
        <f t="shared" ca="1" si="367"/>
        <v>-0.2</v>
      </c>
      <c r="H1902">
        <f t="shared" ca="1" si="368"/>
        <v>1</v>
      </c>
      <c r="I1902">
        <f t="shared" ca="1" si="369"/>
        <v>0</v>
      </c>
      <c r="J1902" s="8">
        <f t="shared" ca="1" si="370"/>
        <v>101.3099324740202</v>
      </c>
      <c r="K1902" s="9" t="str">
        <f t="shared" ca="1" si="371"/>
        <v>N</v>
      </c>
      <c r="L1902">
        <f ca="1">+_xlfn.IFNA(VLOOKUP(M1902,BespokeWindowsAreas!$B$2:$E$1999,4,FALSE),VLOOKUP(E1902,WindowTypeArea!$B$2:$C$113,2,FALSE))</f>
        <v>1.2450000000000001</v>
      </c>
      <c r="M1902">
        <f t="shared" ca="1" si="372"/>
        <v>5282408</v>
      </c>
    </row>
    <row r="1903" spans="1:13" x14ac:dyDescent="0.25">
      <c r="A1903">
        <f t="shared" ca="1" si="365"/>
        <v>5</v>
      </c>
      <c r="B1903">
        <f t="shared" ca="1" si="366"/>
        <v>184</v>
      </c>
      <c r="C1903" t="str">
        <f t="shared" ca="1" si="373"/>
        <v>'WINDOWS-NCH-A-BDP-M3-03-00'!B183</v>
      </c>
      <c r="D1903" s="6" t="str">
        <f t="shared" ca="1" si="374"/>
        <v>L03-PHA-PHA-S016-03</v>
      </c>
      <c r="E1903" t="str">
        <f t="shared" ca="1" si="375"/>
        <v>Family Type: Curtain Wall_Bespoke 1 - 1979.5 x 3800, Family: Window External Type 5 - Flush Instance Width</v>
      </c>
      <c r="F1903" t="str">
        <f t="shared" ca="1" si="376"/>
        <v>Vector(X = -0.212, Y = 0.977, Z = 0.000, Length = 1.000)</v>
      </c>
      <c r="G1903">
        <f t="shared" ca="1" si="367"/>
        <v>-0.2</v>
      </c>
      <c r="H1903">
        <f t="shared" ca="1" si="368"/>
        <v>1</v>
      </c>
      <c r="I1903">
        <f t="shared" ca="1" si="369"/>
        <v>0</v>
      </c>
      <c r="J1903" s="8">
        <f t="shared" ca="1" si="370"/>
        <v>101.3099324740202</v>
      </c>
      <c r="K1903" s="9" t="str">
        <f t="shared" ca="1" si="371"/>
        <v>N</v>
      </c>
      <c r="L1903">
        <f ca="1">+_xlfn.IFNA(VLOOKUP(M1903,BespokeWindowsAreas!$B$2:$E$1999,4,FALSE),VLOOKUP(E1903,WindowTypeArea!$B$2:$C$113,2,FALSE))</f>
        <v>1.2450000000000001</v>
      </c>
      <c r="M1903">
        <f t="shared" ca="1" si="372"/>
        <v>5282409</v>
      </c>
    </row>
    <row r="1904" spans="1:13" x14ac:dyDescent="0.25">
      <c r="A1904">
        <f t="shared" ca="1" si="365"/>
        <v>5</v>
      </c>
      <c r="B1904">
        <f t="shared" ca="1" si="366"/>
        <v>185</v>
      </c>
      <c r="C1904" t="str">
        <f t="shared" ca="1" si="373"/>
        <v>'WINDOWS-NCH-A-BDP-M3-03-00'!B184</v>
      </c>
      <c r="D1904" s="6" t="str">
        <f t="shared" ca="1" si="374"/>
        <v>L03-PHA-PHA-S016-03</v>
      </c>
      <c r="E1904" t="str">
        <f t="shared" ca="1" si="375"/>
        <v>Family Type: Curtain Wall_Bespoke 1 - 1979.5 x 3800, Family: Window External Type 5 - Flush Instance Width</v>
      </c>
      <c r="F1904" t="str">
        <f t="shared" ca="1" si="376"/>
        <v>Vector(X = -0.212, Y = 0.977, Z = 0.000, Length = 1.000)</v>
      </c>
      <c r="G1904">
        <f t="shared" ca="1" si="367"/>
        <v>-0.2</v>
      </c>
      <c r="H1904">
        <f t="shared" ca="1" si="368"/>
        <v>1</v>
      </c>
      <c r="I1904">
        <f t="shared" ca="1" si="369"/>
        <v>0</v>
      </c>
      <c r="J1904" s="8">
        <f t="shared" ca="1" si="370"/>
        <v>101.3099324740202</v>
      </c>
      <c r="K1904" s="9" t="str">
        <f t="shared" ca="1" si="371"/>
        <v>N</v>
      </c>
      <c r="L1904">
        <f ca="1">+_xlfn.IFNA(VLOOKUP(M1904,BespokeWindowsAreas!$B$2:$E$1999,4,FALSE),VLOOKUP(E1904,WindowTypeArea!$B$2:$C$113,2,FALSE))</f>
        <v>1.2450000000000001</v>
      </c>
      <c r="M1904">
        <f t="shared" ca="1" si="372"/>
        <v>5282410</v>
      </c>
    </row>
    <row r="1905" spans="1:13" x14ac:dyDescent="0.25">
      <c r="A1905">
        <f t="shared" ca="1" si="365"/>
        <v>5</v>
      </c>
      <c r="B1905">
        <f t="shared" ca="1" si="366"/>
        <v>186</v>
      </c>
      <c r="C1905" t="str">
        <f t="shared" ca="1" si="373"/>
        <v>'WINDOWS-NCH-A-BDP-M3-03-00'!B185</v>
      </c>
      <c r="D1905" s="6" t="str">
        <f t="shared" ca="1" si="374"/>
        <v>L03-PHA-PHA-S016-03</v>
      </c>
      <c r="E1905" t="str">
        <f t="shared" ca="1" si="375"/>
        <v>Family Type: Curtain Wall_Bespoke 1 - 1979.5 x 3800, Family: Window External Type 5 - Flush Instance Width</v>
      </c>
      <c r="F1905" t="str">
        <f t="shared" ca="1" si="376"/>
        <v>Vector(X = -0.212, Y = 0.977, Z = 0.000, Length = 1.000)</v>
      </c>
      <c r="G1905">
        <f t="shared" ca="1" si="367"/>
        <v>-0.2</v>
      </c>
      <c r="H1905">
        <f t="shared" ca="1" si="368"/>
        <v>1</v>
      </c>
      <c r="I1905">
        <f t="shared" ca="1" si="369"/>
        <v>0</v>
      </c>
      <c r="J1905" s="8">
        <f t="shared" ca="1" si="370"/>
        <v>101.3099324740202</v>
      </c>
      <c r="K1905" s="9" t="str">
        <f t="shared" ca="1" si="371"/>
        <v>N</v>
      </c>
      <c r="L1905">
        <f ca="1">+_xlfn.IFNA(VLOOKUP(M1905,BespokeWindowsAreas!$B$2:$E$1999,4,FALSE),VLOOKUP(E1905,WindowTypeArea!$B$2:$C$113,2,FALSE))</f>
        <v>1.2450000000000001</v>
      </c>
      <c r="M1905">
        <f t="shared" ca="1" si="372"/>
        <v>5282411</v>
      </c>
    </row>
    <row r="1906" spans="1:13" x14ac:dyDescent="0.25">
      <c r="A1906">
        <f t="shared" ca="1" si="365"/>
        <v>5</v>
      </c>
      <c r="B1906">
        <f t="shared" ca="1" si="366"/>
        <v>187</v>
      </c>
      <c r="C1906" t="str">
        <f t="shared" ca="1" si="373"/>
        <v>'WINDOWS-NCH-A-BDP-M3-03-00'!B186</v>
      </c>
      <c r="D1906" s="6" t="str">
        <f t="shared" ca="1" si="374"/>
        <v>L03-PHA-PHA-S016-03</v>
      </c>
      <c r="E1906" t="str">
        <f t="shared" ca="1" si="375"/>
        <v>Family Type: Curtain Wall_Bespoke 1 - 1979.5 x 3800, Family: Window External Type 5 - Flush Instance Width</v>
      </c>
      <c r="F1906" t="str">
        <f t="shared" ca="1" si="376"/>
        <v>Vector(X = -0.212, Y = 0.977, Z = 0.000, Length = 1.000)</v>
      </c>
      <c r="G1906">
        <f t="shared" ca="1" si="367"/>
        <v>-0.2</v>
      </c>
      <c r="H1906">
        <f t="shared" ca="1" si="368"/>
        <v>1</v>
      </c>
      <c r="I1906">
        <f t="shared" ca="1" si="369"/>
        <v>0</v>
      </c>
      <c r="J1906" s="8">
        <f t="shared" ca="1" si="370"/>
        <v>101.3099324740202</v>
      </c>
      <c r="K1906" s="9" t="str">
        <f t="shared" ca="1" si="371"/>
        <v>N</v>
      </c>
      <c r="L1906">
        <f ca="1">+_xlfn.IFNA(VLOOKUP(M1906,BespokeWindowsAreas!$B$2:$E$1999,4,FALSE),VLOOKUP(E1906,WindowTypeArea!$B$2:$C$113,2,FALSE))</f>
        <v>1.2450000000000001</v>
      </c>
      <c r="M1906">
        <f t="shared" ca="1" si="372"/>
        <v>5282412</v>
      </c>
    </row>
    <row r="1907" spans="1:13" x14ac:dyDescent="0.25">
      <c r="A1907">
        <f t="shared" ca="1" si="365"/>
        <v>5</v>
      </c>
      <c r="B1907">
        <f t="shared" ca="1" si="366"/>
        <v>188</v>
      </c>
      <c r="C1907" t="str">
        <f t="shared" ca="1" si="373"/>
        <v>'WINDOWS-NCH-A-BDP-M3-03-00'!B187</v>
      </c>
      <c r="D1907" s="6" t="str">
        <f t="shared" ca="1" si="374"/>
        <v>L03-PHA-PHA-S016-03</v>
      </c>
      <c r="E1907" t="str">
        <f t="shared" ca="1" si="375"/>
        <v>Family Type: Curtain Wall_Bespoke 1 - 1979.5 x 3800, Family: Window External Type 5 - Flush Instance Width</v>
      </c>
      <c r="F1907" t="str">
        <f t="shared" ca="1" si="376"/>
        <v>Vector(X = -0.212, Y = 0.977, Z = 0.000, Length = 1.000)</v>
      </c>
      <c r="G1907">
        <f t="shared" ca="1" si="367"/>
        <v>-0.2</v>
      </c>
      <c r="H1907">
        <f t="shared" ca="1" si="368"/>
        <v>1</v>
      </c>
      <c r="I1907">
        <f t="shared" ca="1" si="369"/>
        <v>0</v>
      </c>
      <c r="J1907" s="8">
        <f t="shared" ca="1" si="370"/>
        <v>101.3099324740202</v>
      </c>
      <c r="K1907" s="9" t="str">
        <f t="shared" ca="1" si="371"/>
        <v>N</v>
      </c>
      <c r="L1907">
        <f ca="1">+_xlfn.IFNA(VLOOKUP(M1907,BespokeWindowsAreas!$B$2:$E$1999,4,FALSE),VLOOKUP(E1907,WindowTypeArea!$B$2:$C$113,2,FALSE))</f>
        <v>4.979450000002255</v>
      </c>
      <c r="M1907">
        <f t="shared" ca="1" si="372"/>
        <v>5282679</v>
      </c>
    </row>
    <row r="1908" spans="1:13" x14ac:dyDescent="0.25">
      <c r="A1908">
        <f t="shared" ca="1" si="365"/>
        <v>5</v>
      </c>
      <c r="B1908">
        <f t="shared" ca="1" si="366"/>
        <v>189</v>
      </c>
      <c r="C1908" t="str">
        <f t="shared" ca="1" si="373"/>
        <v>'WINDOWS-NCH-A-BDP-M3-03-00'!B188</v>
      </c>
      <c r="D1908" s="6" t="str">
        <f t="shared" ca="1" si="374"/>
        <v>L03-PHA-PHA-S016-03</v>
      </c>
      <c r="E1908" t="str">
        <f t="shared" ca="1" si="375"/>
        <v>Family Type: 975w x 3050h, Family: Window External Type 1 - Recessed</v>
      </c>
      <c r="F1908" t="str">
        <f t="shared" ca="1" si="376"/>
        <v>Vector(X = 0.212, Y = -0.977, Z = 0.000, Length = 1.000)</v>
      </c>
      <c r="G1908">
        <f t="shared" ca="1" si="367"/>
        <v>0.2</v>
      </c>
      <c r="H1908">
        <f t="shared" ca="1" si="368"/>
        <v>-1</v>
      </c>
      <c r="I1908">
        <f t="shared" ca="1" si="369"/>
        <v>0</v>
      </c>
      <c r="J1908" s="8">
        <f t="shared" ca="1" si="370"/>
        <v>-78.690067525979785</v>
      </c>
      <c r="K1908" s="9" t="str">
        <f t="shared" ca="1" si="371"/>
        <v>S</v>
      </c>
      <c r="L1908">
        <f ca="1">+_xlfn.IFNA(VLOOKUP(M1908,BespokeWindowsAreas!$B$2:$E$1999,4,FALSE),VLOOKUP(E1908,WindowTypeArea!$B$2:$C$113,2,FALSE))</f>
        <v>2.9737499999999999</v>
      </c>
      <c r="M1908">
        <f t="shared" ca="1" si="372"/>
        <v>5711799</v>
      </c>
    </row>
    <row r="1909" spans="1:13" x14ac:dyDescent="0.25">
      <c r="A1909">
        <f t="shared" ca="1" si="365"/>
        <v>5</v>
      </c>
      <c r="B1909">
        <f t="shared" ca="1" si="366"/>
        <v>190</v>
      </c>
      <c r="C1909" t="str">
        <f t="shared" ca="1" si="373"/>
        <v>'WINDOWS-NCH-A-BDP-M3-03-00'!B189</v>
      </c>
      <c r="D1909" s="6" t="str">
        <f t="shared" ca="1" si="374"/>
        <v>L03-PHA-PHA-S062-02</v>
      </c>
      <c r="E1909" t="str">
        <f t="shared" ca="1" si="375"/>
        <v>L03-PHA-PHA-S062-02</v>
      </c>
      <c r="F1909">
        <f t="shared" ca="1" si="376"/>
        <v>1296403</v>
      </c>
      <c r="G1909">
        <f t="shared" ca="1" si="367"/>
        <v>0</v>
      </c>
      <c r="H1909">
        <f t="shared" ca="1" si="368"/>
        <v>0</v>
      </c>
      <c r="I1909">
        <f t="shared" ca="1" si="369"/>
        <v>0</v>
      </c>
      <c r="J1909" s="8" t="e">
        <f t="shared" ca="1" si="370"/>
        <v>#DIV/0!</v>
      </c>
      <c r="K1909" s="9" t="e">
        <f t="shared" ca="1" si="371"/>
        <v>#DIV/0!</v>
      </c>
      <c r="L1909" t="e">
        <f ca="1">+_xlfn.IFNA(VLOOKUP(M1909,BespokeWindowsAreas!$B$2:$E$1999,4,FALSE),VLOOKUP(E1909,WindowTypeArea!$B$2:$C$113,2,FALSE))</f>
        <v>#N/A</v>
      </c>
      <c r="M1909">
        <f t="shared" ca="1" si="372"/>
        <v>0</v>
      </c>
    </row>
    <row r="1910" spans="1:13" x14ac:dyDescent="0.25">
      <c r="A1910">
        <f t="shared" ca="1" si="365"/>
        <v>5</v>
      </c>
      <c r="B1910">
        <f t="shared" ca="1" si="366"/>
        <v>191</v>
      </c>
      <c r="C1910" t="str">
        <f t="shared" ca="1" si="373"/>
        <v>'WINDOWS-NCH-A-BDP-M3-03-00'!B190</v>
      </c>
      <c r="D1910" s="6" t="str">
        <f t="shared" ca="1" si="374"/>
        <v>L03-PHA-PHA-S062-02</v>
      </c>
      <c r="E1910" t="str">
        <f t="shared" ca="1" si="375"/>
        <v>Family Type: Curtain Wall_1950w x 3800h, Family: Window External Type 5 - Flush</v>
      </c>
      <c r="F1910" t="str">
        <f t="shared" ca="1" si="376"/>
        <v>Vector(X = -0.212, Y = 0.977, Z = 0.000, Length = 1.000)</v>
      </c>
      <c r="G1910">
        <f t="shared" ca="1" si="367"/>
        <v>-0.2</v>
      </c>
      <c r="H1910">
        <f t="shared" ca="1" si="368"/>
        <v>1</v>
      </c>
      <c r="I1910">
        <f t="shared" ca="1" si="369"/>
        <v>0</v>
      </c>
      <c r="J1910" s="8">
        <f t="shared" ca="1" si="370"/>
        <v>101.3099324740202</v>
      </c>
      <c r="K1910" s="9" t="str">
        <f t="shared" ca="1" si="371"/>
        <v>N</v>
      </c>
      <c r="L1910">
        <f ca="1">+_xlfn.IFNA(VLOOKUP(M1910,BespokeWindowsAreas!$B$2:$E$1999,4,FALSE),VLOOKUP(E1910,WindowTypeArea!$B$2:$C$113,2,FALSE))</f>
        <v>7.9950000000000001</v>
      </c>
      <c r="M1910">
        <f t="shared" ca="1" si="372"/>
        <v>4940804</v>
      </c>
    </row>
    <row r="1911" spans="1:13" x14ac:dyDescent="0.25">
      <c r="A1911">
        <f t="shared" ca="1" si="365"/>
        <v>5</v>
      </c>
      <c r="B1911">
        <f t="shared" ca="1" si="366"/>
        <v>192</v>
      </c>
      <c r="C1911" t="str">
        <f t="shared" ca="1" si="373"/>
        <v>'WINDOWS-NCH-A-BDP-M3-03-00'!B191</v>
      </c>
      <c r="D1911" s="6" t="str">
        <f t="shared" ca="1" si="374"/>
        <v>L03-PHA-PHA-S062-02</v>
      </c>
      <c r="E1911" t="str">
        <f t="shared" ca="1" si="375"/>
        <v>Family Type: Curtain Wall_975w x 3800h, Family: Window External Type 5 - Flush</v>
      </c>
      <c r="F1911" t="str">
        <f t="shared" ca="1" si="376"/>
        <v>Vector(X = -0.212, Y = 0.977, Z = 0.000, Length = 1.000)</v>
      </c>
      <c r="G1911">
        <f t="shared" ca="1" si="367"/>
        <v>-0.2</v>
      </c>
      <c r="H1911">
        <f t="shared" ca="1" si="368"/>
        <v>1</v>
      </c>
      <c r="I1911">
        <f t="shared" ca="1" si="369"/>
        <v>0</v>
      </c>
      <c r="J1911" s="8">
        <f t="shared" ca="1" si="370"/>
        <v>101.3099324740202</v>
      </c>
      <c r="K1911" s="9" t="str">
        <f t="shared" ca="1" si="371"/>
        <v>N</v>
      </c>
      <c r="L1911">
        <f ca="1">+_xlfn.IFNA(VLOOKUP(M1911,BespokeWindowsAreas!$B$2:$E$1999,4,FALSE),VLOOKUP(E1911,WindowTypeArea!$B$2:$C$113,2,FALSE))</f>
        <v>3.9975000000000001</v>
      </c>
      <c r="M1911">
        <f t="shared" ca="1" si="372"/>
        <v>4940805</v>
      </c>
    </row>
    <row r="1912" spans="1:13" x14ac:dyDescent="0.25">
      <c r="A1912">
        <f t="shared" ca="1" si="365"/>
        <v>5</v>
      </c>
      <c r="B1912">
        <f t="shared" ca="1" si="366"/>
        <v>193</v>
      </c>
      <c r="C1912" t="str">
        <f t="shared" ca="1" si="373"/>
        <v>'WINDOWS-NCH-A-BDP-M3-03-00'!B192</v>
      </c>
      <c r="D1912" s="6" t="str">
        <f t="shared" ca="1" si="374"/>
        <v>L03-PHA-PHA-S062-02</v>
      </c>
      <c r="E1912" t="str">
        <f t="shared" ca="1" si="375"/>
        <v>Family Type: Curtain Wall_1950w x 3800h, Family: Window External Type 5 - Flush</v>
      </c>
      <c r="F1912" t="str">
        <f t="shared" ca="1" si="376"/>
        <v>Vector(X = -0.212, Y = 0.977, Z = 0.000, Length = 1.000)</v>
      </c>
      <c r="G1912">
        <f t="shared" ca="1" si="367"/>
        <v>-0.2</v>
      </c>
      <c r="H1912">
        <f t="shared" ca="1" si="368"/>
        <v>1</v>
      </c>
      <c r="I1912">
        <f t="shared" ca="1" si="369"/>
        <v>0</v>
      </c>
      <c r="J1912" s="8">
        <f t="shared" ca="1" si="370"/>
        <v>101.3099324740202</v>
      </c>
      <c r="K1912" s="9" t="str">
        <f t="shared" ca="1" si="371"/>
        <v>N</v>
      </c>
      <c r="L1912">
        <f ca="1">+_xlfn.IFNA(VLOOKUP(M1912,BespokeWindowsAreas!$B$2:$E$1999,4,FALSE),VLOOKUP(E1912,WindowTypeArea!$B$2:$C$113,2,FALSE))</f>
        <v>7.9950000000000001</v>
      </c>
      <c r="M1912">
        <f t="shared" ca="1" si="372"/>
        <v>4940806</v>
      </c>
    </row>
    <row r="1913" spans="1:13" x14ac:dyDescent="0.25">
      <c r="A1913">
        <f t="shared" ca="1" si="365"/>
        <v>5</v>
      </c>
      <c r="B1913">
        <f t="shared" ca="1" si="366"/>
        <v>194</v>
      </c>
      <c r="C1913" t="str">
        <f t="shared" ca="1" si="373"/>
        <v>'WINDOWS-NCH-A-BDP-M3-03-00'!B193</v>
      </c>
      <c r="D1913" s="6" t="str">
        <f t="shared" ca="1" si="374"/>
        <v>L03-PHA-PHA-S114-04</v>
      </c>
      <c r="E1913" t="str">
        <f t="shared" ca="1" si="375"/>
        <v>L03-PHA-PHA-S114-04</v>
      </c>
      <c r="F1913">
        <f t="shared" ca="1" si="376"/>
        <v>1296413</v>
      </c>
      <c r="G1913">
        <f t="shared" ca="1" si="367"/>
        <v>0</v>
      </c>
      <c r="H1913">
        <f t="shared" ca="1" si="368"/>
        <v>0</v>
      </c>
      <c r="I1913">
        <f t="shared" ca="1" si="369"/>
        <v>0</v>
      </c>
      <c r="J1913" s="8" t="e">
        <f t="shared" ca="1" si="370"/>
        <v>#DIV/0!</v>
      </c>
      <c r="K1913" s="9" t="e">
        <f t="shared" ca="1" si="371"/>
        <v>#DIV/0!</v>
      </c>
      <c r="L1913" t="e">
        <f ca="1">+_xlfn.IFNA(VLOOKUP(M1913,BespokeWindowsAreas!$B$2:$E$1999,4,FALSE),VLOOKUP(E1913,WindowTypeArea!$B$2:$C$113,2,FALSE))</f>
        <v>#N/A</v>
      </c>
      <c r="M1913">
        <f t="shared" ca="1" si="372"/>
        <v>0</v>
      </c>
    </row>
    <row r="1914" spans="1:13" x14ac:dyDescent="0.25">
      <c r="A1914">
        <f t="shared" ca="1" si="365"/>
        <v>5</v>
      </c>
      <c r="B1914">
        <f t="shared" ca="1" si="366"/>
        <v>195</v>
      </c>
      <c r="C1914" t="str">
        <f t="shared" ca="1" si="373"/>
        <v>'WINDOWS-NCH-A-BDP-M3-03-00'!B194</v>
      </c>
      <c r="D1914" s="6" t="str">
        <f t="shared" ca="1" si="374"/>
        <v>L03-PHA-PHA-S114-04</v>
      </c>
      <c r="E1914" t="str">
        <f t="shared" ca="1" si="375"/>
        <v>Family Type: Curtain Wall_Bespoke 1 - 1979.5 x 3800, Family: Window External Type 5 - Flush Instance Width</v>
      </c>
      <c r="F1914" t="str">
        <f t="shared" ca="1" si="376"/>
        <v>Vector(X = -0.212, Y = 0.977, Z = 0.000, Length = 1.000)</v>
      </c>
      <c r="G1914">
        <f t="shared" ca="1" si="367"/>
        <v>-0.2</v>
      </c>
      <c r="H1914">
        <f t="shared" ca="1" si="368"/>
        <v>1</v>
      </c>
      <c r="I1914">
        <f t="shared" ca="1" si="369"/>
        <v>0</v>
      </c>
      <c r="J1914" s="8">
        <f t="shared" ca="1" si="370"/>
        <v>101.3099324740202</v>
      </c>
      <c r="K1914" s="9" t="str">
        <f t="shared" ca="1" si="371"/>
        <v>N</v>
      </c>
      <c r="L1914">
        <f ca="1">+_xlfn.IFNA(VLOOKUP(M1914,BespokeWindowsAreas!$B$2:$E$1999,4,FALSE),VLOOKUP(E1914,WindowTypeArea!$B$2:$C$113,2,FALSE))</f>
        <v>5.1044999999999998</v>
      </c>
      <c r="M1914">
        <f t="shared" ca="1" si="372"/>
        <v>5280136</v>
      </c>
    </row>
    <row r="1915" spans="1:13" x14ac:dyDescent="0.25">
      <c r="A1915">
        <f t="shared" ca="1" si="365"/>
        <v>5</v>
      </c>
      <c r="B1915">
        <f t="shared" ca="1" si="366"/>
        <v>196</v>
      </c>
      <c r="C1915" t="str">
        <f t="shared" ca="1" si="373"/>
        <v>'WINDOWS-NCH-A-BDP-M3-03-00'!B195</v>
      </c>
      <c r="D1915" s="6" t="str">
        <f t="shared" ca="1" si="374"/>
        <v>L03-PHA-PHA-S114-04</v>
      </c>
      <c r="E1915" t="str">
        <f t="shared" ca="1" si="375"/>
        <v>Family Type: Curtain Wall_Bespoke 1 - 1979.5 x 3800, Family: Window External Type 5 - Flush Instance Width</v>
      </c>
      <c r="F1915" t="str">
        <f t="shared" ca="1" si="376"/>
        <v>Vector(X = -0.212, Y = 0.977, Z = 0.000, Length = 1.000)</v>
      </c>
      <c r="G1915">
        <f t="shared" ca="1" si="367"/>
        <v>-0.2</v>
      </c>
      <c r="H1915">
        <f t="shared" ca="1" si="368"/>
        <v>1</v>
      </c>
      <c r="I1915">
        <f t="shared" ca="1" si="369"/>
        <v>0</v>
      </c>
      <c r="J1915" s="8">
        <f t="shared" ca="1" si="370"/>
        <v>101.3099324740202</v>
      </c>
      <c r="K1915" s="9" t="str">
        <f t="shared" ca="1" si="371"/>
        <v>N</v>
      </c>
      <c r="L1915">
        <f ca="1">+_xlfn.IFNA(VLOOKUP(M1915,BespokeWindowsAreas!$B$2:$E$1999,4,FALSE),VLOOKUP(E1915,WindowTypeArea!$B$2:$C$113,2,FALSE))</f>
        <v>5.1044999999999998</v>
      </c>
      <c r="M1915">
        <f t="shared" ca="1" si="372"/>
        <v>5280181</v>
      </c>
    </row>
    <row r="1916" spans="1:13" x14ac:dyDescent="0.25">
      <c r="A1916">
        <f t="shared" ca="1" si="365"/>
        <v>5</v>
      </c>
      <c r="B1916">
        <f t="shared" ca="1" si="366"/>
        <v>197</v>
      </c>
      <c r="C1916" t="str">
        <f t="shared" ca="1" si="373"/>
        <v>'WINDOWS-NCH-A-BDP-M3-03-00'!B196</v>
      </c>
      <c r="D1916" s="6" t="str">
        <f t="shared" ca="1" si="374"/>
        <v>L03-PHA-PHA-S114-04</v>
      </c>
      <c r="E1916" t="str">
        <f t="shared" ca="1" si="375"/>
        <v>Family Type: Curtain Wall_Bespoke 1 - 1979.5 x 3800, Family: Window External Type 5 - Flush Instance Width</v>
      </c>
      <c r="F1916" t="str">
        <f t="shared" ca="1" si="376"/>
        <v>Vector(X = -0.212, Y = 0.977, Z = 0.000, Length = 1.000)</v>
      </c>
      <c r="G1916">
        <f t="shared" ca="1" si="367"/>
        <v>-0.2</v>
      </c>
      <c r="H1916">
        <f t="shared" ca="1" si="368"/>
        <v>1</v>
      </c>
      <c r="I1916">
        <f t="shared" ca="1" si="369"/>
        <v>0</v>
      </c>
      <c r="J1916" s="8">
        <f t="shared" ca="1" si="370"/>
        <v>101.3099324740202</v>
      </c>
      <c r="K1916" s="9" t="str">
        <f t="shared" ca="1" si="371"/>
        <v>N</v>
      </c>
      <c r="L1916">
        <f ca="1">+_xlfn.IFNA(VLOOKUP(M1916,BespokeWindowsAreas!$B$2:$E$1999,4,FALSE),VLOOKUP(E1916,WindowTypeArea!$B$2:$C$113,2,FALSE))</f>
        <v>5.1044999999999998</v>
      </c>
      <c r="M1916">
        <f t="shared" ca="1" si="372"/>
        <v>5280256</v>
      </c>
    </row>
    <row r="1917" spans="1:13" x14ac:dyDescent="0.25">
      <c r="A1917">
        <f t="shared" ca="1" si="365"/>
        <v>5</v>
      </c>
      <c r="B1917">
        <f t="shared" ca="1" si="366"/>
        <v>198</v>
      </c>
      <c r="C1917" t="str">
        <f t="shared" ca="1" si="373"/>
        <v>'WINDOWS-NCH-A-BDP-M3-03-00'!B197</v>
      </c>
      <c r="D1917" s="6" t="str">
        <f t="shared" ca="1" si="374"/>
        <v>L03-PHA-PHA-S114-04</v>
      </c>
      <c r="E1917" t="str">
        <f t="shared" ca="1" si="375"/>
        <v>Family Type: Curtain Wall_Bespoke 1 - 1979.5 x 3800, Family: Window External Type 5 - Flush Instance Width</v>
      </c>
      <c r="F1917" t="str">
        <f t="shared" ca="1" si="376"/>
        <v>Vector(X = -0.212, Y = 0.977, Z = 0.000, Length = 1.000)</v>
      </c>
      <c r="G1917">
        <f t="shared" ca="1" si="367"/>
        <v>-0.2</v>
      </c>
      <c r="H1917">
        <f t="shared" ca="1" si="368"/>
        <v>1</v>
      </c>
      <c r="I1917">
        <f t="shared" ca="1" si="369"/>
        <v>0</v>
      </c>
      <c r="J1917" s="8">
        <f t="shared" ca="1" si="370"/>
        <v>101.3099324740202</v>
      </c>
      <c r="K1917" s="9" t="str">
        <f t="shared" ca="1" si="371"/>
        <v>N</v>
      </c>
      <c r="L1917">
        <f ca="1">+_xlfn.IFNA(VLOOKUP(M1917,BespokeWindowsAreas!$B$2:$E$1999,4,FALSE),VLOOKUP(E1917,WindowTypeArea!$B$2:$C$113,2,FALSE))</f>
        <v>1.2450000000000001</v>
      </c>
      <c r="M1917">
        <f t="shared" ca="1" si="372"/>
        <v>5282407</v>
      </c>
    </row>
    <row r="1918" spans="1:13" x14ac:dyDescent="0.25">
      <c r="A1918">
        <f t="shared" ca="1" si="365"/>
        <v>5</v>
      </c>
      <c r="B1918">
        <f t="shared" ca="1" si="366"/>
        <v>199</v>
      </c>
      <c r="C1918" t="str">
        <f t="shared" ca="1" si="373"/>
        <v>'WINDOWS-NCH-A-BDP-M3-03-00'!B198</v>
      </c>
      <c r="D1918" s="6" t="str">
        <f t="shared" ca="1" si="374"/>
        <v>L03-PHA-PHA-S114-04</v>
      </c>
      <c r="E1918" t="str">
        <f t="shared" ca="1" si="375"/>
        <v>Family Type: Curtain Wall_Bespoke 1 - 1979.5 x 3800, Family: Window External Type 5 - Flush Instance Width</v>
      </c>
      <c r="F1918" t="str">
        <f t="shared" ca="1" si="376"/>
        <v>Vector(X = -0.212, Y = 0.977, Z = 0.000, Length = 1.000)</v>
      </c>
      <c r="G1918">
        <f t="shared" ca="1" si="367"/>
        <v>-0.2</v>
      </c>
      <c r="H1918">
        <f t="shared" ca="1" si="368"/>
        <v>1</v>
      </c>
      <c r="I1918">
        <f t="shared" ca="1" si="369"/>
        <v>0</v>
      </c>
      <c r="J1918" s="8">
        <f t="shared" ca="1" si="370"/>
        <v>101.3099324740202</v>
      </c>
      <c r="K1918" s="9" t="str">
        <f t="shared" ca="1" si="371"/>
        <v>N</v>
      </c>
      <c r="L1918">
        <f ca="1">+_xlfn.IFNA(VLOOKUP(M1918,BespokeWindowsAreas!$B$2:$E$1999,4,FALSE),VLOOKUP(E1918,WindowTypeArea!$B$2:$C$113,2,FALSE))</f>
        <v>1.2450000000000001</v>
      </c>
      <c r="M1918">
        <f t="shared" ca="1" si="372"/>
        <v>5282408</v>
      </c>
    </row>
    <row r="1919" spans="1:13" x14ac:dyDescent="0.25">
      <c r="A1919">
        <f t="shared" ca="1" si="365"/>
        <v>5</v>
      </c>
      <c r="B1919">
        <f t="shared" ca="1" si="366"/>
        <v>200</v>
      </c>
      <c r="C1919" t="str">
        <f t="shared" ca="1" si="373"/>
        <v>'WINDOWS-NCH-A-BDP-M3-03-00'!B199</v>
      </c>
      <c r="D1919" s="6" t="str">
        <f t="shared" ca="1" si="374"/>
        <v>L03-PHA-PHA-S114-04</v>
      </c>
      <c r="E1919" t="str">
        <f t="shared" ca="1" si="375"/>
        <v>Family Type: Curtain Wall_Bespoke 1 - 1979.5 x 3800, Family: Window External Type 5 - Flush Instance Width</v>
      </c>
      <c r="F1919" t="str">
        <f t="shared" ca="1" si="376"/>
        <v>Vector(X = -0.212, Y = 0.977, Z = 0.000, Length = 1.000)</v>
      </c>
      <c r="G1919">
        <f t="shared" ca="1" si="367"/>
        <v>-0.2</v>
      </c>
      <c r="H1919">
        <f t="shared" ca="1" si="368"/>
        <v>1</v>
      </c>
      <c r="I1919">
        <f t="shared" ca="1" si="369"/>
        <v>0</v>
      </c>
      <c r="J1919" s="8">
        <f t="shared" ca="1" si="370"/>
        <v>101.3099324740202</v>
      </c>
      <c r="K1919" s="9" t="str">
        <f t="shared" ca="1" si="371"/>
        <v>N</v>
      </c>
      <c r="L1919">
        <f ca="1">+_xlfn.IFNA(VLOOKUP(M1919,BespokeWindowsAreas!$B$2:$E$1999,4,FALSE),VLOOKUP(E1919,WindowTypeArea!$B$2:$C$113,2,FALSE))</f>
        <v>1.2450000000000001</v>
      </c>
      <c r="M1919">
        <f t="shared" ca="1" si="372"/>
        <v>5282409</v>
      </c>
    </row>
    <row r="1920" spans="1:13" x14ac:dyDescent="0.25">
      <c r="A1920">
        <f t="shared" ca="1" si="365"/>
        <v>5</v>
      </c>
      <c r="B1920">
        <f t="shared" ca="1" si="366"/>
        <v>201</v>
      </c>
      <c r="C1920" t="str">
        <f t="shared" ca="1" si="373"/>
        <v>'WINDOWS-NCH-A-BDP-M3-03-00'!B200</v>
      </c>
      <c r="D1920" s="6" t="str">
        <f t="shared" ca="1" si="374"/>
        <v>L03-PHA-PHA-S114-05</v>
      </c>
      <c r="E1920" t="str">
        <f t="shared" ca="1" si="375"/>
        <v>L03-PHA-PHA-S114-05</v>
      </c>
      <c r="F1920">
        <f t="shared" ca="1" si="376"/>
        <v>1296415</v>
      </c>
      <c r="G1920">
        <f t="shared" ca="1" si="367"/>
        <v>0</v>
      </c>
      <c r="H1920">
        <f t="shared" ca="1" si="368"/>
        <v>0</v>
      </c>
      <c r="I1920">
        <f t="shared" ca="1" si="369"/>
        <v>0</v>
      </c>
      <c r="J1920" s="8" t="e">
        <f t="shared" ca="1" si="370"/>
        <v>#DIV/0!</v>
      </c>
      <c r="K1920" s="9" t="e">
        <f t="shared" ca="1" si="371"/>
        <v>#DIV/0!</v>
      </c>
      <c r="L1920" t="e">
        <f ca="1">+_xlfn.IFNA(VLOOKUP(M1920,BespokeWindowsAreas!$B$2:$E$1999,4,FALSE),VLOOKUP(E1920,WindowTypeArea!$B$2:$C$113,2,FALSE))</f>
        <v>#N/A</v>
      </c>
      <c r="M1920">
        <f t="shared" ca="1" si="372"/>
        <v>0</v>
      </c>
    </row>
    <row r="1921" spans="1:13" x14ac:dyDescent="0.25">
      <c r="A1921">
        <f t="shared" ca="1" si="365"/>
        <v>5</v>
      </c>
      <c r="B1921">
        <f t="shared" ca="1" si="366"/>
        <v>202</v>
      </c>
      <c r="C1921" t="str">
        <f t="shared" ca="1" si="373"/>
        <v>'WINDOWS-NCH-A-BDP-M3-03-00'!B201</v>
      </c>
      <c r="D1921" s="6" t="str">
        <f t="shared" ca="1" si="374"/>
        <v>L03-PHA-PHA-S114-05</v>
      </c>
      <c r="E1921" t="str">
        <f t="shared" ca="1" si="375"/>
        <v>Family Type: Curtain Wall_Bespoke 1 - 1979.5 x 3800, Family: Window External Type 5 - Flush Instance Width</v>
      </c>
      <c r="F1921" t="str">
        <f t="shared" ca="1" si="376"/>
        <v>Vector(X = -0.212, Y = 0.977, Z = 0.000, Length = 1.000)</v>
      </c>
      <c r="G1921">
        <f t="shared" ca="1" si="367"/>
        <v>-0.2</v>
      </c>
      <c r="H1921">
        <f t="shared" ca="1" si="368"/>
        <v>1</v>
      </c>
      <c r="I1921">
        <f t="shared" ca="1" si="369"/>
        <v>0</v>
      </c>
      <c r="J1921" s="8">
        <f t="shared" ca="1" si="370"/>
        <v>101.3099324740202</v>
      </c>
      <c r="K1921" s="9" t="str">
        <f t="shared" ca="1" si="371"/>
        <v>N</v>
      </c>
      <c r="L1921">
        <f ca="1">+_xlfn.IFNA(VLOOKUP(M1921,BespokeWindowsAreas!$B$2:$E$1999,4,FALSE),VLOOKUP(E1921,WindowTypeArea!$B$2:$C$113,2,FALSE))</f>
        <v>6.1100249999997951</v>
      </c>
      <c r="M1921">
        <f t="shared" ca="1" si="372"/>
        <v>4940794</v>
      </c>
    </row>
    <row r="1922" spans="1:13" x14ac:dyDescent="0.25">
      <c r="A1922">
        <f t="shared" ca="1" si="365"/>
        <v>5</v>
      </c>
      <c r="B1922">
        <f t="shared" ca="1" si="366"/>
        <v>203</v>
      </c>
      <c r="C1922" t="str">
        <f t="shared" ca="1" si="373"/>
        <v>'WINDOWS-NCH-A-BDP-M3-03-00'!B202</v>
      </c>
      <c r="D1922" s="6" t="str">
        <f t="shared" ca="1" si="374"/>
        <v>L03-PHA-PHA-S114-05</v>
      </c>
      <c r="E1922" t="str">
        <f t="shared" ca="1" si="375"/>
        <v>Family Type: Curtain Wall_Bespoke 1 - 1979.5 x 3800, Family: Window External Type 5 - Flush Instance Width</v>
      </c>
      <c r="F1922" t="str">
        <f t="shared" ca="1" si="376"/>
        <v>Vector(X = -0.212, Y = 0.977, Z = 0.000, Length = 1.000)</v>
      </c>
      <c r="G1922">
        <f t="shared" ca="1" si="367"/>
        <v>-0.2</v>
      </c>
      <c r="H1922">
        <f t="shared" ca="1" si="368"/>
        <v>1</v>
      </c>
      <c r="I1922">
        <f t="shared" ca="1" si="369"/>
        <v>0</v>
      </c>
      <c r="J1922" s="8">
        <f t="shared" ca="1" si="370"/>
        <v>101.3099324740202</v>
      </c>
      <c r="K1922" s="9" t="str">
        <f t="shared" ca="1" si="371"/>
        <v>N</v>
      </c>
      <c r="L1922">
        <f ca="1">+_xlfn.IFNA(VLOOKUP(M1922,BespokeWindowsAreas!$B$2:$E$1999,4,FALSE),VLOOKUP(E1922,WindowTypeArea!$B$2:$C$113,2,FALSE))</f>
        <v>5.1044999999999998</v>
      </c>
      <c r="M1922">
        <f t="shared" ca="1" si="372"/>
        <v>5280085</v>
      </c>
    </row>
    <row r="1923" spans="1:13" x14ac:dyDescent="0.25">
      <c r="A1923">
        <f t="shared" ca="1" si="365"/>
        <v>5</v>
      </c>
      <c r="B1923">
        <f t="shared" ca="1" si="366"/>
        <v>204</v>
      </c>
      <c r="C1923" t="str">
        <f t="shared" ca="1" si="373"/>
        <v>'WINDOWS-NCH-A-BDP-M3-03-00'!B203</v>
      </c>
      <c r="D1923" s="6" t="str">
        <f t="shared" ca="1" si="374"/>
        <v>L03-PHA-PHA-S114-05</v>
      </c>
      <c r="E1923" t="str">
        <f t="shared" ca="1" si="375"/>
        <v>Family Type: Curtain Wall_Bespoke 1 - 1979.5 x 3800, Family: Window External Type 5 - Flush Instance Width</v>
      </c>
      <c r="F1923" t="str">
        <f t="shared" ca="1" si="376"/>
        <v>Vector(X = -0.212, Y = 0.977, Z = 0.000, Length = 1.000)</v>
      </c>
      <c r="G1923">
        <f t="shared" ca="1" si="367"/>
        <v>-0.2</v>
      </c>
      <c r="H1923">
        <f t="shared" ca="1" si="368"/>
        <v>1</v>
      </c>
      <c r="I1923">
        <f t="shared" ca="1" si="369"/>
        <v>0</v>
      </c>
      <c r="J1923" s="8">
        <f t="shared" ca="1" si="370"/>
        <v>101.3099324740202</v>
      </c>
      <c r="K1923" s="9" t="str">
        <f t="shared" ca="1" si="371"/>
        <v>N</v>
      </c>
      <c r="L1923">
        <f ca="1">+_xlfn.IFNA(VLOOKUP(M1923,BespokeWindowsAreas!$B$2:$E$1999,4,FALSE),VLOOKUP(E1923,WindowTypeArea!$B$2:$C$113,2,FALSE))</f>
        <v>5.1044999999999998</v>
      </c>
      <c r="M1923">
        <f t="shared" ca="1" si="372"/>
        <v>5280095</v>
      </c>
    </row>
    <row r="1924" spans="1:13" x14ac:dyDescent="0.25">
      <c r="A1924">
        <f t="shared" ca="1" si="365"/>
        <v>5</v>
      </c>
      <c r="B1924">
        <f t="shared" ca="1" si="366"/>
        <v>205</v>
      </c>
      <c r="C1924" t="str">
        <f t="shared" ca="1" si="373"/>
        <v>'WINDOWS-NCH-A-BDP-M3-03-00'!B204</v>
      </c>
      <c r="D1924" s="6" t="str">
        <f t="shared" ca="1" si="374"/>
        <v>L03-PHA-PHA-S114-05</v>
      </c>
      <c r="E1924" t="str">
        <f t="shared" ca="1" si="375"/>
        <v>Family Type: Curtain Wall_Bespoke 1 - 1979.5 x 3800, Family: Window External Type 5 - Flush Instance Width</v>
      </c>
      <c r="F1924" t="str">
        <f t="shared" ca="1" si="376"/>
        <v>Vector(X = -0.212, Y = 0.977, Z = 0.000, Length = 1.000)</v>
      </c>
      <c r="G1924">
        <f t="shared" ca="1" si="367"/>
        <v>-0.2</v>
      </c>
      <c r="H1924">
        <f t="shared" ca="1" si="368"/>
        <v>1</v>
      </c>
      <c r="I1924">
        <f t="shared" ca="1" si="369"/>
        <v>0</v>
      </c>
      <c r="J1924" s="8">
        <f t="shared" ca="1" si="370"/>
        <v>101.3099324740202</v>
      </c>
      <c r="K1924" s="9" t="str">
        <f t="shared" ca="1" si="371"/>
        <v>N</v>
      </c>
      <c r="L1924">
        <f ca="1">+_xlfn.IFNA(VLOOKUP(M1924,BespokeWindowsAreas!$B$2:$E$1999,4,FALSE),VLOOKUP(E1924,WindowTypeArea!$B$2:$C$113,2,FALSE))</f>
        <v>1.2450000000000001</v>
      </c>
      <c r="M1924">
        <f t="shared" ca="1" si="372"/>
        <v>5282405</v>
      </c>
    </row>
    <row r="1925" spans="1:13" x14ac:dyDescent="0.25">
      <c r="A1925">
        <f t="shared" ca="1" si="365"/>
        <v>5</v>
      </c>
      <c r="B1925">
        <f t="shared" ca="1" si="366"/>
        <v>206</v>
      </c>
      <c r="C1925" t="str">
        <f t="shared" ca="1" si="373"/>
        <v>'WINDOWS-NCH-A-BDP-M3-03-00'!B205</v>
      </c>
      <c r="D1925" s="6" t="str">
        <f t="shared" ca="1" si="374"/>
        <v>L03-PHA-PHA-S114-05</v>
      </c>
      <c r="E1925" t="str">
        <f t="shared" ca="1" si="375"/>
        <v>Family Type: Curtain Wall_Bespoke 1 - 1979.5 x 3800, Family: Window External Type 5 - Flush Instance Width</v>
      </c>
      <c r="F1925" t="str">
        <f t="shared" ca="1" si="376"/>
        <v>Vector(X = -0.212, Y = 0.977, Z = 0.000, Length = 1.000)</v>
      </c>
      <c r="G1925">
        <f t="shared" ca="1" si="367"/>
        <v>-0.2</v>
      </c>
      <c r="H1925">
        <f t="shared" ca="1" si="368"/>
        <v>1</v>
      </c>
      <c r="I1925">
        <f t="shared" ca="1" si="369"/>
        <v>0</v>
      </c>
      <c r="J1925" s="8">
        <f t="shared" ca="1" si="370"/>
        <v>101.3099324740202</v>
      </c>
      <c r="K1925" s="9" t="str">
        <f t="shared" ca="1" si="371"/>
        <v>N</v>
      </c>
      <c r="L1925">
        <f ca="1">+_xlfn.IFNA(VLOOKUP(M1925,BespokeWindowsAreas!$B$2:$E$1999,4,FALSE),VLOOKUP(E1925,WindowTypeArea!$B$2:$C$113,2,FALSE))</f>
        <v>1.2450000000000001</v>
      </c>
      <c r="M1925">
        <f t="shared" ca="1" si="372"/>
        <v>5282406</v>
      </c>
    </row>
    <row r="1926" spans="1:13" x14ac:dyDescent="0.25">
      <c r="A1926">
        <f t="shared" ca="1" si="365"/>
        <v>5</v>
      </c>
      <c r="B1926">
        <f t="shared" ca="1" si="366"/>
        <v>207</v>
      </c>
      <c r="C1926" t="str">
        <f t="shared" ca="1" si="373"/>
        <v>'WINDOWS-NCH-A-BDP-M3-03-00'!B206</v>
      </c>
      <c r="D1926" s="6" t="str">
        <f t="shared" ca="1" si="374"/>
        <v>L03-THR-PSY-S115-23</v>
      </c>
      <c r="E1926" s="36" t="str">
        <f t="shared" ca="1" si="375"/>
        <v>L03-THR-PSY-S115-23</v>
      </c>
      <c r="F1926">
        <f t="shared" ca="1" si="376"/>
        <v>1296451</v>
      </c>
      <c r="G1926">
        <f t="shared" ca="1" si="367"/>
        <v>0</v>
      </c>
      <c r="H1926">
        <f t="shared" ca="1" si="368"/>
        <v>0</v>
      </c>
      <c r="I1926">
        <f t="shared" ca="1" si="369"/>
        <v>0</v>
      </c>
      <c r="J1926" s="8" t="e">
        <f t="shared" ca="1" si="370"/>
        <v>#DIV/0!</v>
      </c>
      <c r="K1926" s="9" t="e">
        <f t="shared" ca="1" si="371"/>
        <v>#DIV/0!</v>
      </c>
      <c r="L1926" s="36" t="e">
        <f ca="1">+_xlfn.IFNA(VLOOKUP(M1926,BespokeWindowsAreas!$B$2:$E$1999,4,FALSE),VLOOKUP(E1926,WindowTypeArea!$B$2:$C$113,2,FALSE))</f>
        <v>#N/A</v>
      </c>
      <c r="M1926">
        <f t="shared" ca="1" si="372"/>
        <v>0</v>
      </c>
    </row>
    <row r="1927" spans="1:13" x14ac:dyDescent="0.25">
      <c r="A1927">
        <f t="shared" ca="1" si="365"/>
        <v>5</v>
      </c>
      <c r="B1927">
        <f t="shared" ca="1" si="366"/>
        <v>208</v>
      </c>
      <c r="C1927" t="str">
        <f t="shared" ca="1" si="373"/>
        <v>'WINDOWS-NCH-A-BDP-M3-03-00'!B207</v>
      </c>
      <c r="D1927" s="6" t="str">
        <f t="shared" ca="1" si="374"/>
        <v>L03-THR-PSY-S115-23</v>
      </c>
      <c r="E1927" s="36" t="str">
        <f t="shared" ca="1" si="375"/>
        <v>Family Type: Curtain Wall_1950w x 3800h, Family: Window External Type 5 - Flush</v>
      </c>
      <c r="F1927" t="str">
        <f t="shared" ca="1" si="376"/>
        <v>Vector(X = -0.985, Y = -0.170, Z = 0.000, Length = 1.000)</v>
      </c>
      <c r="G1927">
        <f t="shared" ca="1" si="367"/>
        <v>-1</v>
      </c>
      <c r="H1927">
        <f t="shared" ca="1" si="368"/>
        <v>-0.2</v>
      </c>
      <c r="I1927">
        <f t="shared" ca="1" si="369"/>
        <v>0</v>
      </c>
      <c r="J1927" s="8">
        <f t="shared" ca="1" si="370"/>
        <v>-168.69006752597977</v>
      </c>
      <c r="K1927" s="9" t="str">
        <f t="shared" ca="1" si="371"/>
        <v>W</v>
      </c>
      <c r="L1927" s="36">
        <f ca="1">+_xlfn.IFNA(VLOOKUP(M1927,BespokeWindowsAreas!$B$2:$E$1999,4,FALSE),VLOOKUP(E1927,WindowTypeArea!$B$2:$C$113,2,FALSE))</f>
        <v>7.9950000000000001</v>
      </c>
      <c r="M1927">
        <f t="shared" ca="1" si="372"/>
        <v>4913569</v>
      </c>
    </row>
    <row r="1928" spans="1:13" x14ac:dyDescent="0.25">
      <c r="A1928">
        <f t="shared" ca="1" si="365"/>
        <v>5</v>
      </c>
      <c r="B1928">
        <f t="shared" ca="1" si="366"/>
        <v>209</v>
      </c>
      <c r="C1928" t="str">
        <f t="shared" ca="1" si="373"/>
        <v>'WINDOWS-NCH-A-BDP-M3-03-00'!B208</v>
      </c>
      <c r="D1928" s="6" t="str">
        <f t="shared" ca="1" si="374"/>
        <v>L03-THR-PSY-S115-23</v>
      </c>
      <c r="E1928" s="36" t="str">
        <f t="shared" ca="1" si="375"/>
        <v>Family Type: Curtain Wall_975w x 3800h, Family: Window External Type 5 - Flush</v>
      </c>
      <c r="F1928" t="str">
        <f t="shared" ca="1" si="376"/>
        <v>Vector(X = -0.985, Y = -0.170, Z = 0.000, Length = 1.000)</v>
      </c>
      <c r="G1928">
        <f t="shared" ca="1" si="367"/>
        <v>-1</v>
      </c>
      <c r="H1928">
        <f t="shared" ca="1" si="368"/>
        <v>-0.2</v>
      </c>
      <c r="I1928">
        <f t="shared" ca="1" si="369"/>
        <v>0</v>
      </c>
      <c r="J1928" s="8">
        <f t="shared" ca="1" si="370"/>
        <v>-168.69006752597977</v>
      </c>
      <c r="K1928" s="9" t="str">
        <f t="shared" ca="1" si="371"/>
        <v>W</v>
      </c>
      <c r="L1928" s="36"/>
      <c r="M1928">
        <f t="shared" ca="1" si="372"/>
        <v>4913570</v>
      </c>
    </row>
    <row r="1929" spans="1:13" x14ac:dyDescent="0.25">
      <c r="A1929">
        <f t="shared" ca="1" si="365"/>
        <v>5</v>
      </c>
      <c r="B1929">
        <f t="shared" ca="1" si="366"/>
        <v>210</v>
      </c>
      <c r="C1929" t="str">
        <f t="shared" ca="1" si="373"/>
        <v>'WINDOWS-NCH-A-BDP-M3-03-00'!B209</v>
      </c>
      <c r="D1929" s="6" t="str">
        <f t="shared" ca="1" si="374"/>
        <v>L03-THR-PSY-S115-23</v>
      </c>
      <c r="E1929" s="36" t="str">
        <f t="shared" ca="1" si="375"/>
        <v>Family Type: Curtain Wall_975w x 3800h, Family: Window External Type 5 - Flush</v>
      </c>
      <c r="F1929" t="str">
        <f t="shared" ca="1" si="376"/>
        <v>Vector(X = -0.985, Y = -0.170, Z = 0.000, Length = 1.000)</v>
      </c>
      <c r="G1929">
        <f t="shared" ca="1" si="367"/>
        <v>-1</v>
      </c>
      <c r="H1929">
        <f t="shared" ca="1" si="368"/>
        <v>-0.2</v>
      </c>
      <c r="I1929">
        <f t="shared" ca="1" si="369"/>
        <v>0</v>
      </c>
      <c r="J1929" s="8">
        <f t="shared" ca="1" si="370"/>
        <v>-168.69006752597977</v>
      </c>
      <c r="K1929" s="9" t="str">
        <f t="shared" ca="1" si="371"/>
        <v>W</v>
      </c>
      <c r="L1929" s="36"/>
      <c r="M1929">
        <f t="shared" ca="1" si="372"/>
        <v>4913571</v>
      </c>
    </row>
    <row r="1930" spans="1:13" x14ac:dyDescent="0.25">
      <c r="A1930">
        <f t="shared" ca="1" si="365"/>
        <v>5</v>
      </c>
      <c r="B1930">
        <f t="shared" ca="1" si="366"/>
        <v>211</v>
      </c>
      <c r="C1930" t="str">
        <f t="shared" ca="1" si="373"/>
        <v>'WINDOWS-NCH-A-BDP-M3-03-00'!B210</v>
      </c>
      <c r="D1930" s="6" t="str">
        <f t="shared" ca="1" si="374"/>
        <v>L03-THR-PSY-S115-23</v>
      </c>
      <c r="E1930" s="36" t="str">
        <f t="shared" ca="1" si="375"/>
        <v>Family Type: Curtain Wall_Bespoke 1 - 1979.5 x 3800, Family: Window External Type 5 - Flush Instance Width</v>
      </c>
      <c r="F1930" t="str">
        <f t="shared" ca="1" si="376"/>
        <v>Vector(X = -0.985, Y = -0.170, Z = 0.000, Length = 1.000)</v>
      </c>
      <c r="G1930">
        <f t="shared" ca="1" si="367"/>
        <v>-1</v>
      </c>
      <c r="H1930">
        <f t="shared" ca="1" si="368"/>
        <v>-0.2</v>
      </c>
      <c r="I1930">
        <f t="shared" ca="1" si="369"/>
        <v>0</v>
      </c>
      <c r="J1930" s="8">
        <f t="shared" ca="1" si="370"/>
        <v>-168.69006752597977</v>
      </c>
      <c r="K1930" s="9" t="str">
        <f t="shared" ca="1" si="371"/>
        <v>W</v>
      </c>
      <c r="L1930" s="36"/>
      <c r="M1930">
        <f t="shared" ca="1" si="372"/>
        <v>4913572</v>
      </c>
    </row>
    <row r="1931" spans="1:13" x14ac:dyDescent="0.25">
      <c r="A1931">
        <f t="shared" ca="1" si="365"/>
        <v>5</v>
      </c>
      <c r="B1931">
        <f t="shared" ca="1" si="366"/>
        <v>212</v>
      </c>
      <c r="C1931" t="str">
        <f t="shared" ca="1" si="373"/>
        <v>'WINDOWS-NCH-A-BDP-M3-03-00'!B211</v>
      </c>
      <c r="D1931" s="6" t="str">
        <f t="shared" ca="1" si="374"/>
        <v>L03-THR-PSY-S115-23</v>
      </c>
      <c r="E1931" s="36" t="str">
        <f t="shared" ca="1" si="375"/>
        <v>Family Type: Curtain Wall_975w x 3800h, Family: Window External Type 5 - Flush</v>
      </c>
      <c r="F1931" t="str">
        <f t="shared" ca="1" si="376"/>
        <v>Vector(X = -0.985, Y = -0.170, Z = 0.000, Length = 1.000)</v>
      </c>
      <c r="G1931">
        <f t="shared" ca="1" si="367"/>
        <v>-1</v>
      </c>
      <c r="H1931">
        <f t="shared" ca="1" si="368"/>
        <v>-0.2</v>
      </c>
      <c r="I1931">
        <f t="shared" ca="1" si="369"/>
        <v>0</v>
      </c>
      <c r="J1931" s="8">
        <f t="shared" ca="1" si="370"/>
        <v>-168.69006752597977</v>
      </c>
      <c r="K1931" s="9" t="str">
        <f t="shared" ca="1" si="371"/>
        <v>W</v>
      </c>
      <c r="L1931" s="36">
        <f ca="1">+_xlfn.IFNA(VLOOKUP(M1931,BespokeWindowsAreas!$B$2:$E$1999,4,FALSE),VLOOKUP(E1931,WindowTypeArea!$B$2:$C$113,2,FALSE))</f>
        <v>3.9975000000000001</v>
      </c>
      <c r="M1931">
        <f t="shared" ca="1" si="372"/>
        <v>4913573</v>
      </c>
    </row>
    <row r="1932" spans="1:13" x14ac:dyDescent="0.25">
      <c r="A1932">
        <f t="shared" ca="1" si="365"/>
        <v>5</v>
      </c>
      <c r="B1932">
        <f t="shared" ca="1" si="366"/>
        <v>213</v>
      </c>
      <c r="C1932" t="str">
        <f t="shared" ca="1" si="373"/>
        <v>'WINDOWS-NCH-A-BDP-M3-03-00'!B212</v>
      </c>
      <c r="D1932" s="6" t="str">
        <f t="shared" ca="1" si="374"/>
        <v>L03-THR-PSY-S115-23</v>
      </c>
      <c r="E1932" t="str">
        <f t="shared" ca="1" si="375"/>
        <v>Family Type: Curtain Wall_Bespoke 1 - 1979.5 x 3800, Family: Window External Type 5 - Flush Instance Width</v>
      </c>
      <c r="F1932" t="str">
        <f t="shared" ca="1" si="376"/>
        <v>Vector(X = -0.985, Y = -0.170, Z = 0.000, Length = 1.000)</v>
      </c>
      <c r="G1932">
        <f t="shared" ca="1" si="367"/>
        <v>-1</v>
      </c>
      <c r="H1932">
        <f t="shared" ca="1" si="368"/>
        <v>-0.2</v>
      </c>
      <c r="I1932">
        <f t="shared" ca="1" si="369"/>
        <v>0</v>
      </c>
      <c r="J1932" s="8">
        <f t="shared" ca="1" si="370"/>
        <v>-168.69006752597977</v>
      </c>
      <c r="K1932" s="9" t="str">
        <f t="shared" ca="1" si="371"/>
        <v>W</v>
      </c>
      <c r="L1932">
        <f ca="1">+_xlfn.IFNA(VLOOKUP(M1932,BespokeWindowsAreas!$B$2:$E$1999,4,FALSE),VLOOKUP(E1932,WindowTypeArea!$B$2:$C$113,2,FALSE))</f>
        <v>7.9950000000000001</v>
      </c>
      <c r="M1932">
        <f t="shared" ca="1" si="372"/>
        <v>4913574</v>
      </c>
    </row>
    <row r="1933" spans="1:13" x14ac:dyDescent="0.25">
      <c r="A1933">
        <f t="shared" ca="1" si="365"/>
        <v>5</v>
      </c>
      <c r="B1933">
        <f t="shared" ca="1" si="366"/>
        <v>214</v>
      </c>
      <c r="C1933" t="str">
        <f t="shared" ca="1" si="373"/>
        <v>'WINDOWS-NCH-A-BDP-M3-03-00'!B213</v>
      </c>
      <c r="D1933" s="6" t="str">
        <f t="shared" ca="1" si="374"/>
        <v>L03-THR-POT-L023-01</v>
      </c>
      <c r="E1933" t="str">
        <f t="shared" ca="1" si="375"/>
        <v>L03-THR-POT-L023-01</v>
      </c>
      <c r="F1933">
        <f t="shared" ca="1" si="376"/>
        <v>1296660</v>
      </c>
      <c r="G1933">
        <f t="shared" ca="1" si="367"/>
        <v>0</v>
      </c>
      <c r="H1933">
        <f t="shared" ca="1" si="368"/>
        <v>0</v>
      </c>
      <c r="I1933">
        <f t="shared" ca="1" si="369"/>
        <v>0</v>
      </c>
      <c r="J1933" s="8" t="e">
        <f t="shared" ca="1" si="370"/>
        <v>#DIV/0!</v>
      </c>
      <c r="K1933" s="9" t="e">
        <f t="shared" ca="1" si="371"/>
        <v>#DIV/0!</v>
      </c>
      <c r="L1933" t="e">
        <f ca="1">+_xlfn.IFNA(VLOOKUP(M1933,BespokeWindowsAreas!$B$2:$E$1999,4,FALSE),VLOOKUP(E1933,WindowTypeArea!$B$2:$C$113,2,FALSE))</f>
        <v>#N/A</v>
      </c>
      <c r="M1933">
        <f t="shared" ca="1" si="372"/>
        <v>0</v>
      </c>
    </row>
    <row r="1934" spans="1:13" x14ac:dyDescent="0.25">
      <c r="A1934">
        <f t="shared" ca="1" si="365"/>
        <v>5</v>
      </c>
      <c r="B1934">
        <f t="shared" ca="1" si="366"/>
        <v>215</v>
      </c>
      <c r="C1934" t="str">
        <f t="shared" ca="1" si="373"/>
        <v>'WINDOWS-NCH-A-BDP-M3-03-00'!B214</v>
      </c>
      <c r="D1934" s="6" t="str">
        <f t="shared" ca="1" si="374"/>
        <v>L03-THR-POT-L023-01</v>
      </c>
      <c r="E1934" t="str">
        <f t="shared" ca="1" si="375"/>
        <v>Family Type: Curtain Wall_1950w x 3800h, Family: Window External Type 5 - Flush - modified</v>
      </c>
      <c r="F1934" t="str">
        <f t="shared" ca="1" si="376"/>
        <v>Vector(X = 0.212, Y = -0.977, Z = 0.000, Length = 1.000)</v>
      </c>
      <c r="G1934">
        <f t="shared" ca="1" si="367"/>
        <v>0.2</v>
      </c>
      <c r="H1934">
        <f t="shared" ca="1" si="368"/>
        <v>-1</v>
      </c>
      <c r="I1934">
        <f t="shared" ca="1" si="369"/>
        <v>0</v>
      </c>
      <c r="J1934" s="8">
        <f t="shared" ca="1" si="370"/>
        <v>-78.690067525979785</v>
      </c>
      <c r="K1934" s="9" t="str">
        <f t="shared" ca="1" si="371"/>
        <v>S</v>
      </c>
      <c r="L1934">
        <f ca="1">+_xlfn.IFNA(VLOOKUP(M1934,BespokeWindowsAreas!$B$2:$E$1999,4,FALSE),VLOOKUP(E1934,WindowTypeArea!$B$2:$C$113,2,FALSE))</f>
        <v>10.098947368421053</v>
      </c>
      <c r="M1934">
        <f t="shared" ca="1" si="372"/>
        <v>4928690</v>
      </c>
    </row>
    <row r="1935" spans="1:13" x14ac:dyDescent="0.25">
      <c r="A1935">
        <f t="shared" ca="1" si="365"/>
        <v>5</v>
      </c>
      <c r="B1935">
        <f t="shared" ca="1" si="366"/>
        <v>216</v>
      </c>
      <c r="C1935" t="str">
        <f t="shared" ca="1" si="373"/>
        <v>'WINDOWS-NCH-A-BDP-M3-03-00'!B215</v>
      </c>
      <c r="D1935" s="6" t="str">
        <f t="shared" ca="1" si="374"/>
        <v>none</v>
      </c>
      <c r="E1935" t="str">
        <f t="shared" ca="1" si="375"/>
        <v>none</v>
      </c>
      <c r="F1935" t="str">
        <f t="shared" ca="1" si="376"/>
        <v>Vector(X = 0.212, Y = -0.977, Z = 0.000, Length = 1.000)</v>
      </c>
      <c r="G1935">
        <f t="shared" ca="1" si="367"/>
        <v>0.2</v>
      </c>
      <c r="H1935">
        <f t="shared" ca="1" si="368"/>
        <v>-1</v>
      </c>
      <c r="I1935">
        <f t="shared" ca="1" si="369"/>
        <v>0</v>
      </c>
      <c r="J1935" s="8">
        <f t="shared" ca="1" si="370"/>
        <v>-78.690067525979785</v>
      </c>
      <c r="K1935" s="9" t="str">
        <f t="shared" ca="1" si="371"/>
        <v>S</v>
      </c>
      <c r="L1935" t="e">
        <f ca="1">+_xlfn.IFNA(VLOOKUP(M1935,BespokeWindowsAreas!$B$2:$E$1999,4,FALSE),VLOOKUP(E1935,WindowTypeArea!$B$2:$C$113,2,FALSE))</f>
        <v>#N/A</v>
      </c>
      <c r="M1935">
        <f t="shared" ca="1" si="372"/>
        <v>4928698</v>
      </c>
    </row>
    <row r="1936" spans="1:13" x14ac:dyDescent="0.25">
      <c r="A1936">
        <f t="shared" ca="1" si="365"/>
        <v>5</v>
      </c>
      <c r="B1936">
        <f t="shared" ca="1" si="366"/>
        <v>217</v>
      </c>
      <c r="C1936" t="str">
        <f t="shared" ca="1" si="373"/>
        <v>'WINDOWS-NCH-A-BDP-M3-03-00'!B216</v>
      </c>
      <c r="D1936" s="6" t="str">
        <f t="shared" ca="1" si="374"/>
        <v>L03-THR-POT-U0712-01</v>
      </c>
      <c r="E1936" t="str">
        <f t="shared" ca="1" si="375"/>
        <v>L03-THR-POT-U0712-01</v>
      </c>
      <c r="F1936">
        <f t="shared" ca="1" si="376"/>
        <v>1296666</v>
      </c>
      <c r="G1936">
        <f t="shared" ca="1" si="367"/>
        <v>0</v>
      </c>
      <c r="H1936">
        <f t="shared" ca="1" si="368"/>
        <v>0</v>
      </c>
      <c r="I1936">
        <f t="shared" ca="1" si="369"/>
        <v>0</v>
      </c>
      <c r="J1936" s="8" t="e">
        <f t="shared" ca="1" si="370"/>
        <v>#DIV/0!</v>
      </c>
      <c r="K1936" s="9" t="e">
        <f t="shared" ca="1" si="371"/>
        <v>#DIV/0!</v>
      </c>
      <c r="L1936" t="e">
        <f ca="1">+_xlfn.IFNA(VLOOKUP(M1936,BespokeWindowsAreas!$B$2:$E$1999,4,FALSE),VLOOKUP(E1936,WindowTypeArea!$B$2:$C$113,2,FALSE))</f>
        <v>#N/A</v>
      </c>
      <c r="M1936">
        <f t="shared" ca="1" si="372"/>
        <v>0</v>
      </c>
    </row>
    <row r="1937" spans="1:13" x14ac:dyDescent="0.25">
      <c r="A1937">
        <f t="shared" ca="1" si="365"/>
        <v>5</v>
      </c>
      <c r="B1937">
        <f t="shared" ca="1" si="366"/>
        <v>218</v>
      </c>
      <c r="C1937" t="str">
        <f t="shared" ca="1" si="373"/>
        <v>'WINDOWS-NCH-A-BDP-M3-03-00'!B217</v>
      </c>
      <c r="D1937" s="6" t="str">
        <f t="shared" ca="1" si="374"/>
        <v>L03-THR-POT-U0712-01</v>
      </c>
      <c r="E1937" t="str">
        <f t="shared" ca="1" si="375"/>
        <v>Family Type: Curtain Wall_2264x1950x4100, Family: Window External Type 5 - Flush Corner 2</v>
      </c>
      <c r="F1937" t="str">
        <f t="shared" ca="1" si="376"/>
        <v>Vector(X = 1.000, Y = 0.008, Z = 0.000, Length = 1.000)</v>
      </c>
      <c r="G1937">
        <f t="shared" ca="1" si="367"/>
        <v>1</v>
      </c>
      <c r="H1937">
        <f t="shared" ca="1" si="368"/>
        <v>0</v>
      </c>
      <c r="I1937">
        <f t="shared" ca="1" si="369"/>
        <v>0</v>
      </c>
      <c r="J1937" s="8">
        <f t="shared" ca="1" si="370"/>
        <v>0</v>
      </c>
      <c r="K1937" s="9" t="str">
        <f t="shared" ca="1" si="371"/>
        <v>E</v>
      </c>
      <c r="L1937">
        <f ca="1">+_xlfn.IFNA(VLOOKUP(M1937,BespokeWindowsAreas!$B$2:$E$1999,4,FALSE),VLOOKUP(E1937,WindowTypeArea!$B$2:$C$113,2,FALSE))</f>
        <v>0</v>
      </c>
      <c r="M1937">
        <f t="shared" ca="1" si="372"/>
        <v>4660581</v>
      </c>
    </row>
    <row r="1938" spans="1:13" x14ac:dyDescent="0.25">
      <c r="A1938">
        <f t="shared" ca="1" si="365"/>
        <v>5</v>
      </c>
      <c r="B1938">
        <f t="shared" ca="1" si="366"/>
        <v>219</v>
      </c>
      <c r="C1938" t="str">
        <f t="shared" ca="1" si="373"/>
        <v>'WINDOWS-NCH-A-BDP-M3-03-00'!B218</v>
      </c>
      <c r="D1938" s="6" t="str">
        <f t="shared" ca="1" si="374"/>
        <v>L03-THR-POT-U0712-01</v>
      </c>
      <c r="E1938" t="str">
        <f t="shared" ca="1" si="375"/>
        <v>Family Type: Curtain Wall_975w x 3800h, Family: Window External Type 5 - Flush</v>
      </c>
      <c r="F1938" t="str">
        <f t="shared" ca="1" si="376"/>
        <v>Vector(X = -1.000, Y = -0.010, Z = 0.000, Length = 1.000)</v>
      </c>
      <c r="G1938">
        <f t="shared" ca="1" si="367"/>
        <v>-1</v>
      </c>
      <c r="H1938">
        <f t="shared" ca="1" si="368"/>
        <v>0</v>
      </c>
      <c r="I1938">
        <f t="shared" ca="1" si="369"/>
        <v>0</v>
      </c>
      <c r="J1938" s="8">
        <f t="shared" ca="1" si="370"/>
        <v>180</v>
      </c>
      <c r="K1938" s="9" t="str">
        <f t="shared" ca="1" si="371"/>
        <v>W</v>
      </c>
      <c r="L1938">
        <f ca="1">+_xlfn.IFNA(VLOOKUP(M1938,BespokeWindowsAreas!$B$2:$E$1999,4,FALSE),VLOOKUP(E1938,WindowTypeArea!$B$2:$C$113,2,FALSE))</f>
        <v>3.9975000000000001</v>
      </c>
      <c r="M1938">
        <f t="shared" ca="1" si="372"/>
        <v>4913590</v>
      </c>
    </row>
    <row r="1939" spans="1:13" x14ac:dyDescent="0.25">
      <c r="A1939">
        <f t="shared" ca="1" si="365"/>
        <v>5</v>
      </c>
      <c r="B1939">
        <f t="shared" ca="1" si="366"/>
        <v>220</v>
      </c>
      <c r="C1939" t="str">
        <f t="shared" ca="1" si="373"/>
        <v>'WINDOWS-NCH-A-BDP-M3-03-00'!B219</v>
      </c>
      <c r="D1939" s="6" t="str">
        <f t="shared" ca="1" si="374"/>
        <v>L03-THR-POT-U0712-01</v>
      </c>
      <c r="E1939" t="str">
        <f t="shared" ca="1" si="375"/>
        <v>Family Type: Curtain Wall_975w x 3800h, Family: Window External Type 5 - Flush</v>
      </c>
      <c r="F1939" t="str">
        <f t="shared" ca="1" si="376"/>
        <v>Vector(X = -1.000, Y = -0.010, Z = 0.000, Length = 1.000)</v>
      </c>
      <c r="G1939">
        <f t="shared" ca="1" si="367"/>
        <v>-1</v>
      </c>
      <c r="H1939">
        <f t="shared" ca="1" si="368"/>
        <v>0</v>
      </c>
      <c r="I1939">
        <f t="shared" ca="1" si="369"/>
        <v>0</v>
      </c>
      <c r="J1939" s="8">
        <f t="shared" ca="1" si="370"/>
        <v>180</v>
      </c>
      <c r="K1939" s="9" t="str">
        <f t="shared" ca="1" si="371"/>
        <v>W</v>
      </c>
      <c r="L1939">
        <f ca="1">+_xlfn.IFNA(VLOOKUP(M1939,BespokeWindowsAreas!$B$2:$E$1999,4,FALSE),VLOOKUP(E1939,WindowTypeArea!$B$2:$C$113,2,FALSE))</f>
        <v>3.9975000000000001</v>
      </c>
      <c r="M1939">
        <f t="shared" ca="1" si="372"/>
        <v>4913591</v>
      </c>
    </row>
    <row r="1940" spans="1:13" x14ac:dyDescent="0.25">
      <c r="A1940">
        <f t="shared" ref="A1940:A2003" ca="1" si="377">+IF(B1939&lt;=VLOOKUP(MID(C1940,2,26),TABS,2,FALSE),A1939,+A1939+1)</f>
        <v>5</v>
      </c>
      <c r="B1940">
        <f t="shared" ref="B1940:B2003" ca="1" si="378">+IF(B1939&lt;=VLOOKUP(MID(C1940,2,26),TABS,2,FALSE),B1939+1,1)</f>
        <v>221</v>
      </c>
      <c r="C1940" t="str">
        <f t="shared" ca="1" si="373"/>
        <v>'WINDOWS-NCH-A-BDP-M3-03-00'!B220</v>
      </c>
      <c r="D1940" s="6" t="str">
        <f t="shared" ca="1" si="374"/>
        <v>L03-THR-POT-U0712-01</v>
      </c>
      <c r="E1940" t="str">
        <f t="shared" ca="1" si="375"/>
        <v>Family Type: Curtain Wall_975w x 3800h, Family: Window External Type 5 - Flush</v>
      </c>
      <c r="F1940" t="str">
        <f t="shared" ca="1" si="376"/>
        <v>Vector(X = -1.000, Y = -0.010, Z = 0.000, Length = 1.000)</v>
      </c>
      <c r="G1940">
        <f t="shared" ca="1" si="367"/>
        <v>-1</v>
      </c>
      <c r="H1940">
        <f t="shared" ca="1" si="368"/>
        <v>0</v>
      </c>
      <c r="I1940">
        <f t="shared" ca="1" si="369"/>
        <v>0</v>
      </c>
      <c r="J1940" s="8">
        <f t="shared" ca="1" si="370"/>
        <v>180</v>
      </c>
      <c r="K1940" s="9" t="str">
        <f t="shared" ca="1" si="371"/>
        <v>W</v>
      </c>
      <c r="L1940">
        <f ca="1">+_xlfn.IFNA(VLOOKUP(M1940,BespokeWindowsAreas!$B$2:$E$1999,4,FALSE),VLOOKUP(E1940,WindowTypeArea!$B$2:$C$113,2,FALSE))</f>
        <v>3.9975000000000001</v>
      </c>
      <c r="M1940">
        <f t="shared" ca="1" si="372"/>
        <v>4913592</v>
      </c>
    </row>
    <row r="1941" spans="1:13" x14ac:dyDescent="0.25">
      <c r="A1941">
        <f t="shared" ca="1" si="377"/>
        <v>5</v>
      </c>
      <c r="B1941">
        <f t="shared" ca="1" si="378"/>
        <v>222</v>
      </c>
      <c r="C1941" t="str">
        <f t="shared" ca="1" si="373"/>
        <v>'WINDOWS-NCH-A-BDP-M3-03-00'!B221</v>
      </c>
      <c r="D1941" s="6" t="str">
        <f t="shared" ca="1" si="374"/>
        <v>L03-THR-POT-U0712-01</v>
      </c>
      <c r="E1941" t="str">
        <f t="shared" ca="1" si="375"/>
        <v>Family Type: Curtain Wall_1950w x 3800h, Family: Window External Type 5 - Flush</v>
      </c>
      <c r="F1941" t="str">
        <f t="shared" ca="1" si="376"/>
        <v>Vector(X = -1.000, Y = -0.010, Z = 0.000, Length = 1.000)</v>
      </c>
      <c r="G1941">
        <f t="shared" ca="1" si="367"/>
        <v>-1</v>
      </c>
      <c r="H1941">
        <f t="shared" ca="1" si="368"/>
        <v>0</v>
      </c>
      <c r="I1941">
        <f t="shared" ca="1" si="369"/>
        <v>0</v>
      </c>
      <c r="J1941" s="8">
        <f t="shared" ca="1" si="370"/>
        <v>180</v>
      </c>
      <c r="K1941" s="9" t="str">
        <f t="shared" ca="1" si="371"/>
        <v>W</v>
      </c>
      <c r="L1941">
        <f ca="1">+_xlfn.IFNA(VLOOKUP(M1941,BespokeWindowsAreas!$B$2:$E$1999,4,FALSE),VLOOKUP(E1941,WindowTypeArea!$B$2:$C$113,2,FALSE))</f>
        <v>7.9950000000000001</v>
      </c>
      <c r="M1941">
        <f t="shared" ca="1" si="372"/>
        <v>4913593</v>
      </c>
    </row>
    <row r="1942" spans="1:13" x14ac:dyDescent="0.25">
      <c r="A1942">
        <f t="shared" ca="1" si="377"/>
        <v>5</v>
      </c>
      <c r="B1942">
        <f t="shared" ca="1" si="378"/>
        <v>223</v>
      </c>
      <c r="C1942" t="str">
        <f t="shared" ca="1" si="373"/>
        <v>'WINDOWS-NCH-A-BDP-M3-03-00'!B222</v>
      </c>
      <c r="D1942" s="6" t="str">
        <f t="shared" ca="1" si="374"/>
        <v>L03-THR-POT-U0712-01</v>
      </c>
      <c r="E1942" t="str">
        <f t="shared" ca="1" si="375"/>
        <v>Family Type: Curtain Wall_975w x 3800h, Family: Window External Type 5 - Flush</v>
      </c>
      <c r="F1942" t="str">
        <f t="shared" ca="1" si="376"/>
        <v>Vector(X = -1.000, Y = -0.010, Z = 0.000, Length = 1.000)</v>
      </c>
      <c r="G1942">
        <f t="shared" ref="G1942:G2005" ca="1" si="379">+OFFSET(INDIRECT(C1942),0,2)</f>
        <v>-1</v>
      </c>
      <c r="H1942">
        <f t="shared" ref="H1942:H2005" ca="1" si="380">+OFFSET(INDIRECT(C1942),0,3)</f>
        <v>0</v>
      </c>
      <c r="I1942">
        <f t="shared" ref="I1942:I2005" ca="1" si="381">+OFFSET(INDIRECT(C1942),0,4)</f>
        <v>0</v>
      </c>
      <c r="J1942" s="8">
        <f t="shared" ref="J1942:J2005" ca="1" si="382">+DEGREES(ATAN2(G1942,H1942))</f>
        <v>180</v>
      </c>
      <c r="K1942" s="9" t="str">
        <f t="shared" ref="K1942:K2005" ca="1" si="383">VLOOKUP(J1942,$O$20:$P$36,2,-1)</f>
        <v>W</v>
      </c>
      <c r="L1942">
        <f ca="1">+_xlfn.IFNA(VLOOKUP(M1942,BespokeWindowsAreas!$B$2:$E$1999,4,FALSE),VLOOKUP(E1942,WindowTypeArea!$B$2:$C$113,2,FALSE))</f>
        <v>3.9975000000000001</v>
      </c>
      <c r="M1942">
        <f t="shared" ref="M1942:M2005" ca="1" si="384">+OFFSET(INDIRECT(C1942),0,5)</f>
        <v>4913594</v>
      </c>
    </row>
    <row r="1943" spans="1:13" x14ac:dyDescent="0.25">
      <c r="A1943">
        <f t="shared" ca="1" si="377"/>
        <v>5</v>
      </c>
      <c r="B1943">
        <f t="shared" ca="1" si="378"/>
        <v>224</v>
      </c>
      <c r="C1943" t="str">
        <f t="shared" ca="1" si="373"/>
        <v>'WINDOWS-NCH-A-BDP-M3-03-00'!B223</v>
      </c>
      <c r="D1943" s="6" t="str">
        <f t="shared" ca="1" si="374"/>
        <v>L03-THR-POT-U0712-01</v>
      </c>
      <c r="E1943" t="str">
        <f t="shared" ca="1" si="375"/>
        <v>Family Type: Curtain Wall_975w x 3800h, Family: Window External Type 5 - Flush</v>
      </c>
      <c r="F1943" t="str">
        <f t="shared" ca="1" si="376"/>
        <v>Vector(X = -1.000, Y = -0.010, Z = 0.000, Length = 1.000)</v>
      </c>
      <c r="G1943">
        <f t="shared" ca="1" si="379"/>
        <v>-1</v>
      </c>
      <c r="H1943">
        <f t="shared" ca="1" si="380"/>
        <v>0</v>
      </c>
      <c r="I1943">
        <f t="shared" ca="1" si="381"/>
        <v>0</v>
      </c>
      <c r="J1943" s="8">
        <f t="shared" ca="1" si="382"/>
        <v>180</v>
      </c>
      <c r="K1943" s="9" t="str">
        <f t="shared" ca="1" si="383"/>
        <v>W</v>
      </c>
      <c r="L1943">
        <f ca="1">+_xlfn.IFNA(VLOOKUP(M1943,BespokeWindowsAreas!$B$2:$E$1999,4,FALSE),VLOOKUP(E1943,WindowTypeArea!$B$2:$C$113,2,FALSE))</f>
        <v>3.9975000000000001</v>
      </c>
      <c r="M1943">
        <f t="shared" ca="1" si="384"/>
        <v>4913595</v>
      </c>
    </row>
    <row r="1944" spans="1:13" x14ac:dyDescent="0.25">
      <c r="A1944">
        <f t="shared" ca="1" si="377"/>
        <v>5</v>
      </c>
      <c r="B1944">
        <f t="shared" ca="1" si="378"/>
        <v>225</v>
      </c>
      <c r="C1944" t="str">
        <f t="shared" ca="1" si="373"/>
        <v>'WINDOWS-NCH-A-BDP-M3-03-00'!B224</v>
      </c>
      <c r="D1944" s="6" t="str">
        <f t="shared" ca="1" si="374"/>
        <v>L03-THR-POT-U0712-01</v>
      </c>
      <c r="E1944" t="str">
        <f t="shared" ca="1" si="375"/>
        <v>Family Type: Curtain Wall_1950w x 3800h, Family: Window External Type 5 - Flush</v>
      </c>
      <c r="F1944" t="str">
        <f t="shared" ca="1" si="376"/>
        <v>Vector(X = -1.000, Y = -0.010, Z = 0.000, Length = 1.000)</v>
      </c>
      <c r="G1944">
        <f t="shared" ca="1" si="379"/>
        <v>-1</v>
      </c>
      <c r="H1944">
        <f t="shared" ca="1" si="380"/>
        <v>0</v>
      </c>
      <c r="I1944">
        <f t="shared" ca="1" si="381"/>
        <v>0</v>
      </c>
      <c r="J1944" s="8">
        <f t="shared" ca="1" si="382"/>
        <v>180</v>
      </c>
      <c r="K1944" s="9" t="str">
        <f t="shared" ca="1" si="383"/>
        <v>W</v>
      </c>
      <c r="L1944">
        <f ca="1">+_xlfn.IFNA(VLOOKUP(M1944,BespokeWindowsAreas!$B$2:$E$1999,4,FALSE),VLOOKUP(E1944,WindowTypeArea!$B$2:$C$113,2,FALSE))</f>
        <v>7.9950000000000001</v>
      </c>
      <c r="M1944">
        <f t="shared" ca="1" si="384"/>
        <v>4913597</v>
      </c>
    </row>
    <row r="1945" spans="1:13" x14ac:dyDescent="0.25">
      <c r="A1945">
        <f t="shared" ca="1" si="377"/>
        <v>5</v>
      </c>
      <c r="B1945">
        <f t="shared" ca="1" si="378"/>
        <v>226</v>
      </c>
      <c r="C1945" t="str">
        <f t="shared" ca="1" si="373"/>
        <v>'WINDOWS-NCH-A-BDP-M3-03-00'!B225</v>
      </c>
      <c r="D1945" s="6" t="str">
        <f t="shared" ca="1" si="374"/>
        <v>L03-THR-POT-U0712-01</v>
      </c>
      <c r="E1945" t="str">
        <f t="shared" ca="1" si="375"/>
        <v>Family Type: Curtain Wall_975w x 3800h, Family: Window External Type 5 - Flush</v>
      </c>
      <c r="F1945" t="str">
        <f t="shared" ca="1" si="376"/>
        <v>Vector(X = 0.212, Y = -0.977, Z = 0.000, Length = 1.000)</v>
      </c>
      <c r="G1945">
        <f t="shared" ca="1" si="379"/>
        <v>0.2</v>
      </c>
      <c r="H1945">
        <f t="shared" ca="1" si="380"/>
        <v>-1</v>
      </c>
      <c r="I1945">
        <f t="shared" ca="1" si="381"/>
        <v>0</v>
      </c>
      <c r="J1945" s="8">
        <f t="shared" ca="1" si="382"/>
        <v>-78.690067525979785</v>
      </c>
      <c r="K1945" s="9" t="str">
        <f t="shared" ca="1" si="383"/>
        <v>S</v>
      </c>
      <c r="L1945">
        <f ca="1">+_xlfn.IFNA(VLOOKUP(M1945,BespokeWindowsAreas!$B$2:$E$1999,4,FALSE),VLOOKUP(E1945,WindowTypeArea!$B$2:$C$113,2,FALSE))</f>
        <v>3.9975000000000001</v>
      </c>
      <c r="M1945">
        <f t="shared" ca="1" si="384"/>
        <v>4928741</v>
      </c>
    </row>
    <row r="1946" spans="1:13" x14ac:dyDescent="0.25">
      <c r="A1946">
        <f t="shared" ca="1" si="377"/>
        <v>5</v>
      </c>
      <c r="B1946">
        <f t="shared" ca="1" si="378"/>
        <v>227</v>
      </c>
      <c r="C1946" t="str">
        <f t="shared" ca="1" si="373"/>
        <v>'WINDOWS-NCH-A-BDP-M3-03-00'!B226</v>
      </c>
      <c r="D1946" s="6" t="str">
        <f t="shared" ca="1" si="374"/>
        <v>L03-THR-POT-U0712-01</v>
      </c>
      <c r="E1946" t="str">
        <f t="shared" ca="1" si="375"/>
        <v>Family Type: Curtain Wall_1950w x 3800h, Family: Window External Type 5 - Flush</v>
      </c>
      <c r="F1946" t="str">
        <f t="shared" ca="1" si="376"/>
        <v>Vector(X = 0.212, Y = -0.977, Z = 0.000, Length = 1.000)</v>
      </c>
      <c r="G1946">
        <f t="shared" ca="1" si="379"/>
        <v>0.2</v>
      </c>
      <c r="H1946">
        <f t="shared" ca="1" si="380"/>
        <v>-1</v>
      </c>
      <c r="I1946">
        <f t="shared" ca="1" si="381"/>
        <v>0</v>
      </c>
      <c r="J1946" s="8">
        <f t="shared" ca="1" si="382"/>
        <v>-78.690067525979785</v>
      </c>
      <c r="K1946" s="9" t="str">
        <f t="shared" ca="1" si="383"/>
        <v>S</v>
      </c>
      <c r="L1946">
        <f ca="1">+_xlfn.IFNA(VLOOKUP(M1946,BespokeWindowsAreas!$B$2:$E$1999,4,FALSE),VLOOKUP(E1946,WindowTypeArea!$B$2:$C$113,2,FALSE))</f>
        <v>7.9950000000000001</v>
      </c>
      <c r="M1946">
        <f t="shared" ca="1" si="384"/>
        <v>4928784</v>
      </c>
    </row>
    <row r="1947" spans="1:13" x14ac:dyDescent="0.25">
      <c r="A1947">
        <f t="shared" ca="1" si="377"/>
        <v>5</v>
      </c>
      <c r="B1947">
        <f t="shared" ca="1" si="378"/>
        <v>228</v>
      </c>
      <c r="C1947" t="str">
        <f t="shared" ca="1" si="373"/>
        <v>'WINDOWS-NCH-A-BDP-M3-03-00'!B227</v>
      </c>
      <c r="D1947" s="6" t="str">
        <f t="shared" ca="1" si="374"/>
        <v>L03-THR-POT-U0712-01</v>
      </c>
      <c r="E1947" t="str">
        <f t="shared" ca="1" si="375"/>
        <v>Family Type: Curtain Wall_1950w x 3800h, Family: Window External Type 5 - Flush</v>
      </c>
      <c r="F1947" t="str">
        <f t="shared" ca="1" si="376"/>
        <v>Vector(X = 0.212, Y = -0.977, Z = 0.000, Length = 1.000)</v>
      </c>
      <c r="G1947">
        <f t="shared" ca="1" si="379"/>
        <v>0.2</v>
      </c>
      <c r="H1947">
        <f t="shared" ca="1" si="380"/>
        <v>-1</v>
      </c>
      <c r="I1947">
        <f t="shared" ca="1" si="381"/>
        <v>0</v>
      </c>
      <c r="J1947" s="8">
        <f t="shared" ca="1" si="382"/>
        <v>-78.690067525979785</v>
      </c>
      <c r="K1947" s="9" t="str">
        <f t="shared" ca="1" si="383"/>
        <v>S</v>
      </c>
      <c r="L1947">
        <f ca="1">+_xlfn.IFNA(VLOOKUP(M1947,BespokeWindowsAreas!$B$2:$E$1999,4,FALSE),VLOOKUP(E1947,WindowTypeArea!$B$2:$C$113,2,FALSE))</f>
        <v>7.9950000000000001</v>
      </c>
      <c r="M1947">
        <f t="shared" ca="1" si="384"/>
        <v>4928793</v>
      </c>
    </row>
    <row r="1948" spans="1:13" x14ac:dyDescent="0.25">
      <c r="A1948">
        <f t="shared" ca="1" si="377"/>
        <v>5</v>
      </c>
      <c r="B1948">
        <f t="shared" ca="1" si="378"/>
        <v>229</v>
      </c>
      <c r="C1948" t="str">
        <f t="shared" ca="1" si="373"/>
        <v>'WINDOWS-NCH-A-BDP-M3-03-00'!B228</v>
      </c>
      <c r="D1948" s="6" t="str">
        <f t="shared" ca="1" si="374"/>
        <v>L03-THR-POT-U0712-01</v>
      </c>
      <c r="E1948" t="str">
        <f t="shared" ca="1" si="375"/>
        <v>Family Type: Curtain Wall_1950w x 3800h, Family: Window External Type 5 - Flush</v>
      </c>
      <c r="F1948" t="str">
        <f t="shared" ca="1" si="376"/>
        <v>Vector(X = 0.212, Y = -0.977, Z = 0.000, Length = 1.000)</v>
      </c>
      <c r="G1948">
        <f t="shared" ca="1" si="379"/>
        <v>0.2</v>
      </c>
      <c r="H1948">
        <f t="shared" ca="1" si="380"/>
        <v>-1</v>
      </c>
      <c r="I1948">
        <f t="shared" ca="1" si="381"/>
        <v>0</v>
      </c>
      <c r="J1948" s="8">
        <f t="shared" ca="1" si="382"/>
        <v>-78.690067525979785</v>
      </c>
      <c r="K1948" s="9" t="str">
        <f t="shared" ca="1" si="383"/>
        <v>S</v>
      </c>
      <c r="L1948">
        <f ca="1">+_xlfn.IFNA(VLOOKUP(M1948,BespokeWindowsAreas!$B$2:$E$1999,4,FALSE),VLOOKUP(E1948,WindowTypeArea!$B$2:$C$113,2,FALSE))</f>
        <v>7.9950000000000001</v>
      </c>
      <c r="M1948">
        <f t="shared" ca="1" si="384"/>
        <v>4928801</v>
      </c>
    </row>
    <row r="1949" spans="1:13" x14ac:dyDescent="0.25">
      <c r="A1949">
        <f t="shared" ca="1" si="377"/>
        <v>5</v>
      </c>
      <c r="B1949">
        <f t="shared" ca="1" si="378"/>
        <v>230</v>
      </c>
      <c r="C1949" t="str">
        <f t="shared" ca="1" si="373"/>
        <v>'WINDOWS-NCH-A-BDP-M3-03-00'!B229</v>
      </c>
      <c r="D1949" s="6" t="str">
        <f t="shared" ca="1" si="374"/>
        <v>L03-THR-POT-U0712-01</v>
      </c>
      <c r="E1949" t="str">
        <f t="shared" ca="1" si="375"/>
        <v>Family Type: Curtain Wall_1950w x 3800h, Family: Window External Type 5 - Flush</v>
      </c>
      <c r="F1949" t="str">
        <f t="shared" ca="1" si="376"/>
        <v>Vector(X = 0.212, Y = -0.977, Z = 0.000, Length = 1.000)</v>
      </c>
      <c r="G1949">
        <f t="shared" ca="1" si="379"/>
        <v>0.2</v>
      </c>
      <c r="H1949">
        <f t="shared" ca="1" si="380"/>
        <v>-1</v>
      </c>
      <c r="I1949">
        <f t="shared" ca="1" si="381"/>
        <v>0</v>
      </c>
      <c r="J1949" s="8">
        <f t="shared" ca="1" si="382"/>
        <v>-78.690067525979785</v>
      </c>
      <c r="K1949" s="9" t="str">
        <f t="shared" ca="1" si="383"/>
        <v>S</v>
      </c>
      <c r="L1949">
        <f ca="1">+_xlfn.IFNA(VLOOKUP(M1949,BespokeWindowsAreas!$B$2:$E$1999,4,FALSE),VLOOKUP(E1949,WindowTypeArea!$B$2:$C$113,2,FALSE))</f>
        <v>7.9950000000000001</v>
      </c>
      <c r="M1949">
        <f t="shared" ca="1" si="384"/>
        <v>4928809</v>
      </c>
    </row>
    <row r="1950" spans="1:13" x14ac:dyDescent="0.25">
      <c r="A1950">
        <f t="shared" ca="1" si="377"/>
        <v>5</v>
      </c>
      <c r="B1950">
        <f t="shared" ca="1" si="378"/>
        <v>231</v>
      </c>
      <c r="C1950" t="str">
        <f t="shared" ca="1" si="373"/>
        <v>'WINDOWS-NCH-A-BDP-M3-03-00'!B230</v>
      </c>
      <c r="D1950" s="6" t="str">
        <f t="shared" ca="1" si="374"/>
        <v>L03-THR-POT-U0714-01</v>
      </c>
      <c r="E1950" t="str">
        <f t="shared" ca="1" si="375"/>
        <v>L03-THR-POT-U0714-01</v>
      </c>
      <c r="F1950">
        <f t="shared" ca="1" si="376"/>
        <v>1296670</v>
      </c>
      <c r="G1950">
        <f t="shared" ca="1" si="379"/>
        <v>0</v>
      </c>
      <c r="H1950">
        <f t="shared" ca="1" si="380"/>
        <v>0</v>
      </c>
      <c r="I1950">
        <f t="shared" ca="1" si="381"/>
        <v>0</v>
      </c>
      <c r="J1950" s="8" t="e">
        <f t="shared" ca="1" si="382"/>
        <v>#DIV/0!</v>
      </c>
      <c r="K1950" s="9" t="e">
        <f t="shared" ca="1" si="383"/>
        <v>#DIV/0!</v>
      </c>
      <c r="L1950" t="e">
        <f ca="1">+_xlfn.IFNA(VLOOKUP(M1950,BespokeWindowsAreas!$B$2:$E$1999,4,FALSE),VLOOKUP(E1950,WindowTypeArea!$B$2:$C$113,2,FALSE))</f>
        <v>#N/A</v>
      </c>
      <c r="M1950">
        <f t="shared" ca="1" si="384"/>
        <v>0</v>
      </c>
    </row>
    <row r="1951" spans="1:13" x14ac:dyDescent="0.25">
      <c r="A1951">
        <f t="shared" ca="1" si="377"/>
        <v>5</v>
      </c>
      <c r="B1951">
        <f t="shared" ca="1" si="378"/>
        <v>232</v>
      </c>
      <c r="C1951" t="str">
        <f t="shared" ca="1" si="373"/>
        <v>'WINDOWS-NCH-A-BDP-M3-03-00'!B231</v>
      </c>
      <c r="D1951" s="6" t="str">
        <f t="shared" ca="1" si="374"/>
        <v>L03-THR-POT-U0714-01</v>
      </c>
      <c r="E1951" t="str">
        <f t="shared" ca="1" si="375"/>
        <v>Family Type: Curtain Wall_1950w x 3800h, Family: Window External Type 5 - Flush</v>
      </c>
      <c r="F1951" t="str">
        <f t="shared" ca="1" si="376"/>
        <v>Vector(X = 0.212, Y = -0.977, Z = 0.000, Length = 1.000)</v>
      </c>
      <c r="G1951">
        <f t="shared" ca="1" si="379"/>
        <v>0.2</v>
      </c>
      <c r="H1951">
        <f t="shared" ca="1" si="380"/>
        <v>-1</v>
      </c>
      <c r="I1951">
        <f t="shared" ca="1" si="381"/>
        <v>0</v>
      </c>
      <c r="J1951" s="8">
        <f t="shared" ca="1" si="382"/>
        <v>-78.690067525979785</v>
      </c>
      <c r="K1951" s="9" t="str">
        <f t="shared" ca="1" si="383"/>
        <v>S</v>
      </c>
      <c r="L1951">
        <f ca="1">+_xlfn.IFNA(VLOOKUP(M1951,BespokeWindowsAreas!$B$2:$E$1999,4,FALSE),VLOOKUP(E1951,WindowTypeArea!$B$2:$C$113,2,FALSE))</f>
        <v>7.9950000000000001</v>
      </c>
      <c r="M1951">
        <f t="shared" ca="1" si="384"/>
        <v>4927141</v>
      </c>
    </row>
    <row r="1952" spans="1:13" x14ac:dyDescent="0.25">
      <c r="A1952">
        <f t="shared" ca="1" si="377"/>
        <v>5</v>
      </c>
      <c r="B1952">
        <f t="shared" ca="1" si="378"/>
        <v>233</v>
      </c>
      <c r="C1952" t="str">
        <f t="shared" ca="1" si="373"/>
        <v>'WINDOWS-NCH-A-BDP-M3-03-00'!B232</v>
      </c>
      <c r="D1952" s="6" t="str">
        <f t="shared" ca="1" si="374"/>
        <v>L03-THR-POT-U0714-01</v>
      </c>
      <c r="E1952" t="str">
        <f t="shared" ca="1" si="375"/>
        <v>Family Type: Curtain Wall_1950w x 3800h, Family: Window External Type 5 - Flush</v>
      </c>
      <c r="F1952" t="str">
        <f t="shared" ca="1" si="376"/>
        <v>Vector(X = 0.212, Y = -0.977, Z = 0.000, Length = 1.000)</v>
      </c>
      <c r="G1952">
        <f t="shared" ca="1" si="379"/>
        <v>0.2</v>
      </c>
      <c r="H1952">
        <f t="shared" ca="1" si="380"/>
        <v>-1</v>
      </c>
      <c r="I1952">
        <f t="shared" ca="1" si="381"/>
        <v>0</v>
      </c>
      <c r="J1952" s="8">
        <f t="shared" ca="1" si="382"/>
        <v>-78.690067525979785</v>
      </c>
      <c r="K1952" s="9" t="str">
        <f t="shared" ca="1" si="383"/>
        <v>S</v>
      </c>
      <c r="L1952">
        <f ca="1">+_xlfn.IFNA(VLOOKUP(M1952,BespokeWindowsAreas!$B$2:$E$1999,4,FALSE),VLOOKUP(E1952,WindowTypeArea!$B$2:$C$113,2,FALSE))</f>
        <v>7.9950000000000001</v>
      </c>
      <c r="M1952">
        <f t="shared" ca="1" si="384"/>
        <v>4927292</v>
      </c>
    </row>
    <row r="1953" spans="1:13" x14ac:dyDescent="0.25">
      <c r="A1953">
        <f t="shared" ca="1" si="377"/>
        <v>5</v>
      </c>
      <c r="B1953">
        <f t="shared" ca="1" si="378"/>
        <v>234</v>
      </c>
      <c r="C1953" t="str">
        <f t="shared" ca="1" si="373"/>
        <v>'WINDOWS-NCH-A-BDP-M3-03-00'!B233</v>
      </c>
      <c r="D1953" s="6" t="str">
        <f t="shared" ca="1" si="374"/>
        <v>L03-THR-POT-L086-01</v>
      </c>
      <c r="E1953" t="str">
        <f t="shared" ca="1" si="375"/>
        <v>L03-THR-POT-L086-01</v>
      </c>
      <c r="F1953">
        <f t="shared" ca="1" si="376"/>
        <v>1296672</v>
      </c>
      <c r="G1953">
        <f t="shared" ca="1" si="379"/>
        <v>0</v>
      </c>
      <c r="H1953">
        <f t="shared" ca="1" si="380"/>
        <v>0</v>
      </c>
      <c r="I1953">
        <f t="shared" ca="1" si="381"/>
        <v>0</v>
      </c>
      <c r="J1953" s="8" t="e">
        <f t="shared" ca="1" si="382"/>
        <v>#DIV/0!</v>
      </c>
      <c r="K1953" s="9" t="e">
        <f t="shared" ca="1" si="383"/>
        <v>#DIV/0!</v>
      </c>
      <c r="L1953" t="e">
        <f ca="1">+_xlfn.IFNA(VLOOKUP(M1953,BespokeWindowsAreas!$B$2:$E$1999,4,FALSE),VLOOKUP(E1953,WindowTypeArea!$B$2:$C$113,2,FALSE))</f>
        <v>#N/A</v>
      </c>
      <c r="M1953">
        <f t="shared" ca="1" si="384"/>
        <v>0</v>
      </c>
    </row>
    <row r="1954" spans="1:13" x14ac:dyDescent="0.25">
      <c r="A1954">
        <f t="shared" ca="1" si="377"/>
        <v>5</v>
      </c>
      <c r="B1954">
        <f t="shared" ca="1" si="378"/>
        <v>235</v>
      </c>
      <c r="C1954" t="str">
        <f t="shared" ca="1" si="373"/>
        <v>'WINDOWS-NCH-A-BDP-M3-03-00'!B234</v>
      </c>
      <c r="D1954" s="6" t="str">
        <f t="shared" ca="1" si="374"/>
        <v>L03-THR-POT-L086-01</v>
      </c>
      <c r="E1954" t="str">
        <f t="shared" ca="1" si="375"/>
        <v>Family Type: Curtain Wall_1950w x 3800h, Family: Window External Type 5 - Flush</v>
      </c>
      <c r="F1954" t="str">
        <f t="shared" ca="1" si="376"/>
        <v>Vector(X = 0.212, Y = -0.977, Z = 0.000, Length = 1.000)</v>
      </c>
      <c r="G1954">
        <f t="shared" ca="1" si="379"/>
        <v>0.2</v>
      </c>
      <c r="H1954">
        <f t="shared" ca="1" si="380"/>
        <v>-1</v>
      </c>
      <c r="I1954">
        <f t="shared" ca="1" si="381"/>
        <v>0</v>
      </c>
      <c r="J1954" s="8">
        <f t="shared" ca="1" si="382"/>
        <v>-78.690067525979785</v>
      </c>
      <c r="K1954" s="9" t="str">
        <f t="shared" ca="1" si="383"/>
        <v>S</v>
      </c>
      <c r="L1954">
        <f ca="1">+_xlfn.IFNA(VLOOKUP(M1954,BespokeWindowsAreas!$B$2:$E$1999,4,FALSE),VLOOKUP(E1954,WindowTypeArea!$B$2:$C$113,2,FALSE))</f>
        <v>7.9950000000000001</v>
      </c>
      <c r="M1954">
        <f t="shared" ca="1" si="384"/>
        <v>4927422</v>
      </c>
    </row>
    <row r="1955" spans="1:13" x14ac:dyDescent="0.25">
      <c r="A1955">
        <f t="shared" ca="1" si="377"/>
        <v>5</v>
      </c>
      <c r="B1955">
        <f t="shared" ca="1" si="378"/>
        <v>236</v>
      </c>
      <c r="C1955" t="str">
        <f t="shared" ca="1" si="373"/>
        <v>'WINDOWS-NCH-A-BDP-M3-03-00'!B235</v>
      </c>
      <c r="D1955" s="6" t="str">
        <f t="shared" ca="1" si="374"/>
        <v>L03-THR-POT-L086-01</v>
      </c>
      <c r="E1955" t="str">
        <f t="shared" ca="1" si="375"/>
        <v>Family Type: Curtain Wall_1950w x 3800h, Family: Window External Type 5 - Flush</v>
      </c>
      <c r="F1955" t="str">
        <f t="shared" ca="1" si="376"/>
        <v>Vector(X = 0.212, Y = -0.977, Z = 0.000, Length = 1.000)</v>
      </c>
      <c r="G1955">
        <f t="shared" ca="1" si="379"/>
        <v>0.2</v>
      </c>
      <c r="H1955">
        <f t="shared" ca="1" si="380"/>
        <v>-1</v>
      </c>
      <c r="I1955">
        <f t="shared" ca="1" si="381"/>
        <v>0</v>
      </c>
      <c r="J1955" s="8">
        <f t="shared" ca="1" si="382"/>
        <v>-78.690067525979785</v>
      </c>
      <c r="K1955" s="9" t="str">
        <f t="shared" ca="1" si="383"/>
        <v>S</v>
      </c>
      <c r="L1955">
        <f ca="1">+_xlfn.IFNA(VLOOKUP(M1955,BespokeWindowsAreas!$B$2:$E$1999,4,FALSE),VLOOKUP(E1955,WindowTypeArea!$B$2:$C$113,2,FALSE))</f>
        <v>7.9950000000000001</v>
      </c>
      <c r="M1955">
        <f t="shared" ca="1" si="384"/>
        <v>4927493</v>
      </c>
    </row>
    <row r="1956" spans="1:13" x14ac:dyDescent="0.25">
      <c r="A1956">
        <f t="shared" ca="1" si="377"/>
        <v>5</v>
      </c>
      <c r="B1956">
        <f t="shared" ca="1" si="378"/>
        <v>237</v>
      </c>
      <c r="C1956" t="str">
        <f t="shared" ca="1" si="373"/>
        <v>'WINDOWS-NCH-A-BDP-M3-03-00'!B236</v>
      </c>
      <c r="D1956" s="6" t="str">
        <f t="shared" ca="1" si="374"/>
        <v>L03-THR-POT-U0717-01</v>
      </c>
      <c r="E1956" t="str">
        <f t="shared" ca="1" si="375"/>
        <v>L03-THR-POT-U0717-01</v>
      </c>
      <c r="F1956">
        <f t="shared" ca="1" si="376"/>
        <v>1296676</v>
      </c>
      <c r="G1956">
        <f t="shared" ca="1" si="379"/>
        <v>0</v>
      </c>
      <c r="H1956">
        <f t="shared" ca="1" si="380"/>
        <v>0</v>
      </c>
      <c r="I1956">
        <f t="shared" ca="1" si="381"/>
        <v>0</v>
      </c>
      <c r="J1956" s="8" t="e">
        <f t="shared" ca="1" si="382"/>
        <v>#DIV/0!</v>
      </c>
      <c r="K1956" s="9" t="e">
        <f t="shared" ca="1" si="383"/>
        <v>#DIV/0!</v>
      </c>
      <c r="L1956" t="e">
        <f ca="1">+_xlfn.IFNA(VLOOKUP(M1956,BespokeWindowsAreas!$B$2:$E$1999,4,FALSE),VLOOKUP(E1956,WindowTypeArea!$B$2:$C$113,2,FALSE))</f>
        <v>#N/A</v>
      </c>
      <c r="M1956">
        <f t="shared" ca="1" si="384"/>
        <v>0</v>
      </c>
    </row>
    <row r="1957" spans="1:13" x14ac:dyDescent="0.25">
      <c r="A1957">
        <f t="shared" ca="1" si="377"/>
        <v>5</v>
      </c>
      <c r="B1957">
        <f t="shared" ca="1" si="378"/>
        <v>238</v>
      </c>
      <c r="C1957" t="str">
        <f t="shared" ca="1" si="373"/>
        <v>'WINDOWS-NCH-A-BDP-M3-03-00'!B237</v>
      </c>
      <c r="D1957" s="6" t="str">
        <f t="shared" ca="1" si="374"/>
        <v>L03-THR-POT-U0717-01</v>
      </c>
      <c r="E1957" t="str">
        <f t="shared" ca="1" si="375"/>
        <v>Family Type: Curtain Wall_1950w x 3800h, Family: Window External Type 5 - Flush</v>
      </c>
      <c r="F1957" t="str">
        <f t="shared" ca="1" si="376"/>
        <v>Vector(X = 0.212, Y = -0.977, Z = 0.000, Length = 1.000)</v>
      </c>
      <c r="G1957">
        <f t="shared" ca="1" si="379"/>
        <v>0.2</v>
      </c>
      <c r="H1957">
        <f t="shared" ca="1" si="380"/>
        <v>-1</v>
      </c>
      <c r="I1957">
        <f t="shared" ca="1" si="381"/>
        <v>0</v>
      </c>
      <c r="J1957" s="8">
        <f t="shared" ca="1" si="382"/>
        <v>-78.690067525979785</v>
      </c>
      <c r="K1957" s="9" t="str">
        <f t="shared" ca="1" si="383"/>
        <v>S</v>
      </c>
      <c r="L1957">
        <f ca="1">+_xlfn.IFNA(VLOOKUP(M1957,BespokeWindowsAreas!$B$2:$E$1999,4,FALSE),VLOOKUP(E1957,WindowTypeArea!$B$2:$C$113,2,FALSE))</f>
        <v>7.9950000000000001</v>
      </c>
      <c r="M1957">
        <f t="shared" ca="1" si="384"/>
        <v>4927300</v>
      </c>
    </row>
    <row r="1958" spans="1:13" x14ac:dyDescent="0.25">
      <c r="A1958">
        <f t="shared" ca="1" si="377"/>
        <v>5</v>
      </c>
      <c r="B1958">
        <f t="shared" ca="1" si="378"/>
        <v>239</v>
      </c>
      <c r="C1958" t="str">
        <f t="shared" ca="1" si="373"/>
        <v>'WINDOWS-NCH-A-BDP-M3-03-00'!B238</v>
      </c>
      <c r="D1958" s="6" t="str">
        <f t="shared" ca="1" si="374"/>
        <v>L03-THR-POT-U0717-01</v>
      </c>
      <c r="E1958" t="str">
        <f t="shared" ca="1" si="375"/>
        <v>Family Type: Curtain Wall_1950w x 3800h, Family: Window External Type 5 - Flush</v>
      </c>
      <c r="F1958" t="str">
        <f t="shared" ca="1" si="376"/>
        <v>Vector(X = 0.212, Y = -0.977, Z = 0.000, Length = 1.000)</v>
      </c>
      <c r="G1958">
        <f t="shared" ca="1" si="379"/>
        <v>0.2</v>
      </c>
      <c r="H1958">
        <f t="shared" ca="1" si="380"/>
        <v>-1</v>
      </c>
      <c r="I1958">
        <f t="shared" ca="1" si="381"/>
        <v>0</v>
      </c>
      <c r="J1958" s="8">
        <f t="shared" ca="1" si="382"/>
        <v>-78.690067525979785</v>
      </c>
      <c r="K1958" s="9" t="str">
        <f t="shared" ca="1" si="383"/>
        <v>S</v>
      </c>
      <c r="L1958">
        <f ca="1">+_xlfn.IFNA(VLOOKUP(M1958,BespokeWindowsAreas!$B$2:$E$1999,4,FALSE),VLOOKUP(E1958,WindowTypeArea!$B$2:$C$113,2,FALSE))</f>
        <v>7.9950000000000001</v>
      </c>
      <c r="M1958">
        <f t="shared" ca="1" si="384"/>
        <v>4927308</v>
      </c>
    </row>
    <row r="1959" spans="1:13" s="28" customFormat="1" x14ac:dyDescent="0.25">
      <c r="A1959" s="28">
        <f t="shared" ca="1" si="377"/>
        <v>5</v>
      </c>
      <c r="B1959" s="28">
        <f t="shared" ca="1" si="378"/>
        <v>240</v>
      </c>
      <c r="C1959" s="28" t="str">
        <f t="shared" ca="1" si="373"/>
        <v>'WINDOWS-NCH-A-BDP-M3-03-00'!B239</v>
      </c>
      <c r="D1959" s="30" t="str">
        <f t="shared" ca="1" si="374"/>
        <v>L03-THR-POT-U0718-01</v>
      </c>
      <c r="E1959" s="28" t="str">
        <f t="shared" ca="1" si="375"/>
        <v>L03-THR-POT-U0718-01</v>
      </c>
      <c r="F1959" s="28">
        <f t="shared" ca="1" si="376"/>
        <v>1296678</v>
      </c>
      <c r="G1959" s="28">
        <f t="shared" ca="1" si="379"/>
        <v>0</v>
      </c>
      <c r="H1959" s="28">
        <f t="shared" ca="1" si="380"/>
        <v>0</v>
      </c>
      <c r="I1959" s="28">
        <f t="shared" ca="1" si="381"/>
        <v>0</v>
      </c>
      <c r="J1959" s="31" t="e">
        <f t="shared" ca="1" si="382"/>
        <v>#DIV/0!</v>
      </c>
      <c r="K1959" s="32" t="e">
        <f t="shared" ca="1" si="383"/>
        <v>#DIV/0!</v>
      </c>
      <c r="L1959" t="e">
        <f ca="1">+_xlfn.IFNA(VLOOKUP(M1959,BespokeWindowsAreas!$B$2:$E$1999,4,FALSE),VLOOKUP(E1959,WindowTypeArea!$B$2:$C$113,2,FALSE))</f>
        <v>#N/A</v>
      </c>
      <c r="M1959">
        <f t="shared" ca="1" si="384"/>
        <v>0</v>
      </c>
    </row>
    <row r="1960" spans="1:13" x14ac:dyDescent="0.25">
      <c r="A1960">
        <f t="shared" ca="1" si="377"/>
        <v>5</v>
      </c>
      <c r="B1960">
        <f t="shared" ca="1" si="378"/>
        <v>241</v>
      </c>
      <c r="C1960" t="str">
        <f t="shared" ca="1" si="373"/>
        <v>'WINDOWS-NCH-A-BDP-M3-03-00'!B240</v>
      </c>
      <c r="D1960" s="6" t="str">
        <f t="shared" ca="1" si="374"/>
        <v>L03-THR-POT-U0718-01</v>
      </c>
      <c r="E1960" t="str">
        <f t="shared" ca="1" si="375"/>
        <v>Family Type: Curtain Wall_1950w x 3800h, Family: Window External Type 5 - Flush</v>
      </c>
      <c r="F1960" t="str">
        <f t="shared" ca="1" si="376"/>
        <v>Vector(X = 0.212, Y = -0.977, Z = 0.000, Length = 1.000)</v>
      </c>
      <c r="G1960">
        <f t="shared" ca="1" si="379"/>
        <v>0.2</v>
      </c>
      <c r="H1960">
        <f t="shared" ca="1" si="380"/>
        <v>-1</v>
      </c>
      <c r="I1960">
        <f t="shared" ca="1" si="381"/>
        <v>0</v>
      </c>
      <c r="J1960" s="8">
        <f t="shared" ca="1" si="382"/>
        <v>-78.690067525979785</v>
      </c>
      <c r="K1960" s="9" t="str">
        <f t="shared" ca="1" si="383"/>
        <v>S</v>
      </c>
      <c r="L1960">
        <f ca="1">+_xlfn.IFNA(VLOOKUP(M1960,BespokeWindowsAreas!$B$2:$E$1999,4,FALSE),VLOOKUP(E1960,WindowTypeArea!$B$2:$C$113,2,FALSE))</f>
        <v>7.9950000000000001</v>
      </c>
      <c r="M1960">
        <f t="shared" ca="1" si="384"/>
        <v>4927406</v>
      </c>
    </row>
    <row r="1961" spans="1:13" x14ac:dyDescent="0.25">
      <c r="A1961">
        <f t="shared" ca="1" si="377"/>
        <v>5</v>
      </c>
      <c r="B1961">
        <f t="shared" ca="1" si="378"/>
        <v>242</v>
      </c>
      <c r="C1961" t="str">
        <f t="shared" ca="1" si="373"/>
        <v>'WINDOWS-NCH-A-BDP-M3-03-00'!B241</v>
      </c>
      <c r="D1961" s="6" t="str">
        <f t="shared" ca="1" si="374"/>
        <v>L03-THR-POT-U0718-01</v>
      </c>
      <c r="E1961" t="str">
        <f t="shared" ca="1" si="375"/>
        <v>Family Type: Curtain Wall_1950w x 3800h, Family: Window External Type 5 - Flush</v>
      </c>
      <c r="F1961" t="str">
        <f t="shared" ca="1" si="376"/>
        <v>Vector(X = 0.212, Y = -0.977, Z = 0.000, Length = 1.000)</v>
      </c>
      <c r="G1961">
        <f t="shared" ca="1" si="379"/>
        <v>0.2</v>
      </c>
      <c r="H1961">
        <f t="shared" ca="1" si="380"/>
        <v>-1</v>
      </c>
      <c r="I1961">
        <f t="shared" ca="1" si="381"/>
        <v>0</v>
      </c>
      <c r="J1961" s="8">
        <f t="shared" ca="1" si="382"/>
        <v>-78.690067525979785</v>
      </c>
      <c r="K1961" s="9" t="str">
        <f t="shared" ca="1" si="383"/>
        <v>S</v>
      </c>
      <c r="L1961">
        <f ca="1">+_xlfn.IFNA(VLOOKUP(M1961,BespokeWindowsAreas!$B$2:$E$1999,4,FALSE),VLOOKUP(E1961,WindowTypeArea!$B$2:$C$113,2,FALSE))</f>
        <v>7.9950000000000001</v>
      </c>
      <c r="M1961">
        <f t="shared" ca="1" si="384"/>
        <v>4927414</v>
      </c>
    </row>
    <row r="1962" spans="1:13" x14ac:dyDescent="0.25">
      <c r="A1962">
        <f t="shared" ca="1" si="377"/>
        <v>5</v>
      </c>
      <c r="B1962">
        <f t="shared" ca="1" si="378"/>
        <v>243</v>
      </c>
      <c r="C1962" t="str">
        <f t="shared" ca="1" si="373"/>
        <v>'WINDOWS-NCH-A-BDP-M3-03-00'!B242</v>
      </c>
      <c r="D1962" s="6" t="str">
        <f t="shared" ca="1" si="374"/>
        <v>L03-THR-POT-U0718-01</v>
      </c>
      <c r="E1962" t="str">
        <f t="shared" ca="1" si="375"/>
        <v>Family Type: Curtain Wall_1950w x 3800h, Family: Window External Type 5 - Flush</v>
      </c>
      <c r="F1962" t="str">
        <f t="shared" ca="1" si="376"/>
        <v>Vector(X = 0.212, Y = -0.977, Z = 0.000, Length = 1.000)</v>
      </c>
      <c r="G1962">
        <f t="shared" ca="1" si="379"/>
        <v>0.2</v>
      </c>
      <c r="H1962">
        <f t="shared" ca="1" si="380"/>
        <v>-1</v>
      </c>
      <c r="I1962">
        <f t="shared" ca="1" si="381"/>
        <v>0</v>
      </c>
      <c r="J1962" s="8">
        <f t="shared" ca="1" si="382"/>
        <v>-78.690067525979785</v>
      </c>
      <c r="K1962" s="9" t="str">
        <f t="shared" ca="1" si="383"/>
        <v>S</v>
      </c>
      <c r="L1962">
        <f ca="1">+_xlfn.IFNA(VLOOKUP(M1962,BespokeWindowsAreas!$B$2:$E$1999,4,FALSE),VLOOKUP(E1962,WindowTypeArea!$B$2:$C$113,2,FALSE))</f>
        <v>7.9950000000000001</v>
      </c>
      <c r="M1962">
        <f t="shared" ca="1" si="384"/>
        <v>4927422</v>
      </c>
    </row>
    <row r="1963" spans="1:13" x14ac:dyDescent="0.25">
      <c r="A1963">
        <f t="shared" ca="1" si="377"/>
        <v>5</v>
      </c>
      <c r="B1963">
        <f t="shared" ca="1" si="378"/>
        <v>244</v>
      </c>
      <c r="C1963" t="str">
        <f t="shared" ref="C1963:C2026" ca="1" si="385">+"'"&amp;INDIRECT("a"&amp;A1962)&amp;"'!B"&amp;B1962</f>
        <v>'WINDOWS-NCH-A-BDP-M3-03-00'!B243</v>
      </c>
      <c r="D1963" s="6" t="str">
        <f t="shared" ref="D1963:D2026" ca="1" si="386">+IF(IFERROR(FIND("Family",E1963)&gt;0,FALSE),D1962,E1963)</f>
        <v>L03-THR-POT-S109-01</v>
      </c>
      <c r="E1963" t="str">
        <f t="shared" ref="E1963:E2026" ca="1" si="387">+OFFSET(INDIRECT(C1963),0,0)</f>
        <v>L03-THR-POT-S109-01</v>
      </c>
      <c r="F1963">
        <f t="shared" ref="F1963:F2026" ca="1" si="388">+OFFSET(INDIRECT(C1963),0,1)</f>
        <v>1296698</v>
      </c>
      <c r="G1963">
        <f t="shared" ca="1" si="379"/>
        <v>0</v>
      </c>
      <c r="H1963">
        <f t="shared" ca="1" si="380"/>
        <v>0</v>
      </c>
      <c r="I1963">
        <f t="shared" ca="1" si="381"/>
        <v>0</v>
      </c>
      <c r="J1963" s="8" t="e">
        <f t="shared" ca="1" si="382"/>
        <v>#DIV/0!</v>
      </c>
      <c r="K1963" s="9" t="e">
        <f t="shared" ca="1" si="383"/>
        <v>#DIV/0!</v>
      </c>
      <c r="L1963" t="e">
        <f ca="1">+_xlfn.IFNA(VLOOKUP(M1963,BespokeWindowsAreas!$B$2:$E$1999,4,FALSE),VLOOKUP(E1963,WindowTypeArea!$B$2:$C$113,2,FALSE))</f>
        <v>#N/A</v>
      </c>
      <c r="M1963">
        <f t="shared" ca="1" si="384"/>
        <v>0</v>
      </c>
    </row>
    <row r="1964" spans="1:13" x14ac:dyDescent="0.25">
      <c r="A1964">
        <f t="shared" ca="1" si="377"/>
        <v>5</v>
      </c>
      <c r="B1964">
        <f t="shared" ca="1" si="378"/>
        <v>245</v>
      </c>
      <c r="C1964" t="str">
        <f t="shared" ca="1" si="385"/>
        <v>'WINDOWS-NCH-A-BDP-M3-03-00'!B244</v>
      </c>
      <c r="D1964" s="6" t="str">
        <f t="shared" ca="1" si="386"/>
        <v>L03-THR-POT-S109-01</v>
      </c>
      <c r="E1964" t="str">
        <f t="shared" ca="1" si="387"/>
        <v>Family Type: Curtain Wall_1950w x 3800h, Family: Window External Type 5 - Flush</v>
      </c>
      <c r="F1964" t="str">
        <f t="shared" ca="1" si="388"/>
        <v>Vector(X = 0.212, Y = -0.977, Z = 0.000, Length = 1.000)</v>
      </c>
      <c r="G1964">
        <f t="shared" ca="1" si="379"/>
        <v>0.2</v>
      </c>
      <c r="H1964">
        <f t="shared" ca="1" si="380"/>
        <v>-1</v>
      </c>
      <c r="I1964">
        <f t="shared" ca="1" si="381"/>
        <v>0</v>
      </c>
      <c r="J1964" s="8">
        <f t="shared" ca="1" si="382"/>
        <v>-78.690067525979785</v>
      </c>
      <c r="K1964" s="9" t="str">
        <f t="shared" ca="1" si="383"/>
        <v>S</v>
      </c>
      <c r="L1964">
        <f ca="1">+_xlfn.IFNA(VLOOKUP(M1964,BespokeWindowsAreas!$B$2:$E$1999,4,FALSE),VLOOKUP(E1964,WindowTypeArea!$B$2:$C$113,2,FALSE))</f>
        <v>7.9950000000000001</v>
      </c>
      <c r="M1964">
        <f t="shared" ca="1" si="384"/>
        <v>4927864</v>
      </c>
    </row>
    <row r="1965" spans="1:13" x14ac:dyDescent="0.25">
      <c r="A1965">
        <f t="shared" ca="1" si="377"/>
        <v>5</v>
      </c>
      <c r="B1965">
        <f t="shared" ca="1" si="378"/>
        <v>246</v>
      </c>
      <c r="C1965" t="str">
        <f t="shared" ca="1" si="385"/>
        <v>'WINDOWS-NCH-A-BDP-M3-03-00'!B245</v>
      </c>
      <c r="D1965" s="6" t="str">
        <f t="shared" ca="1" si="386"/>
        <v>L03-THR-POT-S109-01</v>
      </c>
      <c r="E1965" t="str">
        <f t="shared" ca="1" si="387"/>
        <v>Family Type: Curtain Wall_975w x 3800h, Family: Window External Type 5 - Flush</v>
      </c>
      <c r="F1965" t="str">
        <f t="shared" ca="1" si="388"/>
        <v>Vector(X = 0.212, Y = -0.977, Z = 0.000, Length = 1.000)</v>
      </c>
      <c r="G1965">
        <f t="shared" ca="1" si="379"/>
        <v>0.2</v>
      </c>
      <c r="H1965">
        <f t="shared" ca="1" si="380"/>
        <v>-1</v>
      </c>
      <c r="I1965">
        <f t="shared" ca="1" si="381"/>
        <v>0</v>
      </c>
      <c r="J1965" s="8">
        <f t="shared" ca="1" si="382"/>
        <v>-78.690067525979785</v>
      </c>
      <c r="K1965" s="9" t="str">
        <f t="shared" ca="1" si="383"/>
        <v>S</v>
      </c>
      <c r="L1965">
        <f ca="1">+_xlfn.IFNA(VLOOKUP(M1965,BespokeWindowsAreas!$B$2:$E$1999,4,FALSE),VLOOKUP(E1965,WindowTypeArea!$B$2:$C$113,2,FALSE))</f>
        <v>3.9975000000000001</v>
      </c>
      <c r="M1965">
        <f t="shared" ca="1" si="384"/>
        <v>4927901</v>
      </c>
    </row>
    <row r="1966" spans="1:13" x14ac:dyDescent="0.25">
      <c r="A1966">
        <f t="shared" ca="1" si="377"/>
        <v>5</v>
      </c>
      <c r="B1966">
        <f t="shared" ca="1" si="378"/>
        <v>247</v>
      </c>
      <c r="C1966" t="str">
        <f t="shared" ca="1" si="385"/>
        <v>'WINDOWS-NCH-A-BDP-M3-03-00'!B246</v>
      </c>
      <c r="D1966" s="6" t="str">
        <f t="shared" ca="1" si="386"/>
        <v>L03-THR-POT-S109-01</v>
      </c>
      <c r="E1966" t="str">
        <f t="shared" ca="1" si="387"/>
        <v>Family Type: Curtain Wall_975w x 3800h, Family: Window External Type 5 - Flush</v>
      </c>
      <c r="F1966" t="str">
        <f t="shared" ca="1" si="388"/>
        <v>Vector(X = 0.212, Y = -0.977, Z = 0.000, Length = 1.000)</v>
      </c>
      <c r="G1966">
        <f t="shared" ca="1" si="379"/>
        <v>0.2</v>
      </c>
      <c r="H1966">
        <f t="shared" ca="1" si="380"/>
        <v>-1</v>
      </c>
      <c r="I1966">
        <f t="shared" ca="1" si="381"/>
        <v>0</v>
      </c>
      <c r="J1966" s="8">
        <f t="shared" ca="1" si="382"/>
        <v>-78.690067525979785</v>
      </c>
      <c r="K1966" s="9" t="str">
        <f t="shared" ca="1" si="383"/>
        <v>S</v>
      </c>
      <c r="L1966">
        <f ca="1">+_xlfn.IFNA(VLOOKUP(M1966,BespokeWindowsAreas!$B$2:$E$1999,4,FALSE),VLOOKUP(E1966,WindowTypeArea!$B$2:$C$113,2,FALSE))</f>
        <v>3.9975000000000001</v>
      </c>
      <c r="M1966">
        <f t="shared" ca="1" si="384"/>
        <v>4927909</v>
      </c>
    </row>
    <row r="1967" spans="1:13" x14ac:dyDescent="0.25">
      <c r="A1967">
        <f t="shared" ca="1" si="377"/>
        <v>5</v>
      </c>
      <c r="B1967">
        <f t="shared" ca="1" si="378"/>
        <v>248</v>
      </c>
      <c r="C1967" t="str">
        <f t="shared" ca="1" si="385"/>
        <v>'WINDOWS-NCH-A-BDP-M3-03-00'!B247</v>
      </c>
      <c r="D1967" s="6" t="str">
        <f t="shared" ca="1" si="386"/>
        <v>L03-THR-POT-S109-01</v>
      </c>
      <c r="E1967" t="str">
        <f t="shared" ca="1" si="387"/>
        <v>Family Type: Curtain Wall_975w x 1000h, Family: Window External Type 5 - Flush</v>
      </c>
      <c r="F1967" t="str">
        <f t="shared" ca="1" si="388"/>
        <v>Vector(X = 0.212, Y = -0.977, Z = 0.000, Length = 1.000)</v>
      </c>
      <c r="G1967">
        <f t="shared" ca="1" si="379"/>
        <v>0.2</v>
      </c>
      <c r="H1967">
        <f t="shared" ca="1" si="380"/>
        <v>-1</v>
      </c>
      <c r="I1967">
        <f t="shared" ca="1" si="381"/>
        <v>0</v>
      </c>
      <c r="J1967" s="8">
        <f t="shared" ca="1" si="382"/>
        <v>-78.690067525979785</v>
      </c>
      <c r="K1967" s="9" t="str">
        <f t="shared" ca="1" si="383"/>
        <v>S</v>
      </c>
      <c r="L1967">
        <f ca="1">+_xlfn.IFNA(VLOOKUP(M1967,BespokeWindowsAreas!$B$2:$E$1999,4,FALSE),VLOOKUP(E1967,WindowTypeArea!$B$2:$C$113,2,FALSE))</f>
        <v>0.97499999999999998</v>
      </c>
      <c r="M1967">
        <f t="shared" ca="1" si="384"/>
        <v>5123891</v>
      </c>
    </row>
    <row r="1968" spans="1:13" x14ac:dyDescent="0.25">
      <c r="A1968">
        <f t="shared" ca="1" si="377"/>
        <v>5</v>
      </c>
      <c r="B1968">
        <f t="shared" ca="1" si="378"/>
        <v>249</v>
      </c>
      <c r="C1968" t="str">
        <f t="shared" ca="1" si="385"/>
        <v>'WINDOWS-NCH-A-BDP-M3-03-00'!B248</v>
      </c>
      <c r="D1968" s="6" t="str">
        <f t="shared" ca="1" si="386"/>
        <v>L03-THR-POT-S109-01</v>
      </c>
      <c r="E1968" t="str">
        <f t="shared" ca="1" si="387"/>
        <v>Family Type: Curtain Wall_975w x 1000h, Family: Window External Type 5 - Flush</v>
      </c>
      <c r="F1968" t="str">
        <f t="shared" ca="1" si="388"/>
        <v>Vector(X = 0.212, Y = -0.977, Z = 0.000, Length = 1.000)</v>
      </c>
      <c r="G1968">
        <f t="shared" ca="1" si="379"/>
        <v>0.2</v>
      </c>
      <c r="H1968">
        <f t="shared" ca="1" si="380"/>
        <v>-1</v>
      </c>
      <c r="I1968">
        <f t="shared" ca="1" si="381"/>
        <v>0</v>
      </c>
      <c r="J1968" s="8">
        <f t="shared" ca="1" si="382"/>
        <v>-78.690067525979785</v>
      </c>
      <c r="K1968" s="9" t="str">
        <f t="shared" ca="1" si="383"/>
        <v>S</v>
      </c>
      <c r="L1968">
        <f ca="1">+_xlfn.IFNA(VLOOKUP(M1968,BespokeWindowsAreas!$B$2:$E$1999,4,FALSE),VLOOKUP(E1968,WindowTypeArea!$B$2:$C$113,2,FALSE))</f>
        <v>0.97499999999999998</v>
      </c>
      <c r="M1968">
        <f t="shared" ca="1" si="384"/>
        <v>5123892</v>
      </c>
    </row>
    <row r="1969" spans="1:13" x14ac:dyDescent="0.25">
      <c r="A1969">
        <f t="shared" ca="1" si="377"/>
        <v>5</v>
      </c>
      <c r="B1969">
        <f t="shared" ca="1" si="378"/>
        <v>250</v>
      </c>
      <c r="C1969" t="str">
        <f t="shared" ca="1" si="385"/>
        <v>'WINDOWS-NCH-A-BDP-M3-03-00'!B249</v>
      </c>
      <c r="D1969" s="6" t="str">
        <f t="shared" ca="1" si="386"/>
        <v>L03-THR-POT-S109-01</v>
      </c>
      <c r="E1969" t="str">
        <f t="shared" ca="1" si="387"/>
        <v>Family Type: Curtain Wall_1950w x 1000h, Family: Window External Type 5 - Flush</v>
      </c>
      <c r="F1969" t="str">
        <f t="shared" ca="1" si="388"/>
        <v>Vector(X = 0.212, Y = -0.977, Z = 0.000, Length = 1.000)</v>
      </c>
      <c r="G1969">
        <f t="shared" ca="1" si="379"/>
        <v>0.2</v>
      </c>
      <c r="H1969">
        <f t="shared" ca="1" si="380"/>
        <v>-1</v>
      </c>
      <c r="I1969">
        <f t="shared" ca="1" si="381"/>
        <v>0</v>
      </c>
      <c r="J1969" s="8">
        <f t="shared" ca="1" si="382"/>
        <v>-78.690067525979785</v>
      </c>
      <c r="K1969" s="9" t="str">
        <f t="shared" ca="1" si="383"/>
        <v>S</v>
      </c>
      <c r="L1969">
        <f ca="1">+_xlfn.IFNA(VLOOKUP(M1969,BespokeWindowsAreas!$B$2:$E$1999,4,FALSE),VLOOKUP(E1969,WindowTypeArea!$B$2:$C$113,2,FALSE))</f>
        <v>1.95</v>
      </c>
      <c r="M1969">
        <f t="shared" ca="1" si="384"/>
        <v>5123902</v>
      </c>
    </row>
    <row r="1970" spans="1:13" x14ac:dyDescent="0.25">
      <c r="A1970">
        <f t="shared" ca="1" si="377"/>
        <v>5</v>
      </c>
      <c r="B1970">
        <f t="shared" ca="1" si="378"/>
        <v>251</v>
      </c>
      <c r="C1970" t="str">
        <f t="shared" ca="1" si="385"/>
        <v>'WINDOWS-NCH-A-BDP-M3-03-00'!B250</v>
      </c>
      <c r="D1970" s="6" t="str">
        <f t="shared" ca="1" si="386"/>
        <v>L03-THR-POT-U0728-01</v>
      </c>
      <c r="E1970" t="str">
        <f t="shared" ca="1" si="387"/>
        <v>L03-THR-POT-U0728-01</v>
      </c>
      <c r="F1970">
        <f t="shared" ca="1" si="388"/>
        <v>1296702</v>
      </c>
      <c r="G1970">
        <f t="shared" ca="1" si="379"/>
        <v>0</v>
      </c>
      <c r="H1970">
        <f t="shared" ca="1" si="380"/>
        <v>0</v>
      </c>
      <c r="I1970">
        <f t="shared" ca="1" si="381"/>
        <v>0</v>
      </c>
      <c r="J1970" s="8" t="e">
        <f t="shared" ca="1" si="382"/>
        <v>#DIV/0!</v>
      </c>
      <c r="K1970" s="9" t="e">
        <f t="shared" ca="1" si="383"/>
        <v>#DIV/0!</v>
      </c>
      <c r="L1970" t="e">
        <f ca="1">+_xlfn.IFNA(VLOOKUP(M1970,BespokeWindowsAreas!$B$2:$E$1999,4,FALSE),VLOOKUP(E1970,WindowTypeArea!$B$2:$C$113,2,FALSE))</f>
        <v>#N/A</v>
      </c>
      <c r="M1970">
        <f t="shared" ca="1" si="384"/>
        <v>0</v>
      </c>
    </row>
    <row r="1971" spans="1:13" x14ac:dyDescent="0.25">
      <c r="A1971">
        <f t="shared" ca="1" si="377"/>
        <v>5</v>
      </c>
      <c r="B1971">
        <f t="shared" ca="1" si="378"/>
        <v>252</v>
      </c>
      <c r="C1971" t="str">
        <f t="shared" ca="1" si="385"/>
        <v>'WINDOWS-NCH-A-BDP-M3-03-00'!B251</v>
      </c>
      <c r="D1971" s="6" t="str">
        <f t="shared" ca="1" si="386"/>
        <v>L03-THR-POT-U0728-01</v>
      </c>
      <c r="E1971" t="str">
        <f t="shared" ca="1" si="387"/>
        <v>Family Type: manual 41.8m2</v>
      </c>
      <c r="F1971" t="str">
        <f t="shared" ca="1" si="388"/>
        <v>Vector(X = 0.212, Y = -0.977, Z = 0.000, Length = 1.000)</v>
      </c>
      <c r="G1971">
        <f t="shared" ca="1" si="379"/>
        <v>0.2</v>
      </c>
      <c r="H1971">
        <f t="shared" ca="1" si="380"/>
        <v>-1</v>
      </c>
      <c r="I1971">
        <f t="shared" ca="1" si="381"/>
        <v>0</v>
      </c>
      <c r="J1971" s="8">
        <f t="shared" ca="1" si="382"/>
        <v>-78.690067525979785</v>
      </c>
      <c r="K1971" s="9" t="str">
        <f t="shared" ca="1" si="383"/>
        <v>S</v>
      </c>
      <c r="L1971">
        <f ca="1">+_xlfn.IFNA(VLOOKUP(M1971,BespokeWindowsAreas!$B$2:$E$1999,4,FALSE),VLOOKUP(E1971,WindowTypeArea!$B$2:$C$113,2,FALSE))</f>
        <v>41.819999999999993</v>
      </c>
      <c r="M1971">
        <f t="shared" ca="1" si="384"/>
        <v>4927917</v>
      </c>
    </row>
    <row r="1972" spans="1:13" x14ac:dyDescent="0.25">
      <c r="A1972">
        <f t="shared" ca="1" si="377"/>
        <v>5</v>
      </c>
      <c r="B1972">
        <f t="shared" ca="1" si="378"/>
        <v>253</v>
      </c>
      <c r="C1972" t="str">
        <f t="shared" ca="1" si="385"/>
        <v>'WINDOWS-NCH-A-BDP-M3-03-00'!B252</v>
      </c>
      <c r="D1972" s="6" t="str">
        <f t="shared" ca="1" si="386"/>
        <v>manual</v>
      </c>
      <c r="E1972" t="str">
        <f t="shared" ca="1" si="387"/>
        <v>manual</v>
      </c>
      <c r="F1972" t="str">
        <f t="shared" ca="1" si="388"/>
        <v>Vector(X = 0.212, Y = -0.977, Z = 0.000, Length = 1.000)</v>
      </c>
      <c r="G1972">
        <f t="shared" ca="1" si="379"/>
        <v>0.2</v>
      </c>
      <c r="H1972">
        <f t="shared" ca="1" si="380"/>
        <v>-1</v>
      </c>
      <c r="I1972">
        <f t="shared" ca="1" si="381"/>
        <v>0</v>
      </c>
      <c r="J1972" s="8">
        <f t="shared" ca="1" si="382"/>
        <v>-78.690067525979785</v>
      </c>
      <c r="K1972" s="9" t="str">
        <f t="shared" ca="1" si="383"/>
        <v>S</v>
      </c>
      <c r="L1972" t="e">
        <f ca="1">+_xlfn.IFNA(VLOOKUP(M1972,BespokeWindowsAreas!$B$2:$E$1999,4,FALSE),VLOOKUP(E1972,WindowTypeArea!$B$2:$C$113,2,FALSE))</f>
        <v>#N/A</v>
      </c>
      <c r="M1972">
        <f t="shared" ca="1" si="384"/>
        <v>4927925</v>
      </c>
    </row>
    <row r="1973" spans="1:13" x14ac:dyDescent="0.25">
      <c r="A1973">
        <f t="shared" ca="1" si="377"/>
        <v>5</v>
      </c>
      <c r="B1973">
        <f t="shared" ca="1" si="378"/>
        <v>254</v>
      </c>
      <c r="C1973" t="str">
        <f t="shared" ca="1" si="385"/>
        <v>'WINDOWS-NCH-A-BDP-M3-03-00'!B253</v>
      </c>
      <c r="D1973" s="6" t="str">
        <f t="shared" ca="1" si="386"/>
        <v>manual</v>
      </c>
      <c r="E1973" t="str">
        <f t="shared" ca="1" si="387"/>
        <v>manual</v>
      </c>
      <c r="F1973" t="str">
        <f t="shared" ca="1" si="388"/>
        <v>Vector(X = 0.212, Y = -0.977, Z = 0.000, Length = 1.000)</v>
      </c>
      <c r="G1973">
        <f t="shared" ca="1" si="379"/>
        <v>0.2</v>
      </c>
      <c r="H1973">
        <f t="shared" ca="1" si="380"/>
        <v>-1</v>
      </c>
      <c r="I1973">
        <f t="shared" ca="1" si="381"/>
        <v>0</v>
      </c>
      <c r="J1973" s="8">
        <f t="shared" ca="1" si="382"/>
        <v>-78.690067525979785</v>
      </c>
      <c r="K1973" s="9" t="str">
        <f t="shared" ca="1" si="383"/>
        <v>S</v>
      </c>
      <c r="L1973" t="e">
        <f ca="1">+_xlfn.IFNA(VLOOKUP(M1973,BespokeWindowsAreas!$B$2:$E$1999,4,FALSE),VLOOKUP(E1973,WindowTypeArea!$B$2:$C$113,2,FALSE))</f>
        <v>#N/A</v>
      </c>
      <c r="M1973">
        <f t="shared" ca="1" si="384"/>
        <v>4928056</v>
      </c>
    </row>
    <row r="1974" spans="1:13" x14ac:dyDescent="0.25">
      <c r="A1974">
        <f t="shared" ca="1" si="377"/>
        <v>5</v>
      </c>
      <c r="B1974">
        <f t="shared" ca="1" si="378"/>
        <v>255</v>
      </c>
      <c r="C1974" t="str">
        <f t="shared" ca="1" si="385"/>
        <v>'WINDOWS-NCH-A-BDP-M3-03-00'!B254</v>
      </c>
      <c r="D1974" s="6" t="str">
        <f t="shared" ca="1" si="386"/>
        <v>manual</v>
      </c>
      <c r="E1974" t="str">
        <f t="shared" ca="1" si="387"/>
        <v>manual</v>
      </c>
      <c r="F1974" t="str">
        <f t="shared" ca="1" si="388"/>
        <v>Vector(X = 0.212, Y = -0.977, Z = 0.000, Length = 1.000)</v>
      </c>
      <c r="G1974">
        <f t="shared" ca="1" si="379"/>
        <v>0.2</v>
      </c>
      <c r="H1974">
        <f t="shared" ca="1" si="380"/>
        <v>-1</v>
      </c>
      <c r="I1974">
        <f t="shared" ca="1" si="381"/>
        <v>0</v>
      </c>
      <c r="J1974" s="8">
        <f t="shared" ca="1" si="382"/>
        <v>-78.690067525979785</v>
      </c>
      <c r="K1974" s="9" t="str">
        <f t="shared" ca="1" si="383"/>
        <v>S</v>
      </c>
      <c r="L1974" t="e">
        <f ca="1">+_xlfn.IFNA(VLOOKUP(M1974,BespokeWindowsAreas!$B$2:$E$1999,4,FALSE),VLOOKUP(E1974,WindowTypeArea!$B$2:$C$113,2,FALSE))</f>
        <v>#N/A</v>
      </c>
      <c r="M1974">
        <f t="shared" ca="1" si="384"/>
        <v>4928090</v>
      </c>
    </row>
    <row r="1975" spans="1:13" x14ac:dyDescent="0.25">
      <c r="A1975">
        <f t="shared" ca="1" si="377"/>
        <v>5</v>
      </c>
      <c r="B1975">
        <f t="shared" ca="1" si="378"/>
        <v>256</v>
      </c>
      <c r="C1975" t="str">
        <f t="shared" ca="1" si="385"/>
        <v>'WINDOWS-NCH-A-BDP-M3-03-00'!B255</v>
      </c>
      <c r="D1975" s="6" t="str">
        <f t="shared" ca="1" si="386"/>
        <v>manual</v>
      </c>
      <c r="E1975" t="str">
        <f t="shared" ca="1" si="387"/>
        <v>manual</v>
      </c>
      <c r="F1975" t="str">
        <f t="shared" ca="1" si="388"/>
        <v>Vector(X = 0.212, Y = -0.977, Z = 0.000, Length = 1.000)</v>
      </c>
      <c r="G1975">
        <f t="shared" ca="1" si="379"/>
        <v>0.2</v>
      </c>
      <c r="H1975">
        <f t="shared" ca="1" si="380"/>
        <v>-1</v>
      </c>
      <c r="I1975">
        <f t="shared" ca="1" si="381"/>
        <v>0</v>
      </c>
      <c r="J1975" s="8">
        <f t="shared" ca="1" si="382"/>
        <v>-78.690067525979785</v>
      </c>
      <c r="K1975" s="9" t="str">
        <f t="shared" ca="1" si="383"/>
        <v>S</v>
      </c>
      <c r="L1975" t="e">
        <f ca="1">+_xlfn.IFNA(VLOOKUP(M1975,BespokeWindowsAreas!$B$2:$E$1999,4,FALSE),VLOOKUP(E1975,WindowTypeArea!$B$2:$C$113,2,FALSE))</f>
        <v>#N/A</v>
      </c>
      <c r="M1975">
        <f t="shared" ca="1" si="384"/>
        <v>4928098</v>
      </c>
    </row>
    <row r="1976" spans="1:13" x14ac:dyDescent="0.25">
      <c r="A1976">
        <f t="shared" ca="1" si="377"/>
        <v>5</v>
      </c>
      <c r="B1976">
        <f t="shared" ca="1" si="378"/>
        <v>257</v>
      </c>
      <c r="C1976" t="str">
        <f t="shared" ca="1" si="385"/>
        <v>'WINDOWS-NCH-A-BDP-M3-03-00'!B256</v>
      </c>
      <c r="D1976" s="6" t="str">
        <f t="shared" ca="1" si="386"/>
        <v>manual</v>
      </c>
      <c r="E1976" t="str">
        <f t="shared" ca="1" si="387"/>
        <v>manual</v>
      </c>
      <c r="F1976" t="str">
        <f t="shared" ca="1" si="388"/>
        <v>Vector(X = 0.212, Y = -0.977, Z = 0.000, Length = 1.000)</v>
      </c>
      <c r="G1976">
        <f t="shared" ca="1" si="379"/>
        <v>0.2</v>
      </c>
      <c r="H1976">
        <f t="shared" ca="1" si="380"/>
        <v>-1</v>
      </c>
      <c r="I1976">
        <f t="shared" ca="1" si="381"/>
        <v>0</v>
      </c>
      <c r="J1976" s="8">
        <f t="shared" ca="1" si="382"/>
        <v>-78.690067525979785</v>
      </c>
      <c r="K1976" s="9" t="str">
        <f t="shared" ca="1" si="383"/>
        <v>S</v>
      </c>
      <c r="L1976" t="e">
        <f ca="1">+_xlfn.IFNA(VLOOKUP(M1976,BespokeWindowsAreas!$B$2:$E$1999,4,FALSE),VLOOKUP(E1976,WindowTypeArea!$B$2:$C$113,2,FALSE))</f>
        <v>#N/A</v>
      </c>
      <c r="M1976">
        <f t="shared" ca="1" si="384"/>
        <v>4928106</v>
      </c>
    </row>
    <row r="1977" spans="1:13" x14ac:dyDescent="0.25">
      <c r="A1977">
        <f t="shared" ca="1" si="377"/>
        <v>5</v>
      </c>
      <c r="B1977">
        <f t="shared" ca="1" si="378"/>
        <v>258</v>
      </c>
      <c r="C1977" t="str">
        <f t="shared" ca="1" si="385"/>
        <v>'WINDOWS-NCH-A-BDP-M3-03-00'!B257</v>
      </c>
      <c r="D1977" s="6" t="str">
        <f t="shared" ca="1" si="386"/>
        <v>manual</v>
      </c>
      <c r="E1977" t="str">
        <f t="shared" ca="1" si="387"/>
        <v>manual</v>
      </c>
      <c r="F1977" t="str">
        <f t="shared" ca="1" si="388"/>
        <v>Vector(X = 0.212, Y = -0.977, Z = 0.000, Length = 1.000)</v>
      </c>
      <c r="G1977">
        <f t="shared" ca="1" si="379"/>
        <v>0.2</v>
      </c>
      <c r="H1977">
        <f t="shared" ca="1" si="380"/>
        <v>-1</v>
      </c>
      <c r="I1977">
        <f t="shared" ca="1" si="381"/>
        <v>0</v>
      </c>
      <c r="J1977" s="8">
        <f t="shared" ca="1" si="382"/>
        <v>-78.690067525979785</v>
      </c>
      <c r="K1977" s="9" t="str">
        <f t="shared" ca="1" si="383"/>
        <v>S</v>
      </c>
      <c r="L1977" t="e">
        <f ca="1">+_xlfn.IFNA(VLOOKUP(M1977,BespokeWindowsAreas!$B$2:$E$1999,4,FALSE),VLOOKUP(E1977,WindowTypeArea!$B$2:$C$113,2,FALSE))</f>
        <v>#N/A</v>
      </c>
      <c r="M1977">
        <f t="shared" ca="1" si="384"/>
        <v>4928131</v>
      </c>
    </row>
    <row r="1978" spans="1:13" x14ac:dyDescent="0.25">
      <c r="A1978">
        <f t="shared" ca="1" si="377"/>
        <v>5</v>
      </c>
      <c r="B1978">
        <f t="shared" ca="1" si="378"/>
        <v>259</v>
      </c>
      <c r="C1978" t="str">
        <f t="shared" ca="1" si="385"/>
        <v>'WINDOWS-NCH-A-BDP-M3-03-00'!B258</v>
      </c>
      <c r="D1978" s="6" t="str">
        <f t="shared" ca="1" si="386"/>
        <v>manual</v>
      </c>
      <c r="E1978" t="str">
        <f t="shared" ca="1" si="387"/>
        <v>manual</v>
      </c>
      <c r="F1978" t="str">
        <f t="shared" ca="1" si="388"/>
        <v>Vector(X = 0.212, Y = -0.977, Z = 0.000, Length = 1.000)</v>
      </c>
      <c r="G1978">
        <f t="shared" ca="1" si="379"/>
        <v>0.2</v>
      </c>
      <c r="H1978">
        <f t="shared" ca="1" si="380"/>
        <v>-1</v>
      </c>
      <c r="I1978">
        <f t="shared" ca="1" si="381"/>
        <v>0</v>
      </c>
      <c r="J1978" s="8">
        <f t="shared" ca="1" si="382"/>
        <v>-78.690067525979785</v>
      </c>
      <c r="K1978" s="9" t="str">
        <f t="shared" ca="1" si="383"/>
        <v>S</v>
      </c>
      <c r="L1978" t="e">
        <f ca="1">+_xlfn.IFNA(VLOOKUP(M1978,BespokeWindowsAreas!$B$2:$E$1999,4,FALSE),VLOOKUP(E1978,WindowTypeArea!$B$2:$C$113,2,FALSE))</f>
        <v>#N/A</v>
      </c>
      <c r="M1978">
        <f t="shared" ca="1" si="384"/>
        <v>4928179</v>
      </c>
    </row>
    <row r="1979" spans="1:13" x14ac:dyDescent="0.25">
      <c r="A1979">
        <f t="shared" ca="1" si="377"/>
        <v>5</v>
      </c>
      <c r="B1979">
        <f t="shared" ca="1" si="378"/>
        <v>260</v>
      </c>
      <c r="C1979" t="str">
        <f t="shared" ca="1" si="385"/>
        <v>'WINDOWS-NCH-A-BDP-M3-03-00'!B259</v>
      </c>
      <c r="D1979" s="6" t="str">
        <f t="shared" ca="1" si="386"/>
        <v>manual</v>
      </c>
      <c r="E1979" t="str">
        <f t="shared" ca="1" si="387"/>
        <v>manual</v>
      </c>
      <c r="F1979" t="str">
        <f t="shared" ca="1" si="388"/>
        <v>Vector(X = 0.212, Y = -0.977, Z = 0.000, Length = 1.000)</v>
      </c>
      <c r="G1979">
        <f t="shared" ca="1" si="379"/>
        <v>0.2</v>
      </c>
      <c r="H1979">
        <f t="shared" ca="1" si="380"/>
        <v>-1</v>
      </c>
      <c r="I1979">
        <f t="shared" ca="1" si="381"/>
        <v>0</v>
      </c>
      <c r="J1979" s="8">
        <f t="shared" ca="1" si="382"/>
        <v>-78.690067525979785</v>
      </c>
      <c r="K1979" s="9" t="str">
        <f t="shared" ca="1" si="383"/>
        <v>S</v>
      </c>
      <c r="L1979" t="e">
        <f ca="1">+_xlfn.IFNA(VLOOKUP(M1979,BespokeWindowsAreas!$B$2:$E$1999,4,FALSE),VLOOKUP(E1979,WindowTypeArea!$B$2:$C$113,2,FALSE))</f>
        <v>#N/A</v>
      </c>
      <c r="M1979">
        <f t="shared" ca="1" si="384"/>
        <v>5123893</v>
      </c>
    </row>
    <row r="1980" spans="1:13" x14ac:dyDescent="0.25">
      <c r="A1980">
        <f t="shared" ca="1" si="377"/>
        <v>5</v>
      </c>
      <c r="B1980">
        <f t="shared" ca="1" si="378"/>
        <v>261</v>
      </c>
      <c r="C1980" t="str">
        <f t="shared" ca="1" si="385"/>
        <v>'WINDOWS-NCH-A-BDP-M3-03-00'!B260</v>
      </c>
      <c r="D1980" s="6" t="str">
        <f t="shared" ca="1" si="386"/>
        <v>manual</v>
      </c>
      <c r="E1980" t="str">
        <f t="shared" ca="1" si="387"/>
        <v>manual</v>
      </c>
      <c r="F1980" t="str">
        <f t="shared" ca="1" si="388"/>
        <v>Vector(X = 0.212, Y = -0.977, Z = 0.000, Length = 1.000)</v>
      </c>
      <c r="G1980">
        <f t="shared" ca="1" si="379"/>
        <v>0.2</v>
      </c>
      <c r="H1980">
        <f t="shared" ca="1" si="380"/>
        <v>-1</v>
      </c>
      <c r="I1980">
        <f t="shared" ca="1" si="381"/>
        <v>0</v>
      </c>
      <c r="J1980" s="8">
        <f t="shared" ca="1" si="382"/>
        <v>-78.690067525979785</v>
      </c>
      <c r="K1980" s="9" t="str">
        <f t="shared" ca="1" si="383"/>
        <v>S</v>
      </c>
      <c r="L1980" t="e">
        <f ca="1">+_xlfn.IFNA(VLOOKUP(M1980,BespokeWindowsAreas!$B$2:$E$1999,4,FALSE),VLOOKUP(E1980,WindowTypeArea!$B$2:$C$113,2,FALSE))</f>
        <v>#N/A</v>
      </c>
      <c r="M1980">
        <f t="shared" ca="1" si="384"/>
        <v>5123894</v>
      </c>
    </row>
    <row r="1981" spans="1:13" x14ac:dyDescent="0.25">
      <c r="A1981">
        <f t="shared" ca="1" si="377"/>
        <v>5</v>
      </c>
      <c r="B1981">
        <f t="shared" ca="1" si="378"/>
        <v>262</v>
      </c>
      <c r="C1981" t="str">
        <f t="shared" ca="1" si="385"/>
        <v>'WINDOWS-NCH-A-BDP-M3-03-00'!B261</v>
      </c>
      <c r="D1981" s="6" t="str">
        <f t="shared" ca="1" si="386"/>
        <v>manual</v>
      </c>
      <c r="E1981" t="str">
        <f t="shared" ca="1" si="387"/>
        <v>manual</v>
      </c>
      <c r="F1981" t="str">
        <f t="shared" ca="1" si="388"/>
        <v>Vector(X = 0.212, Y = -0.977, Z = 0.000, Length = 1.000)</v>
      </c>
      <c r="G1981">
        <f t="shared" ca="1" si="379"/>
        <v>0.2</v>
      </c>
      <c r="H1981">
        <f t="shared" ca="1" si="380"/>
        <v>-1</v>
      </c>
      <c r="I1981">
        <f t="shared" ca="1" si="381"/>
        <v>0</v>
      </c>
      <c r="J1981" s="8">
        <f t="shared" ca="1" si="382"/>
        <v>-78.690067525979785</v>
      </c>
      <c r="K1981" s="9" t="str">
        <f t="shared" ca="1" si="383"/>
        <v>S</v>
      </c>
      <c r="L1981" t="e">
        <f ca="1">+_xlfn.IFNA(VLOOKUP(M1981,BespokeWindowsAreas!$B$2:$E$1999,4,FALSE),VLOOKUP(E1981,WindowTypeArea!$B$2:$C$113,2,FALSE))</f>
        <v>#N/A</v>
      </c>
      <c r="M1981">
        <f t="shared" ca="1" si="384"/>
        <v>5123895</v>
      </c>
    </row>
    <row r="1982" spans="1:13" x14ac:dyDescent="0.25">
      <c r="A1982">
        <f t="shared" ca="1" si="377"/>
        <v>5</v>
      </c>
      <c r="B1982">
        <f t="shared" ca="1" si="378"/>
        <v>263</v>
      </c>
      <c r="C1982" t="str">
        <f t="shared" ca="1" si="385"/>
        <v>'WINDOWS-NCH-A-BDP-M3-03-00'!B262</v>
      </c>
      <c r="D1982" s="6" t="str">
        <f t="shared" ca="1" si="386"/>
        <v>manual</v>
      </c>
      <c r="E1982" t="str">
        <f t="shared" ca="1" si="387"/>
        <v>manual</v>
      </c>
      <c r="F1982" t="str">
        <f t="shared" ca="1" si="388"/>
        <v>Vector(X = 0.212, Y = -0.977, Z = 0.000, Length = 1.000)</v>
      </c>
      <c r="G1982">
        <f t="shared" ca="1" si="379"/>
        <v>0.2</v>
      </c>
      <c r="H1982">
        <f t="shared" ca="1" si="380"/>
        <v>-1</v>
      </c>
      <c r="I1982">
        <f t="shared" ca="1" si="381"/>
        <v>0</v>
      </c>
      <c r="J1982" s="8">
        <f t="shared" ca="1" si="382"/>
        <v>-78.690067525979785</v>
      </c>
      <c r="K1982" s="9" t="str">
        <f t="shared" ca="1" si="383"/>
        <v>S</v>
      </c>
      <c r="L1982" t="e">
        <f ca="1">+_xlfn.IFNA(VLOOKUP(M1982,BespokeWindowsAreas!$B$2:$E$1999,4,FALSE),VLOOKUP(E1982,WindowTypeArea!$B$2:$C$113,2,FALSE))</f>
        <v>#N/A</v>
      </c>
      <c r="M1982">
        <f t="shared" ca="1" si="384"/>
        <v>5123896</v>
      </c>
    </row>
    <row r="1983" spans="1:13" x14ac:dyDescent="0.25">
      <c r="A1983">
        <f t="shared" ca="1" si="377"/>
        <v>5</v>
      </c>
      <c r="B1983">
        <f t="shared" ca="1" si="378"/>
        <v>264</v>
      </c>
      <c r="C1983" t="str">
        <f t="shared" ca="1" si="385"/>
        <v>'WINDOWS-NCH-A-BDP-M3-03-00'!B263</v>
      </c>
      <c r="D1983" s="6" t="str">
        <f t="shared" ca="1" si="386"/>
        <v>manual</v>
      </c>
      <c r="E1983" t="str">
        <f t="shared" ca="1" si="387"/>
        <v>manual</v>
      </c>
      <c r="F1983" t="str">
        <f t="shared" ca="1" si="388"/>
        <v>Vector(X = 0.212, Y = -0.977, Z = 0.000, Length = 1.000)</v>
      </c>
      <c r="G1983">
        <f t="shared" ca="1" si="379"/>
        <v>0.2</v>
      </c>
      <c r="H1983">
        <f t="shared" ca="1" si="380"/>
        <v>-1</v>
      </c>
      <c r="I1983">
        <f t="shared" ca="1" si="381"/>
        <v>0</v>
      </c>
      <c r="J1983" s="8">
        <f t="shared" ca="1" si="382"/>
        <v>-78.690067525979785</v>
      </c>
      <c r="K1983" s="9" t="str">
        <f t="shared" ca="1" si="383"/>
        <v>S</v>
      </c>
      <c r="L1983" t="e">
        <f ca="1">+_xlfn.IFNA(VLOOKUP(M1983,BespokeWindowsAreas!$B$2:$E$1999,4,FALSE),VLOOKUP(E1983,WindowTypeArea!$B$2:$C$113,2,FALSE))</f>
        <v>#N/A</v>
      </c>
      <c r="M1983">
        <f t="shared" ca="1" si="384"/>
        <v>5123897</v>
      </c>
    </row>
    <row r="1984" spans="1:13" x14ac:dyDescent="0.25">
      <c r="A1984">
        <f t="shared" ca="1" si="377"/>
        <v>5</v>
      </c>
      <c r="B1984">
        <f t="shared" ca="1" si="378"/>
        <v>265</v>
      </c>
      <c r="C1984" t="str">
        <f t="shared" ca="1" si="385"/>
        <v>'WINDOWS-NCH-A-BDP-M3-03-00'!B264</v>
      </c>
      <c r="D1984" s="6" t="str">
        <f t="shared" ca="1" si="386"/>
        <v>manual</v>
      </c>
      <c r="E1984" t="str">
        <f t="shared" ca="1" si="387"/>
        <v>manual</v>
      </c>
      <c r="F1984" t="str">
        <f t="shared" ca="1" si="388"/>
        <v>Vector(X = 0.212, Y = -0.977, Z = 0.000, Length = 1.000)</v>
      </c>
      <c r="G1984">
        <f t="shared" ca="1" si="379"/>
        <v>0.2</v>
      </c>
      <c r="H1984">
        <f t="shared" ca="1" si="380"/>
        <v>-1</v>
      </c>
      <c r="I1984">
        <f t="shared" ca="1" si="381"/>
        <v>0</v>
      </c>
      <c r="J1984" s="8">
        <f t="shared" ca="1" si="382"/>
        <v>-78.690067525979785</v>
      </c>
      <c r="K1984" s="9" t="str">
        <f t="shared" ca="1" si="383"/>
        <v>S</v>
      </c>
      <c r="L1984" t="e">
        <f ca="1">+_xlfn.IFNA(VLOOKUP(M1984,BespokeWindowsAreas!$B$2:$E$1999,4,FALSE),VLOOKUP(E1984,WindowTypeArea!$B$2:$C$113,2,FALSE))</f>
        <v>#N/A</v>
      </c>
      <c r="M1984">
        <f t="shared" ca="1" si="384"/>
        <v>5123898</v>
      </c>
    </row>
    <row r="1985" spans="1:13" x14ac:dyDescent="0.25">
      <c r="A1985">
        <f t="shared" ca="1" si="377"/>
        <v>5</v>
      </c>
      <c r="B1985">
        <f t="shared" ca="1" si="378"/>
        <v>266</v>
      </c>
      <c r="C1985" t="str">
        <f t="shared" ca="1" si="385"/>
        <v>'WINDOWS-NCH-A-BDP-M3-03-00'!B265</v>
      </c>
      <c r="D1985" s="6" t="str">
        <f t="shared" ca="1" si="386"/>
        <v>manual</v>
      </c>
      <c r="E1985" t="str">
        <f t="shared" ca="1" si="387"/>
        <v>manual</v>
      </c>
      <c r="F1985" t="str">
        <f t="shared" ca="1" si="388"/>
        <v>Vector(X = 0.212, Y = -0.977, Z = 0.000, Length = 1.000)</v>
      </c>
      <c r="G1985">
        <f t="shared" ca="1" si="379"/>
        <v>0.2</v>
      </c>
      <c r="H1985">
        <f t="shared" ca="1" si="380"/>
        <v>-1</v>
      </c>
      <c r="I1985">
        <f t="shared" ca="1" si="381"/>
        <v>0</v>
      </c>
      <c r="J1985" s="8">
        <f t="shared" ca="1" si="382"/>
        <v>-78.690067525979785</v>
      </c>
      <c r="K1985" s="9" t="str">
        <f t="shared" ca="1" si="383"/>
        <v>S</v>
      </c>
      <c r="L1985" t="e">
        <f ca="1">+_xlfn.IFNA(VLOOKUP(M1985,BespokeWindowsAreas!$B$2:$E$1999,4,FALSE),VLOOKUP(E1985,WindowTypeArea!$B$2:$C$113,2,FALSE))</f>
        <v>#N/A</v>
      </c>
      <c r="M1985">
        <f t="shared" ca="1" si="384"/>
        <v>5123903</v>
      </c>
    </row>
    <row r="1986" spans="1:13" x14ac:dyDescent="0.25">
      <c r="A1986">
        <f t="shared" ca="1" si="377"/>
        <v>5</v>
      </c>
      <c r="B1986">
        <f t="shared" ca="1" si="378"/>
        <v>267</v>
      </c>
      <c r="C1986" t="str">
        <f t="shared" ca="1" si="385"/>
        <v>'WINDOWS-NCH-A-BDP-M3-03-00'!B266</v>
      </c>
      <c r="D1986" s="6" t="str">
        <f t="shared" ca="1" si="386"/>
        <v>manual</v>
      </c>
      <c r="E1986" t="str">
        <f t="shared" ca="1" si="387"/>
        <v>manual</v>
      </c>
      <c r="F1986" t="str">
        <f t="shared" ca="1" si="388"/>
        <v>Vector(X = 0.212, Y = -0.977, Z = 0.000, Length = 1.000)</v>
      </c>
      <c r="G1986">
        <f t="shared" ca="1" si="379"/>
        <v>0.2</v>
      </c>
      <c r="H1986">
        <f t="shared" ca="1" si="380"/>
        <v>-1</v>
      </c>
      <c r="I1986">
        <f t="shared" ca="1" si="381"/>
        <v>0</v>
      </c>
      <c r="J1986" s="8">
        <f t="shared" ca="1" si="382"/>
        <v>-78.690067525979785</v>
      </c>
      <c r="K1986" s="9" t="str">
        <f t="shared" ca="1" si="383"/>
        <v>S</v>
      </c>
      <c r="L1986" t="e">
        <f ca="1">+_xlfn.IFNA(VLOOKUP(M1986,BespokeWindowsAreas!$B$2:$E$1999,4,FALSE),VLOOKUP(E1986,WindowTypeArea!$B$2:$C$113,2,FALSE))</f>
        <v>#N/A</v>
      </c>
      <c r="M1986">
        <f t="shared" ca="1" si="384"/>
        <v>5123904</v>
      </c>
    </row>
    <row r="1987" spans="1:13" x14ac:dyDescent="0.25">
      <c r="A1987">
        <f t="shared" ca="1" si="377"/>
        <v>5</v>
      </c>
      <c r="B1987">
        <f t="shared" ca="1" si="378"/>
        <v>268</v>
      </c>
      <c r="C1987" t="str">
        <f t="shared" ca="1" si="385"/>
        <v>'WINDOWS-NCH-A-BDP-M3-03-00'!B267</v>
      </c>
      <c r="D1987" s="6" t="str">
        <f t="shared" ca="1" si="386"/>
        <v>L03-THR-POT-U0729-01</v>
      </c>
      <c r="E1987" t="str">
        <f t="shared" ca="1" si="387"/>
        <v>L03-THR-POT-U0729-01</v>
      </c>
      <c r="F1987">
        <f t="shared" ca="1" si="388"/>
        <v>1296704</v>
      </c>
      <c r="G1987">
        <f t="shared" ca="1" si="379"/>
        <v>0</v>
      </c>
      <c r="H1987">
        <f t="shared" ca="1" si="380"/>
        <v>0</v>
      </c>
      <c r="I1987">
        <f t="shared" ca="1" si="381"/>
        <v>0</v>
      </c>
      <c r="J1987" s="8" t="e">
        <f t="shared" ca="1" si="382"/>
        <v>#DIV/0!</v>
      </c>
      <c r="K1987" s="9" t="e">
        <f t="shared" ca="1" si="383"/>
        <v>#DIV/0!</v>
      </c>
      <c r="L1987" t="e">
        <f ca="1">+_xlfn.IFNA(VLOOKUP(M1987,BespokeWindowsAreas!$B$2:$E$1999,4,FALSE),VLOOKUP(E1987,WindowTypeArea!$B$2:$C$113,2,FALSE))</f>
        <v>#N/A</v>
      </c>
      <c r="M1987">
        <f t="shared" ca="1" si="384"/>
        <v>0</v>
      </c>
    </row>
    <row r="1988" spans="1:13" x14ac:dyDescent="0.25">
      <c r="A1988">
        <f t="shared" ca="1" si="377"/>
        <v>5</v>
      </c>
      <c r="B1988">
        <f t="shared" ca="1" si="378"/>
        <v>269</v>
      </c>
      <c r="C1988" t="str">
        <f t="shared" ca="1" si="385"/>
        <v>'WINDOWS-NCH-A-BDP-M3-03-00'!B268</v>
      </c>
      <c r="D1988" s="6" t="str">
        <f t="shared" ca="1" si="386"/>
        <v>L03-THR-POT-U0729-01</v>
      </c>
      <c r="E1988" t="str">
        <f t="shared" ca="1" si="387"/>
        <v>Family Type: Curtain Wall_975w x 3800h, Family: Window External Type 5 - Flush</v>
      </c>
      <c r="F1988" t="str">
        <f t="shared" ca="1" si="388"/>
        <v>Vector(X = 0.212, Y = -0.977, Z = 0.000, Length = 1.000)</v>
      </c>
      <c r="G1988">
        <f t="shared" ca="1" si="379"/>
        <v>0.2</v>
      </c>
      <c r="H1988">
        <f t="shared" ca="1" si="380"/>
        <v>-1</v>
      </c>
      <c r="I1988">
        <f t="shared" ca="1" si="381"/>
        <v>0</v>
      </c>
      <c r="J1988" s="8">
        <f t="shared" ca="1" si="382"/>
        <v>-78.690067525979785</v>
      </c>
      <c r="K1988" s="9" t="str">
        <f t="shared" ca="1" si="383"/>
        <v>S</v>
      </c>
      <c r="L1988">
        <f ca="1">+_xlfn.IFNA(VLOOKUP(M1988,BespokeWindowsAreas!$B$2:$E$1999,4,FALSE),VLOOKUP(E1988,WindowTypeArea!$B$2:$C$113,2,FALSE))</f>
        <v>3.9975000000000001</v>
      </c>
      <c r="M1988">
        <f t="shared" ca="1" si="384"/>
        <v>4928221</v>
      </c>
    </row>
    <row r="1989" spans="1:13" x14ac:dyDescent="0.25">
      <c r="A1989">
        <f t="shared" ca="1" si="377"/>
        <v>5</v>
      </c>
      <c r="B1989">
        <f t="shared" ca="1" si="378"/>
        <v>270</v>
      </c>
      <c r="C1989" t="str">
        <f t="shared" ca="1" si="385"/>
        <v>'WINDOWS-NCH-A-BDP-M3-03-00'!B269</v>
      </c>
      <c r="D1989" s="6" t="str">
        <f ca="1">+IF(IFERROR(FIND("Family",E1989)&gt;0,FALSE),D1988,E1989)</f>
        <v>L03-THR-POT-U0729-01</v>
      </c>
      <c r="E1989" t="str">
        <f t="shared" ca="1" si="387"/>
        <v>Family Type: Curtain Wall_975w x 3800h, Family: Window External Type 5 - Flush</v>
      </c>
      <c r="F1989" t="str">
        <f t="shared" ca="1" si="388"/>
        <v>Vector(X = 0.212, Y = -0.977, Z = 0.000, Length = 1.000)</v>
      </c>
      <c r="G1989">
        <f t="shared" ca="1" si="379"/>
        <v>0.2</v>
      </c>
      <c r="H1989">
        <f t="shared" ca="1" si="380"/>
        <v>-1</v>
      </c>
      <c r="I1989">
        <f t="shared" ca="1" si="381"/>
        <v>0</v>
      </c>
      <c r="J1989" s="8">
        <f t="shared" ca="1" si="382"/>
        <v>-78.690067525979785</v>
      </c>
      <c r="K1989" s="9" t="str">
        <f t="shared" ca="1" si="383"/>
        <v>S</v>
      </c>
      <c r="L1989">
        <f ca="1">+_xlfn.IFNA(VLOOKUP(M1989,BespokeWindowsAreas!$B$2:$E$1999,4,FALSE),VLOOKUP(E1989,WindowTypeArea!$B$2:$C$113,2,FALSE))</f>
        <v>3.9975000000000001</v>
      </c>
      <c r="M1989">
        <f t="shared" ca="1" si="384"/>
        <v>4928229</v>
      </c>
    </row>
    <row r="1990" spans="1:13" x14ac:dyDescent="0.25">
      <c r="A1990">
        <f t="shared" ca="1" si="377"/>
        <v>5</v>
      </c>
      <c r="B1990">
        <f t="shared" ca="1" si="378"/>
        <v>271</v>
      </c>
      <c r="C1990" t="str">
        <f t="shared" ca="1" si="385"/>
        <v>'WINDOWS-NCH-A-BDP-M3-03-00'!B270</v>
      </c>
      <c r="D1990" s="6" t="str">
        <f t="shared" ca="1" si="386"/>
        <v>L03-THR-POT-U0729-01</v>
      </c>
      <c r="E1990" t="str">
        <f t="shared" ca="1" si="387"/>
        <v>Family Type: Curtain Wall_975w x 3800h, Family: Window External Type 5 - Flush</v>
      </c>
      <c r="F1990" t="str">
        <f t="shared" ca="1" si="388"/>
        <v>Vector(X = 0.212, Y = -0.977, Z = 0.000, Length = 1.000)</v>
      </c>
      <c r="G1990">
        <f t="shared" ca="1" si="379"/>
        <v>0.2</v>
      </c>
      <c r="H1990">
        <f t="shared" ca="1" si="380"/>
        <v>-1</v>
      </c>
      <c r="I1990">
        <f t="shared" ca="1" si="381"/>
        <v>0</v>
      </c>
      <c r="J1990" s="8">
        <f t="shared" ca="1" si="382"/>
        <v>-78.690067525979785</v>
      </c>
      <c r="K1990" s="9" t="str">
        <f t="shared" ca="1" si="383"/>
        <v>S</v>
      </c>
      <c r="L1990">
        <f ca="1">+_xlfn.IFNA(VLOOKUP(M1990,BespokeWindowsAreas!$B$2:$E$1999,4,FALSE),VLOOKUP(E1990,WindowTypeArea!$B$2:$C$113,2,FALSE))</f>
        <v>3.9975000000000001</v>
      </c>
      <c r="M1990">
        <f t="shared" ca="1" si="384"/>
        <v>4928237</v>
      </c>
    </row>
    <row r="1991" spans="1:13" x14ac:dyDescent="0.25">
      <c r="A1991">
        <f t="shared" ca="1" si="377"/>
        <v>5</v>
      </c>
      <c r="B1991">
        <f t="shared" ca="1" si="378"/>
        <v>272</v>
      </c>
      <c r="C1991" t="str">
        <f t="shared" ca="1" si="385"/>
        <v>'WINDOWS-NCH-A-BDP-M3-03-00'!B271</v>
      </c>
      <c r="D1991" s="6" t="str">
        <f t="shared" ca="1" si="386"/>
        <v>L03-THR-POT-U0729-01</v>
      </c>
      <c r="E1991" t="str">
        <f t="shared" ca="1" si="387"/>
        <v>Family Type: Curtain Wall_975w x 1000h, Family: Window External Type 5 - Flush</v>
      </c>
      <c r="F1991" t="str">
        <f t="shared" ca="1" si="388"/>
        <v>Vector(X = 0.212, Y = -0.977, Z = 0.000, Length = 1.000)</v>
      </c>
      <c r="G1991">
        <f t="shared" ca="1" si="379"/>
        <v>0.2</v>
      </c>
      <c r="H1991">
        <f t="shared" ca="1" si="380"/>
        <v>-1</v>
      </c>
      <c r="I1991">
        <f t="shared" ca="1" si="381"/>
        <v>0</v>
      </c>
      <c r="J1991" s="8">
        <f t="shared" ca="1" si="382"/>
        <v>-78.690067525979785</v>
      </c>
      <c r="K1991" s="9" t="str">
        <f t="shared" ca="1" si="383"/>
        <v>S</v>
      </c>
      <c r="L1991">
        <f ca="1">+_xlfn.IFNA(VLOOKUP(M1991,BespokeWindowsAreas!$B$2:$E$1999,4,FALSE),VLOOKUP(E1991,WindowTypeArea!$B$2:$C$113,2,FALSE))</f>
        <v>0.97499999999999998</v>
      </c>
      <c r="M1991">
        <f t="shared" ca="1" si="384"/>
        <v>5123899</v>
      </c>
    </row>
    <row r="1992" spans="1:13" x14ac:dyDescent="0.25">
      <c r="A1992">
        <f t="shared" ca="1" si="377"/>
        <v>5</v>
      </c>
      <c r="B1992">
        <f t="shared" ca="1" si="378"/>
        <v>273</v>
      </c>
      <c r="C1992" t="str">
        <f t="shared" ca="1" si="385"/>
        <v>'WINDOWS-NCH-A-BDP-M3-03-00'!B272</v>
      </c>
      <c r="D1992" s="6" t="str">
        <f t="shared" ca="1" si="386"/>
        <v>L03-THR-POT-U0729-01</v>
      </c>
      <c r="E1992" t="str">
        <f t="shared" ca="1" si="387"/>
        <v>Family Type: Curtain Wall_975w x 1000h, Family: Window External Type 5 - Flush</v>
      </c>
      <c r="F1992" t="str">
        <f t="shared" ca="1" si="388"/>
        <v>Vector(X = 0.212, Y = -0.977, Z = 0.000, Length = 1.000)</v>
      </c>
      <c r="G1992">
        <f t="shared" ca="1" si="379"/>
        <v>0.2</v>
      </c>
      <c r="H1992">
        <f t="shared" ca="1" si="380"/>
        <v>-1</v>
      </c>
      <c r="I1992">
        <f t="shared" ca="1" si="381"/>
        <v>0</v>
      </c>
      <c r="J1992" s="8">
        <f t="shared" ca="1" si="382"/>
        <v>-78.690067525979785</v>
      </c>
      <c r="K1992" s="9" t="str">
        <f t="shared" ca="1" si="383"/>
        <v>S</v>
      </c>
      <c r="L1992">
        <f ca="1">+_xlfn.IFNA(VLOOKUP(M1992,BespokeWindowsAreas!$B$2:$E$1999,4,FALSE),VLOOKUP(E1992,WindowTypeArea!$B$2:$C$113,2,FALSE))</f>
        <v>0.97499999999999998</v>
      </c>
      <c r="M1992">
        <f t="shared" ca="1" si="384"/>
        <v>5123900</v>
      </c>
    </row>
    <row r="1993" spans="1:13" x14ac:dyDescent="0.25">
      <c r="A1993">
        <f t="shared" ca="1" si="377"/>
        <v>5</v>
      </c>
      <c r="B1993">
        <f t="shared" ca="1" si="378"/>
        <v>274</v>
      </c>
      <c r="C1993" t="str">
        <f t="shared" ca="1" si="385"/>
        <v>'WINDOWS-NCH-A-BDP-M3-03-00'!B273</v>
      </c>
      <c r="D1993" s="6" t="str">
        <f t="shared" ca="1" si="386"/>
        <v>L03-THR-POT-U0729-01</v>
      </c>
      <c r="E1993" t="str">
        <f t="shared" ca="1" si="387"/>
        <v>Family Type: Curtain Wall_975w x 1000h, Family: Window External Type 5 - Flush</v>
      </c>
      <c r="F1993" t="str">
        <f t="shared" ca="1" si="388"/>
        <v>Vector(X = 0.212, Y = -0.977, Z = 0.000, Length = 1.000)</v>
      </c>
      <c r="G1993">
        <f t="shared" ca="1" si="379"/>
        <v>0.2</v>
      </c>
      <c r="H1993">
        <f t="shared" ca="1" si="380"/>
        <v>-1</v>
      </c>
      <c r="I1993">
        <f t="shared" ca="1" si="381"/>
        <v>0</v>
      </c>
      <c r="J1993" s="8">
        <f t="shared" ca="1" si="382"/>
        <v>-78.690067525979785</v>
      </c>
      <c r="K1993" s="9" t="str">
        <f t="shared" ca="1" si="383"/>
        <v>S</v>
      </c>
      <c r="L1993">
        <f ca="1">+_xlfn.IFNA(VLOOKUP(M1993,BespokeWindowsAreas!$B$2:$E$1999,4,FALSE),VLOOKUP(E1993,WindowTypeArea!$B$2:$C$113,2,FALSE))</f>
        <v>0.97499999999999998</v>
      </c>
      <c r="M1993">
        <f t="shared" ca="1" si="384"/>
        <v>5123901</v>
      </c>
    </row>
    <row r="1994" spans="1:13" x14ac:dyDescent="0.25">
      <c r="A1994">
        <f t="shared" ca="1" si="377"/>
        <v>5</v>
      </c>
      <c r="B1994">
        <f t="shared" ca="1" si="378"/>
        <v>275</v>
      </c>
      <c r="C1994" t="str">
        <f t="shared" ca="1" si="385"/>
        <v>'WINDOWS-NCH-A-BDP-M3-03-00'!B274</v>
      </c>
      <c r="D1994" s="6" t="str">
        <f t="shared" ca="1" si="386"/>
        <v>L03-THR-POT-S038-01</v>
      </c>
      <c r="E1994" t="str">
        <f t="shared" ca="1" si="387"/>
        <v>L03-THR-POT-S038-01</v>
      </c>
      <c r="F1994">
        <f t="shared" ca="1" si="388"/>
        <v>1296710</v>
      </c>
      <c r="G1994">
        <f t="shared" ca="1" si="379"/>
        <v>0</v>
      </c>
      <c r="H1994">
        <f t="shared" ca="1" si="380"/>
        <v>0</v>
      </c>
      <c r="I1994">
        <f t="shared" ca="1" si="381"/>
        <v>0</v>
      </c>
      <c r="J1994" s="8" t="e">
        <f t="shared" ca="1" si="382"/>
        <v>#DIV/0!</v>
      </c>
      <c r="K1994" s="9" t="e">
        <f t="shared" ca="1" si="383"/>
        <v>#DIV/0!</v>
      </c>
      <c r="L1994" t="e">
        <f ca="1">+_xlfn.IFNA(VLOOKUP(M1994,BespokeWindowsAreas!$B$2:$E$1999,4,FALSE),VLOOKUP(E1994,WindowTypeArea!$B$2:$C$113,2,FALSE))</f>
        <v>#N/A</v>
      </c>
      <c r="M1994">
        <f t="shared" ca="1" si="384"/>
        <v>0</v>
      </c>
    </row>
    <row r="1995" spans="1:13" x14ac:dyDescent="0.25">
      <c r="A1995">
        <f t="shared" ca="1" si="377"/>
        <v>5</v>
      </c>
      <c r="B1995">
        <f t="shared" ca="1" si="378"/>
        <v>276</v>
      </c>
      <c r="C1995" t="str">
        <f t="shared" ca="1" si="385"/>
        <v>'WINDOWS-NCH-A-BDP-M3-03-00'!B275</v>
      </c>
      <c r="D1995" s="6" t="str">
        <f t="shared" ca="1" si="386"/>
        <v>L03-THR-POT-S038-01</v>
      </c>
      <c r="E1995" t="str">
        <f t="shared" ca="1" si="387"/>
        <v>Family Type: Curtain Wall_1950w x 3800h, Family: Window External Type 5 - Flush</v>
      </c>
      <c r="F1995" t="str">
        <f t="shared" ca="1" si="388"/>
        <v>Vector(X = 0.212, Y = -0.977, Z = 0.000, Length = 1.000)</v>
      </c>
      <c r="G1995">
        <f t="shared" ca="1" si="379"/>
        <v>0.2</v>
      </c>
      <c r="H1995">
        <f t="shared" ca="1" si="380"/>
        <v>-1</v>
      </c>
      <c r="I1995">
        <f t="shared" ca="1" si="381"/>
        <v>0</v>
      </c>
      <c r="J1995" s="8">
        <f t="shared" ca="1" si="382"/>
        <v>-78.690067525979785</v>
      </c>
      <c r="K1995" s="9" t="str">
        <f t="shared" ca="1" si="383"/>
        <v>S</v>
      </c>
      <c r="L1995">
        <f ca="1">+_xlfn.IFNA(VLOOKUP(M1995,BespokeWindowsAreas!$B$2:$E$1999,4,FALSE),VLOOKUP(E1995,WindowTypeArea!$B$2:$C$113,2,FALSE))</f>
        <v>7.9950000000000001</v>
      </c>
      <c r="M1995">
        <f t="shared" ca="1" si="384"/>
        <v>4927754</v>
      </c>
    </row>
    <row r="1996" spans="1:13" x14ac:dyDescent="0.25">
      <c r="A1996">
        <f t="shared" ca="1" si="377"/>
        <v>5</v>
      </c>
      <c r="B1996">
        <f t="shared" ca="1" si="378"/>
        <v>277</v>
      </c>
      <c r="C1996" t="str">
        <f t="shared" ca="1" si="385"/>
        <v>'WINDOWS-NCH-A-BDP-M3-03-00'!B276</v>
      </c>
      <c r="D1996" s="6" t="str">
        <f t="shared" ca="1" si="386"/>
        <v>L03-THR-POT-S038-01</v>
      </c>
      <c r="E1996" t="str">
        <f t="shared" ca="1" si="387"/>
        <v>Family Type: manual 18.8m2</v>
      </c>
      <c r="F1996" t="str">
        <f t="shared" ca="1" si="388"/>
        <v>Vector(X = 0.212, Y = -0.977, Z = 0.000, Length = 1.000)</v>
      </c>
      <c r="G1996">
        <f t="shared" ca="1" si="379"/>
        <v>0.2</v>
      </c>
      <c r="H1996">
        <f t="shared" ca="1" si="380"/>
        <v>-1</v>
      </c>
      <c r="I1996">
        <f t="shared" ca="1" si="381"/>
        <v>0</v>
      </c>
      <c r="J1996" s="8">
        <f t="shared" ca="1" si="382"/>
        <v>-78.690067525979785</v>
      </c>
      <c r="K1996" s="9" t="str">
        <f t="shared" ca="1" si="383"/>
        <v>S</v>
      </c>
      <c r="L1996">
        <f ca="1">+_xlfn.IFNA(VLOOKUP(M1996,BespokeWindowsAreas!$B$2:$E$1999,4,FALSE),VLOOKUP(E1996,WindowTypeArea!$B$2:$C$113,2,FALSE))</f>
        <v>18.859999999999996</v>
      </c>
      <c r="M1996">
        <f t="shared" ca="1" si="384"/>
        <v>4927817</v>
      </c>
    </row>
    <row r="1997" spans="1:13" x14ac:dyDescent="0.25">
      <c r="A1997">
        <f t="shared" ca="1" si="377"/>
        <v>5</v>
      </c>
      <c r="B1997">
        <f t="shared" ca="1" si="378"/>
        <v>278</v>
      </c>
      <c r="C1997" t="str">
        <f t="shared" ca="1" si="385"/>
        <v>'WINDOWS-NCH-A-BDP-M3-03-00'!B277</v>
      </c>
      <c r="D1997" s="6" t="str">
        <f t="shared" ca="1" si="386"/>
        <v>manual</v>
      </c>
      <c r="E1997" t="str">
        <f t="shared" ca="1" si="387"/>
        <v>manual</v>
      </c>
      <c r="F1997" t="str">
        <f t="shared" ca="1" si="388"/>
        <v>Vector(X = 0.212, Y = -0.977, Z = 0.000, Length = 1.000)</v>
      </c>
      <c r="G1997">
        <f t="shared" ca="1" si="379"/>
        <v>0.2</v>
      </c>
      <c r="H1997">
        <f t="shared" ca="1" si="380"/>
        <v>-1</v>
      </c>
      <c r="I1997">
        <f t="shared" ca="1" si="381"/>
        <v>0</v>
      </c>
      <c r="J1997" s="8">
        <f t="shared" ca="1" si="382"/>
        <v>-78.690067525979785</v>
      </c>
      <c r="K1997" s="9" t="str">
        <f t="shared" ca="1" si="383"/>
        <v>S</v>
      </c>
      <c r="L1997" t="e">
        <f ca="1">+_xlfn.IFNA(VLOOKUP(M1997,BespokeWindowsAreas!$B$2:$E$1999,4,FALSE),VLOOKUP(E1997,WindowTypeArea!$B$2:$C$113,2,FALSE))</f>
        <v>#N/A</v>
      </c>
      <c r="M1997">
        <f t="shared" ca="1" si="384"/>
        <v>4927825</v>
      </c>
    </row>
    <row r="1998" spans="1:13" x14ac:dyDescent="0.25">
      <c r="A1998">
        <f t="shared" ca="1" si="377"/>
        <v>5</v>
      </c>
      <c r="B1998">
        <f t="shared" ca="1" si="378"/>
        <v>279</v>
      </c>
      <c r="C1998" t="str">
        <f t="shared" ca="1" si="385"/>
        <v>'WINDOWS-NCH-A-BDP-M3-03-00'!B278</v>
      </c>
      <c r="D1998" s="6" t="str">
        <f t="shared" ca="1" si="386"/>
        <v>manual</v>
      </c>
      <c r="E1998" t="str">
        <f t="shared" ca="1" si="387"/>
        <v>manual</v>
      </c>
      <c r="F1998" t="str">
        <f t="shared" ca="1" si="388"/>
        <v>Vector(X = 0.212, Y = -0.977, Z = 0.000, Length = 1.000)</v>
      </c>
      <c r="G1998">
        <f t="shared" ca="1" si="379"/>
        <v>0.2</v>
      </c>
      <c r="H1998">
        <f t="shared" ca="1" si="380"/>
        <v>-1</v>
      </c>
      <c r="I1998">
        <f t="shared" ca="1" si="381"/>
        <v>0</v>
      </c>
      <c r="J1998" s="8">
        <f t="shared" ca="1" si="382"/>
        <v>-78.690067525979785</v>
      </c>
      <c r="K1998" s="9" t="str">
        <f t="shared" ca="1" si="383"/>
        <v>S</v>
      </c>
      <c r="L1998" t="e">
        <f ca="1">+_xlfn.IFNA(VLOOKUP(M1998,BespokeWindowsAreas!$B$2:$E$1999,4,FALSE),VLOOKUP(E1998,WindowTypeArea!$B$2:$C$113,2,FALSE))</f>
        <v>#N/A</v>
      </c>
      <c r="M1998">
        <f t="shared" ca="1" si="384"/>
        <v>4927833</v>
      </c>
    </row>
    <row r="1999" spans="1:13" x14ac:dyDescent="0.25">
      <c r="A1999">
        <f t="shared" ca="1" si="377"/>
        <v>5</v>
      </c>
      <c r="B1999">
        <f t="shared" ca="1" si="378"/>
        <v>280</v>
      </c>
      <c r="C1999" t="str">
        <f t="shared" ca="1" si="385"/>
        <v>'WINDOWS-NCH-A-BDP-M3-03-00'!B279</v>
      </c>
      <c r="D1999" s="6" t="str">
        <f t="shared" ca="1" si="386"/>
        <v>manual</v>
      </c>
      <c r="E1999" t="str">
        <f t="shared" ca="1" si="387"/>
        <v>manual</v>
      </c>
      <c r="F1999" t="str">
        <f t="shared" ca="1" si="388"/>
        <v>Vector(X = 0.212, Y = -0.977, Z = 0.000, Length = 1.000)</v>
      </c>
      <c r="G1999">
        <f t="shared" ca="1" si="379"/>
        <v>0.2</v>
      </c>
      <c r="H1999">
        <f t="shared" ca="1" si="380"/>
        <v>-1</v>
      </c>
      <c r="I1999">
        <f t="shared" ca="1" si="381"/>
        <v>0</v>
      </c>
      <c r="J1999" s="8">
        <f t="shared" ca="1" si="382"/>
        <v>-78.690067525979785</v>
      </c>
      <c r="K1999" s="9" t="str">
        <f t="shared" ca="1" si="383"/>
        <v>S</v>
      </c>
      <c r="L1999" t="e">
        <f ca="1">+_xlfn.IFNA(VLOOKUP(M1999,BespokeWindowsAreas!$B$2:$E$1999,4,FALSE),VLOOKUP(E1999,WindowTypeArea!$B$2:$C$113,2,FALSE))</f>
        <v>#N/A</v>
      </c>
      <c r="M1999">
        <f t="shared" ca="1" si="384"/>
        <v>4927864</v>
      </c>
    </row>
    <row r="2000" spans="1:13" x14ac:dyDescent="0.25">
      <c r="A2000">
        <f t="shared" ca="1" si="377"/>
        <v>5</v>
      </c>
      <c r="B2000">
        <f t="shared" ca="1" si="378"/>
        <v>281</v>
      </c>
      <c r="C2000" t="str">
        <f t="shared" ca="1" si="385"/>
        <v>'WINDOWS-NCH-A-BDP-M3-03-00'!B280</v>
      </c>
      <c r="D2000" s="6" t="str">
        <f t="shared" ca="1" si="386"/>
        <v>manual</v>
      </c>
      <c r="E2000" t="str">
        <f t="shared" ca="1" si="387"/>
        <v>manual</v>
      </c>
      <c r="F2000" t="str">
        <f t="shared" ca="1" si="388"/>
        <v>Vector(X = 0.212, Y = -0.977, Z = 0.000, Length = 1.000)</v>
      </c>
      <c r="G2000">
        <f t="shared" ca="1" si="379"/>
        <v>0.2</v>
      </c>
      <c r="H2000">
        <f t="shared" ca="1" si="380"/>
        <v>-1</v>
      </c>
      <c r="I2000">
        <f t="shared" ca="1" si="381"/>
        <v>0</v>
      </c>
      <c r="J2000" s="8">
        <f t="shared" ca="1" si="382"/>
        <v>-78.690067525979785</v>
      </c>
      <c r="K2000" s="9" t="str">
        <f t="shared" ca="1" si="383"/>
        <v>S</v>
      </c>
      <c r="L2000" t="e">
        <f ca="1">+_xlfn.IFNA(VLOOKUP(M2000,BespokeWindowsAreas!$B$2:$E$1999,4,FALSE),VLOOKUP(E2000,WindowTypeArea!$B$2:$C$113,2,FALSE))</f>
        <v>#N/A</v>
      </c>
      <c r="M2000">
        <f t="shared" ca="1" si="384"/>
        <v>5123885</v>
      </c>
    </row>
    <row r="2001" spans="1:13" x14ac:dyDescent="0.25">
      <c r="A2001">
        <f t="shared" ca="1" si="377"/>
        <v>5</v>
      </c>
      <c r="B2001">
        <f t="shared" ca="1" si="378"/>
        <v>282</v>
      </c>
      <c r="C2001" t="str">
        <f t="shared" ca="1" si="385"/>
        <v>'WINDOWS-NCH-A-BDP-M3-03-00'!B281</v>
      </c>
      <c r="D2001" s="6" t="str">
        <f t="shared" ca="1" si="386"/>
        <v>manual</v>
      </c>
      <c r="E2001" t="str">
        <f t="shared" ca="1" si="387"/>
        <v>manual</v>
      </c>
      <c r="F2001" t="str">
        <f t="shared" ca="1" si="388"/>
        <v>Vector(X = 0.212, Y = -0.977, Z = 0.000, Length = 1.000)</v>
      </c>
      <c r="G2001">
        <f t="shared" ca="1" si="379"/>
        <v>0.2</v>
      </c>
      <c r="H2001">
        <f t="shared" ca="1" si="380"/>
        <v>-1</v>
      </c>
      <c r="I2001">
        <f t="shared" ca="1" si="381"/>
        <v>0</v>
      </c>
      <c r="J2001" s="8">
        <f t="shared" ca="1" si="382"/>
        <v>-78.690067525979785</v>
      </c>
      <c r="K2001" s="9" t="str">
        <f t="shared" ca="1" si="383"/>
        <v>S</v>
      </c>
      <c r="L2001" t="e">
        <f ca="1">+_xlfn.IFNA(VLOOKUP(M2001,BespokeWindowsAreas!$B$2:$E$1999,4,FALSE),VLOOKUP(E2001,WindowTypeArea!$B$2:$C$113,2,FALSE))</f>
        <v>#N/A</v>
      </c>
      <c r="M2001">
        <f t="shared" ca="1" si="384"/>
        <v>5123889</v>
      </c>
    </row>
    <row r="2002" spans="1:13" x14ac:dyDescent="0.25">
      <c r="A2002">
        <f t="shared" ca="1" si="377"/>
        <v>5</v>
      </c>
      <c r="B2002">
        <f t="shared" ca="1" si="378"/>
        <v>283</v>
      </c>
      <c r="C2002" t="str">
        <f t="shared" ca="1" si="385"/>
        <v>'WINDOWS-NCH-A-BDP-M3-03-00'!B282</v>
      </c>
      <c r="D2002" s="6" t="str">
        <f t="shared" ca="1" si="386"/>
        <v>manual</v>
      </c>
      <c r="E2002" t="str">
        <f t="shared" ca="1" si="387"/>
        <v>manual</v>
      </c>
      <c r="F2002" t="str">
        <f t="shared" ca="1" si="388"/>
        <v>Vector(X = 0.212, Y = -0.977, Z = 0.000, Length = 1.000)</v>
      </c>
      <c r="G2002">
        <f t="shared" ca="1" si="379"/>
        <v>0.2</v>
      </c>
      <c r="H2002">
        <f t="shared" ca="1" si="380"/>
        <v>-1</v>
      </c>
      <c r="I2002">
        <f t="shared" ca="1" si="381"/>
        <v>0</v>
      </c>
      <c r="J2002" s="8">
        <f t="shared" ca="1" si="382"/>
        <v>-78.690067525979785</v>
      </c>
      <c r="K2002" s="9" t="str">
        <f t="shared" ca="1" si="383"/>
        <v>S</v>
      </c>
      <c r="L2002" t="e">
        <f ca="1">+_xlfn.IFNA(VLOOKUP(M2002,BespokeWindowsAreas!$B$2:$E$1999,4,FALSE),VLOOKUP(E2002,WindowTypeArea!$B$2:$C$113,2,FALSE))</f>
        <v>#N/A</v>
      </c>
      <c r="M2002">
        <f t="shared" ca="1" si="384"/>
        <v>5123890</v>
      </c>
    </row>
    <row r="2003" spans="1:13" x14ac:dyDescent="0.25">
      <c r="A2003">
        <f t="shared" ca="1" si="377"/>
        <v>5</v>
      </c>
      <c r="B2003">
        <f t="shared" ca="1" si="378"/>
        <v>284</v>
      </c>
      <c r="C2003" t="str">
        <f t="shared" ca="1" si="385"/>
        <v>'WINDOWS-NCH-A-BDP-M3-03-00'!B283</v>
      </c>
      <c r="D2003" s="6" t="str">
        <f t="shared" ca="1" si="386"/>
        <v>manual</v>
      </c>
      <c r="E2003" t="str">
        <f t="shared" ca="1" si="387"/>
        <v>manual</v>
      </c>
      <c r="F2003" t="str">
        <f t="shared" ca="1" si="388"/>
        <v>Vector(X = 0.212, Y = -0.977, Z = 0.000, Length = 1.000)</v>
      </c>
      <c r="G2003">
        <f t="shared" ca="1" si="379"/>
        <v>0.2</v>
      </c>
      <c r="H2003">
        <f t="shared" ca="1" si="380"/>
        <v>-1</v>
      </c>
      <c r="I2003">
        <f t="shared" ca="1" si="381"/>
        <v>0</v>
      </c>
      <c r="J2003" s="8">
        <f t="shared" ca="1" si="382"/>
        <v>-78.690067525979785</v>
      </c>
      <c r="K2003" s="9" t="str">
        <f t="shared" ca="1" si="383"/>
        <v>S</v>
      </c>
      <c r="L2003" t="e">
        <f ca="1">+_xlfn.IFNA(VLOOKUP(M2003,BespokeWindowsAreas!$B$2:$E$1999,4,FALSE),VLOOKUP(E2003,WindowTypeArea!$B$2:$C$113,2,FALSE))</f>
        <v>#N/A</v>
      </c>
      <c r="M2003">
        <f t="shared" ca="1" si="384"/>
        <v>5123902</v>
      </c>
    </row>
    <row r="2004" spans="1:13" x14ac:dyDescent="0.25">
      <c r="A2004">
        <f t="shared" ref="A2004:A2067" ca="1" si="389">+IF(B2003&lt;=VLOOKUP(MID(C2004,2,26),TABS,2,FALSE),A2003,+A2003+1)</f>
        <v>5</v>
      </c>
      <c r="B2004">
        <f t="shared" ref="B2004:B2067" ca="1" si="390">+IF(B2003&lt;=VLOOKUP(MID(C2004,2,26),TABS,2,FALSE),B2003+1,1)</f>
        <v>285</v>
      </c>
      <c r="C2004" t="str">
        <f t="shared" ca="1" si="385"/>
        <v>'WINDOWS-NCH-A-BDP-M3-03-00'!B284</v>
      </c>
      <c r="D2004" s="6" t="str">
        <f ca="1">+IF(IFERROR(FIND("Family",E2004)&gt;0,FALSE),D2003,E2004)</f>
        <v>L03-THR-POT-S022-01</v>
      </c>
      <c r="E2004" t="str">
        <f t="shared" ca="1" si="387"/>
        <v>L03-THR-POT-S022-01</v>
      </c>
      <c r="F2004">
        <f t="shared" ca="1" si="388"/>
        <v>1296712</v>
      </c>
      <c r="G2004">
        <f t="shared" ca="1" si="379"/>
        <v>0</v>
      </c>
      <c r="H2004">
        <f t="shared" ca="1" si="380"/>
        <v>0</v>
      </c>
      <c r="I2004">
        <f t="shared" ca="1" si="381"/>
        <v>0</v>
      </c>
      <c r="J2004" s="8" t="e">
        <f t="shared" ca="1" si="382"/>
        <v>#DIV/0!</v>
      </c>
      <c r="K2004" s="9" t="e">
        <f t="shared" ca="1" si="383"/>
        <v>#DIV/0!</v>
      </c>
      <c r="L2004" t="e">
        <f ca="1">+_xlfn.IFNA(VLOOKUP(M2004,BespokeWindowsAreas!$B$2:$E$1999,4,FALSE),VLOOKUP(E2004,WindowTypeArea!$B$2:$C$113,2,FALSE))</f>
        <v>#N/A</v>
      </c>
      <c r="M2004">
        <f t="shared" ca="1" si="384"/>
        <v>0</v>
      </c>
    </row>
    <row r="2005" spans="1:13" x14ac:dyDescent="0.25">
      <c r="A2005">
        <f t="shared" ca="1" si="389"/>
        <v>5</v>
      </c>
      <c r="B2005">
        <f t="shared" ca="1" si="390"/>
        <v>286</v>
      </c>
      <c r="C2005" t="str">
        <f t="shared" ca="1" si="385"/>
        <v>'WINDOWS-NCH-A-BDP-M3-03-00'!B285</v>
      </c>
      <c r="D2005" s="6" t="str">
        <f t="shared" ca="1" si="386"/>
        <v>L03-THR-POT-S022-01</v>
      </c>
      <c r="E2005" t="str">
        <f t="shared" ca="1" si="387"/>
        <v>Family Type: Curtain Wall_1950w x 3800h, Family: Window External Type 5 - Flush</v>
      </c>
      <c r="F2005" t="str">
        <f t="shared" ca="1" si="388"/>
        <v>Vector(X = 0.212, Y = -0.977, Z = 0.000, Length = 1.000)</v>
      </c>
      <c r="G2005">
        <f t="shared" ca="1" si="379"/>
        <v>0.2</v>
      </c>
      <c r="H2005">
        <f t="shared" ca="1" si="380"/>
        <v>-1</v>
      </c>
      <c r="I2005">
        <f t="shared" ca="1" si="381"/>
        <v>0</v>
      </c>
      <c r="J2005" s="8">
        <f t="shared" ca="1" si="382"/>
        <v>-78.690067525979785</v>
      </c>
      <c r="K2005" s="9" t="str">
        <f t="shared" ca="1" si="383"/>
        <v>S</v>
      </c>
      <c r="L2005">
        <f ca="1">+_xlfn.IFNA(VLOOKUP(M2005,BespokeWindowsAreas!$B$2:$E$1999,4,FALSE),VLOOKUP(E2005,WindowTypeArea!$B$2:$C$113,2,FALSE))</f>
        <v>7.9950000000000001</v>
      </c>
      <c r="M2005">
        <f t="shared" ca="1" si="384"/>
        <v>4927754</v>
      </c>
    </row>
    <row r="2006" spans="1:13" x14ac:dyDescent="0.25">
      <c r="A2006">
        <f t="shared" ca="1" si="389"/>
        <v>5</v>
      </c>
      <c r="B2006">
        <f t="shared" ca="1" si="390"/>
        <v>287</v>
      </c>
      <c r="C2006" t="str">
        <f t="shared" ca="1" si="385"/>
        <v>'WINDOWS-NCH-A-BDP-M3-03-00'!B286</v>
      </c>
      <c r="D2006" s="6" t="str">
        <f t="shared" ca="1" si="386"/>
        <v>L03-THR-POT-S115-02</v>
      </c>
      <c r="E2006" t="str">
        <f t="shared" ca="1" si="387"/>
        <v>L03-THR-POT-S115-02</v>
      </c>
      <c r="F2006">
        <f t="shared" ca="1" si="388"/>
        <v>1296714</v>
      </c>
      <c r="G2006">
        <f t="shared" ref="G2006:G2069" ca="1" si="391">+OFFSET(INDIRECT(C2006),0,2)</f>
        <v>0</v>
      </c>
      <c r="H2006">
        <f t="shared" ref="H2006:H2069" ca="1" si="392">+OFFSET(INDIRECT(C2006),0,3)</f>
        <v>0</v>
      </c>
      <c r="I2006">
        <f t="shared" ref="I2006:I2069" ca="1" si="393">+OFFSET(INDIRECT(C2006),0,4)</f>
        <v>0</v>
      </c>
      <c r="J2006" s="8" t="e">
        <f t="shared" ref="J2006:J2069" ca="1" si="394">+DEGREES(ATAN2(G2006,H2006))</f>
        <v>#DIV/0!</v>
      </c>
      <c r="K2006" s="9" t="e">
        <f t="shared" ref="K2006:K2069" ca="1" si="395">VLOOKUP(J2006,$O$20:$P$36,2,-1)</f>
        <v>#DIV/0!</v>
      </c>
      <c r="L2006" t="e">
        <f ca="1">+_xlfn.IFNA(VLOOKUP(M2006,BespokeWindowsAreas!$B$2:$E$1999,4,FALSE),VLOOKUP(E2006,WindowTypeArea!$B$2:$C$113,2,FALSE))</f>
        <v>#N/A</v>
      </c>
      <c r="M2006">
        <f t="shared" ref="M2006:M2069" ca="1" si="396">+OFFSET(INDIRECT(C2006),0,5)</f>
        <v>0</v>
      </c>
    </row>
    <row r="2007" spans="1:13" x14ac:dyDescent="0.25">
      <c r="A2007">
        <f t="shared" ca="1" si="389"/>
        <v>5</v>
      </c>
      <c r="B2007">
        <f t="shared" ca="1" si="390"/>
        <v>288</v>
      </c>
      <c r="C2007" t="str">
        <f t="shared" ca="1" si="385"/>
        <v>'WINDOWS-NCH-A-BDP-M3-03-00'!B287</v>
      </c>
      <c r="D2007" s="6" t="str">
        <f t="shared" ca="1" si="386"/>
        <v>L03-THR-POT-S115-02</v>
      </c>
      <c r="E2007" t="str">
        <f t="shared" ca="1" si="387"/>
        <v>Family Type: Curtain Wall_2210w x 3800h, Family: Window External Type 5 - Flush</v>
      </c>
      <c r="F2007" t="str">
        <f t="shared" ca="1" si="388"/>
        <v>Vector(X = 0.212, Y = -0.977, Z = 0.000, Length = 1.000)</v>
      </c>
      <c r="G2007">
        <f t="shared" ca="1" si="391"/>
        <v>0.2</v>
      </c>
      <c r="H2007">
        <f t="shared" ca="1" si="392"/>
        <v>-1</v>
      </c>
      <c r="I2007">
        <f t="shared" ca="1" si="393"/>
        <v>0</v>
      </c>
      <c r="J2007" s="8">
        <f t="shared" ca="1" si="394"/>
        <v>-78.690067525979785</v>
      </c>
      <c r="K2007" s="9" t="str">
        <f t="shared" ca="1" si="395"/>
        <v>S</v>
      </c>
      <c r="L2007">
        <f ca="1">+_xlfn.IFNA(VLOOKUP(M2007,BespokeWindowsAreas!$B$2:$E$1999,4,FALSE),VLOOKUP(E2007,WindowTypeArea!$B$2:$C$113,2,FALSE))</f>
        <v>9.0609999999999999</v>
      </c>
      <c r="M2007">
        <f t="shared" ca="1" si="396"/>
        <v>4926915</v>
      </c>
    </row>
    <row r="2008" spans="1:13" x14ac:dyDescent="0.25">
      <c r="A2008">
        <f t="shared" ca="1" si="389"/>
        <v>5</v>
      </c>
      <c r="B2008">
        <f t="shared" ca="1" si="390"/>
        <v>289</v>
      </c>
      <c r="C2008" t="str">
        <f t="shared" ca="1" si="385"/>
        <v>'WINDOWS-NCH-A-BDP-M3-03-00'!B288</v>
      </c>
      <c r="D2008" s="6" t="str">
        <f t="shared" ca="1" si="386"/>
        <v>L03-THR-POT-S115-02</v>
      </c>
      <c r="E2008" t="str">
        <f t="shared" ca="1" si="387"/>
        <v>Family Type: Curtain Wall_1950w x 3800h, Family: Window External Type 5 - Flush</v>
      </c>
      <c r="F2008" t="str">
        <f t="shared" ca="1" si="388"/>
        <v>Vector(X = 0.212, Y = -0.977, Z = 0.000, Length = 1.000)</v>
      </c>
      <c r="G2008">
        <f t="shared" ca="1" si="391"/>
        <v>0.2</v>
      </c>
      <c r="H2008">
        <f t="shared" ca="1" si="392"/>
        <v>-1</v>
      </c>
      <c r="I2008">
        <f t="shared" ca="1" si="393"/>
        <v>0</v>
      </c>
      <c r="J2008" s="8">
        <f t="shared" ca="1" si="394"/>
        <v>-78.690067525979785</v>
      </c>
      <c r="K2008" s="9" t="str">
        <f t="shared" ca="1" si="395"/>
        <v>S</v>
      </c>
      <c r="L2008">
        <f ca="1">+_xlfn.IFNA(VLOOKUP(M2008,BespokeWindowsAreas!$B$2:$E$1999,4,FALSE),VLOOKUP(E2008,WindowTypeArea!$B$2:$C$113,2,FALSE))</f>
        <v>7.9950000000000001</v>
      </c>
      <c r="M2008">
        <f t="shared" ca="1" si="396"/>
        <v>4927101</v>
      </c>
    </row>
    <row r="2009" spans="1:13" x14ac:dyDescent="0.25">
      <c r="A2009">
        <f t="shared" ca="1" si="389"/>
        <v>5</v>
      </c>
      <c r="B2009">
        <f t="shared" ca="1" si="390"/>
        <v>290</v>
      </c>
      <c r="C2009" t="str">
        <f t="shared" ca="1" si="385"/>
        <v>'WINDOWS-NCH-A-BDP-M3-03-00'!B289</v>
      </c>
      <c r="D2009" s="6" t="str">
        <f t="shared" ca="1" si="386"/>
        <v>L03-THR-POT-S115-02</v>
      </c>
      <c r="E2009" t="str">
        <f t="shared" ca="1" si="387"/>
        <v>Family Type: Curtain Wall_1950w x 3800h, Family: Window External Type 5 - Flush</v>
      </c>
      <c r="F2009" t="str">
        <f t="shared" ca="1" si="388"/>
        <v>Vector(X = 0.212, Y = -0.977, Z = 0.000, Length = 1.000)</v>
      </c>
      <c r="G2009">
        <f t="shared" ca="1" si="391"/>
        <v>0.2</v>
      </c>
      <c r="H2009">
        <f t="shared" ca="1" si="392"/>
        <v>-1</v>
      </c>
      <c r="I2009">
        <f t="shared" ca="1" si="393"/>
        <v>0</v>
      </c>
      <c r="J2009" s="8">
        <f t="shared" ca="1" si="394"/>
        <v>-78.690067525979785</v>
      </c>
      <c r="K2009" s="9" t="str">
        <f t="shared" ca="1" si="395"/>
        <v>S</v>
      </c>
      <c r="L2009">
        <f ca="1">+_xlfn.IFNA(VLOOKUP(M2009,BespokeWindowsAreas!$B$2:$E$1999,4,FALSE),VLOOKUP(E2009,WindowTypeArea!$B$2:$C$113,2,FALSE))</f>
        <v>7.9950000000000001</v>
      </c>
      <c r="M2009">
        <f t="shared" ca="1" si="396"/>
        <v>4927109</v>
      </c>
    </row>
    <row r="2010" spans="1:13" x14ac:dyDescent="0.25">
      <c r="A2010">
        <f t="shared" ca="1" si="389"/>
        <v>5</v>
      </c>
      <c r="B2010">
        <f t="shared" ca="1" si="390"/>
        <v>291</v>
      </c>
      <c r="C2010" t="str">
        <f t="shared" ca="1" si="385"/>
        <v>'WINDOWS-NCH-A-BDP-M3-03-00'!B290</v>
      </c>
      <c r="D2010" s="6" t="str">
        <f t="shared" ca="1" si="386"/>
        <v>L03-THR-POT-S115-02</v>
      </c>
      <c r="E2010" t="str">
        <f t="shared" ca="1" si="387"/>
        <v>Family Type: Curtain Wall_1950w x 3800h, Family: Window External Type 5 - Flush</v>
      </c>
      <c r="F2010" t="str">
        <f t="shared" ca="1" si="388"/>
        <v>Vector(X = 0.212, Y = -0.977, Z = 0.000, Length = 1.000)</v>
      </c>
      <c r="G2010">
        <f t="shared" ca="1" si="391"/>
        <v>0.2</v>
      </c>
      <c r="H2010">
        <f t="shared" ca="1" si="392"/>
        <v>-1</v>
      </c>
      <c r="I2010">
        <f t="shared" ca="1" si="393"/>
        <v>0</v>
      </c>
      <c r="J2010" s="8">
        <f t="shared" ca="1" si="394"/>
        <v>-78.690067525979785</v>
      </c>
      <c r="K2010" s="9" t="str">
        <f t="shared" ca="1" si="395"/>
        <v>S</v>
      </c>
      <c r="L2010">
        <f ca="1">+_xlfn.IFNA(VLOOKUP(M2010,BespokeWindowsAreas!$B$2:$E$1999,4,FALSE),VLOOKUP(E2010,WindowTypeArea!$B$2:$C$113,2,FALSE))</f>
        <v>7.9950000000000001</v>
      </c>
      <c r="M2010">
        <f t="shared" ca="1" si="396"/>
        <v>4927117</v>
      </c>
    </row>
    <row r="2011" spans="1:13" x14ac:dyDescent="0.25">
      <c r="A2011">
        <f t="shared" ca="1" si="389"/>
        <v>5</v>
      </c>
      <c r="B2011">
        <f t="shared" ca="1" si="390"/>
        <v>292</v>
      </c>
      <c r="C2011" t="str">
        <f t="shared" ca="1" si="385"/>
        <v>'WINDOWS-NCH-A-BDP-M3-03-00'!B291</v>
      </c>
      <c r="D2011" s="6" t="str">
        <f t="shared" ca="1" si="386"/>
        <v>L03-THR-POT-S115-02</v>
      </c>
      <c r="E2011" t="str">
        <f t="shared" ca="1" si="387"/>
        <v>Family Type: Curtain Wall_1950w x 3800h, Family: Window External Type 5 - Flush</v>
      </c>
      <c r="F2011" t="str">
        <f t="shared" ca="1" si="388"/>
        <v>Vector(X = 0.212, Y = -0.977, Z = 0.000, Length = 1.000)</v>
      </c>
      <c r="G2011">
        <f t="shared" ca="1" si="391"/>
        <v>0.2</v>
      </c>
      <c r="H2011">
        <f t="shared" ca="1" si="392"/>
        <v>-1</v>
      </c>
      <c r="I2011">
        <f t="shared" ca="1" si="393"/>
        <v>0</v>
      </c>
      <c r="J2011" s="8">
        <f t="shared" ca="1" si="394"/>
        <v>-78.690067525979785</v>
      </c>
      <c r="K2011" s="9" t="str">
        <f t="shared" ca="1" si="395"/>
        <v>S</v>
      </c>
      <c r="L2011">
        <f ca="1">+_xlfn.IFNA(VLOOKUP(M2011,BespokeWindowsAreas!$B$2:$E$1999,4,FALSE),VLOOKUP(E2011,WindowTypeArea!$B$2:$C$113,2,FALSE))</f>
        <v>7.9950000000000001</v>
      </c>
      <c r="M2011">
        <f t="shared" ca="1" si="396"/>
        <v>4927125</v>
      </c>
    </row>
    <row r="2012" spans="1:13" x14ac:dyDescent="0.25">
      <c r="A2012">
        <f t="shared" ca="1" si="389"/>
        <v>5</v>
      </c>
      <c r="B2012">
        <f t="shared" ca="1" si="390"/>
        <v>293</v>
      </c>
      <c r="C2012" t="str">
        <f t="shared" ca="1" si="385"/>
        <v>'WINDOWS-NCH-A-BDP-M3-03-00'!B292</v>
      </c>
      <c r="D2012" s="6" t="str">
        <f t="shared" ca="1" si="386"/>
        <v>L03-THR-POT-S115-02</v>
      </c>
      <c r="E2012" t="str">
        <f t="shared" ca="1" si="387"/>
        <v>Family Type: Curtain Wall_1950w x 3800h, Family: Window External Type 5 - Flush</v>
      </c>
      <c r="F2012" t="str">
        <f t="shared" ca="1" si="388"/>
        <v>Vector(X = 0.212, Y = -0.977, Z = 0.000, Length = 1.000)</v>
      </c>
      <c r="G2012">
        <f t="shared" ca="1" si="391"/>
        <v>0.2</v>
      </c>
      <c r="H2012">
        <f t="shared" ca="1" si="392"/>
        <v>-1</v>
      </c>
      <c r="I2012">
        <f t="shared" ca="1" si="393"/>
        <v>0</v>
      </c>
      <c r="J2012" s="8">
        <f t="shared" ca="1" si="394"/>
        <v>-78.690067525979785</v>
      </c>
      <c r="K2012" s="9" t="str">
        <f t="shared" ca="1" si="395"/>
        <v>S</v>
      </c>
      <c r="L2012">
        <f ca="1">+_xlfn.IFNA(VLOOKUP(M2012,BespokeWindowsAreas!$B$2:$E$1999,4,FALSE),VLOOKUP(E2012,WindowTypeArea!$B$2:$C$113,2,FALSE))</f>
        <v>7.9950000000000001</v>
      </c>
      <c r="M2012">
        <f t="shared" ca="1" si="396"/>
        <v>4927141</v>
      </c>
    </row>
    <row r="2013" spans="1:13" x14ac:dyDescent="0.25">
      <c r="A2013">
        <f t="shared" ca="1" si="389"/>
        <v>5</v>
      </c>
      <c r="B2013">
        <f t="shared" ca="1" si="390"/>
        <v>294</v>
      </c>
      <c r="C2013" t="str">
        <f t="shared" ca="1" si="385"/>
        <v>'WINDOWS-NCH-A-BDP-M3-03-00'!B293</v>
      </c>
      <c r="D2013" s="6" t="str">
        <f t="shared" ca="1" si="386"/>
        <v>L03-THR-POT-S115-02</v>
      </c>
      <c r="E2013" t="str">
        <f t="shared" ca="1" si="387"/>
        <v>Family Type: Curtain Wall_975w x 3800h, Family: Window External Type 5 - Flush</v>
      </c>
      <c r="F2013" t="str">
        <f t="shared" ca="1" si="388"/>
        <v>Vector(X = 0.212, Y = -0.977, Z = 0.000, Length = 1.000)</v>
      </c>
      <c r="G2013">
        <f t="shared" ca="1" si="391"/>
        <v>0.2</v>
      </c>
      <c r="H2013">
        <f t="shared" ca="1" si="392"/>
        <v>-1</v>
      </c>
      <c r="I2013">
        <f t="shared" ca="1" si="393"/>
        <v>0</v>
      </c>
      <c r="J2013" s="8">
        <f t="shared" ca="1" si="394"/>
        <v>-78.690067525979785</v>
      </c>
      <c r="K2013" s="9" t="str">
        <f t="shared" ca="1" si="395"/>
        <v>S</v>
      </c>
      <c r="L2013">
        <f ca="1">+_xlfn.IFNA(VLOOKUP(M2013,BespokeWindowsAreas!$B$2:$E$1999,4,FALSE),VLOOKUP(E2013,WindowTypeArea!$B$2:$C$113,2,FALSE))</f>
        <v>3.9975000000000001</v>
      </c>
      <c r="M2013">
        <f t="shared" ca="1" si="396"/>
        <v>4927188</v>
      </c>
    </row>
    <row r="2014" spans="1:13" x14ac:dyDescent="0.25">
      <c r="A2014">
        <f t="shared" ca="1" si="389"/>
        <v>5</v>
      </c>
      <c r="B2014">
        <f t="shared" ca="1" si="390"/>
        <v>295</v>
      </c>
      <c r="C2014" t="str">
        <f t="shared" ca="1" si="385"/>
        <v>'WINDOWS-NCH-A-BDP-M3-03-00'!B294</v>
      </c>
      <c r="D2014" s="6" t="str">
        <f t="shared" ca="1" si="386"/>
        <v>L03-THR-POT-S115-02</v>
      </c>
      <c r="E2014" t="str">
        <f t="shared" ca="1" si="387"/>
        <v>Family Type: Curtain Wall_1950w x 3800h, Family: Window External Type 5 - Flush</v>
      </c>
      <c r="F2014" t="str">
        <f t="shared" ca="1" si="388"/>
        <v>Vector(X = 0.873, Y = 0.489, Z = 0.000, Length = 1.000)</v>
      </c>
      <c r="G2014">
        <f t="shared" ca="1" si="391"/>
        <v>0.9</v>
      </c>
      <c r="H2014">
        <f t="shared" ca="1" si="392"/>
        <v>0.5</v>
      </c>
      <c r="I2014">
        <f t="shared" ca="1" si="393"/>
        <v>0</v>
      </c>
      <c r="J2014" s="8">
        <f t="shared" ca="1" si="394"/>
        <v>29.054604099077146</v>
      </c>
      <c r="K2014" s="9" t="str">
        <f t="shared" ca="1" si="395"/>
        <v>E</v>
      </c>
      <c r="L2014">
        <f ca="1">+_xlfn.IFNA(VLOOKUP(M2014,BespokeWindowsAreas!$B$2:$E$1999,4,FALSE),VLOOKUP(E2014,WindowTypeArea!$B$2:$C$113,2,FALSE))</f>
        <v>7.9950000000000001</v>
      </c>
      <c r="M2014">
        <f t="shared" ca="1" si="396"/>
        <v>4941100</v>
      </c>
    </row>
    <row r="2015" spans="1:13" x14ac:dyDescent="0.25">
      <c r="A2015">
        <f t="shared" ca="1" si="389"/>
        <v>5</v>
      </c>
      <c r="B2015">
        <f t="shared" ca="1" si="390"/>
        <v>296</v>
      </c>
      <c r="C2015" t="str">
        <f t="shared" ca="1" si="385"/>
        <v>'WINDOWS-NCH-A-BDP-M3-03-00'!B295</v>
      </c>
      <c r="D2015" s="6" t="str">
        <f t="shared" ca="1" si="386"/>
        <v>L03-THR-POT-S115-02</v>
      </c>
      <c r="E2015" t="str">
        <f t="shared" ca="1" si="387"/>
        <v>Family Type: Curtain Wall_975w x 3800h, Family: Window External Type 5 - Flush</v>
      </c>
      <c r="F2015" t="str">
        <f t="shared" ca="1" si="388"/>
        <v>Vector(X = 0.873, Y = 0.489, Z = 0.000, Length = 1.000)</v>
      </c>
      <c r="G2015">
        <f t="shared" ca="1" si="391"/>
        <v>0.9</v>
      </c>
      <c r="H2015">
        <f t="shared" ca="1" si="392"/>
        <v>0.5</v>
      </c>
      <c r="I2015">
        <f t="shared" ca="1" si="393"/>
        <v>0</v>
      </c>
      <c r="J2015" s="8">
        <f t="shared" ca="1" si="394"/>
        <v>29.054604099077146</v>
      </c>
      <c r="K2015" s="9" t="str">
        <f t="shared" ca="1" si="395"/>
        <v>E</v>
      </c>
      <c r="L2015">
        <f ca="1">+_xlfn.IFNA(VLOOKUP(M2015,BespokeWindowsAreas!$B$2:$E$1999,4,FALSE),VLOOKUP(E2015,WindowTypeArea!$B$2:$C$113,2,FALSE))</f>
        <v>3.9975000000000001</v>
      </c>
      <c r="M2015">
        <f t="shared" ca="1" si="396"/>
        <v>4941130</v>
      </c>
    </row>
    <row r="2016" spans="1:13" x14ac:dyDescent="0.25">
      <c r="A2016">
        <f t="shared" ca="1" si="389"/>
        <v>5</v>
      </c>
      <c r="B2016">
        <f t="shared" ca="1" si="390"/>
        <v>297</v>
      </c>
      <c r="C2016" t="str">
        <f t="shared" ca="1" si="385"/>
        <v>'WINDOWS-NCH-A-BDP-M3-03-00'!B296</v>
      </c>
      <c r="D2016" s="6" t="str">
        <f t="shared" ca="1" si="386"/>
        <v>L03-THR-POT-S115-02</v>
      </c>
      <c r="E2016" t="str">
        <f t="shared" ca="1" si="387"/>
        <v>Family Type: Curtain Wall_975w x 3800h, Family: Window External Type 5 - Flush</v>
      </c>
      <c r="F2016" t="str">
        <f t="shared" ca="1" si="388"/>
        <v>Vector(X = 0.873, Y = 0.489, Z = 0.000, Length = 1.000)</v>
      </c>
      <c r="G2016">
        <f t="shared" ca="1" si="391"/>
        <v>0.9</v>
      </c>
      <c r="H2016">
        <f t="shared" ca="1" si="392"/>
        <v>0.5</v>
      </c>
      <c r="I2016">
        <f t="shared" ca="1" si="393"/>
        <v>0</v>
      </c>
      <c r="J2016" s="8">
        <f t="shared" ca="1" si="394"/>
        <v>29.054604099077146</v>
      </c>
      <c r="K2016" s="9" t="str">
        <f t="shared" ca="1" si="395"/>
        <v>E</v>
      </c>
      <c r="L2016">
        <f ca="1">+_xlfn.IFNA(VLOOKUP(M2016,BespokeWindowsAreas!$B$2:$E$1999,4,FALSE),VLOOKUP(E2016,WindowTypeArea!$B$2:$C$113,2,FALSE))</f>
        <v>3.9975000000000001</v>
      </c>
      <c r="M2016">
        <f t="shared" ca="1" si="396"/>
        <v>4941202</v>
      </c>
    </row>
    <row r="2017" spans="1:13" x14ac:dyDescent="0.25">
      <c r="A2017">
        <f t="shared" ca="1" si="389"/>
        <v>5</v>
      </c>
      <c r="B2017">
        <f t="shared" ca="1" si="390"/>
        <v>298</v>
      </c>
      <c r="C2017" t="str">
        <f t="shared" ca="1" si="385"/>
        <v>'WINDOWS-NCH-A-BDP-M3-03-00'!B297</v>
      </c>
      <c r="D2017" s="6" t="str">
        <f t="shared" ca="1" si="386"/>
        <v>L03-THR-POT-S115-02</v>
      </c>
      <c r="E2017" t="str">
        <f t="shared" ca="1" si="387"/>
        <v>Family Type: Curtain Wall_975w x 3800h, Family: Window External Type 5 - Flush</v>
      </c>
      <c r="F2017" t="str">
        <f t="shared" ca="1" si="388"/>
        <v>Vector(X = 0.873, Y = 0.489, Z = 0.000, Length = 1.000)</v>
      </c>
      <c r="G2017">
        <f t="shared" ca="1" si="391"/>
        <v>0.9</v>
      </c>
      <c r="H2017">
        <f t="shared" ca="1" si="392"/>
        <v>0.5</v>
      </c>
      <c r="I2017">
        <f t="shared" ca="1" si="393"/>
        <v>0</v>
      </c>
      <c r="J2017" s="8">
        <f t="shared" ca="1" si="394"/>
        <v>29.054604099077146</v>
      </c>
      <c r="K2017" s="9" t="str">
        <f t="shared" ca="1" si="395"/>
        <v>E</v>
      </c>
      <c r="L2017">
        <f ca="1">+_xlfn.IFNA(VLOOKUP(M2017,BespokeWindowsAreas!$B$2:$E$1999,4,FALSE),VLOOKUP(E2017,WindowTypeArea!$B$2:$C$113,2,FALSE))</f>
        <v>3.9975000000000001</v>
      </c>
      <c r="M2017">
        <f t="shared" ca="1" si="396"/>
        <v>4941226</v>
      </c>
    </row>
    <row r="2018" spans="1:13" x14ac:dyDescent="0.25">
      <c r="A2018">
        <f t="shared" ca="1" si="389"/>
        <v>5</v>
      </c>
      <c r="B2018">
        <f t="shared" ca="1" si="390"/>
        <v>299</v>
      </c>
      <c r="C2018" t="str">
        <f t="shared" ca="1" si="385"/>
        <v>'WINDOWS-NCH-A-BDP-M3-03-00'!B298</v>
      </c>
      <c r="D2018" s="6" t="str">
        <f t="shared" ca="1" si="386"/>
        <v>L03-THR-POT-S115-02</v>
      </c>
      <c r="E2018" t="str">
        <f t="shared" ca="1" si="387"/>
        <v>Family Type: Curtain Wall_975w x 3800h, Family: Window External Type 5 - Flush</v>
      </c>
      <c r="F2018" t="str">
        <f t="shared" ca="1" si="388"/>
        <v>Vector(X = 0.873, Y = 0.489, Z = 0.000, Length = 1.000)</v>
      </c>
      <c r="G2018">
        <f t="shared" ca="1" si="391"/>
        <v>0.9</v>
      </c>
      <c r="H2018">
        <f t="shared" ca="1" si="392"/>
        <v>0.5</v>
      </c>
      <c r="I2018">
        <f t="shared" ca="1" si="393"/>
        <v>0</v>
      </c>
      <c r="J2018" s="8">
        <f t="shared" ca="1" si="394"/>
        <v>29.054604099077146</v>
      </c>
      <c r="K2018" s="9" t="str">
        <f t="shared" ca="1" si="395"/>
        <v>E</v>
      </c>
      <c r="L2018">
        <f ca="1">+_xlfn.IFNA(VLOOKUP(M2018,BespokeWindowsAreas!$B$2:$E$1999,4,FALSE),VLOOKUP(E2018,WindowTypeArea!$B$2:$C$113,2,FALSE))</f>
        <v>3.9975000000000001</v>
      </c>
      <c r="M2018">
        <f t="shared" ca="1" si="396"/>
        <v>4941285</v>
      </c>
    </row>
    <row r="2019" spans="1:13" x14ac:dyDescent="0.25">
      <c r="A2019">
        <f t="shared" ca="1" si="389"/>
        <v>5</v>
      </c>
      <c r="B2019">
        <f t="shared" ca="1" si="390"/>
        <v>300</v>
      </c>
      <c r="C2019" t="str">
        <f t="shared" ca="1" si="385"/>
        <v>'WINDOWS-NCH-A-BDP-M3-03-00'!B299</v>
      </c>
      <c r="D2019" s="6" t="str">
        <f t="shared" ca="1" si="386"/>
        <v>L03-THR-POT-S115-02</v>
      </c>
      <c r="E2019" t="str">
        <f t="shared" ca="1" si="387"/>
        <v>Family Type: Curtain Wall_975w x 3800h, Family: Window External Type 5 - Flush</v>
      </c>
      <c r="F2019" t="str">
        <f t="shared" ca="1" si="388"/>
        <v>Vector(X = 0.873, Y = 0.489, Z = 0.000, Length = 1.000)</v>
      </c>
      <c r="G2019">
        <f t="shared" ca="1" si="391"/>
        <v>0.9</v>
      </c>
      <c r="H2019">
        <f t="shared" ca="1" si="392"/>
        <v>0.5</v>
      </c>
      <c r="I2019">
        <f t="shared" ca="1" si="393"/>
        <v>0</v>
      </c>
      <c r="J2019" s="8">
        <f t="shared" ca="1" si="394"/>
        <v>29.054604099077146</v>
      </c>
      <c r="K2019" s="9" t="str">
        <f t="shared" ca="1" si="395"/>
        <v>E</v>
      </c>
      <c r="L2019">
        <f ca="1">+_xlfn.IFNA(VLOOKUP(M2019,BespokeWindowsAreas!$B$2:$E$1999,4,FALSE),VLOOKUP(E2019,WindowTypeArea!$B$2:$C$113,2,FALSE))</f>
        <v>3.9975000000000001</v>
      </c>
      <c r="M2019">
        <f t="shared" ca="1" si="396"/>
        <v>4941292</v>
      </c>
    </row>
    <row r="2020" spans="1:13" x14ac:dyDescent="0.25">
      <c r="A2020">
        <f t="shared" ca="1" si="389"/>
        <v>5</v>
      </c>
      <c r="B2020">
        <f t="shared" ca="1" si="390"/>
        <v>301</v>
      </c>
      <c r="C2020" t="str">
        <f t="shared" ca="1" si="385"/>
        <v>'WINDOWS-NCH-A-BDP-M3-03-00'!B300</v>
      </c>
      <c r="D2020" s="6" t="str">
        <f t="shared" ca="1" si="386"/>
        <v>L03-THR-POT-S115-02</v>
      </c>
      <c r="E2020" t="str">
        <f t="shared" ca="1" si="387"/>
        <v>Family Type: Curtain Wall_1950w x 3800h, Family: Window External Type 5 - Flush</v>
      </c>
      <c r="F2020" t="str">
        <f t="shared" ca="1" si="388"/>
        <v>Vector(X = 0.873, Y = 0.489, Z = 0.000, Length = 1.000)</v>
      </c>
      <c r="G2020">
        <f t="shared" ca="1" si="391"/>
        <v>0.9</v>
      </c>
      <c r="H2020">
        <f t="shared" ca="1" si="392"/>
        <v>0.5</v>
      </c>
      <c r="I2020">
        <f t="shared" ca="1" si="393"/>
        <v>0</v>
      </c>
      <c r="J2020" s="8">
        <f t="shared" ca="1" si="394"/>
        <v>29.054604099077146</v>
      </c>
      <c r="K2020" s="9" t="str">
        <f t="shared" ca="1" si="395"/>
        <v>E</v>
      </c>
      <c r="L2020">
        <f ca="1">+_xlfn.IFNA(VLOOKUP(M2020,BespokeWindowsAreas!$B$2:$E$1999,4,FALSE),VLOOKUP(E2020,WindowTypeArea!$B$2:$C$113,2,FALSE))</f>
        <v>7.9950000000000001</v>
      </c>
      <c r="M2020">
        <f t="shared" ca="1" si="396"/>
        <v>4941321</v>
      </c>
    </row>
    <row r="2021" spans="1:13" x14ac:dyDescent="0.25">
      <c r="A2021">
        <f t="shared" ca="1" si="389"/>
        <v>5</v>
      </c>
      <c r="B2021">
        <f t="shared" ca="1" si="390"/>
        <v>302</v>
      </c>
      <c r="C2021" t="str">
        <f t="shared" ca="1" si="385"/>
        <v>'WINDOWS-NCH-A-BDP-M3-03-00'!B301</v>
      </c>
      <c r="D2021" s="6" t="str">
        <f t="shared" ca="1" si="386"/>
        <v>L03-THR-POT-S115-02</v>
      </c>
      <c r="E2021" t="str">
        <f t="shared" ca="1" si="387"/>
        <v>Family Type: Curtain Wall_975w x 3800h, Family: Window External Type 5 - Flush</v>
      </c>
      <c r="F2021" t="str">
        <f t="shared" ca="1" si="388"/>
        <v>Vector(X = 0.873, Y = 0.489, Z = 0.000, Length = 1.000)</v>
      </c>
      <c r="G2021">
        <f t="shared" ca="1" si="391"/>
        <v>0.9</v>
      </c>
      <c r="H2021">
        <f t="shared" ca="1" si="392"/>
        <v>0.5</v>
      </c>
      <c r="I2021">
        <f t="shared" ca="1" si="393"/>
        <v>0</v>
      </c>
      <c r="J2021" s="8">
        <f t="shared" ca="1" si="394"/>
        <v>29.054604099077146</v>
      </c>
      <c r="K2021" s="9" t="str">
        <f t="shared" ca="1" si="395"/>
        <v>E</v>
      </c>
      <c r="L2021">
        <f ca="1">+_xlfn.IFNA(VLOOKUP(M2021,BespokeWindowsAreas!$B$2:$E$1999,4,FALSE),VLOOKUP(E2021,WindowTypeArea!$B$2:$C$113,2,FALSE))</f>
        <v>3.9975000000000001</v>
      </c>
      <c r="M2021">
        <f t="shared" ca="1" si="396"/>
        <v>4941365</v>
      </c>
    </row>
    <row r="2022" spans="1:13" x14ac:dyDescent="0.25">
      <c r="A2022">
        <f t="shared" ca="1" si="389"/>
        <v>5</v>
      </c>
      <c r="B2022">
        <f t="shared" ca="1" si="390"/>
        <v>303</v>
      </c>
      <c r="C2022" t="str">
        <f t="shared" ca="1" si="385"/>
        <v>'WINDOWS-NCH-A-BDP-M3-03-00'!B302</v>
      </c>
      <c r="D2022" s="6" t="str">
        <f t="shared" ca="1" si="386"/>
        <v>L03-THR-POT-S115-02</v>
      </c>
      <c r="E2022" t="str">
        <f t="shared" ca="1" si="387"/>
        <v>Family Type: Curtain Wall_1950w x 3800h, Family: Window External Type 5 - Flush</v>
      </c>
      <c r="F2022" t="str">
        <f t="shared" ca="1" si="388"/>
        <v>Vector(X = 0.873, Y = 0.489, Z = 0.000, Length = 1.000)</v>
      </c>
      <c r="G2022">
        <f t="shared" ca="1" si="391"/>
        <v>0.9</v>
      </c>
      <c r="H2022">
        <f t="shared" ca="1" si="392"/>
        <v>0.5</v>
      </c>
      <c r="I2022">
        <f t="shared" ca="1" si="393"/>
        <v>0</v>
      </c>
      <c r="J2022" s="8">
        <f t="shared" ca="1" si="394"/>
        <v>29.054604099077146</v>
      </c>
      <c r="K2022" s="9" t="str">
        <f t="shared" ca="1" si="395"/>
        <v>E</v>
      </c>
      <c r="L2022">
        <f ca="1">+_xlfn.IFNA(VLOOKUP(M2022,BespokeWindowsAreas!$B$2:$E$1999,4,FALSE),VLOOKUP(E2022,WindowTypeArea!$B$2:$C$113,2,FALSE))</f>
        <v>7.9950000000000001</v>
      </c>
      <c r="M2022">
        <f t="shared" ca="1" si="396"/>
        <v>4941402</v>
      </c>
    </row>
    <row r="2023" spans="1:13" x14ac:dyDescent="0.25">
      <c r="A2023">
        <f t="shared" ca="1" si="389"/>
        <v>5</v>
      </c>
      <c r="B2023">
        <f t="shared" ca="1" si="390"/>
        <v>304</v>
      </c>
      <c r="C2023" t="str">
        <f t="shared" ca="1" si="385"/>
        <v>'WINDOWS-NCH-A-BDP-M3-03-00'!B303</v>
      </c>
      <c r="D2023" s="6" t="str">
        <f t="shared" ca="1" si="386"/>
        <v>L03-THR-POT-S115-02</v>
      </c>
      <c r="E2023" t="str">
        <f t="shared" ca="1" si="387"/>
        <v>Family Type: Curtain Wall_975w x 3800h, Family: Window External Type 5 - Flush</v>
      </c>
      <c r="F2023" t="str">
        <f t="shared" ca="1" si="388"/>
        <v>Vector(X = 0.873, Y = 0.489, Z = 0.000, Length = 1.000)</v>
      </c>
      <c r="G2023">
        <f t="shared" ca="1" si="391"/>
        <v>0.9</v>
      </c>
      <c r="H2023">
        <f t="shared" ca="1" si="392"/>
        <v>0.5</v>
      </c>
      <c r="I2023">
        <f t="shared" ca="1" si="393"/>
        <v>0</v>
      </c>
      <c r="J2023" s="8">
        <f t="shared" ca="1" si="394"/>
        <v>29.054604099077146</v>
      </c>
      <c r="K2023" s="9" t="str">
        <f t="shared" ca="1" si="395"/>
        <v>E</v>
      </c>
      <c r="L2023">
        <f ca="1">+_xlfn.IFNA(VLOOKUP(M2023,BespokeWindowsAreas!$B$2:$E$1999,4,FALSE),VLOOKUP(E2023,WindowTypeArea!$B$2:$C$113,2,FALSE))</f>
        <v>3.9975000000000001</v>
      </c>
      <c r="M2023">
        <f t="shared" ca="1" si="396"/>
        <v>4941433</v>
      </c>
    </row>
    <row r="2024" spans="1:13" x14ac:dyDescent="0.25">
      <c r="A2024">
        <f t="shared" ca="1" si="389"/>
        <v>5</v>
      </c>
      <c r="B2024">
        <f t="shared" ca="1" si="390"/>
        <v>305</v>
      </c>
      <c r="C2024" t="str">
        <f t="shared" ca="1" si="385"/>
        <v>'WINDOWS-NCH-A-BDP-M3-03-00'!B304</v>
      </c>
      <c r="D2024" s="6" t="str">
        <f t="shared" ca="1" si="386"/>
        <v>L03-THR-POT-S115-02</v>
      </c>
      <c r="E2024" t="str">
        <f t="shared" ca="1" si="387"/>
        <v>Family Type: Curtain Wall_1950w x 3800h, Family: Window External Type 5 - Flush</v>
      </c>
      <c r="F2024" t="str">
        <f t="shared" ca="1" si="388"/>
        <v>Vector(X = 0.873, Y = 0.489, Z = 0.000, Length = 1.000)</v>
      </c>
      <c r="G2024">
        <f t="shared" ca="1" si="391"/>
        <v>0.9</v>
      </c>
      <c r="H2024">
        <f t="shared" ca="1" si="392"/>
        <v>0.5</v>
      </c>
      <c r="I2024">
        <f t="shared" ca="1" si="393"/>
        <v>0</v>
      </c>
      <c r="J2024" s="8">
        <f t="shared" ca="1" si="394"/>
        <v>29.054604099077146</v>
      </c>
      <c r="K2024" s="9" t="str">
        <f t="shared" ca="1" si="395"/>
        <v>E</v>
      </c>
      <c r="L2024">
        <f ca="1">+_xlfn.IFNA(VLOOKUP(M2024,BespokeWindowsAreas!$B$2:$E$1999,4,FALSE),VLOOKUP(E2024,WindowTypeArea!$B$2:$C$113,2,FALSE))</f>
        <v>7.9950000000000001</v>
      </c>
      <c r="M2024">
        <f t="shared" ca="1" si="396"/>
        <v>4941490</v>
      </c>
    </row>
    <row r="2025" spans="1:13" x14ac:dyDescent="0.25">
      <c r="A2025">
        <f t="shared" ca="1" si="389"/>
        <v>5</v>
      </c>
      <c r="B2025">
        <f t="shared" ca="1" si="390"/>
        <v>306</v>
      </c>
      <c r="C2025" t="str">
        <f t="shared" ca="1" si="385"/>
        <v>'WINDOWS-NCH-A-BDP-M3-03-00'!B305</v>
      </c>
      <c r="D2025" s="6" t="str">
        <f t="shared" ca="1" si="386"/>
        <v>L03-THR-POT-S115-02</v>
      </c>
      <c r="E2025" t="str">
        <f t="shared" ca="1" si="387"/>
        <v>Family Type: Curtain Wall_1950w x 3800h, Family: Window External Type 5 - Flush</v>
      </c>
      <c r="F2025" t="str">
        <f t="shared" ca="1" si="388"/>
        <v>Vector(X = 0.873, Y = 0.489, Z = 0.000, Length = 1.000)</v>
      </c>
      <c r="G2025">
        <f t="shared" ca="1" si="391"/>
        <v>0.9</v>
      </c>
      <c r="H2025">
        <f t="shared" ca="1" si="392"/>
        <v>0.5</v>
      </c>
      <c r="I2025">
        <f t="shared" ca="1" si="393"/>
        <v>0</v>
      </c>
      <c r="J2025" s="8">
        <f t="shared" ca="1" si="394"/>
        <v>29.054604099077146</v>
      </c>
      <c r="K2025" s="9" t="str">
        <f t="shared" ca="1" si="395"/>
        <v>E</v>
      </c>
      <c r="L2025">
        <f ca="1">+_xlfn.IFNA(VLOOKUP(M2025,BespokeWindowsAreas!$B$2:$E$1999,4,FALSE),VLOOKUP(E2025,WindowTypeArea!$B$2:$C$113,2,FALSE))</f>
        <v>7.9950000000000001</v>
      </c>
      <c r="M2025">
        <f t="shared" ca="1" si="396"/>
        <v>4941497</v>
      </c>
    </row>
    <row r="2026" spans="1:13" x14ac:dyDescent="0.25">
      <c r="A2026">
        <f t="shared" ca="1" si="389"/>
        <v>5</v>
      </c>
      <c r="B2026">
        <f t="shared" ca="1" si="390"/>
        <v>307</v>
      </c>
      <c r="C2026" t="str">
        <f t="shared" ca="1" si="385"/>
        <v>'WINDOWS-NCH-A-BDP-M3-03-00'!B306</v>
      </c>
      <c r="D2026" s="6" t="str">
        <f t="shared" ca="1" si="386"/>
        <v>L03-THR-POT-S115-30</v>
      </c>
      <c r="E2026" t="str">
        <f t="shared" ca="1" si="387"/>
        <v>L03-THR-POT-S115-30</v>
      </c>
      <c r="F2026">
        <f t="shared" ca="1" si="388"/>
        <v>1296716</v>
      </c>
      <c r="G2026">
        <f t="shared" ca="1" si="391"/>
        <v>0</v>
      </c>
      <c r="H2026">
        <f t="shared" ca="1" si="392"/>
        <v>0</v>
      </c>
      <c r="I2026">
        <f t="shared" ca="1" si="393"/>
        <v>0</v>
      </c>
      <c r="J2026" s="8" t="e">
        <f t="shared" ca="1" si="394"/>
        <v>#DIV/0!</v>
      </c>
      <c r="K2026" s="9" t="e">
        <f t="shared" ca="1" si="395"/>
        <v>#DIV/0!</v>
      </c>
      <c r="L2026" t="e">
        <f ca="1">+_xlfn.IFNA(VLOOKUP(M2026,BespokeWindowsAreas!$B$2:$E$1999,4,FALSE),VLOOKUP(E2026,WindowTypeArea!$B$2:$C$113,2,FALSE))</f>
        <v>#N/A</v>
      </c>
      <c r="M2026">
        <f t="shared" ca="1" si="396"/>
        <v>0</v>
      </c>
    </row>
    <row r="2027" spans="1:13" x14ac:dyDescent="0.25">
      <c r="A2027">
        <f t="shared" ca="1" si="389"/>
        <v>5</v>
      </c>
      <c r="B2027">
        <f t="shared" ca="1" si="390"/>
        <v>308</v>
      </c>
      <c r="C2027" t="str">
        <f t="shared" ref="C2027:C2090" ca="1" si="397">+"'"&amp;INDIRECT("a"&amp;A2026)&amp;"'!B"&amp;B2026</f>
        <v>'WINDOWS-NCH-A-BDP-M3-03-00'!B307</v>
      </c>
      <c r="D2027" s="6" t="str">
        <f t="shared" ref="D2027:D2090" ca="1" si="398">+IF(IFERROR(FIND("Family",E2027)&gt;0,FALSE),D2026,E2027)</f>
        <v>L03-THR-POT-S115-30</v>
      </c>
      <c r="E2027" t="str">
        <f t="shared" ref="E2027:E2090" ca="1" si="399">+OFFSET(INDIRECT(C2027),0,0)</f>
        <v>Family Type: Curtain Wall_1950w x 3800h, Family: Window External Type 5 - Flush</v>
      </c>
      <c r="F2027" t="str">
        <f t="shared" ref="F2027:F2090" ca="1" si="400">+OFFSET(INDIRECT(C2027),0,1)</f>
        <v>Vector(X = 0.873, Y = 0.489, Z = 0.000, Length = 1.000)</v>
      </c>
      <c r="G2027">
        <f t="shared" ca="1" si="391"/>
        <v>0.9</v>
      </c>
      <c r="H2027">
        <f t="shared" ca="1" si="392"/>
        <v>0.5</v>
      </c>
      <c r="I2027">
        <f t="shared" ca="1" si="393"/>
        <v>0</v>
      </c>
      <c r="J2027" s="8">
        <f t="shared" ca="1" si="394"/>
        <v>29.054604099077146</v>
      </c>
      <c r="K2027" s="9" t="str">
        <f t="shared" ca="1" si="395"/>
        <v>E</v>
      </c>
      <c r="L2027">
        <f ca="1">+_xlfn.IFNA(VLOOKUP(M2027,BespokeWindowsAreas!$B$2:$E$1999,4,FALSE),VLOOKUP(E2027,WindowTypeArea!$B$2:$C$113,2,FALSE))</f>
        <v>7.9950000000000001</v>
      </c>
      <c r="M2027">
        <f t="shared" ca="1" si="396"/>
        <v>4941497</v>
      </c>
    </row>
    <row r="2028" spans="1:13" x14ac:dyDescent="0.25">
      <c r="A2028">
        <f t="shared" ca="1" si="389"/>
        <v>5</v>
      </c>
      <c r="B2028">
        <f t="shared" ca="1" si="390"/>
        <v>309</v>
      </c>
      <c r="C2028" t="str">
        <f t="shared" ca="1" si="397"/>
        <v>'WINDOWS-NCH-A-BDP-M3-03-00'!B308</v>
      </c>
      <c r="D2028" s="6" t="str">
        <f t="shared" ca="1" si="398"/>
        <v>L03-THR-POT-S115-30</v>
      </c>
      <c r="E2028" t="str">
        <f t="shared" ca="1" si="399"/>
        <v>Family Type: Curtain Wall_975w x 3800h, Family: Window External Type 5 - Flush</v>
      </c>
      <c r="F2028" t="str">
        <f t="shared" ca="1" si="400"/>
        <v>Vector(X = 0.873, Y = 0.489, Z = 0.000, Length = 1.000)</v>
      </c>
      <c r="G2028">
        <f t="shared" ca="1" si="391"/>
        <v>0.9</v>
      </c>
      <c r="H2028">
        <f t="shared" ca="1" si="392"/>
        <v>0.5</v>
      </c>
      <c r="I2028">
        <f t="shared" ca="1" si="393"/>
        <v>0</v>
      </c>
      <c r="J2028" s="8">
        <f t="shared" ca="1" si="394"/>
        <v>29.054604099077146</v>
      </c>
      <c r="K2028" s="9" t="str">
        <f t="shared" ca="1" si="395"/>
        <v>E</v>
      </c>
      <c r="L2028">
        <f ca="1">+_xlfn.IFNA(VLOOKUP(M2028,BespokeWindowsAreas!$B$2:$E$1999,4,FALSE),VLOOKUP(E2028,WindowTypeArea!$B$2:$C$113,2,FALSE))</f>
        <v>3.9975000000000001</v>
      </c>
      <c r="M2028">
        <f t="shared" ca="1" si="396"/>
        <v>4941543</v>
      </c>
    </row>
    <row r="2029" spans="1:13" x14ac:dyDescent="0.25">
      <c r="A2029">
        <f t="shared" ca="1" si="389"/>
        <v>5</v>
      </c>
      <c r="B2029">
        <f t="shared" ca="1" si="390"/>
        <v>310</v>
      </c>
      <c r="C2029" t="str">
        <f t="shared" ca="1" si="397"/>
        <v>'WINDOWS-NCH-A-BDP-M3-03-00'!B309</v>
      </c>
      <c r="D2029" s="6" t="str">
        <f t="shared" ca="1" si="398"/>
        <v>L03-THR-POT-S115-30</v>
      </c>
      <c r="E2029" t="str">
        <f t="shared" ca="1" si="399"/>
        <v>Family Type: Curtain Wall_1950w x 3800h, Family: Window External Type 5 - Flush</v>
      </c>
      <c r="F2029" t="str">
        <f t="shared" ca="1" si="400"/>
        <v>Vector(X = 0.873, Y = 0.489, Z = 0.000, Length = 1.000)</v>
      </c>
      <c r="G2029">
        <f t="shared" ca="1" si="391"/>
        <v>0.9</v>
      </c>
      <c r="H2029">
        <f t="shared" ca="1" si="392"/>
        <v>0.5</v>
      </c>
      <c r="I2029">
        <f t="shared" ca="1" si="393"/>
        <v>0</v>
      </c>
      <c r="J2029" s="8">
        <f t="shared" ca="1" si="394"/>
        <v>29.054604099077146</v>
      </c>
      <c r="K2029" s="9" t="str">
        <f t="shared" ca="1" si="395"/>
        <v>E</v>
      </c>
      <c r="L2029">
        <f ca="1">+_xlfn.IFNA(VLOOKUP(M2029,BespokeWindowsAreas!$B$2:$E$1999,4,FALSE),VLOOKUP(E2029,WindowTypeArea!$B$2:$C$113,2,FALSE))</f>
        <v>7.9950000000000001</v>
      </c>
      <c r="M2029">
        <f t="shared" ca="1" si="396"/>
        <v>4941589</v>
      </c>
    </row>
    <row r="2030" spans="1:13" x14ac:dyDescent="0.25">
      <c r="A2030">
        <f t="shared" ca="1" si="389"/>
        <v>5</v>
      </c>
      <c r="B2030">
        <f t="shared" ca="1" si="390"/>
        <v>311</v>
      </c>
      <c r="C2030" t="str">
        <f t="shared" ca="1" si="397"/>
        <v>'WINDOWS-NCH-A-BDP-M3-03-00'!B310</v>
      </c>
      <c r="D2030" s="6" t="str">
        <f t="shared" ca="1" si="398"/>
        <v>L03-THR-POT-S115-30</v>
      </c>
      <c r="E2030" t="str">
        <f t="shared" ca="1" si="399"/>
        <v>Family Type: Curtain Wall_1950w x 3800h, Family: Window External Type 5 - Flush</v>
      </c>
      <c r="F2030" t="str">
        <f t="shared" ca="1" si="400"/>
        <v>Vector(X = 0.873, Y = 0.489, Z = 0.000, Length = 1.000)</v>
      </c>
      <c r="G2030">
        <f t="shared" ca="1" si="391"/>
        <v>0.9</v>
      </c>
      <c r="H2030">
        <f t="shared" ca="1" si="392"/>
        <v>0.5</v>
      </c>
      <c r="I2030">
        <f t="shared" ca="1" si="393"/>
        <v>0</v>
      </c>
      <c r="J2030" s="8">
        <f t="shared" ca="1" si="394"/>
        <v>29.054604099077146</v>
      </c>
      <c r="K2030" s="9" t="str">
        <f t="shared" ca="1" si="395"/>
        <v>E</v>
      </c>
      <c r="L2030">
        <f ca="1">+_xlfn.IFNA(VLOOKUP(M2030,BespokeWindowsAreas!$B$2:$E$1999,4,FALSE),VLOOKUP(E2030,WindowTypeArea!$B$2:$C$113,2,FALSE))</f>
        <v>7.9950000000000001</v>
      </c>
      <c r="M2030">
        <f t="shared" ca="1" si="396"/>
        <v>4941596</v>
      </c>
    </row>
    <row r="2031" spans="1:13" x14ac:dyDescent="0.25">
      <c r="A2031">
        <f t="shared" ca="1" si="389"/>
        <v>5</v>
      </c>
      <c r="B2031">
        <f t="shared" ca="1" si="390"/>
        <v>312</v>
      </c>
      <c r="C2031" t="str">
        <f t="shared" ca="1" si="397"/>
        <v>'WINDOWS-NCH-A-BDP-M3-03-00'!B311</v>
      </c>
      <c r="D2031" s="6" t="str">
        <f t="shared" ca="1" si="398"/>
        <v>L03-THR-POT-S115-30</v>
      </c>
      <c r="E2031" t="str">
        <f t="shared" ca="1" si="399"/>
        <v>Family Type: Curtain Wall_1950w x 3800h, Family: Window External Type 5 - Flush</v>
      </c>
      <c r="F2031" t="str">
        <f t="shared" ca="1" si="400"/>
        <v>Vector(X = 0.873, Y = 0.489, Z = 0.000, Length = 1.000)</v>
      </c>
      <c r="G2031">
        <f t="shared" ca="1" si="391"/>
        <v>0.9</v>
      </c>
      <c r="H2031">
        <f t="shared" ca="1" si="392"/>
        <v>0.5</v>
      </c>
      <c r="I2031">
        <f t="shared" ca="1" si="393"/>
        <v>0</v>
      </c>
      <c r="J2031" s="8">
        <f t="shared" ca="1" si="394"/>
        <v>29.054604099077146</v>
      </c>
      <c r="K2031" s="9" t="str">
        <f t="shared" ca="1" si="395"/>
        <v>E</v>
      </c>
      <c r="L2031">
        <f ca="1">+_xlfn.IFNA(VLOOKUP(M2031,BespokeWindowsAreas!$B$2:$E$1999,4,FALSE),VLOOKUP(E2031,WindowTypeArea!$B$2:$C$113,2,FALSE))</f>
        <v>7.9950000000000001</v>
      </c>
      <c r="M2031">
        <f t="shared" ca="1" si="396"/>
        <v>4941603</v>
      </c>
    </row>
    <row r="2032" spans="1:13" x14ac:dyDescent="0.25">
      <c r="A2032">
        <f t="shared" ca="1" si="389"/>
        <v>5</v>
      </c>
      <c r="B2032">
        <f t="shared" ca="1" si="390"/>
        <v>313</v>
      </c>
      <c r="C2032" t="str">
        <f t="shared" ca="1" si="397"/>
        <v>'WINDOWS-NCH-A-BDP-M3-03-00'!B312</v>
      </c>
      <c r="D2032" s="6" t="str">
        <f t="shared" ca="1" si="398"/>
        <v>L03-THR-POT-S115-30</v>
      </c>
      <c r="E2032" t="str">
        <f t="shared" ca="1" si="399"/>
        <v>Family Type: Curtain Wall_Bespoke 1 - 1979.5 x 3800, Family: Window External Type 5 - Flush Instance Width</v>
      </c>
      <c r="F2032" t="str">
        <f t="shared" ca="1" si="400"/>
        <v>Vector(X = 0.872, Y = 0.489, Z = 0.000, Length = 1.000)</v>
      </c>
      <c r="G2032">
        <f t="shared" ca="1" si="391"/>
        <v>0.9</v>
      </c>
      <c r="H2032">
        <f t="shared" ca="1" si="392"/>
        <v>0.5</v>
      </c>
      <c r="I2032">
        <f t="shared" ca="1" si="393"/>
        <v>0</v>
      </c>
      <c r="J2032" s="8">
        <f t="shared" ca="1" si="394"/>
        <v>29.054604099077146</v>
      </c>
      <c r="K2032" s="9" t="str">
        <f t="shared" ca="1" si="395"/>
        <v>E</v>
      </c>
      <c r="L2032">
        <f ca="1">+_xlfn.IFNA(VLOOKUP(M2032,BespokeWindowsAreas!$B$2:$E$1999,4,FALSE),VLOOKUP(E2032,WindowTypeArea!$B$2:$C$113,2,FALSE))</f>
        <v>6.681200334917003</v>
      </c>
      <c r="M2032">
        <f t="shared" ca="1" si="396"/>
        <v>4941858</v>
      </c>
    </row>
    <row r="2033" spans="1:13" x14ac:dyDescent="0.25">
      <c r="A2033">
        <f t="shared" ca="1" si="389"/>
        <v>5</v>
      </c>
      <c r="B2033">
        <f t="shared" ca="1" si="390"/>
        <v>314</v>
      </c>
      <c r="C2033" t="str">
        <f t="shared" ca="1" si="397"/>
        <v>'WINDOWS-NCH-A-BDP-M3-03-00'!B313</v>
      </c>
      <c r="D2033" s="6" t="str">
        <f t="shared" ca="1" si="398"/>
        <v>L03-THR-POT-S115-30</v>
      </c>
      <c r="E2033" t="str">
        <f t="shared" ca="1" si="399"/>
        <v>Family Type: Curtain Wall_Bespoke 1 - 1979.5 x 3800, Family: Window External Type 5 - Flush Instance Width</v>
      </c>
      <c r="F2033" t="str">
        <f t="shared" ca="1" si="400"/>
        <v>Vector(X = 0.872, Y = 0.489, Z = 0.000, Length = 1.000)</v>
      </c>
      <c r="G2033">
        <f t="shared" ca="1" si="391"/>
        <v>0.9</v>
      </c>
      <c r="H2033">
        <f t="shared" ca="1" si="392"/>
        <v>0.5</v>
      </c>
      <c r="I2033">
        <f t="shared" ca="1" si="393"/>
        <v>0</v>
      </c>
      <c r="J2033" s="8">
        <f t="shared" ca="1" si="394"/>
        <v>29.054604099077146</v>
      </c>
      <c r="K2033" s="9" t="str">
        <f t="shared" ca="1" si="395"/>
        <v>E</v>
      </c>
      <c r="L2033">
        <f ca="1">+_xlfn.IFNA(VLOOKUP(M2033,BespokeWindowsAreas!$B$2:$E$1999,4,FALSE),VLOOKUP(E2033,WindowTypeArea!$B$2:$C$113,2,FALSE))</f>
        <v>6.5800513758382344</v>
      </c>
      <c r="M2033">
        <f t="shared" ca="1" si="396"/>
        <v>4942085</v>
      </c>
    </row>
    <row r="2034" spans="1:13" x14ac:dyDescent="0.25">
      <c r="A2034">
        <f t="shared" ca="1" si="389"/>
        <v>5</v>
      </c>
      <c r="B2034">
        <f t="shared" ca="1" si="390"/>
        <v>315</v>
      </c>
      <c r="C2034" t="str">
        <f t="shared" ca="1" si="397"/>
        <v>'WINDOWS-NCH-A-BDP-M3-03-00'!B314</v>
      </c>
      <c r="D2034" s="6" t="str">
        <f t="shared" ca="1" si="398"/>
        <v>L03-THR-POT-S115-30</v>
      </c>
      <c r="E2034" t="str">
        <f t="shared" ca="1" si="399"/>
        <v>Family Type: Curtain Wall_Bespoke 1 - 1979.5 x 3800, Family: Window External Type 5 - Flush Instance Width</v>
      </c>
      <c r="F2034" t="str">
        <f t="shared" ca="1" si="400"/>
        <v>Vector(X = 0.872, Y = 0.489, Z = 0.000, Length = 1.000)</v>
      </c>
      <c r="G2034">
        <f t="shared" ca="1" si="391"/>
        <v>0.9</v>
      </c>
      <c r="H2034">
        <f t="shared" ca="1" si="392"/>
        <v>0.5</v>
      </c>
      <c r="I2034">
        <f t="shared" ca="1" si="393"/>
        <v>0</v>
      </c>
      <c r="J2034" s="8">
        <f t="shared" ca="1" si="394"/>
        <v>29.054604099077146</v>
      </c>
      <c r="K2034" s="9" t="str">
        <f t="shared" ca="1" si="395"/>
        <v>E</v>
      </c>
      <c r="L2034">
        <f ca="1">+_xlfn.IFNA(VLOOKUP(M2034,BespokeWindowsAreas!$B$2:$E$1999,4,FALSE),VLOOKUP(E2034,WindowTypeArea!$B$2:$C$113,2,FALSE))</f>
        <v>1.604890579472706</v>
      </c>
      <c r="M2034">
        <f t="shared" ca="1" si="396"/>
        <v>5167758</v>
      </c>
    </row>
    <row r="2035" spans="1:13" x14ac:dyDescent="0.25">
      <c r="A2035">
        <f t="shared" ca="1" si="389"/>
        <v>5</v>
      </c>
      <c r="B2035">
        <f t="shared" ca="1" si="390"/>
        <v>316</v>
      </c>
      <c r="C2035" t="str">
        <f t="shared" ca="1" si="397"/>
        <v>'WINDOWS-NCH-A-BDP-M3-03-00'!B315</v>
      </c>
      <c r="D2035" s="6" t="str">
        <f t="shared" ca="1" si="398"/>
        <v>L03-THR-POT-S115-30</v>
      </c>
      <c r="E2035" t="str">
        <f t="shared" ca="1" si="399"/>
        <v>Family Type: Curtain Wall_Bespoke 1 - 1979.5 x 3800, Family: Window External Type 5 - Flush Instance Width</v>
      </c>
      <c r="F2035" t="str">
        <f t="shared" ca="1" si="400"/>
        <v>Vector(X = 0.872, Y = 0.489, Z = 0.000, Length = 1.000)</v>
      </c>
      <c r="G2035">
        <f t="shared" ca="1" si="391"/>
        <v>0.9</v>
      </c>
      <c r="H2035">
        <f t="shared" ca="1" si="392"/>
        <v>0.5</v>
      </c>
      <c r="I2035">
        <f t="shared" ca="1" si="393"/>
        <v>0</v>
      </c>
      <c r="J2035" s="8">
        <f t="shared" ca="1" si="394"/>
        <v>29.054604099077146</v>
      </c>
      <c r="K2035" s="9" t="str">
        <f t="shared" ca="1" si="395"/>
        <v>E</v>
      </c>
      <c r="L2035">
        <f ca="1">+_xlfn.IFNA(VLOOKUP(M2035,BespokeWindowsAreas!$B$2:$E$1999,4,FALSE),VLOOKUP(E2035,WindowTypeArea!$B$2:$C$113,2,FALSE))</f>
        <v>1.6295610572969261</v>
      </c>
      <c r="M2035">
        <f t="shared" ca="1" si="396"/>
        <v>5167759</v>
      </c>
    </row>
    <row r="2036" spans="1:13" x14ac:dyDescent="0.25">
      <c r="A2036">
        <f t="shared" ca="1" si="389"/>
        <v>5</v>
      </c>
      <c r="B2036">
        <f t="shared" ca="1" si="390"/>
        <v>317</v>
      </c>
      <c r="C2036" t="str">
        <f t="shared" ca="1" si="397"/>
        <v>'WINDOWS-NCH-A-BDP-M3-03-00'!B316</v>
      </c>
      <c r="D2036" s="6" t="str">
        <f t="shared" ca="1" si="398"/>
        <v>L03-THR-POT-S115-30</v>
      </c>
      <c r="E2036" t="str">
        <f t="shared" ca="1" si="399"/>
        <v>Family Type: Curtain Wall_650w x 3800h, Family: Window External Type 5 - Flush</v>
      </c>
      <c r="F2036" t="str">
        <f t="shared" ca="1" si="400"/>
        <v>Vector(X = 0.873, Y = 0.489, Z = 0.000, Length = 1.000)</v>
      </c>
      <c r="G2036">
        <f t="shared" ca="1" si="391"/>
        <v>0.9</v>
      </c>
      <c r="H2036">
        <f t="shared" ca="1" si="392"/>
        <v>0.5</v>
      </c>
      <c r="I2036">
        <f t="shared" ca="1" si="393"/>
        <v>0</v>
      </c>
      <c r="J2036" s="8">
        <f t="shared" ca="1" si="394"/>
        <v>29.054604099077146</v>
      </c>
      <c r="K2036" s="9" t="str">
        <f t="shared" ca="1" si="395"/>
        <v>E</v>
      </c>
      <c r="L2036">
        <f ca="1">+_xlfn.IFNA(VLOOKUP(M2036,BespokeWindowsAreas!$B$2:$E$1999,4,FALSE),VLOOKUP(E2036,WindowTypeArea!$B$2:$C$113,2,FALSE))</f>
        <v>2.4700000000000002</v>
      </c>
      <c r="M2036">
        <f t="shared" ca="1" si="396"/>
        <v>5836951</v>
      </c>
    </row>
    <row r="2037" spans="1:13" x14ac:dyDescent="0.25">
      <c r="A2037">
        <f t="shared" ca="1" si="389"/>
        <v>5</v>
      </c>
      <c r="B2037">
        <f t="shared" ca="1" si="390"/>
        <v>318</v>
      </c>
      <c r="C2037" t="str">
        <f t="shared" ca="1" si="397"/>
        <v>'WINDOWS-NCH-A-BDP-M3-03-00'!B317</v>
      </c>
      <c r="D2037" s="6" t="str">
        <f t="shared" ca="1" si="398"/>
        <v>L03-THR-POT-S061-01</v>
      </c>
      <c r="E2037" t="str">
        <f t="shared" ca="1" si="399"/>
        <v>L03-THR-POT-S061-01</v>
      </c>
      <c r="F2037">
        <f t="shared" ca="1" si="400"/>
        <v>1296728</v>
      </c>
      <c r="G2037">
        <f t="shared" ca="1" si="391"/>
        <v>0</v>
      </c>
      <c r="H2037">
        <f t="shared" ca="1" si="392"/>
        <v>0</v>
      </c>
      <c r="I2037">
        <f t="shared" ca="1" si="393"/>
        <v>0</v>
      </c>
      <c r="J2037" s="8" t="e">
        <f t="shared" ca="1" si="394"/>
        <v>#DIV/0!</v>
      </c>
      <c r="K2037" s="9" t="e">
        <f t="shared" ca="1" si="395"/>
        <v>#DIV/0!</v>
      </c>
      <c r="L2037" t="e">
        <f ca="1">+_xlfn.IFNA(VLOOKUP(M2037,BespokeWindowsAreas!$B$2:$E$1999,4,FALSE),VLOOKUP(E2037,WindowTypeArea!$B$2:$C$113,2,FALSE))</f>
        <v>#N/A</v>
      </c>
      <c r="M2037">
        <f t="shared" ca="1" si="396"/>
        <v>0</v>
      </c>
    </row>
    <row r="2038" spans="1:13" x14ac:dyDescent="0.25">
      <c r="A2038">
        <f t="shared" ca="1" si="389"/>
        <v>5</v>
      </c>
      <c r="B2038">
        <f t="shared" ca="1" si="390"/>
        <v>319</v>
      </c>
      <c r="C2038" t="str">
        <f t="shared" ca="1" si="397"/>
        <v>'WINDOWS-NCH-A-BDP-M3-03-00'!B318</v>
      </c>
      <c r="D2038" s="6" t="str">
        <f t="shared" ca="1" si="398"/>
        <v>L03-THR-POT-S061-01</v>
      </c>
      <c r="E2038" t="str">
        <f t="shared" ca="1" si="399"/>
        <v>Family Type: Curtain Wall_Bespoke 1 - 1979.5 x 3800, Family: Window External Type 5 - Flush Instance Width</v>
      </c>
      <c r="F2038" t="str">
        <f t="shared" ca="1" si="400"/>
        <v>Vector(X = 0.872, Y = 0.489, Z = 0.000, Length = 1.000)</v>
      </c>
      <c r="G2038">
        <f t="shared" ca="1" si="391"/>
        <v>0.9</v>
      </c>
      <c r="H2038">
        <f t="shared" ca="1" si="392"/>
        <v>0.5</v>
      </c>
      <c r="I2038">
        <f t="shared" ca="1" si="393"/>
        <v>0</v>
      </c>
      <c r="J2038" s="8">
        <f t="shared" ca="1" si="394"/>
        <v>29.054604099077146</v>
      </c>
      <c r="K2038" s="9" t="str">
        <f t="shared" ca="1" si="395"/>
        <v>E</v>
      </c>
      <c r="L2038">
        <f ca="1">+_xlfn.IFNA(VLOOKUP(M2038,BespokeWindowsAreas!$B$2:$E$1999,4,FALSE),VLOOKUP(E2038,WindowTypeArea!$B$2:$C$113,2,FALSE))</f>
        <v>6.5800513758382344</v>
      </c>
      <c r="M2038">
        <f t="shared" ca="1" si="396"/>
        <v>4942085</v>
      </c>
    </row>
    <row r="2039" spans="1:13" x14ac:dyDescent="0.25">
      <c r="A2039">
        <f t="shared" ca="1" si="389"/>
        <v>5</v>
      </c>
      <c r="B2039">
        <f t="shared" ca="1" si="390"/>
        <v>320</v>
      </c>
      <c r="C2039" t="str">
        <f t="shared" ca="1" si="397"/>
        <v>'WINDOWS-NCH-A-BDP-M3-03-00'!B319</v>
      </c>
      <c r="D2039" s="6" t="str">
        <f t="shared" ca="1" si="398"/>
        <v>L03-THR-POT-S061-01</v>
      </c>
      <c r="E2039" t="str">
        <f t="shared" ca="1" si="399"/>
        <v>Family Type: Curtain Wall_Bespoke 1 - 1979.5 x 3800, Family: Window External Type 5 - Flush Instance Width</v>
      </c>
      <c r="F2039" t="str">
        <f t="shared" ca="1" si="400"/>
        <v>Vector(X = 0.872, Y = 0.489, Z = 0.000, Length = 1.000)</v>
      </c>
      <c r="G2039">
        <f t="shared" ca="1" si="391"/>
        <v>0.9</v>
      </c>
      <c r="H2039">
        <f t="shared" ca="1" si="392"/>
        <v>0.5</v>
      </c>
      <c r="I2039">
        <f t="shared" ca="1" si="393"/>
        <v>0</v>
      </c>
      <c r="J2039" s="8">
        <f t="shared" ca="1" si="394"/>
        <v>29.054604099077146</v>
      </c>
      <c r="K2039" s="9" t="str">
        <f t="shared" ca="1" si="395"/>
        <v>E</v>
      </c>
      <c r="L2039">
        <f ca="1">+_xlfn.IFNA(VLOOKUP(M2039,BespokeWindowsAreas!$B$2:$E$1999,4,FALSE),VLOOKUP(E2039,WindowTypeArea!$B$2:$C$113,2,FALSE))</f>
        <v>6.5800513758381936</v>
      </c>
      <c r="M2039">
        <f t="shared" ca="1" si="396"/>
        <v>4942092</v>
      </c>
    </row>
    <row r="2040" spans="1:13" x14ac:dyDescent="0.25">
      <c r="A2040">
        <f t="shared" ca="1" si="389"/>
        <v>5</v>
      </c>
      <c r="B2040">
        <f t="shared" ca="1" si="390"/>
        <v>321</v>
      </c>
      <c r="C2040" t="str">
        <f t="shared" ca="1" si="397"/>
        <v>'WINDOWS-NCH-A-BDP-M3-03-00'!B320</v>
      </c>
      <c r="D2040" s="6" t="str">
        <f t="shared" ca="1" si="398"/>
        <v>L03-THR-POT-S061-01</v>
      </c>
      <c r="E2040" t="str">
        <f t="shared" ca="1" si="399"/>
        <v>Family Type: Curtain Wall_Bespoke 1 - 1979.5 x 3800, Family: Window External Type 5 - Flush Instance Width</v>
      </c>
      <c r="F2040" t="str">
        <f t="shared" ca="1" si="400"/>
        <v>Vector(X = 0.872, Y = 0.489, Z = 0.000, Length = 1.000)</v>
      </c>
      <c r="G2040">
        <f t="shared" ca="1" si="391"/>
        <v>0.9</v>
      </c>
      <c r="H2040">
        <f t="shared" ca="1" si="392"/>
        <v>0.5</v>
      </c>
      <c r="I2040">
        <f t="shared" ca="1" si="393"/>
        <v>0</v>
      </c>
      <c r="J2040" s="8">
        <f t="shared" ca="1" si="394"/>
        <v>29.054604099077146</v>
      </c>
      <c r="K2040" s="9" t="str">
        <f t="shared" ca="1" si="395"/>
        <v>E</v>
      </c>
      <c r="L2040">
        <f ca="1">+_xlfn.IFNA(VLOOKUP(M2040,BespokeWindowsAreas!$B$2:$E$1999,4,FALSE),VLOOKUP(E2040,WindowTypeArea!$B$2:$C$113,2,FALSE))</f>
        <v>1.604890579472706</v>
      </c>
      <c r="M2040">
        <f t="shared" ca="1" si="396"/>
        <v>5167758</v>
      </c>
    </row>
    <row r="2041" spans="1:13" x14ac:dyDescent="0.25">
      <c r="A2041">
        <f t="shared" ca="1" si="389"/>
        <v>5</v>
      </c>
      <c r="B2041">
        <f t="shared" ca="1" si="390"/>
        <v>322</v>
      </c>
      <c r="C2041" t="str">
        <f t="shared" ca="1" si="397"/>
        <v>'WINDOWS-NCH-A-BDP-M3-03-00'!B321</v>
      </c>
      <c r="D2041" s="6" t="str">
        <f t="shared" ca="1" si="398"/>
        <v>L03-THR-POT-S061-01</v>
      </c>
      <c r="E2041" t="str">
        <f t="shared" ca="1" si="399"/>
        <v>Family Type: Curtain Wall_Bespoke 1 - 1979.5 x 3800, Family: Window External Type 5 - Flush Instance Width</v>
      </c>
      <c r="F2041" t="str">
        <f t="shared" ca="1" si="400"/>
        <v>Vector(X = 0.872, Y = 0.489, Z = 0.000, Length = 1.000)</v>
      </c>
      <c r="G2041">
        <f t="shared" ca="1" si="391"/>
        <v>0.9</v>
      </c>
      <c r="H2041">
        <f t="shared" ca="1" si="392"/>
        <v>0.5</v>
      </c>
      <c r="I2041">
        <f t="shared" ca="1" si="393"/>
        <v>0</v>
      </c>
      <c r="J2041" s="8">
        <f t="shared" ca="1" si="394"/>
        <v>29.054604099077146</v>
      </c>
      <c r="K2041" s="9" t="str">
        <f t="shared" ca="1" si="395"/>
        <v>E</v>
      </c>
      <c r="L2041">
        <f ca="1">+_xlfn.IFNA(VLOOKUP(M2041,BespokeWindowsAreas!$B$2:$E$1999,4,FALSE),VLOOKUP(E2041,WindowTypeArea!$B$2:$C$113,2,FALSE))</f>
        <v>6.5798070022769926</v>
      </c>
      <c r="M2041">
        <f t="shared" ca="1" si="396"/>
        <v>5167760</v>
      </c>
    </row>
    <row r="2042" spans="1:13" x14ac:dyDescent="0.25">
      <c r="A2042">
        <f t="shared" ca="1" si="389"/>
        <v>5</v>
      </c>
      <c r="B2042">
        <f t="shared" ca="1" si="390"/>
        <v>323</v>
      </c>
      <c r="C2042" t="str">
        <f t="shared" ca="1" si="397"/>
        <v>'WINDOWS-NCH-A-BDP-M3-03-00'!B322</v>
      </c>
      <c r="D2042" s="6" t="str">
        <f t="shared" ca="1" si="398"/>
        <v>L03-THR-POT-S061-01</v>
      </c>
      <c r="E2042" t="str">
        <f t="shared" ca="1" si="399"/>
        <v>Family Type: Curtain Wall_975w x 3050h, Family: Panel External Type 1 - Flush</v>
      </c>
      <c r="F2042" t="str">
        <f t="shared" ca="1" si="400"/>
        <v>Vector(X = 0.872, Y = 0.489, Z = 0.000, Length = 1.000)</v>
      </c>
      <c r="G2042">
        <f t="shared" ca="1" si="391"/>
        <v>0.9</v>
      </c>
      <c r="H2042">
        <f t="shared" ca="1" si="392"/>
        <v>0.5</v>
      </c>
      <c r="I2042">
        <f t="shared" ca="1" si="393"/>
        <v>0</v>
      </c>
      <c r="J2042" s="8">
        <f t="shared" ca="1" si="394"/>
        <v>29.054604099077146</v>
      </c>
      <c r="K2042" s="9" t="str">
        <f t="shared" ca="1" si="395"/>
        <v>E</v>
      </c>
      <c r="L2042">
        <f ca="1">+_xlfn.IFNA(VLOOKUP(M2042,BespokeWindowsAreas!$B$2:$E$1999,4,FALSE),VLOOKUP(E2042,WindowTypeArea!$B$2:$C$113,2,FALSE))</f>
        <v>2.2735155180172195</v>
      </c>
      <c r="M2042">
        <f t="shared" ca="1" si="396"/>
        <v>5778534</v>
      </c>
    </row>
    <row r="2043" spans="1:13" x14ac:dyDescent="0.25">
      <c r="A2043">
        <f t="shared" ca="1" si="389"/>
        <v>5</v>
      </c>
      <c r="B2043">
        <f t="shared" ca="1" si="390"/>
        <v>324</v>
      </c>
      <c r="C2043" t="str">
        <f t="shared" ca="1" si="397"/>
        <v>'WINDOWS-NCH-A-BDP-M3-03-00'!B323</v>
      </c>
      <c r="D2043" s="6" t="str">
        <f t="shared" ca="1" si="398"/>
        <v>L03-THR-POT-S061-01</v>
      </c>
      <c r="E2043" t="str">
        <f t="shared" ca="1" si="399"/>
        <v>Family Type: Curtain Wall_Bespoke 1 - 1979.5 x 3800, Family: Window External Type 5 - Flush Instance Width</v>
      </c>
      <c r="F2043" t="str">
        <f t="shared" ca="1" si="400"/>
        <v>Vector(X = 0.872, Y = 0.489, Z = 0.000, Length = 1.000)</v>
      </c>
      <c r="G2043">
        <f t="shared" ca="1" si="391"/>
        <v>0.9</v>
      </c>
      <c r="H2043">
        <f t="shared" ca="1" si="392"/>
        <v>0.5</v>
      </c>
      <c r="I2043">
        <f t="shared" ca="1" si="393"/>
        <v>0</v>
      </c>
      <c r="J2043" s="8">
        <f t="shared" ca="1" si="394"/>
        <v>29.054604099077146</v>
      </c>
      <c r="K2043" s="9" t="str">
        <f t="shared" ca="1" si="395"/>
        <v>E</v>
      </c>
      <c r="L2043">
        <f ca="1">+_xlfn.IFNA(VLOOKUP(M2043,BespokeWindowsAreas!$B$2:$E$1999,4,FALSE),VLOOKUP(E2043,WindowTypeArea!$B$2:$C$113,2,FALSE))</f>
        <v>1.6048905794726798</v>
      </c>
      <c r="M2043">
        <f t="shared" ca="1" si="396"/>
        <v>6756944</v>
      </c>
    </row>
    <row r="2044" spans="1:13" x14ac:dyDescent="0.25">
      <c r="A2044">
        <f t="shared" ca="1" si="389"/>
        <v>5</v>
      </c>
      <c r="B2044">
        <f t="shared" ca="1" si="390"/>
        <v>325</v>
      </c>
      <c r="C2044" t="str">
        <f t="shared" ca="1" si="397"/>
        <v>'WINDOWS-NCH-A-BDP-M3-03-00'!B324</v>
      </c>
      <c r="D2044" s="6" t="str">
        <f t="shared" ca="1" si="398"/>
        <v>L03-THR-POT-S061-01</v>
      </c>
      <c r="E2044" t="str">
        <f t="shared" ca="1" si="399"/>
        <v>Family Type: Curtain Wall_Bespoke 1 - 1979.5 x 3800, Family: Window External Type 5 - Flush Instance Width</v>
      </c>
      <c r="F2044" t="str">
        <f t="shared" ca="1" si="400"/>
        <v>Vector(X = 0.872, Y = 0.489, Z = 0.000, Length = 1.000)</v>
      </c>
      <c r="G2044">
        <f t="shared" ca="1" si="391"/>
        <v>0.9</v>
      </c>
      <c r="H2044">
        <f t="shared" ca="1" si="392"/>
        <v>0.5</v>
      </c>
      <c r="I2044">
        <f t="shared" ca="1" si="393"/>
        <v>0</v>
      </c>
      <c r="J2044" s="8">
        <f t="shared" ca="1" si="394"/>
        <v>29.054604099077146</v>
      </c>
      <c r="K2044" s="9" t="str">
        <f t="shared" ca="1" si="395"/>
        <v>E</v>
      </c>
      <c r="L2044">
        <f ca="1">+_xlfn.IFNA(VLOOKUP(M2044,BespokeWindowsAreas!$B$2:$E$1999,4,FALSE),VLOOKUP(E2044,WindowTypeArea!$B$2:$C$113,2,FALSE))</f>
        <v>1.6048905794726782</v>
      </c>
      <c r="M2044">
        <f t="shared" ca="1" si="396"/>
        <v>6756980</v>
      </c>
    </row>
    <row r="2045" spans="1:13" x14ac:dyDescent="0.25">
      <c r="A2045">
        <f t="shared" ca="1" si="389"/>
        <v>5</v>
      </c>
      <c r="B2045">
        <f t="shared" ca="1" si="390"/>
        <v>326</v>
      </c>
      <c r="C2045" t="str">
        <f t="shared" ca="1" si="397"/>
        <v>'WINDOWS-NCH-A-BDP-M3-03-00'!B325</v>
      </c>
      <c r="D2045" s="6" t="str">
        <f t="shared" ca="1" si="398"/>
        <v>L03-THR-POT-L023-02</v>
      </c>
      <c r="E2045" t="str">
        <f t="shared" ca="1" si="399"/>
        <v>L03-THR-POT-L023-02</v>
      </c>
      <c r="F2045">
        <f t="shared" ca="1" si="400"/>
        <v>1296842</v>
      </c>
      <c r="G2045">
        <f t="shared" ca="1" si="391"/>
        <v>0</v>
      </c>
      <c r="H2045">
        <f t="shared" ca="1" si="392"/>
        <v>0</v>
      </c>
      <c r="I2045">
        <f t="shared" ca="1" si="393"/>
        <v>0</v>
      </c>
      <c r="J2045" s="8" t="e">
        <f t="shared" ca="1" si="394"/>
        <v>#DIV/0!</v>
      </c>
      <c r="K2045" s="9" t="e">
        <f t="shared" ca="1" si="395"/>
        <v>#DIV/0!</v>
      </c>
      <c r="L2045" t="e">
        <f ca="1">+_xlfn.IFNA(VLOOKUP(M2045,BespokeWindowsAreas!$B$2:$E$1999,4,FALSE),VLOOKUP(E2045,WindowTypeArea!$B$2:$C$113,2,FALSE))</f>
        <v>#N/A</v>
      </c>
      <c r="M2045">
        <f t="shared" ca="1" si="396"/>
        <v>0</v>
      </c>
    </row>
    <row r="2046" spans="1:13" x14ac:dyDescent="0.25">
      <c r="A2046">
        <f t="shared" ca="1" si="389"/>
        <v>5</v>
      </c>
      <c r="B2046">
        <f t="shared" ca="1" si="390"/>
        <v>327</v>
      </c>
      <c r="C2046" t="str">
        <f t="shared" ca="1" si="397"/>
        <v>'WINDOWS-NCH-A-BDP-M3-03-00'!B326</v>
      </c>
      <c r="D2046" s="6" t="str">
        <f t="shared" ca="1" si="398"/>
        <v>L03-THR-POT-L023-02</v>
      </c>
      <c r="E2046" t="str">
        <f t="shared" ca="1" si="399"/>
        <v>Family Type: Curtain Wall_1950w x 3800h, Family: Window External Type 5 - Flush - modified</v>
      </c>
      <c r="F2046" t="str">
        <f t="shared" ca="1" si="400"/>
        <v>Vector(X = 0.212, Y = -0.977, Z = 0.000, Length = 1.000)</v>
      </c>
      <c r="G2046">
        <f t="shared" ca="1" si="391"/>
        <v>0.2</v>
      </c>
      <c r="H2046">
        <f t="shared" ca="1" si="392"/>
        <v>-1</v>
      </c>
      <c r="I2046">
        <f t="shared" ca="1" si="393"/>
        <v>0</v>
      </c>
      <c r="J2046" s="8">
        <f t="shared" ca="1" si="394"/>
        <v>-78.690067525979785</v>
      </c>
      <c r="K2046" s="9" t="str">
        <f t="shared" ca="1" si="395"/>
        <v>S</v>
      </c>
      <c r="L2046">
        <f ca="1">+_xlfn.IFNA(VLOOKUP(M2046,BespokeWindowsAreas!$B$2:$E$1999,4,FALSE),VLOOKUP(E2046,WindowTypeArea!$B$2:$C$113,2,FALSE))</f>
        <v>10.098947368421053</v>
      </c>
      <c r="M2046">
        <f t="shared" ca="1" si="396"/>
        <v>4928698</v>
      </c>
    </row>
    <row r="2047" spans="1:13" x14ac:dyDescent="0.25">
      <c r="A2047">
        <f t="shared" ca="1" si="389"/>
        <v>5</v>
      </c>
      <c r="B2047">
        <f t="shared" ca="1" si="390"/>
        <v>328</v>
      </c>
      <c r="C2047" t="str">
        <f t="shared" ca="1" si="397"/>
        <v>'WINDOWS-NCH-A-BDP-M3-03-00'!B327</v>
      </c>
      <c r="D2047" s="6" t="str">
        <f t="shared" ca="1" si="398"/>
        <v>none</v>
      </c>
      <c r="E2047" t="str">
        <f t="shared" ca="1" si="399"/>
        <v>none</v>
      </c>
      <c r="F2047" t="str">
        <f t="shared" ca="1" si="400"/>
        <v>Vector(X = 0.212, Y = -0.977, Z = 0.000, Length = 1.000)</v>
      </c>
      <c r="G2047">
        <f t="shared" ca="1" si="391"/>
        <v>0.2</v>
      </c>
      <c r="H2047">
        <f t="shared" ca="1" si="392"/>
        <v>-1</v>
      </c>
      <c r="I2047">
        <f t="shared" ca="1" si="393"/>
        <v>0</v>
      </c>
      <c r="J2047" s="8">
        <f t="shared" ca="1" si="394"/>
        <v>-78.690067525979785</v>
      </c>
      <c r="K2047" s="9" t="str">
        <f t="shared" ca="1" si="395"/>
        <v>S</v>
      </c>
      <c r="L2047" t="e">
        <f ca="1">+_xlfn.IFNA(VLOOKUP(M2047,BespokeWindowsAreas!$B$2:$E$1999,4,FALSE),VLOOKUP(E2047,WindowTypeArea!$B$2:$C$113,2,FALSE))</f>
        <v>#N/A</v>
      </c>
      <c r="M2047">
        <f t="shared" ca="1" si="396"/>
        <v>4928706</v>
      </c>
    </row>
    <row r="2048" spans="1:13" x14ac:dyDescent="0.25">
      <c r="A2048">
        <f t="shared" ca="1" si="389"/>
        <v>5</v>
      </c>
      <c r="B2048">
        <f t="shared" ca="1" si="390"/>
        <v>329</v>
      </c>
      <c r="C2048" t="str">
        <f t="shared" ca="1" si="397"/>
        <v>'WINDOWS-NCH-A-BDP-M3-03-00'!B328</v>
      </c>
      <c r="D2048" s="6" t="str">
        <f t="shared" ca="1" si="398"/>
        <v>L03-THR-POT-L023-03</v>
      </c>
      <c r="E2048" t="str">
        <f t="shared" ca="1" si="399"/>
        <v>L03-THR-POT-L023-03</v>
      </c>
      <c r="F2048">
        <f t="shared" ca="1" si="400"/>
        <v>1296844</v>
      </c>
      <c r="G2048">
        <f t="shared" ca="1" si="391"/>
        <v>0</v>
      </c>
      <c r="H2048">
        <f t="shared" ca="1" si="392"/>
        <v>0</v>
      </c>
      <c r="I2048">
        <f t="shared" ca="1" si="393"/>
        <v>0</v>
      </c>
      <c r="J2048" s="8" t="e">
        <f t="shared" ca="1" si="394"/>
        <v>#DIV/0!</v>
      </c>
      <c r="K2048" s="9" t="e">
        <f t="shared" ca="1" si="395"/>
        <v>#DIV/0!</v>
      </c>
      <c r="L2048" t="e">
        <f ca="1">+_xlfn.IFNA(VLOOKUP(M2048,BespokeWindowsAreas!$B$2:$E$1999,4,FALSE),VLOOKUP(E2048,WindowTypeArea!$B$2:$C$113,2,FALSE))</f>
        <v>#N/A</v>
      </c>
      <c r="M2048">
        <f t="shared" ca="1" si="396"/>
        <v>0</v>
      </c>
    </row>
    <row r="2049" spans="1:13" x14ac:dyDescent="0.25">
      <c r="A2049">
        <f t="shared" ca="1" si="389"/>
        <v>5</v>
      </c>
      <c r="B2049">
        <f t="shared" ca="1" si="390"/>
        <v>330</v>
      </c>
      <c r="C2049" t="str">
        <f t="shared" ca="1" si="397"/>
        <v>'WINDOWS-NCH-A-BDP-M3-03-00'!B329</v>
      </c>
      <c r="D2049" s="6" t="str">
        <f t="shared" ca="1" si="398"/>
        <v>L03-THR-POT-L023-03</v>
      </c>
      <c r="E2049" t="str">
        <f t="shared" ca="1" si="399"/>
        <v>Family Type: Curtain Wall_1950w x 3800h, Family: Window External Type 5 - Flush - modified</v>
      </c>
      <c r="F2049" t="str">
        <f t="shared" ca="1" si="400"/>
        <v>Vector(X = 0.212, Y = -0.977, Z = 0.000, Length = 1.000)</v>
      </c>
      <c r="G2049">
        <f t="shared" ca="1" si="391"/>
        <v>0.2</v>
      </c>
      <c r="H2049">
        <f t="shared" ca="1" si="392"/>
        <v>-1</v>
      </c>
      <c r="I2049">
        <f t="shared" ca="1" si="393"/>
        <v>0</v>
      </c>
      <c r="J2049" s="8">
        <f t="shared" ca="1" si="394"/>
        <v>-78.690067525979785</v>
      </c>
      <c r="K2049" s="9" t="str">
        <f t="shared" ca="1" si="395"/>
        <v>S</v>
      </c>
      <c r="L2049">
        <f ca="1">+_xlfn.IFNA(VLOOKUP(M2049,BespokeWindowsAreas!$B$2:$E$1999,4,FALSE),VLOOKUP(E2049,WindowTypeArea!$B$2:$C$113,2,FALSE))</f>
        <v>10.098947368421053</v>
      </c>
      <c r="M2049">
        <f t="shared" ca="1" si="396"/>
        <v>4928587</v>
      </c>
    </row>
    <row r="2050" spans="1:13" x14ac:dyDescent="0.25">
      <c r="A2050">
        <f t="shared" ca="1" si="389"/>
        <v>5</v>
      </c>
      <c r="B2050">
        <f t="shared" ca="1" si="390"/>
        <v>331</v>
      </c>
      <c r="C2050" t="str">
        <f t="shared" ca="1" si="397"/>
        <v>'WINDOWS-NCH-A-BDP-M3-03-00'!B330</v>
      </c>
      <c r="D2050" s="6" t="str">
        <f t="shared" ca="1" si="398"/>
        <v>none</v>
      </c>
      <c r="E2050" t="str">
        <f t="shared" ca="1" si="399"/>
        <v>none</v>
      </c>
      <c r="F2050" t="str">
        <f t="shared" ca="1" si="400"/>
        <v>Vector(X = 0.212, Y = -0.977, Z = 0.000, Length = 1.000)</v>
      </c>
      <c r="G2050">
        <f t="shared" ca="1" si="391"/>
        <v>0.2</v>
      </c>
      <c r="H2050">
        <f t="shared" ca="1" si="392"/>
        <v>-1</v>
      </c>
      <c r="I2050">
        <f t="shared" ca="1" si="393"/>
        <v>0</v>
      </c>
      <c r="J2050" s="8">
        <f t="shared" ca="1" si="394"/>
        <v>-78.690067525979785</v>
      </c>
      <c r="K2050" s="9" t="str">
        <f t="shared" ca="1" si="395"/>
        <v>S</v>
      </c>
      <c r="L2050" t="e">
        <f ca="1">+_xlfn.IFNA(VLOOKUP(M2050,BespokeWindowsAreas!$B$2:$E$1999,4,FALSE),VLOOKUP(E2050,WindowTypeArea!$B$2:$C$113,2,FALSE))</f>
        <v>#N/A</v>
      </c>
      <c r="M2050">
        <f t="shared" ca="1" si="396"/>
        <v>4928595</v>
      </c>
    </row>
    <row r="2051" spans="1:13" x14ac:dyDescent="0.25">
      <c r="A2051">
        <f t="shared" ca="1" si="389"/>
        <v>5</v>
      </c>
      <c r="B2051">
        <f t="shared" ca="1" si="390"/>
        <v>332</v>
      </c>
      <c r="C2051" t="str">
        <f t="shared" ca="1" si="397"/>
        <v>'WINDOWS-NCH-A-BDP-M3-03-00'!B331</v>
      </c>
      <c r="D2051" s="6" t="str">
        <f t="shared" ca="1" si="398"/>
        <v>none</v>
      </c>
      <c r="E2051" t="str">
        <f t="shared" ca="1" si="399"/>
        <v>none</v>
      </c>
      <c r="F2051" t="str">
        <f t="shared" ca="1" si="400"/>
        <v>Vector(X = 0.212, Y = -0.977, Z = 0.000, Length = 1.000)</v>
      </c>
      <c r="G2051">
        <f t="shared" ca="1" si="391"/>
        <v>0.2</v>
      </c>
      <c r="H2051">
        <f t="shared" ca="1" si="392"/>
        <v>-1</v>
      </c>
      <c r="I2051">
        <f t="shared" ca="1" si="393"/>
        <v>0</v>
      </c>
      <c r="J2051" s="8">
        <f t="shared" ca="1" si="394"/>
        <v>-78.690067525979785</v>
      </c>
      <c r="K2051" s="9" t="str">
        <f t="shared" ca="1" si="395"/>
        <v>S</v>
      </c>
      <c r="L2051" t="e">
        <f ca="1">+_xlfn.IFNA(VLOOKUP(M2051,BespokeWindowsAreas!$B$2:$E$1999,4,FALSE),VLOOKUP(E2051,WindowTypeArea!$B$2:$C$113,2,FALSE))</f>
        <v>#N/A</v>
      </c>
      <c r="M2051">
        <f t="shared" ca="1" si="396"/>
        <v>4928690</v>
      </c>
    </row>
    <row r="2052" spans="1:13" x14ac:dyDescent="0.25">
      <c r="A2052">
        <f t="shared" ca="1" si="389"/>
        <v>5</v>
      </c>
      <c r="B2052">
        <f t="shared" ca="1" si="390"/>
        <v>333</v>
      </c>
      <c r="C2052" t="str">
        <f t="shared" ca="1" si="397"/>
        <v>'WINDOWS-NCH-A-BDP-M3-03-00'!B332</v>
      </c>
      <c r="D2052" s="6" t="str">
        <f t="shared" ca="1" si="398"/>
        <v>L03-THR-POT-L023-04</v>
      </c>
      <c r="E2052" t="str">
        <f t="shared" ca="1" si="399"/>
        <v>L03-THR-POT-L023-04</v>
      </c>
      <c r="F2052">
        <f t="shared" ca="1" si="400"/>
        <v>1296846</v>
      </c>
      <c r="G2052">
        <f t="shared" ca="1" si="391"/>
        <v>0</v>
      </c>
      <c r="H2052">
        <f t="shared" ca="1" si="392"/>
        <v>0</v>
      </c>
      <c r="I2052">
        <f t="shared" ca="1" si="393"/>
        <v>0</v>
      </c>
      <c r="J2052" s="8" t="e">
        <f t="shared" ca="1" si="394"/>
        <v>#DIV/0!</v>
      </c>
      <c r="K2052" s="9" t="e">
        <f t="shared" ca="1" si="395"/>
        <v>#DIV/0!</v>
      </c>
      <c r="L2052" t="e">
        <f ca="1">+_xlfn.IFNA(VLOOKUP(M2052,BespokeWindowsAreas!$B$2:$E$1999,4,FALSE),VLOOKUP(E2052,WindowTypeArea!$B$2:$C$113,2,FALSE))</f>
        <v>#N/A</v>
      </c>
      <c r="M2052">
        <f t="shared" ca="1" si="396"/>
        <v>0</v>
      </c>
    </row>
    <row r="2053" spans="1:13" x14ac:dyDescent="0.25">
      <c r="A2053">
        <f t="shared" ca="1" si="389"/>
        <v>5</v>
      </c>
      <c r="B2053">
        <f t="shared" ca="1" si="390"/>
        <v>334</v>
      </c>
      <c r="C2053" t="str">
        <f t="shared" ca="1" si="397"/>
        <v>'WINDOWS-NCH-A-BDP-M3-03-00'!B333</v>
      </c>
      <c r="D2053" s="6" t="str">
        <f t="shared" ca="1" si="398"/>
        <v>L03-THR-POT-L023-04</v>
      </c>
      <c r="E2053" t="str">
        <f t="shared" ca="1" si="399"/>
        <v>Family Type: Curtain Wall_1950w x 3800h, Family: Window External Type 5 - Flush - modified</v>
      </c>
      <c r="F2053" t="str">
        <f t="shared" ca="1" si="400"/>
        <v>Vector(X = 0.212, Y = -0.977, Z = 0.000, Length = 1.000)</v>
      </c>
      <c r="G2053">
        <f t="shared" ca="1" si="391"/>
        <v>0.2</v>
      </c>
      <c r="H2053">
        <f t="shared" ca="1" si="392"/>
        <v>-1</v>
      </c>
      <c r="I2053">
        <f t="shared" ca="1" si="393"/>
        <v>0</v>
      </c>
      <c r="J2053" s="8">
        <f t="shared" ca="1" si="394"/>
        <v>-78.690067525979785</v>
      </c>
      <c r="K2053" s="9" t="str">
        <f t="shared" ca="1" si="395"/>
        <v>S</v>
      </c>
      <c r="L2053">
        <f ca="1">+_xlfn.IFNA(VLOOKUP(M2053,BespokeWindowsAreas!$B$2:$E$1999,4,FALSE),VLOOKUP(E2053,WindowTypeArea!$B$2:$C$113,2,FALSE))</f>
        <v>10.098947368421053</v>
      </c>
      <c r="M2053">
        <f t="shared" ca="1" si="396"/>
        <v>4928587</v>
      </c>
    </row>
    <row r="2054" spans="1:13" x14ac:dyDescent="0.25">
      <c r="A2054">
        <f t="shared" ca="1" si="389"/>
        <v>5</v>
      </c>
      <c r="B2054">
        <f t="shared" ca="1" si="390"/>
        <v>335</v>
      </c>
      <c r="C2054" t="str">
        <f t="shared" ca="1" si="397"/>
        <v>'WINDOWS-NCH-A-BDP-M3-03-00'!B334</v>
      </c>
      <c r="D2054" s="6" t="str">
        <f t="shared" ca="1" si="398"/>
        <v>none</v>
      </c>
      <c r="E2054" t="str">
        <f t="shared" ca="1" si="399"/>
        <v>none</v>
      </c>
      <c r="F2054" t="str">
        <f t="shared" ca="1" si="400"/>
        <v>Vector(X = 0.212, Y = -0.977, Z = 0.000, Length = 1.000)</v>
      </c>
      <c r="G2054">
        <f t="shared" ca="1" si="391"/>
        <v>0.2</v>
      </c>
      <c r="H2054">
        <f t="shared" ca="1" si="392"/>
        <v>-1</v>
      </c>
      <c r="I2054">
        <f t="shared" ca="1" si="393"/>
        <v>0</v>
      </c>
      <c r="J2054" s="8">
        <f t="shared" ca="1" si="394"/>
        <v>-78.690067525979785</v>
      </c>
      <c r="K2054" s="9" t="str">
        <f t="shared" ca="1" si="395"/>
        <v>S</v>
      </c>
      <c r="L2054" t="e">
        <f ca="1">+_xlfn.IFNA(VLOOKUP(M2054,BespokeWindowsAreas!$B$2:$E$1999,4,FALSE),VLOOKUP(E2054,WindowTypeArea!$B$2:$C$113,2,FALSE))</f>
        <v>#N/A</v>
      </c>
      <c r="M2054">
        <f t="shared" ca="1" si="396"/>
        <v>4928595</v>
      </c>
    </row>
    <row r="2055" spans="1:13" x14ac:dyDescent="0.25">
      <c r="A2055">
        <f t="shared" ca="1" si="389"/>
        <v>5</v>
      </c>
      <c r="B2055">
        <f t="shared" ca="1" si="390"/>
        <v>336</v>
      </c>
      <c r="C2055" t="str">
        <f t="shared" ca="1" si="397"/>
        <v>'WINDOWS-NCH-A-BDP-M3-03-00'!B335</v>
      </c>
      <c r="D2055" s="6" t="str">
        <f t="shared" ca="1" si="398"/>
        <v>L03-EDU-ETC-L017-01</v>
      </c>
      <c r="E2055" t="str">
        <f t="shared" ca="1" si="399"/>
        <v>L03-EDU-ETC-L017-01</v>
      </c>
      <c r="F2055">
        <f t="shared" ca="1" si="400"/>
        <v>1300860</v>
      </c>
      <c r="G2055">
        <f t="shared" ca="1" si="391"/>
        <v>0</v>
      </c>
      <c r="H2055">
        <f t="shared" ca="1" si="392"/>
        <v>0</v>
      </c>
      <c r="I2055">
        <f t="shared" ca="1" si="393"/>
        <v>0</v>
      </c>
      <c r="J2055" s="8" t="e">
        <f t="shared" ca="1" si="394"/>
        <v>#DIV/0!</v>
      </c>
      <c r="K2055" s="9" t="e">
        <f t="shared" ca="1" si="395"/>
        <v>#DIV/0!</v>
      </c>
      <c r="L2055" t="e">
        <f ca="1">+_xlfn.IFNA(VLOOKUP(M2055,BespokeWindowsAreas!$B$2:$E$1999,4,FALSE),VLOOKUP(E2055,WindowTypeArea!$B$2:$C$113,2,FALSE))</f>
        <v>#N/A</v>
      </c>
      <c r="M2055">
        <f t="shared" ca="1" si="396"/>
        <v>0</v>
      </c>
    </row>
    <row r="2056" spans="1:13" x14ac:dyDescent="0.25">
      <c r="A2056">
        <f t="shared" ca="1" si="389"/>
        <v>5</v>
      </c>
      <c r="B2056">
        <f t="shared" ca="1" si="390"/>
        <v>337</v>
      </c>
      <c r="C2056" t="str">
        <f t="shared" ca="1" si="397"/>
        <v>'WINDOWS-NCH-A-BDP-M3-03-00'!B336</v>
      </c>
      <c r="D2056" s="6" t="str">
        <f t="shared" ca="1" si="398"/>
        <v>L03-EDU-ETC-L017-01</v>
      </c>
      <c r="E2056" t="str">
        <f t="shared" ca="1" si="399"/>
        <v>Family Type: Curtain Wall_Bespoke 1 - 1979.5 x 3800, Family: Window External Type 5 - Flush Instance Width</v>
      </c>
      <c r="F2056" t="str">
        <f t="shared" ca="1" si="400"/>
        <v>Vector(X = -0.956, Y = 0.294, Z = 0.000, Length = 1.000)</v>
      </c>
      <c r="G2056">
        <f t="shared" ca="1" si="391"/>
        <v>-1</v>
      </c>
      <c r="H2056">
        <f t="shared" ca="1" si="392"/>
        <v>0.3</v>
      </c>
      <c r="I2056">
        <f t="shared" ca="1" si="393"/>
        <v>0</v>
      </c>
      <c r="J2056" s="8">
        <f t="shared" ca="1" si="394"/>
        <v>163.30075576600638</v>
      </c>
      <c r="K2056" s="9" t="str">
        <f t="shared" ca="1" si="395"/>
        <v>WN</v>
      </c>
      <c r="L2056">
        <f ca="1">+_xlfn.IFNA(VLOOKUP(M2056,BespokeWindowsAreas!$B$2:$E$1999,4,FALSE),VLOOKUP(E2056,WindowTypeArea!$B$2:$C$113,2,FALSE))</f>
        <v>7.9950000000000001</v>
      </c>
      <c r="M2056">
        <f t="shared" ca="1" si="396"/>
        <v>4915171</v>
      </c>
    </row>
    <row r="2057" spans="1:13" x14ac:dyDescent="0.25">
      <c r="A2057">
        <f t="shared" ca="1" si="389"/>
        <v>5</v>
      </c>
      <c r="B2057">
        <f t="shared" ca="1" si="390"/>
        <v>338</v>
      </c>
      <c r="C2057" t="str">
        <f t="shared" ca="1" si="397"/>
        <v>'WINDOWS-NCH-A-BDP-M3-03-00'!B337</v>
      </c>
      <c r="D2057" s="6" t="str">
        <f t="shared" ca="1" si="398"/>
        <v>L03-EDU-ETC-L017-01</v>
      </c>
      <c r="E2057" t="str">
        <f t="shared" ca="1" si="399"/>
        <v>Family Type: Curtain Wall_Bespoke 1 - 1979.5 x 3800, Family: Window External Type 5 - Flush Instance Width</v>
      </c>
      <c r="F2057" t="str">
        <f t="shared" ca="1" si="400"/>
        <v>Vector(X = -0.956, Y = 0.294, Z = 0.000, Length = 1.000)</v>
      </c>
      <c r="G2057">
        <f t="shared" ca="1" si="391"/>
        <v>-1</v>
      </c>
      <c r="H2057">
        <f t="shared" ca="1" si="392"/>
        <v>0.3</v>
      </c>
      <c r="I2057">
        <f t="shared" ca="1" si="393"/>
        <v>0</v>
      </c>
      <c r="J2057" s="8">
        <f t="shared" ca="1" si="394"/>
        <v>163.30075576600638</v>
      </c>
      <c r="K2057" s="9" t="str">
        <f t="shared" ca="1" si="395"/>
        <v>WN</v>
      </c>
      <c r="L2057">
        <f ca="1">+_xlfn.IFNA(VLOOKUP(M2057,BespokeWindowsAreas!$B$2:$E$1999,4,FALSE),VLOOKUP(E2057,WindowTypeArea!$B$2:$C$113,2,FALSE))</f>
        <v>7.9950000000000001</v>
      </c>
      <c r="M2057">
        <f t="shared" ca="1" si="396"/>
        <v>4915172</v>
      </c>
    </row>
    <row r="2058" spans="1:13" x14ac:dyDescent="0.25">
      <c r="A2058">
        <f t="shared" ca="1" si="389"/>
        <v>5</v>
      </c>
      <c r="B2058">
        <f t="shared" ca="1" si="390"/>
        <v>339</v>
      </c>
      <c r="C2058" t="str">
        <f t="shared" ca="1" si="397"/>
        <v>'WINDOWS-NCH-A-BDP-M3-03-00'!B338</v>
      </c>
      <c r="D2058" s="6" t="str">
        <f t="shared" ca="1" si="398"/>
        <v>L03-EDU-ETC-L017-01</v>
      </c>
      <c r="E2058" t="str">
        <f t="shared" ca="1" si="399"/>
        <v>Family Type: Curtain Wall_Bespoke 1 - 1979.5 x 3800, Family: Window External Type 5 - Flush Instance Width</v>
      </c>
      <c r="F2058" t="str">
        <f t="shared" ca="1" si="400"/>
        <v>Vector(X = -0.956, Y = 0.294, Z = 0.000, Length = 1.000)</v>
      </c>
      <c r="G2058">
        <f t="shared" ca="1" si="391"/>
        <v>-1</v>
      </c>
      <c r="H2058">
        <f t="shared" ca="1" si="392"/>
        <v>0.3</v>
      </c>
      <c r="I2058">
        <f t="shared" ca="1" si="393"/>
        <v>0</v>
      </c>
      <c r="J2058" s="8">
        <f t="shared" ca="1" si="394"/>
        <v>163.30075576600638</v>
      </c>
      <c r="K2058" s="9" t="str">
        <f t="shared" ca="1" si="395"/>
        <v>WN</v>
      </c>
      <c r="L2058">
        <f ca="1">+_xlfn.IFNA(VLOOKUP(M2058,BespokeWindowsAreas!$B$2:$E$1999,4,FALSE),VLOOKUP(E2058,WindowTypeArea!$B$2:$C$113,2,FALSE))</f>
        <v>7.9950000000000001</v>
      </c>
      <c r="M2058">
        <f t="shared" ca="1" si="396"/>
        <v>4915174</v>
      </c>
    </row>
    <row r="2059" spans="1:13" x14ac:dyDescent="0.25">
      <c r="A2059">
        <f t="shared" ca="1" si="389"/>
        <v>5</v>
      </c>
      <c r="B2059">
        <f t="shared" ca="1" si="390"/>
        <v>340</v>
      </c>
      <c r="C2059" t="str">
        <f t="shared" ca="1" si="397"/>
        <v>'WINDOWS-NCH-A-BDP-M3-03-00'!B339</v>
      </c>
      <c r="D2059" s="6" t="str">
        <f t="shared" ca="1" si="398"/>
        <v>L03-EDU-ETC-L017-01</v>
      </c>
      <c r="E2059" t="str">
        <f t="shared" ca="1" si="399"/>
        <v>Family Type: Curtain Wall_Bespoke 1 - 1979.5 x 3800, Family: Window External Type 5 - Flush Instance Width</v>
      </c>
      <c r="F2059" t="str">
        <f t="shared" ca="1" si="400"/>
        <v>Vector(X = -0.956, Y = 0.294, Z = 0.000, Length = 1.000)</v>
      </c>
      <c r="G2059">
        <f t="shared" ca="1" si="391"/>
        <v>-1</v>
      </c>
      <c r="H2059">
        <f t="shared" ca="1" si="392"/>
        <v>0.3</v>
      </c>
      <c r="I2059">
        <f t="shared" ca="1" si="393"/>
        <v>0</v>
      </c>
      <c r="J2059" s="8">
        <f t="shared" ca="1" si="394"/>
        <v>163.30075576600638</v>
      </c>
      <c r="K2059" s="9" t="str">
        <f t="shared" ca="1" si="395"/>
        <v>WN</v>
      </c>
      <c r="L2059">
        <f ca="1">+_xlfn.IFNA(VLOOKUP(M2059,BespokeWindowsAreas!$B$2:$E$1999,4,FALSE),VLOOKUP(E2059,WindowTypeArea!$B$2:$C$113,2,FALSE))</f>
        <v>7.9950000000000001</v>
      </c>
      <c r="M2059">
        <f t="shared" ca="1" si="396"/>
        <v>4915175</v>
      </c>
    </row>
    <row r="2060" spans="1:13" x14ac:dyDescent="0.25">
      <c r="A2060">
        <f t="shared" ca="1" si="389"/>
        <v>5</v>
      </c>
      <c r="B2060">
        <f t="shared" ca="1" si="390"/>
        <v>341</v>
      </c>
      <c r="C2060" t="str">
        <f t="shared" ca="1" si="397"/>
        <v>'WINDOWS-NCH-A-BDP-M3-03-00'!B340</v>
      </c>
      <c r="D2060" s="6" t="str">
        <f t="shared" ca="1" si="398"/>
        <v>L03-EDU-ETC-L017-01</v>
      </c>
      <c r="E2060" t="str">
        <f t="shared" ca="1" si="399"/>
        <v>Family Type: Curtain Wall_Bespoke 1 - 1979.5 x 3800, Family: Window External Type 5 - Flush Instance Width</v>
      </c>
      <c r="F2060" t="str">
        <f t="shared" ca="1" si="400"/>
        <v>Vector(X = -0.956, Y = 0.294, Z = 0.000, Length = 1.000)</v>
      </c>
      <c r="G2060">
        <f t="shared" ca="1" si="391"/>
        <v>-1</v>
      </c>
      <c r="H2060">
        <f t="shared" ca="1" si="392"/>
        <v>0.3</v>
      </c>
      <c r="I2060">
        <f t="shared" ca="1" si="393"/>
        <v>0</v>
      </c>
      <c r="J2060" s="8">
        <f t="shared" ca="1" si="394"/>
        <v>163.30075576600638</v>
      </c>
      <c r="K2060" s="9" t="str">
        <f t="shared" ca="1" si="395"/>
        <v>WN</v>
      </c>
      <c r="L2060">
        <f ca="1">+_xlfn.IFNA(VLOOKUP(M2060,BespokeWindowsAreas!$B$2:$E$1999,4,FALSE),VLOOKUP(E2060,WindowTypeArea!$B$2:$C$113,2,FALSE))</f>
        <v>1.95</v>
      </c>
      <c r="M2060">
        <f t="shared" ca="1" si="396"/>
        <v>5144165</v>
      </c>
    </row>
    <row r="2061" spans="1:13" x14ac:dyDescent="0.25">
      <c r="A2061">
        <f t="shared" ca="1" si="389"/>
        <v>5</v>
      </c>
      <c r="B2061">
        <f t="shared" ca="1" si="390"/>
        <v>342</v>
      </c>
      <c r="C2061" t="str">
        <f t="shared" ca="1" si="397"/>
        <v>'WINDOWS-NCH-A-BDP-M3-03-00'!B341</v>
      </c>
      <c r="D2061" s="6" t="str">
        <f t="shared" ca="1" si="398"/>
        <v>L03-EDU-ETC-L017-01</v>
      </c>
      <c r="E2061" t="str">
        <f t="shared" ca="1" si="399"/>
        <v>Family Type: Curtain Wall_Bespoke 1 - 1979.5 x 3800, Family: Window External Type 5 - Flush Instance Width</v>
      </c>
      <c r="F2061" t="str">
        <f t="shared" ca="1" si="400"/>
        <v>Vector(X = -0.956, Y = 0.294, Z = 0.000, Length = 1.000)</v>
      </c>
      <c r="G2061">
        <f t="shared" ca="1" si="391"/>
        <v>-1</v>
      </c>
      <c r="H2061">
        <f t="shared" ca="1" si="392"/>
        <v>0.3</v>
      </c>
      <c r="I2061">
        <f t="shared" ca="1" si="393"/>
        <v>0</v>
      </c>
      <c r="J2061" s="8">
        <f t="shared" ca="1" si="394"/>
        <v>163.30075576600638</v>
      </c>
      <c r="K2061" s="9" t="str">
        <f t="shared" ca="1" si="395"/>
        <v>WN</v>
      </c>
      <c r="L2061">
        <f ca="1">+_xlfn.IFNA(VLOOKUP(M2061,BespokeWindowsAreas!$B$2:$E$1999,4,FALSE),VLOOKUP(E2061,WindowTypeArea!$B$2:$C$113,2,FALSE))</f>
        <v>1.95</v>
      </c>
      <c r="M2061">
        <f t="shared" ca="1" si="396"/>
        <v>5144166</v>
      </c>
    </row>
    <row r="2062" spans="1:13" x14ac:dyDescent="0.25">
      <c r="A2062">
        <f t="shared" ca="1" si="389"/>
        <v>5</v>
      </c>
      <c r="B2062">
        <f t="shared" ca="1" si="390"/>
        <v>343</v>
      </c>
      <c r="C2062" t="str">
        <f t="shared" ca="1" si="397"/>
        <v>'WINDOWS-NCH-A-BDP-M3-03-00'!B342</v>
      </c>
      <c r="D2062" s="6" t="str">
        <f t="shared" ca="1" si="398"/>
        <v>L03-EDU-ETC-L017-01</v>
      </c>
      <c r="E2062" t="str">
        <f t="shared" ca="1" si="399"/>
        <v>Family Type: Curtain Wall_Bespoke 1 - 1979.5 x 3800, Family: Window External Type 5 - Flush Instance Width</v>
      </c>
      <c r="F2062" t="str">
        <f t="shared" ca="1" si="400"/>
        <v>Vector(X = -0.956, Y = 0.294, Z = 0.000, Length = 1.000)</v>
      </c>
      <c r="G2062">
        <f t="shared" ca="1" si="391"/>
        <v>-1</v>
      </c>
      <c r="H2062">
        <f t="shared" ca="1" si="392"/>
        <v>0.3</v>
      </c>
      <c r="I2062">
        <f t="shared" ca="1" si="393"/>
        <v>0</v>
      </c>
      <c r="J2062" s="8">
        <f t="shared" ca="1" si="394"/>
        <v>163.30075576600638</v>
      </c>
      <c r="K2062" s="9" t="str">
        <f t="shared" ca="1" si="395"/>
        <v>WN</v>
      </c>
      <c r="L2062">
        <f ca="1">+_xlfn.IFNA(VLOOKUP(M2062,BespokeWindowsAreas!$B$2:$E$1999,4,FALSE),VLOOKUP(E2062,WindowTypeArea!$B$2:$C$113,2,FALSE))</f>
        <v>1.95</v>
      </c>
      <c r="M2062">
        <f t="shared" ca="1" si="396"/>
        <v>5144168</v>
      </c>
    </row>
    <row r="2063" spans="1:13" x14ac:dyDescent="0.25">
      <c r="A2063">
        <f t="shared" ca="1" si="389"/>
        <v>5</v>
      </c>
      <c r="B2063">
        <f t="shared" ca="1" si="390"/>
        <v>344</v>
      </c>
      <c r="C2063" t="str">
        <f t="shared" ca="1" si="397"/>
        <v>'WINDOWS-NCH-A-BDP-M3-03-00'!B343</v>
      </c>
      <c r="D2063" s="6" t="str">
        <f t="shared" ca="1" si="398"/>
        <v>L03-EDU-ETC-L017-01</v>
      </c>
      <c r="E2063" t="str">
        <f t="shared" ca="1" si="399"/>
        <v>Family Type: Curtain Wall_Bespoke 1 - 1979.5 x 3800, Family: Window External Type 5 - Flush Instance Width</v>
      </c>
      <c r="F2063" t="str">
        <f t="shared" ca="1" si="400"/>
        <v>Vector(X = -0.956, Y = 0.294, Z = 0.000, Length = 1.000)</v>
      </c>
      <c r="G2063">
        <f t="shared" ca="1" si="391"/>
        <v>-1</v>
      </c>
      <c r="H2063">
        <f t="shared" ca="1" si="392"/>
        <v>0.3</v>
      </c>
      <c r="I2063">
        <f t="shared" ca="1" si="393"/>
        <v>0</v>
      </c>
      <c r="J2063" s="8">
        <f t="shared" ca="1" si="394"/>
        <v>163.30075576600638</v>
      </c>
      <c r="K2063" s="9" t="str">
        <f t="shared" ca="1" si="395"/>
        <v>WN</v>
      </c>
      <c r="L2063">
        <f ca="1">+_xlfn.IFNA(VLOOKUP(M2063,BespokeWindowsAreas!$B$2:$E$1999,4,FALSE),VLOOKUP(E2063,WindowTypeArea!$B$2:$C$113,2,FALSE))</f>
        <v>1.95</v>
      </c>
      <c r="M2063">
        <f t="shared" ca="1" si="396"/>
        <v>5144169</v>
      </c>
    </row>
    <row r="2064" spans="1:13" x14ac:dyDescent="0.25">
      <c r="A2064">
        <f t="shared" ca="1" si="389"/>
        <v>5</v>
      </c>
      <c r="B2064">
        <f t="shared" ca="1" si="390"/>
        <v>345</v>
      </c>
      <c r="C2064" t="str">
        <f t="shared" ca="1" si="397"/>
        <v>'WINDOWS-NCH-A-BDP-M3-03-00'!B344</v>
      </c>
      <c r="D2064" s="6" t="str">
        <f t="shared" ca="1" si="398"/>
        <v>L03-EDU-ETC-L017-02</v>
      </c>
      <c r="E2064" t="str">
        <f t="shared" ca="1" si="399"/>
        <v>L03-EDU-ETC-L017-02</v>
      </c>
      <c r="F2064">
        <f t="shared" ca="1" si="400"/>
        <v>1300861</v>
      </c>
      <c r="G2064">
        <f t="shared" ca="1" si="391"/>
        <v>0</v>
      </c>
      <c r="H2064">
        <f t="shared" ca="1" si="392"/>
        <v>0</v>
      </c>
      <c r="I2064">
        <f t="shared" ca="1" si="393"/>
        <v>0</v>
      </c>
      <c r="J2064" s="8" t="e">
        <f t="shared" ca="1" si="394"/>
        <v>#DIV/0!</v>
      </c>
      <c r="K2064" s="9" t="e">
        <f t="shared" ca="1" si="395"/>
        <v>#DIV/0!</v>
      </c>
      <c r="L2064" t="e">
        <f ca="1">+_xlfn.IFNA(VLOOKUP(M2064,BespokeWindowsAreas!$B$2:$E$1999,4,FALSE),VLOOKUP(E2064,WindowTypeArea!$B$2:$C$113,2,FALSE))</f>
        <v>#N/A</v>
      </c>
      <c r="M2064">
        <f t="shared" ca="1" si="396"/>
        <v>0</v>
      </c>
    </row>
    <row r="2065" spans="1:13" x14ac:dyDescent="0.25">
      <c r="A2065">
        <f t="shared" ca="1" si="389"/>
        <v>5</v>
      </c>
      <c r="B2065">
        <f t="shared" ca="1" si="390"/>
        <v>346</v>
      </c>
      <c r="C2065" t="str">
        <f t="shared" ca="1" si="397"/>
        <v>'WINDOWS-NCH-A-BDP-M3-03-00'!B345</v>
      </c>
      <c r="D2065" s="6" t="str">
        <f t="shared" ca="1" si="398"/>
        <v>L03-EDU-ETC-L017-02</v>
      </c>
      <c r="E2065" t="str">
        <f t="shared" ca="1" si="399"/>
        <v>Family Type: Curtain Wall_Bespoke 1 - 1979.5 x 3800, Family: Window External Type 5 - Flush Instance Width</v>
      </c>
      <c r="F2065" t="str">
        <f t="shared" ca="1" si="400"/>
        <v>Vector(X = -0.956, Y = 0.294, Z = 0.000, Length = 1.000)</v>
      </c>
      <c r="G2065">
        <f t="shared" ca="1" si="391"/>
        <v>-1</v>
      </c>
      <c r="H2065">
        <f t="shared" ca="1" si="392"/>
        <v>0.3</v>
      </c>
      <c r="I2065">
        <f t="shared" ca="1" si="393"/>
        <v>0</v>
      </c>
      <c r="J2065" s="8">
        <f t="shared" ca="1" si="394"/>
        <v>163.30075576600638</v>
      </c>
      <c r="K2065" s="9" t="str">
        <f t="shared" ca="1" si="395"/>
        <v>WN</v>
      </c>
      <c r="L2065">
        <f ca="1">+_xlfn.IFNA(VLOOKUP(M2065,BespokeWindowsAreas!$B$2:$E$1999,4,FALSE),VLOOKUP(E2065,WindowTypeArea!$B$2:$C$113,2,FALSE))</f>
        <v>7.9950000000000001</v>
      </c>
      <c r="M2065">
        <f t="shared" ca="1" si="396"/>
        <v>4914404</v>
      </c>
    </row>
    <row r="2066" spans="1:13" x14ac:dyDescent="0.25">
      <c r="A2066">
        <f t="shared" ca="1" si="389"/>
        <v>5</v>
      </c>
      <c r="B2066">
        <f t="shared" ca="1" si="390"/>
        <v>347</v>
      </c>
      <c r="C2066" t="str">
        <f t="shared" ca="1" si="397"/>
        <v>'WINDOWS-NCH-A-BDP-M3-03-00'!B346</v>
      </c>
      <c r="D2066" s="6" t="str">
        <f t="shared" ca="1" si="398"/>
        <v>L03-EDU-ETC-L017-02</v>
      </c>
      <c r="E2066" t="str">
        <f t="shared" ca="1" si="399"/>
        <v>Family Type: Curtain Wall_Bespoke 1 - 1979.5 x 3800, Family: Window External Type 5 - Flush Instance Width</v>
      </c>
      <c r="F2066" t="str">
        <f t="shared" ca="1" si="400"/>
        <v>Vector(X = -0.956, Y = 0.294, Z = 0.000, Length = 1.000)</v>
      </c>
      <c r="G2066">
        <f t="shared" ca="1" si="391"/>
        <v>-1</v>
      </c>
      <c r="H2066">
        <f t="shared" ca="1" si="392"/>
        <v>0.3</v>
      </c>
      <c r="I2066">
        <f t="shared" ca="1" si="393"/>
        <v>0</v>
      </c>
      <c r="J2066" s="8">
        <f t="shared" ca="1" si="394"/>
        <v>163.30075576600638</v>
      </c>
      <c r="K2066" s="9" t="str">
        <f t="shared" ca="1" si="395"/>
        <v>WN</v>
      </c>
      <c r="L2066">
        <f ca="1">+_xlfn.IFNA(VLOOKUP(M2066,BespokeWindowsAreas!$B$2:$E$1999,4,FALSE),VLOOKUP(E2066,WindowTypeArea!$B$2:$C$113,2,FALSE))</f>
        <v>7.9950000000000001</v>
      </c>
      <c r="M2066">
        <f t="shared" ca="1" si="396"/>
        <v>4914405</v>
      </c>
    </row>
    <row r="2067" spans="1:13" x14ac:dyDescent="0.25">
      <c r="A2067">
        <f t="shared" ca="1" si="389"/>
        <v>5</v>
      </c>
      <c r="B2067">
        <f t="shared" ca="1" si="390"/>
        <v>348</v>
      </c>
      <c r="C2067" t="str">
        <f t="shared" ca="1" si="397"/>
        <v>'WINDOWS-NCH-A-BDP-M3-03-00'!B347</v>
      </c>
      <c r="D2067" s="6" t="str">
        <f t="shared" ca="1" si="398"/>
        <v>L03-EDU-ETC-L017-02</v>
      </c>
      <c r="E2067" t="str">
        <f t="shared" ca="1" si="399"/>
        <v>Family Type: Curtain Wall_Bespoke 1 - 1979.5 x 3800, Family: Window External Type 5 - Flush Instance Width</v>
      </c>
      <c r="F2067" t="str">
        <f t="shared" ca="1" si="400"/>
        <v>Vector(X = -0.956, Y = 0.294, Z = 0.000, Length = 1.000)</v>
      </c>
      <c r="G2067">
        <f t="shared" ca="1" si="391"/>
        <v>-1</v>
      </c>
      <c r="H2067">
        <f t="shared" ca="1" si="392"/>
        <v>0.3</v>
      </c>
      <c r="I2067">
        <f t="shared" ca="1" si="393"/>
        <v>0</v>
      </c>
      <c r="J2067" s="8">
        <f t="shared" ca="1" si="394"/>
        <v>163.30075576600638</v>
      </c>
      <c r="K2067" s="9" t="str">
        <f t="shared" ca="1" si="395"/>
        <v>WN</v>
      </c>
      <c r="L2067">
        <f ca="1">+_xlfn.IFNA(VLOOKUP(M2067,BespokeWindowsAreas!$B$2:$E$1999,4,FALSE),VLOOKUP(E2067,WindowTypeArea!$B$2:$C$113,2,FALSE))</f>
        <v>7.9950000000000001</v>
      </c>
      <c r="M2067">
        <f t="shared" ca="1" si="396"/>
        <v>4914406</v>
      </c>
    </row>
    <row r="2068" spans="1:13" x14ac:dyDescent="0.25">
      <c r="A2068">
        <f t="shared" ref="A2068:A2131" ca="1" si="401">+IF(B2067&lt;=VLOOKUP(MID(C2068,2,26),TABS,2,FALSE),A2067,+A2067+1)</f>
        <v>5</v>
      </c>
      <c r="B2068">
        <f t="shared" ref="B2068:B2131" ca="1" si="402">+IF(B2067&lt;=VLOOKUP(MID(C2068,2,26),TABS,2,FALSE),B2067+1,1)</f>
        <v>349</v>
      </c>
      <c r="C2068" t="str">
        <f t="shared" ca="1" si="397"/>
        <v>'WINDOWS-NCH-A-BDP-M3-03-00'!B348</v>
      </c>
      <c r="D2068" s="6" t="str">
        <f t="shared" ca="1" si="398"/>
        <v>L03-EDU-ETC-L017-02</v>
      </c>
      <c r="E2068" t="str">
        <f t="shared" ca="1" si="399"/>
        <v>Family Type: Curtain Wall_Bespoke 1 - 1979.5 x 3800, Family: Window External Type 5 - Flush Instance Width</v>
      </c>
      <c r="F2068" t="str">
        <f t="shared" ca="1" si="400"/>
        <v>Vector(X = -0.956, Y = 0.294, Z = 0.000, Length = 1.000)</v>
      </c>
      <c r="G2068">
        <f t="shared" ca="1" si="391"/>
        <v>-1</v>
      </c>
      <c r="H2068">
        <f t="shared" ca="1" si="392"/>
        <v>0.3</v>
      </c>
      <c r="I2068">
        <f t="shared" ca="1" si="393"/>
        <v>0</v>
      </c>
      <c r="J2068" s="8">
        <f t="shared" ca="1" si="394"/>
        <v>163.30075576600638</v>
      </c>
      <c r="K2068" s="9" t="str">
        <f t="shared" ca="1" si="395"/>
        <v>WN</v>
      </c>
      <c r="L2068">
        <f ca="1">+_xlfn.IFNA(VLOOKUP(M2068,BespokeWindowsAreas!$B$2:$E$1999,4,FALSE),VLOOKUP(E2068,WindowTypeArea!$B$2:$C$113,2,FALSE))</f>
        <v>7.9950000000000001</v>
      </c>
      <c r="M2068">
        <f t="shared" ca="1" si="396"/>
        <v>4914407</v>
      </c>
    </row>
    <row r="2069" spans="1:13" x14ac:dyDescent="0.25">
      <c r="A2069">
        <f t="shared" ca="1" si="401"/>
        <v>5</v>
      </c>
      <c r="B2069">
        <f t="shared" ca="1" si="402"/>
        <v>350</v>
      </c>
      <c r="C2069" t="str">
        <f t="shared" ca="1" si="397"/>
        <v>'WINDOWS-NCH-A-BDP-M3-03-00'!B349</v>
      </c>
      <c r="D2069" s="6" t="str">
        <f t="shared" ca="1" si="398"/>
        <v>L03-EDU-ETC-L017-02</v>
      </c>
      <c r="E2069" t="str">
        <f t="shared" ca="1" si="399"/>
        <v>Family Type: Curtain Wall_Bespoke 1 - 1979.5 x 3800, Family: Window External Type 5 - Flush Instance Width</v>
      </c>
      <c r="F2069" t="str">
        <f t="shared" ca="1" si="400"/>
        <v>Vector(X = -0.956, Y = 0.294, Z = 0.000, Length = 1.000)</v>
      </c>
      <c r="G2069">
        <f t="shared" ca="1" si="391"/>
        <v>-1</v>
      </c>
      <c r="H2069">
        <f t="shared" ca="1" si="392"/>
        <v>0.3</v>
      </c>
      <c r="I2069">
        <f t="shared" ca="1" si="393"/>
        <v>0</v>
      </c>
      <c r="J2069" s="8">
        <f t="shared" ca="1" si="394"/>
        <v>163.30075576600638</v>
      </c>
      <c r="K2069" s="9" t="str">
        <f t="shared" ca="1" si="395"/>
        <v>WN</v>
      </c>
      <c r="L2069">
        <f ca="1">+_xlfn.IFNA(VLOOKUP(M2069,BespokeWindowsAreas!$B$2:$E$1999,4,FALSE),VLOOKUP(E2069,WindowTypeArea!$B$2:$C$113,2,FALSE))</f>
        <v>2.0991999999998523</v>
      </c>
      <c r="M2069">
        <f t="shared" ca="1" si="396"/>
        <v>4914409</v>
      </c>
    </row>
    <row r="2070" spans="1:13" x14ac:dyDescent="0.25">
      <c r="A2070">
        <f t="shared" ca="1" si="401"/>
        <v>5</v>
      </c>
      <c r="B2070">
        <f t="shared" ca="1" si="402"/>
        <v>351</v>
      </c>
      <c r="C2070" t="str">
        <f t="shared" ca="1" si="397"/>
        <v>'WINDOWS-NCH-A-BDP-M3-03-00'!B350</v>
      </c>
      <c r="D2070" s="6" t="str">
        <f t="shared" ca="1" si="398"/>
        <v>L03-EDU-ETC-L017-02</v>
      </c>
      <c r="E2070" t="str">
        <f t="shared" ca="1" si="399"/>
        <v>Family Type: Curtain Wall_Bespoke 1 - 1979.5 x 3800, Family: Window External Type 5 - Flush Instance Width</v>
      </c>
      <c r="F2070" t="str">
        <f t="shared" ca="1" si="400"/>
        <v>Vector(X = -0.956, Y = 0.294, Z = 0.000, Length = 1.000)</v>
      </c>
      <c r="G2070">
        <f t="shared" ref="G2070:G2133" ca="1" si="403">+OFFSET(INDIRECT(C2070),0,2)</f>
        <v>-1</v>
      </c>
      <c r="H2070">
        <f t="shared" ref="H2070:H2133" ca="1" si="404">+OFFSET(INDIRECT(C2070),0,3)</f>
        <v>0.3</v>
      </c>
      <c r="I2070">
        <f t="shared" ref="I2070:I2133" ca="1" si="405">+OFFSET(INDIRECT(C2070),0,4)</f>
        <v>0</v>
      </c>
      <c r="J2070" s="8">
        <f t="shared" ref="J2070:J2133" ca="1" si="406">+DEGREES(ATAN2(G2070,H2070))</f>
        <v>163.30075576600638</v>
      </c>
      <c r="K2070" s="9" t="str">
        <f t="shared" ref="K2070:K2133" ca="1" si="407">VLOOKUP(J2070,$O$20:$P$36,2,-1)</f>
        <v>WN</v>
      </c>
      <c r="L2070">
        <f ca="1">+_xlfn.IFNA(VLOOKUP(M2070,BespokeWindowsAreas!$B$2:$E$1999,4,FALSE),VLOOKUP(E2070,WindowTypeArea!$B$2:$C$113,2,FALSE))</f>
        <v>1.95</v>
      </c>
      <c r="M2070">
        <f t="shared" ref="M2070:M2133" ca="1" si="408">+OFFSET(INDIRECT(C2070),0,5)</f>
        <v>5144016</v>
      </c>
    </row>
    <row r="2071" spans="1:13" x14ac:dyDescent="0.25">
      <c r="A2071">
        <f t="shared" ca="1" si="401"/>
        <v>5</v>
      </c>
      <c r="B2071">
        <f t="shared" ca="1" si="402"/>
        <v>352</v>
      </c>
      <c r="C2071" t="str">
        <f t="shared" ca="1" si="397"/>
        <v>'WINDOWS-NCH-A-BDP-M3-03-00'!B351</v>
      </c>
      <c r="D2071" s="6" t="str">
        <f t="shared" ca="1" si="398"/>
        <v>L03-EDU-ETC-L017-02</v>
      </c>
      <c r="E2071" t="str">
        <f t="shared" ca="1" si="399"/>
        <v>Family Type: Curtain Wall_Bespoke 1 - 1979.5 x 3800, Family: Window External Type 5 - Flush Instance Width</v>
      </c>
      <c r="F2071" t="str">
        <f t="shared" ca="1" si="400"/>
        <v>Vector(X = -0.956, Y = 0.294, Z = 0.000, Length = 1.000)</v>
      </c>
      <c r="G2071">
        <f t="shared" ca="1" si="403"/>
        <v>-1</v>
      </c>
      <c r="H2071">
        <f t="shared" ca="1" si="404"/>
        <v>0.3</v>
      </c>
      <c r="I2071">
        <f t="shared" ca="1" si="405"/>
        <v>0</v>
      </c>
      <c r="J2071" s="8">
        <f t="shared" ca="1" si="406"/>
        <v>163.30075576600638</v>
      </c>
      <c r="K2071" s="9" t="str">
        <f t="shared" ca="1" si="407"/>
        <v>WN</v>
      </c>
      <c r="L2071">
        <f ca="1">+_xlfn.IFNA(VLOOKUP(M2071,BespokeWindowsAreas!$B$2:$E$1999,4,FALSE),VLOOKUP(E2071,WindowTypeArea!$B$2:$C$113,2,FALSE))</f>
        <v>1.95</v>
      </c>
      <c r="M2071">
        <f t="shared" ca="1" si="408"/>
        <v>5144017</v>
      </c>
    </row>
    <row r="2072" spans="1:13" x14ac:dyDescent="0.25">
      <c r="A2072">
        <f t="shared" ca="1" si="401"/>
        <v>5</v>
      </c>
      <c r="B2072">
        <f t="shared" ca="1" si="402"/>
        <v>353</v>
      </c>
      <c r="C2072" t="str">
        <f t="shared" ca="1" si="397"/>
        <v>'WINDOWS-NCH-A-BDP-M3-03-00'!B352</v>
      </c>
      <c r="D2072" s="6" t="str">
        <f t="shared" ca="1" si="398"/>
        <v>L03-EDU-ETC-L017-02</v>
      </c>
      <c r="E2072" t="str">
        <f t="shared" ca="1" si="399"/>
        <v>Family Type: Curtain Wall_Bespoke 1 - 1979.5 x 3800, Family: Window External Type 5 - Flush Instance Width</v>
      </c>
      <c r="F2072" t="str">
        <f t="shared" ca="1" si="400"/>
        <v>Vector(X = -0.956, Y = 0.294, Z = 0.000, Length = 1.000)</v>
      </c>
      <c r="G2072">
        <f t="shared" ca="1" si="403"/>
        <v>-1</v>
      </c>
      <c r="H2072">
        <f t="shared" ca="1" si="404"/>
        <v>0.3</v>
      </c>
      <c r="I2072">
        <f t="shared" ca="1" si="405"/>
        <v>0</v>
      </c>
      <c r="J2072" s="8">
        <f t="shared" ca="1" si="406"/>
        <v>163.30075576600638</v>
      </c>
      <c r="K2072" s="9" t="str">
        <f t="shared" ca="1" si="407"/>
        <v>WN</v>
      </c>
      <c r="L2072">
        <f ca="1">+_xlfn.IFNA(VLOOKUP(M2072,BespokeWindowsAreas!$B$2:$E$1999,4,FALSE),VLOOKUP(E2072,WindowTypeArea!$B$2:$C$113,2,FALSE))</f>
        <v>1.95</v>
      </c>
      <c r="M2072">
        <f t="shared" ca="1" si="408"/>
        <v>5144018</v>
      </c>
    </row>
    <row r="2073" spans="1:13" x14ac:dyDescent="0.25">
      <c r="A2073">
        <f t="shared" ca="1" si="401"/>
        <v>5</v>
      </c>
      <c r="B2073">
        <f t="shared" ca="1" si="402"/>
        <v>354</v>
      </c>
      <c r="C2073" t="str">
        <f t="shared" ca="1" si="397"/>
        <v>'WINDOWS-NCH-A-BDP-M3-03-00'!B353</v>
      </c>
      <c r="D2073" s="6" t="str">
        <f t="shared" ca="1" si="398"/>
        <v>L03-EDU-ETC-L017-02</v>
      </c>
      <c r="E2073" t="str">
        <f t="shared" ca="1" si="399"/>
        <v>Family Type: Curtain Wall_Bespoke 1 - 1979.5 x 3800, Family: Window External Type 5 - Flush Instance Width</v>
      </c>
      <c r="F2073" t="str">
        <f t="shared" ca="1" si="400"/>
        <v>Vector(X = -0.956, Y = 0.294, Z = 0.000, Length = 1.000)</v>
      </c>
      <c r="G2073">
        <f t="shared" ca="1" si="403"/>
        <v>-1</v>
      </c>
      <c r="H2073">
        <f t="shared" ca="1" si="404"/>
        <v>0.3</v>
      </c>
      <c r="I2073">
        <f t="shared" ca="1" si="405"/>
        <v>0</v>
      </c>
      <c r="J2073" s="8">
        <f t="shared" ca="1" si="406"/>
        <v>163.30075576600638</v>
      </c>
      <c r="K2073" s="9" t="str">
        <f t="shared" ca="1" si="407"/>
        <v>WN</v>
      </c>
      <c r="L2073">
        <f ca="1">+_xlfn.IFNA(VLOOKUP(M2073,BespokeWindowsAreas!$B$2:$E$1999,4,FALSE),VLOOKUP(E2073,WindowTypeArea!$B$2:$C$113,2,FALSE))</f>
        <v>1.95</v>
      </c>
      <c r="M2073">
        <f t="shared" ca="1" si="408"/>
        <v>5144019</v>
      </c>
    </row>
    <row r="2074" spans="1:13" x14ac:dyDescent="0.25">
      <c r="A2074">
        <f t="shared" ca="1" si="401"/>
        <v>5</v>
      </c>
      <c r="B2074">
        <f t="shared" ca="1" si="402"/>
        <v>355</v>
      </c>
      <c r="C2074" t="str">
        <f t="shared" ca="1" si="397"/>
        <v>'WINDOWS-NCH-A-BDP-M3-03-00'!B354</v>
      </c>
      <c r="D2074" s="6" t="str">
        <f t="shared" ca="1" si="398"/>
        <v>L03-EDU-ETC-L017-02</v>
      </c>
      <c r="E2074" t="str">
        <f t="shared" ca="1" si="399"/>
        <v>Family Type: Curtain Wall_Bespoke 1 - 1979.5 x 3800, Family: Window External Type 5 - Flush Instance Width</v>
      </c>
      <c r="F2074" t="str">
        <f t="shared" ca="1" si="400"/>
        <v>Vector(X = -0.956, Y = 0.294, Z = 0.000, Length = 1.000)</v>
      </c>
      <c r="G2074">
        <f t="shared" ca="1" si="403"/>
        <v>-1</v>
      </c>
      <c r="H2074">
        <f t="shared" ca="1" si="404"/>
        <v>0.3</v>
      </c>
      <c r="I2074">
        <f t="shared" ca="1" si="405"/>
        <v>0</v>
      </c>
      <c r="J2074" s="8">
        <f t="shared" ca="1" si="406"/>
        <v>163.30075576600638</v>
      </c>
      <c r="K2074" s="9" t="str">
        <f t="shared" ca="1" si="407"/>
        <v>WN</v>
      </c>
      <c r="L2074">
        <f ca="1">+_xlfn.IFNA(VLOOKUP(M2074,BespokeWindowsAreas!$B$2:$E$1999,4,FALSE),VLOOKUP(E2074,WindowTypeArea!$B$2:$C$113,2,FALSE))</f>
        <v>0.51199999999997403</v>
      </c>
      <c r="M2074">
        <f t="shared" ca="1" si="408"/>
        <v>5144021</v>
      </c>
    </row>
    <row r="2075" spans="1:13" x14ac:dyDescent="0.25">
      <c r="A2075">
        <f t="shared" ca="1" si="401"/>
        <v>5</v>
      </c>
      <c r="B2075">
        <f t="shared" ca="1" si="402"/>
        <v>356</v>
      </c>
      <c r="C2075" t="str">
        <f t="shared" ca="1" si="397"/>
        <v>'WINDOWS-NCH-A-BDP-M3-03-00'!B355</v>
      </c>
      <c r="D2075" s="6" t="str">
        <f t="shared" ca="1" si="398"/>
        <v>L03-EDU-ETC-L079-01</v>
      </c>
      <c r="E2075" t="str">
        <f t="shared" ca="1" si="399"/>
        <v>L03-EDU-ETC-L079-01</v>
      </c>
      <c r="F2075">
        <f t="shared" ca="1" si="400"/>
        <v>1300863</v>
      </c>
      <c r="G2075">
        <f t="shared" ca="1" si="403"/>
        <v>0</v>
      </c>
      <c r="H2075">
        <f t="shared" ca="1" si="404"/>
        <v>0</v>
      </c>
      <c r="I2075">
        <f t="shared" ca="1" si="405"/>
        <v>0</v>
      </c>
      <c r="J2075" s="8" t="e">
        <f t="shared" ca="1" si="406"/>
        <v>#DIV/0!</v>
      </c>
      <c r="K2075" s="9" t="e">
        <f t="shared" ca="1" si="407"/>
        <v>#DIV/0!</v>
      </c>
      <c r="L2075" t="e">
        <f ca="1">+_xlfn.IFNA(VLOOKUP(M2075,BespokeWindowsAreas!$B$2:$E$1999,4,FALSE),VLOOKUP(E2075,WindowTypeArea!$B$2:$C$113,2,FALSE))</f>
        <v>#N/A</v>
      </c>
      <c r="M2075">
        <f t="shared" ca="1" si="408"/>
        <v>0</v>
      </c>
    </row>
    <row r="2076" spans="1:13" x14ac:dyDescent="0.25">
      <c r="A2076">
        <f t="shared" ca="1" si="401"/>
        <v>5</v>
      </c>
      <c r="B2076">
        <f t="shared" ca="1" si="402"/>
        <v>357</v>
      </c>
      <c r="C2076" t="str">
        <f t="shared" ca="1" si="397"/>
        <v>'WINDOWS-NCH-A-BDP-M3-03-00'!B356</v>
      </c>
      <c r="D2076" s="6" t="str">
        <f t="shared" ca="1" si="398"/>
        <v>L03-EDU-ETC-L079-01</v>
      </c>
      <c r="E2076" t="str">
        <f t="shared" ca="1" si="399"/>
        <v>Family Type: Curtain Wall_1950w x 3800h, Family: Window External Type 5 - Flush</v>
      </c>
      <c r="F2076" t="str">
        <f t="shared" ca="1" si="400"/>
        <v>Vector(X = -0.956, Y = 0.294, Z = 0.000, Length = 1.000)</v>
      </c>
      <c r="G2076">
        <f t="shared" ca="1" si="403"/>
        <v>-1</v>
      </c>
      <c r="H2076">
        <f t="shared" ca="1" si="404"/>
        <v>0.3</v>
      </c>
      <c r="I2076">
        <f t="shared" ca="1" si="405"/>
        <v>0</v>
      </c>
      <c r="J2076" s="8">
        <f t="shared" ca="1" si="406"/>
        <v>163.30075576600638</v>
      </c>
      <c r="K2076" s="9" t="str">
        <f t="shared" ca="1" si="407"/>
        <v>WN</v>
      </c>
      <c r="L2076">
        <f ca="1">+_xlfn.IFNA(VLOOKUP(M2076,BespokeWindowsAreas!$B$2:$E$1999,4,FALSE),VLOOKUP(E2076,WindowTypeArea!$B$2:$C$113,2,FALSE))</f>
        <v>7.9950000000000001</v>
      </c>
      <c r="M2076">
        <f t="shared" ca="1" si="408"/>
        <v>4915165</v>
      </c>
    </row>
    <row r="2077" spans="1:13" x14ac:dyDescent="0.25">
      <c r="A2077">
        <f t="shared" ca="1" si="401"/>
        <v>5</v>
      </c>
      <c r="B2077">
        <f t="shared" ca="1" si="402"/>
        <v>358</v>
      </c>
      <c r="C2077" t="str">
        <f t="shared" ca="1" si="397"/>
        <v>'WINDOWS-NCH-A-BDP-M3-03-00'!B357</v>
      </c>
      <c r="D2077" s="6" t="str">
        <f t="shared" ca="1" si="398"/>
        <v>L03-EDU-ETC-L079-01</v>
      </c>
      <c r="E2077" t="str">
        <f t="shared" ca="1" si="399"/>
        <v>Family Type: Curtain Wall_975w x 3800h, Family: Window External Type 5 - Flush</v>
      </c>
      <c r="F2077" t="str">
        <f t="shared" ca="1" si="400"/>
        <v>Vector(X = -0.956, Y = 0.294, Z = 0.000, Length = 1.000)</v>
      </c>
      <c r="G2077">
        <f t="shared" ca="1" si="403"/>
        <v>-1</v>
      </c>
      <c r="H2077">
        <f t="shared" ca="1" si="404"/>
        <v>0.3</v>
      </c>
      <c r="I2077">
        <f t="shared" ca="1" si="405"/>
        <v>0</v>
      </c>
      <c r="J2077" s="8">
        <f t="shared" ca="1" si="406"/>
        <v>163.30075576600638</v>
      </c>
      <c r="K2077" s="9" t="str">
        <f t="shared" ca="1" si="407"/>
        <v>WN</v>
      </c>
      <c r="L2077">
        <f ca="1">+_xlfn.IFNA(VLOOKUP(M2077,BespokeWindowsAreas!$B$2:$E$1999,4,FALSE),VLOOKUP(E2077,WindowTypeArea!$B$2:$C$113,2,FALSE))</f>
        <v>3.9975000000000001</v>
      </c>
      <c r="M2077">
        <f t="shared" ca="1" si="408"/>
        <v>4915166</v>
      </c>
    </row>
    <row r="2078" spans="1:13" x14ac:dyDescent="0.25">
      <c r="A2078">
        <f t="shared" ca="1" si="401"/>
        <v>5</v>
      </c>
      <c r="B2078">
        <f t="shared" ca="1" si="402"/>
        <v>359</v>
      </c>
      <c r="C2078" t="str">
        <f t="shared" ca="1" si="397"/>
        <v>'WINDOWS-NCH-A-BDP-M3-03-00'!B358</v>
      </c>
      <c r="D2078" s="6" t="str">
        <f t="shared" ca="1" si="398"/>
        <v>L03-EDU-ETC-L079-01</v>
      </c>
      <c r="E2078" t="str">
        <f t="shared" ca="1" si="399"/>
        <v>Family Type: Curtain Wall_1950w x 3800h, Family: Window External Type 5 - Flush</v>
      </c>
      <c r="F2078" t="str">
        <f t="shared" ca="1" si="400"/>
        <v>Vector(X = -0.956, Y = 0.294, Z = 0.000, Length = 1.000)</v>
      </c>
      <c r="G2078">
        <f t="shared" ca="1" si="403"/>
        <v>-1</v>
      </c>
      <c r="H2078">
        <f t="shared" ca="1" si="404"/>
        <v>0.3</v>
      </c>
      <c r="I2078">
        <f t="shared" ca="1" si="405"/>
        <v>0</v>
      </c>
      <c r="J2078" s="8">
        <f t="shared" ca="1" si="406"/>
        <v>163.30075576600638</v>
      </c>
      <c r="K2078" s="9" t="str">
        <f t="shared" ca="1" si="407"/>
        <v>WN</v>
      </c>
      <c r="L2078">
        <f ca="1">+_xlfn.IFNA(VLOOKUP(M2078,BespokeWindowsAreas!$B$2:$E$1999,4,FALSE),VLOOKUP(E2078,WindowTypeArea!$B$2:$C$113,2,FALSE))</f>
        <v>7.9950000000000001</v>
      </c>
      <c r="M2078">
        <f t="shared" ca="1" si="408"/>
        <v>4915167</v>
      </c>
    </row>
    <row r="2079" spans="1:13" x14ac:dyDescent="0.25">
      <c r="A2079">
        <f t="shared" ca="1" si="401"/>
        <v>5</v>
      </c>
      <c r="B2079">
        <f t="shared" ca="1" si="402"/>
        <v>360</v>
      </c>
      <c r="C2079" t="str">
        <f t="shared" ca="1" si="397"/>
        <v>'WINDOWS-NCH-A-BDP-M3-03-00'!B359</v>
      </c>
      <c r="D2079" s="6" t="str">
        <f t="shared" ca="1" si="398"/>
        <v>L03-EDU-ETC-L079-01</v>
      </c>
      <c r="E2079" t="str">
        <f t="shared" ca="1" si="399"/>
        <v>Family Type: Curtain Wall_Bespoke 1 - 1979.5 x 3800, Family: Window External Type 5 - Flush Instance Width</v>
      </c>
      <c r="F2079" t="str">
        <f t="shared" ca="1" si="400"/>
        <v>Vector(X = -0.956, Y = 0.294, Z = 0.000, Length = 1.000)</v>
      </c>
      <c r="G2079">
        <f t="shared" ca="1" si="403"/>
        <v>-1</v>
      </c>
      <c r="H2079">
        <f t="shared" ca="1" si="404"/>
        <v>0.3</v>
      </c>
      <c r="I2079">
        <f t="shared" ca="1" si="405"/>
        <v>0</v>
      </c>
      <c r="J2079" s="8">
        <f t="shared" ca="1" si="406"/>
        <v>163.30075576600638</v>
      </c>
      <c r="K2079" s="9" t="str">
        <f t="shared" ca="1" si="407"/>
        <v>WN</v>
      </c>
      <c r="L2079">
        <f ca="1">+_xlfn.IFNA(VLOOKUP(M2079,BespokeWindowsAreas!$B$2:$E$1999,4,FALSE),VLOOKUP(E2079,WindowTypeArea!$B$2:$C$113,2,FALSE))</f>
        <v>3.9975000000001963</v>
      </c>
      <c r="M2079">
        <f t="shared" ca="1" si="408"/>
        <v>4915168</v>
      </c>
    </row>
    <row r="2080" spans="1:13" x14ac:dyDescent="0.25">
      <c r="A2080">
        <f t="shared" ca="1" si="401"/>
        <v>5</v>
      </c>
      <c r="B2080">
        <f t="shared" ca="1" si="402"/>
        <v>361</v>
      </c>
      <c r="C2080" t="str">
        <f t="shared" ca="1" si="397"/>
        <v>'WINDOWS-NCH-A-BDP-M3-03-00'!B360</v>
      </c>
      <c r="D2080" s="6" t="str">
        <f t="shared" ca="1" si="398"/>
        <v>L03-EDU-ETC-L079-01</v>
      </c>
      <c r="E2080" t="str">
        <f t="shared" ca="1" si="399"/>
        <v>Family Type: Curtain Wall_Bespoke 1 - 975 x 1050, Family: Window External Type 5 - Flush Instance Width</v>
      </c>
      <c r="F2080" t="str">
        <f t="shared" ca="1" si="400"/>
        <v>Vector(X = -0.956, Y = 0.294, Z = 0.000, Length = 1.000)</v>
      </c>
      <c r="G2080">
        <f t="shared" ca="1" si="403"/>
        <v>-1</v>
      </c>
      <c r="H2080">
        <f t="shared" ca="1" si="404"/>
        <v>0.3</v>
      </c>
      <c r="I2080">
        <f t="shared" ca="1" si="405"/>
        <v>0</v>
      </c>
      <c r="J2080" s="8">
        <f t="shared" ca="1" si="406"/>
        <v>163.30075576600638</v>
      </c>
      <c r="K2080" s="9" t="str">
        <f t="shared" ca="1" si="407"/>
        <v>WN</v>
      </c>
      <c r="L2080">
        <f ca="1">+_xlfn.IFNA(VLOOKUP(M2080,BespokeWindowsAreas!$B$2:$E$1999,4,FALSE),VLOOKUP(E2080,WindowTypeArea!$B$2:$C$113,2,FALSE))</f>
        <v>0.97500000000004794</v>
      </c>
      <c r="M2080">
        <f t="shared" ca="1" si="408"/>
        <v>5144346</v>
      </c>
    </row>
    <row r="2081" spans="1:13" x14ac:dyDescent="0.25">
      <c r="A2081">
        <f t="shared" ca="1" si="401"/>
        <v>5</v>
      </c>
      <c r="B2081">
        <f t="shared" ca="1" si="402"/>
        <v>362</v>
      </c>
      <c r="C2081" t="str">
        <f t="shared" ca="1" si="397"/>
        <v>'WINDOWS-NCH-A-BDP-M3-03-00'!B361</v>
      </c>
      <c r="D2081" s="6" t="str">
        <f t="shared" ca="1" si="398"/>
        <v>L03-EDU-ETC-L078-01</v>
      </c>
      <c r="E2081" t="str">
        <f t="shared" ca="1" si="399"/>
        <v>L03-EDU-ETC-L078-01</v>
      </c>
      <c r="F2081">
        <f t="shared" ca="1" si="400"/>
        <v>1300864</v>
      </c>
      <c r="G2081">
        <f t="shared" ca="1" si="403"/>
        <v>0</v>
      </c>
      <c r="H2081">
        <f t="shared" ca="1" si="404"/>
        <v>0</v>
      </c>
      <c r="I2081">
        <f t="shared" ca="1" si="405"/>
        <v>0</v>
      </c>
      <c r="J2081" s="8" t="e">
        <f t="shared" ca="1" si="406"/>
        <v>#DIV/0!</v>
      </c>
      <c r="K2081" s="9" t="e">
        <f t="shared" ca="1" si="407"/>
        <v>#DIV/0!</v>
      </c>
      <c r="L2081" t="e">
        <f ca="1">+_xlfn.IFNA(VLOOKUP(M2081,BespokeWindowsAreas!$B$2:$E$1999,4,FALSE),VLOOKUP(E2081,WindowTypeArea!$B$2:$C$113,2,FALSE))</f>
        <v>#N/A</v>
      </c>
      <c r="M2081">
        <f t="shared" ca="1" si="408"/>
        <v>0</v>
      </c>
    </row>
    <row r="2082" spans="1:13" x14ac:dyDescent="0.25">
      <c r="A2082">
        <f t="shared" ca="1" si="401"/>
        <v>5</v>
      </c>
      <c r="B2082">
        <f t="shared" ca="1" si="402"/>
        <v>363</v>
      </c>
      <c r="C2082" t="str">
        <f t="shared" ca="1" si="397"/>
        <v>'WINDOWS-NCH-A-BDP-M3-03-00'!B362</v>
      </c>
      <c r="D2082" s="6" t="str">
        <f t="shared" ca="1" si="398"/>
        <v>L03-EDU-ETC-L078-01</v>
      </c>
      <c r="E2082" t="str">
        <f t="shared" ca="1" si="399"/>
        <v>Family Type: Curtain Wall_Bespoke 1 - 1979.5 x 3800, Family: Window External Type 5 - Flush Instance Width</v>
      </c>
      <c r="F2082" t="str">
        <f t="shared" ca="1" si="400"/>
        <v>Vector(X = -0.988, Y = -0.155, Z = 0.000, Length = 1.000)</v>
      </c>
      <c r="G2082">
        <f t="shared" ca="1" si="403"/>
        <v>-1</v>
      </c>
      <c r="H2082">
        <f t="shared" ca="1" si="404"/>
        <v>-0.2</v>
      </c>
      <c r="I2082">
        <f t="shared" ca="1" si="405"/>
        <v>0</v>
      </c>
      <c r="J2082" s="8">
        <f t="shared" ca="1" si="406"/>
        <v>-168.69006752597977</v>
      </c>
      <c r="K2082" s="9" t="str">
        <f t="shared" ca="1" si="407"/>
        <v>W</v>
      </c>
      <c r="L2082">
        <f ca="1">+_xlfn.IFNA(VLOOKUP(M2082,BespokeWindowsAreas!$B$2:$E$1999,4,FALSE),VLOOKUP(E2082,WindowTypeArea!$B$2:$C$113,2,FALSE))</f>
        <v>7.9950000000000001</v>
      </c>
      <c r="M2082">
        <f t="shared" ca="1" si="408"/>
        <v>4810554</v>
      </c>
    </row>
    <row r="2083" spans="1:13" x14ac:dyDescent="0.25">
      <c r="A2083">
        <f t="shared" ca="1" si="401"/>
        <v>5</v>
      </c>
      <c r="B2083">
        <f t="shared" ca="1" si="402"/>
        <v>364</v>
      </c>
      <c r="C2083" t="str">
        <f t="shared" ca="1" si="397"/>
        <v>'WINDOWS-NCH-A-BDP-M3-03-00'!B363</v>
      </c>
      <c r="D2083" s="6" t="str">
        <f t="shared" ca="1" si="398"/>
        <v>L03-EDU-ETC-L078-01</v>
      </c>
      <c r="E2083" t="str">
        <f t="shared" ca="1" si="399"/>
        <v>Family Type: Curtain Wall_Bespoke 1 - 1979.5 x 3800, Family: Window External Type 5 - Flush Instance Width</v>
      </c>
      <c r="F2083" t="str">
        <f t="shared" ca="1" si="400"/>
        <v>Vector(X = -0.988, Y = -0.155, Z = 0.000, Length = 1.000)</v>
      </c>
      <c r="G2083">
        <f t="shared" ca="1" si="403"/>
        <v>-1</v>
      </c>
      <c r="H2083">
        <f t="shared" ca="1" si="404"/>
        <v>-0.2</v>
      </c>
      <c r="I2083">
        <f t="shared" ca="1" si="405"/>
        <v>0</v>
      </c>
      <c r="J2083" s="8">
        <f t="shared" ca="1" si="406"/>
        <v>-168.69006752597977</v>
      </c>
      <c r="K2083" s="9" t="str">
        <f t="shared" ca="1" si="407"/>
        <v>W</v>
      </c>
      <c r="L2083">
        <f ca="1">+_xlfn.IFNA(VLOOKUP(M2083,BespokeWindowsAreas!$B$2:$E$1999,4,FALSE),VLOOKUP(E2083,WindowTypeArea!$B$2:$C$113,2,FALSE))</f>
        <v>7.9950000000000001</v>
      </c>
      <c r="M2083">
        <f t="shared" ca="1" si="408"/>
        <v>4810555</v>
      </c>
    </row>
    <row r="2084" spans="1:13" x14ac:dyDescent="0.25">
      <c r="A2084">
        <f t="shared" ca="1" si="401"/>
        <v>5</v>
      </c>
      <c r="B2084">
        <f t="shared" ca="1" si="402"/>
        <v>365</v>
      </c>
      <c r="C2084" t="str">
        <f t="shared" ca="1" si="397"/>
        <v>'WINDOWS-NCH-A-BDP-M3-03-00'!B364</v>
      </c>
      <c r="D2084" s="6" t="str">
        <f t="shared" ca="1" si="398"/>
        <v>L03-EDU-ETC-L078-01</v>
      </c>
      <c r="E2084" t="str">
        <f t="shared" ca="1" si="399"/>
        <v>Family Type: Curtain Wall_Bespoke 1 - 1979.5 x 3800, Family: Window External Type 5 - Flush Instance Width</v>
      </c>
      <c r="F2084" t="str">
        <f t="shared" ca="1" si="400"/>
        <v>Vector(X = -0.988, Y = -0.155, Z = 0.000, Length = 1.000)</v>
      </c>
      <c r="G2084">
        <f t="shared" ca="1" si="403"/>
        <v>-1</v>
      </c>
      <c r="H2084">
        <f t="shared" ca="1" si="404"/>
        <v>-0.2</v>
      </c>
      <c r="I2084">
        <f t="shared" ca="1" si="405"/>
        <v>0</v>
      </c>
      <c r="J2084" s="8">
        <f t="shared" ca="1" si="406"/>
        <v>-168.69006752597977</v>
      </c>
      <c r="K2084" s="9" t="str">
        <f t="shared" ca="1" si="407"/>
        <v>W</v>
      </c>
      <c r="L2084">
        <f ca="1">+_xlfn.IFNA(VLOOKUP(M2084,BespokeWindowsAreas!$B$2:$E$1999,4,FALSE),VLOOKUP(E2084,WindowTypeArea!$B$2:$C$113,2,FALSE))</f>
        <v>3.9975000000000001</v>
      </c>
      <c r="M2084">
        <f t="shared" ca="1" si="408"/>
        <v>4810556</v>
      </c>
    </row>
    <row r="2085" spans="1:13" x14ac:dyDescent="0.25">
      <c r="A2085">
        <f t="shared" ca="1" si="401"/>
        <v>5</v>
      </c>
      <c r="B2085">
        <f t="shared" ca="1" si="402"/>
        <v>366</v>
      </c>
      <c r="C2085" t="str">
        <f t="shared" ca="1" si="397"/>
        <v>'WINDOWS-NCH-A-BDP-M3-03-00'!B365</v>
      </c>
      <c r="D2085" s="6" t="str">
        <f t="shared" ca="1" si="398"/>
        <v>L03-EDU-ETC-L078-01</v>
      </c>
      <c r="E2085" t="str">
        <f t="shared" ca="1" si="399"/>
        <v>Family Type: Curtain Wall_Bespoke 1 - 1979.5 x 3800, Family: Window External Type 5 - Flush Instance Width</v>
      </c>
      <c r="F2085" t="str">
        <f t="shared" ca="1" si="400"/>
        <v>Vector(X = -0.988, Y = -0.155, Z = 0.000, Length = 1.000)</v>
      </c>
      <c r="G2085">
        <f t="shared" ca="1" si="403"/>
        <v>-1</v>
      </c>
      <c r="H2085">
        <f t="shared" ca="1" si="404"/>
        <v>-0.2</v>
      </c>
      <c r="I2085">
        <f t="shared" ca="1" si="405"/>
        <v>0</v>
      </c>
      <c r="J2085" s="8">
        <f t="shared" ca="1" si="406"/>
        <v>-168.69006752597977</v>
      </c>
      <c r="K2085" s="9" t="str">
        <f t="shared" ca="1" si="407"/>
        <v>W</v>
      </c>
      <c r="L2085">
        <f ca="1">+_xlfn.IFNA(VLOOKUP(M2085,BespokeWindowsAreas!$B$2:$E$1999,4,FALSE),VLOOKUP(E2085,WindowTypeArea!$B$2:$C$113,2,FALSE))</f>
        <v>7.9950000000000001</v>
      </c>
      <c r="M2085">
        <f t="shared" ca="1" si="408"/>
        <v>4810557</v>
      </c>
    </row>
    <row r="2086" spans="1:13" x14ac:dyDescent="0.25">
      <c r="A2086">
        <f t="shared" ca="1" si="401"/>
        <v>5</v>
      </c>
      <c r="B2086">
        <f t="shared" ca="1" si="402"/>
        <v>367</v>
      </c>
      <c r="C2086" t="str">
        <f t="shared" ca="1" si="397"/>
        <v>'WINDOWS-NCH-A-BDP-M3-03-00'!B366</v>
      </c>
      <c r="D2086" s="6" t="str">
        <f t="shared" ca="1" si="398"/>
        <v>L03-EDU-ETC-L078-01</v>
      </c>
      <c r="E2086" t="str">
        <f t="shared" ca="1" si="399"/>
        <v>Family Type: Curtain Wall_Bespoke 1 - 1979.5 x 3800, Family: Window External Type 5 - Flush Instance Width</v>
      </c>
      <c r="F2086" t="str">
        <f t="shared" ca="1" si="400"/>
        <v>Vector(X = -0.988, Y = -0.155, Z = 0.000, Length = 1.000)</v>
      </c>
      <c r="G2086">
        <f t="shared" ca="1" si="403"/>
        <v>-1</v>
      </c>
      <c r="H2086">
        <f t="shared" ca="1" si="404"/>
        <v>-0.2</v>
      </c>
      <c r="I2086">
        <f t="shared" ca="1" si="405"/>
        <v>0</v>
      </c>
      <c r="J2086" s="8">
        <f t="shared" ca="1" si="406"/>
        <v>-168.69006752597977</v>
      </c>
      <c r="K2086" s="9" t="str">
        <f t="shared" ca="1" si="407"/>
        <v>W</v>
      </c>
      <c r="L2086">
        <f ca="1">+_xlfn.IFNA(VLOOKUP(M2086,BespokeWindowsAreas!$B$2:$E$1999,4,FALSE),VLOOKUP(E2086,WindowTypeArea!$B$2:$C$113,2,FALSE))</f>
        <v>6.8470000000001638</v>
      </c>
      <c r="M2086">
        <f t="shared" ca="1" si="408"/>
        <v>4810558</v>
      </c>
    </row>
    <row r="2087" spans="1:13" x14ac:dyDescent="0.25">
      <c r="A2087">
        <f t="shared" ca="1" si="401"/>
        <v>5</v>
      </c>
      <c r="B2087">
        <f t="shared" ca="1" si="402"/>
        <v>368</v>
      </c>
      <c r="C2087" t="str">
        <f t="shared" ca="1" si="397"/>
        <v>'WINDOWS-NCH-A-BDP-M3-03-00'!B367</v>
      </c>
      <c r="D2087" s="6" t="str">
        <f t="shared" ca="1" si="398"/>
        <v>L03-EDU-ETC-L078-01</v>
      </c>
      <c r="E2087" t="str">
        <f t="shared" ca="1" si="399"/>
        <v>Family Type: Curtain Wall_Bespoke 1 - 1979.5 x 3800, Family: Window External Type 5 - Flush Instance Width</v>
      </c>
      <c r="F2087" t="str">
        <f t="shared" ca="1" si="400"/>
        <v>Vector(X = -0.988, Y = -0.155, Z = 0.000, Length = 1.000)</v>
      </c>
      <c r="G2087">
        <f t="shared" ca="1" si="403"/>
        <v>-1</v>
      </c>
      <c r="H2087">
        <f t="shared" ca="1" si="404"/>
        <v>-0.2</v>
      </c>
      <c r="I2087">
        <f t="shared" ca="1" si="405"/>
        <v>0</v>
      </c>
      <c r="J2087" s="8">
        <f t="shared" ca="1" si="406"/>
        <v>-168.69006752597977</v>
      </c>
      <c r="K2087" s="9" t="str">
        <f t="shared" ca="1" si="407"/>
        <v>W</v>
      </c>
      <c r="L2087">
        <f ca="1">+_xlfn.IFNA(VLOOKUP(M2087,BespokeWindowsAreas!$B$2:$E$1999,4,FALSE),VLOOKUP(E2087,WindowTypeArea!$B$2:$C$113,2,FALSE))</f>
        <v>1.9500000000000099</v>
      </c>
      <c r="M2087">
        <f t="shared" ca="1" si="408"/>
        <v>5143816</v>
      </c>
    </row>
    <row r="2088" spans="1:13" x14ac:dyDescent="0.25">
      <c r="A2088">
        <f t="shared" ca="1" si="401"/>
        <v>5</v>
      </c>
      <c r="B2088">
        <f t="shared" ca="1" si="402"/>
        <v>369</v>
      </c>
      <c r="C2088" t="str">
        <f t="shared" ca="1" si="397"/>
        <v>'WINDOWS-NCH-A-BDP-M3-03-00'!B368</v>
      </c>
      <c r="D2088" s="6" t="str">
        <f t="shared" ca="1" si="398"/>
        <v>L03-EDU-ETC-L078-01</v>
      </c>
      <c r="E2088" t="str">
        <f t="shared" ca="1" si="399"/>
        <v>Family Type: Curtain Wall_Bespoke 1 - 1979.5 x 3800, Family: Window External Type 5 - Flush Instance Width</v>
      </c>
      <c r="F2088" t="str">
        <f t="shared" ca="1" si="400"/>
        <v>Vector(X = -0.988, Y = -0.155, Z = 0.000, Length = 1.000)</v>
      </c>
      <c r="G2088">
        <f t="shared" ca="1" si="403"/>
        <v>-1</v>
      </c>
      <c r="H2088">
        <f t="shared" ca="1" si="404"/>
        <v>-0.2</v>
      </c>
      <c r="I2088">
        <f t="shared" ca="1" si="405"/>
        <v>0</v>
      </c>
      <c r="J2088" s="8">
        <f t="shared" ca="1" si="406"/>
        <v>-168.69006752597977</v>
      </c>
      <c r="K2088" s="9" t="str">
        <f t="shared" ca="1" si="407"/>
        <v>W</v>
      </c>
      <c r="L2088">
        <f ca="1">+_xlfn.IFNA(VLOOKUP(M2088,BespokeWindowsAreas!$B$2:$E$1999,4,FALSE),VLOOKUP(E2088,WindowTypeArea!$B$2:$C$113,2,FALSE))</f>
        <v>1.9500000000000199</v>
      </c>
      <c r="M2088">
        <f t="shared" ca="1" si="408"/>
        <v>5143817</v>
      </c>
    </row>
    <row r="2089" spans="1:13" x14ac:dyDescent="0.25">
      <c r="A2089">
        <f t="shared" ca="1" si="401"/>
        <v>5</v>
      </c>
      <c r="B2089">
        <f t="shared" ca="1" si="402"/>
        <v>370</v>
      </c>
      <c r="C2089" t="str">
        <f t="shared" ca="1" si="397"/>
        <v>'WINDOWS-NCH-A-BDP-M3-03-00'!B369</v>
      </c>
      <c r="D2089" s="6" t="str">
        <f t="shared" ca="1" si="398"/>
        <v>L03-EDU-ETC-L078-01</v>
      </c>
      <c r="E2089" t="str">
        <f t="shared" ca="1" si="399"/>
        <v>Family Type: Curtain Wall_Bespoke 1 - 1979.5 x 3800, Family: Window External Type 5 - Flush Instance Width</v>
      </c>
      <c r="F2089" t="str">
        <f t="shared" ca="1" si="400"/>
        <v>Vector(X = -0.988, Y = -0.155, Z = 0.000, Length = 1.000)</v>
      </c>
      <c r="G2089">
        <f t="shared" ca="1" si="403"/>
        <v>-1</v>
      </c>
      <c r="H2089">
        <f t="shared" ca="1" si="404"/>
        <v>-0.2</v>
      </c>
      <c r="I2089">
        <f t="shared" ca="1" si="405"/>
        <v>0</v>
      </c>
      <c r="J2089" s="8">
        <f t="shared" ca="1" si="406"/>
        <v>-168.69006752597977</v>
      </c>
      <c r="K2089" s="9" t="str">
        <f t="shared" ca="1" si="407"/>
        <v>W</v>
      </c>
      <c r="L2089">
        <f ca="1">+_xlfn.IFNA(VLOOKUP(M2089,BespokeWindowsAreas!$B$2:$E$1999,4,FALSE),VLOOKUP(E2089,WindowTypeArea!$B$2:$C$113,2,FALSE))</f>
        <v>0.97499999999999998</v>
      </c>
      <c r="M2089">
        <f t="shared" ca="1" si="408"/>
        <v>5143818</v>
      </c>
    </row>
    <row r="2090" spans="1:13" x14ac:dyDescent="0.25">
      <c r="A2090">
        <f t="shared" ca="1" si="401"/>
        <v>5</v>
      </c>
      <c r="B2090">
        <f t="shared" ca="1" si="402"/>
        <v>371</v>
      </c>
      <c r="C2090" t="str">
        <f t="shared" ca="1" si="397"/>
        <v>'WINDOWS-NCH-A-BDP-M3-03-00'!B370</v>
      </c>
      <c r="D2090" s="6" t="str">
        <f t="shared" ca="1" si="398"/>
        <v>L03-EDU-ETC-L078-01</v>
      </c>
      <c r="E2090" t="str">
        <f t="shared" ca="1" si="399"/>
        <v>Family Type: Curtain Wall_Bespoke 1 - 1979.5 x 3800, Family: Window External Type 5 - Flush Instance Width</v>
      </c>
      <c r="F2090" t="str">
        <f t="shared" ca="1" si="400"/>
        <v>Vector(X = -0.988, Y = -0.155, Z = 0.000, Length = 1.000)</v>
      </c>
      <c r="G2090">
        <f t="shared" ca="1" si="403"/>
        <v>-1</v>
      </c>
      <c r="H2090">
        <f t="shared" ca="1" si="404"/>
        <v>-0.2</v>
      </c>
      <c r="I2090">
        <f t="shared" ca="1" si="405"/>
        <v>0</v>
      </c>
      <c r="J2090" s="8">
        <f t="shared" ca="1" si="406"/>
        <v>-168.69006752597977</v>
      </c>
      <c r="K2090" s="9" t="str">
        <f t="shared" ca="1" si="407"/>
        <v>W</v>
      </c>
      <c r="L2090">
        <f ca="1">+_xlfn.IFNA(VLOOKUP(M2090,BespokeWindowsAreas!$B$2:$E$1999,4,FALSE),VLOOKUP(E2090,WindowTypeArea!$B$2:$C$113,2,FALSE))</f>
        <v>1.95</v>
      </c>
      <c r="M2090">
        <f t="shared" ca="1" si="408"/>
        <v>5143819</v>
      </c>
    </row>
    <row r="2091" spans="1:13" x14ac:dyDescent="0.25">
      <c r="A2091">
        <f t="shared" ca="1" si="401"/>
        <v>5</v>
      </c>
      <c r="B2091">
        <f t="shared" ca="1" si="402"/>
        <v>372</v>
      </c>
      <c r="C2091" t="str">
        <f t="shared" ref="C2091:C2154" ca="1" si="409">+"'"&amp;INDIRECT("a"&amp;A2090)&amp;"'!B"&amp;B2090</f>
        <v>'WINDOWS-NCH-A-BDP-M3-03-00'!B371</v>
      </c>
      <c r="D2091" s="6" t="str">
        <f t="shared" ref="D2091:D2154" ca="1" si="410">+IF(IFERROR(FIND("Family",E2091)&gt;0,FALSE),D2090,E2091)</f>
        <v>L03-EDU-ETC-L078-01</v>
      </c>
      <c r="E2091" t="str">
        <f t="shared" ref="E2091:E2154" ca="1" si="411">+OFFSET(INDIRECT(C2091),0,0)</f>
        <v>Family Type: Curtain Wall_Bespoke 1 - 1979.5 x 3800, Family: Window External Type 5 - Flush Instance Width</v>
      </c>
      <c r="F2091" t="str">
        <f t="shared" ref="F2091:F2154" ca="1" si="412">+OFFSET(INDIRECT(C2091),0,1)</f>
        <v>Vector(X = -0.988, Y = -0.155, Z = 0.000, Length = 1.000)</v>
      </c>
      <c r="G2091">
        <f t="shared" ca="1" si="403"/>
        <v>-1</v>
      </c>
      <c r="H2091">
        <f t="shared" ca="1" si="404"/>
        <v>-0.2</v>
      </c>
      <c r="I2091">
        <f t="shared" ca="1" si="405"/>
        <v>0</v>
      </c>
      <c r="J2091" s="8">
        <f t="shared" ca="1" si="406"/>
        <v>-168.69006752597977</v>
      </c>
      <c r="K2091" s="9" t="str">
        <f t="shared" ca="1" si="407"/>
        <v>W</v>
      </c>
      <c r="L2091">
        <f ca="1">+_xlfn.IFNA(VLOOKUP(M2091,BespokeWindowsAreas!$B$2:$E$1999,4,FALSE),VLOOKUP(E2091,WindowTypeArea!$B$2:$C$113,2,FALSE))</f>
        <v>1.6700000000000401</v>
      </c>
      <c r="M2091">
        <f t="shared" ca="1" si="408"/>
        <v>5143820</v>
      </c>
    </row>
    <row r="2092" spans="1:13" x14ac:dyDescent="0.25">
      <c r="A2092">
        <f t="shared" ca="1" si="401"/>
        <v>5</v>
      </c>
      <c r="B2092">
        <f t="shared" ca="1" si="402"/>
        <v>373</v>
      </c>
      <c r="C2092" t="str">
        <f t="shared" ca="1" si="409"/>
        <v>'WINDOWS-NCH-A-BDP-M3-03-00'!B372</v>
      </c>
      <c r="D2092" s="6" t="str">
        <f t="shared" ca="1" si="410"/>
        <v>L03-EDU-ETC-U0962-01</v>
      </c>
      <c r="E2092" t="str">
        <f t="shared" ca="1" si="411"/>
        <v>L03-EDU-ETC-U0962-01</v>
      </c>
      <c r="F2092">
        <f t="shared" ca="1" si="412"/>
        <v>1300866</v>
      </c>
      <c r="G2092">
        <f t="shared" ca="1" si="403"/>
        <v>0</v>
      </c>
      <c r="H2092">
        <f t="shared" ca="1" si="404"/>
        <v>0</v>
      </c>
      <c r="I2092">
        <f t="shared" ca="1" si="405"/>
        <v>0</v>
      </c>
      <c r="J2092" s="8" t="e">
        <f t="shared" ca="1" si="406"/>
        <v>#DIV/0!</v>
      </c>
      <c r="K2092" s="9" t="e">
        <f t="shared" ca="1" si="407"/>
        <v>#DIV/0!</v>
      </c>
      <c r="L2092" t="e">
        <f ca="1">+_xlfn.IFNA(VLOOKUP(M2092,BespokeWindowsAreas!$B$2:$E$1999,4,FALSE),VLOOKUP(E2092,WindowTypeArea!$B$2:$C$113,2,FALSE))</f>
        <v>#N/A</v>
      </c>
      <c r="M2092">
        <f t="shared" ca="1" si="408"/>
        <v>0</v>
      </c>
    </row>
    <row r="2093" spans="1:13" x14ac:dyDescent="0.25">
      <c r="A2093">
        <f t="shared" ca="1" si="401"/>
        <v>5</v>
      </c>
      <c r="B2093">
        <f t="shared" ca="1" si="402"/>
        <v>374</v>
      </c>
      <c r="C2093" t="str">
        <f t="shared" ca="1" si="409"/>
        <v>'WINDOWS-NCH-A-BDP-M3-03-00'!B373</v>
      </c>
      <c r="D2093" s="6" t="str">
        <f t="shared" ca="1" si="410"/>
        <v>L03-EDU-ETC-U0962-01</v>
      </c>
      <c r="E2093" t="str">
        <f t="shared" ca="1" si="411"/>
        <v>Family Type: Curtain Wall_1950w x 3800h, Family: Window External Type 5 - Flush</v>
      </c>
      <c r="F2093" t="str">
        <f t="shared" ca="1" si="412"/>
        <v>Vector(X = -0.956, Y = 0.294, Z = 0.000, Length = 1.000)</v>
      </c>
      <c r="G2093">
        <f t="shared" ca="1" si="403"/>
        <v>-1</v>
      </c>
      <c r="H2093">
        <f t="shared" ca="1" si="404"/>
        <v>0.3</v>
      </c>
      <c r="I2093">
        <f t="shared" ca="1" si="405"/>
        <v>0</v>
      </c>
      <c r="J2093" s="8">
        <f t="shared" ca="1" si="406"/>
        <v>163.30075576600638</v>
      </c>
      <c r="K2093" s="9" t="str">
        <f t="shared" ca="1" si="407"/>
        <v>WN</v>
      </c>
      <c r="L2093">
        <f ca="1">+_xlfn.IFNA(VLOOKUP(M2093,BespokeWindowsAreas!$B$2:$E$1999,4,FALSE),VLOOKUP(E2093,WindowTypeArea!$B$2:$C$113,2,FALSE))</f>
        <v>7.9950000000000001</v>
      </c>
      <c r="M2093">
        <f t="shared" ca="1" si="408"/>
        <v>4915158</v>
      </c>
    </row>
    <row r="2094" spans="1:13" x14ac:dyDescent="0.25">
      <c r="A2094">
        <f t="shared" ca="1" si="401"/>
        <v>5</v>
      </c>
      <c r="B2094">
        <f t="shared" ca="1" si="402"/>
        <v>375</v>
      </c>
      <c r="C2094" t="str">
        <f t="shared" ca="1" si="409"/>
        <v>'WINDOWS-NCH-A-BDP-M3-03-00'!B374</v>
      </c>
      <c r="D2094" s="6" t="str">
        <f t="shared" ca="1" si="410"/>
        <v>L03-EDU-ETC-U0962-01</v>
      </c>
      <c r="E2094" t="str">
        <f t="shared" ca="1" si="411"/>
        <v>Family Type: Curtain Wall_975w x 3800h, Family: Window External Type 5 - Flush</v>
      </c>
      <c r="F2094" t="str">
        <f t="shared" ca="1" si="412"/>
        <v>Vector(X = -0.956, Y = 0.294, Z = 0.000, Length = 1.000)</v>
      </c>
      <c r="G2094">
        <f t="shared" ca="1" si="403"/>
        <v>-1</v>
      </c>
      <c r="H2094">
        <f t="shared" ca="1" si="404"/>
        <v>0.3</v>
      </c>
      <c r="I2094">
        <f t="shared" ca="1" si="405"/>
        <v>0</v>
      </c>
      <c r="J2094" s="8">
        <f t="shared" ca="1" si="406"/>
        <v>163.30075576600638</v>
      </c>
      <c r="K2094" s="9" t="str">
        <f t="shared" ca="1" si="407"/>
        <v>WN</v>
      </c>
      <c r="L2094">
        <f ca="1">+_xlfn.IFNA(VLOOKUP(M2094,BespokeWindowsAreas!$B$2:$E$1999,4,FALSE),VLOOKUP(E2094,WindowTypeArea!$B$2:$C$113,2,FALSE))</f>
        <v>3.9975000000000001</v>
      </c>
      <c r="M2094">
        <f t="shared" ca="1" si="408"/>
        <v>4915159</v>
      </c>
    </row>
    <row r="2095" spans="1:13" x14ac:dyDescent="0.25">
      <c r="A2095">
        <f t="shared" ca="1" si="401"/>
        <v>5</v>
      </c>
      <c r="B2095">
        <f t="shared" ca="1" si="402"/>
        <v>376</v>
      </c>
      <c r="C2095" t="str">
        <f t="shared" ca="1" si="409"/>
        <v>'WINDOWS-NCH-A-BDP-M3-03-00'!B375</v>
      </c>
      <c r="D2095" s="6" t="str">
        <f t="shared" ca="1" si="410"/>
        <v>L03-EDU-ETC-U0962-01</v>
      </c>
      <c r="E2095" t="str">
        <f t="shared" ca="1" si="411"/>
        <v>Family Type: Curtain Wall_975w x 3800h, Family: Window External Type 5 - Flush</v>
      </c>
      <c r="F2095" t="str">
        <f t="shared" ca="1" si="412"/>
        <v>Vector(X = -0.956, Y = 0.294, Z = 0.000, Length = 1.000)</v>
      </c>
      <c r="G2095">
        <f t="shared" ca="1" si="403"/>
        <v>-1</v>
      </c>
      <c r="H2095">
        <f t="shared" ca="1" si="404"/>
        <v>0.3</v>
      </c>
      <c r="I2095">
        <f t="shared" ca="1" si="405"/>
        <v>0</v>
      </c>
      <c r="J2095" s="8">
        <f t="shared" ca="1" si="406"/>
        <v>163.30075576600638</v>
      </c>
      <c r="K2095" s="9" t="str">
        <f t="shared" ca="1" si="407"/>
        <v>WN</v>
      </c>
      <c r="L2095">
        <f ca="1">+_xlfn.IFNA(VLOOKUP(M2095,BespokeWindowsAreas!$B$2:$E$1999,4,FALSE),VLOOKUP(E2095,WindowTypeArea!$B$2:$C$113,2,FALSE))</f>
        <v>3.9975000000000001</v>
      </c>
      <c r="M2095">
        <f t="shared" ca="1" si="408"/>
        <v>4915160</v>
      </c>
    </row>
    <row r="2096" spans="1:13" x14ac:dyDescent="0.25">
      <c r="A2096">
        <f t="shared" ca="1" si="401"/>
        <v>5</v>
      </c>
      <c r="B2096">
        <f t="shared" ca="1" si="402"/>
        <v>377</v>
      </c>
      <c r="C2096" t="str">
        <f t="shared" ca="1" si="409"/>
        <v>'WINDOWS-NCH-A-BDP-M3-03-00'!B376</v>
      </c>
      <c r="D2096" s="6" t="str">
        <f t="shared" ca="1" si="410"/>
        <v>L03-EDU-ETC-U0962-01</v>
      </c>
      <c r="E2096" t="str">
        <f t="shared" ca="1" si="411"/>
        <v>Family Type: Curtain Wall_975w x 3800h, Family: Window External Type 5 - Flush</v>
      </c>
      <c r="F2096" t="str">
        <f t="shared" ca="1" si="412"/>
        <v>Vector(X = -0.956, Y = 0.294, Z = 0.000, Length = 1.000)</v>
      </c>
      <c r="G2096">
        <f t="shared" ca="1" si="403"/>
        <v>-1</v>
      </c>
      <c r="H2096">
        <f t="shared" ca="1" si="404"/>
        <v>0.3</v>
      </c>
      <c r="I2096">
        <f t="shared" ca="1" si="405"/>
        <v>0</v>
      </c>
      <c r="J2096" s="8">
        <f t="shared" ca="1" si="406"/>
        <v>163.30075576600638</v>
      </c>
      <c r="K2096" s="9" t="str">
        <f t="shared" ca="1" si="407"/>
        <v>WN</v>
      </c>
      <c r="L2096">
        <f ca="1">+_xlfn.IFNA(VLOOKUP(M2096,BespokeWindowsAreas!$B$2:$E$1999,4,FALSE),VLOOKUP(E2096,WindowTypeArea!$B$2:$C$113,2,FALSE))</f>
        <v>3.9975000000000001</v>
      </c>
      <c r="M2096">
        <f t="shared" ca="1" si="408"/>
        <v>4915161</v>
      </c>
    </row>
    <row r="2097" spans="1:13" x14ac:dyDescent="0.25">
      <c r="A2097">
        <f t="shared" ca="1" si="401"/>
        <v>5</v>
      </c>
      <c r="B2097">
        <f t="shared" ca="1" si="402"/>
        <v>378</v>
      </c>
      <c r="C2097" t="str">
        <f t="shared" ca="1" si="409"/>
        <v>'WINDOWS-NCH-A-BDP-M3-03-00'!B377</v>
      </c>
      <c r="D2097" s="6" t="str">
        <f t="shared" ca="1" si="410"/>
        <v>L03-EDU-ETC-U0962-01</v>
      </c>
      <c r="E2097" t="str">
        <f t="shared" ca="1" si="411"/>
        <v>Family Type: Curtain Wall_1950w x 3800h, Family: Window External Type 5 - Flush</v>
      </c>
      <c r="F2097" t="str">
        <f t="shared" ca="1" si="412"/>
        <v>Vector(X = -0.956, Y = 0.294, Z = 0.000, Length = 1.000)</v>
      </c>
      <c r="G2097">
        <f t="shared" ca="1" si="403"/>
        <v>-1</v>
      </c>
      <c r="H2097">
        <f t="shared" ca="1" si="404"/>
        <v>0.3</v>
      </c>
      <c r="I2097">
        <f t="shared" ca="1" si="405"/>
        <v>0</v>
      </c>
      <c r="J2097" s="8">
        <f t="shared" ca="1" si="406"/>
        <v>163.30075576600638</v>
      </c>
      <c r="K2097" s="9" t="str">
        <f t="shared" ca="1" si="407"/>
        <v>WN</v>
      </c>
      <c r="L2097">
        <f ca="1">+_xlfn.IFNA(VLOOKUP(M2097,BespokeWindowsAreas!$B$2:$E$1999,4,FALSE),VLOOKUP(E2097,WindowTypeArea!$B$2:$C$113,2,FALSE))</f>
        <v>7.9950000000000001</v>
      </c>
      <c r="M2097">
        <f t="shared" ca="1" si="408"/>
        <v>4915162</v>
      </c>
    </row>
    <row r="2098" spans="1:13" x14ac:dyDescent="0.25">
      <c r="A2098">
        <f t="shared" ca="1" si="401"/>
        <v>5</v>
      </c>
      <c r="B2098">
        <f t="shared" ca="1" si="402"/>
        <v>379</v>
      </c>
      <c r="C2098" t="str">
        <f t="shared" ca="1" si="409"/>
        <v>'WINDOWS-NCH-A-BDP-M3-03-00'!B378</v>
      </c>
      <c r="D2098" s="6" t="str">
        <f t="shared" ca="1" si="410"/>
        <v>L03-EDU-ETC-U0962-01</v>
      </c>
      <c r="E2098" t="str">
        <f t="shared" ca="1" si="411"/>
        <v>Family Type: Curtain Wall_975w x 3800h, Family: Window External Type 5 - Flush</v>
      </c>
      <c r="F2098" t="str">
        <f t="shared" ca="1" si="412"/>
        <v>Vector(X = -0.956, Y = 0.294, Z = 0.000, Length = 1.000)</v>
      </c>
      <c r="G2098">
        <f t="shared" ca="1" si="403"/>
        <v>-1</v>
      </c>
      <c r="H2098">
        <f t="shared" ca="1" si="404"/>
        <v>0.3</v>
      </c>
      <c r="I2098">
        <f t="shared" ca="1" si="405"/>
        <v>0</v>
      </c>
      <c r="J2098" s="8">
        <f t="shared" ca="1" si="406"/>
        <v>163.30075576600638</v>
      </c>
      <c r="K2098" s="9" t="str">
        <f t="shared" ca="1" si="407"/>
        <v>WN</v>
      </c>
      <c r="L2098">
        <f ca="1">+_xlfn.IFNA(VLOOKUP(M2098,BespokeWindowsAreas!$B$2:$E$1999,4,FALSE),VLOOKUP(E2098,WindowTypeArea!$B$2:$C$113,2,FALSE))</f>
        <v>3.9975000000000001</v>
      </c>
      <c r="M2098">
        <f t="shared" ca="1" si="408"/>
        <v>4915163</v>
      </c>
    </row>
    <row r="2099" spans="1:13" x14ac:dyDescent="0.25">
      <c r="A2099">
        <f t="shared" ca="1" si="401"/>
        <v>5</v>
      </c>
      <c r="B2099">
        <f t="shared" ca="1" si="402"/>
        <v>380</v>
      </c>
      <c r="C2099" t="str">
        <f t="shared" ca="1" si="409"/>
        <v>'WINDOWS-NCH-A-BDP-M3-03-00'!B379</v>
      </c>
      <c r="D2099" s="6" t="str">
        <f t="shared" ca="1" si="410"/>
        <v>L03-EDU-ETC-U0962-01</v>
      </c>
      <c r="E2099" t="str">
        <f t="shared" ca="1" si="411"/>
        <v>Family Type: Curtain Wall_975w x 3800h, Family: Window External Type 5 - Flush</v>
      </c>
      <c r="F2099" t="str">
        <f t="shared" ca="1" si="412"/>
        <v>Vector(X = -0.956, Y = 0.294, Z = 0.000, Length = 1.000)</v>
      </c>
      <c r="G2099">
        <f t="shared" ca="1" si="403"/>
        <v>-1</v>
      </c>
      <c r="H2099">
        <f t="shared" ca="1" si="404"/>
        <v>0.3</v>
      </c>
      <c r="I2099">
        <f t="shared" ca="1" si="405"/>
        <v>0</v>
      </c>
      <c r="J2099" s="8">
        <f t="shared" ca="1" si="406"/>
        <v>163.30075576600638</v>
      </c>
      <c r="K2099" s="9" t="str">
        <f t="shared" ca="1" si="407"/>
        <v>WN</v>
      </c>
      <c r="L2099">
        <f ca="1">+_xlfn.IFNA(VLOOKUP(M2099,BespokeWindowsAreas!$B$2:$E$1999,4,FALSE),VLOOKUP(E2099,WindowTypeArea!$B$2:$C$113,2,FALSE))</f>
        <v>3.9975000000000001</v>
      </c>
      <c r="M2099">
        <f t="shared" ca="1" si="408"/>
        <v>4915164</v>
      </c>
    </row>
    <row r="2100" spans="1:13" x14ac:dyDescent="0.25">
      <c r="A2100">
        <f t="shared" ca="1" si="401"/>
        <v>5</v>
      </c>
      <c r="B2100">
        <f t="shared" ca="1" si="402"/>
        <v>381</v>
      </c>
      <c r="C2100" t="str">
        <f t="shared" ca="1" si="409"/>
        <v>'WINDOWS-NCH-A-BDP-M3-03-00'!B380</v>
      </c>
      <c r="D2100" s="6" t="str">
        <f t="shared" ca="1" si="410"/>
        <v>L03-EDU-ETC-U0962-01</v>
      </c>
      <c r="E2100" t="str">
        <f t="shared" ca="1" si="411"/>
        <v>Family Type: Curtain Wall_1950w x 3800h, Family: Window External Type 5 - Flush</v>
      </c>
      <c r="F2100" t="str">
        <f t="shared" ca="1" si="412"/>
        <v>Vector(X = -0.956, Y = 0.294, Z = 0.000, Length = 1.000)</v>
      </c>
      <c r="G2100">
        <f t="shared" ca="1" si="403"/>
        <v>-1</v>
      </c>
      <c r="H2100">
        <f t="shared" ca="1" si="404"/>
        <v>0.3</v>
      </c>
      <c r="I2100">
        <f t="shared" ca="1" si="405"/>
        <v>0</v>
      </c>
      <c r="J2100" s="8">
        <f t="shared" ca="1" si="406"/>
        <v>163.30075576600638</v>
      </c>
      <c r="K2100" s="9" t="str">
        <f t="shared" ca="1" si="407"/>
        <v>WN</v>
      </c>
      <c r="L2100">
        <f ca="1">+_xlfn.IFNA(VLOOKUP(M2100,BespokeWindowsAreas!$B$2:$E$1999,4,FALSE),VLOOKUP(E2100,WindowTypeArea!$B$2:$C$113,2,FALSE))</f>
        <v>7.9950000000000001</v>
      </c>
      <c r="M2100">
        <f t="shared" ca="1" si="408"/>
        <v>4915165</v>
      </c>
    </row>
    <row r="2101" spans="1:13" x14ac:dyDescent="0.25">
      <c r="A2101">
        <f t="shared" ca="1" si="401"/>
        <v>5</v>
      </c>
      <c r="B2101">
        <f t="shared" ca="1" si="402"/>
        <v>382</v>
      </c>
      <c r="C2101" t="str">
        <f t="shared" ca="1" si="409"/>
        <v>'WINDOWS-NCH-A-BDP-M3-03-00'!B381</v>
      </c>
      <c r="D2101" s="6" t="str">
        <f t="shared" ca="1" si="410"/>
        <v>L03-EDU-ETC-S094-01</v>
      </c>
      <c r="E2101" t="str">
        <f t="shared" ca="1" si="411"/>
        <v>L03-EDU-ETC-S094-01</v>
      </c>
      <c r="F2101">
        <f t="shared" ca="1" si="412"/>
        <v>1300872</v>
      </c>
      <c r="G2101">
        <f t="shared" ca="1" si="403"/>
        <v>0</v>
      </c>
      <c r="H2101">
        <f t="shared" ca="1" si="404"/>
        <v>0</v>
      </c>
      <c r="I2101">
        <f t="shared" ca="1" si="405"/>
        <v>0</v>
      </c>
      <c r="J2101" s="8" t="e">
        <f t="shared" ca="1" si="406"/>
        <v>#DIV/0!</v>
      </c>
      <c r="K2101" s="9" t="e">
        <f t="shared" ca="1" si="407"/>
        <v>#DIV/0!</v>
      </c>
      <c r="L2101" t="e">
        <f ca="1">+_xlfn.IFNA(VLOOKUP(M2101,BespokeWindowsAreas!$B$2:$E$1999,4,FALSE),VLOOKUP(E2101,WindowTypeArea!$B$2:$C$113,2,FALSE))</f>
        <v>#N/A</v>
      </c>
      <c r="M2101">
        <f t="shared" ca="1" si="408"/>
        <v>0</v>
      </c>
    </row>
    <row r="2102" spans="1:13" x14ac:dyDescent="0.25">
      <c r="A2102">
        <f t="shared" ca="1" si="401"/>
        <v>5</v>
      </c>
      <c r="B2102">
        <f t="shared" ca="1" si="402"/>
        <v>383</v>
      </c>
      <c r="C2102" t="str">
        <f t="shared" ca="1" si="409"/>
        <v>'WINDOWS-NCH-A-BDP-M3-03-00'!B382</v>
      </c>
      <c r="D2102" s="6" t="str">
        <f t="shared" ca="1" si="410"/>
        <v>L03-EDU-ETC-S094-01</v>
      </c>
      <c r="E2102" t="str">
        <f t="shared" ca="1" si="411"/>
        <v>Family Type: Curtain Wall_Bespoke 1 - 1979.5 x 3800, Family: Window External Type 5 - Flush Instance Width</v>
      </c>
      <c r="F2102" t="str">
        <f t="shared" ca="1" si="412"/>
        <v>Vector(X = -0.988, Y = -0.155, Z = 0.000, Length = 1.000)</v>
      </c>
      <c r="G2102">
        <f t="shared" ca="1" si="403"/>
        <v>-1</v>
      </c>
      <c r="H2102">
        <f t="shared" ca="1" si="404"/>
        <v>-0.2</v>
      </c>
      <c r="I2102">
        <f t="shared" ca="1" si="405"/>
        <v>0</v>
      </c>
      <c r="J2102" s="8">
        <f t="shared" ca="1" si="406"/>
        <v>-168.69006752597977</v>
      </c>
      <c r="K2102" s="9" t="str">
        <f t="shared" ca="1" si="407"/>
        <v>W</v>
      </c>
      <c r="L2102">
        <f ca="1">+_xlfn.IFNA(VLOOKUP(M2102,BespokeWindowsAreas!$B$2:$E$1999,4,FALSE),VLOOKUP(E2102,WindowTypeArea!$B$2:$C$113,2,FALSE))</f>
        <v>7.9950000000000001</v>
      </c>
      <c r="M2102">
        <f t="shared" ca="1" si="408"/>
        <v>4810566</v>
      </c>
    </row>
    <row r="2103" spans="1:13" x14ac:dyDescent="0.25">
      <c r="A2103">
        <f t="shared" ca="1" si="401"/>
        <v>5</v>
      </c>
      <c r="B2103">
        <f t="shared" ca="1" si="402"/>
        <v>384</v>
      </c>
      <c r="C2103" t="str">
        <f t="shared" ca="1" si="409"/>
        <v>'WINDOWS-NCH-A-BDP-M3-03-00'!B383</v>
      </c>
      <c r="D2103" s="6" t="str">
        <f t="shared" ca="1" si="410"/>
        <v>L03-EDU-ETC-S094-01</v>
      </c>
      <c r="E2103" t="str">
        <f t="shared" ca="1" si="411"/>
        <v>Family Type: Curtain Wall_Bespoke 1 - 1979.5 x 3800, Family: Window External Type 5 - Flush Instance Width</v>
      </c>
      <c r="F2103" t="str">
        <f t="shared" ca="1" si="412"/>
        <v>Vector(X = -0.988, Y = -0.155, Z = 0.000, Length = 1.000)</v>
      </c>
      <c r="G2103">
        <f t="shared" ca="1" si="403"/>
        <v>-1</v>
      </c>
      <c r="H2103">
        <f t="shared" ca="1" si="404"/>
        <v>-0.2</v>
      </c>
      <c r="I2103">
        <f t="shared" ca="1" si="405"/>
        <v>0</v>
      </c>
      <c r="J2103" s="8">
        <f t="shared" ca="1" si="406"/>
        <v>-168.69006752597977</v>
      </c>
      <c r="K2103" s="9" t="str">
        <f t="shared" ca="1" si="407"/>
        <v>W</v>
      </c>
      <c r="L2103">
        <f ca="1">+_xlfn.IFNA(VLOOKUP(M2103,BespokeWindowsAreas!$B$2:$E$1999,4,FALSE),VLOOKUP(E2103,WindowTypeArea!$B$2:$C$113,2,FALSE))</f>
        <v>8.148749999999918</v>
      </c>
      <c r="M2103">
        <f t="shared" ca="1" si="408"/>
        <v>4810567</v>
      </c>
    </row>
    <row r="2104" spans="1:13" x14ac:dyDescent="0.25">
      <c r="A2104">
        <f t="shared" ca="1" si="401"/>
        <v>5</v>
      </c>
      <c r="B2104">
        <f t="shared" ca="1" si="402"/>
        <v>385</v>
      </c>
      <c r="C2104" t="str">
        <f t="shared" ca="1" si="409"/>
        <v>'WINDOWS-NCH-A-BDP-M3-03-00'!B384</v>
      </c>
      <c r="D2104" s="6" t="str">
        <f t="shared" ca="1" si="410"/>
        <v>L03-EDU-ETC-S094-01</v>
      </c>
      <c r="E2104" t="str">
        <f t="shared" ca="1" si="411"/>
        <v>Family Type: Curtain Wall_Bespoke 1 - 1979.5 x 3800, Family: Window External Type 5 - Flush Instance Width</v>
      </c>
      <c r="F2104" t="str">
        <f t="shared" ca="1" si="412"/>
        <v>Vector(X = -0.988, Y = -0.155, Z = 0.000, Length = 1.000)</v>
      </c>
      <c r="G2104">
        <f t="shared" ca="1" si="403"/>
        <v>-1</v>
      </c>
      <c r="H2104">
        <f t="shared" ca="1" si="404"/>
        <v>-0.2</v>
      </c>
      <c r="I2104">
        <f t="shared" ca="1" si="405"/>
        <v>0</v>
      </c>
      <c r="J2104" s="8">
        <f t="shared" ca="1" si="406"/>
        <v>-168.69006752597977</v>
      </c>
      <c r="K2104" s="9" t="str">
        <f t="shared" ca="1" si="407"/>
        <v>W</v>
      </c>
      <c r="L2104">
        <f ca="1">+_xlfn.IFNA(VLOOKUP(M2104,BespokeWindowsAreas!$B$2:$E$1999,4,FALSE),VLOOKUP(E2104,WindowTypeArea!$B$2:$C$113,2,FALSE))</f>
        <v>8.1487500000000406</v>
      </c>
      <c r="M2104">
        <f t="shared" ca="1" si="408"/>
        <v>4810568</v>
      </c>
    </row>
    <row r="2105" spans="1:13" x14ac:dyDescent="0.25">
      <c r="A2105">
        <f t="shared" ca="1" si="401"/>
        <v>5</v>
      </c>
      <c r="B2105">
        <f t="shared" ca="1" si="402"/>
        <v>386</v>
      </c>
      <c r="C2105" t="str">
        <f t="shared" ca="1" si="409"/>
        <v>'WINDOWS-NCH-A-BDP-M3-03-00'!B385</v>
      </c>
      <c r="D2105" s="6" t="str">
        <f t="shared" ca="1" si="410"/>
        <v>L03-EDU-ETC-S094-01</v>
      </c>
      <c r="E2105" t="str">
        <f t="shared" ca="1" si="411"/>
        <v>Family Type: Curtain Wall_Bespoke 1 - 1979.5 x 3800, Family: Window External Type 5 - Flush Instance Width</v>
      </c>
      <c r="F2105" t="str">
        <f t="shared" ca="1" si="412"/>
        <v>Vector(X = -0.988, Y = -0.155, Z = 0.000, Length = 1.000)</v>
      </c>
      <c r="G2105">
        <f t="shared" ca="1" si="403"/>
        <v>-1</v>
      </c>
      <c r="H2105">
        <f t="shared" ca="1" si="404"/>
        <v>-0.2</v>
      </c>
      <c r="I2105">
        <f t="shared" ca="1" si="405"/>
        <v>0</v>
      </c>
      <c r="J2105" s="8">
        <f t="shared" ca="1" si="406"/>
        <v>-168.69006752597977</v>
      </c>
      <c r="K2105" s="9" t="str">
        <f t="shared" ca="1" si="407"/>
        <v>W</v>
      </c>
      <c r="L2105">
        <f ca="1">+_xlfn.IFNA(VLOOKUP(M2105,BespokeWindowsAreas!$B$2:$E$1999,4,FALSE),VLOOKUP(E2105,WindowTypeArea!$B$2:$C$113,2,FALSE))</f>
        <v>1.94999999999999</v>
      </c>
      <c r="M2105">
        <f t="shared" ca="1" si="408"/>
        <v>5143828</v>
      </c>
    </row>
    <row r="2106" spans="1:13" x14ac:dyDescent="0.25">
      <c r="A2106">
        <f t="shared" ca="1" si="401"/>
        <v>5</v>
      </c>
      <c r="B2106">
        <f t="shared" ca="1" si="402"/>
        <v>387</v>
      </c>
      <c r="C2106" t="str">
        <f t="shared" ca="1" si="409"/>
        <v>'WINDOWS-NCH-A-BDP-M3-03-00'!B386</v>
      </c>
      <c r="D2106" s="6" t="str">
        <f t="shared" ca="1" si="410"/>
        <v>L03-EDU-ETC-S094-01</v>
      </c>
      <c r="E2106" t="str">
        <f t="shared" ca="1" si="411"/>
        <v>Family Type: Curtain Wall_Bespoke 1 - 1979.5 x 3800, Family: Window External Type 5 - Flush Instance Width</v>
      </c>
      <c r="F2106" t="str">
        <f t="shared" ca="1" si="412"/>
        <v>Vector(X = -0.988, Y = -0.155, Z = 0.000, Length = 1.000)</v>
      </c>
      <c r="G2106">
        <f t="shared" ca="1" si="403"/>
        <v>-1</v>
      </c>
      <c r="H2106">
        <f t="shared" ca="1" si="404"/>
        <v>-0.2</v>
      </c>
      <c r="I2106">
        <f t="shared" ca="1" si="405"/>
        <v>0</v>
      </c>
      <c r="J2106" s="8">
        <f t="shared" ca="1" si="406"/>
        <v>-168.69006752597977</v>
      </c>
      <c r="K2106" s="9" t="str">
        <f t="shared" ca="1" si="407"/>
        <v>W</v>
      </c>
      <c r="L2106">
        <f ca="1">+_xlfn.IFNA(VLOOKUP(M2106,BespokeWindowsAreas!$B$2:$E$1999,4,FALSE),VLOOKUP(E2106,WindowTypeArea!$B$2:$C$113,2,FALSE))</f>
        <v>1.9875</v>
      </c>
      <c r="M2106">
        <f t="shared" ca="1" si="408"/>
        <v>5143830</v>
      </c>
    </row>
    <row r="2107" spans="1:13" x14ac:dyDescent="0.25">
      <c r="A2107">
        <f t="shared" ca="1" si="401"/>
        <v>5</v>
      </c>
      <c r="B2107">
        <f t="shared" ca="1" si="402"/>
        <v>388</v>
      </c>
      <c r="C2107" t="str">
        <f t="shared" ca="1" si="409"/>
        <v>'WINDOWS-NCH-A-BDP-M3-03-00'!B387</v>
      </c>
      <c r="D2107" s="6" t="str">
        <f t="shared" ca="1" si="410"/>
        <v>L03-EDU-ETC-S094-01</v>
      </c>
      <c r="E2107" t="str">
        <f t="shared" ca="1" si="411"/>
        <v>Family Type: Curtain Wall_Bespoke 1 - 1979.5 x 3800, Family: Window External Type 5 - Flush Instance Width</v>
      </c>
      <c r="F2107" t="str">
        <f t="shared" ca="1" si="412"/>
        <v>Vector(X = -0.988, Y = -0.155, Z = 0.000, Length = 1.000)</v>
      </c>
      <c r="G2107">
        <f t="shared" ca="1" si="403"/>
        <v>-1</v>
      </c>
      <c r="H2107">
        <f t="shared" ca="1" si="404"/>
        <v>-0.2</v>
      </c>
      <c r="I2107">
        <f t="shared" ca="1" si="405"/>
        <v>0</v>
      </c>
      <c r="J2107" s="8">
        <f t="shared" ca="1" si="406"/>
        <v>-168.69006752597977</v>
      </c>
      <c r="K2107" s="9" t="str">
        <f t="shared" ca="1" si="407"/>
        <v>W</v>
      </c>
      <c r="L2107">
        <f ca="1">+_xlfn.IFNA(VLOOKUP(M2107,BespokeWindowsAreas!$B$2:$E$1999,4,FALSE),VLOOKUP(E2107,WindowTypeArea!$B$2:$C$113,2,FALSE))</f>
        <v>1.98750000000003</v>
      </c>
      <c r="M2107">
        <f t="shared" ca="1" si="408"/>
        <v>5143831</v>
      </c>
    </row>
    <row r="2108" spans="1:13" x14ac:dyDescent="0.25">
      <c r="A2108">
        <f t="shared" ca="1" si="401"/>
        <v>5</v>
      </c>
      <c r="B2108">
        <f t="shared" ca="1" si="402"/>
        <v>389</v>
      </c>
      <c r="C2108" t="str">
        <f t="shared" ca="1" si="409"/>
        <v>'WINDOWS-NCH-A-BDP-M3-03-00'!B388</v>
      </c>
      <c r="D2108" s="6" t="str">
        <f t="shared" ca="1" si="410"/>
        <v>L03-EDU-ETC-S067-01</v>
      </c>
      <c r="E2108" t="str">
        <f t="shared" ca="1" si="411"/>
        <v>L03-EDU-ETC-S067-01</v>
      </c>
      <c r="F2108">
        <f t="shared" ca="1" si="412"/>
        <v>1300875</v>
      </c>
      <c r="G2108">
        <f t="shared" ca="1" si="403"/>
        <v>0</v>
      </c>
      <c r="H2108">
        <f t="shared" ca="1" si="404"/>
        <v>0</v>
      </c>
      <c r="I2108">
        <f t="shared" ca="1" si="405"/>
        <v>0</v>
      </c>
      <c r="J2108" s="8" t="e">
        <f t="shared" ca="1" si="406"/>
        <v>#DIV/0!</v>
      </c>
      <c r="K2108" s="9" t="e">
        <f t="shared" ca="1" si="407"/>
        <v>#DIV/0!</v>
      </c>
      <c r="L2108" t="e">
        <f ca="1">+_xlfn.IFNA(VLOOKUP(M2108,BespokeWindowsAreas!$B$2:$E$1999,4,FALSE),VLOOKUP(E2108,WindowTypeArea!$B$2:$C$113,2,FALSE))</f>
        <v>#N/A</v>
      </c>
      <c r="M2108">
        <f t="shared" ca="1" si="408"/>
        <v>0</v>
      </c>
    </row>
    <row r="2109" spans="1:13" x14ac:dyDescent="0.25">
      <c r="A2109">
        <f t="shared" ca="1" si="401"/>
        <v>5</v>
      </c>
      <c r="B2109">
        <f t="shared" ca="1" si="402"/>
        <v>390</v>
      </c>
      <c r="C2109" t="str">
        <f t="shared" ca="1" si="409"/>
        <v>'WINDOWS-NCH-A-BDP-M3-03-00'!B389</v>
      </c>
      <c r="D2109" s="6" t="str">
        <f t="shared" ca="1" si="410"/>
        <v>L03-EDU-ETC-S067-01</v>
      </c>
      <c r="E2109" t="str">
        <f t="shared" ca="1" si="411"/>
        <v>Family Type: Curtain Wall_Bespoke 1 - 1979.5 x 3800, Family: Window External Type 5 - Flush Instance Width</v>
      </c>
      <c r="F2109" t="str">
        <f t="shared" ca="1" si="412"/>
        <v>Vector(X = -0.988, Y = -0.155, Z = 0.000, Length = 1.000)</v>
      </c>
      <c r="G2109">
        <f t="shared" ca="1" si="403"/>
        <v>-1</v>
      </c>
      <c r="H2109">
        <f t="shared" ca="1" si="404"/>
        <v>-0.2</v>
      </c>
      <c r="I2109">
        <f t="shared" ca="1" si="405"/>
        <v>0</v>
      </c>
      <c r="J2109" s="8">
        <f t="shared" ca="1" si="406"/>
        <v>-168.69006752597977</v>
      </c>
      <c r="K2109" s="9" t="str">
        <f t="shared" ca="1" si="407"/>
        <v>W</v>
      </c>
      <c r="L2109">
        <f ca="1">+_xlfn.IFNA(VLOOKUP(M2109,BespokeWindowsAreas!$B$2:$E$1999,4,FALSE),VLOOKUP(E2109,WindowTypeArea!$B$2:$C$113,2,FALSE))</f>
        <v>7.3389999999996718</v>
      </c>
      <c r="M2109">
        <f t="shared" ca="1" si="408"/>
        <v>4810569</v>
      </c>
    </row>
    <row r="2110" spans="1:13" x14ac:dyDescent="0.25">
      <c r="A2110">
        <f t="shared" ca="1" si="401"/>
        <v>5</v>
      </c>
      <c r="B2110">
        <f t="shared" ca="1" si="402"/>
        <v>391</v>
      </c>
      <c r="C2110" t="str">
        <f t="shared" ca="1" si="409"/>
        <v>'WINDOWS-NCH-A-BDP-M3-03-00'!B390</v>
      </c>
      <c r="D2110" s="6" t="str">
        <f t="shared" ca="1" si="410"/>
        <v>L03-EDU-ETC-S067-01</v>
      </c>
      <c r="E2110" t="str">
        <f t="shared" ca="1" si="411"/>
        <v>Family Type: Curtain Wall_Bespoke 1 - 1979.5 x 3800, Family: Window External Type 5 - Flush Instance Width</v>
      </c>
      <c r="F2110" t="str">
        <f t="shared" ca="1" si="412"/>
        <v>Vector(X = -0.988, Y = -0.155, Z = 0.000, Length = 1.000)</v>
      </c>
      <c r="G2110">
        <f t="shared" ca="1" si="403"/>
        <v>-1</v>
      </c>
      <c r="H2110">
        <f t="shared" ca="1" si="404"/>
        <v>-0.2</v>
      </c>
      <c r="I2110">
        <f t="shared" ca="1" si="405"/>
        <v>0</v>
      </c>
      <c r="J2110" s="8">
        <f t="shared" ca="1" si="406"/>
        <v>-168.69006752597977</v>
      </c>
      <c r="K2110" s="9" t="str">
        <f t="shared" ca="1" si="407"/>
        <v>W</v>
      </c>
      <c r="L2110">
        <f ca="1">+_xlfn.IFNA(VLOOKUP(M2110,BespokeWindowsAreas!$B$2:$E$1999,4,FALSE),VLOOKUP(E2110,WindowTypeArea!$B$2:$C$113,2,FALSE))</f>
        <v>1.7899999999998799</v>
      </c>
      <c r="M2110">
        <f t="shared" ca="1" si="408"/>
        <v>5143832</v>
      </c>
    </row>
    <row r="2111" spans="1:13" x14ac:dyDescent="0.25">
      <c r="A2111">
        <f t="shared" ca="1" si="401"/>
        <v>5</v>
      </c>
      <c r="B2111">
        <f t="shared" ca="1" si="402"/>
        <v>392</v>
      </c>
      <c r="C2111" t="str">
        <f t="shared" ca="1" si="409"/>
        <v>'WINDOWS-NCH-A-BDP-M3-03-00'!B391</v>
      </c>
      <c r="D2111" s="6" t="str">
        <f t="shared" ca="1" si="410"/>
        <v>L03-EDU-ETC-L017-03</v>
      </c>
      <c r="E2111" t="str">
        <f t="shared" ca="1" si="411"/>
        <v>L03-EDU-ETC-L017-03</v>
      </c>
      <c r="F2111">
        <f t="shared" ca="1" si="412"/>
        <v>1300922</v>
      </c>
      <c r="G2111">
        <f t="shared" ca="1" si="403"/>
        <v>0</v>
      </c>
      <c r="H2111">
        <f t="shared" ca="1" si="404"/>
        <v>0</v>
      </c>
      <c r="I2111">
        <f t="shared" ca="1" si="405"/>
        <v>0</v>
      </c>
      <c r="J2111" s="8" t="e">
        <f t="shared" ca="1" si="406"/>
        <v>#DIV/0!</v>
      </c>
      <c r="K2111" s="9" t="e">
        <f t="shared" ca="1" si="407"/>
        <v>#DIV/0!</v>
      </c>
      <c r="L2111" t="e">
        <f ca="1">+_xlfn.IFNA(VLOOKUP(M2111,BespokeWindowsAreas!$B$2:$E$1999,4,FALSE),VLOOKUP(E2111,WindowTypeArea!$B$2:$C$113,2,FALSE))</f>
        <v>#N/A</v>
      </c>
      <c r="M2111">
        <f t="shared" ca="1" si="408"/>
        <v>0</v>
      </c>
    </row>
    <row r="2112" spans="1:13" x14ac:dyDescent="0.25">
      <c r="A2112">
        <f t="shared" ca="1" si="401"/>
        <v>5</v>
      </c>
      <c r="B2112">
        <f t="shared" ca="1" si="402"/>
        <v>393</v>
      </c>
      <c r="C2112" t="str">
        <f t="shared" ca="1" si="409"/>
        <v>'WINDOWS-NCH-A-BDP-M3-03-00'!B392</v>
      </c>
      <c r="D2112" s="6" t="str">
        <f t="shared" ca="1" si="410"/>
        <v>L03-EDU-ETC-L017-03</v>
      </c>
      <c r="E2112" t="str">
        <f t="shared" ca="1" si="411"/>
        <v>Family Type: Curtain Wall_Bespoke 1 - 1979.5 x 3800, Family: Window External Type 5 - Flush Instance Width</v>
      </c>
      <c r="F2112" t="str">
        <f t="shared" ca="1" si="412"/>
        <v>Vector(X = -0.956, Y = 0.294, Z = 0.000, Length = 1.000)</v>
      </c>
      <c r="G2112">
        <f t="shared" ca="1" si="403"/>
        <v>-1</v>
      </c>
      <c r="H2112">
        <f t="shared" ca="1" si="404"/>
        <v>0.3</v>
      </c>
      <c r="I2112">
        <f t="shared" ca="1" si="405"/>
        <v>0</v>
      </c>
      <c r="J2112" s="8">
        <f t="shared" ca="1" si="406"/>
        <v>163.30075576600638</v>
      </c>
      <c r="K2112" s="9" t="str">
        <f t="shared" ca="1" si="407"/>
        <v>WN</v>
      </c>
      <c r="L2112">
        <f ca="1">+_xlfn.IFNA(VLOOKUP(M2112,BespokeWindowsAreas!$B$2:$E$1999,4,FALSE),VLOOKUP(E2112,WindowTypeArea!$B$2:$C$113,2,FALSE))</f>
        <v>7.9950000000001635</v>
      </c>
      <c r="M2112">
        <f t="shared" ca="1" si="408"/>
        <v>4914400</v>
      </c>
    </row>
    <row r="2113" spans="1:13" x14ac:dyDescent="0.25">
      <c r="A2113">
        <f t="shared" ca="1" si="401"/>
        <v>5</v>
      </c>
      <c r="B2113">
        <f t="shared" ca="1" si="402"/>
        <v>394</v>
      </c>
      <c r="C2113" t="str">
        <f t="shared" ca="1" si="409"/>
        <v>'WINDOWS-NCH-A-BDP-M3-03-00'!B393</v>
      </c>
      <c r="D2113" s="6" t="str">
        <f t="shared" ca="1" si="410"/>
        <v>L03-EDU-ETC-L017-03</v>
      </c>
      <c r="E2113" t="str">
        <f t="shared" ca="1" si="411"/>
        <v>Family Type: Curtain Wall_Bespoke 1 - 1979.5 x 3800, Family: Window External Type 5 - Flush Instance Width</v>
      </c>
      <c r="F2113" t="str">
        <f t="shared" ca="1" si="412"/>
        <v>Vector(X = -0.956, Y = 0.294, Z = 0.000, Length = 1.000)</v>
      </c>
      <c r="G2113">
        <f t="shared" ca="1" si="403"/>
        <v>-1</v>
      </c>
      <c r="H2113">
        <f t="shared" ca="1" si="404"/>
        <v>0.3</v>
      </c>
      <c r="I2113">
        <f t="shared" ca="1" si="405"/>
        <v>0</v>
      </c>
      <c r="J2113" s="8">
        <f t="shared" ca="1" si="406"/>
        <v>163.30075576600638</v>
      </c>
      <c r="K2113" s="9" t="str">
        <f t="shared" ca="1" si="407"/>
        <v>WN</v>
      </c>
      <c r="L2113">
        <f ca="1">+_xlfn.IFNA(VLOOKUP(M2113,BespokeWindowsAreas!$B$2:$E$1999,4,FALSE),VLOOKUP(E2113,WindowTypeArea!$B$2:$C$113,2,FALSE))</f>
        <v>7.9950000000000001</v>
      </c>
      <c r="M2113">
        <f t="shared" ca="1" si="408"/>
        <v>4914401</v>
      </c>
    </row>
    <row r="2114" spans="1:13" x14ac:dyDescent="0.25">
      <c r="A2114">
        <f t="shared" ca="1" si="401"/>
        <v>5</v>
      </c>
      <c r="B2114">
        <f t="shared" ca="1" si="402"/>
        <v>395</v>
      </c>
      <c r="C2114" t="str">
        <f t="shared" ca="1" si="409"/>
        <v>'WINDOWS-NCH-A-BDP-M3-03-00'!B394</v>
      </c>
      <c r="D2114" s="6" t="str">
        <f t="shared" ca="1" si="410"/>
        <v>L03-EDU-ETC-L017-03</v>
      </c>
      <c r="E2114" t="str">
        <f t="shared" ca="1" si="411"/>
        <v>Family Type: Curtain Wall_Bespoke 1 - 1979.5 x 3800, Family: Window External Type 5 - Flush Instance Width</v>
      </c>
      <c r="F2114" t="str">
        <f t="shared" ca="1" si="412"/>
        <v>Vector(X = -0.956, Y = 0.294, Z = 0.000, Length = 1.000)</v>
      </c>
      <c r="G2114">
        <f t="shared" ca="1" si="403"/>
        <v>-1</v>
      </c>
      <c r="H2114">
        <f t="shared" ca="1" si="404"/>
        <v>0.3</v>
      </c>
      <c r="I2114">
        <f t="shared" ca="1" si="405"/>
        <v>0</v>
      </c>
      <c r="J2114" s="8">
        <f t="shared" ca="1" si="406"/>
        <v>163.30075576600638</v>
      </c>
      <c r="K2114" s="9" t="str">
        <f t="shared" ca="1" si="407"/>
        <v>WN</v>
      </c>
      <c r="L2114">
        <f ca="1">+_xlfn.IFNA(VLOOKUP(M2114,BespokeWindowsAreas!$B$2:$E$1999,4,FALSE),VLOOKUP(E2114,WindowTypeArea!$B$2:$C$113,2,FALSE))</f>
        <v>7.9950000000000001</v>
      </c>
      <c r="M2114">
        <f t="shared" ca="1" si="408"/>
        <v>4914402</v>
      </c>
    </row>
    <row r="2115" spans="1:13" x14ac:dyDescent="0.25">
      <c r="A2115">
        <f t="shared" ca="1" si="401"/>
        <v>5</v>
      </c>
      <c r="B2115">
        <f t="shared" ca="1" si="402"/>
        <v>396</v>
      </c>
      <c r="C2115" t="str">
        <f t="shared" ca="1" si="409"/>
        <v>'WINDOWS-NCH-A-BDP-M3-03-00'!B395</v>
      </c>
      <c r="D2115" s="6" t="str">
        <f t="shared" ca="1" si="410"/>
        <v>L03-EDU-ETC-L017-03</v>
      </c>
      <c r="E2115" t="str">
        <f t="shared" ca="1" si="411"/>
        <v>Family Type: Curtain Wall_Bespoke 1 - 1979.5 x 3800, Family: Window External Type 5 - Flush Instance Width</v>
      </c>
      <c r="F2115" t="str">
        <f t="shared" ca="1" si="412"/>
        <v>Vector(X = -0.956, Y = 0.294, Z = 0.000, Length = 1.000)</v>
      </c>
      <c r="G2115">
        <f t="shared" ca="1" si="403"/>
        <v>-1</v>
      </c>
      <c r="H2115">
        <f t="shared" ca="1" si="404"/>
        <v>0.3</v>
      </c>
      <c r="I2115">
        <f t="shared" ca="1" si="405"/>
        <v>0</v>
      </c>
      <c r="J2115" s="8">
        <f t="shared" ca="1" si="406"/>
        <v>163.30075576600638</v>
      </c>
      <c r="K2115" s="9" t="str">
        <f t="shared" ca="1" si="407"/>
        <v>WN</v>
      </c>
      <c r="L2115">
        <f ca="1">+_xlfn.IFNA(VLOOKUP(M2115,BespokeWindowsAreas!$B$2:$E$1999,4,FALSE),VLOOKUP(E2115,WindowTypeArea!$B$2:$C$113,2,FALSE))</f>
        <v>7.9950000000000001</v>
      </c>
      <c r="M2115">
        <f t="shared" ca="1" si="408"/>
        <v>4914403</v>
      </c>
    </row>
    <row r="2116" spans="1:13" x14ac:dyDescent="0.25">
      <c r="A2116">
        <f t="shared" ca="1" si="401"/>
        <v>5</v>
      </c>
      <c r="B2116">
        <f t="shared" ca="1" si="402"/>
        <v>397</v>
      </c>
      <c r="C2116" t="str">
        <f t="shared" ca="1" si="409"/>
        <v>'WINDOWS-NCH-A-BDP-M3-03-00'!B396</v>
      </c>
      <c r="D2116" s="6" t="str">
        <f t="shared" ca="1" si="410"/>
        <v>L03-EDU-ETC-L017-03</v>
      </c>
      <c r="E2116" t="str">
        <f t="shared" ca="1" si="411"/>
        <v>Family Type: Curtain Wall_Bespoke 1 - 1979.5 x 3800, Family: Window External Type 5 - Flush Instance Width</v>
      </c>
      <c r="F2116" t="str">
        <f t="shared" ca="1" si="412"/>
        <v>Vector(X = -0.956, Y = 0.294, Z = 0.000, Length = 1.000)</v>
      </c>
      <c r="G2116">
        <f t="shared" ca="1" si="403"/>
        <v>-1</v>
      </c>
      <c r="H2116">
        <f t="shared" ca="1" si="404"/>
        <v>0.3</v>
      </c>
      <c r="I2116">
        <f t="shared" ca="1" si="405"/>
        <v>0</v>
      </c>
      <c r="J2116" s="8">
        <f t="shared" ca="1" si="406"/>
        <v>163.30075576600638</v>
      </c>
      <c r="K2116" s="9" t="str">
        <f t="shared" ca="1" si="407"/>
        <v>WN</v>
      </c>
      <c r="L2116">
        <f ca="1">+_xlfn.IFNA(VLOOKUP(M2116,BespokeWindowsAreas!$B$2:$E$1999,4,FALSE),VLOOKUP(E2116,WindowTypeArea!$B$2:$C$113,2,FALSE))</f>
        <v>7.9950000000000001</v>
      </c>
      <c r="M2116">
        <f t="shared" ca="1" si="408"/>
        <v>4914404</v>
      </c>
    </row>
    <row r="2117" spans="1:13" x14ac:dyDescent="0.25">
      <c r="A2117">
        <f t="shared" ca="1" si="401"/>
        <v>5</v>
      </c>
      <c r="B2117">
        <f t="shared" ca="1" si="402"/>
        <v>398</v>
      </c>
      <c r="C2117" t="str">
        <f t="shared" ca="1" si="409"/>
        <v>'WINDOWS-NCH-A-BDP-M3-03-00'!B397</v>
      </c>
      <c r="D2117" s="6" t="str">
        <f t="shared" ca="1" si="410"/>
        <v>L03-EDU-ETC-L017-03</v>
      </c>
      <c r="E2117" t="str">
        <f t="shared" ca="1" si="411"/>
        <v>Family Type: Curtain Wall_Bespoke 1 - 1979.5 x 3800, Family: Window External Type 5 - Flush Instance Width</v>
      </c>
      <c r="F2117" t="str">
        <f t="shared" ca="1" si="412"/>
        <v>Vector(X = -0.956, Y = 0.294, Z = 0.000, Length = 1.000)</v>
      </c>
      <c r="G2117">
        <f t="shared" ca="1" si="403"/>
        <v>-1</v>
      </c>
      <c r="H2117">
        <f t="shared" ca="1" si="404"/>
        <v>0.3</v>
      </c>
      <c r="I2117">
        <f t="shared" ca="1" si="405"/>
        <v>0</v>
      </c>
      <c r="J2117" s="8">
        <f t="shared" ca="1" si="406"/>
        <v>163.30075576600638</v>
      </c>
      <c r="K2117" s="9" t="str">
        <f t="shared" ca="1" si="407"/>
        <v>WN</v>
      </c>
      <c r="L2117">
        <f ca="1">+_xlfn.IFNA(VLOOKUP(M2117,BespokeWindowsAreas!$B$2:$E$1999,4,FALSE),VLOOKUP(E2117,WindowTypeArea!$B$2:$C$113,2,FALSE))</f>
        <v>1.9500000000000401</v>
      </c>
      <c r="M2117">
        <f t="shared" ca="1" si="408"/>
        <v>5144012</v>
      </c>
    </row>
    <row r="2118" spans="1:13" x14ac:dyDescent="0.25">
      <c r="A2118">
        <f t="shared" ca="1" si="401"/>
        <v>5</v>
      </c>
      <c r="B2118">
        <f t="shared" ca="1" si="402"/>
        <v>399</v>
      </c>
      <c r="C2118" t="str">
        <f t="shared" ca="1" si="409"/>
        <v>'WINDOWS-NCH-A-BDP-M3-03-00'!B398</v>
      </c>
      <c r="D2118" s="6" t="str">
        <f t="shared" ca="1" si="410"/>
        <v>L03-EDU-ETC-L017-03</v>
      </c>
      <c r="E2118" t="str">
        <f t="shared" ca="1" si="411"/>
        <v>Family Type: Curtain Wall_Bespoke 1 - 1979.5 x 3800, Family: Window External Type 5 - Flush Instance Width</v>
      </c>
      <c r="F2118" t="str">
        <f t="shared" ca="1" si="412"/>
        <v>Vector(X = -0.956, Y = 0.294, Z = 0.000, Length = 1.000)</v>
      </c>
      <c r="G2118">
        <f t="shared" ca="1" si="403"/>
        <v>-1</v>
      </c>
      <c r="H2118">
        <f t="shared" ca="1" si="404"/>
        <v>0.3</v>
      </c>
      <c r="I2118">
        <f t="shared" ca="1" si="405"/>
        <v>0</v>
      </c>
      <c r="J2118" s="8">
        <f t="shared" ca="1" si="406"/>
        <v>163.30075576600638</v>
      </c>
      <c r="K2118" s="9" t="str">
        <f t="shared" ca="1" si="407"/>
        <v>WN</v>
      </c>
      <c r="L2118">
        <f ca="1">+_xlfn.IFNA(VLOOKUP(M2118,BespokeWindowsAreas!$B$2:$E$1999,4,FALSE),VLOOKUP(E2118,WindowTypeArea!$B$2:$C$113,2,FALSE))</f>
        <v>1.95</v>
      </c>
      <c r="M2118">
        <f t="shared" ca="1" si="408"/>
        <v>5144013</v>
      </c>
    </row>
    <row r="2119" spans="1:13" x14ac:dyDescent="0.25">
      <c r="A2119">
        <f t="shared" ca="1" si="401"/>
        <v>5</v>
      </c>
      <c r="B2119">
        <f t="shared" ca="1" si="402"/>
        <v>400</v>
      </c>
      <c r="C2119" t="str">
        <f t="shared" ca="1" si="409"/>
        <v>'WINDOWS-NCH-A-BDP-M3-03-00'!B399</v>
      </c>
      <c r="D2119" s="6" t="str">
        <f t="shared" ca="1" si="410"/>
        <v>L03-EDU-ETC-L017-03</v>
      </c>
      <c r="E2119" t="str">
        <f t="shared" ca="1" si="411"/>
        <v>Family Type: Curtain Wall_Bespoke 1 - 1979.5 x 3800, Family: Window External Type 5 - Flush Instance Width</v>
      </c>
      <c r="F2119" t="str">
        <f t="shared" ca="1" si="412"/>
        <v>Vector(X = -0.956, Y = 0.294, Z = 0.000, Length = 1.000)</v>
      </c>
      <c r="G2119">
        <f t="shared" ca="1" si="403"/>
        <v>-1</v>
      </c>
      <c r="H2119">
        <f t="shared" ca="1" si="404"/>
        <v>0.3</v>
      </c>
      <c r="I2119">
        <f t="shared" ca="1" si="405"/>
        <v>0</v>
      </c>
      <c r="J2119" s="8">
        <f t="shared" ca="1" si="406"/>
        <v>163.30075576600638</v>
      </c>
      <c r="K2119" s="9" t="str">
        <f t="shared" ca="1" si="407"/>
        <v>WN</v>
      </c>
      <c r="L2119">
        <f ca="1">+_xlfn.IFNA(VLOOKUP(M2119,BespokeWindowsAreas!$B$2:$E$1999,4,FALSE),VLOOKUP(E2119,WindowTypeArea!$B$2:$C$113,2,FALSE))</f>
        <v>2.1015184497788324</v>
      </c>
      <c r="M2119">
        <f t="shared" ca="1" si="408"/>
        <v>5144014</v>
      </c>
    </row>
    <row r="2120" spans="1:13" x14ac:dyDescent="0.25">
      <c r="A2120">
        <f t="shared" ca="1" si="401"/>
        <v>5</v>
      </c>
      <c r="B2120">
        <f t="shared" ca="1" si="402"/>
        <v>401</v>
      </c>
      <c r="C2120" t="str">
        <f t="shared" ca="1" si="409"/>
        <v>'WINDOWS-NCH-A-BDP-M3-03-00'!B400</v>
      </c>
      <c r="D2120" s="6" t="str">
        <f t="shared" ca="1" si="410"/>
        <v>L03-EDU-ETC-L017-03</v>
      </c>
      <c r="E2120" t="str">
        <f t="shared" ca="1" si="411"/>
        <v>Family Type: Curtain Wall_Bespoke 1 - 1979.5 x 3800, Family: Window External Type 5 - Flush Instance Width</v>
      </c>
      <c r="F2120" t="str">
        <f t="shared" ca="1" si="412"/>
        <v>Vector(X = -0.956, Y = 0.294, Z = 0.000, Length = 1.000)</v>
      </c>
      <c r="G2120">
        <f t="shared" ca="1" si="403"/>
        <v>-1</v>
      </c>
      <c r="H2120">
        <f t="shared" ca="1" si="404"/>
        <v>0.3</v>
      </c>
      <c r="I2120">
        <f t="shared" ca="1" si="405"/>
        <v>0</v>
      </c>
      <c r="J2120" s="8">
        <f t="shared" ca="1" si="406"/>
        <v>163.30075576600638</v>
      </c>
      <c r="K2120" s="9" t="str">
        <f t="shared" ca="1" si="407"/>
        <v>WN</v>
      </c>
      <c r="L2120">
        <f ca="1">+_xlfn.IFNA(VLOOKUP(M2120,BespokeWindowsAreas!$B$2:$E$1999,4,FALSE),VLOOKUP(E2120,WindowTypeArea!$B$2:$C$113,2,FALSE))</f>
        <v>1.95</v>
      </c>
      <c r="M2120">
        <f t="shared" ca="1" si="408"/>
        <v>5144015</v>
      </c>
    </row>
    <row r="2121" spans="1:13" x14ac:dyDescent="0.25">
      <c r="A2121">
        <f t="shared" ca="1" si="401"/>
        <v>5</v>
      </c>
      <c r="B2121">
        <f t="shared" ca="1" si="402"/>
        <v>402</v>
      </c>
      <c r="C2121" t="str">
        <f t="shared" ca="1" si="409"/>
        <v>'WINDOWS-NCH-A-BDP-M3-03-00'!B401</v>
      </c>
      <c r="D2121" s="6" t="str">
        <f t="shared" ca="1" si="410"/>
        <v>L03-EDU-ETC-L017-03</v>
      </c>
      <c r="E2121" t="str">
        <f t="shared" ca="1" si="411"/>
        <v>Family Type: Curtain Wall_Bespoke 1 - 1979.5 x 3800, Family: Window External Type 5 - Flush Instance Width</v>
      </c>
      <c r="F2121" t="str">
        <f t="shared" ca="1" si="412"/>
        <v>Vector(X = -0.956, Y = 0.294, Z = 0.000, Length = 1.000)</v>
      </c>
      <c r="G2121">
        <f t="shared" ca="1" si="403"/>
        <v>-1</v>
      </c>
      <c r="H2121">
        <f t="shared" ca="1" si="404"/>
        <v>0.3</v>
      </c>
      <c r="I2121">
        <f t="shared" ca="1" si="405"/>
        <v>0</v>
      </c>
      <c r="J2121" s="8">
        <f t="shared" ca="1" si="406"/>
        <v>163.30075576600638</v>
      </c>
      <c r="K2121" s="9" t="str">
        <f t="shared" ca="1" si="407"/>
        <v>WN</v>
      </c>
      <c r="L2121">
        <f ca="1">+_xlfn.IFNA(VLOOKUP(M2121,BespokeWindowsAreas!$B$2:$E$1999,4,FALSE),VLOOKUP(E2121,WindowTypeArea!$B$2:$C$113,2,FALSE))</f>
        <v>1.95</v>
      </c>
      <c r="M2121">
        <f t="shared" ca="1" si="408"/>
        <v>5144016</v>
      </c>
    </row>
    <row r="2122" spans="1:13" x14ac:dyDescent="0.25">
      <c r="A2122">
        <f t="shared" ca="1" si="401"/>
        <v>5</v>
      </c>
      <c r="B2122">
        <f t="shared" ca="1" si="402"/>
        <v>403</v>
      </c>
      <c r="C2122" t="str">
        <f t="shared" ca="1" si="409"/>
        <v>'WINDOWS-NCH-A-BDP-M3-03-00'!B402</v>
      </c>
      <c r="D2122" s="6" t="str">
        <f t="shared" ca="1" si="410"/>
        <v>L03-EDU-ETC-L086-02</v>
      </c>
      <c r="E2122" t="str">
        <f t="shared" ca="1" si="411"/>
        <v>L03-EDU-ETC-L086-02</v>
      </c>
      <c r="F2122">
        <f t="shared" ca="1" si="412"/>
        <v>1300923</v>
      </c>
      <c r="G2122">
        <f t="shared" ca="1" si="403"/>
        <v>0</v>
      </c>
      <c r="H2122">
        <f t="shared" ca="1" si="404"/>
        <v>0</v>
      </c>
      <c r="I2122">
        <f t="shared" ca="1" si="405"/>
        <v>0</v>
      </c>
      <c r="J2122" s="8" t="e">
        <f t="shared" ca="1" si="406"/>
        <v>#DIV/0!</v>
      </c>
      <c r="K2122" s="9" t="e">
        <f t="shared" ca="1" si="407"/>
        <v>#DIV/0!</v>
      </c>
      <c r="L2122" t="e">
        <f ca="1">+_xlfn.IFNA(VLOOKUP(M2122,BespokeWindowsAreas!$B$2:$E$1999,4,FALSE),VLOOKUP(E2122,WindowTypeArea!$B$2:$C$113,2,FALSE))</f>
        <v>#N/A</v>
      </c>
      <c r="M2122">
        <f t="shared" ca="1" si="408"/>
        <v>0</v>
      </c>
    </row>
    <row r="2123" spans="1:13" x14ac:dyDescent="0.25">
      <c r="A2123">
        <f t="shared" ca="1" si="401"/>
        <v>5</v>
      </c>
      <c r="B2123">
        <f t="shared" ca="1" si="402"/>
        <v>404</v>
      </c>
      <c r="C2123" t="str">
        <f t="shared" ca="1" si="409"/>
        <v>'WINDOWS-NCH-A-BDP-M3-03-00'!B403</v>
      </c>
      <c r="D2123" s="6" t="str">
        <f t="shared" ca="1" si="410"/>
        <v>L03-EDU-ETC-L086-02</v>
      </c>
      <c r="E2123" t="str">
        <f t="shared" ca="1" si="411"/>
        <v>Family Type: Curtain Wall_2264x1950x4100, Family: Window External Type 5 - Flush Corner 2</v>
      </c>
      <c r="F2123" t="str">
        <f t="shared" ca="1" si="412"/>
        <v>Vector(X = -0.041, Y = 0.999, Z = 0.000, Length = 1.000)</v>
      </c>
      <c r="G2123">
        <f t="shared" ca="1" si="403"/>
        <v>0</v>
      </c>
      <c r="H2123">
        <f t="shared" ca="1" si="404"/>
        <v>1</v>
      </c>
      <c r="I2123">
        <f t="shared" ca="1" si="405"/>
        <v>0</v>
      </c>
      <c r="J2123" s="8">
        <f t="shared" ca="1" si="406"/>
        <v>90</v>
      </c>
      <c r="K2123" s="9" t="str">
        <f t="shared" ca="1" si="407"/>
        <v>N</v>
      </c>
      <c r="L2123">
        <f ca="1">+_xlfn.IFNA(VLOOKUP(M2123,BespokeWindowsAreas!$B$2:$E$1999,4,FALSE),VLOOKUP(E2123,WindowTypeArea!$B$2:$C$113,2,FALSE))</f>
        <v>0</v>
      </c>
      <c r="M2123">
        <f t="shared" ca="1" si="408"/>
        <v>4915149</v>
      </c>
    </row>
    <row r="2124" spans="1:13" x14ac:dyDescent="0.25">
      <c r="A2124">
        <f t="shared" ca="1" si="401"/>
        <v>5</v>
      </c>
      <c r="B2124">
        <f t="shared" ca="1" si="402"/>
        <v>405</v>
      </c>
      <c r="C2124" t="str">
        <f t="shared" ca="1" si="409"/>
        <v>'WINDOWS-NCH-A-BDP-M3-03-00'!B404</v>
      </c>
      <c r="D2124" s="6" t="str">
        <f t="shared" ca="1" si="410"/>
        <v>L03-EDU-ETC-L086-02</v>
      </c>
      <c r="E2124" t="str">
        <f t="shared" ca="1" si="411"/>
        <v>Family Type: Curtain Wall_1950w x 3800h, Family: Window External Type 5 - Flush</v>
      </c>
      <c r="F2124" t="str">
        <f t="shared" ca="1" si="412"/>
        <v>Vector(X = 0.041, Y = -0.999, Z = 0.000, Length = 1.000)</v>
      </c>
      <c r="G2124">
        <f t="shared" ca="1" si="403"/>
        <v>0</v>
      </c>
      <c r="H2124">
        <f t="shared" ca="1" si="404"/>
        <v>-1</v>
      </c>
      <c r="I2124">
        <f t="shared" ca="1" si="405"/>
        <v>0</v>
      </c>
      <c r="J2124" s="8">
        <f t="shared" ca="1" si="406"/>
        <v>-90</v>
      </c>
      <c r="K2124" s="9" t="str">
        <f t="shared" ca="1" si="407"/>
        <v>S</v>
      </c>
      <c r="L2124">
        <f ca="1">+_xlfn.IFNA(VLOOKUP(M2124,BespokeWindowsAreas!$B$2:$E$1999,4,FALSE),VLOOKUP(E2124,WindowTypeArea!$B$2:$C$113,2,FALSE))</f>
        <v>7.9950000000000001</v>
      </c>
      <c r="M2124">
        <f t="shared" ca="1" si="408"/>
        <v>4915152</v>
      </c>
    </row>
    <row r="2125" spans="1:13" x14ac:dyDescent="0.25">
      <c r="A2125">
        <f t="shared" ca="1" si="401"/>
        <v>5</v>
      </c>
      <c r="B2125">
        <f t="shared" ca="1" si="402"/>
        <v>406</v>
      </c>
      <c r="C2125" t="str">
        <f t="shared" ca="1" si="409"/>
        <v>'WINDOWS-NCH-A-BDP-M3-03-00'!B405</v>
      </c>
      <c r="D2125" s="6" t="str">
        <f t="shared" ca="1" si="410"/>
        <v>L03-EDU-ETC-L086-02</v>
      </c>
      <c r="E2125" t="str">
        <f t="shared" ca="1" si="411"/>
        <v>Family Type: Curtain Wall_1950w x 3800h, Family: Window External Type 5 - Flush</v>
      </c>
      <c r="F2125" t="str">
        <f t="shared" ca="1" si="412"/>
        <v>Vector(X = 0.041, Y = -0.999, Z = 0.000, Length = 1.000)</v>
      </c>
      <c r="G2125">
        <f t="shared" ca="1" si="403"/>
        <v>0</v>
      </c>
      <c r="H2125">
        <f t="shared" ca="1" si="404"/>
        <v>-1</v>
      </c>
      <c r="I2125">
        <f t="shared" ca="1" si="405"/>
        <v>0</v>
      </c>
      <c r="J2125" s="8">
        <f t="shared" ca="1" si="406"/>
        <v>-90</v>
      </c>
      <c r="K2125" s="9" t="str">
        <f t="shared" ca="1" si="407"/>
        <v>S</v>
      </c>
      <c r="L2125">
        <f ca="1">+_xlfn.IFNA(VLOOKUP(M2125,BespokeWindowsAreas!$B$2:$E$1999,4,FALSE),VLOOKUP(E2125,WindowTypeArea!$B$2:$C$113,2,FALSE))</f>
        <v>7.9950000000000001</v>
      </c>
      <c r="M2125">
        <f t="shared" ca="1" si="408"/>
        <v>4915153</v>
      </c>
    </row>
    <row r="2126" spans="1:13" x14ac:dyDescent="0.25">
      <c r="A2126">
        <f t="shared" ca="1" si="401"/>
        <v>5</v>
      </c>
      <c r="B2126">
        <f t="shared" ca="1" si="402"/>
        <v>407</v>
      </c>
      <c r="C2126" t="str">
        <f t="shared" ca="1" si="409"/>
        <v>'WINDOWS-NCH-A-BDP-M3-03-00'!B406</v>
      </c>
      <c r="D2126" s="6" t="str">
        <f t="shared" ca="1" si="410"/>
        <v>L03-EDU-ETC-L086-02</v>
      </c>
      <c r="E2126" t="str">
        <f t="shared" ca="1" si="411"/>
        <v>Family Type: Curtain Wall_1950w x 3800h, Family: Window External Type 5 - Flush</v>
      </c>
      <c r="F2126" t="str">
        <f t="shared" ca="1" si="412"/>
        <v>Vector(X = 0.041, Y = -0.999, Z = 0.000, Length = 1.000)</v>
      </c>
      <c r="G2126">
        <f t="shared" ca="1" si="403"/>
        <v>0</v>
      </c>
      <c r="H2126">
        <f t="shared" ca="1" si="404"/>
        <v>-1</v>
      </c>
      <c r="I2126">
        <f t="shared" ca="1" si="405"/>
        <v>0</v>
      </c>
      <c r="J2126" s="8">
        <f t="shared" ca="1" si="406"/>
        <v>-90</v>
      </c>
      <c r="K2126" s="9" t="str">
        <f t="shared" ca="1" si="407"/>
        <v>S</v>
      </c>
      <c r="L2126">
        <f ca="1">+_xlfn.IFNA(VLOOKUP(M2126,BespokeWindowsAreas!$B$2:$E$1999,4,FALSE),VLOOKUP(E2126,WindowTypeArea!$B$2:$C$113,2,FALSE))</f>
        <v>7.9950000000000001</v>
      </c>
      <c r="M2126">
        <f t="shared" ca="1" si="408"/>
        <v>4915154</v>
      </c>
    </row>
    <row r="2127" spans="1:13" x14ac:dyDescent="0.25">
      <c r="A2127">
        <f t="shared" ca="1" si="401"/>
        <v>5</v>
      </c>
      <c r="B2127">
        <f t="shared" ca="1" si="402"/>
        <v>408</v>
      </c>
      <c r="C2127" t="str">
        <f t="shared" ca="1" si="409"/>
        <v>'WINDOWS-NCH-A-BDP-M3-03-00'!B407</v>
      </c>
      <c r="D2127" s="6" t="str">
        <f t="shared" ca="1" si="410"/>
        <v>L03-EDU-ETC-L086-02</v>
      </c>
      <c r="E2127" t="str">
        <f t="shared" ca="1" si="411"/>
        <v>Family Type: Curtain Wall_975w x 3800h, Family: Window External Type 5 - Flush</v>
      </c>
      <c r="F2127" t="str">
        <f t="shared" ca="1" si="412"/>
        <v>Vector(X = -0.956, Y = 0.294, Z = 0.000, Length = 1.000)</v>
      </c>
      <c r="G2127">
        <f t="shared" ca="1" si="403"/>
        <v>-1</v>
      </c>
      <c r="H2127">
        <f t="shared" ca="1" si="404"/>
        <v>0.3</v>
      </c>
      <c r="I2127">
        <f t="shared" ca="1" si="405"/>
        <v>0</v>
      </c>
      <c r="J2127" s="8">
        <f t="shared" ca="1" si="406"/>
        <v>163.30075576600638</v>
      </c>
      <c r="K2127" s="9" t="str">
        <f t="shared" ca="1" si="407"/>
        <v>WN</v>
      </c>
      <c r="L2127">
        <f ca="1">+_xlfn.IFNA(VLOOKUP(M2127,BespokeWindowsAreas!$B$2:$E$1999,4,FALSE),VLOOKUP(E2127,WindowTypeArea!$B$2:$C$113,2,FALSE))</f>
        <v>3.9975000000000001</v>
      </c>
      <c r="M2127">
        <f t="shared" ca="1" si="408"/>
        <v>4915155</v>
      </c>
    </row>
    <row r="2128" spans="1:13" x14ac:dyDescent="0.25">
      <c r="A2128">
        <f t="shared" ca="1" si="401"/>
        <v>5</v>
      </c>
      <c r="B2128">
        <f t="shared" ca="1" si="402"/>
        <v>409</v>
      </c>
      <c r="C2128" t="str">
        <f t="shared" ca="1" si="409"/>
        <v>'WINDOWS-NCH-A-BDP-M3-03-00'!B408</v>
      </c>
      <c r="D2128" s="6" t="str">
        <f t="shared" ca="1" si="410"/>
        <v>L03-EDU-ETC-L086-02</v>
      </c>
      <c r="E2128" t="str">
        <f t="shared" ca="1" si="411"/>
        <v>Family Type: Curtain Wall_975w x 3800h, Family: Window External Type 5 - Flush</v>
      </c>
      <c r="F2128" t="str">
        <f t="shared" ca="1" si="412"/>
        <v>Vector(X = -0.956, Y = 0.294, Z = 0.000, Length = 1.000)</v>
      </c>
      <c r="G2128">
        <f t="shared" ca="1" si="403"/>
        <v>-1</v>
      </c>
      <c r="H2128">
        <f t="shared" ca="1" si="404"/>
        <v>0.3</v>
      </c>
      <c r="I2128">
        <f t="shared" ca="1" si="405"/>
        <v>0</v>
      </c>
      <c r="J2128" s="8">
        <f t="shared" ca="1" si="406"/>
        <v>163.30075576600638</v>
      </c>
      <c r="K2128" s="9" t="str">
        <f t="shared" ca="1" si="407"/>
        <v>WN</v>
      </c>
      <c r="L2128">
        <f ca="1">+_xlfn.IFNA(VLOOKUP(M2128,BespokeWindowsAreas!$B$2:$E$1999,4,FALSE),VLOOKUP(E2128,WindowTypeArea!$B$2:$C$113,2,FALSE))</f>
        <v>3.9975000000000001</v>
      </c>
      <c r="M2128">
        <f t="shared" ca="1" si="408"/>
        <v>4915156</v>
      </c>
    </row>
    <row r="2129" spans="1:13" x14ac:dyDescent="0.25">
      <c r="A2129">
        <f t="shared" ca="1" si="401"/>
        <v>5</v>
      </c>
      <c r="B2129">
        <f t="shared" ca="1" si="402"/>
        <v>410</v>
      </c>
      <c r="C2129" t="str">
        <f t="shared" ca="1" si="409"/>
        <v>'WINDOWS-NCH-A-BDP-M3-03-00'!B409</v>
      </c>
      <c r="D2129" s="6" t="str">
        <f t="shared" ca="1" si="410"/>
        <v>L03-EDU-ETC-L086-02</v>
      </c>
      <c r="E2129" t="str">
        <f t="shared" ca="1" si="411"/>
        <v>Family Type: Curtain Wall_975w x 3800h, Family: Window External Type 5 - Flush</v>
      </c>
      <c r="F2129" t="str">
        <f t="shared" ca="1" si="412"/>
        <v>Vector(X = -0.956, Y = 0.294, Z = 0.000, Length = 1.000)</v>
      </c>
      <c r="G2129">
        <f t="shared" ca="1" si="403"/>
        <v>-1</v>
      </c>
      <c r="H2129">
        <f t="shared" ca="1" si="404"/>
        <v>0.3</v>
      </c>
      <c r="I2129">
        <f t="shared" ca="1" si="405"/>
        <v>0</v>
      </c>
      <c r="J2129" s="8">
        <f t="shared" ca="1" si="406"/>
        <v>163.30075576600638</v>
      </c>
      <c r="K2129" s="9" t="str">
        <f t="shared" ca="1" si="407"/>
        <v>WN</v>
      </c>
      <c r="L2129">
        <f ca="1">+_xlfn.IFNA(VLOOKUP(M2129,BespokeWindowsAreas!$B$2:$E$1999,4,FALSE),VLOOKUP(E2129,WindowTypeArea!$B$2:$C$113,2,FALSE))</f>
        <v>3.9975000000000001</v>
      </c>
      <c r="M2129">
        <f t="shared" ca="1" si="408"/>
        <v>4915157</v>
      </c>
    </row>
    <row r="2130" spans="1:13" x14ac:dyDescent="0.25">
      <c r="A2130">
        <f t="shared" ca="1" si="401"/>
        <v>5</v>
      </c>
      <c r="B2130">
        <f t="shared" ca="1" si="402"/>
        <v>411</v>
      </c>
      <c r="C2130" t="str">
        <f t="shared" ca="1" si="409"/>
        <v>'WINDOWS-NCH-A-BDP-M3-03-00'!B410</v>
      </c>
      <c r="D2130" s="6" t="str">
        <f t="shared" ca="1" si="410"/>
        <v>L03-EDU-ETC-L086-02</v>
      </c>
      <c r="E2130" t="str">
        <f t="shared" ca="1" si="411"/>
        <v>Family Type: Curtain Wall_1950w x 3800h, Family: Window External Type 5 - Flush</v>
      </c>
      <c r="F2130" t="str">
        <f t="shared" ca="1" si="412"/>
        <v>Vector(X = -0.956, Y = 0.294, Z = 0.000, Length = 1.000)</v>
      </c>
      <c r="G2130">
        <f t="shared" ca="1" si="403"/>
        <v>-1</v>
      </c>
      <c r="H2130">
        <f t="shared" ca="1" si="404"/>
        <v>0.3</v>
      </c>
      <c r="I2130">
        <f t="shared" ca="1" si="405"/>
        <v>0</v>
      </c>
      <c r="J2130" s="8">
        <f t="shared" ca="1" si="406"/>
        <v>163.30075576600638</v>
      </c>
      <c r="K2130" s="9" t="str">
        <f t="shared" ca="1" si="407"/>
        <v>WN</v>
      </c>
      <c r="L2130">
        <f ca="1">+_xlfn.IFNA(VLOOKUP(M2130,BespokeWindowsAreas!$B$2:$E$1999,4,FALSE),VLOOKUP(E2130,WindowTypeArea!$B$2:$C$113,2,FALSE))</f>
        <v>7.9950000000000001</v>
      </c>
      <c r="M2130">
        <f t="shared" ca="1" si="408"/>
        <v>4915158</v>
      </c>
    </row>
    <row r="2131" spans="1:13" x14ac:dyDescent="0.25">
      <c r="A2131">
        <f t="shared" ca="1" si="401"/>
        <v>5</v>
      </c>
      <c r="B2131">
        <f t="shared" ca="1" si="402"/>
        <v>412</v>
      </c>
      <c r="C2131" t="str">
        <f t="shared" ca="1" si="409"/>
        <v>'WINDOWS-NCH-A-BDP-M3-03-00'!B411</v>
      </c>
      <c r="D2131" s="6" t="str">
        <f t="shared" ca="1" si="410"/>
        <v>L03-EDU-ETC-L086-03</v>
      </c>
      <c r="E2131" t="str">
        <f t="shared" ca="1" si="411"/>
        <v>L03-EDU-ETC-L086-03</v>
      </c>
      <c r="F2131">
        <f t="shared" ca="1" si="412"/>
        <v>1300924</v>
      </c>
      <c r="G2131">
        <f t="shared" ca="1" si="403"/>
        <v>0</v>
      </c>
      <c r="H2131">
        <f t="shared" ca="1" si="404"/>
        <v>0</v>
      </c>
      <c r="I2131">
        <f t="shared" ca="1" si="405"/>
        <v>0</v>
      </c>
      <c r="J2131" s="8" t="e">
        <f t="shared" ca="1" si="406"/>
        <v>#DIV/0!</v>
      </c>
      <c r="K2131" s="9" t="e">
        <f t="shared" ca="1" si="407"/>
        <v>#DIV/0!</v>
      </c>
      <c r="L2131" t="e">
        <f ca="1">+_xlfn.IFNA(VLOOKUP(M2131,BespokeWindowsAreas!$B$2:$E$1999,4,FALSE),VLOOKUP(E2131,WindowTypeArea!$B$2:$C$113,2,FALSE))</f>
        <v>#N/A</v>
      </c>
      <c r="M2131">
        <f t="shared" ca="1" si="408"/>
        <v>0</v>
      </c>
    </row>
    <row r="2132" spans="1:13" x14ac:dyDescent="0.25">
      <c r="A2132">
        <f t="shared" ref="A2132:A2195" ca="1" si="413">+IF(B2131&lt;=VLOOKUP(MID(C2132,2,26),TABS,2,FALSE),A2131,+A2131+1)</f>
        <v>5</v>
      </c>
      <c r="B2132">
        <f t="shared" ref="B2132:B2195" ca="1" si="414">+IF(B2131&lt;=VLOOKUP(MID(C2132,2,26),TABS,2,FALSE),B2131+1,1)</f>
        <v>413</v>
      </c>
      <c r="C2132" t="str">
        <f t="shared" ca="1" si="409"/>
        <v>'WINDOWS-NCH-A-BDP-M3-03-00'!B412</v>
      </c>
      <c r="D2132" s="6" t="str">
        <f t="shared" ca="1" si="410"/>
        <v>L03-EDU-ETC-L086-03</v>
      </c>
      <c r="E2132" t="str">
        <f t="shared" ca="1" si="411"/>
        <v>Family Type: Curtain Wall_1950w x 3800h, Family: Window External Type 5 - Flush</v>
      </c>
      <c r="F2132" t="str">
        <f t="shared" ca="1" si="412"/>
        <v>Vector(X = 0.041, Y = -0.999, Z = 0.000, Length = 1.000)</v>
      </c>
      <c r="G2132">
        <f t="shared" ca="1" si="403"/>
        <v>0</v>
      </c>
      <c r="H2132">
        <f t="shared" ca="1" si="404"/>
        <v>-1</v>
      </c>
      <c r="I2132">
        <f t="shared" ca="1" si="405"/>
        <v>0</v>
      </c>
      <c r="J2132" s="8">
        <f t="shared" ca="1" si="406"/>
        <v>-90</v>
      </c>
      <c r="K2132" s="9" t="str">
        <f t="shared" ca="1" si="407"/>
        <v>S</v>
      </c>
      <c r="L2132">
        <f ca="1">+_xlfn.IFNA(VLOOKUP(M2132,BespokeWindowsAreas!$B$2:$E$1999,4,FALSE),VLOOKUP(E2132,WindowTypeArea!$B$2:$C$113,2,FALSE))</f>
        <v>7.9950000000000001</v>
      </c>
      <c r="M2132">
        <f t="shared" ca="1" si="408"/>
        <v>4915154</v>
      </c>
    </row>
    <row r="2133" spans="1:13" x14ac:dyDescent="0.25">
      <c r="A2133">
        <f t="shared" ca="1" si="413"/>
        <v>5</v>
      </c>
      <c r="B2133">
        <f t="shared" ca="1" si="414"/>
        <v>414</v>
      </c>
      <c r="C2133" t="str">
        <f t="shared" ca="1" si="409"/>
        <v>'WINDOWS-NCH-A-BDP-M3-03-00'!B413</v>
      </c>
      <c r="D2133" s="6" t="str">
        <f t="shared" ca="1" si="410"/>
        <v>L03-EDU-ETC-L086-04</v>
      </c>
      <c r="E2133" t="str">
        <f t="shared" ca="1" si="411"/>
        <v>L03-EDU-ETC-L086-04</v>
      </c>
      <c r="F2133">
        <f t="shared" ca="1" si="412"/>
        <v>1300925</v>
      </c>
      <c r="G2133">
        <f t="shared" ca="1" si="403"/>
        <v>0</v>
      </c>
      <c r="H2133">
        <f t="shared" ca="1" si="404"/>
        <v>0</v>
      </c>
      <c r="I2133">
        <f t="shared" ca="1" si="405"/>
        <v>0</v>
      </c>
      <c r="J2133" s="8" t="e">
        <f t="shared" ca="1" si="406"/>
        <v>#DIV/0!</v>
      </c>
      <c r="K2133" s="9" t="e">
        <f t="shared" ca="1" si="407"/>
        <v>#DIV/0!</v>
      </c>
      <c r="L2133" t="e">
        <f ca="1">+_xlfn.IFNA(VLOOKUP(M2133,BespokeWindowsAreas!$B$2:$E$1999,4,FALSE),VLOOKUP(E2133,WindowTypeArea!$B$2:$C$113,2,FALSE))</f>
        <v>#N/A</v>
      </c>
      <c r="M2133">
        <f t="shared" ca="1" si="408"/>
        <v>0</v>
      </c>
    </row>
    <row r="2134" spans="1:13" x14ac:dyDescent="0.25">
      <c r="A2134">
        <f t="shared" ca="1" si="413"/>
        <v>5</v>
      </c>
      <c r="B2134">
        <f t="shared" ca="1" si="414"/>
        <v>415</v>
      </c>
      <c r="C2134" t="str">
        <f t="shared" ca="1" si="409"/>
        <v>'WINDOWS-NCH-A-BDP-M3-03-00'!B414</v>
      </c>
      <c r="D2134" s="6" t="str">
        <f t="shared" ca="1" si="410"/>
        <v>L03-EDU-ETC-L086-04</v>
      </c>
      <c r="E2134" t="str">
        <f t="shared" ca="1" si="411"/>
        <v>Family Type: Curtain Wall_975w x 3800h, Family: Window External Type 5 - Flush</v>
      </c>
      <c r="F2134" t="str">
        <f t="shared" ca="1" si="412"/>
        <v>Vector(X = -0.956, Y = 0.294, Z = 0.000, Length = 1.000)</v>
      </c>
      <c r="G2134">
        <f t="shared" ref="G2134:G2197" ca="1" si="415">+OFFSET(INDIRECT(C2134),0,2)</f>
        <v>-1</v>
      </c>
      <c r="H2134">
        <f t="shared" ref="H2134:H2197" ca="1" si="416">+OFFSET(INDIRECT(C2134),0,3)</f>
        <v>0.3</v>
      </c>
      <c r="I2134">
        <f t="shared" ref="I2134:I2197" ca="1" si="417">+OFFSET(INDIRECT(C2134),0,4)</f>
        <v>0</v>
      </c>
      <c r="J2134" s="8">
        <f t="shared" ref="J2134:J2197" ca="1" si="418">+DEGREES(ATAN2(G2134,H2134))</f>
        <v>163.30075576600638</v>
      </c>
      <c r="K2134" s="9" t="str">
        <f t="shared" ref="K2134:K2197" ca="1" si="419">VLOOKUP(J2134,$O$20:$P$36,2,-1)</f>
        <v>WN</v>
      </c>
      <c r="L2134">
        <f ca="1">+_xlfn.IFNA(VLOOKUP(M2134,BespokeWindowsAreas!$B$2:$E$1999,4,FALSE),VLOOKUP(E2134,WindowTypeArea!$B$2:$C$113,2,FALSE))</f>
        <v>3.9975000000000001</v>
      </c>
      <c r="M2134">
        <f t="shared" ref="M2134:M2197" ca="1" si="420">+OFFSET(INDIRECT(C2134),0,5)</f>
        <v>4914396</v>
      </c>
    </row>
    <row r="2135" spans="1:13" x14ac:dyDescent="0.25">
      <c r="A2135">
        <f t="shared" ca="1" si="413"/>
        <v>5</v>
      </c>
      <c r="B2135">
        <f t="shared" ca="1" si="414"/>
        <v>416</v>
      </c>
      <c r="C2135" t="str">
        <f t="shared" ca="1" si="409"/>
        <v>'WINDOWS-NCH-A-BDP-M3-03-00'!B415</v>
      </c>
      <c r="D2135" s="6" t="str">
        <f t="shared" ca="1" si="410"/>
        <v>L03-EDU-ETC-L086-04</v>
      </c>
      <c r="E2135" t="str">
        <f t="shared" ca="1" si="411"/>
        <v>Family Type: Curtain Wall_975w x 3800h, Family: Window External Type 5 - Flush</v>
      </c>
      <c r="F2135" t="str">
        <f t="shared" ca="1" si="412"/>
        <v>Vector(X = -0.956, Y = 0.294, Z = 0.000, Length = 1.000)</v>
      </c>
      <c r="G2135">
        <f t="shared" ca="1" si="415"/>
        <v>-1</v>
      </c>
      <c r="H2135">
        <f t="shared" ca="1" si="416"/>
        <v>0.3</v>
      </c>
      <c r="I2135">
        <f t="shared" ca="1" si="417"/>
        <v>0</v>
      </c>
      <c r="J2135" s="8">
        <f t="shared" ca="1" si="418"/>
        <v>163.30075576600638</v>
      </c>
      <c r="K2135" s="9" t="str">
        <f t="shared" ca="1" si="419"/>
        <v>WN</v>
      </c>
      <c r="L2135">
        <f ca="1">+_xlfn.IFNA(VLOOKUP(M2135,BespokeWindowsAreas!$B$2:$E$1999,4,FALSE),VLOOKUP(E2135,WindowTypeArea!$B$2:$C$113,2,FALSE))</f>
        <v>3.9975000000000001</v>
      </c>
      <c r="M2135">
        <f t="shared" ca="1" si="420"/>
        <v>4914397</v>
      </c>
    </row>
    <row r="2136" spans="1:13" x14ac:dyDescent="0.25">
      <c r="A2136">
        <f t="shared" ca="1" si="413"/>
        <v>5</v>
      </c>
      <c r="B2136">
        <f t="shared" ca="1" si="414"/>
        <v>417</v>
      </c>
      <c r="C2136" t="str">
        <f t="shared" ca="1" si="409"/>
        <v>'WINDOWS-NCH-A-BDP-M3-03-00'!B416</v>
      </c>
      <c r="D2136" s="6" t="str">
        <f t="shared" ca="1" si="410"/>
        <v>L03-EDU-ETC-L086-04</v>
      </c>
      <c r="E2136" t="str">
        <f t="shared" ca="1" si="411"/>
        <v>Family Type: Curtain Wall_1950w x 3800h, Family: Window External Type 5 - Flush</v>
      </c>
      <c r="F2136" t="str">
        <f t="shared" ca="1" si="412"/>
        <v>Vector(X = -0.956, Y = 0.294, Z = 0.000, Length = 1.000)</v>
      </c>
      <c r="G2136">
        <f t="shared" ca="1" si="415"/>
        <v>-1</v>
      </c>
      <c r="H2136">
        <f t="shared" ca="1" si="416"/>
        <v>0.3</v>
      </c>
      <c r="I2136">
        <f t="shared" ca="1" si="417"/>
        <v>0</v>
      </c>
      <c r="J2136" s="8">
        <f t="shared" ca="1" si="418"/>
        <v>163.30075576600638</v>
      </c>
      <c r="K2136" s="9" t="str">
        <f t="shared" ca="1" si="419"/>
        <v>WN</v>
      </c>
      <c r="L2136">
        <f ca="1">+_xlfn.IFNA(VLOOKUP(M2136,BespokeWindowsAreas!$B$2:$E$1999,4,FALSE),VLOOKUP(E2136,WindowTypeArea!$B$2:$C$113,2,FALSE))</f>
        <v>7.9950000000000001</v>
      </c>
      <c r="M2136">
        <f t="shared" ca="1" si="420"/>
        <v>4914398</v>
      </c>
    </row>
    <row r="2137" spans="1:13" x14ac:dyDescent="0.25">
      <c r="A2137">
        <f t="shared" ca="1" si="413"/>
        <v>5</v>
      </c>
      <c r="B2137">
        <f t="shared" ca="1" si="414"/>
        <v>418</v>
      </c>
      <c r="C2137" t="str">
        <f t="shared" ca="1" si="409"/>
        <v>'WINDOWS-NCH-A-BDP-M3-03-00'!B417</v>
      </c>
      <c r="D2137" s="6" t="str">
        <f t="shared" ca="1" si="410"/>
        <v>L03-EDU-ETC-L086-04</v>
      </c>
      <c r="E2137" t="str">
        <f t="shared" ca="1" si="411"/>
        <v>Family Type: Curtain Wall_975w x 3800h, Family: Window External Type 5 - Flush</v>
      </c>
      <c r="F2137" t="str">
        <f t="shared" ca="1" si="412"/>
        <v>Vector(X = -0.956, Y = 0.294, Z = 0.000, Length = 1.000)</v>
      </c>
      <c r="G2137">
        <f t="shared" ca="1" si="415"/>
        <v>-1</v>
      </c>
      <c r="H2137">
        <f t="shared" ca="1" si="416"/>
        <v>0.3</v>
      </c>
      <c r="I2137">
        <f t="shared" ca="1" si="417"/>
        <v>0</v>
      </c>
      <c r="J2137" s="8">
        <f t="shared" ca="1" si="418"/>
        <v>163.30075576600638</v>
      </c>
      <c r="K2137" s="9" t="str">
        <f t="shared" ca="1" si="419"/>
        <v>WN</v>
      </c>
      <c r="L2137">
        <f ca="1">+_xlfn.IFNA(VLOOKUP(M2137,BespokeWindowsAreas!$B$2:$E$1999,4,FALSE),VLOOKUP(E2137,WindowTypeArea!$B$2:$C$113,2,FALSE))</f>
        <v>3.9975000000000001</v>
      </c>
      <c r="M2137">
        <f t="shared" ca="1" si="420"/>
        <v>4914399</v>
      </c>
    </row>
    <row r="2138" spans="1:13" x14ac:dyDescent="0.25">
      <c r="A2138">
        <f t="shared" ca="1" si="413"/>
        <v>5</v>
      </c>
      <c r="B2138">
        <f t="shared" ca="1" si="414"/>
        <v>419</v>
      </c>
      <c r="C2138" t="str">
        <f t="shared" ca="1" si="409"/>
        <v>'WINDOWS-NCH-A-BDP-M3-03-00'!B418</v>
      </c>
      <c r="D2138" s="6" t="str">
        <f t="shared" ca="1" si="410"/>
        <v>L03-EDU-ETC-L086-04</v>
      </c>
      <c r="E2138" t="str">
        <f t="shared" ca="1" si="411"/>
        <v>Family Type: Curtain Wall_Bespoke 1 - 1979.5 x 3800, Family: Window External Type 5 - Flush Instance Width</v>
      </c>
      <c r="F2138" t="str">
        <f t="shared" ca="1" si="412"/>
        <v>Vector(X = -0.956, Y = 0.294, Z = 0.000, Length = 1.000)</v>
      </c>
      <c r="G2138">
        <f t="shared" ca="1" si="415"/>
        <v>-1</v>
      </c>
      <c r="H2138">
        <f t="shared" ca="1" si="416"/>
        <v>0.3</v>
      </c>
      <c r="I2138">
        <f t="shared" ca="1" si="417"/>
        <v>0</v>
      </c>
      <c r="J2138" s="8">
        <f t="shared" ca="1" si="418"/>
        <v>163.30075576600638</v>
      </c>
      <c r="K2138" s="9" t="str">
        <f t="shared" ca="1" si="419"/>
        <v>WN</v>
      </c>
      <c r="L2138">
        <f ca="1">+_xlfn.IFNA(VLOOKUP(M2138,BespokeWindowsAreas!$B$2:$E$1999,4,FALSE),VLOOKUP(E2138,WindowTypeArea!$B$2:$C$113,2,FALSE))</f>
        <v>7.9950000000001635</v>
      </c>
      <c r="M2138">
        <f t="shared" ca="1" si="420"/>
        <v>4914400</v>
      </c>
    </row>
    <row r="2139" spans="1:13" x14ac:dyDescent="0.25">
      <c r="A2139">
        <f t="shared" ca="1" si="413"/>
        <v>5</v>
      </c>
      <c r="B2139">
        <f t="shared" ca="1" si="414"/>
        <v>420</v>
      </c>
      <c r="C2139" t="str">
        <f t="shared" ca="1" si="409"/>
        <v>'WINDOWS-NCH-A-BDP-M3-03-00'!B419</v>
      </c>
      <c r="D2139" s="6" t="str">
        <f t="shared" ca="1" si="410"/>
        <v>L03-EDU-ETC-L086-04</v>
      </c>
      <c r="E2139" t="str">
        <f t="shared" ca="1" si="411"/>
        <v>Family Type: Curtain Wall_Bespoke 1 - 1979.5 x 3800, Family: Window External Type 5 - Flush Instance Width</v>
      </c>
      <c r="F2139" t="str">
        <f t="shared" ca="1" si="412"/>
        <v>Vector(X = -0.956, Y = 0.294, Z = 0.000, Length = 1.000)</v>
      </c>
      <c r="G2139">
        <f t="shared" ca="1" si="415"/>
        <v>-1</v>
      </c>
      <c r="H2139">
        <f t="shared" ca="1" si="416"/>
        <v>0.3</v>
      </c>
      <c r="I2139">
        <f t="shared" ca="1" si="417"/>
        <v>0</v>
      </c>
      <c r="J2139" s="8">
        <f t="shared" ca="1" si="418"/>
        <v>163.30075576600638</v>
      </c>
      <c r="K2139" s="9" t="str">
        <f t="shared" ca="1" si="419"/>
        <v>WN</v>
      </c>
      <c r="L2139">
        <f ca="1">+_xlfn.IFNA(VLOOKUP(M2139,BespokeWindowsAreas!$B$2:$E$1999,4,FALSE),VLOOKUP(E2139,WindowTypeArea!$B$2:$C$113,2,FALSE))</f>
        <v>1.9500000000000401</v>
      </c>
      <c r="M2139">
        <f t="shared" ca="1" si="420"/>
        <v>5144012</v>
      </c>
    </row>
    <row r="2140" spans="1:13" x14ac:dyDescent="0.25">
      <c r="A2140">
        <f t="shared" ca="1" si="413"/>
        <v>5</v>
      </c>
      <c r="B2140">
        <f t="shared" ca="1" si="414"/>
        <v>421</v>
      </c>
      <c r="C2140" t="str">
        <f t="shared" ca="1" si="409"/>
        <v>'WINDOWS-NCH-A-BDP-M3-03-00'!B420</v>
      </c>
      <c r="D2140" s="6" t="str">
        <f t="shared" ca="1" si="410"/>
        <v>L03-EDU-ETC-L086-06</v>
      </c>
      <c r="E2140" t="str">
        <f t="shared" ca="1" si="411"/>
        <v>L03-EDU-ETC-L086-06</v>
      </c>
      <c r="F2140">
        <f t="shared" ca="1" si="412"/>
        <v>1300927</v>
      </c>
      <c r="G2140">
        <f t="shared" ca="1" si="415"/>
        <v>0</v>
      </c>
      <c r="H2140">
        <f t="shared" ca="1" si="416"/>
        <v>0</v>
      </c>
      <c r="I2140">
        <f t="shared" ca="1" si="417"/>
        <v>0</v>
      </c>
      <c r="J2140" s="8" t="e">
        <f t="shared" ca="1" si="418"/>
        <v>#DIV/0!</v>
      </c>
      <c r="K2140" s="9" t="e">
        <f t="shared" ca="1" si="419"/>
        <v>#DIV/0!</v>
      </c>
      <c r="L2140" t="e">
        <f ca="1">+_xlfn.IFNA(VLOOKUP(M2140,BespokeWindowsAreas!$B$2:$E$1999,4,FALSE),VLOOKUP(E2140,WindowTypeArea!$B$2:$C$113,2,FALSE))</f>
        <v>#N/A</v>
      </c>
      <c r="M2140">
        <f t="shared" ca="1" si="420"/>
        <v>0</v>
      </c>
    </row>
    <row r="2141" spans="1:13" x14ac:dyDescent="0.25">
      <c r="A2141">
        <f t="shared" ca="1" si="413"/>
        <v>5</v>
      </c>
      <c r="B2141">
        <f t="shared" ca="1" si="414"/>
        <v>422</v>
      </c>
      <c r="C2141" t="str">
        <f t="shared" ca="1" si="409"/>
        <v>'WINDOWS-NCH-A-BDP-M3-03-00'!B421</v>
      </c>
      <c r="D2141" s="6" t="str">
        <f t="shared" ca="1" si="410"/>
        <v>L03-EDU-ETC-L086-06</v>
      </c>
      <c r="E2141" t="str">
        <f t="shared" ca="1" si="411"/>
        <v>Family Type: Curtain Wall_2264x1950x4100, Family: Window External Type 5 - Flush Corner 2</v>
      </c>
      <c r="F2141" t="str">
        <f t="shared" ca="1" si="412"/>
        <v>Vector(X = 0.130, Y = 0.991, Z = 0.000, Length = 1.000)</v>
      </c>
      <c r="G2141">
        <f t="shared" ca="1" si="415"/>
        <v>0.1</v>
      </c>
      <c r="H2141">
        <f t="shared" ca="1" si="416"/>
        <v>1</v>
      </c>
      <c r="I2141">
        <f t="shared" ca="1" si="417"/>
        <v>0</v>
      </c>
      <c r="J2141" s="8">
        <f t="shared" ca="1" si="418"/>
        <v>84.289406862500371</v>
      </c>
      <c r="K2141" s="9" t="str">
        <f t="shared" ca="1" si="419"/>
        <v>NE</v>
      </c>
      <c r="L2141">
        <f ca="1">+_xlfn.IFNA(VLOOKUP(M2141,BespokeWindowsAreas!$B$2:$E$1999,4,FALSE),VLOOKUP(E2141,WindowTypeArea!$B$2:$C$113,2,FALSE))</f>
        <v>0</v>
      </c>
      <c r="M2141">
        <f t="shared" ca="1" si="420"/>
        <v>4914383</v>
      </c>
    </row>
    <row r="2142" spans="1:13" x14ac:dyDescent="0.25">
      <c r="A2142">
        <f t="shared" ca="1" si="413"/>
        <v>5</v>
      </c>
      <c r="B2142">
        <f t="shared" ca="1" si="414"/>
        <v>423</v>
      </c>
      <c r="C2142" t="str">
        <f t="shared" ca="1" si="409"/>
        <v>'WINDOWS-NCH-A-BDP-M3-03-00'!B422</v>
      </c>
      <c r="D2142" s="6" t="str">
        <f t="shared" ca="1" si="410"/>
        <v>L03-EDU-ETC-L086-06</v>
      </c>
      <c r="E2142" t="str">
        <f t="shared" ca="1" si="411"/>
        <v>Family Type: Curtain Wall_1950w x 3800h, Family: Window External Type 5 - Flush</v>
      </c>
      <c r="F2142" t="str">
        <f t="shared" ca="1" si="412"/>
        <v>Vector(X = -0.130, Y = -0.991, Z = 0.000, Length = 1.000)</v>
      </c>
      <c r="G2142">
        <f t="shared" ca="1" si="415"/>
        <v>-0.1</v>
      </c>
      <c r="H2142">
        <f t="shared" ca="1" si="416"/>
        <v>-1</v>
      </c>
      <c r="I2142">
        <f t="shared" ca="1" si="417"/>
        <v>0</v>
      </c>
      <c r="J2142" s="8">
        <f t="shared" ca="1" si="418"/>
        <v>-95.710593137499629</v>
      </c>
      <c r="K2142" s="9" t="str">
        <f t="shared" ca="1" si="419"/>
        <v>SW</v>
      </c>
      <c r="L2142">
        <f ca="1">+_xlfn.IFNA(VLOOKUP(M2142,BespokeWindowsAreas!$B$2:$E$1999,4,FALSE),VLOOKUP(E2142,WindowTypeArea!$B$2:$C$113,2,FALSE))</f>
        <v>7.9950000000000001</v>
      </c>
      <c r="M2142">
        <f t="shared" ca="1" si="420"/>
        <v>4914386</v>
      </c>
    </row>
    <row r="2143" spans="1:13" x14ac:dyDescent="0.25">
      <c r="A2143">
        <f t="shared" ca="1" si="413"/>
        <v>5</v>
      </c>
      <c r="B2143">
        <f t="shared" ca="1" si="414"/>
        <v>424</v>
      </c>
      <c r="C2143" t="str">
        <f t="shared" ca="1" si="409"/>
        <v>'WINDOWS-NCH-A-BDP-M3-03-00'!B423</v>
      </c>
      <c r="D2143" s="6" t="str">
        <f t="shared" ca="1" si="410"/>
        <v>L03-EDU-ETC-L086-06</v>
      </c>
      <c r="E2143" t="str">
        <f t="shared" ca="1" si="411"/>
        <v>Family Type: Curtain Wall_1950w x 3800h, Family: Window External Type 5 - Flush</v>
      </c>
      <c r="F2143" t="str">
        <f t="shared" ca="1" si="412"/>
        <v>Vector(X = -0.130, Y = -0.991, Z = 0.000, Length = 1.000)</v>
      </c>
      <c r="G2143">
        <f t="shared" ca="1" si="415"/>
        <v>-0.1</v>
      </c>
      <c r="H2143">
        <f t="shared" ca="1" si="416"/>
        <v>-1</v>
      </c>
      <c r="I2143">
        <f t="shared" ca="1" si="417"/>
        <v>0</v>
      </c>
      <c r="J2143" s="8">
        <f t="shared" ca="1" si="418"/>
        <v>-95.710593137499629</v>
      </c>
      <c r="K2143" s="9" t="str">
        <f t="shared" ca="1" si="419"/>
        <v>SW</v>
      </c>
      <c r="L2143">
        <f ca="1">+_xlfn.IFNA(VLOOKUP(M2143,BespokeWindowsAreas!$B$2:$E$1999,4,FALSE),VLOOKUP(E2143,WindowTypeArea!$B$2:$C$113,2,FALSE))</f>
        <v>7.9950000000000001</v>
      </c>
      <c r="M2143">
        <f t="shared" ca="1" si="420"/>
        <v>4914387</v>
      </c>
    </row>
    <row r="2144" spans="1:13" x14ac:dyDescent="0.25">
      <c r="A2144">
        <f t="shared" ca="1" si="413"/>
        <v>5</v>
      </c>
      <c r="B2144">
        <f t="shared" ca="1" si="414"/>
        <v>425</v>
      </c>
      <c r="C2144" t="str">
        <f t="shared" ca="1" si="409"/>
        <v>'WINDOWS-NCH-A-BDP-M3-03-00'!B424</v>
      </c>
      <c r="D2144" s="6" t="str">
        <f t="shared" ca="1" si="410"/>
        <v>L03-EDU-ETC-L086-06</v>
      </c>
      <c r="E2144" t="str">
        <f t="shared" ca="1" si="411"/>
        <v>Family Type: Curtain Wall_975w x 3800h, Family: Window External Type 5 - Flush</v>
      </c>
      <c r="F2144" t="str">
        <f t="shared" ca="1" si="412"/>
        <v>Vector(X = -0.956, Y = 0.294, Z = 0.000, Length = 1.000)</v>
      </c>
      <c r="G2144">
        <f t="shared" ca="1" si="415"/>
        <v>-1</v>
      </c>
      <c r="H2144">
        <f t="shared" ca="1" si="416"/>
        <v>0.3</v>
      </c>
      <c r="I2144">
        <f t="shared" ca="1" si="417"/>
        <v>0</v>
      </c>
      <c r="J2144" s="8">
        <f t="shared" ca="1" si="418"/>
        <v>163.30075576600638</v>
      </c>
      <c r="K2144" s="9" t="str">
        <f t="shared" ca="1" si="419"/>
        <v>WN</v>
      </c>
      <c r="L2144">
        <f ca="1">+_xlfn.IFNA(VLOOKUP(M2144,BespokeWindowsAreas!$B$2:$E$1999,4,FALSE),VLOOKUP(E2144,WindowTypeArea!$B$2:$C$113,2,FALSE))</f>
        <v>3.9975000000000001</v>
      </c>
      <c r="M2144">
        <f t="shared" ca="1" si="420"/>
        <v>4914388</v>
      </c>
    </row>
    <row r="2145" spans="1:13" x14ac:dyDescent="0.25">
      <c r="A2145">
        <f t="shared" ca="1" si="413"/>
        <v>5</v>
      </c>
      <c r="B2145">
        <f t="shared" ca="1" si="414"/>
        <v>426</v>
      </c>
      <c r="C2145" t="str">
        <f t="shared" ca="1" si="409"/>
        <v>'WINDOWS-NCH-A-BDP-M3-03-00'!B425</v>
      </c>
      <c r="D2145" s="6" t="str">
        <f t="shared" ca="1" si="410"/>
        <v>L03-EDU-ETC-L086-06</v>
      </c>
      <c r="E2145" t="str">
        <f t="shared" ca="1" si="411"/>
        <v>Family Type: Curtain Wall_975w x 3800h, Family: Window External Type 5 - Flush</v>
      </c>
      <c r="F2145" t="str">
        <f t="shared" ca="1" si="412"/>
        <v>Vector(X = -0.956, Y = 0.294, Z = 0.000, Length = 1.000)</v>
      </c>
      <c r="G2145">
        <f t="shared" ca="1" si="415"/>
        <v>-1</v>
      </c>
      <c r="H2145">
        <f t="shared" ca="1" si="416"/>
        <v>0.3</v>
      </c>
      <c r="I2145">
        <f t="shared" ca="1" si="417"/>
        <v>0</v>
      </c>
      <c r="J2145" s="8">
        <f t="shared" ca="1" si="418"/>
        <v>163.30075576600638</v>
      </c>
      <c r="K2145" s="9" t="str">
        <f t="shared" ca="1" si="419"/>
        <v>WN</v>
      </c>
      <c r="L2145">
        <f ca="1">+_xlfn.IFNA(VLOOKUP(M2145,BespokeWindowsAreas!$B$2:$E$1999,4,FALSE),VLOOKUP(E2145,WindowTypeArea!$B$2:$C$113,2,FALSE))</f>
        <v>3.9975000000000001</v>
      </c>
      <c r="M2145">
        <f t="shared" ca="1" si="420"/>
        <v>4914389</v>
      </c>
    </row>
    <row r="2146" spans="1:13" x14ac:dyDescent="0.25">
      <c r="A2146">
        <f t="shared" ca="1" si="413"/>
        <v>5</v>
      </c>
      <c r="B2146">
        <f t="shared" ca="1" si="414"/>
        <v>427</v>
      </c>
      <c r="C2146" t="str">
        <f t="shared" ca="1" si="409"/>
        <v>'WINDOWS-NCH-A-BDP-M3-03-00'!B426</v>
      </c>
      <c r="D2146" s="6" t="str">
        <f t="shared" ca="1" si="410"/>
        <v>L03-EDU-ETC-L078-02</v>
      </c>
      <c r="E2146" t="str">
        <f t="shared" ca="1" si="411"/>
        <v>L03-EDU-ETC-L078-02</v>
      </c>
      <c r="F2146">
        <f t="shared" ca="1" si="412"/>
        <v>1300935</v>
      </c>
      <c r="G2146">
        <f t="shared" ca="1" si="415"/>
        <v>0</v>
      </c>
      <c r="H2146">
        <f t="shared" ca="1" si="416"/>
        <v>0</v>
      </c>
      <c r="I2146">
        <f t="shared" ca="1" si="417"/>
        <v>0</v>
      </c>
      <c r="J2146" s="8" t="e">
        <f t="shared" ca="1" si="418"/>
        <v>#DIV/0!</v>
      </c>
      <c r="K2146" s="9" t="e">
        <f t="shared" ca="1" si="419"/>
        <v>#DIV/0!</v>
      </c>
      <c r="L2146" t="e">
        <f ca="1">+_xlfn.IFNA(VLOOKUP(M2146,BespokeWindowsAreas!$B$2:$E$1999,4,FALSE),VLOOKUP(E2146,WindowTypeArea!$B$2:$C$113,2,FALSE))</f>
        <v>#N/A</v>
      </c>
      <c r="M2146">
        <f t="shared" ca="1" si="420"/>
        <v>0</v>
      </c>
    </row>
    <row r="2147" spans="1:13" x14ac:dyDescent="0.25">
      <c r="A2147">
        <f t="shared" ca="1" si="413"/>
        <v>5</v>
      </c>
      <c r="B2147">
        <f t="shared" ca="1" si="414"/>
        <v>428</v>
      </c>
      <c r="C2147" t="str">
        <f t="shared" ca="1" si="409"/>
        <v>'WINDOWS-NCH-A-BDP-M3-03-00'!B427</v>
      </c>
      <c r="D2147" s="6" t="str">
        <f t="shared" ca="1" si="410"/>
        <v>L03-EDU-ETC-L078-02</v>
      </c>
      <c r="E2147" t="str">
        <f t="shared" ca="1" si="411"/>
        <v>Family Type: Curtain Wall_Bespoke 1 - 1979.5 x 3800, Family: Window External Type 5 - Flush Instance Width</v>
      </c>
      <c r="F2147" t="str">
        <f t="shared" ca="1" si="412"/>
        <v>Vector(X = -0.988, Y = -0.155, Z = 0.000, Length = 1.000)</v>
      </c>
      <c r="G2147">
        <f t="shared" ca="1" si="415"/>
        <v>-1</v>
      </c>
      <c r="H2147">
        <f t="shared" ca="1" si="416"/>
        <v>-0.2</v>
      </c>
      <c r="I2147">
        <f t="shared" ca="1" si="417"/>
        <v>0</v>
      </c>
      <c r="J2147" s="8">
        <f t="shared" ca="1" si="418"/>
        <v>-168.69006752597977</v>
      </c>
      <c r="K2147" s="9" t="str">
        <f t="shared" ca="1" si="419"/>
        <v>W</v>
      </c>
      <c r="L2147">
        <f ca="1">+_xlfn.IFNA(VLOOKUP(M2147,BespokeWindowsAreas!$B$2:$E$1999,4,FALSE),VLOOKUP(E2147,WindowTypeArea!$B$2:$C$113,2,FALSE))</f>
        <v>7.9950000000000001</v>
      </c>
      <c r="M2147">
        <f t="shared" ca="1" si="420"/>
        <v>4810552</v>
      </c>
    </row>
    <row r="2148" spans="1:13" x14ac:dyDescent="0.25">
      <c r="A2148">
        <f t="shared" ca="1" si="413"/>
        <v>5</v>
      </c>
      <c r="B2148">
        <f t="shared" ca="1" si="414"/>
        <v>429</v>
      </c>
      <c r="C2148" t="str">
        <f t="shared" ca="1" si="409"/>
        <v>'WINDOWS-NCH-A-BDP-M3-03-00'!B428</v>
      </c>
      <c r="D2148" s="6" t="str">
        <f t="shared" ca="1" si="410"/>
        <v>L03-EDU-ETC-L078-02</v>
      </c>
      <c r="E2148" t="str">
        <f t="shared" ca="1" si="411"/>
        <v>Family Type: Curtain Wall_Bespoke 1 - 1979.5 x 3800, Family: Window External Type 5 - Flush Instance Width</v>
      </c>
      <c r="F2148" t="str">
        <f t="shared" ca="1" si="412"/>
        <v>Vector(X = -0.988, Y = -0.155, Z = 0.000, Length = 1.000)</v>
      </c>
      <c r="G2148">
        <f t="shared" ca="1" si="415"/>
        <v>-1</v>
      </c>
      <c r="H2148">
        <f t="shared" ca="1" si="416"/>
        <v>-0.2</v>
      </c>
      <c r="I2148">
        <f t="shared" ca="1" si="417"/>
        <v>0</v>
      </c>
      <c r="J2148" s="8">
        <f t="shared" ca="1" si="418"/>
        <v>-168.69006752597977</v>
      </c>
      <c r="K2148" s="9" t="str">
        <f t="shared" ca="1" si="419"/>
        <v>W</v>
      </c>
      <c r="L2148">
        <f ca="1">+_xlfn.IFNA(VLOOKUP(M2148,BespokeWindowsAreas!$B$2:$E$1999,4,FALSE),VLOOKUP(E2148,WindowTypeArea!$B$2:$C$113,2,FALSE))</f>
        <v>7.9950000000000001</v>
      </c>
      <c r="M2148">
        <f t="shared" ca="1" si="420"/>
        <v>4810553</v>
      </c>
    </row>
    <row r="2149" spans="1:13" x14ac:dyDescent="0.25">
      <c r="A2149">
        <f t="shared" ca="1" si="413"/>
        <v>5</v>
      </c>
      <c r="B2149">
        <f t="shared" ca="1" si="414"/>
        <v>430</v>
      </c>
      <c r="C2149" t="str">
        <f t="shared" ca="1" si="409"/>
        <v>'WINDOWS-NCH-A-BDP-M3-03-00'!B429</v>
      </c>
      <c r="D2149" s="6" t="str">
        <f t="shared" ca="1" si="410"/>
        <v>L03-EDU-ETC-L078-02</v>
      </c>
      <c r="E2149" t="str">
        <f t="shared" ca="1" si="411"/>
        <v>Family Type: Curtain Wall_Bespoke 1 - 1979.5 x 3800, Family: Window External Type 5 - Flush Instance Width</v>
      </c>
      <c r="F2149" t="str">
        <f t="shared" ca="1" si="412"/>
        <v>Vector(X = -0.988, Y = -0.155, Z = 0.000, Length = 1.000)</v>
      </c>
      <c r="G2149">
        <f t="shared" ca="1" si="415"/>
        <v>-1</v>
      </c>
      <c r="H2149">
        <f t="shared" ca="1" si="416"/>
        <v>-0.2</v>
      </c>
      <c r="I2149">
        <f t="shared" ca="1" si="417"/>
        <v>0</v>
      </c>
      <c r="J2149" s="8">
        <f t="shared" ca="1" si="418"/>
        <v>-168.69006752597977</v>
      </c>
      <c r="K2149" s="9" t="str">
        <f t="shared" ca="1" si="419"/>
        <v>W</v>
      </c>
      <c r="L2149">
        <f ca="1">+_xlfn.IFNA(VLOOKUP(M2149,BespokeWindowsAreas!$B$2:$E$1999,4,FALSE),VLOOKUP(E2149,WindowTypeArea!$B$2:$C$113,2,FALSE))</f>
        <v>3.9975000000000613</v>
      </c>
      <c r="M2149">
        <f t="shared" ca="1" si="420"/>
        <v>4865543</v>
      </c>
    </row>
    <row r="2150" spans="1:13" x14ac:dyDescent="0.25">
      <c r="A2150">
        <f t="shared" ca="1" si="413"/>
        <v>5</v>
      </c>
      <c r="B2150">
        <f t="shared" ca="1" si="414"/>
        <v>431</v>
      </c>
      <c r="C2150" t="str">
        <f t="shared" ca="1" si="409"/>
        <v>'WINDOWS-NCH-A-BDP-M3-03-00'!B430</v>
      </c>
      <c r="D2150" s="6" t="str">
        <f t="shared" ca="1" si="410"/>
        <v>L03-EDU-ETC-L078-02</v>
      </c>
      <c r="E2150" t="str">
        <f t="shared" ca="1" si="411"/>
        <v>Family Type: Curtain Wall_Bespoke 1 - 1979.5 x 3800, Family: Window External Type 5 - Flush Instance Width</v>
      </c>
      <c r="F2150" t="str">
        <f t="shared" ca="1" si="412"/>
        <v>Vector(X = -0.988, Y = -0.155, Z = 0.000, Length = 1.000)</v>
      </c>
      <c r="G2150">
        <f t="shared" ca="1" si="415"/>
        <v>-1</v>
      </c>
      <c r="H2150">
        <f t="shared" ca="1" si="416"/>
        <v>-0.2</v>
      </c>
      <c r="I2150">
        <f t="shared" ca="1" si="417"/>
        <v>0</v>
      </c>
      <c r="J2150" s="8">
        <f t="shared" ca="1" si="418"/>
        <v>-168.69006752597977</v>
      </c>
      <c r="K2150" s="9" t="str">
        <f t="shared" ca="1" si="419"/>
        <v>W</v>
      </c>
      <c r="L2150">
        <f ca="1">+_xlfn.IFNA(VLOOKUP(M2150,BespokeWindowsAreas!$B$2:$E$1999,4,FALSE),VLOOKUP(E2150,WindowTypeArea!$B$2:$C$113,2,FALSE))</f>
        <v>7.9950000000000001</v>
      </c>
      <c r="M2150">
        <f t="shared" ca="1" si="420"/>
        <v>4865581</v>
      </c>
    </row>
    <row r="2151" spans="1:13" x14ac:dyDescent="0.25">
      <c r="A2151">
        <f t="shared" ca="1" si="413"/>
        <v>5</v>
      </c>
      <c r="B2151">
        <f t="shared" ca="1" si="414"/>
        <v>432</v>
      </c>
      <c r="C2151" t="str">
        <f t="shared" ca="1" si="409"/>
        <v>'WINDOWS-NCH-A-BDP-M3-03-00'!B431</v>
      </c>
      <c r="D2151" s="6" t="str">
        <f t="shared" ca="1" si="410"/>
        <v>L03-EDU-ETC-L078-02</v>
      </c>
      <c r="E2151" t="str">
        <f t="shared" ca="1" si="411"/>
        <v>Family Type: Curtain Wall_Bespoke 1 - 1979.5 x 3800, Family: Window External Type 5 - Flush Instance Width</v>
      </c>
      <c r="F2151" t="str">
        <f t="shared" ca="1" si="412"/>
        <v>Vector(X = -0.988, Y = -0.155, Z = 0.000, Length = 1.000)</v>
      </c>
      <c r="G2151">
        <f t="shared" ca="1" si="415"/>
        <v>-1</v>
      </c>
      <c r="H2151">
        <f t="shared" ca="1" si="416"/>
        <v>-0.2</v>
      </c>
      <c r="I2151">
        <f t="shared" ca="1" si="417"/>
        <v>0</v>
      </c>
      <c r="J2151" s="8">
        <f t="shared" ca="1" si="418"/>
        <v>-168.69006752597977</v>
      </c>
      <c r="K2151" s="9" t="str">
        <f t="shared" ca="1" si="419"/>
        <v>W</v>
      </c>
      <c r="L2151">
        <f ca="1">+_xlfn.IFNA(VLOOKUP(M2151,BespokeWindowsAreas!$B$2:$E$1999,4,FALSE),VLOOKUP(E2151,WindowTypeArea!$B$2:$C$113,2,FALSE))</f>
        <v>7.9950000000000001</v>
      </c>
      <c r="M2151">
        <f t="shared" ca="1" si="420"/>
        <v>4865624</v>
      </c>
    </row>
    <row r="2152" spans="1:13" x14ac:dyDescent="0.25">
      <c r="A2152">
        <f t="shared" ca="1" si="413"/>
        <v>5</v>
      </c>
      <c r="B2152">
        <f t="shared" ca="1" si="414"/>
        <v>433</v>
      </c>
      <c r="C2152" t="str">
        <f t="shared" ca="1" si="409"/>
        <v>'WINDOWS-NCH-A-BDP-M3-03-00'!B432</v>
      </c>
      <c r="D2152" s="6" t="str">
        <f t="shared" ca="1" si="410"/>
        <v>L03-EDU-ETC-L078-02</v>
      </c>
      <c r="E2152" t="str">
        <f t="shared" ca="1" si="411"/>
        <v>Family Type: Curtain Wall_Bespoke 1 - 1979.5 x 3800, Family: Window External Type 5 - Flush Instance Width</v>
      </c>
      <c r="F2152" t="str">
        <f t="shared" ca="1" si="412"/>
        <v>Vector(X = -0.988, Y = -0.155, Z = 0.000, Length = 1.000)</v>
      </c>
      <c r="G2152">
        <f t="shared" ca="1" si="415"/>
        <v>-1</v>
      </c>
      <c r="H2152">
        <f t="shared" ca="1" si="416"/>
        <v>-0.2</v>
      </c>
      <c r="I2152">
        <f t="shared" ca="1" si="417"/>
        <v>0</v>
      </c>
      <c r="J2152" s="8">
        <f t="shared" ca="1" si="418"/>
        <v>-168.69006752597977</v>
      </c>
      <c r="K2152" s="9" t="str">
        <f t="shared" ca="1" si="419"/>
        <v>W</v>
      </c>
      <c r="L2152">
        <f ca="1">+_xlfn.IFNA(VLOOKUP(M2152,BespokeWindowsAreas!$B$2:$E$1999,4,FALSE),VLOOKUP(E2152,WindowTypeArea!$B$2:$C$113,2,FALSE))</f>
        <v>5.2060570000000412</v>
      </c>
      <c r="M2152">
        <f t="shared" ca="1" si="420"/>
        <v>4865649</v>
      </c>
    </row>
    <row r="2153" spans="1:13" x14ac:dyDescent="0.25">
      <c r="A2153">
        <f t="shared" ca="1" si="413"/>
        <v>5</v>
      </c>
      <c r="B2153">
        <f t="shared" ca="1" si="414"/>
        <v>434</v>
      </c>
      <c r="C2153" t="str">
        <f t="shared" ca="1" si="409"/>
        <v>'WINDOWS-NCH-A-BDP-M3-03-00'!B433</v>
      </c>
      <c r="D2153" s="6" t="str">
        <f t="shared" ca="1" si="410"/>
        <v>L03-EDU-ETC-L078-02</v>
      </c>
      <c r="E2153" t="str">
        <f t="shared" ca="1" si="411"/>
        <v>Family Type: Curtain Wall_Bespoke 1 - 1979.5 x 3800, Family: Window External Type 5 - Flush Instance Width</v>
      </c>
      <c r="F2153" t="str">
        <f t="shared" ca="1" si="412"/>
        <v>Vector(X = -0.988, Y = -0.155, Z = 0.000, Length = 1.000)</v>
      </c>
      <c r="G2153">
        <f t="shared" ca="1" si="415"/>
        <v>-1</v>
      </c>
      <c r="H2153">
        <f t="shared" ca="1" si="416"/>
        <v>-0.2</v>
      </c>
      <c r="I2153">
        <f t="shared" ca="1" si="417"/>
        <v>0</v>
      </c>
      <c r="J2153" s="8">
        <f t="shared" ca="1" si="418"/>
        <v>-168.69006752597977</v>
      </c>
      <c r="K2153" s="9" t="str">
        <f t="shared" ca="1" si="419"/>
        <v>W</v>
      </c>
      <c r="L2153">
        <f ca="1">+_xlfn.IFNA(VLOOKUP(M2153,BespokeWindowsAreas!$B$2:$E$1999,4,FALSE),VLOOKUP(E2153,WindowTypeArea!$B$2:$C$113,2,FALSE))</f>
        <v>1.9500000000001503</v>
      </c>
      <c r="M2153">
        <f t="shared" ca="1" si="420"/>
        <v>5143814</v>
      </c>
    </row>
    <row r="2154" spans="1:13" x14ac:dyDescent="0.25">
      <c r="A2154">
        <f t="shared" ca="1" si="413"/>
        <v>5</v>
      </c>
      <c r="B2154">
        <f t="shared" ca="1" si="414"/>
        <v>435</v>
      </c>
      <c r="C2154" t="str">
        <f t="shared" ca="1" si="409"/>
        <v>'WINDOWS-NCH-A-BDP-M3-03-00'!B434</v>
      </c>
      <c r="D2154" s="6" t="str">
        <f t="shared" ca="1" si="410"/>
        <v>L03-EDU-ETC-L078-02</v>
      </c>
      <c r="E2154" t="str">
        <f t="shared" ca="1" si="411"/>
        <v>Family Type: Curtain Wall_Bespoke 1 - 1979.5 x 3800, Family: Window External Type 5 - Flush Instance Width</v>
      </c>
      <c r="F2154" t="str">
        <f t="shared" ca="1" si="412"/>
        <v>Vector(X = -0.988, Y = -0.155, Z = 0.000, Length = 1.000)</v>
      </c>
      <c r="G2154">
        <f t="shared" ca="1" si="415"/>
        <v>-1</v>
      </c>
      <c r="H2154">
        <f t="shared" ca="1" si="416"/>
        <v>-0.2</v>
      </c>
      <c r="I2154">
        <f t="shared" ca="1" si="417"/>
        <v>0</v>
      </c>
      <c r="J2154" s="8">
        <f t="shared" ca="1" si="418"/>
        <v>-168.69006752597977</v>
      </c>
      <c r="K2154" s="9" t="str">
        <f t="shared" ca="1" si="419"/>
        <v>W</v>
      </c>
      <c r="L2154">
        <f ca="1">+_xlfn.IFNA(VLOOKUP(M2154,BespokeWindowsAreas!$B$2:$E$1999,4,FALSE),VLOOKUP(E2154,WindowTypeArea!$B$2:$C$113,2,FALSE))</f>
        <v>1.9500000000000099</v>
      </c>
      <c r="M2154">
        <f t="shared" ca="1" si="420"/>
        <v>5143815</v>
      </c>
    </row>
    <row r="2155" spans="1:13" x14ac:dyDescent="0.25">
      <c r="A2155">
        <f t="shared" ca="1" si="413"/>
        <v>5</v>
      </c>
      <c r="B2155">
        <f t="shared" ca="1" si="414"/>
        <v>436</v>
      </c>
      <c r="C2155" t="str">
        <f t="shared" ref="C2155:C2218" ca="1" si="421">+"'"&amp;INDIRECT("a"&amp;A2154)&amp;"'!B"&amp;B2154</f>
        <v>'WINDOWS-NCH-A-BDP-M3-03-00'!B435</v>
      </c>
      <c r="D2155" s="6" t="str">
        <f t="shared" ref="D2155:D2218" ca="1" si="422">+IF(IFERROR(FIND("Family",E2155)&gt;0,FALSE),D2154,E2155)</f>
        <v>L03-EDU-ETC-L078-02</v>
      </c>
      <c r="E2155" t="str">
        <f t="shared" ref="E2155:E2218" ca="1" si="423">+OFFSET(INDIRECT(C2155),0,0)</f>
        <v>Family Type: Curtain Wall_Bespoke 1 - 1979.5 x 3800, Family: Window External Type 5 - Flush Instance Width</v>
      </c>
      <c r="F2155" t="str">
        <f t="shared" ref="F2155:F2218" ca="1" si="424">+OFFSET(INDIRECT(C2155),0,1)</f>
        <v>Vector(X = -0.988, Y = -0.155, Z = 0.000, Length = 1.000)</v>
      </c>
      <c r="G2155">
        <f t="shared" ca="1" si="415"/>
        <v>-1</v>
      </c>
      <c r="H2155">
        <f t="shared" ca="1" si="416"/>
        <v>-0.2</v>
      </c>
      <c r="I2155">
        <f t="shared" ca="1" si="417"/>
        <v>0</v>
      </c>
      <c r="J2155" s="8">
        <f t="shared" ca="1" si="418"/>
        <v>-168.69006752597977</v>
      </c>
      <c r="K2155" s="9" t="str">
        <f t="shared" ca="1" si="419"/>
        <v>W</v>
      </c>
      <c r="L2155">
        <f ca="1">+_xlfn.IFNA(VLOOKUP(M2155,BespokeWindowsAreas!$B$2:$E$1999,4,FALSE),VLOOKUP(E2155,WindowTypeArea!$B$2:$C$113,2,FALSE))</f>
        <v>0.97499999999988196</v>
      </c>
      <c r="M2155">
        <f t="shared" ca="1" si="420"/>
        <v>5143835</v>
      </c>
    </row>
    <row r="2156" spans="1:13" x14ac:dyDescent="0.25">
      <c r="A2156">
        <f t="shared" ca="1" si="413"/>
        <v>5</v>
      </c>
      <c r="B2156">
        <f t="shared" ca="1" si="414"/>
        <v>437</v>
      </c>
      <c r="C2156" t="str">
        <f t="shared" ca="1" si="421"/>
        <v>'WINDOWS-NCH-A-BDP-M3-03-00'!B436</v>
      </c>
      <c r="D2156" s="6" t="str">
        <f t="shared" ca="1" si="422"/>
        <v>L03-EDU-ETC-L078-02</v>
      </c>
      <c r="E2156" t="str">
        <f t="shared" ca="1" si="423"/>
        <v>Family Type: Curtain Wall_Bespoke 1 - 1979.5 x 3800, Family: Window External Type 5 - Flush Instance Width</v>
      </c>
      <c r="F2156" t="str">
        <f t="shared" ca="1" si="424"/>
        <v>Vector(X = -0.988, Y = -0.155, Z = 0.000, Length = 1.000)</v>
      </c>
      <c r="G2156">
        <f t="shared" ca="1" si="415"/>
        <v>-1</v>
      </c>
      <c r="H2156">
        <f t="shared" ca="1" si="416"/>
        <v>-0.2</v>
      </c>
      <c r="I2156">
        <f t="shared" ca="1" si="417"/>
        <v>0</v>
      </c>
      <c r="J2156" s="8">
        <f t="shared" ca="1" si="418"/>
        <v>-168.69006752597977</v>
      </c>
      <c r="K2156" s="9" t="str">
        <f t="shared" ca="1" si="419"/>
        <v>W</v>
      </c>
      <c r="L2156">
        <f ca="1">+_xlfn.IFNA(VLOOKUP(M2156,BespokeWindowsAreas!$B$2:$E$1999,4,FALSE),VLOOKUP(E2156,WindowTypeArea!$B$2:$C$113,2,FALSE))</f>
        <v>1.94999999999999</v>
      </c>
      <c r="M2156">
        <f t="shared" ca="1" si="420"/>
        <v>5143836</v>
      </c>
    </row>
    <row r="2157" spans="1:13" x14ac:dyDescent="0.25">
      <c r="A2157">
        <f t="shared" ca="1" si="413"/>
        <v>5</v>
      </c>
      <c r="B2157">
        <f t="shared" ca="1" si="414"/>
        <v>438</v>
      </c>
      <c r="C2157" t="str">
        <f t="shared" ca="1" si="421"/>
        <v>'WINDOWS-NCH-A-BDP-M3-03-00'!B437</v>
      </c>
      <c r="D2157" s="6" t="str">
        <f t="shared" ca="1" si="422"/>
        <v>L03-EDU-ETC-L078-02</v>
      </c>
      <c r="E2157" t="str">
        <f t="shared" ca="1" si="423"/>
        <v>Family Type: Curtain Wall_Bespoke 1 - 1979.5 x 3800, Family: Window External Type 5 - Flush Instance Width</v>
      </c>
      <c r="F2157" t="str">
        <f t="shared" ca="1" si="424"/>
        <v>Vector(X = -0.988, Y = -0.155, Z = 0.000, Length = 1.000)</v>
      </c>
      <c r="G2157">
        <f t="shared" ca="1" si="415"/>
        <v>-1</v>
      </c>
      <c r="H2157">
        <f t="shared" ca="1" si="416"/>
        <v>-0.2</v>
      </c>
      <c r="I2157">
        <f t="shared" ca="1" si="417"/>
        <v>0</v>
      </c>
      <c r="J2157" s="8">
        <f t="shared" ca="1" si="418"/>
        <v>-168.69006752597977</v>
      </c>
      <c r="K2157" s="9" t="str">
        <f t="shared" ca="1" si="419"/>
        <v>W</v>
      </c>
      <c r="L2157">
        <f ca="1">+_xlfn.IFNA(VLOOKUP(M2157,BespokeWindowsAreas!$B$2:$E$1999,4,FALSE),VLOOKUP(E2157,WindowTypeArea!$B$2:$C$113,2,FALSE))</f>
        <v>1.9500000000000099</v>
      </c>
      <c r="M2157">
        <f t="shared" ca="1" si="420"/>
        <v>5143837</v>
      </c>
    </row>
    <row r="2158" spans="1:13" x14ac:dyDescent="0.25">
      <c r="A2158">
        <f t="shared" ca="1" si="413"/>
        <v>5</v>
      </c>
      <c r="B2158">
        <f t="shared" ca="1" si="414"/>
        <v>439</v>
      </c>
      <c r="C2158" t="str">
        <f t="shared" ca="1" si="421"/>
        <v>'WINDOWS-NCH-A-BDP-M3-03-00'!B438</v>
      </c>
      <c r="D2158" s="6" t="str">
        <f t="shared" ca="1" si="422"/>
        <v>L03-EDU-ETC-L078-02</v>
      </c>
      <c r="E2158" t="str">
        <f t="shared" ca="1" si="423"/>
        <v>Family Type: Curtain Wall_Bespoke 1 - 975 x 1050, Family: Window External Type 5 - Flush Instance Width</v>
      </c>
      <c r="F2158" t="str">
        <f t="shared" ca="1" si="424"/>
        <v>Vector(X = -0.988, Y = -0.155, Z = 0.000, Length = 1.000)</v>
      </c>
      <c r="G2158">
        <f t="shared" ca="1" si="415"/>
        <v>-1</v>
      </c>
      <c r="H2158">
        <f t="shared" ca="1" si="416"/>
        <v>-0.2</v>
      </c>
      <c r="I2158">
        <f t="shared" ca="1" si="417"/>
        <v>0</v>
      </c>
      <c r="J2158" s="8">
        <f t="shared" ca="1" si="418"/>
        <v>-168.69006752597977</v>
      </c>
      <c r="K2158" s="9" t="str">
        <f t="shared" ca="1" si="419"/>
        <v>W</v>
      </c>
      <c r="L2158">
        <f ca="1">+_xlfn.IFNA(VLOOKUP(M2158,BespokeWindowsAreas!$B$2:$E$1999,4,FALSE),VLOOKUP(E2158,WindowTypeArea!$B$2:$C$113,2,FALSE))</f>
        <v>1.26977000000002</v>
      </c>
      <c r="M2158">
        <f t="shared" ca="1" si="420"/>
        <v>6678262</v>
      </c>
    </row>
    <row r="2159" spans="1:13" x14ac:dyDescent="0.25">
      <c r="A2159">
        <f t="shared" ca="1" si="413"/>
        <v>5</v>
      </c>
      <c r="B2159">
        <f t="shared" ca="1" si="414"/>
        <v>440</v>
      </c>
      <c r="C2159" t="str">
        <f t="shared" ca="1" si="421"/>
        <v>'WINDOWS-NCH-A-BDP-M3-03-00'!B439</v>
      </c>
      <c r="D2159" s="6" t="str">
        <f t="shared" ca="1" si="422"/>
        <v>L03-EDU-ETC-L078-03</v>
      </c>
      <c r="E2159" t="str">
        <f t="shared" ca="1" si="423"/>
        <v>L03-EDU-ETC-L078-03</v>
      </c>
      <c r="F2159">
        <f t="shared" ca="1" si="424"/>
        <v>1300936</v>
      </c>
      <c r="G2159">
        <f t="shared" ca="1" si="415"/>
        <v>0</v>
      </c>
      <c r="H2159">
        <f t="shared" ca="1" si="416"/>
        <v>0</v>
      </c>
      <c r="I2159">
        <f t="shared" ca="1" si="417"/>
        <v>0</v>
      </c>
      <c r="J2159" s="8" t="e">
        <f t="shared" ca="1" si="418"/>
        <v>#DIV/0!</v>
      </c>
      <c r="K2159" s="9" t="e">
        <f t="shared" ca="1" si="419"/>
        <v>#DIV/0!</v>
      </c>
      <c r="L2159" t="e">
        <f ca="1">+_xlfn.IFNA(VLOOKUP(M2159,BespokeWindowsAreas!$B$2:$E$1999,4,FALSE),VLOOKUP(E2159,WindowTypeArea!$B$2:$C$113,2,FALSE))</f>
        <v>#N/A</v>
      </c>
      <c r="M2159">
        <f t="shared" ca="1" si="420"/>
        <v>0</v>
      </c>
    </row>
    <row r="2160" spans="1:13" x14ac:dyDescent="0.25">
      <c r="A2160">
        <f t="shared" ca="1" si="413"/>
        <v>5</v>
      </c>
      <c r="B2160">
        <f t="shared" ca="1" si="414"/>
        <v>441</v>
      </c>
      <c r="C2160" t="str">
        <f t="shared" ca="1" si="421"/>
        <v>'WINDOWS-NCH-A-BDP-M3-03-00'!B440</v>
      </c>
      <c r="D2160" s="6" t="str">
        <f t="shared" ca="1" si="422"/>
        <v>L03-EDU-ETC-L078-03</v>
      </c>
      <c r="E2160" t="str">
        <f t="shared" ca="1" si="423"/>
        <v>Family Type: Curtain Wall_Bespoke 1 - 1979.5 x 3800, Family: Window External Type 5 - Flush Instance Width</v>
      </c>
      <c r="F2160" t="str">
        <f t="shared" ca="1" si="424"/>
        <v>Vector(X = -0.988, Y = -0.155, Z = 0.000, Length = 1.000)</v>
      </c>
      <c r="G2160">
        <f t="shared" ca="1" si="415"/>
        <v>-1</v>
      </c>
      <c r="H2160">
        <f t="shared" ca="1" si="416"/>
        <v>-0.2</v>
      </c>
      <c r="I2160">
        <f t="shared" ca="1" si="417"/>
        <v>0</v>
      </c>
      <c r="J2160" s="8">
        <f t="shared" ca="1" si="418"/>
        <v>-168.69006752597977</v>
      </c>
      <c r="K2160" s="9" t="str">
        <f t="shared" ca="1" si="419"/>
        <v>W</v>
      </c>
      <c r="L2160">
        <f ca="1">+_xlfn.IFNA(VLOOKUP(M2160,BespokeWindowsAreas!$B$2:$E$1999,4,FALSE),VLOOKUP(E2160,WindowTypeArea!$B$2:$C$113,2,FALSE))</f>
        <v>7.9950000000000001</v>
      </c>
      <c r="M2160">
        <f t="shared" ca="1" si="420"/>
        <v>4810559</v>
      </c>
    </row>
    <row r="2161" spans="1:13" x14ac:dyDescent="0.25">
      <c r="A2161">
        <f t="shared" ca="1" si="413"/>
        <v>5</v>
      </c>
      <c r="B2161">
        <f t="shared" ca="1" si="414"/>
        <v>442</v>
      </c>
      <c r="C2161" t="str">
        <f t="shared" ca="1" si="421"/>
        <v>'WINDOWS-NCH-A-BDP-M3-03-00'!B441</v>
      </c>
      <c r="D2161" s="6" t="str">
        <f t="shared" ca="1" si="422"/>
        <v>L03-EDU-ETC-L078-03</v>
      </c>
      <c r="E2161" t="str">
        <f t="shared" ca="1" si="423"/>
        <v>Family Type: Curtain Wall_Bespoke 1 - 1979.5 x 3800, Family: Window External Type 5 - Flush Instance Width</v>
      </c>
      <c r="F2161" t="str">
        <f t="shared" ca="1" si="424"/>
        <v>Vector(X = -0.988, Y = -0.155, Z = 0.000, Length = 1.000)</v>
      </c>
      <c r="G2161">
        <f t="shared" ca="1" si="415"/>
        <v>-1</v>
      </c>
      <c r="H2161">
        <f t="shared" ca="1" si="416"/>
        <v>-0.2</v>
      </c>
      <c r="I2161">
        <f t="shared" ca="1" si="417"/>
        <v>0</v>
      </c>
      <c r="J2161" s="8">
        <f t="shared" ca="1" si="418"/>
        <v>-168.69006752597977</v>
      </c>
      <c r="K2161" s="9" t="str">
        <f t="shared" ca="1" si="419"/>
        <v>W</v>
      </c>
      <c r="L2161">
        <f ca="1">+_xlfn.IFNA(VLOOKUP(M2161,BespokeWindowsAreas!$B$2:$E$1999,4,FALSE),VLOOKUP(E2161,WindowTypeArea!$B$2:$C$113,2,FALSE))</f>
        <v>7.9950000000000001</v>
      </c>
      <c r="M2161">
        <f t="shared" ca="1" si="420"/>
        <v>4810560</v>
      </c>
    </row>
    <row r="2162" spans="1:13" x14ac:dyDescent="0.25">
      <c r="A2162">
        <f t="shared" ca="1" si="413"/>
        <v>5</v>
      </c>
      <c r="B2162">
        <f t="shared" ca="1" si="414"/>
        <v>443</v>
      </c>
      <c r="C2162" t="str">
        <f t="shared" ca="1" si="421"/>
        <v>'WINDOWS-NCH-A-BDP-M3-03-00'!B442</v>
      </c>
      <c r="D2162" s="6" t="str">
        <f t="shared" ca="1" si="422"/>
        <v>L03-EDU-ETC-L078-03</v>
      </c>
      <c r="E2162" t="str">
        <f t="shared" ca="1" si="423"/>
        <v>Family Type: Curtain Wall_Bespoke 1 - 1979.5 x 3800, Family: Window External Type 5 - Flush Instance Width</v>
      </c>
      <c r="F2162" t="str">
        <f t="shared" ca="1" si="424"/>
        <v>Vector(X = -0.988, Y = -0.155, Z = 0.000, Length = 1.000)</v>
      </c>
      <c r="G2162">
        <f t="shared" ca="1" si="415"/>
        <v>-1</v>
      </c>
      <c r="H2162">
        <f t="shared" ca="1" si="416"/>
        <v>-0.2</v>
      </c>
      <c r="I2162">
        <f t="shared" ca="1" si="417"/>
        <v>0</v>
      </c>
      <c r="J2162" s="8">
        <f t="shared" ca="1" si="418"/>
        <v>-168.69006752597977</v>
      </c>
      <c r="K2162" s="9" t="str">
        <f t="shared" ca="1" si="419"/>
        <v>W</v>
      </c>
      <c r="L2162">
        <f ca="1">+_xlfn.IFNA(VLOOKUP(M2162,BespokeWindowsAreas!$B$2:$E$1999,4,FALSE),VLOOKUP(E2162,WindowTypeArea!$B$2:$C$113,2,FALSE))</f>
        <v>3.9975000000000001</v>
      </c>
      <c r="M2162">
        <f t="shared" ca="1" si="420"/>
        <v>4810561</v>
      </c>
    </row>
    <row r="2163" spans="1:13" x14ac:dyDescent="0.25">
      <c r="A2163">
        <f t="shared" ca="1" si="413"/>
        <v>5</v>
      </c>
      <c r="B2163">
        <f t="shared" ca="1" si="414"/>
        <v>444</v>
      </c>
      <c r="C2163" t="str">
        <f t="shared" ca="1" si="421"/>
        <v>'WINDOWS-NCH-A-BDP-M3-03-00'!B443</v>
      </c>
      <c r="D2163" s="6" t="str">
        <f t="shared" ca="1" si="422"/>
        <v>L03-EDU-ETC-L078-03</v>
      </c>
      <c r="E2163" t="str">
        <f t="shared" ca="1" si="423"/>
        <v>Family Type: Curtain Wall_Bespoke 1 - 1979.5 x 3800, Family: Window External Type 5 - Flush Instance Width</v>
      </c>
      <c r="F2163" t="str">
        <f t="shared" ca="1" si="424"/>
        <v>Vector(X = -0.988, Y = -0.155, Z = 0.000, Length = 1.000)</v>
      </c>
      <c r="G2163">
        <f t="shared" ca="1" si="415"/>
        <v>-1</v>
      </c>
      <c r="H2163">
        <f t="shared" ca="1" si="416"/>
        <v>-0.2</v>
      </c>
      <c r="I2163">
        <f t="shared" ca="1" si="417"/>
        <v>0</v>
      </c>
      <c r="J2163" s="8">
        <f t="shared" ca="1" si="418"/>
        <v>-168.69006752597977</v>
      </c>
      <c r="K2163" s="9" t="str">
        <f t="shared" ca="1" si="419"/>
        <v>W</v>
      </c>
      <c r="L2163">
        <f ca="1">+_xlfn.IFNA(VLOOKUP(M2163,BespokeWindowsAreas!$B$2:$E$1999,4,FALSE),VLOOKUP(E2163,WindowTypeArea!$B$2:$C$113,2,FALSE))</f>
        <v>7.9950000000000001</v>
      </c>
      <c r="M2163">
        <f t="shared" ca="1" si="420"/>
        <v>4810562</v>
      </c>
    </row>
    <row r="2164" spans="1:13" x14ac:dyDescent="0.25">
      <c r="A2164">
        <f t="shared" ca="1" si="413"/>
        <v>5</v>
      </c>
      <c r="B2164">
        <f t="shared" ca="1" si="414"/>
        <v>445</v>
      </c>
      <c r="C2164" t="str">
        <f t="shared" ca="1" si="421"/>
        <v>'WINDOWS-NCH-A-BDP-M3-03-00'!B444</v>
      </c>
      <c r="D2164" s="6" t="str">
        <f t="shared" ca="1" si="422"/>
        <v>L03-EDU-ETC-L078-03</v>
      </c>
      <c r="E2164" t="str">
        <f t="shared" ca="1" si="423"/>
        <v>Family Type: Curtain Wall_Bespoke 1 - 1979.5 x 3800, Family: Window External Type 5 - Flush Instance Width</v>
      </c>
      <c r="F2164" t="str">
        <f t="shared" ca="1" si="424"/>
        <v>Vector(X = -0.988, Y = -0.155, Z = 0.000, Length = 1.000)</v>
      </c>
      <c r="G2164">
        <f t="shared" ca="1" si="415"/>
        <v>-1</v>
      </c>
      <c r="H2164">
        <f t="shared" ca="1" si="416"/>
        <v>-0.2</v>
      </c>
      <c r="I2164">
        <f t="shared" ca="1" si="417"/>
        <v>0</v>
      </c>
      <c r="J2164" s="8">
        <f t="shared" ca="1" si="418"/>
        <v>-168.69006752597977</v>
      </c>
      <c r="K2164" s="9" t="str">
        <f t="shared" ca="1" si="419"/>
        <v>W</v>
      </c>
      <c r="L2164">
        <f ca="1">+_xlfn.IFNA(VLOOKUP(M2164,BespokeWindowsAreas!$B$2:$E$1999,4,FALSE),VLOOKUP(E2164,WindowTypeArea!$B$2:$C$113,2,FALSE))</f>
        <v>7.9950000000000001</v>
      </c>
      <c r="M2164">
        <f t="shared" ca="1" si="420"/>
        <v>4810563</v>
      </c>
    </row>
    <row r="2165" spans="1:13" x14ac:dyDescent="0.25">
      <c r="A2165">
        <f t="shared" ca="1" si="413"/>
        <v>5</v>
      </c>
      <c r="B2165">
        <f t="shared" ca="1" si="414"/>
        <v>446</v>
      </c>
      <c r="C2165" t="str">
        <f t="shared" ca="1" si="421"/>
        <v>'WINDOWS-NCH-A-BDP-M3-03-00'!B445</v>
      </c>
      <c r="D2165" s="6" t="str">
        <f t="shared" ca="1" si="422"/>
        <v>L03-EDU-ETC-L078-03</v>
      </c>
      <c r="E2165" t="str">
        <f t="shared" ca="1" si="423"/>
        <v>Family Type: Curtain Wall_Bespoke 1 - 1979.5 x 3800, Family: Window External Type 5 - Flush Instance Width</v>
      </c>
      <c r="F2165" t="str">
        <f t="shared" ca="1" si="424"/>
        <v>Vector(X = -0.988, Y = -0.155, Z = 0.000, Length = 1.000)</v>
      </c>
      <c r="G2165">
        <f t="shared" ca="1" si="415"/>
        <v>-1</v>
      </c>
      <c r="H2165">
        <f t="shared" ca="1" si="416"/>
        <v>-0.2</v>
      </c>
      <c r="I2165">
        <f t="shared" ca="1" si="417"/>
        <v>0</v>
      </c>
      <c r="J2165" s="8">
        <f t="shared" ca="1" si="418"/>
        <v>-168.69006752597977</v>
      </c>
      <c r="K2165" s="9" t="str">
        <f t="shared" ca="1" si="419"/>
        <v>W</v>
      </c>
      <c r="L2165">
        <f ca="1">+_xlfn.IFNA(VLOOKUP(M2165,BespokeWindowsAreas!$B$2:$E$1999,4,FALSE),VLOOKUP(E2165,WindowTypeArea!$B$2:$C$113,2,FALSE))</f>
        <v>1.9500000000000099</v>
      </c>
      <c r="M2165">
        <f t="shared" ca="1" si="420"/>
        <v>5143821</v>
      </c>
    </row>
    <row r="2166" spans="1:13" x14ac:dyDescent="0.25">
      <c r="A2166">
        <f t="shared" ca="1" si="413"/>
        <v>5</v>
      </c>
      <c r="B2166">
        <f t="shared" ca="1" si="414"/>
        <v>447</v>
      </c>
      <c r="C2166" t="str">
        <f t="shared" ca="1" si="421"/>
        <v>'WINDOWS-NCH-A-BDP-M3-03-00'!B446</v>
      </c>
      <c r="D2166" s="6" t="str">
        <f t="shared" ca="1" si="422"/>
        <v>L03-EDU-ETC-L078-03</v>
      </c>
      <c r="E2166" t="str">
        <f t="shared" ca="1" si="423"/>
        <v>Family Type: Curtain Wall_Bespoke 1 - 1979.5 x 3800, Family: Window External Type 5 - Flush Instance Width</v>
      </c>
      <c r="F2166" t="str">
        <f t="shared" ca="1" si="424"/>
        <v>Vector(X = -0.988, Y = -0.155, Z = 0.000, Length = 1.000)</v>
      </c>
      <c r="G2166">
        <f t="shared" ca="1" si="415"/>
        <v>-1</v>
      </c>
      <c r="H2166">
        <f t="shared" ca="1" si="416"/>
        <v>-0.2</v>
      </c>
      <c r="I2166">
        <f t="shared" ca="1" si="417"/>
        <v>0</v>
      </c>
      <c r="J2166" s="8">
        <f t="shared" ca="1" si="418"/>
        <v>-168.69006752597977</v>
      </c>
      <c r="K2166" s="9" t="str">
        <f t="shared" ca="1" si="419"/>
        <v>W</v>
      </c>
      <c r="L2166">
        <f ca="1">+_xlfn.IFNA(VLOOKUP(M2166,BespokeWindowsAreas!$B$2:$E$1999,4,FALSE),VLOOKUP(E2166,WindowTypeArea!$B$2:$C$113,2,FALSE))</f>
        <v>1.9500000000000099</v>
      </c>
      <c r="M2166">
        <f t="shared" ca="1" si="420"/>
        <v>5143822</v>
      </c>
    </row>
    <row r="2167" spans="1:13" x14ac:dyDescent="0.25">
      <c r="A2167">
        <f t="shared" ca="1" si="413"/>
        <v>5</v>
      </c>
      <c r="B2167">
        <f t="shared" ca="1" si="414"/>
        <v>448</v>
      </c>
      <c r="C2167" t="str">
        <f t="shared" ca="1" si="421"/>
        <v>'WINDOWS-NCH-A-BDP-M3-03-00'!B447</v>
      </c>
      <c r="D2167" s="6" t="str">
        <f t="shared" ca="1" si="422"/>
        <v>L03-EDU-ETC-L078-03</v>
      </c>
      <c r="E2167" t="str">
        <f t="shared" ca="1" si="423"/>
        <v>Family Type: Curtain Wall_Bespoke 1 - 1979.5 x 3800, Family: Window External Type 5 - Flush Instance Width</v>
      </c>
      <c r="F2167" t="str">
        <f t="shared" ca="1" si="424"/>
        <v>Vector(X = -0.988, Y = -0.155, Z = 0.000, Length = 1.000)</v>
      </c>
      <c r="G2167">
        <f t="shared" ca="1" si="415"/>
        <v>-1</v>
      </c>
      <c r="H2167">
        <f t="shared" ca="1" si="416"/>
        <v>-0.2</v>
      </c>
      <c r="I2167">
        <f t="shared" ca="1" si="417"/>
        <v>0</v>
      </c>
      <c r="J2167" s="8">
        <f t="shared" ca="1" si="418"/>
        <v>-168.69006752597977</v>
      </c>
      <c r="K2167" s="9" t="str">
        <f t="shared" ca="1" si="419"/>
        <v>W</v>
      </c>
      <c r="L2167">
        <f ca="1">+_xlfn.IFNA(VLOOKUP(M2167,BespokeWindowsAreas!$B$2:$E$1999,4,FALSE),VLOOKUP(E2167,WindowTypeArea!$B$2:$C$113,2,FALSE))</f>
        <v>0.97499999999998999</v>
      </c>
      <c r="M2167">
        <f t="shared" ca="1" si="420"/>
        <v>5143823</v>
      </c>
    </row>
    <row r="2168" spans="1:13" x14ac:dyDescent="0.25">
      <c r="A2168">
        <f t="shared" ca="1" si="413"/>
        <v>5</v>
      </c>
      <c r="B2168">
        <f t="shared" ca="1" si="414"/>
        <v>449</v>
      </c>
      <c r="C2168" t="str">
        <f t="shared" ca="1" si="421"/>
        <v>'WINDOWS-NCH-A-BDP-M3-03-00'!B448</v>
      </c>
      <c r="D2168" s="6" t="str">
        <f t="shared" ca="1" si="422"/>
        <v>L03-EDU-ETC-L078-03</v>
      </c>
      <c r="E2168" t="str">
        <f t="shared" ca="1" si="423"/>
        <v>Family Type: Curtain Wall_Bespoke 1 - 1979.5 x 3800, Family: Window External Type 5 - Flush Instance Width</v>
      </c>
      <c r="F2168" t="str">
        <f t="shared" ca="1" si="424"/>
        <v>Vector(X = -0.988, Y = -0.155, Z = 0.000, Length = 1.000)</v>
      </c>
      <c r="G2168">
        <f t="shared" ca="1" si="415"/>
        <v>-1</v>
      </c>
      <c r="H2168">
        <f t="shared" ca="1" si="416"/>
        <v>-0.2</v>
      </c>
      <c r="I2168">
        <f t="shared" ca="1" si="417"/>
        <v>0</v>
      </c>
      <c r="J2168" s="8">
        <f t="shared" ca="1" si="418"/>
        <v>-168.69006752597977</v>
      </c>
      <c r="K2168" s="9" t="str">
        <f t="shared" ca="1" si="419"/>
        <v>W</v>
      </c>
      <c r="L2168">
        <f ca="1">+_xlfn.IFNA(VLOOKUP(M2168,BespokeWindowsAreas!$B$2:$E$1999,4,FALSE),VLOOKUP(E2168,WindowTypeArea!$B$2:$C$113,2,FALSE))</f>
        <v>1.9500000000000501</v>
      </c>
      <c r="M2168">
        <f t="shared" ca="1" si="420"/>
        <v>5143824</v>
      </c>
    </row>
    <row r="2169" spans="1:13" x14ac:dyDescent="0.25">
      <c r="A2169">
        <f t="shared" ca="1" si="413"/>
        <v>5</v>
      </c>
      <c r="B2169">
        <f t="shared" ca="1" si="414"/>
        <v>450</v>
      </c>
      <c r="C2169" t="str">
        <f t="shared" ca="1" si="421"/>
        <v>'WINDOWS-NCH-A-BDP-M3-03-00'!B449</v>
      </c>
      <c r="D2169" s="6" t="str">
        <f t="shared" ca="1" si="422"/>
        <v>L03-EDU-ETC-L078-03</v>
      </c>
      <c r="E2169" t="str">
        <f t="shared" ca="1" si="423"/>
        <v>Family Type: Curtain Wall_Bespoke 1 - 1979.5 x 3800, Family: Window External Type 5 - Flush Instance Width</v>
      </c>
      <c r="F2169" t="str">
        <f t="shared" ca="1" si="424"/>
        <v>Vector(X = -0.988, Y = -0.155, Z = 0.000, Length = 1.000)</v>
      </c>
      <c r="G2169">
        <f t="shared" ca="1" si="415"/>
        <v>-1</v>
      </c>
      <c r="H2169">
        <f t="shared" ca="1" si="416"/>
        <v>-0.2</v>
      </c>
      <c r="I2169">
        <f t="shared" ca="1" si="417"/>
        <v>0</v>
      </c>
      <c r="J2169" s="8">
        <f t="shared" ca="1" si="418"/>
        <v>-168.69006752597977</v>
      </c>
      <c r="K2169" s="9" t="str">
        <f t="shared" ca="1" si="419"/>
        <v>W</v>
      </c>
      <c r="L2169">
        <f ca="1">+_xlfn.IFNA(VLOOKUP(M2169,BespokeWindowsAreas!$B$2:$E$1999,4,FALSE),VLOOKUP(E2169,WindowTypeArea!$B$2:$C$113,2,FALSE))</f>
        <v>1.95</v>
      </c>
      <c r="M2169">
        <f t="shared" ca="1" si="420"/>
        <v>5143825</v>
      </c>
    </row>
    <row r="2170" spans="1:13" x14ac:dyDescent="0.25">
      <c r="A2170">
        <f t="shared" ca="1" si="413"/>
        <v>5</v>
      </c>
      <c r="B2170">
        <f t="shared" ca="1" si="414"/>
        <v>451</v>
      </c>
      <c r="C2170" t="str">
        <f t="shared" ca="1" si="421"/>
        <v>'WINDOWS-NCH-A-BDP-M3-03-00'!B450</v>
      </c>
      <c r="D2170" s="6" t="str">
        <f t="shared" ca="1" si="422"/>
        <v>L03-EDU-ETC-L078-04</v>
      </c>
      <c r="E2170" t="str">
        <f t="shared" ca="1" si="423"/>
        <v>L03-EDU-ETC-L078-04</v>
      </c>
      <c r="F2170">
        <f t="shared" ca="1" si="424"/>
        <v>1300937</v>
      </c>
      <c r="G2170">
        <f t="shared" ca="1" si="415"/>
        <v>0</v>
      </c>
      <c r="H2170">
        <f t="shared" ca="1" si="416"/>
        <v>0</v>
      </c>
      <c r="I2170">
        <f t="shared" ca="1" si="417"/>
        <v>0</v>
      </c>
      <c r="J2170" s="8" t="e">
        <f t="shared" ca="1" si="418"/>
        <v>#DIV/0!</v>
      </c>
      <c r="K2170" s="9" t="e">
        <f t="shared" ca="1" si="419"/>
        <v>#DIV/0!</v>
      </c>
      <c r="L2170" t="e">
        <f ca="1">+_xlfn.IFNA(VLOOKUP(M2170,BespokeWindowsAreas!$B$2:$E$1999,4,FALSE),VLOOKUP(E2170,WindowTypeArea!$B$2:$C$113,2,FALSE))</f>
        <v>#N/A</v>
      </c>
      <c r="M2170">
        <f t="shared" ca="1" si="420"/>
        <v>0</v>
      </c>
    </row>
    <row r="2171" spans="1:13" x14ac:dyDescent="0.25">
      <c r="A2171">
        <f t="shared" ca="1" si="413"/>
        <v>5</v>
      </c>
      <c r="B2171">
        <f t="shared" ca="1" si="414"/>
        <v>452</v>
      </c>
      <c r="C2171" t="str">
        <f t="shared" ca="1" si="421"/>
        <v>'WINDOWS-NCH-A-BDP-M3-03-00'!B451</v>
      </c>
      <c r="D2171" s="6" t="str">
        <f t="shared" ca="1" si="422"/>
        <v>L03-EDU-ETC-L078-04</v>
      </c>
      <c r="E2171" t="str">
        <f t="shared" ca="1" si="423"/>
        <v>Family Type: Curtain Wall_Bespoke 1 - 1979.5 x 3800, Family: Window External Type 5 - Flush Instance Width</v>
      </c>
      <c r="F2171" t="str">
        <f t="shared" ca="1" si="424"/>
        <v>Vector(X = -0.956, Y = 0.294, Z = 0.000, Length = 1.000)</v>
      </c>
      <c r="G2171">
        <f t="shared" ca="1" si="415"/>
        <v>-1</v>
      </c>
      <c r="H2171">
        <f t="shared" ca="1" si="416"/>
        <v>0.3</v>
      </c>
      <c r="I2171">
        <f t="shared" ca="1" si="417"/>
        <v>0</v>
      </c>
      <c r="J2171" s="8">
        <f t="shared" ca="1" si="418"/>
        <v>163.30075576600638</v>
      </c>
      <c r="K2171" s="9" t="str">
        <f t="shared" ca="1" si="419"/>
        <v>WN</v>
      </c>
      <c r="L2171">
        <f ca="1">+_xlfn.IFNA(VLOOKUP(M2171,BespokeWindowsAreas!$B$2:$E$1999,4,FALSE),VLOOKUP(E2171,WindowTypeArea!$B$2:$C$113,2,FALSE))</f>
        <v>3.9975000000001963</v>
      </c>
      <c r="M2171">
        <f t="shared" ca="1" si="420"/>
        <v>4915168</v>
      </c>
    </row>
    <row r="2172" spans="1:13" x14ac:dyDescent="0.25">
      <c r="A2172">
        <f t="shared" ca="1" si="413"/>
        <v>5</v>
      </c>
      <c r="B2172">
        <f t="shared" ca="1" si="414"/>
        <v>453</v>
      </c>
      <c r="C2172" t="str">
        <f t="shared" ca="1" si="421"/>
        <v>'WINDOWS-NCH-A-BDP-M3-03-00'!B452</v>
      </c>
      <c r="D2172" s="6" t="str">
        <f t="shared" ca="1" si="422"/>
        <v>L03-EDU-ETC-L078-04</v>
      </c>
      <c r="E2172" t="str">
        <f t="shared" ca="1" si="423"/>
        <v>Family Type: Curtain Wall_Bespoke 1 - 1979.5 x 3800, Family: Window External Type 5 - Flush Instance Width</v>
      </c>
      <c r="F2172" t="str">
        <f t="shared" ca="1" si="424"/>
        <v>Vector(X = -0.956, Y = 0.294, Z = 0.000, Length = 1.000)</v>
      </c>
      <c r="G2172">
        <f t="shared" ca="1" si="415"/>
        <v>-1</v>
      </c>
      <c r="H2172">
        <f t="shared" ca="1" si="416"/>
        <v>0.3</v>
      </c>
      <c r="I2172">
        <f t="shared" ca="1" si="417"/>
        <v>0</v>
      </c>
      <c r="J2172" s="8">
        <f t="shared" ca="1" si="418"/>
        <v>163.30075576600638</v>
      </c>
      <c r="K2172" s="9" t="str">
        <f t="shared" ca="1" si="419"/>
        <v>WN</v>
      </c>
      <c r="L2172">
        <f ca="1">+_xlfn.IFNA(VLOOKUP(M2172,BespokeWindowsAreas!$B$2:$E$1999,4,FALSE),VLOOKUP(E2172,WindowTypeArea!$B$2:$C$113,2,FALSE))</f>
        <v>7.9950000000000001</v>
      </c>
      <c r="M2172">
        <f t="shared" ca="1" si="420"/>
        <v>4915169</v>
      </c>
    </row>
    <row r="2173" spans="1:13" x14ac:dyDescent="0.25">
      <c r="A2173">
        <f t="shared" ca="1" si="413"/>
        <v>5</v>
      </c>
      <c r="B2173">
        <f t="shared" ca="1" si="414"/>
        <v>454</v>
      </c>
      <c r="C2173" t="str">
        <f t="shared" ca="1" si="421"/>
        <v>'WINDOWS-NCH-A-BDP-M3-03-00'!B453</v>
      </c>
      <c r="D2173" s="6" t="str">
        <f t="shared" ca="1" si="422"/>
        <v>L03-EDU-ETC-L078-04</v>
      </c>
      <c r="E2173" t="str">
        <f t="shared" ca="1" si="423"/>
        <v>Family Type: Curtain Wall_Bespoke 1 - 1979.5 x 3800, Family: Window External Type 5 - Flush Instance Width</v>
      </c>
      <c r="F2173" t="str">
        <f t="shared" ca="1" si="424"/>
        <v>Vector(X = -0.956, Y = 0.294, Z = 0.000, Length = 1.000)</v>
      </c>
      <c r="G2173">
        <f t="shared" ca="1" si="415"/>
        <v>-1</v>
      </c>
      <c r="H2173">
        <f t="shared" ca="1" si="416"/>
        <v>0.3</v>
      </c>
      <c r="I2173">
        <f t="shared" ca="1" si="417"/>
        <v>0</v>
      </c>
      <c r="J2173" s="8">
        <f t="shared" ca="1" si="418"/>
        <v>163.30075576600638</v>
      </c>
      <c r="K2173" s="9" t="str">
        <f t="shared" ca="1" si="419"/>
        <v>WN</v>
      </c>
      <c r="L2173">
        <f ca="1">+_xlfn.IFNA(VLOOKUP(M2173,BespokeWindowsAreas!$B$2:$E$1999,4,FALSE),VLOOKUP(E2173,WindowTypeArea!$B$2:$C$113,2,FALSE))</f>
        <v>7.9950000000000001</v>
      </c>
      <c r="M2173">
        <f t="shared" ca="1" si="420"/>
        <v>4915170</v>
      </c>
    </row>
    <row r="2174" spans="1:13" x14ac:dyDescent="0.25">
      <c r="A2174">
        <f t="shared" ca="1" si="413"/>
        <v>5</v>
      </c>
      <c r="B2174">
        <f t="shared" ca="1" si="414"/>
        <v>455</v>
      </c>
      <c r="C2174" t="str">
        <f t="shared" ca="1" si="421"/>
        <v>'WINDOWS-NCH-A-BDP-M3-03-00'!B454</v>
      </c>
      <c r="D2174" s="6" t="str">
        <f t="shared" ca="1" si="422"/>
        <v>L03-EDU-ETC-L078-04</v>
      </c>
      <c r="E2174" t="str">
        <f t="shared" ca="1" si="423"/>
        <v>Family Type: Curtain Wall_Bespoke 1 - 1979.5 x 3800, Family: Window External Type 5 - Flush Instance Width</v>
      </c>
      <c r="F2174" t="str">
        <f t="shared" ca="1" si="424"/>
        <v>Vector(X = -0.956, Y = 0.294, Z = 0.000, Length = 1.000)</v>
      </c>
      <c r="G2174">
        <f t="shared" ca="1" si="415"/>
        <v>-1</v>
      </c>
      <c r="H2174">
        <f t="shared" ca="1" si="416"/>
        <v>0.3</v>
      </c>
      <c r="I2174">
        <f t="shared" ca="1" si="417"/>
        <v>0</v>
      </c>
      <c r="J2174" s="8">
        <f t="shared" ca="1" si="418"/>
        <v>163.30075576600638</v>
      </c>
      <c r="K2174" s="9" t="str">
        <f t="shared" ca="1" si="419"/>
        <v>WN</v>
      </c>
      <c r="L2174">
        <f ca="1">+_xlfn.IFNA(VLOOKUP(M2174,BespokeWindowsAreas!$B$2:$E$1999,4,FALSE),VLOOKUP(E2174,WindowTypeArea!$B$2:$C$113,2,FALSE))</f>
        <v>7.9950000000000001</v>
      </c>
      <c r="M2174">
        <f t="shared" ca="1" si="420"/>
        <v>4915171</v>
      </c>
    </row>
    <row r="2175" spans="1:13" x14ac:dyDescent="0.25">
      <c r="A2175">
        <f t="shared" ca="1" si="413"/>
        <v>5</v>
      </c>
      <c r="B2175">
        <f t="shared" ca="1" si="414"/>
        <v>456</v>
      </c>
      <c r="C2175" t="str">
        <f t="shared" ca="1" si="421"/>
        <v>'WINDOWS-NCH-A-BDP-M3-03-00'!B455</v>
      </c>
      <c r="D2175" s="6" t="str">
        <f t="shared" ca="1" si="422"/>
        <v>L03-EDU-ETC-L078-04</v>
      </c>
      <c r="E2175" t="str">
        <f t="shared" ca="1" si="423"/>
        <v>Family Type: Curtain Wall_Bespoke 1 - 1979.5 x 3800, Family: Window External Type 5 - Flush Instance Width</v>
      </c>
      <c r="F2175" t="str">
        <f t="shared" ca="1" si="424"/>
        <v>Vector(X = -0.956, Y = 0.294, Z = 0.000, Length = 1.000)</v>
      </c>
      <c r="G2175">
        <f t="shared" ca="1" si="415"/>
        <v>-1</v>
      </c>
      <c r="H2175">
        <f t="shared" ca="1" si="416"/>
        <v>0.3</v>
      </c>
      <c r="I2175">
        <f t="shared" ca="1" si="417"/>
        <v>0</v>
      </c>
      <c r="J2175" s="8">
        <f t="shared" ca="1" si="418"/>
        <v>163.30075576600638</v>
      </c>
      <c r="K2175" s="9" t="str">
        <f t="shared" ca="1" si="419"/>
        <v>WN</v>
      </c>
      <c r="L2175">
        <f ca="1">+_xlfn.IFNA(VLOOKUP(M2175,BespokeWindowsAreas!$B$2:$E$1999,4,FALSE),VLOOKUP(E2175,WindowTypeArea!$B$2:$C$113,2,FALSE))</f>
        <v>1.95</v>
      </c>
      <c r="M2175">
        <f t="shared" ca="1" si="420"/>
        <v>5144163</v>
      </c>
    </row>
    <row r="2176" spans="1:13" x14ac:dyDescent="0.25">
      <c r="A2176">
        <f t="shared" ca="1" si="413"/>
        <v>5</v>
      </c>
      <c r="B2176">
        <f t="shared" ca="1" si="414"/>
        <v>457</v>
      </c>
      <c r="C2176" t="str">
        <f t="shared" ca="1" si="421"/>
        <v>'WINDOWS-NCH-A-BDP-M3-03-00'!B456</v>
      </c>
      <c r="D2176" s="6" t="str">
        <f t="shared" ca="1" si="422"/>
        <v>L03-EDU-ETC-L078-04</v>
      </c>
      <c r="E2176" t="str">
        <f t="shared" ca="1" si="423"/>
        <v>Family Type: Curtain Wall_Bespoke 1 - 1979.5 x 3800, Family: Window External Type 5 - Flush Instance Width</v>
      </c>
      <c r="F2176" t="str">
        <f t="shared" ca="1" si="424"/>
        <v>Vector(X = -0.956, Y = 0.294, Z = 0.000, Length = 1.000)</v>
      </c>
      <c r="G2176">
        <f t="shared" ca="1" si="415"/>
        <v>-1</v>
      </c>
      <c r="H2176">
        <f t="shared" ca="1" si="416"/>
        <v>0.3</v>
      </c>
      <c r="I2176">
        <f t="shared" ca="1" si="417"/>
        <v>0</v>
      </c>
      <c r="J2176" s="8">
        <f t="shared" ca="1" si="418"/>
        <v>163.30075576600638</v>
      </c>
      <c r="K2176" s="9" t="str">
        <f t="shared" ca="1" si="419"/>
        <v>WN</v>
      </c>
      <c r="L2176">
        <f ca="1">+_xlfn.IFNA(VLOOKUP(M2176,BespokeWindowsAreas!$B$2:$E$1999,4,FALSE),VLOOKUP(E2176,WindowTypeArea!$B$2:$C$113,2,FALSE))</f>
        <v>1.95</v>
      </c>
      <c r="M2176">
        <f t="shared" ca="1" si="420"/>
        <v>5144164</v>
      </c>
    </row>
    <row r="2177" spans="1:13" x14ac:dyDescent="0.25">
      <c r="A2177">
        <f t="shared" ca="1" si="413"/>
        <v>5</v>
      </c>
      <c r="B2177">
        <f t="shared" ca="1" si="414"/>
        <v>458</v>
      </c>
      <c r="C2177" t="str">
        <f t="shared" ca="1" si="421"/>
        <v>'WINDOWS-NCH-A-BDP-M3-03-00'!B457</v>
      </c>
      <c r="D2177" s="6" t="str">
        <f t="shared" ca="1" si="422"/>
        <v>L03-EDU-ETC-L078-04</v>
      </c>
      <c r="E2177" t="str">
        <f t="shared" ca="1" si="423"/>
        <v>Family Type: Curtain Wall_Bespoke 1 - 1979.5 x 3800, Family: Window External Type 5 - Flush Instance Width</v>
      </c>
      <c r="F2177" t="str">
        <f t="shared" ca="1" si="424"/>
        <v>Vector(X = -0.956, Y = 0.294, Z = 0.000, Length = 1.000)</v>
      </c>
      <c r="G2177">
        <f t="shared" ca="1" si="415"/>
        <v>-1</v>
      </c>
      <c r="H2177">
        <f t="shared" ca="1" si="416"/>
        <v>0.3</v>
      </c>
      <c r="I2177">
        <f t="shared" ca="1" si="417"/>
        <v>0</v>
      </c>
      <c r="J2177" s="8">
        <f t="shared" ca="1" si="418"/>
        <v>163.30075576600638</v>
      </c>
      <c r="K2177" s="9" t="str">
        <f t="shared" ca="1" si="419"/>
        <v>WN</v>
      </c>
      <c r="L2177">
        <f ca="1">+_xlfn.IFNA(VLOOKUP(M2177,BespokeWindowsAreas!$B$2:$E$1999,4,FALSE),VLOOKUP(E2177,WindowTypeArea!$B$2:$C$113,2,FALSE))</f>
        <v>1.95</v>
      </c>
      <c r="M2177">
        <f t="shared" ca="1" si="420"/>
        <v>5144165</v>
      </c>
    </row>
    <row r="2178" spans="1:13" x14ac:dyDescent="0.25">
      <c r="A2178">
        <f t="shared" ca="1" si="413"/>
        <v>5</v>
      </c>
      <c r="B2178">
        <f t="shared" ca="1" si="414"/>
        <v>459</v>
      </c>
      <c r="C2178" t="str">
        <f t="shared" ca="1" si="421"/>
        <v>'WINDOWS-NCH-A-BDP-M3-03-00'!B458</v>
      </c>
      <c r="D2178" s="6" t="str">
        <f t="shared" ca="1" si="422"/>
        <v>L03-EDU-ETC-L078-04</v>
      </c>
      <c r="E2178" t="str">
        <f t="shared" ca="1" si="423"/>
        <v>Family Type: Curtain Wall_Bespoke 1 - 975 x 1050, Family: Window External Type 5 - Flush Instance Width</v>
      </c>
      <c r="F2178" t="str">
        <f t="shared" ca="1" si="424"/>
        <v>Vector(X = -0.956, Y = 0.294, Z = 0.000, Length = 1.000)</v>
      </c>
      <c r="G2178">
        <f t="shared" ca="1" si="415"/>
        <v>-1</v>
      </c>
      <c r="H2178">
        <f t="shared" ca="1" si="416"/>
        <v>0.3</v>
      </c>
      <c r="I2178">
        <f t="shared" ca="1" si="417"/>
        <v>0</v>
      </c>
      <c r="J2178" s="8">
        <f t="shared" ca="1" si="418"/>
        <v>163.30075576600638</v>
      </c>
      <c r="K2178" s="9" t="str">
        <f t="shared" ca="1" si="419"/>
        <v>WN</v>
      </c>
      <c r="L2178">
        <f ca="1">+_xlfn.IFNA(VLOOKUP(M2178,BespokeWindowsAreas!$B$2:$E$1999,4,FALSE),VLOOKUP(E2178,WindowTypeArea!$B$2:$C$113,2,FALSE))</f>
        <v>0.97500000000004794</v>
      </c>
      <c r="M2178">
        <f t="shared" ca="1" si="420"/>
        <v>5144346</v>
      </c>
    </row>
    <row r="2179" spans="1:13" x14ac:dyDescent="0.25">
      <c r="A2179">
        <f t="shared" ca="1" si="413"/>
        <v>5</v>
      </c>
      <c r="B2179">
        <f t="shared" ca="1" si="414"/>
        <v>460</v>
      </c>
      <c r="C2179" t="str">
        <f t="shared" ca="1" si="421"/>
        <v>'WINDOWS-NCH-A-BDP-M3-03-00'!B459</v>
      </c>
      <c r="D2179" s="6" t="str">
        <f t="shared" ca="1" si="422"/>
        <v>L03-PHA-GEN-C002-01</v>
      </c>
      <c r="E2179" t="str">
        <f t="shared" ca="1" si="423"/>
        <v>L03-PHA-GEN-C002-01</v>
      </c>
      <c r="F2179">
        <f t="shared" ca="1" si="424"/>
        <v>1415061</v>
      </c>
      <c r="G2179">
        <f t="shared" ca="1" si="415"/>
        <v>0</v>
      </c>
      <c r="H2179">
        <f t="shared" ca="1" si="416"/>
        <v>0</v>
      </c>
      <c r="I2179">
        <f t="shared" ca="1" si="417"/>
        <v>0</v>
      </c>
      <c r="J2179" s="8" t="e">
        <f t="shared" ca="1" si="418"/>
        <v>#DIV/0!</v>
      </c>
      <c r="K2179" s="9" t="e">
        <f t="shared" ca="1" si="419"/>
        <v>#DIV/0!</v>
      </c>
      <c r="L2179" t="e">
        <f ca="1">+_xlfn.IFNA(VLOOKUP(M2179,BespokeWindowsAreas!$B$2:$E$1999,4,FALSE),VLOOKUP(E2179,WindowTypeArea!$B$2:$C$113,2,FALSE))</f>
        <v>#N/A</v>
      </c>
      <c r="M2179">
        <f t="shared" ca="1" si="420"/>
        <v>0</v>
      </c>
    </row>
    <row r="2180" spans="1:13" x14ac:dyDescent="0.25">
      <c r="A2180">
        <f t="shared" ca="1" si="413"/>
        <v>5</v>
      </c>
      <c r="B2180">
        <f t="shared" ca="1" si="414"/>
        <v>461</v>
      </c>
      <c r="C2180" t="str">
        <f t="shared" ca="1" si="421"/>
        <v>'WINDOWS-NCH-A-BDP-M3-03-00'!B460</v>
      </c>
      <c r="D2180" s="6" t="str">
        <f t="shared" ca="1" si="422"/>
        <v>L03-PHA-GEN-C002-01</v>
      </c>
      <c r="E2180" t="str">
        <f t="shared" ca="1" si="423"/>
        <v>Family Type: Curtain Wall_1950w x 3800h, Family: Window External Type 5 - Flush</v>
      </c>
      <c r="F2180" t="str">
        <f t="shared" ca="1" si="424"/>
        <v>Vector(X = -0.962, Y = 0.271, Z = 0.000, Length = 1.000)</v>
      </c>
      <c r="G2180">
        <f t="shared" ca="1" si="415"/>
        <v>-1</v>
      </c>
      <c r="H2180">
        <f t="shared" ca="1" si="416"/>
        <v>0.3</v>
      </c>
      <c r="I2180">
        <f t="shared" ca="1" si="417"/>
        <v>0</v>
      </c>
      <c r="J2180" s="8">
        <f t="shared" ca="1" si="418"/>
        <v>163.30075576600638</v>
      </c>
      <c r="K2180" s="9" t="str">
        <f t="shared" ca="1" si="419"/>
        <v>WN</v>
      </c>
      <c r="L2180">
        <f ca="1">+_xlfn.IFNA(VLOOKUP(M2180,BespokeWindowsAreas!$B$2:$E$1999,4,FALSE),VLOOKUP(E2180,WindowTypeArea!$B$2:$C$113,2,FALSE))</f>
        <v>7.9950000000000001</v>
      </c>
      <c r="M2180">
        <f t="shared" ca="1" si="420"/>
        <v>4926068</v>
      </c>
    </row>
    <row r="2181" spans="1:13" x14ac:dyDescent="0.25">
      <c r="A2181">
        <f t="shared" ca="1" si="413"/>
        <v>5</v>
      </c>
      <c r="B2181">
        <f t="shared" ca="1" si="414"/>
        <v>462</v>
      </c>
      <c r="C2181" t="str">
        <f t="shared" ca="1" si="421"/>
        <v>'WINDOWS-NCH-A-BDP-M3-03-00'!B461</v>
      </c>
      <c r="D2181" s="6" t="str">
        <f t="shared" ca="1" si="422"/>
        <v>L03-PHA-GEN-C002-01</v>
      </c>
      <c r="E2181" t="str">
        <f t="shared" ca="1" si="423"/>
        <v>Family Type: Curtain Wall_975w x 3800h, Family: Window External Type 5 - Flush</v>
      </c>
      <c r="F2181" t="str">
        <f t="shared" ca="1" si="424"/>
        <v>Vector(X = -0.962, Y = 0.271, Z = 0.000, Length = 1.000)</v>
      </c>
      <c r="G2181">
        <f t="shared" ca="1" si="415"/>
        <v>-1</v>
      </c>
      <c r="H2181">
        <f t="shared" ca="1" si="416"/>
        <v>0.3</v>
      </c>
      <c r="I2181">
        <f t="shared" ca="1" si="417"/>
        <v>0</v>
      </c>
      <c r="J2181" s="8">
        <f t="shared" ca="1" si="418"/>
        <v>163.30075576600638</v>
      </c>
      <c r="K2181" s="9" t="str">
        <f t="shared" ca="1" si="419"/>
        <v>WN</v>
      </c>
      <c r="L2181">
        <f ca="1">+_xlfn.IFNA(VLOOKUP(M2181,BespokeWindowsAreas!$B$2:$E$1999,4,FALSE),VLOOKUP(E2181,WindowTypeArea!$B$2:$C$113,2,FALSE))</f>
        <v>3.9975000000000001</v>
      </c>
      <c r="M2181">
        <f t="shared" ca="1" si="420"/>
        <v>4926069</v>
      </c>
    </row>
    <row r="2182" spans="1:13" x14ac:dyDescent="0.25">
      <c r="A2182">
        <f t="shared" ca="1" si="413"/>
        <v>5</v>
      </c>
      <c r="B2182">
        <f t="shared" ca="1" si="414"/>
        <v>463</v>
      </c>
      <c r="C2182" t="str">
        <f t="shared" ca="1" si="421"/>
        <v>'WINDOWS-NCH-A-BDP-M3-03-00'!B462</v>
      </c>
      <c r="D2182" s="6" t="str">
        <f t="shared" ca="1" si="422"/>
        <v>L03-PHA-GEN-C002-01</v>
      </c>
      <c r="E2182" t="str">
        <f t="shared" ca="1" si="423"/>
        <v>Family Type: Curtain Wall_975w x 3800h, Family: Window External Type 5 - Flush</v>
      </c>
      <c r="F2182" t="str">
        <f t="shared" ca="1" si="424"/>
        <v>Vector(X = -0.962, Y = 0.271, Z = 0.000, Length = 1.000)</v>
      </c>
      <c r="G2182">
        <f t="shared" ca="1" si="415"/>
        <v>-1</v>
      </c>
      <c r="H2182">
        <f t="shared" ca="1" si="416"/>
        <v>0.3</v>
      </c>
      <c r="I2182">
        <f t="shared" ca="1" si="417"/>
        <v>0</v>
      </c>
      <c r="J2182" s="8">
        <f t="shared" ca="1" si="418"/>
        <v>163.30075576600638</v>
      </c>
      <c r="K2182" s="9" t="str">
        <f t="shared" ca="1" si="419"/>
        <v>WN</v>
      </c>
      <c r="L2182">
        <f ca="1">+_xlfn.IFNA(VLOOKUP(M2182,BespokeWindowsAreas!$B$2:$E$1999,4,FALSE),VLOOKUP(E2182,WindowTypeArea!$B$2:$C$113,2,FALSE))</f>
        <v>3.9975000000000001</v>
      </c>
      <c r="M2182">
        <f t="shared" ca="1" si="420"/>
        <v>4926070</v>
      </c>
    </row>
    <row r="2183" spans="1:13" x14ac:dyDescent="0.25">
      <c r="A2183">
        <f t="shared" ca="1" si="413"/>
        <v>5</v>
      </c>
      <c r="B2183">
        <f t="shared" ca="1" si="414"/>
        <v>464</v>
      </c>
      <c r="C2183" t="str">
        <f t="shared" ca="1" si="421"/>
        <v>'WINDOWS-NCH-A-BDP-M3-03-00'!B463</v>
      </c>
      <c r="D2183" s="6" t="str">
        <f t="shared" ca="1" si="422"/>
        <v>L03-PHA-GEN-C002-03</v>
      </c>
      <c r="E2183" t="str">
        <f t="shared" ca="1" si="423"/>
        <v>L03-PHA-GEN-C002-03</v>
      </c>
      <c r="F2183">
        <f t="shared" ca="1" si="424"/>
        <v>1415063</v>
      </c>
      <c r="G2183">
        <f t="shared" ca="1" si="415"/>
        <v>0</v>
      </c>
      <c r="H2183">
        <f t="shared" ca="1" si="416"/>
        <v>0</v>
      </c>
      <c r="I2183">
        <f t="shared" ca="1" si="417"/>
        <v>0</v>
      </c>
      <c r="J2183" s="8" t="e">
        <f t="shared" ca="1" si="418"/>
        <v>#DIV/0!</v>
      </c>
      <c r="K2183" s="9" t="e">
        <f t="shared" ca="1" si="419"/>
        <v>#DIV/0!</v>
      </c>
      <c r="L2183" t="e">
        <f ca="1">+_xlfn.IFNA(VLOOKUP(M2183,BespokeWindowsAreas!$B$2:$E$1999,4,FALSE),VLOOKUP(E2183,WindowTypeArea!$B$2:$C$113,2,FALSE))</f>
        <v>#N/A</v>
      </c>
      <c r="M2183">
        <f t="shared" ca="1" si="420"/>
        <v>0</v>
      </c>
    </row>
    <row r="2184" spans="1:13" x14ac:dyDescent="0.25">
      <c r="A2184">
        <f t="shared" ca="1" si="413"/>
        <v>5</v>
      </c>
      <c r="B2184">
        <f t="shared" ca="1" si="414"/>
        <v>465</v>
      </c>
      <c r="C2184" t="str">
        <f t="shared" ca="1" si="421"/>
        <v>'WINDOWS-NCH-A-BDP-M3-03-00'!B464</v>
      </c>
      <c r="D2184" s="6" t="str">
        <f t="shared" ca="1" si="422"/>
        <v>L03-PHA-GEN-C002-03</v>
      </c>
      <c r="E2184" t="str">
        <f t="shared" ca="1" si="423"/>
        <v>Family Type: Curtain Wall_1950w x 3800h, Family: Window External Type 5 - Flush</v>
      </c>
      <c r="F2184" t="str">
        <f t="shared" ca="1" si="424"/>
        <v>Vector(X = -0.212, Y = 0.977, Z = 0.000, Length = 1.000)</v>
      </c>
      <c r="G2184">
        <f t="shared" ca="1" si="415"/>
        <v>-0.2</v>
      </c>
      <c r="H2184">
        <f t="shared" ca="1" si="416"/>
        <v>1</v>
      </c>
      <c r="I2184">
        <f t="shared" ca="1" si="417"/>
        <v>0</v>
      </c>
      <c r="J2184" s="8">
        <f t="shared" ca="1" si="418"/>
        <v>101.3099324740202</v>
      </c>
      <c r="K2184" s="9" t="str">
        <f t="shared" ca="1" si="419"/>
        <v>N</v>
      </c>
      <c r="L2184">
        <f ca="1">+_xlfn.IFNA(VLOOKUP(M2184,BespokeWindowsAreas!$B$2:$E$1999,4,FALSE),VLOOKUP(E2184,WindowTypeArea!$B$2:$C$113,2,FALSE))</f>
        <v>7.9950000000000001</v>
      </c>
      <c r="M2184">
        <f t="shared" ca="1" si="420"/>
        <v>4940777</v>
      </c>
    </row>
    <row r="2185" spans="1:13" x14ac:dyDescent="0.25">
      <c r="A2185">
        <f t="shared" ca="1" si="413"/>
        <v>5</v>
      </c>
      <c r="B2185">
        <f t="shared" ca="1" si="414"/>
        <v>466</v>
      </c>
      <c r="C2185" t="str">
        <f t="shared" ca="1" si="421"/>
        <v>'WINDOWS-NCH-A-BDP-M3-03-00'!B465</v>
      </c>
      <c r="D2185" s="6" t="str">
        <f t="shared" ca="1" si="422"/>
        <v>L03-PHA-GEN-C002-03</v>
      </c>
      <c r="E2185" t="str">
        <f t="shared" ca="1" si="423"/>
        <v>Family Type: Curtain Wall_975w x 3800h, Family: Window External Type 5 - Flush</v>
      </c>
      <c r="F2185" t="str">
        <f t="shared" ca="1" si="424"/>
        <v>Vector(X = -0.212, Y = 0.977, Z = 0.000, Length = 1.000)</v>
      </c>
      <c r="G2185">
        <f t="shared" ca="1" si="415"/>
        <v>-0.2</v>
      </c>
      <c r="H2185">
        <f t="shared" ca="1" si="416"/>
        <v>1</v>
      </c>
      <c r="I2185">
        <f t="shared" ca="1" si="417"/>
        <v>0</v>
      </c>
      <c r="J2185" s="8">
        <f t="shared" ca="1" si="418"/>
        <v>101.3099324740202</v>
      </c>
      <c r="K2185" s="9" t="str">
        <f t="shared" ca="1" si="419"/>
        <v>N</v>
      </c>
      <c r="L2185">
        <f ca="1">+_xlfn.IFNA(VLOOKUP(M2185,BespokeWindowsAreas!$B$2:$E$1999,4,FALSE),VLOOKUP(E2185,WindowTypeArea!$B$2:$C$113,2,FALSE))</f>
        <v>3.9975000000000001</v>
      </c>
      <c r="M2185">
        <f t="shared" ca="1" si="420"/>
        <v>4940778</v>
      </c>
    </row>
    <row r="2186" spans="1:13" x14ac:dyDescent="0.25">
      <c r="A2186">
        <f t="shared" ca="1" si="413"/>
        <v>5</v>
      </c>
      <c r="B2186">
        <f t="shared" ca="1" si="414"/>
        <v>467</v>
      </c>
      <c r="C2186" t="str">
        <f t="shared" ca="1" si="421"/>
        <v>'WINDOWS-NCH-A-BDP-M3-03-00'!B466</v>
      </c>
      <c r="D2186" s="6" t="str">
        <f t="shared" ca="1" si="422"/>
        <v>L03-PHA-GEN-C002-03</v>
      </c>
      <c r="E2186" t="str">
        <f t="shared" ca="1" si="423"/>
        <v>Family Type: Curtain Wall_1950w x 3800h, Family: Window External Type 5 - Flush</v>
      </c>
      <c r="F2186" t="str">
        <f t="shared" ca="1" si="424"/>
        <v>Vector(X = -0.212, Y = 0.977, Z = 0.000, Length = 1.000)</v>
      </c>
      <c r="G2186">
        <f t="shared" ca="1" si="415"/>
        <v>-0.2</v>
      </c>
      <c r="H2186">
        <f t="shared" ca="1" si="416"/>
        <v>1</v>
      </c>
      <c r="I2186">
        <f t="shared" ca="1" si="417"/>
        <v>0</v>
      </c>
      <c r="J2186" s="8">
        <f t="shared" ca="1" si="418"/>
        <v>101.3099324740202</v>
      </c>
      <c r="K2186" s="9" t="str">
        <f t="shared" ca="1" si="419"/>
        <v>N</v>
      </c>
      <c r="L2186">
        <f ca="1">+_xlfn.IFNA(VLOOKUP(M2186,BespokeWindowsAreas!$B$2:$E$1999,4,FALSE),VLOOKUP(E2186,WindowTypeArea!$B$2:$C$113,2,FALSE))</f>
        <v>7.9950000000000001</v>
      </c>
      <c r="M2186">
        <f t="shared" ca="1" si="420"/>
        <v>4940779</v>
      </c>
    </row>
    <row r="2187" spans="1:13" x14ac:dyDescent="0.25">
      <c r="A2187">
        <f t="shared" ca="1" si="413"/>
        <v>5</v>
      </c>
      <c r="B2187">
        <f t="shared" ca="1" si="414"/>
        <v>468</v>
      </c>
      <c r="C2187" t="str">
        <f t="shared" ca="1" si="421"/>
        <v>'WINDOWS-NCH-A-BDP-M3-03-00'!B467</v>
      </c>
      <c r="D2187" s="6" t="str">
        <f t="shared" ca="1" si="422"/>
        <v>L03-PHA-GEN-C002-03</v>
      </c>
      <c r="E2187" t="str">
        <f t="shared" ca="1" si="423"/>
        <v>Family Type: Curtain Wall_1950w x 3800h, Family: Window External Type 5 - Flush</v>
      </c>
      <c r="F2187" t="str">
        <f t="shared" ca="1" si="424"/>
        <v>Vector(X = -0.212, Y = 0.977, Z = 0.000, Length = 1.000)</v>
      </c>
      <c r="G2187">
        <f t="shared" ca="1" si="415"/>
        <v>-0.2</v>
      </c>
      <c r="H2187">
        <f t="shared" ca="1" si="416"/>
        <v>1</v>
      </c>
      <c r="I2187">
        <f t="shared" ca="1" si="417"/>
        <v>0</v>
      </c>
      <c r="J2187" s="8">
        <f t="shared" ca="1" si="418"/>
        <v>101.3099324740202</v>
      </c>
      <c r="K2187" s="9" t="str">
        <f t="shared" ca="1" si="419"/>
        <v>N</v>
      </c>
      <c r="L2187">
        <f ca="1">+_xlfn.IFNA(VLOOKUP(M2187,BespokeWindowsAreas!$B$2:$E$1999,4,FALSE),VLOOKUP(E2187,WindowTypeArea!$B$2:$C$113,2,FALSE))</f>
        <v>7.9950000000000001</v>
      </c>
      <c r="M2187">
        <f t="shared" ca="1" si="420"/>
        <v>4940780</v>
      </c>
    </row>
    <row r="2188" spans="1:13" x14ac:dyDescent="0.25">
      <c r="A2188">
        <f t="shared" ca="1" si="413"/>
        <v>5</v>
      </c>
      <c r="B2188">
        <f t="shared" ca="1" si="414"/>
        <v>469</v>
      </c>
      <c r="C2188" t="str">
        <f t="shared" ca="1" si="421"/>
        <v>'WINDOWS-NCH-A-BDP-M3-03-00'!B468</v>
      </c>
      <c r="D2188" s="6" t="str">
        <f t="shared" ca="1" si="422"/>
        <v>L03-PHA-GEN-C002-03</v>
      </c>
      <c r="E2188" t="str">
        <f t="shared" ca="1" si="423"/>
        <v>Family Type: Curtain Wall_975w x 3800h, Family: Window External Type 5 - Flush</v>
      </c>
      <c r="F2188" t="str">
        <f t="shared" ca="1" si="424"/>
        <v>Vector(X = -0.212, Y = 0.977, Z = 0.000, Length = 1.000)</v>
      </c>
      <c r="G2188">
        <f t="shared" ca="1" si="415"/>
        <v>-0.2</v>
      </c>
      <c r="H2188">
        <f t="shared" ca="1" si="416"/>
        <v>1</v>
      </c>
      <c r="I2188">
        <f t="shared" ca="1" si="417"/>
        <v>0</v>
      </c>
      <c r="J2188" s="8">
        <f t="shared" ca="1" si="418"/>
        <v>101.3099324740202</v>
      </c>
      <c r="K2188" s="9" t="str">
        <f t="shared" ca="1" si="419"/>
        <v>N</v>
      </c>
      <c r="L2188">
        <f ca="1">+_xlfn.IFNA(VLOOKUP(M2188,BespokeWindowsAreas!$B$2:$E$1999,4,FALSE),VLOOKUP(E2188,WindowTypeArea!$B$2:$C$113,2,FALSE))</f>
        <v>3.9975000000000001</v>
      </c>
      <c r="M2188">
        <f t="shared" ca="1" si="420"/>
        <v>4940781</v>
      </c>
    </row>
    <row r="2189" spans="1:13" x14ac:dyDescent="0.25">
      <c r="A2189">
        <f t="shared" ca="1" si="413"/>
        <v>5</v>
      </c>
      <c r="B2189">
        <f t="shared" ca="1" si="414"/>
        <v>470</v>
      </c>
      <c r="C2189" t="str">
        <f t="shared" ca="1" si="421"/>
        <v>'WINDOWS-NCH-A-BDP-M3-03-00'!B469</v>
      </c>
      <c r="D2189" s="6" t="str">
        <f t="shared" ca="1" si="422"/>
        <v>L03-PHA-GEN-C002-03</v>
      </c>
      <c r="E2189" t="str">
        <f t="shared" ca="1" si="423"/>
        <v>Family Type: Curtain Wall_1950w x 3800h, Family: Window External Type 5 - Flush</v>
      </c>
      <c r="F2189" t="str">
        <f t="shared" ca="1" si="424"/>
        <v>Vector(X = -0.212, Y = 0.977, Z = 0.000, Length = 1.000)</v>
      </c>
      <c r="G2189">
        <f t="shared" ca="1" si="415"/>
        <v>-0.2</v>
      </c>
      <c r="H2189">
        <f t="shared" ca="1" si="416"/>
        <v>1</v>
      </c>
      <c r="I2189">
        <f t="shared" ca="1" si="417"/>
        <v>0</v>
      </c>
      <c r="J2189" s="8">
        <f t="shared" ca="1" si="418"/>
        <v>101.3099324740202</v>
      </c>
      <c r="K2189" s="9" t="str">
        <f t="shared" ca="1" si="419"/>
        <v>N</v>
      </c>
      <c r="L2189">
        <f ca="1">+_xlfn.IFNA(VLOOKUP(M2189,BespokeWindowsAreas!$B$2:$E$1999,4,FALSE),VLOOKUP(E2189,WindowTypeArea!$B$2:$C$113,2,FALSE))</f>
        <v>7.9950000000000001</v>
      </c>
      <c r="M2189">
        <f t="shared" ca="1" si="420"/>
        <v>4940782</v>
      </c>
    </row>
    <row r="2190" spans="1:13" x14ac:dyDescent="0.25">
      <c r="A2190">
        <f t="shared" ca="1" si="413"/>
        <v>5</v>
      </c>
      <c r="B2190">
        <f t="shared" ca="1" si="414"/>
        <v>471</v>
      </c>
      <c r="C2190" t="str">
        <f t="shared" ca="1" si="421"/>
        <v>'WINDOWS-NCH-A-BDP-M3-03-00'!B470</v>
      </c>
      <c r="D2190" s="6" t="str">
        <f t="shared" ca="1" si="422"/>
        <v>L03-PHA-GEN-C002-03</v>
      </c>
      <c r="E2190" t="str">
        <f t="shared" ca="1" si="423"/>
        <v>Family Type: Curtain Wall_975w x 3800h, Family: Window External Type 5 - Flush</v>
      </c>
      <c r="F2190" t="str">
        <f t="shared" ca="1" si="424"/>
        <v>Vector(X = -0.212, Y = 0.977, Z = 0.000, Length = 1.000)</v>
      </c>
      <c r="G2190">
        <f t="shared" ca="1" si="415"/>
        <v>-0.2</v>
      </c>
      <c r="H2190">
        <f t="shared" ca="1" si="416"/>
        <v>1</v>
      </c>
      <c r="I2190">
        <f t="shared" ca="1" si="417"/>
        <v>0</v>
      </c>
      <c r="J2190" s="8">
        <f t="shared" ca="1" si="418"/>
        <v>101.3099324740202</v>
      </c>
      <c r="K2190" s="9" t="str">
        <f t="shared" ca="1" si="419"/>
        <v>N</v>
      </c>
      <c r="L2190">
        <f ca="1">+_xlfn.IFNA(VLOOKUP(M2190,BespokeWindowsAreas!$B$2:$E$1999,4,FALSE),VLOOKUP(E2190,WindowTypeArea!$B$2:$C$113,2,FALSE))</f>
        <v>3.9975000000000001</v>
      </c>
      <c r="M2190">
        <f t="shared" ca="1" si="420"/>
        <v>4940783</v>
      </c>
    </row>
    <row r="2191" spans="1:13" x14ac:dyDescent="0.25">
      <c r="A2191">
        <f t="shared" ca="1" si="413"/>
        <v>5</v>
      </c>
      <c r="B2191">
        <f t="shared" ca="1" si="414"/>
        <v>472</v>
      </c>
      <c r="C2191" t="str">
        <f t="shared" ca="1" si="421"/>
        <v>'WINDOWS-NCH-A-BDP-M3-03-00'!B471</v>
      </c>
      <c r="D2191" s="6" t="str">
        <f t="shared" ca="1" si="422"/>
        <v>L03-PHA-GEN-C002-03</v>
      </c>
      <c r="E2191" t="str">
        <f t="shared" ca="1" si="423"/>
        <v>Family Type: Curtain Wall_1950w x 3800h, Family: Window External Type 5 - Flush</v>
      </c>
      <c r="F2191" t="str">
        <f t="shared" ca="1" si="424"/>
        <v>Vector(X = -0.212, Y = 0.977, Z = 0.000, Length = 1.000)</v>
      </c>
      <c r="G2191">
        <f t="shared" ca="1" si="415"/>
        <v>-0.2</v>
      </c>
      <c r="H2191">
        <f t="shared" ca="1" si="416"/>
        <v>1</v>
      </c>
      <c r="I2191">
        <f t="shared" ca="1" si="417"/>
        <v>0</v>
      </c>
      <c r="J2191" s="8">
        <f t="shared" ca="1" si="418"/>
        <v>101.3099324740202</v>
      </c>
      <c r="K2191" s="9" t="str">
        <f t="shared" ca="1" si="419"/>
        <v>N</v>
      </c>
      <c r="L2191">
        <f ca="1">+_xlfn.IFNA(VLOOKUP(M2191,BespokeWindowsAreas!$B$2:$E$1999,4,FALSE),VLOOKUP(E2191,WindowTypeArea!$B$2:$C$113,2,FALSE))</f>
        <v>7.9950000000000001</v>
      </c>
      <c r="M2191">
        <f t="shared" ca="1" si="420"/>
        <v>4940784</v>
      </c>
    </row>
    <row r="2192" spans="1:13" x14ac:dyDescent="0.25">
      <c r="A2192">
        <f t="shared" ca="1" si="413"/>
        <v>5</v>
      </c>
      <c r="B2192">
        <f t="shared" ca="1" si="414"/>
        <v>473</v>
      </c>
      <c r="C2192" t="str">
        <f t="shared" ca="1" si="421"/>
        <v>'WINDOWS-NCH-A-BDP-M3-03-00'!B472</v>
      </c>
      <c r="D2192" s="6" t="str">
        <f t="shared" ca="1" si="422"/>
        <v>L03-PHA-GEN-C002-03</v>
      </c>
      <c r="E2192" t="str">
        <f t="shared" ca="1" si="423"/>
        <v>Family Type: Curtain Wall_975w x 3800h, Family: Window External Type 5 - Flush</v>
      </c>
      <c r="F2192" t="str">
        <f t="shared" ca="1" si="424"/>
        <v>Vector(X = -0.212, Y = 0.977, Z = 0.000, Length = 1.000)</v>
      </c>
      <c r="G2192">
        <f t="shared" ca="1" si="415"/>
        <v>-0.2</v>
      </c>
      <c r="H2192">
        <f t="shared" ca="1" si="416"/>
        <v>1</v>
      </c>
      <c r="I2192">
        <f t="shared" ca="1" si="417"/>
        <v>0</v>
      </c>
      <c r="J2192" s="8">
        <f t="shared" ca="1" si="418"/>
        <v>101.3099324740202</v>
      </c>
      <c r="K2192" s="9" t="str">
        <f t="shared" ca="1" si="419"/>
        <v>N</v>
      </c>
      <c r="L2192">
        <f ca="1">+_xlfn.IFNA(VLOOKUP(M2192,BespokeWindowsAreas!$B$2:$E$1999,4,FALSE),VLOOKUP(E2192,WindowTypeArea!$B$2:$C$113,2,FALSE))</f>
        <v>3.9975000000000001</v>
      </c>
      <c r="M2192">
        <f t="shared" ca="1" si="420"/>
        <v>4940785</v>
      </c>
    </row>
    <row r="2193" spans="1:13" x14ac:dyDescent="0.25">
      <c r="A2193">
        <f t="shared" ca="1" si="413"/>
        <v>5</v>
      </c>
      <c r="B2193">
        <f t="shared" ca="1" si="414"/>
        <v>474</v>
      </c>
      <c r="C2193" t="str">
        <f t="shared" ca="1" si="421"/>
        <v>'WINDOWS-NCH-A-BDP-M3-03-00'!B473</v>
      </c>
      <c r="D2193" s="6" t="str">
        <f t="shared" ca="1" si="422"/>
        <v>L03-PHA-GEN-C002-03</v>
      </c>
      <c r="E2193" t="str">
        <f t="shared" ca="1" si="423"/>
        <v>Family Type: Curtain Wall_1950w x 3800h, Family: Window External Type 5 - Flush</v>
      </c>
      <c r="F2193" t="str">
        <f t="shared" ca="1" si="424"/>
        <v>Vector(X = -0.212, Y = 0.977, Z = 0.000, Length = 1.000)</v>
      </c>
      <c r="G2193">
        <f t="shared" ca="1" si="415"/>
        <v>-0.2</v>
      </c>
      <c r="H2193">
        <f t="shared" ca="1" si="416"/>
        <v>1</v>
      </c>
      <c r="I2193">
        <f t="shared" ca="1" si="417"/>
        <v>0</v>
      </c>
      <c r="J2193" s="8">
        <f t="shared" ca="1" si="418"/>
        <v>101.3099324740202</v>
      </c>
      <c r="K2193" s="9" t="str">
        <f t="shared" ca="1" si="419"/>
        <v>N</v>
      </c>
      <c r="L2193">
        <f ca="1">+_xlfn.IFNA(VLOOKUP(M2193,BespokeWindowsAreas!$B$2:$E$1999,4,FALSE),VLOOKUP(E2193,WindowTypeArea!$B$2:$C$113,2,FALSE))</f>
        <v>7.9950000000000001</v>
      </c>
      <c r="M2193">
        <f t="shared" ca="1" si="420"/>
        <v>4940786</v>
      </c>
    </row>
    <row r="2194" spans="1:13" x14ac:dyDescent="0.25">
      <c r="A2194">
        <f t="shared" ca="1" si="413"/>
        <v>5</v>
      </c>
      <c r="B2194">
        <f t="shared" ca="1" si="414"/>
        <v>475</v>
      </c>
      <c r="C2194" t="str">
        <f t="shared" ca="1" si="421"/>
        <v>'WINDOWS-NCH-A-BDP-M3-03-00'!B474</v>
      </c>
      <c r="D2194" s="6" t="str">
        <f t="shared" ca="1" si="422"/>
        <v>L03-PHA-GEN-C002-03</v>
      </c>
      <c r="E2194" t="str">
        <f t="shared" ca="1" si="423"/>
        <v>Family Type: Curtain Wall_975w x 3800h, Family: Window External Type 5 - Flush</v>
      </c>
      <c r="F2194" t="str">
        <f t="shared" ca="1" si="424"/>
        <v>Vector(X = -0.212, Y = 0.977, Z = 0.000, Length = 1.000)</v>
      </c>
      <c r="G2194">
        <f t="shared" ca="1" si="415"/>
        <v>-0.2</v>
      </c>
      <c r="H2194">
        <f t="shared" ca="1" si="416"/>
        <v>1</v>
      </c>
      <c r="I2194">
        <f t="shared" ca="1" si="417"/>
        <v>0</v>
      </c>
      <c r="J2194" s="8">
        <f t="shared" ca="1" si="418"/>
        <v>101.3099324740202</v>
      </c>
      <c r="K2194" s="9" t="str">
        <f t="shared" ca="1" si="419"/>
        <v>N</v>
      </c>
      <c r="L2194">
        <f ca="1">+_xlfn.IFNA(VLOOKUP(M2194,BespokeWindowsAreas!$B$2:$E$1999,4,FALSE),VLOOKUP(E2194,WindowTypeArea!$B$2:$C$113,2,FALSE))</f>
        <v>3.9975000000000001</v>
      </c>
      <c r="M2194">
        <f t="shared" ca="1" si="420"/>
        <v>4940787</v>
      </c>
    </row>
    <row r="2195" spans="1:13" x14ac:dyDescent="0.25">
      <c r="A2195">
        <f t="shared" ca="1" si="413"/>
        <v>5</v>
      </c>
      <c r="B2195">
        <f t="shared" ca="1" si="414"/>
        <v>476</v>
      </c>
      <c r="C2195" t="str">
        <f t="shared" ca="1" si="421"/>
        <v>'WINDOWS-NCH-A-BDP-M3-03-00'!B475</v>
      </c>
      <c r="D2195" s="6" t="str">
        <f t="shared" ca="1" si="422"/>
        <v>L03-PHA-GEN-C002-03</v>
      </c>
      <c r="E2195" t="str">
        <f t="shared" ca="1" si="423"/>
        <v>Family Type: Curtain Wall_975w x 3800h, Family: Window External Type 5 - Flush</v>
      </c>
      <c r="F2195" t="str">
        <f t="shared" ca="1" si="424"/>
        <v>Vector(X = -0.212, Y = 0.977, Z = 0.000, Length = 1.000)</v>
      </c>
      <c r="G2195">
        <f t="shared" ca="1" si="415"/>
        <v>-0.2</v>
      </c>
      <c r="H2195">
        <f t="shared" ca="1" si="416"/>
        <v>1</v>
      </c>
      <c r="I2195">
        <f t="shared" ca="1" si="417"/>
        <v>0</v>
      </c>
      <c r="J2195" s="8">
        <f t="shared" ca="1" si="418"/>
        <v>101.3099324740202</v>
      </c>
      <c r="K2195" s="9" t="str">
        <f t="shared" ca="1" si="419"/>
        <v>N</v>
      </c>
      <c r="L2195">
        <f ca="1">+_xlfn.IFNA(VLOOKUP(M2195,BespokeWindowsAreas!$B$2:$E$1999,4,FALSE),VLOOKUP(E2195,WindowTypeArea!$B$2:$C$113,2,FALSE))</f>
        <v>3.9975000000000001</v>
      </c>
      <c r="M2195">
        <f t="shared" ca="1" si="420"/>
        <v>4940788</v>
      </c>
    </row>
    <row r="2196" spans="1:13" x14ac:dyDescent="0.25">
      <c r="A2196">
        <f t="shared" ref="A2196:A2259" ca="1" si="425">+IF(B2195&lt;=VLOOKUP(MID(C2196,2,26),TABS,2,FALSE),A2195,+A2195+1)</f>
        <v>5</v>
      </c>
      <c r="B2196">
        <f t="shared" ref="B2196:B2259" ca="1" si="426">+IF(B2195&lt;=VLOOKUP(MID(C2196,2,26),TABS,2,FALSE),B2195+1,1)</f>
        <v>477</v>
      </c>
      <c r="C2196" t="str">
        <f t="shared" ca="1" si="421"/>
        <v>'WINDOWS-NCH-A-BDP-M3-03-00'!B476</v>
      </c>
      <c r="D2196" s="6" t="str">
        <f t="shared" ca="1" si="422"/>
        <v>L03-PHA-GEN-C002-03</v>
      </c>
      <c r="E2196" t="str">
        <f t="shared" ca="1" si="423"/>
        <v>Family Type: Curtain Wall_1950w x 3800h, Family: Window External Type 5 - Flush</v>
      </c>
      <c r="F2196" t="str">
        <f t="shared" ca="1" si="424"/>
        <v>Vector(X = -0.212, Y = 0.977, Z = 0.000, Length = 1.000)</v>
      </c>
      <c r="G2196">
        <f t="shared" ca="1" si="415"/>
        <v>-0.2</v>
      </c>
      <c r="H2196">
        <f t="shared" ca="1" si="416"/>
        <v>1</v>
      </c>
      <c r="I2196">
        <f t="shared" ca="1" si="417"/>
        <v>0</v>
      </c>
      <c r="J2196" s="8">
        <f t="shared" ca="1" si="418"/>
        <v>101.3099324740202</v>
      </c>
      <c r="K2196" s="9" t="str">
        <f t="shared" ca="1" si="419"/>
        <v>N</v>
      </c>
      <c r="L2196">
        <f ca="1">+_xlfn.IFNA(VLOOKUP(M2196,BespokeWindowsAreas!$B$2:$E$1999,4,FALSE),VLOOKUP(E2196,WindowTypeArea!$B$2:$C$113,2,FALSE))</f>
        <v>7.9950000000000001</v>
      </c>
      <c r="M2196">
        <f t="shared" ca="1" si="420"/>
        <v>4940789</v>
      </c>
    </row>
    <row r="2197" spans="1:13" x14ac:dyDescent="0.25">
      <c r="A2197">
        <f t="shared" ca="1" si="425"/>
        <v>5</v>
      </c>
      <c r="B2197">
        <f t="shared" ca="1" si="426"/>
        <v>478</v>
      </c>
      <c r="C2197" t="str">
        <f t="shared" ca="1" si="421"/>
        <v>'WINDOWS-NCH-A-BDP-M3-03-00'!B477</v>
      </c>
      <c r="D2197" s="6" t="str">
        <f t="shared" ca="1" si="422"/>
        <v>L03-PHA-GEN-C002-03</v>
      </c>
      <c r="E2197" t="str">
        <f t="shared" ca="1" si="423"/>
        <v>Family Type: Curtain Wall_975w x 3800h, Family: Window External Type 5 - Flush</v>
      </c>
      <c r="F2197" t="str">
        <f t="shared" ca="1" si="424"/>
        <v>Vector(X = -0.212, Y = 0.977, Z = 0.000, Length = 1.000)</v>
      </c>
      <c r="G2197">
        <f t="shared" ca="1" si="415"/>
        <v>-0.2</v>
      </c>
      <c r="H2197">
        <f t="shared" ca="1" si="416"/>
        <v>1</v>
      </c>
      <c r="I2197">
        <f t="shared" ca="1" si="417"/>
        <v>0</v>
      </c>
      <c r="J2197" s="8">
        <f t="shared" ca="1" si="418"/>
        <v>101.3099324740202</v>
      </c>
      <c r="K2197" s="9" t="str">
        <f t="shared" ca="1" si="419"/>
        <v>N</v>
      </c>
      <c r="L2197">
        <f ca="1">+_xlfn.IFNA(VLOOKUP(M2197,BespokeWindowsAreas!$B$2:$E$1999,4,FALSE),VLOOKUP(E2197,WindowTypeArea!$B$2:$C$113,2,FALSE))</f>
        <v>3.9975000000000001</v>
      </c>
      <c r="M2197">
        <f t="shared" ca="1" si="420"/>
        <v>4940790</v>
      </c>
    </row>
    <row r="2198" spans="1:13" x14ac:dyDescent="0.25">
      <c r="A2198">
        <f t="shared" ca="1" si="425"/>
        <v>5</v>
      </c>
      <c r="B2198">
        <f t="shared" ca="1" si="426"/>
        <v>479</v>
      </c>
      <c r="C2198" t="str">
        <f t="shared" ca="1" si="421"/>
        <v>'WINDOWS-NCH-A-BDP-M3-03-00'!B478</v>
      </c>
      <c r="D2198" s="6" t="str">
        <f t="shared" ca="1" si="422"/>
        <v>L03-PHA-GEN-C002-03</v>
      </c>
      <c r="E2198" t="str">
        <f t="shared" ca="1" si="423"/>
        <v>Family Type: Curtain Wall_975w x 3800h, Family: Window External Type 5 - Flush</v>
      </c>
      <c r="F2198" t="str">
        <f t="shared" ca="1" si="424"/>
        <v>Vector(X = -0.212, Y = 0.977, Z = 0.000, Length = 1.000)</v>
      </c>
      <c r="G2198">
        <f t="shared" ref="G2198:G2261" ca="1" si="427">+OFFSET(INDIRECT(C2198),0,2)</f>
        <v>-0.2</v>
      </c>
      <c r="H2198">
        <f t="shared" ref="H2198:H2261" ca="1" si="428">+OFFSET(INDIRECT(C2198),0,3)</f>
        <v>1</v>
      </c>
      <c r="I2198">
        <f t="shared" ref="I2198:I2261" ca="1" si="429">+OFFSET(INDIRECT(C2198),0,4)</f>
        <v>0</v>
      </c>
      <c r="J2198" s="8">
        <f t="shared" ref="J2198:J2261" ca="1" si="430">+DEGREES(ATAN2(G2198,H2198))</f>
        <v>101.3099324740202</v>
      </c>
      <c r="K2198" s="9" t="str">
        <f t="shared" ref="K2198:K2261" ca="1" si="431">VLOOKUP(J2198,$O$20:$P$36,2,-1)</f>
        <v>N</v>
      </c>
      <c r="L2198">
        <f ca="1">+_xlfn.IFNA(VLOOKUP(M2198,BespokeWindowsAreas!$B$2:$E$1999,4,FALSE),VLOOKUP(E2198,WindowTypeArea!$B$2:$C$113,2,FALSE))</f>
        <v>3.9975000000000001</v>
      </c>
      <c r="M2198">
        <f t="shared" ref="M2198:M2261" ca="1" si="432">+OFFSET(INDIRECT(C2198),0,5)</f>
        <v>4940791</v>
      </c>
    </row>
    <row r="2199" spans="1:13" x14ac:dyDescent="0.25">
      <c r="A2199">
        <f t="shared" ca="1" si="425"/>
        <v>5</v>
      </c>
      <c r="B2199">
        <f t="shared" ca="1" si="426"/>
        <v>480</v>
      </c>
      <c r="C2199" t="str">
        <f t="shared" ca="1" si="421"/>
        <v>'WINDOWS-NCH-A-BDP-M3-03-00'!B479</v>
      </c>
      <c r="D2199" s="6" t="str">
        <f t="shared" ca="1" si="422"/>
        <v>L03-PHA-GEN-C002-03</v>
      </c>
      <c r="E2199" t="str">
        <f t="shared" ca="1" si="423"/>
        <v>Family Type: Curtain Wall_975w x 3800h, Family: Window External Type 5 - Flush</v>
      </c>
      <c r="F2199" t="str">
        <f t="shared" ca="1" si="424"/>
        <v>Vector(X = -0.212, Y = 0.977, Z = 0.000, Length = 1.000)</v>
      </c>
      <c r="G2199">
        <f t="shared" ca="1" si="427"/>
        <v>-0.2</v>
      </c>
      <c r="H2199">
        <f t="shared" ca="1" si="428"/>
        <v>1</v>
      </c>
      <c r="I2199">
        <f t="shared" ca="1" si="429"/>
        <v>0</v>
      </c>
      <c r="J2199" s="8">
        <f t="shared" ca="1" si="430"/>
        <v>101.3099324740202</v>
      </c>
      <c r="K2199" s="9" t="str">
        <f t="shared" ca="1" si="431"/>
        <v>N</v>
      </c>
      <c r="L2199">
        <f ca="1">+_xlfn.IFNA(VLOOKUP(M2199,BespokeWindowsAreas!$B$2:$E$1999,4,FALSE),VLOOKUP(E2199,WindowTypeArea!$B$2:$C$113,2,FALSE))</f>
        <v>3.9975000000000001</v>
      </c>
      <c r="M2199">
        <f t="shared" ca="1" si="432"/>
        <v>4940792</v>
      </c>
    </row>
    <row r="2200" spans="1:13" x14ac:dyDescent="0.25">
      <c r="A2200">
        <f t="shared" ca="1" si="425"/>
        <v>5</v>
      </c>
      <c r="B2200">
        <f t="shared" ca="1" si="426"/>
        <v>481</v>
      </c>
      <c r="C2200" t="str">
        <f t="shared" ca="1" si="421"/>
        <v>'WINDOWS-NCH-A-BDP-M3-03-00'!B480</v>
      </c>
      <c r="D2200" s="6" t="str">
        <f t="shared" ca="1" si="422"/>
        <v>L03-PHA-GEN-C002-03</v>
      </c>
      <c r="E2200" t="str">
        <f t="shared" ca="1" si="423"/>
        <v>Family Type: Curtain Wall_1950w x 3800h, Family: Window External Type 5 - Flush</v>
      </c>
      <c r="F2200" t="str">
        <f t="shared" ca="1" si="424"/>
        <v>Vector(X = 0.977, Y = 0.212, Z = 0.000, Length = 1.000)</v>
      </c>
      <c r="G2200">
        <f t="shared" ca="1" si="427"/>
        <v>1</v>
      </c>
      <c r="H2200">
        <f t="shared" ca="1" si="428"/>
        <v>0.2</v>
      </c>
      <c r="I2200">
        <f t="shared" ca="1" si="429"/>
        <v>0</v>
      </c>
      <c r="J2200" s="8">
        <f t="shared" ca="1" si="430"/>
        <v>11.309932474020215</v>
      </c>
      <c r="K2200" s="9" t="str">
        <f t="shared" ca="1" si="431"/>
        <v>E</v>
      </c>
      <c r="L2200">
        <f ca="1">+_xlfn.IFNA(VLOOKUP(M2200,BespokeWindowsAreas!$B$2:$E$1999,4,FALSE),VLOOKUP(E2200,WindowTypeArea!$B$2:$C$113,2,FALSE))</f>
        <v>7.9950000000000001</v>
      </c>
      <c r="M2200">
        <f t="shared" ca="1" si="432"/>
        <v>4948357</v>
      </c>
    </row>
    <row r="2201" spans="1:13" x14ac:dyDescent="0.25">
      <c r="A2201">
        <f t="shared" ca="1" si="425"/>
        <v>5</v>
      </c>
      <c r="B2201">
        <f t="shared" ca="1" si="426"/>
        <v>482</v>
      </c>
      <c r="C2201" t="str">
        <f t="shared" ca="1" si="421"/>
        <v>'WINDOWS-NCH-A-BDP-M3-03-00'!B481</v>
      </c>
      <c r="D2201" s="6" t="str">
        <f t="shared" ca="1" si="422"/>
        <v>L03-PHA-GEN-C002-03</v>
      </c>
      <c r="E2201" t="str">
        <f t="shared" ca="1" si="423"/>
        <v>Family Type: Curtain Wall_1950w x 3800h, Family: Window External Type 5 - Flush</v>
      </c>
      <c r="F2201" t="str">
        <f t="shared" ca="1" si="424"/>
        <v>Vector(X = 0.977, Y = 0.212, Z = 0.000, Length = 1.000)</v>
      </c>
      <c r="G2201">
        <f t="shared" ca="1" si="427"/>
        <v>1</v>
      </c>
      <c r="H2201">
        <f t="shared" ca="1" si="428"/>
        <v>0.2</v>
      </c>
      <c r="I2201">
        <f t="shared" ca="1" si="429"/>
        <v>0</v>
      </c>
      <c r="J2201" s="8">
        <f t="shared" ca="1" si="430"/>
        <v>11.309932474020215</v>
      </c>
      <c r="K2201" s="9" t="str">
        <f t="shared" ca="1" si="431"/>
        <v>E</v>
      </c>
      <c r="L2201">
        <f ca="1">+_xlfn.IFNA(VLOOKUP(M2201,BespokeWindowsAreas!$B$2:$E$1999,4,FALSE),VLOOKUP(E2201,WindowTypeArea!$B$2:$C$113,2,FALSE))</f>
        <v>7.9950000000000001</v>
      </c>
      <c r="M2201">
        <f t="shared" ca="1" si="432"/>
        <v>4948364</v>
      </c>
    </row>
    <row r="2202" spans="1:13" x14ac:dyDescent="0.25">
      <c r="A2202">
        <f t="shared" ca="1" si="425"/>
        <v>5</v>
      </c>
      <c r="B2202">
        <f t="shared" ca="1" si="426"/>
        <v>483</v>
      </c>
      <c r="C2202" t="str">
        <f t="shared" ca="1" si="421"/>
        <v>'WINDOWS-NCH-A-BDP-M3-03-00'!B482</v>
      </c>
      <c r="D2202" s="6" t="str">
        <f t="shared" ca="1" si="422"/>
        <v>L03-PHA-GEN-C002-03</v>
      </c>
      <c r="E2202" t="str">
        <f t="shared" ca="1" si="423"/>
        <v>Family Type: Curtain Wall_1950w x 3800h, Family: Window External Type 5 - Flush</v>
      </c>
      <c r="F2202" t="str">
        <f t="shared" ca="1" si="424"/>
        <v>Vector(X = 0.977, Y = 0.212, Z = 0.000, Length = 1.000)</v>
      </c>
      <c r="G2202">
        <f t="shared" ca="1" si="427"/>
        <v>1</v>
      </c>
      <c r="H2202">
        <f t="shared" ca="1" si="428"/>
        <v>0.2</v>
      </c>
      <c r="I2202">
        <f t="shared" ca="1" si="429"/>
        <v>0</v>
      </c>
      <c r="J2202" s="8">
        <f t="shared" ca="1" si="430"/>
        <v>11.309932474020215</v>
      </c>
      <c r="K2202" s="9" t="str">
        <f t="shared" ca="1" si="431"/>
        <v>E</v>
      </c>
      <c r="L2202">
        <f ca="1">+_xlfn.IFNA(VLOOKUP(M2202,BespokeWindowsAreas!$B$2:$E$1999,4,FALSE),VLOOKUP(E2202,WindowTypeArea!$B$2:$C$113,2,FALSE))</f>
        <v>7.9950000000000001</v>
      </c>
      <c r="M2202">
        <f t="shared" ca="1" si="432"/>
        <v>4948371</v>
      </c>
    </row>
    <row r="2203" spans="1:13" x14ac:dyDescent="0.25">
      <c r="A2203">
        <f t="shared" ca="1" si="425"/>
        <v>5</v>
      </c>
      <c r="B2203">
        <f t="shared" ca="1" si="426"/>
        <v>484</v>
      </c>
      <c r="C2203" t="str">
        <f t="shared" ca="1" si="421"/>
        <v>'WINDOWS-NCH-A-BDP-M3-03-00'!B483</v>
      </c>
      <c r="D2203" s="6" t="str">
        <f t="shared" ca="1" si="422"/>
        <v>L03-PHA-GEN-C002-03</v>
      </c>
      <c r="E2203" t="str">
        <f t="shared" ca="1" si="423"/>
        <v>Family Type: Curtain Wall_1950w x 3800h, Family: Window External Type 5 - Flush</v>
      </c>
      <c r="F2203" t="str">
        <f t="shared" ca="1" si="424"/>
        <v>Vector(X = 0.977, Y = 0.212, Z = 0.000, Length = 1.000)</v>
      </c>
      <c r="G2203">
        <f t="shared" ca="1" si="427"/>
        <v>1</v>
      </c>
      <c r="H2203">
        <f t="shared" ca="1" si="428"/>
        <v>0.2</v>
      </c>
      <c r="I2203">
        <f t="shared" ca="1" si="429"/>
        <v>0</v>
      </c>
      <c r="J2203" s="8">
        <f t="shared" ca="1" si="430"/>
        <v>11.309932474020215</v>
      </c>
      <c r="K2203" s="9" t="str">
        <f t="shared" ca="1" si="431"/>
        <v>E</v>
      </c>
      <c r="L2203">
        <f ca="1">+_xlfn.IFNA(VLOOKUP(M2203,BespokeWindowsAreas!$B$2:$E$1999,4,FALSE),VLOOKUP(E2203,WindowTypeArea!$B$2:$C$113,2,FALSE))</f>
        <v>7.9950000000000001</v>
      </c>
      <c r="M2203">
        <f t="shared" ca="1" si="432"/>
        <v>4948378</v>
      </c>
    </row>
    <row r="2204" spans="1:13" x14ac:dyDescent="0.25">
      <c r="A2204">
        <f t="shared" ca="1" si="425"/>
        <v>5</v>
      </c>
      <c r="B2204">
        <f t="shared" ca="1" si="426"/>
        <v>485</v>
      </c>
      <c r="C2204" t="str">
        <f t="shared" ca="1" si="421"/>
        <v>'WINDOWS-NCH-A-BDP-M3-03-00'!B484</v>
      </c>
      <c r="D2204" s="6" t="str">
        <f t="shared" ca="1" si="422"/>
        <v>L03-PHA-GEN-C002-03</v>
      </c>
      <c r="E2204" t="str">
        <f t="shared" ca="1" si="423"/>
        <v>Family Type: Curtain Wall_1950w x 3800h, Family: Window External Type 5 - Flush</v>
      </c>
      <c r="F2204" t="str">
        <f t="shared" ca="1" si="424"/>
        <v>Vector(X = 0.977, Y = 0.212, Z = 0.000, Length = 1.000)</v>
      </c>
      <c r="G2204">
        <f t="shared" ca="1" si="427"/>
        <v>1</v>
      </c>
      <c r="H2204">
        <f t="shared" ca="1" si="428"/>
        <v>0.2</v>
      </c>
      <c r="I2204">
        <f t="shared" ca="1" si="429"/>
        <v>0</v>
      </c>
      <c r="J2204" s="8">
        <f t="shared" ca="1" si="430"/>
        <v>11.309932474020215</v>
      </c>
      <c r="K2204" s="9" t="str">
        <f t="shared" ca="1" si="431"/>
        <v>E</v>
      </c>
      <c r="L2204">
        <f ca="1">+_xlfn.IFNA(VLOOKUP(M2204,BespokeWindowsAreas!$B$2:$E$1999,4,FALSE),VLOOKUP(E2204,WindowTypeArea!$B$2:$C$113,2,FALSE))</f>
        <v>7.9950000000000001</v>
      </c>
      <c r="M2204">
        <f t="shared" ca="1" si="432"/>
        <v>4948385</v>
      </c>
    </row>
    <row r="2205" spans="1:13" x14ac:dyDescent="0.25">
      <c r="A2205">
        <f t="shared" ca="1" si="425"/>
        <v>5</v>
      </c>
      <c r="B2205">
        <f t="shared" ca="1" si="426"/>
        <v>486</v>
      </c>
      <c r="C2205" t="str">
        <f t="shared" ca="1" si="421"/>
        <v>'WINDOWS-NCH-A-BDP-M3-03-00'!B485</v>
      </c>
      <c r="D2205" s="6" t="str">
        <f t="shared" ca="1" si="422"/>
        <v>L03-PHA-GEN-C002-03</v>
      </c>
      <c r="E2205" t="str">
        <f t="shared" ca="1" si="423"/>
        <v>Family Type: Curtain Wall_1950w x 3800h, Family: Window External Type 5 - Flush</v>
      </c>
      <c r="F2205" t="str">
        <f t="shared" ca="1" si="424"/>
        <v>Vector(X = 0.977, Y = 0.212, Z = 0.000, Length = 1.000)</v>
      </c>
      <c r="G2205">
        <f t="shared" ca="1" si="427"/>
        <v>1</v>
      </c>
      <c r="H2205">
        <f t="shared" ca="1" si="428"/>
        <v>0.2</v>
      </c>
      <c r="I2205">
        <f t="shared" ca="1" si="429"/>
        <v>0</v>
      </c>
      <c r="J2205" s="8">
        <f t="shared" ca="1" si="430"/>
        <v>11.309932474020215</v>
      </c>
      <c r="K2205" s="9" t="str">
        <f t="shared" ca="1" si="431"/>
        <v>E</v>
      </c>
      <c r="L2205">
        <f ca="1">+_xlfn.IFNA(VLOOKUP(M2205,BespokeWindowsAreas!$B$2:$E$1999,4,FALSE),VLOOKUP(E2205,WindowTypeArea!$B$2:$C$113,2,FALSE))</f>
        <v>7.9950000000000001</v>
      </c>
      <c r="M2205">
        <f t="shared" ca="1" si="432"/>
        <v>4948392</v>
      </c>
    </row>
    <row r="2206" spans="1:13" x14ac:dyDescent="0.25">
      <c r="A2206">
        <f t="shared" ca="1" si="425"/>
        <v>5</v>
      </c>
      <c r="B2206">
        <f t="shared" ca="1" si="426"/>
        <v>487</v>
      </c>
      <c r="C2206" t="str">
        <f t="shared" ca="1" si="421"/>
        <v>'WINDOWS-NCH-A-BDP-M3-03-00'!B486</v>
      </c>
      <c r="D2206" s="6" t="str">
        <f t="shared" ca="1" si="422"/>
        <v>L03-PHA-GEN-C002-03</v>
      </c>
      <c r="E2206" t="str">
        <f t="shared" ca="1" si="423"/>
        <v>Family Type: Curtain Wall_1950w x 3800h, Family: Window External Type 5 - Flush</v>
      </c>
      <c r="F2206" t="str">
        <f t="shared" ca="1" si="424"/>
        <v>Vector(X = 0.977, Y = 0.212, Z = 0.000, Length = 1.000)</v>
      </c>
      <c r="G2206">
        <f t="shared" ca="1" si="427"/>
        <v>1</v>
      </c>
      <c r="H2206">
        <f t="shared" ca="1" si="428"/>
        <v>0.2</v>
      </c>
      <c r="I2206">
        <f t="shared" ca="1" si="429"/>
        <v>0</v>
      </c>
      <c r="J2206" s="8">
        <f t="shared" ca="1" si="430"/>
        <v>11.309932474020215</v>
      </c>
      <c r="K2206" s="9" t="str">
        <f t="shared" ca="1" si="431"/>
        <v>E</v>
      </c>
      <c r="L2206">
        <f ca="1">+_xlfn.IFNA(VLOOKUP(M2206,BespokeWindowsAreas!$B$2:$E$1999,4,FALSE),VLOOKUP(E2206,WindowTypeArea!$B$2:$C$113,2,FALSE))</f>
        <v>7.9950000000000001</v>
      </c>
      <c r="M2206">
        <f t="shared" ca="1" si="432"/>
        <v>4948399</v>
      </c>
    </row>
    <row r="2207" spans="1:13" x14ac:dyDescent="0.25">
      <c r="A2207">
        <f t="shared" ca="1" si="425"/>
        <v>5</v>
      </c>
      <c r="B2207">
        <f t="shared" ca="1" si="426"/>
        <v>488</v>
      </c>
      <c r="C2207" t="str">
        <f t="shared" ca="1" si="421"/>
        <v>'WINDOWS-NCH-A-BDP-M3-03-00'!B487</v>
      </c>
      <c r="D2207" s="6" t="str">
        <f t="shared" ca="1" si="422"/>
        <v>L03-PHA-GEN-C002-03</v>
      </c>
      <c r="E2207" t="str">
        <f t="shared" ca="1" si="423"/>
        <v>Family Type: Curtain Wall_Bespoke 1 - 1979.5 x 3800, Family: Window External Type 5 - Flush Instance Width</v>
      </c>
      <c r="F2207" t="str">
        <f t="shared" ca="1" si="424"/>
        <v>Vector(X = 0.977, Y = 0.212, Z = 0.000, Length = 1.000)</v>
      </c>
      <c r="G2207">
        <f t="shared" ca="1" si="427"/>
        <v>1</v>
      </c>
      <c r="H2207">
        <f t="shared" ca="1" si="428"/>
        <v>0.2</v>
      </c>
      <c r="I2207">
        <f t="shared" ca="1" si="429"/>
        <v>0</v>
      </c>
      <c r="J2207" s="8">
        <f t="shared" ca="1" si="430"/>
        <v>11.309932474020215</v>
      </c>
      <c r="K2207" s="9" t="str">
        <f t="shared" ca="1" si="431"/>
        <v>E</v>
      </c>
      <c r="L2207">
        <f ca="1">+_xlfn.IFNA(VLOOKUP(M2207,BespokeWindowsAreas!$B$2:$E$1999,4,FALSE),VLOOKUP(E2207,WindowTypeArea!$B$2:$C$113,2,FALSE))</f>
        <v>7.4619999999999997</v>
      </c>
      <c r="M2207">
        <f t="shared" ca="1" si="432"/>
        <v>4948738</v>
      </c>
    </row>
    <row r="2208" spans="1:13" x14ac:dyDescent="0.25">
      <c r="A2208">
        <f t="shared" ca="1" si="425"/>
        <v>5</v>
      </c>
      <c r="B2208">
        <f t="shared" ca="1" si="426"/>
        <v>489</v>
      </c>
      <c r="C2208" t="str">
        <f t="shared" ca="1" si="421"/>
        <v>'WINDOWS-NCH-A-BDP-M3-03-00'!B488</v>
      </c>
      <c r="D2208" s="6" t="str">
        <f t="shared" ca="1" si="422"/>
        <v>L03-PHA-GEN-C002-03</v>
      </c>
      <c r="E2208" t="str">
        <f t="shared" ca="1" si="423"/>
        <v>Family Type: Curtain Wall_1275w x 4100h, Family: Window External Type 5 - Flush</v>
      </c>
      <c r="F2208" t="str">
        <f t="shared" ca="1" si="424"/>
        <v>Vector(X = 0.977, Y = 0.212, Z = 0.000, Length = 1.000)</v>
      </c>
      <c r="G2208">
        <f t="shared" ca="1" si="427"/>
        <v>1</v>
      </c>
      <c r="H2208">
        <f t="shared" ca="1" si="428"/>
        <v>0.2</v>
      </c>
      <c r="I2208">
        <f t="shared" ca="1" si="429"/>
        <v>0</v>
      </c>
      <c r="J2208" s="8">
        <f t="shared" ca="1" si="430"/>
        <v>11.309932474020215</v>
      </c>
      <c r="K2208" s="9" t="str">
        <f t="shared" ca="1" si="431"/>
        <v>E</v>
      </c>
      <c r="L2208">
        <f ca="1">+_xlfn.IFNA(VLOOKUP(M2208,BespokeWindowsAreas!$B$2:$E$1999,4,FALSE),VLOOKUP(E2208,WindowTypeArea!$B$2:$C$113,2,FALSE))</f>
        <v>5.2275</v>
      </c>
      <c r="M2208">
        <f t="shared" ca="1" si="432"/>
        <v>5079879</v>
      </c>
    </row>
    <row r="2209" spans="1:13" x14ac:dyDescent="0.25">
      <c r="A2209">
        <f t="shared" ca="1" si="425"/>
        <v>5</v>
      </c>
      <c r="B2209">
        <f t="shared" ca="1" si="426"/>
        <v>490</v>
      </c>
      <c r="C2209" t="str">
        <f t="shared" ca="1" si="421"/>
        <v>'WINDOWS-NCH-A-BDP-M3-03-00'!B489</v>
      </c>
      <c r="D2209" s="6" t="str">
        <f t="shared" ca="1" si="422"/>
        <v>L03-PHA-GEN-C002-03</v>
      </c>
      <c r="E2209" t="str">
        <f t="shared" ca="1" si="423"/>
        <v>Family Type: 975w x 3050h, Family: Window External Type 1 - Recessed</v>
      </c>
      <c r="F2209" t="str">
        <f t="shared" ca="1" si="424"/>
        <v>Vector(X = 0.212, Y = -0.977, Z = 0.000, Length = 1.000)</v>
      </c>
      <c r="G2209">
        <f t="shared" ca="1" si="427"/>
        <v>0.2</v>
      </c>
      <c r="H2209">
        <f t="shared" ca="1" si="428"/>
        <v>-1</v>
      </c>
      <c r="I2209">
        <f t="shared" ca="1" si="429"/>
        <v>0</v>
      </c>
      <c r="J2209" s="8">
        <f t="shared" ca="1" si="430"/>
        <v>-78.690067525979785</v>
      </c>
      <c r="K2209" s="9" t="str">
        <f t="shared" ca="1" si="431"/>
        <v>S</v>
      </c>
      <c r="L2209">
        <f ca="1">+_xlfn.IFNA(VLOOKUP(M2209,BespokeWindowsAreas!$B$2:$E$1999,4,FALSE),VLOOKUP(E2209,WindowTypeArea!$B$2:$C$113,2,FALSE))</f>
        <v>2.9737499999999999</v>
      </c>
      <c r="M2209">
        <f t="shared" ca="1" si="432"/>
        <v>5711799</v>
      </c>
    </row>
    <row r="2210" spans="1:13" x14ac:dyDescent="0.25">
      <c r="A2210">
        <f t="shared" ca="1" si="425"/>
        <v>5</v>
      </c>
      <c r="B2210">
        <f t="shared" ca="1" si="426"/>
        <v>491</v>
      </c>
      <c r="C2210" t="str">
        <f t="shared" ca="1" si="421"/>
        <v>'WINDOWS-NCH-A-BDP-M3-03-00'!B490</v>
      </c>
      <c r="D2210" s="6" t="str">
        <f t="shared" ca="1" si="422"/>
        <v>L03-PHA-GEN-C002-03</v>
      </c>
      <c r="E2210" t="str">
        <f t="shared" ca="1" si="423"/>
        <v>Family Type: 975w x 3050h, Family: Window External Type 1 - Recessed</v>
      </c>
      <c r="F2210" t="str">
        <f t="shared" ca="1" si="424"/>
        <v>Vector(X = 0.212, Y = -0.977, Z = 0.000, Length = 1.000)</v>
      </c>
      <c r="G2210">
        <f t="shared" ca="1" si="427"/>
        <v>0.2</v>
      </c>
      <c r="H2210">
        <f t="shared" ca="1" si="428"/>
        <v>-1</v>
      </c>
      <c r="I2210">
        <f t="shared" ca="1" si="429"/>
        <v>0</v>
      </c>
      <c r="J2210" s="8">
        <f t="shared" ca="1" si="430"/>
        <v>-78.690067525979785</v>
      </c>
      <c r="K2210" s="9" t="str">
        <f t="shared" ca="1" si="431"/>
        <v>S</v>
      </c>
      <c r="L2210">
        <f ca="1">+_xlfn.IFNA(VLOOKUP(M2210,BespokeWindowsAreas!$B$2:$E$1999,4,FALSE),VLOOKUP(E2210,WindowTypeArea!$B$2:$C$113,2,FALSE))</f>
        <v>2.9737499999999999</v>
      </c>
      <c r="M2210">
        <f t="shared" ca="1" si="432"/>
        <v>5711857</v>
      </c>
    </row>
    <row r="2211" spans="1:13" x14ac:dyDescent="0.25">
      <c r="A2211">
        <f t="shared" ca="1" si="425"/>
        <v>5</v>
      </c>
      <c r="B2211">
        <f t="shared" ca="1" si="426"/>
        <v>492</v>
      </c>
      <c r="C2211" t="str">
        <f t="shared" ca="1" si="421"/>
        <v>'WINDOWS-NCH-A-BDP-M3-03-00'!B491</v>
      </c>
      <c r="D2211" s="6" t="str">
        <f t="shared" ca="1" si="422"/>
        <v>L03-PHA-CIR-C001-01</v>
      </c>
      <c r="E2211" t="str">
        <f t="shared" ca="1" si="423"/>
        <v>L03-PHA-CIR-C001-01</v>
      </c>
      <c r="F2211">
        <f t="shared" ca="1" si="424"/>
        <v>1438078</v>
      </c>
      <c r="G2211">
        <f t="shared" ca="1" si="427"/>
        <v>0</v>
      </c>
      <c r="H2211">
        <f t="shared" ca="1" si="428"/>
        <v>0</v>
      </c>
      <c r="I2211">
        <f t="shared" ca="1" si="429"/>
        <v>0</v>
      </c>
      <c r="J2211" s="8" t="e">
        <f t="shared" ca="1" si="430"/>
        <v>#DIV/0!</v>
      </c>
      <c r="K2211" s="9" t="e">
        <f t="shared" ca="1" si="431"/>
        <v>#DIV/0!</v>
      </c>
      <c r="L2211" t="e">
        <f ca="1">+_xlfn.IFNA(VLOOKUP(M2211,BespokeWindowsAreas!$B$2:$E$1999,4,FALSE),VLOOKUP(E2211,WindowTypeArea!$B$2:$C$113,2,FALSE))</f>
        <v>#N/A</v>
      </c>
      <c r="M2211">
        <f t="shared" ca="1" si="432"/>
        <v>0</v>
      </c>
    </row>
    <row r="2212" spans="1:13" x14ac:dyDescent="0.25">
      <c r="A2212">
        <f t="shared" ca="1" si="425"/>
        <v>5</v>
      </c>
      <c r="B2212">
        <f t="shared" ca="1" si="426"/>
        <v>493</v>
      </c>
      <c r="C2212" t="str">
        <f t="shared" ca="1" si="421"/>
        <v>'WINDOWS-NCH-A-BDP-M3-03-00'!B492</v>
      </c>
      <c r="D2212" s="6" t="str">
        <f t="shared" ca="1" si="422"/>
        <v>L03-PHA-CIR-C001-01</v>
      </c>
      <c r="E2212" t="str">
        <f t="shared" ca="1" si="423"/>
        <v>Family Type: Curtain Wall_Bespoke 1 - 1979.5 x 3800, Family: Window External Type 5 - Flush Instance Width</v>
      </c>
      <c r="F2212" t="str">
        <f t="shared" ca="1" si="424"/>
        <v>Vector(X = -0.212, Y = 0.977, Z = 0.000, Length = 1.000)</v>
      </c>
      <c r="G2212">
        <f t="shared" ca="1" si="427"/>
        <v>-0.2</v>
      </c>
      <c r="H2212">
        <f t="shared" ca="1" si="428"/>
        <v>1</v>
      </c>
      <c r="I2212">
        <f t="shared" ca="1" si="429"/>
        <v>0</v>
      </c>
      <c r="J2212" s="8">
        <f t="shared" ca="1" si="430"/>
        <v>101.3099324740202</v>
      </c>
      <c r="K2212" s="9" t="str">
        <f t="shared" ca="1" si="431"/>
        <v>N</v>
      </c>
      <c r="L2212">
        <f ca="1">+_xlfn.IFNA(VLOOKUP(M2212,BespokeWindowsAreas!$B$2:$E$1999,4,FALSE),VLOOKUP(E2212,WindowTypeArea!$B$2:$C$113,2,FALSE))</f>
        <v>5.1044999999999998</v>
      </c>
      <c r="M2212">
        <f t="shared" ca="1" si="432"/>
        <v>5280095</v>
      </c>
    </row>
    <row r="2213" spans="1:13" x14ac:dyDescent="0.25">
      <c r="A2213">
        <f t="shared" ca="1" si="425"/>
        <v>5</v>
      </c>
      <c r="B2213">
        <f t="shared" ca="1" si="426"/>
        <v>494</v>
      </c>
      <c r="C2213" t="str">
        <f t="shared" ca="1" si="421"/>
        <v>'WINDOWS-NCH-A-BDP-M3-03-00'!B493</v>
      </c>
      <c r="D2213" s="6" t="str">
        <f t="shared" ca="1" si="422"/>
        <v>L03-PHA-CIR-C001-01</v>
      </c>
      <c r="E2213" t="str">
        <f t="shared" ca="1" si="423"/>
        <v>Family Type: Curtain Wall_Bespoke 1 - 1979.5 x 3800, Family: Window External Type 5 - Flush Instance Width</v>
      </c>
      <c r="F2213" t="str">
        <f t="shared" ca="1" si="424"/>
        <v>Vector(X = -0.212, Y = 0.977, Z = 0.000, Length = 1.000)</v>
      </c>
      <c r="G2213">
        <f t="shared" ca="1" si="427"/>
        <v>-0.2</v>
      </c>
      <c r="H2213">
        <f t="shared" ca="1" si="428"/>
        <v>1</v>
      </c>
      <c r="I2213">
        <f t="shared" ca="1" si="429"/>
        <v>0</v>
      </c>
      <c r="J2213" s="8">
        <f t="shared" ca="1" si="430"/>
        <v>101.3099324740202</v>
      </c>
      <c r="K2213" s="9" t="str">
        <f t="shared" ca="1" si="431"/>
        <v>N</v>
      </c>
      <c r="L2213">
        <f ca="1">+_xlfn.IFNA(VLOOKUP(M2213,BespokeWindowsAreas!$B$2:$E$1999,4,FALSE),VLOOKUP(E2213,WindowTypeArea!$B$2:$C$113,2,FALSE))</f>
        <v>5.1044999999999998</v>
      </c>
      <c r="M2213">
        <f t="shared" ca="1" si="432"/>
        <v>5280136</v>
      </c>
    </row>
    <row r="2214" spans="1:13" x14ac:dyDescent="0.25">
      <c r="A2214">
        <f t="shared" ca="1" si="425"/>
        <v>5</v>
      </c>
      <c r="B2214">
        <f t="shared" ca="1" si="426"/>
        <v>495</v>
      </c>
      <c r="C2214" t="str">
        <f t="shared" ca="1" si="421"/>
        <v>'WINDOWS-NCH-A-BDP-M3-03-00'!B494</v>
      </c>
      <c r="D2214" s="6" t="str">
        <f t="shared" ca="1" si="422"/>
        <v>L03-PHA-CIR-C001-01</v>
      </c>
      <c r="E2214" t="str">
        <f t="shared" ca="1" si="423"/>
        <v>Family Type: Curtain Wall_Bespoke 1 - 1979.5 x 3800, Family: Window External Type 5 - Flush Instance Width</v>
      </c>
      <c r="F2214" t="str">
        <f t="shared" ca="1" si="424"/>
        <v>Vector(X = -0.212, Y = 0.977, Z = 0.000, Length = 1.000)</v>
      </c>
      <c r="G2214">
        <f t="shared" ca="1" si="427"/>
        <v>-0.2</v>
      </c>
      <c r="H2214">
        <f t="shared" ca="1" si="428"/>
        <v>1</v>
      </c>
      <c r="I2214">
        <f t="shared" ca="1" si="429"/>
        <v>0</v>
      </c>
      <c r="J2214" s="8">
        <f t="shared" ca="1" si="430"/>
        <v>101.3099324740202</v>
      </c>
      <c r="K2214" s="9" t="str">
        <f t="shared" ca="1" si="431"/>
        <v>N</v>
      </c>
      <c r="L2214">
        <f ca="1">+_xlfn.IFNA(VLOOKUP(M2214,BespokeWindowsAreas!$B$2:$E$1999,4,FALSE),VLOOKUP(E2214,WindowTypeArea!$B$2:$C$113,2,FALSE))</f>
        <v>1.2450000000000001</v>
      </c>
      <c r="M2214">
        <f t="shared" ca="1" si="432"/>
        <v>5282406</v>
      </c>
    </row>
    <row r="2215" spans="1:13" x14ac:dyDescent="0.25">
      <c r="A2215">
        <f t="shared" ca="1" si="425"/>
        <v>5</v>
      </c>
      <c r="B2215">
        <f t="shared" ca="1" si="426"/>
        <v>496</v>
      </c>
      <c r="C2215" t="str">
        <f t="shared" ca="1" si="421"/>
        <v>'WINDOWS-NCH-A-BDP-M3-03-00'!B495</v>
      </c>
      <c r="D2215" s="6" t="str">
        <f t="shared" ca="1" si="422"/>
        <v>L03-PHA-CIR-C001-01</v>
      </c>
      <c r="E2215" t="str">
        <f t="shared" ca="1" si="423"/>
        <v>Family Type: Curtain Wall_Bespoke 1 - 1979.5 x 3800, Family: Window External Type 5 - Flush Instance Width</v>
      </c>
      <c r="F2215" t="str">
        <f t="shared" ca="1" si="424"/>
        <v>Vector(X = -0.212, Y = 0.977, Z = 0.000, Length = 1.000)</v>
      </c>
      <c r="G2215">
        <f t="shared" ca="1" si="427"/>
        <v>-0.2</v>
      </c>
      <c r="H2215">
        <f t="shared" ca="1" si="428"/>
        <v>1</v>
      </c>
      <c r="I2215">
        <f t="shared" ca="1" si="429"/>
        <v>0</v>
      </c>
      <c r="J2215" s="8">
        <f t="shared" ca="1" si="430"/>
        <v>101.3099324740202</v>
      </c>
      <c r="K2215" s="9" t="str">
        <f t="shared" ca="1" si="431"/>
        <v>N</v>
      </c>
      <c r="L2215">
        <f ca="1">+_xlfn.IFNA(VLOOKUP(M2215,BespokeWindowsAreas!$B$2:$E$1999,4,FALSE),VLOOKUP(E2215,WindowTypeArea!$B$2:$C$113,2,FALSE))</f>
        <v>1.2450000000000001</v>
      </c>
      <c r="M2215">
        <f t="shared" ca="1" si="432"/>
        <v>5282407</v>
      </c>
    </row>
    <row r="2216" spans="1:13" x14ac:dyDescent="0.25">
      <c r="A2216">
        <f t="shared" ca="1" si="425"/>
        <v>5</v>
      </c>
      <c r="B2216">
        <f t="shared" ca="1" si="426"/>
        <v>497</v>
      </c>
      <c r="C2216" t="str">
        <f t="shared" ca="1" si="421"/>
        <v>'WINDOWS-NCH-A-BDP-M3-03-00'!B496</v>
      </c>
      <c r="D2216" s="6" t="str">
        <f t="shared" ca="1" si="422"/>
        <v>L03-PHA-CIR-C001-04</v>
      </c>
      <c r="E2216" t="str">
        <f t="shared" ca="1" si="423"/>
        <v>L03-PHA-CIR-C001-04</v>
      </c>
      <c r="F2216">
        <f t="shared" ca="1" si="424"/>
        <v>1438086</v>
      </c>
      <c r="G2216">
        <f t="shared" ca="1" si="427"/>
        <v>0</v>
      </c>
      <c r="H2216">
        <f t="shared" ca="1" si="428"/>
        <v>0</v>
      </c>
      <c r="I2216">
        <f t="shared" ca="1" si="429"/>
        <v>0</v>
      </c>
      <c r="J2216" s="8" t="e">
        <f t="shared" ca="1" si="430"/>
        <v>#DIV/0!</v>
      </c>
      <c r="K2216" s="9" t="e">
        <f t="shared" ca="1" si="431"/>
        <v>#DIV/0!</v>
      </c>
      <c r="L2216" t="e">
        <f ca="1">+_xlfn.IFNA(VLOOKUP(M2216,BespokeWindowsAreas!$B$2:$E$1999,4,FALSE),VLOOKUP(E2216,WindowTypeArea!$B$2:$C$113,2,FALSE))</f>
        <v>#N/A</v>
      </c>
      <c r="M2216">
        <f t="shared" ca="1" si="432"/>
        <v>0</v>
      </c>
    </row>
    <row r="2217" spans="1:13" x14ac:dyDescent="0.25">
      <c r="A2217">
        <f t="shared" ca="1" si="425"/>
        <v>5</v>
      </c>
      <c r="B2217">
        <f t="shared" ca="1" si="426"/>
        <v>498</v>
      </c>
      <c r="C2217" t="str">
        <f t="shared" ca="1" si="421"/>
        <v>'WINDOWS-NCH-A-BDP-M3-03-00'!B497</v>
      </c>
      <c r="D2217" s="6" t="str">
        <f t="shared" ca="1" si="422"/>
        <v>L03-PHA-CIR-C001-04</v>
      </c>
      <c r="E2217" t="str">
        <f t="shared" ca="1" si="423"/>
        <v>Family Type: Curtain Wall_1950 x 4100, Family: Panel External Type 1 - Flush</v>
      </c>
      <c r="F2217" t="str">
        <f t="shared" ca="1" si="424"/>
        <v>Vector(X = -0.212, Y = 0.977, Z = 0.000, Length = 1.000)</v>
      </c>
      <c r="G2217">
        <f t="shared" ca="1" si="427"/>
        <v>-0.2</v>
      </c>
      <c r="H2217">
        <f t="shared" ca="1" si="428"/>
        <v>1</v>
      </c>
      <c r="I2217">
        <f t="shared" ca="1" si="429"/>
        <v>0</v>
      </c>
      <c r="J2217" s="8">
        <f t="shared" ca="1" si="430"/>
        <v>101.3099324740202</v>
      </c>
      <c r="K2217" s="9" t="str">
        <f t="shared" ca="1" si="431"/>
        <v>N</v>
      </c>
      <c r="L2217">
        <f ca="1">+_xlfn.IFNA(VLOOKUP(M2217,BespokeWindowsAreas!$B$2:$E$1999,4,FALSE),VLOOKUP(E2217,WindowTypeArea!$B$2:$C$113,2,FALSE))</f>
        <v>8.7125000000000004</v>
      </c>
      <c r="M2217">
        <f t="shared" ca="1" si="432"/>
        <v>5763362</v>
      </c>
    </row>
    <row r="2218" spans="1:13" x14ac:dyDescent="0.25">
      <c r="A2218">
        <f t="shared" ca="1" si="425"/>
        <v>5</v>
      </c>
      <c r="B2218">
        <f t="shared" ca="1" si="426"/>
        <v>499</v>
      </c>
      <c r="C2218" t="str">
        <f t="shared" ca="1" si="421"/>
        <v>'WINDOWS-NCH-A-BDP-M3-03-00'!B498</v>
      </c>
      <c r="D2218" s="6" t="str">
        <f t="shared" ca="1" si="422"/>
        <v>L03-CIR-CIR-C003-06</v>
      </c>
      <c r="E2218" t="str">
        <f t="shared" ca="1" si="423"/>
        <v>L03-CIR-CIR-C003-06</v>
      </c>
      <c r="F2218">
        <f t="shared" ca="1" si="424"/>
        <v>1499517</v>
      </c>
      <c r="G2218">
        <f t="shared" ca="1" si="427"/>
        <v>0</v>
      </c>
      <c r="H2218">
        <f t="shared" ca="1" si="428"/>
        <v>0</v>
      </c>
      <c r="I2218">
        <f t="shared" ca="1" si="429"/>
        <v>0</v>
      </c>
      <c r="J2218" s="8" t="e">
        <f t="shared" ca="1" si="430"/>
        <v>#DIV/0!</v>
      </c>
      <c r="K2218" s="9" t="e">
        <f t="shared" ca="1" si="431"/>
        <v>#DIV/0!</v>
      </c>
      <c r="L2218" t="e">
        <f ca="1">+_xlfn.IFNA(VLOOKUP(M2218,BespokeWindowsAreas!$B$2:$E$1999,4,FALSE),VLOOKUP(E2218,WindowTypeArea!$B$2:$C$113,2,FALSE))</f>
        <v>#N/A</v>
      </c>
      <c r="M2218">
        <f t="shared" ca="1" si="432"/>
        <v>0</v>
      </c>
    </row>
    <row r="2219" spans="1:13" x14ac:dyDescent="0.25">
      <c r="A2219">
        <f t="shared" ca="1" si="425"/>
        <v>5</v>
      </c>
      <c r="B2219">
        <f t="shared" ca="1" si="426"/>
        <v>500</v>
      </c>
      <c r="C2219" t="str">
        <f t="shared" ref="C2219:C2282" ca="1" si="433">+"'"&amp;INDIRECT("a"&amp;A2218)&amp;"'!B"&amp;B2218</f>
        <v>'WINDOWS-NCH-A-BDP-M3-03-00'!B499</v>
      </c>
      <c r="D2219" s="6" t="str">
        <f t="shared" ref="D2219:D2282" ca="1" si="434">+IF(IFERROR(FIND("Family",E2219)&gt;0,FALSE),D2218,E2219)</f>
        <v>L03-CIR-CIR-C003-06</v>
      </c>
      <c r="E2219" t="str">
        <f t="shared" ref="E2219:E2282" ca="1" si="435">+OFFSET(INDIRECT(C2219),0,0)</f>
        <v>Family Type: Curtain Wall_975w x 3050h, Family: Panel External Type 1 - Flush</v>
      </c>
      <c r="F2219" t="str">
        <f t="shared" ref="F2219:F2282" ca="1" si="436">+OFFSET(INDIRECT(C2219),0,1)</f>
        <v>Vector(X = 0.872, Y = 0.489, Z = 0.000, Length = 1.000)</v>
      </c>
      <c r="G2219">
        <f t="shared" ca="1" si="427"/>
        <v>0.9</v>
      </c>
      <c r="H2219">
        <f t="shared" ca="1" si="428"/>
        <v>0.5</v>
      </c>
      <c r="I2219">
        <f t="shared" ca="1" si="429"/>
        <v>0</v>
      </c>
      <c r="J2219" s="8">
        <f t="shared" ca="1" si="430"/>
        <v>29.054604099077146</v>
      </c>
      <c r="K2219" s="9" t="str">
        <f t="shared" ca="1" si="431"/>
        <v>E</v>
      </c>
      <c r="L2219">
        <f ca="1">+_xlfn.IFNA(VLOOKUP(M2219,BespokeWindowsAreas!$B$2:$E$1999,4,FALSE),VLOOKUP(E2219,WindowTypeArea!$B$2:$C$113,2,FALSE))</f>
        <v>2.9737499999999999</v>
      </c>
      <c r="M2219">
        <f t="shared" ca="1" si="432"/>
        <v>4942121</v>
      </c>
    </row>
    <row r="2220" spans="1:13" x14ac:dyDescent="0.25">
      <c r="A2220">
        <f t="shared" ca="1" si="425"/>
        <v>5</v>
      </c>
      <c r="B2220">
        <f t="shared" ca="1" si="426"/>
        <v>501</v>
      </c>
      <c r="C2220" t="str">
        <f t="shared" ca="1" si="433"/>
        <v>'WINDOWS-NCH-A-BDP-M3-03-00'!B500</v>
      </c>
      <c r="D2220" s="6" t="str">
        <f t="shared" ca="1" si="434"/>
        <v>L03-CIR-CIR-C003-06</v>
      </c>
      <c r="E2220" t="str">
        <f t="shared" ca="1" si="435"/>
        <v>Family Type: Curtain Wall_975w x 3050h, Family: Panel External Type 1 - Flush</v>
      </c>
      <c r="F2220" t="str">
        <f t="shared" ca="1" si="436"/>
        <v>Vector(X = 0.872, Y = 0.489, Z = 0.000, Length = 1.000)</v>
      </c>
      <c r="G2220">
        <f t="shared" ca="1" si="427"/>
        <v>0.9</v>
      </c>
      <c r="H2220">
        <f t="shared" ca="1" si="428"/>
        <v>0.5</v>
      </c>
      <c r="I2220">
        <f t="shared" ca="1" si="429"/>
        <v>0</v>
      </c>
      <c r="J2220" s="8">
        <f t="shared" ca="1" si="430"/>
        <v>29.054604099077146</v>
      </c>
      <c r="K2220" s="9" t="str">
        <f t="shared" ca="1" si="431"/>
        <v>E</v>
      </c>
      <c r="L2220">
        <f ca="1">+_xlfn.IFNA(VLOOKUP(M2220,BespokeWindowsAreas!$B$2:$E$1999,4,FALSE),VLOOKUP(E2220,WindowTypeArea!$B$2:$C$113,2,FALSE))</f>
        <v>2.9737499999999999</v>
      </c>
      <c r="M2220">
        <f t="shared" ca="1" si="432"/>
        <v>4942277</v>
      </c>
    </row>
    <row r="2221" spans="1:13" x14ac:dyDescent="0.25">
      <c r="A2221">
        <f t="shared" ca="1" si="425"/>
        <v>5</v>
      </c>
      <c r="B2221">
        <f t="shared" ca="1" si="426"/>
        <v>502</v>
      </c>
      <c r="C2221" t="str">
        <f t="shared" ca="1" si="433"/>
        <v>'WINDOWS-NCH-A-BDP-M3-03-00'!B501</v>
      </c>
      <c r="D2221" s="6" t="str">
        <f t="shared" ca="1" si="434"/>
        <v>L03-CIR-CIR-C003-06</v>
      </c>
      <c r="E2221" t="str">
        <f t="shared" ca="1" si="435"/>
        <v>Family Type: Curtain Wall_975w x 3050h, Family: Panel External Type 1 - Flush</v>
      </c>
      <c r="F2221" t="str">
        <f t="shared" ca="1" si="436"/>
        <v>Vector(X = 0.872, Y = 0.489, Z = 0.000, Length = 1.000)</v>
      </c>
      <c r="G2221">
        <f t="shared" ca="1" si="427"/>
        <v>0.9</v>
      </c>
      <c r="H2221">
        <f t="shared" ca="1" si="428"/>
        <v>0.5</v>
      </c>
      <c r="I2221">
        <f t="shared" ca="1" si="429"/>
        <v>0</v>
      </c>
      <c r="J2221" s="8">
        <f t="shared" ca="1" si="430"/>
        <v>29.054604099077146</v>
      </c>
      <c r="K2221" s="9" t="str">
        <f t="shared" ca="1" si="431"/>
        <v>E</v>
      </c>
      <c r="L2221">
        <f ca="1">+_xlfn.IFNA(VLOOKUP(M2221,BespokeWindowsAreas!$B$2:$E$1999,4,FALSE),VLOOKUP(E2221,WindowTypeArea!$B$2:$C$113,2,FALSE))</f>
        <v>2.9737499999999999</v>
      </c>
      <c r="M2221">
        <f t="shared" ca="1" si="432"/>
        <v>4942284</v>
      </c>
    </row>
    <row r="2222" spans="1:13" x14ac:dyDescent="0.25">
      <c r="A2222">
        <f t="shared" ca="1" si="425"/>
        <v>5</v>
      </c>
      <c r="B2222">
        <f t="shared" ca="1" si="426"/>
        <v>503</v>
      </c>
      <c r="C2222" t="str">
        <f t="shared" ca="1" si="433"/>
        <v>'WINDOWS-NCH-A-BDP-M3-03-00'!B502</v>
      </c>
      <c r="D2222" s="6" t="str">
        <f t="shared" ca="1" si="434"/>
        <v>L03-CIR-CIR-C003-06</v>
      </c>
      <c r="E2222" t="str">
        <f t="shared" ca="1" si="435"/>
        <v>Family Type: 1500w x 3050h, Family: Window Internal Type 1 - Flush</v>
      </c>
      <c r="F2222" t="str">
        <f t="shared" ca="1" si="436"/>
        <v>Vector(X = -0.488, Y = 0.873, Z = 0.000, Length = 1.000)</v>
      </c>
      <c r="G2222">
        <f t="shared" ca="1" si="427"/>
        <v>-0.5</v>
      </c>
      <c r="H2222">
        <f t="shared" ca="1" si="428"/>
        <v>0.9</v>
      </c>
      <c r="I2222">
        <f t="shared" ca="1" si="429"/>
        <v>0</v>
      </c>
      <c r="J2222" s="8">
        <f t="shared" ca="1" si="430"/>
        <v>119.05460409907714</v>
      </c>
      <c r="K2222" s="9" t="str">
        <f t="shared" ca="1" si="431"/>
        <v>N</v>
      </c>
      <c r="L2222">
        <f ca="1">+_xlfn.IFNA(VLOOKUP(M2222,BespokeWindowsAreas!$B$2:$E$1999,4,FALSE),VLOOKUP(E2222,WindowTypeArea!$B$2:$C$113,2,FALSE))</f>
        <v>4.5749999999999993</v>
      </c>
      <c r="M2222">
        <f t="shared" ca="1" si="432"/>
        <v>6910198</v>
      </c>
    </row>
    <row r="2223" spans="1:13" x14ac:dyDescent="0.25">
      <c r="A2223">
        <f t="shared" ca="1" si="425"/>
        <v>5</v>
      </c>
      <c r="B2223">
        <f t="shared" ca="1" si="426"/>
        <v>504</v>
      </c>
      <c r="C2223" t="str">
        <f t="shared" ca="1" si="433"/>
        <v>'WINDOWS-NCH-A-BDP-M3-03-00'!B503</v>
      </c>
      <c r="D2223" s="6" t="str">
        <f t="shared" ca="1" si="434"/>
        <v>L03-CIR-CIR-C003-06</v>
      </c>
      <c r="E2223" t="str">
        <f t="shared" ca="1" si="435"/>
        <v>Family Type: 975w x 3050h, Family: Window Internal Type 1 - Flush</v>
      </c>
      <c r="F2223" t="str">
        <f t="shared" ca="1" si="436"/>
        <v>Vector(X = -0.488, Y = 0.873, Z = 0.000, Length = 1.000)</v>
      </c>
      <c r="G2223">
        <f t="shared" ca="1" si="427"/>
        <v>-0.5</v>
      </c>
      <c r="H2223">
        <f t="shared" ca="1" si="428"/>
        <v>0.9</v>
      </c>
      <c r="I2223">
        <f t="shared" ca="1" si="429"/>
        <v>0</v>
      </c>
      <c r="J2223" s="8">
        <f t="shared" ca="1" si="430"/>
        <v>119.05460409907714</v>
      </c>
      <c r="K2223" s="9" t="str">
        <f t="shared" ca="1" si="431"/>
        <v>N</v>
      </c>
      <c r="L2223">
        <f ca="1">+_xlfn.IFNA(VLOOKUP(M2223,BespokeWindowsAreas!$B$2:$E$1999,4,FALSE),VLOOKUP(E2223,WindowTypeArea!$B$2:$C$113,2,FALSE))</f>
        <v>2.9737499999999999</v>
      </c>
      <c r="M2223">
        <f t="shared" ca="1" si="432"/>
        <v>6910261</v>
      </c>
    </row>
    <row r="2224" spans="1:13" x14ac:dyDescent="0.25">
      <c r="A2224">
        <f t="shared" ca="1" si="425"/>
        <v>5</v>
      </c>
      <c r="B2224">
        <f t="shared" ca="1" si="426"/>
        <v>505</v>
      </c>
      <c r="C2224" t="str">
        <f t="shared" ca="1" si="433"/>
        <v>'WINDOWS-NCH-A-BDP-M3-03-00'!B504</v>
      </c>
      <c r="D2224" s="6" t="str">
        <f t="shared" ca="1" si="434"/>
        <v>L03-CIR-CIR-C003-06</v>
      </c>
      <c r="E2224" t="str">
        <f t="shared" ca="1" si="435"/>
        <v>Family Type: 975w x 3050h, Family: Window Internal Type 1 - Flush</v>
      </c>
      <c r="F2224" t="str">
        <f t="shared" ca="1" si="436"/>
        <v>Vector(X = -0.488, Y = 0.873, Z = 0.000, Length = 1.000)</v>
      </c>
      <c r="G2224">
        <f t="shared" ca="1" si="427"/>
        <v>-0.5</v>
      </c>
      <c r="H2224">
        <f t="shared" ca="1" si="428"/>
        <v>0.9</v>
      </c>
      <c r="I2224">
        <f t="shared" ca="1" si="429"/>
        <v>0</v>
      </c>
      <c r="J2224" s="8">
        <f t="shared" ca="1" si="430"/>
        <v>119.05460409907714</v>
      </c>
      <c r="K2224" s="9" t="str">
        <f t="shared" ca="1" si="431"/>
        <v>N</v>
      </c>
      <c r="L2224">
        <f ca="1">+_xlfn.IFNA(VLOOKUP(M2224,BespokeWindowsAreas!$B$2:$E$1999,4,FALSE),VLOOKUP(E2224,WindowTypeArea!$B$2:$C$113,2,FALSE))</f>
        <v>2.9737499999999999</v>
      </c>
      <c r="M2224">
        <f t="shared" ca="1" si="432"/>
        <v>6910294</v>
      </c>
    </row>
    <row r="2225" spans="1:13" x14ac:dyDescent="0.25">
      <c r="A2225">
        <f t="shared" ca="1" si="425"/>
        <v>5</v>
      </c>
      <c r="B2225">
        <f t="shared" ca="1" si="426"/>
        <v>506</v>
      </c>
      <c r="C2225" t="str">
        <f t="shared" ca="1" si="433"/>
        <v>'WINDOWS-NCH-A-BDP-M3-03-00'!B505</v>
      </c>
      <c r="D2225" s="6" t="str">
        <f t="shared" ca="1" si="434"/>
        <v>L03-COR-CIR-C001-02</v>
      </c>
      <c r="E2225" t="str">
        <f t="shared" ca="1" si="435"/>
        <v>L03-COR-CIR-C001-02</v>
      </c>
      <c r="F2225">
        <f t="shared" ca="1" si="436"/>
        <v>1500907</v>
      </c>
      <c r="G2225">
        <f t="shared" ca="1" si="427"/>
        <v>0</v>
      </c>
      <c r="H2225">
        <f t="shared" ca="1" si="428"/>
        <v>0</v>
      </c>
      <c r="I2225">
        <f t="shared" ca="1" si="429"/>
        <v>0</v>
      </c>
      <c r="J2225" s="8" t="e">
        <f t="shared" ca="1" si="430"/>
        <v>#DIV/0!</v>
      </c>
      <c r="K2225" s="9" t="e">
        <f t="shared" ca="1" si="431"/>
        <v>#DIV/0!</v>
      </c>
      <c r="L2225" t="e">
        <f ca="1">+_xlfn.IFNA(VLOOKUP(M2225,BespokeWindowsAreas!$B$2:$E$1999,4,FALSE),VLOOKUP(E2225,WindowTypeArea!$B$2:$C$113,2,FALSE))</f>
        <v>#N/A</v>
      </c>
      <c r="M2225">
        <f t="shared" ca="1" si="432"/>
        <v>0</v>
      </c>
    </row>
    <row r="2226" spans="1:13" x14ac:dyDescent="0.25">
      <c r="A2226">
        <f t="shared" ca="1" si="425"/>
        <v>5</v>
      </c>
      <c r="B2226">
        <f t="shared" ca="1" si="426"/>
        <v>507</v>
      </c>
      <c r="C2226" t="str">
        <f t="shared" ca="1" si="433"/>
        <v>'WINDOWS-NCH-A-BDP-M3-03-00'!B506</v>
      </c>
      <c r="D2226" s="6" t="str">
        <f t="shared" ca="1" si="434"/>
        <v>L03-COR-CIR-C001-02</v>
      </c>
      <c r="E2226" t="str">
        <f t="shared" ca="1" si="435"/>
        <v>Family Type: 1500w x 3050h, Family: Window Internal Type 1 - Flush</v>
      </c>
      <c r="F2226" t="str">
        <f t="shared" ca="1" si="436"/>
        <v>Vector(X = 0.489, Y = -0.873, Z = 0.000, Length = 1.000)</v>
      </c>
      <c r="G2226">
        <f t="shared" ca="1" si="427"/>
        <v>0.5</v>
      </c>
      <c r="H2226">
        <f t="shared" ca="1" si="428"/>
        <v>-0.9</v>
      </c>
      <c r="I2226">
        <f t="shared" ca="1" si="429"/>
        <v>0</v>
      </c>
      <c r="J2226" s="8">
        <f t="shared" ca="1" si="430"/>
        <v>-60.945395900922861</v>
      </c>
      <c r="K2226" s="9" t="str">
        <f t="shared" ca="1" si="431"/>
        <v>S</v>
      </c>
      <c r="L2226">
        <f ca="1">+_xlfn.IFNA(VLOOKUP(M2226,BespokeWindowsAreas!$B$2:$E$1999,4,FALSE),VLOOKUP(E2226,WindowTypeArea!$B$2:$C$113,2,FALSE))</f>
        <v>4.5749999999999993</v>
      </c>
      <c r="M2226">
        <f t="shared" ca="1" si="432"/>
        <v>6909749</v>
      </c>
    </row>
    <row r="2227" spans="1:13" x14ac:dyDescent="0.25">
      <c r="A2227">
        <f t="shared" ca="1" si="425"/>
        <v>5</v>
      </c>
      <c r="B2227">
        <f t="shared" ca="1" si="426"/>
        <v>508</v>
      </c>
      <c r="C2227" t="str">
        <f t="shared" ca="1" si="433"/>
        <v>'WINDOWS-NCH-A-BDP-M3-03-00'!B507</v>
      </c>
      <c r="D2227" s="6" t="str">
        <f t="shared" ca="1" si="434"/>
        <v>L03-CIR-CIR-C008-09</v>
      </c>
      <c r="E2227" t="str">
        <f t="shared" ca="1" si="435"/>
        <v>L03-CIR-CIR-C008-09</v>
      </c>
      <c r="F2227">
        <f t="shared" ca="1" si="436"/>
        <v>1500933</v>
      </c>
      <c r="G2227">
        <f t="shared" ca="1" si="427"/>
        <v>0</v>
      </c>
      <c r="H2227">
        <f t="shared" ca="1" si="428"/>
        <v>0</v>
      </c>
      <c r="I2227">
        <f t="shared" ca="1" si="429"/>
        <v>0</v>
      </c>
      <c r="J2227" s="8" t="e">
        <f t="shared" ca="1" si="430"/>
        <v>#DIV/0!</v>
      </c>
      <c r="K2227" s="9" t="e">
        <f t="shared" ca="1" si="431"/>
        <v>#DIV/0!</v>
      </c>
      <c r="L2227" t="e">
        <f ca="1">+_xlfn.IFNA(VLOOKUP(M2227,BespokeWindowsAreas!$B$2:$E$1999,4,FALSE),VLOOKUP(E2227,WindowTypeArea!$B$2:$C$113,2,FALSE))</f>
        <v>#N/A</v>
      </c>
      <c r="M2227">
        <f t="shared" ca="1" si="432"/>
        <v>0</v>
      </c>
    </row>
    <row r="2228" spans="1:13" x14ac:dyDescent="0.25">
      <c r="A2228">
        <f t="shared" ca="1" si="425"/>
        <v>5</v>
      </c>
      <c r="B2228">
        <f t="shared" ca="1" si="426"/>
        <v>509</v>
      </c>
      <c r="C2228" t="str">
        <f t="shared" ca="1" si="433"/>
        <v>'WINDOWS-NCH-A-BDP-M3-03-00'!B508</v>
      </c>
      <c r="D2228" s="6" t="str">
        <f t="shared" ca="1" si="434"/>
        <v>L03-CIR-CIR-C008-09</v>
      </c>
      <c r="E2228" t="str">
        <f t="shared" ca="1" si="435"/>
        <v>Family Type: Curtain Wall_1950w x 3800h, Family: Window External Type 5 - Flush</v>
      </c>
      <c r="F2228" t="str">
        <f t="shared" ca="1" si="436"/>
        <v>Vector(X = 0.212, Y = -0.977, Z = 0.000, Length = 1.000)</v>
      </c>
      <c r="G2228">
        <f t="shared" ca="1" si="427"/>
        <v>0.2</v>
      </c>
      <c r="H2228">
        <f t="shared" ca="1" si="428"/>
        <v>-1</v>
      </c>
      <c r="I2228">
        <f t="shared" ca="1" si="429"/>
        <v>0</v>
      </c>
      <c r="J2228" s="8">
        <f t="shared" ca="1" si="430"/>
        <v>-78.690067525979785</v>
      </c>
      <c r="K2228" s="9" t="str">
        <f t="shared" ca="1" si="431"/>
        <v>S</v>
      </c>
      <c r="L2228">
        <f ca="1">+_xlfn.IFNA(VLOOKUP(M2228,BespokeWindowsAreas!$B$2:$E$1999,4,FALSE),VLOOKUP(E2228,WindowTypeArea!$B$2:$C$113,2,FALSE))</f>
        <v>7.9950000000000001</v>
      </c>
      <c r="M2228">
        <f t="shared" ca="1" si="432"/>
        <v>4927501</v>
      </c>
    </row>
    <row r="2229" spans="1:13" x14ac:dyDescent="0.25">
      <c r="A2229">
        <f t="shared" ca="1" si="425"/>
        <v>5</v>
      </c>
      <c r="B2229">
        <f t="shared" ca="1" si="426"/>
        <v>510</v>
      </c>
      <c r="C2229" t="str">
        <f t="shared" ca="1" si="433"/>
        <v>'WINDOWS-NCH-A-BDP-M3-03-00'!B509</v>
      </c>
      <c r="D2229" s="6" t="str">
        <f t="shared" ca="1" si="434"/>
        <v>L03-CIR-CIR-C008-09</v>
      </c>
      <c r="E2229" t="str">
        <f t="shared" ca="1" si="435"/>
        <v>Family Type: Curtain Wall_1950w x 3800h, Family: Window External Type 5 - Flush</v>
      </c>
      <c r="F2229" t="str">
        <f t="shared" ca="1" si="436"/>
        <v>Vector(X = 0.212, Y = -0.977, Z = 0.000, Length = 1.000)</v>
      </c>
      <c r="G2229">
        <f t="shared" ca="1" si="427"/>
        <v>0.2</v>
      </c>
      <c r="H2229">
        <f t="shared" ca="1" si="428"/>
        <v>-1</v>
      </c>
      <c r="I2229">
        <f t="shared" ca="1" si="429"/>
        <v>0</v>
      </c>
      <c r="J2229" s="8">
        <f t="shared" ca="1" si="430"/>
        <v>-78.690067525979785</v>
      </c>
      <c r="K2229" s="9" t="str">
        <f t="shared" ca="1" si="431"/>
        <v>S</v>
      </c>
      <c r="L2229">
        <f ca="1">+_xlfn.IFNA(VLOOKUP(M2229,BespokeWindowsAreas!$B$2:$E$1999,4,FALSE),VLOOKUP(E2229,WindowTypeArea!$B$2:$C$113,2,FALSE))</f>
        <v>7.9950000000000001</v>
      </c>
      <c r="M2229">
        <f t="shared" ca="1" si="432"/>
        <v>4927583</v>
      </c>
    </row>
    <row r="2230" spans="1:13" x14ac:dyDescent="0.25">
      <c r="A2230">
        <f t="shared" ca="1" si="425"/>
        <v>5</v>
      </c>
      <c r="B2230">
        <f t="shared" ca="1" si="426"/>
        <v>511</v>
      </c>
      <c r="C2230" t="str">
        <f t="shared" ca="1" si="433"/>
        <v>'WINDOWS-NCH-A-BDP-M3-03-00'!B510</v>
      </c>
      <c r="D2230" s="6" t="str">
        <f t="shared" ca="1" si="434"/>
        <v>L03-CIR-CIR-C008-09</v>
      </c>
      <c r="E2230" t="str">
        <f t="shared" ca="1" si="435"/>
        <v>Family Type: Curtain Wall_1950w x 3800h, Family: Window External Type 5 - Flush</v>
      </c>
      <c r="F2230" t="str">
        <f t="shared" ca="1" si="436"/>
        <v>Vector(X = 0.212, Y = -0.977, Z = 0.000, Length = 1.000)</v>
      </c>
      <c r="G2230">
        <f t="shared" ca="1" si="427"/>
        <v>0.2</v>
      </c>
      <c r="H2230">
        <f t="shared" ca="1" si="428"/>
        <v>-1</v>
      </c>
      <c r="I2230">
        <f t="shared" ca="1" si="429"/>
        <v>0</v>
      </c>
      <c r="J2230" s="8">
        <f t="shared" ca="1" si="430"/>
        <v>-78.690067525979785</v>
      </c>
      <c r="K2230" s="9" t="str">
        <f t="shared" ca="1" si="431"/>
        <v>S</v>
      </c>
      <c r="L2230">
        <f ca="1">+_xlfn.IFNA(VLOOKUP(M2230,BespokeWindowsAreas!$B$2:$E$1999,4,FALSE),VLOOKUP(E2230,WindowTypeArea!$B$2:$C$113,2,FALSE))</f>
        <v>7.9950000000000001</v>
      </c>
      <c r="M2230">
        <f t="shared" ca="1" si="432"/>
        <v>4927657</v>
      </c>
    </row>
    <row r="2231" spans="1:13" x14ac:dyDescent="0.25">
      <c r="A2231">
        <f t="shared" ca="1" si="425"/>
        <v>5</v>
      </c>
      <c r="B2231">
        <f t="shared" ca="1" si="426"/>
        <v>512</v>
      </c>
      <c r="C2231" t="str">
        <f t="shared" ca="1" si="433"/>
        <v>'WINDOWS-NCH-A-BDP-M3-03-00'!B511</v>
      </c>
      <c r="D2231" s="6" t="str">
        <f t="shared" ca="1" si="434"/>
        <v>L03-CIR-CIR-C008-09</v>
      </c>
      <c r="E2231" t="str">
        <f t="shared" ca="1" si="435"/>
        <v>Family Type: Curtain Wall_975w x 3800h, Family: Window External Type 5 - Flush</v>
      </c>
      <c r="F2231" t="str">
        <f t="shared" ca="1" si="436"/>
        <v>Vector(X = 0.212, Y = -0.977, Z = 0.000, Length = 1.000)</v>
      </c>
      <c r="G2231">
        <f t="shared" ca="1" si="427"/>
        <v>0.2</v>
      </c>
      <c r="H2231">
        <f t="shared" ca="1" si="428"/>
        <v>-1</v>
      </c>
      <c r="I2231">
        <f t="shared" ca="1" si="429"/>
        <v>0</v>
      </c>
      <c r="J2231" s="8">
        <f t="shared" ca="1" si="430"/>
        <v>-78.690067525979785</v>
      </c>
      <c r="K2231" s="9" t="str">
        <f t="shared" ca="1" si="431"/>
        <v>S</v>
      </c>
      <c r="L2231">
        <f ca="1">+_xlfn.IFNA(VLOOKUP(M2231,BespokeWindowsAreas!$B$2:$E$1999,4,FALSE),VLOOKUP(E2231,WindowTypeArea!$B$2:$C$113,2,FALSE))</f>
        <v>3.9975000000000001</v>
      </c>
      <c r="M2231">
        <f t="shared" ca="1" si="432"/>
        <v>4927713</v>
      </c>
    </row>
    <row r="2232" spans="1:13" x14ac:dyDescent="0.25">
      <c r="A2232">
        <f t="shared" ca="1" si="425"/>
        <v>5</v>
      </c>
      <c r="B2232">
        <f t="shared" ca="1" si="426"/>
        <v>513</v>
      </c>
      <c r="C2232" t="str">
        <f t="shared" ca="1" si="433"/>
        <v>'WINDOWS-NCH-A-BDP-M3-03-00'!B512</v>
      </c>
      <c r="D2232" s="6" t="str">
        <f t="shared" ca="1" si="434"/>
        <v>L03-CIR-CIR-C008-09</v>
      </c>
      <c r="E2232" t="str">
        <f t="shared" ca="1" si="435"/>
        <v>Family Type: Curtain Wall_975w x 3800h, Family: Window External Type 5 - Flush</v>
      </c>
      <c r="F2232" t="str">
        <f t="shared" ca="1" si="436"/>
        <v>Vector(X = 0.212, Y = -0.977, Z = 0.000, Length = 1.000)</v>
      </c>
      <c r="G2232">
        <f t="shared" ca="1" si="427"/>
        <v>0.2</v>
      </c>
      <c r="H2232">
        <f t="shared" ca="1" si="428"/>
        <v>-1</v>
      </c>
      <c r="I2232">
        <f t="shared" ca="1" si="429"/>
        <v>0</v>
      </c>
      <c r="J2232" s="8">
        <f t="shared" ca="1" si="430"/>
        <v>-78.690067525979785</v>
      </c>
      <c r="K2232" s="9" t="str">
        <f t="shared" ca="1" si="431"/>
        <v>S</v>
      </c>
      <c r="L2232">
        <f ca="1">+_xlfn.IFNA(VLOOKUP(M2232,BespokeWindowsAreas!$B$2:$E$1999,4,FALSE),VLOOKUP(E2232,WindowTypeArea!$B$2:$C$113,2,FALSE))</f>
        <v>3.9975000000000001</v>
      </c>
      <c r="M2232">
        <f t="shared" ca="1" si="432"/>
        <v>4927622</v>
      </c>
    </row>
    <row r="2233" spans="1:13" x14ac:dyDescent="0.25">
      <c r="A2233">
        <f t="shared" ca="1" si="425"/>
        <v>5</v>
      </c>
      <c r="B2233">
        <f t="shared" ca="1" si="426"/>
        <v>514</v>
      </c>
      <c r="C2233" t="str">
        <f t="shared" ca="1" si="433"/>
        <v>'WINDOWS-NCH-A-BDP-M3-03-00'!B513</v>
      </c>
      <c r="D2233" s="6" t="str">
        <f t="shared" ca="1" si="434"/>
        <v>L03-CIR-CIR-C008-09</v>
      </c>
      <c r="E2233" t="str">
        <f t="shared" ca="1" si="435"/>
        <v>Family Type: Curtain Wall_975w x 3800h, Family: Window External Type 5 - Flush</v>
      </c>
      <c r="F2233" t="str">
        <f t="shared" ca="1" si="436"/>
        <v>Vector(X = 0.212, Y = -0.977, Z = 0.000, Length = 1.000)</v>
      </c>
      <c r="G2233">
        <f t="shared" ca="1" si="427"/>
        <v>0.2</v>
      </c>
      <c r="H2233">
        <f t="shared" ca="1" si="428"/>
        <v>-1</v>
      </c>
      <c r="I2233">
        <f t="shared" ca="1" si="429"/>
        <v>0</v>
      </c>
      <c r="J2233" s="8">
        <f t="shared" ca="1" si="430"/>
        <v>-78.690067525979785</v>
      </c>
      <c r="K2233" s="9" t="str">
        <f t="shared" ca="1" si="431"/>
        <v>S</v>
      </c>
      <c r="L2233">
        <f ca="1">+_xlfn.IFNA(VLOOKUP(M2233,BespokeWindowsAreas!$B$2:$E$1999,4,FALSE),VLOOKUP(E2233,WindowTypeArea!$B$2:$C$113,2,FALSE))</f>
        <v>3.9975000000000001</v>
      </c>
      <c r="M2233">
        <f t="shared" ca="1" si="432"/>
        <v>4927533</v>
      </c>
    </row>
    <row r="2234" spans="1:13" x14ac:dyDescent="0.25">
      <c r="A2234">
        <f t="shared" ca="1" si="425"/>
        <v>5</v>
      </c>
      <c r="B2234">
        <f t="shared" ca="1" si="426"/>
        <v>515</v>
      </c>
      <c r="C2234" t="str">
        <f t="shared" ca="1" si="433"/>
        <v>'WINDOWS-NCH-A-BDP-M3-03-00'!B514</v>
      </c>
      <c r="D2234" s="6" t="str">
        <f t="shared" ca="1" si="434"/>
        <v>L03-CIR-CIR-C008-01</v>
      </c>
      <c r="E2234" t="str">
        <f t="shared" ca="1" si="435"/>
        <v>L03-CIR-CIR-C008-01</v>
      </c>
      <c r="F2234">
        <f t="shared" ca="1" si="436"/>
        <v>1500937</v>
      </c>
      <c r="G2234">
        <f t="shared" ca="1" si="427"/>
        <v>0</v>
      </c>
      <c r="H2234">
        <f t="shared" ca="1" si="428"/>
        <v>0</v>
      </c>
      <c r="I2234">
        <f t="shared" ca="1" si="429"/>
        <v>0</v>
      </c>
      <c r="J2234" s="8" t="e">
        <f t="shared" ca="1" si="430"/>
        <v>#DIV/0!</v>
      </c>
      <c r="K2234" s="9" t="e">
        <f t="shared" ca="1" si="431"/>
        <v>#DIV/0!</v>
      </c>
      <c r="L2234" t="e">
        <f ca="1">+_xlfn.IFNA(VLOOKUP(M2234,BespokeWindowsAreas!$B$2:$E$1999,4,FALSE),VLOOKUP(E2234,WindowTypeArea!$B$2:$C$113,2,FALSE))</f>
        <v>#N/A</v>
      </c>
      <c r="M2234">
        <f t="shared" ca="1" si="432"/>
        <v>0</v>
      </c>
    </row>
    <row r="2235" spans="1:13" x14ac:dyDescent="0.25">
      <c r="A2235">
        <f t="shared" ca="1" si="425"/>
        <v>5</v>
      </c>
      <c r="B2235">
        <f t="shared" ca="1" si="426"/>
        <v>516</v>
      </c>
      <c r="C2235" t="str">
        <f t="shared" ca="1" si="433"/>
        <v>'WINDOWS-NCH-A-BDP-M3-03-00'!B515</v>
      </c>
      <c r="D2235" s="6" t="str">
        <f t="shared" ca="1" si="434"/>
        <v>L03-CIR-CIR-C008-01</v>
      </c>
      <c r="E2235" t="str">
        <f t="shared" ca="1" si="435"/>
        <v>Family Type: Curtain Wall_1950w x 3800h, Family: Window External Type 5 - Flush</v>
      </c>
      <c r="F2235" t="str">
        <f t="shared" ca="1" si="436"/>
        <v>Vector(X = 0.212, Y = -0.977, Z = 0.000, Length = 1.000)</v>
      </c>
      <c r="G2235">
        <f t="shared" ca="1" si="427"/>
        <v>0.2</v>
      </c>
      <c r="H2235">
        <f t="shared" ca="1" si="428"/>
        <v>-1</v>
      </c>
      <c r="I2235">
        <f t="shared" ca="1" si="429"/>
        <v>0</v>
      </c>
      <c r="J2235" s="8">
        <f t="shared" ca="1" si="430"/>
        <v>-78.690067525979785</v>
      </c>
      <c r="K2235" s="9" t="str">
        <f t="shared" ca="1" si="431"/>
        <v>S</v>
      </c>
      <c r="L2235">
        <f ca="1">+_xlfn.IFNA(VLOOKUP(M2235,BespokeWindowsAreas!$B$2:$E$1999,4,FALSE),VLOOKUP(E2235,WindowTypeArea!$B$2:$C$113,2,FALSE))</f>
        <v>7.9950000000000001</v>
      </c>
      <c r="M2235">
        <f t="shared" ca="1" si="432"/>
        <v>4928267</v>
      </c>
    </row>
    <row r="2236" spans="1:13" x14ac:dyDescent="0.25">
      <c r="A2236">
        <f t="shared" ca="1" si="425"/>
        <v>5</v>
      </c>
      <c r="B2236">
        <f t="shared" ca="1" si="426"/>
        <v>517</v>
      </c>
      <c r="C2236" t="str">
        <f t="shared" ca="1" si="433"/>
        <v>'WINDOWS-NCH-A-BDP-M3-03-00'!B516</v>
      </c>
      <c r="D2236" s="6" t="str">
        <f t="shared" ca="1" si="434"/>
        <v>L03-CIR-CIR-C008-01</v>
      </c>
      <c r="E2236" t="str">
        <f t="shared" ca="1" si="435"/>
        <v>Family Type: Curtain Wall_975w x 3800h, Family: Window External Type 5 - Flush</v>
      </c>
      <c r="F2236" t="str">
        <f t="shared" ca="1" si="436"/>
        <v>Vector(X = 0.212, Y = -0.977, Z = 0.000, Length = 1.000)</v>
      </c>
      <c r="G2236">
        <f t="shared" ca="1" si="427"/>
        <v>0.2</v>
      </c>
      <c r="H2236">
        <f t="shared" ca="1" si="428"/>
        <v>-1</v>
      </c>
      <c r="I2236">
        <f t="shared" ca="1" si="429"/>
        <v>0</v>
      </c>
      <c r="J2236" s="8">
        <f t="shared" ca="1" si="430"/>
        <v>-78.690067525979785</v>
      </c>
      <c r="K2236" s="9" t="str">
        <f t="shared" ca="1" si="431"/>
        <v>S</v>
      </c>
      <c r="L2236">
        <f ca="1">+_xlfn.IFNA(VLOOKUP(M2236,BespokeWindowsAreas!$B$2:$E$1999,4,FALSE),VLOOKUP(E2236,WindowTypeArea!$B$2:$C$113,2,FALSE))</f>
        <v>3.9975000000000001</v>
      </c>
      <c r="M2236">
        <f t="shared" ca="1" si="432"/>
        <v>4928300</v>
      </c>
    </row>
    <row r="2237" spans="1:13" x14ac:dyDescent="0.25">
      <c r="A2237">
        <f t="shared" ca="1" si="425"/>
        <v>5</v>
      </c>
      <c r="B2237">
        <f t="shared" ca="1" si="426"/>
        <v>518</v>
      </c>
      <c r="C2237" t="str">
        <f t="shared" ca="1" si="433"/>
        <v>'WINDOWS-NCH-A-BDP-M3-03-00'!B517</v>
      </c>
      <c r="D2237" s="6" t="str">
        <f t="shared" ca="1" si="434"/>
        <v>L03-CIR-CIR-C008-01</v>
      </c>
      <c r="E2237" t="str">
        <f t="shared" ca="1" si="435"/>
        <v>Family Type: Curtain Wall_975w x 3800h, Family: Window External Type 5 - Flush</v>
      </c>
      <c r="F2237" t="str">
        <f t="shared" ca="1" si="436"/>
        <v>Vector(X = 0.212, Y = -0.977, Z = 0.000, Length = 1.000)</v>
      </c>
      <c r="G2237">
        <f t="shared" ca="1" si="427"/>
        <v>0.2</v>
      </c>
      <c r="H2237">
        <f t="shared" ca="1" si="428"/>
        <v>-1</v>
      </c>
      <c r="I2237">
        <f t="shared" ca="1" si="429"/>
        <v>0</v>
      </c>
      <c r="J2237" s="8">
        <f t="shared" ca="1" si="430"/>
        <v>-78.690067525979785</v>
      </c>
      <c r="K2237" s="9" t="str">
        <f t="shared" ca="1" si="431"/>
        <v>S</v>
      </c>
      <c r="L2237">
        <f ca="1">+_xlfn.IFNA(VLOOKUP(M2237,BespokeWindowsAreas!$B$2:$E$1999,4,FALSE),VLOOKUP(E2237,WindowTypeArea!$B$2:$C$113,2,FALSE))</f>
        <v>3.9975000000000001</v>
      </c>
      <c r="M2237">
        <f t="shared" ca="1" si="432"/>
        <v>4928308</v>
      </c>
    </row>
    <row r="2238" spans="1:13" x14ac:dyDescent="0.25">
      <c r="A2238">
        <f t="shared" ca="1" si="425"/>
        <v>5</v>
      </c>
      <c r="B2238">
        <f t="shared" ca="1" si="426"/>
        <v>519</v>
      </c>
      <c r="C2238" t="str">
        <f t="shared" ca="1" si="433"/>
        <v>'WINDOWS-NCH-A-BDP-M3-03-00'!B518</v>
      </c>
      <c r="D2238" s="6" t="str">
        <f t="shared" ca="1" si="434"/>
        <v>L03-CIR-CIR-C008-01</v>
      </c>
      <c r="E2238" t="str">
        <f t="shared" ca="1" si="435"/>
        <v>Family Type: Curtain Wall_1950w x 3800h, Family: Window External Type 5 - Flush</v>
      </c>
      <c r="F2238" t="str">
        <f t="shared" ca="1" si="436"/>
        <v>Vector(X = 0.212, Y = -0.977, Z = 0.000, Length = 1.000)</v>
      </c>
      <c r="G2238">
        <f t="shared" ca="1" si="427"/>
        <v>0.2</v>
      </c>
      <c r="H2238">
        <f t="shared" ca="1" si="428"/>
        <v>-1</v>
      </c>
      <c r="I2238">
        <f t="shared" ca="1" si="429"/>
        <v>0</v>
      </c>
      <c r="J2238" s="8">
        <f t="shared" ca="1" si="430"/>
        <v>-78.690067525979785</v>
      </c>
      <c r="K2238" s="9" t="str">
        <f t="shared" ca="1" si="431"/>
        <v>S</v>
      </c>
      <c r="L2238">
        <f ca="1">+_xlfn.IFNA(VLOOKUP(M2238,BespokeWindowsAreas!$B$2:$E$1999,4,FALSE),VLOOKUP(E2238,WindowTypeArea!$B$2:$C$113,2,FALSE))</f>
        <v>7.9950000000000001</v>
      </c>
      <c r="M2238">
        <f t="shared" ca="1" si="432"/>
        <v>4928350</v>
      </c>
    </row>
    <row r="2239" spans="1:13" x14ac:dyDescent="0.25">
      <c r="A2239">
        <f t="shared" ca="1" si="425"/>
        <v>5</v>
      </c>
      <c r="B2239">
        <f t="shared" ca="1" si="426"/>
        <v>520</v>
      </c>
      <c r="C2239" t="str">
        <f t="shared" ca="1" si="433"/>
        <v>'WINDOWS-NCH-A-BDP-M3-03-00'!B519</v>
      </c>
      <c r="D2239" s="6" t="str">
        <f t="shared" ca="1" si="434"/>
        <v>L03-CIR-CIR-C008-01</v>
      </c>
      <c r="E2239" t="str">
        <f t="shared" ca="1" si="435"/>
        <v>Family Type: Curtain Wall_975w x 3800h, Family: Window External Type 5 - Flush</v>
      </c>
      <c r="F2239" t="str">
        <f t="shared" ca="1" si="436"/>
        <v>Vector(X = 0.212, Y = -0.977, Z = 0.000, Length = 1.000)</v>
      </c>
      <c r="G2239">
        <f t="shared" ca="1" si="427"/>
        <v>0.2</v>
      </c>
      <c r="H2239">
        <f t="shared" ca="1" si="428"/>
        <v>-1</v>
      </c>
      <c r="I2239">
        <f t="shared" ca="1" si="429"/>
        <v>0</v>
      </c>
      <c r="J2239" s="8">
        <f t="shared" ca="1" si="430"/>
        <v>-78.690067525979785</v>
      </c>
      <c r="K2239" s="9" t="str">
        <f t="shared" ca="1" si="431"/>
        <v>S</v>
      </c>
      <c r="L2239">
        <f ca="1">+_xlfn.IFNA(VLOOKUP(M2239,BespokeWindowsAreas!$B$2:$E$1999,4,FALSE),VLOOKUP(E2239,WindowTypeArea!$B$2:$C$113,2,FALSE))</f>
        <v>3.9975000000000001</v>
      </c>
      <c r="M2239">
        <f t="shared" ca="1" si="432"/>
        <v>4928390</v>
      </c>
    </row>
    <row r="2240" spans="1:13" x14ac:dyDescent="0.25">
      <c r="A2240">
        <f t="shared" ca="1" si="425"/>
        <v>5</v>
      </c>
      <c r="B2240">
        <f t="shared" ca="1" si="426"/>
        <v>521</v>
      </c>
      <c r="C2240" t="str">
        <f t="shared" ca="1" si="433"/>
        <v>'WINDOWS-NCH-A-BDP-M3-03-00'!B520</v>
      </c>
      <c r="D2240" s="6" t="str">
        <f t="shared" ca="1" si="434"/>
        <v>L03-CIR-CIR-C008-01</v>
      </c>
      <c r="E2240" t="str">
        <f t="shared" ca="1" si="435"/>
        <v>Family Type: Curtain Wall_1950w x 3800h, Family: Window External Type 5 - Flush</v>
      </c>
      <c r="F2240" t="str">
        <f t="shared" ca="1" si="436"/>
        <v>Vector(X = 0.212, Y = -0.977, Z = 0.000, Length = 1.000)</v>
      </c>
      <c r="G2240">
        <f t="shared" ca="1" si="427"/>
        <v>0.2</v>
      </c>
      <c r="H2240">
        <f t="shared" ca="1" si="428"/>
        <v>-1</v>
      </c>
      <c r="I2240">
        <f t="shared" ca="1" si="429"/>
        <v>0</v>
      </c>
      <c r="J2240" s="8">
        <f t="shared" ca="1" si="430"/>
        <v>-78.690067525979785</v>
      </c>
      <c r="K2240" s="9" t="str">
        <f t="shared" ca="1" si="431"/>
        <v>S</v>
      </c>
      <c r="L2240">
        <f ca="1">+_xlfn.IFNA(VLOOKUP(M2240,BespokeWindowsAreas!$B$2:$E$1999,4,FALSE),VLOOKUP(E2240,WindowTypeArea!$B$2:$C$113,2,FALSE))</f>
        <v>7.9950000000000001</v>
      </c>
      <c r="M2240">
        <f t="shared" ca="1" si="432"/>
        <v>4928423</v>
      </c>
    </row>
    <row r="2241" spans="1:13" x14ac:dyDescent="0.25">
      <c r="A2241">
        <f t="shared" ca="1" si="425"/>
        <v>5</v>
      </c>
      <c r="B2241">
        <f t="shared" ca="1" si="426"/>
        <v>522</v>
      </c>
      <c r="C2241" t="str">
        <f t="shared" ca="1" si="433"/>
        <v>'WINDOWS-NCH-A-BDP-M3-03-00'!B521</v>
      </c>
      <c r="D2241" s="6" t="str">
        <f t="shared" ca="1" si="434"/>
        <v>L03-PLA-PLA-U1831-01</v>
      </c>
      <c r="E2241" t="str">
        <f t="shared" ca="1" si="435"/>
        <v>L03-PLA-PLA-U1831-01</v>
      </c>
      <c r="F2241">
        <f t="shared" ca="1" si="436"/>
        <v>1516135</v>
      </c>
      <c r="G2241">
        <f t="shared" ca="1" si="427"/>
        <v>0</v>
      </c>
      <c r="H2241">
        <f t="shared" ca="1" si="428"/>
        <v>0</v>
      </c>
      <c r="I2241">
        <f t="shared" ca="1" si="429"/>
        <v>0</v>
      </c>
      <c r="J2241" s="8" t="e">
        <f t="shared" ca="1" si="430"/>
        <v>#DIV/0!</v>
      </c>
      <c r="K2241" s="9" t="e">
        <f t="shared" ca="1" si="431"/>
        <v>#DIV/0!</v>
      </c>
      <c r="L2241" t="e">
        <f ca="1">+_xlfn.IFNA(VLOOKUP(M2241,BespokeWindowsAreas!$B$2:$E$1999,4,FALSE),VLOOKUP(E2241,WindowTypeArea!$B$2:$C$113,2,FALSE))</f>
        <v>#N/A</v>
      </c>
      <c r="M2241">
        <f t="shared" ca="1" si="432"/>
        <v>0</v>
      </c>
    </row>
    <row r="2242" spans="1:13" x14ac:dyDescent="0.25">
      <c r="A2242">
        <f t="shared" ca="1" si="425"/>
        <v>5</v>
      </c>
      <c r="B2242">
        <f t="shared" ca="1" si="426"/>
        <v>523</v>
      </c>
      <c r="C2242" t="str">
        <f t="shared" ca="1" si="433"/>
        <v>'WINDOWS-NCH-A-BDP-M3-03-00'!B522</v>
      </c>
      <c r="D2242" s="6" t="str">
        <f t="shared" ca="1" si="434"/>
        <v>L03-PLA-PLA-U1831-01</v>
      </c>
      <c r="E2242" t="str">
        <f t="shared" ca="1" si="435"/>
        <v>Family Type: Curtain Wall_975w x 3050h, Family: Panel External Type 1 - Flush</v>
      </c>
      <c r="F2242" t="str">
        <f t="shared" ca="1" si="436"/>
        <v>Vector(X = 0.977, Y = 0.212, Z = 0.000, Length = 1.000)</v>
      </c>
      <c r="G2242">
        <f t="shared" ca="1" si="427"/>
        <v>1</v>
      </c>
      <c r="H2242">
        <f t="shared" ca="1" si="428"/>
        <v>0.2</v>
      </c>
      <c r="I2242">
        <f t="shared" ca="1" si="429"/>
        <v>0</v>
      </c>
      <c r="J2242" s="8">
        <f t="shared" ca="1" si="430"/>
        <v>11.309932474020215</v>
      </c>
      <c r="K2242" s="9" t="str">
        <f t="shared" ca="1" si="431"/>
        <v>E</v>
      </c>
      <c r="L2242">
        <f ca="1">+_xlfn.IFNA(VLOOKUP(M2242,BespokeWindowsAreas!$B$2:$E$1999,4,FALSE),VLOOKUP(E2242,WindowTypeArea!$B$2:$C$113,2,FALSE))</f>
        <v>4.0412499999999998</v>
      </c>
      <c r="M2242">
        <f t="shared" ca="1" si="432"/>
        <v>4946667</v>
      </c>
    </row>
    <row r="2243" spans="1:13" x14ac:dyDescent="0.25">
      <c r="A2243">
        <f t="shared" ca="1" si="425"/>
        <v>5</v>
      </c>
      <c r="B2243">
        <f t="shared" ca="1" si="426"/>
        <v>524</v>
      </c>
      <c r="C2243" t="str">
        <f t="shared" ca="1" si="433"/>
        <v>'WINDOWS-NCH-A-BDP-M3-03-00'!B523</v>
      </c>
      <c r="D2243" s="6" t="str">
        <f t="shared" ca="1" si="434"/>
        <v>L03-PLA-PLA-U1831-01</v>
      </c>
      <c r="E2243" t="str">
        <f t="shared" ca="1" si="435"/>
        <v>Family Type: Curtain Wall_975w x 3050h, Family: Panel External Type 1 - Flush</v>
      </c>
      <c r="F2243" t="str">
        <f t="shared" ca="1" si="436"/>
        <v>Vector(X = 0.977, Y = 0.212, Z = 0.000, Length = 1.000)</v>
      </c>
      <c r="G2243">
        <f t="shared" ca="1" si="427"/>
        <v>1</v>
      </c>
      <c r="H2243">
        <f t="shared" ca="1" si="428"/>
        <v>0.2</v>
      </c>
      <c r="I2243">
        <f t="shared" ca="1" si="429"/>
        <v>0</v>
      </c>
      <c r="J2243" s="8">
        <f t="shared" ca="1" si="430"/>
        <v>11.309932474020215</v>
      </c>
      <c r="K2243" s="9" t="str">
        <f t="shared" ca="1" si="431"/>
        <v>E</v>
      </c>
      <c r="L2243">
        <f ca="1">+_xlfn.IFNA(VLOOKUP(M2243,BespokeWindowsAreas!$B$2:$E$1999,4,FALSE),VLOOKUP(E2243,WindowTypeArea!$B$2:$C$113,2,FALSE))</f>
        <v>2.9737499999999999</v>
      </c>
      <c r="M2243">
        <f t="shared" ca="1" si="432"/>
        <v>4946668</v>
      </c>
    </row>
    <row r="2244" spans="1:13" x14ac:dyDescent="0.25">
      <c r="A2244">
        <f t="shared" ca="1" si="425"/>
        <v>5</v>
      </c>
      <c r="B2244">
        <f t="shared" ca="1" si="426"/>
        <v>525</v>
      </c>
      <c r="C2244" t="str">
        <f t="shared" ca="1" si="433"/>
        <v>'WINDOWS-NCH-A-BDP-M3-03-00'!B524</v>
      </c>
      <c r="D2244" s="6" t="str">
        <f t="shared" ca="1" si="434"/>
        <v>L03-PLA-PLA-U1831-01</v>
      </c>
      <c r="E2244" t="str">
        <f t="shared" ca="1" si="435"/>
        <v>Family Type: Curtain Wall_975w x 3050h, Family: Panel External Type 1 - Flush</v>
      </c>
      <c r="F2244" t="str">
        <f t="shared" ca="1" si="436"/>
        <v>Vector(X = 0.977, Y = 0.212, Z = 0.000, Length = 1.000)</v>
      </c>
      <c r="G2244">
        <f t="shared" ca="1" si="427"/>
        <v>1</v>
      </c>
      <c r="H2244">
        <f t="shared" ca="1" si="428"/>
        <v>0.2</v>
      </c>
      <c r="I2244">
        <f t="shared" ca="1" si="429"/>
        <v>0</v>
      </c>
      <c r="J2244" s="8">
        <f t="shared" ca="1" si="430"/>
        <v>11.309932474020215</v>
      </c>
      <c r="K2244" s="9" t="str">
        <f t="shared" ca="1" si="431"/>
        <v>E</v>
      </c>
      <c r="L2244">
        <f ca="1">+_xlfn.IFNA(VLOOKUP(M2244,BespokeWindowsAreas!$B$2:$E$1999,4,FALSE),VLOOKUP(E2244,WindowTypeArea!$B$2:$C$113,2,FALSE))</f>
        <v>2.9737499999999999</v>
      </c>
      <c r="M2244">
        <f t="shared" ca="1" si="432"/>
        <v>4946669</v>
      </c>
    </row>
    <row r="2245" spans="1:13" x14ac:dyDescent="0.25">
      <c r="A2245">
        <f t="shared" ca="1" si="425"/>
        <v>5</v>
      </c>
      <c r="B2245">
        <f t="shared" ca="1" si="426"/>
        <v>526</v>
      </c>
      <c r="C2245" t="str">
        <f t="shared" ca="1" si="433"/>
        <v>'WINDOWS-NCH-A-BDP-M3-03-00'!B525</v>
      </c>
      <c r="D2245" s="6" t="str">
        <f t="shared" ca="1" si="434"/>
        <v>L03-PLA-PLA-U1831-01</v>
      </c>
      <c r="E2245" t="str">
        <f t="shared" ca="1" si="435"/>
        <v>Family Type: Curtain Wall_975w x 3050h, Family: Panel External Type 1 - Flush</v>
      </c>
      <c r="F2245" t="str">
        <f t="shared" ca="1" si="436"/>
        <v>Vector(X = 0.977, Y = 0.212, Z = 0.000, Length = 1.000)</v>
      </c>
      <c r="G2245">
        <f t="shared" ca="1" si="427"/>
        <v>1</v>
      </c>
      <c r="H2245">
        <f t="shared" ca="1" si="428"/>
        <v>0.2</v>
      </c>
      <c r="I2245">
        <f t="shared" ca="1" si="429"/>
        <v>0</v>
      </c>
      <c r="J2245" s="8">
        <f t="shared" ca="1" si="430"/>
        <v>11.309932474020215</v>
      </c>
      <c r="K2245" s="9" t="str">
        <f t="shared" ca="1" si="431"/>
        <v>E</v>
      </c>
      <c r="L2245">
        <f ca="1">+_xlfn.IFNA(VLOOKUP(M2245,BespokeWindowsAreas!$B$2:$E$1999,4,FALSE),VLOOKUP(E2245,WindowTypeArea!$B$2:$C$113,2,FALSE))</f>
        <v>2.9737499999999999</v>
      </c>
      <c r="M2245">
        <f t="shared" ca="1" si="432"/>
        <v>4946670</v>
      </c>
    </row>
    <row r="2246" spans="1:13" x14ac:dyDescent="0.25">
      <c r="A2246">
        <f t="shared" ca="1" si="425"/>
        <v>5</v>
      </c>
      <c r="B2246">
        <f t="shared" ca="1" si="426"/>
        <v>527</v>
      </c>
      <c r="C2246" t="str">
        <f t="shared" ca="1" si="433"/>
        <v>'WINDOWS-NCH-A-BDP-M3-03-00'!B526</v>
      </c>
      <c r="D2246" s="6" t="str">
        <f t="shared" ca="1" si="434"/>
        <v>L03-PLA-PLA-U1831-01</v>
      </c>
      <c r="E2246" t="str">
        <f t="shared" ca="1" si="435"/>
        <v>Family Type: Curtain Wall_975w x 3050h, Family: Panel External Type 1 - Flush</v>
      </c>
      <c r="F2246" t="str">
        <f t="shared" ca="1" si="436"/>
        <v>Vector(X = 0.977, Y = 0.212, Z = 0.000, Length = 1.000)</v>
      </c>
      <c r="G2246">
        <f t="shared" ca="1" si="427"/>
        <v>1</v>
      </c>
      <c r="H2246">
        <f t="shared" ca="1" si="428"/>
        <v>0.2</v>
      </c>
      <c r="I2246">
        <f t="shared" ca="1" si="429"/>
        <v>0</v>
      </c>
      <c r="J2246" s="8">
        <f t="shared" ca="1" si="430"/>
        <v>11.309932474020215</v>
      </c>
      <c r="K2246" s="9" t="str">
        <f t="shared" ca="1" si="431"/>
        <v>E</v>
      </c>
      <c r="L2246">
        <f ca="1">+_xlfn.IFNA(VLOOKUP(M2246,BespokeWindowsAreas!$B$2:$E$1999,4,FALSE),VLOOKUP(E2246,WindowTypeArea!$B$2:$C$113,2,FALSE))</f>
        <v>2.9737499999999999</v>
      </c>
      <c r="M2246">
        <f t="shared" ca="1" si="432"/>
        <v>4946671</v>
      </c>
    </row>
    <row r="2247" spans="1:13" x14ac:dyDescent="0.25">
      <c r="A2247">
        <f t="shared" ca="1" si="425"/>
        <v>5</v>
      </c>
      <c r="B2247">
        <f t="shared" ca="1" si="426"/>
        <v>528</v>
      </c>
      <c r="C2247" t="str">
        <f t="shared" ca="1" si="433"/>
        <v>'WINDOWS-NCH-A-BDP-M3-03-00'!B527</v>
      </c>
      <c r="D2247" s="6" t="str">
        <f t="shared" ca="1" si="434"/>
        <v>L03-PLA-PLA-U1831-01</v>
      </c>
      <c r="E2247" t="str">
        <f t="shared" ca="1" si="435"/>
        <v>Family Type: Curtain Wall_1950 x 4100, Family: Panel External Type 1 - Flush</v>
      </c>
      <c r="F2247" t="str">
        <f t="shared" ca="1" si="436"/>
        <v>Vector(X = 0.977, Y = 0.212, Z = 0.000, Length = 1.000)</v>
      </c>
      <c r="G2247">
        <f t="shared" ca="1" si="427"/>
        <v>1</v>
      </c>
      <c r="H2247">
        <f t="shared" ca="1" si="428"/>
        <v>0.2</v>
      </c>
      <c r="I2247">
        <f t="shared" ca="1" si="429"/>
        <v>0</v>
      </c>
      <c r="J2247" s="8">
        <f t="shared" ca="1" si="430"/>
        <v>11.309932474020215</v>
      </c>
      <c r="K2247" s="9" t="str">
        <f t="shared" ca="1" si="431"/>
        <v>E</v>
      </c>
      <c r="L2247">
        <f ca="1">+_xlfn.IFNA(VLOOKUP(M2247,BespokeWindowsAreas!$B$2:$E$1999,4,FALSE),VLOOKUP(E2247,WindowTypeArea!$B$2:$C$113,2,FALSE))</f>
        <v>7.9950000000000001</v>
      </c>
      <c r="M2247">
        <f t="shared" ca="1" si="432"/>
        <v>4946672</v>
      </c>
    </row>
    <row r="2248" spans="1:13" x14ac:dyDescent="0.25">
      <c r="A2248">
        <f t="shared" ca="1" si="425"/>
        <v>5</v>
      </c>
      <c r="B2248">
        <f t="shared" ca="1" si="426"/>
        <v>529</v>
      </c>
      <c r="C2248" t="str">
        <f t="shared" ca="1" si="433"/>
        <v>'WINDOWS-NCH-A-BDP-M3-03-00'!B528</v>
      </c>
      <c r="D2248" s="6" t="str">
        <f t="shared" ca="1" si="434"/>
        <v>L03-PLA-PLA-U1831-01</v>
      </c>
      <c r="E2248" t="str">
        <f t="shared" ca="1" si="435"/>
        <v>Family Type: Curtain Wall_975w x 3050h, Family: Panel External Type 1 - Flush</v>
      </c>
      <c r="F2248" t="str">
        <f t="shared" ca="1" si="436"/>
        <v>Vector(X = 0.977, Y = 0.212, Z = 0.000, Length = 1.000)</v>
      </c>
      <c r="G2248">
        <f t="shared" ca="1" si="427"/>
        <v>1</v>
      </c>
      <c r="H2248">
        <f t="shared" ca="1" si="428"/>
        <v>0.2</v>
      </c>
      <c r="I2248">
        <f t="shared" ca="1" si="429"/>
        <v>0</v>
      </c>
      <c r="J2248" s="8">
        <f t="shared" ca="1" si="430"/>
        <v>11.309932474020215</v>
      </c>
      <c r="K2248" s="9" t="str">
        <f t="shared" ca="1" si="431"/>
        <v>E</v>
      </c>
      <c r="L2248">
        <f ca="1">+_xlfn.IFNA(VLOOKUP(M2248,BespokeWindowsAreas!$B$2:$E$1999,4,FALSE),VLOOKUP(E2248,WindowTypeArea!$B$2:$C$113,2,FALSE))</f>
        <v>2.9737499999999999</v>
      </c>
      <c r="M2248">
        <f t="shared" ca="1" si="432"/>
        <v>4946696</v>
      </c>
    </row>
    <row r="2249" spans="1:13" x14ac:dyDescent="0.25">
      <c r="A2249">
        <f t="shared" ca="1" si="425"/>
        <v>5</v>
      </c>
      <c r="B2249">
        <f t="shared" ca="1" si="426"/>
        <v>530</v>
      </c>
      <c r="C2249" t="str">
        <f t="shared" ca="1" si="433"/>
        <v>'WINDOWS-NCH-A-BDP-M3-03-00'!B529</v>
      </c>
      <c r="D2249" s="6" t="str">
        <f t="shared" ca="1" si="434"/>
        <v>L03-PLA-PLA-U1831-01</v>
      </c>
      <c r="E2249" t="str">
        <f t="shared" ca="1" si="435"/>
        <v>Family Type: Curtain Wall_975w x 3050h, Family: Panel External Type 1 - Flush</v>
      </c>
      <c r="F2249" t="str">
        <f t="shared" ca="1" si="436"/>
        <v>Vector(X = 0.977, Y = 0.212, Z = 0.000, Length = 1.000)</v>
      </c>
      <c r="G2249">
        <f t="shared" ca="1" si="427"/>
        <v>1</v>
      </c>
      <c r="H2249">
        <f t="shared" ca="1" si="428"/>
        <v>0.2</v>
      </c>
      <c r="I2249">
        <f t="shared" ca="1" si="429"/>
        <v>0</v>
      </c>
      <c r="J2249" s="8">
        <f t="shared" ca="1" si="430"/>
        <v>11.309932474020215</v>
      </c>
      <c r="K2249" s="9" t="str">
        <f t="shared" ca="1" si="431"/>
        <v>E</v>
      </c>
      <c r="L2249">
        <f ca="1">+_xlfn.IFNA(VLOOKUP(M2249,BespokeWindowsAreas!$B$2:$E$1999,4,FALSE),VLOOKUP(E2249,WindowTypeArea!$B$2:$C$113,2,FALSE))</f>
        <v>2.9737499999999999</v>
      </c>
      <c r="M2249">
        <f t="shared" ca="1" si="432"/>
        <v>4946703</v>
      </c>
    </row>
    <row r="2250" spans="1:13" x14ac:dyDescent="0.25">
      <c r="A2250">
        <f t="shared" ca="1" si="425"/>
        <v>5</v>
      </c>
      <c r="B2250">
        <f t="shared" ca="1" si="426"/>
        <v>531</v>
      </c>
      <c r="C2250" t="str">
        <f t="shared" ca="1" si="433"/>
        <v>'WINDOWS-NCH-A-BDP-M3-03-00'!B530</v>
      </c>
      <c r="D2250" s="6" t="str">
        <f t="shared" ca="1" si="434"/>
        <v>L03-PLA-PLA-U1831-01</v>
      </c>
      <c r="E2250" t="str">
        <f t="shared" ca="1" si="435"/>
        <v>Family Type: Curtain Wall_975w x 3050h, Family: Panel External Type 1 - Flush</v>
      </c>
      <c r="F2250" t="str">
        <f t="shared" ca="1" si="436"/>
        <v>Vector(X = 0.977, Y = 0.212, Z = 0.000, Length = 1.000)</v>
      </c>
      <c r="G2250">
        <f t="shared" ca="1" si="427"/>
        <v>1</v>
      </c>
      <c r="H2250">
        <f t="shared" ca="1" si="428"/>
        <v>0.2</v>
      </c>
      <c r="I2250">
        <f t="shared" ca="1" si="429"/>
        <v>0</v>
      </c>
      <c r="J2250" s="8">
        <f t="shared" ca="1" si="430"/>
        <v>11.309932474020215</v>
      </c>
      <c r="K2250" s="9" t="str">
        <f t="shared" ca="1" si="431"/>
        <v>E</v>
      </c>
      <c r="L2250">
        <f ca="1">+_xlfn.IFNA(VLOOKUP(M2250,BespokeWindowsAreas!$B$2:$E$1999,4,FALSE),VLOOKUP(E2250,WindowTypeArea!$B$2:$C$113,2,FALSE))</f>
        <v>2.9737499999999999</v>
      </c>
      <c r="M2250">
        <f t="shared" ca="1" si="432"/>
        <v>4946710</v>
      </c>
    </row>
    <row r="2251" spans="1:13" x14ac:dyDescent="0.25">
      <c r="A2251">
        <f t="shared" ca="1" si="425"/>
        <v>5</v>
      </c>
      <c r="B2251">
        <f t="shared" ca="1" si="426"/>
        <v>532</v>
      </c>
      <c r="C2251" t="str">
        <f t="shared" ca="1" si="433"/>
        <v>'WINDOWS-NCH-A-BDP-M3-03-00'!B531</v>
      </c>
      <c r="D2251" s="6" t="str">
        <f t="shared" ca="1" si="434"/>
        <v>L03-PLA-PLA-U1831-01</v>
      </c>
      <c r="E2251" t="str">
        <f t="shared" ca="1" si="435"/>
        <v>Family Type: Curtain Wall_975w x 3050h, Family: Panel External Type 1 - Flush</v>
      </c>
      <c r="F2251" t="str">
        <f t="shared" ca="1" si="436"/>
        <v>Vector(X = 0.977, Y = 0.212, Z = 0.000, Length = 1.000)</v>
      </c>
      <c r="G2251">
        <f t="shared" ca="1" si="427"/>
        <v>1</v>
      </c>
      <c r="H2251">
        <f t="shared" ca="1" si="428"/>
        <v>0.2</v>
      </c>
      <c r="I2251">
        <f t="shared" ca="1" si="429"/>
        <v>0</v>
      </c>
      <c r="J2251" s="8">
        <f t="shared" ca="1" si="430"/>
        <v>11.309932474020215</v>
      </c>
      <c r="K2251" s="9" t="str">
        <f t="shared" ca="1" si="431"/>
        <v>E</v>
      </c>
      <c r="L2251">
        <f ca="1">+_xlfn.IFNA(VLOOKUP(M2251,BespokeWindowsAreas!$B$2:$E$1999,4,FALSE),VLOOKUP(E2251,WindowTypeArea!$B$2:$C$113,2,FALSE))</f>
        <v>2.9737499999999999</v>
      </c>
      <c r="M2251">
        <f t="shared" ca="1" si="432"/>
        <v>4946717</v>
      </c>
    </row>
    <row r="2252" spans="1:13" x14ac:dyDescent="0.25">
      <c r="A2252">
        <f t="shared" ca="1" si="425"/>
        <v>5</v>
      </c>
      <c r="B2252">
        <f t="shared" ca="1" si="426"/>
        <v>533</v>
      </c>
      <c r="C2252" t="str">
        <f t="shared" ca="1" si="433"/>
        <v>'WINDOWS-NCH-A-BDP-M3-03-00'!B532</v>
      </c>
      <c r="D2252" s="6" t="str">
        <f t="shared" ca="1" si="434"/>
        <v>L03-PLA-PLA-U1831-01</v>
      </c>
      <c r="E2252" t="str">
        <f t="shared" ca="1" si="435"/>
        <v>Family Type: Curtain Wall_1950 x 4100, Family: Panel External Type 1 - Flush</v>
      </c>
      <c r="F2252" t="str">
        <f t="shared" ca="1" si="436"/>
        <v>Vector(X = 0.977, Y = 0.212, Z = 0.000, Length = 1.000)</v>
      </c>
      <c r="G2252">
        <f t="shared" ca="1" si="427"/>
        <v>1</v>
      </c>
      <c r="H2252">
        <f t="shared" ca="1" si="428"/>
        <v>0.2</v>
      </c>
      <c r="I2252">
        <f t="shared" ca="1" si="429"/>
        <v>0</v>
      </c>
      <c r="J2252" s="8">
        <f t="shared" ca="1" si="430"/>
        <v>11.309932474020215</v>
      </c>
      <c r="K2252" s="9" t="str">
        <f t="shared" ca="1" si="431"/>
        <v>E</v>
      </c>
      <c r="L2252">
        <f ca="1">+_xlfn.IFNA(VLOOKUP(M2252,BespokeWindowsAreas!$B$2:$E$1999,4,FALSE),VLOOKUP(E2252,WindowTypeArea!$B$2:$C$113,2,FALSE))</f>
        <v>7.9950000000000001</v>
      </c>
      <c r="M2252">
        <f t="shared" ca="1" si="432"/>
        <v>4946757</v>
      </c>
    </row>
    <row r="2253" spans="1:13" x14ac:dyDescent="0.25">
      <c r="A2253">
        <f t="shared" ca="1" si="425"/>
        <v>5</v>
      </c>
      <c r="B2253">
        <f t="shared" ca="1" si="426"/>
        <v>534</v>
      </c>
      <c r="C2253" t="str">
        <f t="shared" ca="1" si="433"/>
        <v>'WINDOWS-NCH-A-BDP-M3-03-00'!B533</v>
      </c>
      <c r="D2253" s="6" t="str">
        <f t="shared" ca="1" si="434"/>
        <v>L03-PLA-PLA-U1831-01</v>
      </c>
      <c r="E2253" t="str">
        <f t="shared" ca="1" si="435"/>
        <v>Family Type: Curtain Wall_975w x 3050h, Family: Panel External Type 1 - Flush</v>
      </c>
      <c r="F2253" t="str">
        <f t="shared" ca="1" si="436"/>
        <v>Vector(X = 0.977, Y = 0.212, Z = 0.000, Length = 1.000)</v>
      </c>
      <c r="G2253">
        <f t="shared" ca="1" si="427"/>
        <v>1</v>
      </c>
      <c r="H2253">
        <f t="shared" ca="1" si="428"/>
        <v>0.2</v>
      </c>
      <c r="I2253">
        <f t="shared" ca="1" si="429"/>
        <v>0</v>
      </c>
      <c r="J2253" s="8">
        <f t="shared" ca="1" si="430"/>
        <v>11.309932474020215</v>
      </c>
      <c r="K2253" s="9" t="str">
        <f t="shared" ca="1" si="431"/>
        <v>E</v>
      </c>
      <c r="L2253">
        <f ca="1">+_xlfn.IFNA(VLOOKUP(M2253,BespokeWindowsAreas!$B$2:$E$1999,4,FALSE),VLOOKUP(E2253,WindowTypeArea!$B$2:$C$113,2,FALSE))</f>
        <v>2.9737499999999999</v>
      </c>
      <c r="M2253">
        <f t="shared" ca="1" si="432"/>
        <v>4946800</v>
      </c>
    </row>
    <row r="2254" spans="1:13" x14ac:dyDescent="0.25">
      <c r="A2254">
        <f t="shared" ca="1" si="425"/>
        <v>5</v>
      </c>
      <c r="B2254">
        <f t="shared" ca="1" si="426"/>
        <v>535</v>
      </c>
      <c r="C2254" t="str">
        <f t="shared" ca="1" si="433"/>
        <v>'WINDOWS-NCH-A-BDP-M3-03-00'!B534</v>
      </c>
      <c r="D2254" s="6" t="str">
        <f t="shared" ca="1" si="434"/>
        <v>L03-PLA-PLA-U1831-01</v>
      </c>
      <c r="E2254" t="str">
        <f t="shared" ca="1" si="435"/>
        <v>Family Type: Curtain Wall_975w x 3050h, Family: Panel External Type 1 - Flush</v>
      </c>
      <c r="F2254" t="str">
        <f t="shared" ca="1" si="436"/>
        <v>Vector(X = 0.977, Y = 0.212, Z = 0.000, Length = 1.000)</v>
      </c>
      <c r="G2254">
        <f t="shared" ca="1" si="427"/>
        <v>1</v>
      </c>
      <c r="H2254">
        <f t="shared" ca="1" si="428"/>
        <v>0.2</v>
      </c>
      <c r="I2254">
        <f t="shared" ca="1" si="429"/>
        <v>0</v>
      </c>
      <c r="J2254" s="8">
        <f t="shared" ca="1" si="430"/>
        <v>11.309932474020215</v>
      </c>
      <c r="K2254" s="9" t="str">
        <f t="shared" ca="1" si="431"/>
        <v>E</v>
      </c>
      <c r="L2254">
        <f ca="1">+_xlfn.IFNA(VLOOKUP(M2254,BespokeWindowsAreas!$B$2:$E$1999,4,FALSE),VLOOKUP(E2254,WindowTypeArea!$B$2:$C$113,2,FALSE))</f>
        <v>2.9737499999999999</v>
      </c>
      <c r="M2254">
        <f t="shared" ca="1" si="432"/>
        <v>4946807</v>
      </c>
    </row>
    <row r="2255" spans="1:13" x14ac:dyDescent="0.25">
      <c r="A2255">
        <f t="shared" ca="1" si="425"/>
        <v>5</v>
      </c>
      <c r="B2255">
        <f t="shared" ca="1" si="426"/>
        <v>536</v>
      </c>
      <c r="C2255" t="str">
        <f t="shared" ca="1" si="433"/>
        <v>'WINDOWS-NCH-A-BDP-M3-03-00'!B535</v>
      </c>
      <c r="D2255" s="6" t="str">
        <f t="shared" ca="1" si="434"/>
        <v>L03-PLA-PLA-U1831-01</v>
      </c>
      <c r="E2255" t="str">
        <f t="shared" ca="1" si="435"/>
        <v>Family Type: Curtain Wall_975w x 3050h, Family: Panel External Type 1 - Flush</v>
      </c>
      <c r="F2255" t="str">
        <f t="shared" ca="1" si="436"/>
        <v>Vector(X = 0.977, Y = 0.212, Z = 0.000, Length = 1.000)</v>
      </c>
      <c r="G2255">
        <f t="shared" ca="1" si="427"/>
        <v>1</v>
      </c>
      <c r="H2255">
        <f t="shared" ca="1" si="428"/>
        <v>0.2</v>
      </c>
      <c r="I2255">
        <f t="shared" ca="1" si="429"/>
        <v>0</v>
      </c>
      <c r="J2255" s="8">
        <f t="shared" ca="1" si="430"/>
        <v>11.309932474020215</v>
      </c>
      <c r="K2255" s="9" t="str">
        <f t="shared" ca="1" si="431"/>
        <v>E</v>
      </c>
      <c r="L2255">
        <f ca="1">+_xlfn.IFNA(VLOOKUP(M2255,BespokeWindowsAreas!$B$2:$E$1999,4,FALSE),VLOOKUP(E2255,WindowTypeArea!$B$2:$C$113,2,FALSE))</f>
        <v>2.9737499999999999</v>
      </c>
      <c r="M2255">
        <f t="shared" ca="1" si="432"/>
        <v>4946814</v>
      </c>
    </row>
    <row r="2256" spans="1:13" x14ac:dyDescent="0.25">
      <c r="A2256">
        <f t="shared" ca="1" si="425"/>
        <v>5</v>
      </c>
      <c r="B2256">
        <f t="shared" ca="1" si="426"/>
        <v>537</v>
      </c>
      <c r="C2256" t="str">
        <f t="shared" ca="1" si="433"/>
        <v>'WINDOWS-NCH-A-BDP-M3-03-00'!B536</v>
      </c>
      <c r="D2256" s="6" t="str">
        <f t="shared" ca="1" si="434"/>
        <v>L03-PLA-PLA-U1831-01</v>
      </c>
      <c r="E2256" t="str">
        <f t="shared" ca="1" si="435"/>
        <v>Family Type: Curtain Wall_1950 x 4100, Family: Panel External Type 1 - Flush</v>
      </c>
      <c r="F2256" t="str">
        <f t="shared" ca="1" si="436"/>
        <v>Vector(X = 0.977, Y = 0.212, Z = 0.000, Length = 1.000)</v>
      </c>
      <c r="G2256">
        <f t="shared" ca="1" si="427"/>
        <v>1</v>
      </c>
      <c r="H2256">
        <f t="shared" ca="1" si="428"/>
        <v>0.2</v>
      </c>
      <c r="I2256">
        <f t="shared" ca="1" si="429"/>
        <v>0</v>
      </c>
      <c r="J2256" s="8">
        <f t="shared" ca="1" si="430"/>
        <v>11.309932474020215</v>
      </c>
      <c r="K2256" s="9" t="str">
        <f t="shared" ca="1" si="431"/>
        <v>E</v>
      </c>
      <c r="L2256">
        <f ca="1">+_xlfn.IFNA(VLOOKUP(M2256,BespokeWindowsAreas!$B$2:$E$1999,4,FALSE),VLOOKUP(E2256,WindowTypeArea!$B$2:$C$113,2,FALSE))</f>
        <v>7.9950000000000001</v>
      </c>
      <c r="M2256">
        <f t="shared" ca="1" si="432"/>
        <v>4946858</v>
      </c>
    </row>
    <row r="2257" spans="1:13" x14ac:dyDescent="0.25">
      <c r="A2257">
        <f t="shared" ca="1" si="425"/>
        <v>5</v>
      </c>
      <c r="B2257">
        <f t="shared" ca="1" si="426"/>
        <v>538</v>
      </c>
      <c r="C2257" t="str">
        <f t="shared" ca="1" si="433"/>
        <v>'WINDOWS-NCH-A-BDP-M3-03-00'!B537</v>
      </c>
      <c r="D2257" s="6" t="str">
        <f t="shared" ca="1" si="434"/>
        <v>L03-PLA-PLA-U1831-01</v>
      </c>
      <c r="E2257" t="str">
        <f t="shared" ca="1" si="435"/>
        <v>Family Type: Curtain Wall_975w x 3050h, Family: Panel External Type 1 - Flush</v>
      </c>
      <c r="F2257" t="str">
        <f t="shared" ca="1" si="436"/>
        <v>Vector(X = 0.977, Y = 0.212, Z = 0.000, Length = 1.000)</v>
      </c>
      <c r="G2257">
        <f t="shared" ca="1" si="427"/>
        <v>1</v>
      </c>
      <c r="H2257">
        <f t="shared" ca="1" si="428"/>
        <v>0.2</v>
      </c>
      <c r="I2257">
        <f t="shared" ca="1" si="429"/>
        <v>0</v>
      </c>
      <c r="J2257" s="8">
        <f t="shared" ca="1" si="430"/>
        <v>11.309932474020215</v>
      </c>
      <c r="K2257" s="9" t="str">
        <f t="shared" ca="1" si="431"/>
        <v>E</v>
      </c>
      <c r="L2257">
        <f ca="1">+_xlfn.IFNA(VLOOKUP(M2257,BespokeWindowsAreas!$B$2:$E$1999,4,FALSE),VLOOKUP(E2257,WindowTypeArea!$B$2:$C$113,2,FALSE))</f>
        <v>2.9737499999999999</v>
      </c>
      <c r="M2257">
        <f t="shared" ca="1" si="432"/>
        <v>4946901</v>
      </c>
    </row>
    <row r="2258" spans="1:13" x14ac:dyDescent="0.25">
      <c r="A2258">
        <f t="shared" ca="1" si="425"/>
        <v>5</v>
      </c>
      <c r="B2258">
        <f t="shared" ca="1" si="426"/>
        <v>539</v>
      </c>
      <c r="C2258" t="str">
        <f t="shared" ca="1" si="433"/>
        <v>'WINDOWS-NCH-A-BDP-M3-03-00'!B538</v>
      </c>
      <c r="D2258" s="6" t="str">
        <f t="shared" ca="1" si="434"/>
        <v>L03-PLA-PLA-U1831-01</v>
      </c>
      <c r="E2258" t="str">
        <f t="shared" ca="1" si="435"/>
        <v>Family Type: Curtain Wall_975w x 3050h, Family: Panel External Type 1 - Flush</v>
      </c>
      <c r="F2258" t="str">
        <f t="shared" ca="1" si="436"/>
        <v>Vector(X = 0.977, Y = 0.212, Z = 0.000, Length = 1.000)</v>
      </c>
      <c r="G2258">
        <f t="shared" ca="1" si="427"/>
        <v>1</v>
      </c>
      <c r="H2258">
        <f t="shared" ca="1" si="428"/>
        <v>0.2</v>
      </c>
      <c r="I2258">
        <f t="shared" ca="1" si="429"/>
        <v>0</v>
      </c>
      <c r="J2258" s="8">
        <f t="shared" ca="1" si="430"/>
        <v>11.309932474020215</v>
      </c>
      <c r="K2258" s="9" t="str">
        <f t="shared" ca="1" si="431"/>
        <v>E</v>
      </c>
      <c r="L2258">
        <f ca="1">+_xlfn.IFNA(VLOOKUP(M2258,BespokeWindowsAreas!$B$2:$E$1999,4,FALSE),VLOOKUP(E2258,WindowTypeArea!$B$2:$C$113,2,FALSE))</f>
        <v>2.9737499999999999</v>
      </c>
      <c r="M2258">
        <f t="shared" ca="1" si="432"/>
        <v>4946908</v>
      </c>
    </row>
    <row r="2259" spans="1:13" x14ac:dyDescent="0.25">
      <c r="A2259">
        <f t="shared" ca="1" si="425"/>
        <v>5</v>
      </c>
      <c r="B2259">
        <f t="shared" ca="1" si="426"/>
        <v>540</v>
      </c>
      <c r="C2259" t="str">
        <f t="shared" ca="1" si="433"/>
        <v>'WINDOWS-NCH-A-BDP-M3-03-00'!B539</v>
      </c>
      <c r="D2259" s="6" t="str">
        <f t="shared" ca="1" si="434"/>
        <v>L03-PLA-PLA-U1831-01</v>
      </c>
      <c r="E2259" t="str">
        <f t="shared" ca="1" si="435"/>
        <v>Family Type: Curtain Wall_1950 x 4100, Family: Panel External Type 1 - Flush</v>
      </c>
      <c r="F2259" t="str">
        <f t="shared" ca="1" si="436"/>
        <v>Vector(X = 0.977, Y = 0.212, Z = 0.000, Length = 1.000)</v>
      </c>
      <c r="G2259">
        <f t="shared" ca="1" si="427"/>
        <v>1</v>
      </c>
      <c r="H2259">
        <f t="shared" ca="1" si="428"/>
        <v>0.2</v>
      </c>
      <c r="I2259">
        <f t="shared" ca="1" si="429"/>
        <v>0</v>
      </c>
      <c r="J2259" s="8">
        <f t="shared" ca="1" si="430"/>
        <v>11.309932474020215</v>
      </c>
      <c r="K2259" s="9" t="str">
        <f t="shared" ca="1" si="431"/>
        <v>E</v>
      </c>
      <c r="L2259">
        <f ca="1">+_xlfn.IFNA(VLOOKUP(M2259,BespokeWindowsAreas!$B$2:$E$1999,4,FALSE),VLOOKUP(E2259,WindowTypeArea!$B$2:$C$113,2,FALSE))</f>
        <v>7.9950000000000001</v>
      </c>
      <c r="M2259">
        <f t="shared" ca="1" si="432"/>
        <v>4946940</v>
      </c>
    </row>
    <row r="2260" spans="1:13" x14ac:dyDescent="0.25">
      <c r="A2260">
        <f t="shared" ref="A2260:A2323" ca="1" si="437">+IF(B2259&lt;=VLOOKUP(MID(C2260,2,26),TABS,2,FALSE),A2259,+A2259+1)</f>
        <v>5</v>
      </c>
      <c r="B2260">
        <f t="shared" ref="B2260:B2323" ca="1" si="438">+IF(B2259&lt;=VLOOKUP(MID(C2260,2,26),TABS,2,FALSE),B2259+1,1)</f>
        <v>541</v>
      </c>
      <c r="C2260" t="str">
        <f t="shared" ca="1" si="433"/>
        <v>'WINDOWS-NCH-A-BDP-M3-03-00'!B540</v>
      </c>
      <c r="D2260" s="6" t="str">
        <f t="shared" ca="1" si="434"/>
        <v>L03-PLA-PLA-U1831-01</v>
      </c>
      <c r="E2260" t="str">
        <f t="shared" ca="1" si="435"/>
        <v>Family Type: Curtain Wall_975w x 3050h, Family: Panel External Type 1 - Flush</v>
      </c>
      <c r="F2260" t="str">
        <f t="shared" ca="1" si="436"/>
        <v>Vector(X = 0.977, Y = 0.212, Z = 0.000, Length = 1.000)</v>
      </c>
      <c r="G2260">
        <f t="shared" ca="1" si="427"/>
        <v>1</v>
      </c>
      <c r="H2260">
        <f t="shared" ca="1" si="428"/>
        <v>0.2</v>
      </c>
      <c r="I2260">
        <f t="shared" ca="1" si="429"/>
        <v>0</v>
      </c>
      <c r="J2260" s="8">
        <f t="shared" ca="1" si="430"/>
        <v>11.309932474020215</v>
      </c>
      <c r="K2260" s="9" t="str">
        <f t="shared" ca="1" si="431"/>
        <v>E</v>
      </c>
      <c r="L2260">
        <f ca="1">+_xlfn.IFNA(VLOOKUP(M2260,BespokeWindowsAreas!$B$2:$E$1999,4,FALSE),VLOOKUP(E2260,WindowTypeArea!$B$2:$C$113,2,FALSE))</f>
        <v>2.9737499999999999</v>
      </c>
      <c r="M2260">
        <f t="shared" ca="1" si="432"/>
        <v>4946978</v>
      </c>
    </row>
    <row r="2261" spans="1:13" x14ac:dyDescent="0.25">
      <c r="A2261">
        <f t="shared" ca="1" si="437"/>
        <v>5</v>
      </c>
      <c r="B2261">
        <f t="shared" ca="1" si="438"/>
        <v>542</v>
      </c>
      <c r="C2261" t="str">
        <f t="shared" ca="1" si="433"/>
        <v>'WINDOWS-NCH-A-BDP-M3-03-00'!B541</v>
      </c>
      <c r="D2261" s="6" t="str">
        <f t="shared" ca="1" si="434"/>
        <v>L03-PLA-PLA-U1831-01</v>
      </c>
      <c r="E2261" t="str">
        <f t="shared" ca="1" si="435"/>
        <v>Family Type: Curtain Wall_1950 x 4100, Family: Panel External Type 1 - Flush</v>
      </c>
      <c r="F2261" t="str">
        <f t="shared" ca="1" si="436"/>
        <v>Vector(X = 0.977, Y = 0.212, Z = 0.000, Length = 1.000)</v>
      </c>
      <c r="G2261">
        <f t="shared" ca="1" si="427"/>
        <v>1</v>
      </c>
      <c r="H2261">
        <f t="shared" ca="1" si="428"/>
        <v>0.2</v>
      </c>
      <c r="I2261">
        <f t="shared" ca="1" si="429"/>
        <v>0</v>
      </c>
      <c r="J2261" s="8">
        <f t="shared" ca="1" si="430"/>
        <v>11.309932474020215</v>
      </c>
      <c r="K2261" s="9" t="str">
        <f t="shared" ca="1" si="431"/>
        <v>E</v>
      </c>
      <c r="L2261">
        <f ca="1">+_xlfn.IFNA(VLOOKUP(M2261,BespokeWindowsAreas!$B$2:$E$1999,4,FALSE),VLOOKUP(E2261,WindowTypeArea!$B$2:$C$113,2,FALSE))</f>
        <v>7.9950000000000001</v>
      </c>
      <c r="M2261">
        <f t="shared" ca="1" si="432"/>
        <v>4947028</v>
      </c>
    </row>
    <row r="2262" spans="1:13" x14ac:dyDescent="0.25">
      <c r="A2262">
        <f t="shared" ca="1" si="437"/>
        <v>5</v>
      </c>
      <c r="B2262">
        <f t="shared" ca="1" si="438"/>
        <v>543</v>
      </c>
      <c r="C2262" t="str">
        <f t="shared" ca="1" si="433"/>
        <v>'WINDOWS-NCH-A-BDP-M3-03-00'!B542</v>
      </c>
      <c r="D2262" s="6" t="str">
        <f t="shared" ca="1" si="434"/>
        <v>L03-PLA-PLA-U1831-01</v>
      </c>
      <c r="E2262" t="str">
        <f t="shared" ca="1" si="435"/>
        <v>Family Type: Curtain Wall_975w x 3050h, Family: Panel External Type 1 - Flush</v>
      </c>
      <c r="F2262" t="str">
        <f t="shared" ca="1" si="436"/>
        <v>Vector(X = 0.977, Y = 0.212, Z = 0.000, Length = 1.000)</v>
      </c>
      <c r="G2262">
        <f t="shared" ref="G2262:G2325" ca="1" si="439">+OFFSET(INDIRECT(C2262),0,2)</f>
        <v>1</v>
      </c>
      <c r="H2262">
        <f t="shared" ref="H2262:H2325" ca="1" si="440">+OFFSET(INDIRECT(C2262),0,3)</f>
        <v>0.2</v>
      </c>
      <c r="I2262">
        <f t="shared" ref="I2262:I2325" ca="1" si="441">+OFFSET(INDIRECT(C2262),0,4)</f>
        <v>0</v>
      </c>
      <c r="J2262" s="8">
        <f t="shared" ref="J2262:J2325" ca="1" si="442">+DEGREES(ATAN2(G2262,H2262))</f>
        <v>11.309932474020215</v>
      </c>
      <c r="K2262" s="9" t="str">
        <f t="shared" ref="K2262:K2325" ca="1" si="443">VLOOKUP(J2262,$O$20:$P$36,2,-1)</f>
        <v>E</v>
      </c>
      <c r="L2262">
        <f ca="1">+_xlfn.IFNA(VLOOKUP(M2262,BespokeWindowsAreas!$B$2:$E$1999,4,FALSE),VLOOKUP(E2262,WindowTypeArea!$B$2:$C$113,2,FALSE))</f>
        <v>2.9737499999999999</v>
      </c>
      <c r="M2262">
        <f t="shared" ref="M2262:M2325" ca="1" si="444">+OFFSET(INDIRECT(C2262),0,5)</f>
        <v>4947072</v>
      </c>
    </row>
    <row r="2263" spans="1:13" x14ac:dyDescent="0.25">
      <c r="A2263">
        <f t="shared" ca="1" si="437"/>
        <v>5</v>
      </c>
      <c r="B2263">
        <f t="shared" ca="1" si="438"/>
        <v>544</v>
      </c>
      <c r="C2263" t="str">
        <f t="shared" ca="1" si="433"/>
        <v>'WINDOWS-NCH-A-BDP-M3-03-00'!B543</v>
      </c>
      <c r="D2263" s="6" t="str">
        <f t="shared" ca="1" si="434"/>
        <v>L03-PLA-PLA-U1831-01</v>
      </c>
      <c r="E2263" t="str">
        <f t="shared" ca="1" si="435"/>
        <v>Family Type: Curtain Wall_1950 x 4100, Family: Panel External Type 1 - Flush</v>
      </c>
      <c r="F2263" t="str">
        <f t="shared" ca="1" si="436"/>
        <v>Vector(X = 0.977, Y = 0.212, Z = 0.000, Length = 1.000)</v>
      </c>
      <c r="G2263">
        <f t="shared" ca="1" si="439"/>
        <v>1</v>
      </c>
      <c r="H2263">
        <f t="shared" ca="1" si="440"/>
        <v>0.2</v>
      </c>
      <c r="I2263">
        <f t="shared" ca="1" si="441"/>
        <v>0</v>
      </c>
      <c r="J2263" s="8">
        <f t="shared" ca="1" si="442"/>
        <v>11.309932474020215</v>
      </c>
      <c r="K2263" s="9" t="str">
        <f t="shared" ca="1" si="443"/>
        <v>E</v>
      </c>
      <c r="L2263">
        <f ca="1">+_xlfn.IFNA(VLOOKUP(M2263,BespokeWindowsAreas!$B$2:$E$1999,4,FALSE),VLOOKUP(E2263,WindowTypeArea!$B$2:$C$113,2,FALSE))</f>
        <v>7.9950000000000001</v>
      </c>
      <c r="M2263">
        <f t="shared" ca="1" si="444"/>
        <v>4947101</v>
      </c>
    </row>
    <row r="2264" spans="1:13" x14ac:dyDescent="0.25">
      <c r="A2264">
        <f t="shared" ca="1" si="437"/>
        <v>5</v>
      </c>
      <c r="B2264">
        <f t="shared" ca="1" si="438"/>
        <v>545</v>
      </c>
      <c r="C2264" t="str">
        <f t="shared" ca="1" si="433"/>
        <v>'WINDOWS-NCH-A-BDP-M3-03-00'!B544</v>
      </c>
      <c r="D2264" s="6" t="str">
        <f t="shared" ca="1" si="434"/>
        <v>L03-PLA-PLA-U1831-01</v>
      </c>
      <c r="E2264" t="str">
        <f t="shared" ca="1" si="435"/>
        <v>Family Type: Curtain Wall_1950 x 4100, Family: Panel External Type 1 - Flush</v>
      </c>
      <c r="F2264" t="str">
        <f t="shared" ca="1" si="436"/>
        <v>Vector(X = 0.977, Y = 0.212, Z = 0.000, Length = 1.000)</v>
      </c>
      <c r="G2264">
        <f t="shared" ca="1" si="439"/>
        <v>1</v>
      </c>
      <c r="H2264">
        <f t="shared" ca="1" si="440"/>
        <v>0.2</v>
      </c>
      <c r="I2264">
        <f t="shared" ca="1" si="441"/>
        <v>0</v>
      </c>
      <c r="J2264" s="8">
        <f t="shared" ca="1" si="442"/>
        <v>11.309932474020215</v>
      </c>
      <c r="K2264" s="9" t="str">
        <f t="shared" ca="1" si="443"/>
        <v>E</v>
      </c>
      <c r="L2264">
        <f ca="1">+_xlfn.IFNA(VLOOKUP(M2264,BespokeWindowsAreas!$B$2:$E$1999,4,FALSE),VLOOKUP(E2264,WindowTypeArea!$B$2:$C$113,2,FALSE))</f>
        <v>7.9950000000000001</v>
      </c>
      <c r="M2264">
        <f t="shared" ca="1" si="444"/>
        <v>4947108</v>
      </c>
    </row>
    <row r="2265" spans="1:13" x14ac:dyDescent="0.25">
      <c r="A2265">
        <f t="shared" ca="1" si="437"/>
        <v>5</v>
      </c>
      <c r="B2265">
        <f t="shared" ca="1" si="438"/>
        <v>546</v>
      </c>
      <c r="C2265" t="str">
        <f t="shared" ca="1" si="433"/>
        <v>'WINDOWS-NCH-A-BDP-M3-03-00'!B545</v>
      </c>
      <c r="D2265" s="6" t="str">
        <f t="shared" ca="1" si="434"/>
        <v>L03-PLA-PLA-U1831-01</v>
      </c>
      <c r="E2265" t="str">
        <f t="shared" ca="1" si="435"/>
        <v>Family Type: Curtain Wall_975w x 3050h, Family: Panel External Type 1 - Flush</v>
      </c>
      <c r="F2265" t="str">
        <f t="shared" ca="1" si="436"/>
        <v>Vector(X = 0.977, Y = 0.212, Z = 0.000, Length = 1.000)</v>
      </c>
      <c r="G2265">
        <f t="shared" ca="1" si="439"/>
        <v>1</v>
      </c>
      <c r="H2265">
        <f t="shared" ca="1" si="440"/>
        <v>0.2</v>
      </c>
      <c r="I2265">
        <f t="shared" ca="1" si="441"/>
        <v>0</v>
      </c>
      <c r="J2265" s="8">
        <f t="shared" ca="1" si="442"/>
        <v>11.309932474020215</v>
      </c>
      <c r="K2265" s="9" t="str">
        <f t="shared" ca="1" si="443"/>
        <v>E</v>
      </c>
      <c r="L2265">
        <f ca="1">+_xlfn.IFNA(VLOOKUP(M2265,BespokeWindowsAreas!$B$2:$E$1999,4,FALSE),VLOOKUP(E2265,WindowTypeArea!$B$2:$C$113,2,FALSE))</f>
        <v>2.9737499999999999</v>
      </c>
      <c r="M2265">
        <f t="shared" ca="1" si="444"/>
        <v>4947150</v>
      </c>
    </row>
    <row r="2266" spans="1:13" x14ac:dyDescent="0.25">
      <c r="A2266">
        <f t="shared" ca="1" si="437"/>
        <v>5</v>
      </c>
      <c r="B2266">
        <f t="shared" ca="1" si="438"/>
        <v>547</v>
      </c>
      <c r="C2266" t="str">
        <f t="shared" ca="1" si="433"/>
        <v>'WINDOWS-NCH-A-BDP-M3-03-00'!B546</v>
      </c>
      <c r="D2266" s="6" t="str">
        <f t="shared" ca="1" si="434"/>
        <v>L03-PLA-PLA-U1831-01</v>
      </c>
      <c r="E2266" t="str">
        <f t="shared" ca="1" si="435"/>
        <v>Family Type: Curtain Wall_1950 x 4100, Family: Panel External Type 1 - Flush</v>
      </c>
      <c r="F2266" t="str">
        <f t="shared" ca="1" si="436"/>
        <v>Vector(X = 0.977, Y = 0.212, Z = 0.000, Length = 1.000)</v>
      </c>
      <c r="G2266">
        <f t="shared" ca="1" si="439"/>
        <v>1</v>
      </c>
      <c r="H2266">
        <f t="shared" ca="1" si="440"/>
        <v>0.2</v>
      </c>
      <c r="I2266">
        <f t="shared" ca="1" si="441"/>
        <v>0</v>
      </c>
      <c r="J2266" s="8">
        <f t="shared" ca="1" si="442"/>
        <v>11.309932474020215</v>
      </c>
      <c r="K2266" s="9" t="str">
        <f t="shared" ca="1" si="443"/>
        <v>E</v>
      </c>
      <c r="L2266">
        <f ca="1">+_xlfn.IFNA(VLOOKUP(M2266,BespokeWindowsAreas!$B$2:$E$1999,4,FALSE),VLOOKUP(E2266,WindowTypeArea!$B$2:$C$113,2,FALSE))</f>
        <v>7.9950000000000001</v>
      </c>
      <c r="M2266">
        <f t="shared" ca="1" si="444"/>
        <v>4947186</v>
      </c>
    </row>
    <row r="2267" spans="1:13" x14ac:dyDescent="0.25">
      <c r="A2267">
        <f t="shared" ca="1" si="437"/>
        <v>5</v>
      </c>
      <c r="B2267">
        <f t="shared" ca="1" si="438"/>
        <v>548</v>
      </c>
      <c r="C2267" t="str">
        <f t="shared" ca="1" si="433"/>
        <v>'WINDOWS-NCH-A-BDP-M3-03-00'!B547</v>
      </c>
      <c r="D2267" s="6" t="str">
        <f t="shared" ca="1" si="434"/>
        <v>L03-PLA-PLA-U1831-01</v>
      </c>
      <c r="E2267" t="str">
        <f t="shared" ca="1" si="435"/>
        <v>Family Type: Curtain Wall_1950 x 4100, Family: Panel External Type 1 - Flush</v>
      </c>
      <c r="F2267" t="str">
        <f t="shared" ca="1" si="436"/>
        <v>Vector(X = 0.977, Y = 0.212, Z = 0.000, Length = 1.000)</v>
      </c>
      <c r="G2267">
        <f t="shared" ca="1" si="439"/>
        <v>1</v>
      </c>
      <c r="H2267">
        <f t="shared" ca="1" si="440"/>
        <v>0.2</v>
      </c>
      <c r="I2267">
        <f t="shared" ca="1" si="441"/>
        <v>0</v>
      </c>
      <c r="J2267" s="8">
        <f t="shared" ca="1" si="442"/>
        <v>11.309932474020215</v>
      </c>
      <c r="K2267" s="9" t="str">
        <f t="shared" ca="1" si="443"/>
        <v>E</v>
      </c>
      <c r="L2267">
        <f ca="1">+_xlfn.IFNA(VLOOKUP(M2267,BespokeWindowsAreas!$B$2:$E$1999,4,FALSE),VLOOKUP(E2267,WindowTypeArea!$B$2:$C$113,2,FALSE))</f>
        <v>7.9950000000000001</v>
      </c>
      <c r="M2267">
        <f t="shared" ca="1" si="444"/>
        <v>4947193</v>
      </c>
    </row>
    <row r="2268" spans="1:13" x14ac:dyDescent="0.25">
      <c r="A2268">
        <f t="shared" ca="1" si="437"/>
        <v>5</v>
      </c>
      <c r="B2268">
        <f t="shared" ca="1" si="438"/>
        <v>549</v>
      </c>
      <c r="C2268" t="str">
        <f t="shared" ca="1" si="433"/>
        <v>'WINDOWS-NCH-A-BDP-M3-03-00'!B548</v>
      </c>
      <c r="D2268" s="6" t="str">
        <f t="shared" ca="1" si="434"/>
        <v>L03-PLA-PLA-U1831-01</v>
      </c>
      <c r="E2268" t="str">
        <f t="shared" ca="1" si="435"/>
        <v>Family Type: Curtain Wall_1950 x 4100, Family: Panel External Type 1 - Flush</v>
      </c>
      <c r="F2268" t="str">
        <f t="shared" ca="1" si="436"/>
        <v>Vector(X = 0.977, Y = 0.212, Z = 0.000, Length = 1.000)</v>
      </c>
      <c r="G2268">
        <f t="shared" ca="1" si="439"/>
        <v>1</v>
      </c>
      <c r="H2268">
        <f t="shared" ca="1" si="440"/>
        <v>0.2</v>
      </c>
      <c r="I2268">
        <f t="shared" ca="1" si="441"/>
        <v>0</v>
      </c>
      <c r="J2268" s="8">
        <f t="shared" ca="1" si="442"/>
        <v>11.309932474020215</v>
      </c>
      <c r="K2268" s="9" t="str">
        <f t="shared" ca="1" si="443"/>
        <v>E</v>
      </c>
      <c r="L2268">
        <f ca="1">+_xlfn.IFNA(VLOOKUP(M2268,BespokeWindowsAreas!$B$2:$E$1999,4,FALSE),VLOOKUP(E2268,WindowTypeArea!$B$2:$C$113,2,FALSE))</f>
        <v>7.9950000000000001</v>
      </c>
      <c r="M2268">
        <f t="shared" ca="1" si="444"/>
        <v>4947200</v>
      </c>
    </row>
    <row r="2269" spans="1:13" x14ac:dyDescent="0.25">
      <c r="A2269">
        <f t="shared" ca="1" si="437"/>
        <v>5</v>
      </c>
      <c r="B2269">
        <f t="shared" ca="1" si="438"/>
        <v>550</v>
      </c>
      <c r="C2269" t="str">
        <f t="shared" ca="1" si="433"/>
        <v>'WINDOWS-NCH-A-BDP-M3-03-00'!B549</v>
      </c>
      <c r="D2269" s="6" t="str">
        <f t="shared" ca="1" si="434"/>
        <v>L03-PLA-PLA-U1831-01</v>
      </c>
      <c r="E2269" t="str">
        <f t="shared" ca="1" si="435"/>
        <v>Family Type: Curtain Wall_975w x 3050h, Family: Panel External Type 1 - Flush</v>
      </c>
      <c r="F2269" t="str">
        <f t="shared" ca="1" si="436"/>
        <v>Vector(X = 0.977, Y = 0.212, Z = 0.000, Length = 1.000)</v>
      </c>
      <c r="G2269">
        <f t="shared" ca="1" si="439"/>
        <v>1</v>
      </c>
      <c r="H2269">
        <f t="shared" ca="1" si="440"/>
        <v>0.2</v>
      </c>
      <c r="I2269">
        <f t="shared" ca="1" si="441"/>
        <v>0</v>
      </c>
      <c r="J2269" s="8">
        <f t="shared" ca="1" si="442"/>
        <v>11.309932474020215</v>
      </c>
      <c r="K2269" s="9" t="str">
        <f t="shared" ca="1" si="443"/>
        <v>E</v>
      </c>
      <c r="L2269">
        <f ca="1">+_xlfn.IFNA(VLOOKUP(M2269,BespokeWindowsAreas!$B$2:$E$1999,4,FALSE),VLOOKUP(E2269,WindowTypeArea!$B$2:$C$113,2,FALSE))</f>
        <v>2.9737499999999999</v>
      </c>
      <c r="M2269">
        <f t="shared" ca="1" si="444"/>
        <v>4947237</v>
      </c>
    </row>
    <row r="2270" spans="1:13" x14ac:dyDescent="0.25">
      <c r="A2270">
        <f t="shared" ca="1" si="437"/>
        <v>5</v>
      </c>
      <c r="B2270">
        <f t="shared" ca="1" si="438"/>
        <v>551</v>
      </c>
      <c r="C2270" t="str">
        <f t="shared" ca="1" si="433"/>
        <v>'WINDOWS-NCH-A-BDP-M3-03-00'!B550</v>
      </c>
      <c r="D2270" s="6" t="str">
        <f t="shared" ca="1" si="434"/>
        <v>L03-PLA-PLA-U1831-01</v>
      </c>
      <c r="E2270" t="str">
        <f t="shared" ca="1" si="435"/>
        <v>Family Type: Curtain Wall_1950 x 4100, Family: Panel External Type 1 - Flush</v>
      </c>
      <c r="F2270" t="str">
        <f t="shared" ca="1" si="436"/>
        <v>Vector(X = 0.977, Y = 0.212, Z = 0.000, Length = 1.000)</v>
      </c>
      <c r="G2270">
        <f t="shared" ca="1" si="439"/>
        <v>1</v>
      </c>
      <c r="H2270">
        <f t="shared" ca="1" si="440"/>
        <v>0.2</v>
      </c>
      <c r="I2270">
        <f t="shared" ca="1" si="441"/>
        <v>0</v>
      </c>
      <c r="J2270" s="8">
        <f t="shared" ca="1" si="442"/>
        <v>11.309932474020215</v>
      </c>
      <c r="K2270" s="9" t="str">
        <f t="shared" ca="1" si="443"/>
        <v>E</v>
      </c>
      <c r="L2270">
        <f ca="1">+_xlfn.IFNA(VLOOKUP(M2270,BespokeWindowsAreas!$B$2:$E$1999,4,FALSE),VLOOKUP(E2270,WindowTypeArea!$B$2:$C$113,2,FALSE))</f>
        <v>7.9950000000000001</v>
      </c>
      <c r="M2270">
        <f t="shared" ca="1" si="444"/>
        <v>4947269</v>
      </c>
    </row>
    <row r="2271" spans="1:13" x14ac:dyDescent="0.25">
      <c r="A2271">
        <f t="shared" ca="1" si="437"/>
        <v>5</v>
      </c>
      <c r="B2271">
        <f t="shared" ca="1" si="438"/>
        <v>552</v>
      </c>
      <c r="C2271" t="str">
        <f t="shared" ca="1" si="433"/>
        <v>'WINDOWS-NCH-A-BDP-M3-03-00'!B551</v>
      </c>
      <c r="D2271" s="6" t="str">
        <f t="shared" ca="1" si="434"/>
        <v>L03-PLA-PLA-U1831-01</v>
      </c>
      <c r="E2271" t="str">
        <f t="shared" ca="1" si="435"/>
        <v>Family Type: Curtain Wall_1950 x 4100, Family: Panel External Type 1 - Flush</v>
      </c>
      <c r="F2271" t="str">
        <f t="shared" ca="1" si="436"/>
        <v>Vector(X = 0.977, Y = 0.212, Z = 0.000, Length = 1.000)</v>
      </c>
      <c r="G2271">
        <f t="shared" ca="1" si="439"/>
        <v>1</v>
      </c>
      <c r="H2271">
        <f t="shared" ca="1" si="440"/>
        <v>0.2</v>
      </c>
      <c r="I2271">
        <f t="shared" ca="1" si="441"/>
        <v>0</v>
      </c>
      <c r="J2271" s="8">
        <f t="shared" ca="1" si="442"/>
        <v>11.309932474020215</v>
      </c>
      <c r="K2271" s="9" t="str">
        <f t="shared" ca="1" si="443"/>
        <v>E</v>
      </c>
      <c r="L2271">
        <f ca="1">+_xlfn.IFNA(VLOOKUP(M2271,BespokeWindowsAreas!$B$2:$E$1999,4,FALSE),VLOOKUP(E2271,WindowTypeArea!$B$2:$C$113,2,FALSE))</f>
        <v>7.9950000000000001</v>
      </c>
      <c r="M2271">
        <f t="shared" ca="1" si="444"/>
        <v>4947908</v>
      </c>
    </row>
    <row r="2272" spans="1:13" x14ac:dyDescent="0.25">
      <c r="A2272">
        <f t="shared" ca="1" si="437"/>
        <v>5</v>
      </c>
      <c r="B2272">
        <f t="shared" ca="1" si="438"/>
        <v>553</v>
      </c>
      <c r="C2272" t="str">
        <f t="shared" ca="1" si="433"/>
        <v>'WINDOWS-NCH-A-BDP-M3-03-00'!B552</v>
      </c>
      <c r="D2272" s="6" t="str">
        <f t="shared" ca="1" si="434"/>
        <v>L03-PLA-PLA-U1831-01</v>
      </c>
      <c r="E2272" t="str">
        <f t="shared" ca="1" si="435"/>
        <v>Family Type: Curtain Wall_1950 x 4100, Family: Panel External Type 1 - Flush</v>
      </c>
      <c r="F2272" t="str">
        <f t="shared" ca="1" si="436"/>
        <v>Vector(X = 0.977, Y = 0.212, Z = 0.000, Length = 1.000)</v>
      </c>
      <c r="G2272">
        <f t="shared" ca="1" si="439"/>
        <v>1</v>
      </c>
      <c r="H2272">
        <f t="shared" ca="1" si="440"/>
        <v>0.2</v>
      </c>
      <c r="I2272">
        <f t="shared" ca="1" si="441"/>
        <v>0</v>
      </c>
      <c r="J2272" s="8">
        <f t="shared" ca="1" si="442"/>
        <v>11.309932474020215</v>
      </c>
      <c r="K2272" s="9" t="str">
        <f t="shared" ca="1" si="443"/>
        <v>E</v>
      </c>
      <c r="L2272">
        <f ca="1">+_xlfn.IFNA(VLOOKUP(M2272,BespokeWindowsAreas!$B$2:$E$1999,4,FALSE),VLOOKUP(E2272,WindowTypeArea!$B$2:$C$113,2,FALSE))</f>
        <v>7.9950000000000001</v>
      </c>
      <c r="M2272">
        <f t="shared" ca="1" si="444"/>
        <v>4947915</v>
      </c>
    </row>
    <row r="2273" spans="1:13" x14ac:dyDescent="0.25">
      <c r="A2273">
        <f t="shared" ca="1" si="437"/>
        <v>5</v>
      </c>
      <c r="B2273">
        <f t="shared" ca="1" si="438"/>
        <v>554</v>
      </c>
      <c r="C2273" t="str">
        <f t="shared" ca="1" si="433"/>
        <v>'WINDOWS-NCH-A-BDP-M3-03-00'!B553</v>
      </c>
      <c r="D2273" s="6" t="str">
        <f t="shared" ca="1" si="434"/>
        <v>L03-PLA-PLA-U1831-01</v>
      </c>
      <c r="E2273" t="str">
        <f t="shared" ca="1" si="435"/>
        <v>Family Type: Curtain Wall_1950 x 4100, Family: Panel External Type 1 - Flush</v>
      </c>
      <c r="F2273" t="str">
        <f t="shared" ca="1" si="436"/>
        <v>Vector(X = 0.977, Y = 0.212, Z = 0.000, Length = 1.000)</v>
      </c>
      <c r="G2273">
        <f t="shared" ca="1" si="439"/>
        <v>1</v>
      </c>
      <c r="H2273">
        <f t="shared" ca="1" si="440"/>
        <v>0.2</v>
      </c>
      <c r="I2273">
        <f t="shared" ca="1" si="441"/>
        <v>0</v>
      </c>
      <c r="J2273" s="8">
        <f t="shared" ca="1" si="442"/>
        <v>11.309932474020215</v>
      </c>
      <c r="K2273" s="9" t="str">
        <f t="shared" ca="1" si="443"/>
        <v>E</v>
      </c>
      <c r="L2273">
        <f ca="1">+_xlfn.IFNA(VLOOKUP(M2273,BespokeWindowsAreas!$B$2:$E$1999,4,FALSE),VLOOKUP(E2273,WindowTypeArea!$B$2:$C$113,2,FALSE))</f>
        <v>7.9950000000000001</v>
      </c>
      <c r="M2273">
        <f t="shared" ca="1" si="444"/>
        <v>4947922</v>
      </c>
    </row>
    <row r="2274" spans="1:13" x14ac:dyDescent="0.25">
      <c r="A2274">
        <f t="shared" ca="1" si="437"/>
        <v>5</v>
      </c>
      <c r="B2274">
        <f t="shared" ca="1" si="438"/>
        <v>555</v>
      </c>
      <c r="C2274" t="str">
        <f t="shared" ca="1" si="433"/>
        <v>'WINDOWS-NCH-A-BDP-M3-03-00'!B554</v>
      </c>
      <c r="D2274" s="6" t="str">
        <f t="shared" ca="1" si="434"/>
        <v>L03-PLA-PLA-U1831-01</v>
      </c>
      <c r="E2274" t="str">
        <f t="shared" ca="1" si="435"/>
        <v>Family Type: Curtain Wall_1950 x 4100, Family: Panel External Type 1 - Flush</v>
      </c>
      <c r="F2274" t="str">
        <f t="shared" ca="1" si="436"/>
        <v>Vector(X = 0.977, Y = 0.212, Z = 0.000, Length = 1.000)</v>
      </c>
      <c r="G2274">
        <f t="shared" ca="1" si="439"/>
        <v>1</v>
      </c>
      <c r="H2274">
        <f t="shared" ca="1" si="440"/>
        <v>0.2</v>
      </c>
      <c r="I2274">
        <f t="shared" ca="1" si="441"/>
        <v>0</v>
      </c>
      <c r="J2274" s="8">
        <f t="shared" ca="1" si="442"/>
        <v>11.309932474020215</v>
      </c>
      <c r="K2274" s="9" t="str">
        <f t="shared" ca="1" si="443"/>
        <v>E</v>
      </c>
      <c r="L2274">
        <f ca="1">+_xlfn.IFNA(VLOOKUP(M2274,BespokeWindowsAreas!$B$2:$E$1999,4,FALSE),VLOOKUP(E2274,WindowTypeArea!$B$2:$C$113,2,FALSE))</f>
        <v>7.9950000000000001</v>
      </c>
      <c r="M2274">
        <f t="shared" ca="1" si="444"/>
        <v>4947929</v>
      </c>
    </row>
    <row r="2275" spans="1:13" x14ac:dyDescent="0.25">
      <c r="A2275">
        <f t="shared" ca="1" si="437"/>
        <v>5</v>
      </c>
      <c r="B2275">
        <f t="shared" ca="1" si="438"/>
        <v>556</v>
      </c>
      <c r="C2275" t="str">
        <f t="shared" ca="1" si="433"/>
        <v>'WINDOWS-NCH-A-BDP-M3-03-00'!B555</v>
      </c>
      <c r="D2275" s="6" t="str">
        <f t="shared" ca="1" si="434"/>
        <v>L03-PLA-PLA-U1831-01</v>
      </c>
      <c r="E2275" t="str">
        <f t="shared" ca="1" si="435"/>
        <v>Family Type: Curtain Wall_975w x 3050h, Family: Panel External Type 1 - Flush</v>
      </c>
      <c r="F2275" t="str">
        <f t="shared" ca="1" si="436"/>
        <v>Vector(X = 0.977, Y = 0.212, Z = 0.000, Length = 1.000)</v>
      </c>
      <c r="G2275">
        <f t="shared" ca="1" si="439"/>
        <v>1</v>
      </c>
      <c r="H2275">
        <f t="shared" ca="1" si="440"/>
        <v>0.2</v>
      </c>
      <c r="I2275">
        <f t="shared" ca="1" si="441"/>
        <v>0</v>
      </c>
      <c r="J2275" s="8">
        <f t="shared" ca="1" si="442"/>
        <v>11.309932474020215</v>
      </c>
      <c r="K2275" s="9" t="str">
        <f t="shared" ca="1" si="443"/>
        <v>E</v>
      </c>
      <c r="L2275">
        <f ca="1">+_xlfn.IFNA(VLOOKUP(M2275,BespokeWindowsAreas!$B$2:$E$1999,4,FALSE),VLOOKUP(E2275,WindowTypeArea!$B$2:$C$113,2,FALSE))</f>
        <v>2.9737499999999999</v>
      </c>
      <c r="M2275">
        <f t="shared" ca="1" si="444"/>
        <v>4947951</v>
      </c>
    </row>
    <row r="2276" spans="1:13" x14ac:dyDescent="0.25">
      <c r="A2276">
        <f t="shared" ca="1" si="437"/>
        <v>5</v>
      </c>
      <c r="B2276">
        <f t="shared" ca="1" si="438"/>
        <v>557</v>
      </c>
      <c r="C2276" t="str">
        <f t="shared" ca="1" si="433"/>
        <v>'WINDOWS-NCH-A-BDP-M3-03-00'!B556</v>
      </c>
      <c r="D2276" s="6" t="str">
        <f t="shared" ca="1" si="434"/>
        <v>L03-PLA-PLA-U1831-01</v>
      </c>
      <c r="E2276" t="str">
        <f t="shared" ca="1" si="435"/>
        <v>Family Type: Curtain Wall_1950 x 4100, Family: Panel External Type 1 - Flush</v>
      </c>
      <c r="F2276" t="str">
        <f t="shared" ca="1" si="436"/>
        <v>Vector(X = 0.977, Y = 0.212, Z = 0.000, Length = 1.000)</v>
      </c>
      <c r="G2276">
        <f t="shared" ca="1" si="439"/>
        <v>1</v>
      </c>
      <c r="H2276">
        <f t="shared" ca="1" si="440"/>
        <v>0.2</v>
      </c>
      <c r="I2276">
        <f t="shared" ca="1" si="441"/>
        <v>0</v>
      </c>
      <c r="J2276" s="8">
        <f t="shared" ca="1" si="442"/>
        <v>11.309932474020215</v>
      </c>
      <c r="K2276" s="9" t="str">
        <f t="shared" ca="1" si="443"/>
        <v>E</v>
      </c>
      <c r="L2276">
        <f ca="1">+_xlfn.IFNA(VLOOKUP(M2276,BespokeWindowsAreas!$B$2:$E$1999,4,FALSE),VLOOKUP(E2276,WindowTypeArea!$B$2:$C$113,2,FALSE))</f>
        <v>7.9950000000000001</v>
      </c>
      <c r="M2276">
        <f t="shared" ca="1" si="444"/>
        <v>4948053</v>
      </c>
    </row>
    <row r="2277" spans="1:13" x14ac:dyDescent="0.25">
      <c r="A2277">
        <f t="shared" ca="1" si="437"/>
        <v>5</v>
      </c>
      <c r="B2277">
        <f t="shared" ca="1" si="438"/>
        <v>558</v>
      </c>
      <c r="C2277" t="str">
        <f t="shared" ca="1" si="433"/>
        <v>'WINDOWS-NCH-A-BDP-M3-03-00'!B557</v>
      </c>
      <c r="D2277" s="6" t="str">
        <f t="shared" ca="1" si="434"/>
        <v>L03-PLA-PLA-U1831-01</v>
      </c>
      <c r="E2277" t="str">
        <f t="shared" ca="1" si="435"/>
        <v>Family Type: Curtain Wall_1950 x 4100, Family: Panel External Type 1 - Flush</v>
      </c>
      <c r="F2277" t="str">
        <f t="shared" ca="1" si="436"/>
        <v>Vector(X = 0.977, Y = 0.212, Z = 0.000, Length = 1.000)</v>
      </c>
      <c r="G2277">
        <f t="shared" ca="1" si="439"/>
        <v>1</v>
      </c>
      <c r="H2277">
        <f t="shared" ca="1" si="440"/>
        <v>0.2</v>
      </c>
      <c r="I2277">
        <f t="shared" ca="1" si="441"/>
        <v>0</v>
      </c>
      <c r="J2277" s="8">
        <f t="shared" ca="1" si="442"/>
        <v>11.309932474020215</v>
      </c>
      <c r="K2277" s="9" t="str">
        <f t="shared" ca="1" si="443"/>
        <v>E</v>
      </c>
      <c r="L2277">
        <f ca="1">+_xlfn.IFNA(VLOOKUP(M2277,BespokeWindowsAreas!$B$2:$E$1999,4,FALSE),VLOOKUP(E2277,WindowTypeArea!$B$2:$C$113,2,FALSE))</f>
        <v>7.9950000000000001</v>
      </c>
      <c r="M2277">
        <f t="shared" ca="1" si="444"/>
        <v>4948060</v>
      </c>
    </row>
    <row r="2278" spans="1:13" x14ac:dyDescent="0.25">
      <c r="A2278">
        <f t="shared" ca="1" si="437"/>
        <v>5</v>
      </c>
      <c r="B2278">
        <f t="shared" ca="1" si="438"/>
        <v>559</v>
      </c>
      <c r="C2278" t="str">
        <f t="shared" ca="1" si="433"/>
        <v>'WINDOWS-NCH-A-BDP-M3-03-00'!B558</v>
      </c>
      <c r="D2278" s="6" t="str">
        <f t="shared" ca="1" si="434"/>
        <v>L03-PLA-PLA-U1831-01</v>
      </c>
      <c r="E2278" t="str">
        <f t="shared" ca="1" si="435"/>
        <v>Family Type: Curtain Wall_1950 x 4100, Family: Panel External Type 1 - Flush</v>
      </c>
      <c r="F2278" t="str">
        <f t="shared" ca="1" si="436"/>
        <v>Vector(X = 0.977, Y = 0.212, Z = 0.000, Length = 1.000)</v>
      </c>
      <c r="G2278">
        <f t="shared" ca="1" si="439"/>
        <v>1</v>
      </c>
      <c r="H2278">
        <f t="shared" ca="1" si="440"/>
        <v>0.2</v>
      </c>
      <c r="I2278">
        <f t="shared" ca="1" si="441"/>
        <v>0</v>
      </c>
      <c r="J2278" s="8">
        <f t="shared" ca="1" si="442"/>
        <v>11.309932474020215</v>
      </c>
      <c r="K2278" s="9" t="str">
        <f t="shared" ca="1" si="443"/>
        <v>E</v>
      </c>
      <c r="L2278">
        <f ca="1">+_xlfn.IFNA(VLOOKUP(M2278,BespokeWindowsAreas!$B$2:$E$1999,4,FALSE),VLOOKUP(E2278,WindowTypeArea!$B$2:$C$113,2,FALSE))</f>
        <v>7.9950000000000001</v>
      </c>
      <c r="M2278">
        <f t="shared" ca="1" si="444"/>
        <v>4948067</v>
      </c>
    </row>
    <row r="2279" spans="1:13" x14ac:dyDescent="0.25">
      <c r="A2279">
        <f t="shared" ca="1" si="437"/>
        <v>5</v>
      </c>
      <c r="B2279">
        <f t="shared" ca="1" si="438"/>
        <v>560</v>
      </c>
      <c r="C2279" t="str">
        <f t="shared" ca="1" si="433"/>
        <v>'WINDOWS-NCH-A-BDP-M3-03-00'!B559</v>
      </c>
      <c r="D2279" s="6" t="str">
        <f t="shared" ca="1" si="434"/>
        <v>L03-PLA-PLA-U1831-01</v>
      </c>
      <c r="E2279" t="str">
        <f t="shared" ca="1" si="435"/>
        <v>Family Type: Curtain Wall_1950 x 4100, Family: Panel External Type 1 - Flush</v>
      </c>
      <c r="F2279" t="str">
        <f t="shared" ca="1" si="436"/>
        <v>Vector(X = 0.977, Y = 0.212, Z = 0.000, Length = 1.000)</v>
      </c>
      <c r="G2279">
        <f t="shared" ca="1" si="439"/>
        <v>1</v>
      </c>
      <c r="H2279">
        <f t="shared" ca="1" si="440"/>
        <v>0.2</v>
      </c>
      <c r="I2279">
        <f t="shared" ca="1" si="441"/>
        <v>0</v>
      </c>
      <c r="J2279" s="8">
        <f t="shared" ca="1" si="442"/>
        <v>11.309932474020215</v>
      </c>
      <c r="K2279" s="9" t="str">
        <f t="shared" ca="1" si="443"/>
        <v>E</v>
      </c>
      <c r="L2279">
        <f ca="1">+_xlfn.IFNA(VLOOKUP(M2279,BespokeWindowsAreas!$B$2:$E$1999,4,FALSE),VLOOKUP(E2279,WindowTypeArea!$B$2:$C$113,2,FALSE))</f>
        <v>7.9950000000000001</v>
      </c>
      <c r="M2279">
        <f t="shared" ca="1" si="444"/>
        <v>4948074</v>
      </c>
    </row>
    <row r="2280" spans="1:13" x14ac:dyDescent="0.25">
      <c r="A2280">
        <f t="shared" ca="1" si="437"/>
        <v>5</v>
      </c>
      <c r="B2280">
        <f t="shared" ca="1" si="438"/>
        <v>561</v>
      </c>
      <c r="C2280" t="str">
        <f t="shared" ca="1" si="433"/>
        <v>'WINDOWS-NCH-A-BDP-M3-03-00'!B560</v>
      </c>
      <c r="D2280" s="6" t="str">
        <f t="shared" ca="1" si="434"/>
        <v>L03-PLA-PLA-U1831-01</v>
      </c>
      <c r="E2280" t="str">
        <f t="shared" ca="1" si="435"/>
        <v>Family Type: Curtain Wall_1950 x 4100, Family: Panel External Type 1 - Flush</v>
      </c>
      <c r="F2280" t="str">
        <f t="shared" ca="1" si="436"/>
        <v>Vector(X = 0.977, Y = 0.212, Z = 0.000, Length = 1.000)</v>
      </c>
      <c r="G2280">
        <f t="shared" ca="1" si="439"/>
        <v>1</v>
      </c>
      <c r="H2280">
        <f t="shared" ca="1" si="440"/>
        <v>0.2</v>
      </c>
      <c r="I2280">
        <f t="shared" ca="1" si="441"/>
        <v>0</v>
      </c>
      <c r="J2280" s="8">
        <f t="shared" ca="1" si="442"/>
        <v>11.309932474020215</v>
      </c>
      <c r="K2280" s="9" t="str">
        <f t="shared" ca="1" si="443"/>
        <v>E</v>
      </c>
      <c r="L2280">
        <f ca="1">+_xlfn.IFNA(VLOOKUP(M2280,BespokeWindowsAreas!$B$2:$E$1999,4,FALSE),VLOOKUP(E2280,WindowTypeArea!$B$2:$C$113,2,FALSE))</f>
        <v>7.9950000000000001</v>
      </c>
      <c r="M2280">
        <f t="shared" ca="1" si="444"/>
        <v>4948081</v>
      </c>
    </row>
    <row r="2281" spans="1:13" x14ac:dyDescent="0.25">
      <c r="A2281">
        <f t="shared" ca="1" si="437"/>
        <v>5</v>
      </c>
      <c r="B2281">
        <f t="shared" ca="1" si="438"/>
        <v>562</v>
      </c>
      <c r="C2281" t="str">
        <f t="shared" ca="1" si="433"/>
        <v>'WINDOWS-NCH-A-BDP-M3-03-00'!B561</v>
      </c>
      <c r="D2281" s="6" t="str">
        <f t="shared" ca="1" si="434"/>
        <v>L03-PLA-PLA-U1831-01</v>
      </c>
      <c r="E2281" t="str">
        <f t="shared" ca="1" si="435"/>
        <v>Family Type: Curtain Wall_1950 x 4100, Family: Panel External Type 1 - Flush</v>
      </c>
      <c r="F2281" t="str">
        <f t="shared" ca="1" si="436"/>
        <v>Vector(X = 0.977, Y = 0.212, Z = 0.000, Length = 1.000)</v>
      </c>
      <c r="G2281">
        <f t="shared" ca="1" si="439"/>
        <v>1</v>
      </c>
      <c r="H2281">
        <f t="shared" ca="1" si="440"/>
        <v>0.2</v>
      </c>
      <c r="I2281">
        <f t="shared" ca="1" si="441"/>
        <v>0</v>
      </c>
      <c r="J2281" s="8">
        <f t="shared" ca="1" si="442"/>
        <v>11.309932474020215</v>
      </c>
      <c r="K2281" s="9" t="str">
        <f t="shared" ca="1" si="443"/>
        <v>E</v>
      </c>
      <c r="L2281">
        <f ca="1">+_xlfn.IFNA(VLOOKUP(M2281,BespokeWindowsAreas!$B$2:$E$1999,4,FALSE),VLOOKUP(E2281,WindowTypeArea!$B$2:$C$113,2,FALSE))</f>
        <v>7.9950000000000001</v>
      </c>
      <c r="M2281">
        <f t="shared" ca="1" si="444"/>
        <v>4948088</v>
      </c>
    </row>
    <row r="2282" spans="1:13" x14ac:dyDescent="0.25">
      <c r="A2282">
        <f t="shared" ca="1" si="437"/>
        <v>5</v>
      </c>
      <c r="B2282">
        <f t="shared" ca="1" si="438"/>
        <v>563</v>
      </c>
      <c r="C2282" t="str">
        <f t="shared" ca="1" si="433"/>
        <v>'WINDOWS-NCH-A-BDP-M3-03-00'!B562</v>
      </c>
      <c r="D2282" s="6" t="str">
        <f t="shared" ca="1" si="434"/>
        <v>L03-PLA-PLA-U1831-01</v>
      </c>
      <c r="E2282" t="str">
        <f t="shared" ca="1" si="435"/>
        <v>Family Type: Curtain Wall_1950 x 4100, Family: Panel External Type 1 - Flush</v>
      </c>
      <c r="F2282" t="str">
        <f t="shared" ca="1" si="436"/>
        <v>Vector(X = 0.977, Y = 0.212, Z = 0.000, Length = 1.000)</v>
      </c>
      <c r="G2282">
        <f t="shared" ca="1" si="439"/>
        <v>1</v>
      </c>
      <c r="H2282">
        <f t="shared" ca="1" si="440"/>
        <v>0.2</v>
      </c>
      <c r="I2282">
        <f t="shared" ca="1" si="441"/>
        <v>0</v>
      </c>
      <c r="J2282" s="8">
        <f t="shared" ca="1" si="442"/>
        <v>11.309932474020215</v>
      </c>
      <c r="K2282" s="9" t="str">
        <f t="shared" ca="1" si="443"/>
        <v>E</v>
      </c>
      <c r="L2282">
        <f ca="1">+_xlfn.IFNA(VLOOKUP(M2282,BespokeWindowsAreas!$B$2:$E$1999,4,FALSE),VLOOKUP(E2282,WindowTypeArea!$B$2:$C$113,2,FALSE))</f>
        <v>8.7125000000000004</v>
      </c>
      <c r="M2282">
        <f t="shared" ca="1" si="444"/>
        <v>4957075</v>
      </c>
    </row>
    <row r="2283" spans="1:13" x14ac:dyDescent="0.25">
      <c r="A2283">
        <f t="shared" ca="1" si="437"/>
        <v>5</v>
      </c>
      <c r="B2283">
        <f t="shared" ca="1" si="438"/>
        <v>564</v>
      </c>
      <c r="C2283" t="str">
        <f t="shared" ref="C2283:C2346" ca="1" si="445">+"'"&amp;INDIRECT("a"&amp;A2282)&amp;"'!B"&amp;B2282</f>
        <v>'WINDOWS-NCH-A-BDP-M3-03-00'!B563</v>
      </c>
      <c r="D2283" s="6" t="str">
        <f t="shared" ref="D2283:D2346" ca="1" si="446">+IF(IFERROR(FIND("Family",E2283)&gt;0,FALSE),D2282,E2283)</f>
        <v>L03-PLA-PLA-U1831-01</v>
      </c>
      <c r="E2283" t="str">
        <f t="shared" ref="E2283:E2346" ca="1" si="447">+OFFSET(INDIRECT(C2283),0,0)</f>
        <v>Family Type: Curtain Wall_975w x 3050h, Family: Panel External Type 1 - Flush</v>
      </c>
      <c r="F2283" t="str">
        <f t="shared" ref="F2283:F2346" ca="1" si="448">+OFFSET(INDIRECT(C2283),0,1)</f>
        <v>Vector(X = 0.977, Y = 0.212, Z = 0.000, Length = 1.000)</v>
      </c>
      <c r="G2283">
        <f t="shared" ca="1" si="439"/>
        <v>1</v>
      </c>
      <c r="H2283">
        <f t="shared" ca="1" si="440"/>
        <v>0.2</v>
      </c>
      <c r="I2283">
        <f t="shared" ca="1" si="441"/>
        <v>0</v>
      </c>
      <c r="J2283" s="8">
        <f t="shared" ca="1" si="442"/>
        <v>11.309932474020215</v>
      </c>
      <c r="K2283" s="9" t="str">
        <f t="shared" ca="1" si="443"/>
        <v>E</v>
      </c>
      <c r="L2283">
        <f ca="1">+_xlfn.IFNA(VLOOKUP(M2283,BespokeWindowsAreas!$B$2:$E$1999,4,FALSE),VLOOKUP(E2283,WindowTypeArea!$B$2:$C$113,2,FALSE))</f>
        <v>3.355</v>
      </c>
      <c r="M2283">
        <f t="shared" ca="1" si="444"/>
        <v>5078581</v>
      </c>
    </row>
    <row r="2284" spans="1:13" x14ac:dyDescent="0.25">
      <c r="A2284">
        <f t="shared" ca="1" si="437"/>
        <v>5</v>
      </c>
      <c r="B2284">
        <f t="shared" ca="1" si="438"/>
        <v>565</v>
      </c>
      <c r="C2284" t="str">
        <f t="shared" ca="1" si="445"/>
        <v>'WINDOWS-NCH-A-BDP-M3-03-00'!B564</v>
      </c>
      <c r="D2284" s="6" t="str">
        <f t="shared" ca="1" si="446"/>
        <v>L03-PLA-PLA-U1831-01</v>
      </c>
      <c r="E2284" t="str">
        <f t="shared" ca="1" si="447"/>
        <v>Family Type: Curtain Wall_975w x 3050h, Family: Panel External Type 1 - Flush</v>
      </c>
      <c r="F2284" t="str">
        <f t="shared" ca="1" si="448"/>
        <v>Vector(X = 0.977, Y = 0.212, Z = 0.000, Length = 1.000)</v>
      </c>
      <c r="G2284">
        <f t="shared" ca="1" si="439"/>
        <v>1</v>
      </c>
      <c r="H2284">
        <f t="shared" ca="1" si="440"/>
        <v>0.2</v>
      </c>
      <c r="I2284">
        <f t="shared" ca="1" si="441"/>
        <v>0</v>
      </c>
      <c r="J2284" s="8">
        <f t="shared" ca="1" si="442"/>
        <v>11.309932474020215</v>
      </c>
      <c r="K2284" s="9" t="str">
        <f t="shared" ca="1" si="443"/>
        <v>E</v>
      </c>
      <c r="L2284">
        <f ca="1">+_xlfn.IFNA(VLOOKUP(M2284,BespokeWindowsAreas!$B$2:$E$1999,4,FALSE),VLOOKUP(E2284,WindowTypeArea!$B$2:$C$113,2,FALSE))</f>
        <v>3.355</v>
      </c>
      <c r="M2284">
        <f t="shared" ca="1" si="444"/>
        <v>5078777</v>
      </c>
    </row>
    <row r="2285" spans="1:13" x14ac:dyDescent="0.25">
      <c r="A2285">
        <f t="shared" ca="1" si="437"/>
        <v>5</v>
      </c>
      <c r="B2285">
        <f t="shared" ca="1" si="438"/>
        <v>566</v>
      </c>
      <c r="C2285" t="str">
        <f t="shared" ca="1" si="445"/>
        <v>'WINDOWS-NCH-A-BDP-M3-03-00'!B565</v>
      </c>
      <c r="D2285" s="6" t="str">
        <f t="shared" ca="1" si="446"/>
        <v>L03-PLA-PLA-U1831-01</v>
      </c>
      <c r="E2285" t="str">
        <f t="shared" ca="1" si="447"/>
        <v>Family Type: Curtain Wall_975w x 3050h, Family: Panel External Type 1 - Flush</v>
      </c>
      <c r="F2285" t="str">
        <f t="shared" ca="1" si="448"/>
        <v>Vector(X = 0.977, Y = 0.212, Z = 0.000, Length = 1.000)</v>
      </c>
      <c r="G2285">
        <f t="shared" ca="1" si="439"/>
        <v>1</v>
      </c>
      <c r="H2285">
        <f t="shared" ca="1" si="440"/>
        <v>0.2</v>
      </c>
      <c r="I2285">
        <f t="shared" ca="1" si="441"/>
        <v>0</v>
      </c>
      <c r="J2285" s="8">
        <f t="shared" ca="1" si="442"/>
        <v>11.309932474020215</v>
      </c>
      <c r="K2285" s="9" t="str">
        <f t="shared" ca="1" si="443"/>
        <v>E</v>
      </c>
      <c r="L2285">
        <f ca="1">+_xlfn.IFNA(VLOOKUP(M2285,BespokeWindowsAreas!$B$2:$E$1999,4,FALSE),VLOOKUP(E2285,WindowTypeArea!$B$2:$C$113,2,FALSE))</f>
        <v>3.355</v>
      </c>
      <c r="M2285">
        <f t="shared" ca="1" si="444"/>
        <v>5079012</v>
      </c>
    </row>
    <row r="2286" spans="1:13" x14ac:dyDescent="0.25">
      <c r="A2286">
        <f t="shared" ca="1" si="437"/>
        <v>5</v>
      </c>
      <c r="B2286">
        <f t="shared" ca="1" si="438"/>
        <v>567</v>
      </c>
      <c r="C2286" t="str">
        <f t="shared" ca="1" si="445"/>
        <v>'WINDOWS-NCH-A-BDP-M3-03-00'!B566</v>
      </c>
      <c r="D2286" s="6" t="str">
        <f t="shared" ca="1" si="446"/>
        <v>L03-PLA-PLA-U1831-01</v>
      </c>
      <c r="E2286" t="str">
        <f t="shared" ca="1" si="447"/>
        <v>Family Type: Curtain Wall_1950 x 4100, Family: Panel External Type 1 - Flush</v>
      </c>
      <c r="F2286" t="str">
        <f t="shared" ca="1" si="448"/>
        <v>Vector(X = -0.212, Y = 0.977, Z = 0.000, Length = 1.000)</v>
      </c>
      <c r="G2286">
        <f t="shared" ca="1" si="439"/>
        <v>-0.2</v>
      </c>
      <c r="H2286">
        <f t="shared" ca="1" si="440"/>
        <v>1</v>
      </c>
      <c r="I2286">
        <f t="shared" ca="1" si="441"/>
        <v>0</v>
      </c>
      <c r="J2286" s="8">
        <f t="shared" ca="1" si="442"/>
        <v>101.3099324740202</v>
      </c>
      <c r="K2286" s="9" t="str">
        <f t="shared" ca="1" si="443"/>
        <v>N</v>
      </c>
      <c r="L2286">
        <f ca="1">+_xlfn.IFNA(VLOOKUP(M2286,BespokeWindowsAreas!$B$2:$E$1999,4,FALSE),VLOOKUP(E2286,WindowTypeArea!$B$2:$C$113,2,FALSE))</f>
        <v>8.7125000000000004</v>
      </c>
      <c r="M2286">
        <f t="shared" ca="1" si="444"/>
        <v>5762550</v>
      </c>
    </row>
    <row r="2287" spans="1:13" x14ac:dyDescent="0.25">
      <c r="A2287">
        <f t="shared" ca="1" si="437"/>
        <v>5</v>
      </c>
      <c r="B2287">
        <f t="shared" ca="1" si="438"/>
        <v>568</v>
      </c>
      <c r="C2287" t="str">
        <f t="shared" ca="1" si="445"/>
        <v>'WINDOWS-NCH-A-BDP-M3-03-00'!B567</v>
      </c>
      <c r="D2287" s="6" t="str">
        <f t="shared" ca="1" si="446"/>
        <v>L03-PLA-PLA-U1831-01</v>
      </c>
      <c r="E2287" t="str">
        <f t="shared" ca="1" si="447"/>
        <v>Family Type: Curtain Wall_1950 x 4100, Family: Panel External Type 1 - Flush</v>
      </c>
      <c r="F2287" t="str">
        <f t="shared" ca="1" si="448"/>
        <v>Vector(X = -0.212, Y = 0.977, Z = 0.000, Length = 1.000)</v>
      </c>
      <c r="G2287">
        <f t="shared" ca="1" si="439"/>
        <v>-0.2</v>
      </c>
      <c r="H2287">
        <f t="shared" ca="1" si="440"/>
        <v>1</v>
      </c>
      <c r="I2287">
        <f t="shared" ca="1" si="441"/>
        <v>0</v>
      </c>
      <c r="J2287" s="8">
        <f t="shared" ca="1" si="442"/>
        <v>101.3099324740202</v>
      </c>
      <c r="K2287" s="9" t="str">
        <f t="shared" ca="1" si="443"/>
        <v>N</v>
      </c>
      <c r="L2287">
        <f ca="1">+_xlfn.IFNA(VLOOKUP(M2287,BespokeWindowsAreas!$B$2:$E$1999,4,FALSE),VLOOKUP(E2287,WindowTypeArea!$B$2:$C$113,2,FALSE))</f>
        <v>8.7125000000000004</v>
      </c>
      <c r="M2287">
        <f t="shared" ca="1" si="444"/>
        <v>5762792</v>
      </c>
    </row>
    <row r="2288" spans="1:13" x14ac:dyDescent="0.25">
      <c r="A2288">
        <f t="shared" ca="1" si="437"/>
        <v>5</v>
      </c>
      <c r="B2288">
        <f t="shared" ca="1" si="438"/>
        <v>569</v>
      </c>
      <c r="C2288" t="str">
        <f t="shared" ca="1" si="445"/>
        <v>'WINDOWS-NCH-A-BDP-M3-03-00'!B568</v>
      </c>
      <c r="D2288" s="6" t="str">
        <f t="shared" ca="1" si="446"/>
        <v>L03-PLA-PLA-U1831-01</v>
      </c>
      <c r="E2288" t="str">
        <f t="shared" ca="1" si="447"/>
        <v>Family Type: Curtain Wall_1950 x 4100, Family: Panel External Type 1 - Flush</v>
      </c>
      <c r="F2288" t="str">
        <f t="shared" ca="1" si="448"/>
        <v>Vector(X = -0.212, Y = 0.977, Z = 0.000, Length = 1.000)</v>
      </c>
      <c r="G2288">
        <f t="shared" ca="1" si="439"/>
        <v>-0.2</v>
      </c>
      <c r="H2288">
        <f t="shared" ca="1" si="440"/>
        <v>1</v>
      </c>
      <c r="I2288">
        <f t="shared" ca="1" si="441"/>
        <v>0</v>
      </c>
      <c r="J2288" s="8">
        <f t="shared" ca="1" si="442"/>
        <v>101.3099324740202</v>
      </c>
      <c r="K2288" s="9" t="str">
        <f t="shared" ca="1" si="443"/>
        <v>N</v>
      </c>
      <c r="L2288">
        <f ca="1">+_xlfn.IFNA(VLOOKUP(M2288,BespokeWindowsAreas!$B$2:$E$1999,4,FALSE),VLOOKUP(E2288,WindowTypeArea!$B$2:$C$113,2,FALSE))</f>
        <v>8.7125000000000004</v>
      </c>
      <c r="M2288">
        <f t="shared" ca="1" si="444"/>
        <v>5762800</v>
      </c>
    </row>
    <row r="2289" spans="1:13" x14ac:dyDescent="0.25">
      <c r="A2289">
        <f t="shared" ca="1" si="437"/>
        <v>5</v>
      </c>
      <c r="B2289">
        <f t="shared" ca="1" si="438"/>
        <v>570</v>
      </c>
      <c r="C2289" t="str">
        <f t="shared" ca="1" si="445"/>
        <v>'WINDOWS-NCH-A-BDP-M3-03-00'!B569</v>
      </c>
      <c r="D2289" s="6" t="str">
        <f t="shared" ca="1" si="446"/>
        <v>L03-PLA-PLA-U1831-01</v>
      </c>
      <c r="E2289" t="str">
        <f t="shared" ca="1" si="447"/>
        <v>Family Type: Curtain Wall_975w x 3050h, Family: Panel External Type 1 - Flush</v>
      </c>
      <c r="F2289" t="str">
        <f t="shared" ca="1" si="448"/>
        <v>Vector(X = -0.212, Y = 0.977, Z = 0.000, Length = 1.000)</v>
      </c>
      <c r="G2289">
        <f t="shared" ca="1" si="439"/>
        <v>-0.2</v>
      </c>
      <c r="H2289">
        <f t="shared" ca="1" si="440"/>
        <v>1</v>
      </c>
      <c r="I2289">
        <f t="shared" ca="1" si="441"/>
        <v>0</v>
      </c>
      <c r="J2289" s="8">
        <f t="shared" ca="1" si="442"/>
        <v>101.3099324740202</v>
      </c>
      <c r="K2289" s="9" t="str">
        <f t="shared" ca="1" si="443"/>
        <v>N</v>
      </c>
      <c r="L2289">
        <f ca="1">+_xlfn.IFNA(VLOOKUP(M2289,BespokeWindowsAreas!$B$2:$E$1999,4,FALSE),VLOOKUP(E2289,WindowTypeArea!$B$2:$C$113,2,FALSE))</f>
        <v>2.9737499999999999</v>
      </c>
      <c r="M2289">
        <f t="shared" ca="1" si="444"/>
        <v>5762898</v>
      </c>
    </row>
    <row r="2290" spans="1:13" x14ac:dyDescent="0.25">
      <c r="A2290">
        <f t="shared" ca="1" si="437"/>
        <v>5</v>
      </c>
      <c r="B2290">
        <f t="shared" ca="1" si="438"/>
        <v>571</v>
      </c>
      <c r="C2290" t="str">
        <f t="shared" ca="1" si="445"/>
        <v>'WINDOWS-NCH-A-BDP-M3-03-00'!B570</v>
      </c>
      <c r="D2290" s="6" t="str">
        <f t="shared" ca="1" si="446"/>
        <v>L03-PLA-PLA-U1831-01</v>
      </c>
      <c r="E2290" t="str">
        <f t="shared" ca="1" si="447"/>
        <v>Family Type: Curtain Wall_975w x 3050h, Family: Panel External Type 1 - Flush</v>
      </c>
      <c r="F2290" t="str">
        <f t="shared" ca="1" si="448"/>
        <v>Vector(X = -0.212, Y = 0.977, Z = 0.000, Length = 1.000)</v>
      </c>
      <c r="G2290">
        <f t="shared" ca="1" si="439"/>
        <v>-0.2</v>
      </c>
      <c r="H2290">
        <f t="shared" ca="1" si="440"/>
        <v>1</v>
      </c>
      <c r="I2290">
        <f t="shared" ca="1" si="441"/>
        <v>0</v>
      </c>
      <c r="J2290" s="8">
        <f t="shared" ca="1" si="442"/>
        <v>101.3099324740202</v>
      </c>
      <c r="K2290" s="9" t="str">
        <f t="shared" ca="1" si="443"/>
        <v>N</v>
      </c>
      <c r="L2290">
        <f ca="1">+_xlfn.IFNA(VLOOKUP(M2290,BespokeWindowsAreas!$B$2:$E$1999,4,FALSE),VLOOKUP(E2290,WindowTypeArea!$B$2:$C$113,2,FALSE))</f>
        <v>2.9737499999999999</v>
      </c>
      <c r="M2290">
        <f t="shared" ca="1" si="444"/>
        <v>5763127</v>
      </c>
    </row>
    <row r="2291" spans="1:13" x14ac:dyDescent="0.25">
      <c r="A2291">
        <f t="shared" ca="1" si="437"/>
        <v>5</v>
      </c>
      <c r="B2291">
        <f t="shared" ca="1" si="438"/>
        <v>572</v>
      </c>
      <c r="C2291" t="str">
        <f t="shared" ca="1" si="445"/>
        <v>'WINDOWS-NCH-A-BDP-M3-03-00'!B571</v>
      </c>
      <c r="D2291" s="6" t="str">
        <f t="shared" ca="1" si="446"/>
        <v>L03-PLA-PLA-U1831-01</v>
      </c>
      <c r="E2291" t="str">
        <f t="shared" ca="1" si="447"/>
        <v>Family Type: Curtain Wall_975w x 3050h, Family: Panel External Type 1 - Flush</v>
      </c>
      <c r="F2291" t="str">
        <f t="shared" ca="1" si="448"/>
        <v>Vector(X = -0.212, Y = 0.977, Z = 0.000, Length = 1.000)</v>
      </c>
      <c r="G2291">
        <f t="shared" ca="1" si="439"/>
        <v>-0.2</v>
      </c>
      <c r="H2291">
        <f t="shared" ca="1" si="440"/>
        <v>1</v>
      </c>
      <c r="I2291">
        <f t="shared" ca="1" si="441"/>
        <v>0</v>
      </c>
      <c r="J2291" s="8">
        <f t="shared" ca="1" si="442"/>
        <v>101.3099324740202</v>
      </c>
      <c r="K2291" s="9" t="str">
        <f t="shared" ca="1" si="443"/>
        <v>N</v>
      </c>
      <c r="L2291">
        <f ca="1">+_xlfn.IFNA(VLOOKUP(M2291,BespokeWindowsAreas!$B$2:$E$1999,4,FALSE),VLOOKUP(E2291,WindowTypeArea!$B$2:$C$113,2,FALSE))</f>
        <v>2.9737499999999999</v>
      </c>
      <c r="M2291">
        <f t="shared" ca="1" si="444"/>
        <v>5763272</v>
      </c>
    </row>
    <row r="2292" spans="1:13" x14ac:dyDescent="0.25">
      <c r="A2292">
        <f t="shared" ca="1" si="437"/>
        <v>5</v>
      </c>
      <c r="B2292">
        <f t="shared" ca="1" si="438"/>
        <v>573</v>
      </c>
      <c r="C2292" t="str">
        <f t="shared" ca="1" si="445"/>
        <v>'WINDOWS-NCH-A-BDP-M3-03-00'!B572</v>
      </c>
      <c r="D2292" s="6" t="str">
        <f t="shared" ca="1" si="446"/>
        <v>L03-PLA-PLA-U1831-01</v>
      </c>
      <c r="E2292" t="str">
        <f t="shared" ca="1" si="447"/>
        <v>Family Type: Curtain Wall_975w x 3050h, Family: Panel External Type 1 - Flush</v>
      </c>
      <c r="F2292" t="str">
        <f t="shared" ca="1" si="448"/>
        <v>Vector(X = -0.212, Y = 0.977, Z = 0.000, Length = 1.000)</v>
      </c>
      <c r="G2292">
        <f t="shared" ca="1" si="439"/>
        <v>-0.2</v>
      </c>
      <c r="H2292">
        <f t="shared" ca="1" si="440"/>
        <v>1</v>
      </c>
      <c r="I2292">
        <f t="shared" ca="1" si="441"/>
        <v>0</v>
      </c>
      <c r="J2292" s="8">
        <f t="shared" ca="1" si="442"/>
        <v>101.3099324740202</v>
      </c>
      <c r="K2292" s="9" t="str">
        <f t="shared" ca="1" si="443"/>
        <v>N</v>
      </c>
      <c r="L2292">
        <f ca="1">+_xlfn.IFNA(VLOOKUP(M2292,BespokeWindowsAreas!$B$2:$E$1999,4,FALSE),VLOOKUP(E2292,WindowTypeArea!$B$2:$C$113,2,FALSE))</f>
        <v>2.9737499999999999</v>
      </c>
      <c r="M2292">
        <f t="shared" ca="1" si="444"/>
        <v>5763273</v>
      </c>
    </row>
    <row r="2293" spans="1:13" x14ac:dyDescent="0.25">
      <c r="A2293">
        <f t="shared" ca="1" si="437"/>
        <v>5</v>
      </c>
      <c r="B2293">
        <f t="shared" ca="1" si="438"/>
        <v>574</v>
      </c>
      <c r="C2293" t="str">
        <f t="shared" ca="1" si="445"/>
        <v>'WINDOWS-NCH-A-BDP-M3-03-00'!B573</v>
      </c>
      <c r="D2293" s="6" t="str">
        <f t="shared" ca="1" si="446"/>
        <v>L03-PLA-PLA-U1831-01</v>
      </c>
      <c r="E2293" t="str">
        <f t="shared" ca="1" si="447"/>
        <v>Family Type: Curtain Wall_1950 x 4100, Family: Panel External Type 1 - Flush</v>
      </c>
      <c r="F2293" t="str">
        <f t="shared" ca="1" si="448"/>
        <v>Vector(X = -0.212, Y = 0.977, Z = 0.000, Length = 1.000)</v>
      </c>
      <c r="G2293">
        <f t="shared" ca="1" si="439"/>
        <v>-0.2</v>
      </c>
      <c r="H2293">
        <f t="shared" ca="1" si="440"/>
        <v>1</v>
      </c>
      <c r="I2293">
        <f t="shared" ca="1" si="441"/>
        <v>0</v>
      </c>
      <c r="J2293" s="8">
        <f t="shared" ca="1" si="442"/>
        <v>101.3099324740202</v>
      </c>
      <c r="K2293" s="9" t="str">
        <f t="shared" ca="1" si="443"/>
        <v>N</v>
      </c>
      <c r="L2293">
        <f ca="1">+_xlfn.IFNA(VLOOKUP(M2293,BespokeWindowsAreas!$B$2:$E$1999,4,FALSE),VLOOKUP(E2293,WindowTypeArea!$B$2:$C$113,2,FALSE))</f>
        <v>8.7125000000000004</v>
      </c>
      <c r="M2293">
        <f t="shared" ca="1" si="444"/>
        <v>5763362</v>
      </c>
    </row>
    <row r="2294" spans="1:13" x14ac:dyDescent="0.25">
      <c r="A2294">
        <f t="shared" ca="1" si="437"/>
        <v>5</v>
      </c>
      <c r="B2294">
        <f t="shared" ca="1" si="438"/>
        <v>575</v>
      </c>
      <c r="C2294" t="str">
        <f t="shared" ca="1" si="445"/>
        <v>'WINDOWS-NCH-A-BDP-M3-03-00'!B574</v>
      </c>
      <c r="D2294" s="6">
        <f t="shared" ca="1" si="446"/>
        <v>0</v>
      </c>
      <c r="E2294">
        <f t="shared" ca="1" si="447"/>
        <v>0</v>
      </c>
      <c r="F2294">
        <f t="shared" ca="1" si="448"/>
        <v>1527327</v>
      </c>
      <c r="G2294">
        <f t="shared" ca="1" si="439"/>
        <v>0</v>
      </c>
      <c r="H2294">
        <f t="shared" ca="1" si="440"/>
        <v>0</v>
      </c>
      <c r="I2294">
        <f t="shared" ca="1" si="441"/>
        <v>0</v>
      </c>
      <c r="J2294" s="8" t="e">
        <f t="shared" ca="1" si="442"/>
        <v>#DIV/0!</v>
      </c>
      <c r="K2294" s="9" t="e">
        <f t="shared" ca="1" si="443"/>
        <v>#DIV/0!</v>
      </c>
      <c r="L2294" t="e">
        <f ca="1">+_xlfn.IFNA(VLOOKUP(M2294,BespokeWindowsAreas!$B$2:$E$1999,4,FALSE),VLOOKUP(E2294,WindowTypeArea!$B$2:$C$113,2,FALSE))</f>
        <v>#N/A</v>
      </c>
      <c r="M2294">
        <f t="shared" ca="1" si="444"/>
        <v>0</v>
      </c>
    </row>
    <row r="2295" spans="1:13" x14ac:dyDescent="0.25">
      <c r="A2295">
        <f t="shared" ca="1" si="437"/>
        <v>5</v>
      </c>
      <c r="B2295">
        <f t="shared" ca="1" si="438"/>
        <v>576</v>
      </c>
      <c r="C2295" t="str">
        <f t="shared" ca="1" si="445"/>
        <v>'WINDOWS-NCH-A-BDP-M3-03-00'!B575</v>
      </c>
      <c r="D2295" s="6">
        <f t="shared" ca="1" si="446"/>
        <v>0</v>
      </c>
      <c r="E2295" t="str">
        <f t="shared" ca="1" si="447"/>
        <v>Family Type: Curtain Wall_1950w x 3800h, Family: Window External Type 5 - Flush</v>
      </c>
      <c r="F2295" t="str">
        <f t="shared" ca="1" si="448"/>
        <v>Vector(X = -0.212, Y = 0.977, Z = 0.000, Length = 1.000)</v>
      </c>
      <c r="G2295">
        <f t="shared" ca="1" si="439"/>
        <v>-0.2</v>
      </c>
      <c r="H2295">
        <f t="shared" ca="1" si="440"/>
        <v>1</v>
      </c>
      <c r="I2295">
        <f t="shared" ca="1" si="441"/>
        <v>0</v>
      </c>
      <c r="J2295" s="8">
        <f t="shared" ca="1" si="442"/>
        <v>101.3099324740202</v>
      </c>
      <c r="K2295" s="9" t="str">
        <f t="shared" ca="1" si="443"/>
        <v>N</v>
      </c>
      <c r="L2295">
        <f ca="1">+_xlfn.IFNA(VLOOKUP(M2295,BespokeWindowsAreas!$B$2:$E$1999,4,FALSE),VLOOKUP(E2295,WindowTypeArea!$B$2:$C$113,2,FALSE))</f>
        <v>7.9950000000000001</v>
      </c>
      <c r="M2295">
        <f t="shared" ca="1" si="444"/>
        <v>4940777</v>
      </c>
    </row>
    <row r="2296" spans="1:13" x14ac:dyDescent="0.25">
      <c r="A2296">
        <f t="shared" ca="1" si="437"/>
        <v>5</v>
      </c>
      <c r="B2296">
        <f t="shared" ca="1" si="438"/>
        <v>577</v>
      </c>
      <c r="C2296" t="str">
        <f t="shared" ca="1" si="445"/>
        <v>'WINDOWS-NCH-A-BDP-M3-03-00'!B576</v>
      </c>
      <c r="D2296" s="6">
        <f t="shared" ca="1" si="446"/>
        <v>0</v>
      </c>
      <c r="E2296" t="str">
        <f t="shared" ca="1" si="447"/>
        <v>Family Type: Curtain Wall_975w x 3800h, Family: Window External Type 5 - Flush</v>
      </c>
      <c r="F2296" t="str">
        <f t="shared" ca="1" si="448"/>
        <v>Vector(X = -0.212, Y = 0.977, Z = 0.000, Length = 1.000)</v>
      </c>
      <c r="G2296">
        <f t="shared" ca="1" si="439"/>
        <v>-0.2</v>
      </c>
      <c r="H2296">
        <f t="shared" ca="1" si="440"/>
        <v>1</v>
      </c>
      <c r="I2296">
        <f t="shared" ca="1" si="441"/>
        <v>0</v>
      </c>
      <c r="J2296" s="8">
        <f t="shared" ca="1" si="442"/>
        <v>101.3099324740202</v>
      </c>
      <c r="K2296" s="9" t="str">
        <f t="shared" ca="1" si="443"/>
        <v>N</v>
      </c>
      <c r="L2296">
        <f ca="1">+_xlfn.IFNA(VLOOKUP(M2296,BespokeWindowsAreas!$B$2:$E$1999,4,FALSE),VLOOKUP(E2296,WindowTypeArea!$B$2:$C$113,2,FALSE))</f>
        <v>3.9975000000000001</v>
      </c>
      <c r="M2296">
        <f t="shared" ca="1" si="444"/>
        <v>4940778</v>
      </c>
    </row>
    <row r="2297" spans="1:13" x14ac:dyDescent="0.25">
      <c r="A2297">
        <f t="shared" ca="1" si="437"/>
        <v>5</v>
      </c>
      <c r="B2297">
        <f t="shared" ca="1" si="438"/>
        <v>578</v>
      </c>
      <c r="C2297" t="str">
        <f t="shared" ca="1" si="445"/>
        <v>'WINDOWS-NCH-A-BDP-M3-03-00'!B577</v>
      </c>
      <c r="D2297" s="6">
        <f t="shared" ca="1" si="446"/>
        <v>0</v>
      </c>
      <c r="E2297" t="str">
        <f t="shared" ca="1" si="447"/>
        <v>Family Type: Curtain Wall_1950w x 3800h, Family: Window External Type 5 - Flush</v>
      </c>
      <c r="F2297" t="str">
        <f t="shared" ca="1" si="448"/>
        <v>Vector(X = -0.212, Y = 0.977, Z = 0.000, Length = 1.000)</v>
      </c>
      <c r="G2297">
        <f t="shared" ca="1" si="439"/>
        <v>-0.2</v>
      </c>
      <c r="H2297">
        <f t="shared" ca="1" si="440"/>
        <v>1</v>
      </c>
      <c r="I2297">
        <f t="shared" ca="1" si="441"/>
        <v>0</v>
      </c>
      <c r="J2297" s="8">
        <f t="shared" ca="1" si="442"/>
        <v>101.3099324740202</v>
      </c>
      <c r="K2297" s="9" t="str">
        <f t="shared" ca="1" si="443"/>
        <v>N</v>
      </c>
      <c r="L2297">
        <f ca="1">+_xlfn.IFNA(VLOOKUP(M2297,BespokeWindowsAreas!$B$2:$E$1999,4,FALSE),VLOOKUP(E2297,WindowTypeArea!$B$2:$C$113,2,FALSE))</f>
        <v>7.9950000000000001</v>
      </c>
      <c r="M2297">
        <f t="shared" ca="1" si="444"/>
        <v>4940779</v>
      </c>
    </row>
    <row r="2298" spans="1:13" x14ac:dyDescent="0.25">
      <c r="A2298">
        <f t="shared" ca="1" si="437"/>
        <v>5</v>
      </c>
      <c r="B2298">
        <f t="shared" ca="1" si="438"/>
        <v>579</v>
      </c>
      <c r="C2298" t="str">
        <f t="shared" ca="1" si="445"/>
        <v>'WINDOWS-NCH-A-BDP-M3-03-00'!B578</v>
      </c>
      <c r="D2298" s="6">
        <f t="shared" ca="1" si="446"/>
        <v>0</v>
      </c>
      <c r="E2298" t="str">
        <f t="shared" ca="1" si="447"/>
        <v>Family Type: Curtain Wall_1950w x 3800h, Family: Window External Type 5 - Flush</v>
      </c>
      <c r="F2298" t="str">
        <f t="shared" ca="1" si="448"/>
        <v>Vector(X = -0.212, Y = 0.977, Z = 0.000, Length = 1.000)</v>
      </c>
      <c r="G2298">
        <f t="shared" ca="1" si="439"/>
        <v>-0.2</v>
      </c>
      <c r="H2298">
        <f t="shared" ca="1" si="440"/>
        <v>1</v>
      </c>
      <c r="I2298">
        <f t="shared" ca="1" si="441"/>
        <v>0</v>
      </c>
      <c r="J2298" s="8">
        <f t="shared" ca="1" si="442"/>
        <v>101.3099324740202</v>
      </c>
      <c r="K2298" s="9" t="str">
        <f t="shared" ca="1" si="443"/>
        <v>N</v>
      </c>
      <c r="L2298">
        <f ca="1">+_xlfn.IFNA(VLOOKUP(M2298,BespokeWindowsAreas!$B$2:$E$1999,4,FALSE),VLOOKUP(E2298,WindowTypeArea!$B$2:$C$113,2,FALSE))</f>
        <v>7.9950000000000001</v>
      </c>
      <c r="M2298">
        <f t="shared" ca="1" si="444"/>
        <v>4940780</v>
      </c>
    </row>
    <row r="2299" spans="1:13" x14ac:dyDescent="0.25">
      <c r="A2299">
        <f t="shared" ca="1" si="437"/>
        <v>5</v>
      </c>
      <c r="B2299">
        <f t="shared" ca="1" si="438"/>
        <v>580</v>
      </c>
      <c r="C2299" t="str">
        <f t="shared" ca="1" si="445"/>
        <v>'WINDOWS-NCH-A-BDP-M3-03-00'!B579</v>
      </c>
      <c r="D2299" s="6">
        <f t="shared" ca="1" si="446"/>
        <v>0</v>
      </c>
      <c r="E2299" t="str">
        <f t="shared" ca="1" si="447"/>
        <v>Family Type: Curtain Wall_975w x 3800h, Family: Window External Type 5 - Flush</v>
      </c>
      <c r="F2299" t="str">
        <f t="shared" ca="1" si="448"/>
        <v>Vector(X = -0.212, Y = 0.977, Z = 0.000, Length = 1.000)</v>
      </c>
      <c r="G2299">
        <f t="shared" ca="1" si="439"/>
        <v>-0.2</v>
      </c>
      <c r="H2299">
        <f t="shared" ca="1" si="440"/>
        <v>1</v>
      </c>
      <c r="I2299">
        <f t="shared" ca="1" si="441"/>
        <v>0</v>
      </c>
      <c r="J2299" s="8">
        <f t="shared" ca="1" si="442"/>
        <v>101.3099324740202</v>
      </c>
      <c r="K2299" s="9" t="str">
        <f t="shared" ca="1" si="443"/>
        <v>N</v>
      </c>
      <c r="L2299">
        <f ca="1">+_xlfn.IFNA(VLOOKUP(M2299,BespokeWindowsAreas!$B$2:$E$1999,4,FALSE),VLOOKUP(E2299,WindowTypeArea!$B$2:$C$113,2,FALSE))</f>
        <v>3.9975000000000001</v>
      </c>
      <c r="M2299">
        <f t="shared" ca="1" si="444"/>
        <v>4940781</v>
      </c>
    </row>
    <row r="2300" spans="1:13" x14ac:dyDescent="0.25">
      <c r="A2300">
        <f t="shared" ca="1" si="437"/>
        <v>5</v>
      </c>
      <c r="B2300">
        <f t="shared" ca="1" si="438"/>
        <v>581</v>
      </c>
      <c r="C2300" t="str">
        <f t="shared" ca="1" si="445"/>
        <v>'WINDOWS-NCH-A-BDP-M3-03-00'!B580</v>
      </c>
      <c r="D2300" s="6">
        <f t="shared" ca="1" si="446"/>
        <v>0</v>
      </c>
      <c r="E2300" t="str">
        <f t="shared" ca="1" si="447"/>
        <v>Family Type: Curtain Wall_1950w x 3800h, Family: Window External Type 5 - Flush</v>
      </c>
      <c r="F2300" t="str">
        <f t="shared" ca="1" si="448"/>
        <v>Vector(X = -0.212, Y = 0.977, Z = 0.000, Length = 1.000)</v>
      </c>
      <c r="G2300">
        <f t="shared" ca="1" si="439"/>
        <v>-0.2</v>
      </c>
      <c r="H2300">
        <f t="shared" ca="1" si="440"/>
        <v>1</v>
      </c>
      <c r="I2300">
        <f t="shared" ca="1" si="441"/>
        <v>0</v>
      </c>
      <c r="J2300" s="8">
        <f t="shared" ca="1" si="442"/>
        <v>101.3099324740202</v>
      </c>
      <c r="K2300" s="9" t="str">
        <f t="shared" ca="1" si="443"/>
        <v>N</v>
      </c>
      <c r="L2300">
        <f ca="1">+_xlfn.IFNA(VLOOKUP(M2300,BespokeWindowsAreas!$B$2:$E$1999,4,FALSE),VLOOKUP(E2300,WindowTypeArea!$B$2:$C$113,2,FALSE))</f>
        <v>7.9950000000000001</v>
      </c>
      <c r="M2300">
        <f t="shared" ca="1" si="444"/>
        <v>4940782</v>
      </c>
    </row>
    <row r="2301" spans="1:13" x14ac:dyDescent="0.25">
      <c r="A2301">
        <f t="shared" ca="1" si="437"/>
        <v>5</v>
      </c>
      <c r="B2301">
        <f t="shared" ca="1" si="438"/>
        <v>582</v>
      </c>
      <c r="C2301" t="str">
        <f t="shared" ca="1" si="445"/>
        <v>'WINDOWS-NCH-A-BDP-M3-03-00'!B581</v>
      </c>
      <c r="D2301" s="6">
        <f t="shared" ca="1" si="446"/>
        <v>0</v>
      </c>
      <c r="E2301" t="str">
        <f t="shared" ca="1" si="447"/>
        <v>Family Type: Curtain Wall_975w x 3800h, Family: Window External Type 5 - Flush</v>
      </c>
      <c r="F2301" t="str">
        <f t="shared" ca="1" si="448"/>
        <v>Vector(X = -0.212, Y = 0.977, Z = 0.000, Length = 1.000)</v>
      </c>
      <c r="G2301">
        <f t="shared" ca="1" si="439"/>
        <v>-0.2</v>
      </c>
      <c r="H2301">
        <f t="shared" ca="1" si="440"/>
        <v>1</v>
      </c>
      <c r="I2301">
        <f t="shared" ca="1" si="441"/>
        <v>0</v>
      </c>
      <c r="J2301" s="8">
        <f t="shared" ca="1" si="442"/>
        <v>101.3099324740202</v>
      </c>
      <c r="K2301" s="9" t="str">
        <f t="shared" ca="1" si="443"/>
        <v>N</v>
      </c>
      <c r="L2301">
        <f ca="1">+_xlfn.IFNA(VLOOKUP(M2301,BespokeWindowsAreas!$B$2:$E$1999,4,FALSE),VLOOKUP(E2301,WindowTypeArea!$B$2:$C$113,2,FALSE))</f>
        <v>3.9975000000000001</v>
      </c>
      <c r="M2301">
        <f t="shared" ca="1" si="444"/>
        <v>4940783</v>
      </c>
    </row>
    <row r="2302" spans="1:13" x14ac:dyDescent="0.25">
      <c r="A2302">
        <f t="shared" ca="1" si="437"/>
        <v>5</v>
      </c>
      <c r="B2302">
        <f t="shared" ca="1" si="438"/>
        <v>583</v>
      </c>
      <c r="C2302" t="str">
        <f t="shared" ca="1" si="445"/>
        <v>'WINDOWS-NCH-A-BDP-M3-03-00'!B582</v>
      </c>
      <c r="D2302" s="6">
        <f t="shared" ca="1" si="446"/>
        <v>0</v>
      </c>
      <c r="E2302" t="str">
        <f t="shared" ca="1" si="447"/>
        <v>Family Type: Curtain Wall_1950w x 3800h, Family: Window External Type 5 - Flush</v>
      </c>
      <c r="F2302" t="str">
        <f t="shared" ca="1" si="448"/>
        <v>Vector(X = -0.212, Y = 0.977, Z = 0.000, Length = 1.000)</v>
      </c>
      <c r="G2302">
        <f t="shared" ca="1" si="439"/>
        <v>-0.2</v>
      </c>
      <c r="H2302">
        <f t="shared" ca="1" si="440"/>
        <v>1</v>
      </c>
      <c r="I2302">
        <f t="shared" ca="1" si="441"/>
        <v>0</v>
      </c>
      <c r="J2302" s="8">
        <f t="shared" ca="1" si="442"/>
        <v>101.3099324740202</v>
      </c>
      <c r="K2302" s="9" t="str">
        <f t="shared" ca="1" si="443"/>
        <v>N</v>
      </c>
      <c r="L2302">
        <f ca="1">+_xlfn.IFNA(VLOOKUP(M2302,BespokeWindowsAreas!$B$2:$E$1999,4,FALSE),VLOOKUP(E2302,WindowTypeArea!$B$2:$C$113,2,FALSE))</f>
        <v>7.9950000000000001</v>
      </c>
      <c r="M2302">
        <f t="shared" ca="1" si="444"/>
        <v>4940784</v>
      </c>
    </row>
    <row r="2303" spans="1:13" x14ac:dyDescent="0.25">
      <c r="A2303">
        <f t="shared" ca="1" si="437"/>
        <v>5</v>
      </c>
      <c r="B2303">
        <f t="shared" ca="1" si="438"/>
        <v>584</v>
      </c>
      <c r="C2303" t="str">
        <f t="shared" ca="1" si="445"/>
        <v>'WINDOWS-NCH-A-BDP-M3-03-00'!B583</v>
      </c>
      <c r="D2303" s="6">
        <f t="shared" ca="1" si="446"/>
        <v>0</v>
      </c>
      <c r="E2303" t="str">
        <f t="shared" ca="1" si="447"/>
        <v>Family Type: Curtain Wall_975w x 3800h, Family: Window External Type 5 - Flush</v>
      </c>
      <c r="F2303" t="str">
        <f t="shared" ca="1" si="448"/>
        <v>Vector(X = -0.212, Y = 0.977, Z = 0.000, Length = 1.000)</v>
      </c>
      <c r="G2303">
        <f t="shared" ca="1" si="439"/>
        <v>-0.2</v>
      </c>
      <c r="H2303">
        <f t="shared" ca="1" si="440"/>
        <v>1</v>
      </c>
      <c r="I2303">
        <f t="shared" ca="1" si="441"/>
        <v>0</v>
      </c>
      <c r="J2303" s="8">
        <f t="shared" ca="1" si="442"/>
        <v>101.3099324740202</v>
      </c>
      <c r="K2303" s="9" t="str">
        <f t="shared" ca="1" si="443"/>
        <v>N</v>
      </c>
      <c r="L2303">
        <f ca="1">+_xlfn.IFNA(VLOOKUP(M2303,BespokeWindowsAreas!$B$2:$E$1999,4,FALSE),VLOOKUP(E2303,WindowTypeArea!$B$2:$C$113,2,FALSE))</f>
        <v>3.9975000000000001</v>
      </c>
      <c r="M2303">
        <f t="shared" ca="1" si="444"/>
        <v>4940785</v>
      </c>
    </row>
    <row r="2304" spans="1:13" x14ac:dyDescent="0.25">
      <c r="A2304">
        <f t="shared" ca="1" si="437"/>
        <v>5</v>
      </c>
      <c r="B2304">
        <f t="shared" ca="1" si="438"/>
        <v>585</v>
      </c>
      <c r="C2304" t="str">
        <f t="shared" ca="1" si="445"/>
        <v>'WINDOWS-NCH-A-BDP-M3-03-00'!B584</v>
      </c>
      <c r="D2304" s="6">
        <f t="shared" ca="1" si="446"/>
        <v>0</v>
      </c>
      <c r="E2304" t="str">
        <f t="shared" ca="1" si="447"/>
        <v>Family Type: Curtain Wall_1950w x 3800h, Family: Window External Type 5 - Flush</v>
      </c>
      <c r="F2304" t="str">
        <f t="shared" ca="1" si="448"/>
        <v>Vector(X = -0.212, Y = 0.977, Z = 0.000, Length = 1.000)</v>
      </c>
      <c r="G2304">
        <f t="shared" ca="1" si="439"/>
        <v>-0.2</v>
      </c>
      <c r="H2304">
        <f t="shared" ca="1" si="440"/>
        <v>1</v>
      </c>
      <c r="I2304">
        <f t="shared" ca="1" si="441"/>
        <v>0</v>
      </c>
      <c r="J2304" s="8">
        <f t="shared" ca="1" si="442"/>
        <v>101.3099324740202</v>
      </c>
      <c r="K2304" s="9" t="str">
        <f t="shared" ca="1" si="443"/>
        <v>N</v>
      </c>
      <c r="L2304">
        <f ca="1">+_xlfn.IFNA(VLOOKUP(M2304,BespokeWindowsAreas!$B$2:$E$1999,4,FALSE),VLOOKUP(E2304,WindowTypeArea!$B$2:$C$113,2,FALSE))</f>
        <v>7.9950000000000001</v>
      </c>
      <c r="M2304">
        <f t="shared" ca="1" si="444"/>
        <v>4940786</v>
      </c>
    </row>
    <row r="2305" spans="1:13" x14ac:dyDescent="0.25">
      <c r="A2305">
        <f t="shared" ca="1" si="437"/>
        <v>5</v>
      </c>
      <c r="B2305">
        <f t="shared" ca="1" si="438"/>
        <v>586</v>
      </c>
      <c r="C2305" t="str">
        <f t="shared" ca="1" si="445"/>
        <v>'WINDOWS-NCH-A-BDP-M3-03-00'!B585</v>
      </c>
      <c r="D2305" s="6">
        <f t="shared" ca="1" si="446"/>
        <v>0</v>
      </c>
      <c r="E2305" t="str">
        <f t="shared" ca="1" si="447"/>
        <v>Family Type: Curtain Wall_975w x 3800h, Family: Window External Type 5 - Flush</v>
      </c>
      <c r="F2305" t="str">
        <f t="shared" ca="1" si="448"/>
        <v>Vector(X = -0.212, Y = 0.977, Z = 0.000, Length = 1.000)</v>
      </c>
      <c r="G2305">
        <f t="shared" ca="1" si="439"/>
        <v>-0.2</v>
      </c>
      <c r="H2305">
        <f t="shared" ca="1" si="440"/>
        <v>1</v>
      </c>
      <c r="I2305">
        <f t="shared" ca="1" si="441"/>
        <v>0</v>
      </c>
      <c r="J2305" s="8">
        <f t="shared" ca="1" si="442"/>
        <v>101.3099324740202</v>
      </c>
      <c r="K2305" s="9" t="str">
        <f t="shared" ca="1" si="443"/>
        <v>N</v>
      </c>
      <c r="L2305">
        <f ca="1">+_xlfn.IFNA(VLOOKUP(M2305,BespokeWindowsAreas!$B$2:$E$1999,4,FALSE),VLOOKUP(E2305,WindowTypeArea!$B$2:$C$113,2,FALSE))</f>
        <v>3.9975000000000001</v>
      </c>
      <c r="M2305">
        <f t="shared" ca="1" si="444"/>
        <v>4940787</v>
      </c>
    </row>
    <row r="2306" spans="1:13" x14ac:dyDescent="0.25">
      <c r="A2306">
        <f t="shared" ca="1" si="437"/>
        <v>5</v>
      </c>
      <c r="B2306">
        <f t="shared" ca="1" si="438"/>
        <v>587</v>
      </c>
      <c r="C2306" t="str">
        <f t="shared" ca="1" si="445"/>
        <v>'WINDOWS-NCH-A-BDP-M3-03-00'!B586</v>
      </c>
      <c r="D2306" s="6">
        <f t="shared" ca="1" si="446"/>
        <v>0</v>
      </c>
      <c r="E2306" t="str">
        <f t="shared" ca="1" si="447"/>
        <v>Family Type: Curtain Wall_975w x 3800h, Family: Window External Type 5 - Flush</v>
      </c>
      <c r="F2306" t="str">
        <f t="shared" ca="1" si="448"/>
        <v>Vector(X = -0.212, Y = 0.977, Z = 0.000, Length = 1.000)</v>
      </c>
      <c r="G2306">
        <f t="shared" ca="1" si="439"/>
        <v>-0.2</v>
      </c>
      <c r="H2306">
        <f t="shared" ca="1" si="440"/>
        <v>1</v>
      </c>
      <c r="I2306">
        <f t="shared" ca="1" si="441"/>
        <v>0</v>
      </c>
      <c r="J2306" s="8">
        <f t="shared" ca="1" si="442"/>
        <v>101.3099324740202</v>
      </c>
      <c r="K2306" s="9" t="str">
        <f t="shared" ca="1" si="443"/>
        <v>N</v>
      </c>
      <c r="L2306">
        <f ca="1">+_xlfn.IFNA(VLOOKUP(M2306,BespokeWindowsAreas!$B$2:$E$1999,4,FALSE),VLOOKUP(E2306,WindowTypeArea!$B$2:$C$113,2,FALSE))</f>
        <v>3.9975000000000001</v>
      </c>
      <c r="M2306">
        <f t="shared" ca="1" si="444"/>
        <v>4940788</v>
      </c>
    </row>
    <row r="2307" spans="1:13" x14ac:dyDescent="0.25">
      <c r="A2307">
        <f t="shared" ca="1" si="437"/>
        <v>5</v>
      </c>
      <c r="B2307">
        <f t="shared" ca="1" si="438"/>
        <v>588</v>
      </c>
      <c r="C2307" t="str">
        <f t="shared" ca="1" si="445"/>
        <v>'WINDOWS-NCH-A-BDP-M3-03-00'!B587</v>
      </c>
      <c r="D2307" s="6">
        <f t="shared" ca="1" si="446"/>
        <v>0</v>
      </c>
      <c r="E2307" t="str">
        <f t="shared" ca="1" si="447"/>
        <v>Family Type: Curtain Wall_1950w x 3800h, Family: Window External Type 5 - Flush</v>
      </c>
      <c r="F2307" t="str">
        <f t="shared" ca="1" si="448"/>
        <v>Vector(X = -0.212, Y = 0.977, Z = 0.000, Length = 1.000)</v>
      </c>
      <c r="G2307">
        <f t="shared" ca="1" si="439"/>
        <v>-0.2</v>
      </c>
      <c r="H2307">
        <f t="shared" ca="1" si="440"/>
        <v>1</v>
      </c>
      <c r="I2307">
        <f t="shared" ca="1" si="441"/>
        <v>0</v>
      </c>
      <c r="J2307" s="8">
        <f t="shared" ca="1" si="442"/>
        <v>101.3099324740202</v>
      </c>
      <c r="K2307" s="9" t="str">
        <f t="shared" ca="1" si="443"/>
        <v>N</v>
      </c>
      <c r="L2307">
        <f ca="1">+_xlfn.IFNA(VLOOKUP(M2307,BespokeWindowsAreas!$B$2:$E$1999,4,FALSE),VLOOKUP(E2307,WindowTypeArea!$B$2:$C$113,2,FALSE))</f>
        <v>7.9950000000000001</v>
      </c>
      <c r="M2307">
        <f t="shared" ca="1" si="444"/>
        <v>4940789</v>
      </c>
    </row>
    <row r="2308" spans="1:13" x14ac:dyDescent="0.25">
      <c r="A2308">
        <f t="shared" ca="1" si="437"/>
        <v>5</v>
      </c>
      <c r="B2308">
        <f t="shared" ca="1" si="438"/>
        <v>589</v>
      </c>
      <c r="C2308" t="str">
        <f t="shared" ca="1" si="445"/>
        <v>'WINDOWS-NCH-A-BDP-M3-03-00'!B588</v>
      </c>
      <c r="D2308" s="6">
        <f t="shared" ca="1" si="446"/>
        <v>0</v>
      </c>
      <c r="E2308" t="str">
        <f t="shared" ca="1" si="447"/>
        <v>Family Type: Curtain Wall_975w x 3800h, Family: Window External Type 5 - Flush</v>
      </c>
      <c r="F2308" t="str">
        <f t="shared" ca="1" si="448"/>
        <v>Vector(X = -0.212, Y = 0.977, Z = 0.000, Length = 1.000)</v>
      </c>
      <c r="G2308">
        <f t="shared" ca="1" si="439"/>
        <v>-0.2</v>
      </c>
      <c r="H2308">
        <f t="shared" ca="1" si="440"/>
        <v>1</v>
      </c>
      <c r="I2308">
        <f t="shared" ca="1" si="441"/>
        <v>0</v>
      </c>
      <c r="J2308" s="8">
        <f t="shared" ca="1" si="442"/>
        <v>101.3099324740202</v>
      </c>
      <c r="K2308" s="9" t="str">
        <f t="shared" ca="1" si="443"/>
        <v>N</v>
      </c>
      <c r="L2308">
        <f ca="1">+_xlfn.IFNA(VLOOKUP(M2308,BespokeWindowsAreas!$B$2:$E$1999,4,FALSE),VLOOKUP(E2308,WindowTypeArea!$B$2:$C$113,2,FALSE))</f>
        <v>3.9975000000000001</v>
      </c>
      <c r="M2308">
        <f t="shared" ca="1" si="444"/>
        <v>4940790</v>
      </c>
    </row>
    <row r="2309" spans="1:13" x14ac:dyDescent="0.25">
      <c r="A2309">
        <f t="shared" ca="1" si="437"/>
        <v>5</v>
      </c>
      <c r="B2309">
        <f t="shared" ca="1" si="438"/>
        <v>590</v>
      </c>
      <c r="C2309" t="str">
        <f t="shared" ca="1" si="445"/>
        <v>'WINDOWS-NCH-A-BDP-M3-03-00'!B589</v>
      </c>
      <c r="D2309" s="6">
        <f t="shared" ca="1" si="446"/>
        <v>0</v>
      </c>
      <c r="E2309" t="str">
        <f t="shared" ca="1" si="447"/>
        <v>Family Type: Curtain Wall_975w x 3800h, Family: Window External Type 5 - Flush</v>
      </c>
      <c r="F2309" t="str">
        <f t="shared" ca="1" si="448"/>
        <v>Vector(X = -0.212, Y = 0.977, Z = 0.000, Length = 1.000)</v>
      </c>
      <c r="G2309">
        <f t="shared" ca="1" si="439"/>
        <v>-0.2</v>
      </c>
      <c r="H2309">
        <f t="shared" ca="1" si="440"/>
        <v>1</v>
      </c>
      <c r="I2309">
        <f t="shared" ca="1" si="441"/>
        <v>0</v>
      </c>
      <c r="J2309" s="8">
        <f t="shared" ca="1" si="442"/>
        <v>101.3099324740202</v>
      </c>
      <c r="K2309" s="9" t="str">
        <f t="shared" ca="1" si="443"/>
        <v>N</v>
      </c>
      <c r="L2309">
        <f ca="1">+_xlfn.IFNA(VLOOKUP(M2309,BespokeWindowsAreas!$B$2:$E$1999,4,FALSE),VLOOKUP(E2309,WindowTypeArea!$B$2:$C$113,2,FALSE))</f>
        <v>3.9975000000000001</v>
      </c>
      <c r="M2309">
        <f t="shared" ca="1" si="444"/>
        <v>4940791</v>
      </c>
    </row>
    <row r="2310" spans="1:13" x14ac:dyDescent="0.25">
      <c r="A2310">
        <f t="shared" ca="1" si="437"/>
        <v>5</v>
      </c>
      <c r="B2310">
        <f t="shared" ca="1" si="438"/>
        <v>591</v>
      </c>
      <c r="C2310" t="str">
        <f t="shared" ca="1" si="445"/>
        <v>'WINDOWS-NCH-A-BDP-M3-03-00'!B590</v>
      </c>
      <c r="D2310" s="6">
        <f t="shared" ca="1" si="446"/>
        <v>0</v>
      </c>
      <c r="E2310" t="str">
        <f t="shared" ca="1" si="447"/>
        <v>Family Type: Curtain Wall_975w x 3800h, Family: Window External Type 5 - Flush</v>
      </c>
      <c r="F2310" t="str">
        <f t="shared" ca="1" si="448"/>
        <v>Vector(X = -0.212, Y = 0.977, Z = 0.000, Length = 1.000)</v>
      </c>
      <c r="G2310">
        <f t="shared" ca="1" si="439"/>
        <v>-0.2</v>
      </c>
      <c r="H2310">
        <f t="shared" ca="1" si="440"/>
        <v>1</v>
      </c>
      <c r="I2310">
        <f t="shared" ca="1" si="441"/>
        <v>0</v>
      </c>
      <c r="J2310" s="8">
        <f t="shared" ca="1" si="442"/>
        <v>101.3099324740202</v>
      </c>
      <c r="K2310" s="9" t="str">
        <f t="shared" ca="1" si="443"/>
        <v>N</v>
      </c>
      <c r="L2310">
        <f ca="1">+_xlfn.IFNA(VLOOKUP(M2310,BespokeWindowsAreas!$B$2:$E$1999,4,FALSE),VLOOKUP(E2310,WindowTypeArea!$B$2:$C$113,2,FALSE))</f>
        <v>3.9975000000000001</v>
      </c>
      <c r="M2310">
        <f t="shared" ca="1" si="444"/>
        <v>4940792</v>
      </c>
    </row>
    <row r="2311" spans="1:13" x14ac:dyDescent="0.25">
      <c r="A2311">
        <f t="shared" ca="1" si="437"/>
        <v>5</v>
      </c>
      <c r="B2311">
        <f t="shared" ca="1" si="438"/>
        <v>592</v>
      </c>
      <c r="C2311" t="str">
        <f t="shared" ca="1" si="445"/>
        <v>'WINDOWS-NCH-A-BDP-M3-03-00'!B591</v>
      </c>
      <c r="D2311" s="6">
        <f t="shared" ca="1" si="446"/>
        <v>0</v>
      </c>
      <c r="E2311" t="str">
        <f t="shared" ca="1" si="447"/>
        <v>Family Type: Curtain Wall_1950w x 3800h, Family: Window External Type 5 - Flush</v>
      </c>
      <c r="F2311" t="str">
        <f t="shared" ca="1" si="448"/>
        <v>Vector(X = 0.977, Y = 0.212, Z = 0.000, Length = 1.000)</v>
      </c>
      <c r="G2311">
        <f t="shared" ca="1" si="439"/>
        <v>1</v>
      </c>
      <c r="H2311">
        <f t="shared" ca="1" si="440"/>
        <v>0.2</v>
      </c>
      <c r="I2311">
        <f t="shared" ca="1" si="441"/>
        <v>0</v>
      </c>
      <c r="J2311" s="8">
        <f t="shared" ca="1" si="442"/>
        <v>11.309932474020215</v>
      </c>
      <c r="K2311" s="9" t="str">
        <f t="shared" ca="1" si="443"/>
        <v>E</v>
      </c>
      <c r="L2311">
        <f ca="1">+_xlfn.IFNA(VLOOKUP(M2311,BespokeWindowsAreas!$B$2:$E$1999,4,FALSE),VLOOKUP(E2311,WindowTypeArea!$B$2:$C$113,2,FALSE))</f>
        <v>7.9950000000000001</v>
      </c>
      <c r="M2311">
        <f t="shared" ca="1" si="444"/>
        <v>4948357</v>
      </c>
    </row>
    <row r="2312" spans="1:13" x14ac:dyDescent="0.25">
      <c r="A2312">
        <f t="shared" ca="1" si="437"/>
        <v>5</v>
      </c>
      <c r="B2312">
        <f t="shared" ca="1" si="438"/>
        <v>593</v>
      </c>
      <c r="C2312" t="str">
        <f t="shared" ca="1" si="445"/>
        <v>'WINDOWS-NCH-A-BDP-M3-03-00'!B592</v>
      </c>
      <c r="D2312" s="6">
        <f t="shared" ca="1" si="446"/>
        <v>0</v>
      </c>
      <c r="E2312" t="str">
        <f t="shared" ca="1" si="447"/>
        <v>Family Type: Curtain Wall_1950w x 3800h, Family: Window External Type 5 - Flush</v>
      </c>
      <c r="F2312" t="str">
        <f t="shared" ca="1" si="448"/>
        <v>Vector(X = 0.977, Y = 0.212, Z = 0.000, Length = 1.000)</v>
      </c>
      <c r="G2312">
        <f t="shared" ca="1" si="439"/>
        <v>1</v>
      </c>
      <c r="H2312">
        <f t="shared" ca="1" si="440"/>
        <v>0.2</v>
      </c>
      <c r="I2312">
        <f t="shared" ca="1" si="441"/>
        <v>0</v>
      </c>
      <c r="J2312" s="8">
        <f t="shared" ca="1" si="442"/>
        <v>11.309932474020215</v>
      </c>
      <c r="K2312" s="9" t="str">
        <f t="shared" ca="1" si="443"/>
        <v>E</v>
      </c>
      <c r="L2312">
        <f ca="1">+_xlfn.IFNA(VLOOKUP(M2312,BespokeWindowsAreas!$B$2:$E$1999,4,FALSE),VLOOKUP(E2312,WindowTypeArea!$B$2:$C$113,2,FALSE))</f>
        <v>7.9950000000000001</v>
      </c>
      <c r="M2312">
        <f t="shared" ca="1" si="444"/>
        <v>4948364</v>
      </c>
    </row>
    <row r="2313" spans="1:13" x14ac:dyDescent="0.25">
      <c r="A2313">
        <f t="shared" ca="1" si="437"/>
        <v>5</v>
      </c>
      <c r="B2313">
        <f t="shared" ca="1" si="438"/>
        <v>594</v>
      </c>
      <c r="C2313" t="str">
        <f t="shared" ca="1" si="445"/>
        <v>'WINDOWS-NCH-A-BDP-M3-03-00'!B593</v>
      </c>
      <c r="D2313" s="6">
        <f t="shared" ca="1" si="446"/>
        <v>0</v>
      </c>
      <c r="E2313" t="str">
        <f t="shared" ca="1" si="447"/>
        <v>Family Type: Curtain Wall_1950w x 3800h, Family: Window External Type 5 - Flush</v>
      </c>
      <c r="F2313" t="str">
        <f t="shared" ca="1" si="448"/>
        <v>Vector(X = 0.977, Y = 0.212, Z = 0.000, Length = 1.000)</v>
      </c>
      <c r="G2313">
        <f t="shared" ca="1" si="439"/>
        <v>1</v>
      </c>
      <c r="H2313">
        <f t="shared" ca="1" si="440"/>
        <v>0.2</v>
      </c>
      <c r="I2313">
        <f t="shared" ca="1" si="441"/>
        <v>0</v>
      </c>
      <c r="J2313" s="8">
        <f t="shared" ca="1" si="442"/>
        <v>11.309932474020215</v>
      </c>
      <c r="K2313" s="9" t="str">
        <f t="shared" ca="1" si="443"/>
        <v>E</v>
      </c>
      <c r="L2313">
        <f ca="1">+_xlfn.IFNA(VLOOKUP(M2313,BespokeWindowsAreas!$B$2:$E$1999,4,FALSE),VLOOKUP(E2313,WindowTypeArea!$B$2:$C$113,2,FALSE))</f>
        <v>7.9950000000000001</v>
      </c>
      <c r="M2313">
        <f t="shared" ca="1" si="444"/>
        <v>4948371</v>
      </c>
    </row>
    <row r="2314" spans="1:13" x14ac:dyDescent="0.25">
      <c r="A2314">
        <f t="shared" ca="1" si="437"/>
        <v>5</v>
      </c>
      <c r="B2314">
        <f t="shared" ca="1" si="438"/>
        <v>595</v>
      </c>
      <c r="C2314" t="str">
        <f t="shared" ca="1" si="445"/>
        <v>'WINDOWS-NCH-A-BDP-M3-03-00'!B594</v>
      </c>
      <c r="D2314" s="6">
        <f t="shared" ca="1" si="446"/>
        <v>0</v>
      </c>
      <c r="E2314" t="str">
        <f t="shared" ca="1" si="447"/>
        <v>Family Type: Curtain Wall_1950w x 3800h, Family: Window External Type 5 - Flush</v>
      </c>
      <c r="F2314" t="str">
        <f t="shared" ca="1" si="448"/>
        <v>Vector(X = 0.977, Y = 0.212, Z = 0.000, Length = 1.000)</v>
      </c>
      <c r="G2314">
        <f t="shared" ca="1" si="439"/>
        <v>1</v>
      </c>
      <c r="H2314">
        <f t="shared" ca="1" si="440"/>
        <v>0.2</v>
      </c>
      <c r="I2314">
        <f t="shared" ca="1" si="441"/>
        <v>0</v>
      </c>
      <c r="J2314" s="8">
        <f t="shared" ca="1" si="442"/>
        <v>11.309932474020215</v>
      </c>
      <c r="K2314" s="9" t="str">
        <f t="shared" ca="1" si="443"/>
        <v>E</v>
      </c>
      <c r="L2314">
        <f ca="1">+_xlfn.IFNA(VLOOKUP(M2314,BespokeWindowsAreas!$B$2:$E$1999,4,FALSE),VLOOKUP(E2314,WindowTypeArea!$B$2:$C$113,2,FALSE))</f>
        <v>7.9950000000000001</v>
      </c>
      <c r="M2314">
        <f t="shared" ca="1" si="444"/>
        <v>4948378</v>
      </c>
    </row>
    <row r="2315" spans="1:13" x14ac:dyDescent="0.25">
      <c r="A2315">
        <f t="shared" ca="1" si="437"/>
        <v>5</v>
      </c>
      <c r="B2315">
        <f t="shared" ca="1" si="438"/>
        <v>596</v>
      </c>
      <c r="C2315" t="str">
        <f t="shared" ca="1" si="445"/>
        <v>'WINDOWS-NCH-A-BDP-M3-03-00'!B595</v>
      </c>
      <c r="D2315" s="6">
        <f t="shared" ca="1" si="446"/>
        <v>0</v>
      </c>
      <c r="E2315" t="str">
        <f t="shared" ca="1" si="447"/>
        <v>Family Type: Curtain Wall_1950w x 3800h, Family: Window External Type 5 - Flush</v>
      </c>
      <c r="F2315" t="str">
        <f t="shared" ca="1" si="448"/>
        <v>Vector(X = 0.977, Y = 0.212, Z = 0.000, Length = 1.000)</v>
      </c>
      <c r="G2315">
        <f t="shared" ca="1" si="439"/>
        <v>1</v>
      </c>
      <c r="H2315">
        <f t="shared" ca="1" si="440"/>
        <v>0.2</v>
      </c>
      <c r="I2315">
        <f t="shared" ca="1" si="441"/>
        <v>0</v>
      </c>
      <c r="J2315" s="8">
        <f t="shared" ca="1" si="442"/>
        <v>11.309932474020215</v>
      </c>
      <c r="K2315" s="9" t="str">
        <f t="shared" ca="1" si="443"/>
        <v>E</v>
      </c>
      <c r="L2315">
        <f ca="1">+_xlfn.IFNA(VLOOKUP(M2315,BespokeWindowsAreas!$B$2:$E$1999,4,FALSE),VLOOKUP(E2315,WindowTypeArea!$B$2:$C$113,2,FALSE))</f>
        <v>7.9950000000000001</v>
      </c>
      <c r="M2315">
        <f t="shared" ca="1" si="444"/>
        <v>4948385</v>
      </c>
    </row>
    <row r="2316" spans="1:13" x14ac:dyDescent="0.25">
      <c r="A2316">
        <f t="shared" ca="1" si="437"/>
        <v>5</v>
      </c>
      <c r="B2316">
        <f t="shared" ca="1" si="438"/>
        <v>597</v>
      </c>
      <c r="C2316" t="str">
        <f t="shared" ca="1" si="445"/>
        <v>'WINDOWS-NCH-A-BDP-M3-03-00'!B596</v>
      </c>
      <c r="D2316" s="6">
        <f t="shared" ca="1" si="446"/>
        <v>0</v>
      </c>
      <c r="E2316" t="str">
        <f t="shared" ca="1" si="447"/>
        <v>Family Type: Curtain Wall_1950w x 3800h, Family: Window External Type 5 - Flush</v>
      </c>
      <c r="F2316" t="str">
        <f t="shared" ca="1" si="448"/>
        <v>Vector(X = 0.977, Y = 0.212, Z = 0.000, Length = 1.000)</v>
      </c>
      <c r="G2316">
        <f t="shared" ca="1" si="439"/>
        <v>1</v>
      </c>
      <c r="H2316">
        <f t="shared" ca="1" si="440"/>
        <v>0.2</v>
      </c>
      <c r="I2316">
        <f t="shared" ca="1" si="441"/>
        <v>0</v>
      </c>
      <c r="J2316" s="8">
        <f t="shared" ca="1" si="442"/>
        <v>11.309932474020215</v>
      </c>
      <c r="K2316" s="9" t="str">
        <f t="shared" ca="1" si="443"/>
        <v>E</v>
      </c>
      <c r="L2316">
        <f ca="1">+_xlfn.IFNA(VLOOKUP(M2316,BespokeWindowsAreas!$B$2:$E$1999,4,FALSE),VLOOKUP(E2316,WindowTypeArea!$B$2:$C$113,2,FALSE))</f>
        <v>7.9950000000000001</v>
      </c>
      <c r="M2316">
        <f t="shared" ca="1" si="444"/>
        <v>4948392</v>
      </c>
    </row>
    <row r="2317" spans="1:13" x14ac:dyDescent="0.25">
      <c r="A2317">
        <f t="shared" ca="1" si="437"/>
        <v>5</v>
      </c>
      <c r="B2317">
        <f t="shared" ca="1" si="438"/>
        <v>598</v>
      </c>
      <c r="C2317" t="str">
        <f t="shared" ca="1" si="445"/>
        <v>'WINDOWS-NCH-A-BDP-M3-03-00'!B597</v>
      </c>
      <c r="D2317" s="6">
        <f t="shared" ca="1" si="446"/>
        <v>0</v>
      </c>
      <c r="E2317" t="str">
        <f t="shared" ca="1" si="447"/>
        <v>Family Type: Curtain Wall_1950w x 3800h, Family: Window External Type 5 - Flush</v>
      </c>
      <c r="F2317" t="str">
        <f t="shared" ca="1" si="448"/>
        <v>Vector(X = 0.977, Y = 0.212, Z = 0.000, Length = 1.000)</v>
      </c>
      <c r="G2317">
        <f t="shared" ca="1" si="439"/>
        <v>1</v>
      </c>
      <c r="H2317">
        <f t="shared" ca="1" si="440"/>
        <v>0.2</v>
      </c>
      <c r="I2317">
        <f t="shared" ca="1" si="441"/>
        <v>0</v>
      </c>
      <c r="J2317" s="8">
        <f t="shared" ca="1" si="442"/>
        <v>11.309932474020215</v>
      </c>
      <c r="K2317" s="9" t="str">
        <f t="shared" ca="1" si="443"/>
        <v>E</v>
      </c>
      <c r="L2317">
        <f ca="1">+_xlfn.IFNA(VLOOKUP(M2317,BespokeWindowsAreas!$B$2:$E$1999,4,FALSE),VLOOKUP(E2317,WindowTypeArea!$B$2:$C$113,2,FALSE))</f>
        <v>7.9950000000000001</v>
      </c>
      <c r="M2317">
        <f t="shared" ca="1" si="444"/>
        <v>4948399</v>
      </c>
    </row>
    <row r="2318" spans="1:13" x14ac:dyDescent="0.25">
      <c r="A2318">
        <f t="shared" ca="1" si="437"/>
        <v>5</v>
      </c>
      <c r="B2318">
        <f t="shared" ca="1" si="438"/>
        <v>599</v>
      </c>
      <c r="C2318" t="str">
        <f t="shared" ca="1" si="445"/>
        <v>'WINDOWS-NCH-A-BDP-M3-03-00'!B598</v>
      </c>
      <c r="D2318" s="6">
        <f t="shared" ca="1" si="446"/>
        <v>0</v>
      </c>
      <c r="E2318" t="str">
        <f t="shared" ca="1" si="447"/>
        <v>Family Type: Curtain Wall_Bespoke 1 - 1979.5 x 3800, Family: Window External Type 5 - Flush Instance Width</v>
      </c>
      <c r="F2318" t="str">
        <f t="shared" ca="1" si="448"/>
        <v>Vector(X = 0.977, Y = 0.212, Z = 0.000, Length = 1.000)</v>
      </c>
      <c r="G2318">
        <f t="shared" ca="1" si="439"/>
        <v>1</v>
      </c>
      <c r="H2318">
        <f t="shared" ca="1" si="440"/>
        <v>0.2</v>
      </c>
      <c r="I2318">
        <f t="shared" ca="1" si="441"/>
        <v>0</v>
      </c>
      <c r="J2318" s="8">
        <f t="shared" ca="1" si="442"/>
        <v>11.309932474020215</v>
      </c>
      <c r="K2318" s="9" t="str">
        <f t="shared" ca="1" si="443"/>
        <v>E</v>
      </c>
      <c r="L2318">
        <f ca="1">+_xlfn.IFNA(VLOOKUP(M2318,BespokeWindowsAreas!$B$2:$E$1999,4,FALSE),VLOOKUP(E2318,WindowTypeArea!$B$2:$C$113,2,FALSE))</f>
        <v>7.4619999999999997</v>
      </c>
      <c r="M2318">
        <f t="shared" ca="1" si="444"/>
        <v>4948738</v>
      </c>
    </row>
    <row r="2319" spans="1:13" x14ac:dyDescent="0.25">
      <c r="A2319">
        <f t="shared" ca="1" si="437"/>
        <v>5</v>
      </c>
      <c r="B2319">
        <f t="shared" ca="1" si="438"/>
        <v>600</v>
      </c>
      <c r="C2319" t="str">
        <f t="shared" ca="1" si="445"/>
        <v>'WINDOWS-NCH-A-BDP-M3-03-00'!B599</v>
      </c>
      <c r="D2319" s="6">
        <f t="shared" ca="1" si="446"/>
        <v>0</v>
      </c>
      <c r="E2319" t="str">
        <f t="shared" ca="1" si="447"/>
        <v>Family Type: Curtain Wall_1275w x 4100h, Family: Window External Type 5 - Flush</v>
      </c>
      <c r="F2319" t="str">
        <f t="shared" ca="1" si="448"/>
        <v>Vector(X = 0.977, Y = 0.212, Z = 0.000, Length = 1.000)</v>
      </c>
      <c r="G2319">
        <f t="shared" ca="1" si="439"/>
        <v>1</v>
      </c>
      <c r="H2319">
        <f t="shared" ca="1" si="440"/>
        <v>0.2</v>
      </c>
      <c r="I2319">
        <f t="shared" ca="1" si="441"/>
        <v>0</v>
      </c>
      <c r="J2319" s="8">
        <f t="shared" ca="1" si="442"/>
        <v>11.309932474020215</v>
      </c>
      <c r="K2319" s="9" t="str">
        <f t="shared" ca="1" si="443"/>
        <v>E</v>
      </c>
      <c r="L2319">
        <f ca="1">+_xlfn.IFNA(VLOOKUP(M2319,BespokeWindowsAreas!$B$2:$E$1999,4,FALSE),VLOOKUP(E2319,WindowTypeArea!$B$2:$C$113,2,FALSE))</f>
        <v>5.2275</v>
      </c>
      <c r="M2319">
        <f t="shared" ca="1" si="444"/>
        <v>5079879</v>
      </c>
    </row>
    <row r="2320" spans="1:13" x14ac:dyDescent="0.25">
      <c r="A2320">
        <f t="shared" ca="1" si="437"/>
        <v>5</v>
      </c>
      <c r="B2320">
        <f t="shared" ca="1" si="438"/>
        <v>601</v>
      </c>
      <c r="C2320" t="str">
        <f t="shared" ca="1" si="445"/>
        <v>'WINDOWS-NCH-A-BDP-M3-03-00'!B600</v>
      </c>
      <c r="D2320" s="6">
        <f t="shared" ca="1" si="446"/>
        <v>0</v>
      </c>
      <c r="E2320" t="str">
        <f t="shared" ca="1" si="447"/>
        <v>Family Type: 975w x 3050h, Family: Window External Type 1 - Recessed</v>
      </c>
      <c r="F2320" t="str">
        <f t="shared" ca="1" si="448"/>
        <v>Vector(X = 0.212, Y = -0.977, Z = 0.000, Length = 1.000)</v>
      </c>
      <c r="G2320">
        <f t="shared" ca="1" si="439"/>
        <v>0.2</v>
      </c>
      <c r="H2320">
        <f t="shared" ca="1" si="440"/>
        <v>-1</v>
      </c>
      <c r="I2320">
        <f t="shared" ca="1" si="441"/>
        <v>0</v>
      </c>
      <c r="J2320" s="8">
        <f t="shared" ca="1" si="442"/>
        <v>-78.690067525979785</v>
      </c>
      <c r="K2320" s="9" t="str">
        <f t="shared" ca="1" si="443"/>
        <v>S</v>
      </c>
      <c r="L2320">
        <f ca="1">+_xlfn.IFNA(VLOOKUP(M2320,BespokeWindowsAreas!$B$2:$E$1999,4,FALSE),VLOOKUP(E2320,WindowTypeArea!$B$2:$C$113,2,FALSE))</f>
        <v>2.9737499999999999</v>
      </c>
      <c r="M2320">
        <f t="shared" ca="1" si="444"/>
        <v>5711799</v>
      </c>
    </row>
    <row r="2321" spans="1:13" x14ac:dyDescent="0.25">
      <c r="A2321">
        <f t="shared" ca="1" si="437"/>
        <v>5</v>
      </c>
      <c r="B2321">
        <f t="shared" ca="1" si="438"/>
        <v>602</v>
      </c>
      <c r="C2321" t="str">
        <f t="shared" ca="1" si="445"/>
        <v>'WINDOWS-NCH-A-BDP-M3-03-00'!B601</v>
      </c>
      <c r="D2321" s="6">
        <f t="shared" ca="1" si="446"/>
        <v>0</v>
      </c>
      <c r="E2321" t="str">
        <f t="shared" ca="1" si="447"/>
        <v>Family Type: 975w x 3050h, Family: Window External Type 1 - Recessed</v>
      </c>
      <c r="F2321" t="str">
        <f t="shared" ca="1" si="448"/>
        <v>Vector(X = 0.212, Y = -0.977, Z = 0.000, Length = 1.000)</v>
      </c>
      <c r="G2321">
        <f t="shared" ca="1" si="439"/>
        <v>0.2</v>
      </c>
      <c r="H2321">
        <f t="shared" ca="1" si="440"/>
        <v>-1</v>
      </c>
      <c r="I2321">
        <f t="shared" ca="1" si="441"/>
        <v>0</v>
      </c>
      <c r="J2321" s="8">
        <f t="shared" ca="1" si="442"/>
        <v>-78.690067525979785</v>
      </c>
      <c r="K2321" s="9" t="str">
        <f t="shared" ca="1" si="443"/>
        <v>S</v>
      </c>
      <c r="L2321">
        <f ca="1">+_xlfn.IFNA(VLOOKUP(M2321,BespokeWindowsAreas!$B$2:$E$1999,4,FALSE),VLOOKUP(E2321,WindowTypeArea!$B$2:$C$113,2,FALSE))</f>
        <v>2.9737499999999999</v>
      </c>
      <c r="M2321">
        <f t="shared" ca="1" si="444"/>
        <v>5711857</v>
      </c>
    </row>
    <row r="2322" spans="1:13" x14ac:dyDescent="0.25">
      <c r="A2322">
        <f t="shared" ca="1" si="437"/>
        <v>5</v>
      </c>
      <c r="B2322">
        <f t="shared" ca="1" si="438"/>
        <v>603</v>
      </c>
      <c r="C2322" t="str">
        <f t="shared" ca="1" si="445"/>
        <v>'WINDOWS-NCH-A-BDP-M3-03-00'!B602</v>
      </c>
      <c r="D2322" s="6" t="str">
        <f t="shared" ca="1" si="446"/>
        <v>L03-CIR-CIR-C006-07</v>
      </c>
      <c r="E2322" t="str">
        <f t="shared" ca="1" si="447"/>
        <v>L03-CIR-CIR-C006-07</v>
      </c>
      <c r="F2322">
        <f t="shared" ca="1" si="448"/>
        <v>1575476</v>
      </c>
      <c r="G2322">
        <f t="shared" ca="1" si="439"/>
        <v>0</v>
      </c>
      <c r="H2322">
        <f t="shared" ca="1" si="440"/>
        <v>0</v>
      </c>
      <c r="I2322">
        <f t="shared" ca="1" si="441"/>
        <v>0</v>
      </c>
      <c r="J2322" s="8" t="e">
        <f t="shared" ca="1" si="442"/>
        <v>#DIV/0!</v>
      </c>
      <c r="K2322" s="9" t="e">
        <f t="shared" ca="1" si="443"/>
        <v>#DIV/0!</v>
      </c>
      <c r="L2322" t="e">
        <f ca="1">+_xlfn.IFNA(VLOOKUP(M2322,BespokeWindowsAreas!$B$2:$E$1999,4,FALSE),VLOOKUP(E2322,WindowTypeArea!$B$2:$C$113,2,FALSE))</f>
        <v>#N/A</v>
      </c>
      <c r="M2322">
        <f t="shared" ca="1" si="444"/>
        <v>0</v>
      </c>
    </row>
    <row r="2323" spans="1:13" x14ac:dyDescent="0.25">
      <c r="A2323">
        <f t="shared" ca="1" si="437"/>
        <v>5</v>
      </c>
      <c r="B2323">
        <f t="shared" ca="1" si="438"/>
        <v>604</v>
      </c>
      <c r="C2323" t="str">
        <f t="shared" ca="1" si="445"/>
        <v>'WINDOWS-NCH-A-BDP-M3-03-00'!B603</v>
      </c>
      <c r="D2323" s="6" t="str">
        <f t="shared" ca="1" si="446"/>
        <v>L03-CIR-CIR-C006-07</v>
      </c>
      <c r="E2323" t="str">
        <f t="shared" ca="1" si="447"/>
        <v>Family Type: Curtain Wall_1950w x 3800h, Family: Window External Type 5 - Flush</v>
      </c>
      <c r="F2323" t="str">
        <f t="shared" ca="1" si="448"/>
        <v>Vector(X = -0.212, Y = 0.977, Z = 0.000, Length = 1.000)</v>
      </c>
      <c r="G2323">
        <f t="shared" ca="1" si="439"/>
        <v>-0.2</v>
      </c>
      <c r="H2323">
        <f t="shared" ca="1" si="440"/>
        <v>1</v>
      </c>
      <c r="I2323">
        <f t="shared" ca="1" si="441"/>
        <v>0</v>
      </c>
      <c r="J2323" s="8">
        <f t="shared" ca="1" si="442"/>
        <v>101.3099324740202</v>
      </c>
      <c r="K2323" s="9" t="str">
        <f t="shared" ca="1" si="443"/>
        <v>N</v>
      </c>
      <c r="L2323">
        <f ca="1">+_xlfn.IFNA(VLOOKUP(M2323,BespokeWindowsAreas!$B$2:$E$1999,4,FALSE),VLOOKUP(E2323,WindowTypeArea!$B$2:$C$113,2,FALSE))</f>
        <v>7.9950000000000001</v>
      </c>
      <c r="M2323">
        <f t="shared" ca="1" si="444"/>
        <v>4940801</v>
      </c>
    </row>
    <row r="2324" spans="1:13" x14ac:dyDescent="0.25">
      <c r="A2324">
        <f t="shared" ref="A2324:A2387" ca="1" si="449">+IF(B2323&lt;=VLOOKUP(MID(C2324,2,26),TABS,2,FALSE),A2323,+A2323+1)</f>
        <v>5</v>
      </c>
      <c r="B2324">
        <f t="shared" ref="B2324:B2387" ca="1" si="450">+IF(B2323&lt;=VLOOKUP(MID(C2324,2,26),TABS,2,FALSE),B2323+1,1)</f>
        <v>605</v>
      </c>
      <c r="C2324" t="str">
        <f t="shared" ca="1" si="445"/>
        <v>'WINDOWS-NCH-A-BDP-M3-03-00'!B604</v>
      </c>
      <c r="D2324" s="6" t="str">
        <f t="shared" ca="1" si="446"/>
        <v>L03-CIR-CIR-C006-07</v>
      </c>
      <c r="E2324" t="str">
        <f t="shared" ca="1" si="447"/>
        <v>Family Type: Curtain Wall_975w x 3800h, Family: Window External Type 5 - Flush</v>
      </c>
      <c r="F2324" t="str">
        <f t="shared" ca="1" si="448"/>
        <v>Vector(X = -0.212, Y = 0.977, Z = 0.000, Length = 1.000)</v>
      </c>
      <c r="G2324">
        <f t="shared" ca="1" si="439"/>
        <v>-0.2</v>
      </c>
      <c r="H2324">
        <f t="shared" ca="1" si="440"/>
        <v>1</v>
      </c>
      <c r="I2324">
        <f t="shared" ca="1" si="441"/>
        <v>0</v>
      </c>
      <c r="J2324" s="8">
        <f t="shared" ca="1" si="442"/>
        <v>101.3099324740202</v>
      </c>
      <c r="K2324" s="9" t="str">
        <f t="shared" ca="1" si="443"/>
        <v>N</v>
      </c>
      <c r="L2324">
        <f ca="1">+_xlfn.IFNA(VLOOKUP(M2324,BespokeWindowsAreas!$B$2:$E$1999,4,FALSE),VLOOKUP(E2324,WindowTypeArea!$B$2:$C$113,2,FALSE))</f>
        <v>3.9975000000000001</v>
      </c>
      <c r="M2324">
        <f t="shared" ca="1" si="444"/>
        <v>4940802</v>
      </c>
    </row>
    <row r="2325" spans="1:13" x14ac:dyDescent="0.25">
      <c r="A2325">
        <f t="shared" ca="1" si="449"/>
        <v>5</v>
      </c>
      <c r="B2325">
        <f t="shared" ca="1" si="450"/>
        <v>606</v>
      </c>
      <c r="C2325" t="str">
        <f t="shared" ca="1" si="445"/>
        <v>'WINDOWS-NCH-A-BDP-M3-03-00'!B605</v>
      </c>
      <c r="D2325" s="6" t="str">
        <f t="shared" ca="1" si="446"/>
        <v>L03-CIR-CIR-C006-01</v>
      </c>
      <c r="E2325" t="str">
        <f t="shared" ca="1" si="447"/>
        <v>L03-CIR-CIR-C006-01</v>
      </c>
      <c r="F2325">
        <f t="shared" ca="1" si="448"/>
        <v>1576474</v>
      </c>
      <c r="G2325">
        <f t="shared" ca="1" si="439"/>
        <v>0</v>
      </c>
      <c r="H2325">
        <f t="shared" ca="1" si="440"/>
        <v>0</v>
      </c>
      <c r="I2325">
        <f t="shared" ca="1" si="441"/>
        <v>0</v>
      </c>
      <c r="J2325" s="8" t="e">
        <f t="shared" ca="1" si="442"/>
        <v>#DIV/0!</v>
      </c>
      <c r="K2325" s="9" t="e">
        <f t="shared" ca="1" si="443"/>
        <v>#DIV/0!</v>
      </c>
      <c r="L2325" t="e">
        <f ca="1">+_xlfn.IFNA(VLOOKUP(M2325,BespokeWindowsAreas!$B$2:$E$1999,4,FALSE),VLOOKUP(E2325,WindowTypeArea!$B$2:$C$113,2,FALSE))</f>
        <v>#N/A</v>
      </c>
      <c r="M2325">
        <f t="shared" ca="1" si="444"/>
        <v>0</v>
      </c>
    </row>
    <row r="2326" spans="1:13" x14ac:dyDescent="0.25">
      <c r="A2326">
        <f t="shared" ca="1" si="449"/>
        <v>5</v>
      </c>
      <c r="B2326">
        <f t="shared" ca="1" si="450"/>
        <v>607</v>
      </c>
      <c r="C2326" t="str">
        <f t="shared" ca="1" si="445"/>
        <v>'WINDOWS-NCH-A-BDP-M3-03-00'!B606</v>
      </c>
      <c r="D2326" s="6" t="str">
        <f t="shared" ca="1" si="446"/>
        <v>L03-CIR-CIR-C006-01</v>
      </c>
      <c r="E2326" t="str">
        <f t="shared" ca="1" si="447"/>
        <v>Family Type: Curtain Wall_1950w x 3800h, Family: Window External Type 5 - Flush - modified</v>
      </c>
      <c r="F2326" t="str">
        <f t="shared" ca="1" si="448"/>
        <v>Vector(X = 0.212, Y = -0.977, Z = 0.000, Length = 1.000)</v>
      </c>
      <c r="G2326">
        <f t="shared" ref="G2326:G2389" ca="1" si="451">+OFFSET(INDIRECT(C2326),0,2)</f>
        <v>0.2</v>
      </c>
      <c r="H2326">
        <f t="shared" ref="H2326:H2389" ca="1" si="452">+OFFSET(INDIRECT(C2326),0,3)</f>
        <v>-1</v>
      </c>
      <c r="I2326">
        <f t="shared" ref="I2326:I2389" ca="1" si="453">+OFFSET(INDIRECT(C2326),0,4)</f>
        <v>0</v>
      </c>
      <c r="J2326" s="8">
        <f t="shared" ref="J2326:J2389" ca="1" si="454">+DEGREES(ATAN2(G2326,H2326))</f>
        <v>-78.690067525979785</v>
      </c>
      <c r="K2326" s="9" t="str">
        <f t="shared" ref="K2326:K2389" ca="1" si="455">VLOOKUP(J2326,$O$20:$P$36,2,-1)</f>
        <v>S</v>
      </c>
      <c r="L2326">
        <f ca="1">+_xlfn.IFNA(VLOOKUP(M2326,BespokeWindowsAreas!$B$2:$E$1999,4,FALSE),VLOOKUP(E2326,WindowTypeArea!$B$2:$C$113,2,FALSE))</f>
        <v>10.098947368421053</v>
      </c>
      <c r="M2326">
        <f t="shared" ref="M2326:M2389" ca="1" si="456">+OFFSET(INDIRECT(C2326),0,5)</f>
        <v>4928504</v>
      </c>
    </row>
    <row r="2327" spans="1:13" x14ac:dyDescent="0.25">
      <c r="A2327">
        <f t="shared" ca="1" si="449"/>
        <v>5</v>
      </c>
      <c r="B2327">
        <f t="shared" ca="1" si="450"/>
        <v>608</v>
      </c>
      <c r="C2327" t="str">
        <f t="shared" ca="1" si="445"/>
        <v>'WINDOWS-NCH-A-BDP-M3-03-00'!B607</v>
      </c>
      <c r="D2327" s="6" t="str">
        <f t="shared" ca="1" si="446"/>
        <v>none</v>
      </c>
      <c r="E2327" t="str">
        <f t="shared" ca="1" si="447"/>
        <v>none</v>
      </c>
      <c r="F2327" t="str">
        <f t="shared" ca="1" si="448"/>
        <v>Vector(X = 0.212, Y = -0.977, Z = 0.000, Length = 1.000)</v>
      </c>
      <c r="G2327">
        <f t="shared" ca="1" si="451"/>
        <v>0.2</v>
      </c>
      <c r="H2327">
        <f t="shared" ca="1" si="452"/>
        <v>-1</v>
      </c>
      <c r="I2327">
        <f t="shared" ca="1" si="453"/>
        <v>0</v>
      </c>
      <c r="J2327" s="8">
        <f t="shared" ca="1" si="454"/>
        <v>-78.690067525979785</v>
      </c>
      <c r="K2327" s="9" t="str">
        <f t="shared" ca="1" si="455"/>
        <v>S</v>
      </c>
      <c r="L2327" t="e">
        <f ca="1">+_xlfn.IFNA(VLOOKUP(M2327,BespokeWindowsAreas!$B$2:$E$1999,4,FALSE),VLOOKUP(E2327,WindowTypeArea!$B$2:$C$113,2,FALSE))</f>
        <v>#N/A</v>
      </c>
      <c r="M2327">
        <f t="shared" ca="1" si="456"/>
        <v>4928587</v>
      </c>
    </row>
    <row r="2328" spans="1:13" x14ac:dyDescent="0.25">
      <c r="A2328">
        <f t="shared" ca="1" si="449"/>
        <v>5</v>
      </c>
      <c r="B2328">
        <f t="shared" ca="1" si="450"/>
        <v>609</v>
      </c>
      <c r="C2328" t="str">
        <f t="shared" ca="1" si="445"/>
        <v>'WINDOWS-NCH-A-BDP-M3-03-00'!B608</v>
      </c>
      <c r="D2328" s="6" t="str">
        <f t="shared" ca="1" si="446"/>
        <v>L03-EDU-ETC-U0962-02</v>
      </c>
      <c r="E2328" t="str">
        <f t="shared" ca="1" si="447"/>
        <v>L03-EDU-ETC-U0962-02</v>
      </c>
      <c r="F2328">
        <f t="shared" ca="1" si="448"/>
        <v>1586753</v>
      </c>
      <c r="G2328">
        <f t="shared" ca="1" si="451"/>
        <v>0</v>
      </c>
      <c r="H2328">
        <f t="shared" ca="1" si="452"/>
        <v>0</v>
      </c>
      <c r="I2328">
        <f t="shared" ca="1" si="453"/>
        <v>0</v>
      </c>
      <c r="J2328" s="8" t="e">
        <f t="shared" ca="1" si="454"/>
        <v>#DIV/0!</v>
      </c>
      <c r="K2328" s="9" t="e">
        <f t="shared" ca="1" si="455"/>
        <v>#DIV/0!</v>
      </c>
      <c r="L2328" t="e">
        <f ca="1">+_xlfn.IFNA(VLOOKUP(M2328,BespokeWindowsAreas!$B$2:$E$1999,4,FALSE),VLOOKUP(E2328,WindowTypeArea!$B$2:$C$113,2,FALSE))</f>
        <v>#N/A</v>
      </c>
      <c r="M2328">
        <f t="shared" ca="1" si="456"/>
        <v>0</v>
      </c>
    </row>
    <row r="2329" spans="1:13" x14ac:dyDescent="0.25">
      <c r="A2329">
        <f t="shared" ca="1" si="449"/>
        <v>5</v>
      </c>
      <c r="B2329">
        <f t="shared" ca="1" si="450"/>
        <v>610</v>
      </c>
      <c r="C2329" t="str">
        <f t="shared" ca="1" si="445"/>
        <v>'WINDOWS-NCH-A-BDP-M3-03-00'!B609</v>
      </c>
      <c r="D2329" s="6" t="str">
        <f t="shared" ca="1" si="446"/>
        <v>L03-EDU-ETC-U0962-02</v>
      </c>
      <c r="E2329" t="str">
        <f t="shared" ca="1" si="447"/>
        <v>Family Type: Curtain Wall_975w x 3800h, Family: Window External Type 5 - Flush</v>
      </c>
      <c r="F2329" t="str">
        <f t="shared" ca="1" si="448"/>
        <v>Vector(X = -0.956, Y = 0.294, Z = 0.000, Length = 1.000)</v>
      </c>
      <c r="G2329">
        <f t="shared" ca="1" si="451"/>
        <v>-1</v>
      </c>
      <c r="H2329">
        <f t="shared" ca="1" si="452"/>
        <v>0.3</v>
      </c>
      <c r="I2329">
        <f t="shared" ca="1" si="453"/>
        <v>0</v>
      </c>
      <c r="J2329" s="8">
        <f t="shared" ca="1" si="454"/>
        <v>163.30075576600638</v>
      </c>
      <c r="K2329" s="9" t="str">
        <f t="shared" ca="1" si="455"/>
        <v>WN</v>
      </c>
      <c r="L2329">
        <f ca="1">+_xlfn.IFNA(VLOOKUP(M2329,BespokeWindowsAreas!$B$2:$E$1999,4,FALSE),VLOOKUP(E2329,WindowTypeArea!$B$2:$C$113,2,FALSE))</f>
        <v>3.9975000000000001</v>
      </c>
      <c r="M2329">
        <f t="shared" ca="1" si="456"/>
        <v>4914390</v>
      </c>
    </row>
    <row r="2330" spans="1:13" x14ac:dyDescent="0.25">
      <c r="A2330">
        <f t="shared" ca="1" si="449"/>
        <v>5</v>
      </c>
      <c r="B2330">
        <f t="shared" ca="1" si="450"/>
        <v>611</v>
      </c>
      <c r="C2330" t="str">
        <f t="shared" ca="1" si="445"/>
        <v>'WINDOWS-NCH-A-BDP-M3-03-00'!B610</v>
      </c>
      <c r="D2330" s="6" t="str">
        <f t="shared" ca="1" si="446"/>
        <v>L03-EDU-ETC-U0962-02</v>
      </c>
      <c r="E2330" t="str">
        <f t="shared" ca="1" si="447"/>
        <v>Family Type: Curtain Wall_1950w x 3800h, Family: Window External Type 5 - Flush</v>
      </c>
      <c r="F2330" t="str">
        <f t="shared" ca="1" si="448"/>
        <v>Vector(X = -0.956, Y = 0.294, Z = 0.000, Length = 1.000)</v>
      </c>
      <c r="G2330">
        <f t="shared" ca="1" si="451"/>
        <v>-1</v>
      </c>
      <c r="H2330">
        <f t="shared" ca="1" si="452"/>
        <v>0.3</v>
      </c>
      <c r="I2330">
        <f t="shared" ca="1" si="453"/>
        <v>0</v>
      </c>
      <c r="J2330" s="8">
        <f t="shared" ca="1" si="454"/>
        <v>163.30075576600638</v>
      </c>
      <c r="K2330" s="9" t="str">
        <f t="shared" ca="1" si="455"/>
        <v>WN</v>
      </c>
      <c r="L2330">
        <f ca="1">+_xlfn.IFNA(VLOOKUP(M2330,BespokeWindowsAreas!$B$2:$E$1999,4,FALSE),VLOOKUP(E2330,WindowTypeArea!$B$2:$C$113,2,FALSE))</f>
        <v>7.9950000000000001</v>
      </c>
      <c r="M2330">
        <f t="shared" ca="1" si="456"/>
        <v>4914391</v>
      </c>
    </row>
    <row r="2331" spans="1:13" x14ac:dyDescent="0.25">
      <c r="A2331">
        <f t="shared" ca="1" si="449"/>
        <v>5</v>
      </c>
      <c r="B2331">
        <f t="shared" ca="1" si="450"/>
        <v>612</v>
      </c>
      <c r="C2331" t="str">
        <f t="shared" ca="1" si="445"/>
        <v>'WINDOWS-NCH-A-BDP-M3-03-00'!B611</v>
      </c>
      <c r="D2331" s="6" t="str">
        <f t="shared" ca="1" si="446"/>
        <v>L03-EDU-ETC-U0962-02</v>
      </c>
      <c r="E2331" t="str">
        <f t="shared" ca="1" si="447"/>
        <v>Family Type: Curtain Wall_975w x 3800h, Family: Window External Type 5 - Flush</v>
      </c>
      <c r="F2331" t="str">
        <f t="shared" ca="1" si="448"/>
        <v>Vector(X = -0.956, Y = 0.294, Z = 0.000, Length = 1.000)</v>
      </c>
      <c r="G2331">
        <f t="shared" ca="1" si="451"/>
        <v>-1</v>
      </c>
      <c r="H2331">
        <f t="shared" ca="1" si="452"/>
        <v>0.3</v>
      </c>
      <c r="I2331">
        <f t="shared" ca="1" si="453"/>
        <v>0</v>
      </c>
      <c r="J2331" s="8">
        <f t="shared" ca="1" si="454"/>
        <v>163.30075576600638</v>
      </c>
      <c r="K2331" s="9" t="str">
        <f t="shared" ca="1" si="455"/>
        <v>WN</v>
      </c>
      <c r="L2331">
        <f ca="1">+_xlfn.IFNA(VLOOKUP(M2331,BespokeWindowsAreas!$B$2:$E$1999,4,FALSE),VLOOKUP(E2331,WindowTypeArea!$B$2:$C$113,2,FALSE))</f>
        <v>3.9975000000000001</v>
      </c>
      <c r="M2331">
        <f t="shared" ca="1" si="456"/>
        <v>4914392</v>
      </c>
    </row>
    <row r="2332" spans="1:13" x14ac:dyDescent="0.25">
      <c r="A2332">
        <f t="shared" ca="1" si="449"/>
        <v>5</v>
      </c>
      <c r="B2332">
        <f t="shared" ca="1" si="450"/>
        <v>613</v>
      </c>
      <c r="C2332" t="str">
        <f t="shared" ca="1" si="445"/>
        <v>'WINDOWS-NCH-A-BDP-M3-03-00'!B612</v>
      </c>
      <c r="D2332" s="6" t="str">
        <f t="shared" ca="1" si="446"/>
        <v>L03-EDU-ETC-U0962-02</v>
      </c>
      <c r="E2332" t="str">
        <f t="shared" ca="1" si="447"/>
        <v>Family Type: Curtain Wall_975w x 3800h, Family: Window External Type 5 - Flush</v>
      </c>
      <c r="F2332" t="str">
        <f t="shared" ca="1" si="448"/>
        <v>Vector(X = -0.956, Y = 0.294, Z = 0.000, Length = 1.000)</v>
      </c>
      <c r="G2332">
        <f t="shared" ca="1" si="451"/>
        <v>-1</v>
      </c>
      <c r="H2332">
        <f t="shared" ca="1" si="452"/>
        <v>0.3</v>
      </c>
      <c r="I2332">
        <f t="shared" ca="1" si="453"/>
        <v>0</v>
      </c>
      <c r="J2332" s="8">
        <f t="shared" ca="1" si="454"/>
        <v>163.30075576600638</v>
      </c>
      <c r="K2332" s="9" t="str">
        <f t="shared" ca="1" si="455"/>
        <v>WN</v>
      </c>
      <c r="L2332">
        <f ca="1">+_xlfn.IFNA(VLOOKUP(M2332,BespokeWindowsAreas!$B$2:$E$1999,4,FALSE),VLOOKUP(E2332,WindowTypeArea!$B$2:$C$113,2,FALSE))</f>
        <v>3.9975000000000001</v>
      </c>
      <c r="M2332">
        <f t="shared" ca="1" si="456"/>
        <v>4914393</v>
      </c>
    </row>
    <row r="2333" spans="1:13" x14ac:dyDescent="0.25">
      <c r="A2333">
        <f t="shared" ca="1" si="449"/>
        <v>5</v>
      </c>
      <c r="B2333">
        <f t="shared" ca="1" si="450"/>
        <v>614</v>
      </c>
      <c r="C2333" t="str">
        <f t="shared" ca="1" si="445"/>
        <v>'WINDOWS-NCH-A-BDP-M3-03-00'!B613</v>
      </c>
      <c r="D2333" s="6" t="str">
        <f t="shared" ca="1" si="446"/>
        <v>L03-EDU-ETC-U0962-02</v>
      </c>
      <c r="E2333" t="str">
        <f t="shared" ca="1" si="447"/>
        <v>Family Type: Curtain Wall_975w x 3800h, Family: Window External Type 5 - Flush</v>
      </c>
      <c r="F2333" t="str">
        <f t="shared" ca="1" si="448"/>
        <v>Vector(X = -0.956, Y = 0.294, Z = 0.000, Length = 1.000)</v>
      </c>
      <c r="G2333">
        <f t="shared" ca="1" si="451"/>
        <v>-1</v>
      </c>
      <c r="H2333">
        <f t="shared" ca="1" si="452"/>
        <v>0.3</v>
      </c>
      <c r="I2333">
        <f t="shared" ca="1" si="453"/>
        <v>0</v>
      </c>
      <c r="J2333" s="8">
        <f t="shared" ca="1" si="454"/>
        <v>163.30075576600638</v>
      </c>
      <c r="K2333" s="9" t="str">
        <f t="shared" ca="1" si="455"/>
        <v>WN</v>
      </c>
      <c r="L2333">
        <f ca="1">+_xlfn.IFNA(VLOOKUP(M2333,BespokeWindowsAreas!$B$2:$E$1999,4,FALSE),VLOOKUP(E2333,WindowTypeArea!$B$2:$C$113,2,FALSE))</f>
        <v>3.9975000000000001</v>
      </c>
      <c r="M2333">
        <f t="shared" ca="1" si="456"/>
        <v>4914394</v>
      </c>
    </row>
    <row r="2334" spans="1:13" x14ac:dyDescent="0.25">
      <c r="A2334">
        <f t="shared" ca="1" si="449"/>
        <v>5</v>
      </c>
      <c r="B2334">
        <f t="shared" ca="1" si="450"/>
        <v>615</v>
      </c>
      <c r="C2334" t="str">
        <f t="shared" ca="1" si="445"/>
        <v>'WINDOWS-NCH-A-BDP-M3-03-00'!B614</v>
      </c>
      <c r="D2334" s="6" t="str">
        <f t="shared" ca="1" si="446"/>
        <v>L03-EDU-ETC-U0962-02</v>
      </c>
      <c r="E2334" t="str">
        <f t="shared" ca="1" si="447"/>
        <v>Family Type: Curtain Wall_1950w x 3800h, Family: Window External Type 5 - Flush</v>
      </c>
      <c r="F2334" t="str">
        <f t="shared" ca="1" si="448"/>
        <v>Vector(X = -0.956, Y = 0.294, Z = 0.000, Length = 1.000)</v>
      </c>
      <c r="G2334">
        <f t="shared" ca="1" si="451"/>
        <v>-1</v>
      </c>
      <c r="H2334">
        <f t="shared" ca="1" si="452"/>
        <v>0.3</v>
      </c>
      <c r="I2334">
        <f t="shared" ca="1" si="453"/>
        <v>0</v>
      </c>
      <c r="J2334" s="8">
        <f t="shared" ca="1" si="454"/>
        <v>163.30075576600638</v>
      </c>
      <c r="K2334" s="9" t="str">
        <f t="shared" ca="1" si="455"/>
        <v>WN</v>
      </c>
      <c r="L2334">
        <f ca="1">+_xlfn.IFNA(VLOOKUP(M2334,BespokeWindowsAreas!$B$2:$E$1999,4,FALSE),VLOOKUP(E2334,WindowTypeArea!$B$2:$C$113,2,FALSE))</f>
        <v>7.9950000000000001</v>
      </c>
      <c r="M2334">
        <f t="shared" ca="1" si="456"/>
        <v>4914395</v>
      </c>
    </row>
    <row r="2335" spans="1:13" x14ac:dyDescent="0.25">
      <c r="A2335">
        <f t="shared" ca="1" si="449"/>
        <v>5</v>
      </c>
      <c r="B2335">
        <f t="shared" ca="1" si="450"/>
        <v>616</v>
      </c>
      <c r="C2335" t="str">
        <f t="shared" ca="1" si="445"/>
        <v>'WINDOWS-NCH-A-BDP-M3-03-00'!B615</v>
      </c>
      <c r="D2335" s="6" t="str">
        <f t="shared" ca="1" si="446"/>
        <v>L03-EDU-ETC-U0962-02</v>
      </c>
      <c r="E2335" t="str">
        <f t="shared" ca="1" si="447"/>
        <v>Family Type: Curtain Wall_975w x 3800h, Family: Window External Type 5 - Flush</v>
      </c>
      <c r="F2335" t="str">
        <f t="shared" ca="1" si="448"/>
        <v>Vector(X = -0.956, Y = 0.294, Z = 0.000, Length = 1.000)</v>
      </c>
      <c r="G2335">
        <f t="shared" ca="1" si="451"/>
        <v>-1</v>
      </c>
      <c r="H2335">
        <f t="shared" ca="1" si="452"/>
        <v>0.3</v>
      </c>
      <c r="I2335">
        <f t="shared" ca="1" si="453"/>
        <v>0</v>
      </c>
      <c r="J2335" s="8">
        <f t="shared" ca="1" si="454"/>
        <v>163.30075576600638</v>
      </c>
      <c r="K2335" s="9" t="str">
        <f t="shared" ca="1" si="455"/>
        <v>WN</v>
      </c>
      <c r="L2335">
        <f ca="1">+_xlfn.IFNA(VLOOKUP(M2335,BespokeWindowsAreas!$B$2:$E$1999,4,FALSE),VLOOKUP(E2335,WindowTypeArea!$B$2:$C$113,2,FALSE))</f>
        <v>3.9975000000000001</v>
      </c>
      <c r="M2335">
        <f t="shared" ca="1" si="456"/>
        <v>4914396</v>
      </c>
    </row>
    <row r="2336" spans="1:13" x14ac:dyDescent="0.25">
      <c r="A2336">
        <f t="shared" ca="1" si="449"/>
        <v>5</v>
      </c>
      <c r="B2336">
        <f t="shared" ca="1" si="450"/>
        <v>617</v>
      </c>
      <c r="C2336" t="str">
        <f t="shared" ca="1" si="445"/>
        <v>'WINDOWS-NCH-A-BDP-M3-03-00'!B616</v>
      </c>
      <c r="D2336" s="6" t="str">
        <f t="shared" ca="1" si="446"/>
        <v>L03-EDU-ETC-L079-08</v>
      </c>
      <c r="E2336" t="str">
        <f t="shared" ca="1" si="447"/>
        <v>L03-EDU-ETC-L079-08</v>
      </c>
      <c r="F2336">
        <f t="shared" ca="1" si="448"/>
        <v>1586755</v>
      </c>
      <c r="G2336">
        <f t="shared" ca="1" si="451"/>
        <v>0</v>
      </c>
      <c r="H2336">
        <f t="shared" ca="1" si="452"/>
        <v>0</v>
      </c>
      <c r="I2336">
        <f t="shared" ca="1" si="453"/>
        <v>0</v>
      </c>
      <c r="J2336" s="8" t="e">
        <f t="shared" ca="1" si="454"/>
        <v>#DIV/0!</v>
      </c>
      <c r="K2336" s="9" t="e">
        <f t="shared" ca="1" si="455"/>
        <v>#DIV/0!</v>
      </c>
      <c r="L2336" t="e">
        <f ca="1">+_xlfn.IFNA(VLOOKUP(M2336,BespokeWindowsAreas!$B$2:$E$1999,4,FALSE),VLOOKUP(E2336,WindowTypeArea!$B$2:$C$113,2,FALSE))</f>
        <v>#N/A</v>
      </c>
      <c r="M2336">
        <f t="shared" ca="1" si="456"/>
        <v>0</v>
      </c>
    </row>
    <row r="2337" spans="1:13" x14ac:dyDescent="0.25">
      <c r="A2337">
        <f t="shared" ca="1" si="449"/>
        <v>5</v>
      </c>
      <c r="B2337">
        <f t="shared" ca="1" si="450"/>
        <v>618</v>
      </c>
      <c r="C2337" t="str">
        <f t="shared" ca="1" si="445"/>
        <v>'WINDOWS-NCH-A-BDP-M3-03-00'!B617</v>
      </c>
      <c r="D2337" s="6" t="str">
        <f t="shared" ca="1" si="446"/>
        <v>L03-EDU-ETC-L079-08</v>
      </c>
      <c r="E2337" t="str">
        <f t="shared" ca="1" si="447"/>
        <v>Family Type: Curtain Wall_Bespoke 1 - 1979.5 x 3800, Family: Window External Type 5 - Flush Instance Width</v>
      </c>
      <c r="F2337" t="str">
        <f t="shared" ca="1" si="448"/>
        <v>Vector(X = -0.988, Y = -0.155, Z = 0.000, Length = 1.000)</v>
      </c>
      <c r="G2337">
        <f t="shared" ca="1" si="451"/>
        <v>-1</v>
      </c>
      <c r="H2337">
        <f t="shared" ca="1" si="452"/>
        <v>-0.2</v>
      </c>
      <c r="I2337">
        <f t="shared" ca="1" si="453"/>
        <v>0</v>
      </c>
      <c r="J2337" s="8">
        <f t="shared" ca="1" si="454"/>
        <v>-168.69006752597977</v>
      </c>
      <c r="K2337" s="9" t="str">
        <f t="shared" ca="1" si="455"/>
        <v>W</v>
      </c>
      <c r="L2337">
        <f ca="1">+_xlfn.IFNA(VLOOKUP(M2337,BespokeWindowsAreas!$B$2:$E$1999,4,FALSE),VLOOKUP(E2337,WindowTypeArea!$B$2:$C$113,2,FALSE))</f>
        <v>7.9950000000000001</v>
      </c>
      <c r="M2337">
        <f t="shared" ca="1" si="456"/>
        <v>4810563</v>
      </c>
    </row>
    <row r="2338" spans="1:13" x14ac:dyDescent="0.25">
      <c r="A2338">
        <f t="shared" ca="1" si="449"/>
        <v>5</v>
      </c>
      <c r="B2338">
        <f t="shared" ca="1" si="450"/>
        <v>619</v>
      </c>
      <c r="C2338" t="str">
        <f t="shared" ca="1" si="445"/>
        <v>'WINDOWS-NCH-A-BDP-M3-03-00'!B618</v>
      </c>
      <c r="D2338" s="6" t="str">
        <f t="shared" ca="1" si="446"/>
        <v>L03-EDU-ETC-L079-08</v>
      </c>
      <c r="E2338" t="str">
        <f t="shared" ca="1" si="447"/>
        <v>Family Type: Curtain Wall_Bespoke 1 - 1979.5 x 3800, Family: Window External Type 5 - Flush Instance Width</v>
      </c>
      <c r="F2338" t="str">
        <f t="shared" ca="1" si="448"/>
        <v>Vector(X = -0.988, Y = -0.155, Z = 0.000, Length = 1.000)</v>
      </c>
      <c r="G2338">
        <f t="shared" ca="1" si="451"/>
        <v>-1</v>
      </c>
      <c r="H2338">
        <f t="shared" ca="1" si="452"/>
        <v>-0.2</v>
      </c>
      <c r="I2338">
        <f t="shared" ca="1" si="453"/>
        <v>0</v>
      </c>
      <c r="J2338" s="8">
        <f t="shared" ca="1" si="454"/>
        <v>-168.69006752597977</v>
      </c>
      <c r="K2338" s="9" t="str">
        <f t="shared" ca="1" si="455"/>
        <v>W</v>
      </c>
      <c r="L2338">
        <f ca="1">+_xlfn.IFNA(VLOOKUP(M2338,BespokeWindowsAreas!$B$2:$E$1999,4,FALSE),VLOOKUP(E2338,WindowTypeArea!$B$2:$C$113,2,FALSE))</f>
        <v>7.9950000000000001</v>
      </c>
      <c r="M2338">
        <f t="shared" ca="1" si="456"/>
        <v>4810564</v>
      </c>
    </row>
    <row r="2339" spans="1:13" x14ac:dyDescent="0.25">
      <c r="A2339">
        <f t="shared" ca="1" si="449"/>
        <v>5</v>
      </c>
      <c r="B2339">
        <f t="shared" ca="1" si="450"/>
        <v>620</v>
      </c>
      <c r="C2339" t="str">
        <f t="shared" ca="1" si="445"/>
        <v>'WINDOWS-NCH-A-BDP-M3-03-00'!B619</v>
      </c>
      <c r="D2339" s="6" t="str">
        <f t="shared" ca="1" si="446"/>
        <v>L03-EDU-ETC-L079-08</v>
      </c>
      <c r="E2339" t="str">
        <f t="shared" ca="1" si="447"/>
        <v>Family Type: Curtain Wall_Bespoke 1 - 1979.5 x 3800, Family: Window External Type 5 - Flush Instance Width</v>
      </c>
      <c r="F2339" t="str">
        <f t="shared" ca="1" si="448"/>
        <v>Vector(X = -0.988, Y = -0.155, Z = 0.000, Length = 1.000)</v>
      </c>
      <c r="G2339">
        <f t="shared" ca="1" si="451"/>
        <v>-1</v>
      </c>
      <c r="H2339">
        <f t="shared" ca="1" si="452"/>
        <v>-0.2</v>
      </c>
      <c r="I2339">
        <f t="shared" ca="1" si="453"/>
        <v>0</v>
      </c>
      <c r="J2339" s="8">
        <f t="shared" ca="1" si="454"/>
        <v>-168.69006752597977</v>
      </c>
      <c r="K2339" s="9" t="str">
        <f t="shared" ca="1" si="455"/>
        <v>W</v>
      </c>
      <c r="L2339">
        <f ca="1">+_xlfn.IFNA(VLOOKUP(M2339,BespokeWindowsAreas!$B$2:$E$1999,4,FALSE),VLOOKUP(E2339,WindowTypeArea!$B$2:$C$113,2,FALSE))</f>
        <v>6.4370000000001637</v>
      </c>
      <c r="M2339">
        <f t="shared" ca="1" si="456"/>
        <v>4810565</v>
      </c>
    </row>
    <row r="2340" spans="1:13" x14ac:dyDescent="0.25">
      <c r="A2340">
        <f t="shared" ca="1" si="449"/>
        <v>5</v>
      </c>
      <c r="B2340">
        <f t="shared" ca="1" si="450"/>
        <v>621</v>
      </c>
      <c r="C2340" t="str">
        <f t="shared" ca="1" si="445"/>
        <v>'WINDOWS-NCH-A-BDP-M3-03-00'!B620</v>
      </c>
      <c r="D2340" s="6" t="str">
        <f t="shared" ca="1" si="446"/>
        <v>L03-EDU-ETC-L079-08</v>
      </c>
      <c r="E2340" t="str">
        <f t="shared" ca="1" si="447"/>
        <v>Family Type: Curtain Wall_Bespoke 1 - 1979.5 x 3800, Family: Window External Type 5 - Flush Instance Width</v>
      </c>
      <c r="F2340" t="str">
        <f t="shared" ca="1" si="448"/>
        <v>Vector(X = -0.988, Y = -0.155, Z = 0.000, Length = 1.000)</v>
      </c>
      <c r="G2340">
        <f t="shared" ca="1" si="451"/>
        <v>-1</v>
      </c>
      <c r="H2340">
        <f t="shared" ca="1" si="452"/>
        <v>-0.2</v>
      </c>
      <c r="I2340">
        <f t="shared" ca="1" si="453"/>
        <v>0</v>
      </c>
      <c r="J2340" s="8">
        <f t="shared" ca="1" si="454"/>
        <v>-168.69006752597977</v>
      </c>
      <c r="K2340" s="9" t="str">
        <f t="shared" ca="1" si="455"/>
        <v>W</v>
      </c>
      <c r="L2340">
        <f ca="1">+_xlfn.IFNA(VLOOKUP(M2340,BespokeWindowsAreas!$B$2:$E$1999,4,FALSE),VLOOKUP(E2340,WindowTypeArea!$B$2:$C$113,2,FALSE))</f>
        <v>1.95</v>
      </c>
      <c r="M2340">
        <f t="shared" ca="1" si="456"/>
        <v>5143825</v>
      </c>
    </row>
    <row r="2341" spans="1:13" x14ac:dyDescent="0.25">
      <c r="A2341">
        <f t="shared" ca="1" si="449"/>
        <v>5</v>
      </c>
      <c r="B2341">
        <f t="shared" ca="1" si="450"/>
        <v>622</v>
      </c>
      <c r="C2341" t="str">
        <f t="shared" ca="1" si="445"/>
        <v>'WINDOWS-NCH-A-BDP-M3-03-00'!B621</v>
      </c>
      <c r="D2341" s="6" t="str">
        <f t="shared" ca="1" si="446"/>
        <v>L03-EDU-ETC-L079-08</v>
      </c>
      <c r="E2341" t="str">
        <f t="shared" ca="1" si="447"/>
        <v>Family Type: Curtain Wall_Bespoke 1 - 1979.5 x 3800, Family: Window External Type 5 - Flush Instance Width</v>
      </c>
      <c r="F2341" t="str">
        <f t="shared" ca="1" si="448"/>
        <v>Vector(X = -0.988, Y = -0.155, Z = 0.000, Length = 1.000)</v>
      </c>
      <c r="G2341">
        <f t="shared" ca="1" si="451"/>
        <v>-1</v>
      </c>
      <c r="H2341">
        <f t="shared" ca="1" si="452"/>
        <v>-0.2</v>
      </c>
      <c r="I2341">
        <f t="shared" ca="1" si="453"/>
        <v>0</v>
      </c>
      <c r="J2341" s="8">
        <f t="shared" ca="1" si="454"/>
        <v>-168.69006752597977</v>
      </c>
      <c r="K2341" s="9" t="str">
        <f t="shared" ca="1" si="455"/>
        <v>W</v>
      </c>
      <c r="L2341">
        <f ca="1">+_xlfn.IFNA(VLOOKUP(M2341,BespokeWindowsAreas!$B$2:$E$1999,4,FALSE),VLOOKUP(E2341,WindowTypeArea!$B$2:$C$113,2,FALSE))</f>
        <v>1.94999999999999</v>
      </c>
      <c r="M2341">
        <f t="shared" ca="1" si="456"/>
        <v>5143826</v>
      </c>
    </row>
    <row r="2342" spans="1:13" x14ac:dyDescent="0.25">
      <c r="A2342">
        <f t="shared" ca="1" si="449"/>
        <v>5</v>
      </c>
      <c r="B2342">
        <f t="shared" ca="1" si="450"/>
        <v>623</v>
      </c>
      <c r="C2342" t="str">
        <f t="shared" ca="1" si="445"/>
        <v>'WINDOWS-NCH-A-BDP-M3-03-00'!B622</v>
      </c>
      <c r="D2342" s="6" t="str">
        <f t="shared" ca="1" si="446"/>
        <v>L03-EDU-ETC-L079-08</v>
      </c>
      <c r="E2342" t="str">
        <f t="shared" ca="1" si="447"/>
        <v>Family Type: Curtain Wall_Bespoke 1 - 1979.5 x 3800, Family: Window External Type 5 - Flush Instance Width</v>
      </c>
      <c r="F2342" t="str">
        <f t="shared" ca="1" si="448"/>
        <v>Vector(X = -0.988, Y = -0.155, Z = 0.000, Length = 1.000)</v>
      </c>
      <c r="G2342">
        <f t="shared" ca="1" si="451"/>
        <v>-1</v>
      </c>
      <c r="H2342">
        <f t="shared" ca="1" si="452"/>
        <v>-0.2</v>
      </c>
      <c r="I2342">
        <f t="shared" ca="1" si="453"/>
        <v>0</v>
      </c>
      <c r="J2342" s="8">
        <f t="shared" ca="1" si="454"/>
        <v>-168.69006752597977</v>
      </c>
      <c r="K2342" s="9" t="str">
        <f t="shared" ca="1" si="455"/>
        <v>W</v>
      </c>
      <c r="L2342">
        <f ca="1">+_xlfn.IFNA(VLOOKUP(M2342,BespokeWindowsAreas!$B$2:$E$1999,4,FALSE),VLOOKUP(E2342,WindowTypeArea!$B$2:$C$113,2,FALSE))</f>
        <v>1.57000000000005</v>
      </c>
      <c r="M2342">
        <f t="shared" ca="1" si="456"/>
        <v>5143827</v>
      </c>
    </row>
    <row r="2343" spans="1:13" x14ac:dyDescent="0.25">
      <c r="A2343">
        <f t="shared" ca="1" si="449"/>
        <v>5</v>
      </c>
      <c r="B2343">
        <f t="shared" ca="1" si="450"/>
        <v>624</v>
      </c>
      <c r="C2343" t="str">
        <f t="shared" ca="1" si="445"/>
        <v>'WINDOWS-NCH-A-BDP-M3-03-00'!B623</v>
      </c>
      <c r="D2343" s="6" t="str">
        <f t="shared" ca="1" si="446"/>
        <v>L03-EDU-ETC-U0973-01</v>
      </c>
      <c r="E2343" t="str">
        <f t="shared" ca="1" si="447"/>
        <v>L03-EDU-ETC-U0973-01</v>
      </c>
      <c r="F2343" t="str">
        <f t="shared" ca="1" si="448"/>
        <v>ID not used</v>
      </c>
      <c r="G2343">
        <f t="shared" ca="1" si="451"/>
        <v>0</v>
      </c>
      <c r="H2343">
        <f t="shared" ca="1" si="452"/>
        <v>0</v>
      </c>
      <c r="I2343">
        <f t="shared" ca="1" si="453"/>
        <v>0</v>
      </c>
      <c r="J2343" s="8" t="e">
        <f t="shared" ca="1" si="454"/>
        <v>#DIV/0!</v>
      </c>
      <c r="K2343" s="9" t="e">
        <f t="shared" ca="1" si="455"/>
        <v>#DIV/0!</v>
      </c>
      <c r="L2343" t="e">
        <f ca="1">+_xlfn.IFNA(VLOOKUP(M2343,BespokeWindowsAreas!$B$2:$E$1999,4,FALSE),VLOOKUP(E2343,WindowTypeArea!$B$2:$C$113,2,FALSE))</f>
        <v>#N/A</v>
      </c>
      <c r="M2343">
        <f t="shared" ca="1" si="456"/>
        <v>0</v>
      </c>
    </row>
    <row r="2344" spans="1:13" x14ac:dyDescent="0.25">
      <c r="A2344">
        <f t="shared" ca="1" si="449"/>
        <v>5</v>
      </c>
      <c r="B2344">
        <f t="shared" ca="1" si="450"/>
        <v>625</v>
      </c>
      <c r="C2344" t="str">
        <f t="shared" ca="1" si="445"/>
        <v>'WINDOWS-NCH-A-BDP-M3-03-00'!B624</v>
      </c>
      <c r="D2344" s="6" t="str">
        <f t="shared" ca="1" si="446"/>
        <v>L03-EDU-ETC-U0973-01</v>
      </c>
      <c r="E2344" t="str">
        <f t="shared" ca="1" si="447"/>
        <v>Family Type: Curtain Wall_Bespoke 1 - 1979.5 x 3800, Family: Window External Type 5 - Flush Instance Width</v>
      </c>
      <c r="F2344" t="str">
        <f t="shared" ca="1" si="448"/>
        <v>Vector(X = -0.988, Y = -0.155, Z = 0.000, Length = 1.000)</v>
      </c>
      <c r="G2344">
        <f t="shared" ca="1" si="451"/>
        <v>-1</v>
      </c>
      <c r="H2344">
        <f t="shared" ca="1" si="452"/>
        <v>-0.2</v>
      </c>
      <c r="I2344">
        <f t="shared" ca="1" si="453"/>
        <v>0</v>
      </c>
      <c r="J2344" s="8">
        <f t="shared" ca="1" si="454"/>
        <v>-168.69006752597977</v>
      </c>
      <c r="K2344" s="9" t="str">
        <f t="shared" ca="1" si="455"/>
        <v>W</v>
      </c>
      <c r="L2344">
        <f ca="1">+_xlfn.IFNA(VLOOKUP(M2344,BespokeWindowsAreas!$B$2:$E$1999,4,FALSE),VLOOKUP(E2344,WindowTypeArea!$B$2:$C$113,2,FALSE))</f>
        <v>7.3389999999996718</v>
      </c>
      <c r="M2344">
        <f t="shared" ca="1" si="456"/>
        <v>4810569</v>
      </c>
    </row>
    <row r="2345" spans="1:13" x14ac:dyDescent="0.25">
      <c r="A2345">
        <f t="shared" ca="1" si="449"/>
        <v>5</v>
      </c>
      <c r="B2345">
        <f t="shared" ca="1" si="450"/>
        <v>626</v>
      </c>
      <c r="C2345" t="str">
        <f t="shared" ca="1" si="445"/>
        <v>'WINDOWS-NCH-A-BDP-M3-03-00'!B625</v>
      </c>
      <c r="D2345" s="6" t="str">
        <f t="shared" ca="1" si="446"/>
        <v>L03-EDU-ETC-U0973-01</v>
      </c>
      <c r="E2345" t="str">
        <f t="shared" ca="1" si="447"/>
        <v>Family Type: Curtain Wall_Bespoke 1 - 1979.5 x 3800, Family: Window External Type 5 - Flush Instance Width</v>
      </c>
      <c r="F2345" t="str">
        <f t="shared" ca="1" si="448"/>
        <v>Vector(X = -0.988, Y = -0.155, Z = 0.000, Length = 1.000)</v>
      </c>
      <c r="G2345">
        <f t="shared" ca="1" si="451"/>
        <v>-1</v>
      </c>
      <c r="H2345">
        <f t="shared" ca="1" si="452"/>
        <v>-0.2</v>
      </c>
      <c r="I2345">
        <f t="shared" ca="1" si="453"/>
        <v>0</v>
      </c>
      <c r="J2345" s="8">
        <f t="shared" ca="1" si="454"/>
        <v>-168.69006752597977</v>
      </c>
      <c r="K2345" s="9" t="str">
        <f t="shared" ca="1" si="455"/>
        <v>W</v>
      </c>
      <c r="L2345">
        <f ca="1">+_xlfn.IFNA(VLOOKUP(M2345,BespokeWindowsAreas!$B$2:$E$1999,4,FALSE),VLOOKUP(E2345,WindowTypeArea!$B$2:$C$113,2,FALSE))</f>
        <v>1.7899999999998799</v>
      </c>
      <c r="M2345">
        <f t="shared" ca="1" si="456"/>
        <v>5143832</v>
      </c>
    </row>
    <row r="2346" spans="1:13" x14ac:dyDescent="0.25">
      <c r="A2346">
        <f t="shared" ca="1" si="449"/>
        <v>5</v>
      </c>
      <c r="B2346">
        <f t="shared" ca="1" si="450"/>
        <v>627</v>
      </c>
      <c r="C2346" t="str">
        <f t="shared" ca="1" si="445"/>
        <v>'WINDOWS-NCH-A-BDP-M3-03-00'!B626</v>
      </c>
      <c r="D2346" s="6" t="str">
        <f t="shared" ca="1" si="446"/>
        <v>L03-EDU-ETC-U0973-01</v>
      </c>
      <c r="E2346" t="str">
        <f t="shared" ca="1" si="447"/>
        <v>Family Type: Curtain Wall_Bespoke 1 - 1979.5 x 3800, Family: Window External Type 5 - Flush Instance Width</v>
      </c>
      <c r="F2346" t="str">
        <f t="shared" ca="1" si="448"/>
        <v>Vector(X = -0.988, Y = -0.155, Z = 0.000, Length = 1.000)</v>
      </c>
      <c r="G2346">
        <f t="shared" ca="1" si="451"/>
        <v>-1</v>
      </c>
      <c r="H2346">
        <f t="shared" ca="1" si="452"/>
        <v>-0.2</v>
      </c>
      <c r="I2346">
        <f t="shared" ca="1" si="453"/>
        <v>0</v>
      </c>
      <c r="J2346" s="8">
        <f t="shared" ca="1" si="454"/>
        <v>-168.69006752597977</v>
      </c>
      <c r="K2346" s="9" t="str">
        <f t="shared" ca="1" si="455"/>
        <v>W</v>
      </c>
      <c r="L2346">
        <f ca="1">+_xlfn.IFNA(VLOOKUP(M2346,BespokeWindowsAreas!$B$2:$E$1999,4,FALSE),VLOOKUP(E2346,WindowTypeArea!$B$2:$C$113,2,FALSE))</f>
        <v>7.9950000000000001</v>
      </c>
      <c r="M2346">
        <f t="shared" ca="1" si="456"/>
        <v>4810570</v>
      </c>
    </row>
    <row r="2347" spans="1:13" x14ac:dyDescent="0.25">
      <c r="A2347">
        <f t="shared" ca="1" si="449"/>
        <v>5</v>
      </c>
      <c r="B2347">
        <f t="shared" ca="1" si="450"/>
        <v>628</v>
      </c>
      <c r="C2347" t="str">
        <f t="shared" ref="C2347:C2410" ca="1" si="457">+"'"&amp;INDIRECT("a"&amp;A2346)&amp;"'!B"&amp;B2346</f>
        <v>'WINDOWS-NCH-A-BDP-M3-03-00'!B627</v>
      </c>
      <c r="D2347" s="6" t="str">
        <f t="shared" ref="D2347:D2410" ca="1" si="458">+IF(IFERROR(FIND("Family",E2347)&gt;0,FALSE),D2346,E2347)</f>
        <v>L03-EDU-ETC-U0973-01</v>
      </c>
      <c r="E2347" t="str">
        <f t="shared" ref="E2347:E2410" ca="1" si="459">+OFFSET(INDIRECT(C2347),0,0)</f>
        <v>Family Type: Curtain Wall_Bespoke 1 - 975 x 1050, Family: Window External Type 5 - Flush Instance Width</v>
      </c>
      <c r="F2347" t="str">
        <f t="shared" ref="F2347:F2410" ca="1" si="460">+OFFSET(INDIRECT(C2347),0,1)</f>
        <v>Vector(X = -0.988, Y = -0.155, Z = 0.000, Length = 1.000)</v>
      </c>
      <c r="G2347">
        <f t="shared" ca="1" si="451"/>
        <v>-1</v>
      </c>
      <c r="H2347">
        <f t="shared" ca="1" si="452"/>
        <v>-0.2</v>
      </c>
      <c r="I2347">
        <f t="shared" ca="1" si="453"/>
        <v>0</v>
      </c>
      <c r="J2347" s="8">
        <f t="shared" ca="1" si="454"/>
        <v>-168.69006752597977</v>
      </c>
      <c r="K2347" s="9" t="str">
        <f t="shared" ca="1" si="455"/>
        <v>W</v>
      </c>
      <c r="L2347">
        <f ca="1">+_xlfn.IFNA(VLOOKUP(M2347,BespokeWindowsAreas!$B$2:$E$1999,4,FALSE),VLOOKUP(E2347,WindowTypeArea!$B$2:$C$113,2,FALSE))</f>
        <v>1.95</v>
      </c>
      <c r="M2347">
        <f t="shared" ca="1" si="456"/>
        <v>6678260</v>
      </c>
    </row>
    <row r="2348" spans="1:13" x14ac:dyDescent="0.25">
      <c r="A2348">
        <f t="shared" ca="1" si="449"/>
        <v>5</v>
      </c>
      <c r="B2348">
        <f t="shared" ca="1" si="450"/>
        <v>629</v>
      </c>
      <c r="C2348" t="str">
        <f t="shared" ca="1" si="457"/>
        <v>'WINDOWS-NCH-A-BDP-M3-03-00'!B628</v>
      </c>
      <c r="D2348" s="6" t="str">
        <f t="shared" ca="1" si="458"/>
        <v>L03-EDU-ETC-U0973-01</v>
      </c>
      <c r="E2348" t="str">
        <f t="shared" ca="1" si="459"/>
        <v>Family Type: Curtain Wall_Bespoke 1 - 1979.5 x 3800, Family: Window External Type 5 - Flush Instance Width</v>
      </c>
      <c r="F2348" t="str">
        <f t="shared" ca="1" si="460"/>
        <v>Vector(X = -0.988, Y = -0.155, Z = 0.000, Length = 1.000)</v>
      </c>
      <c r="G2348">
        <f t="shared" ca="1" si="451"/>
        <v>-1</v>
      </c>
      <c r="H2348">
        <f t="shared" ca="1" si="452"/>
        <v>-0.2</v>
      </c>
      <c r="I2348">
        <f t="shared" ca="1" si="453"/>
        <v>0</v>
      </c>
      <c r="J2348" s="8">
        <f t="shared" ca="1" si="454"/>
        <v>-168.69006752597977</v>
      </c>
      <c r="K2348" s="9" t="str">
        <f t="shared" ca="1" si="455"/>
        <v>W</v>
      </c>
      <c r="L2348">
        <f ca="1">+_xlfn.IFNA(VLOOKUP(M2348,BespokeWindowsAreas!$B$2:$E$1999,4,FALSE),VLOOKUP(E2348,WindowTypeArea!$B$2:$C$113,2,FALSE))</f>
        <v>7.9950000000000001</v>
      </c>
      <c r="M2348">
        <f t="shared" ca="1" si="456"/>
        <v>4810571</v>
      </c>
    </row>
    <row r="2349" spans="1:13" x14ac:dyDescent="0.25">
      <c r="A2349">
        <f t="shared" ca="1" si="449"/>
        <v>5</v>
      </c>
      <c r="B2349">
        <f t="shared" ca="1" si="450"/>
        <v>630</v>
      </c>
      <c r="C2349" t="str">
        <f t="shared" ca="1" si="457"/>
        <v>'WINDOWS-NCH-A-BDP-M3-03-00'!B629</v>
      </c>
      <c r="D2349" s="6" t="str">
        <f t="shared" ca="1" si="458"/>
        <v>L03-EDU-ETC-U0973-01</v>
      </c>
      <c r="E2349" t="str">
        <f t="shared" ca="1" si="459"/>
        <v>Family Type: Curtain Wall_Bespoke 1 - 1979.5 x 3800, Family: Window External Type 5 - Flush Instance Width</v>
      </c>
      <c r="F2349" t="str">
        <f t="shared" ca="1" si="460"/>
        <v>Vector(X = -0.988, Y = -0.155, Z = 0.000, Length = 1.000)</v>
      </c>
      <c r="G2349">
        <f t="shared" ca="1" si="451"/>
        <v>-1</v>
      </c>
      <c r="H2349">
        <f t="shared" ca="1" si="452"/>
        <v>-0.2</v>
      </c>
      <c r="I2349">
        <f t="shared" ca="1" si="453"/>
        <v>0</v>
      </c>
      <c r="J2349" s="8">
        <f t="shared" ca="1" si="454"/>
        <v>-168.69006752597977</v>
      </c>
      <c r="K2349" s="9" t="str">
        <f t="shared" ca="1" si="455"/>
        <v>W</v>
      </c>
      <c r="L2349">
        <f ca="1">+_xlfn.IFNA(VLOOKUP(M2349,BespokeWindowsAreas!$B$2:$E$1999,4,FALSE),VLOOKUP(E2349,WindowTypeArea!$B$2:$C$113,2,FALSE))</f>
        <v>1.95</v>
      </c>
      <c r="M2349">
        <f t="shared" ca="1" si="456"/>
        <v>5143833</v>
      </c>
    </row>
    <row r="2350" spans="1:13" x14ac:dyDescent="0.25">
      <c r="A2350">
        <f t="shared" ca="1" si="449"/>
        <v>5</v>
      </c>
      <c r="B2350">
        <f t="shared" ca="1" si="450"/>
        <v>631</v>
      </c>
      <c r="C2350" t="str">
        <f t="shared" ca="1" si="457"/>
        <v>'WINDOWS-NCH-A-BDP-M3-03-00'!B630</v>
      </c>
      <c r="D2350" s="6" t="str">
        <f t="shared" ca="1" si="458"/>
        <v>L03-EDU-ETC-U0973-01</v>
      </c>
      <c r="E2350" t="str">
        <f t="shared" ca="1" si="459"/>
        <v>Family Type: Curtain Wall_Bespoke 1 - 1979.5 x 3800, Family: Window External Type 5 - Flush Instance Width</v>
      </c>
      <c r="F2350" t="str">
        <f t="shared" ca="1" si="460"/>
        <v>Vector(X = -0.988, Y = -0.155, Z = 0.000, Length = 1.000)</v>
      </c>
      <c r="G2350">
        <f t="shared" ca="1" si="451"/>
        <v>-1</v>
      </c>
      <c r="H2350">
        <f t="shared" ca="1" si="452"/>
        <v>-0.2</v>
      </c>
      <c r="I2350">
        <f t="shared" ca="1" si="453"/>
        <v>0</v>
      </c>
      <c r="J2350" s="8">
        <f t="shared" ca="1" si="454"/>
        <v>-168.69006752597977</v>
      </c>
      <c r="K2350" s="9" t="str">
        <f t="shared" ca="1" si="455"/>
        <v>W</v>
      </c>
      <c r="L2350">
        <f ca="1">+_xlfn.IFNA(VLOOKUP(M2350,BespokeWindowsAreas!$B$2:$E$1999,4,FALSE),VLOOKUP(E2350,WindowTypeArea!$B$2:$C$113,2,FALSE))</f>
        <v>3.9975000000000613</v>
      </c>
      <c r="M2350">
        <f t="shared" ca="1" si="456"/>
        <v>4865197</v>
      </c>
    </row>
    <row r="2351" spans="1:13" x14ac:dyDescent="0.25">
      <c r="A2351">
        <f t="shared" ca="1" si="449"/>
        <v>5</v>
      </c>
      <c r="B2351">
        <f t="shared" ca="1" si="450"/>
        <v>632</v>
      </c>
      <c r="C2351" t="str">
        <f t="shared" ca="1" si="457"/>
        <v>'WINDOWS-NCH-A-BDP-M3-03-00'!B631</v>
      </c>
      <c r="D2351" s="6" t="str">
        <f t="shared" ca="1" si="458"/>
        <v>L03-EDU-ETC-U0973-01</v>
      </c>
      <c r="E2351" t="str">
        <f t="shared" ca="1" si="459"/>
        <v>Family Type: Curtain Wall_Bespoke 1 - 1979.5 x 3800, Family: Window External Type 5 - Flush Instance Width</v>
      </c>
      <c r="F2351" t="str">
        <f t="shared" ca="1" si="460"/>
        <v>Vector(X = -0.988, Y = -0.155, Z = 0.000, Length = 1.000)</v>
      </c>
      <c r="G2351">
        <f t="shared" ca="1" si="451"/>
        <v>-1</v>
      </c>
      <c r="H2351">
        <f t="shared" ca="1" si="452"/>
        <v>-0.2</v>
      </c>
      <c r="I2351">
        <f t="shared" ca="1" si="453"/>
        <v>0</v>
      </c>
      <c r="J2351" s="8">
        <f t="shared" ca="1" si="454"/>
        <v>-168.69006752597977</v>
      </c>
      <c r="K2351" s="9" t="str">
        <f t="shared" ca="1" si="455"/>
        <v>W</v>
      </c>
      <c r="L2351">
        <f ca="1">+_xlfn.IFNA(VLOOKUP(M2351,BespokeWindowsAreas!$B$2:$E$1999,4,FALSE),VLOOKUP(E2351,WindowTypeArea!$B$2:$C$113,2,FALSE))</f>
        <v>0.97500000000001497</v>
      </c>
      <c r="M2351">
        <f t="shared" ca="1" si="456"/>
        <v>5143834</v>
      </c>
    </row>
    <row r="2352" spans="1:13" x14ac:dyDescent="0.25">
      <c r="A2352">
        <f t="shared" ca="1" si="449"/>
        <v>5</v>
      </c>
      <c r="B2352">
        <f t="shared" ca="1" si="450"/>
        <v>633</v>
      </c>
      <c r="C2352" t="str">
        <f t="shared" ca="1" si="457"/>
        <v>'WINDOWS-NCH-A-BDP-M3-03-00'!B632</v>
      </c>
      <c r="D2352" s="6" t="str">
        <f t="shared" ca="1" si="458"/>
        <v>L03-EDU-ETC-U0973-01</v>
      </c>
      <c r="E2352" t="str">
        <f t="shared" ca="1" si="459"/>
        <v>Family Type: Curtain Wall_1950w x 3800h, Family: Window External Type 5 - Flush</v>
      </c>
      <c r="F2352" t="str">
        <f t="shared" ca="1" si="460"/>
        <v>Vector(X = -0.988, Y = -0.155, Z = 0.000, Length = 1.000)</v>
      </c>
      <c r="G2352">
        <f t="shared" ca="1" si="451"/>
        <v>-1</v>
      </c>
      <c r="H2352">
        <f t="shared" ca="1" si="452"/>
        <v>-0.2</v>
      </c>
      <c r="I2352">
        <f t="shared" ca="1" si="453"/>
        <v>0</v>
      </c>
      <c r="J2352" s="8">
        <f t="shared" ca="1" si="454"/>
        <v>-168.69006752597977</v>
      </c>
      <c r="K2352" s="9" t="str">
        <f t="shared" ca="1" si="455"/>
        <v>W</v>
      </c>
      <c r="L2352">
        <f ca="1">+_xlfn.IFNA(VLOOKUP(M2352,BespokeWindowsAreas!$B$2:$E$1999,4,FALSE),VLOOKUP(E2352,WindowTypeArea!$B$2:$C$113,2,FALSE))</f>
        <v>7.9950000000000001</v>
      </c>
      <c r="M2352">
        <f t="shared" ca="1" si="456"/>
        <v>4810573</v>
      </c>
    </row>
    <row r="2353" spans="1:13" x14ac:dyDescent="0.25">
      <c r="A2353">
        <f t="shared" ca="1" si="449"/>
        <v>5</v>
      </c>
      <c r="B2353">
        <f t="shared" ca="1" si="450"/>
        <v>634</v>
      </c>
      <c r="C2353" t="str">
        <f t="shared" ca="1" si="457"/>
        <v>'WINDOWS-NCH-A-BDP-M3-03-00'!B633</v>
      </c>
      <c r="D2353" s="6" t="str">
        <f t="shared" ca="1" si="458"/>
        <v>L03-EDU-ETC-U0973-01</v>
      </c>
      <c r="E2353" t="str">
        <f t="shared" ca="1" si="459"/>
        <v>Family Type: Curtain Wall_1950w x 3800h, Family: Window External Type 5 - Flush</v>
      </c>
      <c r="F2353" t="str">
        <f t="shared" ca="1" si="460"/>
        <v>Vector(X = -0.988, Y = -0.155, Z = 0.000, Length = 1.000)</v>
      </c>
      <c r="G2353">
        <f t="shared" ca="1" si="451"/>
        <v>-1</v>
      </c>
      <c r="H2353">
        <f t="shared" ca="1" si="452"/>
        <v>-0.2</v>
      </c>
      <c r="I2353">
        <f t="shared" ca="1" si="453"/>
        <v>0</v>
      </c>
      <c r="J2353" s="8">
        <f t="shared" ca="1" si="454"/>
        <v>-168.69006752597977</v>
      </c>
      <c r="K2353" s="9" t="str">
        <f t="shared" ca="1" si="455"/>
        <v>W</v>
      </c>
      <c r="L2353">
        <f ca="1">+_xlfn.IFNA(VLOOKUP(M2353,BespokeWindowsAreas!$B$2:$E$1999,4,FALSE),VLOOKUP(E2353,WindowTypeArea!$B$2:$C$113,2,FALSE))</f>
        <v>7.9950000000000001</v>
      </c>
      <c r="M2353">
        <f t="shared" ca="1" si="456"/>
        <v>4810574</v>
      </c>
    </row>
    <row r="2354" spans="1:13" x14ac:dyDescent="0.25">
      <c r="A2354">
        <f t="shared" ca="1" si="449"/>
        <v>5</v>
      </c>
      <c r="B2354">
        <f t="shared" ca="1" si="450"/>
        <v>635</v>
      </c>
      <c r="C2354" t="str">
        <f t="shared" ca="1" si="457"/>
        <v>'WINDOWS-NCH-A-BDP-M3-03-00'!B634</v>
      </c>
      <c r="D2354" s="6" t="str">
        <f t="shared" ca="1" si="458"/>
        <v>L03-EDU-ETC-U0973-01</v>
      </c>
      <c r="E2354" t="str">
        <f t="shared" ca="1" si="459"/>
        <v>Family Type: Curtain Wall_975w x 3800h, Family: Window External Type 5 - Flush</v>
      </c>
      <c r="F2354" t="str">
        <f t="shared" ca="1" si="460"/>
        <v>Vector(X = -0.988, Y = -0.155, Z = 0.000, Length = 1.000)</v>
      </c>
      <c r="G2354">
        <f t="shared" ca="1" si="451"/>
        <v>-1</v>
      </c>
      <c r="H2354">
        <f t="shared" ca="1" si="452"/>
        <v>-0.2</v>
      </c>
      <c r="I2354">
        <f t="shared" ca="1" si="453"/>
        <v>0</v>
      </c>
      <c r="J2354" s="8">
        <f t="shared" ca="1" si="454"/>
        <v>-168.69006752597977</v>
      </c>
      <c r="K2354" s="9" t="str">
        <f t="shared" ca="1" si="455"/>
        <v>W</v>
      </c>
      <c r="L2354">
        <f ca="1">+_xlfn.IFNA(VLOOKUP(M2354,BespokeWindowsAreas!$B$2:$E$1999,4,FALSE),VLOOKUP(E2354,WindowTypeArea!$B$2:$C$113,2,FALSE))</f>
        <v>3.9975000000000001</v>
      </c>
      <c r="M2354">
        <f t="shared" ca="1" si="456"/>
        <v>4810575</v>
      </c>
    </row>
    <row r="2355" spans="1:13" x14ac:dyDescent="0.25">
      <c r="A2355">
        <f t="shared" ca="1" si="449"/>
        <v>5</v>
      </c>
      <c r="B2355">
        <f t="shared" ca="1" si="450"/>
        <v>636</v>
      </c>
      <c r="C2355" t="str">
        <f t="shared" ca="1" si="457"/>
        <v>'WINDOWS-NCH-A-BDP-M3-03-00'!B635</v>
      </c>
      <c r="D2355" s="6" t="str">
        <f t="shared" ca="1" si="458"/>
        <v>L03-EDU-ETC-U0973-01</v>
      </c>
      <c r="E2355" t="str">
        <f t="shared" ca="1" si="459"/>
        <v>Family Type: Curtain Wall_1950w x 3800h, Family: Window External Type 5 - Flush</v>
      </c>
      <c r="F2355" t="str">
        <f t="shared" ca="1" si="460"/>
        <v>Vector(X = -0.988, Y = -0.155, Z = 0.000, Length = 1.000)</v>
      </c>
      <c r="G2355">
        <f t="shared" ca="1" si="451"/>
        <v>-1</v>
      </c>
      <c r="H2355">
        <f t="shared" ca="1" si="452"/>
        <v>-0.2</v>
      </c>
      <c r="I2355">
        <f t="shared" ca="1" si="453"/>
        <v>0</v>
      </c>
      <c r="J2355" s="8">
        <f t="shared" ca="1" si="454"/>
        <v>-168.69006752597977</v>
      </c>
      <c r="K2355" s="9" t="str">
        <f t="shared" ca="1" si="455"/>
        <v>W</v>
      </c>
      <c r="L2355">
        <f ca="1">+_xlfn.IFNA(VLOOKUP(M2355,BespokeWindowsAreas!$B$2:$E$1999,4,FALSE),VLOOKUP(E2355,WindowTypeArea!$B$2:$C$113,2,FALSE))</f>
        <v>7.9950000000000001</v>
      </c>
      <c r="M2355">
        <f t="shared" ca="1" si="456"/>
        <v>4864497</v>
      </c>
    </row>
    <row r="2356" spans="1:13" x14ac:dyDescent="0.25">
      <c r="A2356">
        <f t="shared" ca="1" si="449"/>
        <v>5</v>
      </c>
      <c r="B2356">
        <f t="shared" ca="1" si="450"/>
        <v>637</v>
      </c>
      <c r="C2356" t="str">
        <f t="shared" ca="1" si="457"/>
        <v>'WINDOWS-NCH-A-BDP-M3-03-00'!B636</v>
      </c>
      <c r="D2356" s="6" t="str">
        <f t="shared" ca="1" si="458"/>
        <v>L03-EDU-ETC-U0973-01</v>
      </c>
      <c r="E2356" t="str">
        <f t="shared" ca="1" si="459"/>
        <v>Family Type: Curtain Wall_975w x 3800h, Family: Window External Type 5 - Flush</v>
      </c>
      <c r="F2356" t="str">
        <f t="shared" ca="1" si="460"/>
        <v>Vector(X = -0.988, Y = -0.155, Z = 0.000, Length = 1.000)</v>
      </c>
      <c r="G2356">
        <f t="shared" ca="1" si="451"/>
        <v>-1</v>
      </c>
      <c r="H2356">
        <f t="shared" ca="1" si="452"/>
        <v>-0.2</v>
      </c>
      <c r="I2356">
        <f t="shared" ca="1" si="453"/>
        <v>0</v>
      </c>
      <c r="J2356" s="8">
        <f t="shared" ca="1" si="454"/>
        <v>-168.69006752597977</v>
      </c>
      <c r="K2356" s="9" t="str">
        <f t="shared" ca="1" si="455"/>
        <v>W</v>
      </c>
      <c r="L2356">
        <f ca="1">+_xlfn.IFNA(VLOOKUP(M2356,BespokeWindowsAreas!$B$2:$E$1999,4,FALSE),VLOOKUP(E2356,WindowTypeArea!$B$2:$C$113,2,FALSE))</f>
        <v>3.9975000000000001</v>
      </c>
      <c r="M2356">
        <f t="shared" ca="1" si="456"/>
        <v>4865080</v>
      </c>
    </row>
    <row r="2357" spans="1:13" x14ac:dyDescent="0.25">
      <c r="A2357">
        <f t="shared" ca="1" si="449"/>
        <v>5</v>
      </c>
      <c r="B2357">
        <f t="shared" ca="1" si="450"/>
        <v>638</v>
      </c>
      <c r="C2357" t="str">
        <f t="shared" ca="1" si="457"/>
        <v>'WINDOWS-NCH-A-BDP-M3-03-00'!B637</v>
      </c>
      <c r="D2357" s="6" t="str">
        <f t="shared" ca="1" si="458"/>
        <v>L03-EDU-ETC-U0973-01</v>
      </c>
      <c r="E2357" t="str">
        <f t="shared" ca="1" si="459"/>
        <v>Family Type: Curtain Wall_1950w x 3800h, Family: Window External Type 5 - Flush</v>
      </c>
      <c r="F2357" t="str">
        <f t="shared" ca="1" si="460"/>
        <v>Vector(X = -0.988, Y = -0.155, Z = 0.000, Length = 1.000)</v>
      </c>
      <c r="G2357">
        <f t="shared" ca="1" si="451"/>
        <v>-1</v>
      </c>
      <c r="H2357">
        <f t="shared" ca="1" si="452"/>
        <v>-0.2</v>
      </c>
      <c r="I2357">
        <f t="shared" ca="1" si="453"/>
        <v>0</v>
      </c>
      <c r="J2357" s="8">
        <f t="shared" ca="1" si="454"/>
        <v>-168.69006752597977</v>
      </c>
      <c r="K2357" s="9" t="str">
        <f t="shared" ca="1" si="455"/>
        <v>W</v>
      </c>
      <c r="L2357">
        <f ca="1">+_xlfn.IFNA(VLOOKUP(M2357,BespokeWindowsAreas!$B$2:$E$1999,4,FALSE),VLOOKUP(E2357,WindowTypeArea!$B$2:$C$113,2,FALSE))</f>
        <v>7.9950000000000001</v>
      </c>
      <c r="M2357">
        <f t="shared" ca="1" si="456"/>
        <v>4810578</v>
      </c>
    </row>
    <row r="2358" spans="1:13" x14ac:dyDescent="0.25">
      <c r="A2358">
        <f t="shared" ca="1" si="449"/>
        <v>5</v>
      </c>
      <c r="B2358">
        <f t="shared" ca="1" si="450"/>
        <v>639</v>
      </c>
      <c r="C2358" t="str">
        <f t="shared" ca="1" si="457"/>
        <v>'WINDOWS-NCH-A-BDP-M3-03-00'!B638</v>
      </c>
      <c r="D2358" s="6" t="str">
        <f t="shared" ca="1" si="458"/>
        <v>L03-EDU-ETC-U0973-01</v>
      </c>
      <c r="E2358" t="str">
        <f t="shared" ca="1" si="459"/>
        <v>Family Type: Curtain Wall_975w x 3800h, Family: Window External Type 5 - Flush</v>
      </c>
      <c r="F2358" t="str">
        <f t="shared" ca="1" si="460"/>
        <v>Vector(X = -0.988, Y = -0.155, Z = 0.000, Length = 1.000)</v>
      </c>
      <c r="G2358">
        <f t="shared" ca="1" si="451"/>
        <v>-1</v>
      </c>
      <c r="H2358">
        <f t="shared" ca="1" si="452"/>
        <v>-0.2</v>
      </c>
      <c r="I2358">
        <f t="shared" ca="1" si="453"/>
        <v>0</v>
      </c>
      <c r="J2358" s="8">
        <f t="shared" ca="1" si="454"/>
        <v>-168.69006752597977</v>
      </c>
      <c r="K2358" s="9" t="str">
        <f t="shared" ca="1" si="455"/>
        <v>W</v>
      </c>
      <c r="L2358">
        <f ca="1">+_xlfn.IFNA(VLOOKUP(M2358,BespokeWindowsAreas!$B$2:$E$1999,4,FALSE),VLOOKUP(E2358,WindowTypeArea!$B$2:$C$113,2,FALSE))</f>
        <v>3.9975000000000001</v>
      </c>
      <c r="M2358">
        <f t="shared" ca="1" si="456"/>
        <v>4865007</v>
      </c>
    </row>
    <row r="2359" spans="1:13" x14ac:dyDescent="0.25">
      <c r="A2359">
        <f t="shared" ca="1" si="449"/>
        <v>5</v>
      </c>
      <c r="B2359">
        <f t="shared" ca="1" si="450"/>
        <v>640</v>
      </c>
      <c r="C2359" t="str">
        <f t="shared" ca="1" si="457"/>
        <v>'WINDOWS-NCH-A-BDP-M3-03-00'!B639</v>
      </c>
      <c r="D2359" s="6" t="str">
        <f t="shared" ca="1" si="458"/>
        <v>L03-EDU-ETC-U0973-01</v>
      </c>
      <c r="E2359" t="str">
        <f t="shared" ca="1" si="459"/>
        <v>Family Type: Curtain Wall_975w x 3800h, Family: Window External Type 5 - Flush</v>
      </c>
      <c r="F2359" t="str">
        <f t="shared" ca="1" si="460"/>
        <v>Vector(X = -0.988, Y = -0.155, Z = 0.000, Length = 1.000)</v>
      </c>
      <c r="G2359">
        <f t="shared" ca="1" si="451"/>
        <v>-1</v>
      </c>
      <c r="H2359">
        <f t="shared" ca="1" si="452"/>
        <v>-0.2</v>
      </c>
      <c r="I2359">
        <f t="shared" ca="1" si="453"/>
        <v>0</v>
      </c>
      <c r="J2359" s="8">
        <f t="shared" ca="1" si="454"/>
        <v>-168.69006752597977</v>
      </c>
      <c r="K2359" s="9" t="str">
        <f t="shared" ca="1" si="455"/>
        <v>W</v>
      </c>
      <c r="L2359">
        <f ca="1">+_xlfn.IFNA(VLOOKUP(M2359,BespokeWindowsAreas!$B$2:$E$1999,4,FALSE),VLOOKUP(E2359,WindowTypeArea!$B$2:$C$113,2,FALSE))</f>
        <v>3.9975000000000001</v>
      </c>
      <c r="M2359">
        <f t="shared" ca="1" si="456"/>
        <v>4810581</v>
      </c>
    </row>
    <row r="2360" spans="1:13" x14ac:dyDescent="0.25">
      <c r="A2360">
        <f t="shared" ca="1" si="449"/>
        <v>5</v>
      </c>
      <c r="B2360">
        <f t="shared" ca="1" si="450"/>
        <v>641</v>
      </c>
      <c r="C2360" t="str">
        <f t="shared" ca="1" si="457"/>
        <v>'WINDOWS-NCH-A-BDP-M3-03-00'!B640</v>
      </c>
      <c r="D2360" s="6" t="str">
        <f t="shared" ca="1" si="458"/>
        <v>L03-EDU-ETC-U0973-01</v>
      </c>
      <c r="E2360" t="str">
        <f t="shared" ca="1" si="459"/>
        <v>Family Type: Curtain Wall_1950w x 3800h, Family: Window External Type 5 - Flush</v>
      </c>
      <c r="F2360" t="str">
        <f t="shared" ca="1" si="460"/>
        <v>Vector(X = -0.988, Y = -0.155, Z = 0.000, Length = 1.000)</v>
      </c>
      <c r="G2360">
        <f t="shared" ca="1" si="451"/>
        <v>-1</v>
      </c>
      <c r="H2360">
        <f t="shared" ca="1" si="452"/>
        <v>-0.2</v>
      </c>
      <c r="I2360">
        <f t="shared" ca="1" si="453"/>
        <v>0</v>
      </c>
      <c r="J2360" s="8">
        <f t="shared" ca="1" si="454"/>
        <v>-168.69006752597977</v>
      </c>
      <c r="K2360" s="9" t="str">
        <f t="shared" ca="1" si="455"/>
        <v>W</v>
      </c>
      <c r="L2360">
        <f ca="1">+_xlfn.IFNA(VLOOKUP(M2360,BespokeWindowsAreas!$B$2:$E$1999,4,FALSE),VLOOKUP(E2360,WindowTypeArea!$B$2:$C$113,2,FALSE))</f>
        <v>7.9950000000000001</v>
      </c>
      <c r="M2360">
        <f t="shared" ca="1" si="456"/>
        <v>4810580</v>
      </c>
    </row>
    <row r="2361" spans="1:13" x14ac:dyDescent="0.25">
      <c r="A2361">
        <f t="shared" ca="1" si="449"/>
        <v>5</v>
      </c>
      <c r="B2361">
        <f t="shared" ca="1" si="450"/>
        <v>642</v>
      </c>
      <c r="C2361" t="str">
        <f t="shared" ca="1" si="457"/>
        <v>'WINDOWS-NCH-A-BDP-M3-03-00'!B641</v>
      </c>
      <c r="D2361" s="6" t="str">
        <f t="shared" ca="1" si="458"/>
        <v>L03-EDU-ETC-U0973-01</v>
      </c>
      <c r="E2361" t="str">
        <f t="shared" ca="1" si="459"/>
        <v>Family Type: Curtain Wall_975w x 3800h, Family: Window External Type 5 - Flush</v>
      </c>
      <c r="F2361" t="str">
        <f t="shared" ca="1" si="460"/>
        <v>Vector(X = -0.988, Y = -0.155, Z = 0.000, Length = 1.000)</v>
      </c>
      <c r="G2361">
        <f t="shared" ca="1" si="451"/>
        <v>-1</v>
      </c>
      <c r="H2361">
        <f t="shared" ca="1" si="452"/>
        <v>-0.2</v>
      </c>
      <c r="I2361">
        <f t="shared" ca="1" si="453"/>
        <v>0</v>
      </c>
      <c r="J2361" s="8">
        <f t="shared" ca="1" si="454"/>
        <v>-168.69006752597977</v>
      </c>
      <c r="K2361" s="9" t="str">
        <f t="shared" ca="1" si="455"/>
        <v>W</v>
      </c>
      <c r="L2361">
        <f ca="1">+_xlfn.IFNA(VLOOKUP(M2361,BespokeWindowsAreas!$B$2:$E$1999,4,FALSE),VLOOKUP(E2361,WindowTypeArea!$B$2:$C$113,2,FALSE))</f>
        <v>3.9975000000000001</v>
      </c>
      <c r="M2361">
        <f t="shared" ca="1" si="456"/>
        <v>4864913</v>
      </c>
    </row>
    <row r="2362" spans="1:13" x14ac:dyDescent="0.25">
      <c r="A2362">
        <f t="shared" ca="1" si="449"/>
        <v>5</v>
      </c>
      <c r="B2362">
        <f t="shared" ca="1" si="450"/>
        <v>643</v>
      </c>
      <c r="C2362" t="str">
        <f t="shared" ca="1" si="457"/>
        <v>'WINDOWS-NCH-A-BDP-M3-03-00'!B642</v>
      </c>
      <c r="D2362" s="6" t="str">
        <f t="shared" ca="1" si="458"/>
        <v>L03-EDU-ETC-U0973-01</v>
      </c>
      <c r="E2362" t="str">
        <f t="shared" ca="1" si="459"/>
        <v>Family Type: Curtain Wall_975w x 3800h, Family: Window External Type 5 - Flush</v>
      </c>
      <c r="F2362" t="str">
        <f t="shared" ca="1" si="460"/>
        <v>Vector(X = -0.988, Y = -0.155, Z = 0.000, Length = 1.000)</v>
      </c>
      <c r="G2362">
        <f t="shared" ca="1" si="451"/>
        <v>-1</v>
      </c>
      <c r="H2362">
        <f t="shared" ca="1" si="452"/>
        <v>-0.2</v>
      </c>
      <c r="I2362">
        <f t="shared" ca="1" si="453"/>
        <v>0</v>
      </c>
      <c r="J2362" s="8">
        <f t="shared" ca="1" si="454"/>
        <v>-168.69006752597977</v>
      </c>
      <c r="K2362" s="9" t="str">
        <f t="shared" ca="1" si="455"/>
        <v>W</v>
      </c>
      <c r="L2362">
        <f ca="1">+_xlfn.IFNA(VLOOKUP(M2362,BespokeWindowsAreas!$B$2:$E$1999,4,FALSE),VLOOKUP(E2362,WindowTypeArea!$B$2:$C$113,2,FALSE))</f>
        <v>3.9975000000000001</v>
      </c>
      <c r="M2362">
        <f t="shared" ca="1" si="456"/>
        <v>4864873</v>
      </c>
    </row>
    <row r="2363" spans="1:13" x14ac:dyDescent="0.25">
      <c r="A2363">
        <f t="shared" ca="1" si="449"/>
        <v>5</v>
      </c>
      <c r="B2363">
        <f t="shared" ca="1" si="450"/>
        <v>644</v>
      </c>
      <c r="C2363" t="str">
        <f t="shared" ca="1" si="457"/>
        <v>'WINDOWS-NCH-A-BDP-M3-03-00'!B643</v>
      </c>
      <c r="D2363" s="6" t="str">
        <f t="shared" ca="1" si="458"/>
        <v>L03-EDU-ETC-U0973-01</v>
      </c>
      <c r="E2363" t="str">
        <f t="shared" ca="1" si="459"/>
        <v>Family Type: Curtain Wall_975w x 3800h, Family: Window External Type 5 - Flush</v>
      </c>
      <c r="F2363" t="str">
        <f t="shared" ca="1" si="460"/>
        <v>Vector(X = -0.988, Y = -0.155, Z = 0.000, Length = 1.000)</v>
      </c>
      <c r="G2363">
        <f t="shared" ca="1" si="451"/>
        <v>-1</v>
      </c>
      <c r="H2363">
        <f t="shared" ca="1" si="452"/>
        <v>-0.2</v>
      </c>
      <c r="I2363">
        <f t="shared" ca="1" si="453"/>
        <v>0</v>
      </c>
      <c r="J2363" s="8">
        <f t="shared" ca="1" si="454"/>
        <v>-168.69006752597977</v>
      </c>
      <c r="K2363" s="9" t="str">
        <f t="shared" ca="1" si="455"/>
        <v>W</v>
      </c>
      <c r="L2363">
        <f ca="1">+_xlfn.IFNA(VLOOKUP(M2363,BespokeWindowsAreas!$B$2:$E$1999,4,FALSE),VLOOKUP(E2363,WindowTypeArea!$B$2:$C$113,2,FALSE))</f>
        <v>3.9975000000000001</v>
      </c>
      <c r="M2363">
        <f t="shared" ca="1" si="456"/>
        <v>4810583</v>
      </c>
    </row>
    <row r="2364" spans="1:13" x14ac:dyDescent="0.25">
      <c r="A2364">
        <f t="shared" ca="1" si="449"/>
        <v>5</v>
      </c>
      <c r="B2364">
        <f t="shared" ca="1" si="450"/>
        <v>645</v>
      </c>
      <c r="C2364" t="str">
        <f t="shared" ca="1" si="457"/>
        <v>'WINDOWS-NCH-A-BDP-M3-03-00'!B644</v>
      </c>
      <c r="D2364" s="6" t="str">
        <f t="shared" ca="1" si="458"/>
        <v>L03-EDU-ETC-U0973-01</v>
      </c>
      <c r="E2364" t="str">
        <f t="shared" ca="1" si="459"/>
        <v>Family Type: Curtain Wall_1950w x 3800h, Family: Window External Type 5 - Flush</v>
      </c>
      <c r="F2364" t="str">
        <f t="shared" ca="1" si="460"/>
        <v>Vector(X = -0.988, Y = -0.155, Z = 0.000, Length = 1.000)</v>
      </c>
      <c r="G2364">
        <f t="shared" ca="1" si="451"/>
        <v>-1</v>
      </c>
      <c r="H2364">
        <f t="shared" ca="1" si="452"/>
        <v>-0.2</v>
      </c>
      <c r="I2364">
        <f t="shared" ca="1" si="453"/>
        <v>0</v>
      </c>
      <c r="J2364" s="8">
        <f t="shared" ca="1" si="454"/>
        <v>-168.69006752597977</v>
      </c>
      <c r="K2364" s="9" t="str">
        <f t="shared" ca="1" si="455"/>
        <v>W</v>
      </c>
      <c r="L2364">
        <f ca="1">+_xlfn.IFNA(VLOOKUP(M2364,BespokeWindowsAreas!$B$2:$E$1999,4,FALSE),VLOOKUP(E2364,WindowTypeArea!$B$2:$C$113,2,FALSE))</f>
        <v>7.9950000000000001</v>
      </c>
      <c r="M2364">
        <f t="shared" ca="1" si="456"/>
        <v>4810582</v>
      </c>
    </row>
    <row r="2365" spans="1:13" x14ac:dyDescent="0.25">
      <c r="A2365">
        <f t="shared" ca="1" si="449"/>
        <v>5</v>
      </c>
      <c r="B2365">
        <f t="shared" ca="1" si="450"/>
        <v>646</v>
      </c>
      <c r="C2365" t="str">
        <f t="shared" ca="1" si="457"/>
        <v>'WINDOWS-NCH-A-BDP-M3-03-00'!B645</v>
      </c>
      <c r="D2365" s="6" t="str">
        <f t="shared" ca="1" si="458"/>
        <v>L03-EDU-ETC-U0973-01</v>
      </c>
      <c r="E2365" t="str">
        <f t="shared" ca="1" si="459"/>
        <v>Family Type: Curtain Wall_975w x 3800h, Family: Window External Type 5 - Flush</v>
      </c>
      <c r="F2365" t="str">
        <f t="shared" ca="1" si="460"/>
        <v>Vector(X = -0.988, Y = -0.155, Z = 0.000, Length = 1.000)</v>
      </c>
      <c r="G2365">
        <f t="shared" ca="1" si="451"/>
        <v>-1</v>
      </c>
      <c r="H2365">
        <f t="shared" ca="1" si="452"/>
        <v>-0.2</v>
      </c>
      <c r="I2365">
        <f t="shared" ca="1" si="453"/>
        <v>0</v>
      </c>
      <c r="J2365" s="8">
        <f t="shared" ca="1" si="454"/>
        <v>-168.69006752597977</v>
      </c>
      <c r="K2365" s="9" t="str">
        <f t="shared" ca="1" si="455"/>
        <v>W</v>
      </c>
      <c r="L2365">
        <f ca="1">+_xlfn.IFNA(VLOOKUP(M2365,BespokeWindowsAreas!$B$2:$E$1999,4,FALSE),VLOOKUP(E2365,WindowTypeArea!$B$2:$C$113,2,FALSE))</f>
        <v>3.9975000000000001</v>
      </c>
      <c r="M2365">
        <f t="shared" ca="1" si="456"/>
        <v>4810586</v>
      </c>
    </row>
    <row r="2366" spans="1:13" x14ac:dyDescent="0.25">
      <c r="A2366">
        <f t="shared" ca="1" si="449"/>
        <v>5</v>
      </c>
      <c r="B2366">
        <f t="shared" ca="1" si="450"/>
        <v>647</v>
      </c>
      <c r="C2366" t="str">
        <f t="shared" ca="1" si="457"/>
        <v>'WINDOWS-NCH-A-BDP-M3-03-00'!B646</v>
      </c>
      <c r="D2366" s="6" t="str">
        <f t="shared" ca="1" si="458"/>
        <v>L03-EDU-ETC-U0973-01</v>
      </c>
      <c r="E2366" t="str">
        <f t="shared" ca="1" si="459"/>
        <v>Family Type: Curtain Wall_975w x 3800h, Family: Window External Type 5 - Flush</v>
      </c>
      <c r="F2366" t="str">
        <f t="shared" ca="1" si="460"/>
        <v>Vector(X = -0.988, Y = -0.155, Z = 0.000, Length = 1.000)</v>
      </c>
      <c r="G2366">
        <f t="shared" ca="1" si="451"/>
        <v>-1</v>
      </c>
      <c r="H2366">
        <f t="shared" ca="1" si="452"/>
        <v>-0.2</v>
      </c>
      <c r="I2366">
        <f t="shared" ca="1" si="453"/>
        <v>0</v>
      </c>
      <c r="J2366" s="8">
        <f t="shared" ca="1" si="454"/>
        <v>-168.69006752597977</v>
      </c>
      <c r="K2366" s="9" t="str">
        <f t="shared" ca="1" si="455"/>
        <v>W</v>
      </c>
      <c r="L2366">
        <f ca="1">+_xlfn.IFNA(VLOOKUP(M2366,BespokeWindowsAreas!$B$2:$E$1999,4,FALSE),VLOOKUP(E2366,WindowTypeArea!$B$2:$C$113,2,FALSE))</f>
        <v>3.9975000000000001</v>
      </c>
      <c r="M2366">
        <f t="shared" ca="1" si="456"/>
        <v>4810587</v>
      </c>
    </row>
    <row r="2367" spans="1:13" x14ac:dyDescent="0.25">
      <c r="A2367">
        <f t="shared" ca="1" si="449"/>
        <v>5</v>
      </c>
      <c r="B2367">
        <f t="shared" ca="1" si="450"/>
        <v>648</v>
      </c>
      <c r="C2367" t="str">
        <f t="shared" ca="1" si="457"/>
        <v>'WINDOWS-NCH-A-BDP-M3-03-00'!B647</v>
      </c>
      <c r="D2367" s="6" t="str">
        <f t="shared" ca="1" si="458"/>
        <v>L03-EDU-ETC-U0973-01</v>
      </c>
      <c r="E2367" t="str">
        <f t="shared" ca="1" si="459"/>
        <v>Family Type: Curtain Wall_975w x 3800h, Family: Window External Type 5 - Flush</v>
      </c>
      <c r="F2367" t="str">
        <f t="shared" ca="1" si="460"/>
        <v>Vector(X = -0.988, Y = -0.155, Z = 0.000, Length = 1.000)</v>
      </c>
      <c r="G2367">
        <f t="shared" ca="1" si="451"/>
        <v>-1</v>
      </c>
      <c r="H2367">
        <f t="shared" ca="1" si="452"/>
        <v>-0.2</v>
      </c>
      <c r="I2367">
        <f t="shared" ca="1" si="453"/>
        <v>0</v>
      </c>
      <c r="J2367" s="8">
        <f t="shared" ca="1" si="454"/>
        <v>-168.69006752597977</v>
      </c>
      <c r="K2367" s="9" t="str">
        <f t="shared" ca="1" si="455"/>
        <v>W</v>
      </c>
      <c r="L2367">
        <f ca="1">+_xlfn.IFNA(VLOOKUP(M2367,BespokeWindowsAreas!$B$2:$E$1999,4,FALSE),VLOOKUP(E2367,WindowTypeArea!$B$2:$C$113,2,FALSE))</f>
        <v>3.9975000000000001</v>
      </c>
      <c r="M2367">
        <f t="shared" ca="1" si="456"/>
        <v>4810589</v>
      </c>
    </row>
    <row r="2368" spans="1:13" x14ac:dyDescent="0.25">
      <c r="A2368">
        <f t="shared" ca="1" si="449"/>
        <v>5</v>
      </c>
      <c r="B2368">
        <f t="shared" ca="1" si="450"/>
        <v>649</v>
      </c>
      <c r="C2368" t="str">
        <f t="shared" ca="1" si="457"/>
        <v>'WINDOWS-NCH-A-BDP-M3-03-00'!B648</v>
      </c>
      <c r="D2368" s="6" t="str">
        <f t="shared" ca="1" si="458"/>
        <v>L03-EDU-ETC-U0973-01</v>
      </c>
      <c r="E2368" t="str">
        <f t="shared" ca="1" si="459"/>
        <v>Family Type: Curtain Wall_2264x1950x4100, Family: Window External Type 5 - Flush Corner 2</v>
      </c>
      <c r="F2368" t="str">
        <f t="shared" ca="1" si="460"/>
        <v>Vector(X = 0.323, Y = -0.946, Z = 0.000, Length = 1.000)</v>
      </c>
      <c r="G2368">
        <f t="shared" ca="1" si="451"/>
        <v>0.3</v>
      </c>
      <c r="H2368">
        <f t="shared" ca="1" si="452"/>
        <v>-0.9</v>
      </c>
      <c r="I2368">
        <f t="shared" ca="1" si="453"/>
        <v>0</v>
      </c>
      <c r="J2368" s="8">
        <f t="shared" ca="1" si="454"/>
        <v>-71.56505117707799</v>
      </c>
      <c r="K2368" s="9" t="str">
        <f t="shared" ca="1" si="455"/>
        <v>S</v>
      </c>
      <c r="L2368">
        <f ca="1">+_xlfn.IFNA(VLOOKUP(M2368,BespokeWindowsAreas!$B$2:$E$1999,4,FALSE),VLOOKUP(E2368,WindowTypeArea!$B$2:$C$113,2,FALSE))</f>
        <v>0</v>
      </c>
      <c r="M2368">
        <f t="shared" ca="1" si="456"/>
        <v>4654648</v>
      </c>
    </row>
    <row r="2369" spans="1:13" x14ac:dyDescent="0.25">
      <c r="A2369">
        <f t="shared" ca="1" si="449"/>
        <v>5</v>
      </c>
      <c r="B2369">
        <f t="shared" ca="1" si="450"/>
        <v>650</v>
      </c>
      <c r="C2369" t="str">
        <f t="shared" ca="1" si="457"/>
        <v>'WINDOWS-NCH-A-BDP-M3-03-00'!B649</v>
      </c>
      <c r="D2369" s="6" t="str">
        <f t="shared" ca="1" si="458"/>
        <v>L03-EDU-ETC-U0973-01</v>
      </c>
      <c r="E2369" t="str">
        <f t="shared" ca="1" si="459"/>
        <v>Family Type: Curtain Wall_1950w x 3800h, Family: Window External Type 5 - Flush</v>
      </c>
      <c r="F2369" t="str">
        <f t="shared" ca="1" si="460"/>
        <v>Vector(X = 0.323, Y = -0.946, Z = 0.000, Length = 1.000)</v>
      </c>
      <c r="G2369">
        <f t="shared" ca="1" si="451"/>
        <v>0.3</v>
      </c>
      <c r="H2369">
        <f t="shared" ca="1" si="452"/>
        <v>-0.9</v>
      </c>
      <c r="I2369">
        <f t="shared" ca="1" si="453"/>
        <v>0</v>
      </c>
      <c r="J2369" s="8">
        <f t="shared" ca="1" si="454"/>
        <v>-71.56505117707799</v>
      </c>
      <c r="K2369" s="9" t="str">
        <f t="shared" ca="1" si="455"/>
        <v>S</v>
      </c>
      <c r="L2369">
        <f ca="1">+_xlfn.IFNA(VLOOKUP(M2369,BespokeWindowsAreas!$B$2:$E$1999,4,FALSE),VLOOKUP(E2369,WindowTypeArea!$B$2:$C$113,2,FALSE))</f>
        <v>7.9950000000000001</v>
      </c>
      <c r="M2369">
        <f t="shared" ca="1" si="456"/>
        <v>4850687</v>
      </c>
    </row>
    <row r="2370" spans="1:13" x14ac:dyDescent="0.25">
      <c r="A2370">
        <f t="shared" ca="1" si="449"/>
        <v>5</v>
      </c>
      <c r="B2370">
        <f t="shared" ca="1" si="450"/>
        <v>651</v>
      </c>
      <c r="C2370" t="str">
        <f t="shared" ca="1" si="457"/>
        <v>'WINDOWS-NCH-A-BDP-M3-03-00'!B650</v>
      </c>
      <c r="D2370" s="6" t="str">
        <f t="shared" ca="1" si="458"/>
        <v>L03-EDU-ETC-U0973-01</v>
      </c>
      <c r="E2370" t="str">
        <f t="shared" ca="1" si="459"/>
        <v>Family Type: Curtain Wall_1950w x 3800h, Family: Window External Type 5 - Flush</v>
      </c>
      <c r="F2370" t="str">
        <f t="shared" ca="1" si="460"/>
        <v>Vector(X = 0.323, Y = -0.946, Z = 0.000, Length = 1.000)</v>
      </c>
      <c r="G2370">
        <f t="shared" ca="1" si="451"/>
        <v>0.3</v>
      </c>
      <c r="H2370">
        <f t="shared" ca="1" si="452"/>
        <v>-0.9</v>
      </c>
      <c r="I2370">
        <f t="shared" ca="1" si="453"/>
        <v>0</v>
      </c>
      <c r="J2370" s="8">
        <f t="shared" ca="1" si="454"/>
        <v>-71.56505117707799</v>
      </c>
      <c r="K2370" s="9" t="str">
        <f t="shared" ca="1" si="455"/>
        <v>S</v>
      </c>
      <c r="L2370">
        <f ca="1">+_xlfn.IFNA(VLOOKUP(M2370,BespokeWindowsAreas!$B$2:$E$1999,4,FALSE),VLOOKUP(E2370,WindowTypeArea!$B$2:$C$113,2,FALSE))</f>
        <v>7.9950000000000001</v>
      </c>
      <c r="M2370">
        <f t="shared" ca="1" si="456"/>
        <v>4850688</v>
      </c>
    </row>
    <row r="2371" spans="1:13" x14ac:dyDescent="0.25">
      <c r="A2371">
        <f t="shared" ca="1" si="449"/>
        <v>5</v>
      </c>
      <c r="B2371">
        <f t="shared" ca="1" si="450"/>
        <v>652</v>
      </c>
      <c r="C2371" t="str">
        <f t="shared" ca="1" si="457"/>
        <v>'WINDOWS-NCH-A-BDP-M3-03-00'!B651</v>
      </c>
      <c r="D2371" s="6" t="str">
        <f t="shared" ca="1" si="458"/>
        <v>L03-EDU-ETC-U0973-01</v>
      </c>
      <c r="E2371" t="str">
        <f t="shared" ca="1" si="459"/>
        <v>Family Type: Curtain Wall_1950w x 3800h, Family: Window External Type 5 - Flush</v>
      </c>
      <c r="F2371" t="str">
        <f t="shared" ca="1" si="460"/>
        <v>Vector(X = 0.323, Y = -0.946, Z = 0.000, Length = 1.000)</v>
      </c>
      <c r="G2371">
        <f t="shared" ca="1" si="451"/>
        <v>0.3</v>
      </c>
      <c r="H2371">
        <f t="shared" ca="1" si="452"/>
        <v>-0.9</v>
      </c>
      <c r="I2371">
        <f t="shared" ca="1" si="453"/>
        <v>0</v>
      </c>
      <c r="J2371" s="8">
        <f t="shared" ca="1" si="454"/>
        <v>-71.56505117707799</v>
      </c>
      <c r="K2371" s="9" t="str">
        <f t="shared" ca="1" si="455"/>
        <v>S</v>
      </c>
      <c r="L2371">
        <f ca="1">+_xlfn.IFNA(VLOOKUP(M2371,BespokeWindowsAreas!$B$2:$E$1999,4,FALSE),VLOOKUP(E2371,WindowTypeArea!$B$2:$C$113,2,FALSE))</f>
        <v>7.9950000000000001</v>
      </c>
      <c r="M2371">
        <f t="shared" ca="1" si="456"/>
        <v>4850689</v>
      </c>
    </row>
    <row r="2372" spans="1:13" x14ac:dyDescent="0.25">
      <c r="A2372">
        <f t="shared" ca="1" si="449"/>
        <v>5</v>
      </c>
      <c r="B2372">
        <f t="shared" ca="1" si="450"/>
        <v>653</v>
      </c>
      <c r="C2372" t="str">
        <f t="shared" ca="1" si="457"/>
        <v>'WINDOWS-NCH-A-BDP-M3-03-00'!B652</v>
      </c>
      <c r="D2372" s="6" t="str">
        <f t="shared" ca="1" si="458"/>
        <v>L03-EDU-ETC-U0973-01</v>
      </c>
      <c r="E2372" t="str">
        <f t="shared" ca="1" si="459"/>
        <v>Family Type: Curtain Wall_1950w x 3800h, Family: Window External Type 5 - Flush</v>
      </c>
      <c r="F2372" t="str">
        <f t="shared" ca="1" si="460"/>
        <v>Vector(X = 0.323, Y = -0.946, Z = 0.000, Length = 1.000)</v>
      </c>
      <c r="G2372">
        <f t="shared" ca="1" si="451"/>
        <v>0.3</v>
      </c>
      <c r="H2372">
        <f t="shared" ca="1" si="452"/>
        <v>-0.9</v>
      </c>
      <c r="I2372">
        <f t="shared" ca="1" si="453"/>
        <v>0</v>
      </c>
      <c r="J2372" s="8">
        <f t="shared" ca="1" si="454"/>
        <v>-71.56505117707799</v>
      </c>
      <c r="K2372" s="9" t="str">
        <f t="shared" ca="1" si="455"/>
        <v>S</v>
      </c>
      <c r="L2372">
        <f ca="1">+_xlfn.IFNA(VLOOKUP(M2372,BespokeWindowsAreas!$B$2:$E$1999,4,FALSE),VLOOKUP(E2372,WindowTypeArea!$B$2:$C$113,2,FALSE))</f>
        <v>7.9950000000000001</v>
      </c>
      <c r="M2372">
        <f t="shared" ca="1" si="456"/>
        <v>4850690</v>
      </c>
    </row>
    <row r="2373" spans="1:13" x14ac:dyDescent="0.25">
      <c r="A2373">
        <f t="shared" ca="1" si="449"/>
        <v>5</v>
      </c>
      <c r="B2373">
        <f t="shared" ca="1" si="450"/>
        <v>654</v>
      </c>
      <c r="C2373" t="str">
        <f t="shared" ca="1" si="457"/>
        <v>'WINDOWS-NCH-A-BDP-M3-03-00'!B653</v>
      </c>
      <c r="D2373" s="6" t="str">
        <f t="shared" ca="1" si="458"/>
        <v>L03-COR-DIR-S115-01</v>
      </c>
      <c r="E2373" t="str">
        <f t="shared" ca="1" si="459"/>
        <v>L03-COR-DIR-S115-01</v>
      </c>
      <c r="F2373" t="str">
        <f t="shared" ca="1" si="460"/>
        <v>ID not used</v>
      </c>
      <c r="G2373">
        <f t="shared" ca="1" si="451"/>
        <v>0</v>
      </c>
      <c r="H2373">
        <f t="shared" ca="1" si="452"/>
        <v>0</v>
      </c>
      <c r="I2373">
        <f t="shared" ca="1" si="453"/>
        <v>0</v>
      </c>
      <c r="J2373" s="8" t="e">
        <f t="shared" ca="1" si="454"/>
        <v>#DIV/0!</v>
      </c>
      <c r="K2373" s="9" t="e">
        <f t="shared" ca="1" si="455"/>
        <v>#DIV/0!</v>
      </c>
      <c r="L2373" t="e">
        <f ca="1">+_xlfn.IFNA(VLOOKUP(M2373,BespokeWindowsAreas!$B$2:$E$1999,4,FALSE),VLOOKUP(E2373,WindowTypeArea!$B$2:$C$113,2,FALSE))</f>
        <v>#N/A</v>
      </c>
      <c r="M2373">
        <f t="shared" ca="1" si="456"/>
        <v>0</v>
      </c>
    </row>
    <row r="2374" spans="1:13" x14ac:dyDescent="0.25">
      <c r="A2374">
        <f t="shared" ca="1" si="449"/>
        <v>5</v>
      </c>
      <c r="B2374">
        <f t="shared" ca="1" si="450"/>
        <v>655</v>
      </c>
      <c r="C2374" t="str">
        <f t="shared" ca="1" si="457"/>
        <v>'WINDOWS-NCH-A-BDP-M3-03-00'!B654</v>
      </c>
      <c r="D2374" s="6" t="str">
        <f t="shared" ca="1" si="458"/>
        <v>L03-COR-DIR-S115-01</v>
      </c>
      <c r="E2374" t="str">
        <f t="shared" ca="1" si="459"/>
        <v>Family Type: Curtain Wall_Bespoke 1 - 1979.5 x 3800, Family: Window External Type 5 - Flush Instance Width</v>
      </c>
      <c r="F2374" t="str">
        <f t="shared" ca="1" si="460"/>
        <v>Vector(X = -0.985, Y = -0.170, Z = 0.000, Length = 1.000)</v>
      </c>
      <c r="G2374">
        <f t="shared" ca="1" si="451"/>
        <v>-1</v>
      </c>
      <c r="H2374">
        <f t="shared" ca="1" si="452"/>
        <v>-0.2</v>
      </c>
      <c r="I2374">
        <f t="shared" ca="1" si="453"/>
        <v>0</v>
      </c>
      <c r="J2374" s="8">
        <f t="shared" ca="1" si="454"/>
        <v>-168.69006752597977</v>
      </c>
      <c r="K2374" s="9" t="str">
        <f t="shared" ca="1" si="455"/>
        <v>W</v>
      </c>
      <c r="L2374">
        <f ca="1">+_xlfn.IFNA(VLOOKUP(M2374,BespokeWindowsAreas!$B$2:$E$1999,4,FALSE),VLOOKUP(E2374,WindowTypeArea!$B$2:$C$113,2,FALSE))</f>
        <v>7.9950000000000001</v>
      </c>
      <c r="M2374">
        <f t="shared" ca="1" si="456"/>
        <v>4913555</v>
      </c>
    </row>
    <row r="2375" spans="1:13" x14ac:dyDescent="0.25">
      <c r="A2375">
        <f t="shared" ca="1" si="449"/>
        <v>5</v>
      </c>
      <c r="B2375">
        <f t="shared" ca="1" si="450"/>
        <v>656</v>
      </c>
      <c r="C2375" t="str">
        <f t="shared" ca="1" si="457"/>
        <v>'WINDOWS-NCH-A-BDP-M3-03-00'!B655</v>
      </c>
      <c r="D2375" s="6" t="str">
        <f t="shared" ca="1" si="458"/>
        <v>L03-COR-DIR-S115-01</v>
      </c>
      <c r="E2375" t="str">
        <f t="shared" ca="1" si="459"/>
        <v>Family Type: Curtain Wall_Bespoke 1 - 1979.5 x 3800, Family: Window External Type 5 - Flush Instance Width</v>
      </c>
      <c r="F2375" t="str">
        <f t="shared" ca="1" si="460"/>
        <v>Vector(X = -0.985, Y = -0.170, Z = 0.000, Length = 1.000)</v>
      </c>
      <c r="G2375">
        <f t="shared" ca="1" si="451"/>
        <v>-1</v>
      </c>
      <c r="H2375">
        <f t="shared" ca="1" si="452"/>
        <v>-0.2</v>
      </c>
      <c r="I2375">
        <f t="shared" ca="1" si="453"/>
        <v>0</v>
      </c>
      <c r="J2375" s="8">
        <f t="shared" ca="1" si="454"/>
        <v>-168.69006752597977</v>
      </c>
      <c r="K2375" s="9" t="str">
        <f t="shared" ca="1" si="455"/>
        <v>W</v>
      </c>
      <c r="L2375">
        <f ca="1">+_xlfn.IFNA(VLOOKUP(M2375,BespokeWindowsAreas!$B$2:$E$1999,4,FALSE),VLOOKUP(E2375,WindowTypeArea!$B$2:$C$113,2,FALSE))</f>
        <v>1.95</v>
      </c>
      <c r="M2375">
        <f t="shared" ca="1" si="456"/>
        <v>5143656</v>
      </c>
    </row>
    <row r="2376" spans="1:13" x14ac:dyDescent="0.25">
      <c r="A2376">
        <f t="shared" ca="1" si="449"/>
        <v>5</v>
      </c>
      <c r="B2376">
        <f t="shared" ca="1" si="450"/>
        <v>657</v>
      </c>
      <c r="C2376" t="str">
        <f t="shared" ca="1" si="457"/>
        <v>'WINDOWS-NCH-A-BDP-M3-03-00'!B656</v>
      </c>
      <c r="D2376" s="6" t="str">
        <f t="shared" ca="1" si="458"/>
        <v>L03-COR-DIR-S115-01</v>
      </c>
      <c r="E2376" t="str">
        <f t="shared" ca="1" si="459"/>
        <v>Family Type: Curtain Wall_1950w x 3800h, Family: Window External Type 5 - Flush</v>
      </c>
      <c r="F2376" t="str">
        <f t="shared" ca="1" si="460"/>
        <v>Vector(X = -0.985, Y = -0.170, Z = 0.000, Length = 1.000)</v>
      </c>
      <c r="G2376">
        <f t="shared" ca="1" si="451"/>
        <v>-1</v>
      </c>
      <c r="H2376">
        <f t="shared" ca="1" si="452"/>
        <v>-0.2</v>
      </c>
      <c r="I2376">
        <f t="shared" ca="1" si="453"/>
        <v>0</v>
      </c>
      <c r="J2376" s="8">
        <f t="shared" ca="1" si="454"/>
        <v>-168.69006752597977</v>
      </c>
      <c r="K2376" s="9" t="str">
        <f t="shared" ca="1" si="455"/>
        <v>W</v>
      </c>
      <c r="L2376">
        <f ca="1">+_xlfn.IFNA(VLOOKUP(M2376,BespokeWindowsAreas!$B$2:$E$1999,4,FALSE),VLOOKUP(E2376,WindowTypeArea!$B$2:$C$113,2,FALSE))</f>
        <v>7.9950000000000001</v>
      </c>
      <c r="M2376">
        <f t="shared" ca="1" si="456"/>
        <v>4838636</v>
      </c>
    </row>
    <row r="2377" spans="1:13" x14ac:dyDescent="0.25">
      <c r="A2377">
        <f t="shared" ca="1" si="449"/>
        <v>5</v>
      </c>
      <c r="B2377">
        <f t="shared" ca="1" si="450"/>
        <v>658</v>
      </c>
      <c r="C2377" t="str">
        <f t="shared" ca="1" si="457"/>
        <v>'WINDOWS-NCH-A-BDP-M3-03-00'!B657</v>
      </c>
      <c r="D2377" s="6" t="str">
        <f t="shared" ca="1" si="458"/>
        <v>L03-COR-DIR-S115-01</v>
      </c>
      <c r="E2377" t="str">
        <f t="shared" ca="1" si="459"/>
        <v>Family Type: Curtain Wall_Bespoke 1 - 1979.5 x 3800, Family: Window External Type 5 - Flush Instance Width</v>
      </c>
      <c r="F2377" t="str">
        <f t="shared" ca="1" si="460"/>
        <v>Vector(X = -0.985, Y = -0.170, Z = 0.000, Length = 1.000)</v>
      </c>
      <c r="G2377">
        <f t="shared" ca="1" si="451"/>
        <v>-1</v>
      </c>
      <c r="H2377">
        <f t="shared" ca="1" si="452"/>
        <v>-0.2</v>
      </c>
      <c r="I2377">
        <f t="shared" ca="1" si="453"/>
        <v>0</v>
      </c>
      <c r="J2377" s="8">
        <f t="shared" ca="1" si="454"/>
        <v>-168.69006752597977</v>
      </c>
      <c r="K2377" s="9" t="str">
        <f t="shared" ca="1" si="455"/>
        <v>W</v>
      </c>
      <c r="L2377">
        <f ca="1">+_xlfn.IFNA(VLOOKUP(M2377,BespokeWindowsAreas!$B$2:$E$1999,4,FALSE),VLOOKUP(E2377,WindowTypeArea!$B$2:$C$113,2,FALSE))</f>
        <v>1.95</v>
      </c>
      <c r="M2377">
        <f t="shared" ca="1" si="456"/>
        <v>5143650</v>
      </c>
    </row>
    <row r="2378" spans="1:13" x14ac:dyDescent="0.25">
      <c r="A2378">
        <f t="shared" ca="1" si="449"/>
        <v>5</v>
      </c>
      <c r="B2378">
        <f t="shared" ca="1" si="450"/>
        <v>659</v>
      </c>
      <c r="C2378" t="str">
        <f t="shared" ca="1" si="457"/>
        <v>'WINDOWS-NCH-A-BDP-M3-03-00'!B658</v>
      </c>
      <c r="D2378" s="6" t="str">
        <f t="shared" ca="1" si="458"/>
        <v>L03-COR-DIR-S115-01</v>
      </c>
      <c r="E2378" t="str">
        <f t="shared" ca="1" si="459"/>
        <v>Family Type: Curtain Wall_1950w x 3800h, Family: Window External Type 5 - Flush</v>
      </c>
      <c r="F2378" t="str">
        <f t="shared" ca="1" si="460"/>
        <v>Vector(X = -0.985, Y = -0.170, Z = 0.000, Length = 1.000)</v>
      </c>
      <c r="G2378">
        <f t="shared" ca="1" si="451"/>
        <v>-1</v>
      </c>
      <c r="H2378">
        <f t="shared" ca="1" si="452"/>
        <v>-0.2</v>
      </c>
      <c r="I2378">
        <f t="shared" ca="1" si="453"/>
        <v>0</v>
      </c>
      <c r="J2378" s="8">
        <f t="shared" ca="1" si="454"/>
        <v>-168.69006752597977</v>
      </c>
      <c r="K2378" s="9" t="str">
        <f t="shared" ca="1" si="455"/>
        <v>W</v>
      </c>
      <c r="L2378">
        <f ca="1">+_xlfn.IFNA(VLOOKUP(M2378,BespokeWindowsAreas!$B$2:$E$1999,4,FALSE),VLOOKUP(E2378,WindowTypeArea!$B$2:$C$113,2,FALSE))</f>
        <v>7.9950000000000001</v>
      </c>
      <c r="M2378">
        <f t="shared" ca="1" si="456"/>
        <v>4838635</v>
      </c>
    </row>
    <row r="2379" spans="1:13" x14ac:dyDescent="0.25">
      <c r="A2379">
        <f t="shared" ca="1" si="449"/>
        <v>5</v>
      </c>
      <c r="B2379">
        <f t="shared" ca="1" si="450"/>
        <v>660</v>
      </c>
      <c r="C2379" t="str">
        <f t="shared" ca="1" si="457"/>
        <v>'WINDOWS-NCH-A-BDP-M3-03-00'!B659</v>
      </c>
      <c r="D2379" s="6" t="str">
        <f t="shared" ca="1" si="458"/>
        <v>L03-COR-DIR-S115-01</v>
      </c>
      <c r="E2379" t="str">
        <f t="shared" ca="1" si="459"/>
        <v>Family Type: Curtain Wall_975w x 3800h, Family: Window External Type 5 - Flush</v>
      </c>
      <c r="F2379" t="str">
        <f t="shared" ca="1" si="460"/>
        <v>Vector(X = -0.985, Y = -0.170, Z = 0.000, Length = 1.000)</v>
      </c>
      <c r="G2379">
        <f t="shared" ca="1" si="451"/>
        <v>-1</v>
      </c>
      <c r="H2379">
        <f t="shared" ca="1" si="452"/>
        <v>-0.2</v>
      </c>
      <c r="I2379">
        <f t="shared" ca="1" si="453"/>
        <v>0</v>
      </c>
      <c r="J2379" s="8">
        <f t="shared" ca="1" si="454"/>
        <v>-168.69006752597977</v>
      </c>
      <c r="K2379" s="9" t="str">
        <f t="shared" ca="1" si="455"/>
        <v>W</v>
      </c>
      <c r="L2379">
        <f ca="1">+_xlfn.IFNA(VLOOKUP(M2379,BespokeWindowsAreas!$B$2:$E$1999,4,FALSE),VLOOKUP(E2379,WindowTypeArea!$B$2:$C$113,2,FALSE))</f>
        <v>3.9975000000000001</v>
      </c>
      <c r="M2379">
        <f t="shared" ca="1" si="456"/>
        <v>4913554</v>
      </c>
    </row>
    <row r="2380" spans="1:13" x14ac:dyDescent="0.25">
      <c r="A2380">
        <f t="shared" ca="1" si="449"/>
        <v>5</v>
      </c>
      <c r="B2380">
        <f t="shared" ca="1" si="450"/>
        <v>661</v>
      </c>
      <c r="C2380" t="str">
        <f t="shared" ca="1" si="457"/>
        <v>'WINDOWS-NCH-A-BDP-M3-03-00'!B660</v>
      </c>
      <c r="D2380" s="6" t="str">
        <f t="shared" ca="1" si="458"/>
        <v>L03-COR-DIR-S115-01</v>
      </c>
      <c r="E2380" t="str">
        <f t="shared" ca="1" si="459"/>
        <v>Family Type: Curtain Wall_1950w x 3800h, Family: Window External Type 5 - Flush</v>
      </c>
      <c r="F2380" t="str">
        <f t="shared" ca="1" si="460"/>
        <v>Vector(X = -0.985, Y = -0.170, Z = 0.000, Length = 1.000)</v>
      </c>
      <c r="G2380">
        <f t="shared" ca="1" si="451"/>
        <v>-1</v>
      </c>
      <c r="H2380">
        <f t="shared" ca="1" si="452"/>
        <v>-0.2</v>
      </c>
      <c r="I2380">
        <f t="shared" ca="1" si="453"/>
        <v>0</v>
      </c>
      <c r="J2380" s="8">
        <f t="shared" ca="1" si="454"/>
        <v>-168.69006752597977</v>
      </c>
      <c r="K2380" s="9" t="str">
        <f t="shared" ca="1" si="455"/>
        <v>W</v>
      </c>
      <c r="L2380">
        <f ca="1">+_xlfn.IFNA(VLOOKUP(M2380,BespokeWindowsAreas!$B$2:$E$1999,4,FALSE),VLOOKUP(E2380,WindowTypeArea!$B$2:$C$113,2,FALSE))</f>
        <v>7.9950000000000001</v>
      </c>
      <c r="M2380">
        <f t="shared" ca="1" si="456"/>
        <v>4838632</v>
      </c>
    </row>
    <row r="2381" spans="1:13" x14ac:dyDescent="0.25">
      <c r="A2381">
        <f t="shared" ca="1" si="449"/>
        <v>5</v>
      </c>
      <c r="B2381">
        <f t="shared" ca="1" si="450"/>
        <v>662</v>
      </c>
      <c r="C2381" t="str">
        <f t="shared" ca="1" si="457"/>
        <v>'WINDOWS-NCH-A-BDP-M3-03-00'!B661</v>
      </c>
      <c r="D2381" s="6" t="str">
        <f t="shared" ca="1" si="458"/>
        <v>L03-COR-DIR-S115-01</v>
      </c>
      <c r="E2381" t="str">
        <f t="shared" ca="1" si="459"/>
        <v>Family Type: Curtain Wall_975w x 3800h, Family: Window External Type 5 - Flush</v>
      </c>
      <c r="F2381" t="str">
        <f t="shared" ca="1" si="460"/>
        <v>Vector(X = -0.985, Y = -0.170, Z = 0.000, Length = 1.000)</v>
      </c>
      <c r="G2381">
        <f t="shared" ca="1" si="451"/>
        <v>-1</v>
      </c>
      <c r="H2381">
        <f t="shared" ca="1" si="452"/>
        <v>-0.2</v>
      </c>
      <c r="I2381">
        <f t="shared" ca="1" si="453"/>
        <v>0</v>
      </c>
      <c r="J2381" s="8">
        <f t="shared" ca="1" si="454"/>
        <v>-168.69006752597977</v>
      </c>
      <c r="K2381" s="9" t="str">
        <f t="shared" ca="1" si="455"/>
        <v>W</v>
      </c>
      <c r="L2381">
        <f ca="1">+_xlfn.IFNA(VLOOKUP(M2381,BespokeWindowsAreas!$B$2:$E$1999,4,FALSE),VLOOKUP(E2381,WindowTypeArea!$B$2:$C$113,2,FALSE))</f>
        <v>3.9975000000000001</v>
      </c>
      <c r="M2381">
        <f t="shared" ca="1" si="456"/>
        <v>4838633</v>
      </c>
    </row>
    <row r="2382" spans="1:13" x14ac:dyDescent="0.25">
      <c r="A2382">
        <f t="shared" ca="1" si="449"/>
        <v>5</v>
      </c>
      <c r="B2382">
        <f t="shared" ca="1" si="450"/>
        <v>663</v>
      </c>
      <c r="C2382" t="str">
        <f t="shared" ca="1" si="457"/>
        <v>'WINDOWS-NCH-A-BDP-M3-03-00'!B662</v>
      </c>
      <c r="D2382" s="6" t="str">
        <f t="shared" ca="1" si="458"/>
        <v>L03-COR-DIR-S115-01</v>
      </c>
      <c r="E2382" t="str">
        <f t="shared" ca="1" si="459"/>
        <v>Family Type: Curtain Wall_1950w x 3800h, Family: Window External Type 5 - Flush</v>
      </c>
      <c r="F2382" t="str">
        <f t="shared" ca="1" si="460"/>
        <v>Vector(X = -0.985, Y = -0.170, Z = 0.000, Length = 1.000)</v>
      </c>
      <c r="G2382">
        <f t="shared" ca="1" si="451"/>
        <v>-1</v>
      </c>
      <c r="H2382">
        <f t="shared" ca="1" si="452"/>
        <v>-0.2</v>
      </c>
      <c r="I2382">
        <f t="shared" ca="1" si="453"/>
        <v>0</v>
      </c>
      <c r="J2382" s="8">
        <f t="shared" ca="1" si="454"/>
        <v>-168.69006752597977</v>
      </c>
      <c r="K2382" s="9" t="str">
        <f t="shared" ca="1" si="455"/>
        <v>W</v>
      </c>
      <c r="L2382">
        <f ca="1">+_xlfn.IFNA(VLOOKUP(M2382,BespokeWindowsAreas!$B$2:$E$1999,4,FALSE),VLOOKUP(E2382,WindowTypeArea!$B$2:$C$113,2,FALSE))</f>
        <v>7.9950000000000001</v>
      </c>
      <c r="M2382">
        <f t="shared" ca="1" si="456"/>
        <v>4838631</v>
      </c>
    </row>
    <row r="2383" spans="1:13" x14ac:dyDescent="0.25">
      <c r="A2383">
        <f t="shared" ca="1" si="449"/>
        <v>5</v>
      </c>
      <c r="B2383">
        <f t="shared" ca="1" si="450"/>
        <v>664</v>
      </c>
      <c r="C2383" t="str">
        <f t="shared" ca="1" si="457"/>
        <v>'WINDOWS-NCH-A-BDP-M3-03-00'!B663</v>
      </c>
      <c r="D2383" s="6" t="str">
        <f t="shared" ca="1" si="458"/>
        <v>L03-COR-DIR-S115-01</v>
      </c>
      <c r="E2383" t="str">
        <f t="shared" ca="1" si="459"/>
        <v>Family Type: Curtain Wall_975w x 3800h, Family: Window External Type 5 - Flush</v>
      </c>
      <c r="F2383" t="str">
        <f t="shared" ca="1" si="460"/>
        <v>Vector(X = -0.985, Y = -0.170, Z = 0.000, Length = 1.000)</v>
      </c>
      <c r="G2383">
        <f t="shared" ca="1" si="451"/>
        <v>-1</v>
      </c>
      <c r="H2383">
        <f t="shared" ca="1" si="452"/>
        <v>-0.2</v>
      </c>
      <c r="I2383">
        <f t="shared" ca="1" si="453"/>
        <v>0</v>
      </c>
      <c r="J2383" s="8">
        <f t="shared" ca="1" si="454"/>
        <v>-168.69006752597977</v>
      </c>
      <c r="K2383" s="9" t="str">
        <f t="shared" ca="1" si="455"/>
        <v>W</v>
      </c>
      <c r="L2383">
        <f ca="1">+_xlfn.IFNA(VLOOKUP(M2383,BespokeWindowsAreas!$B$2:$E$1999,4,FALSE),VLOOKUP(E2383,WindowTypeArea!$B$2:$C$113,2,FALSE))</f>
        <v>3.9975000000000001</v>
      </c>
      <c r="M2383">
        <f t="shared" ca="1" si="456"/>
        <v>4913553</v>
      </c>
    </row>
    <row r="2384" spans="1:13" x14ac:dyDescent="0.25">
      <c r="A2384">
        <f t="shared" ca="1" si="449"/>
        <v>5</v>
      </c>
      <c r="B2384">
        <f t="shared" ca="1" si="450"/>
        <v>665</v>
      </c>
      <c r="C2384" t="str">
        <f t="shared" ca="1" si="457"/>
        <v>'WINDOWS-NCH-A-BDP-M3-03-00'!B664</v>
      </c>
      <c r="D2384" s="6" t="str">
        <f t="shared" ca="1" si="458"/>
        <v>L03-COR-DIR-S115-01</v>
      </c>
      <c r="E2384" t="str">
        <f t="shared" ca="1" si="459"/>
        <v>Family Type: Curtain Wall_975w x 3800h, Family: Window External Type 5 - Flush</v>
      </c>
      <c r="F2384" t="str">
        <f t="shared" ca="1" si="460"/>
        <v>Vector(X = -0.985, Y = -0.170, Z = 0.000, Length = 1.000)</v>
      </c>
      <c r="G2384">
        <f t="shared" ca="1" si="451"/>
        <v>-1</v>
      </c>
      <c r="H2384">
        <f t="shared" ca="1" si="452"/>
        <v>-0.2</v>
      </c>
      <c r="I2384">
        <f t="shared" ca="1" si="453"/>
        <v>0</v>
      </c>
      <c r="J2384" s="8">
        <f t="shared" ca="1" si="454"/>
        <v>-168.69006752597977</v>
      </c>
      <c r="K2384" s="9" t="str">
        <f t="shared" ca="1" si="455"/>
        <v>W</v>
      </c>
      <c r="L2384">
        <f ca="1">+_xlfn.IFNA(VLOOKUP(M2384,BespokeWindowsAreas!$B$2:$E$1999,4,FALSE),VLOOKUP(E2384,WindowTypeArea!$B$2:$C$113,2,FALSE))</f>
        <v>3.9975000000000001</v>
      </c>
      <c r="M2384">
        <f t="shared" ca="1" si="456"/>
        <v>4838630</v>
      </c>
    </row>
    <row r="2385" spans="1:13" x14ac:dyDescent="0.25">
      <c r="A2385">
        <f t="shared" ca="1" si="449"/>
        <v>5</v>
      </c>
      <c r="B2385">
        <f t="shared" ca="1" si="450"/>
        <v>666</v>
      </c>
      <c r="C2385" t="str">
        <f t="shared" ca="1" si="457"/>
        <v>'WINDOWS-NCH-A-BDP-M3-03-00'!B665</v>
      </c>
      <c r="D2385" s="6" t="str">
        <f t="shared" ca="1" si="458"/>
        <v>L03-COR-DIR-S115-01</v>
      </c>
      <c r="E2385" t="str">
        <f t="shared" ca="1" si="459"/>
        <v>Family Type: Curtain Wall_1950w x 3800h, Family: Window External Type 5 - Flush</v>
      </c>
      <c r="F2385" t="str">
        <f t="shared" ca="1" si="460"/>
        <v>Vector(X = -0.985, Y = -0.170, Z = 0.000, Length = 1.000)</v>
      </c>
      <c r="G2385">
        <f t="shared" ca="1" si="451"/>
        <v>-1</v>
      </c>
      <c r="H2385">
        <f t="shared" ca="1" si="452"/>
        <v>-0.2</v>
      </c>
      <c r="I2385">
        <f t="shared" ca="1" si="453"/>
        <v>0</v>
      </c>
      <c r="J2385" s="8">
        <f t="shared" ca="1" si="454"/>
        <v>-168.69006752597977</v>
      </c>
      <c r="K2385" s="9" t="str">
        <f t="shared" ca="1" si="455"/>
        <v>W</v>
      </c>
      <c r="L2385">
        <f ca="1">+_xlfn.IFNA(VLOOKUP(M2385,BespokeWindowsAreas!$B$2:$E$1999,4,FALSE),VLOOKUP(E2385,WindowTypeArea!$B$2:$C$113,2,FALSE))</f>
        <v>7.9950000000000001</v>
      </c>
      <c r="M2385">
        <f t="shared" ca="1" si="456"/>
        <v>4838629</v>
      </c>
    </row>
    <row r="2386" spans="1:13" x14ac:dyDescent="0.25">
      <c r="A2386">
        <f t="shared" ca="1" si="449"/>
        <v>5</v>
      </c>
      <c r="B2386">
        <f t="shared" ca="1" si="450"/>
        <v>667</v>
      </c>
      <c r="C2386" t="str">
        <f t="shared" ca="1" si="457"/>
        <v>'WINDOWS-NCH-A-BDP-M3-03-00'!B666</v>
      </c>
      <c r="D2386" s="6" t="str">
        <f t="shared" ca="1" si="458"/>
        <v>L03-COR-DIR-S115-01</v>
      </c>
      <c r="E2386" t="str">
        <f t="shared" ca="1" si="459"/>
        <v>Family Type: Curtain Wall_975w x 3800h, Family: Window External Type 5 - Flush</v>
      </c>
      <c r="F2386" t="str">
        <f t="shared" ca="1" si="460"/>
        <v>Vector(X = -0.985, Y = -0.170, Z = 0.000, Length = 1.000)</v>
      </c>
      <c r="G2386">
        <f t="shared" ca="1" si="451"/>
        <v>-1</v>
      </c>
      <c r="H2386">
        <f t="shared" ca="1" si="452"/>
        <v>-0.2</v>
      </c>
      <c r="I2386">
        <f t="shared" ca="1" si="453"/>
        <v>0</v>
      </c>
      <c r="J2386" s="8">
        <f t="shared" ca="1" si="454"/>
        <v>-168.69006752597977</v>
      </c>
      <c r="K2386" s="9" t="str">
        <f t="shared" ca="1" si="455"/>
        <v>W</v>
      </c>
      <c r="L2386">
        <f ca="1">+_xlfn.IFNA(VLOOKUP(M2386,BespokeWindowsAreas!$B$2:$E$1999,4,FALSE),VLOOKUP(E2386,WindowTypeArea!$B$2:$C$113,2,FALSE))</f>
        <v>3.9975000000000001</v>
      </c>
      <c r="M2386">
        <f t="shared" ca="1" si="456"/>
        <v>4838628</v>
      </c>
    </row>
    <row r="2387" spans="1:13" x14ac:dyDescent="0.25">
      <c r="A2387">
        <f t="shared" ca="1" si="449"/>
        <v>5</v>
      </c>
      <c r="B2387">
        <f t="shared" ca="1" si="450"/>
        <v>668</v>
      </c>
      <c r="C2387" t="str">
        <f t="shared" ca="1" si="457"/>
        <v>'WINDOWS-NCH-A-BDP-M3-03-00'!B667</v>
      </c>
      <c r="D2387" s="6" t="str">
        <f t="shared" ca="1" si="458"/>
        <v>L03-COR-DIR-S115-01</v>
      </c>
      <c r="E2387" t="str">
        <f t="shared" ca="1" si="459"/>
        <v>Family Type: Curtain Wall_975w x 3800h, Family: Window External Type 5 - Flush</v>
      </c>
      <c r="F2387" t="str">
        <f t="shared" ca="1" si="460"/>
        <v>Vector(X = -0.985, Y = -0.170, Z = 0.000, Length = 1.000)</v>
      </c>
      <c r="G2387">
        <f t="shared" ca="1" si="451"/>
        <v>-1</v>
      </c>
      <c r="H2387">
        <f t="shared" ca="1" si="452"/>
        <v>-0.2</v>
      </c>
      <c r="I2387">
        <f t="shared" ca="1" si="453"/>
        <v>0</v>
      </c>
      <c r="J2387" s="8">
        <f t="shared" ca="1" si="454"/>
        <v>-168.69006752597977</v>
      </c>
      <c r="K2387" s="9" t="str">
        <f t="shared" ca="1" si="455"/>
        <v>W</v>
      </c>
      <c r="L2387">
        <f ca="1">+_xlfn.IFNA(VLOOKUP(M2387,BespokeWindowsAreas!$B$2:$E$1999,4,FALSE),VLOOKUP(E2387,WindowTypeArea!$B$2:$C$113,2,FALSE))</f>
        <v>3.9975000000000001</v>
      </c>
      <c r="M2387">
        <f t="shared" ca="1" si="456"/>
        <v>4838627</v>
      </c>
    </row>
    <row r="2388" spans="1:13" x14ac:dyDescent="0.25">
      <c r="A2388">
        <f t="shared" ref="A2388:A2451" ca="1" si="461">+IF(B2387&lt;=VLOOKUP(MID(C2388,2,26),TABS,2,FALSE),A2387,+A2387+1)</f>
        <v>5</v>
      </c>
      <c r="B2388">
        <f t="shared" ref="B2388:B2451" ca="1" si="462">+IF(B2387&lt;=VLOOKUP(MID(C2388,2,26),TABS,2,FALSE),B2387+1,1)</f>
        <v>669</v>
      </c>
      <c r="C2388" t="str">
        <f t="shared" ca="1" si="457"/>
        <v>'WINDOWS-NCH-A-BDP-M3-03-00'!B668</v>
      </c>
      <c r="D2388" s="6" t="str">
        <f t="shared" ca="1" si="458"/>
        <v>L03-COR-DIR-S115-01</v>
      </c>
      <c r="E2388" t="str">
        <f t="shared" ca="1" si="459"/>
        <v>Family Type: Curtain Wall_975w x 3800h, Family: Window External Type 5 - Flush</v>
      </c>
      <c r="F2388" t="str">
        <f t="shared" ca="1" si="460"/>
        <v>Vector(X = -0.985, Y = -0.170, Z = 0.000, Length = 1.000)</v>
      </c>
      <c r="G2388">
        <f t="shared" ca="1" si="451"/>
        <v>-1</v>
      </c>
      <c r="H2388">
        <f t="shared" ca="1" si="452"/>
        <v>-0.2</v>
      </c>
      <c r="I2388">
        <f t="shared" ca="1" si="453"/>
        <v>0</v>
      </c>
      <c r="J2388" s="8">
        <f t="shared" ca="1" si="454"/>
        <v>-168.69006752597977</v>
      </c>
      <c r="K2388" s="9" t="str">
        <f t="shared" ca="1" si="455"/>
        <v>W</v>
      </c>
      <c r="L2388">
        <f ca="1">+_xlfn.IFNA(VLOOKUP(M2388,BespokeWindowsAreas!$B$2:$E$1999,4,FALSE),VLOOKUP(E2388,WindowTypeArea!$B$2:$C$113,2,FALSE))</f>
        <v>3.9975000000000001</v>
      </c>
      <c r="M2388">
        <f t="shared" ca="1" si="456"/>
        <v>4913552</v>
      </c>
    </row>
    <row r="2389" spans="1:13" x14ac:dyDescent="0.25">
      <c r="A2389">
        <f t="shared" ca="1" si="461"/>
        <v>5</v>
      </c>
      <c r="B2389">
        <f t="shared" ca="1" si="462"/>
        <v>670</v>
      </c>
      <c r="C2389" t="str">
        <f t="shared" ca="1" si="457"/>
        <v>'WINDOWS-NCH-A-BDP-M3-03-00'!B669</v>
      </c>
      <c r="D2389" s="6" t="str">
        <f t="shared" ca="1" si="458"/>
        <v>L03-COR-DIR-S115-01</v>
      </c>
      <c r="E2389" t="str">
        <f t="shared" ca="1" si="459"/>
        <v>Family Type: Curtain Wall_1950w x 3800h, Family: Window External Type 5 - Flush</v>
      </c>
      <c r="F2389" t="str">
        <f t="shared" ca="1" si="460"/>
        <v>Vector(X = -0.985, Y = -0.170, Z = 0.000, Length = 1.000)</v>
      </c>
      <c r="G2389">
        <f t="shared" ca="1" si="451"/>
        <v>-1</v>
      </c>
      <c r="H2389">
        <f t="shared" ca="1" si="452"/>
        <v>-0.2</v>
      </c>
      <c r="I2389">
        <f t="shared" ca="1" si="453"/>
        <v>0</v>
      </c>
      <c r="J2389" s="8">
        <f t="shared" ca="1" si="454"/>
        <v>-168.69006752597977</v>
      </c>
      <c r="K2389" s="9" t="str">
        <f t="shared" ca="1" si="455"/>
        <v>W</v>
      </c>
      <c r="L2389">
        <f ca="1">+_xlfn.IFNA(VLOOKUP(M2389,BespokeWindowsAreas!$B$2:$E$1999,4,FALSE),VLOOKUP(E2389,WindowTypeArea!$B$2:$C$113,2,FALSE))</f>
        <v>7.9950000000000001</v>
      </c>
      <c r="M2389">
        <f t="shared" ca="1" si="456"/>
        <v>4838626</v>
      </c>
    </row>
    <row r="2390" spans="1:13" x14ac:dyDescent="0.25">
      <c r="A2390">
        <f t="shared" ca="1" si="461"/>
        <v>5</v>
      </c>
      <c r="B2390">
        <f t="shared" ca="1" si="462"/>
        <v>671</v>
      </c>
      <c r="C2390" t="str">
        <f t="shared" ca="1" si="457"/>
        <v>'WINDOWS-NCH-A-BDP-M3-03-00'!B670</v>
      </c>
      <c r="D2390" s="6" t="str">
        <f t="shared" ca="1" si="458"/>
        <v>L03-COR-DIR-S115-01</v>
      </c>
      <c r="E2390" t="str">
        <f t="shared" ca="1" si="459"/>
        <v>Family Type: Curtain Wall_975w x 3800h, Family: Window External Type 5 - Flush</v>
      </c>
      <c r="F2390" t="str">
        <f t="shared" ca="1" si="460"/>
        <v>Vector(X = -0.985, Y = -0.170, Z = 0.000, Length = 1.000)</v>
      </c>
      <c r="G2390">
        <f t="shared" ref="G2390:G2453" ca="1" si="463">+OFFSET(INDIRECT(C2390),0,2)</f>
        <v>-1</v>
      </c>
      <c r="H2390">
        <f t="shared" ref="H2390:H2453" ca="1" si="464">+OFFSET(INDIRECT(C2390),0,3)</f>
        <v>-0.2</v>
      </c>
      <c r="I2390">
        <f t="shared" ref="I2390:I2453" ca="1" si="465">+OFFSET(INDIRECT(C2390),0,4)</f>
        <v>0</v>
      </c>
      <c r="J2390" s="8">
        <f t="shared" ref="J2390:J2453" ca="1" si="466">+DEGREES(ATAN2(G2390,H2390))</f>
        <v>-168.69006752597977</v>
      </c>
      <c r="K2390" s="9" t="str">
        <f t="shared" ref="K2390:K2453" ca="1" si="467">VLOOKUP(J2390,$O$20:$P$36,2,-1)</f>
        <v>W</v>
      </c>
      <c r="L2390">
        <f ca="1">+_xlfn.IFNA(VLOOKUP(M2390,BespokeWindowsAreas!$B$2:$E$1999,4,FALSE),VLOOKUP(E2390,WindowTypeArea!$B$2:$C$113,2,FALSE))</f>
        <v>3.9975000000000001</v>
      </c>
      <c r="M2390">
        <f t="shared" ref="M2390:M2453" ca="1" si="468">+OFFSET(INDIRECT(C2390),0,5)</f>
        <v>4838625</v>
      </c>
    </row>
    <row r="2391" spans="1:13" x14ac:dyDescent="0.25">
      <c r="A2391">
        <f t="shared" ca="1" si="461"/>
        <v>5</v>
      </c>
      <c r="B2391">
        <f t="shared" ca="1" si="462"/>
        <v>672</v>
      </c>
      <c r="C2391" t="str">
        <f t="shared" ca="1" si="457"/>
        <v>'WINDOWS-NCH-A-BDP-M3-03-00'!B671</v>
      </c>
      <c r="D2391" s="6" t="str">
        <f t="shared" ca="1" si="458"/>
        <v>L03-COR-DIR-S115-01</v>
      </c>
      <c r="E2391" t="str">
        <f t="shared" ca="1" si="459"/>
        <v>Family Type: Curtain Wall_975w x 3800h, Family: Window External Type 5 - Flush</v>
      </c>
      <c r="F2391" t="str">
        <f t="shared" ca="1" si="460"/>
        <v>Vector(X = -0.985, Y = -0.170, Z = 0.000, Length = 1.000)</v>
      </c>
      <c r="G2391">
        <f t="shared" ca="1" si="463"/>
        <v>-1</v>
      </c>
      <c r="H2391">
        <f t="shared" ca="1" si="464"/>
        <v>-0.2</v>
      </c>
      <c r="I2391">
        <f t="shared" ca="1" si="465"/>
        <v>0</v>
      </c>
      <c r="J2391" s="8">
        <f t="shared" ca="1" si="466"/>
        <v>-168.69006752597977</v>
      </c>
      <c r="K2391" s="9" t="str">
        <f t="shared" ca="1" si="467"/>
        <v>W</v>
      </c>
      <c r="L2391">
        <f ca="1">+_xlfn.IFNA(VLOOKUP(M2391,BespokeWindowsAreas!$B$2:$E$1999,4,FALSE),VLOOKUP(E2391,WindowTypeArea!$B$2:$C$113,2,FALSE))</f>
        <v>3.9975000000000001</v>
      </c>
      <c r="M2391">
        <f t="shared" ca="1" si="468"/>
        <v>4838641</v>
      </c>
    </row>
    <row r="2392" spans="1:13" x14ac:dyDescent="0.25">
      <c r="A2392">
        <f t="shared" ca="1" si="461"/>
        <v>5</v>
      </c>
      <c r="B2392">
        <f t="shared" ca="1" si="462"/>
        <v>673</v>
      </c>
      <c r="C2392" t="str">
        <f t="shared" ca="1" si="457"/>
        <v>'WINDOWS-NCH-A-BDP-M3-03-00'!B672</v>
      </c>
      <c r="D2392" s="6" t="str">
        <f t="shared" ca="1" si="458"/>
        <v>L03-COR-DIR-S115-01</v>
      </c>
      <c r="E2392" t="str">
        <f t="shared" ca="1" si="459"/>
        <v>Family Type: Curtain Wall_975w x 3800h, Family: Window External Type 5 - Flush</v>
      </c>
      <c r="F2392" t="str">
        <f t="shared" ca="1" si="460"/>
        <v>Vector(X = -0.985, Y = -0.170, Z = 0.000, Length = 1.000)</v>
      </c>
      <c r="G2392">
        <f t="shared" ca="1" si="463"/>
        <v>-1</v>
      </c>
      <c r="H2392">
        <f t="shared" ca="1" si="464"/>
        <v>-0.2</v>
      </c>
      <c r="I2392">
        <f t="shared" ca="1" si="465"/>
        <v>0</v>
      </c>
      <c r="J2392" s="8">
        <f t="shared" ca="1" si="466"/>
        <v>-168.69006752597977</v>
      </c>
      <c r="K2392" s="9" t="str">
        <f t="shared" ca="1" si="467"/>
        <v>W</v>
      </c>
      <c r="L2392">
        <f ca="1">+_xlfn.IFNA(VLOOKUP(M2392,BespokeWindowsAreas!$B$2:$E$1999,4,FALSE),VLOOKUP(E2392,WindowTypeArea!$B$2:$C$113,2,FALSE))</f>
        <v>3.9975000000000001</v>
      </c>
      <c r="M2392">
        <f t="shared" ca="1" si="468"/>
        <v>4850685</v>
      </c>
    </row>
    <row r="2393" spans="1:13" x14ac:dyDescent="0.25">
      <c r="A2393">
        <f t="shared" ca="1" si="461"/>
        <v>5</v>
      </c>
      <c r="B2393">
        <f t="shared" ca="1" si="462"/>
        <v>674</v>
      </c>
      <c r="C2393" t="str">
        <f t="shared" ca="1" si="457"/>
        <v>'WINDOWS-NCH-A-BDP-M3-03-00'!B673</v>
      </c>
      <c r="D2393" s="6" t="str">
        <f t="shared" ca="1" si="458"/>
        <v>L03-COR-DIR-S115-01</v>
      </c>
      <c r="E2393" t="str">
        <f t="shared" ca="1" si="459"/>
        <v>Family Type: Curtain Wall_2264x1950x4100, Family: Window External Type 5 - Flush Corner 2</v>
      </c>
      <c r="F2393" t="str">
        <f t="shared" ca="1" si="460"/>
        <v>Vector(X = 0.323, Y = -0.946, Z = 0.000, Length = 1.000)</v>
      </c>
      <c r="G2393">
        <f t="shared" ca="1" si="463"/>
        <v>0.3</v>
      </c>
      <c r="H2393">
        <f t="shared" ca="1" si="464"/>
        <v>-0.9</v>
      </c>
      <c r="I2393">
        <f t="shared" ca="1" si="465"/>
        <v>0</v>
      </c>
      <c r="J2393" s="8">
        <f t="shared" ca="1" si="466"/>
        <v>-71.56505117707799</v>
      </c>
      <c r="K2393" s="9" t="str">
        <f t="shared" ca="1" si="467"/>
        <v>S</v>
      </c>
      <c r="L2393">
        <f ca="1">+_xlfn.IFNA(VLOOKUP(M2393,BespokeWindowsAreas!$B$2:$E$1999,4,FALSE),VLOOKUP(E2393,WindowTypeArea!$B$2:$C$113,2,FALSE))</f>
        <v>0</v>
      </c>
      <c r="M2393">
        <f t="shared" ca="1" si="468"/>
        <v>4656876</v>
      </c>
    </row>
    <row r="2394" spans="1:13" x14ac:dyDescent="0.25">
      <c r="A2394">
        <f t="shared" ca="1" si="461"/>
        <v>5</v>
      </c>
      <c r="B2394">
        <f t="shared" ca="1" si="462"/>
        <v>675</v>
      </c>
      <c r="C2394" t="str">
        <f t="shared" ca="1" si="457"/>
        <v>'WINDOWS-NCH-A-BDP-M3-03-00'!B674</v>
      </c>
      <c r="D2394" s="6" t="str">
        <f t="shared" ca="1" si="458"/>
        <v>L03-COR-DIR-S115-01</v>
      </c>
      <c r="E2394" t="str">
        <f t="shared" ca="1" si="459"/>
        <v>Family Type: Curtain Wall_1950w x 3800h, Family: Window External Type 5 - Flush</v>
      </c>
      <c r="F2394" t="str">
        <f t="shared" ca="1" si="460"/>
        <v>Vector(X = 0.323, Y = -0.946, Z = 0.000, Length = 1.000)</v>
      </c>
      <c r="G2394">
        <f t="shared" ca="1" si="463"/>
        <v>0.3</v>
      </c>
      <c r="H2394">
        <f t="shared" ca="1" si="464"/>
        <v>-0.9</v>
      </c>
      <c r="I2394">
        <f t="shared" ca="1" si="465"/>
        <v>0</v>
      </c>
      <c r="J2394" s="8">
        <f t="shared" ca="1" si="466"/>
        <v>-71.56505117707799</v>
      </c>
      <c r="K2394" s="9" t="str">
        <f t="shared" ca="1" si="467"/>
        <v>S</v>
      </c>
      <c r="L2394">
        <f ca="1">+_xlfn.IFNA(VLOOKUP(M2394,BespokeWindowsAreas!$B$2:$E$1999,4,FALSE),VLOOKUP(E2394,WindowTypeArea!$B$2:$C$113,2,FALSE))</f>
        <v>7.9950000000000001</v>
      </c>
      <c r="M2394">
        <f t="shared" ca="1" si="468"/>
        <v>4913558</v>
      </c>
    </row>
    <row r="2395" spans="1:13" x14ac:dyDescent="0.25">
      <c r="A2395">
        <f t="shared" ca="1" si="461"/>
        <v>5</v>
      </c>
      <c r="B2395">
        <f t="shared" ca="1" si="462"/>
        <v>676</v>
      </c>
      <c r="C2395" t="str">
        <f t="shared" ca="1" si="457"/>
        <v>'WINDOWS-NCH-A-BDP-M3-03-00'!B675</v>
      </c>
      <c r="D2395" s="6" t="str">
        <f t="shared" ca="1" si="458"/>
        <v>L03-COR-DIR-S115-01</v>
      </c>
      <c r="E2395" t="str">
        <f t="shared" ca="1" si="459"/>
        <v>Family Type: Curtain Wall_1950w x 3800h, Family: Window External Type 5 - Flush</v>
      </c>
      <c r="F2395" t="str">
        <f t="shared" ca="1" si="460"/>
        <v>Vector(X = 0.323, Y = -0.946, Z = 0.000, Length = 1.000)</v>
      </c>
      <c r="G2395">
        <f t="shared" ca="1" si="463"/>
        <v>0.3</v>
      </c>
      <c r="H2395">
        <f t="shared" ca="1" si="464"/>
        <v>-0.9</v>
      </c>
      <c r="I2395">
        <f t="shared" ca="1" si="465"/>
        <v>0</v>
      </c>
      <c r="J2395" s="8">
        <f t="shared" ca="1" si="466"/>
        <v>-71.56505117707799</v>
      </c>
      <c r="K2395" s="9" t="str">
        <f t="shared" ca="1" si="467"/>
        <v>S</v>
      </c>
      <c r="L2395">
        <f ca="1">+_xlfn.IFNA(VLOOKUP(M2395,BespokeWindowsAreas!$B$2:$E$1999,4,FALSE),VLOOKUP(E2395,WindowTypeArea!$B$2:$C$113,2,FALSE))</f>
        <v>7.9950000000000001</v>
      </c>
      <c r="M2395">
        <f t="shared" ca="1" si="468"/>
        <v>4913559</v>
      </c>
    </row>
    <row r="2396" spans="1:13" x14ac:dyDescent="0.25">
      <c r="A2396">
        <f t="shared" ca="1" si="461"/>
        <v>5</v>
      </c>
      <c r="B2396">
        <f t="shared" ca="1" si="462"/>
        <v>677</v>
      </c>
      <c r="C2396" t="str">
        <f t="shared" ca="1" si="457"/>
        <v>'WINDOWS-NCH-A-BDP-M3-03-00'!B676</v>
      </c>
      <c r="D2396" s="6" t="str">
        <f t="shared" ca="1" si="458"/>
        <v>L03-COR-DIR-S115-01</v>
      </c>
      <c r="E2396" t="str">
        <f t="shared" ca="1" si="459"/>
        <v>Family Type: Curtain Wall_1950w x 3800h, Family: Window External Type 5 - Flush</v>
      </c>
      <c r="F2396" t="str">
        <f t="shared" ca="1" si="460"/>
        <v>Vector(X = 0.323, Y = -0.946, Z = 0.000, Length = 1.000)</v>
      </c>
      <c r="G2396">
        <f t="shared" ca="1" si="463"/>
        <v>0.3</v>
      </c>
      <c r="H2396">
        <f t="shared" ca="1" si="464"/>
        <v>-0.9</v>
      </c>
      <c r="I2396">
        <f t="shared" ca="1" si="465"/>
        <v>0</v>
      </c>
      <c r="J2396" s="8">
        <f t="shared" ca="1" si="466"/>
        <v>-71.56505117707799</v>
      </c>
      <c r="K2396" s="9" t="str">
        <f t="shared" ca="1" si="467"/>
        <v>S</v>
      </c>
      <c r="L2396">
        <f ca="1">+_xlfn.IFNA(VLOOKUP(M2396,BespokeWindowsAreas!$B$2:$E$1999,4,FALSE),VLOOKUP(E2396,WindowTypeArea!$B$2:$C$113,2,FALSE))</f>
        <v>7.9950000000000001</v>
      </c>
      <c r="M2396">
        <f t="shared" ca="1" si="468"/>
        <v>4913560</v>
      </c>
    </row>
    <row r="2397" spans="1:13" x14ac:dyDescent="0.25">
      <c r="A2397">
        <f t="shared" ca="1" si="461"/>
        <v>5</v>
      </c>
      <c r="B2397">
        <f t="shared" ca="1" si="462"/>
        <v>678</v>
      </c>
      <c r="C2397" t="str">
        <f t="shared" ca="1" si="457"/>
        <v>'WINDOWS-NCH-A-BDP-M3-03-00'!B677</v>
      </c>
      <c r="D2397" s="6" t="str">
        <f t="shared" ca="1" si="458"/>
        <v>L03-COR-DIR-S115-01</v>
      </c>
      <c r="E2397" t="str">
        <f t="shared" ca="1" si="459"/>
        <v>Family Type: Curtain Wall_1950w x 3800h, Family: Window External Type 5 - Flush</v>
      </c>
      <c r="F2397" t="str">
        <f t="shared" ca="1" si="460"/>
        <v>Vector(X = 0.323, Y = -0.946, Z = 0.000, Length = 1.000)</v>
      </c>
      <c r="G2397">
        <f t="shared" ca="1" si="463"/>
        <v>0.3</v>
      </c>
      <c r="H2397">
        <f t="shared" ca="1" si="464"/>
        <v>-0.9</v>
      </c>
      <c r="I2397">
        <f t="shared" ca="1" si="465"/>
        <v>0</v>
      </c>
      <c r="J2397" s="8">
        <f t="shared" ca="1" si="466"/>
        <v>-71.56505117707799</v>
      </c>
      <c r="K2397" s="9" t="str">
        <f t="shared" ca="1" si="467"/>
        <v>S</v>
      </c>
      <c r="L2397">
        <f ca="1">+_xlfn.IFNA(VLOOKUP(M2397,BespokeWindowsAreas!$B$2:$E$1999,4,FALSE),VLOOKUP(E2397,WindowTypeArea!$B$2:$C$113,2,FALSE))</f>
        <v>7.9950000000000001</v>
      </c>
      <c r="M2397">
        <f t="shared" ca="1" si="468"/>
        <v>4913561</v>
      </c>
    </row>
    <row r="2398" spans="1:13" x14ac:dyDescent="0.25">
      <c r="A2398">
        <f t="shared" ca="1" si="461"/>
        <v>5</v>
      </c>
      <c r="B2398">
        <f t="shared" ca="1" si="462"/>
        <v>679</v>
      </c>
      <c r="C2398" t="str">
        <f t="shared" ca="1" si="457"/>
        <v>'WINDOWS-NCH-A-BDP-M3-03-00'!B678</v>
      </c>
      <c r="D2398" s="6" t="str">
        <f t="shared" ca="1" si="458"/>
        <v>L03-THR-NAD-S061-01</v>
      </c>
      <c r="E2398" t="str">
        <f t="shared" ca="1" si="459"/>
        <v>L03-THR-NAD-S061-01</v>
      </c>
      <c r="F2398" t="str">
        <f t="shared" ca="1" si="460"/>
        <v>ID not used</v>
      </c>
      <c r="G2398">
        <f t="shared" ca="1" si="463"/>
        <v>0</v>
      </c>
      <c r="H2398">
        <f t="shared" ca="1" si="464"/>
        <v>0</v>
      </c>
      <c r="I2398">
        <f t="shared" ca="1" si="465"/>
        <v>0</v>
      </c>
      <c r="J2398" s="8" t="e">
        <f t="shared" ca="1" si="466"/>
        <v>#DIV/0!</v>
      </c>
      <c r="K2398" s="9" t="e">
        <f t="shared" ca="1" si="467"/>
        <v>#DIV/0!</v>
      </c>
      <c r="L2398" t="e">
        <f ca="1">+_xlfn.IFNA(VLOOKUP(M2398,BespokeWindowsAreas!$B$2:$E$1999,4,FALSE),VLOOKUP(E2398,WindowTypeArea!$B$2:$C$113,2,FALSE))</f>
        <v>#N/A</v>
      </c>
      <c r="M2398">
        <f t="shared" ca="1" si="468"/>
        <v>0</v>
      </c>
    </row>
    <row r="2399" spans="1:13" x14ac:dyDescent="0.25">
      <c r="A2399">
        <f t="shared" ca="1" si="461"/>
        <v>5</v>
      </c>
      <c r="B2399">
        <f t="shared" ca="1" si="462"/>
        <v>680</v>
      </c>
      <c r="C2399" t="str">
        <f t="shared" ca="1" si="457"/>
        <v>'WINDOWS-NCH-A-BDP-M3-03-00'!B679</v>
      </c>
      <c r="D2399" s="6" t="str">
        <f t="shared" ca="1" si="458"/>
        <v>L03-THR-NAD-S061-01</v>
      </c>
      <c r="E2399" t="str">
        <f t="shared" ca="1" si="459"/>
        <v>Family Type: Curtain Wall_Bespoke 1 - 1979.5 x 3800, Family: Window External Type 5 - Flush Instance Width</v>
      </c>
      <c r="F2399" t="str">
        <f t="shared" ca="1" si="460"/>
        <v>Vector(X = 1.000, Y = 0.008, Z = 0.000, Length = 1.000)</v>
      </c>
      <c r="G2399">
        <f t="shared" ca="1" si="463"/>
        <v>1</v>
      </c>
      <c r="H2399">
        <f t="shared" ca="1" si="464"/>
        <v>0</v>
      </c>
      <c r="I2399">
        <f t="shared" ca="1" si="465"/>
        <v>0</v>
      </c>
      <c r="J2399" s="8">
        <f t="shared" ca="1" si="466"/>
        <v>0</v>
      </c>
      <c r="K2399" s="9" t="str">
        <f t="shared" ca="1" si="467"/>
        <v>E</v>
      </c>
      <c r="L2399">
        <f ca="1">+_xlfn.IFNA(VLOOKUP(M2399,BespokeWindowsAreas!$B$2:$E$1999,4,FALSE),VLOOKUP(E2399,WindowTypeArea!$B$2:$C$113,2,FALSE))</f>
        <v>7.8310000000000004</v>
      </c>
      <c r="M2399">
        <f t="shared" ca="1" si="468"/>
        <v>4913585</v>
      </c>
    </row>
    <row r="2400" spans="1:13" x14ac:dyDescent="0.25">
      <c r="A2400">
        <f t="shared" ca="1" si="461"/>
        <v>5</v>
      </c>
      <c r="B2400">
        <f t="shared" ca="1" si="462"/>
        <v>681</v>
      </c>
      <c r="C2400" t="str">
        <f t="shared" ca="1" si="457"/>
        <v>'WINDOWS-NCH-A-BDP-M3-03-00'!B680</v>
      </c>
      <c r="D2400" s="6" t="str">
        <f t="shared" ca="1" si="458"/>
        <v>L03-THR-NAD-S061-01</v>
      </c>
      <c r="E2400" t="str">
        <f t="shared" ca="1" si="459"/>
        <v>Family Type: Curtain Wall_Bespoke 1 - 1979.5 x 3800, Family: Window External Type 5 - Flush Instance Width</v>
      </c>
      <c r="F2400" t="str">
        <f t="shared" ca="1" si="460"/>
        <v>Vector(X = 1.000, Y = 0.008, Z = 0.000, Length = 1.000)</v>
      </c>
      <c r="G2400">
        <f t="shared" ca="1" si="463"/>
        <v>1</v>
      </c>
      <c r="H2400">
        <f t="shared" ca="1" si="464"/>
        <v>0</v>
      </c>
      <c r="I2400">
        <f t="shared" ca="1" si="465"/>
        <v>0</v>
      </c>
      <c r="J2400" s="8">
        <f t="shared" ca="1" si="466"/>
        <v>0</v>
      </c>
      <c r="K2400" s="9" t="str">
        <f t="shared" ca="1" si="467"/>
        <v>E</v>
      </c>
      <c r="L2400">
        <f ca="1">+_xlfn.IFNA(VLOOKUP(M2400,BespokeWindowsAreas!$B$2:$E$1999,4,FALSE),VLOOKUP(E2400,WindowTypeArea!$B$2:$C$113,2,FALSE))</f>
        <v>1.91</v>
      </c>
      <c r="M2400">
        <f t="shared" ca="1" si="468"/>
        <v>5143383</v>
      </c>
    </row>
    <row r="2401" spans="1:13" x14ac:dyDescent="0.25">
      <c r="A2401">
        <f t="shared" ca="1" si="461"/>
        <v>5</v>
      </c>
      <c r="B2401">
        <f t="shared" ca="1" si="462"/>
        <v>682</v>
      </c>
      <c r="C2401" t="str">
        <f t="shared" ca="1" si="457"/>
        <v>'WINDOWS-NCH-A-BDP-M3-03-00'!B681</v>
      </c>
      <c r="D2401" s="6" t="str">
        <f t="shared" ca="1" si="458"/>
        <v>L03-THR-NAD-S061-01</v>
      </c>
      <c r="E2401" t="str">
        <f t="shared" ca="1" si="459"/>
        <v>Family Type: Curtain Wall_Bespoke 1 - 1979.5 x 3800, Family: Window External Type 5 - Flush Instance Width</v>
      </c>
      <c r="F2401" t="str">
        <f t="shared" ca="1" si="460"/>
        <v>Vector(X = 1.000, Y = 0.008, Z = 0.000, Length = 1.000)</v>
      </c>
      <c r="G2401">
        <f t="shared" ca="1" si="463"/>
        <v>1</v>
      </c>
      <c r="H2401">
        <f t="shared" ca="1" si="464"/>
        <v>0</v>
      </c>
      <c r="I2401">
        <f t="shared" ca="1" si="465"/>
        <v>0</v>
      </c>
      <c r="J2401" s="8">
        <f t="shared" ca="1" si="466"/>
        <v>0</v>
      </c>
      <c r="K2401" s="9" t="str">
        <f t="shared" ca="1" si="467"/>
        <v>E</v>
      </c>
      <c r="L2401">
        <f ca="1">+_xlfn.IFNA(VLOOKUP(M2401,BespokeWindowsAreas!$B$2:$E$1999,4,FALSE),VLOOKUP(E2401,WindowTypeArea!$B$2:$C$113,2,FALSE))</f>
        <v>7.9950000000000001</v>
      </c>
      <c r="M2401">
        <f t="shared" ca="1" si="468"/>
        <v>4913584</v>
      </c>
    </row>
    <row r="2402" spans="1:13" x14ac:dyDescent="0.25">
      <c r="A2402">
        <f t="shared" ca="1" si="461"/>
        <v>5</v>
      </c>
      <c r="B2402">
        <f t="shared" ca="1" si="462"/>
        <v>683</v>
      </c>
      <c r="C2402" t="str">
        <f t="shared" ca="1" si="457"/>
        <v>'WINDOWS-NCH-A-BDP-M3-03-00'!B682</v>
      </c>
      <c r="D2402" s="6" t="str">
        <f t="shared" ca="1" si="458"/>
        <v>L03-THR-NAD-S061-01</v>
      </c>
      <c r="E2402" t="str">
        <f t="shared" ca="1" si="459"/>
        <v>Family Type: Curtain Wall_Bespoke 1 - 1979.5 x 3800, Family: Window External Type 5 - Flush Instance Width</v>
      </c>
      <c r="F2402" t="str">
        <f t="shared" ca="1" si="460"/>
        <v>Vector(X = 1.000, Y = 0.008, Z = 0.000, Length = 1.000)</v>
      </c>
      <c r="G2402">
        <f t="shared" ca="1" si="463"/>
        <v>1</v>
      </c>
      <c r="H2402">
        <f t="shared" ca="1" si="464"/>
        <v>0</v>
      </c>
      <c r="I2402">
        <f t="shared" ca="1" si="465"/>
        <v>0</v>
      </c>
      <c r="J2402" s="8">
        <f t="shared" ca="1" si="466"/>
        <v>0</v>
      </c>
      <c r="K2402" s="9" t="str">
        <f t="shared" ca="1" si="467"/>
        <v>E</v>
      </c>
      <c r="L2402">
        <f ca="1">+_xlfn.IFNA(VLOOKUP(M2402,BespokeWindowsAreas!$B$2:$E$1999,4,FALSE),VLOOKUP(E2402,WindowTypeArea!$B$2:$C$113,2,FALSE))</f>
        <v>1.95</v>
      </c>
      <c r="M2402">
        <f t="shared" ca="1" si="468"/>
        <v>5143382</v>
      </c>
    </row>
    <row r="2403" spans="1:13" x14ac:dyDescent="0.25">
      <c r="A2403">
        <f t="shared" ca="1" si="461"/>
        <v>5</v>
      </c>
      <c r="B2403">
        <f t="shared" ca="1" si="462"/>
        <v>684</v>
      </c>
      <c r="C2403" t="str">
        <f t="shared" ca="1" si="457"/>
        <v>'WINDOWS-NCH-A-BDP-M3-03-00'!B683</v>
      </c>
      <c r="D2403" s="6" t="str">
        <f t="shared" ca="1" si="458"/>
        <v>L03-THR-NAD-S061-01</v>
      </c>
      <c r="E2403" t="str">
        <f t="shared" ca="1" si="459"/>
        <v>Family Type: Curtain Wall_Bespoke 1 - 1979.5 x 3800, Family: Window External Type 5 - Flush Instance Width</v>
      </c>
      <c r="F2403" t="str">
        <f t="shared" ca="1" si="460"/>
        <v>Vector(X = 1.000, Y = 0.008, Z = 0.000, Length = 1.000)</v>
      </c>
      <c r="G2403">
        <f t="shared" ca="1" si="463"/>
        <v>1</v>
      </c>
      <c r="H2403">
        <f t="shared" ca="1" si="464"/>
        <v>0</v>
      </c>
      <c r="I2403">
        <f t="shared" ca="1" si="465"/>
        <v>0</v>
      </c>
      <c r="J2403" s="8">
        <f t="shared" ca="1" si="466"/>
        <v>0</v>
      </c>
      <c r="K2403" s="9" t="str">
        <f t="shared" ca="1" si="467"/>
        <v>E</v>
      </c>
      <c r="L2403">
        <f ca="1">+_xlfn.IFNA(VLOOKUP(M2403,BespokeWindowsAreas!$B$2:$E$1999,4,FALSE),VLOOKUP(E2403,WindowTypeArea!$B$2:$C$113,2,FALSE))</f>
        <v>7.9950000000000001</v>
      </c>
      <c r="M2403">
        <f t="shared" ca="1" si="468"/>
        <v>4913582</v>
      </c>
    </row>
    <row r="2404" spans="1:13" x14ac:dyDescent="0.25">
      <c r="A2404">
        <f t="shared" ca="1" si="461"/>
        <v>5</v>
      </c>
      <c r="B2404">
        <f t="shared" ca="1" si="462"/>
        <v>685</v>
      </c>
      <c r="C2404" t="str">
        <f t="shared" ca="1" si="457"/>
        <v>'WINDOWS-NCH-A-BDP-M3-03-00'!B684</v>
      </c>
      <c r="D2404" s="6" t="str">
        <f t="shared" ca="1" si="458"/>
        <v>L03-THR-NAD-S061-01</v>
      </c>
      <c r="E2404" t="str">
        <f t="shared" ca="1" si="459"/>
        <v>Family Type: Curtain Wall_Bespoke 1 - 1979.5 x 3800, Family: Window External Type 5 - Flush Instance Width</v>
      </c>
      <c r="F2404" t="str">
        <f t="shared" ca="1" si="460"/>
        <v>Vector(X = 1.000, Y = 0.008, Z = 0.000, Length = 1.000)</v>
      </c>
      <c r="G2404">
        <f t="shared" ca="1" si="463"/>
        <v>1</v>
      </c>
      <c r="H2404">
        <f t="shared" ca="1" si="464"/>
        <v>0</v>
      </c>
      <c r="I2404">
        <f t="shared" ca="1" si="465"/>
        <v>0</v>
      </c>
      <c r="J2404" s="8">
        <f t="shared" ca="1" si="466"/>
        <v>0</v>
      </c>
      <c r="K2404" s="9" t="str">
        <f t="shared" ca="1" si="467"/>
        <v>E</v>
      </c>
      <c r="L2404">
        <f ca="1">+_xlfn.IFNA(VLOOKUP(M2404,BespokeWindowsAreas!$B$2:$E$1999,4,FALSE),VLOOKUP(E2404,WindowTypeArea!$B$2:$C$113,2,FALSE))</f>
        <v>1.95</v>
      </c>
      <c r="M2404">
        <f t="shared" ca="1" si="468"/>
        <v>5143380</v>
      </c>
    </row>
    <row r="2405" spans="1:13" x14ac:dyDescent="0.25">
      <c r="A2405">
        <f t="shared" ca="1" si="461"/>
        <v>5</v>
      </c>
      <c r="B2405">
        <f t="shared" ca="1" si="462"/>
        <v>686</v>
      </c>
      <c r="C2405" t="str">
        <f t="shared" ca="1" si="457"/>
        <v>'WINDOWS-NCH-A-BDP-M3-03-00'!B685</v>
      </c>
      <c r="D2405" s="6" t="str">
        <f t="shared" ca="1" si="458"/>
        <v>L03-THR-SLT-S016-01</v>
      </c>
      <c r="E2405" t="str">
        <f t="shared" ca="1" si="459"/>
        <v>L03-THR-SLT-S016-01</v>
      </c>
      <c r="F2405" t="str">
        <f t="shared" ca="1" si="460"/>
        <v>ID not used</v>
      </c>
      <c r="G2405">
        <f t="shared" ca="1" si="463"/>
        <v>0</v>
      </c>
      <c r="H2405">
        <f t="shared" ca="1" si="464"/>
        <v>0</v>
      </c>
      <c r="I2405">
        <f t="shared" ca="1" si="465"/>
        <v>0</v>
      </c>
      <c r="J2405" s="8" t="e">
        <f t="shared" ca="1" si="466"/>
        <v>#DIV/0!</v>
      </c>
      <c r="K2405" s="9" t="e">
        <f t="shared" ca="1" si="467"/>
        <v>#DIV/0!</v>
      </c>
      <c r="L2405" t="e">
        <f ca="1">+_xlfn.IFNA(VLOOKUP(M2405,BespokeWindowsAreas!$B$2:$E$1999,4,FALSE),VLOOKUP(E2405,WindowTypeArea!$B$2:$C$113,2,FALSE))</f>
        <v>#N/A</v>
      </c>
      <c r="M2405">
        <f t="shared" ca="1" si="468"/>
        <v>0</v>
      </c>
    </row>
    <row r="2406" spans="1:13" x14ac:dyDescent="0.25">
      <c r="A2406">
        <f t="shared" ca="1" si="461"/>
        <v>5</v>
      </c>
      <c r="B2406">
        <f t="shared" ca="1" si="462"/>
        <v>687</v>
      </c>
      <c r="C2406" t="str">
        <f t="shared" ca="1" si="457"/>
        <v>'WINDOWS-NCH-A-BDP-M3-03-00'!B686</v>
      </c>
      <c r="D2406" s="6" t="str">
        <f t="shared" ca="1" si="458"/>
        <v>L03-THR-SLT-S016-01</v>
      </c>
      <c r="E2406" t="str">
        <f t="shared" ca="1" si="459"/>
        <v>Family Type: Curtain Wall_Bespoke 1 - 1979.5 x 3800, Family: Window External Type 5 - Flush Instance Width</v>
      </c>
      <c r="F2406" t="str">
        <f t="shared" ca="1" si="460"/>
        <v>Vector(X = 1.000, Y = 0.008, Z = 0.000, Length = 1.000)</v>
      </c>
      <c r="G2406">
        <f t="shared" ca="1" si="463"/>
        <v>1</v>
      </c>
      <c r="H2406">
        <f t="shared" ca="1" si="464"/>
        <v>0</v>
      </c>
      <c r="I2406">
        <f t="shared" ca="1" si="465"/>
        <v>0</v>
      </c>
      <c r="J2406" s="8">
        <f t="shared" ca="1" si="466"/>
        <v>0</v>
      </c>
      <c r="K2406" s="9" t="str">
        <f t="shared" ca="1" si="467"/>
        <v>E</v>
      </c>
      <c r="L2406">
        <f ca="1">+_xlfn.IFNA(VLOOKUP(M2406,BespokeWindowsAreas!$B$2:$E$1999,4,FALSE),VLOOKUP(E2406,WindowTypeArea!$B$2:$C$113,2,FALSE))</f>
        <v>7.9950000000000001</v>
      </c>
      <c r="M2406">
        <f t="shared" ca="1" si="468"/>
        <v>4913581</v>
      </c>
    </row>
    <row r="2407" spans="1:13" x14ac:dyDescent="0.25">
      <c r="A2407">
        <f t="shared" ca="1" si="461"/>
        <v>5</v>
      </c>
      <c r="B2407">
        <f t="shared" ca="1" si="462"/>
        <v>688</v>
      </c>
      <c r="C2407" t="str">
        <f t="shared" ca="1" si="457"/>
        <v>'WINDOWS-NCH-A-BDP-M3-03-00'!B687</v>
      </c>
      <c r="D2407" s="6" t="str">
        <f t="shared" ca="1" si="458"/>
        <v>L03-THR-SLT-S016-01</v>
      </c>
      <c r="E2407" t="str">
        <f t="shared" ca="1" si="459"/>
        <v>Family Type: Curtain Wall_Bespoke 1 - 1979.5 x 3800, Family: Window External Type 5 - Flush Instance Width</v>
      </c>
      <c r="F2407" t="str">
        <f t="shared" ca="1" si="460"/>
        <v>Vector(X = 1.000, Y = 0.008, Z = 0.000, Length = 1.000)</v>
      </c>
      <c r="G2407">
        <f t="shared" ca="1" si="463"/>
        <v>1</v>
      </c>
      <c r="H2407">
        <f t="shared" ca="1" si="464"/>
        <v>0</v>
      </c>
      <c r="I2407">
        <f t="shared" ca="1" si="465"/>
        <v>0</v>
      </c>
      <c r="J2407" s="8">
        <f t="shared" ca="1" si="466"/>
        <v>0</v>
      </c>
      <c r="K2407" s="9" t="str">
        <f t="shared" ca="1" si="467"/>
        <v>E</v>
      </c>
      <c r="L2407">
        <f ca="1">+_xlfn.IFNA(VLOOKUP(M2407,BespokeWindowsAreas!$B$2:$E$1999,4,FALSE),VLOOKUP(E2407,WindowTypeArea!$B$2:$C$113,2,FALSE))</f>
        <v>1.95</v>
      </c>
      <c r="M2407">
        <f t="shared" ca="1" si="468"/>
        <v>5143379</v>
      </c>
    </row>
    <row r="2408" spans="1:13" x14ac:dyDescent="0.25">
      <c r="A2408">
        <f t="shared" ca="1" si="461"/>
        <v>5</v>
      </c>
      <c r="B2408">
        <f t="shared" ca="1" si="462"/>
        <v>689</v>
      </c>
      <c r="C2408" t="str">
        <f t="shared" ca="1" si="457"/>
        <v>'WINDOWS-NCH-A-BDP-M3-03-00'!B688</v>
      </c>
      <c r="D2408" s="6" t="str">
        <f t="shared" ca="1" si="458"/>
        <v>L03-THR-SLT-S016-01</v>
      </c>
      <c r="E2408" t="str">
        <f t="shared" ca="1" si="459"/>
        <v>Family Type: Curtain Wall_Bespoke 1 - 1979.5 x 3800, Family: Window External Type 5 - Flush Instance Width</v>
      </c>
      <c r="F2408" t="str">
        <f t="shared" ca="1" si="460"/>
        <v>Vector(X = 1.000, Y = 0.008, Z = 0.000, Length = 1.000)</v>
      </c>
      <c r="G2408">
        <f t="shared" ca="1" si="463"/>
        <v>1</v>
      </c>
      <c r="H2408">
        <f t="shared" ca="1" si="464"/>
        <v>0</v>
      </c>
      <c r="I2408">
        <f t="shared" ca="1" si="465"/>
        <v>0</v>
      </c>
      <c r="J2408" s="8">
        <f t="shared" ca="1" si="466"/>
        <v>0</v>
      </c>
      <c r="K2408" s="9" t="str">
        <f t="shared" ca="1" si="467"/>
        <v>E</v>
      </c>
      <c r="L2408">
        <f ca="1">+_xlfn.IFNA(VLOOKUP(M2408,BespokeWindowsAreas!$B$2:$E$1999,4,FALSE),VLOOKUP(E2408,WindowTypeArea!$B$2:$C$113,2,FALSE))</f>
        <v>7.9950000000000001</v>
      </c>
      <c r="M2408">
        <f t="shared" ca="1" si="468"/>
        <v>4913580</v>
      </c>
    </row>
    <row r="2409" spans="1:13" x14ac:dyDescent="0.25">
      <c r="A2409">
        <f t="shared" ca="1" si="461"/>
        <v>5</v>
      </c>
      <c r="B2409">
        <f t="shared" ca="1" si="462"/>
        <v>690</v>
      </c>
      <c r="C2409" t="str">
        <f t="shared" ca="1" si="457"/>
        <v>'WINDOWS-NCH-A-BDP-M3-03-00'!B689</v>
      </c>
      <c r="D2409" s="6" t="str">
        <f t="shared" ca="1" si="458"/>
        <v>L03-THR-SLT-S016-01</v>
      </c>
      <c r="E2409" t="str">
        <f t="shared" ca="1" si="459"/>
        <v>Family Type: Curtain Wall_Bespoke 1 - 1979.5 x 3800, Family: Window External Type 5 - Flush Instance Width</v>
      </c>
      <c r="F2409" t="str">
        <f t="shared" ca="1" si="460"/>
        <v>Vector(X = 1.000, Y = 0.008, Z = 0.000, Length = 1.000)</v>
      </c>
      <c r="G2409">
        <f t="shared" ca="1" si="463"/>
        <v>1</v>
      </c>
      <c r="H2409">
        <f t="shared" ca="1" si="464"/>
        <v>0</v>
      </c>
      <c r="I2409">
        <f t="shared" ca="1" si="465"/>
        <v>0</v>
      </c>
      <c r="J2409" s="8">
        <f t="shared" ca="1" si="466"/>
        <v>0</v>
      </c>
      <c r="K2409" s="9" t="str">
        <f t="shared" ca="1" si="467"/>
        <v>E</v>
      </c>
      <c r="L2409">
        <f ca="1">+_xlfn.IFNA(VLOOKUP(M2409,BespokeWindowsAreas!$B$2:$E$1999,4,FALSE),VLOOKUP(E2409,WindowTypeArea!$B$2:$C$113,2,FALSE))</f>
        <v>1.95</v>
      </c>
      <c r="M2409">
        <f t="shared" ca="1" si="468"/>
        <v>5143378</v>
      </c>
    </row>
    <row r="2410" spans="1:13" x14ac:dyDescent="0.25">
      <c r="A2410">
        <f t="shared" ca="1" si="461"/>
        <v>5</v>
      </c>
      <c r="B2410">
        <f t="shared" ca="1" si="462"/>
        <v>691</v>
      </c>
      <c r="C2410" t="str">
        <f t="shared" ca="1" si="457"/>
        <v>'WINDOWS-NCH-A-BDP-M3-03-00'!B690</v>
      </c>
      <c r="D2410" s="6" t="str">
        <f t="shared" ca="1" si="458"/>
        <v>L03-THR-SLT-S115-01</v>
      </c>
      <c r="E2410" t="str">
        <f t="shared" ca="1" si="459"/>
        <v>L03-THR-SLT-S115-01</v>
      </c>
      <c r="F2410" t="str">
        <f t="shared" ca="1" si="460"/>
        <v>ID not used</v>
      </c>
      <c r="G2410">
        <f t="shared" ca="1" si="463"/>
        <v>0</v>
      </c>
      <c r="H2410">
        <f t="shared" ca="1" si="464"/>
        <v>0</v>
      </c>
      <c r="I2410">
        <f t="shared" ca="1" si="465"/>
        <v>0</v>
      </c>
      <c r="J2410" s="8" t="e">
        <f t="shared" ca="1" si="466"/>
        <v>#DIV/0!</v>
      </c>
      <c r="K2410" s="9" t="e">
        <f t="shared" ca="1" si="467"/>
        <v>#DIV/0!</v>
      </c>
      <c r="L2410" t="e">
        <f ca="1">+_xlfn.IFNA(VLOOKUP(M2410,BespokeWindowsAreas!$B$2:$E$1999,4,FALSE),VLOOKUP(E2410,WindowTypeArea!$B$2:$C$113,2,FALSE))</f>
        <v>#N/A</v>
      </c>
      <c r="M2410">
        <f t="shared" ca="1" si="468"/>
        <v>0</v>
      </c>
    </row>
    <row r="2411" spans="1:13" x14ac:dyDescent="0.25">
      <c r="A2411">
        <f t="shared" ca="1" si="461"/>
        <v>5</v>
      </c>
      <c r="B2411">
        <f t="shared" ca="1" si="462"/>
        <v>692</v>
      </c>
      <c r="C2411" t="str">
        <f t="shared" ref="C2411:C2474" ca="1" si="469">+"'"&amp;INDIRECT("a"&amp;A2410)&amp;"'!B"&amp;B2410</f>
        <v>'WINDOWS-NCH-A-BDP-M3-03-00'!B691</v>
      </c>
      <c r="D2411" s="6" t="str">
        <f t="shared" ref="D2411:D2474" ca="1" si="470">+IF(IFERROR(FIND("Family",E2411)&gt;0,FALSE),D2410,E2411)</f>
        <v>L03-THR-SLT-S115-01</v>
      </c>
      <c r="E2411" t="str">
        <f t="shared" ref="E2411:E2474" ca="1" si="471">+OFFSET(INDIRECT(C2411),0,0)</f>
        <v>Family Type: Curtain Wall_Bespoke 1 - 1979.5 x 3800, Family: Window External Type 5 - Flush Instance Width</v>
      </c>
      <c r="F2411" t="str">
        <f t="shared" ref="F2411:F2474" ca="1" si="472">+OFFSET(INDIRECT(C2411),0,1)</f>
        <v>Vector(X = 1.000, Y = 0.008, Z = 0.000, Length = 1.000)</v>
      </c>
      <c r="G2411">
        <f t="shared" ca="1" si="463"/>
        <v>1</v>
      </c>
      <c r="H2411">
        <f t="shared" ca="1" si="464"/>
        <v>0</v>
      </c>
      <c r="I2411">
        <f t="shared" ca="1" si="465"/>
        <v>0</v>
      </c>
      <c r="J2411" s="8">
        <f t="shared" ca="1" si="466"/>
        <v>0</v>
      </c>
      <c r="K2411" s="9" t="str">
        <f t="shared" ca="1" si="467"/>
        <v>E</v>
      </c>
      <c r="L2411">
        <f ca="1">+_xlfn.IFNA(VLOOKUP(M2411,BespokeWindowsAreas!$B$2:$E$1999,4,FALSE),VLOOKUP(E2411,WindowTypeArea!$B$2:$C$113,2,FALSE))</f>
        <v>7.9950000000000001</v>
      </c>
      <c r="M2411">
        <f t="shared" ca="1" si="468"/>
        <v>4913579</v>
      </c>
    </row>
    <row r="2412" spans="1:13" x14ac:dyDescent="0.25">
      <c r="A2412">
        <f t="shared" ca="1" si="461"/>
        <v>5</v>
      </c>
      <c r="B2412">
        <f t="shared" ca="1" si="462"/>
        <v>693</v>
      </c>
      <c r="C2412" t="str">
        <f t="shared" ca="1" si="469"/>
        <v>'WINDOWS-NCH-A-BDP-M3-03-00'!B692</v>
      </c>
      <c r="D2412" s="6" t="str">
        <f t="shared" ca="1" si="470"/>
        <v>L03-THR-SLT-S115-01</v>
      </c>
      <c r="E2412" t="str">
        <f t="shared" ca="1" si="471"/>
        <v>Family Type: Curtain Wall_Bespoke 1 - 1979.5 x 3800, Family: Window External Type 5 - Flush Instance Width</v>
      </c>
      <c r="F2412" t="str">
        <f t="shared" ca="1" si="472"/>
        <v>Vector(X = 1.000, Y = 0.008, Z = 0.000, Length = 1.000)</v>
      </c>
      <c r="G2412">
        <f t="shared" ca="1" si="463"/>
        <v>1</v>
      </c>
      <c r="H2412">
        <f t="shared" ca="1" si="464"/>
        <v>0</v>
      </c>
      <c r="I2412">
        <f t="shared" ca="1" si="465"/>
        <v>0</v>
      </c>
      <c r="J2412" s="8">
        <f t="shared" ca="1" si="466"/>
        <v>0</v>
      </c>
      <c r="K2412" s="9" t="str">
        <f t="shared" ca="1" si="467"/>
        <v>E</v>
      </c>
      <c r="L2412">
        <f ca="1">+_xlfn.IFNA(VLOOKUP(M2412,BespokeWindowsAreas!$B$2:$E$1999,4,FALSE),VLOOKUP(E2412,WindowTypeArea!$B$2:$C$113,2,FALSE))</f>
        <v>1.95</v>
      </c>
      <c r="M2412">
        <f t="shared" ca="1" si="468"/>
        <v>5143377</v>
      </c>
    </row>
    <row r="2413" spans="1:13" x14ac:dyDescent="0.25">
      <c r="A2413">
        <f t="shared" ca="1" si="461"/>
        <v>5</v>
      </c>
      <c r="B2413">
        <f t="shared" ca="1" si="462"/>
        <v>694</v>
      </c>
      <c r="C2413" t="str">
        <f t="shared" ca="1" si="469"/>
        <v>'WINDOWS-NCH-A-BDP-M3-03-00'!B693</v>
      </c>
      <c r="D2413" s="6" t="str">
        <f t="shared" ca="1" si="470"/>
        <v>L03-THR-SLT-S115-01</v>
      </c>
      <c r="E2413" t="str">
        <f t="shared" ca="1" si="471"/>
        <v>Family Type: Curtain Wall_Bespoke 1 - 1979.5 x 3800, Family: Window External Type 5 - Flush Instance Width</v>
      </c>
      <c r="F2413" t="str">
        <f t="shared" ca="1" si="472"/>
        <v>Vector(X = 1.000, Y = 0.008, Z = 0.000, Length = 1.000)</v>
      </c>
      <c r="G2413">
        <f t="shared" ca="1" si="463"/>
        <v>1</v>
      </c>
      <c r="H2413">
        <f t="shared" ca="1" si="464"/>
        <v>0</v>
      </c>
      <c r="I2413">
        <f t="shared" ca="1" si="465"/>
        <v>0</v>
      </c>
      <c r="J2413" s="8">
        <f t="shared" ca="1" si="466"/>
        <v>0</v>
      </c>
      <c r="K2413" s="9" t="str">
        <f t="shared" ca="1" si="467"/>
        <v>E</v>
      </c>
      <c r="L2413">
        <f ca="1">+_xlfn.IFNA(VLOOKUP(M2413,BespokeWindowsAreas!$B$2:$E$1999,4,FALSE),VLOOKUP(E2413,WindowTypeArea!$B$2:$C$113,2,FALSE))</f>
        <v>7.9950000000000001</v>
      </c>
      <c r="M2413">
        <f t="shared" ca="1" si="468"/>
        <v>4913578</v>
      </c>
    </row>
    <row r="2414" spans="1:13" x14ac:dyDescent="0.25">
      <c r="A2414">
        <f t="shared" ca="1" si="461"/>
        <v>5</v>
      </c>
      <c r="B2414">
        <f t="shared" ca="1" si="462"/>
        <v>695</v>
      </c>
      <c r="C2414" t="str">
        <f t="shared" ca="1" si="469"/>
        <v>'WINDOWS-NCH-A-BDP-M3-03-00'!B694</v>
      </c>
      <c r="D2414" s="6" t="str">
        <f t="shared" ca="1" si="470"/>
        <v>L03-THR-SLT-S115-01</v>
      </c>
      <c r="E2414" t="str">
        <f t="shared" ca="1" si="471"/>
        <v>Family Type: Curtain Wall_Bespoke 1 - 1979.5 x 3800, Family: Window External Type 5 - Flush Instance Width</v>
      </c>
      <c r="F2414" t="str">
        <f t="shared" ca="1" si="472"/>
        <v>Vector(X = 1.000, Y = 0.008, Z = 0.000, Length = 1.000)</v>
      </c>
      <c r="G2414">
        <f t="shared" ca="1" si="463"/>
        <v>1</v>
      </c>
      <c r="H2414">
        <f t="shared" ca="1" si="464"/>
        <v>0</v>
      </c>
      <c r="I2414">
        <f t="shared" ca="1" si="465"/>
        <v>0</v>
      </c>
      <c r="J2414" s="8">
        <f t="shared" ca="1" si="466"/>
        <v>0</v>
      </c>
      <c r="K2414" s="9" t="str">
        <f t="shared" ca="1" si="467"/>
        <v>E</v>
      </c>
      <c r="L2414">
        <f ca="1">+_xlfn.IFNA(VLOOKUP(M2414,BespokeWindowsAreas!$B$2:$E$1999,4,FALSE),VLOOKUP(E2414,WindowTypeArea!$B$2:$C$113,2,FALSE))</f>
        <v>1.95</v>
      </c>
      <c r="M2414">
        <f t="shared" ca="1" si="468"/>
        <v>5143376</v>
      </c>
    </row>
    <row r="2415" spans="1:13" x14ac:dyDescent="0.25">
      <c r="A2415">
        <f t="shared" ca="1" si="461"/>
        <v>5</v>
      </c>
      <c r="B2415">
        <f t="shared" ca="1" si="462"/>
        <v>696</v>
      </c>
      <c r="C2415" t="str">
        <f t="shared" ca="1" si="469"/>
        <v>'WINDOWS-NCH-A-BDP-M3-03-00'!B695</v>
      </c>
      <c r="D2415" s="6" t="str">
        <f t="shared" ca="1" si="470"/>
        <v>L03-THR-SLT-S115-01</v>
      </c>
      <c r="E2415" t="str">
        <f t="shared" ca="1" si="471"/>
        <v>Family Type: Curtain Wall_Bespoke 1 - 1979.5 x 3800, Family: Window External Type 5 - Flush Instance Width</v>
      </c>
      <c r="F2415" t="str">
        <f t="shared" ca="1" si="472"/>
        <v>Vector(X = 1.000, Y = 0.008, Z = 0.000, Length = 1.000)</v>
      </c>
      <c r="G2415">
        <f t="shared" ca="1" si="463"/>
        <v>1</v>
      </c>
      <c r="H2415">
        <f t="shared" ca="1" si="464"/>
        <v>0</v>
      </c>
      <c r="I2415">
        <f t="shared" ca="1" si="465"/>
        <v>0</v>
      </c>
      <c r="J2415" s="8">
        <f t="shared" ca="1" si="466"/>
        <v>0</v>
      </c>
      <c r="K2415" s="9" t="str">
        <f t="shared" ca="1" si="467"/>
        <v>E</v>
      </c>
      <c r="L2415">
        <f ca="1">+_xlfn.IFNA(VLOOKUP(M2415,BespokeWindowsAreas!$B$2:$E$1999,4,FALSE),VLOOKUP(E2415,WindowTypeArea!$B$2:$C$113,2,FALSE))</f>
        <v>7.9950000000000001</v>
      </c>
      <c r="M2415">
        <f t="shared" ca="1" si="468"/>
        <v>4913577</v>
      </c>
    </row>
    <row r="2416" spans="1:13" x14ac:dyDescent="0.25">
      <c r="A2416">
        <f t="shared" ca="1" si="461"/>
        <v>6</v>
      </c>
      <c r="B2416">
        <f t="shared" ca="1" si="462"/>
        <v>1</v>
      </c>
      <c r="C2416" t="str">
        <f t="shared" ca="1" si="469"/>
        <v>'WINDOWS-NCH-A-BDP-M3-03-00'!B696</v>
      </c>
      <c r="D2416" s="6" t="str">
        <f t="shared" ca="1" si="470"/>
        <v>L03-THR-SLT-S115-01</v>
      </c>
      <c r="E2416" t="str">
        <f t="shared" ca="1" si="471"/>
        <v>Family Type: Curtain Wall_Bespoke 1 - 1979.5 x 3800, Family: Window External Type 5 - Flush Instance Width</v>
      </c>
      <c r="F2416" t="str">
        <f t="shared" ca="1" si="472"/>
        <v>Vector(X = 1.000, Y = 0.008, Z = 0.000, Length = 1.000)</v>
      </c>
      <c r="G2416">
        <f t="shared" ca="1" si="463"/>
        <v>1</v>
      </c>
      <c r="H2416">
        <f t="shared" ca="1" si="464"/>
        <v>0</v>
      </c>
      <c r="I2416">
        <f t="shared" ca="1" si="465"/>
        <v>0</v>
      </c>
      <c r="J2416" s="8">
        <f t="shared" ca="1" si="466"/>
        <v>0</v>
      </c>
      <c r="K2416" s="9" t="str">
        <f t="shared" ca="1" si="467"/>
        <v>E</v>
      </c>
      <c r="L2416">
        <f ca="1">+_xlfn.IFNA(VLOOKUP(M2416,BespokeWindowsAreas!$B$2:$E$1999,4,FALSE),VLOOKUP(E2416,WindowTypeArea!$B$2:$C$113,2,FALSE))</f>
        <v>1.94975442974914</v>
      </c>
      <c r="M2416">
        <f t="shared" ca="1" si="468"/>
        <v>5143375</v>
      </c>
    </row>
    <row r="2417" spans="1:13" x14ac:dyDescent="0.25">
      <c r="A2417">
        <f t="shared" ca="1" si="461"/>
        <v>6</v>
      </c>
      <c r="B2417">
        <f t="shared" ca="1" si="462"/>
        <v>2</v>
      </c>
      <c r="C2417" t="str">
        <f t="shared" ca="1" si="469"/>
        <v>'WINDOWS-NCH-A-BDP-M3-04-00'!B1</v>
      </c>
      <c r="D2417" s="6" t="e">
        <f t="shared" ca="1" si="470"/>
        <v>#REF!</v>
      </c>
      <c r="E2417" t="e">
        <f t="shared" ca="1" si="471"/>
        <v>#REF!</v>
      </c>
      <c r="F2417" t="e">
        <f t="shared" ca="1" si="472"/>
        <v>#REF!</v>
      </c>
      <c r="G2417" t="e">
        <f t="shared" ca="1" si="463"/>
        <v>#REF!</v>
      </c>
      <c r="H2417" t="e">
        <f t="shared" ca="1" si="464"/>
        <v>#REF!</v>
      </c>
      <c r="I2417" t="e">
        <f t="shared" ca="1" si="465"/>
        <v>#REF!</v>
      </c>
      <c r="J2417" s="8" t="e">
        <f t="shared" ca="1" si="466"/>
        <v>#REF!</v>
      </c>
      <c r="K2417" s="9" t="e">
        <f t="shared" ca="1" si="467"/>
        <v>#REF!</v>
      </c>
      <c r="L2417" t="e">
        <f ca="1">+_xlfn.IFNA(VLOOKUP(M2417,BespokeWindowsAreas!$B$2:$E$1999,4,FALSE),VLOOKUP(E2417,WindowTypeArea!$B$2:$C$113,2,FALSE))</f>
        <v>#REF!</v>
      </c>
      <c r="M2417" t="e">
        <f t="shared" ca="1" si="468"/>
        <v>#REF!</v>
      </c>
    </row>
    <row r="2418" spans="1:13" x14ac:dyDescent="0.25">
      <c r="A2418">
        <f t="shared" ca="1" si="461"/>
        <v>7</v>
      </c>
      <c r="B2418">
        <f t="shared" ca="1" si="462"/>
        <v>1</v>
      </c>
      <c r="C2418" t="str">
        <f t="shared" ca="1" si="469"/>
        <v>'WINDOWS-NCH-A-BDP-M3-04-00'!B2</v>
      </c>
      <c r="D2418" s="6" t="e">
        <f t="shared" ca="1" si="470"/>
        <v>#REF!</v>
      </c>
      <c r="E2418" t="e">
        <f t="shared" ca="1" si="471"/>
        <v>#REF!</v>
      </c>
      <c r="F2418" t="e">
        <f t="shared" ca="1" si="472"/>
        <v>#REF!</v>
      </c>
      <c r="G2418" t="e">
        <f t="shared" ca="1" si="463"/>
        <v>#REF!</v>
      </c>
      <c r="H2418" t="e">
        <f t="shared" ca="1" si="464"/>
        <v>#REF!</v>
      </c>
      <c r="I2418" t="e">
        <f t="shared" ca="1" si="465"/>
        <v>#REF!</v>
      </c>
      <c r="J2418" s="8" t="e">
        <f t="shared" ca="1" si="466"/>
        <v>#REF!</v>
      </c>
      <c r="K2418" s="9" t="e">
        <f t="shared" ca="1" si="467"/>
        <v>#REF!</v>
      </c>
      <c r="L2418" t="e">
        <f ca="1">+_xlfn.IFNA(VLOOKUP(M2418,BespokeWindowsAreas!$B$2:$E$1999,4,FALSE),VLOOKUP(E2418,WindowTypeArea!$B$2:$C$113,2,FALSE))</f>
        <v>#REF!</v>
      </c>
      <c r="M2418" t="e">
        <f t="shared" ca="1" si="468"/>
        <v>#REF!</v>
      </c>
    </row>
    <row r="2419" spans="1:13" x14ac:dyDescent="0.25">
      <c r="A2419">
        <f t="shared" ca="1" si="461"/>
        <v>7</v>
      </c>
      <c r="B2419">
        <f t="shared" ca="1" si="462"/>
        <v>2</v>
      </c>
      <c r="C2419" t="str">
        <f t="shared" ca="1" si="469"/>
        <v>'WINDOWS-NCH-A-BDP-M3-05-00'!B1</v>
      </c>
      <c r="D2419" s="6" t="e">
        <f t="shared" ca="1" si="470"/>
        <v>#REF!</v>
      </c>
      <c r="E2419" t="e">
        <f t="shared" ca="1" si="471"/>
        <v>#REF!</v>
      </c>
      <c r="F2419" t="e">
        <f t="shared" ca="1" si="472"/>
        <v>#REF!</v>
      </c>
      <c r="G2419" t="e">
        <f t="shared" ca="1" si="463"/>
        <v>#REF!</v>
      </c>
      <c r="H2419" t="e">
        <f t="shared" ca="1" si="464"/>
        <v>#REF!</v>
      </c>
      <c r="I2419" t="e">
        <f t="shared" ca="1" si="465"/>
        <v>#REF!</v>
      </c>
      <c r="J2419" s="8" t="e">
        <f t="shared" ca="1" si="466"/>
        <v>#REF!</v>
      </c>
      <c r="K2419" s="9" t="e">
        <f t="shared" ca="1" si="467"/>
        <v>#REF!</v>
      </c>
      <c r="L2419" t="e">
        <f ca="1">+_xlfn.IFNA(VLOOKUP(M2419,BespokeWindowsAreas!$B$2:$E$1999,4,FALSE),VLOOKUP(E2419,WindowTypeArea!$B$2:$C$113,2,FALSE))</f>
        <v>#REF!</v>
      </c>
      <c r="M2419" t="e">
        <f t="shared" ca="1" si="468"/>
        <v>#REF!</v>
      </c>
    </row>
    <row r="2420" spans="1:13" x14ac:dyDescent="0.25">
      <c r="A2420">
        <f t="shared" ca="1" si="461"/>
        <v>8</v>
      </c>
      <c r="B2420">
        <f t="shared" ca="1" si="462"/>
        <v>1</v>
      </c>
      <c r="C2420" t="str">
        <f t="shared" ca="1" si="469"/>
        <v>'WINDOWS-NCH-A-BDP-M3-05-00'!B2</v>
      </c>
      <c r="D2420" s="6" t="e">
        <f t="shared" ca="1" si="470"/>
        <v>#REF!</v>
      </c>
      <c r="E2420" t="e">
        <f t="shared" ca="1" si="471"/>
        <v>#REF!</v>
      </c>
      <c r="F2420" t="e">
        <f t="shared" ca="1" si="472"/>
        <v>#REF!</v>
      </c>
      <c r="G2420" t="e">
        <f t="shared" ca="1" si="463"/>
        <v>#REF!</v>
      </c>
      <c r="H2420" t="e">
        <f t="shared" ca="1" si="464"/>
        <v>#REF!</v>
      </c>
      <c r="I2420" t="e">
        <f t="shared" ca="1" si="465"/>
        <v>#REF!</v>
      </c>
      <c r="J2420" s="8" t="e">
        <f t="shared" ca="1" si="466"/>
        <v>#REF!</v>
      </c>
      <c r="K2420" s="9" t="e">
        <f t="shared" ca="1" si="467"/>
        <v>#REF!</v>
      </c>
      <c r="L2420" t="e">
        <f ca="1">+_xlfn.IFNA(VLOOKUP(M2420,BespokeWindowsAreas!$B$2:$E$1999,4,FALSE),VLOOKUP(E2420,WindowTypeArea!$B$2:$C$113,2,FALSE))</f>
        <v>#REF!</v>
      </c>
      <c r="M2420" t="e">
        <f t="shared" ca="1" si="468"/>
        <v>#REF!</v>
      </c>
    </row>
    <row r="2421" spans="1:13" x14ac:dyDescent="0.25">
      <c r="A2421">
        <f t="shared" ca="1" si="461"/>
        <v>8</v>
      </c>
      <c r="B2421">
        <f t="shared" ca="1" si="462"/>
        <v>2</v>
      </c>
      <c r="C2421" t="str">
        <f t="shared" ca="1" si="469"/>
        <v>'WINDOWS-NCH-A-BDP-M3-06-00'!B1</v>
      </c>
      <c r="D2421" s="6" t="e">
        <f t="shared" ca="1" si="470"/>
        <v>#REF!</v>
      </c>
      <c r="E2421" t="e">
        <f t="shared" ca="1" si="471"/>
        <v>#REF!</v>
      </c>
      <c r="F2421" t="e">
        <f t="shared" ca="1" si="472"/>
        <v>#REF!</v>
      </c>
      <c r="G2421" t="e">
        <f t="shared" ca="1" si="463"/>
        <v>#REF!</v>
      </c>
      <c r="H2421" t="e">
        <f t="shared" ca="1" si="464"/>
        <v>#REF!</v>
      </c>
      <c r="I2421" t="e">
        <f t="shared" ca="1" si="465"/>
        <v>#REF!</v>
      </c>
      <c r="J2421" s="8" t="e">
        <f t="shared" ca="1" si="466"/>
        <v>#REF!</v>
      </c>
      <c r="K2421" s="9" t="e">
        <f t="shared" ca="1" si="467"/>
        <v>#REF!</v>
      </c>
      <c r="L2421" t="e">
        <f ca="1">+_xlfn.IFNA(VLOOKUP(M2421,BespokeWindowsAreas!$B$2:$E$1999,4,FALSE),VLOOKUP(E2421,WindowTypeArea!$B$2:$C$113,2,FALSE))</f>
        <v>#REF!</v>
      </c>
      <c r="M2421" t="e">
        <f t="shared" ca="1" si="468"/>
        <v>#REF!</v>
      </c>
    </row>
    <row r="2422" spans="1:13" x14ac:dyDescent="0.25">
      <c r="A2422">
        <f t="shared" ca="1" si="461"/>
        <v>9</v>
      </c>
      <c r="B2422">
        <f t="shared" ca="1" si="462"/>
        <v>1</v>
      </c>
      <c r="C2422" t="str">
        <f t="shared" ca="1" si="469"/>
        <v>'WINDOWS-NCH-A-BDP-M3-06-00'!B2</v>
      </c>
      <c r="D2422" s="6" t="e">
        <f t="shared" ca="1" si="470"/>
        <v>#REF!</v>
      </c>
      <c r="E2422" t="e">
        <f t="shared" ca="1" si="471"/>
        <v>#REF!</v>
      </c>
      <c r="F2422" t="e">
        <f t="shared" ca="1" si="472"/>
        <v>#REF!</v>
      </c>
      <c r="G2422" t="e">
        <f t="shared" ca="1" si="463"/>
        <v>#REF!</v>
      </c>
      <c r="H2422" t="e">
        <f t="shared" ca="1" si="464"/>
        <v>#REF!</v>
      </c>
      <c r="I2422" t="e">
        <f t="shared" ca="1" si="465"/>
        <v>#REF!</v>
      </c>
      <c r="J2422" s="8" t="e">
        <f t="shared" ca="1" si="466"/>
        <v>#REF!</v>
      </c>
      <c r="K2422" s="9" t="e">
        <f t="shared" ca="1" si="467"/>
        <v>#REF!</v>
      </c>
      <c r="L2422" t="e">
        <f ca="1">+_xlfn.IFNA(VLOOKUP(M2422,BespokeWindowsAreas!$B$2:$E$1999,4,FALSE),VLOOKUP(E2422,WindowTypeArea!$B$2:$C$113,2,FALSE))</f>
        <v>#REF!</v>
      </c>
      <c r="M2422" t="e">
        <f t="shared" ca="1" si="468"/>
        <v>#REF!</v>
      </c>
    </row>
    <row r="2423" spans="1:13" x14ac:dyDescent="0.25">
      <c r="A2423">
        <f t="shared" ca="1" si="461"/>
        <v>9</v>
      </c>
      <c r="B2423">
        <f t="shared" ca="1" si="462"/>
        <v>2</v>
      </c>
      <c r="C2423" t="str">
        <f t="shared" ca="1" si="469"/>
        <v>'WINDOWS-NCH-A-BDP-M3-07-00'!B1</v>
      </c>
      <c r="D2423" s="6" t="e">
        <f t="shared" ca="1" si="470"/>
        <v>#REF!</v>
      </c>
      <c r="E2423" t="e">
        <f t="shared" ca="1" si="471"/>
        <v>#REF!</v>
      </c>
      <c r="F2423" t="e">
        <f t="shared" ca="1" si="472"/>
        <v>#REF!</v>
      </c>
      <c r="G2423" t="e">
        <f t="shared" ca="1" si="463"/>
        <v>#REF!</v>
      </c>
      <c r="H2423" t="e">
        <f t="shared" ca="1" si="464"/>
        <v>#REF!</v>
      </c>
      <c r="I2423" t="e">
        <f t="shared" ca="1" si="465"/>
        <v>#REF!</v>
      </c>
      <c r="J2423" s="8" t="e">
        <f t="shared" ca="1" si="466"/>
        <v>#REF!</v>
      </c>
      <c r="K2423" s="9" t="e">
        <f t="shared" ca="1" si="467"/>
        <v>#REF!</v>
      </c>
      <c r="L2423" t="e">
        <f ca="1">+_xlfn.IFNA(VLOOKUP(M2423,BespokeWindowsAreas!$B$2:$E$1999,4,FALSE),VLOOKUP(E2423,WindowTypeArea!$B$2:$C$113,2,FALSE))</f>
        <v>#REF!</v>
      </c>
      <c r="M2423" t="e">
        <f t="shared" ca="1" si="468"/>
        <v>#REF!</v>
      </c>
    </row>
    <row r="2424" spans="1:13" x14ac:dyDescent="0.25">
      <c r="A2424">
        <f t="shared" ca="1" si="461"/>
        <v>10</v>
      </c>
      <c r="B2424">
        <f t="shared" ca="1" si="462"/>
        <v>1</v>
      </c>
      <c r="C2424" t="str">
        <f t="shared" ca="1" si="469"/>
        <v>'WINDOWS-NCH-A-BDP-M3-07-00'!B2</v>
      </c>
      <c r="D2424" s="6" t="e">
        <f t="shared" ca="1" si="470"/>
        <v>#REF!</v>
      </c>
      <c r="E2424" t="e">
        <f t="shared" ca="1" si="471"/>
        <v>#REF!</v>
      </c>
      <c r="F2424" t="e">
        <f t="shared" ca="1" si="472"/>
        <v>#REF!</v>
      </c>
      <c r="G2424" t="e">
        <f t="shared" ca="1" si="463"/>
        <v>#REF!</v>
      </c>
      <c r="H2424" t="e">
        <f t="shared" ca="1" si="464"/>
        <v>#REF!</v>
      </c>
      <c r="I2424" t="e">
        <f t="shared" ca="1" si="465"/>
        <v>#REF!</v>
      </c>
      <c r="J2424" s="8" t="e">
        <f t="shared" ca="1" si="466"/>
        <v>#REF!</v>
      </c>
      <c r="K2424" s="9" t="e">
        <f t="shared" ca="1" si="467"/>
        <v>#REF!</v>
      </c>
      <c r="L2424" t="e">
        <f ca="1">+_xlfn.IFNA(VLOOKUP(M2424,BespokeWindowsAreas!$B$2:$E$1999,4,FALSE),VLOOKUP(E2424,WindowTypeArea!$B$2:$C$113,2,FALSE))</f>
        <v>#REF!</v>
      </c>
      <c r="M2424" t="e">
        <f t="shared" ca="1" si="468"/>
        <v>#REF!</v>
      </c>
    </row>
    <row r="2425" spans="1:13" x14ac:dyDescent="0.25">
      <c r="A2425">
        <f t="shared" ca="1" si="461"/>
        <v>10</v>
      </c>
      <c r="B2425">
        <f t="shared" ca="1" si="462"/>
        <v>2</v>
      </c>
      <c r="C2425" t="str">
        <f t="shared" ca="1" si="469"/>
        <v>'WINDOWS-NCH-A-BDP-M3-B2-00'!B1</v>
      </c>
      <c r="D2425" s="6">
        <f t="shared" ca="1" si="470"/>
        <v>0</v>
      </c>
      <c r="E2425">
        <f t="shared" ca="1" si="471"/>
        <v>0</v>
      </c>
      <c r="F2425">
        <f t="shared" ca="1" si="472"/>
        <v>0</v>
      </c>
      <c r="G2425">
        <f t="shared" ca="1" si="463"/>
        <v>0</v>
      </c>
      <c r="H2425">
        <f t="shared" ca="1" si="464"/>
        <v>0</v>
      </c>
      <c r="I2425">
        <f t="shared" ca="1" si="465"/>
        <v>0</v>
      </c>
      <c r="J2425" s="8" t="e">
        <f t="shared" ca="1" si="466"/>
        <v>#DIV/0!</v>
      </c>
      <c r="K2425" s="9" t="e">
        <f t="shared" ca="1" si="467"/>
        <v>#DIV/0!</v>
      </c>
      <c r="L2425" t="e">
        <f ca="1">+_xlfn.IFNA(VLOOKUP(M2425,BespokeWindowsAreas!$B$2:$E$1999,4,FALSE),VLOOKUP(E2425,WindowTypeArea!$B$2:$C$113,2,FALSE))</f>
        <v>#N/A</v>
      </c>
      <c r="M2425">
        <f t="shared" ca="1" si="468"/>
        <v>0</v>
      </c>
    </row>
    <row r="2426" spans="1:13" x14ac:dyDescent="0.25">
      <c r="A2426">
        <f t="shared" ca="1" si="461"/>
        <v>10</v>
      </c>
      <c r="B2426">
        <f t="shared" ca="1" si="462"/>
        <v>3</v>
      </c>
      <c r="C2426" t="str">
        <f t="shared" ca="1" si="469"/>
        <v>'WINDOWS-NCH-A-BDP-M3-B2-00'!B2</v>
      </c>
      <c r="D2426" s="6" t="str">
        <f t="shared" ca="1" si="470"/>
        <v>B02-EAF-EWM-S115-01</v>
      </c>
      <c r="E2426" t="str">
        <f t="shared" ca="1" si="471"/>
        <v>B02-EAF-EWM-S115-01</v>
      </c>
      <c r="F2426">
        <f t="shared" ca="1" si="472"/>
        <v>1476939</v>
      </c>
      <c r="G2426">
        <f t="shared" ca="1" si="463"/>
        <v>0</v>
      </c>
      <c r="H2426">
        <f t="shared" ca="1" si="464"/>
        <v>0</v>
      </c>
      <c r="I2426">
        <f t="shared" ca="1" si="465"/>
        <v>0</v>
      </c>
      <c r="J2426" s="8" t="e">
        <f t="shared" ca="1" si="466"/>
        <v>#DIV/0!</v>
      </c>
      <c r="K2426" s="9" t="e">
        <f t="shared" ca="1" si="467"/>
        <v>#DIV/0!</v>
      </c>
      <c r="L2426" t="e">
        <f ca="1">+_xlfn.IFNA(VLOOKUP(M2426,BespokeWindowsAreas!$B$2:$E$1999,4,FALSE),VLOOKUP(E2426,WindowTypeArea!$B$2:$C$113,2,FALSE))</f>
        <v>#N/A</v>
      </c>
      <c r="M2426">
        <f t="shared" ca="1" si="468"/>
        <v>0</v>
      </c>
    </row>
    <row r="2427" spans="1:13" x14ac:dyDescent="0.25">
      <c r="A2427">
        <f t="shared" ca="1" si="461"/>
        <v>10</v>
      </c>
      <c r="B2427">
        <f t="shared" ca="1" si="462"/>
        <v>4</v>
      </c>
      <c r="C2427" t="str">
        <f t="shared" ca="1" si="469"/>
        <v>'WINDOWS-NCH-A-BDP-M3-B2-00'!B3</v>
      </c>
      <c r="D2427" s="6" t="str">
        <f t="shared" ca="1" si="470"/>
        <v>B02-EAF-EWM-S115-01</v>
      </c>
      <c r="E2427" t="str">
        <f t="shared" ca="1" si="471"/>
        <v>Family Type: 975w x 2300h, Family: Window External Type 1 - Recessed</v>
      </c>
      <c r="F2427" t="str">
        <f t="shared" ca="1" si="472"/>
        <v>Vector(X = 0.977, Y = 0.212, Z = 0.000, Length = 1.000)</v>
      </c>
      <c r="G2427">
        <f t="shared" ca="1" si="463"/>
        <v>1</v>
      </c>
      <c r="H2427">
        <f t="shared" ca="1" si="464"/>
        <v>0.2</v>
      </c>
      <c r="I2427">
        <f t="shared" ca="1" si="465"/>
        <v>0</v>
      </c>
      <c r="J2427" s="8">
        <f t="shared" ca="1" si="466"/>
        <v>11.309932474020215</v>
      </c>
      <c r="K2427" s="9" t="str">
        <f t="shared" ca="1" si="467"/>
        <v>E</v>
      </c>
      <c r="L2427">
        <f ca="1">+_xlfn.IFNA(VLOOKUP(M2427,BespokeWindowsAreas!$B$2:$E$1999,4,FALSE),VLOOKUP(E2427,WindowTypeArea!$B$2:$C$113,2,FALSE))</f>
        <v>2.2425000000000002</v>
      </c>
      <c r="M2427">
        <f t="shared" ca="1" si="468"/>
        <v>5584190</v>
      </c>
    </row>
    <row r="2428" spans="1:13" x14ac:dyDescent="0.25">
      <c r="A2428">
        <f t="shared" ca="1" si="461"/>
        <v>10</v>
      </c>
      <c r="B2428">
        <f t="shared" ca="1" si="462"/>
        <v>5</v>
      </c>
      <c r="C2428" t="str">
        <f t="shared" ca="1" si="469"/>
        <v>'WINDOWS-NCH-A-BDP-M3-B2-00'!B4</v>
      </c>
      <c r="D2428" s="6" t="str">
        <f t="shared" ca="1" si="470"/>
        <v>B02-EAF-EWM-S095-01</v>
      </c>
      <c r="E2428" t="str">
        <f t="shared" ca="1" si="471"/>
        <v>B02-EAF-EWM-S095-01</v>
      </c>
      <c r="F2428">
        <f t="shared" ca="1" si="472"/>
        <v>1476949</v>
      </c>
      <c r="G2428">
        <f t="shared" ca="1" si="463"/>
        <v>0</v>
      </c>
      <c r="H2428">
        <f t="shared" ca="1" si="464"/>
        <v>0</v>
      </c>
      <c r="I2428">
        <f t="shared" ca="1" si="465"/>
        <v>0</v>
      </c>
      <c r="J2428" s="8" t="e">
        <f t="shared" ca="1" si="466"/>
        <v>#DIV/0!</v>
      </c>
      <c r="K2428" s="9" t="e">
        <f t="shared" ca="1" si="467"/>
        <v>#DIV/0!</v>
      </c>
      <c r="L2428" t="e">
        <f ca="1">+_xlfn.IFNA(VLOOKUP(M2428,BespokeWindowsAreas!$B$2:$E$1999,4,FALSE),VLOOKUP(E2428,WindowTypeArea!$B$2:$C$113,2,FALSE))</f>
        <v>#N/A</v>
      </c>
      <c r="M2428">
        <f t="shared" ca="1" si="468"/>
        <v>0</v>
      </c>
    </row>
    <row r="2429" spans="1:13" x14ac:dyDescent="0.25">
      <c r="A2429">
        <f t="shared" ca="1" si="461"/>
        <v>10</v>
      </c>
      <c r="B2429">
        <f t="shared" ca="1" si="462"/>
        <v>6</v>
      </c>
      <c r="C2429" t="str">
        <f t="shared" ca="1" si="469"/>
        <v>'WINDOWS-NCH-A-BDP-M3-B2-00'!B5</v>
      </c>
      <c r="D2429" s="6" t="str">
        <f t="shared" ca="1" si="470"/>
        <v>B02-EAF-EWM-S095-01</v>
      </c>
      <c r="E2429" t="str">
        <f t="shared" ca="1" si="471"/>
        <v>Family Type: 1950w x 2300h, Family: Window External Type 1 - Recessed</v>
      </c>
      <c r="F2429" t="str">
        <f t="shared" ca="1" si="472"/>
        <v>Vector(X = 0.977, Y = 0.212, Z = 0.000, Length = 1.000)</v>
      </c>
      <c r="G2429">
        <f t="shared" ca="1" si="463"/>
        <v>1</v>
      </c>
      <c r="H2429">
        <f t="shared" ca="1" si="464"/>
        <v>0.2</v>
      </c>
      <c r="I2429">
        <f t="shared" ca="1" si="465"/>
        <v>0</v>
      </c>
      <c r="J2429" s="8">
        <f t="shared" ca="1" si="466"/>
        <v>11.309932474020215</v>
      </c>
      <c r="K2429" s="9" t="str">
        <f t="shared" ca="1" si="467"/>
        <v>E</v>
      </c>
      <c r="L2429">
        <f ca="1">+_xlfn.IFNA(VLOOKUP(M2429,BespokeWindowsAreas!$B$2:$E$1999,4,FALSE),VLOOKUP(E2429,WindowTypeArea!$B$2:$C$113,2,FALSE))</f>
        <v>4.4850000000000003</v>
      </c>
      <c r="M2429">
        <f t="shared" ca="1" si="468"/>
        <v>5583986</v>
      </c>
    </row>
    <row r="2430" spans="1:13" x14ac:dyDescent="0.25">
      <c r="A2430">
        <f t="shared" ca="1" si="461"/>
        <v>10</v>
      </c>
      <c r="B2430">
        <f t="shared" ca="1" si="462"/>
        <v>7</v>
      </c>
      <c r="C2430" t="str">
        <f t="shared" ca="1" si="469"/>
        <v>'WINDOWS-NCH-A-BDP-M3-B2-00'!B6</v>
      </c>
      <c r="D2430" s="6" t="str">
        <f t="shared" ca="1" si="470"/>
        <v>B02-EAF-TEC-U0841-01</v>
      </c>
      <c r="E2430" t="str">
        <f t="shared" ca="1" si="471"/>
        <v>B02-EAF-TEC-U0841-01</v>
      </c>
      <c r="F2430">
        <f t="shared" ca="1" si="472"/>
        <v>1638454</v>
      </c>
      <c r="G2430">
        <f t="shared" ca="1" si="463"/>
        <v>0</v>
      </c>
      <c r="H2430">
        <f t="shared" ca="1" si="464"/>
        <v>0</v>
      </c>
      <c r="I2430">
        <f t="shared" ca="1" si="465"/>
        <v>0</v>
      </c>
      <c r="J2430" s="8" t="e">
        <f t="shared" ca="1" si="466"/>
        <v>#DIV/0!</v>
      </c>
      <c r="K2430" s="9" t="e">
        <f t="shared" ca="1" si="467"/>
        <v>#DIV/0!</v>
      </c>
      <c r="L2430" t="e">
        <f ca="1">+_xlfn.IFNA(VLOOKUP(M2430,BespokeWindowsAreas!$B$2:$E$1999,4,FALSE),VLOOKUP(E2430,WindowTypeArea!$B$2:$C$113,2,FALSE))</f>
        <v>#N/A</v>
      </c>
      <c r="M2430">
        <f t="shared" ca="1" si="468"/>
        <v>0</v>
      </c>
    </row>
    <row r="2431" spans="1:13" x14ac:dyDescent="0.25">
      <c r="A2431">
        <f t="shared" ca="1" si="461"/>
        <v>10</v>
      </c>
      <c r="B2431">
        <f t="shared" ca="1" si="462"/>
        <v>8</v>
      </c>
      <c r="C2431" t="str">
        <f t="shared" ca="1" si="469"/>
        <v>'WINDOWS-NCH-A-BDP-M3-B2-00'!B7</v>
      </c>
      <c r="D2431" s="6" t="str">
        <f t="shared" ca="1" si="470"/>
        <v>B02-EAF-TEC-U0841-01</v>
      </c>
      <c r="E2431" t="str">
        <f t="shared" ca="1" si="471"/>
        <v>Family Type: 975w x 2300h, Family: Window External Type 1 - Recessed</v>
      </c>
      <c r="F2431" t="str">
        <f t="shared" ca="1" si="472"/>
        <v>Vector(X = 0.977, Y = 0.212, Z = 0.000, Length = 1.000)</v>
      </c>
      <c r="G2431">
        <f t="shared" ca="1" si="463"/>
        <v>1</v>
      </c>
      <c r="H2431">
        <f t="shared" ca="1" si="464"/>
        <v>0.2</v>
      </c>
      <c r="I2431">
        <f t="shared" ca="1" si="465"/>
        <v>0</v>
      </c>
      <c r="J2431" s="8">
        <f t="shared" ca="1" si="466"/>
        <v>11.309932474020215</v>
      </c>
      <c r="K2431" s="9" t="str">
        <f t="shared" ca="1" si="467"/>
        <v>E</v>
      </c>
      <c r="L2431">
        <f ca="1">+_xlfn.IFNA(VLOOKUP(M2431,BespokeWindowsAreas!$B$2:$E$1999,4,FALSE),VLOOKUP(E2431,WindowTypeArea!$B$2:$C$113,2,FALSE))</f>
        <v>2.2425000000000002</v>
      </c>
      <c r="M2431">
        <f t="shared" ca="1" si="468"/>
        <v>5586719</v>
      </c>
    </row>
    <row r="2432" spans="1:13" x14ac:dyDescent="0.25">
      <c r="A2432">
        <f t="shared" ca="1" si="461"/>
        <v>10</v>
      </c>
      <c r="B2432">
        <f t="shared" ca="1" si="462"/>
        <v>9</v>
      </c>
      <c r="C2432" t="str">
        <f t="shared" ca="1" si="469"/>
        <v>'WINDOWS-NCH-A-BDP-M3-B2-00'!B8</v>
      </c>
      <c r="D2432" s="6" t="str">
        <f t="shared" ca="1" si="470"/>
        <v>B02-EAF-TEC-U0841-01</v>
      </c>
      <c r="E2432" t="str">
        <f t="shared" ca="1" si="471"/>
        <v>Family Type: 975w x 2300h, Family: Window External Type 1 - Recessed</v>
      </c>
      <c r="F2432" t="str">
        <f t="shared" ca="1" si="472"/>
        <v>Vector(X = 0.977, Y = 0.212, Z = 0.000, Length = 1.000)</v>
      </c>
      <c r="G2432">
        <f t="shared" ca="1" si="463"/>
        <v>1</v>
      </c>
      <c r="H2432">
        <f t="shared" ca="1" si="464"/>
        <v>0.2</v>
      </c>
      <c r="I2432">
        <f t="shared" ca="1" si="465"/>
        <v>0</v>
      </c>
      <c r="J2432" s="8">
        <f t="shared" ca="1" si="466"/>
        <v>11.309932474020215</v>
      </c>
      <c r="K2432" s="9" t="str">
        <f t="shared" ca="1" si="467"/>
        <v>E</v>
      </c>
      <c r="L2432">
        <f ca="1">+_xlfn.IFNA(VLOOKUP(M2432,BespokeWindowsAreas!$B$2:$E$1999,4,FALSE),VLOOKUP(E2432,WindowTypeArea!$B$2:$C$113,2,FALSE))</f>
        <v>2.2425000000000002</v>
      </c>
      <c r="M2432">
        <f t="shared" ca="1" si="468"/>
        <v>5586750</v>
      </c>
    </row>
    <row r="2433" spans="1:13" x14ac:dyDescent="0.25">
      <c r="A2433">
        <f t="shared" ca="1" si="461"/>
        <v>10</v>
      </c>
      <c r="B2433">
        <f t="shared" ca="1" si="462"/>
        <v>10</v>
      </c>
      <c r="C2433" t="str">
        <f t="shared" ca="1" si="469"/>
        <v>'WINDOWS-NCH-A-BDP-M3-B2-00'!B9</v>
      </c>
      <c r="D2433" s="6" t="str">
        <f t="shared" ca="1" si="470"/>
        <v>B02-EAF-TEC-U0842-01</v>
      </c>
      <c r="E2433" t="str">
        <f t="shared" ca="1" si="471"/>
        <v>B02-EAF-TEC-U0842-01</v>
      </c>
      <c r="F2433">
        <f t="shared" ca="1" si="472"/>
        <v>1638455</v>
      </c>
      <c r="G2433">
        <f t="shared" ca="1" si="463"/>
        <v>0</v>
      </c>
      <c r="H2433">
        <f t="shared" ca="1" si="464"/>
        <v>0</v>
      </c>
      <c r="I2433">
        <f t="shared" ca="1" si="465"/>
        <v>0</v>
      </c>
      <c r="J2433" s="8" t="e">
        <f t="shared" ca="1" si="466"/>
        <v>#DIV/0!</v>
      </c>
      <c r="K2433" s="9" t="e">
        <f t="shared" ca="1" si="467"/>
        <v>#DIV/0!</v>
      </c>
      <c r="L2433" t="e">
        <f ca="1">+_xlfn.IFNA(VLOOKUP(M2433,BespokeWindowsAreas!$B$2:$E$1999,4,FALSE),VLOOKUP(E2433,WindowTypeArea!$B$2:$C$113,2,FALSE))</f>
        <v>#N/A</v>
      </c>
      <c r="M2433">
        <f t="shared" ca="1" si="468"/>
        <v>0</v>
      </c>
    </row>
    <row r="2434" spans="1:13" x14ac:dyDescent="0.25">
      <c r="A2434">
        <f t="shared" ca="1" si="461"/>
        <v>10</v>
      </c>
      <c r="B2434">
        <f t="shared" ca="1" si="462"/>
        <v>11</v>
      </c>
      <c r="C2434" t="str">
        <f t="shared" ca="1" si="469"/>
        <v>'WINDOWS-NCH-A-BDP-M3-B2-00'!B10</v>
      </c>
      <c r="D2434" s="6" t="str">
        <f t="shared" ca="1" si="470"/>
        <v>B02-EAF-TEC-U0842-01</v>
      </c>
      <c r="E2434" t="str">
        <f t="shared" ca="1" si="471"/>
        <v>Family Type: 975w x 2300h, Family: Window External Type 1 - Recessed</v>
      </c>
      <c r="F2434" t="str">
        <f t="shared" ca="1" si="472"/>
        <v>Vector(X = 0.977, Y = 0.212, Z = 0.000, Length = 1.000)</v>
      </c>
      <c r="G2434">
        <f t="shared" ca="1" si="463"/>
        <v>1</v>
      </c>
      <c r="H2434">
        <f t="shared" ca="1" si="464"/>
        <v>0.2</v>
      </c>
      <c r="I2434">
        <f t="shared" ca="1" si="465"/>
        <v>0</v>
      </c>
      <c r="J2434" s="8">
        <f t="shared" ca="1" si="466"/>
        <v>11.309932474020215</v>
      </c>
      <c r="K2434" s="9" t="str">
        <f t="shared" ca="1" si="467"/>
        <v>E</v>
      </c>
      <c r="L2434">
        <f ca="1">+_xlfn.IFNA(VLOOKUP(M2434,BespokeWindowsAreas!$B$2:$E$1999,4,FALSE),VLOOKUP(E2434,WindowTypeArea!$B$2:$C$113,2,FALSE))</f>
        <v>2.2425000000000002</v>
      </c>
      <c r="M2434">
        <f t="shared" ca="1" si="468"/>
        <v>5586789</v>
      </c>
    </row>
    <row r="2435" spans="1:13" x14ac:dyDescent="0.25">
      <c r="A2435">
        <f t="shared" ca="1" si="461"/>
        <v>10</v>
      </c>
      <c r="B2435">
        <f t="shared" ca="1" si="462"/>
        <v>12</v>
      </c>
      <c r="C2435" t="str">
        <f t="shared" ca="1" si="469"/>
        <v>'WINDOWS-NCH-A-BDP-M3-B2-00'!B11</v>
      </c>
      <c r="D2435" s="6" t="str">
        <f t="shared" ca="1" si="470"/>
        <v>B02-EAF-TEC-S115-01</v>
      </c>
      <c r="E2435" t="str">
        <f t="shared" ca="1" si="471"/>
        <v>B02-EAF-TEC-S115-01</v>
      </c>
      <c r="F2435">
        <f t="shared" ca="1" si="472"/>
        <v>1638461</v>
      </c>
      <c r="G2435">
        <f t="shared" ca="1" si="463"/>
        <v>0</v>
      </c>
      <c r="H2435">
        <f t="shared" ca="1" si="464"/>
        <v>0</v>
      </c>
      <c r="I2435">
        <f t="shared" ca="1" si="465"/>
        <v>0</v>
      </c>
      <c r="J2435" s="8" t="e">
        <f t="shared" ca="1" si="466"/>
        <v>#DIV/0!</v>
      </c>
      <c r="K2435" s="9" t="e">
        <f t="shared" ca="1" si="467"/>
        <v>#DIV/0!</v>
      </c>
      <c r="L2435" t="e">
        <f ca="1">+_xlfn.IFNA(VLOOKUP(M2435,BespokeWindowsAreas!$B$2:$E$1999,4,FALSE),VLOOKUP(E2435,WindowTypeArea!$B$2:$C$113,2,FALSE))</f>
        <v>#N/A</v>
      </c>
      <c r="M2435">
        <f t="shared" ca="1" si="468"/>
        <v>0</v>
      </c>
    </row>
    <row r="2436" spans="1:13" x14ac:dyDescent="0.25">
      <c r="A2436">
        <f t="shared" ca="1" si="461"/>
        <v>10</v>
      </c>
      <c r="B2436">
        <f t="shared" ca="1" si="462"/>
        <v>13</v>
      </c>
      <c r="C2436" t="str">
        <f t="shared" ca="1" si="469"/>
        <v>'WINDOWS-NCH-A-BDP-M3-B2-00'!B12</v>
      </c>
      <c r="D2436" s="6" t="str">
        <f t="shared" ca="1" si="470"/>
        <v>B02-EAF-TEC-S115-01</v>
      </c>
      <c r="E2436" t="str">
        <f t="shared" ca="1" si="471"/>
        <v>Family Type: 975w x 2300h, Family: Window External Type 1 - Recessed</v>
      </c>
      <c r="F2436" t="str">
        <f t="shared" ca="1" si="472"/>
        <v>Vector(X = 0.977, Y = 0.212, Z = 0.000, Length = 1.000)</v>
      </c>
      <c r="G2436">
        <f t="shared" ca="1" si="463"/>
        <v>1</v>
      </c>
      <c r="H2436">
        <f t="shared" ca="1" si="464"/>
        <v>0.2</v>
      </c>
      <c r="I2436">
        <f t="shared" ca="1" si="465"/>
        <v>0</v>
      </c>
      <c r="J2436" s="8">
        <f t="shared" ca="1" si="466"/>
        <v>11.309932474020215</v>
      </c>
      <c r="K2436" s="9" t="str">
        <f t="shared" ca="1" si="467"/>
        <v>E</v>
      </c>
      <c r="L2436">
        <f ca="1">+_xlfn.IFNA(VLOOKUP(M2436,BespokeWindowsAreas!$B$2:$E$1999,4,FALSE),VLOOKUP(E2436,WindowTypeArea!$B$2:$C$113,2,FALSE))</f>
        <v>2.2425000000000002</v>
      </c>
      <c r="M2436">
        <f t="shared" ca="1" si="468"/>
        <v>5586547</v>
      </c>
    </row>
    <row r="2437" spans="1:13" x14ac:dyDescent="0.25">
      <c r="A2437">
        <f t="shared" ca="1" si="461"/>
        <v>10</v>
      </c>
      <c r="B2437">
        <f t="shared" ca="1" si="462"/>
        <v>14</v>
      </c>
      <c r="C2437" t="str">
        <f t="shared" ca="1" si="469"/>
        <v>'WINDOWS-NCH-A-BDP-M3-B2-00'!B13</v>
      </c>
      <c r="D2437" s="6" t="str">
        <f t="shared" ca="1" si="470"/>
        <v>B02-EAF-TEC-S115-01</v>
      </c>
      <c r="E2437" t="str">
        <f t="shared" ca="1" si="471"/>
        <v>Family Type: 1950w x 2300h, Family: Window External Type 1 - Recessed</v>
      </c>
      <c r="F2437" t="str">
        <f t="shared" ca="1" si="472"/>
        <v>Vector(X = 0.977, Y = 0.212, Z = 0.000, Length = 1.000)</v>
      </c>
      <c r="G2437">
        <f t="shared" ca="1" si="463"/>
        <v>1</v>
      </c>
      <c r="H2437">
        <f t="shared" ca="1" si="464"/>
        <v>0.2</v>
      </c>
      <c r="I2437">
        <f t="shared" ca="1" si="465"/>
        <v>0</v>
      </c>
      <c r="J2437" s="8">
        <f t="shared" ca="1" si="466"/>
        <v>11.309932474020215</v>
      </c>
      <c r="K2437" s="9" t="str">
        <f t="shared" ca="1" si="467"/>
        <v>E</v>
      </c>
      <c r="L2437">
        <f ca="1">+_xlfn.IFNA(VLOOKUP(M2437,BespokeWindowsAreas!$B$2:$E$1999,4,FALSE),VLOOKUP(E2437,WindowTypeArea!$B$2:$C$113,2,FALSE))</f>
        <v>4.4850000000000003</v>
      </c>
      <c r="M2437">
        <f t="shared" ca="1" si="468"/>
        <v>5586595</v>
      </c>
    </row>
    <row r="2438" spans="1:13" x14ac:dyDescent="0.25">
      <c r="A2438">
        <f t="shared" ca="1" si="461"/>
        <v>10</v>
      </c>
      <c r="B2438">
        <f t="shared" ca="1" si="462"/>
        <v>15</v>
      </c>
      <c r="C2438" t="str">
        <f t="shared" ca="1" si="469"/>
        <v>'WINDOWS-NCH-A-BDP-M3-B2-00'!B14</v>
      </c>
      <c r="D2438" s="6" t="str">
        <f t="shared" ca="1" si="470"/>
        <v>B02-EAF-TEC-S115-01</v>
      </c>
      <c r="E2438" t="str">
        <f t="shared" ca="1" si="471"/>
        <v>Family Type: 975w x 2300h, Family: Window External Type 1 - Recessed</v>
      </c>
      <c r="F2438" t="str">
        <f t="shared" ca="1" si="472"/>
        <v>Vector(X = 0.977, Y = 0.212, Z = 0.000, Length = 1.000)</v>
      </c>
      <c r="G2438">
        <f t="shared" ca="1" si="463"/>
        <v>1</v>
      </c>
      <c r="H2438">
        <f t="shared" ca="1" si="464"/>
        <v>0.2</v>
      </c>
      <c r="I2438">
        <f t="shared" ca="1" si="465"/>
        <v>0</v>
      </c>
      <c r="J2438" s="8">
        <f t="shared" ca="1" si="466"/>
        <v>11.309932474020215</v>
      </c>
      <c r="K2438" s="9" t="str">
        <f t="shared" ca="1" si="467"/>
        <v>E</v>
      </c>
      <c r="L2438">
        <f ca="1">+_xlfn.IFNA(VLOOKUP(M2438,BespokeWindowsAreas!$B$2:$E$1999,4,FALSE),VLOOKUP(E2438,WindowTypeArea!$B$2:$C$113,2,FALSE))</f>
        <v>2.2425000000000002</v>
      </c>
      <c r="M2438">
        <f t="shared" ca="1" si="468"/>
        <v>5586685</v>
      </c>
    </row>
    <row r="2439" spans="1:13" x14ac:dyDescent="0.25">
      <c r="A2439">
        <f t="shared" ca="1" si="461"/>
        <v>10</v>
      </c>
      <c r="B2439">
        <f t="shared" ca="1" si="462"/>
        <v>16</v>
      </c>
      <c r="C2439" t="str">
        <f t="shared" ca="1" si="469"/>
        <v>'WINDOWS-NCH-A-BDP-M3-B2-00'!B15</v>
      </c>
      <c r="D2439" s="6" t="str">
        <f t="shared" ca="1" si="470"/>
        <v>B02-EAF-TEC-S115-13</v>
      </c>
      <c r="E2439" t="str">
        <f t="shared" ca="1" si="471"/>
        <v>B02-EAF-TEC-S115-13</v>
      </c>
      <c r="F2439">
        <f t="shared" ca="1" si="472"/>
        <v>1638462</v>
      </c>
      <c r="G2439">
        <f t="shared" ca="1" si="463"/>
        <v>0</v>
      </c>
      <c r="H2439">
        <f t="shared" ca="1" si="464"/>
        <v>0</v>
      </c>
      <c r="I2439">
        <f t="shared" ca="1" si="465"/>
        <v>0</v>
      </c>
      <c r="J2439" s="8" t="e">
        <f t="shared" ca="1" si="466"/>
        <v>#DIV/0!</v>
      </c>
      <c r="K2439" s="9" t="e">
        <f t="shared" ca="1" si="467"/>
        <v>#DIV/0!</v>
      </c>
      <c r="L2439" t="e">
        <f ca="1">+_xlfn.IFNA(VLOOKUP(M2439,BespokeWindowsAreas!$B$2:$E$1999,4,FALSE),VLOOKUP(E2439,WindowTypeArea!$B$2:$C$113,2,FALSE))</f>
        <v>#N/A</v>
      </c>
      <c r="M2439">
        <f t="shared" ca="1" si="468"/>
        <v>0</v>
      </c>
    </row>
    <row r="2440" spans="1:13" x14ac:dyDescent="0.25">
      <c r="A2440">
        <f t="shared" ca="1" si="461"/>
        <v>10</v>
      </c>
      <c r="B2440">
        <f t="shared" ca="1" si="462"/>
        <v>17</v>
      </c>
      <c r="C2440" t="str">
        <f t="shared" ca="1" si="469"/>
        <v>'WINDOWS-NCH-A-BDP-M3-B2-00'!B16</v>
      </c>
      <c r="D2440" s="6" t="str">
        <f t="shared" ca="1" si="470"/>
        <v>B02-EAF-TEC-S115-13</v>
      </c>
      <c r="E2440" t="str">
        <f t="shared" ca="1" si="471"/>
        <v>Family Type: 1950w x 2300h, Family: Window External Type 1 - Recessed</v>
      </c>
      <c r="F2440" t="str">
        <f t="shared" ca="1" si="472"/>
        <v>Vector(X = 0.977, Y = 0.212, Z = 0.000, Length = 1.000)</v>
      </c>
      <c r="G2440">
        <f t="shared" ca="1" si="463"/>
        <v>1</v>
      </c>
      <c r="H2440">
        <f t="shared" ca="1" si="464"/>
        <v>0.2</v>
      </c>
      <c r="I2440">
        <f t="shared" ca="1" si="465"/>
        <v>0</v>
      </c>
      <c r="J2440" s="8">
        <f t="shared" ca="1" si="466"/>
        <v>11.309932474020215</v>
      </c>
      <c r="K2440" s="9" t="str">
        <f t="shared" ca="1" si="467"/>
        <v>E</v>
      </c>
      <c r="L2440">
        <f ca="1">+_xlfn.IFNA(VLOOKUP(M2440,BespokeWindowsAreas!$B$2:$E$1999,4,FALSE),VLOOKUP(E2440,WindowTypeArea!$B$2:$C$113,2,FALSE))</f>
        <v>4.4850000000000003</v>
      </c>
      <c r="M2440">
        <f t="shared" ca="1" si="468"/>
        <v>5586451</v>
      </c>
    </row>
    <row r="2441" spans="1:13" x14ac:dyDescent="0.25">
      <c r="A2441">
        <f t="shared" ca="1" si="461"/>
        <v>10</v>
      </c>
      <c r="B2441">
        <f t="shared" ca="1" si="462"/>
        <v>18</v>
      </c>
      <c r="C2441" t="str">
        <f t="shared" ca="1" si="469"/>
        <v>'WINDOWS-NCH-A-BDP-M3-B2-00'!B17</v>
      </c>
      <c r="D2441" s="6" t="str">
        <f t="shared" ca="1" si="470"/>
        <v>B02-EAF-TEC-S115-13</v>
      </c>
      <c r="E2441" t="str">
        <f t="shared" ca="1" si="471"/>
        <v>Family Type: 975w x 2300h, Family: Window External Type 1 - Recessed</v>
      </c>
      <c r="F2441" t="str">
        <f t="shared" ca="1" si="472"/>
        <v>Vector(X = 0.977, Y = 0.212, Z = 0.000, Length = 1.000)</v>
      </c>
      <c r="G2441">
        <f t="shared" ca="1" si="463"/>
        <v>1</v>
      </c>
      <c r="H2441">
        <f t="shared" ca="1" si="464"/>
        <v>0.2</v>
      </c>
      <c r="I2441">
        <f t="shared" ca="1" si="465"/>
        <v>0</v>
      </c>
      <c r="J2441" s="8">
        <f t="shared" ca="1" si="466"/>
        <v>11.309932474020215</v>
      </c>
      <c r="K2441" s="9" t="str">
        <f t="shared" ca="1" si="467"/>
        <v>E</v>
      </c>
      <c r="L2441">
        <f ca="1">+_xlfn.IFNA(VLOOKUP(M2441,BespokeWindowsAreas!$B$2:$E$1999,4,FALSE),VLOOKUP(E2441,WindowTypeArea!$B$2:$C$113,2,FALSE))</f>
        <v>2.2425000000000002</v>
      </c>
      <c r="M2441">
        <f t="shared" ca="1" si="468"/>
        <v>5586505</v>
      </c>
    </row>
    <row r="2442" spans="1:13" x14ac:dyDescent="0.25">
      <c r="A2442">
        <f t="shared" ca="1" si="461"/>
        <v>10</v>
      </c>
      <c r="B2442">
        <f t="shared" ca="1" si="462"/>
        <v>19</v>
      </c>
      <c r="C2442" t="str">
        <f t="shared" ca="1" si="469"/>
        <v>'WINDOWS-NCH-A-BDP-M3-B2-00'!B18</v>
      </c>
      <c r="D2442" s="6" t="str">
        <f t="shared" ca="1" si="470"/>
        <v>B02-EAF-TEC-S115-19</v>
      </c>
      <c r="E2442" t="str">
        <f t="shared" ca="1" si="471"/>
        <v>B02-EAF-TEC-S115-19</v>
      </c>
      <c r="F2442">
        <f t="shared" ca="1" si="472"/>
        <v>1638463</v>
      </c>
      <c r="G2442">
        <f t="shared" ca="1" si="463"/>
        <v>0</v>
      </c>
      <c r="H2442">
        <f t="shared" ca="1" si="464"/>
        <v>0</v>
      </c>
      <c r="I2442">
        <f t="shared" ca="1" si="465"/>
        <v>0</v>
      </c>
      <c r="J2442" s="8" t="e">
        <f t="shared" ca="1" si="466"/>
        <v>#DIV/0!</v>
      </c>
      <c r="K2442" s="9" t="e">
        <f t="shared" ca="1" si="467"/>
        <v>#DIV/0!</v>
      </c>
      <c r="L2442" t="e">
        <f ca="1">+_xlfn.IFNA(VLOOKUP(M2442,BespokeWindowsAreas!$B$2:$E$1999,4,FALSE),VLOOKUP(E2442,WindowTypeArea!$B$2:$C$113,2,FALSE))</f>
        <v>#N/A</v>
      </c>
      <c r="M2442">
        <f t="shared" ca="1" si="468"/>
        <v>0</v>
      </c>
    </row>
    <row r="2443" spans="1:13" x14ac:dyDescent="0.25">
      <c r="A2443">
        <f t="shared" ca="1" si="461"/>
        <v>10</v>
      </c>
      <c r="B2443">
        <f t="shared" ca="1" si="462"/>
        <v>20</v>
      </c>
      <c r="C2443" t="str">
        <f t="shared" ca="1" si="469"/>
        <v>'WINDOWS-NCH-A-BDP-M3-B2-00'!B19</v>
      </c>
      <c r="D2443" s="6" t="str">
        <f t="shared" ca="1" si="470"/>
        <v>B02-EAF-TEC-S115-19</v>
      </c>
      <c r="E2443" t="str">
        <f t="shared" ca="1" si="471"/>
        <v>Family Type: 975w x 2300h, Family: Window External Type 1 - Recessed</v>
      </c>
      <c r="F2443" t="str">
        <f t="shared" ca="1" si="472"/>
        <v>Vector(X = 0.977, Y = 0.212, Z = 0.000, Length = 1.000)</v>
      </c>
      <c r="G2443">
        <f t="shared" ca="1" si="463"/>
        <v>1</v>
      </c>
      <c r="H2443">
        <f t="shared" ca="1" si="464"/>
        <v>0.2</v>
      </c>
      <c r="I2443">
        <f t="shared" ca="1" si="465"/>
        <v>0</v>
      </c>
      <c r="J2443" s="8">
        <f t="shared" ca="1" si="466"/>
        <v>11.309932474020215</v>
      </c>
      <c r="K2443" s="9" t="str">
        <f t="shared" ca="1" si="467"/>
        <v>E</v>
      </c>
      <c r="L2443">
        <f ca="1">+_xlfn.IFNA(VLOOKUP(M2443,BespokeWindowsAreas!$B$2:$E$1999,4,FALSE),VLOOKUP(E2443,WindowTypeArea!$B$2:$C$113,2,FALSE))</f>
        <v>2.2425000000000002</v>
      </c>
      <c r="M2443">
        <f t="shared" ca="1" si="468"/>
        <v>5586363</v>
      </c>
    </row>
    <row r="2444" spans="1:13" x14ac:dyDescent="0.25">
      <c r="A2444">
        <f t="shared" ca="1" si="461"/>
        <v>10</v>
      </c>
      <c r="B2444">
        <f t="shared" ca="1" si="462"/>
        <v>21</v>
      </c>
      <c r="C2444" t="str">
        <f t="shared" ca="1" si="469"/>
        <v>'WINDOWS-NCH-A-BDP-M3-B2-00'!B20</v>
      </c>
      <c r="D2444" s="6" t="str">
        <f t="shared" ca="1" si="470"/>
        <v>B02-EAF-TEC-S115-22</v>
      </c>
      <c r="E2444" t="str">
        <f t="shared" ca="1" si="471"/>
        <v>B02-EAF-TEC-S115-22</v>
      </c>
      <c r="F2444">
        <f t="shared" ca="1" si="472"/>
        <v>1638466</v>
      </c>
      <c r="G2444">
        <f t="shared" ca="1" si="463"/>
        <v>0</v>
      </c>
      <c r="H2444">
        <f t="shared" ca="1" si="464"/>
        <v>0</v>
      </c>
      <c r="I2444">
        <f t="shared" ca="1" si="465"/>
        <v>0</v>
      </c>
      <c r="J2444" s="8" t="e">
        <f t="shared" ca="1" si="466"/>
        <v>#DIV/0!</v>
      </c>
      <c r="K2444" s="9" t="e">
        <f t="shared" ca="1" si="467"/>
        <v>#DIV/0!</v>
      </c>
      <c r="L2444" t="e">
        <f ca="1">+_xlfn.IFNA(VLOOKUP(M2444,BespokeWindowsAreas!$B$2:$E$1999,4,FALSE),VLOOKUP(E2444,WindowTypeArea!$B$2:$C$113,2,FALSE))</f>
        <v>#N/A</v>
      </c>
      <c r="M2444">
        <f t="shared" ca="1" si="468"/>
        <v>0</v>
      </c>
    </row>
    <row r="2445" spans="1:13" x14ac:dyDescent="0.25">
      <c r="A2445">
        <f t="shared" ca="1" si="461"/>
        <v>10</v>
      </c>
      <c r="B2445">
        <f t="shared" ca="1" si="462"/>
        <v>22</v>
      </c>
      <c r="C2445" t="str">
        <f t="shared" ca="1" si="469"/>
        <v>'WINDOWS-NCH-A-BDP-M3-B2-00'!B21</v>
      </c>
      <c r="D2445" s="6" t="str">
        <f t="shared" ca="1" si="470"/>
        <v>B02-EAF-TEC-S115-22</v>
      </c>
      <c r="E2445" t="str">
        <f t="shared" ca="1" si="471"/>
        <v>Family Type: 975w x 2300h, Family: Window External Type 1 - Recessed</v>
      </c>
      <c r="F2445" t="str">
        <f t="shared" ca="1" si="472"/>
        <v>Vector(X = 0.977, Y = 0.212, Z = 0.000, Length = 1.000)</v>
      </c>
      <c r="G2445">
        <f t="shared" ca="1" si="463"/>
        <v>1</v>
      </c>
      <c r="H2445">
        <f t="shared" ca="1" si="464"/>
        <v>0.2</v>
      </c>
      <c r="I2445">
        <f t="shared" ca="1" si="465"/>
        <v>0</v>
      </c>
      <c r="J2445" s="8">
        <f t="shared" ca="1" si="466"/>
        <v>11.309932474020215</v>
      </c>
      <c r="K2445" s="9" t="str">
        <f t="shared" ca="1" si="467"/>
        <v>E</v>
      </c>
      <c r="L2445">
        <f ca="1">+_xlfn.IFNA(VLOOKUP(M2445,BespokeWindowsAreas!$B$2:$E$1999,4,FALSE),VLOOKUP(E2445,WindowTypeArea!$B$2:$C$113,2,FALSE))</f>
        <v>2.2425000000000002</v>
      </c>
      <c r="M2445">
        <f t="shared" ca="1" si="468"/>
        <v>5586403</v>
      </c>
    </row>
    <row r="2446" spans="1:13" x14ac:dyDescent="0.25">
      <c r="A2446">
        <f t="shared" ca="1" si="461"/>
        <v>10</v>
      </c>
      <c r="B2446">
        <f t="shared" ca="1" si="462"/>
        <v>23</v>
      </c>
      <c r="C2446" t="str">
        <f t="shared" ca="1" si="469"/>
        <v>'WINDOWS-NCH-A-BDP-M3-B2-00'!B22</v>
      </c>
      <c r="D2446" s="6" t="str">
        <f t="shared" ca="1" si="470"/>
        <v>B02-EAF-TEC-S063-01</v>
      </c>
      <c r="E2446" t="str">
        <f t="shared" ca="1" si="471"/>
        <v>B02-EAF-TEC-S063-01</v>
      </c>
      <c r="F2446">
        <f t="shared" ca="1" si="472"/>
        <v>1638467</v>
      </c>
      <c r="G2446">
        <f t="shared" ca="1" si="463"/>
        <v>0</v>
      </c>
      <c r="H2446">
        <f t="shared" ca="1" si="464"/>
        <v>0</v>
      </c>
      <c r="I2446">
        <f t="shared" ca="1" si="465"/>
        <v>0</v>
      </c>
      <c r="J2446" s="8" t="e">
        <f t="shared" ca="1" si="466"/>
        <v>#DIV/0!</v>
      </c>
      <c r="K2446" s="9" t="e">
        <f t="shared" ca="1" si="467"/>
        <v>#DIV/0!</v>
      </c>
      <c r="L2446" t="e">
        <f ca="1">+_xlfn.IFNA(VLOOKUP(M2446,BespokeWindowsAreas!$B$2:$E$1999,4,FALSE),VLOOKUP(E2446,WindowTypeArea!$B$2:$C$113,2,FALSE))</f>
        <v>#N/A</v>
      </c>
      <c r="M2446">
        <f t="shared" ca="1" si="468"/>
        <v>0</v>
      </c>
    </row>
    <row r="2447" spans="1:13" x14ac:dyDescent="0.25">
      <c r="A2447">
        <f t="shared" ca="1" si="461"/>
        <v>10</v>
      </c>
      <c r="B2447">
        <f t="shared" ca="1" si="462"/>
        <v>24</v>
      </c>
      <c r="C2447" t="str">
        <f t="shared" ca="1" si="469"/>
        <v>'WINDOWS-NCH-A-BDP-M3-B2-00'!B23</v>
      </c>
      <c r="D2447" s="6" t="str">
        <f t="shared" ca="1" si="470"/>
        <v>B02-EAF-TEC-S063-01</v>
      </c>
      <c r="E2447" t="str">
        <f t="shared" ca="1" si="471"/>
        <v>Family Type: 1950w x 2300h, Family: Window External Type 1 - Recessed</v>
      </c>
      <c r="F2447" t="str">
        <f t="shared" ca="1" si="472"/>
        <v>Vector(X = 0.977, Y = 0.212, Z = 0.000, Length = 1.000)</v>
      </c>
      <c r="G2447">
        <f t="shared" ca="1" si="463"/>
        <v>1</v>
      </c>
      <c r="H2447">
        <f t="shared" ca="1" si="464"/>
        <v>0.2</v>
      </c>
      <c r="I2447">
        <f t="shared" ca="1" si="465"/>
        <v>0</v>
      </c>
      <c r="J2447" s="8">
        <f t="shared" ca="1" si="466"/>
        <v>11.309932474020215</v>
      </c>
      <c r="K2447" s="9" t="str">
        <f t="shared" ca="1" si="467"/>
        <v>E</v>
      </c>
      <c r="L2447">
        <f ca="1">+_xlfn.IFNA(VLOOKUP(M2447,BespokeWindowsAreas!$B$2:$E$1999,4,FALSE),VLOOKUP(E2447,WindowTypeArea!$B$2:$C$113,2,FALSE))</f>
        <v>4.4850000000000003</v>
      </c>
      <c r="M2447">
        <f t="shared" ca="1" si="468"/>
        <v>5586331</v>
      </c>
    </row>
    <row r="2448" spans="1:13" x14ac:dyDescent="0.25">
      <c r="A2448">
        <f t="shared" ca="1" si="461"/>
        <v>10</v>
      </c>
      <c r="B2448">
        <f t="shared" ca="1" si="462"/>
        <v>25</v>
      </c>
      <c r="C2448" t="str">
        <f t="shared" ca="1" si="469"/>
        <v>'WINDOWS-NCH-A-BDP-M3-B2-00'!B24</v>
      </c>
      <c r="D2448" s="6" t="str">
        <f t="shared" ca="1" si="470"/>
        <v>B02-EAF-TEC-S095-01</v>
      </c>
      <c r="E2448" t="str">
        <f t="shared" ca="1" si="471"/>
        <v>B02-EAF-TEC-S095-01</v>
      </c>
      <c r="F2448">
        <f t="shared" ca="1" si="472"/>
        <v>1638468</v>
      </c>
      <c r="G2448">
        <f t="shared" ca="1" si="463"/>
        <v>0</v>
      </c>
      <c r="H2448">
        <f t="shared" ca="1" si="464"/>
        <v>0</v>
      </c>
      <c r="I2448">
        <f t="shared" ca="1" si="465"/>
        <v>0</v>
      </c>
      <c r="J2448" s="8" t="e">
        <f t="shared" ca="1" si="466"/>
        <v>#DIV/0!</v>
      </c>
      <c r="K2448" s="9" t="e">
        <f t="shared" ca="1" si="467"/>
        <v>#DIV/0!</v>
      </c>
      <c r="L2448" t="e">
        <f ca="1">+_xlfn.IFNA(VLOOKUP(M2448,BespokeWindowsAreas!$B$2:$E$1999,4,FALSE),VLOOKUP(E2448,WindowTypeArea!$B$2:$C$113,2,FALSE))</f>
        <v>#N/A</v>
      </c>
      <c r="M2448">
        <f t="shared" ca="1" si="468"/>
        <v>0</v>
      </c>
    </row>
    <row r="2449" spans="1:13" x14ac:dyDescent="0.25">
      <c r="A2449">
        <f t="shared" ca="1" si="461"/>
        <v>10</v>
      </c>
      <c r="B2449">
        <f t="shared" ca="1" si="462"/>
        <v>26</v>
      </c>
      <c r="C2449" t="str">
        <f t="shared" ca="1" si="469"/>
        <v>'WINDOWS-NCH-A-BDP-M3-B2-00'!B25</v>
      </c>
      <c r="D2449" s="6" t="str">
        <f t="shared" ca="1" si="470"/>
        <v>B02-EAF-TEC-S095-01</v>
      </c>
      <c r="E2449" t="str">
        <f t="shared" ca="1" si="471"/>
        <v>Family Type: 975w x 2300h, Family: Window External Type 1 - Recessed</v>
      </c>
      <c r="F2449" t="str">
        <f t="shared" ca="1" si="472"/>
        <v>Vector(X = 0.977, Y = 0.212, Z = 0.000, Length = 1.000)</v>
      </c>
      <c r="G2449">
        <f t="shared" ca="1" si="463"/>
        <v>1</v>
      </c>
      <c r="H2449">
        <f t="shared" ca="1" si="464"/>
        <v>0.2</v>
      </c>
      <c r="I2449">
        <f t="shared" ca="1" si="465"/>
        <v>0</v>
      </c>
      <c r="J2449" s="8">
        <f t="shared" ca="1" si="466"/>
        <v>11.309932474020215</v>
      </c>
      <c r="K2449" s="9" t="str">
        <f t="shared" ca="1" si="467"/>
        <v>E</v>
      </c>
      <c r="L2449">
        <f ca="1">+_xlfn.IFNA(VLOOKUP(M2449,BespokeWindowsAreas!$B$2:$E$1999,4,FALSE),VLOOKUP(E2449,WindowTypeArea!$B$2:$C$113,2,FALSE))</f>
        <v>2.2425000000000002</v>
      </c>
      <c r="M2449">
        <f t="shared" ca="1" si="468"/>
        <v>5586330</v>
      </c>
    </row>
    <row r="2450" spans="1:13" x14ac:dyDescent="0.25">
      <c r="A2450">
        <f t="shared" ca="1" si="461"/>
        <v>10</v>
      </c>
      <c r="B2450">
        <f t="shared" ca="1" si="462"/>
        <v>27</v>
      </c>
      <c r="C2450" t="str">
        <f t="shared" ca="1" si="469"/>
        <v>'WINDOWS-NCH-A-BDP-M3-B2-00'!B26</v>
      </c>
      <c r="D2450" s="6" t="str">
        <f t="shared" ca="1" si="470"/>
        <v>B02-PLA-PLA-U1690-01</v>
      </c>
      <c r="E2450" t="str">
        <f t="shared" ca="1" si="471"/>
        <v>B02-PLA-PLA-U1690-01</v>
      </c>
      <c r="F2450">
        <f t="shared" ca="1" si="472"/>
        <v>1860861</v>
      </c>
      <c r="G2450">
        <f t="shared" ca="1" si="463"/>
        <v>0</v>
      </c>
      <c r="H2450">
        <f t="shared" ca="1" si="464"/>
        <v>0</v>
      </c>
      <c r="I2450">
        <f t="shared" ca="1" si="465"/>
        <v>0</v>
      </c>
      <c r="J2450" s="8" t="e">
        <f t="shared" ca="1" si="466"/>
        <v>#DIV/0!</v>
      </c>
      <c r="K2450" s="9" t="e">
        <f t="shared" ca="1" si="467"/>
        <v>#DIV/0!</v>
      </c>
      <c r="L2450" t="e">
        <f ca="1">+_xlfn.IFNA(VLOOKUP(M2450,BespokeWindowsAreas!$B$2:$E$1999,4,FALSE),VLOOKUP(E2450,WindowTypeArea!$B$2:$C$113,2,FALSE))</f>
        <v>#N/A</v>
      </c>
      <c r="M2450">
        <f t="shared" ca="1" si="468"/>
        <v>0</v>
      </c>
    </row>
    <row r="2451" spans="1:13" x14ac:dyDescent="0.25">
      <c r="A2451">
        <f t="shared" ca="1" si="461"/>
        <v>11</v>
      </c>
      <c r="B2451">
        <f t="shared" ca="1" si="462"/>
        <v>1</v>
      </c>
      <c r="C2451" t="str">
        <f t="shared" ca="1" si="469"/>
        <v>'WINDOWS-NCH-A-BDP-M3-B2-00'!B27</v>
      </c>
      <c r="D2451" s="6" t="str">
        <f t="shared" ca="1" si="470"/>
        <v>B02-PLA-PLA-U1690-01</v>
      </c>
      <c r="E2451" t="str">
        <f t="shared" ca="1" si="471"/>
        <v>Family Type: 975w x 2300h, Family: Window External Type 1 - Recessed</v>
      </c>
      <c r="F2451" t="str">
        <f t="shared" ca="1" si="472"/>
        <v>Vector(X = 0.977, Y = 0.212, Z = 0.000, Length = 1.000)</v>
      </c>
      <c r="G2451">
        <f t="shared" ca="1" si="463"/>
        <v>1</v>
      </c>
      <c r="H2451">
        <f t="shared" ca="1" si="464"/>
        <v>0.2</v>
      </c>
      <c r="I2451">
        <f t="shared" ca="1" si="465"/>
        <v>0</v>
      </c>
      <c r="J2451" s="8">
        <f t="shared" ca="1" si="466"/>
        <v>11.309932474020215</v>
      </c>
      <c r="K2451" s="9" t="str">
        <f t="shared" ca="1" si="467"/>
        <v>E</v>
      </c>
      <c r="L2451">
        <f ca="1">+_xlfn.IFNA(VLOOKUP(M2451,BespokeWindowsAreas!$B$2:$E$1999,4,FALSE),VLOOKUP(E2451,WindowTypeArea!$B$2:$C$113,2,FALSE))</f>
        <v>2.2425000000000002</v>
      </c>
      <c r="M2451">
        <f t="shared" ca="1" si="468"/>
        <v>5583715</v>
      </c>
    </row>
    <row r="2452" spans="1:13" x14ac:dyDescent="0.25">
      <c r="A2452">
        <f t="shared" ref="A2452:A2515" ca="1" si="473">+IF(B2451&lt;=VLOOKUP(MID(C2452,2,26),TABS,2,FALSE),A2451,+A2451+1)</f>
        <v>11</v>
      </c>
      <c r="B2452">
        <f t="shared" ref="B2452:B2515" ca="1" si="474">+IF(B2451&lt;=VLOOKUP(MID(C2452,2,26),TABS,2,FALSE),B2451+1,1)</f>
        <v>2</v>
      </c>
      <c r="C2452" t="str">
        <f t="shared" ca="1" si="469"/>
        <v>'WINDOWS-NCH-A-BDP-M3-B1-00'!B1</v>
      </c>
      <c r="D2452" s="6">
        <f t="shared" ca="1" si="470"/>
        <v>0</v>
      </c>
      <c r="E2452">
        <f t="shared" ca="1" si="471"/>
        <v>0</v>
      </c>
      <c r="F2452">
        <f t="shared" ca="1" si="472"/>
        <v>0</v>
      </c>
      <c r="G2452">
        <f t="shared" ca="1" si="463"/>
        <v>0</v>
      </c>
      <c r="H2452">
        <f t="shared" ca="1" si="464"/>
        <v>0</v>
      </c>
      <c r="I2452">
        <f t="shared" ca="1" si="465"/>
        <v>0</v>
      </c>
      <c r="J2452" s="8" t="e">
        <f t="shared" ca="1" si="466"/>
        <v>#DIV/0!</v>
      </c>
      <c r="K2452" s="9" t="e">
        <f t="shared" ca="1" si="467"/>
        <v>#DIV/0!</v>
      </c>
      <c r="L2452" t="e">
        <f ca="1">+_xlfn.IFNA(VLOOKUP(M2452,BespokeWindowsAreas!$B$2:$E$1999,4,FALSE),VLOOKUP(E2452,WindowTypeArea!$B$2:$C$113,2,FALSE))</f>
        <v>#N/A</v>
      </c>
      <c r="M2452">
        <f t="shared" ca="1" si="468"/>
        <v>0</v>
      </c>
    </row>
    <row r="2453" spans="1:13" x14ac:dyDescent="0.25">
      <c r="A2453">
        <f t="shared" ca="1" si="473"/>
        <v>11</v>
      </c>
      <c r="B2453">
        <f t="shared" ca="1" si="474"/>
        <v>3</v>
      </c>
      <c r="C2453" t="str">
        <f t="shared" ca="1" si="469"/>
        <v>'WINDOWS-NCH-A-BDP-M3-B1-00'!B2</v>
      </c>
      <c r="D2453" s="6">
        <f t="shared" ca="1" si="470"/>
        <v>1052</v>
      </c>
      <c r="E2453">
        <f t="shared" ca="1" si="471"/>
        <v>1052</v>
      </c>
      <c r="F2453">
        <f t="shared" ca="1" si="472"/>
        <v>1330373</v>
      </c>
      <c r="G2453">
        <f t="shared" ca="1" si="463"/>
        <v>0</v>
      </c>
      <c r="H2453">
        <f t="shared" ca="1" si="464"/>
        <v>0</v>
      </c>
      <c r="I2453">
        <f t="shared" ca="1" si="465"/>
        <v>0</v>
      </c>
      <c r="J2453" s="8" t="e">
        <f t="shared" ca="1" si="466"/>
        <v>#DIV/0!</v>
      </c>
      <c r="K2453" s="9" t="e">
        <f t="shared" ca="1" si="467"/>
        <v>#DIV/0!</v>
      </c>
      <c r="L2453" t="e">
        <f ca="1">+_xlfn.IFNA(VLOOKUP(M2453,BespokeWindowsAreas!$B$2:$E$1999,4,FALSE),VLOOKUP(E2453,WindowTypeArea!$B$2:$C$113,2,FALSE))</f>
        <v>#N/A</v>
      </c>
      <c r="M2453">
        <f t="shared" ca="1" si="468"/>
        <v>0</v>
      </c>
    </row>
    <row r="2454" spans="1:13" x14ac:dyDescent="0.25">
      <c r="A2454">
        <f t="shared" ca="1" si="473"/>
        <v>11</v>
      </c>
      <c r="B2454">
        <f t="shared" ca="1" si="474"/>
        <v>4</v>
      </c>
      <c r="C2454" t="str">
        <f t="shared" ca="1" si="469"/>
        <v>'WINDOWS-NCH-A-BDP-M3-B1-00'!B3</v>
      </c>
      <c r="D2454" s="6">
        <f t="shared" ca="1" si="470"/>
        <v>1052</v>
      </c>
      <c r="E2454" t="str">
        <f t="shared" ca="1" si="471"/>
        <v>Family Type: 975w x 2300h, Family: Window External Type 1 - Recessed</v>
      </c>
      <c r="F2454" t="str">
        <f t="shared" ca="1" si="472"/>
        <v>Vector(X = 0.977, Y = 0.212, Z = 0.000, Length = 1.000)</v>
      </c>
      <c r="G2454">
        <f t="shared" ref="G2454:G2504" ca="1" si="475">+OFFSET(INDIRECT(C2454),0,2)</f>
        <v>1</v>
      </c>
      <c r="H2454">
        <f t="shared" ref="H2454:H2504" ca="1" si="476">+OFFSET(INDIRECT(C2454),0,3)</f>
        <v>0.2</v>
      </c>
      <c r="I2454">
        <f t="shared" ref="I2454:I2504" ca="1" si="477">+OFFSET(INDIRECT(C2454),0,4)</f>
        <v>0</v>
      </c>
      <c r="J2454" s="8">
        <f t="shared" ref="J2454:J2504" ca="1" si="478">+DEGREES(ATAN2(G2454,H2454))</f>
        <v>11.309932474020215</v>
      </c>
      <c r="K2454" s="9" t="str">
        <f t="shared" ref="K2454:K2504" ca="1" si="479">VLOOKUP(J2454,$O$20:$P$36,2,-1)</f>
        <v>E</v>
      </c>
      <c r="L2454">
        <f ca="1">+_xlfn.IFNA(VLOOKUP(M2454,BespokeWindowsAreas!$B$2:$E$1999,4,FALSE),VLOOKUP(E2454,WindowTypeArea!$B$2:$C$113,2,FALSE))</f>
        <v>2.2425000000000002</v>
      </c>
      <c r="M2454">
        <f t="shared" ref="M2454:M2517" ca="1" si="480">+OFFSET(INDIRECT(C2454),0,5)</f>
        <v>5584900</v>
      </c>
    </row>
    <row r="2455" spans="1:13" x14ac:dyDescent="0.25">
      <c r="A2455">
        <f t="shared" ca="1" si="473"/>
        <v>11</v>
      </c>
      <c r="B2455">
        <f t="shared" ca="1" si="474"/>
        <v>5</v>
      </c>
      <c r="C2455" t="str">
        <f t="shared" ca="1" si="469"/>
        <v>'WINDOWS-NCH-A-BDP-M3-B1-00'!B4</v>
      </c>
      <c r="D2455" s="6">
        <f t="shared" ca="1" si="470"/>
        <v>1052</v>
      </c>
      <c r="E2455" t="str">
        <f t="shared" ca="1" si="471"/>
        <v>Family Type: 975w x 2300h, Family: Window External Type 1 - Recessed</v>
      </c>
      <c r="F2455" t="str">
        <f t="shared" ca="1" si="472"/>
        <v>Vector(X = 0.977, Y = 0.212, Z = 0.000, Length = 1.000)</v>
      </c>
      <c r="G2455">
        <f t="shared" ca="1" si="475"/>
        <v>1</v>
      </c>
      <c r="H2455">
        <f t="shared" ca="1" si="476"/>
        <v>0.2</v>
      </c>
      <c r="I2455">
        <f t="shared" ca="1" si="477"/>
        <v>0</v>
      </c>
      <c r="J2455" s="8">
        <f t="shared" ca="1" si="478"/>
        <v>11.309932474020215</v>
      </c>
      <c r="K2455" s="9" t="str">
        <f t="shared" ca="1" si="479"/>
        <v>E</v>
      </c>
      <c r="L2455">
        <f ca="1">+_xlfn.IFNA(VLOOKUP(M2455,BespokeWindowsAreas!$B$2:$E$1999,4,FALSE),VLOOKUP(E2455,WindowTypeArea!$B$2:$C$113,2,FALSE))</f>
        <v>2.2425000000000002</v>
      </c>
      <c r="M2455">
        <f t="shared" ca="1" si="480"/>
        <v>5585041</v>
      </c>
    </row>
    <row r="2456" spans="1:13" x14ac:dyDescent="0.25">
      <c r="A2456">
        <f t="shared" ca="1" si="473"/>
        <v>11</v>
      </c>
      <c r="B2456">
        <f t="shared" ca="1" si="474"/>
        <v>6</v>
      </c>
      <c r="C2456" t="str">
        <f t="shared" ca="1" si="469"/>
        <v>'WINDOWS-NCH-A-BDP-M3-B1-00'!B5</v>
      </c>
      <c r="D2456" s="6">
        <f t="shared" ca="1" si="470"/>
        <v>1052</v>
      </c>
      <c r="E2456" t="str">
        <f t="shared" ca="1" si="471"/>
        <v>Family Type: 975w x 2300h, Family: Window External Type 1 - Recessed</v>
      </c>
      <c r="F2456" t="str">
        <f t="shared" ca="1" si="472"/>
        <v>Vector(X = 0.977, Y = 0.212, Z = 0.000, Length = 1.000)</v>
      </c>
      <c r="G2456">
        <f t="shared" ca="1" si="475"/>
        <v>1</v>
      </c>
      <c r="H2456">
        <f t="shared" ca="1" si="476"/>
        <v>0.2</v>
      </c>
      <c r="I2456">
        <f t="shared" ca="1" si="477"/>
        <v>0</v>
      </c>
      <c r="J2456" s="8">
        <f t="shared" ca="1" si="478"/>
        <v>11.309932474020215</v>
      </c>
      <c r="K2456" s="9" t="str">
        <f t="shared" ca="1" si="479"/>
        <v>E</v>
      </c>
      <c r="L2456">
        <f ca="1">+_xlfn.IFNA(VLOOKUP(M2456,BespokeWindowsAreas!$B$2:$E$1999,4,FALSE),VLOOKUP(E2456,WindowTypeArea!$B$2:$C$113,2,FALSE))</f>
        <v>2.2425000000000002</v>
      </c>
      <c r="M2456">
        <f t="shared" ca="1" si="480"/>
        <v>5585194</v>
      </c>
    </row>
    <row r="2457" spans="1:13" x14ac:dyDescent="0.25">
      <c r="A2457">
        <f t="shared" ca="1" si="473"/>
        <v>11</v>
      </c>
      <c r="B2457">
        <f t="shared" ca="1" si="474"/>
        <v>7</v>
      </c>
      <c r="C2457" t="str">
        <f t="shared" ca="1" si="469"/>
        <v>'WINDOWS-NCH-A-BDP-M3-B1-00'!B6</v>
      </c>
      <c r="D2457" s="6">
        <f t="shared" ca="1" si="470"/>
        <v>1052</v>
      </c>
      <c r="E2457" t="str">
        <f t="shared" ca="1" si="471"/>
        <v>Family Type: 975w x 2300h, Family: Window External Type 1 - Recessed</v>
      </c>
      <c r="F2457" t="str">
        <f t="shared" ca="1" si="472"/>
        <v>Vector(X = 0.977, Y = 0.212, Z = 0.000, Length = 1.000)</v>
      </c>
      <c r="G2457">
        <f t="shared" ca="1" si="475"/>
        <v>1</v>
      </c>
      <c r="H2457">
        <f t="shared" ca="1" si="476"/>
        <v>0.2</v>
      </c>
      <c r="I2457">
        <f t="shared" ca="1" si="477"/>
        <v>0</v>
      </c>
      <c r="J2457" s="8">
        <f t="shared" ca="1" si="478"/>
        <v>11.309932474020215</v>
      </c>
      <c r="K2457" s="9" t="str">
        <f t="shared" ca="1" si="479"/>
        <v>E</v>
      </c>
      <c r="L2457">
        <f ca="1">+_xlfn.IFNA(VLOOKUP(M2457,BespokeWindowsAreas!$B$2:$E$1999,4,FALSE),VLOOKUP(E2457,WindowTypeArea!$B$2:$C$113,2,FALSE))</f>
        <v>2.2425000000000002</v>
      </c>
      <c r="M2457">
        <f t="shared" ca="1" si="480"/>
        <v>5585442</v>
      </c>
    </row>
    <row r="2458" spans="1:13" x14ac:dyDescent="0.25">
      <c r="A2458">
        <f t="shared" ca="1" si="473"/>
        <v>11</v>
      </c>
      <c r="B2458">
        <f t="shared" ca="1" si="474"/>
        <v>8</v>
      </c>
      <c r="C2458" t="str">
        <f t="shared" ca="1" si="469"/>
        <v>'WINDOWS-NCH-A-BDP-M3-B1-00'!B7</v>
      </c>
      <c r="D2458" s="6" t="str">
        <f t="shared" ca="1" si="470"/>
        <v>B01-PLA-PLA-U1665-01</v>
      </c>
      <c r="E2458" t="str">
        <f t="shared" ca="1" si="471"/>
        <v>B01-PLA-PLA-U1665-01</v>
      </c>
      <c r="F2458">
        <f t="shared" ca="1" si="472"/>
        <v>1689065</v>
      </c>
      <c r="G2458">
        <f t="shared" ca="1" si="475"/>
        <v>0</v>
      </c>
      <c r="H2458">
        <f t="shared" ca="1" si="476"/>
        <v>0</v>
      </c>
      <c r="I2458">
        <f t="shared" ca="1" si="477"/>
        <v>0</v>
      </c>
      <c r="J2458" s="8" t="e">
        <f t="shared" ca="1" si="478"/>
        <v>#DIV/0!</v>
      </c>
      <c r="K2458" s="9" t="e">
        <f t="shared" ca="1" si="479"/>
        <v>#DIV/0!</v>
      </c>
      <c r="L2458" t="e">
        <f ca="1">+_xlfn.IFNA(VLOOKUP(M2458,BespokeWindowsAreas!$B$2:$E$1999,4,FALSE),VLOOKUP(E2458,WindowTypeArea!$B$2:$C$113,2,FALSE))</f>
        <v>#N/A</v>
      </c>
      <c r="M2458">
        <f t="shared" ca="1" si="480"/>
        <v>0</v>
      </c>
    </row>
    <row r="2459" spans="1:13" x14ac:dyDescent="0.25">
      <c r="A2459">
        <f t="shared" ca="1" si="473"/>
        <v>11</v>
      </c>
      <c r="B2459">
        <f t="shared" ca="1" si="474"/>
        <v>9</v>
      </c>
      <c r="C2459" t="str">
        <f t="shared" ca="1" si="469"/>
        <v>'WINDOWS-NCH-A-BDP-M3-B1-00'!B8</v>
      </c>
      <c r="D2459" s="6" t="str">
        <f t="shared" ca="1" si="470"/>
        <v>B01-PLA-PLA-U1665-01</v>
      </c>
      <c r="E2459" t="str">
        <f t="shared" ca="1" si="471"/>
        <v>Family Type: 975w x 2300h, Family: Window External Type 1 - Recessed</v>
      </c>
      <c r="F2459" t="str">
        <f t="shared" ca="1" si="472"/>
        <v>Vector(X = 0.977, Y = 0.212, Z = 0.000, Length = 1.000)</v>
      </c>
      <c r="G2459">
        <f t="shared" ca="1" si="475"/>
        <v>1</v>
      </c>
      <c r="H2459">
        <f t="shared" ca="1" si="476"/>
        <v>0.2</v>
      </c>
      <c r="I2459">
        <f t="shared" ca="1" si="477"/>
        <v>0</v>
      </c>
      <c r="J2459" s="8">
        <f t="shared" ca="1" si="478"/>
        <v>11.309932474020215</v>
      </c>
      <c r="K2459" s="9" t="str">
        <f t="shared" ca="1" si="479"/>
        <v>E</v>
      </c>
      <c r="L2459">
        <f ca="1">+_xlfn.IFNA(VLOOKUP(M2459,BespokeWindowsAreas!$B$2:$E$1999,4,FALSE),VLOOKUP(E2459,WindowTypeArea!$B$2:$C$113,2,FALSE))</f>
        <v>2.2425000000000002</v>
      </c>
      <c r="M2459">
        <f t="shared" ca="1" si="480"/>
        <v>5584900</v>
      </c>
    </row>
    <row r="2460" spans="1:13" x14ac:dyDescent="0.25">
      <c r="A2460">
        <f t="shared" ca="1" si="473"/>
        <v>11</v>
      </c>
      <c r="B2460">
        <f t="shared" ca="1" si="474"/>
        <v>10</v>
      </c>
      <c r="C2460" t="str">
        <f t="shared" ca="1" si="469"/>
        <v>'WINDOWS-NCH-A-BDP-M3-B1-00'!B9</v>
      </c>
      <c r="D2460" s="6" t="str">
        <f t="shared" ca="1" si="470"/>
        <v>B01-PLA-PLA-U1665-01</v>
      </c>
      <c r="E2460" t="str">
        <f t="shared" ca="1" si="471"/>
        <v>Family Type: 975w x 2300h, Family: Window External Type 1 - Recessed</v>
      </c>
      <c r="F2460" t="str">
        <f t="shared" ca="1" si="472"/>
        <v>Vector(X = 0.977, Y = 0.212, Z = 0.000, Length = 1.000)</v>
      </c>
      <c r="G2460">
        <f t="shared" ca="1" si="475"/>
        <v>1</v>
      </c>
      <c r="H2460">
        <f t="shared" ca="1" si="476"/>
        <v>0.2</v>
      </c>
      <c r="I2460">
        <f t="shared" ca="1" si="477"/>
        <v>0</v>
      </c>
      <c r="J2460" s="8">
        <f t="shared" ca="1" si="478"/>
        <v>11.309932474020215</v>
      </c>
      <c r="K2460" s="9" t="str">
        <f t="shared" ca="1" si="479"/>
        <v>E</v>
      </c>
      <c r="L2460">
        <f ca="1">+_xlfn.IFNA(VLOOKUP(M2460,BespokeWindowsAreas!$B$2:$E$1999,4,FALSE),VLOOKUP(E2460,WindowTypeArea!$B$2:$C$113,2,FALSE))</f>
        <v>2.2425000000000002</v>
      </c>
      <c r="M2460">
        <f t="shared" ca="1" si="480"/>
        <v>5585041</v>
      </c>
    </row>
    <row r="2461" spans="1:13" x14ac:dyDescent="0.25">
      <c r="A2461">
        <f t="shared" ca="1" si="473"/>
        <v>11</v>
      </c>
      <c r="B2461">
        <f t="shared" ca="1" si="474"/>
        <v>11</v>
      </c>
      <c r="C2461" t="str">
        <f t="shared" ca="1" si="469"/>
        <v>'WINDOWS-NCH-A-BDP-M3-B1-00'!B10</v>
      </c>
      <c r="D2461" s="6" t="str">
        <f t="shared" ca="1" si="470"/>
        <v>B01-PLA-PLA-U1665-01</v>
      </c>
      <c r="E2461" t="str">
        <f t="shared" ca="1" si="471"/>
        <v>Family Type: 975w x 2300h, Family: Window External Type 1 - Recessed</v>
      </c>
      <c r="F2461" t="str">
        <f t="shared" ca="1" si="472"/>
        <v>Vector(X = 0.977, Y = 0.212, Z = 0.000, Length = 1.000)</v>
      </c>
      <c r="G2461">
        <f t="shared" ca="1" si="475"/>
        <v>1</v>
      </c>
      <c r="H2461">
        <f t="shared" ca="1" si="476"/>
        <v>0.2</v>
      </c>
      <c r="I2461">
        <f t="shared" ca="1" si="477"/>
        <v>0</v>
      </c>
      <c r="J2461" s="8">
        <f t="shared" ca="1" si="478"/>
        <v>11.309932474020215</v>
      </c>
      <c r="K2461" s="9" t="str">
        <f t="shared" ca="1" si="479"/>
        <v>E</v>
      </c>
      <c r="L2461">
        <f ca="1">+_xlfn.IFNA(VLOOKUP(M2461,BespokeWindowsAreas!$B$2:$E$1999,4,FALSE),VLOOKUP(E2461,WindowTypeArea!$B$2:$C$113,2,FALSE))</f>
        <v>2.2425000000000002</v>
      </c>
      <c r="M2461">
        <f t="shared" ca="1" si="480"/>
        <v>5585194</v>
      </c>
    </row>
    <row r="2462" spans="1:13" x14ac:dyDescent="0.25">
      <c r="A2462">
        <f t="shared" ca="1" si="473"/>
        <v>12</v>
      </c>
      <c r="B2462">
        <f t="shared" ca="1" si="474"/>
        <v>1</v>
      </c>
      <c r="C2462" t="str">
        <f t="shared" ca="1" si="469"/>
        <v>'WINDOWS-NCH-A-BDP-M3-B1-00'!B11</v>
      </c>
      <c r="D2462" s="6" t="str">
        <f t="shared" ca="1" si="470"/>
        <v>B01-PLA-PLA-U1665-01</v>
      </c>
      <c r="E2462" t="str">
        <f t="shared" ca="1" si="471"/>
        <v>Family Type: 975w x 2300h, Family: Window External Type 1 - Recessed</v>
      </c>
      <c r="F2462" t="str">
        <f t="shared" ca="1" si="472"/>
        <v>Vector(X = 0.977, Y = 0.212, Z = 0.000, Length = 1.000)</v>
      </c>
      <c r="G2462">
        <f t="shared" ca="1" si="475"/>
        <v>1</v>
      </c>
      <c r="H2462">
        <f t="shared" ca="1" si="476"/>
        <v>0.2</v>
      </c>
      <c r="I2462">
        <f t="shared" ca="1" si="477"/>
        <v>0</v>
      </c>
      <c r="J2462" s="8">
        <f t="shared" ca="1" si="478"/>
        <v>11.309932474020215</v>
      </c>
      <c r="K2462" s="9" t="str">
        <f t="shared" ca="1" si="479"/>
        <v>E</v>
      </c>
      <c r="L2462">
        <f ca="1">+_xlfn.IFNA(VLOOKUP(M2462,BespokeWindowsAreas!$B$2:$E$1999,4,FALSE),VLOOKUP(E2462,WindowTypeArea!$B$2:$C$113,2,FALSE))</f>
        <v>2.2425000000000002</v>
      </c>
      <c r="M2462">
        <f t="shared" ca="1" si="480"/>
        <v>5585442</v>
      </c>
    </row>
    <row r="2463" spans="1:13" x14ac:dyDescent="0.25">
      <c r="A2463">
        <f t="shared" ca="1" si="473"/>
        <v>12</v>
      </c>
      <c r="B2463">
        <f t="shared" ca="1" si="474"/>
        <v>2</v>
      </c>
      <c r="C2463" t="str">
        <f t="shared" ca="1" si="469"/>
        <v>'WINDOWS-NCH-A-OCMA-M3-LG-0'!B1</v>
      </c>
      <c r="D2463" s="6">
        <f t="shared" ca="1" si="470"/>
        <v>0</v>
      </c>
      <c r="E2463">
        <f t="shared" ca="1" si="471"/>
        <v>0</v>
      </c>
      <c r="F2463">
        <f t="shared" ca="1" si="472"/>
        <v>0</v>
      </c>
      <c r="G2463">
        <f t="shared" ca="1" si="475"/>
        <v>0</v>
      </c>
      <c r="H2463">
        <f t="shared" ca="1" si="476"/>
        <v>0</v>
      </c>
      <c r="I2463">
        <f t="shared" ca="1" si="477"/>
        <v>0</v>
      </c>
      <c r="J2463" s="8" t="e">
        <f t="shared" ca="1" si="478"/>
        <v>#DIV/0!</v>
      </c>
      <c r="K2463" s="9" t="e">
        <f t="shared" ca="1" si="479"/>
        <v>#DIV/0!</v>
      </c>
      <c r="L2463" t="e">
        <f ca="1">+_xlfn.IFNA(VLOOKUP(M2463,BespokeWindowsAreas!$B$2:$E$1999,4,FALSE),VLOOKUP(E2463,WindowTypeArea!$B$2:$C$113,2,FALSE))</f>
        <v>#N/A</v>
      </c>
      <c r="M2463">
        <f t="shared" ca="1" si="480"/>
        <v>0</v>
      </c>
    </row>
    <row r="2464" spans="1:13" x14ac:dyDescent="0.25">
      <c r="A2464">
        <f t="shared" ca="1" si="473"/>
        <v>12</v>
      </c>
      <c r="B2464">
        <f t="shared" ca="1" si="474"/>
        <v>3</v>
      </c>
      <c r="C2464" t="str">
        <f t="shared" ca="1" si="469"/>
        <v>'WINDOWS-NCH-A-OCMA-M3-LG-0'!B2</v>
      </c>
      <c r="D2464" s="6" t="str">
        <f t="shared" ca="1" si="470"/>
        <v>LG-PAT-HIS-U0449-01</v>
      </c>
      <c r="E2464" t="str">
        <f t="shared" ca="1" si="471"/>
        <v>LG-PAT-HIS-U0449-01</v>
      </c>
      <c r="F2464">
        <f t="shared" ca="1" si="472"/>
        <v>1644978</v>
      </c>
      <c r="G2464">
        <f t="shared" ca="1" si="475"/>
        <v>0</v>
      </c>
      <c r="H2464">
        <f t="shared" ca="1" si="476"/>
        <v>0</v>
      </c>
      <c r="I2464">
        <f t="shared" ca="1" si="477"/>
        <v>0</v>
      </c>
      <c r="J2464" s="8" t="e">
        <f t="shared" ca="1" si="478"/>
        <v>#DIV/0!</v>
      </c>
      <c r="K2464" s="9" t="e">
        <f t="shared" ca="1" si="479"/>
        <v>#DIV/0!</v>
      </c>
      <c r="L2464" t="e">
        <f ca="1">+_xlfn.IFNA(VLOOKUP(M2464,BespokeWindowsAreas!$B$2:$E$1999,4,FALSE),VLOOKUP(E2464,WindowTypeArea!$B$2:$C$113,2,FALSE))</f>
        <v>#N/A</v>
      </c>
      <c r="M2464">
        <f t="shared" ca="1" si="480"/>
        <v>0</v>
      </c>
    </row>
    <row r="2465" spans="1:13" x14ac:dyDescent="0.25">
      <c r="A2465">
        <f t="shared" ca="1" si="473"/>
        <v>12</v>
      </c>
      <c r="B2465">
        <f t="shared" ca="1" si="474"/>
        <v>4</v>
      </c>
      <c r="C2465" t="str">
        <f t="shared" ca="1" si="469"/>
        <v>'WINDOWS-NCH-A-OCMA-M3-LG-0'!B3</v>
      </c>
      <c r="D2465" s="6" t="str">
        <f t="shared" ca="1" si="470"/>
        <v>LG-PAT-HIS-U0449-01</v>
      </c>
      <c r="E2465" t="str">
        <f t="shared" ca="1" si="471"/>
        <v>Family Type: 1950w x 3050h, Family: Window Internal Type 1 - Flush</v>
      </c>
      <c r="F2465" t="str">
        <f t="shared" ca="1" si="472"/>
        <v>Vector(X = -0.977, Y = -0.212, Z = 0.000, Length = 1.000)</v>
      </c>
      <c r="G2465">
        <f t="shared" ca="1" si="475"/>
        <v>-1</v>
      </c>
      <c r="H2465">
        <f t="shared" ca="1" si="476"/>
        <v>-0.2</v>
      </c>
      <c r="I2465">
        <f t="shared" ca="1" si="477"/>
        <v>0</v>
      </c>
      <c r="J2465" s="8">
        <f t="shared" ca="1" si="478"/>
        <v>-168.69006752597977</v>
      </c>
      <c r="K2465" s="9" t="str">
        <f t="shared" ca="1" si="479"/>
        <v>W</v>
      </c>
      <c r="L2465">
        <f ca="1">+_xlfn.IFNA(VLOOKUP(M2465,BespokeWindowsAreas!$B$2:$E$1999,4,FALSE),VLOOKUP(E2465,WindowTypeArea!$B$2:$C$113,2,FALSE))</f>
        <v>5.9474999999999998</v>
      </c>
      <c r="M2465">
        <f t="shared" ca="1" si="480"/>
        <v>6644884</v>
      </c>
    </row>
    <row r="2466" spans="1:13" x14ac:dyDescent="0.25">
      <c r="A2466">
        <f t="shared" ca="1" si="473"/>
        <v>12</v>
      </c>
      <c r="B2466">
        <f t="shared" ca="1" si="474"/>
        <v>5</v>
      </c>
      <c r="C2466" t="str">
        <f t="shared" ca="1" si="469"/>
        <v>'WINDOWS-NCH-A-OCMA-M3-LG-0'!B4</v>
      </c>
      <c r="D2466" s="6" t="str">
        <f t="shared" ca="1" si="470"/>
        <v>LG-PAT-HIS-U0449-01</v>
      </c>
      <c r="E2466" t="str">
        <f t="shared" ca="1" si="471"/>
        <v>Family Type: 1500w x 3050h, Family: Window Internal Type 1 - Flush</v>
      </c>
      <c r="F2466" t="str">
        <f t="shared" ca="1" si="472"/>
        <v>Vector(X = -0.977, Y = -0.212, Z = 0.000, Length = 1.000)</v>
      </c>
      <c r="G2466">
        <f t="shared" ca="1" si="475"/>
        <v>-1</v>
      </c>
      <c r="H2466">
        <f t="shared" ca="1" si="476"/>
        <v>-0.2</v>
      </c>
      <c r="I2466">
        <f t="shared" ca="1" si="477"/>
        <v>0</v>
      </c>
      <c r="J2466" s="8">
        <f t="shared" ca="1" si="478"/>
        <v>-168.69006752597977</v>
      </c>
      <c r="K2466" s="9" t="str">
        <f t="shared" ca="1" si="479"/>
        <v>W</v>
      </c>
      <c r="L2466">
        <f ca="1">+_xlfn.IFNA(VLOOKUP(M2466,BespokeWindowsAreas!$B$2:$E$1999,4,FALSE),VLOOKUP(E2466,WindowTypeArea!$B$2:$C$113,2,FALSE))</f>
        <v>4.5749999999999993</v>
      </c>
      <c r="M2466">
        <f t="shared" ca="1" si="480"/>
        <v>6644933</v>
      </c>
    </row>
    <row r="2467" spans="1:13" x14ac:dyDescent="0.25">
      <c r="A2467">
        <f t="shared" ca="1" si="473"/>
        <v>12</v>
      </c>
      <c r="B2467">
        <f t="shared" ca="1" si="474"/>
        <v>6</v>
      </c>
      <c r="C2467" t="str">
        <f t="shared" ca="1" si="469"/>
        <v>'WINDOWS-NCH-A-OCMA-M3-LG-0'!B5</v>
      </c>
      <c r="D2467" s="6" t="str">
        <f t="shared" ca="1" si="470"/>
        <v>LG-PAT-HIS-U0449-01</v>
      </c>
      <c r="E2467" t="str">
        <f t="shared" ca="1" si="471"/>
        <v>Family Type: 975w x 3050h, Family: Window Internal Type 1 - Flush</v>
      </c>
      <c r="F2467" t="str">
        <f t="shared" ca="1" si="472"/>
        <v>Vector(X = -0.977, Y = -0.212, Z = 0.000, Length = 1.000)</v>
      </c>
      <c r="G2467">
        <f t="shared" ca="1" si="475"/>
        <v>-1</v>
      </c>
      <c r="H2467">
        <f t="shared" ca="1" si="476"/>
        <v>-0.2</v>
      </c>
      <c r="I2467">
        <f t="shared" ca="1" si="477"/>
        <v>0</v>
      </c>
      <c r="J2467" s="8">
        <f t="shared" ca="1" si="478"/>
        <v>-168.69006752597977</v>
      </c>
      <c r="K2467" s="9" t="str">
        <f t="shared" ca="1" si="479"/>
        <v>W</v>
      </c>
      <c r="L2467">
        <f ca="1">+_xlfn.IFNA(VLOOKUP(M2467,BespokeWindowsAreas!$B$2:$E$1999,4,FALSE),VLOOKUP(E2467,WindowTypeArea!$B$2:$C$113,2,FALSE))</f>
        <v>2.9737499999999999</v>
      </c>
      <c r="M2467">
        <f t="shared" ca="1" si="480"/>
        <v>6645186</v>
      </c>
    </row>
    <row r="2468" spans="1:13" x14ac:dyDescent="0.25">
      <c r="A2468">
        <f t="shared" ca="1" si="473"/>
        <v>12</v>
      </c>
      <c r="B2468">
        <f t="shared" ca="1" si="474"/>
        <v>7</v>
      </c>
      <c r="C2468" t="str">
        <f t="shared" ca="1" si="469"/>
        <v>'WINDOWS-NCH-A-OCMA-M3-LG-0'!B6</v>
      </c>
      <c r="D2468" s="6" t="str">
        <f t="shared" ca="1" si="470"/>
        <v>LG-PAT-HAE-U0457-01</v>
      </c>
      <c r="E2468" t="str">
        <f t="shared" ca="1" si="471"/>
        <v>LG-PAT-HAE-U0457-01</v>
      </c>
      <c r="F2468">
        <f t="shared" ca="1" si="472"/>
        <v>1644991</v>
      </c>
      <c r="G2468">
        <f t="shared" ca="1" si="475"/>
        <v>0</v>
      </c>
      <c r="H2468">
        <f t="shared" ca="1" si="476"/>
        <v>0</v>
      </c>
      <c r="I2468">
        <f t="shared" ca="1" si="477"/>
        <v>0</v>
      </c>
      <c r="J2468" s="8" t="e">
        <f t="shared" ca="1" si="478"/>
        <v>#DIV/0!</v>
      </c>
      <c r="K2468" s="9" t="e">
        <f t="shared" ca="1" si="479"/>
        <v>#DIV/0!</v>
      </c>
      <c r="L2468" t="e">
        <f ca="1">+_xlfn.IFNA(VLOOKUP(M2468,BespokeWindowsAreas!$B$2:$E$1999,4,FALSE),VLOOKUP(E2468,WindowTypeArea!$B$2:$C$113,2,FALSE))</f>
        <v>#N/A</v>
      </c>
      <c r="M2468">
        <f t="shared" ca="1" si="480"/>
        <v>0</v>
      </c>
    </row>
    <row r="2469" spans="1:13" x14ac:dyDescent="0.25">
      <c r="A2469">
        <f t="shared" ca="1" si="473"/>
        <v>12</v>
      </c>
      <c r="B2469">
        <f t="shared" ca="1" si="474"/>
        <v>8</v>
      </c>
      <c r="C2469" t="str">
        <f t="shared" ca="1" si="469"/>
        <v>'WINDOWS-NCH-A-OCMA-M3-LG-0'!B7</v>
      </c>
      <c r="D2469" s="6" t="str">
        <f t="shared" ca="1" si="470"/>
        <v>LG-PAT-HAE-U0457-01</v>
      </c>
      <c r="E2469" t="str">
        <f t="shared" ca="1" si="471"/>
        <v>Family Type: 1950w x 2300h, Family: Window External Type 1 - Recessed</v>
      </c>
      <c r="F2469" t="str">
        <f t="shared" ca="1" si="472"/>
        <v>Vector(X = 0.977, Y = 0.212, Z = 0.000, Length = 1.000)</v>
      </c>
      <c r="G2469">
        <f t="shared" ca="1" si="475"/>
        <v>1</v>
      </c>
      <c r="H2469">
        <f t="shared" ca="1" si="476"/>
        <v>0.2</v>
      </c>
      <c r="I2469">
        <f t="shared" ca="1" si="477"/>
        <v>0</v>
      </c>
      <c r="J2469" s="8">
        <f t="shared" ca="1" si="478"/>
        <v>11.309932474020215</v>
      </c>
      <c r="K2469" s="9" t="str">
        <f t="shared" ca="1" si="479"/>
        <v>E</v>
      </c>
      <c r="L2469">
        <f ca="1">+_xlfn.IFNA(VLOOKUP(M2469,BespokeWindowsAreas!$B$2:$E$1999,4,FALSE),VLOOKUP(E2469,WindowTypeArea!$B$2:$C$113,2,FALSE))</f>
        <v>4.4850000000000003</v>
      </c>
      <c r="M2469">
        <f t="shared" ca="1" si="480"/>
        <v>5569258</v>
      </c>
    </row>
    <row r="2470" spans="1:13" x14ac:dyDescent="0.25">
      <c r="A2470">
        <f t="shared" ca="1" si="473"/>
        <v>12</v>
      </c>
      <c r="B2470">
        <f t="shared" ca="1" si="474"/>
        <v>9</v>
      </c>
      <c r="C2470" t="str">
        <f t="shared" ca="1" si="469"/>
        <v>'WINDOWS-NCH-A-OCMA-M3-LG-0'!B8</v>
      </c>
      <c r="D2470" s="6" t="str">
        <f t="shared" ca="1" si="470"/>
        <v>LG-PAT-HAE-U0458-01</v>
      </c>
      <c r="E2470" t="str">
        <f t="shared" ca="1" si="471"/>
        <v>LG-PAT-HAE-U0458-01</v>
      </c>
      <c r="F2470">
        <f t="shared" ca="1" si="472"/>
        <v>1644992</v>
      </c>
      <c r="G2470">
        <f t="shared" ca="1" si="475"/>
        <v>0</v>
      </c>
      <c r="H2470">
        <f t="shared" ca="1" si="476"/>
        <v>0</v>
      </c>
      <c r="I2470">
        <f t="shared" ca="1" si="477"/>
        <v>0</v>
      </c>
      <c r="J2470" s="8" t="e">
        <f t="shared" ca="1" si="478"/>
        <v>#DIV/0!</v>
      </c>
      <c r="K2470" s="9" t="e">
        <f t="shared" ca="1" si="479"/>
        <v>#DIV/0!</v>
      </c>
      <c r="L2470" t="e">
        <f ca="1">+_xlfn.IFNA(VLOOKUP(M2470,BespokeWindowsAreas!$B$2:$E$1999,4,FALSE),VLOOKUP(E2470,WindowTypeArea!$B$2:$C$113,2,FALSE))</f>
        <v>#N/A</v>
      </c>
      <c r="M2470">
        <f t="shared" ca="1" si="480"/>
        <v>0</v>
      </c>
    </row>
    <row r="2471" spans="1:13" x14ac:dyDescent="0.25">
      <c r="A2471">
        <f t="shared" ca="1" si="473"/>
        <v>12</v>
      </c>
      <c r="B2471">
        <f t="shared" ca="1" si="474"/>
        <v>10</v>
      </c>
      <c r="C2471" t="str">
        <f t="shared" ca="1" si="469"/>
        <v>'WINDOWS-NCH-A-OCMA-M3-LG-0'!B9</v>
      </c>
      <c r="D2471" s="6" t="str">
        <f t="shared" ca="1" si="470"/>
        <v>LG-PAT-HAE-U0458-01</v>
      </c>
      <c r="E2471" t="str">
        <f t="shared" ca="1" si="471"/>
        <v>Family Type: 1950w x 2300h, Family: Window External Type 1 - Recessed</v>
      </c>
      <c r="F2471" t="str">
        <f t="shared" ca="1" si="472"/>
        <v>Vector(X = 0.977, Y = 0.212, Z = 0.000, Length = 1.000)</v>
      </c>
      <c r="G2471">
        <f t="shared" ca="1" si="475"/>
        <v>1</v>
      </c>
      <c r="H2471">
        <f t="shared" ca="1" si="476"/>
        <v>0.2</v>
      </c>
      <c r="I2471">
        <f t="shared" ca="1" si="477"/>
        <v>0</v>
      </c>
      <c r="J2471" s="8">
        <f t="shared" ca="1" si="478"/>
        <v>11.309932474020215</v>
      </c>
      <c r="K2471" s="9" t="str">
        <f t="shared" ca="1" si="479"/>
        <v>E</v>
      </c>
      <c r="L2471">
        <f ca="1">+_xlfn.IFNA(VLOOKUP(M2471,BespokeWindowsAreas!$B$2:$E$1999,4,FALSE),VLOOKUP(E2471,WindowTypeArea!$B$2:$C$113,2,FALSE))</f>
        <v>4.4850000000000003</v>
      </c>
      <c r="M2471">
        <f t="shared" ca="1" si="480"/>
        <v>5569149</v>
      </c>
    </row>
    <row r="2472" spans="1:13" x14ac:dyDescent="0.25">
      <c r="A2472">
        <f t="shared" ca="1" si="473"/>
        <v>12</v>
      </c>
      <c r="B2472">
        <f t="shared" ca="1" si="474"/>
        <v>11</v>
      </c>
      <c r="C2472" t="str">
        <f t="shared" ca="1" si="469"/>
        <v>'WINDOWS-NCH-A-OCMA-M3-LG-0'!B10</v>
      </c>
      <c r="D2472" s="6" t="str">
        <f t="shared" ca="1" si="470"/>
        <v>LG-PAT-HAE-U0465-01</v>
      </c>
      <c r="E2472" t="str">
        <f t="shared" ca="1" si="471"/>
        <v>LG-PAT-HAE-U0465-01</v>
      </c>
      <c r="F2472">
        <f t="shared" ca="1" si="472"/>
        <v>1644997</v>
      </c>
      <c r="G2472">
        <f t="shared" ca="1" si="475"/>
        <v>0</v>
      </c>
      <c r="H2472">
        <f t="shared" ca="1" si="476"/>
        <v>0</v>
      </c>
      <c r="I2472">
        <f t="shared" ca="1" si="477"/>
        <v>0</v>
      </c>
      <c r="J2472" s="8" t="e">
        <f t="shared" ca="1" si="478"/>
        <v>#DIV/0!</v>
      </c>
      <c r="K2472" s="9" t="e">
        <f t="shared" ca="1" si="479"/>
        <v>#DIV/0!</v>
      </c>
      <c r="L2472" t="e">
        <f ca="1">+_xlfn.IFNA(VLOOKUP(M2472,BespokeWindowsAreas!$B$2:$E$1999,4,FALSE),VLOOKUP(E2472,WindowTypeArea!$B$2:$C$113,2,FALSE))</f>
        <v>#N/A</v>
      </c>
      <c r="M2472">
        <f t="shared" ca="1" si="480"/>
        <v>0</v>
      </c>
    </row>
    <row r="2473" spans="1:13" x14ac:dyDescent="0.25">
      <c r="A2473">
        <f t="shared" ca="1" si="473"/>
        <v>12</v>
      </c>
      <c r="B2473">
        <f t="shared" ca="1" si="474"/>
        <v>12</v>
      </c>
      <c r="C2473" t="str">
        <f t="shared" ca="1" si="469"/>
        <v>'WINDOWS-NCH-A-OCMA-M3-LG-0'!B11</v>
      </c>
      <c r="D2473" s="6" t="str">
        <f t="shared" ca="1" si="470"/>
        <v>LG-PAT-HAE-U0465-01</v>
      </c>
      <c r="E2473" t="str">
        <f t="shared" ca="1" si="471"/>
        <v>Family Type: 975w x 2300h, Family: Window External Type 1 - Recessed</v>
      </c>
      <c r="F2473" t="str">
        <f t="shared" ca="1" si="472"/>
        <v>Vector(X = 0.977, Y = 0.212, Z = 0.000, Length = 1.000)</v>
      </c>
      <c r="G2473">
        <f t="shared" ca="1" si="475"/>
        <v>1</v>
      </c>
      <c r="H2473">
        <f t="shared" ca="1" si="476"/>
        <v>0.2</v>
      </c>
      <c r="I2473">
        <f t="shared" ca="1" si="477"/>
        <v>0</v>
      </c>
      <c r="J2473" s="8">
        <f t="shared" ca="1" si="478"/>
        <v>11.309932474020215</v>
      </c>
      <c r="K2473" s="9" t="str">
        <f t="shared" ca="1" si="479"/>
        <v>E</v>
      </c>
      <c r="L2473">
        <f ca="1">+_xlfn.IFNA(VLOOKUP(M2473,BespokeWindowsAreas!$B$2:$E$1999,4,FALSE),VLOOKUP(E2473,WindowTypeArea!$B$2:$C$113,2,FALSE))</f>
        <v>2.2425000000000002</v>
      </c>
      <c r="M2473">
        <f t="shared" ca="1" si="480"/>
        <v>5567517</v>
      </c>
    </row>
    <row r="2474" spans="1:13" x14ac:dyDescent="0.25">
      <c r="A2474">
        <f t="shared" ca="1" si="473"/>
        <v>12</v>
      </c>
      <c r="B2474">
        <f t="shared" ca="1" si="474"/>
        <v>13</v>
      </c>
      <c r="C2474" t="str">
        <f t="shared" ca="1" si="469"/>
        <v>'WINDOWS-NCH-A-OCMA-M3-LG-0'!B12</v>
      </c>
      <c r="D2474" s="6" t="str">
        <f t="shared" ca="1" si="470"/>
        <v>LG-PAT-HAE-U0465-01</v>
      </c>
      <c r="E2474" t="str">
        <f t="shared" ca="1" si="471"/>
        <v>Family Type: 975w x 2300h, Family: Window External Type 1 - Recessed</v>
      </c>
      <c r="F2474" t="str">
        <f t="shared" ca="1" si="472"/>
        <v>Vector(X = 0.977, Y = 0.212, Z = 0.000, Length = 1.000)</v>
      </c>
      <c r="G2474">
        <f t="shared" ca="1" si="475"/>
        <v>1</v>
      </c>
      <c r="H2474">
        <f t="shared" ca="1" si="476"/>
        <v>0.2</v>
      </c>
      <c r="I2474">
        <f t="shared" ca="1" si="477"/>
        <v>0</v>
      </c>
      <c r="J2474" s="8">
        <f t="shared" ca="1" si="478"/>
        <v>11.309932474020215</v>
      </c>
      <c r="K2474" s="9" t="str">
        <f t="shared" ca="1" si="479"/>
        <v>E</v>
      </c>
      <c r="L2474">
        <f ca="1">+_xlfn.IFNA(VLOOKUP(M2474,BespokeWindowsAreas!$B$2:$E$1999,4,FALSE),VLOOKUP(E2474,WindowTypeArea!$B$2:$C$113,2,FALSE))</f>
        <v>2.2425000000000002</v>
      </c>
      <c r="M2474">
        <f t="shared" ca="1" si="480"/>
        <v>5567589</v>
      </c>
    </row>
    <row r="2475" spans="1:13" x14ac:dyDescent="0.25">
      <c r="A2475">
        <f t="shared" ca="1" si="473"/>
        <v>12</v>
      </c>
      <c r="B2475">
        <f t="shared" ca="1" si="474"/>
        <v>14</v>
      </c>
      <c r="C2475" t="str">
        <f t="shared" ref="C2475:C2504" ca="1" si="481">+"'"&amp;INDIRECT("a"&amp;A2474)&amp;"'!B"&amp;B2474</f>
        <v>'WINDOWS-NCH-A-OCMA-M3-LG-0'!B13</v>
      </c>
      <c r="D2475" s="6" t="str">
        <f t="shared" ref="D2475:D2504" ca="1" si="482">+IF(IFERROR(FIND("Family",E2475)&gt;0,FALSE),D2474,E2475)</f>
        <v>LG-PAT-HAE-U0471-01</v>
      </c>
      <c r="E2475" t="str">
        <f t="shared" ref="E2475:E2504" ca="1" si="483">+OFFSET(INDIRECT(C2475),0,0)</f>
        <v>LG-PAT-HAE-U0471-01</v>
      </c>
      <c r="F2475">
        <f t="shared" ref="F2475:F2504" ca="1" si="484">+OFFSET(INDIRECT(C2475),0,1)</f>
        <v>1645003</v>
      </c>
      <c r="G2475">
        <f t="shared" ca="1" si="475"/>
        <v>0</v>
      </c>
      <c r="H2475">
        <f t="shared" ca="1" si="476"/>
        <v>0</v>
      </c>
      <c r="I2475">
        <f t="shared" ca="1" si="477"/>
        <v>0</v>
      </c>
      <c r="J2475" s="8" t="e">
        <f t="shared" ca="1" si="478"/>
        <v>#DIV/0!</v>
      </c>
      <c r="K2475" s="9" t="e">
        <f t="shared" ca="1" si="479"/>
        <v>#DIV/0!</v>
      </c>
      <c r="L2475" t="e">
        <f ca="1">+_xlfn.IFNA(VLOOKUP(M2475,BespokeWindowsAreas!$B$2:$E$1999,4,FALSE),VLOOKUP(E2475,WindowTypeArea!$B$2:$C$113,2,FALSE))</f>
        <v>#N/A</v>
      </c>
      <c r="M2475">
        <f t="shared" ca="1" si="480"/>
        <v>0</v>
      </c>
    </row>
    <row r="2476" spans="1:13" x14ac:dyDescent="0.25">
      <c r="A2476">
        <f t="shared" ca="1" si="473"/>
        <v>12</v>
      </c>
      <c r="B2476">
        <f t="shared" ca="1" si="474"/>
        <v>15</v>
      </c>
      <c r="C2476" t="str">
        <f t="shared" ca="1" si="481"/>
        <v>'WINDOWS-NCH-A-OCMA-M3-LG-0'!B14</v>
      </c>
      <c r="D2476" s="6" t="str">
        <f t="shared" ca="1" si="482"/>
        <v>LG-PAT-HAE-U0471-01</v>
      </c>
      <c r="E2476" t="str">
        <f t="shared" ca="1" si="483"/>
        <v>Family Type: 1950w x 2300h, Family: Window External Type 1 - Recessed</v>
      </c>
      <c r="F2476" t="str">
        <f t="shared" ca="1" si="484"/>
        <v>Vector(X = 0.977, Y = 0.212, Z = 0.000, Length = 1.000)</v>
      </c>
      <c r="G2476">
        <f t="shared" ca="1" si="475"/>
        <v>1</v>
      </c>
      <c r="H2476">
        <f t="shared" ca="1" si="476"/>
        <v>0.2</v>
      </c>
      <c r="I2476">
        <f t="shared" ca="1" si="477"/>
        <v>0</v>
      </c>
      <c r="J2476" s="8">
        <f t="shared" ca="1" si="478"/>
        <v>11.309932474020215</v>
      </c>
      <c r="K2476" s="9" t="str">
        <f t="shared" ca="1" si="479"/>
        <v>E</v>
      </c>
      <c r="L2476">
        <f ca="1">+_xlfn.IFNA(VLOOKUP(M2476,BespokeWindowsAreas!$B$2:$E$1999,4,FALSE),VLOOKUP(E2476,WindowTypeArea!$B$2:$C$113,2,FALSE))</f>
        <v>4.4850000000000003</v>
      </c>
      <c r="M2476">
        <f t="shared" ca="1" si="480"/>
        <v>5568273</v>
      </c>
    </row>
    <row r="2477" spans="1:13" x14ac:dyDescent="0.25">
      <c r="A2477">
        <f t="shared" ca="1" si="473"/>
        <v>12</v>
      </c>
      <c r="B2477">
        <f t="shared" ca="1" si="474"/>
        <v>16</v>
      </c>
      <c r="C2477" t="str">
        <f t="shared" ca="1" si="481"/>
        <v>'WINDOWS-NCH-A-OCMA-M3-LG-0'!B15</v>
      </c>
      <c r="D2477" s="6" t="str">
        <f t="shared" ca="1" si="482"/>
        <v>LG-PAT-HAE-U0471-01</v>
      </c>
      <c r="E2477" t="str">
        <f t="shared" ca="1" si="483"/>
        <v>Family Type: 975w x 2300h, Family: Window External Type 1 - Recessed</v>
      </c>
      <c r="F2477" t="str">
        <f t="shared" ca="1" si="484"/>
        <v>Vector(X = 0.977, Y = 0.212, Z = 0.000, Length = 1.000)</v>
      </c>
      <c r="G2477">
        <f t="shared" ca="1" si="475"/>
        <v>1</v>
      </c>
      <c r="H2477">
        <f t="shared" ca="1" si="476"/>
        <v>0.2</v>
      </c>
      <c r="I2477">
        <f t="shared" ca="1" si="477"/>
        <v>0</v>
      </c>
      <c r="J2477" s="8">
        <f t="shared" ca="1" si="478"/>
        <v>11.309932474020215</v>
      </c>
      <c r="K2477" s="9" t="str">
        <f t="shared" ca="1" si="479"/>
        <v>E</v>
      </c>
      <c r="L2477">
        <f ca="1">+_xlfn.IFNA(VLOOKUP(M2477,BespokeWindowsAreas!$B$2:$E$1999,4,FALSE),VLOOKUP(E2477,WindowTypeArea!$B$2:$C$113,2,FALSE))</f>
        <v>2.2425000000000002</v>
      </c>
      <c r="M2477">
        <f t="shared" ca="1" si="480"/>
        <v>5568414</v>
      </c>
    </row>
    <row r="2478" spans="1:13" x14ac:dyDescent="0.25">
      <c r="A2478">
        <f t="shared" ca="1" si="473"/>
        <v>12</v>
      </c>
      <c r="B2478">
        <f t="shared" ca="1" si="474"/>
        <v>17</v>
      </c>
      <c r="C2478" t="str">
        <f t="shared" ca="1" si="481"/>
        <v>'WINDOWS-NCH-A-OCMA-M3-LG-0'!B16</v>
      </c>
      <c r="D2478" s="6" t="str">
        <f t="shared" ca="1" si="482"/>
        <v>LG-PAT-HAE-U0472-01</v>
      </c>
      <c r="E2478" t="str">
        <f t="shared" ca="1" si="483"/>
        <v>LG-PAT-HAE-U0472-01</v>
      </c>
      <c r="F2478">
        <f t="shared" ca="1" si="484"/>
        <v>1645004</v>
      </c>
      <c r="G2478">
        <f t="shared" ca="1" si="475"/>
        <v>0</v>
      </c>
      <c r="H2478">
        <f t="shared" ca="1" si="476"/>
        <v>0</v>
      </c>
      <c r="I2478">
        <f t="shared" ca="1" si="477"/>
        <v>0</v>
      </c>
      <c r="J2478" s="8" t="e">
        <f t="shared" ca="1" si="478"/>
        <v>#DIV/0!</v>
      </c>
      <c r="K2478" s="9" t="e">
        <f t="shared" ca="1" si="479"/>
        <v>#DIV/0!</v>
      </c>
      <c r="L2478" t="e">
        <f ca="1">+_xlfn.IFNA(VLOOKUP(M2478,BespokeWindowsAreas!$B$2:$E$1999,4,FALSE),VLOOKUP(E2478,WindowTypeArea!$B$2:$C$113,2,FALSE))</f>
        <v>#N/A</v>
      </c>
      <c r="M2478">
        <f t="shared" ca="1" si="480"/>
        <v>0</v>
      </c>
    </row>
    <row r="2479" spans="1:13" x14ac:dyDescent="0.25">
      <c r="A2479">
        <f t="shared" ca="1" si="473"/>
        <v>12</v>
      </c>
      <c r="B2479">
        <f t="shared" ca="1" si="474"/>
        <v>18</v>
      </c>
      <c r="C2479" t="str">
        <f t="shared" ca="1" si="481"/>
        <v>'WINDOWS-NCH-A-OCMA-M3-LG-0'!B17</v>
      </c>
      <c r="D2479" s="6" t="str">
        <f t="shared" ca="1" si="482"/>
        <v>LG-PAT-HAE-U0472-01</v>
      </c>
      <c r="E2479" t="str">
        <f t="shared" ca="1" si="483"/>
        <v>Family Type: 975w x 2300h, Family: Window External Type 1 - Recessed</v>
      </c>
      <c r="F2479" t="str">
        <f t="shared" ca="1" si="484"/>
        <v>Vector(X = 0.977, Y = 0.212, Z = 0.000, Length = 1.000)</v>
      </c>
      <c r="G2479">
        <f t="shared" ca="1" si="475"/>
        <v>1</v>
      </c>
      <c r="H2479">
        <f t="shared" ca="1" si="476"/>
        <v>0.2</v>
      </c>
      <c r="I2479">
        <f t="shared" ca="1" si="477"/>
        <v>0</v>
      </c>
      <c r="J2479" s="8">
        <f t="shared" ca="1" si="478"/>
        <v>11.309932474020215</v>
      </c>
      <c r="K2479" s="9" t="str">
        <f t="shared" ca="1" si="479"/>
        <v>E</v>
      </c>
      <c r="L2479">
        <f ca="1">+_xlfn.IFNA(VLOOKUP(M2479,BespokeWindowsAreas!$B$2:$E$1999,4,FALSE),VLOOKUP(E2479,WindowTypeArea!$B$2:$C$113,2,FALSE))</f>
        <v>2.2425000000000002</v>
      </c>
      <c r="M2479">
        <f t="shared" ca="1" si="480"/>
        <v>5568579</v>
      </c>
    </row>
    <row r="2480" spans="1:13" x14ac:dyDescent="0.25">
      <c r="A2480">
        <f t="shared" ca="1" si="473"/>
        <v>12</v>
      </c>
      <c r="B2480">
        <f t="shared" ca="1" si="474"/>
        <v>19</v>
      </c>
      <c r="C2480" t="str">
        <f t="shared" ca="1" si="481"/>
        <v>'WINDOWS-NCH-A-OCMA-M3-LG-0'!B18</v>
      </c>
      <c r="D2480" s="6" t="str">
        <f t="shared" ca="1" si="482"/>
        <v>LG-PAT-HAE-U0473-01</v>
      </c>
      <c r="E2480" t="str">
        <f t="shared" ca="1" si="483"/>
        <v>LG-PAT-HAE-U0473-01</v>
      </c>
      <c r="F2480">
        <f t="shared" ca="1" si="484"/>
        <v>1645005</v>
      </c>
      <c r="G2480">
        <f t="shared" ca="1" si="475"/>
        <v>0</v>
      </c>
      <c r="H2480">
        <f t="shared" ca="1" si="476"/>
        <v>0</v>
      </c>
      <c r="I2480">
        <f t="shared" ca="1" si="477"/>
        <v>0</v>
      </c>
      <c r="J2480" s="8" t="e">
        <f t="shared" ca="1" si="478"/>
        <v>#DIV/0!</v>
      </c>
      <c r="K2480" s="9" t="e">
        <f t="shared" ca="1" si="479"/>
        <v>#DIV/0!</v>
      </c>
      <c r="L2480" t="e">
        <f ca="1">+_xlfn.IFNA(VLOOKUP(M2480,BespokeWindowsAreas!$B$2:$E$1999,4,FALSE),VLOOKUP(E2480,WindowTypeArea!$B$2:$C$113,2,FALSE))</f>
        <v>#N/A</v>
      </c>
      <c r="M2480">
        <f t="shared" ca="1" si="480"/>
        <v>0</v>
      </c>
    </row>
    <row r="2481" spans="1:13" x14ac:dyDescent="0.25">
      <c r="A2481">
        <f t="shared" ca="1" si="473"/>
        <v>12</v>
      </c>
      <c r="B2481">
        <f t="shared" ca="1" si="474"/>
        <v>20</v>
      </c>
      <c r="C2481" t="str">
        <f t="shared" ca="1" si="481"/>
        <v>'WINDOWS-NCH-A-OCMA-M3-LG-0'!B19</v>
      </c>
      <c r="D2481" s="6" t="str">
        <f t="shared" ca="1" si="482"/>
        <v>LG-PAT-HAE-U0473-01</v>
      </c>
      <c r="E2481" t="str">
        <f t="shared" ca="1" si="483"/>
        <v>Family Type: 975w x 2300h, Family: Window External Type 1 - Recessed</v>
      </c>
      <c r="F2481" t="str">
        <f t="shared" ca="1" si="484"/>
        <v>Vector(X = 0.977, Y = 0.212, Z = 0.000, Length = 1.000)</v>
      </c>
      <c r="G2481">
        <f t="shared" ca="1" si="475"/>
        <v>1</v>
      </c>
      <c r="H2481">
        <f t="shared" ca="1" si="476"/>
        <v>0.2</v>
      </c>
      <c r="I2481">
        <f t="shared" ca="1" si="477"/>
        <v>0</v>
      </c>
      <c r="J2481" s="8">
        <f t="shared" ca="1" si="478"/>
        <v>11.309932474020215</v>
      </c>
      <c r="K2481" s="9" t="str">
        <f t="shared" ca="1" si="479"/>
        <v>E</v>
      </c>
      <c r="L2481">
        <f ca="1">+_xlfn.IFNA(VLOOKUP(M2481,BespokeWindowsAreas!$B$2:$E$1999,4,FALSE),VLOOKUP(E2481,WindowTypeArea!$B$2:$C$113,2,FALSE))</f>
        <v>2.2425000000000002</v>
      </c>
      <c r="M2481">
        <f t="shared" ca="1" si="480"/>
        <v>5568486</v>
      </c>
    </row>
    <row r="2482" spans="1:13" x14ac:dyDescent="0.25">
      <c r="A2482">
        <f t="shared" ca="1" si="473"/>
        <v>12</v>
      </c>
      <c r="B2482">
        <f t="shared" ca="1" si="474"/>
        <v>21</v>
      </c>
      <c r="C2482" t="str">
        <f t="shared" ca="1" si="481"/>
        <v>'WINDOWS-NCH-A-OCMA-M3-LG-0'!B20</v>
      </c>
      <c r="D2482" s="6" t="str">
        <f t="shared" ca="1" si="482"/>
        <v>LG-PAT-TRA-U0478-01</v>
      </c>
      <c r="E2482" t="str">
        <f t="shared" ca="1" si="483"/>
        <v>LG-PAT-TRA-U0478-01</v>
      </c>
      <c r="F2482">
        <f t="shared" ca="1" si="484"/>
        <v>1645010</v>
      </c>
      <c r="G2482">
        <f t="shared" ca="1" si="475"/>
        <v>0</v>
      </c>
      <c r="H2482">
        <f t="shared" ca="1" si="476"/>
        <v>0</v>
      </c>
      <c r="I2482">
        <f t="shared" ca="1" si="477"/>
        <v>0</v>
      </c>
      <c r="J2482" s="8" t="e">
        <f t="shared" ca="1" si="478"/>
        <v>#DIV/0!</v>
      </c>
      <c r="K2482" s="9" t="e">
        <f t="shared" ca="1" si="479"/>
        <v>#DIV/0!</v>
      </c>
      <c r="L2482" t="e">
        <f ca="1">+_xlfn.IFNA(VLOOKUP(M2482,BespokeWindowsAreas!$B$2:$E$1999,4,FALSE),VLOOKUP(E2482,WindowTypeArea!$B$2:$C$113,2,FALSE))</f>
        <v>#N/A</v>
      </c>
      <c r="M2482">
        <f t="shared" ca="1" si="480"/>
        <v>0</v>
      </c>
    </row>
    <row r="2483" spans="1:13" x14ac:dyDescent="0.25">
      <c r="A2483">
        <f t="shared" ca="1" si="473"/>
        <v>12</v>
      </c>
      <c r="B2483">
        <f t="shared" ca="1" si="474"/>
        <v>22</v>
      </c>
      <c r="C2483" t="str">
        <f t="shared" ca="1" si="481"/>
        <v>'WINDOWS-NCH-A-OCMA-M3-LG-0'!B21</v>
      </c>
      <c r="D2483" s="6" t="str">
        <f t="shared" ca="1" si="482"/>
        <v>LG-PAT-TRA-U0478-01</v>
      </c>
      <c r="E2483" t="str">
        <f t="shared" ca="1" si="483"/>
        <v>Family Type: 975w x 3050h, Family: Window Internal Type 1 - Flush</v>
      </c>
      <c r="F2483" t="str">
        <f t="shared" ca="1" si="484"/>
        <v>Vector(X = -0.977, Y = -0.212, Z = 0.000, Length = 1.000)</v>
      </c>
      <c r="G2483">
        <f t="shared" ca="1" si="475"/>
        <v>-1</v>
      </c>
      <c r="H2483">
        <f t="shared" ca="1" si="476"/>
        <v>-0.2</v>
      </c>
      <c r="I2483">
        <f t="shared" ca="1" si="477"/>
        <v>0</v>
      </c>
      <c r="J2483" s="8">
        <f t="shared" ca="1" si="478"/>
        <v>-168.69006752597977</v>
      </c>
      <c r="K2483" s="9" t="str">
        <f t="shared" ca="1" si="479"/>
        <v>W</v>
      </c>
      <c r="L2483">
        <f ca="1">+_xlfn.IFNA(VLOOKUP(M2483,BespokeWindowsAreas!$B$2:$E$1999,4,FALSE),VLOOKUP(E2483,WindowTypeArea!$B$2:$C$113,2,FALSE))</f>
        <v>2.9737499999999999</v>
      </c>
      <c r="M2483">
        <f t="shared" ca="1" si="480"/>
        <v>6313589</v>
      </c>
    </row>
    <row r="2484" spans="1:13" x14ac:dyDescent="0.25">
      <c r="A2484">
        <f t="shared" ca="1" si="473"/>
        <v>12</v>
      </c>
      <c r="B2484">
        <f t="shared" ca="1" si="474"/>
        <v>23</v>
      </c>
      <c r="C2484" t="str">
        <f t="shared" ca="1" si="481"/>
        <v>'WINDOWS-NCH-A-OCMA-M3-LG-0'!B22</v>
      </c>
      <c r="D2484" s="6" t="str">
        <f t="shared" ca="1" si="482"/>
        <v>LG-PAT-TRA-U0478-01</v>
      </c>
      <c r="E2484" t="str">
        <f t="shared" ca="1" si="483"/>
        <v>Family Type: 975w x 3050h, Family: Window Internal Type 1 - Flush</v>
      </c>
      <c r="F2484" t="str">
        <f t="shared" ca="1" si="484"/>
        <v>Vector(X = -0.977, Y = -0.212, Z = 0.000, Length = 1.000)</v>
      </c>
      <c r="G2484">
        <f t="shared" ca="1" si="475"/>
        <v>-1</v>
      </c>
      <c r="H2484">
        <f t="shared" ca="1" si="476"/>
        <v>-0.2</v>
      </c>
      <c r="I2484">
        <f t="shared" ca="1" si="477"/>
        <v>0</v>
      </c>
      <c r="J2484" s="8">
        <f t="shared" ca="1" si="478"/>
        <v>-168.69006752597977</v>
      </c>
      <c r="K2484" s="9" t="str">
        <f t="shared" ca="1" si="479"/>
        <v>W</v>
      </c>
      <c r="L2484">
        <f ca="1">+_xlfn.IFNA(VLOOKUP(M2484,BespokeWindowsAreas!$B$2:$E$1999,4,FALSE),VLOOKUP(E2484,WindowTypeArea!$B$2:$C$113,2,FALSE))</f>
        <v>2.9737499999999999</v>
      </c>
      <c r="M2484">
        <f t="shared" ca="1" si="480"/>
        <v>6313629</v>
      </c>
    </row>
    <row r="2485" spans="1:13" x14ac:dyDescent="0.25">
      <c r="A2485">
        <f t="shared" ca="1" si="473"/>
        <v>12</v>
      </c>
      <c r="B2485">
        <f t="shared" ca="1" si="474"/>
        <v>24</v>
      </c>
      <c r="C2485" t="str">
        <f t="shared" ca="1" si="481"/>
        <v>'WINDOWS-NCH-A-OCMA-M3-LG-0'!B23</v>
      </c>
      <c r="D2485" s="6" t="str">
        <f t="shared" ca="1" si="482"/>
        <v>LG-PAT-TRA-U0479-01</v>
      </c>
      <c r="E2485" t="str">
        <f t="shared" ca="1" si="483"/>
        <v>LG-PAT-TRA-U0479-01</v>
      </c>
      <c r="F2485">
        <f t="shared" ca="1" si="484"/>
        <v>1645011</v>
      </c>
      <c r="G2485">
        <f t="shared" ca="1" si="475"/>
        <v>0</v>
      </c>
      <c r="H2485">
        <f t="shared" ca="1" si="476"/>
        <v>0</v>
      </c>
      <c r="I2485">
        <f t="shared" ca="1" si="477"/>
        <v>0</v>
      </c>
      <c r="J2485" s="8" t="e">
        <f t="shared" ca="1" si="478"/>
        <v>#DIV/0!</v>
      </c>
      <c r="K2485" s="9" t="e">
        <f t="shared" ca="1" si="479"/>
        <v>#DIV/0!</v>
      </c>
      <c r="L2485" t="e">
        <f ca="1">+_xlfn.IFNA(VLOOKUP(M2485,BespokeWindowsAreas!$B$2:$E$1999,4,FALSE),VLOOKUP(E2485,WindowTypeArea!$B$2:$C$113,2,FALSE))</f>
        <v>#N/A</v>
      </c>
      <c r="M2485">
        <f t="shared" ca="1" si="480"/>
        <v>0</v>
      </c>
    </row>
    <row r="2486" spans="1:13" x14ac:dyDescent="0.25">
      <c r="A2486">
        <f t="shared" ca="1" si="473"/>
        <v>12</v>
      </c>
      <c r="B2486">
        <f t="shared" ca="1" si="474"/>
        <v>25</v>
      </c>
      <c r="C2486" t="str">
        <f t="shared" ca="1" si="481"/>
        <v>'WINDOWS-NCH-A-OCMA-M3-LG-0'!B24</v>
      </c>
      <c r="D2486" s="6" t="str">
        <f t="shared" ca="1" si="482"/>
        <v>LG-PAT-TRA-U0479-01</v>
      </c>
      <c r="E2486" t="str">
        <f t="shared" ca="1" si="483"/>
        <v>Family Type: 1950w x 3050h, Family: Window Internal Type 1 - Flush</v>
      </c>
      <c r="F2486" t="str">
        <f t="shared" ca="1" si="484"/>
        <v>Vector(X = -0.977, Y = -0.212, Z = 0.000, Length = 1.000)</v>
      </c>
      <c r="G2486">
        <f t="shared" ca="1" si="475"/>
        <v>-1</v>
      </c>
      <c r="H2486">
        <f t="shared" ca="1" si="476"/>
        <v>-0.2</v>
      </c>
      <c r="I2486">
        <f t="shared" ca="1" si="477"/>
        <v>0</v>
      </c>
      <c r="J2486" s="8">
        <f t="shared" ca="1" si="478"/>
        <v>-168.69006752597977</v>
      </c>
      <c r="K2486" s="9" t="str">
        <f t="shared" ca="1" si="479"/>
        <v>W</v>
      </c>
      <c r="L2486">
        <f ca="1">+_xlfn.IFNA(VLOOKUP(M2486,BespokeWindowsAreas!$B$2:$E$1999,4,FALSE),VLOOKUP(E2486,WindowTypeArea!$B$2:$C$113,2,FALSE))</f>
        <v>5.9474999999999998</v>
      </c>
      <c r="M2486">
        <f t="shared" ca="1" si="480"/>
        <v>6313377</v>
      </c>
    </row>
    <row r="2487" spans="1:13" x14ac:dyDescent="0.25">
      <c r="A2487">
        <f t="shared" ca="1" si="473"/>
        <v>12</v>
      </c>
      <c r="B2487">
        <f t="shared" ca="1" si="474"/>
        <v>26</v>
      </c>
      <c r="C2487" t="str">
        <f t="shared" ca="1" si="481"/>
        <v>'WINDOWS-NCH-A-OCMA-M3-LG-0'!B25</v>
      </c>
      <c r="D2487" s="6" t="str">
        <f t="shared" ca="1" si="482"/>
        <v>LG-PAT-TRA-U0482-01</v>
      </c>
      <c r="E2487" t="str">
        <f t="shared" ca="1" si="483"/>
        <v>LG-PAT-TRA-U0482-01</v>
      </c>
      <c r="F2487">
        <f t="shared" ca="1" si="484"/>
        <v>1645014</v>
      </c>
      <c r="G2487">
        <f t="shared" ca="1" si="475"/>
        <v>0</v>
      </c>
      <c r="H2487">
        <f t="shared" ca="1" si="476"/>
        <v>0</v>
      </c>
      <c r="I2487">
        <f t="shared" ca="1" si="477"/>
        <v>0</v>
      </c>
      <c r="J2487" s="8" t="e">
        <f t="shared" ca="1" si="478"/>
        <v>#DIV/0!</v>
      </c>
      <c r="K2487" s="9" t="e">
        <f t="shared" ca="1" si="479"/>
        <v>#DIV/0!</v>
      </c>
      <c r="L2487" t="e">
        <f ca="1">+_xlfn.IFNA(VLOOKUP(M2487,BespokeWindowsAreas!$B$2:$E$1999,4,FALSE),VLOOKUP(E2487,WindowTypeArea!$B$2:$C$113,2,FALSE))</f>
        <v>#N/A</v>
      </c>
      <c r="M2487">
        <f t="shared" ca="1" si="480"/>
        <v>0</v>
      </c>
    </row>
    <row r="2488" spans="1:13" x14ac:dyDescent="0.25">
      <c r="A2488">
        <f t="shared" ca="1" si="473"/>
        <v>12</v>
      </c>
      <c r="B2488">
        <f t="shared" ca="1" si="474"/>
        <v>27</v>
      </c>
      <c r="C2488" t="str">
        <f t="shared" ca="1" si="481"/>
        <v>'WINDOWS-NCH-A-OCMA-M3-LG-0'!B26</v>
      </c>
      <c r="D2488" s="6" t="str">
        <f t="shared" ca="1" si="482"/>
        <v>LG-PAT-TRA-U0482-01</v>
      </c>
      <c r="E2488" t="str">
        <f t="shared" ca="1" si="483"/>
        <v>Family Type: 975w x 3050h, Family: Window Internal Type 1 - Flush</v>
      </c>
      <c r="F2488" t="str">
        <f t="shared" ca="1" si="484"/>
        <v>Vector(X = -0.977, Y = -0.212, Z = 0.000, Length = 1.000)</v>
      </c>
      <c r="G2488">
        <f t="shared" ca="1" si="475"/>
        <v>-1</v>
      </c>
      <c r="H2488">
        <f t="shared" ca="1" si="476"/>
        <v>-0.2</v>
      </c>
      <c r="I2488">
        <f t="shared" ca="1" si="477"/>
        <v>0</v>
      </c>
      <c r="J2488" s="8">
        <f t="shared" ca="1" si="478"/>
        <v>-168.69006752597977</v>
      </c>
      <c r="K2488" s="9" t="str">
        <f t="shared" ca="1" si="479"/>
        <v>W</v>
      </c>
      <c r="L2488">
        <f ca="1">+_xlfn.IFNA(VLOOKUP(M2488,BespokeWindowsAreas!$B$2:$E$1999,4,FALSE),VLOOKUP(E2488,WindowTypeArea!$B$2:$C$113,2,FALSE))</f>
        <v>2.9737499999999999</v>
      </c>
      <c r="M2488">
        <f t="shared" ca="1" si="480"/>
        <v>6313509</v>
      </c>
    </row>
    <row r="2489" spans="1:13" x14ac:dyDescent="0.25">
      <c r="A2489">
        <f t="shared" ca="1" si="473"/>
        <v>12</v>
      </c>
      <c r="B2489">
        <f t="shared" ca="1" si="474"/>
        <v>28</v>
      </c>
      <c r="C2489" t="str">
        <f t="shared" ca="1" si="481"/>
        <v>'WINDOWS-NCH-A-OCMA-M3-LG-0'!B27</v>
      </c>
      <c r="D2489" s="6" t="str">
        <f t="shared" ca="1" si="482"/>
        <v>LG-PAT-TRA-S115-06</v>
      </c>
      <c r="E2489" t="str">
        <f t="shared" ca="1" si="483"/>
        <v>LG-PAT-TRA-S115-06</v>
      </c>
      <c r="F2489">
        <f t="shared" ca="1" si="484"/>
        <v>1645016</v>
      </c>
      <c r="G2489">
        <f t="shared" ca="1" si="475"/>
        <v>0</v>
      </c>
      <c r="H2489">
        <f t="shared" ca="1" si="476"/>
        <v>0</v>
      </c>
      <c r="I2489">
        <f t="shared" ca="1" si="477"/>
        <v>0</v>
      </c>
      <c r="J2489" s="8" t="e">
        <f t="shared" ca="1" si="478"/>
        <v>#DIV/0!</v>
      </c>
      <c r="K2489" s="9" t="e">
        <f t="shared" ca="1" si="479"/>
        <v>#DIV/0!</v>
      </c>
      <c r="L2489" t="e">
        <f ca="1">+_xlfn.IFNA(VLOOKUP(M2489,BespokeWindowsAreas!$B$2:$E$1999,4,FALSE),VLOOKUP(E2489,WindowTypeArea!$B$2:$C$113,2,FALSE))</f>
        <v>#N/A</v>
      </c>
      <c r="M2489">
        <f t="shared" ca="1" si="480"/>
        <v>0</v>
      </c>
    </row>
    <row r="2490" spans="1:13" x14ac:dyDescent="0.25">
      <c r="A2490">
        <f t="shared" ca="1" si="473"/>
        <v>12</v>
      </c>
      <c r="B2490">
        <f t="shared" ca="1" si="474"/>
        <v>29</v>
      </c>
      <c r="C2490" t="str">
        <f t="shared" ca="1" si="481"/>
        <v>'WINDOWS-NCH-A-OCMA-M3-LG-0'!B28</v>
      </c>
      <c r="D2490" s="6" t="str">
        <f t="shared" ca="1" si="482"/>
        <v>LG-PAT-TRA-S115-06</v>
      </c>
      <c r="E2490" t="str">
        <f t="shared" ca="1" si="483"/>
        <v>Family Type: 975w x 3050h, Family: Window Internal Type 1 - Flush</v>
      </c>
      <c r="F2490" t="str">
        <f t="shared" ca="1" si="484"/>
        <v>Vector(X = 0.212, Y = -0.977, Z = 0.000, Length = 1.000)</v>
      </c>
      <c r="G2490">
        <f t="shared" ca="1" si="475"/>
        <v>0.2</v>
      </c>
      <c r="H2490">
        <f t="shared" ca="1" si="476"/>
        <v>-1</v>
      </c>
      <c r="I2490">
        <f t="shared" ca="1" si="477"/>
        <v>0</v>
      </c>
      <c r="J2490" s="8">
        <f t="shared" ca="1" si="478"/>
        <v>-78.690067525979785</v>
      </c>
      <c r="K2490" s="9" t="str">
        <f t="shared" ca="1" si="479"/>
        <v>S</v>
      </c>
      <c r="L2490">
        <f ca="1">+_xlfn.IFNA(VLOOKUP(M2490,BespokeWindowsAreas!$B$2:$E$1999,4,FALSE),VLOOKUP(E2490,WindowTypeArea!$B$2:$C$113,2,FALSE))</f>
        <v>2.9737499999999999</v>
      </c>
      <c r="M2490">
        <f t="shared" ca="1" si="480"/>
        <v>6321134</v>
      </c>
    </row>
    <row r="2491" spans="1:13" x14ac:dyDescent="0.25">
      <c r="A2491">
        <f t="shared" ca="1" si="473"/>
        <v>12</v>
      </c>
      <c r="B2491">
        <f t="shared" ca="1" si="474"/>
        <v>30</v>
      </c>
      <c r="C2491" t="str">
        <f t="shared" ca="1" si="481"/>
        <v>'WINDOWS-NCH-A-OCMA-M3-LG-0'!B29</v>
      </c>
      <c r="D2491" s="6" t="str">
        <f t="shared" ca="1" si="482"/>
        <v>LG-PAT-BIO-U0485-01</v>
      </c>
      <c r="E2491" t="str">
        <f t="shared" ca="1" si="483"/>
        <v>LG-PAT-BIO-U0485-01</v>
      </c>
      <c r="F2491">
        <f t="shared" ca="1" si="484"/>
        <v>1645018</v>
      </c>
      <c r="G2491">
        <f t="shared" ca="1" si="475"/>
        <v>0</v>
      </c>
      <c r="H2491">
        <f t="shared" ca="1" si="476"/>
        <v>0</v>
      </c>
      <c r="I2491">
        <f t="shared" ca="1" si="477"/>
        <v>0</v>
      </c>
      <c r="J2491" s="8" t="e">
        <f t="shared" ca="1" si="478"/>
        <v>#DIV/0!</v>
      </c>
      <c r="K2491" s="9" t="e">
        <f t="shared" ca="1" si="479"/>
        <v>#DIV/0!</v>
      </c>
      <c r="L2491" t="e">
        <f ca="1">+_xlfn.IFNA(VLOOKUP(M2491,BespokeWindowsAreas!$B$2:$E$1999,4,FALSE),VLOOKUP(E2491,WindowTypeArea!$B$2:$C$113,2,FALSE))</f>
        <v>#N/A</v>
      </c>
      <c r="M2491">
        <f t="shared" ca="1" si="480"/>
        <v>0</v>
      </c>
    </row>
    <row r="2492" spans="1:13" x14ac:dyDescent="0.25">
      <c r="A2492">
        <f t="shared" ca="1" si="473"/>
        <v>12</v>
      </c>
      <c r="B2492">
        <f t="shared" ca="1" si="474"/>
        <v>31</v>
      </c>
      <c r="C2492" t="str">
        <f t="shared" ca="1" si="481"/>
        <v>'WINDOWS-NCH-A-OCMA-M3-LG-0'!B30</v>
      </c>
      <c r="D2492" s="6" t="str">
        <f t="shared" ca="1" si="482"/>
        <v>LG-PAT-BIO-U0485-01</v>
      </c>
      <c r="E2492" t="str">
        <f t="shared" ca="1" si="483"/>
        <v>Family Type: 975w x 2300h, Family: Window External Type 1 - Recessed</v>
      </c>
      <c r="F2492" t="str">
        <f t="shared" ca="1" si="484"/>
        <v>Vector(X = 0.977, Y = 0.212, Z = 0.000, Length = 1.000)</v>
      </c>
      <c r="G2492">
        <f t="shared" ca="1" si="475"/>
        <v>1</v>
      </c>
      <c r="H2492">
        <f t="shared" ca="1" si="476"/>
        <v>0.2</v>
      </c>
      <c r="I2492">
        <f t="shared" ca="1" si="477"/>
        <v>0</v>
      </c>
      <c r="J2492" s="8">
        <f t="shared" ca="1" si="478"/>
        <v>11.309932474020215</v>
      </c>
      <c r="K2492" s="9" t="str">
        <f t="shared" ca="1" si="479"/>
        <v>E</v>
      </c>
      <c r="L2492">
        <f ca="1">+_xlfn.IFNA(VLOOKUP(M2492,BespokeWindowsAreas!$B$2:$E$1999,4,FALSE),VLOOKUP(E2492,WindowTypeArea!$B$2:$C$113,2,FALSE))</f>
        <v>2.2425000000000002</v>
      </c>
      <c r="M2492">
        <f t="shared" ca="1" si="480"/>
        <v>5569637</v>
      </c>
    </row>
    <row r="2493" spans="1:13" x14ac:dyDescent="0.25">
      <c r="A2493">
        <f t="shared" ca="1" si="473"/>
        <v>12</v>
      </c>
      <c r="B2493">
        <f t="shared" ca="1" si="474"/>
        <v>32</v>
      </c>
      <c r="C2493" t="str">
        <f t="shared" ca="1" si="481"/>
        <v>'WINDOWS-NCH-A-OCMA-M3-LG-0'!B31</v>
      </c>
      <c r="D2493" s="6" t="str">
        <f t="shared" ca="1" si="482"/>
        <v>LG-PAT-BIO-U0485-01</v>
      </c>
      <c r="E2493" t="str">
        <f t="shared" ca="1" si="483"/>
        <v>Family Type: 975w x 2300h, Family: Window External Type 1 - Recessed</v>
      </c>
      <c r="F2493" t="str">
        <f t="shared" ca="1" si="484"/>
        <v>Vector(X = 0.977, Y = 0.212, Z = 0.000, Length = 1.000)</v>
      </c>
      <c r="G2493">
        <f t="shared" ca="1" si="475"/>
        <v>1</v>
      </c>
      <c r="H2493">
        <f t="shared" ca="1" si="476"/>
        <v>0.2</v>
      </c>
      <c r="I2493">
        <f t="shared" ca="1" si="477"/>
        <v>0</v>
      </c>
      <c r="J2493" s="8">
        <f t="shared" ca="1" si="478"/>
        <v>11.309932474020215</v>
      </c>
      <c r="K2493" s="9" t="str">
        <f t="shared" ca="1" si="479"/>
        <v>E</v>
      </c>
      <c r="L2493">
        <f ca="1">+_xlfn.IFNA(VLOOKUP(M2493,BespokeWindowsAreas!$B$2:$E$1999,4,FALSE),VLOOKUP(E2493,WindowTypeArea!$B$2:$C$113,2,FALSE))</f>
        <v>2.2425000000000002</v>
      </c>
      <c r="M2493">
        <f t="shared" ca="1" si="480"/>
        <v>5569808</v>
      </c>
    </row>
    <row r="2494" spans="1:13" x14ac:dyDescent="0.25">
      <c r="A2494">
        <f t="shared" ca="1" si="473"/>
        <v>12</v>
      </c>
      <c r="B2494">
        <f t="shared" ca="1" si="474"/>
        <v>33</v>
      </c>
      <c r="C2494" t="str">
        <f t="shared" ca="1" si="481"/>
        <v>'WINDOWS-NCH-A-OCMA-M3-LG-0'!B32</v>
      </c>
      <c r="D2494" s="6" t="str">
        <f t="shared" ca="1" si="482"/>
        <v>LG-PAT-BIO-U0486-01</v>
      </c>
      <c r="E2494" t="str">
        <f t="shared" ca="1" si="483"/>
        <v>LG-PAT-BIO-U0486-01</v>
      </c>
      <c r="F2494">
        <f t="shared" ca="1" si="484"/>
        <v>1645019</v>
      </c>
      <c r="G2494">
        <f t="shared" ca="1" si="475"/>
        <v>0</v>
      </c>
      <c r="H2494">
        <f t="shared" ca="1" si="476"/>
        <v>0</v>
      </c>
      <c r="I2494">
        <f t="shared" ca="1" si="477"/>
        <v>0</v>
      </c>
      <c r="J2494" s="8" t="e">
        <f t="shared" ca="1" si="478"/>
        <v>#DIV/0!</v>
      </c>
      <c r="K2494" s="9" t="e">
        <f t="shared" ca="1" si="479"/>
        <v>#DIV/0!</v>
      </c>
      <c r="L2494" t="e">
        <f ca="1">+_xlfn.IFNA(VLOOKUP(M2494,BespokeWindowsAreas!$B$2:$E$1999,4,FALSE),VLOOKUP(E2494,WindowTypeArea!$B$2:$C$113,2,FALSE))</f>
        <v>#N/A</v>
      </c>
      <c r="M2494">
        <f t="shared" ca="1" si="480"/>
        <v>0</v>
      </c>
    </row>
    <row r="2495" spans="1:13" x14ac:dyDescent="0.25">
      <c r="A2495">
        <f t="shared" ca="1" si="473"/>
        <v>12</v>
      </c>
      <c r="B2495">
        <f t="shared" ca="1" si="474"/>
        <v>34</v>
      </c>
      <c r="C2495" t="str">
        <f t="shared" ca="1" si="481"/>
        <v>'WINDOWS-NCH-A-OCMA-M3-LG-0'!B33</v>
      </c>
      <c r="D2495" s="6" t="str">
        <f t="shared" ca="1" si="482"/>
        <v>LG-PAT-BIO-U0486-01</v>
      </c>
      <c r="E2495" t="str">
        <f t="shared" ca="1" si="483"/>
        <v>Family Type: 975w x 2300h, Family: Window External Type 1 - Recessed</v>
      </c>
      <c r="F2495" t="str">
        <f t="shared" ca="1" si="484"/>
        <v>Vector(X = 0.977, Y = 0.212, Z = 0.000, Length = 1.000)</v>
      </c>
      <c r="G2495">
        <f t="shared" ca="1" si="475"/>
        <v>1</v>
      </c>
      <c r="H2495">
        <f t="shared" ca="1" si="476"/>
        <v>0.2</v>
      </c>
      <c r="I2495">
        <f t="shared" ca="1" si="477"/>
        <v>0</v>
      </c>
      <c r="J2495" s="8">
        <f t="shared" ca="1" si="478"/>
        <v>11.309932474020215</v>
      </c>
      <c r="K2495" s="9" t="str">
        <f t="shared" ca="1" si="479"/>
        <v>E</v>
      </c>
      <c r="L2495">
        <f ca="1">+_xlfn.IFNA(VLOOKUP(M2495,BespokeWindowsAreas!$B$2:$E$1999,4,FALSE),VLOOKUP(E2495,WindowTypeArea!$B$2:$C$113,2,FALSE))</f>
        <v>2.2425000000000002</v>
      </c>
      <c r="M2495">
        <f t="shared" ca="1" si="480"/>
        <v>5569724</v>
      </c>
    </row>
    <row r="2496" spans="1:13" x14ac:dyDescent="0.25">
      <c r="A2496">
        <f t="shared" ca="1" si="473"/>
        <v>12</v>
      </c>
      <c r="B2496">
        <f t="shared" ca="1" si="474"/>
        <v>35</v>
      </c>
      <c r="C2496" t="str">
        <f t="shared" ca="1" si="481"/>
        <v>'WINDOWS-NCH-A-OCMA-M3-LG-0'!B34</v>
      </c>
      <c r="D2496" s="6" t="str">
        <f t="shared" ca="1" si="482"/>
        <v>LG-PAT-BIO-U0487-01</v>
      </c>
      <c r="E2496" t="str">
        <f t="shared" ca="1" si="483"/>
        <v>LG-PAT-BIO-U0487-01</v>
      </c>
      <c r="F2496">
        <f t="shared" ca="1" si="484"/>
        <v>1645020</v>
      </c>
      <c r="G2496">
        <f t="shared" ca="1" si="475"/>
        <v>0</v>
      </c>
      <c r="H2496">
        <f t="shared" ca="1" si="476"/>
        <v>0</v>
      </c>
      <c r="I2496">
        <f t="shared" ca="1" si="477"/>
        <v>0</v>
      </c>
      <c r="J2496" s="8" t="e">
        <f t="shared" ca="1" si="478"/>
        <v>#DIV/0!</v>
      </c>
      <c r="K2496" s="9" t="e">
        <f t="shared" ca="1" si="479"/>
        <v>#DIV/0!</v>
      </c>
      <c r="L2496" t="e">
        <f ca="1">+_xlfn.IFNA(VLOOKUP(M2496,BespokeWindowsAreas!$B$2:$E$1999,4,FALSE),VLOOKUP(E2496,WindowTypeArea!$B$2:$C$113,2,FALSE))</f>
        <v>#N/A</v>
      </c>
      <c r="M2496">
        <f t="shared" ca="1" si="480"/>
        <v>0</v>
      </c>
    </row>
    <row r="2497" spans="1:13" x14ac:dyDescent="0.25">
      <c r="A2497">
        <f t="shared" ca="1" si="473"/>
        <v>12</v>
      </c>
      <c r="B2497">
        <f t="shared" ca="1" si="474"/>
        <v>36</v>
      </c>
      <c r="C2497" t="str">
        <f t="shared" ca="1" si="481"/>
        <v>'WINDOWS-NCH-A-OCMA-M3-LG-0'!B35</v>
      </c>
      <c r="D2497" s="6" t="str">
        <f t="shared" ca="1" si="482"/>
        <v>LG-PAT-BIO-U0487-01</v>
      </c>
      <c r="E2497" t="str">
        <f t="shared" ca="1" si="483"/>
        <v>Family Type: 1950w x 2300h, Family: Window External Type 1 - Recessed</v>
      </c>
      <c r="F2497" t="str">
        <f t="shared" ca="1" si="484"/>
        <v>Vector(X = 0.977, Y = 0.212, Z = 0.000, Length = 1.000)</v>
      </c>
      <c r="G2497">
        <f t="shared" ca="1" si="475"/>
        <v>1</v>
      </c>
      <c r="H2497">
        <f t="shared" ca="1" si="476"/>
        <v>0.2</v>
      </c>
      <c r="I2497">
        <f t="shared" ca="1" si="477"/>
        <v>0</v>
      </c>
      <c r="J2497" s="8">
        <f t="shared" ca="1" si="478"/>
        <v>11.309932474020215</v>
      </c>
      <c r="K2497" s="9" t="str">
        <f t="shared" ca="1" si="479"/>
        <v>E</v>
      </c>
      <c r="L2497">
        <f ca="1">+_xlfn.IFNA(VLOOKUP(M2497,BespokeWindowsAreas!$B$2:$E$1999,4,FALSE),VLOOKUP(E2497,WindowTypeArea!$B$2:$C$113,2,FALSE))</f>
        <v>4.4850000000000003</v>
      </c>
      <c r="M2497">
        <f t="shared" ca="1" si="480"/>
        <v>5569355</v>
      </c>
    </row>
    <row r="2498" spans="1:13" x14ac:dyDescent="0.25">
      <c r="A2498">
        <f t="shared" ca="1" si="473"/>
        <v>12</v>
      </c>
      <c r="B2498">
        <f t="shared" ca="1" si="474"/>
        <v>37</v>
      </c>
      <c r="C2498" t="str">
        <f t="shared" ca="1" si="481"/>
        <v>'WINDOWS-NCH-A-OCMA-M3-LG-0'!B36</v>
      </c>
      <c r="D2498" s="6" t="str">
        <f t="shared" ca="1" si="482"/>
        <v>LG-PAT-BIO-U0487-01</v>
      </c>
      <c r="E2498" t="str">
        <f t="shared" ca="1" si="483"/>
        <v>Family Type: 975w x 2300h, Family: Window External Type 1 - Recessed</v>
      </c>
      <c r="F2498" t="str">
        <f t="shared" ca="1" si="484"/>
        <v>Vector(X = 0.977, Y = 0.212, Z = 0.000, Length = 1.000)</v>
      </c>
      <c r="G2498">
        <f t="shared" ca="1" si="475"/>
        <v>1</v>
      </c>
      <c r="H2498">
        <f t="shared" ca="1" si="476"/>
        <v>0.2</v>
      </c>
      <c r="I2498">
        <f t="shared" ca="1" si="477"/>
        <v>0</v>
      </c>
      <c r="J2498" s="8">
        <f t="shared" ca="1" si="478"/>
        <v>11.309932474020215</v>
      </c>
      <c r="K2498" s="9" t="str">
        <f t="shared" ca="1" si="479"/>
        <v>E</v>
      </c>
      <c r="L2498">
        <f ca="1">+_xlfn.IFNA(VLOOKUP(M2498,BespokeWindowsAreas!$B$2:$E$1999,4,FALSE),VLOOKUP(E2498,WindowTypeArea!$B$2:$C$113,2,FALSE))</f>
        <v>2.2425000000000002</v>
      </c>
      <c r="M2498">
        <f t="shared" ca="1" si="480"/>
        <v>5569528</v>
      </c>
    </row>
    <row r="2499" spans="1:13" x14ac:dyDescent="0.25">
      <c r="A2499">
        <f t="shared" ca="1" si="473"/>
        <v>12</v>
      </c>
      <c r="B2499">
        <f t="shared" ca="1" si="474"/>
        <v>38</v>
      </c>
      <c r="C2499" t="str">
        <f t="shared" ca="1" si="481"/>
        <v>'WINDOWS-NCH-A-OCMA-M3-LG-0'!B37</v>
      </c>
      <c r="D2499" s="6" t="str">
        <f t="shared" ca="1" si="482"/>
        <v>LG-PAT-BIO-U0487-01</v>
      </c>
      <c r="E2499" t="str">
        <f t="shared" ca="1" si="483"/>
        <v>Family Type: 975w x 2300h, Family: Window External Type 1 - Recessed</v>
      </c>
      <c r="F2499" t="str">
        <f t="shared" ca="1" si="484"/>
        <v>Vector(X = 0.977, Y = 0.212, Z = 0.000, Length = 1.000)</v>
      </c>
      <c r="G2499">
        <f t="shared" ca="1" si="475"/>
        <v>1</v>
      </c>
      <c r="H2499">
        <f t="shared" ca="1" si="476"/>
        <v>0.2</v>
      </c>
      <c r="I2499">
        <f t="shared" ca="1" si="477"/>
        <v>0</v>
      </c>
      <c r="J2499" s="8">
        <f t="shared" ca="1" si="478"/>
        <v>11.309932474020215</v>
      </c>
      <c r="K2499" s="9" t="str">
        <f t="shared" ca="1" si="479"/>
        <v>E</v>
      </c>
      <c r="L2499">
        <f ca="1">+_xlfn.IFNA(VLOOKUP(M2499,BespokeWindowsAreas!$B$2:$E$1999,4,FALSE),VLOOKUP(E2499,WindowTypeArea!$B$2:$C$113,2,FALSE))</f>
        <v>2.2425000000000002</v>
      </c>
      <c r="M2499">
        <f t="shared" ca="1" si="480"/>
        <v>5569861</v>
      </c>
    </row>
    <row r="2500" spans="1:13" x14ac:dyDescent="0.25">
      <c r="A2500">
        <f t="shared" ca="1" si="473"/>
        <v>12</v>
      </c>
      <c r="B2500">
        <f t="shared" ca="1" si="474"/>
        <v>39</v>
      </c>
      <c r="C2500" t="str">
        <f t="shared" ca="1" si="481"/>
        <v>'WINDOWS-NCH-A-OCMA-M3-LG-0'!B38</v>
      </c>
      <c r="D2500" s="6" t="str">
        <f t="shared" ca="1" si="482"/>
        <v>LG-PAT-BIO-S115-11</v>
      </c>
      <c r="E2500" t="str">
        <f t="shared" ca="1" si="483"/>
        <v>LG-PAT-BIO-S115-11</v>
      </c>
      <c r="F2500">
        <f t="shared" ca="1" si="484"/>
        <v>1645026</v>
      </c>
      <c r="G2500">
        <f t="shared" ca="1" si="475"/>
        <v>0</v>
      </c>
      <c r="H2500">
        <f t="shared" ca="1" si="476"/>
        <v>0</v>
      </c>
      <c r="I2500">
        <f t="shared" ca="1" si="477"/>
        <v>0</v>
      </c>
      <c r="J2500" s="8" t="e">
        <f t="shared" ca="1" si="478"/>
        <v>#DIV/0!</v>
      </c>
      <c r="K2500" s="9" t="e">
        <f t="shared" ca="1" si="479"/>
        <v>#DIV/0!</v>
      </c>
      <c r="L2500" t="e">
        <f ca="1">+_xlfn.IFNA(VLOOKUP(M2500,BespokeWindowsAreas!$B$2:$E$1999,4,FALSE),VLOOKUP(E2500,WindowTypeArea!$B$2:$C$113,2,FALSE))</f>
        <v>#N/A</v>
      </c>
      <c r="M2500">
        <f t="shared" ca="1" si="480"/>
        <v>0</v>
      </c>
    </row>
    <row r="2501" spans="1:13" x14ac:dyDescent="0.25">
      <c r="A2501">
        <f t="shared" ca="1" si="473"/>
        <v>12</v>
      </c>
      <c r="B2501">
        <f t="shared" ca="1" si="474"/>
        <v>40</v>
      </c>
      <c r="C2501" t="str">
        <f t="shared" ca="1" si="481"/>
        <v>'WINDOWS-NCH-A-OCMA-M3-LG-0'!B39</v>
      </c>
      <c r="D2501" s="6" t="str">
        <f t="shared" ca="1" si="482"/>
        <v>LG-PAT-BIO-S115-11</v>
      </c>
      <c r="E2501" t="str">
        <f t="shared" ca="1" si="483"/>
        <v>Family Type: 1500w x 3050h, Family: Window Internal Type 1 - Flush</v>
      </c>
      <c r="F2501" t="str">
        <f t="shared" ca="1" si="484"/>
        <v>Vector(X = -0.977, Y = -0.212, Z = 0.000, Length = 1.000)</v>
      </c>
      <c r="G2501">
        <f t="shared" ca="1" si="475"/>
        <v>-1</v>
      </c>
      <c r="H2501">
        <f t="shared" ca="1" si="476"/>
        <v>-0.2</v>
      </c>
      <c r="I2501">
        <f t="shared" ca="1" si="477"/>
        <v>0</v>
      </c>
      <c r="J2501" s="8">
        <f t="shared" ca="1" si="478"/>
        <v>-168.69006752597977</v>
      </c>
      <c r="K2501" s="9" t="str">
        <f t="shared" ca="1" si="479"/>
        <v>W</v>
      </c>
      <c r="L2501">
        <f ca="1">+_xlfn.IFNA(VLOOKUP(M2501,BespokeWindowsAreas!$B$2:$E$1999,4,FALSE),VLOOKUP(E2501,WindowTypeArea!$B$2:$C$113,2,FALSE))</f>
        <v>4.5749999999999993</v>
      </c>
      <c r="M2501">
        <f t="shared" ca="1" si="480"/>
        <v>6314065</v>
      </c>
    </row>
    <row r="2502" spans="1:13" x14ac:dyDescent="0.25">
      <c r="A2502">
        <f t="shared" ca="1" si="473"/>
        <v>12</v>
      </c>
      <c r="B2502">
        <f t="shared" ca="1" si="474"/>
        <v>41</v>
      </c>
      <c r="C2502" t="str">
        <f t="shared" ca="1" si="481"/>
        <v>'WINDOWS-NCH-A-OCMA-M3-LG-0'!B40</v>
      </c>
      <c r="D2502" s="6" t="str">
        <f t="shared" ca="1" si="482"/>
        <v>LG-PAT-MET-U0494-01</v>
      </c>
      <c r="E2502" t="str">
        <f t="shared" ca="1" si="483"/>
        <v>LG-PAT-MET-U0494-01</v>
      </c>
      <c r="F2502">
        <f t="shared" ca="1" si="484"/>
        <v>1645032</v>
      </c>
      <c r="G2502">
        <f t="shared" ca="1" si="475"/>
        <v>0</v>
      </c>
      <c r="H2502">
        <f t="shared" ca="1" si="476"/>
        <v>0</v>
      </c>
      <c r="I2502">
        <f t="shared" ca="1" si="477"/>
        <v>0</v>
      </c>
      <c r="J2502" s="8" t="e">
        <f t="shared" ca="1" si="478"/>
        <v>#DIV/0!</v>
      </c>
      <c r="K2502" s="9" t="e">
        <f t="shared" ca="1" si="479"/>
        <v>#DIV/0!</v>
      </c>
      <c r="L2502" t="e">
        <f ca="1">+_xlfn.IFNA(VLOOKUP(M2502,BespokeWindowsAreas!$B$2:$E$1999,4,FALSE),VLOOKUP(E2502,WindowTypeArea!$B$2:$C$113,2,FALSE))</f>
        <v>#N/A</v>
      </c>
      <c r="M2502">
        <f t="shared" ca="1" si="480"/>
        <v>0</v>
      </c>
    </row>
    <row r="2503" spans="1:13" x14ac:dyDescent="0.25">
      <c r="A2503">
        <f t="shared" ca="1" si="473"/>
        <v>12</v>
      </c>
      <c r="B2503">
        <f t="shared" ca="1" si="474"/>
        <v>42</v>
      </c>
      <c r="C2503" t="str">
        <f t="shared" ca="1" si="481"/>
        <v>'WINDOWS-NCH-A-OCMA-M3-LG-0'!B41</v>
      </c>
      <c r="D2503" s="6" t="str">
        <f t="shared" ca="1" si="482"/>
        <v>LG-PAT-MET-U0494-01</v>
      </c>
      <c r="E2503" t="str">
        <f t="shared" ca="1" si="483"/>
        <v>Family Type: 1950w x 2300h, Family: Window External Type 1 - Recessed</v>
      </c>
      <c r="F2503" t="str">
        <f t="shared" ca="1" si="484"/>
        <v>Vector(X = 0.977, Y = 0.212, Z = 0.000, Length = 1.000)</v>
      </c>
      <c r="G2503">
        <f t="shared" ca="1" si="475"/>
        <v>1</v>
      </c>
      <c r="H2503">
        <f t="shared" ca="1" si="476"/>
        <v>0.2</v>
      </c>
      <c r="I2503">
        <f t="shared" ca="1" si="477"/>
        <v>0</v>
      </c>
      <c r="J2503" s="8">
        <f t="shared" ca="1" si="478"/>
        <v>11.309932474020215</v>
      </c>
      <c r="K2503" s="9" t="str">
        <f t="shared" ca="1" si="479"/>
        <v>E</v>
      </c>
      <c r="L2503">
        <f ca="1">+_xlfn.IFNA(VLOOKUP(M2503,BespokeWindowsAreas!$B$2:$E$1999,4,FALSE),VLOOKUP(E2503,WindowTypeArea!$B$2:$C$113,2,FALSE))</f>
        <v>4.4850000000000003</v>
      </c>
      <c r="M2503">
        <f t="shared" ca="1" si="480"/>
        <v>5570136</v>
      </c>
    </row>
    <row r="2504" spans="1:13" x14ac:dyDescent="0.25">
      <c r="A2504">
        <f t="shared" ca="1" si="473"/>
        <v>12</v>
      </c>
      <c r="B2504">
        <f t="shared" ca="1" si="474"/>
        <v>43</v>
      </c>
      <c r="C2504" t="str">
        <f t="shared" ca="1" si="481"/>
        <v>'WINDOWS-NCH-A-OCMA-M3-LG-0'!B42</v>
      </c>
      <c r="D2504" s="6" t="str">
        <f t="shared" ca="1" si="482"/>
        <v>LG-PAT-MET-U0495-01</v>
      </c>
      <c r="E2504" t="str">
        <f t="shared" ca="1" si="483"/>
        <v>LG-PAT-MET-U0495-01</v>
      </c>
      <c r="F2504">
        <f t="shared" ca="1" si="484"/>
        <v>1645033</v>
      </c>
      <c r="G2504">
        <f t="shared" ca="1" si="475"/>
        <v>0</v>
      </c>
      <c r="H2504">
        <f t="shared" ca="1" si="476"/>
        <v>0</v>
      </c>
      <c r="I2504">
        <f t="shared" ca="1" si="477"/>
        <v>0</v>
      </c>
      <c r="J2504" s="8" t="e">
        <f t="shared" ca="1" si="478"/>
        <v>#DIV/0!</v>
      </c>
      <c r="K2504" s="9" t="e">
        <f t="shared" ca="1" si="479"/>
        <v>#DIV/0!</v>
      </c>
      <c r="L2504" t="e">
        <f ca="1">+_xlfn.IFNA(VLOOKUP(M2504,BespokeWindowsAreas!$B$2:$E$1999,4,FALSE),VLOOKUP(E2504,WindowTypeArea!$B$2:$C$113,2,FALSE))</f>
        <v>#N/A</v>
      </c>
      <c r="M2504">
        <f t="shared" ca="1" si="480"/>
        <v>0</v>
      </c>
    </row>
    <row r="2505" spans="1:13" x14ac:dyDescent="0.25">
      <c r="A2505">
        <f t="shared" ca="1" si="473"/>
        <v>12</v>
      </c>
      <c r="B2505">
        <f t="shared" ca="1" si="474"/>
        <v>44</v>
      </c>
      <c r="C2505" t="str">
        <f t="shared" ref="C2505:C2568" ca="1" si="485">+"'"&amp;INDIRECT("a"&amp;A2504)&amp;"'!B"&amp;B2504</f>
        <v>'WINDOWS-NCH-A-OCMA-M3-LG-0'!B43</v>
      </c>
      <c r="D2505" s="6" t="str">
        <f t="shared" ref="D2505:D2568" ca="1" si="486">+IF(IFERROR(FIND("Family",E2505)&gt;0,FALSE),D2504,E2505)</f>
        <v>LG-PAT-MET-U0495-01</v>
      </c>
      <c r="E2505" t="str">
        <f t="shared" ref="E2505:E2568" ca="1" si="487">+OFFSET(INDIRECT(C2505),0,0)</f>
        <v>Family Type: 1950w x 2300h, Family: Window External Type 1 - Recessed</v>
      </c>
      <c r="F2505" t="str">
        <f t="shared" ref="F2505:F2568" ca="1" si="488">+OFFSET(INDIRECT(C2505),0,1)</f>
        <v>Vector(X = 0.977, Y = 0.212, Z = 0.000, Length = 1.000)</v>
      </c>
      <c r="G2505">
        <f t="shared" ref="G2505:G2568" ca="1" si="489">+OFFSET(INDIRECT(C2505),0,2)</f>
        <v>1</v>
      </c>
      <c r="H2505">
        <f t="shared" ref="H2505:H2568" ca="1" si="490">+OFFSET(INDIRECT(C2505),0,3)</f>
        <v>0.2</v>
      </c>
      <c r="I2505">
        <f t="shared" ref="I2505:I2568" ca="1" si="491">+OFFSET(INDIRECT(C2505),0,4)</f>
        <v>0</v>
      </c>
      <c r="J2505" s="8">
        <f t="shared" ref="J2505:J2568" ca="1" si="492">+DEGREES(ATAN2(G2505,H2505))</f>
        <v>11.309932474020215</v>
      </c>
      <c r="K2505" s="9" t="str">
        <f t="shared" ref="K2505:K2568" ca="1" si="493">VLOOKUP(J2505,$O$20:$P$36,2,-1)</f>
        <v>E</v>
      </c>
      <c r="L2505">
        <f ca="1">+_xlfn.IFNA(VLOOKUP(M2505,BespokeWindowsAreas!$B$2:$E$1999,4,FALSE),VLOOKUP(E2505,WindowTypeArea!$B$2:$C$113,2,FALSE))</f>
        <v>4.4850000000000003</v>
      </c>
      <c r="M2505">
        <f t="shared" ca="1" si="480"/>
        <v>5570081</v>
      </c>
    </row>
    <row r="2506" spans="1:13" x14ac:dyDescent="0.25">
      <c r="A2506">
        <f t="shared" ca="1" si="473"/>
        <v>12</v>
      </c>
      <c r="B2506">
        <f t="shared" ca="1" si="474"/>
        <v>45</v>
      </c>
      <c r="C2506" t="str">
        <f t="shared" ca="1" si="485"/>
        <v>'WINDOWS-NCH-A-OCMA-M3-LG-0'!B44</v>
      </c>
      <c r="D2506" s="6" t="str">
        <f t="shared" ca="1" si="486"/>
        <v>LG-PAT-NNS-S115-15</v>
      </c>
      <c r="E2506" t="str">
        <f t="shared" ca="1" si="487"/>
        <v>LG-PAT-NNS-S115-15</v>
      </c>
      <c r="F2506">
        <f t="shared" ca="1" si="488"/>
        <v>1645036</v>
      </c>
      <c r="G2506">
        <f t="shared" ca="1" si="489"/>
        <v>0</v>
      </c>
      <c r="H2506">
        <f t="shared" ca="1" si="490"/>
        <v>0</v>
      </c>
      <c r="I2506">
        <f t="shared" ca="1" si="491"/>
        <v>0</v>
      </c>
      <c r="J2506" s="8" t="e">
        <f t="shared" ca="1" si="492"/>
        <v>#DIV/0!</v>
      </c>
      <c r="K2506" s="9" t="e">
        <f t="shared" ca="1" si="493"/>
        <v>#DIV/0!</v>
      </c>
      <c r="L2506" t="e">
        <f ca="1">+_xlfn.IFNA(VLOOKUP(M2506,BespokeWindowsAreas!$B$2:$E$1999,4,FALSE),VLOOKUP(E2506,WindowTypeArea!$B$2:$C$113,2,FALSE))</f>
        <v>#N/A</v>
      </c>
      <c r="M2506">
        <f t="shared" ca="1" si="480"/>
        <v>0</v>
      </c>
    </row>
    <row r="2507" spans="1:13" x14ac:dyDescent="0.25">
      <c r="A2507">
        <f t="shared" ca="1" si="473"/>
        <v>12</v>
      </c>
      <c r="B2507">
        <f t="shared" ca="1" si="474"/>
        <v>46</v>
      </c>
      <c r="C2507" t="str">
        <f t="shared" ca="1" si="485"/>
        <v>'WINDOWS-NCH-A-OCMA-M3-LG-0'!B45</v>
      </c>
      <c r="D2507" s="6" t="str">
        <f t="shared" ca="1" si="486"/>
        <v>LG-PAT-NNS-S115-15</v>
      </c>
      <c r="E2507" t="str">
        <f t="shared" ca="1" si="487"/>
        <v>Family Type: 1500w x 3050h, Family: Window Internal Type 1 - Flush</v>
      </c>
      <c r="F2507" t="str">
        <f t="shared" ca="1" si="488"/>
        <v>Vector(X = 0.212, Y = -0.977, Z = 0.000, Length = 1.000)</v>
      </c>
      <c r="G2507">
        <f t="shared" ca="1" si="489"/>
        <v>0.2</v>
      </c>
      <c r="H2507">
        <f t="shared" ca="1" si="490"/>
        <v>-1</v>
      </c>
      <c r="I2507">
        <f t="shared" ca="1" si="491"/>
        <v>0</v>
      </c>
      <c r="J2507" s="8">
        <f t="shared" ca="1" si="492"/>
        <v>-78.690067525979785</v>
      </c>
      <c r="K2507" s="9" t="str">
        <f t="shared" ca="1" si="493"/>
        <v>S</v>
      </c>
      <c r="L2507">
        <f ca="1">+_xlfn.IFNA(VLOOKUP(M2507,BespokeWindowsAreas!$B$2:$E$1999,4,FALSE),VLOOKUP(E2507,WindowTypeArea!$B$2:$C$113,2,FALSE))</f>
        <v>4.5749999999999993</v>
      </c>
      <c r="M2507">
        <f t="shared" ca="1" si="480"/>
        <v>6320876</v>
      </c>
    </row>
    <row r="2508" spans="1:13" x14ac:dyDescent="0.25">
      <c r="A2508">
        <f t="shared" ca="1" si="473"/>
        <v>12</v>
      </c>
      <c r="B2508">
        <f t="shared" ca="1" si="474"/>
        <v>47</v>
      </c>
      <c r="C2508" t="str">
        <f t="shared" ca="1" si="485"/>
        <v>'WINDOWS-NCH-A-OCMA-M3-LG-0'!B46</v>
      </c>
      <c r="D2508" s="6" t="str">
        <f t="shared" ca="1" si="486"/>
        <v>LG-PAT-MIC-U0504-01</v>
      </c>
      <c r="E2508" t="str">
        <f t="shared" ca="1" si="487"/>
        <v>LG-PAT-MIC-U0504-01</v>
      </c>
      <c r="F2508">
        <f t="shared" ca="1" si="488"/>
        <v>1645042</v>
      </c>
      <c r="G2508">
        <f t="shared" ca="1" si="489"/>
        <v>0</v>
      </c>
      <c r="H2508">
        <f t="shared" ca="1" si="490"/>
        <v>0</v>
      </c>
      <c r="I2508">
        <f t="shared" ca="1" si="491"/>
        <v>0</v>
      </c>
      <c r="J2508" s="8" t="e">
        <f t="shared" ca="1" si="492"/>
        <v>#DIV/0!</v>
      </c>
      <c r="K2508" s="9" t="e">
        <f t="shared" ca="1" si="493"/>
        <v>#DIV/0!</v>
      </c>
      <c r="L2508" t="e">
        <f ca="1">+_xlfn.IFNA(VLOOKUP(M2508,BespokeWindowsAreas!$B$2:$E$1999,4,FALSE),VLOOKUP(E2508,WindowTypeArea!$B$2:$C$113,2,FALSE))</f>
        <v>#N/A</v>
      </c>
      <c r="M2508">
        <f t="shared" ca="1" si="480"/>
        <v>0</v>
      </c>
    </row>
    <row r="2509" spans="1:13" x14ac:dyDescent="0.25">
      <c r="A2509">
        <f t="shared" ca="1" si="473"/>
        <v>12</v>
      </c>
      <c r="B2509">
        <f t="shared" ca="1" si="474"/>
        <v>48</v>
      </c>
      <c r="C2509" t="str">
        <f t="shared" ca="1" si="485"/>
        <v>'WINDOWS-NCH-A-OCMA-M3-LG-0'!B47</v>
      </c>
      <c r="D2509" s="6" t="str">
        <f t="shared" ca="1" si="486"/>
        <v>LG-PAT-MIC-U0504-01</v>
      </c>
      <c r="E2509" t="str">
        <f t="shared" ca="1" si="487"/>
        <v>Family Type: 1950w x 2300h, Family: Window External Type 1 - Recessed</v>
      </c>
      <c r="F2509" t="str">
        <f t="shared" ca="1" si="488"/>
        <v>Vector(X = 0.977, Y = 0.212, Z = 0.000, Length = 1.000)</v>
      </c>
      <c r="G2509">
        <f t="shared" ca="1" si="489"/>
        <v>1</v>
      </c>
      <c r="H2509">
        <f t="shared" ca="1" si="490"/>
        <v>0.2</v>
      </c>
      <c r="I2509">
        <f t="shared" ca="1" si="491"/>
        <v>0</v>
      </c>
      <c r="J2509" s="8">
        <f t="shared" ca="1" si="492"/>
        <v>11.309932474020215</v>
      </c>
      <c r="K2509" s="9" t="str">
        <f t="shared" ca="1" si="493"/>
        <v>E</v>
      </c>
      <c r="L2509">
        <f ca="1">+_xlfn.IFNA(VLOOKUP(M2509,BespokeWindowsAreas!$B$2:$E$1999,4,FALSE),VLOOKUP(E2509,WindowTypeArea!$B$2:$C$113,2,FALSE))</f>
        <v>4.4850000000000003</v>
      </c>
      <c r="M2509">
        <f t="shared" ca="1" si="480"/>
        <v>5566951</v>
      </c>
    </row>
    <row r="2510" spans="1:13" x14ac:dyDescent="0.25">
      <c r="A2510">
        <f t="shared" ca="1" si="473"/>
        <v>12</v>
      </c>
      <c r="B2510">
        <f t="shared" ca="1" si="474"/>
        <v>49</v>
      </c>
      <c r="C2510" t="str">
        <f t="shared" ca="1" si="485"/>
        <v>'WINDOWS-NCH-A-OCMA-M3-LG-0'!B48</v>
      </c>
      <c r="D2510" s="6" t="str">
        <f t="shared" ca="1" si="486"/>
        <v>LG-PAT-MIC-U0504-01</v>
      </c>
      <c r="E2510" t="str">
        <f t="shared" ca="1" si="487"/>
        <v>Family Type: 1950w x 2300h, Family: Window External Type 1 - Recessed</v>
      </c>
      <c r="F2510" t="str">
        <f t="shared" ca="1" si="488"/>
        <v>Vector(X = 0.977, Y = 0.212, Z = 0.000, Length = 1.000)</v>
      </c>
      <c r="G2510">
        <f t="shared" ca="1" si="489"/>
        <v>1</v>
      </c>
      <c r="H2510">
        <f t="shared" ca="1" si="490"/>
        <v>0.2</v>
      </c>
      <c r="I2510">
        <f t="shared" ca="1" si="491"/>
        <v>0</v>
      </c>
      <c r="J2510" s="8">
        <f t="shared" ca="1" si="492"/>
        <v>11.309932474020215</v>
      </c>
      <c r="K2510" s="9" t="str">
        <f t="shared" ca="1" si="493"/>
        <v>E</v>
      </c>
      <c r="L2510">
        <f ca="1">+_xlfn.IFNA(VLOOKUP(M2510,BespokeWindowsAreas!$B$2:$E$1999,4,FALSE),VLOOKUP(E2510,WindowTypeArea!$B$2:$C$113,2,FALSE))</f>
        <v>4.4850000000000003</v>
      </c>
      <c r="M2510">
        <f t="shared" ca="1" si="480"/>
        <v>5567208</v>
      </c>
    </row>
    <row r="2511" spans="1:13" x14ac:dyDescent="0.25">
      <c r="A2511">
        <f t="shared" ca="1" si="473"/>
        <v>12</v>
      </c>
      <c r="B2511">
        <f t="shared" ca="1" si="474"/>
        <v>50</v>
      </c>
      <c r="C2511" t="str">
        <f t="shared" ca="1" si="485"/>
        <v>'WINDOWS-NCH-A-OCMA-M3-LG-0'!B49</v>
      </c>
      <c r="D2511" s="6" t="str">
        <f t="shared" ca="1" si="486"/>
        <v>LG-PAT-MIC-U0505-01</v>
      </c>
      <c r="E2511" t="str">
        <f t="shared" ca="1" si="487"/>
        <v>LG-PAT-MIC-U0505-01</v>
      </c>
      <c r="F2511">
        <f t="shared" ca="1" si="488"/>
        <v>1645043</v>
      </c>
      <c r="G2511">
        <f t="shared" ca="1" si="489"/>
        <v>0</v>
      </c>
      <c r="H2511">
        <f t="shared" ca="1" si="490"/>
        <v>0</v>
      </c>
      <c r="I2511">
        <f t="shared" ca="1" si="491"/>
        <v>0</v>
      </c>
      <c r="J2511" s="8" t="e">
        <f t="shared" ca="1" si="492"/>
        <v>#DIV/0!</v>
      </c>
      <c r="K2511" s="9" t="e">
        <f t="shared" ca="1" si="493"/>
        <v>#DIV/0!</v>
      </c>
      <c r="L2511" t="e">
        <f ca="1">+_xlfn.IFNA(VLOOKUP(M2511,BespokeWindowsAreas!$B$2:$E$1999,4,FALSE),VLOOKUP(E2511,WindowTypeArea!$B$2:$C$113,2,FALSE))</f>
        <v>#N/A</v>
      </c>
      <c r="M2511">
        <f t="shared" ca="1" si="480"/>
        <v>0</v>
      </c>
    </row>
    <row r="2512" spans="1:13" x14ac:dyDescent="0.25">
      <c r="A2512">
        <f t="shared" ca="1" si="473"/>
        <v>12</v>
      </c>
      <c r="B2512">
        <f t="shared" ca="1" si="474"/>
        <v>51</v>
      </c>
      <c r="C2512" t="str">
        <f t="shared" ca="1" si="485"/>
        <v>'WINDOWS-NCH-A-OCMA-M3-LG-0'!B50</v>
      </c>
      <c r="D2512" s="6" t="str">
        <f t="shared" ca="1" si="486"/>
        <v>LG-PAT-MIC-U0505-01</v>
      </c>
      <c r="E2512" t="str">
        <f t="shared" ca="1" si="487"/>
        <v>Family Type: 1950w x 2300h, Family: Window External Type 1 - Recessed</v>
      </c>
      <c r="F2512" t="str">
        <f t="shared" ca="1" si="488"/>
        <v>Vector(X = 0.977, Y = 0.212, Z = 0.000, Length = 1.000)</v>
      </c>
      <c r="G2512">
        <f t="shared" ca="1" si="489"/>
        <v>1</v>
      </c>
      <c r="H2512">
        <f t="shared" ca="1" si="490"/>
        <v>0.2</v>
      </c>
      <c r="I2512">
        <f t="shared" ca="1" si="491"/>
        <v>0</v>
      </c>
      <c r="J2512" s="8">
        <f t="shared" ca="1" si="492"/>
        <v>11.309932474020215</v>
      </c>
      <c r="K2512" s="9" t="str">
        <f t="shared" ca="1" si="493"/>
        <v>E</v>
      </c>
      <c r="L2512">
        <f ca="1">+_xlfn.IFNA(VLOOKUP(M2512,BespokeWindowsAreas!$B$2:$E$1999,4,FALSE),VLOOKUP(E2512,WindowTypeArea!$B$2:$C$113,2,FALSE))</f>
        <v>4.4850000000000003</v>
      </c>
      <c r="M2512">
        <f t="shared" ca="1" si="480"/>
        <v>5567208</v>
      </c>
    </row>
    <row r="2513" spans="1:13" x14ac:dyDescent="0.25">
      <c r="A2513">
        <f t="shared" ca="1" si="473"/>
        <v>12</v>
      </c>
      <c r="B2513">
        <f t="shared" ca="1" si="474"/>
        <v>52</v>
      </c>
      <c r="C2513" t="str">
        <f t="shared" ca="1" si="485"/>
        <v>'WINDOWS-NCH-A-OCMA-M3-LG-0'!B51</v>
      </c>
      <c r="D2513" s="6" t="str">
        <f t="shared" ca="1" si="486"/>
        <v>LG-PAT-MIC-U0505-01</v>
      </c>
      <c r="E2513" t="str">
        <f t="shared" ca="1" si="487"/>
        <v>Family Type: 1950w x 2300h, Family: Window External Type 1 - Recessed</v>
      </c>
      <c r="F2513" t="str">
        <f t="shared" ca="1" si="488"/>
        <v>Vector(X = 0.977, Y = 0.212, Z = 0.000, Length = 1.000)</v>
      </c>
      <c r="G2513">
        <f t="shared" ca="1" si="489"/>
        <v>1</v>
      </c>
      <c r="H2513">
        <f t="shared" ca="1" si="490"/>
        <v>0.2</v>
      </c>
      <c r="I2513">
        <f t="shared" ca="1" si="491"/>
        <v>0</v>
      </c>
      <c r="J2513" s="8">
        <f t="shared" ca="1" si="492"/>
        <v>11.309932474020215</v>
      </c>
      <c r="K2513" s="9" t="str">
        <f t="shared" ca="1" si="493"/>
        <v>E</v>
      </c>
      <c r="L2513">
        <f ca="1">+_xlfn.IFNA(VLOOKUP(M2513,BespokeWindowsAreas!$B$2:$E$1999,4,FALSE),VLOOKUP(E2513,WindowTypeArea!$B$2:$C$113,2,FALSE))</f>
        <v>4.4850000000000003</v>
      </c>
      <c r="M2513">
        <f t="shared" ca="1" si="480"/>
        <v>5567282</v>
      </c>
    </row>
    <row r="2514" spans="1:13" x14ac:dyDescent="0.25">
      <c r="A2514">
        <f t="shared" ca="1" si="473"/>
        <v>12</v>
      </c>
      <c r="B2514">
        <f t="shared" ca="1" si="474"/>
        <v>53</v>
      </c>
      <c r="C2514" t="str">
        <f t="shared" ca="1" si="485"/>
        <v>'WINDOWS-NCH-A-OCMA-M3-LG-0'!B52</v>
      </c>
      <c r="D2514" s="6" t="str">
        <f t="shared" ca="1" si="486"/>
        <v>LG-PAT-MIC-U0506-01</v>
      </c>
      <c r="E2514" t="str">
        <f t="shared" ca="1" si="487"/>
        <v>LG-PAT-MIC-U0506-01</v>
      </c>
      <c r="F2514">
        <f t="shared" ca="1" si="488"/>
        <v>1645044</v>
      </c>
      <c r="G2514">
        <f t="shared" ca="1" si="489"/>
        <v>0</v>
      </c>
      <c r="H2514">
        <f t="shared" ca="1" si="490"/>
        <v>0</v>
      </c>
      <c r="I2514">
        <f t="shared" ca="1" si="491"/>
        <v>0</v>
      </c>
      <c r="J2514" s="8" t="e">
        <f t="shared" ca="1" si="492"/>
        <v>#DIV/0!</v>
      </c>
      <c r="K2514" s="9" t="e">
        <f t="shared" ca="1" si="493"/>
        <v>#DIV/0!</v>
      </c>
      <c r="L2514" t="e">
        <f ca="1">+_xlfn.IFNA(VLOOKUP(M2514,BespokeWindowsAreas!$B$2:$E$1999,4,FALSE),VLOOKUP(E2514,WindowTypeArea!$B$2:$C$113,2,FALSE))</f>
        <v>#N/A</v>
      </c>
      <c r="M2514">
        <f t="shared" ca="1" si="480"/>
        <v>0</v>
      </c>
    </row>
    <row r="2515" spans="1:13" x14ac:dyDescent="0.25">
      <c r="A2515">
        <f t="shared" ca="1" si="473"/>
        <v>12</v>
      </c>
      <c r="B2515">
        <f t="shared" ca="1" si="474"/>
        <v>54</v>
      </c>
      <c r="C2515" t="str">
        <f t="shared" ca="1" si="485"/>
        <v>'WINDOWS-NCH-A-OCMA-M3-LG-0'!B53</v>
      </c>
      <c r="D2515" s="6" t="str">
        <f t="shared" ca="1" si="486"/>
        <v>LG-PAT-MIC-U0506-01</v>
      </c>
      <c r="E2515" t="str">
        <f t="shared" ca="1" si="487"/>
        <v>Family Type: 1950w x 2300h, Family: Window External Type 1 - Recessed</v>
      </c>
      <c r="F2515" t="str">
        <f t="shared" ca="1" si="488"/>
        <v>Vector(X = 0.977, Y = 0.212, Z = 0.000, Length = 1.000)</v>
      </c>
      <c r="G2515">
        <f t="shared" ca="1" si="489"/>
        <v>1</v>
      </c>
      <c r="H2515">
        <f t="shared" ca="1" si="490"/>
        <v>0.2</v>
      </c>
      <c r="I2515">
        <f t="shared" ca="1" si="491"/>
        <v>0</v>
      </c>
      <c r="J2515" s="8">
        <f t="shared" ca="1" si="492"/>
        <v>11.309932474020215</v>
      </c>
      <c r="K2515" s="9" t="str">
        <f t="shared" ca="1" si="493"/>
        <v>E</v>
      </c>
      <c r="L2515">
        <f ca="1">+_xlfn.IFNA(VLOOKUP(M2515,BespokeWindowsAreas!$B$2:$E$1999,4,FALSE),VLOOKUP(E2515,WindowTypeArea!$B$2:$C$113,2,FALSE))</f>
        <v>4.4850000000000003</v>
      </c>
      <c r="M2515">
        <f t="shared" ca="1" si="480"/>
        <v>5567699</v>
      </c>
    </row>
    <row r="2516" spans="1:13" x14ac:dyDescent="0.25">
      <c r="A2516">
        <f t="shared" ref="A2516:A2579" ca="1" si="494">+IF(B2515&lt;=VLOOKUP(MID(C2516,2,26),TABS,2,FALSE),A2515,+A2515+1)</f>
        <v>12</v>
      </c>
      <c r="B2516">
        <f t="shared" ref="B2516:B2579" ca="1" si="495">+IF(B2515&lt;=VLOOKUP(MID(C2516,2,26),TABS,2,FALSE),B2515+1,1)</f>
        <v>55</v>
      </c>
      <c r="C2516" t="str">
        <f t="shared" ca="1" si="485"/>
        <v>'WINDOWS-NCH-A-OCMA-M3-LG-0'!B54</v>
      </c>
      <c r="D2516" s="6" t="str">
        <f t="shared" ca="1" si="486"/>
        <v>LG-PAT-MIC-U0506-01</v>
      </c>
      <c r="E2516" t="str">
        <f t="shared" ca="1" si="487"/>
        <v>Family Type: 975w x 2300h, Family: Window External Type 1 - Recessed</v>
      </c>
      <c r="F2516" t="str">
        <f t="shared" ca="1" si="488"/>
        <v>Vector(X = 0.977, Y = 0.212, Z = 0.000, Length = 1.000)</v>
      </c>
      <c r="G2516">
        <f t="shared" ca="1" si="489"/>
        <v>1</v>
      </c>
      <c r="H2516">
        <f t="shared" ca="1" si="490"/>
        <v>0.2</v>
      </c>
      <c r="I2516">
        <f t="shared" ca="1" si="491"/>
        <v>0</v>
      </c>
      <c r="J2516" s="8">
        <f t="shared" ca="1" si="492"/>
        <v>11.309932474020215</v>
      </c>
      <c r="K2516" s="9" t="str">
        <f t="shared" ca="1" si="493"/>
        <v>E</v>
      </c>
      <c r="L2516">
        <f ca="1">+_xlfn.IFNA(VLOOKUP(M2516,BespokeWindowsAreas!$B$2:$E$1999,4,FALSE),VLOOKUP(E2516,WindowTypeArea!$B$2:$C$113,2,FALSE))</f>
        <v>2.2425000000000002</v>
      </c>
      <c r="M2516">
        <f t="shared" ca="1" si="480"/>
        <v>5567861</v>
      </c>
    </row>
    <row r="2517" spans="1:13" x14ac:dyDescent="0.25">
      <c r="A2517">
        <f t="shared" ca="1" si="494"/>
        <v>12</v>
      </c>
      <c r="B2517">
        <f t="shared" ca="1" si="495"/>
        <v>56</v>
      </c>
      <c r="C2517" t="str">
        <f t="shared" ca="1" si="485"/>
        <v>'WINDOWS-NCH-A-OCMA-M3-LG-0'!B55</v>
      </c>
      <c r="D2517" s="6" t="str">
        <f t="shared" ca="1" si="486"/>
        <v>LG-PAT-MOL-U0510-01</v>
      </c>
      <c r="E2517" t="str">
        <f t="shared" ca="1" si="487"/>
        <v>LG-PAT-MOL-U0510-01</v>
      </c>
      <c r="F2517">
        <f t="shared" ca="1" si="488"/>
        <v>1645052</v>
      </c>
      <c r="G2517">
        <f t="shared" ca="1" si="489"/>
        <v>0</v>
      </c>
      <c r="H2517">
        <f t="shared" ca="1" si="490"/>
        <v>0</v>
      </c>
      <c r="I2517">
        <f t="shared" ca="1" si="491"/>
        <v>0</v>
      </c>
      <c r="J2517" s="8" t="e">
        <f t="shared" ca="1" si="492"/>
        <v>#DIV/0!</v>
      </c>
      <c r="K2517" s="9" t="e">
        <f t="shared" ca="1" si="493"/>
        <v>#DIV/0!</v>
      </c>
      <c r="L2517" t="e">
        <f ca="1">+_xlfn.IFNA(VLOOKUP(M2517,BespokeWindowsAreas!$B$2:$E$1999,4,FALSE),VLOOKUP(E2517,WindowTypeArea!$B$2:$C$113,2,FALSE))</f>
        <v>#N/A</v>
      </c>
      <c r="M2517">
        <f t="shared" ca="1" si="480"/>
        <v>0</v>
      </c>
    </row>
    <row r="2518" spans="1:13" x14ac:dyDescent="0.25">
      <c r="A2518">
        <f t="shared" ca="1" si="494"/>
        <v>12</v>
      </c>
      <c r="B2518">
        <f t="shared" ca="1" si="495"/>
        <v>57</v>
      </c>
      <c r="C2518" t="str">
        <f t="shared" ca="1" si="485"/>
        <v>'WINDOWS-NCH-A-OCMA-M3-LG-0'!B56</v>
      </c>
      <c r="D2518" s="6" t="str">
        <f t="shared" ca="1" si="486"/>
        <v>LG-PAT-MOL-U0510-01</v>
      </c>
      <c r="E2518" t="str">
        <f t="shared" ca="1" si="487"/>
        <v>Family Type: 1560w x 2300h, Family: Window External Type 3 - Recessed and Angle</v>
      </c>
      <c r="F2518" t="str">
        <f t="shared" ca="1" si="488"/>
        <v>Vector(X = 0.977, Y = 0.212, Z = 0.000, Length = 1.000)</v>
      </c>
      <c r="G2518">
        <f t="shared" ca="1" si="489"/>
        <v>1</v>
      </c>
      <c r="H2518">
        <f t="shared" ca="1" si="490"/>
        <v>0.2</v>
      </c>
      <c r="I2518">
        <f t="shared" ca="1" si="491"/>
        <v>0</v>
      </c>
      <c r="J2518" s="8">
        <f t="shared" ca="1" si="492"/>
        <v>11.309932474020215</v>
      </c>
      <c r="K2518" s="9" t="str">
        <f t="shared" ca="1" si="493"/>
        <v>E</v>
      </c>
      <c r="L2518">
        <f ca="1">+_xlfn.IFNA(VLOOKUP(M2518,BespokeWindowsAreas!$B$2:$E$1999,4,FALSE),VLOOKUP(E2518,WindowTypeArea!$B$2:$C$113,2,FALSE))</f>
        <v>3.5880000000000001</v>
      </c>
      <c r="M2518">
        <f t="shared" ref="M2518:M2581" ca="1" si="496">+OFFSET(INDIRECT(C2518),0,5)</f>
        <v>5566313</v>
      </c>
    </row>
    <row r="2519" spans="1:13" x14ac:dyDescent="0.25">
      <c r="A2519">
        <f t="shared" ca="1" si="494"/>
        <v>12</v>
      </c>
      <c r="B2519">
        <f t="shared" ca="1" si="495"/>
        <v>58</v>
      </c>
      <c r="C2519" t="str">
        <f t="shared" ca="1" si="485"/>
        <v>'WINDOWS-NCH-A-OCMA-M3-LG-0'!B57</v>
      </c>
      <c r="D2519" s="6" t="str">
        <f t="shared" ca="1" si="486"/>
        <v>LG-PAT-MOL-U0510-01</v>
      </c>
      <c r="E2519" t="str">
        <f t="shared" ca="1" si="487"/>
        <v>Family Type: 1950w x 2300h, Family: Window External Type 1 - Recessed</v>
      </c>
      <c r="F2519" t="str">
        <f t="shared" ca="1" si="488"/>
        <v>Vector(X = 0.977, Y = 0.212, Z = 0.000, Length = 1.000)</v>
      </c>
      <c r="G2519">
        <f t="shared" ca="1" si="489"/>
        <v>1</v>
      </c>
      <c r="H2519">
        <f t="shared" ca="1" si="490"/>
        <v>0.2</v>
      </c>
      <c r="I2519">
        <f t="shared" ca="1" si="491"/>
        <v>0</v>
      </c>
      <c r="J2519" s="8">
        <f t="shared" ca="1" si="492"/>
        <v>11.309932474020215</v>
      </c>
      <c r="K2519" s="9" t="str">
        <f t="shared" ca="1" si="493"/>
        <v>E</v>
      </c>
      <c r="L2519">
        <f ca="1">+_xlfn.IFNA(VLOOKUP(M2519,BespokeWindowsAreas!$B$2:$E$1999,4,FALSE),VLOOKUP(E2519,WindowTypeArea!$B$2:$C$113,2,FALSE))</f>
        <v>4.4850000000000003</v>
      </c>
      <c r="M2519">
        <f t="shared" ca="1" si="496"/>
        <v>5566405</v>
      </c>
    </row>
    <row r="2520" spans="1:13" x14ac:dyDescent="0.25">
      <c r="A2520">
        <f t="shared" ca="1" si="494"/>
        <v>12</v>
      </c>
      <c r="B2520">
        <f t="shared" ca="1" si="495"/>
        <v>59</v>
      </c>
      <c r="C2520" t="str">
        <f t="shared" ca="1" si="485"/>
        <v>'WINDOWS-NCH-A-OCMA-M3-LG-0'!B58</v>
      </c>
      <c r="D2520" s="6" t="str">
        <f t="shared" ca="1" si="486"/>
        <v>LG-PAT-MOL-U0511-01</v>
      </c>
      <c r="E2520" t="str">
        <f t="shared" ca="1" si="487"/>
        <v>LG-PAT-MOL-U0511-01</v>
      </c>
      <c r="F2520">
        <f t="shared" ca="1" si="488"/>
        <v>1645053</v>
      </c>
      <c r="G2520">
        <f t="shared" ca="1" si="489"/>
        <v>0</v>
      </c>
      <c r="H2520">
        <f t="shared" ca="1" si="490"/>
        <v>0</v>
      </c>
      <c r="I2520">
        <f t="shared" ca="1" si="491"/>
        <v>0</v>
      </c>
      <c r="J2520" s="8" t="e">
        <f t="shared" ca="1" si="492"/>
        <v>#DIV/0!</v>
      </c>
      <c r="K2520" s="9" t="e">
        <f t="shared" ca="1" si="493"/>
        <v>#DIV/0!</v>
      </c>
      <c r="L2520" t="e">
        <f ca="1">+_xlfn.IFNA(VLOOKUP(M2520,BespokeWindowsAreas!$B$2:$E$1999,4,FALSE),VLOOKUP(E2520,WindowTypeArea!$B$2:$C$113,2,FALSE))</f>
        <v>#N/A</v>
      </c>
      <c r="M2520">
        <f t="shared" ca="1" si="496"/>
        <v>0</v>
      </c>
    </row>
    <row r="2521" spans="1:13" x14ac:dyDescent="0.25">
      <c r="A2521">
        <f t="shared" ca="1" si="494"/>
        <v>12</v>
      </c>
      <c r="B2521">
        <f t="shared" ca="1" si="495"/>
        <v>60</v>
      </c>
      <c r="C2521" t="str">
        <f t="shared" ca="1" si="485"/>
        <v>'WINDOWS-NCH-A-OCMA-M3-LG-0'!B59</v>
      </c>
      <c r="D2521" s="6" t="str">
        <f t="shared" ca="1" si="486"/>
        <v>LG-PAT-MOL-U0511-01</v>
      </c>
      <c r="E2521" t="str">
        <f t="shared" ca="1" si="487"/>
        <v>Family Type: 1950w x 2300h, Family: Window External Type 1 - Recessed</v>
      </c>
      <c r="F2521" t="str">
        <f t="shared" ca="1" si="488"/>
        <v>Vector(X = 0.977, Y = 0.212, Z = 0.000, Length = 1.000)</v>
      </c>
      <c r="G2521">
        <f t="shared" ca="1" si="489"/>
        <v>1</v>
      </c>
      <c r="H2521">
        <f t="shared" ca="1" si="490"/>
        <v>0.2</v>
      </c>
      <c r="I2521">
        <f t="shared" ca="1" si="491"/>
        <v>0</v>
      </c>
      <c r="J2521" s="8">
        <f t="shared" ca="1" si="492"/>
        <v>11.309932474020215</v>
      </c>
      <c r="K2521" s="9" t="str">
        <f t="shared" ca="1" si="493"/>
        <v>E</v>
      </c>
      <c r="L2521">
        <f ca="1">+_xlfn.IFNA(VLOOKUP(M2521,BespokeWindowsAreas!$B$2:$E$1999,4,FALSE),VLOOKUP(E2521,WindowTypeArea!$B$2:$C$113,2,FALSE))</f>
        <v>4.4850000000000003</v>
      </c>
      <c r="M2521">
        <f t="shared" ca="1" si="496"/>
        <v>5566405</v>
      </c>
    </row>
    <row r="2522" spans="1:13" x14ac:dyDescent="0.25">
      <c r="A2522">
        <f t="shared" ca="1" si="494"/>
        <v>12</v>
      </c>
      <c r="B2522">
        <f t="shared" ca="1" si="495"/>
        <v>61</v>
      </c>
      <c r="C2522" t="str">
        <f t="shared" ca="1" si="485"/>
        <v>'WINDOWS-NCH-A-OCMA-M3-LG-0'!B60</v>
      </c>
      <c r="D2522" s="6" t="str">
        <f t="shared" ca="1" si="486"/>
        <v>LG-PAT-MOL-U0512-01</v>
      </c>
      <c r="E2522" t="str">
        <f t="shared" ca="1" si="487"/>
        <v>LG-PAT-MOL-U0512-01</v>
      </c>
      <c r="F2522">
        <f t="shared" ca="1" si="488"/>
        <v>1645054</v>
      </c>
      <c r="G2522">
        <f t="shared" ca="1" si="489"/>
        <v>0</v>
      </c>
      <c r="H2522">
        <f t="shared" ca="1" si="490"/>
        <v>0</v>
      </c>
      <c r="I2522">
        <f t="shared" ca="1" si="491"/>
        <v>0</v>
      </c>
      <c r="J2522" s="8" t="e">
        <f t="shared" ca="1" si="492"/>
        <v>#DIV/0!</v>
      </c>
      <c r="K2522" s="9" t="e">
        <f t="shared" ca="1" si="493"/>
        <v>#DIV/0!</v>
      </c>
      <c r="L2522" t="e">
        <f ca="1">+_xlfn.IFNA(VLOOKUP(M2522,BespokeWindowsAreas!$B$2:$E$1999,4,FALSE),VLOOKUP(E2522,WindowTypeArea!$B$2:$C$113,2,FALSE))</f>
        <v>#N/A</v>
      </c>
      <c r="M2522">
        <f t="shared" ca="1" si="496"/>
        <v>0</v>
      </c>
    </row>
    <row r="2523" spans="1:13" x14ac:dyDescent="0.25">
      <c r="A2523">
        <f t="shared" ca="1" si="494"/>
        <v>12</v>
      </c>
      <c r="B2523">
        <f t="shared" ca="1" si="495"/>
        <v>62</v>
      </c>
      <c r="C2523" t="str">
        <f t="shared" ca="1" si="485"/>
        <v>'WINDOWS-NCH-A-OCMA-M3-LG-0'!B61</v>
      </c>
      <c r="D2523" s="6" t="str">
        <f t="shared" ca="1" si="486"/>
        <v>LG-PAT-MOL-U0512-01</v>
      </c>
      <c r="E2523" t="str">
        <f t="shared" ca="1" si="487"/>
        <v>Family Type: 975w x 2300h, Family: Window External Type 1 - Recessed</v>
      </c>
      <c r="F2523" t="str">
        <f t="shared" ca="1" si="488"/>
        <v>Vector(X = 0.977, Y = 0.212, Z = 0.000, Length = 1.000)</v>
      </c>
      <c r="G2523">
        <f t="shared" ca="1" si="489"/>
        <v>1</v>
      </c>
      <c r="H2523">
        <f t="shared" ca="1" si="490"/>
        <v>0.2</v>
      </c>
      <c r="I2523">
        <f t="shared" ca="1" si="491"/>
        <v>0</v>
      </c>
      <c r="J2523" s="8">
        <f t="shared" ca="1" si="492"/>
        <v>11.309932474020215</v>
      </c>
      <c r="K2523" s="9" t="str">
        <f t="shared" ca="1" si="493"/>
        <v>E</v>
      </c>
      <c r="L2523">
        <f ca="1">+_xlfn.IFNA(VLOOKUP(M2523,BespokeWindowsAreas!$B$2:$E$1999,4,FALSE),VLOOKUP(E2523,WindowTypeArea!$B$2:$C$113,2,FALSE))</f>
        <v>2.2425000000000002</v>
      </c>
      <c r="M2523">
        <f t="shared" ca="1" si="496"/>
        <v>5566615</v>
      </c>
    </row>
    <row r="2524" spans="1:13" x14ac:dyDescent="0.25">
      <c r="A2524">
        <f t="shared" ca="1" si="494"/>
        <v>12</v>
      </c>
      <c r="B2524">
        <f t="shared" ca="1" si="495"/>
        <v>63</v>
      </c>
      <c r="C2524" t="str">
        <f t="shared" ca="1" si="485"/>
        <v>'WINDOWS-NCH-A-OCMA-M3-LG-0'!B62</v>
      </c>
      <c r="D2524" s="6" t="str">
        <f t="shared" ca="1" si="486"/>
        <v>LG-PAT-MOL-U0512-01</v>
      </c>
      <c r="E2524" t="str">
        <f t="shared" ca="1" si="487"/>
        <v>Family Type: 975w x 2300h, Family: Window External Type 1 - Recessed</v>
      </c>
      <c r="F2524" t="str">
        <f t="shared" ca="1" si="488"/>
        <v>Vector(X = 0.977, Y = 0.212, Z = 0.000, Length = 1.000)</v>
      </c>
      <c r="G2524">
        <f t="shared" ca="1" si="489"/>
        <v>1</v>
      </c>
      <c r="H2524">
        <f t="shared" ca="1" si="490"/>
        <v>0.2</v>
      </c>
      <c r="I2524">
        <f t="shared" ca="1" si="491"/>
        <v>0</v>
      </c>
      <c r="J2524" s="8">
        <f t="shared" ca="1" si="492"/>
        <v>11.309932474020215</v>
      </c>
      <c r="K2524" s="9" t="str">
        <f t="shared" ca="1" si="493"/>
        <v>E</v>
      </c>
      <c r="L2524">
        <f ca="1">+_xlfn.IFNA(VLOOKUP(M2524,BespokeWindowsAreas!$B$2:$E$1999,4,FALSE),VLOOKUP(E2524,WindowTypeArea!$B$2:$C$113,2,FALSE))</f>
        <v>2.2425000000000002</v>
      </c>
      <c r="M2524">
        <f t="shared" ca="1" si="496"/>
        <v>5566687</v>
      </c>
    </row>
    <row r="2525" spans="1:13" x14ac:dyDescent="0.25">
      <c r="A2525">
        <f t="shared" ca="1" si="494"/>
        <v>12</v>
      </c>
      <c r="B2525">
        <f t="shared" ca="1" si="495"/>
        <v>64</v>
      </c>
      <c r="C2525" t="str">
        <f t="shared" ca="1" si="485"/>
        <v>'WINDOWS-NCH-A-OCMA-M3-LG-0'!B63</v>
      </c>
      <c r="D2525" s="6" t="str">
        <f t="shared" ca="1" si="486"/>
        <v>LG-PAT-MOL-U0514-01</v>
      </c>
      <c r="E2525" t="str">
        <f t="shared" ca="1" si="487"/>
        <v>LG-PAT-MOL-U0514-01</v>
      </c>
      <c r="F2525">
        <f t="shared" ca="1" si="488"/>
        <v>1645056</v>
      </c>
      <c r="G2525">
        <f t="shared" ca="1" si="489"/>
        <v>0</v>
      </c>
      <c r="H2525">
        <f t="shared" ca="1" si="490"/>
        <v>0</v>
      </c>
      <c r="I2525">
        <f t="shared" ca="1" si="491"/>
        <v>0</v>
      </c>
      <c r="J2525" s="8" t="e">
        <f t="shared" ca="1" si="492"/>
        <v>#DIV/0!</v>
      </c>
      <c r="K2525" s="9" t="e">
        <f t="shared" ca="1" si="493"/>
        <v>#DIV/0!</v>
      </c>
      <c r="L2525" t="e">
        <f ca="1">+_xlfn.IFNA(VLOOKUP(M2525,BespokeWindowsAreas!$B$2:$E$1999,4,FALSE),VLOOKUP(E2525,WindowTypeArea!$B$2:$C$113,2,FALSE))</f>
        <v>#N/A</v>
      </c>
      <c r="M2525">
        <f t="shared" ca="1" si="496"/>
        <v>0</v>
      </c>
    </row>
    <row r="2526" spans="1:13" x14ac:dyDescent="0.25">
      <c r="A2526">
        <f t="shared" ca="1" si="494"/>
        <v>12</v>
      </c>
      <c r="B2526">
        <f t="shared" ca="1" si="495"/>
        <v>65</v>
      </c>
      <c r="C2526" t="str">
        <f t="shared" ca="1" si="485"/>
        <v>'WINDOWS-NCH-A-OCMA-M3-LG-0'!B64</v>
      </c>
      <c r="D2526" s="6" t="str">
        <f t="shared" ca="1" si="486"/>
        <v>LG-PAT-MOL-U0514-01</v>
      </c>
      <c r="E2526" t="str">
        <f t="shared" ca="1" si="487"/>
        <v>Family Type: 975w x 2300h, Family: Window External Type 1 - Recessed</v>
      </c>
      <c r="F2526" t="str">
        <f t="shared" ca="1" si="488"/>
        <v>Vector(X = 0.977, Y = 0.212, Z = 0.000, Length = 1.000)</v>
      </c>
      <c r="G2526">
        <f t="shared" ca="1" si="489"/>
        <v>1</v>
      </c>
      <c r="H2526">
        <f t="shared" ca="1" si="490"/>
        <v>0.2</v>
      </c>
      <c r="I2526">
        <f t="shared" ca="1" si="491"/>
        <v>0</v>
      </c>
      <c r="J2526" s="8">
        <f t="shared" ca="1" si="492"/>
        <v>11.309932474020215</v>
      </c>
      <c r="K2526" s="9" t="str">
        <f t="shared" ca="1" si="493"/>
        <v>E</v>
      </c>
      <c r="L2526">
        <f ca="1">+_xlfn.IFNA(VLOOKUP(M2526,BespokeWindowsAreas!$B$2:$E$1999,4,FALSE),VLOOKUP(E2526,WindowTypeArea!$B$2:$C$113,2,FALSE))</f>
        <v>2.2425000000000002</v>
      </c>
      <c r="M2526">
        <f t="shared" ca="1" si="496"/>
        <v>5566823</v>
      </c>
    </row>
    <row r="2527" spans="1:13" x14ac:dyDescent="0.25">
      <c r="A2527">
        <f t="shared" ca="1" si="494"/>
        <v>12</v>
      </c>
      <c r="B2527">
        <f t="shared" ca="1" si="495"/>
        <v>66</v>
      </c>
      <c r="C2527" t="str">
        <f t="shared" ca="1" si="485"/>
        <v>'WINDOWS-NCH-A-OCMA-M3-LG-0'!B65</v>
      </c>
      <c r="D2527" s="6" t="str">
        <f t="shared" ca="1" si="486"/>
        <v>LG-PAT-MOL-U0516-01</v>
      </c>
      <c r="E2527" t="str">
        <f t="shared" ca="1" si="487"/>
        <v>LG-PAT-MOL-U0516-01</v>
      </c>
      <c r="F2527">
        <f t="shared" ca="1" si="488"/>
        <v>1645058</v>
      </c>
      <c r="G2527">
        <f t="shared" ca="1" si="489"/>
        <v>0</v>
      </c>
      <c r="H2527">
        <f t="shared" ca="1" si="490"/>
        <v>0</v>
      </c>
      <c r="I2527">
        <f t="shared" ca="1" si="491"/>
        <v>0</v>
      </c>
      <c r="J2527" s="8" t="e">
        <f t="shared" ca="1" si="492"/>
        <v>#DIV/0!</v>
      </c>
      <c r="K2527" s="9" t="e">
        <f t="shared" ca="1" si="493"/>
        <v>#DIV/0!</v>
      </c>
      <c r="L2527" t="e">
        <f ca="1">+_xlfn.IFNA(VLOOKUP(M2527,BespokeWindowsAreas!$B$2:$E$1999,4,FALSE),VLOOKUP(E2527,WindowTypeArea!$B$2:$C$113,2,FALSE))</f>
        <v>#N/A</v>
      </c>
      <c r="M2527">
        <f t="shared" ca="1" si="496"/>
        <v>0</v>
      </c>
    </row>
    <row r="2528" spans="1:13" x14ac:dyDescent="0.25">
      <c r="A2528">
        <f t="shared" ca="1" si="494"/>
        <v>12</v>
      </c>
      <c r="B2528">
        <f t="shared" ca="1" si="495"/>
        <v>67</v>
      </c>
      <c r="C2528" t="str">
        <f t="shared" ca="1" si="485"/>
        <v>'WINDOWS-NCH-A-OCMA-M3-LG-0'!B66</v>
      </c>
      <c r="D2528" s="6" t="str">
        <f t="shared" ca="1" si="486"/>
        <v>LG-PAT-MOL-U0516-01</v>
      </c>
      <c r="E2528" t="str">
        <f t="shared" ca="1" si="487"/>
        <v>Family Type: 975w x 2300h, Family: Window External Type 1 - Recessed</v>
      </c>
      <c r="F2528" t="str">
        <f t="shared" ca="1" si="488"/>
        <v>Vector(X = 0.977, Y = 0.212, Z = 0.000, Length = 1.000)</v>
      </c>
      <c r="G2528">
        <f t="shared" ca="1" si="489"/>
        <v>1</v>
      </c>
      <c r="H2528">
        <f t="shared" ca="1" si="490"/>
        <v>0.2</v>
      </c>
      <c r="I2528">
        <f t="shared" ca="1" si="491"/>
        <v>0</v>
      </c>
      <c r="J2528" s="8">
        <f t="shared" ca="1" si="492"/>
        <v>11.309932474020215</v>
      </c>
      <c r="K2528" s="9" t="str">
        <f t="shared" ca="1" si="493"/>
        <v>E</v>
      </c>
      <c r="L2528">
        <f ca="1">+_xlfn.IFNA(VLOOKUP(M2528,BespokeWindowsAreas!$B$2:$E$1999,4,FALSE),VLOOKUP(E2528,WindowTypeArea!$B$2:$C$113,2,FALSE))</f>
        <v>2.2425000000000002</v>
      </c>
      <c r="M2528">
        <f t="shared" ca="1" si="496"/>
        <v>5566178</v>
      </c>
    </row>
    <row r="2529" spans="1:13" x14ac:dyDescent="0.25">
      <c r="A2529">
        <f t="shared" ca="1" si="494"/>
        <v>12</v>
      </c>
      <c r="B2529">
        <f t="shared" ca="1" si="495"/>
        <v>68</v>
      </c>
      <c r="C2529" t="str">
        <f t="shared" ca="1" si="485"/>
        <v>'WINDOWS-NCH-A-OCMA-M3-LG-0'!B67</v>
      </c>
      <c r="D2529" s="6" t="str">
        <f t="shared" ca="1" si="486"/>
        <v>LG-PAT-MOL-U0516-01</v>
      </c>
      <c r="E2529" t="str">
        <f t="shared" ca="1" si="487"/>
        <v>Family Type: 1560w x 2300h, Family: Window External Type 3 - Recessed and Angle</v>
      </c>
      <c r="F2529" t="str">
        <f t="shared" ca="1" si="488"/>
        <v>Vector(X = 0.977, Y = 0.212, Z = 0.000, Length = 1.000)</v>
      </c>
      <c r="G2529">
        <f t="shared" ca="1" si="489"/>
        <v>1</v>
      </c>
      <c r="H2529">
        <f t="shared" ca="1" si="490"/>
        <v>0.2</v>
      </c>
      <c r="I2529">
        <f t="shared" ca="1" si="491"/>
        <v>0</v>
      </c>
      <c r="J2529" s="8">
        <f t="shared" ca="1" si="492"/>
        <v>11.309932474020215</v>
      </c>
      <c r="K2529" s="9" t="str">
        <f t="shared" ca="1" si="493"/>
        <v>E</v>
      </c>
      <c r="L2529">
        <f ca="1">+_xlfn.IFNA(VLOOKUP(M2529,BespokeWindowsAreas!$B$2:$E$1999,4,FALSE),VLOOKUP(E2529,WindowTypeArea!$B$2:$C$113,2,FALSE))</f>
        <v>3.5880000000000001</v>
      </c>
      <c r="M2529">
        <f t="shared" ca="1" si="496"/>
        <v>5566313</v>
      </c>
    </row>
    <row r="2530" spans="1:13" x14ac:dyDescent="0.25">
      <c r="A2530">
        <f t="shared" ca="1" si="494"/>
        <v>12</v>
      </c>
      <c r="B2530">
        <f t="shared" ca="1" si="495"/>
        <v>69</v>
      </c>
      <c r="C2530" t="str">
        <f t="shared" ca="1" si="485"/>
        <v>'WINDOWS-NCH-A-OCMA-M3-LG-0'!B68</v>
      </c>
      <c r="D2530" s="6" t="str">
        <f t="shared" ca="1" si="486"/>
        <v>LG-PAT-MOL-U0517-01</v>
      </c>
      <c r="E2530" t="str">
        <f t="shared" ca="1" si="487"/>
        <v>LG-PAT-MOL-U0517-01</v>
      </c>
      <c r="F2530">
        <f t="shared" ca="1" si="488"/>
        <v>1645059</v>
      </c>
      <c r="G2530">
        <f t="shared" ca="1" si="489"/>
        <v>0</v>
      </c>
      <c r="H2530">
        <f t="shared" ca="1" si="490"/>
        <v>0</v>
      </c>
      <c r="I2530">
        <f t="shared" ca="1" si="491"/>
        <v>0</v>
      </c>
      <c r="J2530" s="8" t="e">
        <f t="shared" ca="1" si="492"/>
        <v>#DIV/0!</v>
      </c>
      <c r="K2530" s="9" t="e">
        <f t="shared" ca="1" si="493"/>
        <v>#DIV/0!</v>
      </c>
      <c r="L2530" t="e">
        <f ca="1">+_xlfn.IFNA(VLOOKUP(M2530,BespokeWindowsAreas!$B$2:$E$1999,4,FALSE),VLOOKUP(E2530,WindowTypeArea!$B$2:$C$113,2,FALSE))</f>
        <v>#N/A</v>
      </c>
      <c r="M2530">
        <f t="shared" ca="1" si="496"/>
        <v>0</v>
      </c>
    </row>
    <row r="2531" spans="1:13" x14ac:dyDescent="0.25">
      <c r="A2531">
        <f t="shared" ca="1" si="494"/>
        <v>12</v>
      </c>
      <c r="B2531">
        <f t="shared" ca="1" si="495"/>
        <v>70</v>
      </c>
      <c r="C2531" t="str">
        <f t="shared" ca="1" si="485"/>
        <v>'WINDOWS-NCH-A-OCMA-M3-LG-0'!B69</v>
      </c>
      <c r="D2531" s="6" t="str">
        <f t="shared" ca="1" si="486"/>
        <v>LG-PAT-MOL-U0517-01</v>
      </c>
      <c r="E2531" t="str">
        <f t="shared" ca="1" si="487"/>
        <v>Family Type: 975w x 2300h, Family: Window External Type 1 - Recessed</v>
      </c>
      <c r="F2531" t="str">
        <f t="shared" ca="1" si="488"/>
        <v>Vector(X = 0.977, Y = 0.212, Z = 0.000, Length = 1.000)</v>
      </c>
      <c r="G2531">
        <f t="shared" ca="1" si="489"/>
        <v>1</v>
      </c>
      <c r="H2531">
        <f t="shared" ca="1" si="490"/>
        <v>0.2</v>
      </c>
      <c r="I2531">
        <f t="shared" ca="1" si="491"/>
        <v>0</v>
      </c>
      <c r="J2531" s="8">
        <f t="shared" ca="1" si="492"/>
        <v>11.309932474020215</v>
      </c>
      <c r="K2531" s="9" t="str">
        <f t="shared" ca="1" si="493"/>
        <v>E</v>
      </c>
      <c r="L2531">
        <f ca="1">+_xlfn.IFNA(VLOOKUP(M2531,BespokeWindowsAreas!$B$2:$E$1999,4,FALSE),VLOOKUP(E2531,WindowTypeArea!$B$2:$C$113,2,FALSE))</f>
        <v>2.2425000000000002</v>
      </c>
      <c r="M2531">
        <f t="shared" ca="1" si="496"/>
        <v>5566543</v>
      </c>
    </row>
    <row r="2532" spans="1:13" x14ac:dyDescent="0.25">
      <c r="A2532">
        <f t="shared" ca="1" si="494"/>
        <v>12</v>
      </c>
      <c r="B2532">
        <f t="shared" ca="1" si="495"/>
        <v>71</v>
      </c>
      <c r="C2532" t="str">
        <f t="shared" ca="1" si="485"/>
        <v>'WINDOWS-NCH-A-OCMA-M3-LG-0'!B70</v>
      </c>
      <c r="D2532" s="6" t="str">
        <f t="shared" ca="1" si="486"/>
        <v>LG-PAT-CLF-U0524-01</v>
      </c>
      <c r="E2532" t="str">
        <f t="shared" ca="1" si="487"/>
        <v>LG-PAT-CLF-U0524-01</v>
      </c>
      <c r="F2532">
        <f t="shared" ca="1" si="488"/>
        <v>1645071</v>
      </c>
      <c r="G2532">
        <f t="shared" ca="1" si="489"/>
        <v>0</v>
      </c>
      <c r="H2532">
        <f t="shared" ca="1" si="490"/>
        <v>0</v>
      </c>
      <c r="I2532">
        <f t="shared" ca="1" si="491"/>
        <v>0</v>
      </c>
      <c r="J2532" s="8" t="e">
        <f t="shared" ca="1" si="492"/>
        <v>#DIV/0!</v>
      </c>
      <c r="K2532" s="9" t="e">
        <f t="shared" ca="1" si="493"/>
        <v>#DIV/0!</v>
      </c>
      <c r="L2532" t="e">
        <f ca="1">+_xlfn.IFNA(VLOOKUP(M2532,BespokeWindowsAreas!$B$2:$E$1999,4,FALSE),VLOOKUP(E2532,WindowTypeArea!$B$2:$C$113,2,FALSE))</f>
        <v>#N/A</v>
      </c>
      <c r="M2532">
        <f t="shared" ca="1" si="496"/>
        <v>0</v>
      </c>
    </row>
    <row r="2533" spans="1:13" x14ac:dyDescent="0.25">
      <c r="A2533">
        <f t="shared" ca="1" si="494"/>
        <v>12</v>
      </c>
      <c r="B2533">
        <f t="shared" ca="1" si="495"/>
        <v>72</v>
      </c>
      <c r="C2533" t="str">
        <f t="shared" ca="1" si="485"/>
        <v>'WINDOWS-NCH-A-OCMA-M3-LG-0'!B71</v>
      </c>
      <c r="D2533" s="6" t="str">
        <f t="shared" ca="1" si="486"/>
        <v>LG-PAT-CLF-U0524-01</v>
      </c>
      <c r="E2533" t="str">
        <f t="shared" ca="1" si="487"/>
        <v>Family Type: 1950w x 3050h, Family: Window Internal Type 1 - Flush</v>
      </c>
      <c r="F2533" t="str">
        <f t="shared" ca="1" si="488"/>
        <v>Vector(X = -0.977, Y = -0.212, Z = 0.000, Length = 1.000)</v>
      </c>
      <c r="G2533">
        <f t="shared" ca="1" si="489"/>
        <v>-1</v>
      </c>
      <c r="H2533">
        <f t="shared" ca="1" si="490"/>
        <v>-0.2</v>
      </c>
      <c r="I2533">
        <f t="shared" ca="1" si="491"/>
        <v>0</v>
      </c>
      <c r="J2533" s="8">
        <f t="shared" ca="1" si="492"/>
        <v>-168.69006752597977</v>
      </c>
      <c r="K2533" s="9" t="str">
        <f t="shared" ca="1" si="493"/>
        <v>W</v>
      </c>
      <c r="L2533">
        <f ca="1">+_xlfn.IFNA(VLOOKUP(M2533,BespokeWindowsAreas!$B$2:$E$1999,4,FALSE),VLOOKUP(E2533,WindowTypeArea!$B$2:$C$113,2,FALSE))</f>
        <v>5.9474999999999998</v>
      </c>
      <c r="M2533">
        <f t="shared" ca="1" si="496"/>
        <v>6314025</v>
      </c>
    </row>
    <row r="2534" spans="1:13" x14ac:dyDescent="0.25">
      <c r="A2534">
        <f t="shared" ca="1" si="494"/>
        <v>12</v>
      </c>
      <c r="B2534">
        <f t="shared" ca="1" si="495"/>
        <v>73</v>
      </c>
      <c r="C2534" t="str">
        <f t="shared" ca="1" si="485"/>
        <v>'WINDOWS-NCH-A-OCMA-M3-LG-0'!B72</v>
      </c>
      <c r="D2534" s="6" t="str">
        <f t="shared" ca="1" si="486"/>
        <v>LG-PAT-TRA-S115-12</v>
      </c>
      <c r="E2534" t="str">
        <f t="shared" ca="1" si="487"/>
        <v>LG-PAT-TRA-S115-12</v>
      </c>
      <c r="F2534">
        <f t="shared" ca="1" si="488"/>
        <v>1645075</v>
      </c>
      <c r="G2534">
        <f t="shared" ca="1" si="489"/>
        <v>0</v>
      </c>
      <c r="H2534">
        <f t="shared" ca="1" si="490"/>
        <v>0</v>
      </c>
      <c r="I2534">
        <f t="shared" ca="1" si="491"/>
        <v>0</v>
      </c>
      <c r="J2534" s="8" t="e">
        <f t="shared" ca="1" si="492"/>
        <v>#DIV/0!</v>
      </c>
      <c r="K2534" s="9" t="e">
        <f t="shared" ca="1" si="493"/>
        <v>#DIV/0!</v>
      </c>
      <c r="L2534" t="e">
        <f ca="1">+_xlfn.IFNA(VLOOKUP(M2534,BespokeWindowsAreas!$B$2:$E$1999,4,FALSE),VLOOKUP(E2534,WindowTypeArea!$B$2:$C$113,2,FALSE))</f>
        <v>#N/A</v>
      </c>
      <c r="M2534">
        <f t="shared" ca="1" si="496"/>
        <v>0</v>
      </c>
    </row>
    <row r="2535" spans="1:13" x14ac:dyDescent="0.25">
      <c r="A2535">
        <f t="shared" ca="1" si="494"/>
        <v>12</v>
      </c>
      <c r="B2535">
        <f t="shared" ca="1" si="495"/>
        <v>74</v>
      </c>
      <c r="C2535" t="str">
        <f t="shared" ca="1" si="485"/>
        <v>'WINDOWS-NCH-A-OCMA-M3-LG-0'!B73</v>
      </c>
      <c r="D2535" s="6" t="str">
        <f t="shared" ca="1" si="486"/>
        <v>LG-PAT-TRA-S115-12</v>
      </c>
      <c r="E2535" t="str">
        <f t="shared" ca="1" si="487"/>
        <v>Family Type: 1500w x 3050h, Family: Window Internal Type 1 - Flush</v>
      </c>
      <c r="F2535" t="str">
        <f t="shared" ca="1" si="488"/>
        <v>Vector(X = -0.977, Y = -0.212, Z = 0.000, Length = 1.000)</v>
      </c>
      <c r="G2535">
        <f t="shared" ca="1" si="489"/>
        <v>-1</v>
      </c>
      <c r="H2535">
        <f t="shared" ca="1" si="490"/>
        <v>-0.2</v>
      </c>
      <c r="I2535">
        <f t="shared" ca="1" si="491"/>
        <v>0</v>
      </c>
      <c r="J2535" s="8">
        <f t="shared" ca="1" si="492"/>
        <v>-168.69006752597977</v>
      </c>
      <c r="K2535" s="9" t="str">
        <f t="shared" ca="1" si="493"/>
        <v>W</v>
      </c>
      <c r="L2535">
        <f ca="1">+_xlfn.IFNA(VLOOKUP(M2535,BespokeWindowsAreas!$B$2:$E$1999,4,FALSE),VLOOKUP(E2535,WindowTypeArea!$B$2:$C$113,2,FALSE))</f>
        <v>4.5749999999999993</v>
      </c>
      <c r="M2535">
        <f t="shared" ca="1" si="496"/>
        <v>6313723</v>
      </c>
    </row>
    <row r="2536" spans="1:13" x14ac:dyDescent="0.25">
      <c r="A2536">
        <f t="shared" ca="1" si="494"/>
        <v>12</v>
      </c>
      <c r="B2536">
        <f t="shared" ca="1" si="495"/>
        <v>75</v>
      </c>
      <c r="C2536" t="str">
        <f t="shared" ca="1" si="485"/>
        <v>'WINDOWS-NCH-A-OCMA-M3-LG-0'!B74</v>
      </c>
      <c r="D2536" s="6" t="str">
        <f t="shared" ca="1" si="486"/>
        <v>LG-PAT-TRA-S115-24</v>
      </c>
      <c r="E2536" t="str">
        <f t="shared" ca="1" si="487"/>
        <v>LG-PAT-TRA-S115-24</v>
      </c>
      <c r="F2536">
        <f t="shared" ca="1" si="488"/>
        <v>1645077</v>
      </c>
      <c r="G2536">
        <f t="shared" ca="1" si="489"/>
        <v>0</v>
      </c>
      <c r="H2536">
        <f t="shared" ca="1" si="490"/>
        <v>0</v>
      </c>
      <c r="I2536">
        <f t="shared" ca="1" si="491"/>
        <v>0</v>
      </c>
      <c r="J2536" s="8" t="e">
        <f t="shared" ca="1" si="492"/>
        <v>#DIV/0!</v>
      </c>
      <c r="K2536" s="9" t="e">
        <f t="shared" ca="1" si="493"/>
        <v>#DIV/0!</v>
      </c>
      <c r="L2536" t="e">
        <f ca="1">+_xlfn.IFNA(VLOOKUP(M2536,BespokeWindowsAreas!$B$2:$E$1999,4,FALSE),VLOOKUP(E2536,WindowTypeArea!$B$2:$C$113,2,FALSE))</f>
        <v>#N/A</v>
      </c>
      <c r="M2536">
        <f t="shared" ca="1" si="496"/>
        <v>0</v>
      </c>
    </row>
    <row r="2537" spans="1:13" x14ac:dyDescent="0.25">
      <c r="A2537">
        <f t="shared" ca="1" si="494"/>
        <v>12</v>
      </c>
      <c r="B2537">
        <f t="shared" ca="1" si="495"/>
        <v>76</v>
      </c>
      <c r="C2537" t="str">
        <f t="shared" ca="1" si="485"/>
        <v>'WINDOWS-NCH-A-OCMA-M3-LG-0'!B75</v>
      </c>
      <c r="D2537" s="6" t="str">
        <f t="shared" ca="1" si="486"/>
        <v>LG-PAT-TRA-S115-24</v>
      </c>
      <c r="E2537" t="str">
        <f t="shared" ca="1" si="487"/>
        <v>Family Type: 975w x 2300h, Family: Window External Type 1 - Recessed</v>
      </c>
      <c r="F2537" t="str">
        <f t="shared" ca="1" si="488"/>
        <v>Vector(X = 0.977, Y = 0.212, Z = 0.000, Length = 1.000)</v>
      </c>
      <c r="G2537">
        <f t="shared" ca="1" si="489"/>
        <v>1</v>
      </c>
      <c r="H2537">
        <f t="shared" ca="1" si="490"/>
        <v>0.2</v>
      </c>
      <c r="I2537">
        <f t="shared" ca="1" si="491"/>
        <v>0</v>
      </c>
      <c r="J2537" s="8">
        <f t="shared" ca="1" si="492"/>
        <v>11.309932474020215</v>
      </c>
      <c r="K2537" s="9" t="str">
        <f t="shared" ca="1" si="493"/>
        <v>E</v>
      </c>
      <c r="L2537">
        <f ca="1">+_xlfn.IFNA(VLOOKUP(M2537,BespokeWindowsAreas!$B$2:$E$1999,4,FALSE),VLOOKUP(E2537,WindowTypeArea!$B$2:$C$113,2,FALSE))</f>
        <v>2.2425000000000002</v>
      </c>
      <c r="M2537">
        <f t="shared" ca="1" si="496"/>
        <v>5570200</v>
      </c>
    </row>
    <row r="2538" spans="1:13" x14ac:dyDescent="0.25">
      <c r="A2538">
        <f t="shared" ca="1" si="494"/>
        <v>12</v>
      </c>
      <c r="B2538">
        <f t="shared" ca="1" si="495"/>
        <v>77</v>
      </c>
      <c r="C2538" t="str">
        <f t="shared" ca="1" si="485"/>
        <v>'WINDOWS-NCH-A-OCMA-M3-LG-0'!B76</v>
      </c>
      <c r="D2538" s="6" t="str">
        <f t="shared" ca="1" si="486"/>
        <v>LG-PAT-TRA-S115-30</v>
      </c>
      <c r="E2538" t="str">
        <f t="shared" ca="1" si="487"/>
        <v>LG-PAT-TRA-S115-30</v>
      </c>
      <c r="F2538">
        <f t="shared" ca="1" si="488"/>
        <v>1645078</v>
      </c>
      <c r="G2538">
        <f t="shared" ca="1" si="489"/>
        <v>0</v>
      </c>
      <c r="H2538">
        <f t="shared" ca="1" si="490"/>
        <v>0</v>
      </c>
      <c r="I2538">
        <f t="shared" ca="1" si="491"/>
        <v>0</v>
      </c>
      <c r="J2538" s="8" t="e">
        <f t="shared" ca="1" si="492"/>
        <v>#DIV/0!</v>
      </c>
      <c r="K2538" s="9" t="e">
        <f t="shared" ca="1" si="493"/>
        <v>#DIV/0!</v>
      </c>
      <c r="L2538" t="e">
        <f ca="1">+_xlfn.IFNA(VLOOKUP(M2538,BespokeWindowsAreas!$B$2:$E$1999,4,FALSE),VLOOKUP(E2538,WindowTypeArea!$B$2:$C$113,2,FALSE))</f>
        <v>#N/A</v>
      </c>
      <c r="M2538">
        <f t="shared" ca="1" si="496"/>
        <v>0</v>
      </c>
    </row>
    <row r="2539" spans="1:13" x14ac:dyDescent="0.25">
      <c r="A2539">
        <f t="shared" ca="1" si="494"/>
        <v>12</v>
      </c>
      <c r="B2539">
        <f t="shared" ca="1" si="495"/>
        <v>78</v>
      </c>
      <c r="C2539" t="str">
        <f t="shared" ca="1" si="485"/>
        <v>'WINDOWS-NCH-A-OCMA-M3-LG-0'!B77</v>
      </c>
      <c r="D2539" s="6" t="str">
        <f t="shared" ca="1" si="486"/>
        <v>LG-PAT-TRA-S115-30</v>
      </c>
      <c r="E2539" t="str">
        <f t="shared" ca="1" si="487"/>
        <v>Family Type: 1950w x 2300h, Family: Window External Type 1 - Recessed</v>
      </c>
      <c r="F2539" t="str">
        <f t="shared" ca="1" si="488"/>
        <v>Vector(X = 0.977, Y = 0.212, Z = 0.000, Length = 1.000)</v>
      </c>
      <c r="G2539">
        <f t="shared" ca="1" si="489"/>
        <v>1</v>
      </c>
      <c r="H2539">
        <f t="shared" ca="1" si="490"/>
        <v>0.2</v>
      </c>
      <c r="I2539">
        <f t="shared" ca="1" si="491"/>
        <v>0</v>
      </c>
      <c r="J2539" s="8">
        <f t="shared" ca="1" si="492"/>
        <v>11.309932474020215</v>
      </c>
      <c r="K2539" s="9" t="str">
        <f t="shared" ca="1" si="493"/>
        <v>E</v>
      </c>
      <c r="L2539">
        <f ca="1">+_xlfn.IFNA(VLOOKUP(M2539,BespokeWindowsAreas!$B$2:$E$1999,4,FALSE),VLOOKUP(E2539,WindowTypeArea!$B$2:$C$113,2,FALSE))</f>
        <v>4.4850000000000003</v>
      </c>
      <c r="M2539">
        <f t="shared" ca="1" si="496"/>
        <v>5568132</v>
      </c>
    </row>
    <row r="2540" spans="1:13" x14ac:dyDescent="0.25">
      <c r="A2540">
        <f t="shared" ca="1" si="494"/>
        <v>12</v>
      </c>
      <c r="B2540">
        <f t="shared" ca="1" si="495"/>
        <v>79</v>
      </c>
      <c r="C2540" t="str">
        <f t="shared" ca="1" si="485"/>
        <v>'WINDOWS-NCH-A-OCMA-M3-LG-0'!B78</v>
      </c>
      <c r="D2540" s="6" t="str">
        <f t="shared" ca="1" si="486"/>
        <v>LG-PAT-TRA-S115-36</v>
      </c>
      <c r="E2540" t="str">
        <f t="shared" ca="1" si="487"/>
        <v>LG-PAT-TRA-S115-36</v>
      </c>
      <c r="F2540">
        <f t="shared" ca="1" si="488"/>
        <v>1645079</v>
      </c>
      <c r="G2540">
        <f t="shared" ca="1" si="489"/>
        <v>0</v>
      </c>
      <c r="H2540">
        <f t="shared" ca="1" si="490"/>
        <v>0</v>
      </c>
      <c r="I2540">
        <f t="shared" ca="1" si="491"/>
        <v>0</v>
      </c>
      <c r="J2540" s="8" t="e">
        <f t="shared" ca="1" si="492"/>
        <v>#DIV/0!</v>
      </c>
      <c r="K2540" s="9" t="e">
        <f t="shared" ca="1" si="493"/>
        <v>#DIV/0!</v>
      </c>
      <c r="L2540" t="e">
        <f ca="1">+_xlfn.IFNA(VLOOKUP(M2540,BespokeWindowsAreas!$B$2:$E$1999,4,FALSE),VLOOKUP(E2540,WindowTypeArea!$B$2:$C$113,2,FALSE))</f>
        <v>#N/A</v>
      </c>
      <c r="M2540">
        <f t="shared" ca="1" si="496"/>
        <v>0</v>
      </c>
    </row>
    <row r="2541" spans="1:13" x14ac:dyDescent="0.25">
      <c r="A2541">
        <f t="shared" ca="1" si="494"/>
        <v>12</v>
      </c>
      <c r="B2541">
        <f t="shared" ca="1" si="495"/>
        <v>80</v>
      </c>
      <c r="C2541" t="str">
        <f t="shared" ca="1" si="485"/>
        <v>'WINDOWS-NCH-A-OCMA-M3-LG-0'!B79</v>
      </c>
      <c r="D2541" s="6" t="str">
        <f t="shared" ca="1" si="486"/>
        <v>LG-PAT-TRA-S115-36</v>
      </c>
      <c r="E2541" t="str">
        <f t="shared" ca="1" si="487"/>
        <v>Family Type: 1950w x 3050h, Family: Window Internal Type 1 - Flush</v>
      </c>
      <c r="F2541" t="str">
        <f t="shared" ca="1" si="488"/>
        <v>Vector(X = -0.977, Y = -0.212, Z = 0.000, Length = 1.000)</v>
      </c>
      <c r="G2541">
        <f t="shared" ca="1" si="489"/>
        <v>-1</v>
      </c>
      <c r="H2541">
        <f t="shared" ca="1" si="490"/>
        <v>-0.2</v>
      </c>
      <c r="I2541">
        <f t="shared" ca="1" si="491"/>
        <v>0</v>
      </c>
      <c r="J2541" s="8">
        <f t="shared" ca="1" si="492"/>
        <v>-168.69006752597977</v>
      </c>
      <c r="K2541" s="9" t="str">
        <f t="shared" ca="1" si="493"/>
        <v>W</v>
      </c>
      <c r="L2541">
        <f ca="1">+_xlfn.IFNA(VLOOKUP(M2541,BespokeWindowsAreas!$B$2:$E$1999,4,FALSE),VLOOKUP(E2541,WindowTypeArea!$B$2:$C$113,2,FALSE))</f>
        <v>5.9474999999999998</v>
      </c>
      <c r="M2541">
        <f t="shared" ca="1" si="496"/>
        <v>6644884</v>
      </c>
    </row>
    <row r="2542" spans="1:13" x14ac:dyDescent="0.25">
      <c r="A2542">
        <f t="shared" ca="1" si="494"/>
        <v>12</v>
      </c>
      <c r="B2542">
        <f t="shared" ca="1" si="495"/>
        <v>81</v>
      </c>
      <c r="C2542" t="str">
        <f t="shared" ca="1" si="485"/>
        <v>'WINDOWS-NCH-A-OCMA-M3-LG-0'!B80</v>
      </c>
      <c r="D2542" s="6" t="str">
        <f t="shared" ca="1" si="486"/>
        <v>LG-PAT-TRA-S115-36</v>
      </c>
      <c r="E2542" t="str">
        <f t="shared" ca="1" si="487"/>
        <v>Family Type: 975w x 3050h, Family: Window Internal Type 1 - Flush</v>
      </c>
      <c r="F2542" t="str">
        <f t="shared" ca="1" si="488"/>
        <v>Vector(X = -0.977, Y = -0.212, Z = 0.000, Length = 1.000)</v>
      </c>
      <c r="G2542">
        <f t="shared" ca="1" si="489"/>
        <v>-1</v>
      </c>
      <c r="H2542">
        <f t="shared" ca="1" si="490"/>
        <v>-0.2</v>
      </c>
      <c r="I2542">
        <f t="shared" ca="1" si="491"/>
        <v>0</v>
      </c>
      <c r="J2542" s="8">
        <f t="shared" ca="1" si="492"/>
        <v>-168.69006752597977</v>
      </c>
      <c r="K2542" s="9" t="str">
        <f t="shared" ca="1" si="493"/>
        <v>W</v>
      </c>
      <c r="L2542">
        <f ca="1">+_xlfn.IFNA(VLOOKUP(M2542,BespokeWindowsAreas!$B$2:$E$1999,4,FALSE),VLOOKUP(E2542,WindowTypeArea!$B$2:$C$113,2,FALSE))</f>
        <v>2.9737499999999999</v>
      </c>
      <c r="M2542">
        <f t="shared" ca="1" si="496"/>
        <v>6645055</v>
      </c>
    </row>
    <row r="2543" spans="1:13" x14ac:dyDescent="0.25">
      <c r="A2543">
        <f t="shared" ca="1" si="494"/>
        <v>12</v>
      </c>
      <c r="B2543">
        <f t="shared" ca="1" si="495"/>
        <v>82</v>
      </c>
      <c r="C2543" t="str">
        <f t="shared" ca="1" si="485"/>
        <v>'WINDOWS-NCH-A-OCMA-M3-LG-0'!B81</v>
      </c>
      <c r="D2543" s="6" t="str">
        <f t="shared" ca="1" si="486"/>
        <v>LG-PAT-TRA-S115-36</v>
      </c>
      <c r="E2543" t="str">
        <f t="shared" ca="1" si="487"/>
        <v>Family Type: 975w x 3050h, Family: Window Internal Type 1 - Flush</v>
      </c>
      <c r="F2543" t="str">
        <f t="shared" ca="1" si="488"/>
        <v>Vector(X = -0.977, Y = -0.212, Z = 0.000, Length = 1.000)</v>
      </c>
      <c r="G2543">
        <f t="shared" ca="1" si="489"/>
        <v>-1</v>
      </c>
      <c r="H2543">
        <f t="shared" ca="1" si="490"/>
        <v>-0.2</v>
      </c>
      <c r="I2543">
        <f t="shared" ca="1" si="491"/>
        <v>0</v>
      </c>
      <c r="J2543" s="8">
        <f t="shared" ca="1" si="492"/>
        <v>-168.69006752597977</v>
      </c>
      <c r="K2543" s="9" t="str">
        <f t="shared" ca="1" si="493"/>
        <v>W</v>
      </c>
      <c r="L2543">
        <f ca="1">+_xlfn.IFNA(VLOOKUP(M2543,BespokeWindowsAreas!$B$2:$E$1999,4,FALSE),VLOOKUP(E2543,WindowTypeArea!$B$2:$C$113,2,FALSE))</f>
        <v>2.9737499999999999</v>
      </c>
      <c r="M2543">
        <f t="shared" ca="1" si="496"/>
        <v>6645096</v>
      </c>
    </row>
    <row r="2544" spans="1:13" x14ac:dyDescent="0.25">
      <c r="A2544">
        <f t="shared" ca="1" si="494"/>
        <v>12</v>
      </c>
      <c r="B2544">
        <f t="shared" ca="1" si="495"/>
        <v>83</v>
      </c>
      <c r="C2544" t="str">
        <f t="shared" ca="1" si="485"/>
        <v>'WINDOWS-NCH-A-OCMA-M3-LG-0'!B82</v>
      </c>
      <c r="D2544" s="6" t="str">
        <f t="shared" ca="1" si="486"/>
        <v>LG-PAT-TRA-S115-36</v>
      </c>
      <c r="E2544" t="str">
        <f t="shared" ca="1" si="487"/>
        <v>Family Type: 975w x 3050h, Family: Window Internal Type 1 - Flush</v>
      </c>
      <c r="F2544" t="str">
        <f t="shared" ca="1" si="488"/>
        <v>Vector(X = -0.977, Y = -0.212, Z = 0.000, Length = 1.000)</v>
      </c>
      <c r="G2544">
        <f t="shared" ca="1" si="489"/>
        <v>-1</v>
      </c>
      <c r="H2544">
        <f t="shared" ca="1" si="490"/>
        <v>-0.2</v>
      </c>
      <c r="I2544">
        <f t="shared" ca="1" si="491"/>
        <v>0</v>
      </c>
      <c r="J2544" s="8">
        <f t="shared" ca="1" si="492"/>
        <v>-168.69006752597977</v>
      </c>
      <c r="K2544" s="9" t="str">
        <f t="shared" ca="1" si="493"/>
        <v>W</v>
      </c>
      <c r="L2544">
        <f ca="1">+_xlfn.IFNA(VLOOKUP(M2544,BespokeWindowsAreas!$B$2:$E$1999,4,FALSE),VLOOKUP(E2544,WindowTypeArea!$B$2:$C$113,2,FALSE))</f>
        <v>2.9737499999999999</v>
      </c>
      <c r="M2544">
        <f t="shared" ca="1" si="496"/>
        <v>6645160</v>
      </c>
    </row>
    <row r="2545" spans="1:13" x14ac:dyDescent="0.25">
      <c r="A2545">
        <f t="shared" ca="1" si="494"/>
        <v>12</v>
      </c>
      <c r="B2545">
        <f t="shared" ca="1" si="495"/>
        <v>84</v>
      </c>
      <c r="C2545" t="str">
        <f t="shared" ca="1" si="485"/>
        <v>'WINDOWS-NCH-A-OCMA-M3-LG-0'!B83</v>
      </c>
      <c r="D2545" s="6" t="str">
        <f t="shared" ca="1" si="486"/>
        <v>LG-PAT-TRA-S115-42</v>
      </c>
      <c r="E2545" t="str">
        <f t="shared" ca="1" si="487"/>
        <v>LG-PAT-TRA-S115-42</v>
      </c>
      <c r="F2545">
        <f t="shared" ca="1" si="488"/>
        <v>1645080</v>
      </c>
      <c r="G2545">
        <f t="shared" ca="1" si="489"/>
        <v>0</v>
      </c>
      <c r="H2545">
        <f t="shared" ca="1" si="490"/>
        <v>0</v>
      </c>
      <c r="I2545">
        <f t="shared" ca="1" si="491"/>
        <v>0</v>
      </c>
      <c r="J2545" s="8" t="e">
        <f t="shared" ca="1" si="492"/>
        <v>#DIV/0!</v>
      </c>
      <c r="K2545" s="9" t="e">
        <f t="shared" ca="1" si="493"/>
        <v>#DIV/0!</v>
      </c>
      <c r="L2545" t="e">
        <f ca="1">+_xlfn.IFNA(VLOOKUP(M2545,BespokeWindowsAreas!$B$2:$E$1999,4,FALSE),VLOOKUP(E2545,WindowTypeArea!$B$2:$C$113,2,FALSE))</f>
        <v>#N/A</v>
      </c>
      <c r="M2545">
        <f t="shared" ca="1" si="496"/>
        <v>0</v>
      </c>
    </row>
    <row r="2546" spans="1:13" x14ac:dyDescent="0.25">
      <c r="A2546">
        <f t="shared" ca="1" si="494"/>
        <v>12</v>
      </c>
      <c r="B2546">
        <f t="shared" ca="1" si="495"/>
        <v>85</v>
      </c>
      <c r="C2546" t="str">
        <f t="shared" ca="1" si="485"/>
        <v>'WINDOWS-NCH-A-OCMA-M3-LG-0'!B84</v>
      </c>
      <c r="D2546" s="6" t="str">
        <f t="shared" ca="1" si="486"/>
        <v>LG-PAT-TRA-S115-42</v>
      </c>
      <c r="E2546" t="str">
        <f t="shared" ca="1" si="487"/>
        <v>Family Type: 1950w x 2300h, Family: Window External Type 1 - Recessed</v>
      </c>
      <c r="F2546" t="str">
        <f t="shared" ca="1" si="488"/>
        <v>Vector(X = 0.977, Y = 0.212, Z = 0.000, Length = 1.000)</v>
      </c>
      <c r="G2546">
        <f t="shared" ca="1" si="489"/>
        <v>1</v>
      </c>
      <c r="H2546">
        <f t="shared" ca="1" si="490"/>
        <v>0.2</v>
      </c>
      <c r="I2546">
        <f t="shared" ca="1" si="491"/>
        <v>0</v>
      </c>
      <c r="J2546" s="8">
        <f t="shared" ca="1" si="492"/>
        <v>11.309932474020215</v>
      </c>
      <c r="K2546" s="9" t="str">
        <f t="shared" ca="1" si="493"/>
        <v>E</v>
      </c>
      <c r="L2546">
        <f ca="1">+_xlfn.IFNA(VLOOKUP(M2546,BespokeWindowsAreas!$B$2:$E$1999,4,FALSE),VLOOKUP(E2546,WindowTypeArea!$B$2:$C$113,2,FALSE))</f>
        <v>4.4850000000000003</v>
      </c>
      <c r="M2546">
        <f t="shared" ca="1" si="496"/>
        <v>5568815</v>
      </c>
    </row>
    <row r="2547" spans="1:13" x14ac:dyDescent="0.25">
      <c r="A2547">
        <f t="shared" ca="1" si="494"/>
        <v>13</v>
      </c>
      <c r="B2547">
        <f t="shared" ca="1" si="495"/>
        <v>1</v>
      </c>
      <c r="C2547" t="str">
        <f t="shared" ca="1" si="485"/>
        <v>'WINDOWS-NCH-A-OCMA-M3-LG-0'!B85</v>
      </c>
      <c r="D2547" s="6" t="str">
        <f t="shared" ca="1" si="486"/>
        <v>LG-PAT-TRA-S115-42</v>
      </c>
      <c r="E2547" t="str">
        <f t="shared" ca="1" si="487"/>
        <v>Family Type: 975w x 2300h, Family: Window External Type 1 - Recessed</v>
      </c>
      <c r="F2547" t="str">
        <f t="shared" ca="1" si="488"/>
        <v>Vector(X = 0.977, Y = 0.212, Z = 0.000, Length = 1.000)</v>
      </c>
      <c r="G2547">
        <f t="shared" ca="1" si="489"/>
        <v>1</v>
      </c>
      <c r="H2547">
        <f t="shared" ca="1" si="490"/>
        <v>0.2</v>
      </c>
      <c r="I2547">
        <f t="shared" ca="1" si="491"/>
        <v>0</v>
      </c>
      <c r="J2547" s="8">
        <f t="shared" ca="1" si="492"/>
        <v>11.309932474020215</v>
      </c>
      <c r="K2547" s="9" t="str">
        <f t="shared" ca="1" si="493"/>
        <v>E</v>
      </c>
      <c r="L2547">
        <f ca="1">+_xlfn.IFNA(VLOOKUP(M2547,BespokeWindowsAreas!$B$2:$E$1999,4,FALSE),VLOOKUP(E2547,WindowTypeArea!$B$2:$C$113,2,FALSE))</f>
        <v>2.2425000000000002</v>
      </c>
      <c r="M2547">
        <f t="shared" ca="1" si="496"/>
        <v>5568912</v>
      </c>
    </row>
    <row r="2548" spans="1:13" x14ac:dyDescent="0.25">
      <c r="A2548">
        <f t="shared" ca="1" si="494"/>
        <v>13</v>
      </c>
      <c r="B2548">
        <f t="shared" ca="1" si="495"/>
        <v>2</v>
      </c>
      <c r="C2548" t="str">
        <f t="shared" ca="1" si="485"/>
        <v>'WINDOWS-NCH-A-OCMA-M3-00-0'!B1</v>
      </c>
      <c r="D2548" s="6">
        <f t="shared" ca="1" si="486"/>
        <v>0</v>
      </c>
      <c r="E2548">
        <f t="shared" ca="1" si="487"/>
        <v>0</v>
      </c>
      <c r="F2548">
        <f t="shared" ca="1" si="488"/>
        <v>0</v>
      </c>
      <c r="G2548">
        <f t="shared" ca="1" si="489"/>
        <v>0</v>
      </c>
      <c r="H2548">
        <f t="shared" ca="1" si="490"/>
        <v>0</v>
      </c>
      <c r="I2548">
        <f t="shared" ca="1" si="491"/>
        <v>0</v>
      </c>
      <c r="J2548" s="8" t="e">
        <f t="shared" ca="1" si="492"/>
        <v>#DIV/0!</v>
      </c>
      <c r="K2548" s="9" t="e">
        <f t="shared" ca="1" si="493"/>
        <v>#DIV/0!</v>
      </c>
      <c r="L2548" t="e">
        <f ca="1">+_xlfn.IFNA(VLOOKUP(M2548,BespokeWindowsAreas!$B$2:$E$1999,4,FALSE),VLOOKUP(E2548,WindowTypeArea!$B$2:$C$113,2,FALSE))</f>
        <v>#N/A</v>
      </c>
      <c r="M2548">
        <f t="shared" ca="1" si="496"/>
        <v>0</v>
      </c>
    </row>
    <row r="2549" spans="1:13" x14ac:dyDescent="0.25">
      <c r="A2549">
        <f t="shared" ca="1" si="494"/>
        <v>13</v>
      </c>
      <c r="B2549">
        <f t="shared" ca="1" si="495"/>
        <v>3</v>
      </c>
      <c r="C2549" t="str">
        <f t="shared" ca="1" si="485"/>
        <v>'WINDOWS-NCH-A-OCMA-M3-00-0'!B2</v>
      </c>
      <c r="D2549" s="6">
        <f t="shared" ca="1" si="486"/>
        <v>2678</v>
      </c>
      <c r="E2549">
        <f t="shared" ca="1" si="487"/>
        <v>2678</v>
      </c>
      <c r="F2549">
        <f t="shared" ca="1" si="488"/>
        <v>1439470</v>
      </c>
      <c r="G2549">
        <f t="shared" ca="1" si="489"/>
        <v>0</v>
      </c>
      <c r="H2549">
        <f t="shared" ca="1" si="490"/>
        <v>0</v>
      </c>
      <c r="I2549">
        <f t="shared" ca="1" si="491"/>
        <v>0</v>
      </c>
      <c r="J2549" s="8" t="e">
        <f t="shared" ca="1" si="492"/>
        <v>#DIV/0!</v>
      </c>
      <c r="K2549" s="9" t="e">
        <f t="shared" ca="1" si="493"/>
        <v>#DIV/0!</v>
      </c>
      <c r="L2549" t="e">
        <f ca="1">+_xlfn.IFNA(VLOOKUP(M2549,BespokeWindowsAreas!$B$2:$E$1999,4,FALSE),VLOOKUP(E2549,WindowTypeArea!$B$2:$C$113,2,FALSE))</f>
        <v>#N/A</v>
      </c>
      <c r="M2549">
        <f t="shared" ca="1" si="496"/>
        <v>0</v>
      </c>
    </row>
    <row r="2550" spans="1:13" x14ac:dyDescent="0.25">
      <c r="A2550">
        <f t="shared" ca="1" si="494"/>
        <v>13</v>
      </c>
      <c r="B2550">
        <f t="shared" ca="1" si="495"/>
        <v>4</v>
      </c>
      <c r="C2550" t="str">
        <f t="shared" ca="1" si="485"/>
        <v>'WINDOWS-NCH-A-OCMA-M3-00-0'!B3</v>
      </c>
      <c r="D2550" s="6">
        <f t="shared" ca="1" si="486"/>
        <v>2678</v>
      </c>
      <c r="E2550" t="str">
        <f t="shared" ca="1" si="487"/>
        <v>Family Type: 1950w x 3050h, Family: Window External Type 3 - Recessed and Angle</v>
      </c>
      <c r="F2550" t="str">
        <f t="shared" ca="1" si="488"/>
        <v>Vector(X = -0.041, Y = 0.999, Z = 0.000, Length = 1.000)</v>
      </c>
      <c r="G2550">
        <f t="shared" ca="1" si="489"/>
        <v>0</v>
      </c>
      <c r="H2550">
        <f t="shared" ca="1" si="490"/>
        <v>1</v>
      </c>
      <c r="I2550">
        <f t="shared" ca="1" si="491"/>
        <v>0</v>
      </c>
      <c r="J2550" s="8">
        <f t="shared" ca="1" si="492"/>
        <v>90</v>
      </c>
      <c r="K2550" s="9" t="str">
        <f t="shared" ca="1" si="493"/>
        <v>N</v>
      </c>
      <c r="L2550">
        <f ca="1">+_xlfn.IFNA(VLOOKUP(M2550,BespokeWindowsAreas!$B$2:$E$1999,4,FALSE),VLOOKUP(E2550,WindowTypeArea!$B$2:$C$113,2,FALSE))</f>
        <v>5.9474999999999998</v>
      </c>
      <c r="M2550">
        <f t="shared" ca="1" si="496"/>
        <v>4809058</v>
      </c>
    </row>
    <row r="2551" spans="1:13" x14ac:dyDescent="0.25">
      <c r="A2551">
        <f t="shared" ca="1" si="494"/>
        <v>13</v>
      </c>
      <c r="B2551">
        <f t="shared" ca="1" si="495"/>
        <v>5</v>
      </c>
      <c r="C2551" t="str">
        <f t="shared" ca="1" si="485"/>
        <v>'WINDOWS-NCH-A-OCMA-M3-00-0'!B4</v>
      </c>
      <c r="D2551" s="6">
        <f t="shared" ca="1" si="486"/>
        <v>2678</v>
      </c>
      <c r="E2551" t="str">
        <f t="shared" ca="1" si="487"/>
        <v>Family Type: 1000w x 3050h, Family: Window External Type 2 - Recessed and Fin</v>
      </c>
      <c r="F2551" t="str">
        <f t="shared" ca="1" si="488"/>
        <v>Vector(X = -0.041, Y = 0.999, Z = 0.000, Length = 1.000)</v>
      </c>
      <c r="G2551">
        <f t="shared" ca="1" si="489"/>
        <v>0</v>
      </c>
      <c r="H2551">
        <f t="shared" ca="1" si="490"/>
        <v>1</v>
      </c>
      <c r="I2551">
        <f t="shared" ca="1" si="491"/>
        <v>0</v>
      </c>
      <c r="J2551" s="8">
        <f t="shared" ca="1" si="492"/>
        <v>90</v>
      </c>
      <c r="K2551" s="9" t="str">
        <f t="shared" ca="1" si="493"/>
        <v>N</v>
      </c>
      <c r="L2551">
        <f ca="1">+_xlfn.IFNA(VLOOKUP(M2551,BespokeWindowsAreas!$B$2:$E$1999,4,FALSE),VLOOKUP(E2551,WindowTypeArea!$B$2:$C$113,2,FALSE))</f>
        <v>3.05</v>
      </c>
      <c r="M2551">
        <f t="shared" ca="1" si="496"/>
        <v>4809155</v>
      </c>
    </row>
    <row r="2552" spans="1:13" x14ac:dyDescent="0.25">
      <c r="A2552">
        <f t="shared" ca="1" si="494"/>
        <v>13</v>
      </c>
      <c r="B2552">
        <f t="shared" ca="1" si="495"/>
        <v>6</v>
      </c>
      <c r="C2552" t="str">
        <f t="shared" ca="1" si="485"/>
        <v>'WINDOWS-NCH-A-OCMA-M3-00-0'!B5</v>
      </c>
      <c r="D2552" s="6">
        <f t="shared" ca="1" si="486"/>
        <v>2678</v>
      </c>
      <c r="E2552" t="str">
        <f t="shared" ca="1" si="487"/>
        <v>Family Type: 1500w x 3050h, Family: Window External Type 3 - Recessed and Angle</v>
      </c>
      <c r="F2552" t="str">
        <f t="shared" ca="1" si="488"/>
        <v>Vector(X = -0.041, Y = 0.999, Z = 0.000, Length = 1.000)</v>
      </c>
      <c r="G2552">
        <f t="shared" ca="1" si="489"/>
        <v>0</v>
      </c>
      <c r="H2552">
        <f t="shared" ca="1" si="490"/>
        <v>1</v>
      </c>
      <c r="I2552">
        <f t="shared" ca="1" si="491"/>
        <v>0</v>
      </c>
      <c r="J2552" s="8">
        <f t="shared" ca="1" si="492"/>
        <v>90</v>
      </c>
      <c r="K2552" s="9" t="str">
        <f t="shared" ca="1" si="493"/>
        <v>N</v>
      </c>
      <c r="L2552">
        <f ca="1">+_xlfn.IFNA(VLOOKUP(M2552,BespokeWindowsAreas!$B$2:$E$1999,4,FALSE),VLOOKUP(E2552,WindowTypeArea!$B$2:$C$113,2,FALSE))</f>
        <v>4.5750000000000002</v>
      </c>
      <c r="M2552">
        <f t="shared" ca="1" si="496"/>
        <v>4809249</v>
      </c>
    </row>
    <row r="2553" spans="1:13" x14ac:dyDescent="0.25">
      <c r="A2553">
        <f t="shared" ca="1" si="494"/>
        <v>13</v>
      </c>
      <c r="B2553">
        <f t="shared" ca="1" si="495"/>
        <v>7</v>
      </c>
      <c r="C2553" t="str">
        <f t="shared" ca="1" si="485"/>
        <v>'WINDOWS-NCH-A-OCMA-M3-00-0'!B6</v>
      </c>
      <c r="D2553" s="6">
        <f t="shared" ca="1" si="486"/>
        <v>2678</v>
      </c>
      <c r="E2553" t="str">
        <f t="shared" ca="1" si="487"/>
        <v>Family Type: 975w x 3050h, Family: Window External Type 1 - Recessed</v>
      </c>
      <c r="F2553" t="str">
        <f t="shared" ca="1" si="488"/>
        <v>Vector(X = -0.041, Y = 0.999, Z = 0.000, Length = 1.000)</v>
      </c>
      <c r="G2553">
        <f t="shared" ca="1" si="489"/>
        <v>0</v>
      </c>
      <c r="H2553">
        <f t="shared" ca="1" si="490"/>
        <v>1</v>
      </c>
      <c r="I2553">
        <f t="shared" ca="1" si="491"/>
        <v>0</v>
      </c>
      <c r="J2553" s="8">
        <f t="shared" ca="1" si="492"/>
        <v>90</v>
      </c>
      <c r="K2553" s="9" t="str">
        <f t="shared" ca="1" si="493"/>
        <v>N</v>
      </c>
      <c r="L2553">
        <f ca="1">+_xlfn.IFNA(VLOOKUP(M2553,BespokeWindowsAreas!$B$2:$E$1999,4,FALSE),VLOOKUP(E2553,WindowTypeArea!$B$2:$C$113,2,FALSE))</f>
        <v>2.9737499999999999</v>
      </c>
      <c r="M2553">
        <f t="shared" ca="1" si="496"/>
        <v>4809343</v>
      </c>
    </row>
    <row r="2554" spans="1:13" x14ac:dyDescent="0.25">
      <c r="A2554">
        <f t="shared" ca="1" si="494"/>
        <v>13</v>
      </c>
      <c r="B2554">
        <f t="shared" ca="1" si="495"/>
        <v>8</v>
      </c>
      <c r="C2554" t="str">
        <f t="shared" ca="1" si="485"/>
        <v>'WINDOWS-NCH-A-OCMA-M3-00-0'!B7</v>
      </c>
      <c r="D2554" s="6">
        <f t="shared" ca="1" si="486"/>
        <v>2678</v>
      </c>
      <c r="E2554" t="str">
        <f t="shared" ca="1" si="487"/>
        <v>Family Type: 1000w x 3050h, Family: Window External Type 2 - Recessed and Fin</v>
      </c>
      <c r="F2554" t="str">
        <f t="shared" ca="1" si="488"/>
        <v>Vector(X = -0.041, Y = 0.999, Z = 0.000, Length = 1.000)</v>
      </c>
      <c r="G2554">
        <f t="shared" ca="1" si="489"/>
        <v>0</v>
      </c>
      <c r="H2554">
        <f t="shared" ca="1" si="490"/>
        <v>1</v>
      </c>
      <c r="I2554">
        <f t="shared" ca="1" si="491"/>
        <v>0</v>
      </c>
      <c r="J2554" s="8">
        <f t="shared" ca="1" si="492"/>
        <v>90</v>
      </c>
      <c r="K2554" s="9" t="str">
        <f t="shared" ca="1" si="493"/>
        <v>N</v>
      </c>
      <c r="L2554">
        <f ca="1">+_xlfn.IFNA(VLOOKUP(M2554,BespokeWindowsAreas!$B$2:$E$1999,4,FALSE),VLOOKUP(E2554,WindowTypeArea!$B$2:$C$113,2,FALSE))</f>
        <v>3.05</v>
      </c>
      <c r="M2554">
        <f t="shared" ca="1" si="496"/>
        <v>5207394</v>
      </c>
    </row>
    <row r="2555" spans="1:13" x14ac:dyDescent="0.25">
      <c r="A2555">
        <f t="shared" ca="1" si="494"/>
        <v>13</v>
      </c>
      <c r="B2555">
        <f t="shared" ca="1" si="495"/>
        <v>9</v>
      </c>
      <c r="C2555" t="str">
        <f t="shared" ca="1" si="485"/>
        <v>'WINDOWS-NCH-A-OCMA-M3-00-0'!B8</v>
      </c>
      <c r="D2555" s="6">
        <f t="shared" ca="1" si="486"/>
        <v>2679</v>
      </c>
      <c r="E2555">
        <f t="shared" ca="1" si="487"/>
        <v>2679</v>
      </c>
      <c r="F2555">
        <f t="shared" ca="1" si="488"/>
        <v>1439586</v>
      </c>
      <c r="G2555">
        <f t="shared" ca="1" si="489"/>
        <v>0</v>
      </c>
      <c r="H2555">
        <f t="shared" ca="1" si="490"/>
        <v>0</v>
      </c>
      <c r="I2555">
        <f t="shared" ca="1" si="491"/>
        <v>0</v>
      </c>
      <c r="J2555" s="8" t="e">
        <f t="shared" ca="1" si="492"/>
        <v>#DIV/0!</v>
      </c>
      <c r="K2555" s="9" t="e">
        <f t="shared" ca="1" si="493"/>
        <v>#DIV/0!</v>
      </c>
      <c r="L2555" t="e">
        <f ca="1">+_xlfn.IFNA(VLOOKUP(M2555,BespokeWindowsAreas!$B$2:$E$1999,4,FALSE),VLOOKUP(E2555,WindowTypeArea!$B$2:$C$113,2,FALSE))</f>
        <v>#N/A</v>
      </c>
      <c r="M2555">
        <f t="shared" ca="1" si="496"/>
        <v>0</v>
      </c>
    </row>
    <row r="2556" spans="1:13" x14ac:dyDescent="0.25">
      <c r="A2556">
        <f t="shared" ca="1" si="494"/>
        <v>13</v>
      </c>
      <c r="B2556">
        <f t="shared" ca="1" si="495"/>
        <v>10</v>
      </c>
      <c r="C2556" t="str">
        <f t="shared" ca="1" si="485"/>
        <v>'WINDOWS-NCH-A-OCMA-M3-00-0'!B9</v>
      </c>
      <c r="D2556" s="6">
        <f t="shared" ca="1" si="486"/>
        <v>2679</v>
      </c>
      <c r="E2556" t="str">
        <f t="shared" ca="1" si="487"/>
        <v>Family Type: 1500w x 3050h, Family: Window External Type 3 - Recessed and Angle</v>
      </c>
      <c r="F2556" t="str">
        <f t="shared" ca="1" si="488"/>
        <v>Vector(X = 0.212, Y = -0.977, Z = 0.000, Length = 1.000)</v>
      </c>
      <c r="G2556">
        <f t="shared" ca="1" si="489"/>
        <v>0.2</v>
      </c>
      <c r="H2556">
        <f t="shared" ca="1" si="490"/>
        <v>-1</v>
      </c>
      <c r="I2556">
        <f t="shared" ca="1" si="491"/>
        <v>0</v>
      </c>
      <c r="J2556" s="8">
        <f t="shared" ca="1" si="492"/>
        <v>-78.690067525979785</v>
      </c>
      <c r="K2556" s="9" t="str">
        <f t="shared" ca="1" si="493"/>
        <v>S</v>
      </c>
      <c r="L2556">
        <f ca="1">+_xlfn.IFNA(VLOOKUP(M2556,BespokeWindowsAreas!$B$2:$E$1999,4,FALSE),VLOOKUP(E2556,WindowTypeArea!$B$2:$C$113,2,FALSE))</f>
        <v>4.5750000000000002</v>
      </c>
      <c r="M2556">
        <f t="shared" ca="1" si="496"/>
        <v>4807556</v>
      </c>
    </row>
    <row r="2557" spans="1:13" x14ac:dyDescent="0.25">
      <c r="A2557">
        <f t="shared" ca="1" si="494"/>
        <v>13</v>
      </c>
      <c r="B2557">
        <f t="shared" ca="1" si="495"/>
        <v>11</v>
      </c>
      <c r="C2557" t="str">
        <f t="shared" ca="1" si="485"/>
        <v>'WINDOWS-NCH-A-OCMA-M3-00-0'!B10</v>
      </c>
      <c r="D2557" s="6">
        <f t="shared" ca="1" si="486"/>
        <v>2681</v>
      </c>
      <c r="E2557">
        <f t="shared" ca="1" si="487"/>
        <v>2681</v>
      </c>
      <c r="F2557">
        <f t="shared" ca="1" si="488"/>
        <v>1440260</v>
      </c>
      <c r="G2557">
        <f t="shared" ca="1" si="489"/>
        <v>0</v>
      </c>
      <c r="H2557">
        <f t="shared" ca="1" si="490"/>
        <v>0</v>
      </c>
      <c r="I2557">
        <f t="shared" ca="1" si="491"/>
        <v>0</v>
      </c>
      <c r="J2557" s="8" t="e">
        <f t="shared" ca="1" si="492"/>
        <v>#DIV/0!</v>
      </c>
      <c r="K2557" s="9" t="e">
        <f t="shared" ca="1" si="493"/>
        <v>#DIV/0!</v>
      </c>
      <c r="L2557" t="e">
        <f ca="1">+_xlfn.IFNA(VLOOKUP(M2557,BespokeWindowsAreas!$B$2:$E$1999,4,FALSE),VLOOKUP(E2557,WindowTypeArea!$B$2:$C$113,2,FALSE))</f>
        <v>#N/A</v>
      </c>
      <c r="M2557">
        <f t="shared" ca="1" si="496"/>
        <v>0</v>
      </c>
    </row>
    <row r="2558" spans="1:13" x14ac:dyDescent="0.25">
      <c r="A2558">
        <f t="shared" ca="1" si="494"/>
        <v>13</v>
      </c>
      <c r="B2558">
        <f t="shared" ca="1" si="495"/>
        <v>12</v>
      </c>
      <c r="C2558" t="str">
        <f t="shared" ca="1" si="485"/>
        <v>'WINDOWS-NCH-A-OCMA-M3-00-0'!B11</v>
      </c>
      <c r="D2558" s="6">
        <f t="shared" ca="1" si="486"/>
        <v>2681</v>
      </c>
      <c r="E2558" t="str">
        <f t="shared" ca="1" si="487"/>
        <v>Family Type: 1000w x 3050h, Family: Window External Type 4 - Extruded</v>
      </c>
      <c r="F2558" t="str">
        <f t="shared" ca="1" si="488"/>
        <v>Vector(X = -0.130, Y = -0.991, Z = 0.000, Length = 1.000)</v>
      </c>
      <c r="G2558">
        <f t="shared" ca="1" si="489"/>
        <v>-0.1</v>
      </c>
      <c r="H2558">
        <f t="shared" ca="1" si="490"/>
        <v>-1</v>
      </c>
      <c r="I2558">
        <f t="shared" ca="1" si="491"/>
        <v>0</v>
      </c>
      <c r="J2558" s="8">
        <f t="shared" ca="1" si="492"/>
        <v>-95.710593137499629</v>
      </c>
      <c r="K2558" s="9" t="str">
        <f t="shared" ca="1" si="493"/>
        <v>SW</v>
      </c>
      <c r="L2558">
        <f ca="1">+_xlfn.IFNA(VLOOKUP(M2558,BespokeWindowsAreas!$B$2:$E$1999,4,FALSE),VLOOKUP(E2558,WindowTypeArea!$B$2:$C$113,2,FALSE))</f>
        <v>3.05</v>
      </c>
      <c r="M2558">
        <f t="shared" ca="1" si="496"/>
        <v>4795723</v>
      </c>
    </row>
    <row r="2559" spans="1:13" x14ac:dyDescent="0.25">
      <c r="A2559">
        <f t="shared" ca="1" si="494"/>
        <v>13</v>
      </c>
      <c r="B2559">
        <f t="shared" ca="1" si="495"/>
        <v>13</v>
      </c>
      <c r="C2559" t="str">
        <f t="shared" ca="1" si="485"/>
        <v>'WINDOWS-NCH-A-OCMA-M3-00-0'!B12</v>
      </c>
      <c r="D2559" s="6">
        <f t="shared" ca="1" si="486"/>
        <v>2681</v>
      </c>
      <c r="E2559" t="str">
        <f t="shared" ca="1" si="487"/>
        <v>Family Type: 975w x 3050h, Family: Window External Type 1 - Recessed</v>
      </c>
      <c r="F2559" t="str">
        <f t="shared" ca="1" si="488"/>
        <v>Vector(X = -0.130, Y = -0.991, Z = 0.000, Length = 1.000)</v>
      </c>
      <c r="G2559">
        <f t="shared" ca="1" si="489"/>
        <v>-0.1</v>
      </c>
      <c r="H2559">
        <f t="shared" ca="1" si="490"/>
        <v>-1</v>
      </c>
      <c r="I2559">
        <f t="shared" ca="1" si="491"/>
        <v>0</v>
      </c>
      <c r="J2559" s="8">
        <f t="shared" ca="1" si="492"/>
        <v>-95.710593137499629</v>
      </c>
      <c r="K2559" s="9" t="str">
        <f t="shared" ca="1" si="493"/>
        <v>SW</v>
      </c>
      <c r="L2559">
        <f ca="1">+_xlfn.IFNA(VLOOKUP(M2559,BespokeWindowsAreas!$B$2:$E$1999,4,FALSE),VLOOKUP(E2559,WindowTypeArea!$B$2:$C$113,2,FALSE))</f>
        <v>2.9737499999999999</v>
      </c>
      <c r="M2559">
        <f t="shared" ca="1" si="496"/>
        <v>4795768</v>
      </c>
    </row>
    <row r="2560" spans="1:13" x14ac:dyDescent="0.25">
      <c r="A2560">
        <f t="shared" ca="1" si="494"/>
        <v>13</v>
      </c>
      <c r="B2560">
        <f t="shared" ca="1" si="495"/>
        <v>14</v>
      </c>
      <c r="C2560" t="str">
        <f t="shared" ca="1" si="485"/>
        <v>'WINDOWS-NCH-A-OCMA-M3-00-0'!B13</v>
      </c>
      <c r="D2560" s="6">
        <f t="shared" ca="1" si="486"/>
        <v>2681</v>
      </c>
      <c r="E2560" t="str">
        <f t="shared" ca="1" si="487"/>
        <v>Family Type: 1500w x 3050h, Family: Window External Type 3 - Recessed and Angle</v>
      </c>
      <c r="F2560" t="str">
        <f t="shared" ca="1" si="488"/>
        <v>Vector(X = -0.130, Y = -0.991, Z = 0.000, Length = 1.000)</v>
      </c>
      <c r="G2560">
        <f t="shared" ca="1" si="489"/>
        <v>-0.1</v>
      </c>
      <c r="H2560">
        <f t="shared" ca="1" si="490"/>
        <v>-1</v>
      </c>
      <c r="I2560">
        <f t="shared" ca="1" si="491"/>
        <v>0</v>
      </c>
      <c r="J2560" s="8">
        <f t="shared" ca="1" si="492"/>
        <v>-95.710593137499629</v>
      </c>
      <c r="K2560" s="9" t="str">
        <f t="shared" ca="1" si="493"/>
        <v>SW</v>
      </c>
      <c r="L2560">
        <f ca="1">+_xlfn.IFNA(VLOOKUP(M2560,BespokeWindowsAreas!$B$2:$E$1999,4,FALSE),VLOOKUP(E2560,WindowTypeArea!$B$2:$C$113,2,FALSE))</f>
        <v>4.5750000000000002</v>
      </c>
      <c r="M2560">
        <f t="shared" ca="1" si="496"/>
        <v>4795778</v>
      </c>
    </row>
    <row r="2561" spans="1:13" x14ac:dyDescent="0.25">
      <c r="A2561">
        <f t="shared" ca="1" si="494"/>
        <v>13</v>
      </c>
      <c r="B2561">
        <f t="shared" ca="1" si="495"/>
        <v>15</v>
      </c>
      <c r="C2561" t="str">
        <f t="shared" ca="1" si="485"/>
        <v>'WINDOWS-NCH-A-OCMA-M3-00-0'!B14</v>
      </c>
      <c r="D2561" s="6">
        <f t="shared" ca="1" si="486"/>
        <v>2681</v>
      </c>
      <c r="E2561" t="str">
        <f t="shared" ca="1" si="487"/>
        <v>Family Type: 1500w x 3050h, Family: Window External Type 3 - Recessed and Angle</v>
      </c>
      <c r="F2561" t="str">
        <f t="shared" ca="1" si="488"/>
        <v>Vector(X = -0.991, Y = 0.132, Z = 0.000, Length = 1.000)</v>
      </c>
      <c r="G2561">
        <f t="shared" ca="1" si="489"/>
        <v>-1</v>
      </c>
      <c r="H2561">
        <f t="shared" ca="1" si="490"/>
        <v>0.1</v>
      </c>
      <c r="I2561">
        <f t="shared" ca="1" si="491"/>
        <v>0</v>
      </c>
      <c r="J2561" s="8">
        <f t="shared" ca="1" si="492"/>
        <v>174.28940686250036</v>
      </c>
      <c r="K2561" s="9" t="str">
        <f t="shared" ca="1" si="493"/>
        <v>WN</v>
      </c>
      <c r="L2561">
        <f ca="1">+_xlfn.IFNA(VLOOKUP(M2561,BespokeWindowsAreas!$B$2:$E$1999,4,FALSE),VLOOKUP(E2561,WindowTypeArea!$B$2:$C$113,2,FALSE))</f>
        <v>4.5750000000000002</v>
      </c>
      <c r="M2561">
        <f t="shared" ca="1" si="496"/>
        <v>4841854</v>
      </c>
    </row>
    <row r="2562" spans="1:13" x14ac:dyDescent="0.25">
      <c r="A2562">
        <f t="shared" ca="1" si="494"/>
        <v>13</v>
      </c>
      <c r="B2562">
        <f t="shared" ca="1" si="495"/>
        <v>16</v>
      </c>
      <c r="C2562" t="str">
        <f t="shared" ca="1" si="485"/>
        <v>'WINDOWS-NCH-A-OCMA-M3-00-0'!B15</v>
      </c>
      <c r="D2562" s="6">
        <f t="shared" ca="1" si="486"/>
        <v>2681</v>
      </c>
      <c r="E2562" t="str">
        <f t="shared" ca="1" si="487"/>
        <v>Family Type: 1500w x 3050h, Family: Window External Type 3 - Recessed and Angle</v>
      </c>
      <c r="F2562" t="str">
        <f t="shared" ca="1" si="488"/>
        <v>Vector(X = -0.991, Y = 0.132, Z = 0.000, Length = 1.000)</v>
      </c>
      <c r="G2562">
        <f t="shared" ca="1" si="489"/>
        <v>-1</v>
      </c>
      <c r="H2562">
        <f t="shared" ca="1" si="490"/>
        <v>0.1</v>
      </c>
      <c r="I2562">
        <f t="shared" ca="1" si="491"/>
        <v>0</v>
      </c>
      <c r="J2562" s="8">
        <f t="shared" ca="1" si="492"/>
        <v>174.28940686250036</v>
      </c>
      <c r="K2562" s="9" t="str">
        <f t="shared" ca="1" si="493"/>
        <v>WN</v>
      </c>
      <c r="L2562">
        <f ca="1">+_xlfn.IFNA(VLOOKUP(M2562,BespokeWindowsAreas!$B$2:$E$1999,4,FALSE),VLOOKUP(E2562,WindowTypeArea!$B$2:$C$113,2,FALSE))</f>
        <v>4.5750000000000002</v>
      </c>
      <c r="M2562">
        <f t="shared" ca="1" si="496"/>
        <v>4841923</v>
      </c>
    </row>
    <row r="2563" spans="1:13" x14ac:dyDescent="0.25">
      <c r="A2563">
        <f t="shared" ca="1" si="494"/>
        <v>13</v>
      </c>
      <c r="B2563">
        <f t="shared" ca="1" si="495"/>
        <v>17</v>
      </c>
      <c r="C2563" t="str">
        <f t="shared" ca="1" si="485"/>
        <v>'WINDOWS-NCH-A-OCMA-M3-00-0'!B16</v>
      </c>
      <c r="D2563" s="6">
        <f t="shared" ca="1" si="486"/>
        <v>2681</v>
      </c>
      <c r="E2563" t="str">
        <f t="shared" ca="1" si="487"/>
        <v>Family Type: 1500w x 3050h, Family: Window External Type 3 - Recessed and Angle</v>
      </c>
      <c r="F2563" t="str">
        <f t="shared" ca="1" si="488"/>
        <v>Vector(X = -0.991, Y = 0.132, Z = 0.000, Length = 1.000)</v>
      </c>
      <c r="G2563">
        <f t="shared" ca="1" si="489"/>
        <v>-1</v>
      </c>
      <c r="H2563">
        <f t="shared" ca="1" si="490"/>
        <v>0.1</v>
      </c>
      <c r="I2563">
        <f t="shared" ca="1" si="491"/>
        <v>0</v>
      </c>
      <c r="J2563" s="8">
        <f t="shared" ca="1" si="492"/>
        <v>174.28940686250036</v>
      </c>
      <c r="K2563" s="9" t="str">
        <f t="shared" ca="1" si="493"/>
        <v>WN</v>
      </c>
      <c r="L2563">
        <f ca="1">+_xlfn.IFNA(VLOOKUP(M2563,BespokeWindowsAreas!$B$2:$E$1999,4,FALSE),VLOOKUP(E2563,WindowTypeArea!$B$2:$C$113,2,FALSE))</f>
        <v>4.5750000000000002</v>
      </c>
      <c r="M2563">
        <f t="shared" ca="1" si="496"/>
        <v>4841972</v>
      </c>
    </row>
    <row r="2564" spans="1:13" x14ac:dyDescent="0.25">
      <c r="A2564">
        <f t="shared" ca="1" si="494"/>
        <v>13</v>
      </c>
      <c r="B2564">
        <f t="shared" ca="1" si="495"/>
        <v>18</v>
      </c>
      <c r="C2564" t="str">
        <f t="shared" ca="1" si="485"/>
        <v>'WINDOWS-NCH-A-OCMA-M3-00-0'!B17</v>
      </c>
      <c r="D2564" s="6">
        <f t="shared" ca="1" si="486"/>
        <v>2685</v>
      </c>
      <c r="E2564">
        <f t="shared" ca="1" si="487"/>
        <v>2685</v>
      </c>
      <c r="F2564">
        <f t="shared" ca="1" si="488"/>
        <v>1440919</v>
      </c>
      <c r="G2564">
        <f t="shared" ca="1" si="489"/>
        <v>0</v>
      </c>
      <c r="H2564">
        <f t="shared" ca="1" si="490"/>
        <v>0</v>
      </c>
      <c r="I2564">
        <f t="shared" ca="1" si="491"/>
        <v>0</v>
      </c>
      <c r="J2564" s="8" t="e">
        <f t="shared" ca="1" si="492"/>
        <v>#DIV/0!</v>
      </c>
      <c r="K2564" s="9" t="e">
        <f t="shared" ca="1" si="493"/>
        <v>#DIV/0!</v>
      </c>
      <c r="L2564" t="e">
        <f ca="1">+_xlfn.IFNA(VLOOKUP(M2564,BespokeWindowsAreas!$B$2:$E$1999,4,FALSE),VLOOKUP(E2564,WindowTypeArea!$B$2:$C$113,2,FALSE))</f>
        <v>#N/A</v>
      </c>
      <c r="M2564">
        <f t="shared" ca="1" si="496"/>
        <v>0</v>
      </c>
    </row>
    <row r="2565" spans="1:13" x14ac:dyDescent="0.25">
      <c r="A2565">
        <f t="shared" ca="1" si="494"/>
        <v>13</v>
      </c>
      <c r="B2565">
        <f t="shared" ca="1" si="495"/>
        <v>19</v>
      </c>
      <c r="C2565" t="str">
        <f t="shared" ca="1" si="485"/>
        <v>'WINDOWS-NCH-A-OCMA-M3-00-0'!B18</v>
      </c>
      <c r="D2565" s="6">
        <f t="shared" ca="1" si="486"/>
        <v>2685</v>
      </c>
      <c r="E2565" t="str">
        <f t="shared" ca="1" si="487"/>
        <v>Family Type: 1500w x 3050h, Family: Window External Type 3 - Recessed and Angle</v>
      </c>
      <c r="F2565" t="str">
        <f t="shared" ca="1" si="488"/>
        <v>Vector(X = 0.212, Y = -0.977, Z = 0.000, Length = 1.000)</v>
      </c>
      <c r="G2565">
        <f t="shared" ca="1" si="489"/>
        <v>0.2</v>
      </c>
      <c r="H2565">
        <f t="shared" ca="1" si="490"/>
        <v>-1</v>
      </c>
      <c r="I2565">
        <f t="shared" ca="1" si="491"/>
        <v>0</v>
      </c>
      <c r="J2565" s="8">
        <f t="shared" ca="1" si="492"/>
        <v>-78.690067525979785</v>
      </c>
      <c r="K2565" s="9" t="str">
        <f t="shared" ca="1" si="493"/>
        <v>S</v>
      </c>
      <c r="L2565">
        <f ca="1">+_xlfn.IFNA(VLOOKUP(M2565,BespokeWindowsAreas!$B$2:$E$1999,4,FALSE),VLOOKUP(E2565,WindowTypeArea!$B$2:$C$113,2,FALSE))</f>
        <v>4.5750000000000002</v>
      </c>
      <c r="M2565">
        <f t="shared" ca="1" si="496"/>
        <v>4807632</v>
      </c>
    </row>
    <row r="2566" spans="1:13" x14ac:dyDescent="0.25">
      <c r="A2566">
        <f t="shared" ca="1" si="494"/>
        <v>13</v>
      </c>
      <c r="B2566">
        <f t="shared" ca="1" si="495"/>
        <v>20</v>
      </c>
      <c r="C2566" t="str">
        <f t="shared" ca="1" si="485"/>
        <v>'WINDOWS-NCH-A-OCMA-M3-00-0'!B19</v>
      </c>
      <c r="D2566" s="6">
        <f t="shared" ca="1" si="486"/>
        <v>2685</v>
      </c>
      <c r="E2566" t="str">
        <f t="shared" ca="1" si="487"/>
        <v>Family Type: 975w x 3050h, Family: Window External Type 1 - Recessed</v>
      </c>
      <c r="F2566" t="str">
        <f t="shared" ca="1" si="488"/>
        <v>Vector(X = 0.212, Y = -0.977, Z = 0.000, Length = 1.000)</v>
      </c>
      <c r="G2566">
        <f t="shared" ca="1" si="489"/>
        <v>0.2</v>
      </c>
      <c r="H2566">
        <f t="shared" ca="1" si="490"/>
        <v>-1</v>
      </c>
      <c r="I2566">
        <f t="shared" ca="1" si="491"/>
        <v>0</v>
      </c>
      <c r="J2566" s="8">
        <f t="shared" ca="1" si="492"/>
        <v>-78.690067525979785</v>
      </c>
      <c r="K2566" s="9" t="str">
        <f t="shared" ca="1" si="493"/>
        <v>S</v>
      </c>
      <c r="L2566">
        <f ca="1">+_xlfn.IFNA(VLOOKUP(M2566,BespokeWindowsAreas!$B$2:$E$1999,4,FALSE),VLOOKUP(E2566,WindowTypeArea!$B$2:$C$113,2,FALSE))</f>
        <v>2.9737499999999999</v>
      </c>
      <c r="M2566">
        <f t="shared" ca="1" si="496"/>
        <v>4807660</v>
      </c>
    </row>
    <row r="2567" spans="1:13" x14ac:dyDescent="0.25">
      <c r="A2567">
        <f t="shared" ca="1" si="494"/>
        <v>13</v>
      </c>
      <c r="B2567">
        <f t="shared" ca="1" si="495"/>
        <v>21</v>
      </c>
      <c r="C2567" t="str">
        <f t="shared" ca="1" si="485"/>
        <v>'WINDOWS-NCH-A-OCMA-M3-00-0'!B20</v>
      </c>
      <c r="D2567" s="6">
        <f t="shared" ca="1" si="486"/>
        <v>2686</v>
      </c>
      <c r="E2567">
        <f t="shared" ca="1" si="487"/>
        <v>2686</v>
      </c>
      <c r="F2567">
        <f t="shared" ca="1" si="488"/>
        <v>1441302</v>
      </c>
      <c r="G2567">
        <f t="shared" ca="1" si="489"/>
        <v>0</v>
      </c>
      <c r="H2567">
        <f t="shared" ca="1" si="490"/>
        <v>0</v>
      </c>
      <c r="I2567">
        <f t="shared" ca="1" si="491"/>
        <v>0</v>
      </c>
      <c r="J2567" s="8" t="e">
        <f t="shared" ca="1" si="492"/>
        <v>#DIV/0!</v>
      </c>
      <c r="K2567" s="9" t="e">
        <f t="shared" ca="1" si="493"/>
        <v>#DIV/0!</v>
      </c>
      <c r="L2567" t="e">
        <f ca="1">+_xlfn.IFNA(VLOOKUP(M2567,BespokeWindowsAreas!$B$2:$E$1999,4,FALSE),VLOOKUP(E2567,WindowTypeArea!$B$2:$C$113,2,FALSE))</f>
        <v>#N/A</v>
      </c>
      <c r="M2567">
        <f t="shared" ca="1" si="496"/>
        <v>0</v>
      </c>
    </row>
    <row r="2568" spans="1:13" x14ac:dyDescent="0.25">
      <c r="A2568">
        <f t="shared" ca="1" si="494"/>
        <v>13</v>
      </c>
      <c r="B2568">
        <f t="shared" ca="1" si="495"/>
        <v>22</v>
      </c>
      <c r="C2568" t="str">
        <f t="shared" ca="1" si="485"/>
        <v>'WINDOWS-NCH-A-OCMA-M3-00-0'!B21</v>
      </c>
      <c r="D2568" s="6">
        <f t="shared" ca="1" si="486"/>
        <v>2686</v>
      </c>
      <c r="E2568" t="str">
        <f t="shared" ca="1" si="487"/>
        <v>Family Type: 1500w x 3050h, Family: Window External Type 3 - Recessed and Angle</v>
      </c>
      <c r="F2568" t="str">
        <f t="shared" ca="1" si="488"/>
        <v>Vector(X = -0.996, Y = 0.087, Z = 0.000, Length = 1.000)</v>
      </c>
      <c r="G2568">
        <f t="shared" ca="1" si="489"/>
        <v>-1</v>
      </c>
      <c r="H2568">
        <f t="shared" ca="1" si="490"/>
        <v>0.1</v>
      </c>
      <c r="I2568">
        <f t="shared" ca="1" si="491"/>
        <v>0</v>
      </c>
      <c r="J2568" s="8">
        <f t="shared" ca="1" si="492"/>
        <v>174.28940686250036</v>
      </c>
      <c r="K2568" s="9" t="str">
        <f t="shared" ca="1" si="493"/>
        <v>WN</v>
      </c>
      <c r="L2568">
        <f ca="1">+_xlfn.IFNA(VLOOKUP(M2568,BespokeWindowsAreas!$B$2:$E$1999,4,FALSE),VLOOKUP(E2568,WindowTypeArea!$B$2:$C$113,2,FALSE))</f>
        <v>4.5750000000000002</v>
      </c>
      <c r="M2568">
        <f t="shared" ca="1" si="496"/>
        <v>4801883</v>
      </c>
    </row>
    <row r="2569" spans="1:13" x14ac:dyDescent="0.25">
      <c r="A2569">
        <f t="shared" ca="1" si="494"/>
        <v>13</v>
      </c>
      <c r="B2569">
        <f t="shared" ca="1" si="495"/>
        <v>23</v>
      </c>
      <c r="C2569" t="str">
        <f t="shared" ref="C2569:C2632" ca="1" si="497">+"'"&amp;INDIRECT("a"&amp;A2568)&amp;"'!B"&amp;B2568</f>
        <v>'WINDOWS-NCH-A-OCMA-M3-00-0'!B22</v>
      </c>
      <c r="D2569" s="6">
        <f t="shared" ref="D2569:D2632" ca="1" si="498">+IF(IFERROR(FIND("Family",E2569)&gt;0,FALSE),D2568,E2569)</f>
        <v>2690</v>
      </c>
      <c r="E2569">
        <f t="shared" ref="E2569:E2632" ca="1" si="499">+OFFSET(INDIRECT(C2569),0,0)</f>
        <v>2690</v>
      </c>
      <c r="F2569">
        <f t="shared" ref="F2569:F2632" ca="1" si="500">+OFFSET(INDIRECT(C2569),0,1)</f>
        <v>1442409</v>
      </c>
      <c r="G2569">
        <f t="shared" ref="G2569:G2632" ca="1" si="501">+OFFSET(INDIRECT(C2569),0,2)</f>
        <v>0</v>
      </c>
      <c r="H2569">
        <f t="shared" ref="H2569:H2632" ca="1" si="502">+OFFSET(INDIRECT(C2569),0,3)</f>
        <v>0</v>
      </c>
      <c r="I2569">
        <f t="shared" ref="I2569:I2632" ca="1" si="503">+OFFSET(INDIRECT(C2569),0,4)</f>
        <v>0</v>
      </c>
      <c r="J2569" s="8" t="e">
        <f t="shared" ref="J2569:J2632" ca="1" si="504">+DEGREES(ATAN2(G2569,H2569))</f>
        <v>#DIV/0!</v>
      </c>
      <c r="K2569" s="9" t="e">
        <f t="shared" ref="K2569:K2632" ca="1" si="505">VLOOKUP(J2569,$O$20:$P$36,2,-1)</f>
        <v>#DIV/0!</v>
      </c>
      <c r="L2569" t="e">
        <f ca="1">+_xlfn.IFNA(VLOOKUP(M2569,BespokeWindowsAreas!$B$2:$E$1999,4,FALSE),VLOOKUP(E2569,WindowTypeArea!$B$2:$C$113,2,FALSE))</f>
        <v>#N/A</v>
      </c>
      <c r="M2569">
        <f t="shared" ca="1" si="496"/>
        <v>0</v>
      </c>
    </row>
    <row r="2570" spans="1:13" x14ac:dyDescent="0.25">
      <c r="A2570">
        <f t="shared" ca="1" si="494"/>
        <v>13</v>
      </c>
      <c r="B2570">
        <f t="shared" ca="1" si="495"/>
        <v>24</v>
      </c>
      <c r="C2570" t="str">
        <f t="shared" ca="1" si="497"/>
        <v>'WINDOWS-NCH-A-OCMA-M3-00-0'!B23</v>
      </c>
      <c r="D2570" s="6">
        <f t="shared" ca="1" si="498"/>
        <v>2690</v>
      </c>
      <c r="E2570" t="str">
        <f t="shared" ca="1" si="499"/>
        <v>Family Type: 1500w x 3050h, Family: Window External Type 3 - Recessed and Angle</v>
      </c>
      <c r="F2570" t="str">
        <f t="shared" ca="1" si="500"/>
        <v>Vector(X = -0.996, Y = 0.087, Z = 0.000, Length = 1.000)</v>
      </c>
      <c r="G2570">
        <f t="shared" ca="1" si="501"/>
        <v>-1</v>
      </c>
      <c r="H2570">
        <f t="shared" ca="1" si="502"/>
        <v>0.1</v>
      </c>
      <c r="I2570">
        <f t="shared" ca="1" si="503"/>
        <v>0</v>
      </c>
      <c r="J2570" s="8">
        <f t="shared" ca="1" si="504"/>
        <v>174.28940686250036</v>
      </c>
      <c r="K2570" s="9" t="str">
        <f t="shared" ca="1" si="505"/>
        <v>WN</v>
      </c>
      <c r="L2570">
        <f ca="1">+_xlfn.IFNA(VLOOKUP(M2570,BespokeWindowsAreas!$B$2:$E$1999,4,FALSE),VLOOKUP(E2570,WindowTypeArea!$B$2:$C$113,2,FALSE))</f>
        <v>4.5750000000000002</v>
      </c>
      <c r="M2570">
        <f t="shared" ca="1" si="496"/>
        <v>4801884</v>
      </c>
    </row>
    <row r="2571" spans="1:13" x14ac:dyDescent="0.25">
      <c r="A2571">
        <f t="shared" ca="1" si="494"/>
        <v>13</v>
      </c>
      <c r="B2571">
        <f t="shared" ca="1" si="495"/>
        <v>25</v>
      </c>
      <c r="C2571" t="str">
        <f t="shared" ca="1" si="497"/>
        <v>'WINDOWS-NCH-A-OCMA-M3-00-0'!B24</v>
      </c>
      <c r="D2571" s="6">
        <f t="shared" ca="1" si="498"/>
        <v>2690</v>
      </c>
      <c r="E2571" t="str">
        <f t="shared" ca="1" si="499"/>
        <v>Family Type: 1500w x 3050h, Family: Window External Type 3 - Recessed and Angle</v>
      </c>
      <c r="F2571" t="str">
        <f t="shared" ca="1" si="500"/>
        <v>Vector(X = -0.996, Y = 0.087, Z = 0.000, Length = 1.000)</v>
      </c>
      <c r="G2571">
        <f t="shared" ca="1" si="501"/>
        <v>-1</v>
      </c>
      <c r="H2571">
        <f t="shared" ca="1" si="502"/>
        <v>0.1</v>
      </c>
      <c r="I2571">
        <f t="shared" ca="1" si="503"/>
        <v>0</v>
      </c>
      <c r="J2571" s="8">
        <f t="shared" ca="1" si="504"/>
        <v>174.28940686250036</v>
      </c>
      <c r="K2571" s="9" t="str">
        <f t="shared" ca="1" si="505"/>
        <v>WN</v>
      </c>
      <c r="L2571">
        <f ca="1">+_xlfn.IFNA(VLOOKUP(M2571,BespokeWindowsAreas!$B$2:$E$1999,4,FALSE),VLOOKUP(E2571,WindowTypeArea!$B$2:$C$113,2,FALSE))</f>
        <v>4.5750000000000002</v>
      </c>
      <c r="M2571">
        <f t="shared" ca="1" si="496"/>
        <v>4848722</v>
      </c>
    </row>
    <row r="2572" spans="1:13" x14ac:dyDescent="0.25">
      <c r="A2572">
        <f t="shared" ca="1" si="494"/>
        <v>13</v>
      </c>
      <c r="B2572">
        <f t="shared" ca="1" si="495"/>
        <v>26</v>
      </c>
      <c r="C2572" t="str">
        <f t="shared" ca="1" si="497"/>
        <v>'WINDOWS-NCH-A-OCMA-M3-00-0'!B25</v>
      </c>
      <c r="D2572" s="6">
        <f t="shared" ca="1" si="498"/>
        <v>2690</v>
      </c>
      <c r="E2572" t="str">
        <f t="shared" ca="1" si="499"/>
        <v>Family Type: 1500w x 3050h, Family: Window External Type 3 - Recessed and Angle</v>
      </c>
      <c r="F2572" t="str">
        <f t="shared" ca="1" si="500"/>
        <v>Vector(X = -0.041, Y = 0.999, Z = 0.000, Length = 1.000)</v>
      </c>
      <c r="G2572">
        <f t="shared" ca="1" si="501"/>
        <v>0</v>
      </c>
      <c r="H2572">
        <f t="shared" ca="1" si="502"/>
        <v>1</v>
      </c>
      <c r="I2572">
        <f t="shared" ca="1" si="503"/>
        <v>0</v>
      </c>
      <c r="J2572" s="8">
        <f t="shared" ca="1" si="504"/>
        <v>90</v>
      </c>
      <c r="K2572" s="9" t="str">
        <f t="shared" ca="1" si="505"/>
        <v>N</v>
      </c>
      <c r="L2572">
        <f ca="1">+_xlfn.IFNA(VLOOKUP(M2572,BespokeWindowsAreas!$B$2:$E$1999,4,FALSE),VLOOKUP(E2572,WindowTypeArea!$B$2:$C$113,2,FALSE))</f>
        <v>4.5750000000000002</v>
      </c>
      <c r="M2572">
        <f t="shared" ca="1" si="496"/>
        <v>5148586</v>
      </c>
    </row>
    <row r="2573" spans="1:13" x14ac:dyDescent="0.25">
      <c r="A2573">
        <f t="shared" ca="1" si="494"/>
        <v>13</v>
      </c>
      <c r="B2573">
        <f t="shared" ca="1" si="495"/>
        <v>27</v>
      </c>
      <c r="C2573" t="str">
        <f t="shared" ca="1" si="497"/>
        <v>'WINDOWS-NCH-A-OCMA-M3-00-0'!B26</v>
      </c>
      <c r="D2573" s="6">
        <f t="shared" ca="1" si="498"/>
        <v>2695</v>
      </c>
      <c r="E2573">
        <f t="shared" ca="1" si="499"/>
        <v>2695</v>
      </c>
      <c r="F2573">
        <f t="shared" ca="1" si="500"/>
        <v>1464339</v>
      </c>
      <c r="G2573">
        <f t="shared" ca="1" si="501"/>
        <v>0</v>
      </c>
      <c r="H2573">
        <f t="shared" ca="1" si="502"/>
        <v>0</v>
      </c>
      <c r="I2573">
        <f t="shared" ca="1" si="503"/>
        <v>0</v>
      </c>
      <c r="J2573" s="8" t="e">
        <f t="shared" ca="1" si="504"/>
        <v>#DIV/0!</v>
      </c>
      <c r="K2573" s="9" t="e">
        <f t="shared" ca="1" si="505"/>
        <v>#DIV/0!</v>
      </c>
      <c r="L2573" t="e">
        <f ca="1">+_xlfn.IFNA(VLOOKUP(M2573,BespokeWindowsAreas!$B$2:$E$1999,4,FALSE),VLOOKUP(E2573,WindowTypeArea!$B$2:$C$113,2,FALSE))</f>
        <v>#N/A</v>
      </c>
      <c r="M2573">
        <f t="shared" ca="1" si="496"/>
        <v>0</v>
      </c>
    </row>
    <row r="2574" spans="1:13" x14ac:dyDescent="0.25">
      <c r="A2574">
        <f t="shared" ca="1" si="494"/>
        <v>13</v>
      </c>
      <c r="B2574">
        <f t="shared" ca="1" si="495"/>
        <v>28</v>
      </c>
      <c r="C2574" t="str">
        <f t="shared" ca="1" si="497"/>
        <v>'WINDOWS-NCH-A-OCMA-M3-00-0'!B27</v>
      </c>
      <c r="D2574" s="6">
        <f t="shared" ca="1" si="498"/>
        <v>2695</v>
      </c>
      <c r="E2574" t="str">
        <f t="shared" ca="1" si="499"/>
        <v>Family Type: 1500w x 3050h, Family: Window External Type 3 - Recessed and Angle</v>
      </c>
      <c r="F2574" t="str">
        <f t="shared" ca="1" si="500"/>
        <v>Vector(X = -0.212, Y = 0.977, Z = 0.000, Length = 1.000)</v>
      </c>
      <c r="G2574">
        <f t="shared" ca="1" si="501"/>
        <v>-0.2</v>
      </c>
      <c r="H2574">
        <f t="shared" ca="1" si="502"/>
        <v>1</v>
      </c>
      <c r="I2574">
        <f t="shared" ca="1" si="503"/>
        <v>0</v>
      </c>
      <c r="J2574" s="8">
        <f t="shared" ca="1" si="504"/>
        <v>101.3099324740202</v>
      </c>
      <c r="K2574" s="9" t="str">
        <f t="shared" ca="1" si="505"/>
        <v>N</v>
      </c>
      <c r="L2574">
        <f ca="1">+_xlfn.IFNA(VLOOKUP(M2574,BespokeWindowsAreas!$B$2:$E$1999,4,FALSE),VLOOKUP(E2574,WindowTypeArea!$B$2:$C$113,2,FALSE))</f>
        <v>4.5750000000000002</v>
      </c>
      <c r="M2574">
        <f t="shared" ca="1" si="496"/>
        <v>4821549</v>
      </c>
    </row>
    <row r="2575" spans="1:13" x14ac:dyDescent="0.25">
      <c r="A2575">
        <f t="shared" ca="1" si="494"/>
        <v>13</v>
      </c>
      <c r="B2575">
        <f t="shared" ca="1" si="495"/>
        <v>29</v>
      </c>
      <c r="C2575" t="str">
        <f t="shared" ca="1" si="497"/>
        <v>'WINDOWS-NCH-A-OCMA-M3-00-0'!B28</v>
      </c>
      <c r="D2575" s="6">
        <f t="shared" ca="1" si="498"/>
        <v>2695</v>
      </c>
      <c r="E2575" t="str">
        <f t="shared" ca="1" si="499"/>
        <v>Family Type: 1000w x 3050h, Family: Window External Type 2 - Recessed and Fin</v>
      </c>
      <c r="F2575" t="str">
        <f t="shared" ca="1" si="500"/>
        <v>Vector(X = -0.212, Y = 0.977, Z = 0.000, Length = 1.000)</v>
      </c>
      <c r="G2575">
        <f t="shared" ca="1" si="501"/>
        <v>-0.2</v>
      </c>
      <c r="H2575">
        <f t="shared" ca="1" si="502"/>
        <v>1</v>
      </c>
      <c r="I2575">
        <f t="shared" ca="1" si="503"/>
        <v>0</v>
      </c>
      <c r="J2575" s="8">
        <f t="shared" ca="1" si="504"/>
        <v>101.3099324740202</v>
      </c>
      <c r="K2575" s="9" t="str">
        <f t="shared" ca="1" si="505"/>
        <v>N</v>
      </c>
      <c r="L2575">
        <f ca="1">+_xlfn.IFNA(VLOOKUP(M2575,BespokeWindowsAreas!$B$2:$E$1999,4,FALSE),VLOOKUP(E2575,WindowTypeArea!$B$2:$C$113,2,FALSE))</f>
        <v>3.05</v>
      </c>
      <c r="M2575">
        <f t="shared" ca="1" si="496"/>
        <v>4821685</v>
      </c>
    </row>
    <row r="2576" spans="1:13" x14ac:dyDescent="0.25">
      <c r="A2576">
        <f t="shared" ca="1" si="494"/>
        <v>13</v>
      </c>
      <c r="B2576">
        <f t="shared" ca="1" si="495"/>
        <v>30</v>
      </c>
      <c r="C2576" t="str">
        <f t="shared" ca="1" si="497"/>
        <v>'WINDOWS-NCH-A-OCMA-M3-00-0'!B29</v>
      </c>
      <c r="D2576" s="6">
        <f t="shared" ca="1" si="498"/>
        <v>2695</v>
      </c>
      <c r="E2576" t="str">
        <f t="shared" ca="1" si="499"/>
        <v>Family Type: 1950w x 3050h, Family: Window External Type 3 - Recessed and Angle</v>
      </c>
      <c r="F2576" t="str">
        <f t="shared" ca="1" si="500"/>
        <v>Vector(X = -0.212, Y = 0.977, Z = 0.000, Length = 1.000)</v>
      </c>
      <c r="G2576">
        <f t="shared" ca="1" si="501"/>
        <v>-0.2</v>
      </c>
      <c r="H2576">
        <f t="shared" ca="1" si="502"/>
        <v>1</v>
      </c>
      <c r="I2576">
        <f t="shared" ca="1" si="503"/>
        <v>0</v>
      </c>
      <c r="J2576" s="8">
        <f t="shared" ca="1" si="504"/>
        <v>101.3099324740202</v>
      </c>
      <c r="K2576" s="9" t="str">
        <f t="shared" ca="1" si="505"/>
        <v>N</v>
      </c>
      <c r="L2576">
        <f ca="1">+_xlfn.IFNA(VLOOKUP(M2576,BespokeWindowsAreas!$B$2:$E$1999,4,FALSE),VLOOKUP(E2576,WindowTypeArea!$B$2:$C$113,2,FALSE))</f>
        <v>5.9474999999999998</v>
      </c>
      <c r="M2576">
        <f t="shared" ca="1" si="496"/>
        <v>4821860</v>
      </c>
    </row>
    <row r="2577" spans="1:13" x14ac:dyDescent="0.25">
      <c r="A2577">
        <f t="shared" ca="1" si="494"/>
        <v>13</v>
      </c>
      <c r="B2577">
        <f t="shared" ca="1" si="495"/>
        <v>31</v>
      </c>
      <c r="C2577" t="str">
        <f t="shared" ca="1" si="497"/>
        <v>'WINDOWS-NCH-A-OCMA-M3-00-0'!B30</v>
      </c>
      <c r="D2577" s="6">
        <f t="shared" ca="1" si="498"/>
        <v>2695</v>
      </c>
      <c r="E2577" t="str">
        <f t="shared" ca="1" si="499"/>
        <v>Family Type: 1000w x 3050h, Family: Window External Type 2 - Recessed and Fin</v>
      </c>
      <c r="F2577" t="str">
        <f t="shared" ca="1" si="500"/>
        <v>Vector(X = -0.212, Y = 0.977, Z = 0.000, Length = 1.000)</v>
      </c>
      <c r="G2577">
        <f t="shared" ca="1" si="501"/>
        <v>-0.2</v>
      </c>
      <c r="H2577">
        <f t="shared" ca="1" si="502"/>
        <v>1</v>
      </c>
      <c r="I2577">
        <f t="shared" ca="1" si="503"/>
        <v>0</v>
      </c>
      <c r="J2577" s="8">
        <f t="shared" ca="1" si="504"/>
        <v>101.3099324740202</v>
      </c>
      <c r="K2577" s="9" t="str">
        <f t="shared" ca="1" si="505"/>
        <v>N</v>
      </c>
      <c r="L2577">
        <f ca="1">+_xlfn.IFNA(VLOOKUP(M2577,BespokeWindowsAreas!$B$2:$E$1999,4,FALSE),VLOOKUP(E2577,WindowTypeArea!$B$2:$C$113,2,FALSE))</f>
        <v>3.05</v>
      </c>
      <c r="M2577">
        <f t="shared" ca="1" si="496"/>
        <v>4822026</v>
      </c>
    </row>
    <row r="2578" spans="1:13" x14ac:dyDescent="0.25">
      <c r="A2578">
        <f t="shared" ca="1" si="494"/>
        <v>13</v>
      </c>
      <c r="B2578">
        <f t="shared" ca="1" si="495"/>
        <v>32</v>
      </c>
      <c r="C2578" t="str">
        <f t="shared" ca="1" si="497"/>
        <v>'WINDOWS-NCH-A-OCMA-M3-00-0'!B31</v>
      </c>
      <c r="D2578" s="6">
        <f t="shared" ca="1" si="498"/>
        <v>2695</v>
      </c>
      <c r="E2578" t="str">
        <f t="shared" ca="1" si="499"/>
        <v>Family Type: 1500w x 3050h, Family: Window External Type 3 - Recessed and Angle</v>
      </c>
      <c r="F2578" t="str">
        <f t="shared" ca="1" si="500"/>
        <v>Vector(X = -0.992, Y = -0.128, Z = 0.000, Length = 1.000)</v>
      </c>
      <c r="G2578">
        <f t="shared" ca="1" si="501"/>
        <v>-1</v>
      </c>
      <c r="H2578">
        <f t="shared" ca="1" si="502"/>
        <v>-0.1</v>
      </c>
      <c r="I2578">
        <f t="shared" ca="1" si="503"/>
        <v>0</v>
      </c>
      <c r="J2578" s="8">
        <f t="shared" ca="1" si="504"/>
        <v>-174.28940686250036</v>
      </c>
      <c r="K2578" s="9" t="str">
        <f t="shared" ca="1" si="505"/>
        <v>W</v>
      </c>
      <c r="L2578">
        <f ca="1">+_xlfn.IFNA(VLOOKUP(M2578,BespokeWindowsAreas!$B$2:$E$1999,4,FALSE),VLOOKUP(E2578,WindowTypeArea!$B$2:$C$113,2,FALSE))</f>
        <v>4.5750000000000002</v>
      </c>
      <c r="M2578">
        <f t="shared" ca="1" si="496"/>
        <v>4849034</v>
      </c>
    </row>
    <row r="2579" spans="1:13" x14ac:dyDescent="0.25">
      <c r="A2579">
        <f t="shared" ca="1" si="494"/>
        <v>13</v>
      </c>
      <c r="B2579">
        <f t="shared" ca="1" si="495"/>
        <v>33</v>
      </c>
      <c r="C2579" t="str">
        <f t="shared" ca="1" si="497"/>
        <v>'WINDOWS-NCH-A-OCMA-M3-00-0'!B32</v>
      </c>
      <c r="D2579" s="6">
        <f t="shared" ca="1" si="498"/>
        <v>2695</v>
      </c>
      <c r="E2579" t="str">
        <f t="shared" ca="1" si="499"/>
        <v>Family Type: 1500w x 3050h, Family: Window External Type 3 - Recessed and Angle</v>
      </c>
      <c r="F2579" t="str">
        <f t="shared" ca="1" si="500"/>
        <v>Vector(X = -0.992, Y = -0.128, Z = 0.000, Length = 1.000)</v>
      </c>
      <c r="G2579">
        <f t="shared" ca="1" si="501"/>
        <v>-1</v>
      </c>
      <c r="H2579">
        <f t="shared" ca="1" si="502"/>
        <v>-0.1</v>
      </c>
      <c r="I2579">
        <f t="shared" ca="1" si="503"/>
        <v>0</v>
      </c>
      <c r="J2579" s="8">
        <f t="shared" ca="1" si="504"/>
        <v>-174.28940686250036</v>
      </c>
      <c r="K2579" s="9" t="str">
        <f t="shared" ca="1" si="505"/>
        <v>W</v>
      </c>
      <c r="L2579">
        <f ca="1">+_xlfn.IFNA(VLOOKUP(M2579,BespokeWindowsAreas!$B$2:$E$1999,4,FALSE),VLOOKUP(E2579,WindowTypeArea!$B$2:$C$113,2,FALSE))</f>
        <v>4.5750000000000002</v>
      </c>
      <c r="M2579">
        <f t="shared" ca="1" si="496"/>
        <v>4849069</v>
      </c>
    </row>
    <row r="2580" spans="1:13" x14ac:dyDescent="0.25">
      <c r="A2580">
        <f t="shared" ref="A2580:A2643" ca="1" si="506">+IF(B2579&lt;=VLOOKUP(MID(C2580,2,26),TABS,2,FALSE),A2579,+A2579+1)</f>
        <v>13</v>
      </c>
      <c r="B2580">
        <f t="shared" ref="B2580:B2643" ca="1" si="507">+IF(B2579&lt;=VLOOKUP(MID(C2580,2,26),TABS,2,FALSE),B2579+1,1)</f>
        <v>34</v>
      </c>
      <c r="C2580" t="str">
        <f t="shared" ca="1" si="497"/>
        <v>'WINDOWS-NCH-A-OCMA-M3-00-0'!B33</v>
      </c>
      <c r="D2580" s="6">
        <f t="shared" ca="1" si="498"/>
        <v>2695</v>
      </c>
      <c r="E2580" t="str">
        <f t="shared" ca="1" si="499"/>
        <v>Family Type: 1500w x 3050h, Family: Window External Type 3 - Recessed and Angle</v>
      </c>
      <c r="F2580" t="str">
        <f t="shared" ca="1" si="500"/>
        <v>Vector(X = -0.992, Y = -0.128, Z = 0.000, Length = 1.000)</v>
      </c>
      <c r="G2580">
        <f t="shared" ca="1" si="501"/>
        <v>-1</v>
      </c>
      <c r="H2580">
        <f t="shared" ca="1" si="502"/>
        <v>-0.1</v>
      </c>
      <c r="I2580">
        <f t="shared" ca="1" si="503"/>
        <v>0</v>
      </c>
      <c r="J2580" s="8">
        <f t="shared" ca="1" si="504"/>
        <v>-174.28940686250036</v>
      </c>
      <c r="K2580" s="9" t="str">
        <f t="shared" ca="1" si="505"/>
        <v>W</v>
      </c>
      <c r="L2580">
        <f ca="1">+_xlfn.IFNA(VLOOKUP(M2580,BespokeWindowsAreas!$B$2:$E$1999,4,FALSE),VLOOKUP(E2580,WindowTypeArea!$B$2:$C$113,2,FALSE))</f>
        <v>4.5750000000000002</v>
      </c>
      <c r="M2580">
        <f t="shared" ca="1" si="496"/>
        <v>4849162</v>
      </c>
    </row>
    <row r="2581" spans="1:13" x14ac:dyDescent="0.25">
      <c r="A2581">
        <f t="shared" ca="1" si="506"/>
        <v>13</v>
      </c>
      <c r="B2581">
        <f t="shared" ca="1" si="507"/>
        <v>35</v>
      </c>
      <c r="C2581" t="str">
        <f t="shared" ca="1" si="497"/>
        <v>'WINDOWS-NCH-A-OCMA-M3-00-0'!B34</v>
      </c>
      <c r="D2581" s="6">
        <f t="shared" ca="1" si="498"/>
        <v>2695</v>
      </c>
      <c r="E2581" t="str">
        <f t="shared" ca="1" si="499"/>
        <v>Family Type: 1950w x 3050h, Family: Window External Type 1 - Recessed</v>
      </c>
      <c r="F2581" t="str">
        <f t="shared" ca="1" si="500"/>
        <v>Vector(X = 0.212, Y = -0.977, Z = 0.000, Length = 1.000)</v>
      </c>
      <c r="G2581">
        <f t="shared" ca="1" si="501"/>
        <v>0.2</v>
      </c>
      <c r="H2581">
        <f t="shared" ca="1" si="502"/>
        <v>-1</v>
      </c>
      <c r="I2581">
        <f t="shared" ca="1" si="503"/>
        <v>0</v>
      </c>
      <c r="J2581" s="8">
        <f t="shared" ca="1" si="504"/>
        <v>-78.690067525979785</v>
      </c>
      <c r="K2581" s="9" t="str">
        <f t="shared" ca="1" si="505"/>
        <v>S</v>
      </c>
      <c r="L2581">
        <f ca="1">+_xlfn.IFNA(VLOOKUP(M2581,BespokeWindowsAreas!$B$2:$E$1999,4,FALSE),VLOOKUP(E2581,WindowTypeArea!$B$2:$C$113,2,FALSE))</f>
        <v>5.9474999999999998</v>
      </c>
      <c r="M2581">
        <f t="shared" ca="1" si="496"/>
        <v>5009732</v>
      </c>
    </row>
    <row r="2582" spans="1:13" x14ac:dyDescent="0.25">
      <c r="A2582">
        <f t="shared" ca="1" si="506"/>
        <v>13</v>
      </c>
      <c r="B2582">
        <f t="shared" ca="1" si="507"/>
        <v>36</v>
      </c>
      <c r="C2582" t="str">
        <f t="shared" ca="1" si="497"/>
        <v>'WINDOWS-NCH-A-OCMA-M3-00-0'!B35</v>
      </c>
      <c r="D2582" s="6">
        <f t="shared" ca="1" si="498"/>
        <v>2695</v>
      </c>
      <c r="E2582" t="str">
        <f t="shared" ca="1" si="499"/>
        <v>Family Type: 1500w x 3050h, Family: Window External Type 3 - Recessed and Angle</v>
      </c>
      <c r="F2582" t="str">
        <f t="shared" ca="1" si="500"/>
        <v>Vector(X = -0.041, Y = 0.999, Z = 0.000, Length = 1.000)</v>
      </c>
      <c r="G2582">
        <f t="shared" ca="1" si="501"/>
        <v>0</v>
      </c>
      <c r="H2582">
        <f t="shared" ca="1" si="502"/>
        <v>1</v>
      </c>
      <c r="I2582">
        <f t="shared" ca="1" si="503"/>
        <v>0</v>
      </c>
      <c r="J2582" s="8">
        <f t="shared" ca="1" si="504"/>
        <v>90</v>
      </c>
      <c r="K2582" s="9" t="str">
        <f t="shared" ca="1" si="505"/>
        <v>N</v>
      </c>
      <c r="L2582">
        <f ca="1">+_xlfn.IFNA(VLOOKUP(M2582,BespokeWindowsAreas!$B$2:$E$1999,4,FALSE),VLOOKUP(E2582,WindowTypeArea!$B$2:$C$113,2,FALSE))</f>
        <v>4.5750000000000002</v>
      </c>
      <c r="M2582">
        <f t="shared" ref="M2582:M2645" ca="1" si="508">+OFFSET(INDIRECT(C2582),0,5)</f>
        <v>5148586</v>
      </c>
    </row>
    <row r="2583" spans="1:13" x14ac:dyDescent="0.25">
      <c r="A2583">
        <f t="shared" ca="1" si="506"/>
        <v>13</v>
      </c>
      <c r="B2583">
        <f t="shared" ca="1" si="507"/>
        <v>37</v>
      </c>
      <c r="C2583" t="str">
        <f t="shared" ca="1" si="497"/>
        <v>'WINDOWS-NCH-A-OCMA-M3-00-0'!B36</v>
      </c>
      <c r="D2583" s="6">
        <f t="shared" ca="1" si="498"/>
        <v>2695</v>
      </c>
      <c r="E2583" t="str">
        <f t="shared" ca="1" si="499"/>
        <v>Family Type: 1950w x 3050h, Family: Window External Type 3 - Recessed and Angle</v>
      </c>
      <c r="F2583" t="str">
        <f t="shared" ca="1" si="500"/>
        <v>Vector(X = 0.212, Y = -0.977, Z = 0.000, Length = 1.000)</v>
      </c>
      <c r="G2583">
        <f t="shared" ca="1" si="501"/>
        <v>0.2</v>
      </c>
      <c r="H2583">
        <f t="shared" ca="1" si="502"/>
        <v>-1</v>
      </c>
      <c r="I2583">
        <f t="shared" ca="1" si="503"/>
        <v>0</v>
      </c>
      <c r="J2583" s="8">
        <f t="shared" ca="1" si="504"/>
        <v>-78.690067525979785</v>
      </c>
      <c r="K2583" s="9" t="str">
        <f t="shared" ca="1" si="505"/>
        <v>S</v>
      </c>
      <c r="L2583">
        <f ca="1">+_xlfn.IFNA(VLOOKUP(M2583,BespokeWindowsAreas!$B$2:$E$1999,4,FALSE),VLOOKUP(E2583,WindowTypeArea!$B$2:$C$113,2,FALSE))</f>
        <v>5.9474999999999998</v>
      </c>
      <c r="M2583">
        <f t="shared" ca="1" si="508"/>
        <v>5148730</v>
      </c>
    </row>
    <row r="2584" spans="1:13" x14ac:dyDescent="0.25">
      <c r="A2584">
        <f t="shared" ca="1" si="506"/>
        <v>13</v>
      </c>
      <c r="B2584">
        <f t="shared" ca="1" si="507"/>
        <v>38</v>
      </c>
      <c r="C2584" t="str">
        <f t="shared" ca="1" si="497"/>
        <v>'WINDOWS-NCH-A-OCMA-M3-00-0'!B37</v>
      </c>
      <c r="D2584" s="6">
        <f t="shared" ca="1" si="498"/>
        <v>2695</v>
      </c>
      <c r="E2584" t="str">
        <f t="shared" ca="1" si="499"/>
        <v>Family Type: 975w x 3050h, Family: Window External Type 1 - Recessed</v>
      </c>
      <c r="F2584" t="str">
        <f t="shared" ca="1" si="500"/>
        <v>Vector(X = -0.041, Y = 0.999, Z = 0.000, Length = 1.000)</v>
      </c>
      <c r="G2584">
        <f t="shared" ca="1" si="501"/>
        <v>0</v>
      </c>
      <c r="H2584">
        <f t="shared" ca="1" si="502"/>
        <v>1</v>
      </c>
      <c r="I2584">
        <f t="shared" ca="1" si="503"/>
        <v>0</v>
      </c>
      <c r="J2584" s="8">
        <f t="shared" ca="1" si="504"/>
        <v>90</v>
      </c>
      <c r="K2584" s="9" t="str">
        <f t="shared" ca="1" si="505"/>
        <v>N</v>
      </c>
      <c r="L2584">
        <f ca="1">+_xlfn.IFNA(VLOOKUP(M2584,BespokeWindowsAreas!$B$2:$E$1999,4,FALSE),VLOOKUP(E2584,WindowTypeArea!$B$2:$C$113,2,FALSE))</f>
        <v>2.9737499999999999</v>
      </c>
      <c r="M2584">
        <f t="shared" ca="1" si="508"/>
        <v>5207570</v>
      </c>
    </row>
    <row r="2585" spans="1:13" x14ac:dyDescent="0.25">
      <c r="A2585">
        <f t="shared" ca="1" si="506"/>
        <v>13</v>
      </c>
      <c r="B2585">
        <f t="shared" ca="1" si="507"/>
        <v>39</v>
      </c>
      <c r="C2585" t="str">
        <f t="shared" ca="1" si="497"/>
        <v>'WINDOWS-NCH-A-OCMA-M3-00-0'!B38</v>
      </c>
      <c r="D2585" s="6">
        <f t="shared" ca="1" si="498"/>
        <v>2699</v>
      </c>
      <c r="E2585">
        <f t="shared" ca="1" si="499"/>
        <v>2699</v>
      </c>
      <c r="F2585">
        <f t="shared" ca="1" si="500"/>
        <v>1467413</v>
      </c>
      <c r="G2585">
        <f t="shared" ca="1" si="501"/>
        <v>0</v>
      </c>
      <c r="H2585">
        <f t="shared" ca="1" si="502"/>
        <v>0</v>
      </c>
      <c r="I2585">
        <f t="shared" ca="1" si="503"/>
        <v>0</v>
      </c>
      <c r="J2585" s="8" t="e">
        <f t="shared" ca="1" si="504"/>
        <v>#DIV/0!</v>
      </c>
      <c r="K2585" s="9" t="e">
        <f t="shared" ca="1" si="505"/>
        <v>#DIV/0!</v>
      </c>
      <c r="L2585" t="e">
        <f ca="1">+_xlfn.IFNA(VLOOKUP(M2585,BespokeWindowsAreas!$B$2:$E$1999,4,FALSE),VLOOKUP(E2585,WindowTypeArea!$B$2:$C$113,2,FALSE))</f>
        <v>#N/A</v>
      </c>
      <c r="M2585">
        <f t="shared" ca="1" si="508"/>
        <v>0</v>
      </c>
    </row>
    <row r="2586" spans="1:13" x14ac:dyDescent="0.25">
      <c r="A2586">
        <f t="shared" ca="1" si="506"/>
        <v>13</v>
      </c>
      <c r="B2586">
        <f t="shared" ca="1" si="507"/>
        <v>40</v>
      </c>
      <c r="C2586" t="str">
        <f t="shared" ca="1" si="497"/>
        <v>'WINDOWS-NCH-A-OCMA-M3-00-0'!B39</v>
      </c>
      <c r="D2586" s="6">
        <f t="shared" ca="1" si="498"/>
        <v>2699</v>
      </c>
      <c r="E2586" t="str">
        <f t="shared" ca="1" si="499"/>
        <v>Family Type: 975w x 3050h, Family: Window External Type 1 - Recessed</v>
      </c>
      <c r="F2586" t="str">
        <f t="shared" ca="1" si="500"/>
        <v>Vector(X = -0.130, Y = -0.991, Z = 0.000, Length = 1.000)</v>
      </c>
      <c r="G2586">
        <f t="shared" ca="1" si="501"/>
        <v>-0.1</v>
      </c>
      <c r="H2586">
        <f t="shared" ca="1" si="502"/>
        <v>-1</v>
      </c>
      <c r="I2586">
        <f t="shared" ca="1" si="503"/>
        <v>0</v>
      </c>
      <c r="J2586" s="8">
        <f t="shared" ca="1" si="504"/>
        <v>-95.710593137499629</v>
      </c>
      <c r="K2586" s="9" t="str">
        <f t="shared" ca="1" si="505"/>
        <v>SW</v>
      </c>
      <c r="L2586">
        <f ca="1">+_xlfn.IFNA(VLOOKUP(M2586,BespokeWindowsAreas!$B$2:$E$1999,4,FALSE),VLOOKUP(E2586,WindowTypeArea!$B$2:$C$113,2,FALSE))</f>
        <v>2.9737499999999999</v>
      </c>
      <c r="M2586">
        <f t="shared" ca="1" si="508"/>
        <v>4795769</v>
      </c>
    </row>
    <row r="2587" spans="1:13" x14ac:dyDescent="0.25">
      <c r="A2587">
        <f t="shared" ca="1" si="506"/>
        <v>13</v>
      </c>
      <c r="B2587">
        <f t="shared" ca="1" si="507"/>
        <v>41</v>
      </c>
      <c r="C2587" t="str">
        <f t="shared" ca="1" si="497"/>
        <v>'WINDOWS-NCH-A-OCMA-M3-00-0'!B40</v>
      </c>
      <c r="D2587" s="6">
        <f t="shared" ca="1" si="498"/>
        <v>2699</v>
      </c>
      <c r="E2587" t="str">
        <f t="shared" ca="1" si="499"/>
        <v>Family Type: 1000w x 3050h, Family: Window External Type 4 - Extruded</v>
      </c>
      <c r="F2587" t="str">
        <f t="shared" ca="1" si="500"/>
        <v>Vector(X = -0.130, Y = -0.991, Z = 0.000, Length = 1.000)</v>
      </c>
      <c r="G2587">
        <f t="shared" ca="1" si="501"/>
        <v>-0.1</v>
      </c>
      <c r="H2587">
        <f t="shared" ca="1" si="502"/>
        <v>-1</v>
      </c>
      <c r="I2587">
        <f t="shared" ca="1" si="503"/>
        <v>0</v>
      </c>
      <c r="J2587" s="8">
        <f t="shared" ca="1" si="504"/>
        <v>-95.710593137499629</v>
      </c>
      <c r="K2587" s="9" t="str">
        <f t="shared" ca="1" si="505"/>
        <v>SW</v>
      </c>
      <c r="L2587">
        <f ca="1">+_xlfn.IFNA(VLOOKUP(M2587,BespokeWindowsAreas!$B$2:$E$1999,4,FALSE),VLOOKUP(E2587,WindowTypeArea!$B$2:$C$113,2,FALSE))</f>
        <v>3.05</v>
      </c>
      <c r="M2587">
        <f t="shared" ca="1" si="508"/>
        <v>4795773</v>
      </c>
    </row>
    <row r="2588" spans="1:13" x14ac:dyDescent="0.25">
      <c r="A2588">
        <f t="shared" ca="1" si="506"/>
        <v>13</v>
      </c>
      <c r="B2588">
        <f t="shared" ca="1" si="507"/>
        <v>42</v>
      </c>
      <c r="C2588" t="str">
        <f t="shared" ca="1" si="497"/>
        <v>'WINDOWS-NCH-A-OCMA-M3-00-0'!B41</v>
      </c>
      <c r="D2588" s="6">
        <f t="shared" ca="1" si="498"/>
        <v>2699</v>
      </c>
      <c r="E2588" t="str">
        <f t="shared" ca="1" si="499"/>
        <v>Family Type: 1500w x 3050h, Family: Window External Type 3 - Recessed and Angle</v>
      </c>
      <c r="F2588" t="str">
        <f t="shared" ca="1" si="500"/>
        <v>Vector(X = -0.130, Y = -0.991, Z = 0.000, Length = 1.000)</v>
      </c>
      <c r="G2588">
        <f t="shared" ca="1" si="501"/>
        <v>-0.1</v>
      </c>
      <c r="H2588">
        <f t="shared" ca="1" si="502"/>
        <v>-1</v>
      </c>
      <c r="I2588">
        <f t="shared" ca="1" si="503"/>
        <v>0</v>
      </c>
      <c r="J2588" s="8">
        <f t="shared" ca="1" si="504"/>
        <v>-95.710593137499629</v>
      </c>
      <c r="K2588" s="9" t="str">
        <f t="shared" ca="1" si="505"/>
        <v>SW</v>
      </c>
      <c r="L2588">
        <f ca="1">+_xlfn.IFNA(VLOOKUP(M2588,BespokeWindowsAreas!$B$2:$E$1999,4,FALSE),VLOOKUP(E2588,WindowTypeArea!$B$2:$C$113,2,FALSE))</f>
        <v>4.5750000000000002</v>
      </c>
      <c r="M2588">
        <f t="shared" ca="1" si="508"/>
        <v>4795776</v>
      </c>
    </row>
    <row r="2589" spans="1:13" x14ac:dyDescent="0.25">
      <c r="A2589">
        <f t="shared" ca="1" si="506"/>
        <v>13</v>
      </c>
      <c r="B2589">
        <f t="shared" ca="1" si="507"/>
        <v>43</v>
      </c>
      <c r="C2589" t="str">
        <f t="shared" ca="1" si="497"/>
        <v>'WINDOWS-NCH-A-OCMA-M3-00-0'!B42</v>
      </c>
      <c r="D2589" s="6">
        <f t="shared" ca="1" si="498"/>
        <v>2699</v>
      </c>
      <c r="E2589" t="str">
        <f t="shared" ca="1" si="499"/>
        <v>Family Type: 1950w x 3050h, Family: Window External Type 3 - Recessed and Angle</v>
      </c>
      <c r="F2589" t="str">
        <f t="shared" ca="1" si="500"/>
        <v>Vector(X = -0.130, Y = -0.991, Z = 0.000, Length = 1.000)</v>
      </c>
      <c r="G2589">
        <f t="shared" ca="1" si="501"/>
        <v>-0.1</v>
      </c>
      <c r="H2589">
        <f t="shared" ca="1" si="502"/>
        <v>-1</v>
      </c>
      <c r="I2589">
        <f t="shared" ca="1" si="503"/>
        <v>0</v>
      </c>
      <c r="J2589" s="8">
        <f t="shared" ca="1" si="504"/>
        <v>-95.710593137499629</v>
      </c>
      <c r="K2589" s="9" t="str">
        <f t="shared" ca="1" si="505"/>
        <v>SW</v>
      </c>
      <c r="L2589">
        <f ca="1">+_xlfn.IFNA(VLOOKUP(M2589,BespokeWindowsAreas!$B$2:$E$1999,4,FALSE),VLOOKUP(E2589,WindowTypeArea!$B$2:$C$113,2,FALSE))</f>
        <v>5.9474999999999998</v>
      </c>
      <c r="M2589">
        <f t="shared" ca="1" si="508"/>
        <v>4795779</v>
      </c>
    </row>
    <row r="2590" spans="1:13" x14ac:dyDescent="0.25">
      <c r="A2590">
        <f t="shared" ca="1" si="506"/>
        <v>13</v>
      </c>
      <c r="B2590">
        <f t="shared" ca="1" si="507"/>
        <v>44</v>
      </c>
      <c r="C2590" t="str">
        <f t="shared" ca="1" si="497"/>
        <v>'WINDOWS-NCH-A-OCMA-M3-00-0'!B43</v>
      </c>
      <c r="D2590" s="6">
        <f t="shared" ca="1" si="498"/>
        <v>2700</v>
      </c>
      <c r="E2590">
        <f t="shared" ca="1" si="499"/>
        <v>2700</v>
      </c>
      <c r="F2590">
        <f t="shared" ca="1" si="500"/>
        <v>1499939</v>
      </c>
      <c r="G2590">
        <f t="shared" ca="1" si="501"/>
        <v>0</v>
      </c>
      <c r="H2590">
        <f t="shared" ca="1" si="502"/>
        <v>0</v>
      </c>
      <c r="I2590">
        <f t="shared" ca="1" si="503"/>
        <v>0</v>
      </c>
      <c r="J2590" s="8" t="e">
        <f t="shared" ca="1" si="504"/>
        <v>#DIV/0!</v>
      </c>
      <c r="K2590" s="9" t="e">
        <f t="shared" ca="1" si="505"/>
        <v>#DIV/0!</v>
      </c>
      <c r="L2590" t="e">
        <f ca="1">+_xlfn.IFNA(VLOOKUP(M2590,BespokeWindowsAreas!$B$2:$E$1999,4,FALSE),VLOOKUP(E2590,WindowTypeArea!$B$2:$C$113,2,FALSE))</f>
        <v>#N/A</v>
      </c>
      <c r="M2590">
        <f t="shared" ca="1" si="508"/>
        <v>0</v>
      </c>
    </row>
    <row r="2591" spans="1:13" x14ac:dyDescent="0.25">
      <c r="A2591">
        <f t="shared" ca="1" si="506"/>
        <v>13</v>
      </c>
      <c r="B2591">
        <f t="shared" ca="1" si="507"/>
        <v>45</v>
      </c>
      <c r="C2591" t="str">
        <f t="shared" ca="1" si="497"/>
        <v>'WINDOWS-NCH-A-OCMA-M3-00-0'!B44</v>
      </c>
      <c r="D2591" s="6">
        <f t="shared" ca="1" si="498"/>
        <v>2700</v>
      </c>
      <c r="E2591" t="str">
        <f t="shared" ca="1" si="499"/>
        <v>Family Type: 1500w x 3050h, Family: Window External Type 3 - Recessed and Angle</v>
      </c>
      <c r="F2591" t="str">
        <f t="shared" ca="1" si="500"/>
        <v>Vector(X = -0.212, Y = 0.977, Z = 0.000, Length = 1.000)</v>
      </c>
      <c r="G2591">
        <f t="shared" ca="1" si="501"/>
        <v>-0.2</v>
      </c>
      <c r="H2591">
        <f t="shared" ca="1" si="502"/>
        <v>1</v>
      </c>
      <c r="I2591">
        <f t="shared" ca="1" si="503"/>
        <v>0</v>
      </c>
      <c r="J2591" s="8">
        <f t="shared" ca="1" si="504"/>
        <v>101.3099324740202</v>
      </c>
      <c r="K2591" s="9" t="str">
        <f t="shared" ca="1" si="505"/>
        <v>N</v>
      </c>
      <c r="L2591">
        <f ca="1">+_xlfn.IFNA(VLOOKUP(M2591,BespokeWindowsAreas!$B$2:$E$1999,4,FALSE),VLOOKUP(E2591,WindowTypeArea!$B$2:$C$113,2,FALSE))</f>
        <v>4.5750000000000002</v>
      </c>
      <c r="M2591">
        <f t="shared" ca="1" si="508"/>
        <v>4817721</v>
      </c>
    </row>
    <row r="2592" spans="1:13" x14ac:dyDescent="0.25">
      <c r="A2592">
        <f t="shared" ca="1" si="506"/>
        <v>13</v>
      </c>
      <c r="B2592">
        <f t="shared" ca="1" si="507"/>
        <v>46</v>
      </c>
      <c r="C2592" t="str">
        <f t="shared" ca="1" si="497"/>
        <v>'WINDOWS-NCH-A-OCMA-M3-00-0'!B45</v>
      </c>
      <c r="D2592" s="6">
        <f t="shared" ca="1" si="498"/>
        <v>2700</v>
      </c>
      <c r="E2592" t="str">
        <f t="shared" ca="1" si="499"/>
        <v>Family Type: 1950w x 3050h, Family: Window External Type 3 - Recessed and Angle</v>
      </c>
      <c r="F2592" t="str">
        <f t="shared" ca="1" si="500"/>
        <v>Vector(X = -0.212, Y = 0.977, Z = 0.000, Length = 1.000)</v>
      </c>
      <c r="G2592">
        <f t="shared" ca="1" si="501"/>
        <v>-0.2</v>
      </c>
      <c r="H2592">
        <f t="shared" ca="1" si="502"/>
        <v>1</v>
      </c>
      <c r="I2592">
        <f t="shared" ca="1" si="503"/>
        <v>0</v>
      </c>
      <c r="J2592" s="8">
        <f t="shared" ca="1" si="504"/>
        <v>101.3099324740202</v>
      </c>
      <c r="K2592" s="9" t="str">
        <f t="shared" ca="1" si="505"/>
        <v>N</v>
      </c>
      <c r="L2592">
        <f ca="1">+_xlfn.IFNA(VLOOKUP(M2592,BespokeWindowsAreas!$B$2:$E$1999,4,FALSE),VLOOKUP(E2592,WindowTypeArea!$B$2:$C$113,2,FALSE))</f>
        <v>5.9474999999999998</v>
      </c>
      <c r="M2592">
        <f t="shared" ca="1" si="508"/>
        <v>4820659</v>
      </c>
    </row>
    <row r="2593" spans="1:13" x14ac:dyDescent="0.25">
      <c r="A2593">
        <f t="shared" ca="1" si="506"/>
        <v>13</v>
      </c>
      <c r="B2593">
        <f t="shared" ca="1" si="507"/>
        <v>47</v>
      </c>
      <c r="C2593" t="str">
        <f t="shared" ca="1" si="497"/>
        <v>'WINDOWS-NCH-A-OCMA-M3-00-0'!B46</v>
      </c>
      <c r="D2593" s="6">
        <f t="shared" ca="1" si="498"/>
        <v>2702</v>
      </c>
      <c r="E2593">
        <f t="shared" ca="1" si="499"/>
        <v>2702</v>
      </c>
      <c r="F2593">
        <f t="shared" ca="1" si="500"/>
        <v>1515008</v>
      </c>
      <c r="G2593">
        <f t="shared" ca="1" si="501"/>
        <v>0</v>
      </c>
      <c r="H2593">
        <f t="shared" ca="1" si="502"/>
        <v>0</v>
      </c>
      <c r="I2593">
        <f t="shared" ca="1" si="503"/>
        <v>0</v>
      </c>
      <c r="J2593" s="8" t="e">
        <f t="shared" ca="1" si="504"/>
        <v>#DIV/0!</v>
      </c>
      <c r="K2593" s="9" t="e">
        <f t="shared" ca="1" si="505"/>
        <v>#DIV/0!</v>
      </c>
      <c r="L2593" t="e">
        <f ca="1">+_xlfn.IFNA(VLOOKUP(M2593,BespokeWindowsAreas!$B$2:$E$1999,4,FALSE),VLOOKUP(E2593,WindowTypeArea!$B$2:$C$113,2,FALSE))</f>
        <v>#N/A</v>
      </c>
      <c r="M2593">
        <f t="shared" ca="1" si="508"/>
        <v>0</v>
      </c>
    </row>
    <row r="2594" spans="1:13" x14ac:dyDescent="0.25">
      <c r="A2594">
        <f t="shared" ca="1" si="506"/>
        <v>13</v>
      </c>
      <c r="B2594">
        <f t="shared" ca="1" si="507"/>
        <v>48</v>
      </c>
      <c r="C2594" t="str">
        <f t="shared" ca="1" si="497"/>
        <v>'WINDOWS-NCH-A-OCMA-M3-00-0'!B47</v>
      </c>
      <c r="D2594" s="6">
        <f t="shared" ca="1" si="498"/>
        <v>2702</v>
      </c>
      <c r="E2594" t="str">
        <f t="shared" ca="1" si="499"/>
        <v>Family Type: 975w x 3050h, Family: Window External Type 1 - Recessed</v>
      </c>
      <c r="F2594" t="str">
        <f t="shared" ca="1" si="500"/>
        <v>Vector(X = 0.041, Y = -0.999, Z = 0.000, Length = 1.000)</v>
      </c>
      <c r="G2594">
        <f t="shared" ca="1" si="501"/>
        <v>0</v>
      </c>
      <c r="H2594">
        <f t="shared" ca="1" si="502"/>
        <v>-1</v>
      </c>
      <c r="I2594">
        <f t="shared" ca="1" si="503"/>
        <v>0</v>
      </c>
      <c r="J2594" s="8">
        <f t="shared" ca="1" si="504"/>
        <v>-90</v>
      </c>
      <c r="K2594" s="9" t="str">
        <f t="shared" ca="1" si="505"/>
        <v>S</v>
      </c>
      <c r="L2594">
        <f ca="1">+_xlfn.IFNA(VLOOKUP(M2594,BespokeWindowsAreas!$B$2:$E$1999,4,FALSE),VLOOKUP(E2594,WindowTypeArea!$B$2:$C$113,2,FALSE))</f>
        <v>2.9737499999999999</v>
      </c>
      <c r="M2594">
        <f t="shared" ca="1" si="508"/>
        <v>5013541</v>
      </c>
    </row>
    <row r="2595" spans="1:13" x14ac:dyDescent="0.25">
      <c r="A2595">
        <f t="shared" ca="1" si="506"/>
        <v>13</v>
      </c>
      <c r="B2595">
        <f t="shared" ca="1" si="507"/>
        <v>49</v>
      </c>
      <c r="C2595" t="str">
        <f t="shared" ca="1" si="497"/>
        <v>'WINDOWS-NCH-A-OCMA-M3-00-0'!B48</v>
      </c>
      <c r="D2595" s="6">
        <f t="shared" ca="1" si="498"/>
        <v>2702</v>
      </c>
      <c r="E2595" t="str">
        <f t="shared" ca="1" si="499"/>
        <v>Family Type: 975w x 3050h, Family: Window External Type 1 - Recessed</v>
      </c>
      <c r="F2595" t="str">
        <f t="shared" ca="1" si="500"/>
        <v>Vector(X = 0.041, Y = -0.999, Z = 0.000, Length = 1.000)</v>
      </c>
      <c r="G2595">
        <f t="shared" ca="1" si="501"/>
        <v>0</v>
      </c>
      <c r="H2595">
        <f t="shared" ca="1" si="502"/>
        <v>-1</v>
      </c>
      <c r="I2595">
        <f t="shared" ca="1" si="503"/>
        <v>0</v>
      </c>
      <c r="J2595" s="8">
        <f t="shared" ca="1" si="504"/>
        <v>-90</v>
      </c>
      <c r="K2595" s="9" t="str">
        <f t="shared" ca="1" si="505"/>
        <v>S</v>
      </c>
      <c r="L2595">
        <f ca="1">+_xlfn.IFNA(VLOOKUP(M2595,BespokeWindowsAreas!$B$2:$E$1999,4,FALSE),VLOOKUP(E2595,WindowTypeArea!$B$2:$C$113,2,FALSE))</f>
        <v>2.9737499999999999</v>
      </c>
      <c r="M2595">
        <f t="shared" ca="1" si="508"/>
        <v>5207354</v>
      </c>
    </row>
    <row r="2596" spans="1:13" x14ac:dyDescent="0.25">
      <c r="A2596">
        <f t="shared" ca="1" si="506"/>
        <v>13</v>
      </c>
      <c r="B2596">
        <f t="shared" ca="1" si="507"/>
        <v>50</v>
      </c>
      <c r="C2596" t="str">
        <f t="shared" ca="1" si="497"/>
        <v>'WINDOWS-NCH-A-OCMA-M3-00-0'!B49</v>
      </c>
      <c r="D2596" s="6">
        <f t="shared" ca="1" si="498"/>
        <v>2703</v>
      </c>
      <c r="E2596">
        <f t="shared" ca="1" si="499"/>
        <v>2703</v>
      </c>
      <c r="F2596">
        <f t="shared" ca="1" si="500"/>
        <v>1515175</v>
      </c>
      <c r="G2596">
        <f t="shared" ca="1" si="501"/>
        <v>0</v>
      </c>
      <c r="H2596">
        <f t="shared" ca="1" si="502"/>
        <v>0</v>
      </c>
      <c r="I2596">
        <f t="shared" ca="1" si="503"/>
        <v>0</v>
      </c>
      <c r="J2596" s="8" t="e">
        <f t="shared" ca="1" si="504"/>
        <v>#DIV/0!</v>
      </c>
      <c r="K2596" s="9" t="e">
        <f t="shared" ca="1" si="505"/>
        <v>#DIV/0!</v>
      </c>
      <c r="L2596" t="e">
        <f ca="1">+_xlfn.IFNA(VLOOKUP(M2596,BespokeWindowsAreas!$B$2:$E$1999,4,FALSE),VLOOKUP(E2596,WindowTypeArea!$B$2:$C$113,2,FALSE))</f>
        <v>#N/A</v>
      </c>
      <c r="M2596">
        <f t="shared" ca="1" si="508"/>
        <v>0</v>
      </c>
    </row>
    <row r="2597" spans="1:13" x14ac:dyDescent="0.25">
      <c r="A2597">
        <f t="shared" ca="1" si="506"/>
        <v>13</v>
      </c>
      <c r="B2597">
        <f t="shared" ca="1" si="507"/>
        <v>51</v>
      </c>
      <c r="C2597" t="str">
        <f t="shared" ca="1" si="497"/>
        <v>'WINDOWS-NCH-A-OCMA-M3-00-0'!B50</v>
      </c>
      <c r="D2597" s="6">
        <f t="shared" ca="1" si="498"/>
        <v>2703</v>
      </c>
      <c r="E2597" t="str">
        <f t="shared" ca="1" si="499"/>
        <v>Family Type: 1000w x 3050h, Family: Window External Type 4 - Extruded</v>
      </c>
      <c r="F2597" t="str">
        <f t="shared" ca="1" si="500"/>
        <v>Vector(X = -0.130, Y = -0.991, Z = 0.000, Length = 1.000)</v>
      </c>
      <c r="G2597">
        <f t="shared" ca="1" si="501"/>
        <v>-0.1</v>
      </c>
      <c r="H2597">
        <f t="shared" ca="1" si="502"/>
        <v>-1</v>
      </c>
      <c r="I2597">
        <f t="shared" ca="1" si="503"/>
        <v>0</v>
      </c>
      <c r="J2597" s="8">
        <f t="shared" ca="1" si="504"/>
        <v>-95.710593137499629</v>
      </c>
      <c r="K2597" s="9" t="str">
        <f t="shared" ca="1" si="505"/>
        <v>SW</v>
      </c>
      <c r="L2597">
        <f ca="1">+_xlfn.IFNA(VLOOKUP(M2597,BespokeWindowsAreas!$B$2:$E$1999,4,FALSE),VLOOKUP(E2597,WindowTypeArea!$B$2:$C$113,2,FALSE))</f>
        <v>3.05</v>
      </c>
      <c r="M2597">
        <f t="shared" ca="1" si="508"/>
        <v>4795770</v>
      </c>
    </row>
    <row r="2598" spans="1:13" x14ac:dyDescent="0.25">
      <c r="A2598">
        <f t="shared" ca="1" si="506"/>
        <v>13</v>
      </c>
      <c r="B2598">
        <f t="shared" ca="1" si="507"/>
        <v>52</v>
      </c>
      <c r="C2598" t="str">
        <f t="shared" ca="1" si="497"/>
        <v>'WINDOWS-NCH-A-OCMA-M3-00-0'!B51</v>
      </c>
      <c r="D2598" s="6">
        <f t="shared" ca="1" si="498"/>
        <v>2703</v>
      </c>
      <c r="E2598" t="str">
        <f t="shared" ca="1" si="499"/>
        <v>Family Type: 3000w x 3050h, Family: Window External Type 3 - Recessed and Angle with Type 1 Flush</v>
      </c>
      <c r="F2598" t="str">
        <f t="shared" ca="1" si="500"/>
        <v>Vector(X = -0.130, Y = -0.991, Z = 0.000, Length = 1.000)</v>
      </c>
      <c r="G2598">
        <f t="shared" ca="1" si="501"/>
        <v>-0.1</v>
      </c>
      <c r="H2598">
        <f t="shared" ca="1" si="502"/>
        <v>-1</v>
      </c>
      <c r="I2598">
        <f t="shared" ca="1" si="503"/>
        <v>0</v>
      </c>
      <c r="J2598" s="8">
        <f t="shared" ca="1" si="504"/>
        <v>-95.710593137499629</v>
      </c>
      <c r="K2598" s="9" t="str">
        <f t="shared" ca="1" si="505"/>
        <v>SW</v>
      </c>
      <c r="L2598">
        <f ca="1">+_xlfn.IFNA(VLOOKUP(M2598,BespokeWindowsAreas!$B$2:$E$1999,4,FALSE),VLOOKUP(E2598,WindowTypeArea!$B$2:$C$113,2,FALSE))</f>
        <v>6.1762499999999996</v>
      </c>
      <c r="M2598">
        <f t="shared" ca="1" si="508"/>
        <v>7060921</v>
      </c>
    </row>
    <row r="2599" spans="1:13" x14ac:dyDescent="0.25">
      <c r="A2599">
        <f t="shared" ca="1" si="506"/>
        <v>13</v>
      </c>
      <c r="B2599">
        <f t="shared" ca="1" si="507"/>
        <v>53</v>
      </c>
      <c r="C2599" t="str">
        <f t="shared" ca="1" si="497"/>
        <v>'WINDOWS-NCH-A-OCMA-M3-00-0'!B52</v>
      </c>
      <c r="D2599" s="6">
        <f t="shared" ca="1" si="498"/>
        <v>2703</v>
      </c>
      <c r="E2599" t="str">
        <f t="shared" ca="1" si="499"/>
        <v>Family Type: 3000w x 3050h, Family: Window External Type 3 - Recessed and Angle with Type 1 Flush</v>
      </c>
      <c r="F2599" t="str">
        <f t="shared" ca="1" si="500"/>
        <v>Vector(X = -0.130, Y = -0.991, Z = 0.000, Length = 1.000)</v>
      </c>
      <c r="G2599">
        <f t="shared" ca="1" si="501"/>
        <v>-0.1</v>
      </c>
      <c r="H2599">
        <f t="shared" ca="1" si="502"/>
        <v>-1</v>
      </c>
      <c r="I2599">
        <f t="shared" ca="1" si="503"/>
        <v>0</v>
      </c>
      <c r="J2599" s="8">
        <f t="shared" ca="1" si="504"/>
        <v>-95.710593137499629</v>
      </c>
      <c r="K2599" s="9" t="str">
        <f t="shared" ca="1" si="505"/>
        <v>SW</v>
      </c>
      <c r="L2599">
        <f ca="1">+_xlfn.IFNA(VLOOKUP(M2599,BespokeWindowsAreas!$B$2:$E$1999,4,FALSE),VLOOKUP(E2599,WindowTypeArea!$B$2:$C$113,2,FALSE))</f>
        <v>6.1762499999999996</v>
      </c>
      <c r="M2599">
        <f t="shared" ca="1" si="508"/>
        <v>7060942</v>
      </c>
    </row>
    <row r="2600" spans="1:13" x14ac:dyDescent="0.25">
      <c r="A2600">
        <f t="shared" ca="1" si="506"/>
        <v>13</v>
      </c>
      <c r="B2600">
        <f t="shared" ca="1" si="507"/>
        <v>54</v>
      </c>
      <c r="C2600" t="str">
        <f t="shared" ca="1" si="497"/>
        <v>'WINDOWS-NCH-A-OCMA-M3-00-0'!B53</v>
      </c>
      <c r="D2600" s="6">
        <f t="shared" ca="1" si="498"/>
        <v>2704</v>
      </c>
      <c r="E2600">
        <f t="shared" ca="1" si="499"/>
        <v>2704</v>
      </c>
      <c r="F2600">
        <f t="shared" ca="1" si="500"/>
        <v>1529295</v>
      </c>
      <c r="G2600">
        <f t="shared" ca="1" si="501"/>
        <v>0</v>
      </c>
      <c r="H2600">
        <f t="shared" ca="1" si="502"/>
        <v>0</v>
      </c>
      <c r="I2600">
        <f t="shared" ca="1" si="503"/>
        <v>0</v>
      </c>
      <c r="J2600" s="8" t="e">
        <f t="shared" ca="1" si="504"/>
        <v>#DIV/0!</v>
      </c>
      <c r="K2600" s="9" t="e">
        <f t="shared" ca="1" si="505"/>
        <v>#DIV/0!</v>
      </c>
      <c r="L2600" t="e">
        <f ca="1">+_xlfn.IFNA(VLOOKUP(M2600,BespokeWindowsAreas!$B$2:$E$1999,4,FALSE),VLOOKUP(E2600,WindowTypeArea!$B$2:$C$113,2,FALSE))</f>
        <v>#N/A</v>
      </c>
      <c r="M2600">
        <f t="shared" ca="1" si="508"/>
        <v>0</v>
      </c>
    </row>
    <row r="2601" spans="1:13" x14ac:dyDescent="0.25">
      <c r="A2601">
        <f t="shared" ca="1" si="506"/>
        <v>13</v>
      </c>
      <c r="B2601">
        <f t="shared" ca="1" si="507"/>
        <v>55</v>
      </c>
      <c r="C2601" t="str">
        <f t="shared" ca="1" si="497"/>
        <v>'WINDOWS-NCH-A-OCMA-M3-00-0'!B54</v>
      </c>
      <c r="D2601" s="6">
        <f t="shared" ca="1" si="498"/>
        <v>2704</v>
      </c>
      <c r="E2601" t="str">
        <f t="shared" ca="1" si="499"/>
        <v>Family Type: 975w x 3050h, Family: Window External Type 1 - Recessed</v>
      </c>
      <c r="F2601" t="str">
        <f t="shared" ca="1" si="500"/>
        <v>Vector(X = 0.130, Y = 0.991, Z = 0.000, Length = 1.000)</v>
      </c>
      <c r="G2601">
        <f t="shared" ca="1" si="501"/>
        <v>0.1</v>
      </c>
      <c r="H2601">
        <f t="shared" ca="1" si="502"/>
        <v>1</v>
      </c>
      <c r="I2601">
        <f t="shared" ca="1" si="503"/>
        <v>0</v>
      </c>
      <c r="J2601" s="8">
        <f t="shared" ca="1" si="504"/>
        <v>84.289406862500371</v>
      </c>
      <c r="K2601" s="9" t="str">
        <f t="shared" ca="1" si="505"/>
        <v>NE</v>
      </c>
      <c r="L2601">
        <f ca="1">+_xlfn.IFNA(VLOOKUP(M2601,BespokeWindowsAreas!$B$2:$E$1999,4,FALSE),VLOOKUP(E2601,WindowTypeArea!$B$2:$C$113,2,FALSE))</f>
        <v>2.9737499999999999</v>
      </c>
      <c r="M2601">
        <f t="shared" ca="1" si="508"/>
        <v>5148432</v>
      </c>
    </row>
    <row r="2602" spans="1:13" x14ac:dyDescent="0.25">
      <c r="A2602">
        <f t="shared" ca="1" si="506"/>
        <v>13</v>
      </c>
      <c r="B2602">
        <f t="shared" ca="1" si="507"/>
        <v>56</v>
      </c>
      <c r="C2602" t="str">
        <f t="shared" ca="1" si="497"/>
        <v>'WINDOWS-NCH-A-OCMA-M3-00-0'!B55</v>
      </c>
      <c r="D2602" s="6">
        <f t="shared" ca="1" si="498"/>
        <v>2705</v>
      </c>
      <c r="E2602">
        <f t="shared" ca="1" si="499"/>
        <v>2705</v>
      </c>
      <c r="F2602">
        <f t="shared" ca="1" si="500"/>
        <v>1529298</v>
      </c>
      <c r="G2602">
        <f t="shared" ca="1" si="501"/>
        <v>0</v>
      </c>
      <c r="H2602">
        <f t="shared" ca="1" si="502"/>
        <v>0</v>
      </c>
      <c r="I2602">
        <f t="shared" ca="1" si="503"/>
        <v>0</v>
      </c>
      <c r="J2602" s="8" t="e">
        <f t="shared" ca="1" si="504"/>
        <v>#DIV/0!</v>
      </c>
      <c r="K2602" s="9" t="e">
        <f t="shared" ca="1" si="505"/>
        <v>#DIV/0!</v>
      </c>
      <c r="L2602" t="e">
        <f ca="1">+_xlfn.IFNA(VLOOKUP(M2602,BespokeWindowsAreas!$B$2:$E$1999,4,FALSE),VLOOKUP(E2602,WindowTypeArea!$B$2:$C$113,2,FALSE))</f>
        <v>#N/A</v>
      </c>
      <c r="M2602">
        <f t="shared" ca="1" si="508"/>
        <v>0</v>
      </c>
    </row>
    <row r="2603" spans="1:13" x14ac:dyDescent="0.25">
      <c r="A2603">
        <f t="shared" ca="1" si="506"/>
        <v>13</v>
      </c>
      <c r="B2603">
        <f t="shared" ca="1" si="507"/>
        <v>57</v>
      </c>
      <c r="C2603" t="str">
        <f t="shared" ca="1" si="497"/>
        <v>'WINDOWS-NCH-A-OCMA-M3-00-0'!B56</v>
      </c>
      <c r="D2603" s="6">
        <f t="shared" ca="1" si="498"/>
        <v>2705</v>
      </c>
      <c r="E2603" t="str">
        <f t="shared" ca="1" si="499"/>
        <v>Family Type: 1000w x 3050h, Family: Window External Type 4 - Extruded</v>
      </c>
      <c r="F2603" t="str">
        <f t="shared" ca="1" si="500"/>
        <v>Vector(X = 0.130, Y = 0.991, Z = 0.000, Length = 1.000)</v>
      </c>
      <c r="G2603">
        <f t="shared" ca="1" si="501"/>
        <v>0.1</v>
      </c>
      <c r="H2603">
        <f t="shared" ca="1" si="502"/>
        <v>1</v>
      </c>
      <c r="I2603">
        <f t="shared" ca="1" si="503"/>
        <v>0</v>
      </c>
      <c r="J2603" s="8">
        <f t="shared" ca="1" si="504"/>
        <v>84.289406862500371</v>
      </c>
      <c r="K2603" s="9" t="str">
        <f t="shared" ca="1" si="505"/>
        <v>NE</v>
      </c>
      <c r="L2603">
        <f ca="1">+_xlfn.IFNA(VLOOKUP(M2603,BespokeWindowsAreas!$B$2:$E$1999,4,FALSE),VLOOKUP(E2603,WindowTypeArea!$B$2:$C$113,2,FALSE))</f>
        <v>3.05</v>
      </c>
      <c r="M2603">
        <f t="shared" ca="1" si="508"/>
        <v>4810159</v>
      </c>
    </row>
    <row r="2604" spans="1:13" x14ac:dyDescent="0.25">
      <c r="A2604">
        <f t="shared" ca="1" si="506"/>
        <v>13</v>
      </c>
      <c r="B2604">
        <f t="shared" ca="1" si="507"/>
        <v>58</v>
      </c>
      <c r="C2604" t="str">
        <f t="shared" ca="1" si="497"/>
        <v>'WINDOWS-NCH-A-OCMA-M3-00-0'!B57</v>
      </c>
      <c r="D2604" s="6">
        <f t="shared" ca="1" si="498"/>
        <v>2705</v>
      </c>
      <c r="E2604" t="str">
        <f t="shared" ca="1" si="499"/>
        <v>Family Type: 3000w x 3050h, Family: Window External Type 3 - Recessed and Angle with Type 1 Flush</v>
      </c>
      <c r="F2604" t="str">
        <f t="shared" ca="1" si="500"/>
        <v>Vector(X = 0.130, Y = 0.991, Z = 0.000, Length = 1.000)</v>
      </c>
      <c r="G2604">
        <f t="shared" ca="1" si="501"/>
        <v>0.1</v>
      </c>
      <c r="H2604">
        <f t="shared" ca="1" si="502"/>
        <v>1</v>
      </c>
      <c r="I2604">
        <f t="shared" ca="1" si="503"/>
        <v>0</v>
      </c>
      <c r="J2604" s="8">
        <f t="shared" ca="1" si="504"/>
        <v>84.289406862500371</v>
      </c>
      <c r="K2604" s="9" t="str">
        <f t="shared" ca="1" si="505"/>
        <v>NE</v>
      </c>
      <c r="L2604">
        <f ca="1">+_xlfn.IFNA(VLOOKUP(M2604,BespokeWindowsAreas!$B$2:$E$1999,4,FALSE),VLOOKUP(E2604,WindowTypeArea!$B$2:$C$113,2,FALSE))</f>
        <v>6.1762499999999996</v>
      </c>
      <c r="M2604">
        <f t="shared" ca="1" si="508"/>
        <v>7064939</v>
      </c>
    </row>
    <row r="2605" spans="1:13" x14ac:dyDescent="0.25">
      <c r="A2605">
        <f t="shared" ca="1" si="506"/>
        <v>13</v>
      </c>
      <c r="B2605">
        <f t="shared" ca="1" si="507"/>
        <v>59</v>
      </c>
      <c r="C2605" t="str">
        <f t="shared" ca="1" si="497"/>
        <v>'WINDOWS-NCH-A-OCMA-M3-00-0'!B58</v>
      </c>
      <c r="D2605" s="6">
        <f t="shared" ca="1" si="498"/>
        <v>2706</v>
      </c>
      <c r="E2605">
        <f t="shared" ca="1" si="499"/>
        <v>2706</v>
      </c>
      <c r="F2605">
        <f t="shared" ca="1" si="500"/>
        <v>1529301</v>
      </c>
      <c r="G2605">
        <f t="shared" ca="1" si="501"/>
        <v>0</v>
      </c>
      <c r="H2605">
        <f t="shared" ca="1" si="502"/>
        <v>0</v>
      </c>
      <c r="I2605">
        <f t="shared" ca="1" si="503"/>
        <v>0</v>
      </c>
      <c r="J2605" s="8" t="e">
        <f t="shared" ca="1" si="504"/>
        <v>#DIV/0!</v>
      </c>
      <c r="K2605" s="9" t="e">
        <f t="shared" ca="1" si="505"/>
        <v>#DIV/0!</v>
      </c>
      <c r="L2605" t="e">
        <f ca="1">+_xlfn.IFNA(VLOOKUP(M2605,BespokeWindowsAreas!$B$2:$E$1999,4,FALSE),VLOOKUP(E2605,WindowTypeArea!$B$2:$C$113,2,FALSE))</f>
        <v>#N/A</v>
      </c>
      <c r="M2605">
        <f t="shared" ca="1" si="508"/>
        <v>0</v>
      </c>
    </row>
    <row r="2606" spans="1:13" x14ac:dyDescent="0.25">
      <c r="A2606">
        <f t="shared" ca="1" si="506"/>
        <v>13</v>
      </c>
      <c r="B2606">
        <f t="shared" ca="1" si="507"/>
        <v>60</v>
      </c>
      <c r="C2606" t="str">
        <f t="shared" ca="1" si="497"/>
        <v>'WINDOWS-NCH-A-OCMA-M3-00-0'!B59</v>
      </c>
      <c r="D2606" s="6">
        <f t="shared" ca="1" si="498"/>
        <v>2706</v>
      </c>
      <c r="E2606" t="str">
        <f t="shared" ca="1" si="499"/>
        <v>Family Type: 1500w x 3050h, Family: Window External Type 3 - Recessed and Angle</v>
      </c>
      <c r="F2606" t="str">
        <f t="shared" ca="1" si="500"/>
        <v>Vector(X = 0.130, Y = 0.991, Z = 0.000, Length = 1.000)</v>
      </c>
      <c r="G2606">
        <f t="shared" ca="1" si="501"/>
        <v>0.1</v>
      </c>
      <c r="H2606">
        <f t="shared" ca="1" si="502"/>
        <v>1</v>
      </c>
      <c r="I2606">
        <f t="shared" ca="1" si="503"/>
        <v>0</v>
      </c>
      <c r="J2606" s="8">
        <f t="shared" ca="1" si="504"/>
        <v>84.289406862500371</v>
      </c>
      <c r="K2606" s="9" t="str">
        <f t="shared" ca="1" si="505"/>
        <v>NE</v>
      </c>
      <c r="L2606">
        <f ca="1">+_xlfn.IFNA(VLOOKUP(M2606,BespokeWindowsAreas!$B$2:$E$1999,4,FALSE),VLOOKUP(E2606,WindowTypeArea!$B$2:$C$113,2,FALSE))</f>
        <v>4.5750000000000002</v>
      </c>
      <c r="M2606">
        <f t="shared" ca="1" si="508"/>
        <v>4810260</v>
      </c>
    </row>
    <row r="2607" spans="1:13" x14ac:dyDescent="0.25">
      <c r="A2607">
        <f t="shared" ca="1" si="506"/>
        <v>13</v>
      </c>
      <c r="B2607">
        <f t="shared" ca="1" si="507"/>
        <v>61</v>
      </c>
      <c r="C2607" t="str">
        <f t="shared" ca="1" si="497"/>
        <v>'WINDOWS-NCH-A-OCMA-M3-00-0'!B60</v>
      </c>
      <c r="D2607" s="6">
        <f t="shared" ca="1" si="498"/>
        <v>2706</v>
      </c>
      <c r="E2607" t="str">
        <f t="shared" ca="1" si="499"/>
        <v>Family Type: 3000w x 3050h, Family: Window External Type 3 - Recessed and Angle with Type 1 Flush</v>
      </c>
      <c r="F2607" t="str">
        <f t="shared" ca="1" si="500"/>
        <v>Vector(X = 0.130, Y = 0.991, Z = 0.000, Length = 1.000)</v>
      </c>
      <c r="G2607">
        <f t="shared" ca="1" si="501"/>
        <v>0.1</v>
      </c>
      <c r="H2607">
        <f t="shared" ca="1" si="502"/>
        <v>1</v>
      </c>
      <c r="I2607">
        <f t="shared" ca="1" si="503"/>
        <v>0</v>
      </c>
      <c r="J2607" s="8">
        <f t="shared" ca="1" si="504"/>
        <v>84.289406862500371</v>
      </c>
      <c r="K2607" s="9" t="str">
        <f t="shared" ca="1" si="505"/>
        <v>NE</v>
      </c>
      <c r="L2607">
        <f ca="1">+_xlfn.IFNA(VLOOKUP(M2607,BespokeWindowsAreas!$B$2:$E$1999,4,FALSE),VLOOKUP(E2607,WindowTypeArea!$B$2:$C$113,2,FALSE))</f>
        <v>6.1762499999999996</v>
      </c>
      <c r="M2607">
        <f t="shared" ca="1" si="508"/>
        <v>7064898</v>
      </c>
    </row>
    <row r="2608" spans="1:13" x14ac:dyDescent="0.25">
      <c r="A2608">
        <f t="shared" ca="1" si="506"/>
        <v>13</v>
      </c>
      <c r="B2608">
        <f t="shared" ca="1" si="507"/>
        <v>62</v>
      </c>
      <c r="C2608" t="str">
        <f t="shared" ca="1" si="497"/>
        <v>'WINDOWS-NCH-A-OCMA-M3-00-0'!B61</v>
      </c>
      <c r="D2608" s="6">
        <f t="shared" ca="1" si="498"/>
        <v>2706</v>
      </c>
      <c r="E2608" t="str">
        <f t="shared" ca="1" si="499"/>
        <v>Family Type: 3000w x 3050h, Family: Window External Type 3 - Recessed and Angle with Type 1 Flush</v>
      </c>
      <c r="F2608" t="str">
        <f t="shared" ca="1" si="500"/>
        <v>Vector(X = 0.130, Y = 0.991, Z = 0.000, Length = 1.000)</v>
      </c>
      <c r="G2608">
        <f t="shared" ca="1" si="501"/>
        <v>0.1</v>
      </c>
      <c r="H2608">
        <f t="shared" ca="1" si="502"/>
        <v>1</v>
      </c>
      <c r="I2608">
        <f t="shared" ca="1" si="503"/>
        <v>0</v>
      </c>
      <c r="J2608" s="8">
        <f t="shared" ca="1" si="504"/>
        <v>84.289406862500371</v>
      </c>
      <c r="K2608" s="9" t="str">
        <f t="shared" ca="1" si="505"/>
        <v>NE</v>
      </c>
      <c r="L2608">
        <f ca="1">+_xlfn.IFNA(VLOOKUP(M2608,BespokeWindowsAreas!$B$2:$E$1999,4,FALSE),VLOOKUP(E2608,WindowTypeArea!$B$2:$C$113,2,FALSE))</f>
        <v>6.1762499999999996</v>
      </c>
      <c r="M2608">
        <f t="shared" ca="1" si="508"/>
        <v>7064939</v>
      </c>
    </row>
    <row r="2609" spans="1:13" x14ac:dyDescent="0.25">
      <c r="A2609">
        <f t="shared" ca="1" si="506"/>
        <v>13</v>
      </c>
      <c r="B2609">
        <f t="shared" ca="1" si="507"/>
        <v>63</v>
      </c>
      <c r="C2609" t="str">
        <f t="shared" ca="1" si="497"/>
        <v>'WINDOWS-NCH-A-OCMA-M3-00-0'!B62</v>
      </c>
      <c r="D2609" s="6">
        <f t="shared" ca="1" si="498"/>
        <v>2707</v>
      </c>
      <c r="E2609">
        <f t="shared" ca="1" si="499"/>
        <v>2707</v>
      </c>
      <c r="F2609">
        <f t="shared" ca="1" si="500"/>
        <v>1529304</v>
      </c>
      <c r="G2609">
        <f t="shared" ca="1" si="501"/>
        <v>0</v>
      </c>
      <c r="H2609">
        <f t="shared" ca="1" si="502"/>
        <v>0</v>
      </c>
      <c r="I2609">
        <f t="shared" ca="1" si="503"/>
        <v>0</v>
      </c>
      <c r="J2609" s="8" t="e">
        <f t="shared" ca="1" si="504"/>
        <v>#DIV/0!</v>
      </c>
      <c r="K2609" s="9" t="e">
        <f t="shared" ca="1" si="505"/>
        <v>#DIV/0!</v>
      </c>
      <c r="L2609" t="e">
        <f ca="1">+_xlfn.IFNA(VLOOKUP(M2609,BespokeWindowsAreas!$B$2:$E$1999,4,FALSE),VLOOKUP(E2609,WindowTypeArea!$B$2:$C$113,2,FALSE))</f>
        <v>#N/A</v>
      </c>
      <c r="M2609">
        <f t="shared" ca="1" si="508"/>
        <v>0</v>
      </c>
    </row>
    <row r="2610" spans="1:13" x14ac:dyDescent="0.25">
      <c r="A2610">
        <f t="shared" ca="1" si="506"/>
        <v>13</v>
      </c>
      <c r="B2610">
        <f t="shared" ca="1" si="507"/>
        <v>64</v>
      </c>
      <c r="C2610" t="str">
        <f t="shared" ca="1" si="497"/>
        <v>'WINDOWS-NCH-A-OCMA-M3-00-0'!B63</v>
      </c>
      <c r="D2610" s="6">
        <f t="shared" ca="1" si="498"/>
        <v>2707</v>
      </c>
      <c r="E2610" t="str">
        <f t="shared" ca="1" si="499"/>
        <v>Family Type: 1500w x 3050h, Family: Window External Type 3 - Recessed and Angle</v>
      </c>
      <c r="F2610" t="str">
        <f t="shared" ca="1" si="500"/>
        <v>Vector(X = 0.130, Y = 0.991, Z = 0.000, Length = 1.000)</v>
      </c>
      <c r="G2610">
        <f t="shared" ca="1" si="501"/>
        <v>0.1</v>
      </c>
      <c r="H2610">
        <f t="shared" ca="1" si="502"/>
        <v>1</v>
      </c>
      <c r="I2610">
        <f t="shared" ca="1" si="503"/>
        <v>0</v>
      </c>
      <c r="J2610" s="8">
        <f t="shared" ca="1" si="504"/>
        <v>84.289406862500371</v>
      </c>
      <c r="K2610" s="9" t="str">
        <f t="shared" ca="1" si="505"/>
        <v>NE</v>
      </c>
      <c r="L2610">
        <f ca="1">+_xlfn.IFNA(VLOOKUP(M2610,BespokeWindowsAreas!$B$2:$E$1999,4,FALSE),VLOOKUP(E2610,WindowTypeArea!$B$2:$C$113,2,FALSE))</f>
        <v>4.5750000000000002</v>
      </c>
      <c r="M2610">
        <f t="shared" ca="1" si="508"/>
        <v>4810393</v>
      </c>
    </row>
    <row r="2611" spans="1:13" x14ac:dyDescent="0.25">
      <c r="A2611">
        <f t="shared" ca="1" si="506"/>
        <v>13</v>
      </c>
      <c r="B2611">
        <f t="shared" ca="1" si="507"/>
        <v>65</v>
      </c>
      <c r="C2611" t="str">
        <f t="shared" ca="1" si="497"/>
        <v>'WINDOWS-NCH-A-OCMA-M3-00-0'!B64</v>
      </c>
      <c r="D2611" s="6">
        <f t="shared" ca="1" si="498"/>
        <v>2707</v>
      </c>
      <c r="E2611" t="str">
        <f t="shared" ca="1" si="499"/>
        <v>Family Type: 3000w x 3050h, Family: Window External Type 3 - Recessed and Angle with Type 1 Flush</v>
      </c>
      <c r="F2611" t="str">
        <f t="shared" ca="1" si="500"/>
        <v>Vector(X = 0.130, Y = 0.991, Z = 0.000, Length = 1.000)</v>
      </c>
      <c r="G2611">
        <f t="shared" ca="1" si="501"/>
        <v>0.1</v>
      </c>
      <c r="H2611">
        <f t="shared" ca="1" si="502"/>
        <v>1</v>
      </c>
      <c r="I2611">
        <f t="shared" ca="1" si="503"/>
        <v>0</v>
      </c>
      <c r="J2611" s="8">
        <f t="shared" ca="1" si="504"/>
        <v>84.289406862500371</v>
      </c>
      <c r="K2611" s="9" t="str">
        <f t="shared" ca="1" si="505"/>
        <v>NE</v>
      </c>
      <c r="L2611">
        <f ca="1">+_xlfn.IFNA(VLOOKUP(M2611,BespokeWindowsAreas!$B$2:$E$1999,4,FALSE),VLOOKUP(E2611,WindowTypeArea!$B$2:$C$113,2,FALSE))</f>
        <v>6.1762499999999996</v>
      </c>
      <c r="M2611">
        <f t="shared" ca="1" si="508"/>
        <v>7064898</v>
      </c>
    </row>
    <row r="2612" spans="1:13" x14ac:dyDescent="0.25">
      <c r="A2612">
        <f t="shared" ca="1" si="506"/>
        <v>13</v>
      </c>
      <c r="B2612">
        <f t="shared" ca="1" si="507"/>
        <v>66</v>
      </c>
      <c r="C2612" t="str">
        <f t="shared" ca="1" si="497"/>
        <v>'WINDOWS-NCH-A-OCMA-M3-00-0'!B65</v>
      </c>
      <c r="D2612" s="6">
        <f t="shared" ca="1" si="498"/>
        <v>2708</v>
      </c>
      <c r="E2612">
        <f t="shared" ca="1" si="499"/>
        <v>2708</v>
      </c>
      <c r="F2612">
        <f t="shared" ca="1" si="500"/>
        <v>1529307</v>
      </c>
      <c r="G2612">
        <f t="shared" ca="1" si="501"/>
        <v>0</v>
      </c>
      <c r="H2612">
        <f t="shared" ca="1" si="502"/>
        <v>0</v>
      </c>
      <c r="I2612">
        <f t="shared" ca="1" si="503"/>
        <v>0</v>
      </c>
      <c r="J2612" s="8" t="e">
        <f t="shared" ca="1" si="504"/>
        <v>#DIV/0!</v>
      </c>
      <c r="K2612" s="9" t="e">
        <f t="shared" ca="1" si="505"/>
        <v>#DIV/0!</v>
      </c>
      <c r="L2612" t="e">
        <f ca="1">+_xlfn.IFNA(VLOOKUP(M2612,BespokeWindowsAreas!$B$2:$E$1999,4,FALSE),VLOOKUP(E2612,WindowTypeArea!$B$2:$C$113,2,FALSE))</f>
        <v>#N/A</v>
      </c>
      <c r="M2612">
        <f t="shared" ca="1" si="508"/>
        <v>0</v>
      </c>
    </row>
    <row r="2613" spans="1:13" x14ac:dyDescent="0.25">
      <c r="A2613">
        <f t="shared" ca="1" si="506"/>
        <v>13</v>
      </c>
      <c r="B2613">
        <f t="shared" ca="1" si="507"/>
        <v>67</v>
      </c>
      <c r="C2613" t="str">
        <f t="shared" ca="1" si="497"/>
        <v>'WINDOWS-NCH-A-OCMA-M3-00-0'!B66</v>
      </c>
      <c r="D2613" s="6">
        <f t="shared" ca="1" si="498"/>
        <v>2708</v>
      </c>
      <c r="E2613" t="str">
        <f t="shared" ca="1" si="499"/>
        <v>Family Type: 1950w x 3050h, Family: Window External Type 3 - Recessed and Angle</v>
      </c>
      <c r="F2613" t="str">
        <f t="shared" ca="1" si="500"/>
        <v>Vector(X = 0.130, Y = 0.991, Z = 0.000, Length = 1.000)</v>
      </c>
      <c r="G2613">
        <f t="shared" ca="1" si="501"/>
        <v>0.1</v>
      </c>
      <c r="H2613">
        <f t="shared" ca="1" si="502"/>
        <v>1</v>
      </c>
      <c r="I2613">
        <f t="shared" ca="1" si="503"/>
        <v>0</v>
      </c>
      <c r="J2613" s="8">
        <f t="shared" ca="1" si="504"/>
        <v>84.289406862500371</v>
      </c>
      <c r="K2613" s="9" t="str">
        <f t="shared" ca="1" si="505"/>
        <v>NE</v>
      </c>
      <c r="L2613">
        <f ca="1">+_xlfn.IFNA(VLOOKUP(M2613,BespokeWindowsAreas!$B$2:$E$1999,4,FALSE),VLOOKUP(E2613,WindowTypeArea!$B$2:$C$113,2,FALSE))</f>
        <v>5.9474999999999998</v>
      </c>
      <c r="M2613">
        <f t="shared" ca="1" si="508"/>
        <v>4803208</v>
      </c>
    </row>
    <row r="2614" spans="1:13" x14ac:dyDescent="0.25">
      <c r="A2614">
        <f t="shared" ca="1" si="506"/>
        <v>13</v>
      </c>
      <c r="B2614">
        <f t="shared" ca="1" si="507"/>
        <v>68</v>
      </c>
      <c r="C2614" t="str">
        <f t="shared" ca="1" si="497"/>
        <v>'WINDOWS-NCH-A-OCMA-M3-00-0'!B67</v>
      </c>
      <c r="D2614" s="6">
        <f t="shared" ca="1" si="498"/>
        <v>2708</v>
      </c>
      <c r="E2614" t="str">
        <f t="shared" ca="1" si="499"/>
        <v>Family Type: 1500w x 3050h, Family: Window External Type 3 - Recessed and Angle</v>
      </c>
      <c r="F2614" t="str">
        <f t="shared" ca="1" si="500"/>
        <v>Vector(X = 0.130, Y = 0.991, Z = 0.000, Length = 1.000)</v>
      </c>
      <c r="G2614">
        <f t="shared" ca="1" si="501"/>
        <v>0.1</v>
      </c>
      <c r="H2614">
        <f t="shared" ca="1" si="502"/>
        <v>1</v>
      </c>
      <c r="I2614">
        <f t="shared" ca="1" si="503"/>
        <v>0</v>
      </c>
      <c r="J2614" s="8">
        <f t="shared" ca="1" si="504"/>
        <v>84.289406862500371</v>
      </c>
      <c r="K2614" s="9" t="str">
        <f t="shared" ca="1" si="505"/>
        <v>NE</v>
      </c>
      <c r="L2614">
        <f ca="1">+_xlfn.IFNA(VLOOKUP(M2614,BespokeWindowsAreas!$B$2:$E$1999,4,FALSE),VLOOKUP(E2614,WindowTypeArea!$B$2:$C$113,2,FALSE))</f>
        <v>4.5750000000000002</v>
      </c>
      <c r="M2614">
        <f t="shared" ca="1" si="508"/>
        <v>4810087</v>
      </c>
    </row>
    <row r="2615" spans="1:13" x14ac:dyDescent="0.25">
      <c r="A2615">
        <f t="shared" ca="1" si="506"/>
        <v>13</v>
      </c>
      <c r="B2615">
        <f t="shared" ca="1" si="507"/>
        <v>69</v>
      </c>
      <c r="C2615" t="str">
        <f t="shared" ca="1" si="497"/>
        <v>'WINDOWS-NCH-A-OCMA-M3-00-0'!B68</v>
      </c>
      <c r="D2615" s="6">
        <f t="shared" ca="1" si="498"/>
        <v>2709</v>
      </c>
      <c r="E2615">
        <f t="shared" ca="1" si="499"/>
        <v>2709</v>
      </c>
      <c r="F2615">
        <f t="shared" ca="1" si="500"/>
        <v>1529310</v>
      </c>
      <c r="G2615">
        <f t="shared" ca="1" si="501"/>
        <v>0</v>
      </c>
      <c r="H2615">
        <f t="shared" ca="1" si="502"/>
        <v>0</v>
      </c>
      <c r="I2615">
        <f t="shared" ca="1" si="503"/>
        <v>0</v>
      </c>
      <c r="J2615" s="8" t="e">
        <f t="shared" ca="1" si="504"/>
        <v>#DIV/0!</v>
      </c>
      <c r="K2615" s="9" t="e">
        <f t="shared" ca="1" si="505"/>
        <v>#DIV/0!</v>
      </c>
      <c r="L2615" t="e">
        <f ca="1">+_xlfn.IFNA(VLOOKUP(M2615,BespokeWindowsAreas!$B$2:$E$1999,4,FALSE),VLOOKUP(E2615,WindowTypeArea!$B$2:$C$113,2,FALSE))</f>
        <v>#N/A</v>
      </c>
      <c r="M2615">
        <f t="shared" ca="1" si="508"/>
        <v>0</v>
      </c>
    </row>
    <row r="2616" spans="1:13" x14ac:dyDescent="0.25">
      <c r="A2616">
        <f t="shared" ca="1" si="506"/>
        <v>13</v>
      </c>
      <c r="B2616">
        <f t="shared" ca="1" si="507"/>
        <v>70</v>
      </c>
      <c r="C2616" t="str">
        <f t="shared" ca="1" si="497"/>
        <v>'WINDOWS-NCH-A-OCMA-M3-00-0'!B69</v>
      </c>
      <c r="D2616" s="6">
        <f t="shared" ca="1" si="498"/>
        <v>2709</v>
      </c>
      <c r="E2616" t="str">
        <f t="shared" ca="1" si="499"/>
        <v>Family Type: 1500w x 3050h, Family: Window External Type 3 - Recessed and Angle</v>
      </c>
      <c r="F2616" t="str">
        <f t="shared" ca="1" si="500"/>
        <v>Vector(X = 0.130, Y = 0.991, Z = 0.000, Length = 1.000)</v>
      </c>
      <c r="G2616">
        <f t="shared" ca="1" si="501"/>
        <v>0.1</v>
      </c>
      <c r="H2616">
        <f t="shared" ca="1" si="502"/>
        <v>1</v>
      </c>
      <c r="I2616">
        <f t="shared" ca="1" si="503"/>
        <v>0</v>
      </c>
      <c r="J2616" s="8">
        <f t="shared" ca="1" si="504"/>
        <v>84.289406862500371</v>
      </c>
      <c r="K2616" s="9" t="str">
        <f t="shared" ca="1" si="505"/>
        <v>NE</v>
      </c>
      <c r="L2616">
        <f ca="1">+_xlfn.IFNA(VLOOKUP(M2616,BespokeWindowsAreas!$B$2:$E$1999,4,FALSE),VLOOKUP(E2616,WindowTypeArea!$B$2:$C$113,2,FALSE))</f>
        <v>4.5750000000000002</v>
      </c>
      <c r="M2616">
        <f t="shared" ca="1" si="508"/>
        <v>5148393</v>
      </c>
    </row>
    <row r="2617" spans="1:13" x14ac:dyDescent="0.25">
      <c r="A2617">
        <f t="shared" ca="1" si="506"/>
        <v>13</v>
      </c>
      <c r="B2617">
        <f t="shared" ca="1" si="507"/>
        <v>71</v>
      </c>
      <c r="C2617" t="str">
        <f t="shared" ca="1" si="497"/>
        <v>'WINDOWS-NCH-A-OCMA-M3-00-0'!B70</v>
      </c>
      <c r="D2617" s="6">
        <f t="shared" ca="1" si="498"/>
        <v>2711</v>
      </c>
      <c r="E2617">
        <f t="shared" ca="1" si="499"/>
        <v>2711</v>
      </c>
      <c r="F2617">
        <f t="shared" ca="1" si="500"/>
        <v>1531930</v>
      </c>
      <c r="G2617">
        <f t="shared" ca="1" si="501"/>
        <v>0</v>
      </c>
      <c r="H2617">
        <f t="shared" ca="1" si="502"/>
        <v>0</v>
      </c>
      <c r="I2617">
        <f t="shared" ca="1" si="503"/>
        <v>0</v>
      </c>
      <c r="J2617" s="8" t="e">
        <f t="shared" ca="1" si="504"/>
        <v>#DIV/0!</v>
      </c>
      <c r="K2617" s="9" t="e">
        <f t="shared" ca="1" si="505"/>
        <v>#DIV/0!</v>
      </c>
      <c r="L2617" t="e">
        <f ca="1">+_xlfn.IFNA(VLOOKUP(M2617,BespokeWindowsAreas!$B$2:$E$1999,4,FALSE),VLOOKUP(E2617,WindowTypeArea!$B$2:$C$113,2,FALSE))</f>
        <v>#N/A</v>
      </c>
      <c r="M2617">
        <f t="shared" ca="1" si="508"/>
        <v>0</v>
      </c>
    </row>
    <row r="2618" spans="1:13" x14ac:dyDescent="0.25">
      <c r="A2618">
        <f t="shared" ca="1" si="506"/>
        <v>14</v>
      </c>
      <c r="B2618">
        <f t="shared" ca="1" si="507"/>
        <v>1</v>
      </c>
      <c r="C2618" t="str">
        <f t="shared" ca="1" si="497"/>
        <v>'WINDOWS-NCH-A-OCMA-M3-00-0'!B71</v>
      </c>
      <c r="D2618" s="6">
        <f t="shared" ca="1" si="498"/>
        <v>2711</v>
      </c>
      <c r="E2618" t="str">
        <f t="shared" ca="1" si="499"/>
        <v>Family Type: 3000w x 3050h, Family: Window External Type 3 - Recessed and Angle with Type 1 Flush</v>
      </c>
      <c r="F2618" t="str">
        <f t="shared" ca="1" si="500"/>
        <v>Vector(X = -0.130, Y = -0.991, Z = 0.000, Length = 1.000)</v>
      </c>
      <c r="G2618">
        <f t="shared" ca="1" si="501"/>
        <v>-0.1</v>
      </c>
      <c r="H2618">
        <f t="shared" ca="1" si="502"/>
        <v>-1</v>
      </c>
      <c r="I2618">
        <f t="shared" ca="1" si="503"/>
        <v>0</v>
      </c>
      <c r="J2618" s="8">
        <f t="shared" ca="1" si="504"/>
        <v>-95.710593137499629</v>
      </c>
      <c r="K2618" s="9" t="str">
        <f t="shared" ca="1" si="505"/>
        <v>SW</v>
      </c>
      <c r="L2618">
        <f ca="1">+_xlfn.IFNA(VLOOKUP(M2618,BespokeWindowsAreas!$B$2:$E$1999,4,FALSE),VLOOKUP(E2618,WindowTypeArea!$B$2:$C$113,2,FALSE))</f>
        <v>6.1762499999999996</v>
      </c>
      <c r="M2618">
        <f t="shared" ca="1" si="508"/>
        <v>7060921</v>
      </c>
    </row>
    <row r="2619" spans="1:13" x14ac:dyDescent="0.25">
      <c r="A2619">
        <f t="shared" ca="1" si="506"/>
        <v>14</v>
      </c>
      <c r="B2619">
        <f t="shared" ca="1" si="507"/>
        <v>2</v>
      </c>
      <c r="C2619" t="str">
        <f t="shared" ca="1" si="497"/>
        <v>'WINDOWS-NCH-A-OCMA-M3-02-0'!B1</v>
      </c>
      <c r="D2619" s="6">
        <f t="shared" ca="1" si="498"/>
        <v>0</v>
      </c>
      <c r="E2619">
        <f t="shared" ca="1" si="499"/>
        <v>0</v>
      </c>
      <c r="F2619">
        <f t="shared" ca="1" si="500"/>
        <v>0</v>
      </c>
      <c r="G2619">
        <f t="shared" ca="1" si="501"/>
        <v>0</v>
      </c>
      <c r="H2619">
        <f t="shared" ca="1" si="502"/>
        <v>0</v>
      </c>
      <c r="I2619">
        <f t="shared" ca="1" si="503"/>
        <v>0</v>
      </c>
      <c r="J2619" s="8" t="e">
        <f t="shared" ca="1" si="504"/>
        <v>#DIV/0!</v>
      </c>
      <c r="K2619" s="9" t="e">
        <f t="shared" ca="1" si="505"/>
        <v>#DIV/0!</v>
      </c>
      <c r="L2619" t="e">
        <f ca="1">+_xlfn.IFNA(VLOOKUP(M2619,BespokeWindowsAreas!$B$2:$E$1999,4,FALSE),VLOOKUP(E2619,WindowTypeArea!$B$2:$C$113,2,FALSE))</f>
        <v>#N/A</v>
      </c>
      <c r="M2619">
        <f t="shared" ca="1" si="508"/>
        <v>0</v>
      </c>
    </row>
    <row r="2620" spans="1:13" x14ac:dyDescent="0.25">
      <c r="A2620">
        <f t="shared" ca="1" si="506"/>
        <v>14</v>
      </c>
      <c r="B2620">
        <f t="shared" ca="1" si="507"/>
        <v>3</v>
      </c>
      <c r="C2620" t="str">
        <f t="shared" ca="1" si="497"/>
        <v>'WINDOWS-NCH-A-OCMA-M3-02-0'!B2</v>
      </c>
      <c r="D2620" s="6" t="str">
        <f t="shared" ca="1" si="498"/>
        <v>L02-THE-ABI-S115-01</v>
      </c>
      <c r="E2620" t="str">
        <f t="shared" ca="1" si="499"/>
        <v>L02-THE-ABI-S115-01</v>
      </c>
      <c r="F2620">
        <f t="shared" ca="1" si="500"/>
        <v>1809683</v>
      </c>
      <c r="G2620">
        <f t="shared" ca="1" si="501"/>
        <v>0</v>
      </c>
      <c r="H2620">
        <f t="shared" ca="1" si="502"/>
        <v>0</v>
      </c>
      <c r="I2620">
        <f t="shared" ca="1" si="503"/>
        <v>0</v>
      </c>
      <c r="J2620" s="8" t="e">
        <f t="shared" ca="1" si="504"/>
        <v>#DIV/0!</v>
      </c>
      <c r="K2620" s="9" t="e">
        <f t="shared" ca="1" si="505"/>
        <v>#DIV/0!</v>
      </c>
      <c r="L2620" t="e">
        <f ca="1">+_xlfn.IFNA(VLOOKUP(M2620,BespokeWindowsAreas!$B$2:$E$1999,4,FALSE),VLOOKUP(E2620,WindowTypeArea!$B$2:$C$113,2,FALSE))</f>
        <v>#N/A</v>
      </c>
      <c r="M2620">
        <f t="shared" ca="1" si="508"/>
        <v>0</v>
      </c>
    </row>
    <row r="2621" spans="1:13" x14ac:dyDescent="0.25">
      <c r="A2621">
        <f t="shared" ca="1" si="506"/>
        <v>14</v>
      </c>
      <c r="B2621">
        <f t="shared" ca="1" si="507"/>
        <v>4</v>
      </c>
      <c r="C2621" t="str">
        <f t="shared" ca="1" si="497"/>
        <v>'WINDOWS-NCH-A-OCMA-M3-02-0'!B3</v>
      </c>
      <c r="D2621" s="6" t="str">
        <f t="shared" ca="1" si="498"/>
        <v>L02-THE-ABI-S115-01</v>
      </c>
      <c r="E2621" t="str">
        <f t="shared" ca="1" si="499"/>
        <v>Family Type: 1500w x 3050h, Family: Window External Type 3 - Recessed and Angle</v>
      </c>
      <c r="F2621" t="str">
        <f t="shared" ca="1" si="500"/>
        <v>Vector(X = -0.212, Y = 0.977, Z = 0.000, Length = 1.000)</v>
      </c>
      <c r="G2621">
        <f t="shared" ca="1" si="501"/>
        <v>-0.2</v>
      </c>
      <c r="H2621">
        <f t="shared" ca="1" si="502"/>
        <v>1</v>
      </c>
      <c r="I2621">
        <f t="shared" ca="1" si="503"/>
        <v>0</v>
      </c>
      <c r="J2621" s="8">
        <f t="shared" ca="1" si="504"/>
        <v>101.3099324740202</v>
      </c>
      <c r="K2621" s="9" t="str">
        <f t="shared" ca="1" si="505"/>
        <v>N</v>
      </c>
      <c r="L2621">
        <f ca="1">+_xlfn.IFNA(VLOOKUP(M2621,BespokeWindowsAreas!$B$2:$E$1999,4,FALSE),VLOOKUP(E2621,WindowTypeArea!$B$2:$C$113,2,FALSE))</f>
        <v>4.5750000000000002</v>
      </c>
      <c r="M2621">
        <f t="shared" ca="1" si="508"/>
        <v>3684591</v>
      </c>
    </row>
    <row r="2622" spans="1:13" x14ac:dyDescent="0.25">
      <c r="A2622">
        <f t="shared" ca="1" si="506"/>
        <v>14</v>
      </c>
      <c r="B2622">
        <f t="shared" ca="1" si="507"/>
        <v>5</v>
      </c>
      <c r="C2622" t="str">
        <f t="shared" ca="1" si="497"/>
        <v>'WINDOWS-NCH-A-OCMA-M3-02-0'!B4</v>
      </c>
      <c r="D2622" s="6" t="str">
        <f t="shared" ca="1" si="498"/>
        <v>L02-THE-ABI-S115-01</v>
      </c>
      <c r="E2622" t="str">
        <f t="shared" ca="1" si="499"/>
        <v>Family Type: 975w x 3050h, Family: Window External Type 1 - Recessed</v>
      </c>
      <c r="F2622" t="str">
        <f t="shared" ca="1" si="500"/>
        <v>Vector(X = 0.977, Y = 0.212, Z = 0.000, Length = 1.000)</v>
      </c>
      <c r="G2622">
        <f t="shared" ca="1" si="501"/>
        <v>1</v>
      </c>
      <c r="H2622">
        <f t="shared" ca="1" si="502"/>
        <v>0.2</v>
      </c>
      <c r="I2622">
        <f t="shared" ca="1" si="503"/>
        <v>0</v>
      </c>
      <c r="J2622" s="8">
        <f t="shared" ca="1" si="504"/>
        <v>11.309932474020215</v>
      </c>
      <c r="K2622" s="9" t="str">
        <f t="shared" ca="1" si="505"/>
        <v>E</v>
      </c>
      <c r="L2622">
        <f ca="1">+_xlfn.IFNA(VLOOKUP(M2622,BespokeWindowsAreas!$B$2:$E$1999,4,FALSE),VLOOKUP(E2622,WindowTypeArea!$B$2:$C$113,2,FALSE))</f>
        <v>2.9737499999999999</v>
      </c>
      <c r="M2622">
        <f t="shared" ca="1" si="508"/>
        <v>5065689</v>
      </c>
    </row>
    <row r="2623" spans="1:13" x14ac:dyDescent="0.25">
      <c r="A2623">
        <f t="shared" ca="1" si="506"/>
        <v>14</v>
      </c>
      <c r="B2623">
        <f t="shared" ca="1" si="507"/>
        <v>6</v>
      </c>
      <c r="C2623" t="str">
        <f t="shared" ca="1" si="497"/>
        <v>'WINDOWS-NCH-A-OCMA-M3-02-0'!B5</v>
      </c>
      <c r="D2623" s="6" t="str">
        <f t="shared" ca="1" si="498"/>
        <v>L02-THE-ABI-S115-01</v>
      </c>
      <c r="E2623" t="str">
        <f t="shared" ca="1" si="499"/>
        <v>Family Type: 975w x 3050h, Family: Window External Type 1 - Recessed</v>
      </c>
      <c r="F2623" t="str">
        <f t="shared" ca="1" si="500"/>
        <v>Vector(X = 0.977, Y = 0.212, Z = 0.000, Length = 1.000)</v>
      </c>
      <c r="G2623">
        <f t="shared" ca="1" si="501"/>
        <v>1</v>
      </c>
      <c r="H2623">
        <f t="shared" ca="1" si="502"/>
        <v>0.2</v>
      </c>
      <c r="I2623">
        <f t="shared" ca="1" si="503"/>
        <v>0</v>
      </c>
      <c r="J2623" s="8">
        <f t="shared" ca="1" si="504"/>
        <v>11.309932474020215</v>
      </c>
      <c r="K2623" s="9" t="str">
        <f t="shared" ca="1" si="505"/>
        <v>E</v>
      </c>
      <c r="L2623">
        <f ca="1">+_xlfn.IFNA(VLOOKUP(M2623,BespokeWindowsAreas!$B$2:$E$1999,4,FALSE),VLOOKUP(E2623,WindowTypeArea!$B$2:$C$113,2,FALSE))</f>
        <v>2.9737499999999999</v>
      </c>
      <c r="M2623">
        <f t="shared" ca="1" si="508"/>
        <v>5065690</v>
      </c>
    </row>
    <row r="2624" spans="1:13" x14ac:dyDescent="0.25">
      <c r="A2624">
        <f t="shared" ca="1" si="506"/>
        <v>14</v>
      </c>
      <c r="B2624">
        <f t="shared" ca="1" si="507"/>
        <v>7</v>
      </c>
      <c r="C2624" t="str">
        <f t="shared" ca="1" si="497"/>
        <v>'WINDOWS-NCH-A-OCMA-M3-02-0'!B6</v>
      </c>
      <c r="D2624" s="6" t="str">
        <f t="shared" ca="1" si="498"/>
        <v>L02-THE-ABI-S115-01</v>
      </c>
      <c r="E2624" t="str">
        <f t="shared" ca="1" si="499"/>
        <v>Family Type: 1500w x 3050h, Family: Window External Type 3 - Recessed and Angle</v>
      </c>
      <c r="F2624" t="str">
        <f t="shared" ca="1" si="500"/>
        <v>Vector(X = 0.977, Y = 0.212, Z = 0.000, Length = 1.000)</v>
      </c>
      <c r="G2624">
        <f t="shared" ca="1" si="501"/>
        <v>1</v>
      </c>
      <c r="H2624">
        <f t="shared" ca="1" si="502"/>
        <v>0.2</v>
      </c>
      <c r="I2624">
        <f t="shared" ca="1" si="503"/>
        <v>0</v>
      </c>
      <c r="J2624" s="8">
        <f t="shared" ca="1" si="504"/>
        <v>11.309932474020215</v>
      </c>
      <c r="K2624" s="9" t="str">
        <f t="shared" ca="1" si="505"/>
        <v>E</v>
      </c>
      <c r="L2624">
        <f ca="1">+_xlfn.IFNA(VLOOKUP(M2624,BespokeWindowsAreas!$B$2:$E$1999,4,FALSE),VLOOKUP(E2624,WindowTypeArea!$B$2:$C$113,2,FALSE))</f>
        <v>4.5750000000000002</v>
      </c>
      <c r="M2624">
        <f t="shared" ca="1" si="508"/>
        <v>5065691</v>
      </c>
    </row>
    <row r="2625" spans="1:13" x14ac:dyDescent="0.25">
      <c r="A2625">
        <f t="shared" ca="1" si="506"/>
        <v>14</v>
      </c>
      <c r="B2625">
        <f t="shared" ca="1" si="507"/>
        <v>8</v>
      </c>
      <c r="C2625" t="str">
        <f t="shared" ca="1" si="497"/>
        <v>'WINDOWS-NCH-A-OCMA-M3-02-0'!B7</v>
      </c>
      <c r="D2625" s="6" t="str">
        <f t="shared" ca="1" si="498"/>
        <v>L02-THE-ABI-S115-01</v>
      </c>
      <c r="E2625" t="str">
        <f t="shared" ca="1" si="499"/>
        <v>Family Type: 1500w x 3050h, Family: Window External Type 3 - Recessed and Angle</v>
      </c>
      <c r="F2625" t="str">
        <f t="shared" ca="1" si="500"/>
        <v>Vector(X = 0.977, Y = 0.212, Z = 0.000, Length = 1.000)</v>
      </c>
      <c r="G2625">
        <f t="shared" ca="1" si="501"/>
        <v>1</v>
      </c>
      <c r="H2625">
        <f t="shared" ca="1" si="502"/>
        <v>0.2</v>
      </c>
      <c r="I2625">
        <f t="shared" ca="1" si="503"/>
        <v>0</v>
      </c>
      <c r="J2625" s="8">
        <f t="shared" ca="1" si="504"/>
        <v>11.309932474020215</v>
      </c>
      <c r="K2625" s="9" t="str">
        <f t="shared" ca="1" si="505"/>
        <v>E</v>
      </c>
      <c r="L2625">
        <f ca="1">+_xlfn.IFNA(VLOOKUP(M2625,BespokeWindowsAreas!$B$2:$E$1999,4,FALSE),VLOOKUP(E2625,WindowTypeArea!$B$2:$C$113,2,FALSE))</f>
        <v>4.5750000000000002</v>
      </c>
      <c r="M2625">
        <f t="shared" ca="1" si="508"/>
        <v>5065692</v>
      </c>
    </row>
    <row r="2626" spans="1:13" x14ac:dyDescent="0.25">
      <c r="A2626">
        <f t="shared" ca="1" si="506"/>
        <v>14</v>
      </c>
      <c r="B2626">
        <f t="shared" ca="1" si="507"/>
        <v>9</v>
      </c>
      <c r="C2626" t="str">
        <f t="shared" ca="1" si="497"/>
        <v>'WINDOWS-NCH-A-OCMA-M3-02-0'!B8</v>
      </c>
      <c r="D2626" s="6" t="str">
        <f t="shared" ca="1" si="498"/>
        <v>L02-THE-ABI-S115-01</v>
      </c>
      <c r="E2626" t="str">
        <f t="shared" ca="1" si="499"/>
        <v>Family Type: 1500w x 3050h, Family: Window External Type 3 - Recessed and Angle</v>
      </c>
      <c r="F2626" t="str">
        <f t="shared" ca="1" si="500"/>
        <v>Vector(X = 0.212, Y = -0.977, Z = 0.000, Length = 1.000)</v>
      </c>
      <c r="G2626">
        <f t="shared" ca="1" si="501"/>
        <v>0.2</v>
      </c>
      <c r="H2626">
        <f t="shared" ca="1" si="502"/>
        <v>-1</v>
      </c>
      <c r="I2626">
        <f t="shared" ca="1" si="503"/>
        <v>0</v>
      </c>
      <c r="J2626" s="8">
        <f t="shared" ca="1" si="504"/>
        <v>-78.690067525979785</v>
      </c>
      <c r="K2626" s="9" t="str">
        <f t="shared" ca="1" si="505"/>
        <v>S</v>
      </c>
      <c r="L2626">
        <f ca="1">+_xlfn.IFNA(VLOOKUP(M2626,BespokeWindowsAreas!$B$2:$E$1999,4,FALSE),VLOOKUP(E2626,WindowTypeArea!$B$2:$C$113,2,FALSE))</f>
        <v>4.5750000000000002</v>
      </c>
      <c r="M2626">
        <f t="shared" ca="1" si="508"/>
        <v>5711500</v>
      </c>
    </row>
    <row r="2627" spans="1:13" x14ac:dyDescent="0.25">
      <c r="A2627">
        <f t="shared" ca="1" si="506"/>
        <v>14</v>
      </c>
      <c r="B2627">
        <f t="shared" ca="1" si="507"/>
        <v>10</v>
      </c>
      <c r="C2627" t="str">
        <f t="shared" ca="1" si="497"/>
        <v>'WINDOWS-NCH-A-OCMA-M3-02-0'!B9</v>
      </c>
      <c r="D2627" s="6" t="str">
        <f t="shared" ca="1" si="498"/>
        <v>L02-THE-ABI-S115-01</v>
      </c>
      <c r="E2627" t="str">
        <f t="shared" ca="1" si="499"/>
        <v>Family Type: 1500w x 3050h, Family: Window External Type 3 - Recessed and Angle</v>
      </c>
      <c r="F2627" t="str">
        <f t="shared" ca="1" si="500"/>
        <v>Vector(X = 0.212, Y = -0.977, Z = 0.000, Length = 1.000)</v>
      </c>
      <c r="G2627">
        <f t="shared" ca="1" si="501"/>
        <v>0.2</v>
      </c>
      <c r="H2627">
        <f t="shared" ca="1" si="502"/>
        <v>-1</v>
      </c>
      <c r="I2627">
        <f t="shared" ca="1" si="503"/>
        <v>0</v>
      </c>
      <c r="J2627" s="8">
        <f t="shared" ca="1" si="504"/>
        <v>-78.690067525979785</v>
      </c>
      <c r="K2627" s="9" t="str">
        <f t="shared" ca="1" si="505"/>
        <v>S</v>
      </c>
      <c r="L2627">
        <f ca="1">+_xlfn.IFNA(VLOOKUP(M2627,BespokeWindowsAreas!$B$2:$E$1999,4,FALSE),VLOOKUP(E2627,WindowTypeArea!$B$2:$C$113,2,FALSE))</f>
        <v>4.5750000000000002</v>
      </c>
      <c r="M2627">
        <f t="shared" ca="1" si="508"/>
        <v>5711608</v>
      </c>
    </row>
    <row r="2628" spans="1:13" x14ac:dyDescent="0.25">
      <c r="A2628">
        <f t="shared" ca="1" si="506"/>
        <v>14</v>
      </c>
      <c r="B2628">
        <f t="shared" ca="1" si="507"/>
        <v>11</v>
      </c>
      <c r="C2628" t="str">
        <f t="shared" ca="1" si="497"/>
        <v>'WINDOWS-NCH-A-OCMA-M3-02-0'!B10</v>
      </c>
      <c r="D2628" s="6" t="str">
        <f t="shared" ca="1" si="498"/>
        <v>L02-THE-CRU-U0605-01</v>
      </c>
      <c r="E2628" t="str">
        <f t="shared" ca="1" si="499"/>
        <v>L02-THE-CRU-U0605-01</v>
      </c>
      <c r="F2628">
        <f t="shared" ca="1" si="500"/>
        <v>1809692</v>
      </c>
      <c r="G2628">
        <f t="shared" ca="1" si="501"/>
        <v>0</v>
      </c>
      <c r="H2628">
        <f t="shared" ca="1" si="502"/>
        <v>0</v>
      </c>
      <c r="I2628">
        <f t="shared" ca="1" si="503"/>
        <v>0</v>
      </c>
      <c r="J2628" s="8" t="e">
        <f t="shared" ca="1" si="504"/>
        <v>#DIV/0!</v>
      </c>
      <c r="K2628" s="9" t="e">
        <f t="shared" ca="1" si="505"/>
        <v>#DIV/0!</v>
      </c>
      <c r="L2628" t="e">
        <f ca="1">+_xlfn.IFNA(VLOOKUP(M2628,BespokeWindowsAreas!$B$2:$E$1999,4,FALSE),VLOOKUP(E2628,WindowTypeArea!$B$2:$C$113,2,FALSE))</f>
        <v>#N/A</v>
      </c>
      <c r="M2628">
        <f t="shared" ca="1" si="508"/>
        <v>0</v>
      </c>
    </row>
    <row r="2629" spans="1:13" x14ac:dyDescent="0.25">
      <c r="A2629">
        <f t="shared" ca="1" si="506"/>
        <v>14</v>
      </c>
      <c r="B2629">
        <f t="shared" ca="1" si="507"/>
        <v>12</v>
      </c>
      <c r="C2629" t="str">
        <f t="shared" ca="1" si="497"/>
        <v>'WINDOWS-NCH-A-OCMA-M3-02-0'!B11</v>
      </c>
      <c r="D2629" s="6" t="str">
        <f t="shared" ca="1" si="498"/>
        <v>L02-THE-CRU-U0605-01</v>
      </c>
      <c r="E2629" t="str">
        <f t="shared" ca="1" si="499"/>
        <v>Family Type: 1500w x 3050h, Family: Window Internal Type 1 - Flush</v>
      </c>
      <c r="F2629" t="str">
        <f t="shared" ca="1" si="500"/>
        <v>Vector(X = 0.212, Y = -0.977, Z = 0.000, Length = 1.000)</v>
      </c>
      <c r="G2629">
        <f t="shared" ca="1" si="501"/>
        <v>0.2</v>
      </c>
      <c r="H2629">
        <f t="shared" ca="1" si="502"/>
        <v>-1</v>
      </c>
      <c r="I2629">
        <f t="shared" ca="1" si="503"/>
        <v>0</v>
      </c>
      <c r="J2629" s="8">
        <f t="shared" ca="1" si="504"/>
        <v>-78.690067525979785</v>
      </c>
      <c r="K2629" s="9" t="str">
        <f t="shared" ca="1" si="505"/>
        <v>S</v>
      </c>
      <c r="L2629">
        <f ca="1">+_xlfn.IFNA(VLOOKUP(M2629,BespokeWindowsAreas!$B$2:$E$1999,4,FALSE),VLOOKUP(E2629,WindowTypeArea!$B$2:$C$113,2,FALSE))</f>
        <v>4.5749999999999993</v>
      </c>
      <c r="M2629">
        <f t="shared" ca="1" si="508"/>
        <v>6320458</v>
      </c>
    </row>
    <row r="2630" spans="1:13" x14ac:dyDescent="0.25">
      <c r="A2630">
        <f t="shared" ca="1" si="506"/>
        <v>14</v>
      </c>
      <c r="B2630">
        <f t="shared" ca="1" si="507"/>
        <v>13</v>
      </c>
      <c r="C2630" t="str">
        <f t="shared" ca="1" si="497"/>
        <v>'WINDOWS-NCH-A-OCMA-M3-02-0'!B12</v>
      </c>
      <c r="D2630" s="6" t="str">
        <f t="shared" ca="1" si="498"/>
        <v>L02-THE-CRU-U0602-07</v>
      </c>
      <c r="E2630" t="str">
        <f t="shared" ca="1" si="499"/>
        <v>L02-THE-CRU-U0602-07</v>
      </c>
      <c r="F2630">
        <f t="shared" ca="1" si="500"/>
        <v>1809712</v>
      </c>
      <c r="G2630">
        <f t="shared" ca="1" si="501"/>
        <v>0</v>
      </c>
      <c r="H2630">
        <f t="shared" ca="1" si="502"/>
        <v>0</v>
      </c>
      <c r="I2630">
        <f t="shared" ca="1" si="503"/>
        <v>0</v>
      </c>
      <c r="J2630" s="8" t="e">
        <f t="shared" ca="1" si="504"/>
        <v>#DIV/0!</v>
      </c>
      <c r="K2630" s="9" t="e">
        <f t="shared" ca="1" si="505"/>
        <v>#DIV/0!</v>
      </c>
      <c r="L2630" t="e">
        <f ca="1">+_xlfn.IFNA(VLOOKUP(M2630,BespokeWindowsAreas!$B$2:$E$1999,4,FALSE),VLOOKUP(E2630,WindowTypeArea!$B$2:$C$113,2,FALSE))</f>
        <v>#N/A</v>
      </c>
      <c r="M2630">
        <f t="shared" ca="1" si="508"/>
        <v>0</v>
      </c>
    </row>
    <row r="2631" spans="1:13" x14ac:dyDescent="0.25">
      <c r="A2631">
        <f t="shared" ca="1" si="506"/>
        <v>14</v>
      </c>
      <c r="B2631">
        <f t="shared" ca="1" si="507"/>
        <v>14</v>
      </c>
      <c r="C2631" t="str">
        <f t="shared" ca="1" si="497"/>
        <v>'WINDOWS-NCH-A-OCMA-M3-02-0'!B13</v>
      </c>
      <c r="D2631" s="6" t="str">
        <f t="shared" ca="1" si="498"/>
        <v>L02-THE-CRU-U0602-07</v>
      </c>
      <c r="E2631" t="str">
        <f t="shared" ca="1" si="499"/>
        <v>Family Type: 1500w x 3050h, Family: Window Internal Type 1 - Flush</v>
      </c>
      <c r="F2631" t="str">
        <f t="shared" ca="1" si="500"/>
        <v>Vector(X = -0.977, Y = -0.212, Z = 0.000, Length = 1.000)</v>
      </c>
      <c r="G2631">
        <f t="shared" ca="1" si="501"/>
        <v>-1</v>
      </c>
      <c r="H2631">
        <f t="shared" ca="1" si="502"/>
        <v>-0.2</v>
      </c>
      <c r="I2631">
        <f t="shared" ca="1" si="503"/>
        <v>0</v>
      </c>
      <c r="J2631" s="8">
        <f t="shared" ca="1" si="504"/>
        <v>-168.69006752597977</v>
      </c>
      <c r="K2631" s="9" t="str">
        <f t="shared" ca="1" si="505"/>
        <v>W</v>
      </c>
      <c r="L2631">
        <f ca="1">+_xlfn.IFNA(VLOOKUP(M2631,BespokeWindowsAreas!$B$2:$E$1999,4,FALSE),VLOOKUP(E2631,WindowTypeArea!$B$2:$C$113,2,FALSE))</f>
        <v>4.5749999999999993</v>
      </c>
      <c r="M2631">
        <f t="shared" ca="1" si="508"/>
        <v>6318322</v>
      </c>
    </row>
    <row r="2632" spans="1:13" x14ac:dyDescent="0.25">
      <c r="A2632">
        <f t="shared" ca="1" si="506"/>
        <v>14</v>
      </c>
      <c r="B2632">
        <f t="shared" ca="1" si="507"/>
        <v>15</v>
      </c>
      <c r="C2632" t="str">
        <f t="shared" ca="1" si="497"/>
        <v>'WINDOWS-NCH-A-OCMA-M3-02-0'!B14</v>
      </c>
      <c r="D2632" s="6" t="str">
        <f t="shared" ca="1" si="498"/>
        <v>L02-THE-CRU-U0602-09</v>
      </c>
      <c r="E2632" t="str">
        <f t="shared" ca="1" si="499"/>
        <v>L02-THE-CRU-U0602-09</v>
      </c>
      <c r="F2632">
        <f t="shared" ca="1" si="500"/>
        <v>1809714</v>
      </c>
      <c r="G2632">
        <f t="shared" ca="1" si="501"/>
        <v>0</v>
      </c>
      <c r="H2632">
        <f t="shared" ca="1" si="502"/>
        <v>0</v>
      </c>
      <c r="I2632">
        <f t="shared" ca="1" si="503"/>
        <v>0</v>
      </c>
      <c r="J2632" s="8" t="e">
        <f t="shared" ca="1" si="504"/>
        <v>#DIV/0!</v>
      </c>
      <c r="K2632" s="9" t="e">
        <f t="shared" ca="1" si="505"/>
        <v>#DIV/0!</v>
      </c>
      <c r="L2632" t="e">
        <f ca="1">+_xlfn.IFNA(VLOOKUP(M2632,BespokeWindowsAreas!$B$2:$E$1999,4,FALSE),VLOOKUP(E2632,WindowTypeArea!$B$2:$C$113,2,FALSE))</f>
        <v>#N/A</v>
      </c>
      <c r="M2632">
        <f t="shared" ca="1" si="508"/>
        <v>0</v>
      </c>
    </row>
    <row r="2633" spans="1:13" x14ac:dyDescent="0.25">
      <c r="A2633">
        <f t="shared" ca="1" si="506"/>
        <v>14</v>
      </c>
      <c r="B2633">
        <f t="shared" ca="1" si="507"/>
        <v>16</v>
      </c>
      <c r="C2633" t="str">
        <f t="shared" ref="C2633:C2696" ca="1" si="509">+"'"&amp;INDIRECT("a"&amp;A2632)&amp;"'!B"&amp;B2632</f>
        <v>'WINDOWS-NCH-A-OCMA-M3-02-0'!B15</v>
      </c>
      <c r="D2633" s="6" t="str">
        <f t="shared" ref="D2633:D2696" ca="1" si="510">+IF(IFERROR(FIND("Family",E2633)&gt;0,FALSE),D2632,E2633)</f>
        <v>L02-THE-CRU-U0602-09</v>
      </c>
      <c r="E2633" t="str">
        <f t="shared" ref="E2633:E2696" ca="1" si="511">+OFFSET(INDIRECT(C2633),0,0)</f>
        <v>Family Type: 975w x 3050h, Family: Window Internal Type 1 - Flush</v>
      </c>
      <c r="F2633" t="str">
        <f t="shared" ref="F2633:F2696" ca="1" si="512">+OFFSET(INDIRECT(C2633),0,1)</f>
        <v>Vector(X = -0.977, Y = -0.212, Z = 0.000, Length = 1.000)</v>
      </c>
      <c r="G2633">
        <f t="shared" ref="G2633:G2696" ca="1" si="513">+OFFSET(INDIRECT(C2633),0,2)</f>
        <v>-1</v>
      </c>
      <c r="H2633">
        <f t="shared" ref="H2633:H2696" ca="1" si="514">+OFFSET(INDIRECT(C2633),0,3)</f>
        <v>-0.2</v>
      </c>
      <c r="I2633">
        <f t="shared" ref="I2633:I2696" ca="1" si="515">+OFFSET(INDIRECT(C2633),0,4)</f>
        <v>0</v>
      </c>
      <c r="J2633" s="8">
        <f t="shared" ref="J2633:J2696" ca="1" si="516">+DEGREES(ATAN2(G2633,H2633))</f>
        <v>-168.69006752597977</v>
      </c>
      <c r="K2633" s="9" t="str">
        <f t="shared" ref="K2633:K2696" ca="1" si="517">VLOOKUP(J2633,$O$20:$P$36,2,-1)</f>
        <v>W</v>
      </c>
      <c r="L2633">
        <f ca="1">+_xlfn.IFNA(VLOOKUP(M2633,BespokeWindowsAreas!$B$2:$E$1999,4,FALSE),VLOOKUP(E2633,WindowTypeArea!$B$2:$C$113,2,FALSE))</f>
        <v>2.9737499999999999</v>
      </c>
      <c r="M2633">
        <f t="shared" ca="1" si="508"/>
        <v>6317754</v>
      </c>
    </row>
    <row r="2634" spans="1:13" x14ac:dyDescent="0.25">
      <c r="A2634">
        <f t="shared" ca="1" si="506"/>
        <v>14</v>
      </c>
      <c r="B2634">
        <f t="shared" ca="1" si="507"/>
        <v>17</v>
      </c>
      <c r="C2634" t="str">
        <f t="shared" ca="1" si="509"/>
        <v>'WINDOWS-NCH-A-OCMA-M3-02-0'!B16</v>
      </c>
      <c r="D2634" s="6" t="str">
        <f t="shared" ca="1" si="510"/>
        <v>L02-THE-CRU-U0602-10</v>
      </c>
      <c r="E2634" t="str">
        <f t="shared" ca="1" si="511"/>
        <v>L02-THE-CRU-U0602-10</v>
      </c>
      <c r="F2634">
        <f t="shared" ca="1" si="512"/>
        <v>1809715</v>
      </c>
      <c r="G2634">
        <f t="shared" ca="1" si="513"/>
        <v>0</v>
      </c>
      <c r="H2634">
        <f t="shared" ca="1" si="514"/>
        <v>0</v>
      </c>
      <c r="I2634">
        <f t="shared" ca="1" si="515"/>
        <v>0</v>
      </c>
      <c r="J2634" s="8" t="e">
        <f t="shared" ca="1" si="516"/>
        <v>#DIV/0!</v>
      </c>
      <c r="K2634" s="9" t="e">
        <f t="shared" ca="1" si="517"/>
        <v>#DIV/0!</v>
      </c>
      <c r="L2634" t="e">
        <f ca="1">+_xlfn.IFNA(VLOOKUP(M2634,BespokeWindowsAreas!$B$2:$E$1999,4,FALSE),VLOOKUP(E2634,WindowTypeArea!$B$2:$C$113,2,FALSE))</f>
        <v>#N/A</v>
      </c>
      <c r="M2634">
        <f t="shared" ca="1" si="508"/>
        <v>0</v>
      </c>
    </row>
    <row r="2635" spans="1:13" x14ac:dyDescent="0.25">
      <c r="A2635">
        <f t="shared" ca="1" si="506"/>
        <v>14</v>
      </c>
      <c r="B2635">
        <f t="shared" ca="1" si="507"/>
        <v>18</v>
      </c>
      <c r="C2635" t="str">
        <f t="shared" ca="1" si="509"/>
        <v>'WINDOWS-NCH-A-OCMA-M3-02-0'!B17</v>
      </c>
      <c r="D2635" s="6" t="str">
        <f t="shared" ca="1" si="510"/>
        <v>L02-THE-CRU-U0602-10</v>
      </c>
      <c r="E2635" t="str">
        <f t="shared" ca="1" si="511"/>
        <v>Family Type: 975w x 3050h, Family: Window Internal Type 1 - Flush</v>
      </c>
      <c r="F2635" t="str">
        <f t="shared" ca="1" si="512"/>
        <v>Vector(X = -0.977, Y = -0.212, Z = 0.000, Length = 1.000)</v>
      </c>
      <c r="G2635">
        <f t="shared" ca="1" si="513"/>
        <v>-1</v>
      </c>
      <c r="H2635">
        <f t="shared" ca="1" si="514"/>
        <v>-0.2</v>
      </c>
      <c r="I2635">
        <f t="shared" ca="1" si="515"/>
        <v>0</v>
      </c>
      <c r="J2635" s="8">
        <f t="shared" ca="1" si="516"/>
        <v>-168.69006752597977</v>
      </c>
      <c r="K2635" s="9" t="str">
        <f t="shared" ca="1" si="517"/>
        <v>W</v>
      </c>
      <c r="L2635">
        <f ca="1">+_xlfn.IFNA(VLOOKUP(M2635,BespokeWindowsAreas!$B$2:$E$1999,4,FALSE),VLOOKUP(E2635,WindowTypeArea!$B$2:$C$113,2,FALSE))</f>
        <v>2.9737499999999999</v>
      </c>
      <c r="M2635">
        <f t="shared" ca="1" si="508"/>
        <v>6317550</v>
      </c>
    </row>
    <row r="2636" spans="1:13" x14ac:dyDescent="0.25">
      <c r="A2636">
        <f t="shared" ca="1" si="506"/>
        <v>14</v>
      </c>
      <c r="B2636">
        <f t="shared" ca="1" si="507"/>
        <v>19</v>
      </c>
      <c r="C2636" t="str">
        <f t="shared" ca="1" si="509"/>
        <v>'WINDOWS-NCH-A-OCMA-M3-02-0'!B18</v>
      </c>
      <c r="D2636" s="6" t="str">
        <f t="shared" ca="1" si="510"/>
        <v>L02-THE-CRU-U0602-11</v>
      </c>
      <c r="E2636" t="str">
        <f t="shared" ca="1" si="511"/>
        <v>L02-THE-CRU-U0602-11</v>
      </c>
      <c r="F2636">
        <f t="shared" ca="1" si="512"/>
        <v>1809716</v>
      </c>
      <c r="G2636">
        <f t="shared" ca="1" si="513"/>
        <v>0</v>
      </c>
      <c r="H2636">
        <f t="shared" ca="1" si="514"/>
        <v>0</v>
      </c>
      <c r="I2636">
        <f t="shared" ca="1" si="515"/>
        <v>0</v>
      </c>
      <c r="J2636" s="8" t="e">
        <f t="shared" ca="1" si="516"/>
        <v>#DIV/0!</v>
      </c>
      <c r="K2636" s="9" t="e">
        <f t="shared" ca="1" si="517"/>
        <v>#DIV/0!</v>
      </c>
      <c r="L2636" t="e">
        <f ca="1">+_xlfn.IFNA(VLOOKUP(M2636,BespokeWindowsAreas!$B$2:$E$1999,4,FALSE),VLOOKUP(E2636,WindowTypeArea!$B$2:$C$113,2,FALSE))</f>
        <v>#N/A</v>
      </c>
      <c r="M2636">
        <f t="shared" ca="1" si="508"/>
        <v>0</v>
      </c>
    </row>
    <row r="2637" spans="1:13" x14ac:dyDescent="0.25">
      <c r="A2637">
        <f t="shared" ca="1" si="506"/>
        <v>14</v>
      </c>
      <c r="B2637">
        <f t="shared" ca="1" si="507"/>
        <v>20</v>
      </c>
      <c r="C2637" t="str">
        <f t="shared" ca="1" si="509"/>
        <v>'WINDOWS-NCH-A-OCMA-M3-02-0'!B19</v>
      </c>
      <c r="D2637" s="6" t="str">
        <f t="shared" ca="1" si="510"/>
        <v>L02-THE-CRU-U0602-11</v>
      </c>
      <c r="E2637" t="str">
        <f t="shared" ca="1" si="511"/>
        <v>Family Type: 1500w x 3050h, Family: Window Internal Type 1 - Flush</v>
      </c>
      <c r="F2637" t="str">
        <f t="shared" ca="1" si="512"/>
        <v>Vector(X = -0.977, Y = -0.212, Z = 0.000, Length = 1.000)</v>
      </c>
      <c r="G2637">
        <f t="shared" ca="1" si="513"/>
        <v>-1</v>
      </c>
      <c r="H2637">
        <f t="shared" ca="1" si="514"/>
        <v>-0.2</v>
      </c>
      <c r="I2637">
        <f t="shared" ca="1" si="515"/>
        <v>0</v>
      </c>
      <c r="J2637" s="8">
        <f t="shared" ca="1" si="516"/>
        <v>-168.69006752597977</v>
      </c>
      <c r="K2637" s="9" t="str">
        <f t="shared" ca="1" si="517"/>
        <v>W</v>
      </c>
      <c r="L2637">
        <f ca="1">+_xlfn.IFNA(VLOOKUP(M2637,BespokeWindowsAreas!$B$2:$E$1999,4,FALSE),VLOOKUP(E2637,WindowTypeArea!$B$2:$C$113,2,FALSE))</f>
        <v>4.5749999999999993</v>
      </c>
      <c r="M2637">
        <f t="shared" ca="1" si="508"/>
        <v>6317397</v>
      </c>
    </row>
    <row r="2638" spans="1:13" x14ac:dyDescent="0.25">
      <c r="A2638">
        <f t="shared" ca="1" si="506"/>
        <v>14</v>
      </c>
      <c r="B2638">
        <f t="shared" ca="1" si="507"/>
        <v>21</v>
      </c>
      <c r="C2638" t="str">
        <f t="shared" ca="1" si="509"/>
        <v>'WINDOWS-NCH-A-OCMA-M3-02-0'!B20</v>
      </c>
      <c r="D2638" s="6" t="str">
        <f t="shared" ca="1" si="510"/>
        <v>L02-THE-CRU-U0602-13</v>
      </c>
      <c r="E2638" t="str">
        <f t="shared" ca="1" si="511"/>
        <v>L02-THE-CRU-U0602-13</v>
      </c>
      <c r="F2638">
        <f t="shared" ca="1" si="512"/>
        <v>1809718</v>
      </c>
      <c r="G2638">
        <f t="shared" ca="1" si="513"/>
        <v>0</v>
      </c>
      <c r="H2638">
        <f t="shared" ca="1" si="514"/>
        <v>0</v>
      </c>
      <c r="I2638">
        <f t="shared" ca="1" si="515"/>
        <v>0</v>
      </c>
      <c r="J2638" s="8" t="e">
        <f t="shared" ca="1" si="516"/>
        <v>#DIV/0!</v>
      </c>
      <c r="K2638" s="9" t="e">
        <f t="shared" ca="1" si="517"/>
        <v>#DIV/0!</v>
      </c>
      <c r="L2638" t="e">
        <f ca="1">+_xlfn.IFNA(VLOOKUP(M2638,BespokeWindowsAreas!$B$2:$E$1999,4,FALSE),VLOOKUP(E2638,WindowTypeArea!$B$2:$C$113,2,FALSE))</f>
        <v>#N/A</v>
      </c>
      <c r="M2638">
        <f t="shared" ca="1" si="508"/>
        <v>0</v>
      </c>
    </row>
    <row r="2639" spans="1:13" x14ac:dyDescent="0.25">
      <c r="A2639">
        <f t="shared" ca="1" si="506"/>
        <v>14</v>
      </c>
      <c r="B2639">
        <f t="shared" ca="1" si="507"/>
        <v>22</v>
      </c>
      <c r="C2639" t="str">
        <f t="shared" ca="1" si="509"/>
        <v>'WINDOWS-NCH-A-OCMA-M3-02-0'!B21</v>
      </c>
      <c r="D2639" s="6" t="str">
        <f t="shared" ca="1" si="510"/>
        <v>L02-THE-CRU-U0602-13</v>
      </c>
      <c r="E2639" t="str">
        <f t="shared" ca="1" si="511"/>
        <v>Family Type: 1500w x 3050h, Family: Window Internal Type 1 - Flush</v>
      </c>
      <c r="F2639" t="str">
        <f t="shared" ca="1" si="512"/>
        <v>Vector(X = -0.977, Y = -0.212, Z = 0.000, Length = 1.000)</v>
      </c>
      <c r="G2639">
        <f t="shared" ca="1" si="513"/>
        <v>-1</v>
      </c>
      <c r="H2639">
        <f t="shared" ca="1" si="514"/>
        <v>-0.2</v>
      </c>
      <c r="I2639">
        <f t="shared" ca="1" si="515"/>
        <v>0</v>
      </c>
      <c r="J2639" s="8">
        <f t="shared" ca="1" si="516"/>
        <v>-168.69006752597977</v>
      </c>
      <c r="K2639" s="9" t="str">
        <f t="shared" ca="1" si="517"/>
        <v>W</v>
      </c>
      <c r="L2639">
        <f ca="1">+_xlfn.IFNA(VLOOKUP(M2639,BespokeWindowsAreas!$B$2:$E$1999,4,FALSE),VLOOKUP(E2639,WindowTypeArea!$B$2:$C$113,2,FALSE))</f>
        <v>4.5749999999999993</v>
      </c>
      <c r="M2639">
        <f t="shared" ca="1" si="508"/>
        <v>6317059</v>
      </c>
    </row>
    <row r="2640" spans="1:13" x14ac:dyDescent="0.25">
      <c r="A2640">
        <f t="shared" ca="1" si="506"/>
        <v>14</v>
      </c>
      <c r="B2640">
        <f t="shared" ca="1" si="507"/>
        <v>23</v>
      </c>
      <c r="C2640" t="str">
        <f t="shared" ca="1" si="509"/>
        <v>'WINDOWS-NCH-A-OCMA-M3-02-0'!B22</v>
      </c>
      <c r="D2640" s="6" t="str">
        <f t="shared" ca="1" si="510"/>
        <v>L02-THE-CRU-U0602-14</v>
      </c>
      <c r="E2640" t="str">
        <f t="shared" ca="1" si="511"/>
        <v>L02-THE-CRU-U0602-14</v>
      </c>
      <c r="F2640">
        <f t="shared" ca="1" si="512"/>
        <v>1809719</v>
      </c>
      <c r="G2640">
        <f t="shared" ca="1" si="513"/>
        <v>0</v>
      </c>
      <c r="H2640">
        <f t="shared" ca="1" si="514"/>
        <v>0</v>
      </c>
      <c r="I2640">
        <f t="shared" ca="1" si="515"/>
        <v>0</v>
      </c>
      <c r="J2640" s="8" t="e">
        <f t="shared" ca="1" si="516"/>
        <v>#DIV/0!</v>
      </c>
      <c r="K2640" s="9" t="e">
        <f t="shared" ca="1" si="517"/>
        <v>#DIV/0!</v>
      </c>
      <c r="L2640" t="e">
        <f ca="1">+_xlfn.IFNA(VLOOKUP(M2640,BespokeWindowsAreas!$B$2:$E$1999,4,FALSE),VLOOKUP(E2640,WindowTypeArea!$B$2:$C$113,2,FALSE))</f>
        <v>#N/A</v>
      </c>
      <c r="M2640">
        <f t="shared" ca="1" si="508"/>
        <v>0</v>
      </c>
    </row>
    <row r="2641" spans="1:13" x14ac:dyDescent="0.25">
      <c r="A2641">
        <f t="shared" ca="1" si="506"/>
        <v>14</v>
      </c>
      <c r="B2641">
        <f t="shared" ca="1" si="507"/>
        <v>24</v>
      </c>
      <c r="C2641" t="str">
        <f t="shared" ca="1" si="509"/>
        <v>'WINDOWS-NCH-A-OCMA-M3-02-0'!B23</v>
      </c>
      <c r="D2641" s="6" t="str">
        <f t="shared" ca="1" si="510"/>
        <v>L02-THE-CRU-U0602-14</v>
      </c>
      <c r="E2641" t="str">
        <f t="shared" ca="1" si="511"/>
        <v>Family Type: 975w x 3050h, Family: Window Internal Type 1 - Flush</v>
      </c>
      <c r="F2641" t="str">
        <f t="shared" ca="1" si="512"/>
        <v>Vector(X = -0.977, Y = -0.212, Z = 0.000, Length = 1.000)</v>
      </c>
      <c r="G2641">
        <f t="shared" ca="1" si="513"/>
        <v>-1</v>
      </c>
      <c r="H2641">
        <f t="shared" ca="1" si="514"/>
        <v>-0.2</v>
      </c>
      <c r="I2641">
        <f t="shared" ca="1" si="515"/>
        <v>0</v>
      </c>
      <c r="J2641" s="8">
        <f t="shared" ca="1" si="516"/>
        <v>-168.69006752597977</v>
      </c>
      <c r="K2641" s="9" t="str">
        <f t="shared" ca="1" si="517"/>
        <v>W</v>
      </c>
      <c r="L2641">
        <f ca="1">+_xlfn.IFNA(VLOOKUP(M2641,BespokeWindowsAreas!$B$2:$E$1999,4,FALSE),VLOOKUP(E2641,WindowTypeArea!$B$2:$C$113,2,FALSE))</f>
        <v>2.9737499999999999</v>
      </c>
      <c r="M2641">
        <f t="shared" ca="1" si="508"/>
        <v>6316949</v>
      </c>
    </row>
    <row r="2642" spans="1:13" x14ac:dyDescent="0.25">
      <c r="A2642">
        <f t="shared" ca="1" si="506"/>
        <v>14</v>
      </c>
      <c r="B2642">
        <f t="shared" ca="1" si="507"/>
        <v>25</v>
      </c>
      <c r="C2642" t="str">
        <f t="shared" ca="1" si="509"/>
        <v>'WINDOWS-NCH-A-OCMA-M3-02-0'!B24</v>
      </c>
      <c r="D2642" s="6" t="str">
        <f t="shared" ca="1" si="510"/>
        <v>L02-THE-CRU-U0602-17</v>
      </c>
      <c r="E2642" t="str">
        <f t="shared" ca="1" si="511"/>
        <v>L02-THE-CRU-U0602-17</v>
      </c>
      <c r="F2642">
        <f t="shared" ca="1" si="512"/>
        <v>1809721</v>
      </c>
      <c r="G2642">
        <f t="shared" ca="1" si="513"/>
        <v>0</v>
      </c>
      <c r="H2642">
        <f t="shared" ca="1" si="514"/>
        <v>0</v>
      </c>
      <c r="I2642">
        <f t="shared" ca="1" si="515"/>
        <v>0</v>
      </c>
      <c r="J2642" s="8" t="e">
        <f t="shared" ca="1" si="516"/>
        <v>#DIV/0!</v>
      </c>
      <c r="K2642" s="9" t="e">
        <f t="shared" ca="1" si="517"/>
        <v>#DIV/0!</v>
      </c>
      <c r="L2642" t="e">
        <f ca="1">+_xlfn.IFNA(VLOOKUP(M2642,BespokeWindowsAreas!$B$2:$E$1999,4,FALSE),VLOOKUP(E2642,WindowTypeArea!$B$2:$C$113,2,FALSE))</f>
        <v>#N/A</v>
      </c>
      <c r="M2642">
        <f t="shared" ca="1" si="508"/>
        <v>0</v>
      </c>
    </row>
    <row r="2643" spans="1:13" x14ac:dyDescent="0.25">
      <c r="A2643">
        <f t="shared" ca="1" si="506"/>
        <v>14</v>
      </c>
      <c r="B2643">
        <f t="shared" ca="1" si="507"/>
        <v>26</v>
      </c>
      <c r="C2643" t="str">
        <f t="shared" ca="1" si="509"/>
        <v>'WINDOWS-NCH-A-OCMA-M3-02-0'!B25</v>
      </c>
      <c r="D2643" s="6" t="str">
        <f t="shared" ca="1" si="510"/>
        <v>L02-THE-CRU-U0602-17</v>
      </c>
      <c r="E2643" t="str">
        <f t="shared" ca="1" si="511"/>
        <v>Family Type: 975w x 3050h, Family: Window Internal Type 1 - Flush</v>
      </c>
      <c r="F2643" t="str">
        <f t="shared" ca="1" si="512"/>
        <v>Vector(X = 0.212, Y = -0.977, Z = 0.000, Length = 1.000)</v>
      </c>
      <c r="G2643">
        <f t="shared" ca="1" si="513"/>
        <v>0.2</v>
      </c>
      <c r="H2643">
        <f t="shared" ca="1" si="514"/>
        <v>-1</v>
      </c>
      <c r="I2643">
        <f t="shared" ca="1" si="515"/>
        <v>0</v>
      </c>
      <c r="J2643" s="8">
        <f t="shared" ca="1" si="516"/>
        <v>-78.690067525979785</v>
      </c>
      <c r="K2643" s="9" t="str">
        <f t="shared" ca="1" si="517"/>
        <v>S</v>
      </c>
      <c r="L2643">
        <f ca="1">+_xlfn.IFNA(VLOOKUP(M2643,BespokeWindowsAreas!$B$2:$E$1999,4,FALSE),VLOOKUP(E2643,WindowTypeArea!$B$2:$C$113,2,FALSE))</f>
        <v>2.9737499999999999</v>
      </c>
      <c r="M2643">
        <f t="shared" ca="1" si="508"/>
        <v>6320724</v>
      </c>
    </row>
    <row r="2644" spans="1:13" x14ac:dyDescent="0.25">
      <c r="A2644">
        <f t="shared" ref="A2644:A2707" ca="1" si="518">+IF(B2643&lt;=VLOOKUP(MID(C2644,2,26),TABS,2,FALSE),A2643,+A2643+1)</f>
        <v>14</v>
      </c>
      <c r="B2644">
        <f t="shared" ref="B2644:B2707" ca="1" si="519">+IF(B2643&lt;=VLOOKUP(MID(C2644,2,26),TABS,2,FALSE),B2643+1,1)</f>
        <v>27</v>
      </c>
      <c r="C2644" t="str">
        <f t="shared" ca="1" si="509"/>
        <v>'WINDOWS-NCH-A-OCMA-M3-02-0'!B26</v>
      </c>
      <c r="D2644" s="6" t="str">
        <f t="shared" ca="1" si="510"/>
        <v>L02-THE-DOT-S057-01</v>
      </c>
      <c r="E2644" t="str">
        <f t="shared" ca="1" si="511"/>
        <v>L02-THE-DOT-S057-01</v>
      </c>
      <c r="F2644">
        <f t="shared" ca="1" si="512"/>
        <v>1809742</v>
      </c>
      <c r="G2644">
        <f t="shared" ca="1" si="513"/>
        <v>0</v>
      </c>
      <c r="H2644">
        <f t="shared" ca="1" si="514"/>
        <v>0</v>
      </c>
      <c r="I2644">
        <f t="shared" ca="1" si="515"/>
        <v>0</v>
      </c>
      <c r="J2644" s="8" t="e">
        <f t="shared" ca="1" si="516"/>
        <v>#DIV/0!</v>
      </c>
      <c r="K2644" s="9" t="e">
        <f t="shared" ca="1" si="517"/>
        <v>#DIV/0!</v>
      </c>
      <c r="L2644" t="e">
        <f ca="1">+_xlfn.IFNA(VLOOKUP(M2644,BespokeWindowsAreas!$B$2:$E$1999,4,FALSE),VLOOKUP(E2644,WindowTypeArea!$B$2:$C$113,2,FALSE))</f>
        <v>#N/A</v>
      </c>
      <c r="M2644">
        <f t="shared" ca="1" si="508"/>
        <v>0</v>
      </c>
    </row>
    <row r="2645" spans="1:13" x14ac:dyDescent="0.25">
      <c r="A2645">
        <f t="shared" ca="1" si="518"/>
        <v>14</v>
      </c>
      <c r="B2645">
        <f t="shared" ca="1" si="519"/>
        <v>28</v>
      </c>
      <c r="C2645" t="str">
        <f t="shared" ca="1" si="509"/>
        <v>'WINDOWS-NCH-A-OCMA-M3-02-0'!B27</v>
      </c>
      <c r="D2645" s="6" t="str">
        <f t="shared" ca="1" si="510"/>
        <v>L02-THE-DOT-S057-01</v>
      </c>
      <c r="E2645" t="str">
        <f t="shared" ca="1" si="511"/>
        <v>Family Type: 1950w x 3050h, Family: Window Internal Type 1 - Flush</v>
      </c>
      <c r="F2645" t="str">
        <f t="shared" ca="1" si="512"/>
        <v>Vector(X = 0.212, Y = -0.977, Z = 0.000, Length = 1.000)</v>
      </c>
      <c r="G2645">
        <f t="shared" ca="1" si="513"/>
        <v>0.2</v>
      </c>
      <c r="H2645">
        <f t="shared" ca="1" si="514"/>
        <v>-1</v>
      </c>
      <c r="I2645">
        <f t="shared" ca="1" si="515"/>
        <v>0</v>
      </c>
      <c r="J2645" s="8">
        <f t="shared" ca="1" si="516"/>
        <v>-78.690067525979785</v>
      </c>
      <c r="K2645" s="9" t="str">
        <f t="shared" ca="1" si="517"/>
        <v>S</v>
      </c>
      <c r="L2645">
        <f ca="1">+_xlfn.IFNA(VLOOKUP(M2645,BespokeWindowsAreas!$B$2:$E$1999,4,FALSE),VLOOKUP(E2645,WindowTypeArea!$B$2:$C$113,2,FALSE))</f>
        <v>5.9474999999999998</v>
      </c>
      <c r="M2645">
        <f t="shared" ca="1" si="508"/>
        <v>6322459</v>
      </c>
    </row>
    <row r="2646" spans="1:13" x14ac:dyDescent="0.25">
      <c r="A2646">
        <f t="shared" ca="1" si="518"/>
        <v>14</v>
      </c>
      <c r="B2646">
        <f t="shared" ca="1" si="519"/>
        <v>29</v>
      </c>
      <c r="C2646" t="str">
        <f t="shared" ca="1" si="509"/>
        <v>'WINDOWS-NCH-A-OCMA-M3-02-0'!B28</v>
      </c>
      <c r="D2646" s="6" t="str">
        <f t="shared" ca="1" si="510"/>
        <v>L02-THE-DOT-S023-01</v>
      </c>
      <c r="E2646" t="str">
        <f t="shared" ca="1" si="511"/>
        <v>L02-THE-DOT-S023-01</v>
      </c>
      <c r="F2646">
        <f t="shared" ca="1" si="512"/>
        <v>1809749</v>
      </c>
      <c r="G2646">
        <f t="shared" ca="1" si="513"/>
        <v>0</v>
      </c>
      <c r="H2646">
        <f t="shared" ca="1" si="514"/>
        <v>0</v>
      </c>
      <c r="I2646">
        <f t="shared" ca="1" si="515"/>
        <v>0</v>
      </c>
      <c r="J2646" s="8" t="e">
        <f t="shared" ca="1" si="516"/>
        <v>#DIV/0!</v>
      </c>
      <c r="K2646" s="9" t="e">
        <f t="shared" ca="1" si="517"/>
        <v>#DIV/0!</v>
      </c>
      <c r="L2646" t="e">
        <f ca="1">+_xlfn.IFNA(VLOOKUP(M2646,BespokeWindowsAreas!$B$2:$E$1999,4,FALSE),VLOOKUP(E2646,WindowTypeArea!$B$2:$C$113,2,FALSE))</f>
        <v>#N/A</v>
      </c>
      <c r="M2646">
        <f t="shared" ref="M2646:M2709" ca="1" si="520">+OFFSET(INDIRECT(C2646),0,5)</f>
        <v>0</v>
      </c>
    </row>
    <row r="2647" spans="1:13" x14ac:dyDescent="0.25">
      <c r="A2647">
        <f t="shared" ca="1" si="518"/>
        <v>14</v>
      </c>
      <c r="B2647">
        <f t="shared" ca="1" si="519"/>
        <v>30</v>
      </c>
      <c r="C2647" t="str">
        <f t="shared" ca="1" si="509"/>
        <v>'WINDOWS-NCH-A-OCMA-M3-02-0'!B29</v>
      </c>
      <c r="D2647" s="6" t="str">
        <f t="shared" ca="1" si="510"/>
        <v>L02-THE-DOT-S023-01</v>
      </c>
      <c r="E2647" t="str">
        <f t="shared" ca="1" si="511"/>
        <v>Family Type: 975w x 3050h, Family: Window Internal Type 1 - Flush</v>
      </c>
      <c r="F2647" t="str">
        <f t="shared" ca="1" si="512"/>
        <v>Vector(X = -0.977, Y = -0.212, Z = 0.000, Length = 1.000)</v>
      </c>
      <c r="G2647">
        <f t="shared" ca="1" si="513"/>
        <v>-1</v>
      </c>
      <c r="H2647">
        <f t="shared" ca="1" si="514"/>
        <v>-0.2</v>
      </c>
      <c r="I2647">
        <f t="shared" ca="1" si="515"/>
        <v>0</v>
      </c>
      <c r="J2647" s="8">
        <f t="shared" ca="1" si="516"/>
        <v>-168.69006752597977</v>
      </c>
      <c r="K2647" s="9" t="str">
        <f t="shared" ca="1" si="517"/>
        <v>W</v>
      </c>
      <c r="L2647">
        <f ca="1">+_xlfn.IFNA(VLOOKUP(M2647,BespokeWindowsAreas!$B$2:$E$1999,4,FALSE),VLOOKUP(E2647,WindowTypeArea!$B$2:$C$113,2,FALSE))</f>
        <v>2.9737499999999999</v>
      </c>
      <c r="M2647">
        <f t="shared" ca="1" si="520"/>
        <v>6318050</v>
      </c>
    </row>
    <row r="2648" spans="1:13" x14ac:dyDescent="0.25">
      <c r="A2648">
        <f t="shared" ca="1" si="518"/>
        <v>14</v>
      </c>
      <c r="B2648">
        <f t="shared" ca="1" si="519"/>
        <v>31</v>
      </c>
      <c r="C2648" t="str">
        <f t="shared" ca="1" si="509"/>
        <v>'WINDOWS-NCH-A-OCMA-M3-02-0'!B30</v>
      </c>
      <c r="D2648" s="6" t="str">
        <f t="shared" ca="1" si="510"/>
        <v>L02-THE-DOT-U0534-01</v>
      </c>
      <c r="E2648" t="str">
        <f t="shared" ca="1" si="511"/>
        <v>L02-THE-DOT-U0534-01</v>
      </c>
      <c r="F2648">
        <f t="shared" ca="1" si="512"/>
        <v>1809753</v>
      </c>
      <c r="G2648">
        <f t="shared" ca="1" si="513"/>
        <v>0</v>
      </c>
      <c r="H2648">
        <f t="shared" ca="1" si="514"/>
        <v>0</v>
      </c>
      <c r="I2648">
        <f t="shared" ca="1" si="515"/>
        <v>0</v>
      </c>
      <c r="J2648" s="8" t="e">
        <f t="shared" ca="1" si="516"/>
        <v>#DIV/0!</v>
      </c>
      <c r="K2648" s="9" t="e">
        <f t="shared" ca="1" si="517"/>
        <v>#DIV/0!</v>
      </c>
      <c r="L2648" t="e">
        <f ca="1">+_xlfn.IFNA(VLOOKUP(M2648,BespokeWindowsAreas!$B$2:$E$1999,4,FALSE),VLOOKUP(E2648,WindowTypeArea!$B$2:$C$113,2,FALSE))</f>
        <v>#N/A</v>
      </c>
      <c r="M2648">
        <f t="shared" ca="1" si="520"/>
        <v>0</v>
      </c>
    </row>
    <row r="2649" spans="1:13" x14ac:dyDescent="0.25">
      <c r="A2649">
        <f t="shared" ca="1" si="518"/>
        <v>14</v>
      </c>
      <c r="B2649">
        <f t="shared" ca="1" si="519"/>
        <v>32</v>
      </c>
      <c r="C2649" t="str">
        <f t="shared" ca="1" si="509"/>
        <v>'WINDOWS-NCH-A-OCMA-M3-02-0'!B31</v>
      </c>
      <c r="D2649" s="6" t="str">
        <f t="shared" ca="1" si="510"/>
        <v>L02-THE-DOT-U0534-01</v>
      </c>
      <c r="E2649" t="str">
        <f t="shared" ca="1" si="511"/>
        <v>Family Type: 1500w x 3050h, Family: Window External Type 1 - Recessed</v>
      </c>
      <c r="F2649" t="str">
        <f t="shared" ca="1" si="512"/>
        <v>Vector(X = 0.977, Y = 0.212, Z = 0.000, Length = 1.000)</v>
      </c>
      <c r="G2649">
        <f t="shared" ca="1" si="513"/>
        <v>1</v>
      </c>
      <c r="H2649">
        <f t="shared" ca="1" si="514"/>
        <v>0.2</v>
      </c>
      <c r="I2649">
        <f t="shared" ca="1" si="515"/>
        <v>0</v>
      </c>
      <c r="J2649" s="8">
        <f t="shared" ca="1" si="516"/>
        <v>11.309932474020215</v>
      </c>
      <c r="K2649" s="9" t="str">
        <f t="shared" ca="1" si="517"/>
        <v>E</v>
      </c>
      <c r="L2649">
        <f ca="1">+_xlfn.IFNA(VLOOKUP(M2649,BespokeWindowsAreas!$B$2:$E$1999,4,FALSE),VLOOKUP(E2649,WindowTypeArea!$B$2:$C$113,2,FALSE))</f>
        <v>4.5750000000000002</v>
      </c>
      <c r="M2649">
        <f t="shared" ca="1" si="520"/>
        <v>5503019</v>
      </c>
    </row>
    <row r="2650" spans="1:13" x14ac:dyDescent="0.25">
      <c r="A2650">
        <f t="shared" ca="1" si="518"/>
        <v>14</v>
      </c>
      <c r="B2650">
        <f t="shared" ca="1" si="519"/>
        <v>33</v>
      </c>
      <c r="C2650" t="str">
        <f t="shared" ca="1" si="509"/>
        <v>'WINDOWS-NCH-A-OCMA-M3-02-0'!B32</v>
      </c>
      <c r="D2650" s="6" t="str">
        <f t="shared" ca="1" si="510"/>
        <v>L02-THE-DOT-S004-01</v>
      </c>
      <c r="E2650" t="str">
        <f t="shared" ca="1" si="511"/>
        <v>L02-THE-DOT-S004-01</v>
      </c>
      <c r="F2650">
        <f t="shared" ca="1" si="512"/>
        <v>1809754</v>
      </c>
      <c r="G2650">
        <f t="shared" ca="1" si="513"/>
        <v>0</v>
      </c>
      <c r="H2650">
        <f t="shared" ca="1" si="514"/>
        <v>0</v>
      </c>
      <c r="I2650">
        <f t="shared" ca="1" si="515"/>
        <v>0</v>
      </c>
      <c r="J2650" s="8" t="e">
        <f t="shared" ca="1" si="516"/>
        <v>#DIV/0!</v>
      </c>
      <c r="K2650" s="9" t="e">
        <f t="shared" ca="1" si="517"/>
        <v>#DIV/0!</v>
      </c>
      <c r="L2650" t="e">
        <f ca="1">+_xlfn.IFNA(VLOOKUP(M2650,BespokeWindowsAreas!$B$2:$E$1999,4,FALSE),VLOOKUP(E2650,WindowTypeArea!$B$2:$C$113,2,FALSE))</f>
        <v>#N/A</v>
      </c>
      <c r="M2650">
        <f t="shared" ca="1" si="520"/>
        <v>0</v>
      </c>
    </row>
    <row r="2651" spans="1:13" x14ac:dyDescent="0.25">
      <c r="A2651">
        <f t="shared" ca="1" si="518"/>
        <v>14</v>
      </c>
      <c r="B2651">
        <f t="shared" ca="1" si="519"/>
        <v>34</v>
      </c>
      <c r="C2651" t="str">
        <f t="shared" ca="1" si="509"/>
        <v>'WINDOWS-NCH-A-OCMA-M3-02-0'!B33</v>
      </c>
      <c r="D2651" s="6" t="str">
        <f t="shared" ca="1" si="510"/>
        <v>L02-THE-DOT-S004-01</v>
      </c>
      <c r="E2651" t="str">
        <f t="shared" ca="1" si="511"/>
        <v>Family Type: 975w x 3050h, Family: Window External Type 1 - Recessed</v>
      </c>
      <c r="F2651" t="str">
        <f t="shared" ca="1" si="512"/>
        <v>Vector(X = 0.977, Y = 0.212, Z = 0.000, Length = 1.000)</v>
      </c>
      <c r="G2651">
        <f t="shared" ca="1" si="513"/>
        <v>1</v>
      </c>
      <c r="H2651">
        <f t="shared" ca="1" si="514"/>
        <v>0.2</v>
      </c>
      <c r="I2651">
        <f t="shared" ca="1" si="515"/>
        <v>0</v>
      </c>
      <c r="J2651" s="8">
        <f t="shared" ca="1" si="516"/>
        <v>11.309932474020215</v>
      </c>
      <c r="K2651" s="9" t="str">
        <f t="shared" ca="1" si="517"/>
        <v>E</v>
      </c>
      <c r="L2651">
        <f ca="1">+_xlfn.IFNA(VLOOKUP(M2651,BespokeWindowsAreas!$B$2:$E$1999,4,FALSE),VLOOKUP(E2651,WindowTypeArea!$B$2:$C$113,2,FALSE))</f>
        <v>2.9737499999999999</v>
      </c>
      <c r="M2651">
        <f t="shared" ca="1" si="520"/>
        <v>3416940</v>
      </c>
    </row>
    <row r="2652" spans="1:13" x14ac:dyDescent="0.25">
      <c r="A2652">
        <f t="shared" ca="1" si="518"/>
        <v>14</v>
      </c>
      <c r="B2652">
        <f t="shared" ca="1" si="519"/>
        <v>35</v>
      </c>
      <c r="C2652" t="str">
        <f t="shared" ca="1" si="509"/>
        <v>'WINDOWS-NCH-A-OCMA-M3-02-0'!B34</v>
      </c>
      <c r="D2652" s="6" t="str">
        <f t="shared" ca="1" si="510"/>
        <v>L02-THE-DOT-U0538-01</v>
      </c>
      <c r="E2652" t="str">
        <f t="shared" ca="1" si="511"/>
        <v>L02-THE-DOT-U0538-01</v>
      </c>
      <c r="F2652">
        <f t="shared" ca="1" si="512"/>
        <v>1809759</v>
      </c>
      <c r="G2652">
        <f t="shared" ca="1" si="513"/>
        <v>0</v>
      </c>
      <c r="H2652">
        <f t="shared" ca="1" si="514"/>
        <v>0</v>
      </c>
      <c r="I2652">
        <f t="shared" ca="1" si="515"/>
        <v>0</v>
      </c>
      <c r="J2652" s="8" t="e">
        <f t="shared" ca="1" si="516"/>
        <v>#DIV/0!</v>
      </c>
      <c r="K2652" s="9" t="e">
        <f t="shared" ca="1" si="517"/>
        <v>#DIV/0!</v>
      </c>
      <c r="L2652" t="e">
        <f ca="1">+_xlfn.IFNA(VLOOKUP(M2652,BespokeWindowsAreas!$B$2:$E$1999,4,FALSE),VLOOKUP(E2652,WindowTypeArea!$B$2:$C$113,2,FALSE))</f>
        <v>#N/A</v>
      </c>
      <c r="M2652">
        <f t="shared" ca="1" si="520"/>
        <v>0</v>
      </c>
    </row>
    <row r="2653" spans="1:13" x14ac:dyDescent="0.25">
      <c r="A2653">
        <f t="shared" ca="1" si="518"/>
        <v>14</v>
      </c>
      <c r="B2653">
        <f t="shared" ca="1" si="519"/>
        <v>36</v>
      </c>
      <c r="C2653" t="str">
        <f t="shared" ca="1" si="509"/>
        <v>'WINDOWS-NCH-A-OCMA-M3-02-0'!B35</v>
      </c>
      <c r="D2653" s="6" t="str">
        <f t="shared" ca="1" si="510"/>
        <v>L02-THE-DOT-U0538-01</v>
      </c>
      <c r="E2653" t="str">
        <f t="shared" ca="1" si="511"/>
        <v>Family Type: 975w x 3050h, Family: Window Internal Type 1 - Flush</v>
      </c>
      <c r="F2653" t="str">
        <f t="shared" ca="1" si="512"/>
        <v>Vector(X = -0.977, Y = -0.212, Z = 0.000, Length = 1.000)</v>
      </c>
      <c r="G2653">
        <f t="shared" ca="1" si="513"/>
        <v>-1</v>
      </c>
      <c r="H2653">
        <f t="shared" ca="1" si="514"/>
        <v>-0.2</v>
      </c>
      <c r="I2653">
        <f t="shared" ca="1" si="515"/>
        <v>0</v>
      </c>
      <c r="J2653" s="8">
        <f t="shared" ca="1" si="516"/>
        <v>-168.69006752597977</v>
      </c>
      <c r="K2653" s="9" t="str">
        <f t="shared" ca="1" si="517"/>
        <v>W</v>
      </c>
      <c r="L2653">
        <f ca="1">+_xlfn.IFNA(VLOOKUP(M2653,BespokeWindowsAreas!$B$2:$E$1999,4,FALSE),VLOOKUP(E2653,WindowTypeArea!$B$2:$C$113,2,FALSE))</f>
        <v>2.9737499999999999</v>
      </c>
      <c r="M2653">
        <f t="shared" ca="1" si="520"/>
        <v>6642758</v>
      </c>
    </row>
    <row r="2654" spans="1:13" x14ac:dyDescent="0.25">
      <c r="A2654">
        <f t="shared" ca="1" si="518"/>
        <v>14</v>
      </c>
      <c r="B2654">
        <f t="shared" ca="1" si="519"/>
        <v>37</v>
      </c>
      <c r="C2654" t="str">
        <f t="shared" ca="1" si="509"/>
        <v>'WINDOWS-NCH-A-OCMA-M3-02-0'!B36</v>
      </c>
      <c r="D2654" s="6" t="str">
        <f t="shared" ca="1" si="510"/>
        <v>L02-THE-DOT-U0538-01</v>
      </c>
      <c r="E2654" t="str">
        <f t="shared" ca="1" si="511"/>
        <v>Family Type: 1500w x 3050h, Family: Window Internal Type 1 - Flush</v>
      </c>
      <c r="F2654" t="str">
        <f t="shared" ca="1" si="512"/>
        <v>Vector(X = -0.977, Y = -0.212, Z = 0.000, Length = 1.000)</v>
      </c>
      <c r="G2654">
        <f t="shared" ca="1" si="513"/>
        <v>-1</v>
      </c>
      <c r="H2654">
        <f t="shared" ca="1" si="514"/>
        <v>-0.2</v>
      </c>
      <c r="I2654">
        <f t="shared" ca="1" si="515"/>
        <v>0</v>
      </c>
      <c r="J2654" s="8">
        <f t="shared" ca="1" si="516"/>
        <v>-168.69006752597977</v>
      </c>
      <c r="K2654" s="9" t="str">
        <f t="shared" ca="1" si="517"/>
        <v>W</v>
      </c>
      <c r="L2654">
        <f ca="1">+_xlfn.IFNA(VLOOKUP(M2654,BespokeWindowsAreas!$B$2:$E$1999,4,FALSE),VLOOKUP(E2654,WindowTypeArea!$B$2:$C$113,2,FALSE))</f>
        <v>4.5749999999999993</v>
      </c>
      <c r="M2654">
        <f t="shared" ca="1" si="520"/>
        <v>6642759</v>
      </c>
    </row>
    <row r="2655" spans="1:13" x14ac:dyDescent="0.25">
      <c r="A2655">
        <f t="shared" ca="1" si="518"/>
        <v>14</v>
      </c>
      <c r="B2655">
        <f t="shared" ca="1" si="519"/>
        <v>38</v>
      </c>
      <c r="C2655" t="str">
        <f t="shared" ca="1" si="509"/>
        <v>'WINDOWS-NCH-A-OCMA-M3-02-0'!B37</v>
      </c>
      <c r="D2655" s="6" t="str">
        <f t="shared" ca="1" si="510"/>
        <v>L02-THE-DOT-U0538-01</v>
      </c>
      <c r="E2655" t="str">
        <f t="shared" ca="1" si="511"/>
        <v>Family Type: 975w x 3050h, Family: Window Internal Type 1 - Flush</v>
      </c>
      <c r="F2655" t="str">
        <f t="shared" ca="1" si="512"/>
        <v>Vector(X = -0.977, Y = -0.212, Z = 0.000, Length = 1.000)</v>
      </c>
      <c r="G2655">
        <f t="shared" ca="1" si="513"/>
        <v>-1</v>
      </c>
      <c r="H2655">
        <f t="shared" ca="1" si="514"/>
        <v>-0.2</v>
      </c>
      <c r="I2655">
        <f t="shared" ca="1" si="515"/>
        <v>0</v>
      </c>
      <c r="J2655" s="8">
        <f t="shared" ca="1" si="516"/>
        <v>-168.69006752597977</v>
      </c>
      <c r="K2655" s="9" t="str">
        <f t="shared" ca="1" si="517"/>
        <v>W</v>
      </c>
      <c r="L2655">
        <f ca="1">+_xlfn.IFNA(VLOOKUP(M2655,BespokeWindowsAreas!$B$2:$E$1999,4,FALSE),VLOOKUP(E2655,WindowTypeArea!$B$2:$C$113,2,FALSE))</f>
        <v>2.9737499999999999</v>
      </c>
      <c r="M2655">
        <f t="shared" ca="1" si="520"/>
        <v>6642798</v>
      </c>
    </row>
    <row r="2656" spans="1:13" x14ac:dyDescent="0.25">
      <c r="A2656">
        <f t="shared" ca="1" si="518"/>
        <v>14</v>
      </c>
      <c r="B2656">
        <f t="shared" ca="1" si="519"/>
        <v>39</v>
      </c>
      <c r="C2656" t="str">
        <f t="shared" ca="1" si="509"/>
        <v>'WINDOWS-NCH-A-OCMA-M3-02-0'!B38</v>
      </c>
      <c r="D2656" s="6" t="str">
        <f t="shared" ca="1" si="510"/>
        <v>L02-THE-DOT-U0539-01</v>
      </c>
      <c r="E2656" t="str">
        <f t="shared" ca="1" si="511"/>
        <v>L02-THE-DOT-U0539-01</v>
      </c>
      <c r="F2656">
        <f t="shared" ca="1" si="512"/>
        <v>1809760</v>
      </c>
      <c r="G2656">
        <f t="shared" ca="1" si="513"/>
        <v>0</v>
      </c>
      <c r="H2656">
        <f t="shared" ca="1" si="514"/>
        <v>0</v>
      </c>
      <c r="I2656">
        <f t="shared" ca="1" si="515"/>
        <v>0</v>
      </c>
      <c r="J2656" s="8" t="e">
        <f t="shared" ca="1" si="516"/>
        <v>#DIV/0!</v>
      </c>
      <c r="K2656" s="9" t="e">
        <f t="shared" ca="1" si="517"/>
        <v>#DIV/0!</v>
      </c>
      <c r="L2656" t="e">
        <f ca="1">+_xlfn.IFNA(VLOOKUP(M2656,BespokeWindowsAreas!$B$2:$E$1999,4,FALSE),VLOOKUP(E2656,WindowTypeArea!$B$2:$C$113,2,FALSE))</f>
        <v>#N/A</v>
      </c>
      <c r="M2656">
        <f t="shared" ca="1" si="520"/>
        <v>0</v>
      </c>
    </row>
    <row r="2657" spans="1:13" x14ac:dyDescent="0.25">
      <c r="A2657">
        <f t="shared" ca="1" si="518"/>
        <v>14</v>
      </c>
      <c r="B2657">
        <f t="shared" ca="1" si="519"/>
        <v>40</v>
      </c>
      <c r="C2657" t="str">
        <f t="shared" ca="1" si="509"/>
        <v>'WINDOWS-NCH-A-OCMA-M3-02-0'!B39</v>
      </c>
      <c r="D2657" s="6" t="str">
        <f t="shared" ca="1" si="510"/>
        <v>L02-THE-DOT-U0539-01</v>
      </c>
      <c r="E2657" t="str">
        <f t="shared" ca="1" si="511"/>
        <v>Family Type: 1950w x 3050h, Family: Window Internal Type 1 - Flush</v>
      </c>
      <c r="F2657" t="str">
        <f t="shared" ca="1" si="512"/>
        <v>Vector(X = -0.977, Y = -0.212, Z = 0.000, Length = 1.000)</v>
      </c>
      <c r="G2657">
        <f t="shared" ca="1" si="513"/>
        <v>-1</v>
      </c>
      <c r="H2657">
        <f t="shared" ca="1" si="514"/>
        <v>-0.2</v>
      </c>
      <c r="I2657">
        <f t="shared" ca="1" si="515"/>
        <v>0</v>
      </c>
      <c r="J2657" s="8">
        <f t="shared" ca="1" si="516"/>
        <v>-168.69006752597977</v>
      </c>
      <c r="K2657" s="9" t="str">
        <f t="shared" ca="1" si="517"/>
        <v>W</v>
      </c>
      <c r="L2657">
        <f ca="1">+_xlfn.IFNA(VLOOKUP(M2657,BespokeWindowsAreas!$B$2:$E$1999,4,FALSE),VLOOKUP(E2657,WindowTypeArea!$B$2:$C$113,2,FALSE))</f>
        <v>5.9474999999999998</v>
      </c>
      <c r="M2657">
        <f t="shared" ca="1" si="520"/>
        <v>6642760</v>
      </c>
    </row>
    <row r="2658" spans="1:13" x14ac:dyDescent="0.25">
      <c r="A2658">
        <f t="shared" ca="1" si="518"/>
        <v>14</v>
      </c>
      <c r="B2658">
        <f t="shared" ca="1" si="519"/>
        <v>41</v>
      </c>
      <c r="C2658" t="str">
        <f t="shared" ca="1" si="509"/>
        <v>'WINDOWS-NCH-A-OCMA-M3-02-0'!B40</v>
      </c>
      <c r="D2658" s="6" t="str">
        <f t="shared" ca="1" si="510"/>
        <v>L02-THE-DOT-S066-05</v>
      </c>
      <c r="E2658" t="str">
        <f t="shared" ca="1" si="511"/>
        <v>L02-THE-DOT-S066-05</v>
      </c>
      <c r="F2658">
        <f t="shared" ca="1" si="512"/>
        <v>1809761</v>
      </c>
      <c r="G2658">
        <f t="shared" ca="1" si="513"/>
        <v>0</v>
      </c>
      <c r="H2658">
        <f t="shared" ca="1" si="514"/>
        <v>0</v>
      </c>
      <c r="I2658">
        <f t="shared" ca="1" si="515"/>
        <v>0</v>
      </c>
      <c r="J2658" s="8" t="e">
        <f t="shared" ca="1" si="516"/>
        <v>#DIV/0!</v>
      </c>
      <c r="K2658" s="9" t="e">
        <f t="shared" ca="1" si="517"/>
        <v>#DIV/0!</v>
      </c>
      <c r="L2658" t="e">
        <f ca="1">+_xlfn.IFNA(VLOOKUP(M2658,BespokeWindowsAreas!$B$2:$E$1999,4,FALSE),VLOOKUP(E2658,WindowTypeArea!$B$2:$C$113,2,FALSE))</f>
        <v>#N/A</v>
      </c>
      <c r="M2658">
        <f t="shared" ca="1" si="520"/>
        <v>0</v>
      </c>
    </row>
    <row r="2659" spans="1:13" x14ac:dyDescent="0.25">
      <c r="A2659">
        <f t="shared" ca="1" si="518"/>
        <v>14</v>
      </c>
      <c r="B2659">
        <f t="shared" ca="1" si="519"/>
        <v>42</v>
      </c>
      <c r="C2659" t="str">
        <f t="shared" ca="1" si="509"/>
        <v>'WINDOWS-NCH-A-OCMA-M3-02-0'!B41</v>
      </c>
      <c r="D2659" s="6" t="str">
        <f t="shared" ca="1" si="510"/>
        <v>L02-THE-DOT-S066-05</v>
      </c>
      <c r="E2659" t="str">
        <f t="shared" ca="1" si="511"/>
        <v>Family Type: 975w x 3050h, Family: Window External Type 1 - Recessed</v>
      </c>
      <c r="F2659" t="str">
        <f t="shared" ca="1" si="512"/>
        <v>Vector(X = 0.872, Y = 0.489, Z = 0.000, Length = 1.000)</v>
      </c>
      <c r="G2659">
        <f t="shared" ca="1" si="513"/>
        <v>0.9</v>
      </c>
      <c r="H2659">
        <f t="shared" ca="1" si="514"/>
        <v>0.5</v>
      </c>
      <c r="I2659">
        <f t="shared" ca="1" si="515"/>
        <v>0</v>
      </c>
      <c r="J2659" s="8">
        <f t="shared" ca="1" si="516"/>
        <v>29.054604099077146</v>
      </c>
      <c r="K2659" s="9" t="str">
        <f t="shared" ca="1" si="517"/>
        <v>E</v>
      </c>
      <c r="L2659">
        <f ca="1">+_xlfn.IFNA(VLOOKUP(M2659,BespokeWindowsAreas!$B$2:$E$1999,4,FALSE),VLOOKUP(E2659,WindowTypeArea!$B$2:$C$113,2,FALSE))</f>
        <v>2.9737499999999999</v>
      </c>
      <c r="M2659">
        <f t="shared" ca="1" si="520"/>
        <v>5513111</v>
      </c>
    </row>
    <row r="2660" spans="1:13" x14ac:dyDescent="0.25">
      <c r="A2660">
        <f t="shared" ca="1" si="518"/>
        <v>14</v>
      </c>
      <c r="B2660">
        <f t="shared" ca="1" si="519"/>
        <v>43</v>
      </c>
      <c r="C2660" t="str">
        <f t="shared" ca="1" si="509"/>
        <v>'WINDOWS-NCH-A-OCMA-M3-02-0'!B42</v>
      </c>
      <c r="D2660" s="6" t="str">
        <f t="shared" ca="1" si="510"/>
        <v>L02-THE-DOT-S066-05</v>
      </c>
      <c r="E2660" t="str">
        <f t="shared" ca="1" si="511"/>
        <v>Family Type: 1500w x 3050h, Family: Window External Type 1 - Recessed</v>
      </c>
      <c r="F2660" t="str">
        <f t="shared" ca="1" si="512"/>
        <v>Vector(X = 0.872, Y = 0.489, Z = 0.000, Length = 1.000)</v>
      </c>
      <c r="G2660">
        <f t="shared" ca="1" si="513"/>
        <v>0.9</v>
      </c>
      <c r="H2660">
        <f t="shared" ca="1" si="514"/>
        <v>0.5</v>
      </c>
      <c r="I2660">
        <f t="shared" ca="1" si="515"/>
        <v>0</v>
      </c>
      <c r="J2660" s="8">
        <f t="shared" ca="1" si="516"/>
        <v>29.054604099077146</v>
      </c>
      <c r="K2660" s="9" t="str">
        <f t="shared" ca="1" si="517"/>
        <v>E</v>
      </c>
      <c r="L2660">
        <f ca="1">+_xlfn.IFNA(VLOOKUP(M2660,BespokeWindowsAreas!$B$2:$E$1999,4,FALSE),VLOOKUP(E2660,WindowTypeArea!$B$2:$C$113,2,FALSE))</f>
        <v>4.5750000000000002</v>
      </c>
      <c r="M2660">
        <f t="shared" ca="1" si="520"/>
        <v>5513317</v>
      </c>
    </row>
    <row r="2661" spans="1:13" x14ac:dyDescent="0.25">
      <c r="A2661">
        <f t="shared" ca="1" si="518"/>
        <v>14</v>
      </c>
      <c r="B2661">
        <f t="shared" ca="1" si="519"/>
        <v>44</v>
      </c>
      <c r="C2661" t="str">
        <f t="shared" ca="1" si="509"/>
        <v>'WINDOWS-NCH-A-OCMA-M3-02-0'!B43</v>
      </c>
      <c r="D2661" s="6" t="str">
        <f t="shared" ca="1" si="510"/>
        <v>L02-THE-DOT-S066-02</v>
      </c>
      <c r="E2661" t="str">
        <f t="shared" ca="1" si="511"/>
        <v>L02-THE-DOT-S066-02</v>
      </c>
      <c r="F2661">
        <f t="shared" ca="1" si="512"/>
        <v>1809762</v>
      </c>
      <c r="G2661">
        <f t="shared" ca="1" si="513"/>
        <v>0</v>
      </c>
      <c r="H2661">
        <f t="shared" ca="1" si="514"/>
        <v>0</v>
      </c>
      <c r="I2661">
        <f t="shared" ca="1" si="515"/>
        <v>0</v>
      </c>
      <c r="J2661" s="8" t="e">
        <f t="shared" ca="1" si="516"/>
        <v>#DIV/0!</v>
      </c>
      <c r="K2661" s="9" t="e">
        <f t="shared" ca="1" si="517"/>
        <v>#DIV/0!</v>
      </c>
      <c r="L2661" t="e">
        <f ca="1">+_xlfn.IFNA(VLOOKUP(M2661,BespokeWindowsAreas!$B$2:$E$1999,4,FALSE),VLOOKUP(E2661,WindowTypeArea!$B$2:$C$113,2,FALSE))</f>
        <v>#N/A</v>
      </c>
      <c r="M2661">
        <f t="shared" ca="1" si="520"/>
        <v>0</v>
      </c>
    </row>
    <row r="2662" spans="1:13" x14ac:dyDescent="0.25">
      <c r="A2662">
        <f t="shared" ca="1" si="518"/>
        <v>14</v>
      </c>
      <c r="B2662">
        <f t="shared" ca="1" si="519"/>
        <v>45</v>
      </c>
      <c r="C2662" t="str">
        <f t="shared" ca="1" si="509"/>
        <v>'WINDOWS-NCH-A-OCMA-M3-02-0'!B44</v>
      </c>
      <c r="D2662" s="6" t="str">
        <f t="shared" ca="1" si="510"/>
        <v>L02-THE-DOT-S066-02</v>
      </c>
      <c r="E2662" t="str">
        <f t="shared" ca="1" si="511"/>
        <v>Family Type: 1950w x 3050h, Family: Window External Type 1 - Recessed</v>
      </c>
      <c r="F2662" t="str">
        <f t="shared" ca="1" si="512"/>
        <v>Vector(X = 0.977, Y = 0.212, Z = 0.000, Length = 1.000)</v>
      </c>
      <c r="G2662">
        <f t="shared" ca="1" si="513"/>
        <v>1</v>
      </c>
      <c r="H2662">
        <f t="shared" ca="1" si="514"/>
        <v>0.2</v>
      </c>
      <c r="I2662">
        <f t="shared" ca="1" si="515"/>
        <v>0</v>
      </c>
      <c r="J2662" s="8">
        <f t="shared" ca="1" si="516"/>
        <v>11.309932474020215</v>
      </c>
      <c r="K2662" s="9" t="str">
        <f t="shared" ca="1" si="517"/>
        <v>E</v>
      </c>
      <c r="L2662">
        <f ca="1">+_xlfn.IFNA(VLOOKUP(M2662,BespokeWindowsAreas!$B$2:$E$1999,4,FALSE),VLOOKUP(E2662,WindowTypeArea!$B$2:$C$113,2,FALSE))</f>
        <v>5.9474999999999998</v>
      </c>
      <c r="M2662">
        <f t="shared" ca="1" si="520"/>
        <v>4940524</v>
      </c>
    </row>
    <row r="2663" spans="1:13" x14ac:dyDescent="0.25">
      <c r="A2663">
        <f t="shared" ca="1" si="518"/>
        <v>14</v>
      </c>
      <c r="B2663">
        <f t="shared" ca="1" si="519"/>
        <v>46</v>
      </c>
      <c r="C2663" t="str">
        <f t="shared" ca="1" si="509"/>
        <v>'WINDOWS-NCH-A-OCMA-M3-02-0'!B45</v>
      </c>
      <c r="D2663" s="6" t="str">
        <f t="shared" ca="1" si="510"/>
        <v>L02-THE-DOT-S066-02</v>
      </c>
      <c r="E2663" t="str">
        <f t="shared" ca="1" si="511"/>
        <v>Family Type: 975w x 3050h, Family: Window External Type 1 - Recessed</v>
      </c>
      <c r="F2663" t="str">
        <f t="shared" ca="1" si="512"/>
        <v>Vector(X = 0.977, Y = 0.212, Z = 0.000, Length = 1.000)</v>
      </c>
      <c r="G2663">
        <f t="shared" ca="1" si="513"/>
        <v>1</v>
      </c>
      <c r="H2663">
        <f t="shared" ca="1" si="514"/>
        <v>0.2</v>
      </c>
      <c r="I2663">
        <f t="shared" ca="1" si="515"/>
        <v>0</v>
      </c>
      <c r="J2663" s="8">
        <f t="shared" ca="1" si="516"/>
        <v>11.309932474020215</v>
      </c>
      <c r="K2663" s="9" t="str">
        <f t="shared" ca="1" si="517"/>
        <v>E</v>
      </c>
      <c r="L2663">
        <f ca="1">+_xlfn.IFNA(VLOOKUP(M2663,BespokeWindowsAreas!$B$2:$E$1999,4,FALSE),VLOOKUP(E2663,WindowTypeArea!$B$2:$C$113,2,FALSE))</f>
        <v>2.9737499999999999</v>
      </c>
      <c r="M2663">
        <f t="shared" ca="1" si="520"/>
        <v>5508593</v>
      </c>
    </row>
    <row r="2664" spans="1:13" x14ac:dyDescent="0.25">
      <c r="A2664">
        <f t="shared" ca="1" si="518"/>
        <v>14</v>
      </c>
      <c r="B2664">
        <f t="shared" ca="1" si="519"/>
        <v>47</v>
      </c>
      <c r="C2664" t="str">
        <f t="shared" ca="1" si="509"/>
        <v>'WINDOWS-NCH-A-OCMA-M3-02-0'!B46</v>
      </c>
      <c r="D2664" s="6" t="str">
        <f t="shared" ca="1" si="510"/>
        <v>L02-THE-DOT-S066-03</v>
      </c>
      <c r="E2664" t="str">
        <f t="shared" ca="1" si="511"/>
        <v>L02-THE-DOT-S066-03</v>
      </c>
      <c r="F2664">
        <f t="shared" ca="1" si="512"/>
        <v>1809763</v>
      </c>
      <c r="G2664">
        <f t="shared" ca="1" si="513"/>
        <v>0</v>
      </c>
      <c r="H2664">
        <f t="shared" ca="1" si="514"/>
        <v>0</v>
      </c>
      <c r="I2664">
        <f t="shared" ca="1" si="515"/>
        <v>0</v>
      </c>
      <c r="J2664" s="8" t="e">
        <f t="shared" ca="1" si="516"/>
        <v>#DIV/0!</v>
      </c>
      <c r="K2664" s="9" t="e">
        <f t="shared" ca="1" si="517"/>
        <v>#DIV/0!</v>
      </c>
      <c r="L2664" t="e">
        <f ca="1">+_xlfn.IFNA(VLOOKUP(M2664,BespokeWindowsAreas!$B$2:$E$1999,4,FALSE),VLOOKUP(E2664,WindowTypeArea!$B$2:$C$113,2,FALSE))</f>
        <v>#N/A</v>
      </c>
      <c r="M2664">
        <f t="shared" ca="1" si="520"/>
        <v>0</v>
      </c>
    </row>
    <row r="2665" spans="1:13" x14ac:dyDescent="0.25">
      <c r="A2665">
        <f t="shared" ca="1" si="518"/>
        <v>14</v>
      </c>
      <c r="B2665">
        <f t="shared" ca="1" si="519"/>
        <v>48</v>
      </c>
      <c r="C2665" t="str">
        <f t="shared" ca="1" si="509"/>
        <v>'WINDOWS-NCH-A-OCMA-M3-02-0'!B47</v>
      </c>
      <c r="D2665" s="6" t="str">
        <f t="shared" ca="1" si="510"/>
        <v>L02-THE-DOT-S066-03</v>
      </c>
      <c r="E2665" t="str">
        <f t="shared" ca="1" si="511"/>
        <v>Family Type: 1950w x 3050h, Family: Window External Type 1 - Recessed</v>
      </c>
      <c r="F2665" t="str">
        <f t="shared" ca="1" si="512"/>
        <v>Vector(X = 0.977, Y = 0.212, Z = 0.000, Length = 1.000)</v>
      </c>
      <c r="G2665">
        <f t="shared" ca="1" si="513"/>
        <v>1</v>
      </c>
      <c r="H2665">
        <f t="shared" ca="1" si="514"/>
        <v>0.2</v>
      </c>
      <c r="I2665">
        <f t="shared" ca="1" si="515"/>
        <v>0</v>
      </c>
      <c r="J2665" s="8">
        <f t="shared" ca="1" si="516"/>
        <v>11.309932474020215</v>
      </c>
      <c r="K2665" s="9" t="str">
        <f t="shared" ca="1" si="517"/>
        <v>E</v>
      </c>
      <c r="L2665">
        <f ca="1">+_xlfn.IFNA(VLOOKUP(M2665,BespokeWindowsAreas!$B$2:$E$1999,4,FALSE),VLOOKUP(E2665,WindowTypeArea!$B$2:$C$113,2,FALSE))</f>
        <v>5.9474999999999998</v>
      </c>
      <c r="M2665">
        <f t="shared" ca="1" si="520"/>
        <v>3416938</v>
      </c>
    </row>
    <row r="2666" spans="1:13" x14ac:dyDescent="0.25">
      <c r="A2666">
        <f t="shared" ca="1" si="518"/>
        <v>14</v>
      </c>
      <c r="B2666">
        <f t="shared" ca="1" si="519"/>
        <v>49</v>
      </c>
      <c r="C2666" t="str">
        <f t="shared" ca="1" si="509"/>
        <v>'WINDOWS-NCH-A-OCMA-M3-02-0'!B48</v>
      </c>
      <c r="D2666" s="6" t="str">
        <f t="shared" ca="1" si="510"/>
        <v>L02-THE-DOT-S066-03</v>
      </c>
      <c r="E2666" t="str">
        <f t="shared" ca="1" si="511"/>
        <v>Family Type: 975w x 3050h, Family: Window External Type 1 - Recessed</v>
      </c>
      <c r="F2666" t="str">
        <f t="shared" ca="1" si="512"/>
        <v>Vector(X = 0.977, Y = 0.212, Z = 0.000, Length = 1.000)</v>
      </c>
      <c r="G2666">
        <f t="shared" ca="1" si="513"/>
        <v>1</v>
      </c>
      <c r="H2666">
        <f t="shared" ca="1" si="514"/>
        <v>0.2</v>
      </c>
      <c r="I2666">
        <f t="shared" ca="1" si="515"/>
        <v>0</v>
      </c>
      <c r="J2666" s="8">
        <f t="shared" ca="1" si="516"/>
        <v>11.309932474020215</v>
      </c>
      <c r="K2666" s="9" t="str">
        <f t="shared" ca="1" si="517"/>
        <v>E</v>
      </c>
      <c r="L2666">
        <f ca="1">+_xlfn.IFNA(VLOOKUP(M2666,BespokeWindowsAreas!$B$2:$E$1999,4,FALSE),VLOOKUP(E2666,WindowTypeArea!$B$2:$C$113,2,FALSE))</f>
        <v>2.9737499999999999</v>
      </c>
      <c r="M2666">
        <f t="shared" ca="1" si="520"/>
        <v>5475746</v>
      </c>
    </row>
    <row r="2667" spans="1:13" x14ac:dyDescent="0.25">
      <c r="A2667">
        <f t="shared" ca="1" si="518"/>
        <v>14</v>
      </c>
      <c r="B2667">
        <f t="shared" ca="1" si="519"/>
        <v>50</v>
      </c>
      <c r="C2667" t="str">
        <f t="shared" ca="1" si="509"/>
        <v>'WINDOWS-NCH-A-OCMA-M3-02-0'!B49</v>
      </c>
      <c r="D2667" s="6" t="str">
        <f t="shared" ca="1" si="510"/>
        <v>L02-THE-DOT-U0541-01</v>
      </c>
      <c r="E2667" t="str">
        <f t="shared" ca="1" si="511"/>
        <v>L02-THE-DOT-U0541-01</v>
      </c>
      <c r="F2667">
        <f t="shared" ca="1" si="512"/>
        <v>1809765</v>
      </c>
      <c r="G2667">
        <f t="shared" ca="1" si="513"/>
        <v>0</v>
      </c>
      <c r="H2667">
        <f t="shared" ca="1" si="514"/>
        <v>0</v>
      </c>
      <c r="I2667">
        <f t="shared" ca="1" si="515"/>
        <v>0</v>
      </c>
      <c r="J2667" s="8" t="e">
        <f t="shared" ca="1" si="516"/>
        <v>#DIV/0!</v>
      </c>
      <c r="K2667" s="9" t="e">
        <f t="shared" ca="1" si="517"/>
        <v>#DIV/0!</v>
      </c>
      <c r="L2667" t="e">
        <f ca="1">+_xlfn.IFNA(VLOOKUP(M2667,BespokeWindowsAreas!$B$2:$E$1999,4,FALSE),VLOOKUP(E2667,WindowTypeArea!$B$2:$C$113,2,FALSE))</f>
        <v>#N/A</v>
      </c>
      <c r="M2667">
        <f t="shared" ca="1" si="520"/>
        <v>0</v>
      </c>
    </row>
    <row r="2668" spans="1:13" x14ac:dyDescent="0.25">
      <c r="A2668">
        <f t="shared" ca="1" si="518"/>
        <v>14</v>
      </c>
      <c r="B2668">
        <f t="shared" ca="1" si="519"/>
        <v>51</v>
      </c>
      <c r="C2668" t="str">
        <f t="shared" ca="1" si="509"/>
        <v>'WINDOWS-NCH-A-OCMA-M3-02-0'!B50</v>
      </c>
      <c r="D2668" s="6" t="str">
        <f t="shared" ca="1" si="510"/>
        <v>L02-THE-DOT-U0541-01</v>
      </c>
      <c r="E2668" t="str">
        <f t="shared" ca="1" si="511"/>
        <v>Family Type: 975w x 3050h, Family: Window Internal Type 1 - Flush</v>
      </c>
      <c r="F2668" t="str">
        <f t="shared" ca="1" si="512"/>
        <v>Vector(X = -0.977, Y = -0.212, Z = 0.000, Length = 1.000)</v>
      </c>
      <c r="G2668">
        <f t="shared" ca="1" si="513"/>
        <v>-1</v>
      </c>
      <c r="H2668">
        <f t="shared" ca="1" si="514"/>
        <v>-0.2</v>
      </c>
      <c r="I2668">
        <f t="shared" ca="1" si="515"/>
        <v>0</v>
      </c>
      <c r="J2668" s="8">
        <f t="shared" ca="1" si="516"/>
        <v>-168.69006752597977</v>
      </c>
      <c r="K2668" s="9" t="str">
        <f t="shared" ca="1" si="517"/>
        <v>W</v>
      </c>
      <c r="L2668">
        <f ca="1">+_xlfn.IFNA(VLOOKUP(M2668,BespokeWindowsAreas!$B$2:$E$1999,4,FALSE),VLOOKUP(E2668,WindowTypeArea!$B$2:$C$113,2,FALSE))</f>
        <v>2.9737499999999999</v>
      </c>
      <c r="M2668">
        <f t="shared" ca="1" si="520"/>
        <v>6642799</v>
      </c>
    </row>
    <row r="2669" spans="1:13" x14ac:dyDescent="0.25">
      <c r="A2669">
        <f t="shared" ca="1" si="518"/>
        <v>14</v>
      </c>
      <c r="B2669">
        <f t="shared" ca="1" si="519"/>
        <v>52</v>
      </c>
      <c r="C2669" t="str">
        <f t="shared" ca="1" si="509"/>
        <v>'WINDOWS-NCH-A-OCMA-M3-02-0'!B51</v>
      </c>
      <c r="D2669" s="6" t="str">
        <f t="shared" ca="1" si="510"/>
        <v>L02-THE-DOT-U0542-01</v>
      </c>
      <c r="E2669" t="str">
        <f t="shared" ca="1" si="511"/>
        <v>L02-THE-DOT-U0542-01</v>
      </c>
      <c r="F2669">
        <f t="shared" ca="1" si="512"/>
        <v>1809766</v>
      </c>
      <c r="G2669">
        <f t="shared" ca="1" si="513"/>
        <v>0</v>
      </c>
      <c r="H2669">
        <f t="shared" ca="1" si="514"/>
        <v>0</v>
      </c>
      <c r="I2669">
        <f t="shared" ca="1" si="515"/>
        <v>0</v>
      </c>
      <c r="J2669" s="8" t="e">
        <f t="shared" ca="1" si="516"/>
        <v>#DIV/0!</v>
      </c>
      <c r="K2669" s="9" t="e">
        <f t="shared" ca="1" si="517"/>
        <v>#DIV/0!</v>
      </c>
      <c r="L2669" t="e">
        <f ca="1">+_xlfn.IFNA(VLOOKUP(M2669,BespokeWindowsAreas!$B$2:$E$1999,4,FALSE),VLOOKUP(E2669,WindowTypeArea!$B$2:$C$113,2,FALSE))</f>
        <v>#N/A</v>
      </c>
      <c r="M2669">
        <f t="shared" ca="1" si="520"/>
        <v>0</v>
      </c>
    </row>
    <row r="2670" spans="1:13" x14ac:dyDescent="0.25">
      <c r="A2670">
        <f t="shared" ca="1" si="518"/>
        <v>14</v>
      </c>
      <c r="B2670">
        <f t="shared" ca="1" si="519"/>
        <v>53</v>
      </c>
      <c r="C2670" t="str">
        <f t="shared" ca="1" si="509"/>
        <v>'WINDOWS-NCH-A-OCMA-M3-02-0'!B52</v>
      </c>
      <c r="D2670" s="6" t="str">
        <f t="shared" ca="1" si="510"/>
        <v>L02-THE-DOT-U0542-01</v>
      </c>
      <c r="E2670" t="str">
        <f t="shared" ca="1" si="511"/>
        <v>Family Type: 1950w x 3050h, Family: Window Internal Type 1 - Flush</v>
      </c>
      <c r="F2670" t="str">
        <f t="shared" ca="1" si="512"/>
        <v>Vector(X = -0.977, Y = -0.212, Z = 0.000, Length = 1.000)</v>
      </c>
      <c r="G2670">
        <f t="shared" ca="1" si="513"/>
        <v>-1</v>
      </c>
      <c r="H2670">
        <f t="shared" ca="1" si="514"/>
        <v>-0.2</v>
      </c>
      <c r="I2670">
        <f t="shared" ca="1" si="515"/>
        <v>0</v>
      </c>
      <c r="J2670" s="8">
        <f t="shared" ca="1" si="516"/>
        <v>-168.69006752597977</v>
      </c>
      <c r="K2670" s="9" t="str">
        <f t="shared" ca="1" si="517"/>
        <v>W</v>
      </c>
      <c r="L2670">
        <f ca="1">+_xlfn.IFNA(VLOOKUP(M2670,BespokeWindowsAreas!$B$2:$E$1999,4,FALSE),VLOOKUP(E2670,WindowTypeArea!$B$2:$C$113,2,FALSE))</f>
        <v>5.9474999999999998</v>
      </c>
      <c r="M2670">
        <f t="shared" ca="1" si="520"/>
        <v>6642801</v>
      </c>
    </row>
    <row r="2671" spans="1:13" x14ac:dyDescent="0.25">
      <c r="A2671">
        <f t="shared" ca="1" si="518"/>
        <v>14</v>
      </c>
      <c r="B2671">
        <f t="shared" ca="1" si="519"/>
        <v>54</v>
      </c>
      <c r="C2671" t="str">
        <f t="shared" ca="1" si="509"/>
        <v>'WINDOWS-NCH-A-OCMA-M3-02-0'!B53</v>
      </c>
      <c r="D2671" s="6" t="str">
        <f t="shared" ca="1" si="510"/>
        <v>L02-THE-DOT-U0545-01</v>
      </c>
      <c r="E2671" t="str">
        <f t="shared" ca="1" si="511"/>
        <v>L02-THE-DOT-U0545-01</v>
      </c>
      <c r="F2671">
        <f t="shared" ca="1" si="512"/>
        <v>1809769</v>
      </c>
      <c r="G2671">
        <f t="shared" ca="1" si="513"/>
        <v>0</v>
      </c>
      <c r="H2671">
        <f t="shared" ca="1" si="514"/>
        <v>0</v>
      </c>
      <c r="I2671">
        <f t="shared" ca="1" si="515"/>
        <v>0</v>
      </c>
      <c r="J2671" s="8" t="e">
        <f t="shared" ca="1" si="516"/>
        <v>#DIV/0!</v>
      </c>
      <c r="K2671" s="9" t="e">
        <f t="shared" ca="1" si="517"/>
        <v>#DIV/0!</v>
      </c>
      <c r="L2671" t="e">
        <f ca="1">+_xlfn.IFNA(VLOOKUP(M2671,BespokeWindowsAreas!$B$2:$E$1999,4,FALSE),VLOOKUP(E2671,WindowTypeArea!$B$2:$C$113,2,FALSE))</f>
        <v>#N/A</v>
      </c>
      <c r="M2671">
        <f t="shared" ca="1" si="520"/>
        <v>0</v>
      </c>
    </row>
    <row r="2672" spans="1:13" x14ac:dyDescent="0.25">
      <c r="A2672">
        <f t="shared" ca="1" si="518"/>
        <v>14</v>
      </c>
      <c r="B2672">
        <f t="shared" ca="1" si="519"/>
        <v>55</v>
      </c>
      <c r="C2672" t="str">
        <f t="shared" ca="1" si="509"/>
        <v>'WINDOWS-NCH-A-OCMA-M3-02-0'!B54</v>
      </c>
      <c r="D2672" s="6" t="str">
        <f t="shared" ca="1" si="510"/>
        <v>L02-THE-DOT-U0545-01</v>
      </c>
      <c r="E2672" t="str">
        <f t="shared" ca="1" si="511"/>
        <v>Family Type: 1000w x 3050h, Family: Window External Type 2 - Recessed and Fin</v>
      </c>
      <c r="F2672" t="str">
        <f t="shared" ca="1" si="512"/>
        <v>Vector(X = -0.212, Y = 0.977, Z = 0.000, Length = 1.000)</v>
      </c>
      <c r="G2672">
        <f t="shared" ca="1" si="513"/>
        <v>-0.2</v>
      </c>
      <c r="H2672">
        <f t="shared" ca="1" si="514"/>
        <v>1</v>
      </c>
      <c r="I2672">
        <f t="shared" ca="1" si="515"/>
        <v>0</v>
      </c>
      <c r="J2672" s="8">
        <f t="shared" ca="1" si="516"/>
        <v>101.3099324740202</v>
      </c>
      <c r="K2672" s="9" t="str">
        <f t="shared" ca="1" si="517"/>
        <v>N</v>
      </c>
      <c r="L2672">
        <f ca="1">+_xlfn.IFNA(VLOOKUP(M2672,BespokeWindowsAreas!$B$2:$E$1999,4,FALSE),VLOOKUP(E2672,WindowTypeArea!$B$2:$C$113,2,FALSE))</f>
        <v>3.05</v>
      </c>
      <c r="M2672">
        <f t="shared" ca="1" si="520"/>
        <v>4827640</v>
      </c>
    </row>
    <row r="2673" spans="1:13" x14ac:dyDescent="0.25">
      <c r="A2673">
        <f t="shared" ca="1" si="518"/>
        <v>14</v>
      </c>
      <c r="B2673">
        <f t="shared" ca="1" si="519"/>
        <v>56</v>
      </c>
      <c r="C2673" t="str">
        <f t="shared" ca="1" si="509"/>
        <v>'WINDOWS-NCH-A-OCMA-M3-02-0'!B55</v>
      </c>
      <c r="D2673" s="6" t="str">
        <f t="shared" ca="1" si="510"/>
        <v>L02-THE-DOT-U0548-01</v>
      </c>
      <c r="E2673" t="str">
        <f t="shared" ca="1" si="511"/>
        <v>L02-THE-DOT-U0548-01</v>
      </c>
      <c r="F2673">
        <f t="shared" ca="1" si="512"/>
        <v>1809772</v>
      </c>
      <c r="G2673">
        <f t="shared" ca="1" si="513"/>
        <v>0</v>
      </c>
      <c r="H2673">
        <f t="shared" ca="1" si="514"/>
        <v>0</v>
      </c>
      <c r="I2673">
        <f t="shared" ca="1" si="515"/>
        <v>0</v>
      </c>
      <c r="J2673" s="8" t="e">
        <f t="shared" ca="1" si="516"/>
        <v>#DIV/0!</v>
      </c>
      <c r="K2673" s="9" t="e">
        <f t="shared" ca="1" si="517"/>
        <v>#DIV/0!</v>
      </c>
      <c r="L2673" t="e">
        <f ca="1">+_xlfn.IFNA(VLOOKUP(M2673,BespokeWindowsAreas!$B$2:$E$1999,4,FALSE),VLOOKUP(E2673,WindowTypeArea!$B$2:$C$113,2,FALSE))</f>
        <v>#N/A</v>
      </c>
      <c r="M2673">
        <f t="shared" ca="1" si="520"/>
        <v>0</v>
      </c>
    </row>
    <row r="2674" spans="1:13" x14ac:dyDescent="0.25">
      <c r="A2674">
        <f t="shared" ca="1" si="518"/>
        <v>14</v>
      </c>
      <c r="B2674">
        <f t="shared" ca="1" si="519"/>
        <v>57</v>
      </c>
      <c r="C2674" t="str">
        <f t="shared" ca="1" si="509"/>
        <v>'WINDOWS-NCH-A-OCMA-M3-02-0'!B56</v>
      </c>
      <c r="D2674" s="6" t="str">
        <f t="shared" ca="1" si="510"/>
        <v>L02-THE-DOT-U0548-01</v>
      </c>
      <c r="E2674" t="str">
        <f t="shared" ca="1" si="511"/>
        <v>Family Type: 1950w x 3050h, Family: Window External Type 1 - Recessed</v>
      </c>
      <c r="F2674" t="str">
        <f t="shared" ca="1" si="512"/>
        <v>Vector(X = 0.977, Y = 0.212, Z = 0.000, Length = 1.000)</v>
      </c>
      <c r="G2674">
        <f t="shared" ca="1" si="513"/>
        <v>1</v>
      </c>
      <c r="H2674">
        <f t="shared" ca="1" si="514"/>
        <v>0.2</v>
      </c>
      <c r="I2674">
        <f t="shared" ca="1" si="515"/>
        <v>0</v>
      </c>
      <c r="J2674" s="8">
        <f t="shared" ca="1" si="516"/>
        <v>11.309932474020215</v>
      </c>
      <c r="K2674" s="9" t="str">
        <f t="shared" ca="1" si="517"/>
        <v>E</v>
      </c>
      <c r="L2674">
        <f ca="1">+_xlfn.IFNA(VLOOKUP(M2674,BespokeWindowsAreas!$B$2:$E$1999,4,FALSE),VLOOKUP(E2674,WindowTypeArea!$B$2:$C$113,2,FALSE))</f>
        <v>5.9474999999999998</v>
      </c>
      <c r="M2674">
        <f t="shared" ca="1" si="520"/>
        <v>5502461</v>
      </c>
    </row>
    <row r="2675" spans="1:13" x14ac:dyDescent="0.25">
      <c r="A2675">
        <f t="shared" ca="1" si="518"/>
        <v>14</v>
      </c>
      <c r="B2675">
        <f t="shared" ca="1" si="519"/>
        <v>58</v>
      </c>
      <c r="C2675" t="str">
        <f t="shared" ca="1" si="509"/>
        <v>'WINDOWS-NCH-A-OCMA-M3-02-0'!B57</v>
      </c>
      <c r="D2675" s="6" t="str">
        <f t="shared" ca="1" si="510"/>
        <v>L02-THE-DOT-S100-02</v>
      </c>
      <c r="E2675" t="str">
        <f t="shared" ca="1" si="511"/>
        <v>L02-THE-DOT-S100-02</v>
      </c>
      <c r="F2675">
        <f t="shared" ca="1" si="512"/>
        <v>1809776</v>
      </c>
      <c r="G2675">
        <f t="shared" ca="1" si="513"/>
        <v>0</v>
      </c>
      <c r="H2675">
        <f t="shared" ca="1" si="514"/>
        <v>0</v>
      </c>
      <c r="I2675">
        <f t="shared" ca="1" si="515"/>
        <v>0</v>
      </c>
      <c r="J2675" s="8" t="e">
        <f t="shared" ca="1" si="516"/>
        <v>#DIV/0!</v>
      </c>
      <c r="K2675" s="9" t="e">
        <f t="shared" ca="1" si="517"/>
        <v>#DIV/0!</v>
      </c>
      <c r="L2675" t="e">
        <f ca="1">+_xlfn.IFNA(VLOOKUP(M2675,BespokeWindowsAreas!$B$2:$E$1999,4,FALSE),VLOOKUP(E2675,WindowTypeArea!$B$2:$C$113,2,FALSE))</f>
        <v>#N/A</v>
      </c>
      <c r="M2675">
        <f t="shared" ca="1" si="520"/>
        <v>0</v>
      </c>
    </row>
    <row r="2676" spans="1:13" x14ac:dyDescent="0.25">
      <c r="A2676">
        <f t="shared" ca="1" si="518"/>
        <v>14</v>
      </c>
      <c r="B2676">
        <f t="shared" ca="1" si="519"/>
        <v>59</v>
      </c>
      <c r="C2676" t="str">
        <f t="shared" ca="1" si="509"/>
        <v>'WINDOWS-NCH-A-OCMA-M3-02-0'!B58</v>
      </c>
      <c r="D2676" s="6" t="str">
        <f t="shared" ca="1" si="510"/>
        <v>L02-THE-DOT-S100-02</v>
      </c>
      <c r="E2676" t="str">
        <f t="shared" ca="1" si="511"/>
        <v>Family Type: 975w x 3050h, Family: Window Internal Type 1 - Flush</v>
      </c>
      <c r="F2676" t="str">
        <f t="shared" ca="1" si="512"/>
        <v>Vector(X = -0.977, Y = -0.212, Z = 0.000, Length = 1.000)</v>
      </c>
      <c r="G2676">
        <f t="shared" ca="1" si="513"/>
        <v>-1</v>
      </c>
      <c r="H2676">
        <f t="shared" ca="1" si="514"/>
        <v>-0.2</v>
      </c>
      <c r="I2676">
        <f t="shared" ca="1" si="515"/>
        <v>0</v>
      </c>
      <c r="J2676" s="8">
        <f t="shared" ca="1" si="516"/>
        <v>-168.69006752597977</v>
      </c>
      <c r="K2676" s="9" t="str">
        <f t="shared" ca="1" si="517"/>
        <v>W</v>
      </c>
      <c r="L2676">
        <f ca="1">+_xlfn.IFNA(VLOOKUP(M2676,BespokeWindowsAreas!$B$2:$E$1999,4,FALSE),VLOOKUP(E2676,WindowTypeArea!$B$2:$C$113,2,FALSE))</f>
        <v>2.9737499999999999</v>
      </c>
      <c r="M2676">
        <f t="shared" ca="1" si="520"/>
        <v>6642802</v>
      </c>
    </row>
    <row r="2677" spans="1:13" x14ac:dyDescent="0.25">
      <c r="A2677">
        <f t="shared" ca="1" si="518"/>
        <v>14</v>
      </c>
      <c r="B2677">
        <f t="shared" ca="1" si="519"/>
        <v>60</v>
      </c>
      <c r="C2677" t="str">
        <f t="shared" ca="1" si="509"/>
        <v>'WINDOWS-NCH-A-OCMA-M3-02-0'!B59</v>
      </c>
      <c r="D2677" s="6" t="str">
        <f t="shared" ca="1" si="510"/>
        <v>L02-THE-DOT-S004-02</v>
      </c>
      <c r="E2677" t="str">
        <f t="shared" ca="1" si="511"/>
        <v>L02-THE-DOT-S004-02</v>
      </c>
      <c r="F2677">
        <f t="shared" ca="1" si="512"/>
        <v>1809779</v>
      </c>
      <c r="G2677">
        <f t="shared" ca="1" si="513"/>
        <v>0</v>
      </c>
      <c r="H2677">
        <f t="shared" ca="1" si="514"/>
        <v>0</v>
      </c>
      <c r="I2677">
        <f t="shared" ca="1" si="515"/>
        <v>0</v>
      </c>
      <c r="J2677" s="8" t="e">
        <f t="shared" ca="1" si="516"/>
        <v>#DIV/0!</v>
      </c>
      <c r="K2677" s="9" t="e">
        <f t="shared" ca="1" si="517"/>
        <v>#DIV/0!</v>
      </c>
      <c r="L2677" t="e">
        <f ca="1">+_xlfn.IFNA(VLOOKUP(M2677,BespokeWindowsAreas!$B$2:$E$1999,4,FALSE),VLOOKUP(E2677,WindowTypeArea!$B$2:$C$113,2,FALSE))</f>
        <v>#N/A</v>
      </c>
      <c r="M2677">
        <f t="shared" ca="1" si="520"/>
        <v>0</v>
      </c>
    </row>
    <row r="2678" spans="1:13" x14ac:dyDescent="0.25">
      <c r="A2678">
        <f t="shared" ca="1" si="518"/>
        <v>14</v>
      </c>
      <c r="B2678">
        <f t="shared" ca="1" si="519"/>
        <v>61</v>
      </c>
      <c r="C2678" t="str">
        <f t="shared" ca="1" si="509"/>
        <v>'WINDOWS-NCH-A-OCMA-M3-02-0'!B60</v>
      </c>
      <c r="D2678" s="6" t="str">
        <f t="shared" ca="1" si="510"/>
        <v>L02-THE-DOT-S004-02</v>
      </c>
      <c r="E2678" t="str">
        <f t="shared" ca="1" si="511"/>
        <v>Family Type: 1500w x 3050h, Family: Window Internal Type 1 - Flush</v>
      </c>
      <c r="F2678" t="str">
        <f t="shared" ca="1" si="512"/>
        <v>Vector(X = -0.872, Y = -0.489, Z = 0.000, Length = 1.000)</v>
      </c>
      <c r="G2678">
        <f t="shared" ca="1" si="513"/>
        <v>-0.9</v>
      </c>
      <c r="H2678">
        <f t="shared" ca="1" si="514"/>
        <v>-0.5</v>
      </c>
      <c r="I2678">
        <f t="shared" ca="1" si="515"/>
        <v>0</v>
      </c>
      <c r="J2678" s="8">
        <f t="shared" ca="1" si="516"/>
        <v>-150.94539590092285</v>
      </c>
      <c r="K2678" s="9" t="str">
        <f t="shared" ca="1" si="517"/>
        <v>W</v>
      </c>
      <c r="L2678">
        <f ca="1">+_xlfn.IFNA(VLOOKUP(M2678,BespokeWindowsAreas!$B$2:$E$1999,4,FALSE),VLOOKUP(E2678,WindowTypeArea!$B$2:$C$113,2,FALSE))</f>
        <v>4.5749999999999993</v>
      </c>
      <c r="M2678">
        <f t="shared" ca="1" si="520"/>
        <v>6102943</v>
      </c>
    </row>
    <row r="2679" spans="1:13" x14ac:dyDescent="0.25">
      <c r="A2679">
        <f t="shared" ca="1" si="518"/>
        <v>14</v>
      </c>
      <c r="B2679">
        <f t="shared" ca="1" si="519"/>
        <v>62</v>
      </c>
      <c r="C2679" t="str">
        <f t="shared" ca="1" si="509"/>
        <v>'WINDOWS-NCH-A-OCMA-M3-02-0'!B61</v>
      </c>
      <c r="D2679" s="6" t="str">
        <f t="shared" ca="1" si="510"/>
        <v>L02-THE-DOT-S066-01</v>
      </c>
      <c r="E2679" t="str">
        <f t="shared" ca="1" si="511"/>
        <v>L02-THE-DOT-S066-01</v>
      </c>
      <c r="F2679">
        <f t="shared" ca="1" si="512"/>
        <v>1809780</v>
      </c>
      <c r="G2679">
        <f t="shared" ca="1" si="513"/>
        <v>0</v>
      </c>
      <c r="H2679">
        <f t="shared" ca="1" si="514"/>
        <v>0</v>
      </c>
      <c r="I2679">
        <f t="shared" ca="1" si="515"/>
        <v>0</v>
      </c>
      <c r="J2679" s="8" t="e">
        <f t="shared" ca="1" si="516"/>
        <v>#DIV/0!</v>
      </c>
      <c r="K2679" s="9" t="e">
        <f t="shared" ca="1" si="517"/>
        <v>#DIV/0!</v>
      </c>
      <c r="L2679" t="e">
        <f ca="1">+_xlfn.IFNA(VLOOKUP(M2679,BespokeWindowsAreas!$B$2:$E$1999,4,FALSE),VLOOKUP(E2679,WindowTypeArea!$B$2:$C$113,2,FALSE))</f>
        <v>#N/A</v>
      </c>
      <c r="M2679">
        <f t="shared" ca="1" si="520"/>
        <v>0</v>
      </c>
    </row>
    <row r="2680" spans="1:13" x14ac:dyDescent="0.25">
      <c r="A2680">
        <f t="shared" ca="1" si="518"/>
        <v>14</v>
      </c>
      <c r="B2680">
        <f t="shared" ca="1" si="519"/>
        <v>63</v>
      </c>
      <c r="C2680" t="str">
        <f t="shared" ca="1" si="509"/>
        <v>'WINDOWS-NCH-A-OCMA-M3-02-0'!B62</v>
      </c>
      <c r="D2680" s="6" t="str">
        <f t="shared" ca="1" si="510"/>
        <v>L02-THE-DOT-S066-01</v>
      </c>
      <c r="E2680" t="str">
        <f t="shared" ca="1" si="511"/>
        <v>Family Type: 1500w x 3050h, Family: Window External Type 1 - Recessed</v>
      </c>
      <c r="F2680" t="str">
        <f t="shared" ca="1" si="512"/>
        <v>Vector(X = 0.873, Y = 0.489, Z = 0.000, Length = 1.000)</v>
      </c>
      <c r="G2680">
        <f t="shared" ca="1" si="513"/>
        <v>0.9</v>
      </c>
      <c r="H2680">
        <f t="shared" ca="1" si="514"/>
        <v>0.5</v>
      </c>
      <c r="I2680">
        <f t="shared" ca="1" si="515"/>
        <v>0</v>
      </c>
      <c r="J2680" s="8">
        <f t="shared" ca="1" si="516"/>
        <v>29.054604099077146</v>
      </c>
      <c r="K2680" s="9" t="str">
        <f t="shared" ca="1" si="517"/>
        <v>E</v>
      </c>
      <c r="L2680">
        <f ca="1">+_xlfn.IFNA(VLOOKUP(M2680,BespokeWindowsAreas!$B$2:$E$1999,4,FALSE),VLOOKUP(E2680,WindowTypeArea!$B$2:$C$113,2,FALSE))</f>
        <v>4.5750000000000002</v>
      </c>
      <c r="M2680">
        <f t="shared" ca="1" si="520"/>
        <v>5511524</v>
      </c>
    </row>
    <row r="2681" spans="1:13" x14ac:dyDescent="0.25">
      <c r="A2681">
        <f t="shared" ca="1" si="518"/>
        <v>14</v>
      </c>
      <c r="B2681">
        <f t="shared" ca="1" si="519"/>
        <v>64</v>
      </c>
      <c r="C2681" t="str">
        <f t="shared" ca="1" si="509"/>
        <v>'WINDOWS-NCH-A-OCMA-M3-02-0'!B63</v>
      </c>
      <c r="D2681" s="6" t="str">
        <f t="shared" ca="1" si="510"/>
        <v>L02-THE-DOT-S066-01</v>
      </c>
      <c r="E2681" t="str">
        <f t="shared" ca="1" si="511"/>
        <v>Family Type: 975w x 3050h, Family: Window External Type 1 - Recessed</v>
      </c>
      <c r="F2681" t="str">
        <f t="shared" ca="1" si="512"/>
        <v>Vector(X = 0.873, Y = 0.489, Z = 0.000, Length = 1.000)</v>
      </c>
      <c r="G2681">
        <f t="shared" ca="1" si="513"/>
        <v>0.9</v>
      </c>
      <c r="H2681">
        <f t="shared" ca="1" si="514"/>
        <v>0.5</v>
      </c>
      <c r="I2681">
        <f t="shared" ca="1" si="515"/>
        <v>0</v>
      </c>
      <c r="J2681" s="8">
        <f t="shared" ca="1" si="516"/>
        <v>29.054604099077146</v>
      </c>
      <c r="K2681" s="9" t="str">
        <f t="shared" ca="1" si="517"/>
        <v>E</v>
      </c>
      <c r="L2681">
        <f ca="1">+_xlfn.IFNA(VLOOKUP(M2681,BespokeWindowsAreas!$B$2:$E$1999,4,FALSE),VLOOKUP(E2681,WindowTypeArea!$B$2:$C$113,2,FALSE))</f>
        <v>2.9737499999999999</v>
      </c>
      <c r="M2681">
        <f t="shared" ca="1" si="520"/>
        <v>5511735</v>
      </c>
    </row>
    <row r="2682" spans="1:13" x14ac:dyDescent="0.25">
      <c r="A2682">
        <f t="shared" ca="1" si="518"/>
        <v>14</v>
      </c>
      <c r="B2682">
        <f t="shared" ca="1" si="519"/>
        <v>65</v>
      </c>
      <c r="C2682" t="str">
        <f t="shared" ca="1" si="509"/>
        <v>'WINDOWS-NCH-A-OCMA-M3-02-0'!B64</v>
      </c>
      <c r="D2682" s="6" t="str">
        <f t="shared" ca="1" si="510"/>
        <v>L02-THE-DOT-U0562-01</v>
      </c>
      <c r="E2682" t="str">
        <f t="shared" ca="1" si="511"/>
        <v>L02-THE-DOT-U0562-01</v>
      </c>
      <c r="F2682">
        <f t="shared" ca="1" si="512"/>
        <v>1809789</v>
      </c>
      <c r="G2682">
        <f t="shared" ca="1" si="513"/>
        <v>0</v>
      </c>
      <c r="H2682">
        <f t="shared" ca="1" si="514"/>
        <v>0</v>
      </c>
      <c r="I2682">
        <f t="shared" ca="1" si="515"/>
        <v>0</v>
      </c>
      <c r="J2682" s="8" t="e">
        <f t="shared" ca="1" si="516"/>
        <v>#DIV/0!</v>
      </c>
      <c r="K2682" s="9" t="e">
        <f t="shared" ca="1" si="517"/>
        <v>#DIV/0!</v>
      </c>
      <c r="L2682" t="e">
        <f ca="1">+_xlfn.IFNA(VLOOKUP(M2682,BespokeWindowsAreas!$B$2:$E$1999,4,FALSE),VLOOKUP(E2682,WindowTypeArea!$B$2:$C$113,2,FALSE))</f>
        <v>#N/A</v>
      </c>
      <c r="M2682">
        <f t="shared" ca="1" si="520"/>
        <v>0</v>
      </c>
    </row>
    <row r="2683" spans="1:13" x14ac:dyDescent="0.25">
      <c r="A2683">
        <f t="shared" ca="1" si="518"/>
        <v>14</v>
      </c>
      <c r="B2683">
        <f t="shared" ca="1" si="519"/>
        <v>66</v>
      </c>
      <c r="C2683" t="str">
        <f t="shared" ca="1" si="509"/>
        <v>'WINDOWS-NCH-A-OCMA-M3-02-0'!B65</v>
      </c>
      <c r="D2683" s="6" t="str">
        <f t="shared" ca="1" si="510"/>
        <v>L02-THE-DOT-U0562-01</v>
      </c>
      <c r="E2683" t="str">
        <f t="shared" ca="1" si="511"/>
        <v>Family Type: 975w x 3050h, Family: Window External Type 1 - Recessed</v>
      </c>
      <c r="F2683" t="str">
        <f t="shared" ca="1" si="512"/>
        <v>Vector(X = 0.955, Y = 0.297, Z = 0.000, Length = 1.000)</v>
      </c>
      <c r="G2683">
        <f t="shared" ca="1" si="513"/>
        <v>1</v>
      </c>
      <c r="H2683">
        <f t="shared" ca="1" si="514"/>
        <v>0.3</v>
      </c>
      <c r="I2683">
        <f t="shared" ca="1" si="515"/>
        <v>0</v>
      </c>
      <c r="J2683" s="8">
        <f t="shared" ca="1" si="516"/>
        <v>16.699244233993621</v>
      </c>
      <c r="K2683" s="9" t="str">
        <f t="shared" ca="1" si="517"/>
        <v>E</v>
      </c>
      <c r="L2683">
        <f ca="1">+_xlfn.IFNA(VLOOKUP(M2683,BespokeWindowsAreas!$B$2:$E$1999,4,FALSE),VLOOKUP(E2683,WindowTypeArea!$B$2:$C$113,2,FALSE))</f>
        <v>2.9737499999999999</v>
      </c>
      <c r="M2683">
        <f t="shared" ca="1" si="520"/>
        <v>5510004</v>
      </c>
    </row>
    <row r="2684" spans="1:13" x14ac:dyDescent="0.25">
      <c r="A2684">
        <f t="shared" ca="1" si="518"/>
        <v>14</v>
      </c>
      <c r="B2684">
        <f t="shared" ca="1" si="519"/>
        <v>67</v>
      </c>
      <c r="C2684" t="str">
        <f t="shared" ca="1" si="509"/>
        <v>'WINDOWS-NCH-A-OCMA-M3-02-0'!B66</v>
      </c>
      <c r="D2684" s="6" t="str">
        <f t="shared" ca="1" si="510"/>
        <v>L02-THE-DOT-S100-01</v>
      </c>
      <c r="E2684" t="str">
        <f t="shared" ca="1" si="511"/>
        <v>L02-THE-DOT-S100-01</v>
      </c>
      <c r="F2684">
        <f t="shared" ca="1" si="512"/>
        <v>1809790</v>
      </c>
      <c r="G2684">
        <f t="shared" ca="1" si="513"/>
        <v>0</v>
      </c>
      <c r="H2684">
        <f t="shared" ca="1" si="514"/>
        <v>0</v>
      </c>
      <c r="I2684">
        <f t="shared" ca="1" si="515"/>
        <v>0</v>
      </c>
      <c r="J2684" s="8" t="e">
        <f t="shared" ca="1" si="516"/>
        <v>#DIV/0!</v>
      </c>
      <c r="K2684" s="9" t="e">
        <f t="shared" ca="1" si="517"/>
        <v>#DIV/0!</v>
      </c>
      <c r="L2684" t="e">
        <f ca="1">+_xlfn.IFNA(VLOOKUP(M2684,BespokeWindowsAreas!$B$2:$E$1999,4,FALSE),VLOOKUP(E2684,WindowTypeArea!$B$2:$C$113,2,FALSE))</f>
        <v>#N/A</v>
      </c>
      <c r="M2684">
        <f t="shared" ca="1" si="520"/>
        <v>0</v>
      </c>
    </row>
    <row r="2685" spans="1:13" x14ac:dyDescent="0.25">
      <c r="A2685">
        <f t="shared" ca="1" si="518"/>
        <v>14</v>
      </c>
      <c r="B2685">
        <f t="shared" ca="1" si="519"/>
        <v>68</v>
      </c>
      <c r="C2685" t="str">
        <f t="shared" ca="1" si="509"/>
        <v>'WINDOWS-NCH-A-OCMA-M3-02-0'!B67</v>
      </c>
      <c r="D2685" s="6" t="str">
        <f t="shared" ca="1" si="510"/>
        <v>L02-THE-DOT-S100-01</v>
      </c>
      <c r="E2685" t="str">
        <f t="shared" ca="1" si="511"/>
        <v>Family Type: 975w x 3050h, Family: Window External Type 1 - Recessed</v>
      </c>
      <c r="F2685" t="str">
        <f t="shared" ca="1" si="512"/>
        <v>Vector(X = 0.873, Y = 0.489, Z = 0.000, Length = 1.000)</v>
      </c>
      <c r="G2685">
        <f t="shared" ca="1" si="513"/>
        <v>0.9</v>
      </c>
      <c r="H2685">
        <f t="shared" ca="1" si="514"/>
        <v>0.5</v>
      </c>
      <c r="I2685">
        <f t="shared" ca="1" si="515"/>
        <v>0</v>
      </c>
      <c r="J2685" s="8">
        <f t="shared" ca="1" si="516"/>
        <v>29.054604099077146</v>
      </c>
      <c r="K2685" s="9" t="str">
        <f t="shared" ca="1" si="517"/>
        <v>E</v>
      </c>
      <c r="L2685">
        <f ca="1">+_xlfn.IFNA(VLOOKUP(M2685,BespokeWindowsAreas!$B$2:$E$1999,4,FALSE),VLOOKUP(E2685,WindowTypeArea!$B$2:$C$113,2,FALSE))</f>
        <v>2.9737499999999999</v>
      </c>
      <c r="M2685">
        <f t="shared" ca="1" si="520"/>
        <v>3416917</v>
      </c>
    </row>
    <row r="2686" spans="1:13" x14ac:dyDescent="0.25">
      <c r="A2686">
        <f t="shared" ca="1" si="518"/>
        <v>14</v>
      </c>
      <c r="B2686">
        <f t="shared" ca="1" si="519"/>
        <v>69</v>
      </c>
      <c r="C2686" t="str">
        <f t="shared" ca="1" si="509"/>
        <v>'WINDOWS-NCH-A-OCMA-M3-02-0'!B68</v>
      </c>
      <c r="D2686" s="6" t="str">
        <f t="shared" ca="1" si="510"/>
        <v>L02-THE-DOT-U0565-01</v>
      </c>
      <c r="E2686" t="str">
        <f t="shared" ca="1" si="511"/>
        <v>L02-THE-DOT-U0565-01</v>
      </c>
      <c r="F2686">
        <f t="shared" ca="1" si="512"/>
        <v>1809797</v>
      </c>
      <c r="G2686">
        <f t="shared" ca="1" si="513"/>
        <v>0</v>
      </c>
      <c r="H2686">
        <f t="shared" ca="1" si="514"/>
        <v>0</v>
      </c>
      <c r="I2686">
        <f t="shared" ca="1" si="515"/>
        <v>0</v>
      </c>
      <c r="J2686" s="8" t="e">
        <f t="shared" ca="1" si="516"/>
        <v>#DIV/0!</v>
      </c>
      <c r="K2686" s="9" t="e">
        <f t="shared" ca="1" si="517"/>
        <v>#DIV/0!</v>
      </c>
      <c r="L2686" t="e">
        <f ca="1">+_xlfn.IFNA(VLOOKUP(M2686,BespokeWindowsAreas!$B$2:$E$1999,4,FALSE),VLOOKUP(E2686,WindowTypeArea!$B$2:$C$113,2,FALSE))</f>
        <v>#N/A</v>
      </c>
      <c r="M2686">
        <f t="shared" ca="1" si="520"/>
        <v>0</v>
      </c>
    </row>
    <row r="2687" spans="1:13" x14ac:dyDescent="0.25">
      <c r="A2687">
        <f t="shared" ca="1" si="518"/>
        <v>14</v>
      </c>
      <c r="B2687">
        <f t="shared" ca="1" si="519"/>
        <v>70</v>
      </c>
      <c r="C2687" t="str">
        <f t="shared" ca="1" si="509"/>
        <v>'WINDOWS-NCH-A-OCMA-M3-02-0'!B69</v>
      </c>
      <c r="D2687" s="6" t="str">
        <f t="shared" ca="1" si="510"/>
        <v>L02-THE-DOT-U0565-01</v>
      </c>
      <c r="E2687" t="str">
        <f t="shared" ca="1" si="511"/>
        <v>Family Type: 1950w x 3050h, Family: Window Internal Type 1 - Flush</v>
      </c>
      <c r="F2687" t="str">
        <f t="shared" ca="1" si="512"/>
        <v>Vector(X = -0.872, Y = -0.489, Z = 0.000, Length = 1.000)</v>
      </c>
      <c r="G2687">
        <f t="shared" ca="1" si="513"/>
        <v>-0.9</v>
      </c>
      <c r="H2687">
        <f t="shared" ca="1" si="514"/>
        <v>-0.5</v>
      </c>
      <c r="I2687">
        <f t="shared" ca="1" si="515"/>
        <v>0</v>
      </c>
      <c r="J2687" s="8">
        <f t="shared" ca="1" si="516"/>
        <v>-150.94539590092285</v>
      </c>
      <c r="K2687" s="9" t="str">
        <f t="shared" ca="1" si="517"/>
        <v>W</v>
      </c>
      <c r="L2687">
        <f ca="1">+_xlfn.IFNA(VLOOKUP(M2687,BespokeWindowsAreas!$B$2:$E$1999,4,FALSE),VLOOKUP(E2687,WindowTypeArea!$B$2:$C$113,2,FALSE))</f>
        <v>5.9474999999999998</v>
      </c>
      <c r="M2687">
        <f t="shared" ca="1" si="520"/>
        <v>6102944</v>
      </c>
    </row>
    <row r="2688" spans="1:13" x14ac:dyDescent="0.25">
      <c r="A2688">
        <f t="shared" ca="1" si="518"/>
        <v>14</v>
      </c>
      <c r="B2688">
        <f t="shared" ca="1" si="519"/>
        <v>71</v>
      </c>
      <c r="C2688" t="str">
        <f t="shared" ca="1" si="509"/>
        <v>'WINDOWS-NCH-A-OCMA-M3-02-0'!B70</v>
      </c>
      <c r="D2688" s="6" t="str">
        <f t="shared" ca="1" si="510"/>
        <v>L02-THE-DOT-U0565-01</v>
      </c>
      <c r="E2688" t="str">
        <f t="shared" ca="1" si="511"/>
        <v>Family Type: 975w x 3050h, Family: Window Internal Type 1 - Flush</v>
      </c>
      <c r="F2688" t="str">
        <f t="shared" ca="1" si="512"/>
        <v>Vector(X = 0.489, Y = -0.873, Z = 0.000, Length = 1.000)</v>
      </c>
      <c r="G2688">
        <f t="shared" ca="1" si="513"/>
        <v>0.5</v>
      </c>
      <c r="H2688">
        <f t="shared" ca="1" si="514"/>
        <v>-0.9</v>
      </c>
      <c r="I2688">
        <f t="shared" ca="1" si="515"/>
        <v>0</v>
      </c>
      <c r="J2688" s="8">
        <f t="shared" ca="1" si="516"/>
        <v>-60.945395900922861</v>
      </c>
      <c r="K2688" s="9" t="str">
        <f t="shared" ca="1" si="517"/>
        <v>S</v>
      </c>
      <c r="L2688">
        <f ca="1">+_xlfn.IFNA(VLOOKUP(M2688,BespokeWindowsAreas!$B$2:$E$1999,4,FALSE),VLOOKUP(E2688,WindowTypeArea!$B$2:$C$113,2,FALSE))</f>
        <v>2.9737499999999999</v>
      </c>
      <c r="M2688">
        <f t="shared" ca="1" si="520"/>
        <v>6103134</v>
      </c>
    </row>
    <row r="2689" spans="1:13" x14ac:dyDescent="0.25">
      <c r="A2689">
        <f t="shared" ca="1" si="518"/>
        <v>14</v>
      </c>
      <c r="B2689">
        <f t="shared" ca="1" si="519"/>
        <v>72</v>
      </c>
      <c r="C2689" t="str">
        <f t="shared" ca="1" si="509"/>
        <v>'WINDOWS-NCH-A-OCMA-M3-02-0'!B71</v>
      </c>
      <c r="D2689" s="6" t="str">
        <f t="shared" ca="1" si="510"/>
        <v>L02-THE-DOT-U0565-01</v>
      </c>
      <c r="E2689" t="str">
        <f t="shared" ca="1" si="511"/>
        <v>Family Type: 975w x 3050h, Family: Window Internal Type 1 - Flush</v>
      </c>
      <c r="F2689" t="str">
        <f t="shared" ca="1" si="512"/>
        <v>Vector(X = 0.489, Y = -0.873, Z = 0.000, Length = 1.000)</v>
      </c>
      <c r="G2689">
        <f t="shared" ca="1" si="513"/>
        <v>0.5</v>
      </c>
      <c r="H2689">
        <f t="shared" ca="1" si="514"/>
        <v>-0.9</v>
      </c>
      <c r="I2689">
        <f t="shared" ca="1" si="515"/>
        <v>0</v>
      </c>
      <c r="J2689" s="8">
        <f t="shared" ca="1" si="516"/>
        <v>-60.945395900922861</v>
      </c>
      <c r="K2689" s="9" t="str">
        <f t="shared" ca="1" si="517"/>
        <v>S</v>
      </c>
      <c r="L2689">
        <f ca="1">+_xlfn.IFNA(VLOOKUP(M2689,BespokeWindowsAreas!$B$2:$E$1999,4,FALSE),VLOOKUP(E2689,WindowTypeArea!$B$2:$C$113,2,FALSE))</f>
        <v>2.9737499999999999</v>
      </c>
      <c r="M2689">
        <f t="shared" ca="1" si="520"/>
        <v>6313110</v>
      </c>
    </row>
    <row r="2690" spans="1:13" x14ac:dyDescent="0.25">
      <c r="A2690">
        <f t="shared" ca="1" si="518"/>
        <v>14</v>
      </c>
      <c r="B2690">
        <f t="shared" ca="1" si="519"/>
        <v>73</v>
      </c>
      <c r="C2690" t="str">
        <f t="shared" ca="1" si="509"/>
        <v>'WINDOWS-NCH-A-OCMA-M3-02-0'!B72</v>
      </c>
      <c r="D2690" s="6" t="str">
        <f t="shared" ca="1" si="510"/>
        <v>L02-THE-DOT-U0565-01</v>
      </c>
      <c r="E2690" t="str">
        <f t="shared" ca="1" si="511"/>
        <v>Family Type: 650w x 3050h, Family: Window Internal Type 1 - Flush</v>
      </c>
      <c r="F2690" t="str">
        <f t="shared" ca="1" si="512"/>
        <v>Vector(X = 0.489, Y = -0.873, Z = 0.000, Length = 1.000)</v>
      </c>
      <c r="G2690">
        <f t="shared" ca="1" si="513"/>
        <v>0.5</v>
      </c>
      <c r="H2690">
        <f t="shared" ca="1" si="514"/>
        <v>-0.9</v>
      </c>
      <c r="I2690">
        <f t="shared" ca="1" si="515"/>
        <v>0</v>
      </c>
      <c r="J2690" s="8">
        <f t="shared" ca="1" si="516"/>
        <v>-60.945395900922861</v>
      </c>
      <c r="K2690" s="9" t="str">
        <f t="shared" ca="1" si="517"/>
        <v>S</v>
      </c>
      <c r="L2690">
        <f ca="1">+_xlfn.IFNA(VLOOKUP(M2690,BespokeWindowsAreas!$B$2:$E$1999,4,FALSE),VLOOKUP(E2690,WindowTypeArea!$B$2:$C$113,2,FALSE))</f>
        <v>1.9824999999999999</v>
      </c>
      <c r="M2690">
        <f t="shared" ca="1" si="520"/>
        <v>6313111</v>
      </c>
    </row>
    <row r="2691" spans="1:13" x14ac:dyDescent="0.25">
      <c r="A2691">
        <f t="shared" ca="1" si="518"/>
        <v>14</v>
      </c>
      <c r="B2691">
        <f t="shared" ca="1" si="519"/>
        <v>74</v>
      </c>
      <c r="C2691" t="str">
        <f t="shared" ca="1" si="509"/>
        <v>'WINDOWS-NCH-A-OCMA-M3-02-0'!B73</v>
      </c>
      <c r="D2691" s="6" t="str">
        <f t="shared" ca="1" si="510"/>
        <v>L02-THE-DOT-U0566-01</v>
      </c>
      <c r="E2691" t="str">
        <f t="shared" ca="1" si="511"/>
        <v>L02-THE-DOT-U0566-01</v>
      </c>
      <c r="F2691">
        <f t="shared" ca="1" si="512"/>
        <v>1809798</v>
      </c>
      <c r="G2691">
        <f t="shared" ca="1" si="513"/>
        <v>0</v>
      </c>
      <c r="H2691">
        <f t="shared" ca="1" si="514"/>
        <v>0</v>
      </c>
      <c r="I2691">
        <f t="shared" ca="1" si="515"/>
        <v>0</v>
      </c>
      <c r="J2691" s="8" t="e">
        <f t="shared" ca="1" si="516"/>
        <v>#DIV/0!</v>
      </c>
      <c r="K2691" s="9" t="e">
        <f t="shared" ca="1" si="517"/>
        <v>#DIV/0!</v>
      </c>
      <c r="L2691" t="e">
        <f ca="1">+_xlfn.IFNA(VLOOKUP(M2691,BespokeWindowsAreas!$B$2:$E$1999,4,FALSE),VLOOKUP(E2691,WindowTypeArea!$B$2:$C$113,2,FALSE))</f>
        <v>#N/A</v>
      </c>
      <c r="M2691">
        <f t="shared" ca="1" si="520"/>
        <v>0</v>
      </c>
    </row>
    <row r="2692" spans="1:13" x14ac:dyDescent="0.25">
      <c r="A2692">
        <f t="shared" ca="1" si="518"/>
        <v>14</v>
      </c>
      <c r="B2692">
        <f t="shared" ca="1" si="519"/>
        <v>75</v>
      </c>
      <c r="C2692" t="str">
        <f t="shared" ca="1" si="509"/>
        <v>'WINDOWS-NCH-A-OCMA-M3-02-0'!B74</v>
      </c>
      <c r="D2692" s="6" t="str">
        <f t="shared" ca="1" si="510"/>
        <v>L02-THE-DOT-U0566-01</v>
      </c>
      <c r="E2692" t="str">
        <f t="shared" ca="1" si="511"/>
        <v>Family Type: 1950w x 3050h, Family: Window External Type 1 - Recessed</v>
      </c>
      <c r="F2692" t="str">
        <f t="shared" ca="1" si="512"/>
        <v>Vector(X = 0.977, Y = 0.212, Z = 0.000, Length = 1.000)</v>
      </c>
      <c r="G2692">
        <f t="shared" ca="1" si="513"/>
        <v>1</v>
      </c>
      <c r="H2692">
        <f t="shared" ca="1" si="514"/>
        <v>0.2</v>
      </c>
      <c r="I2692">
        <f t="shared" ca="1" si="515"/>
        <v>0</v>
      </c>
      <c r="J2692" s="8">
        <f t="shared" ca="1" si="516"/>
        <v>11.309932474020215</v>
      </c>
      <c r="K2692" s="9" t="str">
        <f t="shared" ca="1" si="517"/>
        <v>E</v>
      </c>
      <c r="L2692">
        <f ca="1">+_xlfn.IFNA(VLOOKUP(M2692,BespokeWindowsAreas!$B$2:$E$1999,4,FALSE),VLOOKUP(E2692,WindowTypeArea!$B$2:$C$113,2,FALSE))</f>
        <v>5.9474999999999998</v>
      </c>
      <c r="M2692">
        <f t="shared" ca="1" si="520"/>
        <v>5021099</v>
      </c>
    </row>
    <row r="2693" spans="1:13" x14ac:dyDescent="0.25">
      <c r="A2693">
        <f t="shared" ca="1" si="518"/>
        <v>14</v>
      </c>
      <c r="B2693">
        <f t="shared" ca="1" si="519"/>
        <v>76</v>
      </c>
      <c r="C2693" t="str">
        <f t="shared" ca="1" si="509"/>
        <v>'WINDOWS-NCH-A-OCMA-M3-02-0'!B75</v>
      </c>
      <c r="D2693" s="6" t="str">
        <f t="shared" ca="1" si="510"/>
        <v>L02-THE-DOT-U0566-01</v>
      </c>
      <c r="E2693" t="str">
        <f t="shared" ca="1" si="511"/>
        <v>Family Type: 975w x 3050h, Family: Window External Type 1 - Recessed</v>
      </c>
      <c r="F2693" t="str">
        <f t="shared" ca="1" si="512"/>
        <v>Vector(X = 0.977, Y = 0.212, Z = 0.000, Length = 1.000)</v>
      </c>
      <c r="G2693">
        <f t="shared" ca="1" si="513"/>
        <v>1</v>
      </c>
      <c r="H2693">
        <f t="shared" ca="1" si="514"/>
        <v>0.2</v>
      </c>
      <c r="I2693">
        <f t="shared" ca="1" si="515"/>
        <v>0</v>
      </c>
      <c r="J2693" s="8">
        <f t="shared" ca="1" si="516"/>
        <v>11.309932474020215</v>
      </c>
      <c r="K2693" s="9" t="str">
        <f t="shared" ca="1" si="517"/>
        <v>E</v>
      </c>
      <c r="L2693">
        <f ca="1">+_xlfn.IFNA(VLOOKUP(M2693,BespokeWindowsAreas!$B$2:$E$1999,4,FALSE),VLOOKUP(E2693,WindowTypeArea!$B$2:$C$113,2,FALSE))</f>
        <v>2.9737499999999999</v>
      </c>
      <c r="M2693">
        <f t="shared" ca="1" si="520"/>
        <v>5503500</v>
      </c>
    </row>
    <row r="2694" spans="1:13" x14ac:dyDescent="0.25">
      <c r="A2694">
        <f t="shared" ca="1" si="518"/>
        <v>14</v>
      </c>
      <c r="B2694">
        <f t="shared" ca="1" si="519"/>
        <v>77</v>
      </c>
      <c r="C2694" t="str">
        <f t="shared" ca="1" si="509"/>
        <v>'WINDOWS-NCH-A-OCMA-M3-02-0'!B76</v>
      </c>
      <c r="D2694" s="6" t="str">
        <f t="shared" ca="1" si="510"/>
        <v>L02-THE-DOT-U0568-01</v>
      </c>
      <c r="E2694" t="str">
        <f t="shared" ca="1" si="511"/>
        <v>L02-THE-DOT-U0568-01</v>
      </c>
      <c r="F2694">
        <f t="shared" ca="1" si="512"/>
        <v>1809800</v>
      </c>
      <c r="G2694">
        <f t="shared" ca="1" si="513"/>
        <v>0</v>
      </c>
      <c r="H2694">
        <f t="shared" ca="1" si="514"/>
        <v>0</v>
      </c>
      <c r="I2694">
        <f t="shared" ca="1" si="515"/>
        <v>0</v>
      </c>
      <c r="J2694" s="8" t="e">
        <f t="shared" ca="1" si="516"/>
        <v>#DIV/0!</v>
      </c>
      <c r="K2694" s="9" t="e">
        <f t="shared" ca="1" si="517"/>
        <v>#DIV/0!</v>
      </c>
      <c r="L2694" t="e">
        <f ca="1">+_xlfn.IFNA(VLOOKUP(M2694,BespokeWindowsAreas!$B$2:$E$1999,4,FALSE),VLOOKUP(E2694,WindowTypeArea!$B$2:$C$113,2,FALSE))</f>
        <v>#N/A</v>
      </c>
      <c r="M2694">
        <f t="shared" ca="1" si="520"/>
        <v>0</v>
      </c>
    </row>
    <row r="2695" spans="1:13" x14ac:dyDescent="0.25">
      <c r="A2695">
        <f t="shared" ca="1" si="518"/>
        <v>14</v>
      </c>
      <c r="B2695">
        <f t="shared" ca="1" si="519"/>
        <v>78</v>
      </c>
      <c r="C2695" t="str">
        <f t="shared" ca="1" si="509"/>
        <v>'WINDOWS-NCH-A-OCMA-M3-02-0'!B77</v>
      </c>
      <c r="D2695" s="6" t="str">
        <f t="shared" ca="1" si="510"/>
        <v>L02-THE-DOT-U0568-01</v>
      </c>
      <c r="E2695" t="str">
        <f t="shared" ca="1" si="511"/>
        <v>Family Type: 1950w x 3050h, Family: Window External Type 3 - Recessed and Angle</v>
      </c>
      <c r="F2695" t="str">
        <f t="shared" ca="1" si="512"/>
        <v>Vector(X = -0.212, Y = 0.977, Z = 0.000, Length = 1.000)</v>
      </c>
      <c r="G2695">
        <f t="shared" ca="1" si="513"/>
        <v>-0.2</v>
      </c>
      <c r="H2695">
        <f t="shared" ca="1" si="514"/>
        <v>1</v>
      </c>
      <c r="I2695">
        <f t="shared" ca="1" si="515"/>
        <v>0</v>
      </c>
      <c r="J2695" s="8">
        <f t="shared" ca="1" si="516"/>
        <v>101.3099324740202</v>
      </c>
      <c r="K2695" s="9" t="str">
        <f t="shared" ca="1" si="517"/>
        <v>N</v>
      </c>
      <c r="L2695">
        <f ca="1">+_xlfn.IFNA(VLOOKUP(M2695,BespokeWindowsAreas!$B$2:$E$1999,4,FALSE),VLOOKUP(E2695,WindowTypeArea!$B$2:$C$113,2,FALSE))</f>
        <v>5.9474999999999998</v>
      </c>
      <c r="M2695">
        <f t="shared" ca="1" si="520"/>
        <v>4306485</v>
      </c>
    </row>
    <row r="2696" spans="1:13" x14ac:dyDescent="0.25">
      <c r="A2696">
        <f t="shared" ca="1" si="518"/>
        <v>14</v>
      </c>
      <c r="B2696">
        <f t="shared" ca="1" si="519"/>
        <v>79</v>
      </c>
      <c r="C2696" t="str">
        <f t="shared" ca="1" si="509"/>
        <v>'WINDOWS-NCH-A-OCMA-M3-02-0'!B78</v>
      </c>
      <c r="D2696" s="6" t="str">
        <f t="shared" ca="1" si="510"/>
        <v>L02-THE-DOT-S004-04</v>
      </c>
      <c r="E2696" t="str">
        <f t="shared" ca="1" si="511"/>
        <v>L02-THE-DOT-S004-04</v>
      </c>
      <c r="F2696">
        <f t="shared" ca="1" si="512"/>
        <v>1809806</v>
      </c>
      <c r="G2696">
        <f t="shared" ca="1" si="513"/>
        <v>0</v>
      </c>
      <c r="H2696">
        <f t="shared" ca="1" si="514"/>
        <v>0</v>
      </c>
      <c r="I2696">
        <f t="shared" ca="1" si="515"/>
        <v>0</v>
      </c>
      <c r="J2696" s="8" t="e">
        <f t="shared" ca="1" si="516"/>
        <v>#DIV/0!</v>
      </c>
      <c r="K2696" s="9" t="e">
        <f t="shared" ca="1" si="517"/>
        <v>#DIV/0!</v>
      </c>
      <c r="L2696" t="e">
        <f ca="1">+_xlfn.IFNA(VLOOKUP(M2696,BespokeWindowsAreas!$B$2:$E$1999,4,FALSE),VLOOKUP(E2696,WindowTypeArea!$B$2:$C$113,2,FALSE))</f>
        <v>#N/A</v>
      </c>
      <c r="M2696">
        <f t="shared" ca="1" si="520"/>
        <v>0</v>
      </c>
    </row>
    <row r="2697" spans="1:13" x14ac:dyDescent="0.25">
      <c r="A2697">
        <f t="shared" ca="1" si="518"/>
        <v>14</v>
      </c>
      <c r="B2697">
        <f t="shared" ca="1" si="519"/>
        <v>80</v>
      </c>
      <c r="C2697" t="str">
        <f t="shared" ref="C2697:C2760" ca="1" si="521">+"'"&amp;INDIRECT("a"&amp;A2696)&amp;"'!B"&amp;B2696</f>
        <v>'WINDOWS-NCH-A-OCMA-M3-02-0'!B79</v>
      </c>
      <c r="D2697" s="6" t="str">
        <f t="shared" ref="D2697:D2760" ca="1" si="522">+IF(IFERROR(FIND("Family",E2697)&gt;0,FALSE),D2696,E2697)</f>
        <v>L02-THE-DOT-S004-04</v>
      </c>
      <c r="E2697" t="str">
        <f t="shared" ref="E2697:E2760" ca="1" si="523">+OFFSET(INDIRECT(C2697),0,0)</f>
        <v>Family Type: 975w x 3050h, Family: Window Internal Type 1 - Flush</v>
      </c>
      <c r="F2697" t="str">
        <f t="shared" ref="F2697:F2760" ca="1" si="524">+OFFSET(INDIRECT(C2697),0,1)</f>
        <v>Vector(X = -0.872, Y = -0.489, Z = 0.000, Length = 1.000)</v>
      </c>
      <c r="G2697">
        <f t="shared" ref="G2697:G2760" ca="1" si="525">+OFFSET(INDIRECT(C2697),0,2)</f>
        <v>-0.9</v>
      </c>
      <c r="H2697">
        <f t="shared" ref="H2697:H2760" ca="1" si="526">+OFFSET(INDIRECT(C2697),0,3)</f>
        <v>-0.5</v>
      </c>
      <c r="I2697">
        <f t="shared" ref="I2697:I2760" ca="1" si="527">+OFFSET(INDIRECT(C2697),0,4)</f>
        <v>0</v>
      </c>
      <c r="J2697" s="8">
        <f t="shared" ref="J2697:J2760" ca="1" si="528">+DEGREES(ATAN2(G2697,H2697))</f>
        <v>-150.94539590092285</v>
      </c>
      <c r="K2697" s="9" t="str">
        <f t="shared" ref="K2697:K2760" ca="1" si="529">VLOOKUP(J2697,$O$20:$P$36,2,-1)</f>
        <v>W</v>
      </c>
      <c r="L2697">
        <f ca="1">+_xlfn.IFNA(VLOOKUP(M2697,BespokeWindowsAreas!$B$2:$E$1999,4,FALSE),VLOOKUP(E2697,WindowTypeArea!$B$2:$C$113,2,FALSE))</f>
        <v>2.9737499999999999</v>
      </c>
      <c r="M2697">
        <f t="shared" ca="1" si="520"/>
        <v>6102811</v>
      </c>
    </row>
    <row r="2698" spans="1:13" x14ac:dyDescent="0.25">
      <c r="A2698">
        <f t="shared" ca="1" si="518"/>
        <v>14</v>
      </c>
      <c r="B2698">
        <f t="shared" ca="1" si="519"/>
        <v>81</v>
      </c>
      <c r="C2698" t="str">
        <f t="shared" ca="1" si="521"/>
        <v>'WINDOWS-NCH-A-OCMA-M3-02-0'!B80</v>
      </c>
      <c r="D2698" s="6" t="str">
        <f t="shared" ca="1" si="522"/>
        <v>L02-THE-DOT-S004-06</v>
      </c>
      <c r="E2698" t="str">
        <f t="shared" ca="1" si="523"/>
        <v>L02-THE-DOT-S004-06</v>
      </c>
      <c r="F2698">
        <f t="shared" ca="1" si="524"/>
        <v>1809807</v>
      </c>
      <c r="G2698">
        <f t="shared" ca="1" si="525"/>
        <v>0</v>
      </c>
      <c r="H2698">
        <f t="shared" ca="1" si="526"/>
        <v>0</v>
      </c>
      <c r="I2698">
        <f t="shared" ca="1" si="527"/>
        <v>0</v>
      </c>
      <c r="J2698" s="8" t="e">
        <f t="shared" ca="1" si="528"/>
        <v>#DIV/0!</v>
      </c>
      <c r="K2698" s="9" t="e">
        <f t="shared" ca="1" si="529"/>
        <v>#DIV/0!</v>
      </c>
      <c r="L2698" t="e">
        <f ca="1">+_xlfn.IFNA(VLOOKUP(M2698,BespokeWindowsAreas!$B$2:$E$1999,4,FALSE),VLOOKUP(E2698,WindowTypeArea!$B$2:$C$113,2,FALSE))</f>
        <v>#N/A</v>
      </c>
      <c r="M2698">
        <f t="shared" ca="1" si="520"/>
        <v>0</v>
      </c>
    </row>
    <row r="2699" spans="1:13" x14ac:dyDescent="0.25">
      <c r="A2699">
        <f t="shared" ca="1" si="518"/>
        <v>14</v>
      </c>
      <c r="B2699">
        <f t="shared" ca="1" si="519"/>
        <v>82</v>
      </c>
      <c r="C2699" t="str">
        <f t="shared" ca="1" si="521"/>
        <v>'WINDOWS-NCH-A-OCMA-M3-02-0'!B81</v>
      </c>
      <c r="D2699" s="6" t="str">
        <f t="shared" ca="1" si="522"/>
        <v>L02-THE-DOT-S004-06</v>
      </c>
      <c r="E2699" t="str">
        <f t="shared" ca="1" si="523"/>
        <v>Family Type: 975w x 3050h, Family: Window Internal Type 1 - Flush</v>
      </c>
      <c r="F2699" t="str">
        <f t="shared" ca="1" si="524"/>
        <v>Vector(X = -0.872, Y = -0.489, Z = 0.000, Length = 1.000)</v>
      </c>
      <c r="G2699">
        <f t="shared" ca="1" si="525"/>
        <v>-0.9</v>
      </c>
      <c r="H2699">
        <f t="shared" ca="1" si="526"/>
        <v>-0.5</v>
      </c>
      <c r="I2699">
        <f t="shared" ca="1" si="527"/>
        <v>0</v>
      </c>
      <c r="J2699" s="8">
        <f t="shared" ca="1" si="528"/>
        <v>-150.94539590092285</v>
      </c>
      <c r="K2699" s="9" t="str">
        <f t="shared" ca="1" si="529"/>
        <v>W</v>
      </c>
      <c r="L2699">
        <f ca="1">+_xlfn.IFNA(VLOOKUP(M2699,BespokeWindowsAreas!$B$2:$E$1999,4,FALSE),VLOOKUP(E2699,WindowTypeArea!$B$2:$C$113,2,FALSE))</f>
        <v>2.9737499999999999</v>
      </c>
      <c r="M2699">
        <f t="shared" ca="1" si="520"/>
        <v>6310774</v>
      </c>
    </row>
    <row r="2700" spans="1:13" x14ac:dyDescent="0.25">
      <c r="A2700">
        <f t="shared" ca="1" si="518"/>
        <v>14</v>
      </c>
      <c r="B2700">
        <f t="shared" ca="1" si="519"/>
        <v>83</v>
      </c>
      <c r="C2700" t="str">
        <f t="shared" ca="1" si="521"/>
        <v>'WINDOWS-NCH-A-OCMA-M3-02-0'!B82</v>
      </c>
      <c r="D2700" s="6" t="str">
        <f t="shared" ca="1" si="522"/>
        <v>L02-THE-DOT-S004-06</v>
      </c>
      <c r="E2700" t="str">
        <f t="shared" ca="1" si="523"/>
        <v>Family Type: 650w x 3050h, Family: Window Internal Type 1 - Flush</v>
      </c>
      <c r="F2700" t="str">
        <f t="shared" ca="1" si="524"/>
        <v>Vector(X = -0.872, Y = -0.489, Z = 0.000, Length = 1.000)</v>
      </c>
      <c r="G2700">
        <f t="shared" ca="1" si="525"/>
        <v>-0.9</v>
      </c>
      <c r="H2700">
        <f t="shared" ca="1" si="526"/>
        <v>-0.5</v>
      </c>
      <c r="I2700">
        <f t="shared" ca="1" si="527"/>
        <v>0</v>
      </c>
      <c r="J2700" s="8">
        <f t="shared" ca="1" si="528"/>
        <v>-150.94539590092285</v>
      </c>
      <c r="K2700" s="9" t="str">
        <f t="shared" ca="1" si="529"/>
        <v>W</v>
      </c>
      <c r="L2700">
        <f ca="1">+_xlfn.IFNA(VLOOKUP(M2700,BespokeWindowsAreas!$B$2:$E$1999,4,FALSE),VLOOKUP(E2700,WindowTypeArea!$B$2:$C$113,2,FALSE))</f>
        <v>1.9824999999999999</v>
      </c>
      <c r="M2700">
        <f t="shared" ca="1" si="520"/>
        <v>6311351</v>
      </c>
    </row>
    <row r="2701" spans="1:13" x14ac:dyDescent="0.25">
      <c r="A2701">
        <f t="shared" ca="1" si="518"/>
        <v>14</v>
      </c>
      <c r="B2701">
        <f t="shared" ca="1" si="519"/>
        <v>84</v>
      </c>
      <c r="C2701" t="str">
        <f t="shared" ca="1" si="521"/>
        <v>'WINDOWS-NCH-A-OCMA-M3-02-0'!B83</v>
      </c>
      <c r="D2701" s="6" t="str">
        <f t="shared" ca="1" si="522"/>
        <v>L02-THE-DOT-S004-10</v>
      </c>
      <c r="E2701" t="str">
        <f t="shared" ca="1" si="523"/>
        <v>L02-THE-DOT-S004-10</v>
      </c>
      <c r="F2701">
        <f t="shared" ca="1" si="524"/>
        <v>1809809</v>
      </c>
      <c r="G2701">
        <f t="shared" ca="1" si="525"/>
        <v>0</v>
      </c>
      <c r="H2701">
        <f t="shared" ca="1" si="526"/>
        <v>0</v>
      </c>
      <c r="I2701">
        <f t="shared" ca="1" si="527"/>
        <v>0</v>
      </c>
      <c r="J2701" s="8" t="e">
        <f t="shared" ca="1" si="528"/>
        <v>#DIV/0!</v>
      </c>
      <c r="K2701" s="9" t="e">
        <f t="shared" ca="1" si="529"/>
        <v>#DIV/0!</v>
      </c>
      <c r="L2701" t="e">
        <f ca="1">+_xlfn.IFNA(VLOOKUP(M2701,BespokeWindowsAreas!$B$2:$E$1999,4,FALSE),VLOOKUP(E2701,WindowTypeArea!$B$2:$C$113,2,FALSE))</f>
        <v>#N/A</v>
      </c>
      <c r="M2701">
        <f t="shared" ca="1" si="520"/>
        <v>0</v>
      </c>
    </row>
    <row r="2702" spans="1:13" x14ac:dyDescent="0.25">
      <c r="A2702">
        <f t="shared" ca="1" si="518"/>
        <v>14</v>
      </c>
      <c r="B2702">
        <f t="shared" ca="1" si="519"/>
        <v>85</v>
      </c>
      <c r="C2702" t="str">
        <f t="shared" ca="1" si="521"/>
        <v>'WINDOWS-NCH-A-OCMA-M3-02-0'!B84</v>
      </c>
      <c r="D2702" s="6" t="str">
        <f t="shared" ca="1" si="522"/>
        <v>L02-THE-DOT-S004-10</v>
      </c>
      <c r="E2702" t="str">
        <f t="shared" ca="1" si="523"/>
        <v>Family Type: 975w x 3050h, Family: Window External Type 1 - Recessed</v>
      </c>
      <c r="F2702" t="str">
        <f t="shared" ca="1" si="524"/>
        <v>Vector(X = 0.873, Y = 0.489, Z = 0.000, Length = 1.000)</v>
      </c>
      <c r="G2702">
        <f t="shared" ca="1" si="525"/>
        <v>0.9</v>
      </c>
      <c r="H2702">
        <f t="shared" ca="1" si="526"/>
        <v>0.5</v>
      </c>
      <c r="I2702">
        <f t="shared" ca="1" si="527"/>
        <v>0</v>
      </c>
      <c r="J2702" s="8">
        <f t="shared" ca="1" si="528"/>
        <v>29.054604099077146</v>
      </c>
      <c r="K2702" s="9" t="str">
        <f t="shared" ca="1" si="529"/>
        <v>E</v>
      </c>
      <c r="L2702">
        <f ca="1">+_xlfn.IFNA(VLOOKUP(M2702,BespokeWindowsAreas!$B$2:$E$1999,4,FALSE),VLOOKUP(E2702,WindowTypeArea!$B$2:$C$113,2,FALSE))</f>
        <v>2.9737499999999999</v>
      </c>
      <c r="M2702">
        <f t="shared" ca="1" si="520"/>
        <v>5511444</v>
      </c>
    </row>
    <row r="2703" spans="1:13" x14ac:dyDescent="0.25">
      <c r="A2703">
        <f t="shared" ca="1" si="518"/>
        <v>14</v>
      </c>
      <c r="B2703">
        <f t="shared" ca="1" si="519"/>
        <v>86</v>
      </c>
      <c r="C2703" t="str">
        <f t="shared" ca="1" si="521"/>
        <v>'WINDOWS-NCH-A-OCMA-M3-02-0'!B85</v>
      </c>
      <c r="D2703" s="6" t="str">
        <f t="shared" ca="1" si="522"/>
        <v>L02-THE-DOT-S004-12</v>
      </c>
      <c r="E2703" t="str">
        <f t="shared" ca="1" si="523"/>
        <v>L02-THE-DOT-S004-12</v>
      </c>
      <c r="F2703">
        <f t="shared" ca="1" si="524"/>
        <v>1809810</v>
      </c>
      <c r="G2703">
        <f t="shared" ca="1" si="525"/>
        <v>0</v>
      </c>
      <c r="H2703">
        <f t="shared" ca="1" si="526"/>
        <v>0</v>
      </c>
      <c r="I2703">
        <f t="shared" ca="1" si="527"/>
        <v>0</v>
      </c>
      <c r="J2703" s="8" t="e">
        <f t="shared" ca="1" si="528"/>
        <v>#DIV/0!</v>
      </c>
      <c r="K2703" s="9" t="e">
        <f t="shared" ca="1" si="529"/>
        <v>#DIV/0!</v>
      </c>
      <c r="L2703" t="e">
        <f ca="1">+_xlfn.IFNA(VLOOKUP(M2703,BespokeWindowsAreas!$B$2:$E$1999,4,FALSE),VLOOKUP(E2703,WindowTypeArea!$B$2:$C$113,2,FALSE))</f>
        <v>#N/A</v>
      </c>
      <c r="M2703">
        <f t="shared" ca="1" si="520"/>
        <v>0</v>
      </c>
    </row>
    <row r="2704" spans="1:13" x14ac:dyDescent="0.25">
      <c r="A2704">
        <f t="shared" ca="1" si="518"/>
        <v>14</v>
      </c>
      <c r="B2704">
        <f t="shared" ca="1" si="519"/>
        <v>87</v>
      </c>
      <c r="C2704" t="str">
        <f t="shared" ca="1" si="521"/>
        <v>'WINDOWS-NCH-A-OCMA-M3-02-0'!B86</v>
      </c>
      <c r="D2704" s="6" t="str">
        <f t="shared" ca="1" si="522"/>
        <v>L02-THE-DOT-S004-12</v>
      </c>
      <c r="E2704" t="str">
        <f t="shared" ca="1" si="523"/>
        <v>Family Type: 1500w x 3050h, Family: Window External Type 1 - Recessed</v>
      </c>
      <c r="F2704" t="str">
        <f t="shared" ca="1" si="524"/>
        <v>Vector(X = 0.873, Y = 0.489, Z = 0.000, Length = 1.000)</v>
      </c>
      <c r="G2704">
        <f t="shared" ca="1" si="525"/>
        <v>0.9</v>
      </c>
      <c r="H2704">
        <f t="shared" ca="1" si="526"/>
        <v>0.5</v>
      </c>
      <c r="I2704">
        <f t="shared" ca="1" si="527"/>
        <v>0</v>
      </c>
      <c r="J2704" s="8">
        <f t="shared" ca="1" si="528"/>
        <v>29.054604099077146</v>
      </c>
      <c r="K2704" s="9" t="str">
        <f t="shared" ca="1" si="529"/>
        <v>E</v>
      </c>
      <c r="L2704">
        <f ca="1">+_xlfn.IFNA(VLOOKUP(M2704,BespokeWindowsAreas!$B$2:$E$1999,4,FALSE),VLOOKUP(E2704,WindowTypeArea!$B$2:$C$113,2,FALSE))</f>
        <v>4.5750000000000002</v>
      </c>
      <c r="M2704">
        <f t="shared" ca="1" si="520"/>
        <v>3416913</v>
      </c>
    </row>
    <row r="2705" spans="1:13" x14ac:dyDescent="0.25">
      <c r="A2705">
        <f t="shared" ca="1" si="518"/>
        <v>14</v>
      </c>
      <c r="B2705">
        <f t="shared" ca="1" si="519"/>
        <v>88</v>
      </c>
      <c r="C2705" t="str">
        <f t="shared" ca="1" si="521"/>
        <v>'WINDOWS-NCH-A-OCMA-M3-02-0'!B87</v>
      </c>
      <c r="D2705" s="6" t="str">
        <f t="shared" ca="1" si="522"/>
        <v>L02-THE-DOT-S004-13</v>
      </c>
      <c r="E2705" t="str">
        <f t="shared" ca="1" si="523"/>
        <v>L02-THE-DOT-S004-13</v>
      </c>
      <c r="F2705">
        <f t="shared" ca="1" si="524"/>
        <v>1809811</v>
      </c>
      <c r="G2705">
        <f t="shared" ca="1" si="525"/>
        <v>0</v>
      </c>
      <c r="H2705">
        <f t="shared" ca="1" si="526"/>
        <v>0</v>
      </c>
      <c r="I2705">
        <f t="shared" ca="1" si="527"/>
        <v>0</v>
      </c>
      <c r="J2705" s="8" t="e">
        <f t="shared" ca="1" si="528"/>
        <v>#DIV/0!</v>
      </c>
      <c r="K2705" s="9" t="e">
        <f t="shared" ca="1" si="529"/>
        <v>#DIV/0!</v>
      </c>
      <c r="L2705" t="e">
        <f ca="1">+_xlfn.IFNA(VLOOKUP(M2705,BespokeWindowsAreas!$B$2:$E$1999,4,FALSE),VLOOKUP(E2705,WindowTypeArea!$B$2:$C$113,2,FALSE))</f>
        <v>#N/A</v>
      </c>
      <c r="M2705">
        <f t="shared" ca="1" si="520"/>
        <v>0</v>
      </c>
    </row>
    <row r="2706" spans="1:13" x14ac:dyDescent="0.25">
      <c r="A2706">
        <f t="shared" ca="1" si="518"/>
        <v>14</v>
      </c>
      <c r="B2706">
        <f t="shared" ca="1" si="519"/>
        <v>89</v>
      </c>
      <c r="C2706" t="str">
        <f t="shared" ca="1" si="521"/>
        <v>'WINDOWS-NCH-A-OCMA-M3-02-0'!B88</v>
      </c>
      <c r="D2706" s="6" t="str">
        <f t="shared" ca="1" si="522"/>
        <v>L02-THE-DOT-S004-13</v>
      </c>
      <c r="E2706" t="str">
        <f t="shared" ca="1" si="523"/>
        <v>Family Type: 975w x 3050h, Family: Window External Type 1 - Recessed</v>
      </c>
      <c r="F2706" t="str">
        <f t="shared" ca="1" si="524"/>
        <v>Vector(X = 0.873, Y = 0.489, Z = 0.000, Length = 1.000)</v>
      </c>
      <c r="G2706">
        <f t="shared" ca="1" si="525"/>
        <v>0.9</v>
      </c>
      <c r="H2706">
        <f t="shared" ca="1" si="526"/>
        <v>0.5</v>
      </c>
      <c r="I2706">
        <f t="shared" ca="1" si="527"/>
        <v>0</v>
      </c>
      <c r="J2706" s="8">
        <f t="shared" ca="1" si="528"/>
        <v>29.054604099077146</v>
      </c>
      <c r="K2706" s="9" t="str">
        <f t="shared" ca="1" si="529"/>
        <v>E</v>
      </c>
      <c r="L2706">
        <f ca="1">+_xlfn.IFNA(VLOOKUP(M2706,BespokeWindowsAreas!$B$2:$E$1999,4,FALSE),VLOOKUP(E2706,WindowTypeArea!$B$2:$C$113,2,FALSE))</f>
        <v>2.9737499999999999</v>
      </c>
      <c r="M2706">
        <f t="shared" ca="1" si="520"/>
        <v>5511941</v>
      </c>
    </row>
    <row r="2707" spans="1:13" x14ac:dyDescent="0.25">
      <c r="A2707">
        <f t="shared" ca="1" si="518"/>
        <v>14</v>
      </c>
      <c r="B2707">
        <f t="shared" ca="1" si="519"/>
        <v>90</v>
      </c>
      <c r="C2707" t="str">
        <f t="shared" ca="1" si="521"/>
        <v>'WINDOWS-NCH-A-OCMA-M3-02-0'!B89</v>
      </c>
      <c r="D2707" s="6" t="str">
        <f t="shared" ca="1" si="522"/>
        <v>L02-THE-DOT-S066-04</v>
      </c>
      <c r="E2707" t="str">
        <f t="shared" ca="1" si="523"/>
        <v>L02-THE-DOT-S066-04</v>
      </c>
      <c r="F2707">
        <f t="shared" ca="1" si="524"/>
        <v>1809813</v>
      </c>
      <c r="G2707">
        <f t="shared" ca="1" si="525"/>
        <v>0</v>
      </c>
      <c r="H2707">
        <f t="shared" ca="1" si="526"/>
        <v>0</v>
      </c>
      <c r="I2707">
        <f t="shared" ca="1" si="527"/>
        <v>0</v>
      </c>
      <c r="J2707" s="8" t="e">
        <f t="shared" ca="1" si="528"/>
        <v>#DIV/0!</v>
      </c>
      <c r="K2707" s="9" t="e">
        <f t="shared" ca="1" si="529"/>
        <v>#DIV/0!</v>
      </c>
      <c r="L2707" t="e">
        <f ca="1">+_xlfn.IFNA(VLOOKUP(M2707,BespokeWindowsAreas!$B$2:$E$1999,4,FALSE),VLOOKUP(E2707,WindowTypeArea!$B$2:$C$113,2,FALSE))</f>
        <v>#N/A</v>
      </c>
      <c r="M2707">
        <f t="shared" ca="1" si="520"/>
        <v>0</v>
      </c>
    </row>
    <row r="2708" spans="1:13" x14ac:dyDescent="0.25">
      <c r="A2708">
        <f t="shared" ref="A2708:A2771" ca="1" si="530">+IF(B2707&lt;=VLOOKUP(MID(C2708,2,26),TABS,2,FALSE),A2707,+A2707+1)</f>
        <v>14</v>
      </c>
      <c r="B2708">
        <f t="shared" ref="B2708:B2771" ca="1" si="531">+IF(B2707&lt;=VLOOKUP(MID(C2708,2,26),TABS,2,FALSE),B2707+1,1)</f>
        <v>91</v>
      </c>
      <c r="C2708" t="str">
        <f t="shared" ca="1" si="521"/>
        <v>'WINDOWS-NCH-A-OCMA-M3-02-0'!B90</v>
      </c>
      <c r="D2708" s="6" t="str">
        <f t="shared" ca="1" si="522"/>
        <v>L02-THE-DOT-S066-04</v>
      </c>
      <c r="E2708" t="str">
        <f t="shared" ca="1" si="523"/>
        <v>Family Type: 1500w x 3050h, Family: Window External Type 1 - Recessed</v>
      </c>
      <c r="F2708" t="str">
        <f t="shared" ca="1" si="524"/>
        <v>Vector(X = 0.873, Y = 0.489, Z = 0.000, Length = 1.000)</v>
      </c>
      <c r="G2708">
        <f t="shared" ca="1" si="525"/>
        <v>0.9</v>
      </c>
      <c r="H2708">
        <f t="shared" ca="1" si="526"/>
        <v>0.5</v>
      </c>
      <c r="I2708">
        <f t="shared" ca="1" si="527"/>
        <v>0</v>
      </c>
      <c r="J2708" s="8">
        <f t="shared" ca="1" si="528"/>
        <v>29.054604099077146</v>
      </c>
      <c r="K2708" s="9" t="str">
        <f t="shared" ca="1" si="529"/>
        <v>E</v>
      </c>
      <c r="L2708">
        <f ca="1">+_xlfn.IFNA(VLOOKUP(M2708,BespokeWindowsAreas!$B$2:$E$1999,4,FALSE),VLOOKUP(E2708,WindowTypeArea!$B$2:$C$113,2,FALSE))</f>
        <v>4.5750000000000002</v>
      </c>
      <c r="M2708">
        <f t="shared" ca="1" si="520"/>
        <v>3416914</v>
      </c>
    </row>
    <row r="2709" spans="1:13" x14ac:dyDescent="0.25">
      <c r="A2709">
        <f t="shared" ca="1" si="530"/>
        <v>14</v>
      </c>
      <c r="B2709">
        <f t="shared" ca="1" si="531"/>
        <v>92</v>
      </c>
      <c r="C2709" t="str">
        <f t="shared" ca="1" si="521"/>
        <v>'WINDOWS-NCH-A-OCMA-M3-02-0'!B91</v>
      </c>
      <c r="D2709" s="6" t="str">
        <f t="shared" ca="1" si="522"/>
        <v>L02-THE-DOT-S066-04</v>
      </c>
      <c r="E2709" t="str">
        <f t="shared" ca="1" si="523"/>
        <v>Family Type: 975w x 3050h, Family: Window External Type 1 - Recessed</v>
      </c>
      <c r="F2709" t="str">
        <f t="shared" ca="1" si="524"/>
        <v>Vector(X = 0.873, Y = 0.489, Z = 0.000, Length = 1.000)</v>
      </c>
      <c r="G2709">
        <f t="shared" ca="1" si="525"/>
        <v>0.9</v>
      </c>
      <c r="H2709">
        <f t="shared" ca="1" si="526"/>
        <v>0.5</v>
      </c>
      <c r="I2709">
        <f t="shared" ca="1" si="527"/>
        <v>0</v>
      </c>
      <c r="J2709" s="8">
        <f t="shared" ca="1" si="528"/>
        <v>29.054604099077146</v>
      </c>
      <c r="K2709" s="9" t="str">
        <f t="shared" ca="1" si="529"/>
        <v>E</v>
      </c>
      <c r="L2709">
        <f ca="1">+_xlfn.IFNA(VLOOKUP(M2709,BespokeWindowsAreas!$B$2:$E$1999,4,FALSE),VLOOKUP(E2709,WindowTypeArea!$B$2:$C$113,2,FALSE))</f>
        <v>2.9737499999999999</v>
      </c>
      <c r="M2709">
        <f t="shared" ca="1" si="520"/>
        <v>5511829</v>
      </c>
    </row>
    <row r="2710" spans="1:13" x14ac:dyDescent="0.25">
      <c r="A2710">
        <f t="shared" ca="1" si="530"/>
        <v>14</v>
      </c>
      <c r="B2710">
        <f t="shared" ca="1" si="531"/>
        <v>93</v>
      </c>
      <c r="C2710" t="str">
        <f t="shared" ca="1" si="521"/>
        <v>'WINDOWS-NCH-A-OCMA-M3-02-0'!B92</v>
      </c>
      <c r="D2710" s="6" t="str">
        <f t="shared" ca="1" si="522"/>
        <v>L02-THE-DOT-S066-06</v>
      </c>
      <c r="E2710" t="str">
        <f t="shared" ca="1" si="523"/>
        <v>L02-THE-DOT-S066-06</v>
      </c>
      <c r="F2710">
        <f t="shared" ca="1" si="524"/>
        <v>1809814</v>
      </c>
      <c r="G2710">
        <f t="shared" ca="1" si="525"/>
        <v>0</v>
      </c>
      <c r="H2710">
        <f t="shared" ca="1" si="526"/>
        <v>0</v>
      </c>
      <c r="I2710">
        <f t="shared" ca="1" si="527"/>
        <v>0</v>
      </c>
      <c r="J2710" s="8" t="e">
        <f t="shared" ca="1" si="528"/>
        <v>#DIV/0!</v>
      </c>
      <c r="K2710" s="9" t="e">
        <f t="shared" ca="1" si="529"/>
        <v>#DIV/0!</v>
      </c>
      <c r="L2710" t="e">
        <f ca="1">+_xlfn.IFNA(VLOOKUP(M2710,BespokeWindowsAreas!$B$2:$E$1999,4,FALSE),VLOOKUP(E2710,WindowTypeArea!$B$2:$C$113,2,FALSE))</f>
        <v>#N/A</v>
      </c>
      <c r="M2710">
        <f t="shared" ref="M2710:M2773" ca="1" si="532">+OFFSET(INDIRECT(C2710),0,5)</f>
        <v>0</v>
      </c>
    </row>
    <row r="2711" spans="1:13" x14ac:dyDescent="0.25">
      <c r="A2711">
        <f t="shared" ca="1" si="530"/>
        <v>14</v>
      </c>
      <c r="B2711">
        <f t="shared" ca="1" si="531"/>
        <v>94</v>
      </c>
      <c r="C2711" t="str">
        <f t="shared" ca="1" si="521"/>
        <v>'WINDOWS-NCH-A-OCMA-M3-02-0'!B93</v>
      </c>
      <c r="D2711" s="6" t="str">
        <f t="shared" ca="1" si="522"/>
        <v>L02-THE-DOT-S066-06</v>
      </c>
      <c r="E2711" t="str">
        <f t="shared" ca="1" si="523"/>
        <v>Family Type: 975w x 3050h, Family: Window External Type 1 - Recessed</v>
      </c>
      <c r="F2711" t="str">
        <f t="shared" ca="1" si="524"/>
        <v>Vector(X = 0.873, Y = 0.489, Z = 0.000, Length = 1.000)</v>
      </c>
      <c r="G2711">
        <f t="shared" ca="1" si="525"/>
        <v>0.9</v>
      </c>
      <c r="H2711">
        <f t="shared" ca="1" si="526"/>
        <v>0.5</v>
      </c>
      <c r="I2711">
        <f t="shared" ca="1" si="527"/>
        <v>0</v>
      </c>
      <c r="J2711" s="8">
        <f t="shared" ca="1" si="528"/>
        <v>29.054604099077146</v>
      </c>
      <c r="K2711" s="9" t="str">
        <f t="shared" ca="1" si="529"/>
        <v>E</v>
      </c>
      <c r="L2711">
        <f ca="1">+_xlfn.IFNA(VLOOKUP(M2711,BespokeWindowsAreas!$B$2:$E$1999,4,FALSE),VLOOKUP(E2711,WindowTypeArea!$B$2:$C$113,2,FALSE))</f>
        <v>2.9737499999999999</v>
      </c>
      <c r="M2711">
        <f t="shared" ca="1" si="532"/>
        <v>5512071</v>
      </c>
    </row>
    <row r="2712" spans="1:13" x14ac:dyDescent="0.25">
      <c r="A2712">
        <f t="shared" ca="1" si="530"/>
        <v>14</v>
      </c>
      <c r="B2712">
        <f t="shared" ca="1" si="531"/>
        <v>95</v>
      </c>
      <c r="C2712" t="str">
        <f t="shared" ca="1" si="521"/>
        <v>'WINDOWS-NCH-A-OCMA-M3-02-0'!B94</v>
      </c>
      <c r="D2712" s="6" t="str">
        <f t="shared" ca="1" si="522"/>
        <v>L02-THE-DOT-S066-06</v>
      </c>
      <c r="E2712" t="str">
        <f t="shared" ca="1" si="523"/>
        <v>Family Type: 975w x 3050h, Family: Window External Type 1 - Recessed</v>
      </c>
      <c r="F2712" t="str">
        <f t="shared" ca="1" si="524"/>
        <v>Vector(X = 0.873, Y = 0.489, Z = 0.000, Length = 1.000)</v>
      </c>
      <c r="G2712">
        <f t="shared" ca="1" si="525"/>
        <v>0.9</v>
      </c>
      <c r="H2712">
        <f t="shared" ca="1" si="526"/>
        <v>0.5</v>
      </c>
      <c r="I2712">
        <f t="shared" ca="1" si="527"/>
        <v>0</v>
      </c>
      <c r="J2712" s="8">
        <f t="shared" ca="1" si="528"/>
        <v>29.054604099077146</v>
      </c>
      <c r="K2712" s="9" t="str">
        <f t="shared" ca="1" si="529"/>
        <v>E</v>
      </c>
      <c r="L2712">
        <f ca="1">+_xlfn.IFNA(VLOOKUP(M2712,BespokeWindowsAreas!$B$2:$E$1999,4,FALSE),VLOOKUP(E2712,WindowTypeArea!$B$2:$C$113,2,FALSE))</f>
        <v>2.9737499999999999</v>
      </c>
      <c r="M2712">
        <f t="shared" ca="1" si="532"/>
        <v>5512123</v>
      </c>
    </row>
    <row r="2713" spans="1:13" x14ac:dyDescent="0.25">
      <c r="A2713">
        <f t="shared" ca="1" si="530"/>
        <v>14</v>
      </c>
      <c r="B2713">
        <f t="shared" ca="1" si="531"/>
        <v>96</v>
      </c>
      <c r="C2713" t="str">
        <f t="shared" ca="1" si="521"/>
        <v>'WINDOWS-NCH-A-OCMA-M3-02-0'!B95</v>
      </c>
      <c r="D2713" s="6" t="str">
        <f t="shared" ca="1" si="522"/>
        <v>L02-THE-DOT-S066-06</v>
      </c>
      <c r="E2713" t="str">
        <f t="shared" ca="1" si="523"/>
        <v>Family Type: 1950w x 3050h, Family: Window External Type 1 - Recessed</v>
      </c>
      <c r="F2713" t="str">
        <f t="shared" ca="1" si="524"/>
        <v>Vector(X = 0.873, Y = 0.489, Z = 0.000, Length = 1.000)</v>
      </c>
      <c r="G2713">
        <f t="shared" ca="1" si="525"/>
        <v>0.9</v>
      </c>
      <c r="H2713">
        <f t="shared" ca="1" si="526"/>
        <v>0.5</v>
      </c>
      <c r="I2713">
        <f t="shared" ca="1" si="527"/>
        <v>0</v>
      </c>
      <c r="J2713" s="8">
        <f t="shared" ca="1" si="528"/>
        <v>29.054604099077146</v>
      </c>
      <c r="K2713" s="9" t="str">
        <f t="shared" ca="1" si="529"/>
        <v>E</v>
      </c>
      <c r="L2713">
        <f ca="1">+_xlfn.IFNA(VLOOKUP(M2713,BespokeWindowsAreas!$B$2:$E$1999,4,FALSE),VLOOKUP(E2713,WindowTypeArea!$B$2:$C$113,2,FALSE))</f>
        <v>5.9474999999999998</v>
      </c>
      <c r="M2713">
        <f t="shared" ca="1" si="532"/>
        <v>5512193</v>
      </c>
    </row>
    <row r="2714" spans="1:13" x14ac:dyDescent="0.25">
      <c r="A2714">
        <f t="shared" ca="1" si="530"/>
        <v>14</v>
      </c>
      <c r="B2714">
        <f t="shared" ca="1" si="531"/>
        <v>97</v>
      </c>
      <c r="C2714" t="str">
        <f t="shared" ca="1" si="521"/>
        <v>'WINDOWS-NCH-A-OCMA-M3-02-0'!B96</v>
      </c>
      <c r="D2714" s="6" t="str">
        <f t="shared" ca="1" si="522"/>
        <v>L02-THE-DOT-S066-08</v>
      </c>
      <c r="E2714" t="str">
        <f t="shared" ca="1" si="523"/>
        <v>L02-THE-DOT-S066-08</v>
      </c>
      <c r="F2714">
        <f t="shared" ca="1" si="524"/>
        <v>1809815</v>
      </c>
      <c r="G2714">
        <f t="shared" ca="1" si="525"/>
        <v>0</v>
      </c>
      <c r="H2714">
        <f t="shared" ca="1" si="526"/>
        <v>0</v>
      </c>
      <c r="I2714">
        <f t="shared" ca="1" si="527"/>
        <v>0</v>
      </c>
      <c r="J2714" s="8" t="e">
        <f t="shared" ca="1" si="528"/>
        <v>#DIV/0!</v>
      </c>
      <c r="K2714" s="9" t="e">
        <f t="shared" ca="1" si="529"/>
        <v>#DIV/0!</v>
      </c>
      <c r="L2714" t="e">
        <f ca="1">+_xlfn.IFNA(VLOOKUP(M2714,BespokeWindowsAreas!$B$2:$E$1999,4,FALSE),VLOOKUP(E2714,WindowTypeArea!$B$2:$C$113,2,FALSE))</f>
        <v>#N/A</v>
      </c>
      <c r="M2714">
        <f t="shared" ca="1" si="532"/>
        <v>0</v>
      </c>
    </row>
    <row r="2715" spans="1:13" x14ac:dyDescent="0.25">
      <c r="A2715">
        <f t="shared" ca="1" si="530"/>
        <v>14</v>
      </c>
      <c r="B2715">
        <f t="shared" ca="1" si="531"/>
        <v>98</v>
      </c>
      <c r="C2715" t="str">
        <f t="shared" ca="1" si="521"/>
        <v>'WINDOWS-NCH-A-OCMA-M3-02-0'!B97</v>
      </c>
      <c r="D2715" s="6" t="str">
        <f t="shared" ca="1" si="522"/>
        <v>L02-THE-DOT-S066-08</v>
      </c>
      <c r="E2715" t="str">
        <f t="shared" ca="1" si="523"/>
        <v>Family Type: 1500w x 3050h, Family: Window Internal Type 1 - Flush</v>
      </c>
      <c r="F2715" t="str">
        <f t="shared" ca="1" si="524"/>
        <v>Vector(X = -0.872, Y = -0.489, Z = 0.000, Length = 1.000)</v>
      </c>
      <c r="G2715">
        <f t="shared" ca="1" si="525"/>
        <v>-0.9</v>
      </c>
      <c r="H2715">
        <f t="shared" ca="1" si="526"/>
        <v>-0.5</v>
      </c>
      <c r="I2715">
        <f t="shared" ca="1" si="527"/>
        <v>0</v>
      </c>
      <c r="J2715" s="8">
        <f t="shared" ca="1" si="528"/>
        <v>-150.94539590092285</v>
      </c>
      <c r="K2715" s="9" t="str">
        <f t="shared" ca="1" si="529"/>
        <v>W</v>
      </c>
      <c r="L2715">
        <f ca="1">+_xlfn.IFNA(VLOOKUP(M2715,BespokeWindowsAreas!$B$2:$E$1999,4,FALSE),VLOOKUP(E2715,WindowTypeArea!$B$2:$C$113,2,FALSE))</f>
        <v>4.5749999999999993</v>
      </c>
      <c r="M2715">
        <f t="shared" ca="1" si="532"/>
        <v>6102615</v>
      </c>
    </row>
    <row r="2716" spans="1:13" x14ac:dyDescent="0.25">
      <c r="A2716">
        <f t="shared" ca="1" si="530"/>
        <v>14</v>
      </c>
      <c r="B2716">
        <f t="shared" ca="1" si="531"/>
        <v>99</v>
      </c>
      <c r="C2716" t="str">
        <f t="shared" ca="1" si="521"/>
        <v>'WINDOWS-NCH-A-OCMA-M3-02-0'!B98</v>
      </c>
      <c r="D2716" s="6" t="str">
        <f t="shared" ca="1" si="522"/>
        <v>L02-THE-DOT-S066-08</v>
      </c>
      <c r="E2716" t="str">
        <f t="shared" ca="1" si="523"/>
        <v>Family Type: 975w x 3050h, Family: Window Internal Type 1 - Flush</v>
      </c>
      <c r="F2716" t="str">
        <f t="shared" ca="1" si="524"/>
        <v>Vector(X = -0.872, Y = -0.489, Z = 0.000, Length = 1.000)</v>
      </c>
      <c r="G2716">
        <f t="shared" ca="1" si="525"/>
        <v>-0.9</v>
      </c>
      <c r="H2716">
        <f t="shared" ca="1" si="526"/>
        <v>-0.5</v>
      </c>
      <c r="I2716">
        <f t="shared" ca="1" si="527"/>
        <v>0</v>
      </c>
      <c r="J2716" s="8">
        <f t="shared" ca="1" si="528"/>
        <v>-150.94539590092285</v>
      </c>
      <c r="K2716" s="9" t="str">
        <f t="shared" ca="1" si="529"/>
        <v>W</v>
      </c>
      <c r="L2716">
        <f ca="1">+_xlfn.IFNA(VLOOKUP(M2716,BespokeWindowsAreas!$B$2:$E$1999,4,FALSE),VLOOKUP(E2716,WindowTypeArea!$B$2:$C$113,2,FALSE))</f>
        <v>2.9737499999999999</v>
      </c>
      <c r="M2716">
        <f t="shared" ca="1" si="532"/>
        <v>6310106</v>
      </c>
    </row>
    <row r="2717" spans="1:13" x14ac:dyDescent="0.25">
      <c r="A2717">
        <f t="shared" ca="1" si="530"/>
        <v>14</v>
      </c>
      <c r="B2717">
        <f t="shared" ca="1" si="531"/>
        <v>100</v>
      </c>
      <c r="C2717" t="str">
        <f t="shared" ca="1" si="521"/>
        <v>'WINDOWS-NCH-A-OCMA-M3-02-0'!B99</v>
      </c>
      <c r="D2717" s="6" t="str">
        <f t="shared" ca="1" si="522"/>
        <v>L02-THE-DOT-S066-10</v>
      </c>
      <c r="E2717" t="str">
        <f t="shared" ca="1" si="523"/>
        <v>L02-THE-DOT-S066-10</v>
      </c>
      <c r="F2717">
        <f t="shared" ca="1" si="524"/>
        <v>1809816</v>
      </c>
      <c r="G2717">
        <f t="shared" ca="1" si="525"/>
        <v>0</v>
      </c>
      <c r="H2717">
        <f t="shared" ca="1" si="526"/>
        <v>0</v>
      </c>
      <c r="I2717">
        <f t="shared" ca="1" si="527"/>
        <v>0</v>
      </c>
      <c r="J2717" s="8" t="e">
        <f t="shared" ca="1" si="528"/>
        <v>#DIV/0!</v>
      </c>
      <c r="K2717" s="9" t="e">
        <f t="shared" ca="1" si="529"/>
        <v>#DIV/0!</v>
      </c>
      <c r="L2717" t="e">
        <f ca="1">+_xlfn.IFNA(VLOOKUP(M2717,BespokeWindowsAreas!$B$2:$E$1999,4,FALSE),VLOOKUP(E2717,WindowTypeArea!$B$2:$C$113,2,FALSE))</f>
        <v>#N/A</v>
      </c>
      <c r="M2717">
        <f t="shared" ca="1" si="532"/>
        <v>0</v>
      </c>
    </row>
    <row r="2718" spans="1:13" x14ac:dyDescent="0.25">
      <c r="A2718">
        <f t="shared" ca="1" si="530"/>
        <v>14</v>
      </c>
      <c r="B2718">
        <f t="shared" ca="1" si="531"/>
        <v>101</v>
      </c>
      <c r="C2718" t="str">
        <f t="shared" ca="1" si="521"/>
        <v>'WINDOWS-NCH-A-OCMA-M3-02-0'!B100</v>
      </c>
      <c r="D2718" s="6" t="str">
        <f t="shared" ca="1" si="522"/>
        <v>L02-THE-DOT-S066-10</v>
      </c>
      <c r="E2718" t="str">
        <f t="shared" ca="1" si="523"/>
        <v>Family Type: 1950w x 3050h, Family: Window Internal Type 1 - Flush</v>
      </c>
      <c r="F2718" t="str">
        <f t="shared" ca="1" si="524"/>
        <v>Vector(X = -0.872, Y = -0.489, Z = 0.000, Length = 1.000)</v>
      </c>
      <c r="G2718">
        <f t="shared" ca="1" si="525"/>
        <v>-0.9</v>
      </c>
      <c r="H2718">
        <f t="shared" ca="1" si="526"/>
        <v>-0.5</v>
      </c>
      <c r="I2718">
        <f t="shared" ca="1" si="527"/>
        <v>0</v>
      </c>
      <c r="J2718" s="8">
        <f t="shared" ca="1" si="528"/>
        <v>-150.94539590092285</v>
      </c>
      <c r="K2718" s="9" t="str">
        <f t="shared" ca="1" si="529"/>
        <v>W</v>
      </c>
      <c r="L2718">
        <f ca="1">+_xlfn.IFNA(VLOOKUP(M2718,BespokeWindowsAreas!$B$2:$E$1999,4,FALSE),VLOOKUP(E2718,WindowTypeArea!$B$2:$C$113,2,FALSE))</f>
        <v>5.9474999999999998</v>
      </c>
      <c r="M2718">
        <f t="shared" ca="1" si="532"/>
        <v>6102763</v>
      </c>
    </row>
    <row r="2719" spans="1:13" x14ac:dyDescent="0.25">
      <c r="A2719">
        <f t="shared" ca="1" si="530"/>
        <v>14</v>
      </c>
      <c r="B2719">
        <f t="shared" ca="1" si="531"/>
        <v>102</v>
      </c>
      <c r="C2719" t="str">
        <f t="shared" ca="1" si="521"/>
        <v>'WINDOWS-NCH-A-OCMA-M3-02-0'!B101</v>
      </c>
      <c r="D2719" s="6" t="str">
        <f t="shared" ca="1" si="522"/>
        <v>L02-THE-DOT-S066-10</v>
      </c>
      <c r="E2719" t="str">
        <f t="shared" ca="1" si="523"/>
        <v>Family Type: 975w x 3050h, Family: Window Internal Type 1 - Flush</v>
      </c>
      <c r="F2719" t="str">
        <f t="shared" ca="1" si="524"/>
        <v>Vector(X = -0.872, Y = -0.489, Z = 0.000, Length = 1.000)</v>
      </c>
      <c r="G2719">
        <f t="shared" ca="1" si="525"/>
        <v>-0.9</v>
      </c>
      <c r="H2719">
        <f t="shared" ca="1" si="526"/>
        <v>-0.5</v>
      </c>
      <c r="I2719">
        <f t="shared" ca="1" si="527"/>
        <v>0</v>
      </c>
      <c r="J2719" s="8">
        <f t="shared" ca="1" si="528"/>
        <v>-150.94539590092285</v>
      </c>
      <c r="K2719" s="9" t="str">
        <f t="shared" ca="1" si="529"/>
        <v>W</v>
      </c>
      <c r="L2719">
        <f ca="1">+_xlfn.IFNA(VLOOKUP(M2719,BespokeWindowsAreas!$B$2:$E$1999,4,FALSE),VLOOKUP(E2719,WindowTypeArea!$B$2:$C$113,2,FALSE))</f>
        <v>2.9737499999999999</v>
      </c>
      <c r="M2719">
        <f t="shared" ca="1" si="532"/>
        <v>6310548</v>
      </c>
    </row>
    <row r="2720" spans="1:13" x14ac:dyDescent="0.25">
      <c r="A2720">
        <f t="shared" ca="1" si="530"/>
        <v>14</v>
      </c>
      <c r="B2720">
        <f t="shared" ca="1" si="531"/>
        <v>103</v>
      </c>
      <c r="C2720" t="str">
        <f t="shared" ca="1" si="521"/>
        <v>'WINDOWS-NCH-A-OCMA-M3-02-0'!B102</v>
      </c>
      <c r="D2720" s="6" t="str">
        <f t="shared" ca="1" si="522"/>
        <v>L02-THE-DOT-S066-12</v>
      </c>
      <c r="E2720" t="str">
        <f t="shared" ca="1" si="523"/>
        <v>L02-THE-DOT-S066-12</v>
      </c>
      <c r="F2720">
        <f t="shared" ca="1" si="524"/>
        <v>1809817</v>
      </c>
      <c r="G2720">
        <f t="shared" ca="1" si="525"/>
        <v>0</v>
      </c>
      <c r="H2720">
        <f t="shared" ca="1" si="526"/>
        <v>0</v>
      </c>
      <c r="I2720">
        <f t="shared" ca="1" si="527"/>
        <v>0</v>
      </c>
      <c r="J2720" s="8" t="e">
        <f t="shared" ca="1" si="528"/>
        <v>#DIV/0!</v>
      </c>
      <c r="K2720" s="9" t="e">
        <f t="shared" ca="1" si="529"/>
        <v>#DIV/0!</v>
      </c>
      <c r="L2720" t="e">
        <f ca="1">+_xlfn.IFNA(VLOOKUP(M2720,BespokeWindowsAreas!$B$2:$E$1999,4,FALSE),VLOOKUP(E2720,WindowTypeArea!$B$2:$C$113,2,FALSE))</f>
        <v>#N/A</v>
      </c>
      <c r="M2720">
        <f t="shared" ca="1" si="532"/>
        <v>0</v>
      </c>
    </row>
    <row r="2721" spans="1:13" x14ac:dyDescent="0.25">
      <c r="A2721">
        <f t="shared" ca="1" si="530"/>
        <v>14</v>
      </c>
      <c r="B2721">
        <f t="shared" ca="1" si="531"/>
        <v>104</v>
      </c>
      <c r="C2721" t="str">
        <f t="shared" ca="1" si="521"/>
        <v>'WINDOWS-NCH-A-OCMA-M3-02-0'!B103</v>
      </c>
      <c r="D2721" s="6" t="str">
        <f t="shared" ca="1" si="522"/>
        <v>L02-THE-DOT-S066-12</v>
      </c>
      <c r="E2721" t="str">
        <f t="shared" ca="1" si="523"/>
        <v>Family Type: 1950w x 3050h, Family: Window Internal Type 1 - Flush</v>
      </c>
      <c r="F2721" t="str">
        <f t="shared" ca="1" si="524"/>
        <v>Vector(X = -0.872, Y = -0.489, Z = 0.000, Length = 1.000)</v>
      </c>
      <c r="G2721">
        <f t="shared" ca="1" si="525"/>
        <v>-0.9</v>
      </c>
      <c r="H2721">
        <f t="shared" ca="1" si="526"/>
        <v>-0.5</v>
      </c>
      <c r="I2721">
        <f t="shared" ca="1" si="527"/>
        <v>0</v>
      </c>
      <c r="J2721" s="8">
        <f t="shared" ca="1" si="528"/>
        <v>-150.94539590092285</v>
      </c>
      <c r="K2721" s="9" t="str">
        <f t="shared" ca="1" si="529"/>
        <v>W</v>
      </c>
      <c r="L2721">
        <f ca="1">+_xlfn.IFNA(VLOOKUP(M2721,BespokeWindowsAreas!$B$2:$E$1999,4,FALSE),VLOOKUP(E2721,WindowTypeArea!$B$2:$C$113,2,FALSE))</f>
        <v>5.9474999999999998</v>
      </c>
      <c r="M2721">
        <f t="shared" ca="1" si="532"/>
        <v>6310897</v>
      </c>
    </row>
    <row r="2722" spans="1:13" x14ac:dyDescent="0.25">
      <c r="A2722">
        <f t="shared" ca="1" si="530"/>
        <v>14</v>
      </c>
      <c r="B2722">
        <f t="shared" ca="1" si="531"/>
        <v>105</v>
      </c>
      <c r="C2722" t="str">
        <f t="shared" ca="1" si="521"/>
        <v>'WINDOWS-NCH-A-OCMA-M3-02-0'!B104</v>
      </c>
      <c r="D2722" s="6" t="str">
        <f t="shared" ca="1" si="522"/>
        <v>L02-THE-DOT-S066-12</v>
      </c>
      <c r="E2722" t="str">
        <f t="shared" ca="1" si="523"/>
        <v>Family Type: 975w x 3050h, Family: Window Internal Type 1 - Flush</v>
      </c>
      <c r="F2722" t="str">
        <f t="shared" ca="1" si="524"/>
        <v>Vector(X = -0.872, Y = -0.489, Z = 0.000, Length = 1.000)</v>
      </c>
      <c r="G2722">
        <f t="shared" ca="1" si="525"/>
        <v>-0.9</v>
      </c>
      <c r="H2722">
        <f t="shared" ca="1" si="526"/>
        <v>-0.5</v>
      </c>
      <c r="I2722">
        <f t="shared" ca="1" si="527"/>
        <v>0</v>
      </c>
      <c r="J2722" s="8">
        <f t="shared" ca="1" si="528"/>
        <v>-150.94539590092285</v>
      </c>
      <c r="K2722" s="9" t="str">
        <f t="shared" ca="1" si="529"/>
        <v>W</v>
      </c>
      <c r="L2722">
        <f ca="1">+_xlfn.IFNA(VLOOKUP(M2722,BespokeWindowsAreas!$B$2:$E$1999,4,FALSE),VLOOKUP(E2722,WindowTypeArea!$B$2:$C$113,2,FALSE))</f>
        <v>2.9737499999999999</v>
      </c>
      <c r="M2722">
        <f t="shared" ca="1" si="532"/>
        <v>6311039</v>
      </c>
    </row>
    <row r="2723" spans="1:13" x14ac:dyDescent="0.25">
      <c r="A2723">
        <f t="shared" ca="1" si="530"/>
        <v>14</v>
      </c>
      <c r="B2723">
        <f t="shared" ca="1" si="531"/>
        <v>106</v>
      </c>
      <c r="C2723" t="str">
        <f t="shared" ca="1" si="521"/>
        <v>'WINDOWS-NCH-A-OCMA-M3-02-0'!B105</v>
      </c>
      <c r="D2723" s="6" t="str">
        <f t="shared" ca="1" si="522"/>
        <v>L02-THE-DOT-S066-13</v>
      </c>
      <c r="E2723" t="str">
        <f t="shared" ca="1" si="523"/>
        <v>L02-THE-DOT-S066-13</v>
      </c>
      <c r="F2723">
        <f t="shared" ca="1" si="524"/>
        <v>1809818</v>
      </c>
      <c r="G2723">
        <f t="shared" ca="1" si="525"/>
        <v>0</v>
      </c>
      <c r="H2723">
        <f t="shared" ca="1" si="526"/>
        <v>0</v>
      </c>
      <c r="I2723">
        <f t="shared" ca="1" si="527"/>
        <v>0</v>
      </c>
      <c r="J2723" s="8" t="e">
        <f t="shared" ca="1" si="528"/>
        <v>#DIV/0!</v>
      </c>
      <c r="K2723" s="9" t="e">
        <f t="shared" ca="1" si="529"/>
        <v>#DIV/0!</v>
      </c>
      <c r="L2723" t="e">
        <f ca="1">+_xlfn.IFNA(VLOOKUP(M2723,BespokeWindowsAreas!$B$2:$E$1999,4,FALSE),VLOOKUP(E2723,WindowTypeArea!$B$2:$C$113,2,FALSE))</f>
        <v>#N/A</v>
      </c>
      <c r="M2723">
        <f t="shared" ca="1" si="532"/>
        <v>0</v>
      </c>
    </row>
    <row r="2724" spans="1:13" x14ac:dyDescent="0.25">
      <c r="A2724">
        <f t="shared" ca="1" si="530"/>
        <v>14</v>
      </c>
      <c r="B2724">
        <f t="shared" ca="1" si="531"/>
        <v>107</v>
      </c>
      <c r="C2724" t="str">
        <f t="shared" ca="1" si="521"/>
        <v>'WINDOWS-NCH-A-OCMA-M3-02-0'!B106</v>
      </c>
      <c r="D2724" s="6" t="str">
        <f t="shared" ca="1" si="522"/>
        <v>L02-THE-DOT-S066-13</v>
      </c>
      <c r="E2724" t="str">
        <f t="shared" ca="1" si="523"/>
        <v>Family Type: 1950w x 3050h, Family: Window External Type 1 - Recessed</v>
      </c>
      <c r="F2724" t="str">
        <f t="shared" ca="1" si="524"/>
        <v>Vector(X = 0.977, Y = 0.212, Z = 0.000, Length = 1.000)</v>
      </c>
      <c r="G2724">
        <f t="shared" ca="1" si="525"/>
        <v>1</v>
      </c>
      <c r="H2724">
        <f t="shared" ca="1" si="526"/>
        <v>0.2</v>
      </c>
      <c r="I2724">
        <f t="shared" ca="1" si="527"/>
        <v>0</v>
      </c>
      <c r="J2724" s="8">
        <f t="shared" ca="1" si="528"/>
        <v>11.309932474020215</v>
      </c>
      <c r="K2724" s="9" t="str">
        <f t="shared" ca="1" si="529"/>
        <v>E</v>
      </c>
      <c r="L2724">
        <f ca="1">+_xlfn.IFNA(VLOOKUP(M2724,BespokeWindowsAreas!$B$2:$E$1999,4,FALSE),VLOOKUP(E2724,WindowTypeArea!$B$2:$C$113,2,FALSE))</f>
        <v>5.9474999999999998</v>
      </c>
      <c r="M2724">
        <f t="shared" ca="1" si="532"/>
        <v>4940647</v>
      </c>
    </row>
    <row r="2725" spans="1:13" x14ac:dyDescent="0.25">
      <c r="A2725">
        <f t="shared" ca="1" si="530"/>
        <v>14</v>
      </c>
      <c r="B2725">
        <f t="shared" ca="1" si="531"/>
        <v>108</v>
      </c>
      <c r="C2725" t="str">
        <f t="shared" ca="1" si="521"/>
        <v>'WINDOWS-NCH-A-OCMA-M3-02-0'!B107</v>
      </c>
      <c r="D2725" s="6" t="str">
        <f t="shared" ca="1" si="522"/>
        <v>L02-THE-DOT-S066-13</v>
      </c>
      <c r="E2725" t="str">
        <f t="shared" ca="1" si="523"/>
        <v>Family Type: 975w x 3050h, Family: Window External Type 1 - Recessed</v>
      </c>
      <c r="F2725" t="str">
        <f t="shared" ca="1" si="524"/>
        <v>Vector(X = 0.977, Y = 0.212, Z = 0.000, Length = 1.000)</v>
      </c>
      <c r="G2725">
        <f t="shared" ca="1" si="525"/>
        <v>1</v>
      </c>
      <c r="H2725">
        <f t="shared" ca="1" si="526"/>
        <v>0.2</v>
      </c>
      <c r="I2725">
        <f t="shared" ca="1" si="527"/>
        <v>0</v>
      </c>
      <c r="J2725" s="8">
        <f t="shared" ca="1" si="528"/>
        <v>11.309932474020215</v>
      </c>
      <c r="K2725" s="9" t="str">
        <f t="shared" ca="1" si="529"/>
        <v>E</v>
      </c>
      <c r="L2725">
        <f ca="1">+_xlfn.IFNA(VLOOKUP(M2725,BespokeWindowsAreas!$B$2:$E$1999,4,FALSE),VLOOKUP(E2725,WindowTypeArea!$B$2:$C$113,2,FALSE))</f>
        <v>2.9737499999999999</v>
      </c>
      <c r="M2725">
        <f t="shared" ca="1" si="532"/>
        <v>5509972</v>
      </c>
    </row>
    <row r="2726" spans="1:13" x14ac:dyDescent="0.25">
      <c r="A2726">
        <f t="shared" ca="1" si="530"/>
        <v>14</v>
      </c>
      <c r="B2726">
        <f t="shared" ca="1" si="531"/>
        <v>109</v>
      </c>
      <c r="C2726" t="str">
        <f t="shared" ca="1" si="521"/>
        <v>'WINDOWS-NCH-A-OCMA-M3-02-0'!B108</v>
      </c>
      <c r="D2726" s="6" t="str">
        <f t="shared" ca="1" si="522"/>
        <v>L02-THE-DOT-U0568-02</v>
      </c>
      <c r="E2726" t="str">
        <f t="shared" ca="1" si="523"/>
        <v>L02-THE-DOT-U0568-02</v>
      </c>
      <c r="F2726">
        <f t="shared" ca="1" si="524"/>
        <v>1809846</v>
      </c>
      <c r="G2726">
        <f t="shared" ca="1" si="525"/>
        <v>0</v>
      </c>
      <c r="H2726">
        <f t="shared" ca="1" si="526"/>
        <v>0</v>
      </c>
      <c r="I2726">
        <f t="shared" ca="1" si="527"/>
        <v>0</v>
      </c>
      <c r="J2726" s="8" t="e">
        <f t="shared" ca="1" si="528"/>
        <v>#DIV/0!</v>
      </c>
      <c r="K2726" s="9" t="e">
        <f t="shared" ca="1" si="529"/>
        <v>#DIV/0!</v>
      </c>
      <c r="L2726" t="e">
        <f ca="1">+_xlfn.IFNA(VLOOKUP(M2726,BespokeWindowsAreas!$B$2:$E$1999,4,FALSE),VLOOKUP(E2726,WindowTypeArea!$B$2:$C$113,2,FALSE))</f>
        <v>#N/A</v>
      </c>
      <c r="M2726">
        <f t="shared" ca="1" si="532"/>
        <v>0</v>
      </c>
    </row>
    <row r="2727" spans="1:13" x14ac:dyDescent="0.25">
      <c r="A2727">
        <f t="shared" ca="1" si="530"/>
        <v>14</v>
      </c>
      <c r="B2727">
        <f t="shared" ca="1" si="531"/>
        <v>110</v>
      </c>
      <c r="C2727" t="str">
        <f t="shared" ca="1" si="521"/>
        <v>'WINDOWS-NCH-A-OCMA-M3-02-0'!B109</v>
      </c>
      <c r="D2727" s="6" t="str">
        <f t="shared" ca="1" si="522"/>
        <v>L02-THE-DOT-U0568-02</v>
      </c>
      <c r="E2727" t="str">
        <f t="shared" ca="1" si="523"/>
        <v>Family Type: 1950w x 3050h, Family: Window External Type 3 - Recessed and Angle</v>
      </c>
      <c r="F2727" t="str">
        <f t="shared" ca="1" si="524"/>
        <v>Vector(X = -0.212, Y = 0.977, Z = 0.000, Length = 1.000)</v>
      </c>
      <c r="G2727">
        <f t="shared" ca="1" si="525"/>
        <v>-0.2</v>
      </c>
      <c r="H2727">
        <f t="shared" ca="1" si="526"/>
        <v>1</v>
      </c>
      <c r="I2727">
        <f t="shared" ca="1" si="527"/>
        <v>0</v>
      </c>
      <c r="J2727" s="8">
        <f t="shared" ca="1" si="528"/>
        <v>101.3099324740202</v>
      </c>
      <c r="K2727" s="9" t="str">
        <f t="shared" ca="1" si="529"/>
        <v>N</v>
      </c>
      <c r="L2727">
        <f ca="1">+_xlfn.IFNA(VLOOKUP(M2727,BespokeWindowsAreas!$B$2:$E$1999,4,FALSE),VLOOKUP(E2727,WindowTypeArea!$B$2:$C$113,2,FALSE))</f>
        <v>5.9474999999999998</v>
      </c>
      <c r="M2727">
        <f t="shared" ca="1" si="532"/>
        <v>4306485</v>
      </c>
    </row>
    <row r="2728" spans="1:13" x14ac:dyDescent="0.25">
      <c r="A2728">
        <f t="shared" ca="1" si="530"/>
        <v>14</v>
      </c>
      <c r="B2728">
        <f t="shared" ca="1" si="531"/>
        <v>111</v>
      </c>
      <c r="C2728" t="str">
        <f t="shared" ca="1" si="521"/>
        <v>'WINDOWS-NCH-A-OCMA-M3-02-0'!B110</v>
      </c>
      <c r="D2728" s="6" t="str">
        <f t="shared" ca="1" si="522"/>
        <v>L02-THE-DOT-U0568-02</v>
      </c>
      <c r="E2728" t="str">
        <f t="shared" ca="1" si="523"/>
        <v>Family Type: 1000w x 3050h, Family: Window External Type 2 - Recessed and Fin</v>
      </c>
      <c r="F2728" t="str">
        <f t="shared" ca="1" si="524"/>
        <v>Vector(X = -0.212, Y = 0.977, Z = 0.000, Length = 1.000)</v>
      </c>
      <c r="G2728">
        <f t="shared" ca="1" si="525"/>
        <v>-0.2</v>
      </c>
      <c r="H2728">
        <f t="shared" ca="1" si="526"/>
        <v>1</v>
      </c>
      <c r="I2728">
        <f t="shared" ca="1" si="527"/>
        <v>0</v>
      </c>
      <c r="J2728" s="8">
        <f t="shared" ca="1" si="528"/>
        <v>101.3099324740202</v>
      </c>
      <c r="K2728" s="9" t="str">
        <f t="shared" ca="1" si="529"/>
        <v>N</v>
      </c>
      <c r="L2728">
        <f ca="1">+_xlfn.IFNA(VLOOKUP(M2728,BespokeWindowsAreas!$B$2:$E$1999,4,FALSE),VLOOKUP(E2728,WindowTypeArea!$B$2:$C$113,2,FALSE))</f>
        <v>3.05</v>
      </c>
      <c r="M2728">
        <f t="shared" ca="1" si="532"/>
        <v>4306487</v>
      </c>
    </row>
    <row r="2729" spans="1:13" x14ac:dyDescent="0.25">
      <c r="A2729">
        <f t="shared" ca="1" si="530"/>
        <v>14</v>
      </c>
      <c r="B2729">
        <f t="shared" ca="1" si="531"/>
        <v>112</v>
      </c>
      <c r="C2729" t="str">
        <f t="shared" ca="1" si="521"/>
        <v>'WINDOWS-NCH-A-OCMA-M3-02-0'!B111</v>
      </c>
      <c r="D2729" s="6" t="str">
        <f t="shared" ca="1" si="522"/>
        <v>L02-THE-DOT-S114-08</v>
      </c>
      <c r="E2729" t="str">
        <f t="shared" ca="1" si="523"/>
        <v>L02-THE-DOT-S114-08</v>
      </c>
      <c r="F2729">
        <f t="shared" ca="1" si="524"/>
        <v>1809851</v>
      </c>
      <c r="G2729">
        <f t="shared" ca="1" si="525"/>
        <v>0</v>
      </c>
      <c r="H2729">
        <f t="shared" ca="1" si="526"/>
        <v>0</v>
      </c>
      <c r="I2729">
        <f t="shared" ca="1" si="527"/>
        <v>0</v>
      </c>
      <c r="J2729" s="8" t="e">
        <f t="shared" ca="1" si="528"/>
        <v>#DIV/0!</v>
      </c>
      <c r="K2729" s="9" t="e">
        <f t="shared" ca="1" si="529"/>
        <v>#DIV/0!</v>
      </c>
      <c r="L2729" t="e">
        <f ca="1">+_xlfn.IFNA(VLOOKUP(M2729,BespokeWindowsAreas!$B$2:$E$1999,4,FALSE),VLOOKUP(E2729,WindowTypeArea!$B$2:$C$113,2,FALSE))</f>
        <v>#N/A</v>
      </c>
      <c r="M2729">
        <f t="shared" ca="1" si="532"/>
        <v>0</v>
      </c>
    </row>
    <row r="2730" spans="1:13" x14ac:dyDescent="0.25">
      <c r="A2730">
        <f t="shared" ca="1" si="530"/>
        <v>14</v>
      </c>
      <c r="B2730">
        <f t="shared" ca="1" si="531"/>
        <v>113</v>
      </c>
      <c r="C2730" t="str">
        <f t="shared" ca="1" si="521"/>
        <v>'WINDOWS-NCH-A-OCMA-M3-02-0'!B112</v>
      </c>
      <c r="D2730" s="6" t="str">
        <f t="shared" ca="1" si="522"/>
        <v>L02-THE-DOT-S114-08</v>
      </c>
      <c r="E2730" t="str">
        <f t="shared" ca="1" si="523"/>
        <v>Family Type: 1950w x 3050h, Family: Window External Type 3 - Recessed and Angle</v>
      </c>
      <c r="F2730" t="str">
        <f t="shared" ca="1" si="524"/>
        <v>Vector(X = 0.212, Y = -0.977, Z = 0.000, Length = 1.000)</v>
      </c>
      <c r="G2730">
        <f t="shared" ca="1" si="525"/>
        <v>0.2</v>
      </c>
      <c r="H2730">
        <f t="shared" ca="1" si="526"/>
        <v>-1</v>
      </c>
      <c r="I2730">
        <f t="shared" ca="1" si="527"/>
        <v>0</v>
      </c>
      <c r="J2730" s="8">
        <f t="shared" ca="1" si="528"/>
        <v>-78.690067525979785</v>
      </c>
      <c r="K2730" s="9" t="str">
        <f t="shared" ca="1" si="529"/>
        <v>S</v>
      </c>
      <c r="L2730">
        <f ca="1">+_xlfn.IFNA(VLOOKUP(M2730,BespokeWindowsAreas!$B$2:$E$1999,4,FALSE),VLOOKUP(E2730,WindowTypeArea!$B$2:$C$113,2,FALSE))</f>
        <v>5.9474999999999998</v>
      </c>
      <c r="M2730">
        <f t="shared" ca="1" si="532"/>
        <v>4928964</v>
      </c>
    </row>
    <row r="2731" spans="1:13" x14ac:dyDescent="0.25">
      <c r="A2731">
        <f t="shared" ca="1" si="530"/>
        <v>14</v>
      </c>
      <c r="B2731">
        <f t="shared" ca="1" si="531"/>
        <v>114</v>
      </c>
      <c r="C2731" t="str">
        <f t="shared" ca="1" si="521"/>
        <v>'WINDOWS-NCH-A-OCMA-M3-02-0'!B113</v>
      </c>
      <c r="D2731" s="6" t="str">
        <f t="shared" ca="1" si="522"/>
        <v>L02-THE-DOT-S114-08</v>
      </c>
      <c r="E2731" t="str">
        <f t="shared" ca="1" si="523"/>
        <v>Family Type: 1500w x 3050h, Family: Window External Type 3 - Recessed and Angle</v>
      </c>
      <c r="F2731" t="str">
        <f t="shared" ca="1" si="524"/>
        <v>Vector(X = 0.212, Y = -0.977, Z = 0.000, Length = 1.000)</v>
      </c>
      <c r="G2731">
        <f t="shared" ca="1" si="525"/>
        <v>0.2</v>
      </c>
      <c r="H2731">
        <f t="shared" ca="1" si="526"/>
        <v>-1</v>
      </c>
      <c r="I2731">
        <f t="shared" ca="1" si="527"/>
        <v>0</v>
      </c>
      <c r="J2731" s="8">
        <f t="shared" ca="1" si="528"/>
        <v>-78.690067525979785</v>
      </c>
      <c r="K2731" s="9" t="str">
        <f t="shared" ca="1" si="529"/>
        <v>S</v>
      </c>
      <c r="L2731">
        <f ca="1">+_xlfn.IFNA(VLOOKUP(M2731,BespokeWindowsAreas!$B$2:$E$1999,4,FALSE),VLOOKUP(E2731,WindowTypeArea!$B$2:$C$113,2,FALSE))</f>
        <v>4.5750000000000002</v>
      </c>
      <c r="M2731">
        <f t="shared" ca="1" si="532"/>
        <v>4929825</v>
      </c>
    </row>
    <row r="2732" spans="1:13" x14ac:dyDescent="0.25">
      <c r="A2732">
        <f t="shared" ca="1" si="530"/>
        <v>14</v>
      </c>
      <c r="B2732">
        <f t="shared" ca="1" si="531"/>
        <v>115</v>
      </c>
      <c r="C2732" t="str">
        <f t="shared" ca="1" si="521"/>
        <v>'WINDOWS-NCH-A-OCMA-M3-02-0'!B114</v>
      </c>
      <c r="D2732" s="6" t="str">
        <f t="shared" ca="1" si="522"/>
        <v>L02-THE-DOT-U0534-02</v>
      </c>
      <c r="E2732" t="str">
        <f t="shared" ca="1" si="523"/>
        <v>L02-THE-DOT-U0534-02</v>
      </c>
      <c r="F2732">
        <f t="shared" ca="1" si="524"/>
        <v>1809859</v>
      </c>
      <c r="G2732">
        <f t="shared" ca="1" si="525"/>
        <v>0</v>
      </c>
      <c r="H2732">
        <f t="shared" ca="1" si="526"/>
        <v>0</v>
      </c>
      <c r="I2732">
        <f t="shared" ca="1" si="527"/>
        <v>0</v>
      </c>
      <c r="J2732" s="8" t="e">
        <f t="shared" ca="1" si="528"/>
        <v>#DIV/0!</v>
      </c>
      <c r="K2732" s="9" t="e">
        <f t="shared" ca="1" si="529"/>
        <v>#DIV/0!</v>
      </c>
      <c r="L2732" t="e">
        <f ca="1">+_xlfn.IFNA(VLOOKUP(M2732,BespokeWindowsAreas!$B$2:$E$1999,4,FALSE),VLOOKUP(E2732,WindowTypeArea!$B$2:$C$113,2,FALSE))</f>
        <v>#N/A</v>
      </c>
      <c r="M2732">
        <f t="shared" ca="1" si="532"/>
        <v>0</v>
      </c>
    </row>
    <row r="2733" spans="1:13" x14ac:dyDescent="0.25">
      <c r="A2733">
        <f t="shared" ca="1" si="530"/>
        <v>14</v>
      </c>
      <c r="B2733">
        <f t="shared" ca="1" si="531"/>
        <v>116</v>
      </c>
      <c r="C2733" t="str">
        <f t="shared" ca="1" si="521"/>
        <v>'WINDOWS-NCH-A-OCMA-M3-02-0'!B115</v>
      </c>
      <c r="D2733" s="6" t="str">
        <f t="shared" ca="1" si="522"/>
        <v>L02-THE-DOT-U0534-02</v>
      </c>
      <c r="E2733" t="str">
        <f t="shared" ca="1" si="523"/>
        <v>Family Type: 1500w x 3050h, Family: Window External Type 1 - Recessed</v>
      </c>
      <c r="F2733" t="str">
        <f t="shared" ca="1" si="524"/>
        <v>Vector(X = 0.977, Y = 0.212, Z = 0.000, Length = 1.000)</v>
      </c>
      <c r="G2733">
        <f t="shared" ca="1" si="525"/>
        <v>1</v>
      </c>
      <c r="H2733">
        <f t="shared" ca="1" si="526"/>
        <v>0.2</v>
      </c>
      <c r="I2733">
        <f t="shared" ca="1" si="527"/>
        <v>0</v>
      </c>
      <c r="J2733" s="8">
        <f t="shared" ca="1" si="528"/>
        <v>11.309932474020215</v>
      </c>
      <c r="K2733" s="9" t="str">
        <f t="shared" ca="1" si="529"/>
        <v>E</v>
      </c>
      <c r="L2733">
        <f ca="1">+_xlfn.IFNA(VLOOKUP(M2733,BespokeWindowsAreas!$B$2:$E$1999,4,FALSE),VLOOKUP(E2733,WindowTypeArea!$B$2:$C$113,2,FALSE))</f>
        <v>4.5750000000000002</v>
      </c>
      <c r="M2733">
        <f t="shared" ca="1" si="532"/>
        <v>5021098</v>
      </c>
    </row>
    <row r="2734" spans="1:13" x14ac:dyDescent="0.25">
      <c r="A2734">
        <f t="shared" ca="1" si="530"/>
        <v>14</v>
      </c>
      <c r="B2734">
        <f t="shared" ca="1" si="531"/>
        <v>117</v>
      </c>
      <c r="C2734" t="str">
        <f t="shared" ca="1" si="521"/>
        <v>'WINDOWS-NCH-A-OCMA-M3-02-0'!B116</v>
      </c>
      <c r="D2734" s="6" t="str">
        <f t="shared" ca="1" si="522"/>
        <v>L02-THE-DOT-U0534-02</v>
      </c>
      <c r="E2734" t="str">
        <f t="shared" ca="1" si="523"/>
        <v>Family Type: 975w x 3050h, Family: Window External Type 1 - Recessed</v>
      </c>
      <c r="F2734" t="str">
        <f t="shared" ca="1" si="524"/>
        <v>Vector(X = 0.977, Y = 0.212, Z = 0.000, Length = 1.000)</v>
      </c>
      <c r="G2734">
        <f t="shared" ca="1" si="525"/>
        <v>1</v>
      </c>
      <c r="H2734">
        <f t="shared" ca="1" si="526"/>
        <v>0.2</v>
      </c>
      <c r="I2734">
        <f t="shared" ca="1" si="527"/>
        <v>0</v>
      </c>
      <c r="J2734" s="8">
        <f t="shared" ca="1" si="528"/>
        <v>11.309932474020215</v>
      </c>
      <c r="K2734" s="9" t="str">
        <f t="shared" ca="1" si="529"/>
        <v>E</v>
      </c>
      <c r="L2734">
        <f ca="1">+_xlfn.IFNA(VLOOKUP(M2734,BespokeWindowsAreas!$B$2:$E$1999,4,FALSE),VLOOKUP(E2734,WindowTypeArea!$B$2:$C$113,2,FALSE))</f>
        <v>2.9737499999999999</v>
      </c>
      <c r="M2734">
        <f t="shared" ca="1" si="532"/>
        <v>5502958</v>
      </c>
    </row>
    <row r="2735" spans="1:13" x14ac:dyDescent="0.25">
      <c r="A2735">
        <f t="shared" ca="1" si="530"/>
        <v>14</v>
      </c>
      <c r="B2735">
        <f t="shared" ca="1" si="531"/>
        <v>118</v>
      </c>
      <c r="C2735" t="str">
        <f t="shared" ca="1" si="521"/>
        <v>'WINDOWS-NCH-A-OCMA-M3-02-0'!B117</v>
      </c>
      <c r="D2735" s="6" t="str">
        <f t="shared" ca="1" si="522"/>
        <v>L02-THE-DOT-S004-03</v>
      </c>
      <c r="E2735" t="str">
        <f t="shared" ca="1" si="523"/>
        <v>L02-THE-DOT-S004-03</v>
      </c>
      <c r="F2735">
        <f t="shared" ca="1" si="524"/>
        <v>1809862</v>
      </c>
      <c r="G2735">
        <f t="shared" ca="1" si="525"/>
        <v>0</v>
      </c>
      <c r="H2735">
        <f t="shared" ca="1" si="526"/>
        <v>0</v>
      </c>
      <c r="I2735">
        <f t="shared" ca="1" si="527"/>
        <v>0</v>
      </c>
      <c r="J2735" s="8" t="e">
        <f t="shared" ca="1" si="528"/>
        <v>#DIV/0!</v>
      </c>
      <c r="K2735" s="9" t="e">
        <f t="shared" ca="1" si="529"/>
        <v>#DIV/0!</v>
      </c>
      <c r="L2735" t="e">
        <f ca="1">+_xlfn.IFNA(VLOOKUP(M2735,BespokeWindowsAreas!$B$2:$E$1999,4,FALSE),VLOOKUP(E2735,WindowTypeArea!$B$2:$C$113,2,FALSE))</f>
        <v>#N/A</v>
      </c>
      <c r="M2735">
        <f t="shared" ca="1" si="532"/>
        <v>0</v>
      </c>
    </row>
    <row r="2736" spans="1:13" x14ac:dyDescent="0.25">
      <c r="A2736">
        <f t="shared" ca="1" si="530"/>
        <v>14</v>
      </c>
      <c r="B2736">
        <f t="shared" ca="1" si="531"/>
        <v>119</v>
      </c>
      <c r="C2736" t="str">
        <f t="shared" ca="1" si="521"/>
        <v>'WINDOWS-NCH-A-OCMA-M3-02-0'!B118</v>
      </c>
      <c r="D2736" s="6" t="str">
        <f t="shared" ca="1" si="522"/>
        <v>L02-THE-DOT-S004-03</v>
      </c>
      <c r="E2736" t="str">
        <f t="shared" ca="1" si="523"/>
        <v>Family Type: 1500w x 3050h, Family: Window External Type 3 - Recessed and Angle</v>
      </c>
      <c r="F2736" t="str">
        <f t="shared" ca="1" si="524"/>
        <v>Vector(X = 0.977, Y = 0.212, Z = 0.000, Length = 1.000)</v>
      </c>
      <c r="G2736">
        <f t="shared" ca="1" si="525"/>
        <v>1</v>
      </c>
      <c r="H2736">
        <f t="shared" ca="1" si="526"/>
        <v>0.2</v>
      </c>
      <c r="I2736">
        <f t="shared" ca="1" si="527"/>
        <v>0</v>
      </c>
      <c r="J2736" s="8">
        <f t="shared" ca="1" si="528"/>
        <v>11.309932474020215</v>
      </c>
      <c r="K2736" s="9" t="str">
        <f t="shared" ca="1" si="529"/>
        <v>E</v>
      </c>
      <c r="L2736">
        <f ca="1">+_xlfn.IFNA(VLOOKUP(M2736,BespokeWindowsAreas!$B$2:$E$1999,4,FALSE),VLOOKUP(E2736,WindowTypeArea!$B$2:$C$113,2,FALSE))</f>
        <v>4.5750000000000002</v>
      </c>
      <c r="M2736">
        <f t="shared" ca="1" si="532"/>
        <v>5501955</v>
      </c>
    </row>
    <row r="2737" spans="1:13" x14ac:dyDescent="0.25">
      <c r="A2737">
        <f t="shared" ca="1" si="530"/>
        <v>14</v>
      </c>
      <c r="B2737">
        <f t="shared" ca="1" si="531"/>
        <v>120</v>
      </c>
      <c r="C2737" t="str">
        <f t="shared" ca="1" si="521"/>
        <v>'WINDOWS-NCH-A-OCMA-M3-02-0'!B119</v>
      </c>
      <c r="D2737" s="6" t="str">
        <f t="shared" ca="1" si="522"/>
        <v>L02-THE-DOT-S004-05</v>
      </c>
      <c r="E2737" t="str">
        <f t="shared" ca="1" si="523"/>
        <v>L02-THE-DOT-S004-05</v>
      </c>
      <c r="F2737">
        <f t="shared" ca="1" si="524"/>
        <v>1809863</v>
      </c>
      <c r="G2737">
        <f t="shared" ca="1" si="525"/>
        <v>0</v>
      </c>
      <c r="H2737">
        <f t="shared" ca="1" si="526"/>
        <v>0</v>
      </c>
      <c r="I2737">
        <f t="shared" ca="1" si="527"/>
        <v>0</v>
      </c>
      <c r="J2737" s="8" t="e">
        <f t="shared" ca="1" si="528"/>
        <v>#DIV/0!</v>
      </c>
      <c r="K2737" s="9" t="e">
        <f t="shared" ca="1" si="529"/>
        <v>#DIV/0!</v>
      </c>
      <c r="L2737" t="e">
        <f ca="1">+_xlfn.IFNA(VLOOKUP(M2737,BespokeWindowsAreas!$B$2:$E$1999,4,FALSE),VLOOKUP(E2737,WindowTypeArea!$B$2:$C$113,2,FALSE))</f>
        <v>#N/A</v>
      </c>
      <c r="M2737">
        <f t="shared" ca="1" si="532"/>
        <v>0</v>
      </c>
    </row>
    <row r="2738" spans="1:13" x14ac:dyDescent="0.25">
      <c r="A2738">
        <f t="shared" ca="1" si="530"/>
        <v>14</v>
      </c>
      <c r="B2738">
        <f t="shared" ca="1" si="531"/>
        <v>121</v>
      </c>
      <c r="C2738" t="str">
        <f t="shared" ca="1" si="521"/>
        <v>'WINDOWS-NCH-A-OCMA-M3-02-0'!B120</v>
      </c>
      <c r="D2738" s="6" t="str">
        <f t="shared" ca="1" si="522"/>
        <v>L02-THE-DOT-S004-05</v>
      </c>
      <c r="E2738" t="str">
        <f t="shared" ca="1" si="523"/>
        <v>Family Type: 975w x 3050h, Family: Window External Type 1 - Recessed</v>
      </c>
      <c r="F2738" t="str">
        <f t="shared" ca="1" si="524"/>
        <v>Vector(X = 0.977, Y = 0.212, Z = 0.000, Length = 1.000)</v>
      </c>
      <c r="G2738">
        <f t="shared" ca="1" si="525"/>
        <v>1</v>
      </c>
      <c r="H2738">
        <f t="shared" ca="1" si="526"/>
        <v>0.2</v>
      </c>
      <c r="I2738">
        <f t="shared" ca="1" si="527"/>
        <v>0</v>
      </c>
      <c r="J2738" s="8">
        <f t="shared" ca="1" si="528"/>
        <v>11.309932474020215</v>
      </c>
      <c r="K2738" s="9" t="str">
        <f t="shared" ca="1" si="529"/>
        <v>E</v>
      </c>
      <c r="L2738">
        <f ca="1">+_xlfn.IFNA(VLOOKUP(M2738,BespokeWindowsAreas!$B$2:$E$1999,4,FALSE),VLOOKUP(E2738,WindowTypeArea!$B$2:$C$113,2,FALSE))</f>
        <v>2.9737499999999999</v>
      </c>
      <c r="M2738">
        <f t="shared" ca="1" si="532"/>
        <v>5509984</v>
      </c>
    </row>
    <row r="2739" spans="1:13" x14ac:dyDescent="0.25">
      <c r="A2739">
        <f t="shared" ca="1" si="530"/>
        <v>14</v>
      </c>
      <c r="B2739">
        <f t="shared" ca="1" si="531"/>
        <v>122</v>
      </c>
      <c r="C2739" t="str">
        <f t="shared" ca="1" si="521"/>
        <v>'WINDOWS-NCH-A-OCMA-M3-02-0'!B121</v>
      </c>
      <c r="D2739" s="6" t="str">
        <f t="shared" ca="1" si="522"/>
        <v>L02-THE-DOT-S004-08</v>
      </c>
      <c r="E2739" t="str">
        <f t="shared" ca="1" si="523"/>
        <v>L02-THE-DOT-S004-08</v>
      </c>
      <c r="F2739">
        <f t="shared" ca="1" si="524"/>
        <v>1809864</v>
      </c>
      <c r="G2739">
        <f t="shared" ca="1" si="525"/>
        <v>0</v>
      </c>
      <c r="H2739">
        <f t="shared" ca="1" si="526"/>
        <v>0</v>
      </c>
      <c r="I2739">
        <f t="shared" ca="1" si="527"/>
        <v>0</v>
      </c>
      <c r="J2739" s="8" t="e">
        <f t="shared" ca="1" si="528"/>
        <v>#DIV/0!</v>
      </c>
      <c r="K2739" s="9" t="e">
        <f t="shared" ca="1" si="529"/>
        <v>#DIV/0!</v>
      </c>
      <c r="L2739" t="e">
        <f ca="1">+_xlfn.IFNA(VLOOKUP(M2739,BespokeWindowsAreas!$B$2:$E$1999,4,FALSE),VLOOKUP(E2739,WindowTypeArea!$B$2:$C$113,2,FALSE))</f>
        <v>#N/A</v>
      </c>
      <c r="M2739">
        <f t="shared" ca="1" si="532"/>
        <v>0</v>
      </c>
    </row>
    <row r="2740" spans="1:13" x14ac:dyDescent="0.25">
      <c r="A2740">
        <f t="shared" ca="1" si="530"/>
        <v>14</v>
      </c>
      <c r="B2740">
        <f t="shared" ca="1" si="531"/>
        <v>123</v>
      </c>
      <c r="C2740" t="str">
        <f t="shared" ca="1" si="521"/>
        <v>'WINDOWS-NCH-A-OCMA-M3-02-0'!B122</v>
      </c>
      <c r="D2740" s="6" t="str">
        <f t="shared" ca="1" si="522"/>
        <v>L02-THE-DOT-S004-08</v>
      </c>
      <c r="E2740" t="str">
        <f t="shared" ca="1" si="523"/>
        <v>Family Type: 975w x 3050h, Family: Window External Type 1 - Recessed</v>
      </c>
      <c r="F2740" t="str">
        <f t="shared" ca="1" si="524"/>
        <v>Vector(X = 0.977, Y = 0.212, Z = 0.000, Length = 1.000)</v>
      </c>
      <c r="G2740">
        <f t="shared" ca="1" si="525"/>
        <v>1</v>
      </c>
      <c r="H2740">
        <f t="shared" ca="1" si="526"/>
        <v>0.2</v>
      </c>
      <c r="I2740">
        <f t="shared" ca="1" si="527"/>
        <v>0</v>
      </c>
      <c r="J2740" s="8">
        <f t="shared" ca="1" si="528"/>
        <v>11.309932474020215</v>
      </c>
      <c r="K2740" s="9" t="str">
        <f t="shared" ca="1" si="529"/>
        <v>E</v>
      </c>
      <c r="L2740">
        <f ca="1">+_xlfn.IFNA(VLOOKUP(M2740,BespokeWindowsAreas!$B$2:$E$1999,4,FALSE),VLOOKUP(E2740,WindowTypeArea!$B$2:$C$113,2,FALSE))</f>
        <v>2.9737499999999999</v>
      </c>
      <c r="M2740">
        <f t="shared" ca="1" si="532"/>
        <v>5509973</v>
      </c>
    </row>
    <row r="2741" spans="1:13" x14ac:dyDescent="0.25">
      <c r="A2741">
        <f t="shared" ca="1" si="530"/>
        <v>14</v>
      </c>
      <c r="B2741">
        <f t="shared" ca="1" si="531"/>
        <v>124</v>
      </c>
      <c r="C2741" t="str">
        <f t="shared" ca="1" si="521"/>
        <v>'WINDOWS-NCH-A-OCMA-M3-02-0'!B123</v>
      </c>
      <c r="D2741" s="6" t="str">
        <f t="shared" ca="1" si="522"/>
        <v>L02-THE-DOT-S004-09</v>
      </c>
      <c r="E2741" t="str">
        <f t="shared" ca="1" si="523"/>
        <v>L02-THE-DOT-S004-09</v>
      </c>
      <c r="F2741">
        <f t="shared" ca="1" si="524"/>
        <v>1809865</v>
      </c>
      <c r="G2741">
        <f t="shared" ca="1" si="525"/>
        <v>0</v>
      </c>
      <c r="H2741">
        <f t="shared" ca="1" si="526"/>
        <v>0</v>
      </c>
      <c r="I2741">
        <f t="shared" ca="1" si="527"/>
        <v>0</v>
      </c>
      <c r="J2741" s="8" t="e">
        <f t="shared" ca="1" si="528"/>
        <v>#DIV/0!</v>
      </c>
      <c r="K2741" s="9" t="e">
        <f t="shared" ca="1" si="529"/>
        <v>#DIV/0!</v>
      </c>
      <c r="L2741" t="e">
        <f ca="1">+_xlfn.IFNA(VLOOKUP(M2741,BespokeWindowsAreas!$B$2:$E$1999,4,FALSE),VLOOKUP(E2741,WindowTypeArea!$B$2:$C$113,2,FALSE))</f>
        <v>#N/A</v>
      </c>
      <c r="M2741">
        <f t="shared" ca="1" si="532"/>
        <v>0</v>
      </c>
    </row>
    <row r="2742" spans="1:13" x14ac:dyDescent="0.25">
      <c r="A2742">
        <f t="shared" ca="1" si="530"/>
        <v>14</v>
      </c>
      <c r="B2742">
        <f t="shared" ca="1" si="531"/>
        <v>125</v>
      </c>
      <c r="C2742" t="str">
        <f t="shared" ca="1" si="521"/>
        <v>'WINDOWS-NCH-A-OCMA-M3-02-0'!B124</v>
      </c>
      <c r="D2742" s="6" t="str">
        <f t="shared" ca="1" si="522"/>
        <v>L02-THE-DOT-S004-09</v>
      </c>
      <c r="E2742" t="str">
        <f t="shared" ca="1" si="523"/>
        <v>Family Type: 1500w x 3050h, Family: Window External Type 1 - Recessed</v>
      </c>
      <c r="F2742" t="str">
        <f t="shared" ca="1" si="524"/>
        <v>Vector(X = 0.977, Y = 0.212, Z = 0.000, Length = 1.000)</v>
      </c>
      <c r="G2742">
        <f t="shared" ca="1" si="525"/>
        <v>1</v>
      </c>
      <c r="H2742">
        <f t="shared" ca="1" si="526"/>
        <v>0.2</v>
      </c>
      <c r="I2742">
        <f t="shared" ca="1" si="527"/>
        <v>0</v>
      </c>
      <c r="J2742" s="8">
        <f t="shared" ca="1" si="528"/>
        <v>11.309932474020215</v>
      </c>
      <c r="K2742" s="9" t="str">
        <f t="shared" ca="1" si="529"/>
        <v>E</v>
      </c>
      <c r="L2742">
        <f ca="1">+_xlfn.IFNA(VLOOKUP(M2742,BespokeWindowsAreas!$B$2:$E$1999,4,FALSE),VLOOKUP(E2742,WindowTypeArea!$B$2:$C$113,2,FALSE))</f>
        <v>4.5750000000000002</v>
      </c>
      <c r="M2742">
        <f t="shared" ca="1" si="532"/>
        <v>5021110</v>
      </c>
    </row>
    <row r="2743" spans="1:13" x14ac:dyDescent="0.25">
      <c r="A2743">
        <f t="shared" ca="1" si="530"/>
        <v>14</v>
      </c>
      <c r="B2743">
        <f t="shared" ca="1" si="531"/>
        <v>126</v>
      </c>
      <c r="C2743" t="str">
        <f t="shared" ca="1" si="521"/>
        <v>'WINDOWS-NCH-A-OCMA-M3-02-0'!B125</v>
      </c>
      <c r="D2743" s="6" t="str">
        <f t="shared" ca="1" si="522"/>
        <v>L02-THE-DOT-S004-11</v>
      </c>
      <c r="E2743" t="str">
        <f t="shared" ca="1" si="523"/>
        <v>L02-THE-DOT-S004-11</v>
      </c>
      <c r="F2743">
        <f t="shared" ca="1" si="524"/>
        <v>1809866</v>
      </c>
      <c r="G2743">
        <f t="shared" ca="1" si="525"/>
        <v>0</v>
      </c>
      <c r="H2743">
        <f t="shared" ca="1" si="526"/>
        <v>0</v>
      </c>
      <c r="I2743">
        <f t="shared" ca="1" si="527"/>
        <v>0</v>
      </c>
      <c r="J2743" s="8" t="e">
        <f t="shared" ca="1" si="528"/>
        <v>#DIV/0!</v>
      </c>
      <c r="K2743" s="9" t="e">
        <f t="shared" ca="1" si="529"/>
        <v>#DIV/0!</v>
      </c>
      <c r="L2743" t="e">
        <f ca="1">+_xlfn.IFNA(VLOOKUP(M2743,BespokeWindowsAreas!$B$2:$E$1999,4,FALSE),VLOOKUP(E2743,WindowTypeArea!$B$2:$C$113,2,FALSE))</f>
        <v>#N/A</v>
      </c>
      <c r="M2743">
        <f t="shared" ca="1" si="532"/>
        <v>0</v>
      </c>
    </row>
    <row r="2744" spans="1:13" x14ac:dyDescent="0.25">
      <c r="A2744">
        <f t="shared" ca="1" si="530"/>
        <v>14</v>
      </c>
      <c r="B2744">
        <f t="shared" ca="1" si="531"/>
        <v>127</v>
      </c>
      <c r="C2744" t="str">
        <f t="shared" ca="1" si="521"/>
        <v>'WINDOWS-NCH-A-OCMA-M3-02-0'!B126</v>
      </c>
      <c r="D2744" s="6" t="str">
        <f t="shared" ca="1" si="522"/>
        <v>L02-THE-DOT-S004-11</v>
      </c>
      <c r="E2744" t="str">
        <f t="shared" ca="1" si="523"/>
        <v>Family Type: 1500w x 3050h, Family: Window External Type 1 - Recessed</v>
      </c>
      <c r="F2744" t="str">
        <f t="shared" ca="1" si="524"/>
        <v>Vector(X = 0.977, Y = 0.212, Z = 0.000, Length = 1.000)</v>
      </c>
      <c r="G2744">
        <f t="shared" ca="1" si="525"/>
        <v>1</v>
      </c>
      <c r="H2744">
        <f t="shared" ca="1" si="526"/>
        <v>0.2</v>
      </c>
      <c r="I2744">
        <f t="shared" ca="1" si="527"/>
        <v>0</v>
      </c>
      <c r="J2744" s="8">
        <f t="shared" ca="1" si="528"/>
        <v>11.309932474020215</v>
      </c>
      <c r="K2744" s="9" t="str">
        <f t="shared" ca="1" si="529"/>
        <v>E</v>
      </c>
      <c r="L2744">
        <f ca="1">+_xlfn.IFNA(VLOOKUP(M2744,BespokeWindowsAreas!$B$2:$E$1999,4,FALSE),VLOOKUP(E2744,WindowTypeArea!$B$2:$C$113,2,FALSE))</f>
        <v>4.5750000000000002</v>
      </c>
      <c r="M2744">
        <f t="shared" ca="1" si="532"/>
        <v>5021111</v>
      </c>
    </row>
    <row r="2745" spans="1:13" x14ac:dyDescent="0.25">
      <c r="A2745">
        <f t="shared" ca="1" si="530"/>
        <v>14</v>
      </c>
      <c r="B2745">
        <f t="shared" ca="1" si="531"/>
        <v>128</v>
      </c>
      <c r="C2745" t="str">
        <f t="shared" ca="1" si="521"/>
        <v>'WINDOWS-NCH-A-OCMA-M3-02-0'!B127</v>
      </c>
      <c r="D2745" s="6" t="str">
        <f t="shared" ca="1" si="522"/>
        <v>L02-THE-DOT-U0538-03</v>
      </c>
      <c r="E2745" t="str">
        <f t="shared" ca="1" si="523"/>
        <v>L02-THE-DOT-U0538-03</v>
      </c>
      <c r="F2745">
        <f t="shared" ca="1" si="524"/>
        <v>1809898</v>
      </c>
      <c r="G2745">
        <f t="shared" ca="1" si="525"/>
        <v>0</v>
      </c>
      <c r="H2745">
        <f t="shared" ca="1" si="526"/>
        <v>0</v>
      </c>
      <c r="I2745">
        <f t="shared" ca="1" si="527"/>
        <v>0</v>
      </c>
      <c r="J2745" s="8" t="e">
        <f t="shared" ca="1" si="528"/>
        <v>#DIV/0!</v>
      </c>
      <c r="K2745" s="9" t="e">
        <f t="shared" ca="1" si="529"/>
        <v>#DIV/0!</v>
      </c>
      <c r="L2745" t="e">
        <f ca="1">+_xlfn.IFNA(VLOOKUP(M2745,BespokeWindowsAreas!$B$2:$E$1999,4,FALSE),VLOOKUP(E2745,WindowTypeArea!$B$2:$C$113,2,FALSE))</f>
        <v>#N/A</v>
      </c>
      <c r="M2745">
        <f t="shared" ca="1" si="532"/>
        <v>0</v>
      </c>
    </row>
    <row r="2746" spans="1:13" x14ac:dyDescent="0.25">
      <c r="A2746">
        <f t="shared" ca="1" si="530"/>
        <v>14</v>
      </c>
      <c r="B2746">
        <f t="shared" ca="1" si="531"/>
        <v>129</v>
      </c>
      <c r="C2746" t="str">
        <f t="shared" ca="1" si="521"/>
        <v>'WINDOWS-NCH-A-OCMA-M3-02-0'!B128</v>
      </c>
      <c r="D2746" s="6" t="str">
        <f t="shared" ca="1" si="522"/>
        <v>L02-THE-DOT-U0538-03</v>
      </c>
      <c r="E2746" t="str">
        <f t="shared" ca="1" si="523"/>
        <v>Family Type: 1950w x 3050h, Family: Window External Type 1 - Recessed</v>
      </c>
      <c r="F2746" t="str">
        <f t="shared" ca="1" si="524"/>
        <v>Vector(X = 0.977, Y = 0.212, Z = 0.000, Length = 1.000)</v>
      </c>
      <c r="G2746">
        <f t="shared" ca="1" si="525"/>
        <v>1</v>
      </c>
      <c r="H2746">
        <f t="shared" ca="1" si="526"/>
        <v>0.2</v>
      </c>
      <c r="I2746">
        <f t="shared" ca="1" si="527"/>
        <v>0</v>
      </c>
      <c r="J2746" s="8">
        <f t="shared" ca="1" si="528"/>
        <v>11.309932474020215</v>
      </c>
      <c r="K2746" s="9" t="str">
        <f t="shared" ca="1" si="529"/>
        <v>E</v>
      </c>
      <c r="L2746">
        <f ca="1">+_xlfn.IFNA(VLOOKUP(M2746,BespokeWindowsAreas!$B$2:$E$1999,4,FALSE),VLOOKUP(E2746,WindowTypeArea!$B$2:$C$113,2,FALSE))</f>
        <v>5.9474999999999998</v>
      </c>
      <c r="M2746">
        <f t="shared" ca="1" si="532"/>
        <v>4940124</v>
      </c>
    </row>
    <row r="2747" spans="1:13" x14ac:dyDescent="0.25">
      <c r="A2747">
        <f t="shared" ca="1" si="530"/>
        <v>14</v>
      </c>
      <c r="B2747">
        <f t="shared" ca="1" si="531"/>
        <v>130</v>
      </c>
      <c r="C2747" t="str">
        <f t="shared" ca="1" si="521"/>
        <v>'WINDOWS-NCH-A-OCMA-M3-02-0'!B129</v>
      </c>
      <c r="D2747" s="6" t="str">
        <f t="shared" ca="1" si="522"/>
        <v>L02-THE-DOT-U0538-03</v>
      </c>
      <c r="E2747" t="str">
        <f t="shared" ca="1" si="523"/>
        <v>Family Type: 975w x 3050h, Family: Window External Type 1 - Recessed</v>
      </c>
      <c r="F2747" t="str">
        <f t="shared" ca="1" si="524"/>
        <v>Vector(X = 0.977, Y = 0.212, Z = 0.000, Length = 1.000)</v>
      </c>
      <c r="G2747">
        <f t="shared" ca="1" si="525"/>
        <v>1</v>
      </c>
      <c r="H2747">
        <f t="shared" ca="1" si="526"/>
        <v>0.2</v>
      </c>
      <c r="I2747">
        <f t="shared" ca="1" si="527"/>
        <v>0</v>
      </c>
      <c r="J2747" s="8">
        <f t="shared" ca="1" si="528"/>
        <v>11.309932474020215</v>
      </c>
      <c r="K2747" s="9" t="str">
        <f t="shared" ca="1" si="529"/>
        <v>E</v>
      </c>
      <c r="L2747">
        <f ca="1">+_xlfn.IFNA(VLOOKUP(M2747,BespokeWindowsAreas!$B$2:$E$1999,4,FALSE),VLOOKUP(E2747,WindowTypeArea!$B$2:$C$113,2,FALSE))</f>
        <v>2.9737499999999999</v>
      </c>
      <c r="M2747">
        <f t="shared" ca="1" si="532"/>
        <v>5502188</v>
      </c>
    </row>
    <row r="2748" spans="1:13" x14ac:dyDescent="0.25">
      <c r="A2748">
        <f t="shared" ca="1" si="530"/>
        <v>14</v>
      </c>
      <c r="B2748">
        <f t="shared" ca="1" si="531"/>
        <v>131</v>
      </c>
      <c r="C2748" t="str">
        <f t="shared" ca="1" si="521"/>
        <v>'WINDOWS-NCH-A-OCMA-M3-02-0'!B130</v>
      </c>
      <c r="D2748" s="6" t="str">
        <f t="shared" ca="1" si="522"/>
        <v>L02-THE-DOT-S066-11</v>
      </c>
      <c r="E2748" t="str">
        <f t="shared" ca="1" si="523"/>
        <v>L02-THE-DOT-S066-11</v>
      </c>
      <c r="F2748">
        <f t="shared" ca="1" si="524"/>
        <v>1809899</v>
      </c>
      <c r="G2748">
        <f t="shared" ca="1" si="525"/>
        <v>0</v>
      </c>
      <c r="H2748">
        <f t="shared" ca="1" si="526"/>
        <v>0</v>
      </c>
      <c r="I2748">
        <f t="shared" ca="1" si="527"/>
        <v>0</v>
      </c>
      <c r="J2748" s="8" t="e">
        <f t="shared" ca="1" si="528"/>
        <v>#DIV/0!</v>
      </c>
      <c r="K2748" s="9" t="e">
        <f t="shared" ca="1" si="529"/>
        <v>#DIV/0!</v>
      </c>
      <c r="L2748" t="e">
        <f ca="1">+_xlfn.IFNA(VLOOKUP(M2748,BespokeWindowsAreas!$B$2:$E$1999,4,FALSE),VLOOKUP(E2748,WindowTypeArea!$B$2:$C$113,2,FALSE))</f>
        <v>#N/A</v>
      </c>
      <c r="M2748">
        <f t="shared" ca="1" si="532"/>
        <v>0</v>
      </c>
    </row>
    <row r="2749" spans="1:13" x14ac:dyDescent="0.25">
      <c r="A2749">
        <f t="shared" ca="1" si="530"/>
        <v>14</v>
      </c>
      <c r="B2749">
        <f t="shared" ca="1" si="531"/>
        <v>132</v>
      </c>
      <c r="C2749" t="str">
        <f t="shared" ca="1" si="521"/>
        <v>'WINDOWS-NCH-A-OCMA-M3-02-0'!B131</v>
      </c>
      <c r="D2749" s="6" t="str">
        <f t="shared" ca="1" si="522"/>
        <v>L02-THE-DOT-S066-11</v>
      </c>
      <c r="E2749" t="str">
        <f t="shared" ca="1" si="523"/>
        <v>Family Type: 975w x 3050h, Family: Window External Type 1 - Recessed</v>
      </c>
      <c r="F2749" t="str">
        <f t="shared" ca="1" si="524"/>
        <v>Vector(X = 0.977, Y = 0.212, Z = 0.000, Length = 1.000)</v>
      </c>
      <c r="G2749">
        <f t="shared" ca="1" si="525"/>
        <v>1</v>
      </c>
      <c r="H2749">
        <f t="shared" ca="1" si="526"/>
        <v>0.2</v>
      </c>
      <c r="I2749">
        <f t="shared" ca="1" si="527"/>
        <v>0</v>
      </c>
      <c r="J2749" s="8">
        <f t="shared" ca="1" si="528"/>
        <v>11.309932474020215</v>
      </c>
      <c r="K2749" s="9" t="str">
        <f t="shared" ca="1" si="529"/>
        <v>E</v>
      </c>
      <c r="L2749">
        <f ca="1">+_xlfn.IFNA(VLOOKUP(M2749,BespokeWindowsAreas!$B$2:$E$1999,4,FALSE),VLOOKUP(E2749,WindowTypeArea!$B$2:$C$113,2,FALSE))</f>
        <v>2.9737499999999999</v>
      </c>
      <c r="M2749">
        <f t="shared" ca="1" si="532"/>
        <v>5503283</v>
      </c>
    </row>
    <row r="2750" spans="1:13" x14ac:dyDescent="0.25">
      <c r="A2750">
        <f t="shared" ca="1" si="530"/>
        <v>14</v>
      </c>
      <c r="B2750">
        <f t="shared" ca="1" si="531"/>
        <v>133</v>
      </c>
      <c r="C2750" t="str">
        <f t="shared" ca="1" si="521"/>
        <v>'WINDOWS-NCH-A-OCMA-M3-02-0'!B132</v>
      </c>
      <c r="D2750" s="6" t="str">
        <f t="shared" ca="1" si="522"/>
        <v>L02-THE-DOT-S066-11</v>
      </c>
      <c r="E2750" t="str">
        <f t="shared" ca="1" si="523"/>
        <v>Family Type: 975w x 3050h, Family: Window External Type 1 - Recessed</v>
      </c>
      <c r="F2750" t="str">
        <f t="shared" ca="1" si="524"/>
        <v>Vector(X = 0.977, Y = 0.212, Z = 0.000, Length = 1.000)</v>
      </c>
      <c r="G2750">
        <f t="shared" ca="1" si="525"/>
        <v>1</v>
      </c>
      <c r="H2750">
        <f t="shared" ca="1" si="526"/>
        <v>0.2</v>
      </c>
      <c r="I2750">
        <f t="shared" ca="1" si="527"/>
        <v>0</v>
      </c>
      <c r="J2750" s="8">
        <f t="shared" ca="1" si="528"/>
        <v>11.309932474020215</v>
      </c>
      <c r="K2750" s="9" t="str">
        <f t="shared" ca="1" si="529"/>
        <v>E</v>
      </c>
      <c r="L2750">
        <f ca="1">+_xlfn.IFNA(VLOOKUP(M2750,BespokeWindowsAreas!$B$2:$E$1999,4,FALSE),VLOOKUP(E2750,WindowTypeArea!$B$2:$C$113,2,FALSE))</f>
        <v>2.9737499999999999</v>
      </c>
      <c r="M2750">
        <f t="shared" ca="1" si="532"/>
        <v>5503364</v>
      </c>
    </row>
    <row r="2751" spans="1:13" x14ac:dyDescent="0.25">
      <c r="A2751">
        <f t="shared" ca="1" si="530"/>
        <v>14</v>
      </c>
      <c r="B2751">
        <f t="shared" ca="1" si="531"/>
        <v>134</v>
      </c>
      <c r="C2751" t="str">
        <f t="shared" ca="1" si="521"/>
        <v>'WINDOWS-NCH-A-OCMA-M3-02-0'!B133</v>
      </c>
      <c r="D2751" s="6" t="str">
        <f t="shared" ca="1" si="522"/>
        <v>L02-THE-DOT-S066-11</v>
      </c>
      <c r="E2751" t="str">
        <f t="shared" ca="1" si="523"/>
        <v>Family Type: 975w x 3050h, Family: Window External Type 1 - Recessed</v>
      </c>
      <c r="F2751" t="str">
        <f t="shared" ca="1" si="524"/>
        <v>Vector(X = 0.977, Y = 0.212, Z = 0.000, Length = 1.000)</v>
      </c>
      <c r="G2751">
        <f t="shared" ca="1" si="525"/>
        <v>1</v>
      </c>
      <c r="H2751">
        <f t="shared" ca="1" si="526"/>
        <v>0.2</v>
      </c>
      <c r="I2751">
        <f t="shared" ca="1" si="527"/>
        <v>0</v>
      </c>
      <c r="J2751" s="8">
        <f t="shared" ca="1" si="528"/>
        <v>11.309932474020215</v>
      </c>
      <c r="K2751" s="9" t="str">
        <f t="shared" ca="1" si="529"/>
        <v>E</v>
      </c>
      <c r="L2751">
        <f ca="1">+_xlfn.IFNA(VLOOKUP(M2751,BespokeWindowsAreas!$B$2:$E$1999,4,FALSE),VLOOKUP(E2751,WindowTypeArea!$B$2:$C$113,2,FALSE))</f>
        <v>2.9737499999999999</v>
      </c>
      <c r="M2751">
        <f t="shared" ca="1" si="532"/>
        <v>5503667</v>
      </c>
    </row>
    <row r="2752" spans="1:13" x14ac:dyDescent="0.25">
      <c r="A2752">
        <f t="shared" ca="1" si="530"/>
        <v>14</v>
      </c>
      <c r="B2752">
        <f t="shared" ca="1" si="531"/>
        <v>135</v>
      </c>
      <c r="C2752" t="str">
        <f t="shared" ca="1" si="521"/>
        <v>'WINDOWS-NCH-A-OCMA-M3-02-0'!B134</v>
      </c>
      <c r="D2752" s="6" t="str">
        <f t="shared" ca="1" si="522"/>
        <v>L02-THE-DOT-S066-07</v>
      </c>
      <c r="E2752" t="str">
        <f t="shared" ca="1" si="523"/>
        <v>L02-THE-DOT-S066-07</v>
      </c>
      <c r="F2752">
        <f t="shared" ca="1" si="524"/>
        <v>1809900</v>
      </c>
      <c r="G2752">
        <f t="shared" ca="1" si="525"/>
        <v>0</v>
      </c>
      <c r="H2752">
        <f t="shared" ca="1" si="526"/>
        <v>0</v>
      </c>
      <c r="I2752">
        <f t="shared" ca="1" si="527"/>
        <v>0</v>
      </c>
      <c r="J2752" s="8" t="e">
        <f t="shared" ca="1" si="528"/>
        <v>#DIV/0!</v>
      </c>
      <c r="K2752" s="9" t="e">
        <f t="shared" ca="1" si="529"/>
        <v>#DIV/0!</v>
      </c>
      <c r="L2752" t="e">
        <f ca="1">+_xlfn.IFNA(VLOOKUP(M2752,BespokeWindowsAreas!$B$2:$E$1999,4,FALSE),VLOOKUP(E2752,WindowTypeArea!$B$2:$C$113,2,FALSE))</f>
        <v>#N/A</v>
      </c>
      <c r="M2752">
        <f t="shared" ca="1" si="532"/>
        <v>0</v>
      </c>
    </row>
    <row r="2753" spans="1:13" x14ac:dyDescent="0.25">
      <c r="A2753">
        <f t="shared" ca="1" si="530"/>
        <v>14</v>
      </c>
      <c r="B2753">
        <f t="shared" ca="1" si="531"/>
        <v>136</v>
      </c>
      <c r="C2753" t="str">
        <f t="shared" ca="1" si="521"/>
        <v>'WINDOWS-NCH-A-OCMA-M3-02-0'!B135</v>
      </c>
      <c r="D2753" s="6" t="str">
        <f t="shared" ca="1" si="522"/>
        <v>L02-THE-DOT-S066-07</v>
      </c>
      <c r="E2753" t="str">
        <f t="shared" ca="1" si="523"/>
        <v>Family Type: 975w x 3050h, Family: Window External Type 1 - Recessed</v>
      </c>
      <c r="F2753" t="str">
        <f t="shared" ca="1" si="524"/>
        <v>Vector(X = 0.977, Y = 0.212, Z = 0.000, Length = 1.000)</v>
      </c>
      <c r="G2753">
        <f t="shared" ca="1" si="525"/>
        <v>1</v>
      </c>
      <c r="H2753">
        <f t="shared" ca="1" si="526"/>
        <v>0.2</v>
      </c>
      <c r="I2753">
        <f t="shared" ca="1" si="527"/>
        <v>0</v>
      </c>
      <c r="J2753" s="8">
        <f t="shared" ca="1" si="528"/>
        <v>11.309932474020215</v>
      </c>
      <c r="K2753" s="9" t="str">
        <f t="shared" ca="1" si="529"/>
        <v>E</v>
      </c>
      <c r="L2753">
        <f ca="1">+_xlfn.IFNA(VLOOKUP(M2753,BespokeWindowsAreas!$B$2:$E$1999,4,FALSE),VLOOKUP(E2753,WindowTypeArea!$B$2:$C$113,2,FALSE))</f>
        <v>2.9737499999999999</v>
      </c>
      <c r="M2753">
        <f t="shared" ca="1" si="532"/>
        <v>4940522</v>
      </c>
    </row>
    <row r="2754" spans="1:13" x14ac:dyDescent="0.25">
      <c r="A2754">
        <f t="shared" ca="1" si="530"/>
        <v>14</v>
      </c>
      <c r="B2754">
        <f t="shared" ca="1" si="531"/>
        <v>137</v>
      </c>
      <c r="C2754" t="str">
        <f t="shared" ca="1" si="521"/>
        <v>'WINDOWS-NCH-A-OCMA-M3-02-0'!B136</v>
      </c>
      <c r="D2754" s="6" t="str">
        <f t="shared" ca="1" si="522"/>
        <v>L02-THE-DOT-S066-07</v>
      </c>
      <c r="E2754" t="str">
        <f t="shared" ca="1" si="523"/>
        <v>Family Type: 975w x 3050h, Family: Window External Type 1 - Recessed</v>
      </c>
      <c r="F2754" t="str">
        <f t="shared" ca="1" si="524"/>
        <v>Vector(X = 0.977, Y = 0.212, Z = 0.000, Length = 1.000)</v>
      </c>
      <c r="G2754">
        <f t="shared" ca="1" si="525"/>
        <v>1</v>
      </c>
      <c r="H2754">
        <f t="shared" ca="1" si="526"/>
        <v>0.2</v>
      </c>
      <c r="I2754">
        <f t="shared" ca="1" si="527"/>
        <v>0</v>
      </c>
      <c r="J2754" s="8">
        <f t="shared" ca="1" si="528"/>
        <v>11.309932474020215</v>
      </c>
      <c r="K2754" s="9" t="str">
        <f t="shared" ca="1" si="529"/>
        <v>E</v>
      </c>
      <c r="L2754">
        <f ca="1">+_xlfn.IFNA(VLOOKUP(M2754,BespokeWindowsAreas!$B$2:$E$1999,4,FALSE),VLOOKUP(E2754,WindowTypeArea!$B$2:$C$113,2,FALSE))</f>
        <v>2.9737499999999999</v>
      </c>
      <c r="M2754">
        <f t="shared" ca="1" si="532"/>
        <v>5508164</v>
      </c>
    </row>
    <row r="2755" spans="1:13" x14ac:dyDescent="0.25">
      <c r="A2755">
        <f t="shared" ca="1" si="530"/>
        <v>14</v>
      </c>
      <c r="B2755">
        <f t="shared" ca="1" si="531"/>
        <v>138</v>
      </c>
      <c r="C2755" t="str">
        <f t="shared" ca="1" si="521"/>
        <v>'WINDOWS-NCH-A-OCMA-M3-02-0'!B137</v>
      </c>
      <c r="D2755" s="6" t="str">
        <f t="shared" ca="1" si="522"/>
        <v>L02-THE-DOT-S066-07</v>
      </c>
      <c r="E2755" t="str">
        <f t="shared" ca="1" si="523"/>
        <v>Family Type: 975w x 3050h, Family: Window External Type 1 - Recessed</v>
      </c>
      <c r="F2755" t="str">
        <f t="shared" ca="1" si="524"/>
        <v>Vector(X = 0.977, Y = 0.212, Z = 0.000, Length = 1.000)</v>
      </c>
      <c r="G2755">
        <f t="shared" ca="1" si="525"/>
        <v>1</v>
      </c>
      <c r="H2755">
        <f t="shared" ca="1" si="526"/>
        <v>0.2</v>
      </c>
      <c r="I2755">
        <f t="shared" ca="1" si="527"/>
        <v>0</v>
      </c>
      <c r="J2755" s="8">
        <f t="shared" ca="1" si="528"/>
        <v>11.309932474020215</v>
      </c>
      <c r="K2755" s="9" t="str">
        <f t="shared" ca="1" si="529"/>
        <v>E</v>
      </c>
      <c r="L2755">
        <f ca="1">+_xlfn.IFNA(VLOOKUP(M2755,BespokeWindowsAreas!$B$2:$E$1999,4,FALSE),VLOOKUP(E2755,WindowTypeArea!$B$2:$C$113,2,FALSE))</f>
        <v>2.9737499999999999</v>
      </c>
      <c r="M2755">
        <f t="shared" ca="1" si="532"/>
        <v>5508390</v>
      </c>
    </row>
    <row r="2756" spans="1:13" x14ac:dyDescent="0.25">
      <c r="A2756">
        <f t="shared" ca="1" si="530"/>
        <v>14</v>
      </c>
      <c r="B2756">
        <f t="shared" ca="1" si="531"/>
        <v>139</v>
      </c>
      <c r="C2756" t="str">
        <f t="shared" ca="1" si="521"/>
        <v>'WINDOWS-NCH-A-OCMA-M3-02-0'!B138</v>
      </c>
      <c r="D2756" s="6" t="str">
        <f t="shared" ca="1" si="522"/>
        <v>L02-THE-DOT-S066-09</v>
      </c>
      <c r="E2756" t="str">
        <f t="shared" ca="1" si="523"/>
        <v>L02-THE-DOT-S066-09</v>
      </c>
      <c r="F2756">
        <f t="shared" ca="1" si="524"/>
        <v>1809901</v>
      </c>
      <c r="G2756">
        <f t="shared" ca="1" si="525"/>
        <v>0</v>
      </c>
      <c r="H2756">
        <f t="shared" ca="1" si="526"/>
        <v>0</v>
      </c>
      <c r="I2756">
        <f t="shared" ca="1" si="527"/>
        <v>0</v>
      </c>
      <c r="J2756" s="8" t="e">
        <f t="shared" ca="1" si="528"/>
        <v>#DIV/0!</v>
      </c>
      <c r="K2756" s="9" t="e">
        <f t="shared" ca="1" si="529"/>
        <v>#DIV/0!</v>
      </c>
      <c r="L2756" t="e">
        <f ca="1">+_xlfn.IFNA(VLOOKUP(M2756,BespokeWindowsAreas!$B$2:$E$1999,4,FALSE),VLOOKUP(E2756,WindowTypeArea!$B$2:$C$113,2,FALSE))</f>
        <v>#N/A</v>
      </c>
      <c r="M2756">
        <f t="shared" ca="1" si="532"/>
        <v>0</v>
      </c>
    </row>
    <row r="2757" spans="1:13" x14ac:dyDescent="0.25">
      <c r="A2757">
        <f t="shared" ca="1" si="530"/>
        <v>14</v>
      </c>
      <c r="B2757">
        <f t="shared" ca="1" si="531"/>
        <v>140</v>
      </c>
      <c r="C2757" t="str">
        <f t="shared" ca="1" si="521"/>
        <v>'WINDOWS-NCH-A-OCMA-M3-02-0'!B139</v>
      </c>
      <c r="D2757" s="6" t="str">
        <f t="shared" ca="1" si="522"/>
        <v>L02-THE-DOT-S066-09</v>
      </c>
      <c r="E2757" t="str">
        <f t="shared" ca="1" si="523"/>
        <v>Family Type: 975w x 3050h, Family: Window External Type 1 - Recessed</v>
      </c>
      <c r="F2757" t="str">
        <f t="shared" ca="1" si="524"/>
        <v>Vector(X = 0.977, Y = 0.212, Z = 0.000, Length = 1.000)</v>
      </c>
      <c r="G2757">
        <f t="shared" ca="1" si="525"/>
        <v>1</v>
      </c>
      <c r="H2757">
        <f t="shared" ca="1" si="526"/>
        <v>0.2</v>
      </c>
      <c r="I2757">
        <f t="shared" ca="1" si="527"/>
        <v>0</v>
      </c>
      <c r="J2757" s="8">
        <f t="shared" ca="1" si="528"/>
        <v>11.309932474020215</v>
      </c>
      <c r="K2757" s="9" t="str">
        <f t="shared" ca="1" si="529"/>
        <v>E</v>
      </c>
      <c r="L2757">
        <f ca="1">+_xlfn.IFNA(VLOOKUP(M2757,BespokeWindowsAreas!$B$2:$E$1999,4,FALSE),VLOOKUP(E2757,WindowTypeArea!$B$2:$C$113,2,FALSE))</f>
        <v>2.9737499999999999</v>
      </c>
      <c r="M2757">
        <f t="shared" ca="1" si="532"/>
        <v>4940649</v>
      </c>
    </row>
    <row r="2758" spans="1:13" x14ac:dyDescent="0.25">
      <c r="A2758">
        <f t="shared" ca="1" si="530"/>
        <v>14</v>
      </c>
      <c r="B2758">
        <f t="shared" ca="1" si="531"/>
        <v>141</v>
      </c>
      <c r="C2758" t="str">
        <f t="shared" ca="1" si="521"/>
        <v>'WINDOWS-NCH-A-OCMA-M3-02-0'!B140</v>
      </c>
      <c r="D2758" s="6" t="str">
        <f t="shared" ca="1" si="522"/>
        <v>L02-THE-DOT-S066-09</v>
      </c>
      <c r="E2758" t="str">
        <f t="shared" ca="1" si="523"/>
        <v>Family Type: 1950w x 3050h, Family: Window External Type 1 - Recessed</v>
      </c>
      <c r="F2758" t="str">
        <f t="shared" ca="1" si="524"/>
        <v>Vector(X = 0.977, Y = 0.212, Z = 0.000, Length = 1.000)</v>
      </c>
      <c r="G2758">
        <f t="shared" ca="1" si="525"/>
        <v>1</v>
      </c>
      <c r="H2758">
        <f t="shared" ca="1" si="526"/>
        <v>0.2</v>
      </c>
      <c r="I2758">
        <f t="shared" ca="1" si="527"/>
        <v>0</v>
      </c>
      <c r="J2758" s="8">
        <f t="shared" ca="1" si="528"/>
        <v>11.309932474020215</v>
      </c>
      <c r="K2758" s="9" t="str">
        <f t="shared" ca="1" si="529"/>
        <v>E</v>
      </c>
      <c r="L2758">
        <f ca="1">+_xlfn.IFNA(VLOOKUP(M2758,BespokeWindowsAreas!$B$2:$E$1999,4,FALSE),VLOOKUP(E2758,WindowTypeArea!$B$2:$C$113,2,FALSE))</f>
        <v>5.9474999999999998</v>
      </c>
      <c r="M2758">
        <f t="shared" ca="1" si="532"/>
        <v>5509985</v>
      </c>
    </row>
    <row r="2759" spans="1:13" x14ac:dyDescent="0.25">
      <c r="A2759">
        <f t="shared" ca="1" si="530"/>
        <v>14</v>
      </c>
      <c r="B2759">
        <f t="shared" ca="1" si="531"/>
        <v>142</v>
      </c>
      <c r="C2759" t="str">
        <f t="shared" ca="1" si="521"/>
        <v>'WINDOWS-NCH-A-OCMA-M3-02-0'!B141</v>
      </c>
      <c r="D2759" s="6" t="str">
        <f t="shared" ca="1" si="522"/>
        <v>L02-THE-IVS-U0577-01</v>
      </c>
      <c r="E2759" t="str">
        <f t="shared" ca="1" si="523"/>
        <v>L02-THE-IVS-U0577-01</v>
      </c>
      <c r="F2759">
        <f t="shared" ca="1" si="524"/>
        <v>1809910</v>
      </c>
      <c r="G2759">
        <f t="shared" ca="1" si="525"/>
        <v>0</v>
      </c>
      <c r="H2759">
        <f t="shared" ca="1" si="526"/>
        <v>0</v>
      </c>
      <c r="I2759">
        <f t="shared" ca="1" si="527"/>
        <v>0</v>
      </c>
      <c r="J2759" s="8" t="e">
        <f t="shared" ca="1" si="528"/>
        <v>#DIV/0!</v>
      </c>
      <c r="K2759" s="9" t="e">
        <f t="shared" ca="1" si="529"/>
        <v>#DIV/0!</v>
      </c>
      <c r="L2759" t="e">
        <f ca="1">+_xlfn.IFNA(VLOOKUP(M2759,BespokeWindowsAreas!$B$2:$E$1999,4,FALSE),VLOOKUP(E2759,WindowTypeArea!$B$2:$C$113,2,FALSE))</f>
        <v>#N/A</v>
      </c>
      <c r="M2759">
        <f t="shared" ca="1" si="532"/>
        <v>0</v>
      </c>
    </row>
    <row r="2760" spans="1:13" x14ac:dyDescent="0.25">
      <c r="A2760">
        <f t="shared" ca="1" si="530"/>
        <v>14</v>
      </c>
      <c r="B2760">
        <f t="shared" ca="1" si="531"/>
        <v>143</v>
      </c>
      <c r="C2760" t="str">
        <f t="shared" ca="1" si="521"/>
        <v>'WINDOWS-NCH-A-OCMA-M3-02-0'!B142</v>
      </c>
      <c r="D2760" s="6" t="str">
        <f t="shared" ca="1" si="522"/>
        <v>L02-THE-IVS-U0577-01</v>
      </c>
      <c r="E2760" t="str">
        <f t="shared" ca="1" si="523"/>
        <v>Family Type: 1950w x 3050h, Family: Window External Type 1 - Recessed</v>
      </c>
      <c r="F2760" t="str">
        <f t="shared" ca="1" si="524"/>
        <v>Vector(X = 0.977, Y = 0.212, Z = 0.000, Length = 1.000)</v>
      </c>
      <c r="G2760">
        <f t="shared" ca="1" si="525"/>
        <v>1</v>
      </c>
      <c r="H2760">
        <f t="shared" ca="1" si="526"/>
        <v>0.2</v>
      </c>
      <c r="I2760">
        <f t="shared" ca="1" si="527"/>
        <v>0</v>
      </c>
      <c r="J2760" s="8">
        <f t="shared" ca="1" si="528"/>
        <v>11.309932474020215</v>
      </c>
      <c r="K2760" s="9" t="str">
        <f t="shared" ca="1" si="529"/>
        <v>E</v>
      </c>
      <c r="L2760">
        <f ca="1">+_xlfn.IFNA(VLOOKUP(M2760,BespokeWindowsAreas!$B$2:$E$1999,4,FALSE),VLOOKUP(E2760,WindowTypeArea!$B$2:$C$113,2,FALSE))</f>
        <v>5.9474999999999998</v>
      </c>
      <c r="M2760">
        <f t="shared" ca="1" si="532"/>
        <v>5021097</v>
      </c>
    </row>
    <row r="2761" spans="1:13" x14ac:dyDescent="0.25">
      <c r="A2761">
        <f t="shared" ca="1" si="530"/>
        <v>14</v>
      </c>
      <c r="B2761">
        <f t="shared" ca="1" si="531"/>
        <v>144</v>
      </c>
      <c r="C2761" t="str">
        <f t="shared" ref="C2761:C2824" ca="1" si="533">+"'"&amp;INDIRECT("a"&amp;A2760)&amp;"'!B"&amp;B2760</f>
        <v>'WINDOWS-NCH-A-OCMA-M3-02-0'!B143</v>
      </c>
      <c r="D2761" s="6" t="str">
        <f t="shared" ref="D2761:D2824" ca="1" si="534">+IF(IFERROR(FIND("Family",E2761)&gt;0,FALSE),D2760,E2761)</f>
        <v>L02-THE-IVS-U0577-01</v>
      </c>
      <c r="E2761" t="str">
        <f t="shared" ref="E2761:E2824" ca="1" si="535">+OFFSET(INDIRECT(C2761),0,0)</f>
        <v>Family Type: 975w x 3050h, Family: Window External Type 1 - Recessed</v>
      </c>
      <c r="F2761" t="str">
        <f t="shared" ref="F2761:F2824" ca="1" si="536">+OFFSET(INDIRECT(C2761),0,1)</f>
        <v>Vector(X = 0.977, Y = 0.212, Z = 0.000, Length = 1.000)</v>
      </c>
      <c r="G2761">
        <f t="shared" ref="G2761:G2824" ca="1" si="537">+OFFSET(INDIRECT(C2761),0,2)</f>
        <v>1</v>
      </c>
      <c r="H2761">
        <f t="shared" ref="H2761:H2824" ca="1" si="538">+OFFSET(INDIRECT(C2761),0,3)</f>
        <v>0.2</v>
      </c>
      <c r="I2761">
        <f t="shared" ref="I2761:I2824" ca="1" si="539">+OFFSET(INDIRECT(C2761),0,4)</f>
        <v>0</v>
      </c>
      <c r="J2761" s="8">
        <f t="shared" ref="J2761:J2824" ca="1" si="540">+DEGREES(ATAN2(G2761,H2761))</f>
        <v>11.309932474020215</v>
      </c>
      <c r="K2761" s="9" t="str">
        <f t="shared" ref="K2761:K2824" ca="1" si="541">VLOOKUP(J2761,$O$20:$P$36,2,-1)</f>
        <v>E</v>
      </c>
      <c r="L2761">
        <f ca="1">+_xlfn.IFNA(VLOOKUP(M2761,BespokeWindowsAreas!$B$2:$E$1999,4,FALSE),VLOOKUP(E2761,WindowTypeArea!$B$2:$C$113,2,FALSE))</f>
        <v>2.9737499999999999</v>
      </c>
      <c r="M2761">
        <f t="shared" ca="1" si="532"/>
        <v>5502684</v>
      </c>
    </row>
    <row r="2762" spans="1:13" x14ac:dyDescent="0.25">
      <c r="A2762">
        <f t="shared" ca="1" si="530"/>
        <v>14</v>
      </c>
      <c r="B2762">
        <f t="shared" ca="1" si="531"/>
        <v>145</v>
      </c>
      <c r="C2762" t="str">
        <f t="shared" ca="1" si="533"/>
        <v>'WINDOWS-NCH-A-OCMA-M3-02-0'!B144</v>
      </c>
      <c r="D2762" s="6" t="str">
        <f t="shared" ca="1" si="534"/>
        <v>L02-THE-IVS-U0577-01</v>
      </c>
      <c r="E2762" t="str">
        <f t="shared" ca="1" si="535"/>
        <v>Family Type: 975w x 3050h, Family: Window External Type 1 - Recessed</v>
      </c>
      <c r="F2762" t="str">
        <f t="shared" ca="1" si="536"/>
        <v>Vector(X = 0.977, Y = 0.212, Z = 0.000, Length = 1.000)</v>
      </c>
      <c r="G2762">
        <f t="shared" ca="1" si="537"/>
        <v>1</v>
      </c>
      <c r="H2762">
        <f t="shared" ca="1" si="538"/>
        <v>0.2</v>
      </c>
      <c r="I2762">
        <f t="shared" ca="1" si="539"/>
        <v>0</v>
      </c>
      <c r="J2762" s="8">
        <f t="shared" ca="1" si="540"/>
        <v>11.309932474020215</v>
      </c>
      <c r="K2762" s="9" t="str">
        <f t="shared" ca="1" si="541"/>
        <v>E</v>
      </c>
      <c r="L2762">
        <f ca="1">+_xlfn.IFNA(VLOOKUP(M2762,BespokeWindowsAreas!$B$2:$E$1999,4,FALSE),VLOOKUP(E2762,WindowTypeArea!$B$2:$C$113,2,FALSE))</f>
        <v>2.9737499999999999</v>
      </c>
      <c r="M2762">
        <f t="shared" ca="1" si="532"/>
        <v>5502799</v>
      </c>
    </row>
    <row r="2763" spans="1:13" x14ac:dyDescent="0.25">
      <c r="A2763">
        <f t="shared" ca="1" si="530"/>
        <v>14</v>
      </c>
      <c r="B2763">
        <f t="shared" ca="1" si="531"/>
        <v>146</v>
      </c>
      <c r="C2763" t="str">
        <f t="shared" ca="1" si="533"/>
        <v>'WINDOWS-NCH-A-OCMA-M3-02-0'!B145</v>
      </c>
      <c r="D2763" s="6" t="str">
        <f t="shared" ca="1" si="534"/>
        <v>L02-THE-IVS-U0579-01</v>
      </c>
      <c r="E2763" t="str">
        <f t="shared" ca="1" si="535"/>
        <v>L02-THE-IVS-U0579-01</v>
      </c>
      <c r="F2763">
        <f t="shared" ca="1" si="536"/>
        <v>1809912</v>
      </c>
      <c r="G2763">
        <f t="shared" ca="1" si="537"/>
        <v>0</v>
      </c>
      <c r="H2763">
        <f t="shared" ca="1" si="538"/>
        <v>0</v>
      </c>
      <c r="I2763">
        <f t="shared" ca="1" si="539"/>
        <v>0</v>
      </c>
      <c r="J2763" s="8" t="e">
        <f t="shared" ca="1" si="540"/>
        <v>#DIV/0!</v>
      </c>
      <c r="K2763" s="9" t="e">
        <f t="shared" ca="1" si="541"/>
        <v>#DIV/0!</v>
      </c>
      <c r="L2763" t="e">
        <f ca="1">+_xlfn.IFNA(VLOOKUP(M2763,BespokeWindowsAreas!$B$2:$E$1999,4,FALSE),VLOOKUP(E2763,WindowTypeArea!$B$2:$C$113,2,FALSE))</f>
        <v>#N/A</v>
      </c>
      <c r="M2763">
        <f t="shared" ca="1" si="532"/>
        <v>0</v>
      </c>
    </row>
    <row r="2764" spans="1:13" x14ac:dyDescent="0.25">
      <c r="A2764">
        <f t="shared" ca="1" si="530"/>
        <v>14</v>
      </c>
      <c r="B2764">
        <f t="shared" ca="1" si="531"/>
        <v>147</v>
      </c>
      <c r="C2764" t="str">
        <f t="shared" ca="1" si="533"/>
        <v>'WINDOWS-NCH-A-OCMA-M3-02-0'!B146</v>
      </c>
      <c r="D2764" s="6" t="str">
        <f t="shared" ca="1" si="534"/>
        <v>L02-THE-IVS-U0579-01</v>
      </c>
      <c r="E2764" t="str">
        <f t="shared" ca="1" si="535"/>
        <v>Family Type: 975w x 3050h, Family: Window External Type 1 - Recessed</v>
      </c>
      <c r="F2764" t="str">
        <f t="shared" ca="1" si="536"/>
        <v>Vector(X = 0.977, Y = 0.212, Z = 0.000, Length = 1.000)</v>
      </c>
      <c r="G2764">
        <f t="shared" ca="1" si="537"/>
        <v>1</v>
      </c>
      <c r="H2764">
        <f t="shared" ca="1" si="538"/>
        <v>0.2</v>
      </c>
      <c r="I2764">
        <f t="shared" ca="1" si="539"/>
        <v>0</v>
      </c>
      <c r="J2764" s="8">
        <f t="shared" ca="1" si="540"/>
        <v>11.309932474020215</v>
      </c>
      <c r="K2764" s="9" t="str">
        <f t="shared" ca="1" si="541"/>
        <v>E</v>
      </c>
      <c r="L2764">
        <f ca="1">+_xlfn.IFNA(VLOOKUP(M2764,BespokeWindowsAreas!$B$2:$E$1999,4,FALSE),VLOOKUP(E2764,WindowTypeArea!$B$2:$C$113,2,FALSE))</f>
        <v>2.9737499999999999</v>
      </c>
      <c r="M2764">
        <f t="shared" ca="1" si="532"/>
        <v>5502569</v>
      </c>
    </row>
    <row r="2765" spans="1:13" x14ac:dyDescent="0.25">
      <c r="A2765">
        <f t="shared" ca="1" si="530"/>
        <v>14</v>
      </c>
      <c r="B2765">
        <f t="shared" ca="1" si="531"/>
        <v>148</v>
      </c>
      <c r="C2765" t="str">
        <f t="shared" ca="1" si="533"/>
        <v>'WINDOWS-NCH-A-OCMA-M3-02-0'!B147</v>
      </c>
      <c r="D2765" s="6" t="str">
        <f t="shared" ca="1" si="534"/>
        <v>L02-THE-IVS-U0582-01</v>
      </c>
      <c r="E2765" t="str">
        <f t="shared" ca="1" si="535"/>
        <v>L02-THE-IVS-U0582-01</v>
      </c>
      <c r="F2765">
        <f t="shared" ca="1" si="536"/>
        <v>1809916</v>
      </c>
      <c r="G2765">
        <f t="shared" ca="1" si="537"/>
        <v>0</v>
      </c>
      <c r="H2765">
        <f t="shared" ca="1" si="538"/>
        <v>0</v>
      </c>
      <c r="I2765">
        <f t="shared" ca="1" si="539"/>
        <v>0</v>
      </c>
      <c r="J2765" s="8" t="e">
        <f t="shared" ca="1" si="540"/>
        <v>#DIV/0!</v>
      </c>
      <c r="K2765" s="9" t="e">
        <f t="shared" ca="1" si="541"/>
        <v>#DIV/0!</v>
      </c>
      <c r="L2765" t="e">
        <f ca="1">+_xlfn.IFNA(VLOOKUP(M2765,BespokeWindowsAreas!$B$2:$E$1999,4,FALSE),VLOOKUP(E2765,WindowTypeArea!$B$2:$C$113,2,FALSE))</f>
        <v>#N/A</v>
      </c>
      <c r="M2765">
        <f t="shared" ca="1" si="532"/>
        <v>0</v>
      </c>
    </row>
    <row r="2766" spans="1:13" x14ac:dyDescent="0.25">
      <c r="A2766">
        <f t="shared" ca="1" si="530"/>
        <v>14</v>
      </c>
      <c r="B2766">
        <f t="shared" ca="1" si="531"/>
        <v>149</v>
      </c>
      <c r="C2766" t="str">
        <f t="shared" ca="1" si="533"/>
        <v>'WINDOWS-NCH-A-OCMA-M3-02-0'!B148</v>
      </c>
      <c r="D2766" s="6" t="str">
        <f t="shared" ca="1" si="534"/>
        <v>L02-THE-IVS-U0582-01</v>
      </c>
      <c r="E2766" t="str">
        <f t="shared" ca="1" si="535"/>
        <v>Family Type: 975w x 3050h, Family: Window External Type 1 - Recessed</v>
      </c>
      <c r="F2766" t="str">
        <f t="shared" ca="1" si="536"/>
        <v>Vector(X = 0.872, Y = 0.489, Z = 0.000, Length = 1.000)</v>
      </c>
      <c r="G2766">
        <f t="shared" ca="1" si="537"/>
        <v>0.9</v>
      </c>
      <c r="H2766">
        <f t="shared" ca="1" si="538"/>
        <v>0.5</v>
      </c>
      <c r="I2766">
        <f t="shared" ca="1" si="539"/>
        <v>0</v>
      </c>
      <c r="J2766" s="8">
        <f t="shared" ca="1" si="540"/>
        <v>29.054604099077146</v>
      </c>
      <c r="K2766" s="9" t="str">
        <f t="shared" ca="1" si="541"/>
        <v>E</v>
      </c>
      <c r="L2766">
        <f ca="1">+_xlfn.IFNA(VLOOKUP(M2766,BespokeWindowsAreas!$B$2:$E$1999,4,FALSE),VLOOKUP(E2766,WindowTypeArea!$B$2:$C$113,2,FALSE))</f>
        <v>2.9737499999999999</v>
      </c>
      <c r="M2766">
        <f t="shared" ca="1" si="532"/>
        <v>5513438</v>
      </c>
    </row>
    <row r="2767" spans="1:13" x14ac:dyDescent="0.25">
      <c r="A2767">
        <f t="shared" ca="1" si="530"/>
        <v>14</v>
      </c>
      <c r="B2767">
        <f t="shared" ca="1" si="531"/>
        <v>150</v>
      </c>
      <c r="C2767" t="str">
        <f t="shared" ca="1" si="533"/>
        <v>'WINDOWS-NCH-A-OCMA-M3-02-0'!B149</v>
      </c>
      <c r="D2767" s="6" t="str">
        <f t="shared" ca="1" si="534"/>
        <v>L02-THE-IVS-U0586-01</v>
      </c>
      <c r="E2767" t="str">
        <f t="shared" ca="1" si="535"/>
        <v>L02-THE-IVS-U0586-01</v>
      </c>
      <c r="F2767">
        <f t="shared" ca="1" si="536"/>
        <v>1809920</v>
      </c>
      <c r="G2767">
        <f t="shared" ca="1" si="537"/>
        <v>0</v>
      </c>
      <c r="H2767">
        <f t="shared" ca="1" si="538"/>
        <v>0</v>
      </c>
      <c r="I2767">
        <f t="shared" ca="1" si="539"/>
        <v>0</v>
      </c>
      <c r="J2767" s="8" t="e">
        <f t="shared" ca="1" si="540"/>
        <v>#DIV/0!</v>
      </c>
      <c r="K2767" s="9" t="e">
        <f t="shared" ca="1" si="541"/>
        <v>#DIV/0!</v>
      </c>
      <c r="L2767" t="e">
        <f ca="1">+_xlfn.IFNA(VLOOKUP(M2767,BespokeWindowsAreas!$B$2:$E$1999,4,FALSE),VLOOKUP(E2767,WindowTypeArea!$B$2:$C$113,2,FALSE))</f>
        <v>#N/A</v>
      </c>
      <c r="M2767">
        <f t="shared" ca="1" si="532"/>
        <v>0</v>
      </c>
    </row>
    <row r="2768" spans="1:13" x14ac:dyDescent="0.25">
      <c r="A2768">
        <f t="shared" ca="1" si="530"/>
        <v>14</v>
      </c>
      <c r="B2768">
        <f t="shared" ca="1" si="531"/>
        <v>151</v>
      </c>
      <c r="C2768" t="str">
        <f t="shared" ca="1" si="533"/>
        <v>'WINDOWS-NCH-A-OCMA-M3-02-0'!B150</v>
      </c>
      <c r="D2768" s="6" t="str">
        <f t="shared" ca="1" si="534"/>
        <v>L02-THE-IVS-U0586-01</v>
      </c>
      <c r="E2768" t="str">
        <f t="shared" ca="1" si="535"/>
        <v>Family Type: 975w x 3050h, Family: Window Internal Type 1 - Flush</v>
      </c>
      <c r="F2768" t="str">
        <f t="shared" ca="1" si="536"/>
        <v>Vector(X = -0.977, Y = -0.212, Z = 0.000, Length = 1.000)</v>
      </c>
      <c r="G2768">
        <f t="shared" ca="1" si="537"/>
        <v>-1</v>
      </c>
      <c r="H2768">
        <f t="shared" ca="1" si="538"/>
        <v>-0.2</v>
      </c>
      <c r="I2768">
        <f t="shared" ca="1" si="539"/>
        <v>0</v>
      </c>
      <c r="J2768" s="8">
        <f t="shared" ca="1" si="540"/>
        <v>-168.69006752597977</v>
      </c>
      <c r="K2768" s="9" t="str">
        <f t="shared" ca="1" si="541"/>
        <v>W</v>
      </c>
      <c r="L2768">
        <f ca="1">+_xlfn.IFNA(VLOOKUP(M2768,BespokeWindowsAreas!$B$2:$E$1999,4,FALSE),VLOOKUP(E2768,WindowTypeArea!$B$2:$C$113,2,FALSE))</f>
        <v>2.9737499999999999</v>
      </c>
      <c r="M2768">
        <f t="shared" ca="1" si="532"/>
        <v>6642802</v>
      </c>
    </row>
    <row r="2769" spans="1:13" x14ac:dyDescent="0.25">
      <c r="A2769">
        <f t="shared" ca="1" si="530"/>
        <v>14</v>
      </c>
      <c r="B2769">
        <f t="shared" ca="1" si="531"/>
        <v>152</v>
      </c>
      <c r="C2769" t="str">
        <f t="shared" ca="1" si="533"/>
        <v>'WINDOWS-NCH-A-OCMA-M3-02-0'!B151</v>
      </c>
      <c r="D2769" s="6" t="str">
        <f t="shared" ca="1" si="534"/>
        <v>L02-THE-IVS-S099-01</v>
      </c>
      <c r="E2769" t="str">
        <f t="shared" ca="1" si="535"/>
        <v>L02-THE-IVS-S099-01</v>
      </c>
      <c r="F2769">
        <f t="shared" ca="1" si="536"/>
        <v>1809922</v>
      </c>
      <c r="G2769">
        <f t="shared" ca="1" si="537"/>
        <v>0</v>
      </c>
      <c r="H2769">
        <f t="shared" ca="1" si="538"/>
        <v>0</v>
      </c>
      <c r="I2769">
        <f t="shared" ca="1" si="539"/>
        <v>0</v>
      </c>
      <c r="J2769" s="8" t="e">
        <f t="shared" ca="1" si="540"/>
        <v>#DIV/0!</v>
      </c>
      <c r="K2769" s="9" t="e">
        <f t="shared" ca="1" si="541"/>
        <v>#DIV/0!</v>
      </c>
      <c r="L2769" t="e">
        <f ca="1">+_xlfn.IFNA(VLOOKUP(M2769,BespokeWindowsAreas!$B$2:$E$1999,4,FALSE),VLOOKUP(E2769,WindowTypeArea!$B$2:$C$113,2,FALSE))</f>
        <v>#N/A</v>
      </c>
      <c r="M2769">
        <f t="shared" ca="1" si="532"/>
        <v>0</v>
      </c>
    </row>
    <row r="2770" spans="1:13" x14ac:dyDescent="0.25">
      <c r="A2770">
        <f t="shared" ca="1" si="530"/>
        <v>14</v>
      </c>
      <c r="B2770">
        <f t="shared" ca="1" si="531"/>
        <v>153</v>
      </c>
      <c r="C2770" t="str">
        <f t="shared" ca="1" si="533"/>
        <v>'WINDOWS-NCH-A-OCMA-M3-02-0'!B152</v>
      </c>
      <c r="D2770" s="6" t="str">
        <f t="shared" ca="1" si="534"/>
        <v>L02-THE-IVS-S099-01</v>
      </c>
      <c r="E2770" t="str">
        <f t="shared" ca="1" si="535"/>
        <v>Family Type: 975w x 3050h, Family: Window External Type 1 - Recessed</v>
      </c>
      <c r="F2770" t="str">
        <f t="shared" ca="1" si="536"/>
        <v>Vector(X = 0.872, Y = 0.489, Z = 0.000, Length = 1.000)</v>
      </c>
      <c r="G2770">
        <f t="shared" ca="1" si="537"/>
        <v>0.9</v>
      </c>
      <c r="H2770">
        <f t="shared" ca="1" si="538"/>
        <v>0.5</v>
      </c>
      <c r="I2770">
        <f t="shared" ca="1" si="539"/>
        <v>0</v>
      </c>
      <c r="J2770" s="8">
        <f t="shared" ca="1" si="540"/>
        <v>29.054604099077146</v>
      </c>
      <c r="K2770" s="9" t="str">
        <f t="shared" ca="1" si="541"/>
        <v>E</v>
      </c>
      <c r="L2770">
        <f ca="1">+_xlfn.IFNA(VLOOKUP(M2770,BespokeWindowsAreas!$B$2:$E$1999,4,FALSE),VLOOKUP(E2770,WindowTypeArea!$B$2:$C$113,2,FALSE))</f>
        <v>2.9737499999999999</v>
      </c>
      <c r="M2770">
        <f t="shared" ca="1" si="532"/>
        <v>5513389</v>
      </c>
    </row>
    <row r="2771" spans="1:13" x14ac:dyDescent="0.25">
      <c r="A2771">
        <f t="shared" ca="1" si="530"/>
        <v>14</v>
      </c>
      <c r="B2771">
        <f t="shared" ca="1" si="531"/>
        <v>154</v>
      </c>
      <c r="C2771" t="str">
        <f t="shared" ca="1" si="533"/>
        <v>'WINDOWS-NCH-A-OCMA-M3-02-0'!B153</v>
      </c>
      <c r="D2771" s="6" t="str">
        <f t="shared" ca="1" si="534"/>
        <v>L02-THE-MRI-U0573-01</v>
      </c>
      <c r="E2771" t="str">
        <f t="shared" ca="1" si="535"/>
        <v>L02-THE-MRI-U0573-01</v>
      </c>
      <c r="F2771">
        <f t="shared" ca="1" si="536"/>
        <v>1809928</v>
      </c>
      <c r="G2771">
        <f t="shared" ca="1" si="537"/>
        <v>0</v>
      </c>
      <c r="H2771">
        <f t="shared" ca="1" si="538"/>
        <v>0</v>
      </c>
      <c r="I2771">
        <f t="shared" ca="1" si="539"/>
        <v>0</v>
      </c>
      <c r="J2771" s="8" t="e">
        <f t="shared" ca="1" si="540"/>
        <v>#DIV/0!</v>
      </c>
      <c r="K2771" s="9" t="e">
        <f t="shared" ca="1" si="541"/>
        <v>#DIV/0!</v>
      </c>
      <c r="L2771" t="e">
        <f ca="1">+_xlfn.IFNA(VLOOKUP(M2771,BespokeWindowsAreas!$B$2:$E$1999,4,FALSE),VLOOKUP(E2771,WindowTypeArea!$B$2:$C$113,2,FALSE))</f>
        <v>#N/A</v>
      </c>
      <c r="M2771">
        <f t="shared" ca="1" si="532"/>
        <v>0</v>
      </c>
    </row>
    <row r="2772" spans="1:13" x14ac:dyDescent="0.25">
      <c r="A2772">
        <f t="shared" ref="A2772:A2835" ca="1" si="542">+IF(B2771&lt;=VLOOKUP(MID(C2772,2,26),TABS,2,FALSE),A2771,+A2771+1)</f>
        <v>14</v>
      </c>
      <c r="B2772">
        <f t="shared" ref="B2772:B2835" ca="1" si="543">+IF(B2771&lt;=VLOOKUP(MID(C2772,2,26),TABS,2,FALSE),B2771+1,1)</f>
        <v>155</v>
      </c>
      <c r="C2772" t="str">
        <f t="shared" ca="1" si="533"/>
        <v>'WINDOWS-NCH-A-OCMA-M3-02-0'!B154</v>
      </c>
      <c r="D2772" s="6" t="str">
        <f t="shared" ca="1" si="534"/>
        <v>L02-THE-MRI-U0573-01</v>
      </c>
      <c r="E2772" t="str">
        <f t="shared" ca="1" si="535"/>
        <v>Family Type: 975w x 3050h, Family: Window External Type 1 - Recessed</v>
      </c>
      <c r="F2772" t="str">
        <f t="shared" ca="1" si="536"/>
        <v>Vector(X = 0.212, Y = -0.977, Z = 0.000, Length = 1.000)</v>
      </c>
      <c r="G2772">
        <f t="shared" ca="1" si="537"/>
        <v>0.2</v>
      </c>
      <c r="H2772">
        <f t="shared" ca="1" si="538"/>
        <v>-1</v>
      </c>
      <c r="I2772">
        <f t="shared" ca="1" si="539"/>
        <v>0</v>
      </c>
      <c r="J2772" s="8">
        <f t="shared" ca="1" si="540"/>
        <v>-78.690067525979785</v>
      </c>
      <c r="K2772" s="9" t="str">
        <f t="shared" ca="1" si="541"/>
        <v>S</v>
      </c>
      <c r="L2772">
        <f ca="1">+_xlfn.IFNA(VLOOKUP(M2772,BespokeWindowsAreas!$B$2:$E$1999,4,FALSE),VLOOKUP(E2772,WindowTypeArea!$B$2:$C$113,2,FALSE))</f>
        <v>2.9737499999999999</v>
      </c>
      <c r="M2772">
        <f t="shared" ca="1" si="532"/>
        <v>5711677</v>
      </c>
    </row>
    <row r="2773" spans="1:13" x14ac:dyDescent="0.25">
      <c r="A2773">
        <f t="shared" ca="1" si="542"/>
        <v>14</v>
      </c>
      <c r="B2773">
        <f t="shared" ca="1" si="543"/>
        <v>156</v>
      </c>
      <c r="C2773" t="str">
        <f t="shared" ca="1" si="533"/>
        <v>'WINDOWS-NCH-A-OCMA-M3-02-0'!B155</v>
      </c>
      <c r="D2773" s="6" t="str">
        <f t="shared" ca="1" si="534"/>
        <v>L02-THE-DOT-S066-14</v>
      </c>
      <c r="E2773" t="str">
        <f t="shared" ca="1" si="535"/>
        <v>L02-THE-DOT-S066-14</v>
      </c>
      <c r="F2773">
        <f t="shared" ca="1" si="536"/>
        <v>1810185</v>
      </c>
      <c r="G2773">
        <f t="shared" ca="1" si="537"/>
        <v>0</v>
      </c>
      <c r="H2773">
        <f t="shared" ca="1" si="538"/>
        <v>0</v>
      </c>
      <c r="I2773">
        <f t="shared" ca="1" si="539"/>
        <v>0</v>
      </c>
      <c r="J2773" s="8" t="e">
        <f t="shared" ca="1" si="540"/>
        <v>#DIV/0!</v>
      </c>
      <c r="K2773" s="9" t="e">
        <f t="shared" ca="1" si="541"/>
        <v>#DIV/0!</v>
      </c>
      <c r="L2773" t="e">
        <f ca="1">+_xlfn.IFNA(VLOOKUP(M2773,BespokeWindowsAreas!$B$2:$E$1999,4,FALSE),VLOOKUP(E2773,WindowTypeArea!$B$2:$C$113,2,FALSE))</f>
        <v>#N/A</v>
      </c>
      <c r="M2773">
        <f t="shared" ca="1" si="532"/>
        <v>0</v>
      </c>
    </row>
    <row r="2774" spans="1:13" x14ac:dyDescent="0.25">
      <c r="A2774">
        <f t="shared" ca="1" si="542"/>
        <v>14</v>
      </c>
      <c r="B2774">
        <f t="shared" ca="1" si="543"/>
        <v>157</v>
      </c>
      <c r="C2774" t="str">
        <f t="shared" ca="1" si="533"/>
        <v>'WINDOWS-NCH-A-OCMA-M3-02-0'!B156</v>
      </c>
      <c r="D2774" s="6" t="str">
        <f t="shared" ca="1" si="534"/>
        <v>L02-THE-DOT-S066-14</v>
      </c>
      <c r="E2774" t="str">
        <f t="shared" ca="1" si="535"/>
        <v>Family Type: 975w x 3050h, Family: Window External Type 1 - Recessed</v>
      </c>
      <c r="F2774" t="str">
        <f t="shared" ca="1" si="536"/>
        <v>Vector(X = 0.977, Y = 0.212, Z = 0.000, Length = 1.000)</v>
      </c>
      <c r="G2774">
        <f t="shared" ca="1" si="537"/>
        <v>1</v>
      </c>
      <c r="H2774">
        <f t="shared" ca="1" si="538"/>
        <v>0.2</v>
      </c>
      <c r="I2774">
        <f t="shared" ca="1" si="539"/>
        <v>0</v>
      </c>
      <c r="J2774" s="8">
        <f t="shared" ca="1" si="540"/>
        <v>11.309932474020215</v>
      </c>
      <c r="K2774" s="9" t="str">
        <f t="shared" ca="1" si="541"/>
        <v>E</v>
      </c>
      <c r="L2774">
        <f ca="1">+_xlfn.IFNA(VLOOKUP(M2774,BespokeWindowsAreas!$B$2:$E$1999,4,FALSE),VLOOKUP(E2774,WindowTypeArea!$B$2:$C$113,2,FALSE))</f>
        <v>2.9737499999999999</v>
      </c>
      <c r="M2774">
        <f t="shared" ref="M2774:M2837" ca="1" si="544">+OFFSET(INDIRECT(C2774),0,5)</f>
        <v>5510000</v>
      </c>
    </row>
    <row r="2775" spans="1:13" x14ac:dyDescent="0.25">
      <c r="A2775">
        <f t="shared" ca="1" si="542"/>
        <v>14</v>
      </c>
      <c r="B2775">
        <f t="shared" ca="1" si="543"/>
        <v>158</v>
      </c>
      <c r="C2775" t="str">
        <f t="shared" ca="1" si="533"/>
        <v>'WINDOWS-NCH-A-OCMA-M3-02-0'!B157</v>
      </c>
      <c r="D2775" s="6" t="str">
        <f t="shared" ca="1" si="534"/>
        <v>L02-THE-DOT-S066-14</v>
      </c>
      <c r="E2775" t="str">
        <f t="shared" ca="1" si="535"/>
        <v>Family Type: 975w x 3050h, Family: Window External Type 1 - Recessed</v>
      </c>
      <c r="F2775" t="str">
        <f t="shared" ca="1" si="536"/>
        <v>Vector(X = 0.977, Y = 0.212, Z = 0.000, Length = 1.000)</v>
      </c>
      <c r="G2775">
        <f t="shared" ca="1" si="537"/>
        <v>1</v>
      </c>
      <c r="H2775">
        <f t="shared" ca="1" si="538"/>
        <v>0.2</v>
      </c>
      <c r="I2775">
        <f t="shared" ca="1" si="539"/>
        <v>0</v>
      </c>
      <c r="J2775" s="8">
        <f t="shared" ca="1" si="540"/>
        <v>11.309932474020215</v>
      </c>
      <c r="K2775" s="9" t="str">
        <f t="shared" ca="1" si="541"/>
        <v>E</v>
      </c>
      <c r="L2775">
        <f ca="1">+_xlfn.IFNA(VLOOKUP(M2775,BespokeWindowsAreas!$B$2:$E$1999,4,FALSE),VLOOKUP(E2775,WindowTypeArea!$B$2:$C$113,2,FALSE))</f>
        <v>2.9737499999999999</v>
      </c>
      <c r="M2775">
        <f t="shared" ca="1" si="544"/>
        <v>5510001</v>
      </c>
    </row>
    <row r="2776" spans="1:13" x14ac:dyDescent="0.25">
      <c r="A2776">
        <f t="shared" ca="1" si="542"/>
        <v>14</v>
      </c>
      <c r="B2776">
        <f t="shared" ca="1" si="543"/>
        <v>159</v>
      </c>
      <c r="C2776" t="str">
        <f t="shared" ca="1" si="533"/>
        <v>'WINDOWS-NCH-A-OCMA-M3-02-0'!B158</v>
      </c>
      <c r="D2776" s="6" t="str">
        <f t="shared" ca="1" si="534"/>
        <v>L02-THE-DOT-S066-14</v>
      </c>
      <c r="E2776" t="str">
        <f t="shared" ca="1" si="535"/>
        <v>Family Type: 1500w x 3050h, Family: Window External Type 1 - Recessed</v>
      </c>
      <c r="F2776" t="str">
        <f t="shared" ca="1" si="536"/>
        <v>Vector(X = 0.977, Y = 0.212, Z = 0.000, Length = 1.000)</v>
      </c>
      <c r="G2776">
        <f t="shared" ca="1" si="537"/>
        <v>1</v>
      </c>
      <c r="H2776">
        <f t="shared" ca="1" si="538"/>
        <v>0.2</v>
      </c>
      <c r="I2776">
        <f t="shared" ca="1" si="539"/>
        <v>0</v>
      </c>
      <c r="J2776" s="8">
        <f t="shared" ca="1" si="540"/>
        <v>11.309932474020215</v>
      </c>
      <c r="K2776" s="9" t="str">
        <f t="shared" ca="1" si="541"/>
        <v>E</v>
      </c>
      <c r="L2776">
        <f ca="1">+_xlfn.IFNA(VLOOKUP(M2776,BespokeWindowsAreas!$B$2:$E$1999,4,FALSE),VLOOKUP(E2776,WindowTypeArea!$B$2:$C$113,2,FALSE))</f>
        <v>4.5750000000000002</v>
      </c>
      <c r="M2776">
        <f t="shared" ca="1" si="544"/>
        <v>5510002</v>
      </c>
    </row>
    <row r="2777" spans="1:13" x14ac:dyDescent="0.25">
      <c r="A2777">
        <f t="shared" ca="1" si="542"/>
        <v>14</v>
      </c>
      <c r="B2777">
        <f t="shared" ca="1" si="543"/>
        <v>160</v>
      </c>
      <c r="C2777" t="str">
        <f t="shared" ca="1" si="533"/>
        <v>'WINDOWS-NCH-A-OCMA-M3-02-0'!B159</v>
      </c>
      <c r="D2777" s="6" t="str">
        <f t="shared" ca="1" si="534"/>
        <v>L02-THE-DOT-S004-15</v>
      </c>
      <c r="E2777" t="str">
        <f t="shared" ca="1" si="535"/>
        <v>L02-THE-DOT-S004-15</v>
      </c>
      <c r="F2777">
        <f t="shared" ca="1" si="536"/>
        <v>1810186</v>
      </c>
      <c r="G2777">
        <f t="shared" ca="1" si="537"/>
        <v>0</v>
      </c>
      <c r="H2777">
        <f t="shared" ca="1" si="538"/>
        <v>0</v>
      </c>
      <c r="I2777">
        <f t="shared" ca="1" si="539"/>
        <v>0</v>
      </c>
      <c r="J2777" s="8" t="e">
        <f t="shared" ca="1" si="540"/>
        <v>#DIV/0!</v>
      </c>
      <c r="K2777" s="9" t="e">
        <f t="shared" ca="1" si="541"/>
        <v>#DIV/0!</v>
      </c>
      <c r="L2777" t="e">
        <f ca="1">+_xlfn.IFNA(VLOOKUP(M2777,BespokeWindowsAreas!$B$2:$E$1999,4,FALSE),VLOOKUP(E2777,WindowTypeArea!$B$2:$C$113,2,FALSE))</f>
        <v>#N/A</v>
      </c>
      <c r="M2777">
        <f t="shared" ca="1" si="544"/>
        <v>0</v>
      </c>
    </row>
    <row r="2778" spans="1:13" x14ac:dyDescent="0.25">
      <c r="A2778">
        <f t="shared" ca="1" si="542"/>
        <v>14</v>
      </c>
      <c r="B2778">
        <f t="shared" ca="1" si="543"/>
        <v>161</v>
      </c>
      <c r="C2778" t="str">
        <f t="shared" ca="1" si="533"/>
        <v>'WINDOWS-NCH-A-OCMA-M3-02-0'!B160</v>
      </c>
      <c r="D2778" s="6" t="str">
        <f t="shared" ca="1" si="534"/>
        <v>L02-THE-DOT-S004-15</v>
      </c>
      <c r="E2778" t="str">
        <f t="shared" ca="1" si="535"/>
        <v>Family Type: 975w x 3050h, Family: Window External Type 1 - Recessed</v>
      </c>
      <c r="F2778" t="str">
        <f t="shared" ca="1" si="536"/>
        <v>Vector(X = 0.977, Y = 0.212, Z = 0.000, Length = 1.000)</v>
      </c>
      <c r="G2778">
        <f t="shared" ca="1" si="537"/>
        <v>1</v>
      </c>
      <c r="H2778">
        <f t="shared" ca="1" si="538"/>
        <v>0.2</v>
      </c>
      <c r="I2778">
        <f t="shared" ca="1" si="539"/>
        <v>0</v>
      </c>
      <c r="J2778" s="8">
        <f t="shared" ca="1" si="540"/>
        <v>11.309932474020215</v>
      </c>
      <c r="K2778" s="9" t="str">
        <f t="shared" ca="1" si="541"/>
        <v>E</v>
      </c>
      <c r="L2778">
        <f ca="1">+_xlfn.IFNA(VLOOKUP(M2778,BespokeWindowsAreas!$B$2:$E$1999,4,FALSE),VLOOKUP(E2778,WindowTypeArea!$B$2:$C$113,2,FALSE))</f>
        <v>2.9737499999999999</v>
      </c>
      <c r="M2778">
        <f t="shared" ca="1" si="544"/>
        <v>5510003</v>
      </c>
    </row>
    <row r="2779" spans="1:13" x14ac:dyDescent="0.25">
      <c r="A2779">
        <f t="shared" ca="1" si="542"/>
        <v>14</v>
      </c>
      <c r="B2779">
        <f t="shared" ca="1" si="543"/>
        <v>162</v>
      </c>
      <c r="C2779" t="str">
        <f t="shared" ca="1" si="533"/>
        <v>'WINDOWS-NCH-A-OCMA-M3-02-0'!B161</v>
      </c>
      <c r="D2779" s="6">
        <f t="shared" ca="1" si="534"/>
        <v>9</v>
      </c>
      <c r="E2779">
        <f t="shared" ca="1" si="535"/>
        <v>9</v>
      </c>
      <c r="F2779">
        <f t="shared" ca="1" si="536"/>
        <v>1810236</v>
      </c>
      <c r="G2779">
        <f t="shared" ca="1" si="537"/>
        <v>0</v>
      </c>
      <c r="H2779">
        <f t="shared" ca="1" si="538"/>
        <v>0</v>
      </c>
      <c r="I2779">
        <f t="shared" ca="1" si="539"/>
        <v>0</v>
      </c>
      <c r="J2779" s="8" t="e">
        <f t="shared" ca="1" si="540"/>
        <v>#DIV/0!</v>
      </c>
      <c r="K2779" s="9" t="e">
        <f t="shared" ca="1" si="541"/>
        <v>#DIV/0!</v>
      </c>
      <c r="L2779" t="e">
        <f ca="1">+_xlfn.IFNA(VLOOKUP(M2779,BespokeWindowsAreas!$B$2:$E$1999,4,FALSE),VLOOKUP(E2779,WindowTypeArea!$B$2:$C$113,2,FALSE))</f>
        <v>#N/A</v>
      </c>
      <c r="M2779">
        <f t="shared" ca="1" si="544"/>
        <v>0</v>
      </c>
    </row>
    <row r="2780" spans="1:13" x14ac:dyDescent="0.25">
      <c r="A2780">
        <f t="shared" ca="1" si="542"/>
        <v>14</v>
      </c>
      <c r="B2780">
        <f t="shared" ca="1" si="543"/>
        <v>163</v>
      </c>
      <c r="C2780" t="str">
        <f t="shared" ca="1" si="533"/>
        <v>'WINDOWS-NCH-A-OCMA-M3-02-0'!B162</v>
      </c>
      <c r="D2780" s="6">
        <f t="shared" ca="1" si="534"/>
        <v>9</v>
      </c>
      <c r="E2780" t="str">
        <f t="shared" ca="1" si="535"/>
        <v>Family Type: 1950w x 3050h, Family: Window Internal Type 1 - Flush</v>
      </c>
      <c r="F2780" t="str">
        <f t="shared" ca="1" si="536"/>
        <v>Vector(X = 0.212, Y = -0.977, Z = 0.000, Length = 1.000)</v>
      </c>
      <c r="G2780">
        <f t="shared" ca="1" si="537"/>
        <v>0.2</v>
      </c>
      <c r="H2780">
        <f t="shared" ca="1" si="538"/>
        <v>-1</v>
      </c>
      <c r="I2780">
        <f t="shared" ca="1" si="539"/>
        <v>0</v>
      </c>
      <c r="J2780" s="8">
        <f t="shared" ca="1" si="540"/>
        <v>-78.690067525979785</v>
      </c>
      <c r="K2780" s="9" t="str">
        <f t="shared" ca="1" si="541"/>
        <v>S</v>
      </c>
      <c r="L2780">
        <f ca="1">+_xlfn.IFNA(VLOOKUP(M2780,BespokeWindowsAreas!$B$2:$E$1999,4,FALSE),VLOOKUP(E2780,WindowTypeArea!$B$2:$C$113,2,FALSE))</f>
        <v>5.9474999999999998</v>
      </c>
      <c r="M2780">
        <f t="shared" ca="1" si="544"/>
        <v>6642812</v>
      </c>
    </row>
    <row r="2781" spans="1:13" x14ac:dyDescent="0.25">
      <c r="A2781">
        <f t="shared" ca="1" si="542"/>
        <v>14</v>
      </c>
      <c r="B2781">
        <f t="shared" ca="1" si="543"/>
        <v>164</v>
      </c>
      <c r="C2781" t="str">
        <f t="shared" ca="1" si="533"/>
        <v>'WINDOWS-NCH-A-OCMA-M3-02-0'!B163</v>
      </c>
      <c r="D2781" s="6">
        <f t="shared" ca="1" si="534"/>
        <v>9</v>
      </c>
      <c r="E2781" t="str">
        <f t="shared" ca="1" si="535"/>
        <v>Family Type: 650w x 3050h, Family: Window Internal Type 1 - Flush</v>
      </c>
      <c r="F2781" t="str">
        <f t="shared" ca="1" si="536"/>
        <v>Vector(X = 0.212, Y = -0.977, Z = 0.000, Length = 1.000)</v>
      </c>
      <c r="G2781">
        <f t="shared" ca="1" si="537"/>
        <v>0.2</v>
      </c>
      <c r="H2781">
        <f t="shared" ca="1" si="538"/>
        <v>-1</v>
      </c>
      <c r="I2781">
        <f t="shared" ca="1" si="539"/>
        <v>0</v>
      </c>
      <c r="J2781" s="8">
        <f t="shared" ca="1" si="540"/>
        <v>-78.690067525979785</v>
      </c>
      <c r="K2781" s="9" t="str">
        <f t="shared" ca="1" si="541"/>
        <v>S</v>
      </c>
      <c r="L2781">
        <f ca="1">+_xlfn.IFNA(VLOOKUP(M2781,BespokeWindowsAreas!$B$2:$E$1999,4,FALSE),VLOOKUP(E2781,WindowTypeArea!$B$2:$C$113,2,FALSE))</f>
        <v>1.9824999999999999</v>
      </c>
      <c r="M2781">
        <f t="shared" ca="1" si="544"/>
        <v>6642813</v>
      </c>
    </row>
    <row r="2782" spans="1:13" x14ac:dyDescent="0.25">
      <c r="A2782">
        <f t="shared" ca="1" si="542"/>
        <v>14</v>
      </c>
      <c r="B2782">
        <f t="shared" ca="1" si="543"/>
        <v>165</v>
      </c>
      <c r="C2782" t="str">
        <f t="shared" ca="1" si="533"/>
        <v>'WINDOWS-NCH-A-OCMA-M3-02-0'!B164</v>
      </c>
      <c r="D2782" s="6">
        <f t="shared" ca="1" si="534"/>
        <v>9</v>
      </c>
      <c r="E2782" t="str">
        <f t="shared" ca="1" si="535"/>
        <v>Family Type: 650w x 3050h, Family: Window Internal Type 1 - Flush</v>
      </c>
      <c r="F2782" t="str">
        <f t="shared" ca="1" si="536"/>
        <v>Vector(X = 0.212, Y = -0.977, Z = 0.000, Length = 1.000)</v>
      </c>
      <c r="G2782">
        <f t="shared" ca="1" si="537"/>
        <v>0.2</v>
      </c>
      <c r="H2782">
        <f t="shared" ca="1" si="538"/>
        <v>-1</v>
      </c>
      <c r="I2782">
        <f t="shared" ca="1" si="539"/>
        <v>0</v>
      </c>
      <c r="J2782" s="8">
        <f t="shared" ca="1" si="540"/>
        <v>-78.690067525979785</v>
      </c>
      <c r="K2782" s="9" t="str">
        <f t="shared" ca="1" si="541"/>
        <v>S</v>
      </c>
      <c r="L2782">
        <f ca="1">+_xlfn.IFNA(VLOOKUP(M2782,BespokeWindowsAreas!$B$2:$E$1999,4,FALSE),VLOOKUP(E2782,WindowTypeArea!$B$2:$C$113,2,FALSE))</f>
        <v>1.9824999999999999</v>
      </c>
      <c r="M2782">
        <f t="shared" ca="1" si="544"/>
        <v>6642814</v>
      </c>
    </row>
    <row r="2783" spans="1:13" x14ac:dyDescent="0.25">
      <c r="A2783">
        <f t="shared" ca="1" si="542"/>
        <v>14</v>
      </c>
      <c r="B2783">
        <f t="shared" ca="1" si="543"/>
        <v>166</v>
      </c>
      <c r="C2783" t="str">
        <f t="shared" ca="1" si="533"/>
        <v>'WINDOWS-NCH-A-OCMA-M3-02-0'!B165</v>
      </c>
      <c r="D2783" s="6" t="str">
        <f t="shared" ca="1" si="534"/>
        <v>L02-THE-CRU-S131-09</v>
      </c>
      <c r="E2783" t="str">
        <f t="shared" ca="1" si="535"/>
        <v>L02-THE-CRU-S131-09</v>
      </c>
      <c r="F2783">
        <f t="shared" ca="1" si="536"/>
        <v>1853669</v>
      </c>
      <c r="G2783">
        <f t="shared" ca="1" si="537"/>
        <v>0</v>
      </c>
      <c r="H2783">
        <f t="shared" ca="1" si="538"/>
        <v>0</v>
      </c>
      <c r="I2783">
        <f t="shared" ca="1" si="539"/>
        <v>0</v>
      </c>
      <c r="J2783" s="8" t="e">
        <f t="shared" ca="1" si="540"/>
        <v>#DIV/0!</v>
      </c>
      <c r="K2783" s="9" t="e">
        <f t="shared" ca="1" si="541"/>
        <v>#DIV/0!</v>
      </c>
      <c r="L2783" t="e">
        <f ca="1">+_xlfn.IFNA(VLOOKUP(M2783,BespokeWindowsAreas!$B$2:$E$1999,4,FALSE),VLOOKUP(E2783,WindowTypeArea!$B$2:$C$113,2,FALSE))</f>
        <v>#N/A</v>
      </c>
      <c r="M2783">
        <f t="shared" ca="1" si="544"/>
        <v>0</v>
      </c>
    </row>
    <row r="2784" spans="1:13" x14ac:dyDescent="0.25">
      <c r="A2784">
        <f t="shared" ca="1" si="542"/>
        <v>14</v>
      </c>
      <c r="B2784">
        <f t="shared" ca="1" si="543"/>
        <v>167</v>
      </c>
      <c r="C2784" t="str">
        <f t="shared" ca="1" si="533"/>
        <v>'WINDOWS-NCH-A-OCMA-M3-02-0'!B166</v>
      </c>
      <c r="D2784" s="6" t="str">
        <f t="shared" ca="1" si="534"/>
        <v>L02-THE-CRU-S131-09</v>
      </c>
      <c r="E2784" t="str">
        <f t="shared" ca="1" si="535"/>
        <v>Family Type: 975w x 3050h, Family: Window Internal Type 1 - Flush</v>
      </c>
      <c r="F2784" t="str">
        <f t="shared" ca="1" si="536"/>
        <v>Vector(X = -0.977, Y = -0.212, Z = 0.000, Length = 1.000)</v>
      </c>
      <c r="G2784">
        <f t="shared" ca="1" si="537"/>
        <v>-1</v>
      </c>
      <c r="H2784">
        <f t="shared" ca="1" si="538"/>
        <v>-0.2</v>
      </c>
      <c r="I2784">
        <f t="shared" ca="1" si="539"/>
        <v>0</v>
      </c>
      <c r="J2784" s="8">
        <f t="shared" ca="1" si="540"/>
        <v>-168.69006752597977</v>
      </c>
      <c r="K2784" s="9" t="str">
        <f t="shared" ca="1" si="541"/>
        <v>W</v>
      </c>
      <c r="L2784">
        <f ca="1">+_xlfn.IFNA(VLOOKUP(M2784,BespokeWindowsAreas!$B$2:$E$1999,4,FALSE),VLOOKUP(E2784,WindowTypeArea!$B$2:$C$113,2,FALSE))</f>
        <v>2.9737499999999999</v>
      </c>
      <c r="M2784">
        <f t="shared" ca="1" si="544"/>
        <v>6317636</v>
      </c>
    </row>
    <row r="2785" spans="1:13" x14ac:dyDescent="0.25">
      <c r="A2785">
        <f t="shared" ca="1" si="542"/>
        <v>14</v>
      </c>
      <c r="B2785">
        <f t="shared" ca="1" si="543"/>
        <v>168</v>
      </c>
      <c r="C2785" t="str">
        <f t="shared" ca="1" si="533"/>
        <v>'WINDOWS-NCH-A-OCMA-M3-02-0'!B167</v>
      </c>
      <c r="D2785" s="6" t="str">
        <f t="shared" ca="1" si="534"/>
        <v>L02-THE-CRU-S130-04</v>
      </c>
      <c r="E2785" t="str">
        <f t="shared" ca="1" si="535"/>
        <v>L02-THE-CRU-S130-04</v>
      </c>
      <c r="F2785">
        <f t="shared" ca="1" si="536"/>
        <v>1853676</v>
      </c>
      <c r="G2785">
        <f t="shared" ca="1" si="537"/>
        <v>0</v>
      </c>
      <c r="H2785">
        <f t="shared" ca="1" si="538"/>
        <v>0</v>
      </c>
      <c r="I2785">
        <f t="shared" ca="1" si="539"/>
        <v>0</v>
      </c>
      <c r="J2785" s="8" t="e">
        <f t="shared" ca="1" si="540"/>
        <v>#DIV/0!</v>
      </c>
      <c r="K2785" s="9" t="e">
        <f t="shared" ca="1" si="541"/>
        <v>#DIV/0!</v>
      </c>
      <c r="L2785" t="e">
        <f ca="1">+_xlfn.IFNA(VLOOKUP(M2785,BespokeWindowsAreas!$B$2:$E$1999,4,FALSE),VLOOKUP(E2785,WindowTypeArea!$B$2:$C$113,2,FALSE))</f>
        <v>#N/A</v>
      </c>
      <c r="M2785">
        <f t="shared" ca="1" si="544"/>
        <v>0</v>
      </c>
    </row>
    <row r="2786" spans="1:13" x14ac:dyDescent="0.25">
      <c r="A2786">
        <f t="shared" ca="1" si="542"/>
        <v>14</v>
      </c>
      <c r="B2786">
        <f t="shared" ca="1" si="543"/>
        <v>169</v>
      </c>
      <c r="C2786" t="str">
        <f t="shared" ca="1" si="533"/>
        <v>'WINDOWS-NCH-A-OCMA-M3-02-0'!B168</v>
      </c>
      <c r="D2786" s="6" t="str">
        <f t="shared" ca="1" si="534"/>
        <v>L02-THE-CRU-S130-04</v>
      </c>
      <c r="E2786" t="str">
        <f t="shared" ca="1" si="535"/>
        <v>Family Type: 975w x 3050h, Family: Window Internal Type 1 - Flush</v>
      </c>
      <c r="F2786" t="str">
        <f t="shared" ca="1" si="536"/>
        <v>Vector(X = -0.977, Y = -0.212, Z = 0.000, Length = 1.000)</v>
      </c>
      <c r="G2786">
        <f t="shared" ca="1" si="537"/>
        <v>-1</v>
      </c>
      <c r="H2786">
        <f t="shared" ca="1" si="538"/>
        <v>-0.2</v>
      </c>
      <c r="I2786">
        <f t="shared" ca="1" si="539"/>
        <v>0</v>
      </c>
      <c r="J2786" s="8">
        <f t="shared" ca="1" si="540"/>
        <v>-168.69006752597977</v>
      </c>
      <c r="K2786" s="9" t="str">
        <f t="shared" ca="1" si="541"/>
        <v>W</v>
      </c>
      <c r="L2786">
        <f ca="1">+_xlfn.IFNA(VLOOKUP(M2786,BespokeWindowsAreas!$B$2:$E$1999,4,FALSE),VLOOKUP(E2786,WindowTypeArea!$B$2:$C$113,2,FALSE))</f>
        <v>2.9737499999999999</v>
      </c>
      <c r="M2786">
        <f t="shared" ca="1" si="544"/>
        <v>6317636</v>
      </c>
    </row>
    <row r="2787" spans="1:13" x14ac:dyDescent="0.25">
      <c r="A2787">
        <f t="shared" ca="1" si="542"/>
        <v>14</v>
      </c>
      <c r="B2787">
        <f t="shared" ca="1" si="543"/>
        <v>170</v>
      </c>
      <c r="C2787" t="str">
        <f t="shared" ca="1" si="533"/>
        <v>'WINDOWS-NCH-A-OCMA-M3-02-0'!B169</v>
      </c>
      <c r="D2787" s="6">
        <f t="shared" ca="1" si="534"/>
        <v>14</v>
      </c>
      <c r="E2787">
        <f t="shared" ca="1" si="535"/>
        <v>14</v>
      </c>
      <c r="F2787">
        <f t="shared" ca="1" si="536"/>
        <v>1879682</v>
      </c>
      <c r="G2787">
        <f t="shared" ca="1" si="537"/>
        <v>0</v>
      </c>
      <c r="H2787">
        <f t="shared" ca="1" si="538"/>
        <v>0</v>
      </c>
      <c r="I2787">
        <f t="shared" ca="1" si="539"/>
        <v>0</v>
      </c>
      <c r="J2787" s="8" t="e">
        <f t="shared" ca="1" si="540"/>
        <v>#DIV/0!</v>
      </c>
      <c r="K2787" s="9" t="e">
        <f t="shared" ca="1" si="541"/>
        <v>#DIV/0!</v>
      </c>
      <c r="L2787" t="e">
        <f ca="1">+_xlfn.IFNA(VLOOKUP(M2787,BespokeWindowsAreas!$B$2:$E$1999,4,FALSE),VLOOKUP(E2787,WindowTypeArea!$B$2:$C$113,2,FALSE))</f>
        <v>#N/A</v>
      </c>
      <c r="M2787">
        <f t="shared" ca="1" si="544"/>
        <v>0</v>
      </c>
    </row>
    <row r="2788" spans="1:13" x14ac:dyDescent="0.25">
      <c r="A2788">
        <f t="shared" ca="1" si="542"/>
        <v>14</v>
      </c>
      <c r="B2788">
        <f t="shared" ca="1" si="543"/>
        <v>171</v>
      </c>
      <c r="C2788" t="str">
        <f t="shared" ca="1" si="533"/>
        <v>'WINDOWS-NCH-A-OCMA-M3-02-0'!B170</v>
      </c>
      <c r="D2788" s="6">
        <f t="shared" ca="1" si="534"/>
        <v>14</v>
      </c>
      <c r="E2788" t="str">
        <f t="shared" ca="1" si="535"/>
        <v>Family Type: 1500w x 3050h, Family: Window External Type 3 - Recessed and Angle</v>
      </c>
      <c r="F2788" t="str">
        <f t="shared" ca="1" si="536"/>
        <v>Vector(X = 0.212, Y = -0.977, Z = 0.000, Length = 1.000)</v>
      </c>
      <c r="G2788">
        <f t="shared" ca="1" si="537"/>
        <v>0.2</v>
      </c>
      <c r="H2788">
        <f t="shared" ca="1" si="538"/>
        <v>-1</v>
      </c>
      <c r="I2788">
        <f t="shared" ca="1" si="539"/>
        <v>0</v>
      </c>
      <c r="J2788" s="8">
        <f t="shared" ca="1" si="540"/>
        <v>-78.690067525979785</v>
      </c>
      <c r="K2788" s="9" t="str">
        <f t="shared" ca="1" si="541"/>
        <v>S</v>
      </c>
      <c r="L2788">
        <f ca="1">+_xlfn.IFNA(VLOOKUP(M2788,BespokeWindowsAreas!$B$2:$E$1999,4,FALSE),VLOOKUP(E2788,WindowTypeArea!$B$2:$C$113,2,FALSE))</f>
        <v>4.5750000000000002</v>
      </c>
      <c r="M2788">
        <f t="shared" ca="1" si="544"/>
        <v>4928962</v>
      </c>
    </row>
    <row r="2789" spans="1:13" x14ac:dyDescent="0.25">
      <c r="A2789">
        <f t="shared" ca="1" si="542"/>
        <v>14</v>
      </c>
      <c r="B2789">
        <f t="shared" ca="1" si="543"/>
        <v>172</v>
      </c>
      <c r="C2789" t="str">
        <f t="shared" ca="1" si="533"/>
        <v>'WINDOWS-NCH-A-OCMA-M3-02-0'!B171</v>
      </c>
      <c r="D2789" s="6">
        <f t="shared" ca="1" si="534"/>
        <v>14</v>
      </c>
      <c r="E2789" t="str">
        <f t="shared" ca="1" si="535"/>
        <v>Family Type: 1950w x 3050h, Family: Window External Type 3 - Recessed and Angle</v>
      </c>
      <c r="F2789" t="str">
        <f t="shared" ca="1" si="536"/>
        <v>Vector(X = 0.212, Y = -0.977, Z = 0.000, Length = 1.000)</v>
      </c>
      <c r="G2789">
        <f t="shared" ca="1" si="537"/>
        <v>0.2</v>
      </c>
      <c r="H2789">
        <f t="shared" ca="1" si="538"/>
        <v>-1</v>
      </c>
      <c r="I2789">
        <f t="shared" ca="1" si="539"/>
        <v>0</v>
      </c>
      <c r="J2789" s="8">
        <f t="shared" ca="1" si="540"/>
        <v>-78.690067525979785</v>
      </c>
      <c r="K2789" s="9" t="str">
        <f t="shared" ca="1" si="541"/>
        <v>S</v>
      </c>
      <c r="L2789">
        <f ca="1">+_xlfn.IFNA(VLOOKUP(M2789,BespokeWindowsAreas!$B$2:$E$1999,4,FALSE),VLOOKUP(E2789,WindowTypeArea!$B$2:$C$113,2,FALSE))</f>
        <v>5.9474999999999998</v>
      </c>
      <c r="M2789">
        <f t="shared" ca="1" si="544"/>
        <v>4928964</v>
      </c>
    </row>
    <row r="2790" spans="1:13" x14ac:dyDescent="0.25">
      <c r="A2790">
        <f t="shared" ca="1" si="542"/>
        <v>14</v>
      </c>
      <c r="B2790">
        <f t="shared" ca="1" si="543"/>
        <v>173</v>
      </c>
      <c r="C2790" t="str">
        <f t="shared" ca="1" si="533"/>
        <v>'WINDOWS-NCH-A-OCMA-M3-02-0'!B172</v>
      </c>
      <c r="D2790" s="6">
        <f t="shared" ca="1" si="534"/>
        <v>15</v>
      </c>
      <c r="E2790">
        <f t="shared" ca="1" si="535"/>
        <v>15</v>
      </c>
      <c r="F2790">
        <f t="shared" ca="1" si="536"/>
        <v>1879685</v>
      </c>
      <c r="G2790">
        <f t="shared" ca="1" si="537"/>
        <v>0</v>
      </c>
      <c r="H2790">
        <f t="shared" ca="1" si="538"/>
        <v>0</v>
      </c>
      <c r="I2790">
        <f t="shared" ca="1" si="539"/>
        <v>0</v>
      </c>
      <c r="J2790" s="8" t="e">
        <f t="shared" ca="1" si="540"/>
        <v>#DIV/0!</v>
      </c>
      <c r="K2790" s="9" t="e">
        <f t="shared" ca="1" si="541"/>
        <v>#DIV/0!</v>
      </c>
      <c r="L2790" t="e">
        <f ca="1">+_xlfn.IFNA(VLOOKUP(M2790,BespokeWindowsAreas!$B$2:$E$1999,4,FALSE),VLOOKUP(E2790,WindowTypeArea!$B$2:$C$113,2,FALSE))</f>
        <v>#N/A</v>
      </c>
      <c r="M2790">
        <f t="shared" ca="1" si="544"/>
        <v>0</v>
      </c>
    </row>
    <row r="2791" spans="1:13" x14ac:dyDescent="0.25">
      <c r="A2791">
        <f t="shared" ca="1" si="542"/>
        <v>14</v>
      </c>
      <c r="B2791">
        <f t="shared" ca="1" si="543"/>
        <v>174</v>
      </c>
      <c r="C2791" t="str">
        <f t="shared" ca="1" si="533"/>
        <v>'WINDOWS-NCH-A-OCMA-M3-02-0'!B173</v>
      </c>
      <c r="D2791" s="6">
        <f t="shared" ca="1" si="534"/>
        <v>15</v>
      </c>
      <c r="E2791" t="str">
        <f t="shared" ca="1" si="535"/>
        <v>Family Type: 1950w x 3050h, Family: Window External Type 3 - Recessed and Angle</v>
      </c>
      <c r="F2791" t="str">
        <f t="shared" ca="1" si="536"/>
        <v>Vector(X = 0.212, Y = -0.977, Z = 0.000, Length = 1.000)</v>
      </c>
      <c r="G2791">
        <f t="shared" ca="1" si="537"/>
        <v>0.2</v>
      </c>
      <c r="H2791">
        <f t="shared" ca="1" si="538"/>
        <v>-1</v>
      </c>
      <c r="I2791">
        <f t="shared" ca="1" si="539"/>
        <v>0</v>
      </c>
      <c r="J2791" s="8">
        <f t="shared" ca="1" si="540"/>
        <v>-78.690067525979785</v>
      </c>
      <c r="K2791" s="9" t="str">
        <f t="shared" ca="1" si="541"/>
        <v>S</v>
      </c>
      <c r="L2791">
        <f ca="1">+_xlfn.IFNA(VLOOKUP(M2791,BespokeWindowsAreas!$B$2:$E$1999,4,FALSE),VLOOKUP(E2791,WindowTypeArea!$B$2:$C$113,2,FALSE))</f>
        <v>5.9474999999999998</v>
      </c>
      <c r="M2791">
        <f t="shared" ca="1" si="544"/>
        <v>4928964</v>
      </c>
    </row>
    <row r="2792" spans="1:13" x14ac:dyDescent="0.25">
      <c r="A2792">
        <f t="shared" ca="1" si="542"/>
        <v>15</v>
      </c>
      <c r="B2792">
        <f t="shared" ca="1" si="543"/>
        <v>1</v>
      </c>
      <c r="C2792" t="str">
        <f t="shared" ca="1" si="533"/>
        <v>'WINDOWS-NCH-A-OCMA-M3-02-0'!B174</v>
      </c>
      <c r="D2792" s="6">
        <f t="shared" ca="1" si="534"/>
        <v>15</v>
      </c>
      <c r="E2792" t="str">
        <f t="shared" ca="1" si="535"/>
        <v>Family Type: 1500w x 3050h, Family: Window External Type 3 - Recessed and Angle</v>
      </c>
      <c r="F2792" t="str">
        <f t="shared" ca="1" si="536"/>
        <v>Vector(X = 0.212, Y = -0.977, Z = 0.000, Length = 1.000)</v>
      </c>
      <c r="G2792">
        <f t="shared" ca="1" si="537"/>
        <v>0.2</v>
      </c>
      <c r="H2792">
        <f t="shared" ca="1" si="538"/>
        <v>-1</v>
      </c>
      <c r="I2792">
        <f t="shared" ca="1" si="539"/>
        <v>0</v>
      </c>
      <c r="J2792" s="8">
        <f t="shared" ca="1" si="540"/>
        <v>-78.690067525979785</v>
      </c>
      <c r="K2792" s="9" t="str">
        <f t="shared" ca="1" si="541"/>
        <v>S</v>
      </c>
      <c r="L2792">
        <f ca="1">+_xlfn.IFNA(VLOOKUP(M2792,BespokeWindowsAreas!$B$2:$E$1999,4,FALSE),VLOOKUP(E2792,WindowTypeArea!$B$2:$C$113,2,FALSE))</f>
        <v>4.5750000000000002</v>
      </c>
      <c r="M2792">
        <f t="shared" ca="1" si="544"/>
        <v>4929825</v>
      </c>
    </row>
    <row r="2793" spans="1:13" x14ac:dyDescent="0.25">
      <c r="A2793">
        <f t="shared" ca="1" si="542"/>
        <v>15</v>
      </c>
      <c r="B2793">
        <f t="shared" ca="1" si="543"/>
        <v>2</v>
      </c>
      <c r="C2793" t="str">
        <f t="shared" ca="1" si="533"/>
        <v>'WINDOWS-NCH-A-OCMA-M3-01-0'!B1</v>
      </c>
      <c r="D2793" s="6">
        <f t="shared" ca="1" si="534"/>
        <v>0</v>
      </c>
      <c r="E2793">
        <f t="shared" ca="1" si="535"/>
        <v>0</v>
      </c>
      <c r="F2793">
        <f t="shared" ca="1" si="536"/>
        <v>0</v>
      </c>
      <c r="G2793">
        <f t="shared" ca="1" si="537"/>
        <v>0</v>
      </c>
      <c r="H2793">
        <f t="shared" ca="1" si="538"/>
        <v>0</v>
      </c>
      <c r="I2793">
        <f t="shared" ca="1" si="539"/>
        <v>0</v>
      </c>
      <c r="J2793" s="8" t="e">
        <f t="shared" ca="1" si="540"/>
        <v>#DIV/0!</v>
      </c>
      <c r="K2793" s="9" t="e">
        <f t="shared" ca="1" si="541"/>
        <v>#DIV/0!</v>
      </c>
      <c r="L2793" t="e">
        <f ca="1">+_xlfn.IFNA(VLOOKUP(M2793,BespokeWindowsAreas!$B$2:$E$1999,4,FALSE),VLOOKUP(E2793,WindowTypeArea!$B$2:$C$113,2,FALSE))</f>
        <v>#N/A</v>
      </c>
      <c r="M2793">
        <f t="shared" ca="1" si="544"/>
        <v>0</v>
      </c>
    </row>
    <row r="2794" spans="1:13" x14ac:dyDescent="0.25">
      <c r="A2794">
        <f t="shared" ca="1" si="542"/>
        <v>15</v>
      </c>
      <c r="B2794">
        <f t="shared" ca="1" si="543"/>
        <v>3</v>
      </c>
      <c r="C2794" t="str">
        <f t="shared" ca="1" si="533"/>
        <v>'WINDOWS-NCH-A-OCMA-M3-01-0'!B2</v>
      </c>
      <c r="D2794" s="6" t="str">
        <f t="shared" ca="1" si="534"/>
        <v>L01-ICU-CIC-S087-01</v>
      </c>
      <c r="E2794" t="str">
        <f t="shared" ca="1" si="535"/>
        <v>L01-ICU-CIC-S087-01</v>
      </c>
      <c r="F2794">
        <f t="shared" ca="1" si="536"/>
        <v>1864907</v>
      </c>
      <c r="G2794">
        <f t="shared" ca="1" si="537"/>
        <v>0</v>
      </c>
      <c r="H2794">
        <f t="shared" ca="1" si="538"/>
        <v>0</v>
      </c>
      <c r="I2794">
        <f t="shared" ca="1" si="539"/>
        <v>0</v>
      </c>
      <c r="J2794" s="8" t="e">
        <f t="shared" ca="1" si="540"/>
        <v>#DIV/0!</v>
      </c>
      <c r="K2794" s="9" t="e">
        <f t="shared" ca="1" si="541"/>
        <v>#DIV/0!</v>
      </c>
      <c r="L2794" t="e">
        <f ca="1">+_xlfn.IFNA(VLOOKUP(M2794,BespokeWindowsAreas!$B$2:$E$1999,4,FALSE),VLOOKUP(E2794,WindowTypeArea!$B$2:$C$113,2,FALSE))</f>
        <v>#N/A</v>
      </c>
      <c r="M2794">
        <f t="shared" ca="1" si="544"/>
        <v>0</v>
      </c>
    </row>
    <row r="2795" spans="1:13" x14ac:dyDescent="0.25">
      <c r="A2795">
        <f t="shared" ca="1" si="542"/>
        <v>15</v>
      </c>
      <c r="B2795">
        <f t="shared" ca="1" si="543"/>
        <v>4</v>
      </c>
      <c r="C2795" t="str">
        <f t="shared" ca="1" si="533"/>
        <v>'WINDOWS-NCH-A-OCMA-M3-01-0'!B3</v>
      </c>
      <c r="D2795" s="6" t="str">
        <f t="shared" ca="1" si="534"/>
        <v>L01-ICU-CIC-S087-01</v>
      </c>
      <c r="E2795" t="str">
        <f t="shared" ca="1" si="535"/>
        <v>Family Type: 975w x 3050h, Family: Window External Type 1 - Recessed</v>
      </c>
      <c r="F2795" t="str">
        <f t="shared" ca="1" si="536"/>
        <v>Vector(X = 0.977, Y = 0.212, Z = 0.000, Length = 1.000)</v>
      </c>
      <c r="G2795">
        <f t="shared" ca="1" si="537"/>
        <v>1</v>
      </c>
      <c r="H2795">
        <f t="shared" ca="1" si="538"/>
        <v>0.2</v>
      </c>
      <c r="I2795">
        <f t="shared" ca="1" si="539"/>
        <v>0</v>
      </c>
      <c r="J2795" s="8">
        <f t="shared" ca="1" si="540"/>
        <v>11.309932474020215</v>
      </c>
      <c r="K2795" s="9" t="str">
        <f t="shared" ca="1" si="541"/>
        <v>E</v>
      </c>
      <c r="L2795">
        <f ca="1">+_xlfn.IFNA(VLOOKUP(M2795,BespokeWindowsAreas!$B$2:$E$1999,4,FALSE),VLOOKUP(E2795,WindowTypeArea!$B$2:$C$113,2,FALSE))</f>
        <v>2.9737499999999999</v>
      </c>
      <c r="M2795">
        <f t="shared" ca="1" si="544"/>
        <v>5021093</v>
      </c>
    </row>
    <row r="2796" spans="1:13" x14ac:dyDescent="0.25">
      <c r="A2796">
        <f t="shared" ca="1" si="542"/>
        <v>15</v>
      </c>
      <c r="B2796">
        <f t="shared" ca="1" si="543"/>
        <v>5</v>
      </c>
      <c r="C2796" t="str">
        <f t="shared" ca="1" si="533"/>
        <v>'WINDOWS-NCH-A-OCMA-M3-01-0'!B4</v>
      </c>
      <c r="D2796" s="6" t="str">
        <f t="shared" ca="1" si="534"/>
        <v>L01-ICU-CIC-S087-01</v>
      </c>
      <c r="E2796" t="str">
        <f t="shared" ca="1" si="535"/>
        <v>Family Type: 975w x 3050h, Family: Window External Type 1 - Recessed</v>
      </c>
      <c r="F2796" t="str">
        <f t="shared" ca="1" si="536"/>
        <v>Vector(X = 0.977, Y = 0.212, Z = 0.000, Length = 1.000)</v>
      </c>
      <c r="G2796">
        <f t="shared" ca="1" si="537"/>
        <v>1</v>
      </c>
      <c r="H2796">
        <f t="shared" ca="1" si="538"/>
        <v>0.2</v>
      </c>
      <c r="I2796">
        <f t="shared" ca="1" si="539"/>
        <v>0</v>
      </c>
      <c r="J2796" s="8">
        <f t="shared" ca="1" si="540"/>
        <v>11.309932474020215</v>
      </c>
      <c r="K2796" s="9" t="str">
        <f t="shared" ca="1" si="541"/>
        <v>E</v>
      </c>
      <c r="L2796">
        <f ca="1">+_xlfn.IFNA(VLOOKUP(M2796,BespokeWindowsAreas!$B$2:$E$1999,4,FALSE),VLOOKUP(E2796,WindowTypeArea!$B$2:$C$113,2,FALSE))</f>
        <v>2.9737499999999999</v>
      </c>
      <c r="M2796">
        <f t="shared" ca="1" si="544"/>
        <v>5021094</v>
      </c>
    </row>
    <row r="2797" spans="1:13" x14ac:dyDescent="0.25">
      <c r="A2797">
        <f t="shared" ca="1" si="542"/>
        <v>15</v>
      </c>
      <c r="B2797">
        <f t="shared" ca="1" si="543"/>
        <v>6</v>
      </c>
      <c r="C2797" t="str">
        <f t="shared" ca="1" si="533"/>
        <v>'WINDOWS-NCH-A-OCMA-M3-01-0'!B5</v>
      </c>
      <c r="D2797" s="6" t="str">
        <f t="shared" ca="1" si="534"/>
        <v>L01-ICU-CIC-U0100-01</v>
      </c>
      <c r="E2797" t="str">
        <f t="shared" ca="1" si="535"/>
        <v>L01-ICU-CIC-U0100-01</v>
      </c>
      <c r="F2797">
        <f t="shared" ca="1" si="536"/>
        <v>1864933</v>
      </c>
      <c r="G2797">
        <f t="shared" ca="1" si="537"/>
        <v>0</v>
      </c>
      <c r="H2797">
        <f t="shared" ca="1" si="538"/>
        <v>0</v>
      </c>
      <c r="I2797">
        <f t="shared" ca="1" si="539"/>
        <v>0</v>
      </c>
      <c r="J2797" s="8" t="e">
        <f t="shared" ca="1" si="540"/>
        <v>#DIV/0!</v>
      </c>
      <c r="K2797" s="9" t="e">
        <f t="shared" ca="1" si="541"/>
        <v>#DIV/0!</v>
      </c>
      <c r="L2797" t="e">
        <f ca="1">+_xlfn.IFNA(VLOOKUP(M2797,BespokeWindowsAreas!$B$2:$E$1999,4,FALSE),VLOOKUP(E2797,WindowTypeArea!$B$2:$C$113,2,FALSE))</f>
        <v>#N/A</v>
      </c>
      <c r="M2797">
        <f t="shared" ca="1" si="544"/>
        <v>0</v>
      </c>
    </row>
    <row r="2798" spans="1:13" x14ac:dyDescent="0.25">
      <c r="A2798">
        <f t="shared" ca="1" si="542"/>
        <v>15</v>
      </c>
      <c r="B2798">
        <f t="shared" ca="1" si="543"/>
        <v>7</v>
      </c>
      <c r="C2798" t="str">
        <f t="shared" ca="1" si="533"/>
        <v>'WINDOWS-NCH-A-OCMA-M3-01-0'!B6</v>
      </c>
      <c r="D2798" s="6" t="str">
        <f t="shared" ca="1" si="534"/>
        <v>L01-ICU-CIC-U0100-01</v>
      </c>
      <c r="E2798" t="str">
        <f t="shared" ca="1" si="535"/>
        <v>Family Type: 1950w x 3050h, Family: Window External Type 3 - Recessed and Angle</v>
      </c>
      <c r="F2798" t="str">
        <f t="shared" ca="1" si="536"/>
        <v>Vector(X = 0.212, Y = -0.977, Z = 0.000, Length = 1.000)</v>
      </c>
      <c r="G2798">
        <f t="shared" ca="1" si="537"/>
        <v>0.2</v>
      </c>
      <c r="H2798">
        <f t="shared" ca="1" si="538"/>
        <v>-1</v>
      </c>
      <c r="I2798">
        <f t="shared" ca="1" si="539"/>
        <v>0</v>
      </c>
      <c r="J2798" s="8">
        <f t="shared" ca="1" si="540"/>
        <v>-78.690067525979785</v>
      </c>
      <c r="K2798" s="9" t="str">
        <f t="shared" ca="1" si="541"/>
        <v>S</v>
      </c>
      <c r="L2798">
        <f ca="1">+_xlfn.IFNA(VLOOKUP(M2798,BespokeWindowsAreas!$B$2:$E$1999,4,FALSE),VLOOKUP(E2798,WindowTypeArea!$B$2:$C$113,2,FALSE))</f>
        <v>5.9474999999999998</v>
      </c>
      <c r="M2798">
        <f t="shared" ca="1" si="544"/>
        <v>4928940</v>
      </c>
    </row>
    <row r="2799" spans="1:13" x14ac:dyDescent="0.25">
      <c r="A2799">
        <f t="shared" ca="1" si="542"/>
        <v>15</v>
      </c>
      <c r="B2799">
        <f t="shared" ca="1" si="543"/>
        <v>8</v>
      </c>
      <c r="C2799" t="str">
        <f t="shared" ca="1" si="533"/>
        <v>'WINDOWS-NCH-A-OCMA-M3-01-0'!B7</v>
      </c>
      <c r="D2799" s="6" t="str">
        <f t="shared" ca="1" si="534"/>
        <v>L01-ICU-CIC-U0100-01</v>
      </c>
      <c r="E2799" t="str">
        <f t="shared" ca="1" si="535"/>
        <v>Family Type: 1000w x 3050h, Family: Window External Type 2 - Recessed and Fin</v>
      </c>
      <c r="F2799" t="str">
        <f t="shared" ca="1" si="536"/>
        <v>Vector(X = 0.212, Y = -0.977, Z = 0.000, Length = 1.000)</v>
      </c>
      <c r="G2799">
        <f t="shared" ca="1" si="537"/>
        <v>0.2</v>
      </c>
      <c r="H2799">
        <f t="shared" ca="1" si="538"/>
        <v>-1</v>
      </c>
      <c r="I2799">
        <f t="shared" ca="1" si="539"/>
        <v>0</v>
      </c>
      <c r="J2799" s="8">
        <f t="shared" ca="1" si="540"/>
        <v>-78.690067525979785</v>
      </c>
      <c r="K2799" s="9" t="str">
        <f t="shared" ca="1" si="541"/>
        <v>S</v>
      </c>
      <c r="L2799">
        <f ca="1">+_xlfn.IFNA(VLOOKUP(M2799,BespokeWindowsAreas!$B$2:$E$1999,4,FALSE),VLOOKUP(E2799,WindowTypeArea!$B$2:$C$113,2,FALSE))</f>
        <v>3.05</v>
      </c>
      <c r="M2799">
        <f t="shared" ca="1" si="544"/>
        <v>4928944</v>
      </c>
    </row>
    <row r="2800" spans="1:13" x14ac:dyDescent="0.25">
      <c r="A2800">
        <f t="shared" ca="1" si="542"/>
        <v>15</v>
      </c>
      <c r="B2800">
        <f t="shared" ca="1" si="543"/>
        <v>9</v>
      </c>
      <c r="C2800" t="str">
        <f t="shared" ca="1" si="533"/>
        <v>'WINDOWS-NCH-A-OCMA-M3-01-0'!B8</v>
      </c>
      <c r="D2800" s="6" t="str">
        <f t="shared" ca="1" si="534"/>
        <v>L01-ICU-CIC-U0100-01</v>
      </c>
      <c r="E2800" t="str">
        <f t="shared" ca="1" si="535"/>
        <v>Family Type: 1500w x 3050h, Family: Window External Type 3 - Recessed and Angle</v>
      </c>
      <c r="F2800" t="str">
        <f t="shared" ca="1" si="536"/>
        <v>Vector(X = 0.212, Y = -0.977, Z = 0.000, Length = 1.000)</v>
      </c>
      <c r="G2800">
        <f t="shared" ca="1" si="537"/>
        <v>0.2</v>
      </c>
      <c r="H2800">
        <f t="shared" ca="1" si="538"/>
        <v>-1</v>
      </c>
      <c r="I2800">
        <f t="shared" ca="1" si="539"/>
        <v>0</v>
      </c>
      <c r="J2800" s="8">
        <f t="shared" ca="1" si="540"/>
        <v>-78.690067525979785</v>
      </c>
      <c r="K2800" s="9" t="str">
        <f t="shared" ca="1" si="541"/>
        <v>S</v>
      </c>
      <c r="L2800">
        <f ca="1">+_xlfn.IFNA(VLOOKUP(M2800,BespokeWindowsAreas!$B$2:$E$1999,4,FALSE),VLOOKUP(E2800,WindowTypeArea!$B$2:$C$113,2,FALSE))</f>
        <v>4.5750000000000002</v>
      </c>
      <c r="M2800">
        <f t="shared" ca="1" si="544"/>
        <v>4928961</v>
      </c>
    </row>
    <row r="2801" spans="1:13" x14ac:dyDescent="0.25">
      <c r="A2801">
        <f t="shared" ca="1" si="542"/>
        <v>15</v>
      </c>
      <c r="B2801">
        <f t="shared" ca="1" si="543"/>
        <v>10</v>
      </c>
      <c r="C2801" t="str">
        <f t="shared" ca="1" si="533"/>
        <v>'WINDOWS-NCH-A-OCMA-M3-01-0'!B9</v>
      </c>
      <c r="D2801" s="6" t="str">
        <f t="shared" ca="1" si="534"/>
        <v>L01-ICU-CIC-S057-01</v>
      </c>
      <c r="E2801" t="str">
        <f t="shared" ca="1" si="535"/>
        <v>L01-ICU-CIC-S057-01</v>
      </c>
      <c r="F2801">
        <f t="shared" ca="1" si="536"/>
        <v>1864937</v>
      </c>
      <c r="G2801">
        <f t="shared" ca="1" si="537"/>
        <v>0</v>
      </c>
      <c r="H2801">
        <f t="shared" ca="1" si="538"/>
        <v>0</v>
      </c>
      <c r="I2801">
        <f t="shared" ca="1" si="539"/>
        <v>0</v>
      </c>
      <c r="J2801" s="8" t="e">
        <f t="shared" ca="1" si="540"/>
        <v>#DIV/0!</v>
      </c>
      <c r="K2801" s="9" t="e">
        <f t="shared" ca="1" si="541"/>
        <v>#DIV/0!</v>
      </c>
      <c r="L2801" t="e">
        <f ca="1">+_xlfn.IFNA(VLOOKUP(M2801,BespokeWindowsAreas!$B$2:$E$1999,4,FALSE),VLOOKUP(E2801,WindowTypeArea!$B$2:$C$113,2,FALSE))</f>
        <v>#N/A</v>
      </c>
      <c r="M2801">
        <f t="shared" ca="1" si="544"/>
        <v>0</v>
      </c>
    </row>
    <row r="2802" spans="1:13" x14ac:dyDescent="0.25">
      <c r="A2802">
        <f t="shared" ca="1" si="542"/>
        <v>15</v>
      </c>
      <c r="B2802">
        <f t="shared" ca="1" si="543"/>
        <v>11</v>
      </c>
      <c r="C2802" t="str">
        <f t="shared" ca="1" si="533"/>
        <v>'WINDOWS-NCH-A-OCMA-M3-01-0'!B10</v>
      </c>
      <c r="D2802" s="6" t="str">
        <f t="shared" ca="1" si="534"/>
        <v>L01-ICU-CIC-S057-01</v>
      </c>
      <c r="E2802" t="str">
        <f t="shared" ca="1" si="535"/>
        <v>Family Type: 975w x 3050h, Family: Window Internal Type 1 - Flush</v>
      </c>
      <c r="F2802" t="str">
        <f t="shared" ca="1" si="536"/>
        <v>Vector(X = 0.212, Y = -0.977, Z = 0.000, Length = 1.000)</v>
      </c>
      <c r="G2802">
        <f t="shared" ca="1" si="537"/>
        <v>0.2</v>
      </c>
      <c r="H2802">
        <f t="shared" ca="1" si="538"/>
        <v>-1</v>
      </c>
      <c r="I2802">
        <f t="shared" ca="1" si="539"/>
        <v>0</v>
      </c>
      <c r="J2802" s="8">
        <f t="shared" ca="1" si="540"/>
        <v>-78.690067525979785</v>
      </c>
      <c r="K2802" s="9" t="str">
        <f t="shared" ca="1" si="541"/>
        <v>S</v>
      </c>
      <c r="L2802">
        <f ca="1">+_xlfn.IFNA(VLOOKUP(M2802,BespokeWindowsAreas!$B$2:$E$1999,4,FALSE),VLOOKUP(E2802,WindowTypeArea!$B$2:$C$113,2,FALSE))</f>
        <v>2.9737499999999999</v>
      </c>
      <c r="M2802">
        <f t="shared" ca="1" si="544"/>
        <v>6320269</v>
      </c>
    </row>
    <row r="2803" spans="1:13" x14ac:dyDescent="0.25">
      <c r="A2803">
        <f t="shared" ca="1" si="542"/>
        <v>15</v>
      </c>
      <c r="B2803">
        <f t="shared" ca="1" si="543"/>
        <v>12</v>
      </c>
      <c r="C2803" t="str">
        <f t="shared" ca="1" si="533"/>
        <v>'WINDOWS-NCH-A-OCMA-M3-01-0'!B11</v>
      </c>
      <c r="D2803" s="6" t="str">
        <f t="shared" ca="1" si="534"/>
        <v>L01-ICU-CIC-S087-02</v>
      </c>
      <c r="E2803" t="str">
        <f t="shared" ca="1" si="535"/>
        <v>L01-ICU-CIC-S087-02</v>
      </c>
      <c r="F2803">
        <f t="shared" ca="1" si="536"/>
        <v>1864960</v>
      </c>
      <c r="G2803">
        <f t="shared" ca="1" si="537"/>
        <v>0</v>
      </c>
      <c r="H2803">
        <f t="shared" ca="1" si="538"/>
        <v>0</v>
      </c>
      <c r="I2803">
        <f t="shared" ca="1" si="539"/>
        <v>0</v>
      </c>
      <c r="J2803" s="8" t="e">
        <f t="shared" ca="1" si="540"/>
        <v>#DIV/0!</v>
      </c>
      <c r="K2803" s="9" t="e">
        <f t="shared" ca="1" si="541"/>
        <v>#DIV/0!</v>
      </c>
      <c r="L2803" t="e">
        <f ca="1">+_xlfn.IFNA(VLOOKUP(M2803,BespokeWindowsAreas!$B$2:$E$1999,4,FALSE),VLOOKUP(E2803,WindowTypeArea!$B$2:$C$113,2,FALSE))</f>
        <v>#N/A</v>
      </c>
      <c r="M2803">
        <f t="shared" ca="1" si="544"/>
        <v>0</v>
      </c>
    </row>
    <row r="2804" spans="1:13" x14ac:dyDescent="0.25">
      <c r="A2804">
        <f t="shared" ca="1" si="542"/>
        <v>15</v>
      </c>
      <c r="B2804">
        <f t="shared" ca="1" si="543"/>
        <v>13</v>
      </c>
      <c r="C2804" t="str">
        <f t="shared" ca="1" si="533"/>
        <v>'WINDOWS-NCH-A-OCMA-M3-01-0'!B12</v>
      </c>
      <c r="D2804" s="6" t="str">
        <f t="shared" ca="1" si="534"/>
        <v>L01-ICU-CIC-S087-02</v>
      </c>
      <c r="E2804" t="str">
        <f t="shared" ca="1" si="535"/>
        <v>Family Type: 1500w x 3050h, Family: Window External Type 1 - Recessed</v>
      </c>
      <c r="F2804" t="str">
        <f t="shared" ca="1" si="536"/>
        <v>Vector(X = 0.977, Y = 0.212, Z = 0.000, Length = 1.000)</v>
      </c>
      <c r="G2804">
        <f t="shared" ca="1" si="537"/>
        <v>1</v>
      </c>
      <c r="H2804">
        <f t="shared" ca="1" si="538"/>
        <v>0.2</v>
      </c>
      <c r="I2804">
        <f t="shared" ca="1" si="539"/>
        <v>0</v>
      </c>
      <c r="J2804" s="8">
        <f t="shared" ca="1" si="540"/>
        <v>11.309932474020215</v>
      </c>
      <c r="K2804" s="9" t="str">
        <f t="shared" ca="1" si="541"/>
        <v>E</v>
      </c>
      <c r="L2804">
        <f ca="1">+_xlfn.IFNA(VLOOKUP(M2804,BespokeWindowsAreas!$B$2:$E$1999,4,FALSE),VLOOKUP(E2804,WindowTypeArea!$B$2:$C$113,2,FALSE))</f>
        <v>4.5750000000000002</v>
      </c>
      <c r="M2804">
        <f t="shared" ca="1" si="544"/>
        <v>5502337</v>
      </c>
    </row>
    <row r="2805" spans="1:13" x14ac:dyDescent="0.25">
      <c r="A2805">
        <f t="shared" ca="1" si="542"/>
        <v>15</v>
      </c>
      <c r="B2805">
        <f t="shared" ca="1" si="543"/>
        <v>14</v>
      </c>
      <c r="C2805" t="str">
        <f t="shared" ca="1" si="533"/>
        <v>'WINDOWS-NCH-A-OCMA-M3-01-0'!B13</v>
      </c>
      <c r="D2805" s="6" t="str">
        <f t="shared" ca="1" si="534"/>
        <v>L01-ICU-CIC-S087-02</v>
      </c>
      <c r="E2805" t="str">
        <f t="shared" ca="1" si="535"/>
        <v>Family Type: 975w x 3050h, Family: Window External Type 1 - Recessed</v>
      </c>
      <c r="F2805" t="str">
        <f t="shared" ca="1" si="536"/>
        <v>Vector(X = 0.977, Y = 0.212, Z = 0.000, Length = 1.000)</v>
      </c>
      <c r="G2805">
        <f t="shared" ca="1" si="537"/>
        <v>1</v>
      </c>
      <c r="H2805">
        <f t="shared" ca="1" si="538"/>
        <v>0.2</v>
      </c>
      <c r="I2805">
        <f t="shared" ca="1" si="539"/>
        <v>0</v>
      </c>
      <c r="J2805" s="8">
        <f t="shared" ca="1" si="540"/>
        <v>11.309932474020215</v>
      </c>
      <c r="K2805" s="9" t="str">
        <f t="shared" ca="1" si="541"/>
        <v>E</v>
      </c>
      <c r="L2805">
        <f ca="1">+_xlfn.IFNA(VLOOKUP(M2805,BespokeWindowsAreas!$B$2:$E$1999,4,FALSE),VLOOKUP(E2805,WindowTypeArea!$B$2:$C$113,2,FALSE))</f>
        <v>2.9737499999999999</v>
      </c>
      <c r="M2805">
        <f t="shared" ca="1" si="544"/>
        <v>5503970</v>
      </c>
    </row>
    <row r="2806" spans="1:13" x14ac:dyDescent="0.25">
      <c r="A2806">
        <f t="shared" ca="1" si="542"/>
        <v>15</v>
      </c>
      <c r="B2806">
        <f t="shared" ca="1" si="543"/>
        <v>15</v>
      </c>
      <c r="C2806" t="str">
        <f t="shared" ca="1" si="533"/>
        <v>'WINDOWS-NCH-A-OCMA-M3-01-0'!B14</v>
      </c>
      <c r="D2806" s="6" t="str">
        <f t="shared" ca="1" si="534"/>
        <v>L01-ICU-CIC-S087-03</v>
      </c>
      <c r="E2806" t="str">
        <f t="shared" ca="1" si="535"/>
        <v>L01-ICU-CIC-S087-03</v>
      </c>
      <c r="F2806">
        <f t="shared" ca="1" si="536"/>
        <v>1864961</v>
      </c>
      <c r="G2806">
        <f t="shared" ca="1" si="537"/>
        <v>0</v>
      </c>
      <c r="H2806">
        <f t="shared" ca="1" si="538"/>
        <v>0</v>
      </c>
      <c r="I2806">
        <f t="shared" ca="1" si="539"/>
        <v>0</v>
      </c>
      <c r="J2806" s="8" t="e">
        <f t="shared" ca="1" si="540"/>
        <v>#DIV/0!</v>
      </c>
      <c r="K2806" s="9" t="e">
        <f t="shared" ca="1" si="541"/>
        <v>#DIV/0!</v>
      </c>
      <c r="L2806" t="e">
        <f ca="1">+_xlfn.IFNA(VLOOKUP(M2806,BespokeWindowsAreas!$B$2:$E$1999,4,FALSE),VLOOKUP(E2806,WindowTypeArea!$B$2:$C$113,2,FALSE))</f>
        <v>#N/A</v>
      </c>
      <c r="M2806">
        <f t="shared" ca="1" si="544"/>
        <v>0</v>
      </c>
    </row>
    <row r="2807" spans="1:13" x14ac:dyDescent="0.25">
      <c r="A2807">
        <f t="shared" ca="1" si="542"/>
        <v>15</v>
      </c>
      <c r="B2807">
        <f t="shared" ca="1" si="543"/>
        <v>16</v>
      </c>
      <c r="C2807" t="str">
        <f t="shared" ca="1" si="533"/>
        <v>'WINDOWS-NCH-A-OCMA-M3-01-0'!B15</v>
      </c>
      <c r="D2807" s="6" t="str">
        <f t="shared" ca="1" si="534"/>
        <v>L01-ICU-CIC-S087-03</v>
      </c>
      <c r="E2807" t="str">
        <f t="shared" ca="1" si="535"/>
        <v>Family Type: 1950w x 3050h, Family: Window External Type 1 - Recessed</v>
      </c>
      <c r="F2807" t="str">
        <f t="shared" ca="1" si="536"/>
        <v>Vector(X = 0.977, Y = 0.212, Z = 0.000, Length = 1.000)</v>
      </c>
      <c r="G2807">
        <f t="shared" ca="1" si="537"/>
        <v>1</v>
      </c>
      <c r="H2807">
        <f t="shared" ca="1" si="538"/>
        <v>0.2</v>
      </c>
      <c r="I2807">
        <f t="shared" ca="1" si="539"/>
        <v>0</v>
      </c>
      <c r="J2807" s="8">
        <f t="shared" ca="1" si="540"/>
        <v>11.309932474020215</v>
      </c>
      <c r="K2807" s="9" t="str">
        <f t="shared" ca="1" si="541"/>
        <v>E</v>
      </c>
      <c r="L2807">
        <f ca="1">+_xlfn.IFNA(VLOOKUP(M2807,BespokeWindowsAreas!$B$2:$E$1999,4,FALSE),VLOOKUP(E2807,WindowTypeArea!$B$2:$C$113,2,FALSE))</f>
        <v>5.9474999999999998</v>
      </c>
      <c r="M2807">
        <f t="shared" ca="1" si="544"/>
        <v>5021096</v>
      </c>
    </row>
    <row r="2808" spans="1:13" x14ac:dyDescent="0.25">
      <c r="A2808">
        <f t="shared" ca="1" si="542"/>
        <v>15</v>
      </c>
      <c r="B2808">
        <f t="shared" ca="1" si="543"/>
        <v>17</v>
      </c>
      <c r="C2808" t="str">
        <f t="shared" ca="1" si="533"/>
        <v>'WINDOWS-NCH-A-OCMA-M3-01-0'!B16</v>
      </c>
      <c r="D2808" s="6" t="str">
        <f t="shared" ca="1" si="534"/>
        <v>L01-ICU-CIC-S087-04</v>
      </c>
      <c r="E2808" t="str">
        <f t="shared" ca="1" si="535"/>
        <v>L01-ICU-CIC-S087-04</v>
      </c>
      <c r="F2808">
        <f t="shared" ca="1" si="536"/>
        <v>1864962</v>
      </c>
      <c r="G2808">
        <f t="shared" ca="1" si="537"/>
        <v>0</v>
      </c>
      <c r="H2808">
        <f t="shared" ca="1" si="538"/>
        <v>0</v>
      </c>
      <c r="I2808">
        <f t="shared" ca="1" si="539"/>
        <v>0</v>
      </c>
      <c r="J2808" s="8" t="e">
        <f t="shared" ca="1" si="540"/>
        <v>#DIV/0!</v>
      </c>
      <c r="K2808" s="9" t="e">
        <f t="shared" ca="1" si="541"/>
        <v>#DIV/0!</v>
      </c>
      <c r="L2808" t="e">
        <f ca="1">+_xlfn.IFNA(VLOOKUP(M2808,BespokeWindowsAreas!$B$2:$E$1999,4,FALSE),VLOOKUP(E2808,WindowTypeArea!$B$2:$C$113,2,FALSE))</f>
        <v>#N/A</v>
      </c>
      <c r="M2808">
        <f t="shared" ca="1" si="544"/>
        <v>0</v>
      </c>
    </row>
    <row r="2809" spans="1:13" x14ac:dyDescent="0.25">
      <c r="A2809">
        <f t="shared" ca="1" si="542"/>
        <v>15</v>
      </c>
      <c r="B2809">
        <f t="shared" ca="1" si="543"/>
        <v>18</v>
      </c>
      <c r="C2809" t="str">
        <f t="shared" ca="1" si="533"/>
        <v>'WINDOWS-NCH-A-OCMA-M3-01-0'!B17</v>
      </c>
      <c r="D2809" s="6" t="str">
        <f t="shared" ca="1" si="534"/>
        <v>L01-ICU-CIC-S087-04</v>
      </c>
      <c r="E2809" t="str">
        <f t="shared" ca="1" si="535"/>
        <v>Family Type: 975w x 3050h, Family: Window External Type 1 - Recessed</v>
      </c>
      <c r="F2809" t="str">
        <f t="shared" ca="1" si="536"/>
        <v>Vector(X = 0.977, Y = 0.212, Z = 0.000, Length = 1.000)</v>
      </c>
      <c r="G2809">
        <f t="shared" ca="1" si="537"/>
        <v>1</v>
      </c>
      <c r="H2809">
        <f t="shared" ca="1" si="538"/>
        <v>0.2</v>
      </c>
      <c r="I2809">
        <f t="shared" ca="1" si="539"/>
        <v>0</v>
      </c>
      <c r="J2809" s="8">
        <f t="shared" ca="1" si="540"/>
        <v>11.309932474020215</v>
      </c>
      <c r="K2809" s="9" t="str">
        <f t="shared" ca="1" si="541"/>
        <v>E</v>
      </c>
      <c r="L2809">
        <f ca="1">+_xlfn.IFNA(VLOOKUP(M2809,BespokeWindowsAreas!$B$2:$E$1999,4,FALSE),VLOOKUP(E2809,WindowTypeArea!$B$2:$C$113,2,FALSE))</f>
        <v>2.9737499999999999</v>
      </c>
      <c r="M2809">
        <f t="shared" ca="1" si="544"/>
        <v>5504208</v>
      </c>
    </row>
    <row r="2810" spans="1:13" x14ac:dyDescent="0.25">
      <c r="A2810">
        <f t="shared" ca="1" si="542"/>
        <v>15</v>
      </c>
      <c r="B2810">
        <f t="shared" ca="1" si="543"/>
        <v>19</v>
      </c>
      <c r="C2810" t="str">
        <f t="shared" ca="1" si="533"/>
        <v>'WINDOWS-NCH-A-OCMA-M3-01-0'!B18</v>
      </c>
      <c r="D2810" s="6" t="str">
        <f t="shared" ca="1" si="534"/>
        <v>L01-ICU-CIC-S087-05</v>
      </c>
      <c r="E2810" t="str">
        <f t="shared" ca="1" si="535"/>
        <v>L01-ICU-CIC-S087-05</v>
      </c>
      <c r="F2810">
        <f t="shared" ca="1" si="536"/>
        <v>1864963</v>
      </c>
      <c r="G2810">
        <f t="shared" ca="1" si="537"/>
        <v>0</v>
      </c>
      <c r="H2810">
        <f t="shared" ca="1" si="538"/>
        <v>0</v>
      </c>
      <c r="I2810">
        <f t="shared" ca="1" si="539"/>
        <v>0</v>
      </c>
      <c r="J2810" s="8" t="e">
        <f t="shared" ca="1" si="540"/>
        <v>#DIV/0!</v>
      </c>
      <c r="K2810" s="9" t="e">
        <f t="shared" ca="1" si="541"/>
        <v>#DIV/0!</v>
      </c>
      <c r="L2810" t="e">
        <f ca="1">+_xlfn.IFNA(VLOOKUP(M2810,BespokeWindowsAreas!$B$2:$E$1999,4,FALSE),VLOOKUP(E2810,WindowTypeArea!$B$2:$C$113,2,FALSE))</f>
        <v>#N/A</v>
      </c>
      <c r="M2810">
        <f t="shared" ca="1" si="544"/>
        <v>0</v>
      </c>
    </row>
    <row r="2811" spans="1:13" x14ac:dyDescent="0.25">
      <c r="A2811">
        <f t="shared" ca="1" si="542"/>
        <v>15</v>
      </c>
      <c r="B2811">
        <f t="shared" ca="1" si="543"/>
        <v>20</v>
      </c>
      <c r="C2811" t="str">
        <f t="shared" ca="1" si="533"/>
        <v>'WINDOWS-NCH-A-OCMA-M3-01-0'!B19</v>
      </c>
      <c r="D2811" s="6" t="str">
        <f t="shared" ca="1" si="534"/>
        <v>L01-ICU-CIC-S087-05</v>
      </c>
      <c r="E2811" t="str">
        <f t="shared" ca="1" si="535"/>
        <v>Family Type: 1950w x 3050h, Family: Window External Type 1 - Recessed</v>
      </c>
      <c r="F2811" t="str">
        <f t="shared" ca="1" si="536"/>
        <v>Vector(X = 0.977, Y = 0.212, Z = 0.000, Length = 1.000)</v>
      </c>
      <c r="G2811">
        <f t="shared" ca="1" si="537"/>
        <v>1</v>
      </c>
      <c r="H2811">
        <f t="shared" ca="1" si="538"/>
        <v>0.2</v>
      </c>
      <c r="I2811">
        <f t="shared" ca="1" si="539"/>
        <v>0</v>
      </c>
      <c r="J2811" s="8">
        <f t="shared" ca="1" si="540"/>
        <v>11.309932474020215</v>
      </c>
      <c r="K2811" s="9" t="str">
        <f t="shared" ca="1" si="541"/>
        <v>E</v>
      </c>
      <c r="L2811">
        <f ca="1">+_xlfn.IFNA(VLOOKUP(M2811,BespokeWindowsAreas!$B$2:$E$1999,4,FALSE),VLOOKUP(E2811,WindowTypeArea!$B$2:$C$113,2,FALSE))</f>
        <v>5.9474999999999998</v>
      </c>
      <c r="M2811">
        <f t="shared" ca="1" si="544"/>
        <v>5504873</v>
      </c>
    </row>
    <row r="2812" spans="1:13" x14ac:dyDescent="0.25">
      <c r="A2812">
        <f t="shared" ca="1" si="542"/>
        <v>15</v>
      </c>
      <c r="B2812">
        <f t="shared" ca="1" si="543"/>
        <v>21</v>
      </c>
      <c r="C2812" t="str">
        <f t="shared" ca="1" si="533"/>
        <v>'WINDOWS-NCH-A-OCMA-M3-01-0'!B20</v>
      </c>
      <c r="D2812" s="6" t="str">
        <f t="shared" ca="1" si="534"/>
        <v>L01-ICU-CIC-S087-05</v>
      </c>
      <c r="E2812" t="str">
        <f t="shared" ca="1" si="535"/>
        <v>Family Type: 975w x 3050h, Family: Window External Type 1 - Recessed</v>
      </c>
      <c r="F2812" t="str">
        <f t="shared" ca="1" si="536"/>
        <v>Vector(X = 0.977, Y = 0.212, Z = 0.000, Length = 1.000)</v>
      </c>
      <c r="G2812">
        <f t="shared" ca="1" si="537"/>
        <v>1</v>
      </c>
      <c r="H2812">
        <f t="shared" ca="1" si="538"/>
        <v>0.2</v>
      </c>
      <c r="I2812">
        <f t="shared" ca="1" si="539"/>
        <v>0</v>
      </c>
      <c r="J2812" s="8">
        <f t="shared" ca="1" si="540"/>
        <v>11.309932474020215</v>
      </c>
      <c r="K2812" s="9" t="str">
        <f t="shared" ca="1" si="541"/>
        <v>E</v>
      </c>
      <c r="L2812">
        <f ca="1">+_xlfn.IFNA(VLOOKUP(M2812,BespokeWindowsAreas!$B$2:$E$1999,4,FALSE),VLOOKUP(E2812,WindowTypeArea!$B$2:$C$113,2,FALSE))</f>
        <v>2.9737499999999999</v>
      </c>
      <c r="M2812">
        <f t="shared" ca="1" si="544"/>
        <v>5506002</v>
      </c>
    </row>
    <row r="2813" spans="1:13" x14ac:dyDescent="0.25">
      <c r="A2813">
        <f t="shared" ca="1" si="542"/>
        <v>15</v>
      </c>
      <c r="B2813">
        <f t="shared" ca="1" si="543"/>
        <v>22</v>
      </c>
      <c r="C2813" t="str">
        <f t="shared" ca="1" si="533"/>
        <v>'WINDOWS-NCH-A-OCMA-M3-01-0'!B21</v>
      </c>
      <c r="D2813" s="6" t="str">
        <f t="shared" ca="1" si="534"/>
        <v>L01-ICU-CIC-S087-06</v>
      </c>
      <c r="E2813" t="str">
        <f t="shared" ca="1" si="535"/>
        <v>L01-ICU-CIC-S087-06</v>
      </c>
      <c r="F2813">
        <f t="shared" ca="1" si="536"/>
        <v>1864964</v>
      </c>
      <c r="G2813">
        <f t="shared" ca="1" si="537"/>
        <v>0</v>
      </c>
      <c r="H2813">
        <f t="shared" ca="1" si="538"/>
        <v>0</v>
      </c>
      <c r="I2813">
        <f t="shared" ca="1" si="539"/>
        <v>0</v>
      </c>
      <c r="J2813" s="8" t="e">
        <f t="shared" ca="1" si="540"/>
        <v>#DIV/0!</v>
      </c>
      <c r="K2813" s="9" t="e">
        <f t="shared" ca="1" si="541"/>
        <v>#DIV/0!</v>
      </c>
      <c r="L2813" t="e">
        <f ca="1">+_xlfn.IFNA(VLOOKUP(M2813,BespokeWindowsAreas!$B$2:$E$1999,4,FALSE),VLOOKUP(E2813,WindowTypeArea!$B$2:$C$113,2,FALSE))</f>
        <v>#N/A</v>
      </c>
      <c r="M2813">
        <f t="shared" ca="1" si="544"/>
        <v>0</v>
      </c>
    </row>
    <row r="2814" spans="1:13" x14ac:dyDescent="0.25">
      <c r="A2814">
        <f t="shared" ca="1" si="542"/>
        <v>15</v>
      </c>
      <c r="B2814">
        <f t="shared" ca="1" si="543"/>
        <v>23</v>
      </c>
      <c r="C2814" t="str">
        <f t="shared" ca="1" si="533"/>
        <v>'WINDOWS-NCH-A-OCMA-M3-01-0'!B22</v>
      </c>
      <c r="D2814" s="6" t="str">
        <f t="shared" ca="1" si="534"/>
        <v>L01-ICU-CIC-S087-06</v>
      </c>
      <c r="E2814" t="str">
        <f t="shared" ca="1" si="535"/>
        <v>Family Type: 975w x 3050h, Family: Window Internal Type 1 - Flush</v>
      </c>
      <c r="F2814" t="str">
        <f t="shared" ca="1" si="536"/>
        <v>Vector(X = -0.977, Y = -0.212, Z = 0.000, Length = 1.000)</v>
      </c>
      <c r="G2814">
        <f t="shared" ca="1" si="537"/>
        <v>-1</v>
      </c>
      <c r="H2814">
        <f t="shared" ca="1" si="538"/>
        <v>-0.2</v>
      </c>
      <c r="I2814">
        <f t="shared" ca="1" si="539"/>
        <v>0</v>
      </c>
      <c r="J2814" s="8">
        <f t="shared" ca="1" si="540"/>
        <v>-168.69006752597977</v>
      </c>
      <c r="K2814" s="9" t="str">
        <f t="shared" ca="1" si="541"/>
        <v>W</v>
      </c>
      <c r="L2814">
        <f ca="1">+_xlfn.IFNA(VLOOKUP(M2814,BespokeWindowsAreas!$B$2:$E$1999,4,FALSE),VLOOKUP(E2814,WindowTypeArea!$B$2:$C$113,2,FALSE))</f>
        <v>2.9737499999999999</v>
      </c>
      <c r="M2814">
        <f t="shared" ca="1" si="544"/>
        <v>6642854</v>
      </c>
    </row>
    <row r="2815" spans="1:13" x14ac:dyDescent="0.25">
      <c r="A2815">
        <f t="shared" ca="1" si="542"/>
        <v>15</v>
      </c>
      <c r="B2815">
        <f t="shared" ca="1" si="543"/>
        <v>24</v>
      </c>
      <c r="C2815" t="str">
        <f t="shared" ca="1" si="533"/>
        <v>'WINDOWS-NCH-A-OCMA-M3-01-0'!B23</v>
      </c>
      <c r="D2815" s="6" t="str">
        <f t="shared" ca="1" si="534"/>
        <v>L01-ICU-CIC-S087-07</v>
      </c>
      <c r="E2815" t="str">
        <f t="shared" ca="1" si="535"/>
        <v>L01-ICU-CIC-S087-07</v>
      </c>
      <c r="F2815">
        <f t="shared" ca="1" si="536"/>
        <v>1864965</v>
      </c>
      <c r="G2815">
        <f t="shared" ca="1" si="537"/>
        <v>0</v>
      </c>
      <c r="H2815">
        <f t="shared" ca="1" si="538"/>
        <v>0</v>
      </c>
      <c r="I2815">
        <f t="shared" ca="1" si="539"/>
        <v>0</v>
      </c>
      <c r="J2815" s="8" t="e">
        <f t="shared" ca="1" si="540"/>
        <v>#DIV/0!</v>
      </c>
      <c r="K2815" s="9" t="e">
        <f t="shared" ca="1" si="541"/>
        <v>#DIV/0!</v>
      </c>
      <c r="L2815" t="e">
        <f ca="1">+_xlfn.IFNA(VLOOKUP(M2815,BespokeWindowsAreas!$B$2:$E$1999,4,FALSE),VLOOKUP(E2815,WindowTypeArea!$B$2:$C$113,2,FALSE))</f>
        <v>#N/A</v>
      </c>
      <c r="M2815">
        <f t="shared" ca="1" si="544"/>
        <v>0</v>
      </c>
    </row>
    <row r="2816" spans="1:13" x14ac:dyDescent="0.25">
      <c r="A2816">
        <f t="shared" ca="1" si="542"/>
        <v>15</v>
      </c>
      <c r="B2816">
        <f t="shared" ca="1" si="543"/>
        <v>25</v>
      </c>
      <c r="C2816" t="str">
        <f t="shared" ca="1" si="533"/>
        <v>'WINDOWS-NCH-A-OCMA-M3-01-0'!B24</v>
      </c>
      <c r="D2816" s="6" t="str">
        <f t="shared" ca="1" si="534"/>
        <v>L01-ICU-CIC-S087-07</v>
      </c>
      <c r="E2816" t="str">
        <f t="shared" ca="1" si="535"/>
        <v>Family Type: 975w x 3050h, Family: Window Internal Type 1 - Flush</v>
      </c>
      <c r="F2816" t="str">
        <f t="shared" ca="1" si="536"/>
        <v>Vector(X = -0.977, Y = -0.212, Z = 0.000, Length = 1.000)</v>
      </c>
      <c r="G2816">
        <f t="shared" ca="1" si="537"/>
        <v>-1</v>
      </c>
      <c r="H2816">
        <f t="shared" ca="1" si="538"/>
        <v>-0.2</v>
      </c>
      <c r="I2816">
        <f t="shared" ca="1" si="539"/>
        <v>0</v>
      </c>
      <c r="J2816" s="8">
        <f t="shared" ca="1" si="540"/>
        <v>-168.69006752597977</v>
      </c>
      <c r="K2816" s="9" t="str">
        <f t="shared" ca="1" si="541"/>
        <v>W</v>
      </c>
      <c r="L2816">
        <f ca="1">+_xlfn.IFNA(VLOOKUP(M2816,BespokeWindowsAreas!$B$2:$E$1999,4,FALSE),VLOOKUP(E2816,WindowTypeArea!$B$2:$C$113,2,FALSE))</f>
        <v>2.9737499999999999</v>
      </c>
      <c r="M2816">
        <f t="shared" ca="1" si="544"/>
        <v>6642855</v>
      </c>
    </row>
    <row r="2817" spans="1:13" x14ac:dyDescent="0.25">
      <c r="A2817">
        <f t="shared" ca="1" si="542"/>
        <v>15</v>
      </c>
      <c r="B2817">
        <f t="shared" ca="1" si="543"/>
        <v>26</v>
      </c>
      <c r="C2817" t="str">
        <f t="shared" ca="1" si="533"/>
        <v>'WINDOWS-NCH-A-OCMA-M3-01-0'!B25</v>
      </c>
      <c r="D2817" s="6" t="str">
        <f t="shared" ca="1" si="534"/>
        <v>L01-ICU-CIC-S087-08</v>
      </c>
      <c r="E2817" t="str">
        <f t="shared" ca="1" si="535"/>
        <v>L01-ICU-CIC-S087-08</v>
      </c>
      <c r="F2817">
        <f t="shared" ca="1" si="536"/>
        <v>1864966</v>
      </c>
      <c r="G2817">
        <f t="shared" ca="1" si="537"/>
        <v>0</v>
      </c>
      <c r="H2817">
        <f t="shared" ca="1" si="538"/>
        <v>0</v>
      </c>
      <c r="I2817">
        <f t="shared" ca="1" si="539"/>
        <v>0</v>
      </c>
      <c r="J2817" s="8" t="e">
        <f t="shared" ca="1" si="540"/>
        <v>#DIV/0!</v>
      </c>
      <c r="K2817" s="9" t="e">
        <f t="shared" ca="1" si="541"/>
        <v>#DIV/0!</v>
      </c>
      <c r="L2817" t="e">
        <f ca="1">+_xlfn.IFNA(VLOOKUP(M2817,BespokeWindowsAreas!$B$2:$E$1999,4,FALSE),VLOOKUP(E2817,WindowTypeArea!$B$2:$C$113,2,FALSE))</f>
        <v>#N/A</v>
      </c>
      <c r="M2817">
        <f t="shared" ca="1" si="544"/>
        <v>0</v>
      </c>
    </row>
    <row r="2818" spans="1:13" x14ac:dyDescent="0.25">
      <c r="A2818">
        <f t="shared" ca="1" si="542"/>
        <v>15</v>
      </c>
      <c r="B2818">
        <f t="shared" ca="1" si="543"/>
        <v>27</v>
      </c>
      <c r="C2818" t="str">
        <f t="shared" ca="1" si="533"/>
        <v>'WINDOWS-NCH-A-OCMA-M3-01-0'!B26</v>
      </c>
      <c r="D2818" s="6" t="str">
        <f t="shared" ca="1" si="534"/>
        <v>L01-ICU-CIC-S087-08</v>
      </c>
      <c r="E2818" t="str">
        <f t="shared" ca="1" si="535"/>
        <v>Family Type: 975w x 3050h, Family: Window External Type 1 - Recessed</v>
      </c>
      <c r="F2818" t="str">
        <f t="shared" ca="1" si="536"/>
        <v>Vector(X = 0.977, Y = 0.212, Z = 0.000, Length = 1.000)</v>
      </c>
      <c r="G2818">
        <f t="shared" ca="1" si="537"/>
        <v>1</v>
      </c>
      <c r="H2818">
        <f t="shared" ca="1" si="538"/>
        <v>0.2</v>
      </c>
      <c r="I2818">
        <f t="shared" ca="1" si="539"/>
        <v>0</v>
      </c>
      <c r="J2818" s="8">
        <f t="shared" ca="1" si="540"/>
        <v>11.309932474020215</v>
      </c>
      <c r="K2818" s="9" t="str">
        <f t="shared" ca="1" si="541"/>
        <v>E</v>
      </c>
      <c r="L2818">
        <f ca="1">+_xlfn.IFNA(VLOOKUP(M2818,BespokeWindowsAreas!$B$2:$E$1999,4,FALSE),VLOOKUP(E2818,WindowTypeArea!$B$2:$C$113,2,FALSE))</f>
        <v>2.9737499999999999</v>
      </c>
      <c r="M2818">
        <f t="shared" ca="1" si="544"/>
        <v>5504579</v>
      </c>
    </row>
    <row r="2819" spans="1:13" x14ac:dyDescent="0.25">
      <c r="A2819">
        <f t="shared" ca="1" si="542"/>
        <v>15</v>
      </c>
      <c r="B2819">
        <f t="shared" ca="1" si="543"/>
        <v>28</v>
      </c>
      <c r="C2819" t="str">
        <f t="shared" ca="1" si="533"/>
        <v>'WINDOWS-NCH-A-OCMA-M3-01-0'!B27</v>
      </c>
      <c r="D2819" s="6" t="str">
        <f t="shared" ca="1" si="534"/>
        <v>L01-ICU-CIC-S087-09</v>
      </c>
      <c r="E2819" t="str">
        <f t="shared" ca="1" si="535"/>
        <v>L01-ICU-CIC-S087-09</v>
      </c>
      <c r="F2819">
        <f t="shared" ca="1" si="536"/>
        <v>1864967</v>
      </c>
      <c r="G2819">
        <f t="shared" ca="1" si="537"/>
        <v>0</v>
      </c>
      <c r="H2819">
        <f t="shared" ca="1" si="538"/>
        <v>0</v>
      </c>
      <c r="I2819">
        <f t="shared" ca="1" si="539"/>
        <v>0</v>
      </c>
      <c r="J2819" s="8" t="e">
        <f t="shared" ca="1" si="540"/>
        <v>#DIV/0!</v>
      </c>
      <c r="K2819" s="9" t="e">
        <f t="shared" ca="1" si="541"/>
        <v>#DIV/0!</v>
      </c>
      <c r="L2819" t="e">
        <f ca="1">+_xlfn.IFNA(VLOOKUP(M2819,BespokeWindowsAreas!$B$2:$E$1999,4,FALSE),VLOOKUP(E2819,WindowTypeArea!$B$2:$C$113,2,FALSE))</f>
        <v>#N/A</v>
      </c>
      <c r="M2819">
        <f t="shared" ca="1" si="544"/>
        <v>0</v>
      </c>
    </row>
    <row r="2820" spans="1:13" x14ac:dyDescent="0.25">
      <c r="A2820">
        <f t="shared" ca="1" si="542"/>
        <v>15</v>
      </c>
      <c r="B2820">
        <f t="shared" ca="1" si="543"/>
        <v>29</v>
      </c>
      <c r="C2820" t="str">
        <f t="shared" ca="1" si="533"/>
        <v>'WINDOWS-NCH-A-OCMA-M3-01-0'!B28</v>
      </c>
      <c r="D2820" s="6" t="str">
        <f t="shared" ca="1" si="534"/>
        <v>L01-ICU-CIC-S087-09</v>
      </c>
      <c r="E2820" t="str">
        <f t="shared" ca="1" si="535"/>
        <v>Family Type: 975w x 3050h, Family: Window Internal Type 1 - Flush</v>
      </c>
      <c r="F2820" t="str">
        <f t="shared" ca="1" si="536"/>
        <v>Vector(X = -0.977, Y = -0.212, Z = 0.000, Length = 1.000)</v>
      </c>
      <c r="G2820">
        <f t="shared" ca="1" si="537"/>
        <v>-1</v>
      </c>
      <c r="H2820">
        <f t="shared" ca="1" si="538"/>
        <v>-0.2</v>
      </c>
      <c r="I2820">
        <f t="shared" ca="1" si="539"/>
        <v>0</v>
      </c>
      <c r="J2820" s="8">
        <f t="shared" ca="1" si="540"/>
        <v>-168.69006752597977</v>
      </c>
      <c r="K2820" s="9" t="str">
        <f t="shared" ca="1" si="541"/>
        <v>W</v>
      </c>
      <c r="L2820">
        <f ca="1">+_xlfn.IFNA(VLOOKUP(M2820,BespokeWindowsAreas!$B$2:$E$1999,4,FALSE),VLOOKUP(E2820,WindowTypeArea!$B$2:$C$113,2,FALSE))</f>
        <v>2.9737499999999999</v>
      </c>
      <c r="M2820">
        <f t="shared" ca="1" si="544"/>
        <v>6643289</v>
      </c>
    </row>
    <row r="2821" spans="1:13" x14ac:dyDescent="0.25">
      <c r="A2821">
        <f t="shared" ca="1" si="542"/>
        <v>15</v>
      </c>
      <c r="B2821">
        <f t="shared" ca="1" si="543"/>
        <v>30</v>
      </c>
      <c r="C2821" t="str">
        <f t="shared" ca="1" si="533"/>
        <v>'WINDOWS-NCH-A-OCMA-M3-01-0'!B29</v>
      </c>
      <c r="D2821" s="6" t="str">
        <f t="shared" ca="1" si="534"/>
        <v>L01-ICU-CIC-S087-10</v>
      </c>
      <c r="E2821" t="str">
        <f t="shared" ca="1" si="535"/>
        <v>L01-ICU-CIC-S087-10</v>
      </c>
      <c r="F2821">
        <f t="shared" ca="1" si="536"/>
        <v>1864968</v>
      </c>
      <c r="G2821">
        <f t="shared" ca="1" si="537"/>
        <v>0</v>
      </c>
      <c r="H2821">
        <f t="shared" ca="1" si="538"/>
        <v>0</v>
      </c>
      <c r="I2821">
        <f t="shared" ca="1" si="539"/>
        <v>0</v>
      </c>
      <c r="J2821" s="8" t="e">
        <f t="shared" ca="1" si="540"/>
        <v>#DIV/0!</v>
      </c>
      <c r="K2821" s="9" t="e">
        <f t="shared" ca="1" si="541"/>
        <v>#DIV/0!</v>
      </c>
      <c r="L2821" t="e">
        <f ca="1">+_xlfn.IFNA(VLOOKUP(M2821,BespokeWindowsAreas!$B$2:$E$1999,4,FALSE),VLOOKUP(E2821,WindowTypeArea!$B$2:$C$113,2,FALSE))</f>
        <v>#N/A</v>
      </c>
      <c r="M2821">
        <f t="shared" ca="1" si="544"/>
        <v>0</v>
      </c>
    </row>
    <row r="2822" spans="1:13" x14ac:dyDescent="0.25">
      <c r="A2822">
        <f t="shared" ca="1" si="542"/>
        <v>15</v>
      </c>
      <c r="B2822">
        <f t="shared" ca="1" si="543"/>
        <v>31</v>
      </c>
      <c r="C2822" t="str">
        <f t="shared" ca="1" si="533"/>
        <v>'WINDOWS-NCH-A-OCMA-M3-01-0'!B30</v>
      </c>
      <c r="D2822" s="6" t="str">
        <f t="shared" ca="1" si="534"/>
        <v>L01-ICU-CIC-S087-10</v>
      </c>
      <c r="E2822" t="str">
        <f t="shared" ca="1" si="535"/>
        <v>Family Type: 1950w x 3050h, Family: Window External Type 1 - Recessed</v>
      </c>
      <c r="F2822" t="str">
        <f t="shared" ca="1" si="536"/>
        <v>Vector(X = 0.977, Y = 0.212, Z = 0.000, Length = 1.000)</v>
      </c>
      <c r="G2822">
        <f t="shared" ca="1" si="537"/>
        <v>1</v>
      </c>
      <c r="H2822">
        <f t="shared" ca="1" si="538"/>
        <v>0.2</v>
      </c>
      <c r="I2822">
        <f t="shared" ca="1" si="539"/>
        <v>0</v>
      </c>
      <c r="J2822" s="8">
        <f t="shared" ca="1" si="540"/>
        <v>11.309932474020215</v>
      </c>
      <c r="K2822" s="9" t="str">
        <f t="shared" ca="1" si="541"/>
        <v>E</v>
      </c>
      <c r="L2822">
        <f ca="1">+_xlfn.IFNA(VLOOKUP(M2822,BespokeWindowsAreas!$B$2:$E$1999,4,FALSE),VLOOKUP(E2822,WindowTypeArea!$B$2:$C$113,2,FALSE))</f>
        <v>5.9474999999999998</v>
      </c>
      <c r="M2822">
        <f t="shared" ca="1" si="544"/>
        <v>5021095</v>
      </c>
    </row>
    <row r="2823" spans="1:13" x14ac:dyDescent="0.25">
      <c r="A2823">
        <f t="shared" ca="1" si="542"/>
        <v>15</v>
      </c>
      <c r="B2823">
        <f t="shared" ca="1" si="543"/>
        <v>32</v>
      </c>
      <c r="C2823" t="str">
        <f t="shared" ca="1" si="533"/>
        <v>'WINDOWS-NCH-A-OCMA-M3-01-0'!B31</v>
      </c>
      <c r="D2823" s="6" t="str">
        <f t="shared" ca="1" si="534"/>
        <v>L01-ICU-CIC-S087-11</v>
      </c>
      <c r="E2823" t="str">
        <f t="shared" ca="1" si="535"/>
        <v>L01-ICU-CIC-S087-11</v>
      </c>
      <c r="F2823">
        <f t="shared" ca="1" si="536"/>
        <v>1864969</v>
      </c>
      <c r="G2823">
        <f t="shared" ca="1" si="537"/>
        <v>0</v>
      </c>
      <c r="H2823">
        <f t="shared" ca="1" si="538"/>
        <v>0</v>
      </c>
      <c r="I2823">
        <f t="shared" ca="1" si="539"/>
        <v>0</v>
      </c>
      <c r="J2823" s="8" t="e">
        <f t="shared" ca="1" si="540"/>
        <v>#DIV/0!</v>
      </c>
      <c r="K2823" s="9" t="e">
        <f t="shared" ca="1" si="541"/>
        <v>#DIV/0!</v>
      </c>
      <c r="L2823" t="e">
        <f ca="1">+_xlfn.IFNA(VLOOKUP(M2823,BespokeWindowsAreas!$B$2:$E$1999,4,FALSE),VLOOKUP(E2823,WindowTypeArea!$B$2:$C$113,2,FALSE))</f>
        <v>#N/A</v>
      </c>
      <c r="M2823">
        <f t="shared" ca="1" si="544"/>
        <v>0</v>
      </c>
    </row>
    <row r="2824" spans="1:13" x14ac:dyDescent="0.25">
      <c r="A2824">
        <f t="shared" ca="1" si="542"/>
        <v>15</v>
      </c>
      <c r="B2824">
        <f t="shared" ca="1" si="543"/>
        <v>33</v>
      </c>
      <c r="C2824" t="str">
        <f t="shared" ca="1" si="533"/>
        <v>'WINDOWS-NCH-A-OCMA-M3-01-0'!B32</v>
      </c>
      <c r="D2824" s="6" t="str">
        <f t="shared" ca="1" si="534"/>
        <v>L01-ICU-CIC-S087-11</v>
      </c>
      <c r="E2824" t="str">
        <f t="shared" ca="1" si="535"/>
        <v>Family Type: 975w x 3050h, Family: Window External Type 1 - Recessed</v>
      </c>
      <c r="F2824" t="str">
        <f t="shared" ca="1" si="536"/>
        <v>Vector(X = 0.977, Y = 0.212, Z = 0.000, Length = 1.000)</v>
      </c>
      <c r="G2824">
        <f t="shared" ca="1" si="537"/>
        <v>1</v>
      </c>
      <c r="H2824">
        <f t="shared" ca="1" si="538"/>
        <v>0.2</v>
      </c>
      <c r="I2824">
        <f t="shared" ca="1" si="539"/>
        <v>0</v>
      </c>
      <c r="J2824" s="8">
        <f t="shared" ca="1" si="540"/>
        <v>11.309932474020215</v>
      </c>
      <c r="K2824" s="9" t="str">
        <f t="shared" ca="1" si="541"/>
        <v>E</v>
      </c>
      <c r="L2824">
        <f ca="1">+_xlfn.IFNA(VLOOKUP(M2824,BespokeWindowsAreas!$B$2:$E$1999,4,FALSE),VLOOKUP(E2824,WindowTypeArea!$B$2:$C$113,2,FALSE))</f>
        <v>2.9737499999999999</v>
      </c>
      <c r="M2824">
        <f t="shared" ca="1" si="544"/>
        <v>5505133</v>
      </c>
    </row>
    <row r="2825" spans="1:13" x14ac:dyDescent="0.25">
      <c r="A2825">
        <f t="shared" ca="1" si="542"/>
        <v>15</v>
      </c>
      <c r="B2825">
        <f t="shared" ca="1" si="543"/>
        <v>34</v>
      </c>
      <c r="C2825" t="str">
        <f t="shared" ref="C2825:C2888" ca="1" si="545">+"'"&amp;INDIRECT("a"&amp;A2824)&amp;"'!B"&amp;B2824</f>
        <v>'WINDOWS-NCH-A-OCMA-M3-01-0'!B33</v>
      </c>
      <c r="D2825" s="6" t="str">
        <f t="shared" ref="D2825:D2888" ca="1" si="546">+IF(IFERROR(FIND("Family",E2825)&gt;0,FALSE),D2824,E2825)</f>
        <v>L01-ICU-CIC-S087-11</v>
      </c>
      <c r="E2825" t="str">
        <f t="shared" ref="E2825:E2888" ca="1" si="547">+OFFSET(INDIRECT(C2825),0,0)</f>
        <v>Family Type: 975w x 3050h, Family: Window External Type 1 - Recessed</v>
      </c>
      <c r="F2825" t="str">
        <f t="shared" ref="F2825:F2888" ca="1" si="548">+OFFSET(INDIRECT(C2825),0,1)</f>
        <v>Vector(X = 0.977, Y = 0.212, Z = 0.000, Length = 1.000)</v>
      </c>
      <c r="G2825">
        <f t="shared" ref="G2825:G2888" ca="1" si="549">+OFFSET(INDIRECT(C2825),0,2)</f>
        <v>1</v>
      </c>
      <c r="H2825">
        <f t="shared" ref="H2825:H2888" ca="1" si="550">+OFFSET(INDIRECT(C2825),0,3)</f>
        <v>0.2</v>
      </c>
      <c r="I2825">
        <f t="shared" ref="I2825:I2888" ca="1" si="551">+OFFSET(INDIRECT(C2825),0,4)</f>
        <v>0</v>
      </c>
      <c r="J2825" s="8">
        <f t="shared" ref="J2825:J2888" ca="1" si="552">+DEGREES(ATAN2(G2825,H2825))</f>
        <v>11.309932474020215</v>
      </c>
      <c r="K2825" s="9" t="str">
        <f t="shared" ref="K2825:K2888" ca="1" si="553">VLOOKUP(J2825,$O$20:$P$36,2,-1)</f>
        <v>E</v>
      </c>
      <c r="L2825">
        <f ca="1">+_xlfn.IFNA(VLOOKUP(M2825,BespokeWindowsAreas!$B$2:$E$1999,4,FALSE),VLOOKUP(E2825,WindowTypeArea!$B$2:$C$113,2,FALSE))</f>
        <v>2.9737499999999999</v>
      </c>
      <c r="M2825">
        <f t="shared" ca="1" si="544"/>
        <v>5505236</v>
      </c>
    </row>
    <row r="2826" spans="1:13" x14ac:dyDescent="0.25">
      <c r="A2826">
        <f t="shared" ca="1" si="542"/>
        <v>15</v>
      </c>
      <c r="B2826">
        <f t="shared" ca="1" si="543"/>
        <v>35</v>
      </c>
      <c r="C2826" t="str">
        <f t="shared" ca="1" si="545"/>
        <v>'WINDOWS-NCH-A-OCMA-M3-01-0'!B34</v>
      </c>
      <c r="D2826" s="6" t="str">
        <f t="shared" ca="1" si="546"/>
        <v>L01-ICU-CIC-S087-12</v>
      </c>
      <c r="E2826" t="str">
        <f t="shared" ca="1" si="547"/>
        <v>L01-ICU-CIC-S087-12</v>
      </c>
      <c r="F2826">
        <f t="shared" ca="1" si="548"/>
        <v>1864970</v>
      </c>
      <c r="G2826">
        <f t="shared" ca="1" si="549"/>
        <v>0</v>
      </c>
      <c r="H2826">
        <f t="shared" ca="1" si="550"/>
        <v>0</v>
      </c>
      <c r="I2826">
        <f t="shared" ca="1" si="551"/>
        <v>0</v>
      </c>
      <c r="J2826" s="8" t="e">
        <f t="shared" ca="1" si="552"/>
        <v>#DIV/0!</v>
      </c>
      <c r="K2826" s="9" t="e">
        <f t="shared" ca="1" si="553"/>
        <v>#DIV/0!</v>
      </c>
      <c r="L2826" t="e">
        <f ca="1">+_xlfn.IFNA(VLOOKUP(M2826,BespokeWindowsAreas!$B$2:$E$1999,4,FALSE),VLOOKUP(E2826,WindowTypeArea!$B$2:$C$113,2,FALSE))</f>
        <v>#N/A</v>
      </c>
      <c r="M2826">
        <f t="shared" ca="1" si="544"/>
        <v>0</v>
      </c>
    </row>
    <row r="2827" spans="1:13" x14ac:dyDescent="0.25">
      <c r="A2827">
        <f t="shared" ca="1" si="542"/>
        <v>15</v>
      </c>
      <c r="B2827">
        <f t="shared" ca="1" si="543"/>
        <v>36</v>
      </c>
      <c r="C2827" t="str">
        <f t="shared" ca="1" si="545"/>
        <v>'WINDOWS-NCH-A-OCMA-M3-01-0'!B35</v>
      </c>
      <c r="D2827" s="6" t="str">
        <f t="shared" ca="1" si="546"/>
        <v>L01-ICU-CIC-S087-12</v>
      </c>
      <c r="E2827" t="str">
        <f t="shared" ca="1" si="547"/>
        <v>Family Type: 975w x 3050h, Family: Window Internal Type 1 - Flush</v>
      </c>
      <c r="F2827" t="str">
        <f t="shared" ca="1" si="548"/>
        <v>Vector(X = -0.977, Y = -0.212, Z = 0.000, Length = 1.000)</v>
      </c>
      <c r="G2827">
        <f t="shared" ca="1" si="549"/>
        <v>-1</v>
      </c>
      <c r="H2827">
        <f t="shared" ca="1" si="550"/>
        <v>-0.2</v>
      </c>
      <c r="I2827">
        <f t="shared" ca="1" si="551"/>
        <v>0</v>
      </c>
      <c r="J2827" s="8">
        <f t="shared" ca="1" si="552"/>
        <v>-168.69006752597977</v>
      </c>
      <c r="K2827" s="9" t="str">
        <f t="shared" ca="1" si="553"/>
        <v>W</v>
      </c>
      <c r="L2827">
        <f ca="1">+_xlfn.IFNA(VLOOKUP(M2827,BespokeWindowsAreas!$B$2:$E$1999,4,FALSE),VLOOKUP(E2827,WindowTypeArea!$B$2:$C$113,2,FALSE))</f>
        <v>2.9737499999999999</v>
      </c>
      <c r="M2827">
        <f t="shared" ca="1" si="544"/>
        <v>6643290</v>
      </c>
    </row>
    <row r="2828" spans="1:13" x14ac:dyDescent="0.25">
      <c r="A2828">
        <f t="shared" ca="1" si="542"/>
        <v>15</v>
      </c>
      <c r="B2828">
        <f t="shared" ca="1" si="543"/>
        <v>37</v>
      </c>
      <c r="C2828" t="str">
        <f t="shared" ca="1" si="545"/>
        <v>'WINDOWS-NCH-A-OCMA-M3-01-0'!B36</v>
      </c>
      <c r="D2828" s="6" t="str">
        <f t="shared" ca="1" si="546"/>
        <v>L01-ICU-CIC-S087-12</v>
      </c>
      <c r="E2828" t="str">
        <f t="shared" ca="1" si="547"/>
        <v>Family Type: 975w x 3050h, Family: Window Internal Type 1 - Flush</v>
      </c>
      <c r="F2828" t="str">
        <f t="shared" ca="1" si="548"/>
        <v>Vector(X = -0.977, Y = -0.212, Z = 0.000, Length = 1.000)</v>
      </c>
      <c r="G2828">
        <f t="shared" ca="1" si="549"/>
        <v>-1</v>
      </c>
      <c r="H2828">
        <f t="shared" ca="1" si="550"/>
        <v>-0.2</v>
      </c>
      <c r="I2828">
        <f t="shared" ca="1" si="551"/>
        <v>0</v>
      </c>
      <c r="J2828" s="8">
        <f t="shared" ca="1" si="552"/>
        <v>-168.69006752597977</v>
      </c>
      <c r="K2828" s="9" t="str">
        <f t="shared" ca="1" si="553"/>
        <v>W</v>
      </c>
      <c r="L2828">
        <f ca="1">+_xlfn.IFNA(VLOOKUP(M2828,BespokeWindowsAreas!$B$2:$E$1999,4,FALSE),VLOOKUP(E2828,WindowTypeArea!$B$2:$C$113,2,FALSE))</f>
        <v>2.9737499999999999</v>
      </c>
      <c r="M2828">
        <f t="shared" ca="1" si="544"/>
        <v>6643292</v>
      </c>
    </row>
    <row r="2829" spans="1:13" x14ac:dyDescent="0.25">
      <c r="A2829">
        <f t="shared" ca="1" si="542"/>
        <v>15</v>
      </c>
      <c r="B2829">
        <f t="shared" ca="1" si="543"/>
        <v>38</v>
      </c>
      <c r="C2829" t="str">
        <f t="shared" ca="1" si="545"/>
        <v>'WINDOWS-NCH-A-OCMA-M3-01-0'!B37</v>
      </c>
      <c r="D2829" s="6" t="str">
        <f t="shared" ca="1" si="546"/>
        <v>L01-ICU-CIC-S087-14</v>
      </c>
      <c r="E2829" t="str">
        <f t="shared" ca="1" si="547"/>
        <v>L01-ICU-CIC-S087-14</v>
      </c>
      <c r="F2829">
        <f t="shared" ca="1" si="548"/>
        <v>1864972</v>
      </c>
      <c r="G2829">
        <f t="shared" ca="1" si="549"/>
        <v>0</v>
      </c>
      <c r="H2829">
        <f t="shared" ca="1" si="550"/>
        <v>0</v>
      </c>
      <c r="I2829">
        <f t="shared" ca="1" si="551"/>
        <v>0</v>
      </c>
      <c r="J2829" s="8" t="e">
        <f t="shared" ca="1" si="552"/>
        <v>#DIV/0!</v>
      </c>
      <c r="K2829" s="9" t="e">
        <f t="shared" ca="1" si="553"/>
        <v>#DIV/0!</v>
      </c>
      <c r="L2829" t="e">
        <f ca="1">+_xlfn.IFNA(VLOOKUP(M2829,BespokeWindowsAreas!$B$2:$E$1999,4,FALSE),VLOOKUP(E2829,WindowTypeArea!$B$2:$C$113,2,FALSE))</f>
        <v>#N/A</v>
      </c>
      <c r="M2829">
        <f t="shared" ca="1" si="544"/>
        <v>0</v>
      </c>
    </row>
    <row r="2830" spans="1:13" x14ac:dyDescent="0.25">
      <c r="A2830">
        <f t="shared" ca="1" si="542"/>
        <v>15</v>
      </c>
      <c r="B2830">
        <f t="shared" ca="1" si="543"/>
        <v>39</v>
      </c>
      <c r="C2830" t="str">
        <f t="shared" ca="1" si="545"/>
        <v>'WINDOWS-NCH-A-OCMA-M3-01-0'!B38</v>
      </c>
      <c r="D2830" s="6" t="str">
        <f t="shared" ca="1" si="546"/>
        <v>L01-ICU-CIC-S087-14</v>
      </c>
      <c r="E2830" t="str">
        <f t="shared" ca="1" si="547"/>
        <v>Family Type: 1500w x 3050h, Family: Window Internal Type 1 - Flush</v>
      </c>
      <c r="F2830" t="str">
        <f t="shared" ca="1" si="548"/>
        <v>Vector(X = -0.977, Y = -0.212, Z = 0.000, Length = 1.000)</v>
      </c>
      <c r="G2830">
        <f t="shared" ca="1" si="549"/>
        <v>-1</v>
      </c>
      <c r="H2830">
        <f t="shared" ca="1" si="550"/>
        <v>-0.2</v>
      </c>
      <c r="I2830">
        <f t="shared" ca="1" si="551"/>
        <v>0</v>
      </c>
      <c r="J2830" s="8">
        <f t="shared" ca="1" si="552"/>
        <v>-168.69006752597977</v>
      </c>
      <c r="K2830" s="9" t="str">
        <f t="shared" ca="1" si="553"/>
        <v>W</v>
      </c>
      <c r="L2830">
        <f ca="1">+_xlfn.IFNA(VLOOKUP(M2830,BespokeWindowsAreas!$B$2:$E$1999,4,FALSE),VLOOKUP(E2830,WindowTypeArea!$B$2:$C$113,2,FALSE))</f>
        <v>4.5749999999999993</v>
      </c>
      <c r="M2830">
        <f t="shared" ca="1" si="544"/>
        <v>6642857</v>
      </c>
    </row>
    <row r="2831" spans="1:13" x14ac:dyDescent="0.25">
      <c r="A2831">
        <f t="shared" ca="1" si="542"/>
        <v>15</v>
      </c>
      <c r="B2831">
        <f t="shared" ca="1" si="543"/>
        <v>40</v>
      </c>
      <c r="C2831" t="str">
        <f t="shared" ca="1" si="545"/>
        <v>'WINDOWS-NCH-A-OCMA-M3-01-0'!B39</v>
      </c>
      <c r="D2831" s="6" t="str">
        <f t="shared" ca="1" si="546"/>
        <v>L01-ICU-CIC-S087-17</v>
      </c>
      <c r="E2831" t="str">
        <f t="shared" ca="1" si="547"/>
        <v>L01-ICU-CIC-S087-17</v>
      </c>
      <c r="F2831">
        <f t="shared" ca="1" si="548"/>
        <v>1864975</v>
      </c>
      <c r="G2831">
        <f t="shared" ca="1" si="549"/>
        <v>0</v>
      </c>
      <c r="H2831">
        <f t="shared" ca="1" si="550"/>
        <v>0</v>
      </c>
      <c r="I2831">
        <f t="shared" ca="1" si="551"/>
        <v>0</v>
      </c>
      <c r="J2831" s="8" t="e">
        <f t="shared" ca="1" si="552"/>
        <v>#DIV/0!</v>
      </c>
      <c r="K2831" s="9" t="e">
        <f t="shared" ca="1" si="553"/>
        <v>#DIV/0!</v>
      </c>
      <c r="L2831" t="e">
        <f ca="1">+_xlfn.IFNA(VLOOKUP(M2831,BespokeWindowsAreas!$B$2:$E$1999,4,FALSE),VLOOKUP(E2831,WindowTypeArea!$B$2:$C$113,2,FALSE))</f>
        <v>#N/A</v>
      </c>
      <c r="M2831">
        <f t="shared" ca="1" si="544"/>
        <v>0</v>
      </c>
    </row>
    <row r="2832" spans="1:13" x14ac:dyDescent="0.25">
      <c r="A2832">
        <f t="shared" ca="1" si="542"/>
        <v>15</v>
      </c>
      <c r="B2832">
        <f t="shared" ca="1" si="543"/>
        <v>41</v>
      </c>
      <c r="C2832" t="str">
        <f t="shared" ca="1" si="545"/>
        <v>'WINDOWS-NCH-A-OCMA-M3-01-0'!B40</v>
      </c>
      <c r="D2832" s="6" t="str">
        <f t="shared" ca="1" si="546"/>
        <v>L01-ICU-CIC-S087-17</v>
      </c>
      <c r="E2832" t="str">
        <f t="shared" ca="1" si="547"/>
        <v>Family Type: 975w x 3050h, Family: Window External Type 1 - Recessed</v>
      </c>
      <c r="F2832" t="str">
        <f t="shared" ca="1" si="548"/>
        <v>Vector(X = 0.977, Y = 0.212, Z = 0.000, Length = 1.000)</v>
      </c>
      <c r="G2832">
        <f t="shared" ca="1" si="549"/>
        <v>1</v>
      </c>
      <c r="H2832">
        <f t="shared" ca="1" si="550"/>
        <v>0.2</v>
      </c>
      <c r="I2832">
        <f t="shared" ca="1" si="551"/>
        <v>0</v>
      </c>
      <c r="J2832" s="8">
        <f t="shared" ca="1" si="552"/>
        <v>11.309932474020215</v>
      </c>
      <c r="K2832" s="9" t="str">
        <f t="shared" ca="1" si="553"/>
        <v>E</v>
      </c>
      <c r="L2832">
        <f ca="1">+_xlfn.IFNA(VLOOKUP(M2832,BespokeWindowsAreas!$B$2:$E$1999,4,FALSE),VLOOKUP(E2832,WindowTypeArea!$B$2:$C$113,2,FALSE))</f>
        <v>2.9737499999999999</v>
      </c>
      <c r="M2832">
        <f t="shared" ca="1" si="544"/>
        <v>3677508</v>
      </c>
    </row>
    <row r="2833" spans="1:13" x14ac:dyDescent="0.25">
      <c r="A2833">
        <f t="shared" ca="1" si="542"/>
        <v>15</v>
      </c>
      <c r="B2833">
        <f t="shared" ca="1" si="543"/>
        <v>42</v>
      </c>
      <c r="C2833" t="str">
        <f t="shared" ca="1" si="545"/>
        <v>'WINDOWS-NCH-A-OCMA-M3-01-0'!B41</v>
      </c>
      <c r="D2833" s="6" t="str">
        <f t="shared" ca="1" si="546"/>
        <v>L01-ICU-CIC-S087-17</v>
      </c>
      <c r="E2833" t="str">
        <f t="shared" ca="1" si="547"/>
        <v>Family Type: 975w x 3050h, Family: Window External Type 1 - Recessed</v>
      </c>
      <c r="F2833" t="str">
        <f t="shared" ca="1" si="548"/>
        <v>Vector(X = 0.977, Y = 0.212, Z = 0.000, Length = 1.000)</v>
      </c>
      <c r="G2833">
        <f t="shared" ca="1" si="549"/>
        <v>1</v>
      </c>
      <c r="H2833">
        <f t="shared" ca="1" si="550"/>
        <v>0.2</v>
      </c>
      <c r="I2833">
        <f t="shared" ca="1" si="551"/>
        <v>0</v>
      </c>
      <c r="J2833" s="8">
        <f t="shared" ca="1" si="552"/>
        <v>11.309932474020215</v>
      </c>
      <c r="K2833" s="9" t="str">
        <f t="shared" ca="1" si="553"/>
        <v>E</v>
      </c>
      <c r="L2833">
        <f ca="1">+_xlfn.IFNA(VLOOKUP(M2833,BespokeWindowsAreas!$B$2:$E$1999,4,FALSE),VLOOKUP(E2833,WindowTypeArea!$B$2:$C$113,2,FALSE))</f>
        <v>2.9737499999999999</v>
      </c>
      <c r="M2833">
        <f t="shared" ca="1" si="544"/>
        <v>5506401</v>
      </c>
    </row>
    <row r="2834" spans="1:13" x14ac:dyDescent="0.25">
      <c r="A2834">
        <f t="shared" ca="1" si="542"/>
        <v>15</v>
      </c>
      <c r="B2834">
        <f t="shared" ca="1" si="543"/>
        <v>43</v>
      </c>
      <c r="C2834" t="str">
        <f t="shared" ca="1" si="545"/>
        <v>'WINDOWS-NCH-A-OCMA-M3-01-0'!B42</v>
      </c>
      <c r="D2834" s="6" t="str">
        <f t="shared" ca="1" si="546"/>
        <v>L01-ICU-CIC-S087-18</v>
      </c>
      <c r="E2834" t="str">
        <f t="shared" ca="1" si="547"/>
        <v>L01-ICU-CIC-S087-18</v>
      </c>
      <c r="F2834">
        <f t="shared" ca="1" si="548"/>
        <v>1864976</v>
      </c>
      <c r="G2834">
        <f t="shared" ca="1" si="549"/>
        <v>0</v>
      </c>
      <c r="H2834">
        <f t="shared" ca="1" si="550"/>
        <v>0</v>
      </c>
      <c r="I2834">
        <f t="shared" ca="1" si="551"/>
        <v>0</v>
      </c>
      <c r="J2834" s="8" t="e">
        <f t="shared" ca="1" si="552"/>
        <v>#DIV/0!</v>
      </c>
      <c r="K2834" s="9" t="e">
        <f t="shared" ca="1" si="553"/>
        <v>#DIV/0!</v>
      </c>
      <c r="L2834" t="e">
        <f ca="1">+_xlfn.IFNA(VLOOKUP(M2834,BespokeWindowsAreas!$B$2:$E$1999,4,FALSE),VLOOKUP(E2834,WindowTypeArea!$B$2:$C$113,2,FALSE))</f>
        <v>#N/A</v>
      </c>
      <c r="M2834">
        <f t="shared" ca="1" si="544"/>
        <v>0</v>
      </c>
    </row>
    <row r="2835" spans="1:13" x14ac:dyDescent="0.25">
      <c r="A2835">
        <f t="shared" ca="1" si="542"/>
        <v>15</v>
      </c>
      <c r="B2835">
        <f t="shared" ca="1" si="543"/>
        <v>44</v>
      </c>
      <c r="C2835" t="str">
        <f t="shared" ca="1" si="545"/>
        <v>'WINDOWS-NCH-A-OCMA-M3-01-0'!B43</v>
      </c>
      <c r="D2835" s="6" t="str">
        <f t="shared" ca="1" si="546"/>
        <v>L01-ICU-CIC-S087-18</v>
      </c>
      <c r="E2835" t="str">
        <f t="shared" ca="1" si="547"/>
        <v>Family Type: 1500w x 3050h, Family: Window External Type 1 - Recessed</v>
      </c>
      <c r="F2835" t="str">
        <f t="shared" ca="1" si="548"/>
        <v>Vector(X = 0.977, Y = 0.212, Z = 0.000, Length = 1.000)</v>
      </c>
      <c r="G2835">
        <f t="shared" ca="1" si="549"/>
        <v>1</v>
      </c>
      <c r="H2835">
        <f t="shared" ca="1" si="550"/>
        <v>0.2</v>
      </c>
      <c r="I2835">
        <f t="shared" ca="1" si="551"/>
        <v>0</v>
      </c>
      <c r="J2835" s="8">
        <f t="shared" ca="1" si="552"/>
        <v>11.309932474020215</v>
      </c>
      <c r="K2835" s="9" t="str">
        <f t="shared" ca="1" si="553"/>
        <v>E</v>
      </c>
      <c r="L2835">
        <f ca="1">+_xlfn.IFNA(VLOOKUP(M2835,BespokeWindowsAreas!$B$2:$E$1999,4,FALSE),VLOOKUP(E2835,WindowTypeArea!$B$2:$C$113,2,FALSE))</f>
        <v>4.5750000000000002</v>
      </c>
      <c r="M2835">
        <f t="shared" ca="1" si="544"/>
        <v>3677509</v>
      </c>
    </row>
    <row r="2836" spans="1:13" x14ac:dyDescent="0.25">
      <c r="A2836">
        <f t="shared" ref="A2836:A2899" ca="1" si="554">+IF(B2835&lt;=VLOOKUP(MID(C2836,2,26),TABS,2,FALSE),A2835,+A2835+1)</f>
        <v>15</v>
      </c>
      <c r="B2836">
        <f t="shared" ref="B2836:B2899" ca="1" si="555">+IF(B2835&lt;=VLOOKUP(MID(C2836,2,26),TABS,2,FALSE),B2835+1,1)</f>
        <v>45</v>
      </c>
      <c r="C2836" t="str">
        <f t="shared" ca="1" si="545"/>
        <v>'WINDOWS-NCH-A-OCMA-M3-01-0'!B44</v>
      </c>
      <c r="D2836" s="6" t="str">
        <f t="shared" ca="1" si="546"/>
        <v>L01-ICU-CIC-S087-18</v>
      </c>
      <c r="E2836" t="str">
        <f t="shared" ca="1" si="547"/>
        <v>Family Type: 975w x 3050h, Family: Window External Type 1 - Recessed</v>
      </c>
      <c r="F2836" t="str">
        <f t="shared" ca="1" si="548"/>
        <v>Vector(X = 0.977, Y = 0.212, Z = 0.000, Length = 1.000)</v>
      </c>
      <c r="G2836">
        <f t="shared" ca="1" si="549"/>
        <v>1</v>
      </c>
      <c r="H2836">
        <f t="shared" ca="1" si="550"/>
        <v>0.2</v>
      </c>
      <c r="I2836">
        <f t="shared" ca="1" si="551"/>
        <v>0</v>
      </c>
      <c r="J2836" s="8">
        <f t="shared" ca="1" si="552"/>
        <v>11.309932474020215</v>
      </c>
      <c r="K2836" s="9" t="str">
        <f t="shared" ca="1" si="553"/>
        <v>E</v>
      </c>
      <c r="L2836">
        <f ca="1">+_xlfn.IFNA(VLOOKUP(M2836,BespokeWindowsAreas!$B$2:$E$1999,4,FALSE),VLOOKUP(E2836,WindowTypeArea!$B$2:$C$113,2,FALSE))</f>
        <v>2.9737499999999999</v>
      </c>
      <c r="M2836">
        <f t="shared" ca="1" si="544"/>
        <v>5506635</v>
      </c>
    </row>
    <row r="2837" spans="1:13" x14ac:dyDescent="0.25">
      <c r="A2837">
        <f t="shared" ca="1" si="554"/>
        <v>15</v>
      </c>
      <c r="B2837">
        <f t="shared" ca="1" si="555"/>
        <v>46</v>
      </c>
      <c r="C2837" t="str">
        <f t="shared" ca="1" si="545"/>
        <v>'WINDOWS-NCH-A-OCMA-M3-01-0'!B45</v>
      </c>
      <c r="D2837" s="6" t="str">
        <f t="shared" ca="1" si="546"/>
        <v>L01-ICU-CIC-S044-03</v>
      </c>
      <c r="E2837" t="str">
        <f t="shared" ca="1" si="547"/>
        <v>L01-ICU-CIC-S044-03</v>
      </c>
      <c r="F2837">
        <f t="shared" ca="1" si="548"/>
        <v>1864979</v>
      </c>
      <c r="G2837">
        <f t="shared" ca="1" si="549"/>
        <v>0</v>
      </c>
      <c r="H2837">
        <f t="shared" ca="1" si="550"/>
        <v>0</v>
      </c>
      <c r="I2837">
        <f t="shared" ca="1" si="551"/>
        <v>0</v>
      </c>
      <c r="J2837" s="8" t="e">
        <f t="shared" ca="1" si="552"/>
        <v>#DIV/0!</v>
      </c>
      <c r="K2837" s="9" t="e">
        <f t="shared" ca="1" si="553"/>
        <v>#DIV/0!</v>
      </c>
      <c r="L2837" t="e">
        <f ca="1">+_xlfn.IFNA(VLOOKUP(M2837,BespokeWindowsAreas!$B$2:$E$1999,4,FALSE),VLOOKUP(E2837,WindowTypeArea!$B$2:$C$113,2,FALSE))</f>
        <v>#N/A</v>
      </c>
      <c r="M2837">
        <f t="shared" ca="1" si="544"/>
        <v>0</v>
      </c>
    </row>
    <row r="2838" spans="1:13" x14ac:dyDescent="0.25">
      <c r="A2838">
        <f t="shared" ca="1" si="554"/>
        <v>15</v>
      </c>
      <c r="B2838">
        <f t="shared" ca="1" si="555"/>
        <v>47</v>
      </c>
      <c r="C2838" t="str">
        <f t="shared" ca="1" si="545"/>
        <v>'WINDOWS-NCH-A-OCMA-M3-01-0'!B46</v>
      </c>
      <c r="D2838" s="6" t="str">
        <f t="shared" ca="1" si="546"/>
        <v>L01-ICU-CIC-S044-03</v>
      </c>
      <c r="E2838" t="str">
        <f t="shared" ca="1" si="547"/>
        <v>Family Type: 975w x 3050h, Family: Window External Type 1 - Recessed</v>
      </c>
      <c r="F2838" t="str">
        <f t="shared" ca="1" si="548"/>
        <v>Vector(X = 0.977, Y = 0.212, Z = 0.000, Length = 1.000)</v>
      </c>
      <c r="G2838">
        <f t="shared" ca="1" si="549"/>
        <v>1</v>
      </c>
      <c r="H2838">
        <f t="shared" ca="1" si="550"/>
        <v>0.2</v>
      </c>
      <c r="I2838">
        <f t="shared" ca="1" si="551"/>
        <v>0</v>
      </c>
      <c r="J2838" s="8">
        <f t="shared" ca="1" si="552"/>
        <v>11.309932474020215</v>
      </c>
      <c r="K2838" s="9" t="str">
        <f t="shared" ca="1" si="553"/>
        <v>E</v>
      </c>
      <c r="L2838">
        <f ca="1">+_xlfn.IFNA(VLOOKUP(M2838,BespokeWindowsAreas!$B$2:$E$1999,4,FALSE),VLOOKUP(E2838,WindowTypeArea!$B$2:$C$113,2,FALSE))</f>
        <v>2.9737499999999999</v>
      </c>
      <c r="M2838">
        <f t="shared" ref="M2838:M2901" ca="1" si="556">+OFFSET(INDIRECT(C2838),0,5)</f>
        <v>5506954</v>
      </c>
    </row>
    <row r="2839" spans="1:13" x14ac:dyDescent="0.25">
      <c r="A2839">
        <f t="shared" ca="1" si="554"/>
        <v>15</v>
      </c>
      <c r="B2839">
        <f t="shared" ca="1" si="555"/>
        <v>48</v>
      </c>
      <c r="C2839" t="str">
        <f t="shared" ca="1" si="545"/>
        <v>'WINDOWS-NCH-A-OCMA-M3-01-0'!B47</v>
      </c>
      <c r="D2839" s="6" t="str">
        <f t="shared" ca="1" si="546"/>
        <v>L01-ICU-NCU-S046-01</v>
      </c>
      <c r="E2839" t="str">
        <f t="shared" ca="1" si="547"/>
        <v>L01-ICU-NCU-S046-01</v>
      </c>
      <c r="F2839">
        <f t="shared" ca="1" si="548"/>
        <v>1864992</v>
      </c>
      <c r="G2839">
        <f t="shared" ca="1" si="549"/>
        <v>0</v>
      </c>
      <c r="H2839">
        <f t="shared" ca="1" si="550"/>
        <v>0</v>
      </c>
      <c r="I2839">
        <f t="shared" ca="1" si="551"/>
        <v>0</v>
      </c>
      <c r="J2839" s="8" t="e">
        <f t="shared" ca="1" si="552"/>
        <v>#DIV/0!</v>
      </c>
      <c r="K2839" s="9" t="e">
        <f t="shared" ca="1" si="553"/>
        <v>#DIV/0!</v>
      </c>
      <c r="L2839" t="e">
        <f ca="1">+_xlfn.IFNA(VLOOKUP(M2839,BespokeWindowsAreas!$B$2:$E$1999,4,FALSE),VLOOKUP(E2839,WindowTypeArea!$B$2:$C$113,2,FALSE))</f>
        <v>#N/A</v>
      </c>
      <c r="M2839">
        <f t="shared" ca="1" si="556"/>
        <v>0</v>
      </c>
    </row>
    <row r="2840" spans="1:13" x14ac:dyDescent="0.25">
      <c r="A2840">
        <f t="shared" ca="1" si="554"/>
        <v>15</v>
      </c>
      <c r="B2840">
        <f t="shared" ca="1" si="555"/>
        <v>49</v>
      </c>
      <c r="C2840" t="str">
        <f t="shared" ca="1" si="545"/>
        <v>'WINDOWS-NCH-A-OCMA-M3-01-0'!B48</v>
      </c>
      <c r="D2840" s="6" t="str">
        <f t="shared" ca="1" si="546"/>
        <v>L01-ICU-NCU-S046-01</v>
      </c>
      <c r="E2840" t="str">
        <f t="shared" ca="1" si="547"/>
        <v>Family Type: 975w x 3050h, Family: Window Internal Type 1 - Flush</v>
      </c>
      <c r="F2840" t="str">
        <f t="shared" ca="1" si="548"/>
        <v>Vector(X = 0.212, Y = -0.977, Z = 0.000, Length = 1.000)</v>
      </c>
      <c r="G2840">
        <f t="shared" ca="1" si="549"/>
        <v>0.2</v>
      </c>
      <c r="H2840">
        <f t="shared" ca="1" si="550"/>
        <v>-1</v>
      </c>
      <c r="I2840">
        <f t="shared" ca="1" si="551"/>
        <v>0</v>
      </c>
      <c r="J2840" s="8">
        <f t="shared" ca="1" si="552"/>
        <v>-78.690067525979785</v>
      </c>
      <c r="K2840" s="9" t="str">
        <f t="shared" ca="1" si="553"/>
        <v>S</v>
      </c>
      <c r="L2840">
        <f ca="1">+_xlfn.IFNA(VLOOKUP(M2840,BespokeWindowsAreas!$B$2:$E$1999,4,FALSE),VLOOKUP(E2840,WindowTypeArea!$B$2:$C$113,2,FALSE))</f>
        <v>2.9737499999999999</v>
      </c>
      <c r="M2840">
        <f t="shared" ca="1" si="556"/>
        <v>6322174</v>
      </c>
    </row>
    <row r="2841" spans="1:13" x14ac:dyDescent="0.25">
      <c r="A2841">
        <f t="shared" ca="1" si="554"/>
        <v>15</v>
      </c>
      <c r="B2841">
        <f t="shared" ca="1" si="555"/>
        <v>50</v>
      </c>
      <c r="C2841" t="str">
        <f t="shared" ca="1" si="545"/>
        <v>'WINDOWS-NCH-A-OCMA-M3-01-0'!B49</v>
      </c>
      <c r="D2841" s="6" t="str">
        <f t="shared" ca="1" si="546"/>
        <v>L01-ICU-NCU-S087-01</v>
      </c>
      <c r="E2841" t="str">
        <f t="shared" ca="1" si="547"/>
        <v>L01-ICU-NCU-S087-01</v>
      </c>
      <c r="F2841">
        <f t="shared" ca="1" si="548"/>
        <v>1864995</v>
      </c>
      <c r="G2841">
        <f t="shared" ca="1" si="549"/>
        <v>0</v>
      </c>
      <c r="H2841">
        <f t="shared" ca="1" si="550"/>
        <v>0</v>
      </c>
      <c r="I2841">
        <f t="shared" ca="1" si="551"/>
        <v>0</v>
      </c>
      <c r="J2841" s="8" t="e">
        <f t="shared" ca="1" si="552"/>
        <v>#DIV/0!</v>
      </c>
      <c r="K2841" s="9" t="e">
        <f t="shared" ca="1" si="553"/>
        <v>#DIV/0!</v>
      </c>
      <c r="L2841" t="e">
        <f ca="1">+_xlfn.IFNA(VLOOKUP(M2841,BespokeWindowsAreas!$B$2:$E$1999,4,FALSE),VLOOKUP(E2841,WindowTypeArea!$B$2:$C$113,2,FALSE))</f>
        <v>#N/A</v>
      </c>
      <c r="M2841">
        <f t="shared" ca="1" si="556"/>
        <v>0</v>
      </c>
    </row>
    <row r="2842" spans="1:13" x14ac:dyDescent="0.25">
      <c r="A2842">
        <f t="shared" ca="1" si="554"/>
        <v>15</v>
      </c>
      <c r="B2842">
        <f t="shared" ca="1" si="555"/>
        <v>51</v>
      </c>
      <c r="C2842" t="str">
        <f t="shared" ca="1" si="545"/>
        <v>'WINDOWS-NCH-A-OCMA-M3-01-0'!B50</v>
      </c>
      <c r="D2842" s="6" t="str">
        <f t="shared" ca="1" si="546"/>
        <v>L01-ICU-NCU-S087-01</v>
      </c>
      <c r="E2842" t="str">
        <f t="shared" ca="1" si="547"/>
        <v>Family Type: 1500w x 3050h, Family: Window External Type 1 - Recessed</v>
      </c>
      <c r="F2842" t="str">
        <f t="shared" ca="1" si="548"/>
        <v>Vector(X = 0.977, Y = 0.212, Z = 0.000, Length = 1.000)</v>
      </c>
      <c r="G2842">
        <f t="shared" ca="1" si="549"/>
        <v>1</v>
      </c>
      <c r="H2842">
        <f t="shared" ca="1" si="550"/>
        <v>0.2</v>
      </c>
      <c r="I2842">
        <f t="shared" ca="1" si="551"/>
        <v>0</v>
      </c>
      <c r="J2842" s="8">
        <f t="shared" ca="1" si="552"/>
        <v>11.309932474020215</v>
      </c>
      <c r="K2842" s="9" t="str">
        <f t="shared" ca="1" si="553"/>
        <v>E</v>
      </c>
      <c r="L2842">
        <f ca="1">+_xlfn.IFNA(VLOOKUP(M2842,BespokeWindowsAreas!$B$2:$E$1999,4,FALSE),VLOOKUP(E2842,WindowTypeArea!$B$2:$C$113,2,FALSE))</f>
        <v>4.5750000000000002</v>
      </c>
      <c r="M2842">
        <f t="shared" ca="1" si="556"/>
        <v>5506689</v>
      </c>
    </row>
    <row r="2843" spans="1:13" x14ac:dyDescent="0.25">
      <c r="A2843">
        <f t="shared" ca="1" si="554"/>
        <v>15</v>
      </c>
      <c r="B2843">
        <f t="shared" ca="1" si="555"/>
        <v>52</v>
      </c>
      <c r="C2843" t="str">
        <f t="shared" ca="1" si="545"/>
        <v>'WINDOWS-NCH-A-OCMA-M3-01-0'!B51</v>
      </c>
      <c r="D2843" s="6" t="str">
        <f t="shared" ca="1" si="546"/>
        <v>L01-ICU-NCU-S086-01</v>
      </c>
      <c r="E2843" t="str">
        <f t="shared" ca="1" si="547"/>
        <v>L01-ICU-NCU-S086-01</v>
      </c>
      <c r="F2843">
        <f t="shared" ca="1" si="548"/>
        <v>1864996</v>
      </c>
      <c r="G2843">
        <f t="shared" ca="1" si="549"/>
        <v>0</v>
      </c>
      <c r="H2843">
        <f t="shared" ca="1" si="550"/>
        <v>0</v>
      </c>
      <c r="I2843">
        <f t="shared" ca="1" si="551"/>
        <v>0</v>
      </c>
      <c r="J2843" s="8" t="e">
        <f t="shared" ca="1" si="552"/>
        <v>#DIV/0!</v>
      </c>
      <c r="K2843" s="9" t="e">
        <f t="shared" ca="1" si="553"/>
        <v>#DIV/0!</v>
      </c>
      <c r="L2843" t="e">
        <f ca="1">+_xlfn.IFNA(VLOOKUP(M2843,BespokeWindowsAreas!$B$2:$E$1999,4,FALSE),VLOOKUP(E2843,WindowTypeArea!$B$2:$C$113,2,FALSE))</f>
        <v>#N/A</v>
      </c>
      <c r="M2843">
        <f t="shared" ca="1" si="556"/>
        <v>0</v>
      </c>
    </row>
    <row r="2844" spans="1:13" x14ac:dyDescent="0.25">
      <c r="A2844">
        <f t="shared" ca="1" si="554"/>
        <v>15</v>
      </c>
      <c r="B2844">
        <f t="shared" ca="1" si="555"/>
        <v>53</v>
      </c>
      <c r="C2844" t="str">
        <f t="shared" ca="1" si="545"/>
        <v>'WINDOWS-NCH-A-OCMA-M3-01-0'!B52</v>
      </c>
      <c r="D2844" s="6" t="str">
        <f t="shared" ca="1" si="546"/>
        <v>L01-ICU-NCU-S086-01</v>
      </c>
      <c r="E2844" t="str">
        <f t="shared" ca="1" si="547"/>
        <v>Family Type: 1950w x 3050h, Family: Window External Type 1 - Recessed</v>
      </c>
      <c r="F2844" t="str">
        <f t="shared" ca="1" si="548"/>
        <v>Vector(X = 0.977, Y = 0.212, Z = 0.000, Length = 1.000)</v>
      </c>
      <c r="G2844">
        <f t="shared" ca="1" si="549"/>
        <v>1</v>
      </c>
      <c r="H2844">
        <f t="shared" ca="1" si="550"/>
        <v>0.2</v>
      </c>
      <c r="I2844">
        <f t="shared" ca="1" si="551"/>
        <v>0</v>
      </c>
      <c r="J2844" s="8">
        <f t="shared" ca="1" si="552"/>
        <v>11.309932474020215</v>
      </c>
      <c r="K2844" s="9" t="str">
        <f t="shared" ca="1" si="553"/>
        <v>E</v>
      </c>
      <c r="L2844">
        <f ca="1">+_xlfn.IFNA(VLOOKUP(M2844,BespokeWindowsAreas!$B$2:$E$1999,4,FALSE),VLOOKUP(E2844,WindowTypeArea!$B$2:$C$113,2,FALSE))</f>
        <v>5.9474999999999998</v>
      </c>
      <c r="M2844">
        <f t="shared" ca="1" si="556"/>
        <v>5506796</v>
      </c>
    </row>
    <row r="2845" spans="1:13" x14ac:dyDescent="0.25">
      <c r="A2845">
        <f t="shared" ca="1" si="554"/>
        <v>15</v>
      </c>
      <c r="B2845">
        <f t="shared" ca="1" si="555"/>
        <v>54</v>
      </c>
      <c r="C2845" t="str">
        <f t="shared" ca="1" si="545"/>
        <v>'WINDOWS-NCH-A-OCMA-M3-01-0'!B53</v>
      </c>
      <c r="D2845" s="6" t="str">
        <f t="shared" ca="1" si="546"/>
        <v>L01-ICU-NCU-U0107-01</v>
      </c>
      <c r="E2845" t="str">
        <f t="shared" ca="1" si="547"/>
        <v>L01-ICU-NCU-U0107-01</v>
      </c>
      <c r="F2845">
        <f t="shared" ca="1" si="548"/>
        <v>1865016</v>
      </c>
      <c r="G2845">
        <f t="shared" ca="1" si="549"/>
        <v>0</v>
      </c>
      <c r="H2845">
        <f t="shared" ca="1" si="550"/>
        <v>0</v>
      </c>
      <c r="I2845">
        <f t="shared" ca="1" si="551"/>
        <v>0</v>
      </c>
      <c r="J2845" s="8" t="e">
        <f t="shared" ca="1" si="552"/>
        <v>#DIV/0!</v>
      </c>
      <c r="K2845" s="9" t="e">
        <f t="shared" ca="1" si="553"/>
        <v>#DIV/0!</v>
      </c>
      <c r="L2845" t="e">
        <f ca="1">+_xlfn.IFNA(VLOOKUP(M2845,BespokeWindowsAreas!$B$2:$E$1999,4,FALSE),VLOOKUP(E2845,WindowTypeArea!$B$2:$C$113,2,FALSE))</f>
        <v>#N/A</v>
      </c>
      <c r="M2845">
        <f t="shared" ca="1" si="556"/>
        <v>0</v>
      </c>
    </row>
    <row r="2846" spans="1:13" x14ac:dyDescent="0.25">
      <c r="A2846">
        <f t="shared" ca="1" si="554"/>
        <v>15</v>
      </c>
      <c r="B2846">
        <f t="shared" ca="1" si="555"/>
        <v>55</v>
      </c>
      <c r="C2846" t="str">
        <f t="shared" ca="1" si="545"/>
        <v>'WINDOWS-NCH-A-OCMA-M3-01-0'!B54</v>
      </c>
      <c r="D2846" s="6" t="str">
        <f t="shared" ca="1" si="546"/>
        <v>L01-ICU-NCU-U0107-01</v>
      </c>
      <c r="E2846" t="str">
        <f t="shared" ca="1" si="547"/>
        <v>Family Type: 975w x 3050h, Family: Window External Type 1 - Recessed</v>
      </c>
      <c r="F2846" t="str">
        <f t="shared" ca="1" si="548"/>
        <v>Vector(X = 0.872, Y = 0.489, Z = 0.000, Length = 1.000)</v>
      </c>
      <c r="G2846">
        <f t="shared" ca="1" si="549"/>
        <v>0.9</v>
      </c>
      <c r="H2846">
        <f t="shared" ca="1" si="550"/>
        <v>0.5</v>
      </c>
      <c r="I2846">
        <f t="shared" ca="1" si="551"/>
        <v>0</v>
      </c>
      <c r="J2846" s="8">
        <f t="shared" ca="1" si="552"/>
        <v>29.054604099077146</v>
      </c>
      <c r="K2846" s="9" t="str">
        <f t="shared" ca="1" si="553"/>
        <v>E</v>
      </c>
      <c r="L2846">
        <f ca="1">+_xlfn.IFNA(VLOOKUP(M2846,BespokeWindowsAreas!$B$2:$E$1999,4,FALSE),VLOOKUP(E2846,WindowTypeArea!$B$2:$C$113,2,FALSE))</f>
        <v>2.9737499999999999</v>
      </c>
      <c r="M2846">
        <f t="shared" ca="1" si="556"/>
        <v>5512967</v>
      </c>
    </row>
    <row r="2847" spans="1:13" x14ac:dyDescent="0.25">
      <c r="A2847">
        <f t="shared" ca="1" si="554"/>
        <v>15</v>
      </c>
      <c r="B2847">
        <f t="shared" ca="1" si="555"/>
        <v>56</v>
      </c>
      <c r="C2847" t="str">
        <f t="shared" ca="1" si="545"/>
        <v>'WINDOWS-NCH-A-OCMA-M3-01-0'!B55</v>
      </c>
      <c r="D2847" s="6" t="str">
        <f t="shared" ca="1" si="546"/>
        <v>L01-ICU-NCU-S057-01</v>
      </c>
      <c r="E2847" t="str">
        <f t="shared" ca="1" si="547"/>
        <v>L01-ICU-NCU-S057-01</v>
      </c>
      <c r="F2847">
        <f t="shared" ca="1" si="548"/>
        <v>1865019</v>
      </c>
      <c r="G2847">
        <f t="shared" ca="1" si="549"/>
        <v>0</v>
      </c>
      <c r="H2847">
        <f t="shared" ca="1" si="550"/>
        <v>0</v>
      </c>
      <c r="I2847">
        <f t="shared" ca="1" si="551"/>
        <v>0</v>
      </c>
      <c r="J2847" s="8" t="e">
        <f t="shared" ca="1" si="552"/>
        <v>#DIV/0!</v>
      </c>
      <c r="K2847" s="9" t="e">
        <f t="shared" ca="1" si="553"/>
        <v>#DIV/0!</v>
      </c>
      <c r="L2847" t="e">
        <f ca="1">+_xlfn.IFNA(VLOOKUP(M2847,BespokeWindowsAreas!$B$2:$E$1999,4,FALSE),VLOOKUP(E2847,WindowTypeArea!$B$2:$C$113,2,FALSE))</f>
        <v>#N/A</v>
      </c>
      <c r="M2847">
        <f t="shared" ca="1" si="556"/>
        <v>0</v>
      </c>
    </row>
    <row r="2848" spans="1:13" x14ac:dyDescent="0.25">
      <c r="A2848">
        <f t="shared" ca="1" si="554"/>
        <v>15</v>
      </c>
      <c r="B2848">
        <f t="shared" ca="1" si="555"/>
        <v>57</v>
      </c>
      <c r="C2848" t="str">
        <f t="shared" ca="1" si="545"/>
        <v>'WINDOWS-NCH-A-OCMA-M3-01-0'!B56</v>
      </c>
      <c r="D2848" s="6" t="str">
        <f t="shared" ca="1" si="546"/>
        <v>L01-ICU-NCU-S057-01</v>
      </c>
      <c r="E2848" t="str">
        <f t="shared" ca="1" si="547"/>
        <v>Family Type: 975w x 3050h, Family: Window Internal Type 1 - Flush</v>
      </c>
      <c r="F2848" t="str">
        <f t="shared" ca="1" si="548"/>
        <v>Vector(X = 0.212, Y = -0.977, Z = 0.000, Length = 1.000)</v>
      </c>
      <c r="G2848">
        <f t="shared" ca="1" si="549"/>
        <v>0.2</v>
      </c>
      <c r="H2848">
        <f t="shared" ca="1" si="550"/>
        <v>-1</v>
      </c>
      <c r="I2848">
        <f t="shared" ca="1" si="551"/>
        <v>0</v>
      </c>
      <c r="J2848" s="8">
        <f t="shared" ca="1" si="552"/>
        <v>-78.690067525979785</v>
      </c>
      <c r="K2848" s="9" t="str">
        <f t="shared" ca="1" si="553"/>
        <v>S</v>
      </c>
      <c r="L2848">
        <f ca="1">+_xlfn.IFNA(VLOOKUP(M2848,BespokeWindowsAreas!$B$2:$E$1999,4,FALSE),VLOOKUP(E2848,WindowTypeArea!$B$2:$C$113,2,FALSE))</f>
        <v>2.9737499999999999</v>
      </c>
      <c r="M2848">
        <f t="shared" ca="1" si="556"/>
        <v>6320354</v>
      </c>
    </row>
    <row r="2849" spans="1:13" x14ac:dyDescent="0.25">
      <c r="A2849">
        <f t="shared" ca="1" si="554"/>
        <v>15</v>
      </c>
      <c r="B2849">
        <f t="shared" ca="1" si="555"/>
        <v>58</v>
      </c>
      <c r="C2849" t="str">
        <f t="shared" ca="1" si="545"/>
        <v>'WINDOWS-NCH-A-OCMA-M3-01-0'!B57</v>
      </c>
      <c r="D2849" s="6" t="str">
        <f t="shared" ca="1" si="546"/>
        <v>L01-ICU-NCU-S087-03</v>
      </c>
      <c r="E2849" t="str">
        <f t="shared" ca="1" si="547"/>
        <v>L01-ICU-NCU-S087-03</v>
      </c>
      <c r="F2849">
        <f t="shared" ca="1" si="548"/>
        <v>1865043</v>
      </c>
      <c r="G2849">
        <f t="shared" ca="1" si="549"/>
        <v>0</v>
      </c>
      <c r="H2849">
        <f t="shared" ca="1" si="550"/>
        <v>0</v>
      </c>
      <c r="I2849">
        <f t="shared" ca="1" si="551"/>
        <v>0</v>
      </c>
      <c r="J2849" s="8" t="e">
        <f t="shared" ca="1" si="552"/>
        <v>#DIV/0!</v>
      </c>
      <c r="K2849" s="9" t="e">
        <f t="shared" ca="1" si="553"/>
        <v>#DIV/0!</v>
      </c>
      <c r="L2849" t="e">
        <f ca="1">+_xlfn.IFNA(VLOOKUP(M2849,BespokeWindowsAreas!$B$2:$E$1999,4,FALSE),VLOOKUP(E2849,WindowTypeArea!$B$2:$C$113,2,FALSE))</f>
        <v>#N/A</v>
      </c>
      <c r="M2849">
        <f t="shared" ca="1" si="556"/>
        <v>0</v>
      </c>
    </row>
    <row r="2850" spans="1:13" x14ac:dyDescent="0.25">
      <c r="A2850">
        <f t="shared" ca="1" si="554"/>
        <v>15</v>
      </c>
      <c r="B2850">
        <f t="shared" ca="1" si="555"/>
        <v>59</v>
      </c>
      <c r="C2850" t="str">
        <f t="shared" ca="1" si="545"/>
        <v>'WINDOWS-NCH-A-OCMA-M3-01-0'!B58</v>
      </c>
      <c r="D2850" s="6" t="str">
        <f t="shared" ca="1" si="546"/>
        <v>L01-ICU-NCU-S087-03</v>
      </c>
      <c r="E2850" t="str">
        <f t="shared" ca="1" si="547"/>
        <v>Family Type: 975w x 3050h, Family: Window Internal Type 1 - Flush</v>
      </c>
      <c r="F2850" t="str">
        <f t="shared" ca="1" si="548"/>
        <v>Vector(X = -0.977, Y = -0.212, Z = 0.000, Length = 1.000)</v>
      </c>
      <c r="G2850">
        <f t="shared" ca="1" si="549"/>
        <v>-1</v>
      </c>
      <c r="H2850">
        <f t="shared" ca="1" si="550"/>
        <v>-0.2</v>
      </c>
      <c r="I2850">
        <f t="shared" ca="1" si="551"/>
        <v>0</v>
      </c>
      <c r="J2850" s="8">
        <f t="shared" ca="1" si="552"/>
        <v>-168.69006752597977</v>
      </c>
      <c r="K2850" s="9" t="str">
        <f t="shared" ca="1" si="553"/>
        <v>W</v>
      </c>
      <c r="L2850">
        <f ca="1">+_xlfn.IFNA(VLOOKUP(M2850,BespokeWindowsAreas!$B$2:$E$1999,4,FALSE),VLOOKUP(E2850,WindowTypeArea!$B$2:$C$113,2,FALSE))</f>
        <v>2.9737499999999999</v>
      </c>
      <c r="M2850">
        <f t="shared" ca="1" si="556"/>
        <v>6316757</v>
      </c>
    </row>
    <row r="2851" spans="1:13" x14ac:dyDescent="0.25">
      <c r="A2851">
        <f t="shared" ca="1" si="554"/>
        <v>15</v>
      </c>
      <c r="B2851">
        <f t="shared" ca="1" si="555"/>
        <v>60</v>
      </c>
      <c r="C2851" t="str">
        <f t="shared" ca="1" si="545"/>
        <v>'WINDOWS-NCH-A-OCMA-M3-01-0'!B59</v>
      </c>
      <c r="D2851" s="6" t="str">
        <f t="shared" ca="1" si="546"/>
        <v>L01-ICU-NCU-S087-03</v>
      </c>
      <c r="E2851" t="str">
        <f t="shared" ca="1" si="547"/>
        <v>Family Type: 975w x 3050h, Family: Window Internal Type 1 - Flush</v>
      </c>
      <c r="F2851" t="str">
        <f t="shared" ca="1" si="548"/>
        <v>Vector(X = -0.977, Y = -0.212, Z = 0.000, Length = 1.000)</v>
      </c>
      <c r="G2851">
        <f t="shared" ca="1" si="549"/>
        <v>-1</v>
      </c>
      <c r="H2851">
        <f t="shared" ca="1" si="550"/>
        <v>-0.2</v>
      </c>
      <c r="I2851">
        <f t="shared" ca="1" si="551"/>
        <v>0</v>
      </c>
      <c r="J2851" s="8">
        <f t="shared" ca="1" si="552"/>
        <v>-168.69006752597977</v>
      </c>
      <c r="K2851" s="9" t="str">
        <f t="shared" ca="1" si="553"/>
        <v>W</v>
      </c>
      <c r="L2851">
        <f ca="1">+_xlfn.IFNA(VLOOKUP(M2851,BespokeWindowsAreas!$B$2:$E$1999,4,FALSE),VLOOKUP(E2851,WindowTypeArea!$B$2:$C$113,2,FALSE))</f>
        <v>2.9737499999999999</v>
      </c>
      <c r="M2851">
        <f t="shared" ca="1" si="556"/>
        <v>6316801</v>
      </c>
    </row>
    <row r="2852" spans="1:13" x14ac:dyDescent="0.25">
      <c r="A2852">
        <f t="shared" ca="1" si="554"/>
        <v>15</v>
      </c>
      <c r="B2852">
        <f t="shared" ca="1" si="555"/>
        <v>61</v>
      </c>
      <c r="C2852" t="str">
        <f t="shared" ca="1" si="545"/>
        <v>'WINDOWS-NCH-A-OCMA-M3-01-0'!B60</v>
      </c>
      <c r="D2852" s="6" t="str">
        <f t="shared" ca="1" si="546"/>
        <v>L01-ICU-NCU-S087-04</v>
      </c>
      <c r="E2852" t="str">
        <f t="shared" ca="1" si="547"/>
        <v>L01-ICU-NCU-S087-04</v>
      </c>
      <c r="F2852">
        <f t="shared" ca="1" si="548"/>
        <v>1865044</v>
      </c>
      <c r="G2852">
        <f t="shared" ca="1" si="549"/>
        <v>0</v>
      </c>
      <c r="H2852">
        <f t="shared" ca="1" si="550"/>
        <v>0</v>
      </c>
      <c r="I2852">
        <f t="shared" ca="1" si="551"/>
        <v>0</v>
      </c>
      <c r="J2852" s="8" t="e">
        <f t="shared" ca="1" si="552"/>
        <v>#DIV/0!</v>
      </c>
      <c r="K2852" s="9" t="e">
        <f t="shared" ca="1" si="553"/>
        <v>#DIV/0!</v>
      </c>
      <c r="L2852" t="e">
        <f ca="1">+_xlfn.IFNA(VLOOKUP(M2852,BespokeWindowsAreas!$B$2:$E$1999,4,FALSE),VLOOKUP(E2852,WindowTypeArea!$B$2:$C$113,2,FALSE))</f>
        <v>#N/A</v>
      </c>
      <c r="M2852">
        <f t="shared" ca="1" si="556"/>
        <v>0</v>
      </c>
    </row>
    <row r="2853" spans="1:13" x14ac:dyDescent="0.25">
      <c r="A2853">
        <f t="shared" ca="1" si="554"/>
        <v>15</v>
      </c>
      <c r="B2853">
        <f t="shared" ca="1" si="555"/>
        <v>62</v>
      </c>
      <c r="C2853" t="str">
        <f t="shared" ca="1" si="545"/>
        <v>'WINDOWS-NCH-A-OCMA-M3-01-0'!B61</v>
      </c>
      <c r="D2853" s="6" t="str">
        <f t="shared" ca="1" si="546"/>
        <v>L01-ICU-NCU-S087-04</v>
      </c>
      <c r="E2853" t="str">
        <f t="shared" ca="1" si="547"/>
        <v>Family Type: 1500w x 3050h, Family: Window Internal Type 1 - Flush</v>
      </c>
      <c r="F2853" t="str">
        <f t="shared" ca="1" si="548"/>
        <v>Vector(X = -0.977, Y = -0.212, Z = 0.000, Length = 1.000)</v>
      </c>
      <c r="G2853">
        <f t="shared" ca="1" si="549"/>
        <v>-1</v>
      </c>
      <c r="H2853">
        <f t="shared" ca="1" si="550"/>
        <v>-0.2</v>
      </c>
      <c r="I2853">
        <f t="shared" ca="1" si="551"/>
        <v>0</v>
      </c>
      <c r="J2853" s="8">
        <f t="shared" ca="1" si="552"/>
        <v>-168.69006752597977</v>
      </c>
      <c r="K2853" s="9" t="str">
        <f t="shared" ca="1" si="553"/>
        <v>W</v>
      </c>
      <c r="L2853">
        <f ca="1">+_xlfn.IFNA(VLOOKUP(M2853,BespokeWindowsAreas!$B$2:$E$1999,4,FALSE),VLOOKUP(E2853,WindowTypeArea!$B$2:$C$113,2,FALSE))</f>
        <v>4.5749999999999993</v>
      </c>
      <c r="M2853">
        <f t="shared" ca="1" si="556"/>
        <v>6316640</v>
      </c>
    </row>
    <row r="2854" spans="1:13" x14ac:dyDescent="0.25">
      <c r="A2854">
        <f t="shared" ca="1" si="554"/>
        <v>15</v>
      </c>
      <c r="B2854">
        <f t="shared" ca="1" si="555"/>
        <v>63</v>
      </c>
      <c r="C2854" t="str">
        <f t="shared" ca="1" si="545"/>
        <v>'WINDOWS-NCH-A-OCMA-M3-01-0'!B62</v>
      </c>
      <c r="D2854" s="6" t="str">
        <f t="shared" ca="1" si="546"/>
        <v>L01-ICU-NCU-S087-05</v>
      </c>
      <c r="E2854" t="str">
        <f t="shared" ca="1" si="547"/>
        <v>L01-ICU-NCU-S087-05</v>
      </c>
      <c r="F2854">
        <f t="shared" ca="1" si="548"/>
        <v>1865045</v>
      </c>
      <c r="G2854">
        <f t="shared" ca="1" si="549"/>
        <v>0</v>
      </c>
      <c r="H2854">
        <f t="shared" ca="1" si="550"/>
        <v>0</v>
      </c>
      <c r="I2854">
        <f t="shared" ca="1" si="551"/>
        <v>0</v>
      </c>
      <c r="J2854" s="8" t="e">
        <f t="shared" ca="1" si="552"/>
        <v>#DIV/0!</v>
      </c>
      <c r="K2854" s="9" t="e">
        <f t="shared" ca="1" si="553"/>
        <v>#DIV/0!</v>
      </c>
      <c r="L2854" t="e">
        <f ca="1">+_xlfn.IFNA(VLOOKUP(M2854,BespokeWindowsAreas!$B$2:$E$1999,4,FALSE),VLOOKUP(E2854,WindowTypeArea!$B$2:$C$113,2,FALSE))</f>
        <v>#N/A</v>
      </c>
      <c r="M2854">
        <f t="shared" ca="1" si="556"/>
        <v>0</v>
      </c>
    </row>
    <row r="2855" spans="1:13" x14ac:dyDescent="0.25">
      <c r="A2855">
        <f t="shared" ca="1" si="554"/>
        <v>15</v>
      </c>
      <c r="B2855">
        <f t="shared" ca="1" si="555"/>
        <v>64</v>
      </c>
      <c r="C2855" t="str">
        <f t="shared" ca="1" si="545"/>
        <v>'WINDOWS-NCH-A-OCMA-M3-01-0'!B63</v>
      </c>
      <c r="D2855" s="6" t="str">
        <f t="shared" ca="1" si="546"/>
        <v>L01-ICU-NCU-S087-05</v>
      </c>
      <c r="E2855" t="str">
        <f t="shared" ca="1" si="547"/>
        <v>Family Type: 1950w x 3050h, Family: Window Internal Type 1 - Flush</v>
      </c>
      <c r="F2855" t="str">
        <f t="shared" ca="1" si="548"/>
        <v>Vector(X = -0.977, Y = -0.212, Z = 0.000, Length = 1.000)</v>
      </c>
      <c r="G2855">
        <f t="shared" ca="1" si="549"/>
        <v>-1</v>
      </c>
      <c r="H2855">
        <f t="shared" ca="1" si="550"/>
        <v>-0.2</v>
      </c>
      <c r="I2855">
        <f t="shared" ca="1" si="551"/>
        <v>0</v>
      </c>
      <c r="J2855" s="8">
        <f t="shared" ca="1" si="552"/>
        <v>-168.69006752597977</v>
      </c>
      <c r="K2855" s="9" t="str">
        <f t="shared" ca="1" si="553"/>
        <v>W</v>
      </c>
      <c r="L2855">
        <f ca="1">+_xlfn.IFNA(VLOOKUP(M2855,BespokeWindowsAreas!$B$2:$E$1999,4,FALSE),VLOOKUP(E2855,WindowTypeArea!$B$2:$C$113,2,FALSE))</f>
        <v>5.9474999999999998</v>
      </c>
      <c r="M2855">
        <f t="shared" ca="1" si="556"/>
        <v>6316455</v>
      </c>
    </row>
    <row r="2856" spans="1:13" x14ac:dyDescent="0.25">
      <c r="A2856">
        <f t="shared" ca="1" si="554"/>
        <v>15</v>
      </c>
      <c r="B2856">
        <f t="shared" ca="1" si="555"/>
        <v>65</v>
      </c>
      <c r="C2856" t="str">
        <f t="shared" ca="1" si="545"/>
        <v>'WINDOWS-NCH-A-OCMA-M3-01-0'!B64</v>
      </c>
      <c r="D2856" s="6" t="str">
        <f t="shared" ca="1" si="546"/>
        <v>L01-ICU-NCU-S087-06</v>
      </c>
      <c r="E2856" t="str">
        <f t="shared" ca="1" si="547"/>
        <v>L01-ICU-NCU-S087-06</v>
      </c>
      <c r="F2856">
        <f t="shared" ca="1" si="548"/>
        <v>1865046</v>
      </c>
      <c r="G2856">
        <f t="shared" ca="1" si="549"/>
        <v>0</v>
      </c>
      <c r="H2856">
        <f t="shared" ca="1" si="550"/>
        <v>0</v>
      </c>
      <c r="I2856">
        <f t="shared" ca="1" si="551"/>
        <v>0</v>
      </c>
      <c r="J2856" s="8" t="e">
        <f t="shared" ca="1" si="552"/>
        <v>#DIV/0!</v>
      </c>
      <c r="K2856" s="9" t="e">
        <f t="shared" ca="1" si="553"/>
        <v>#DIV/0!</v>
      </c>
      <c r="L2856" t="e">
        <f ca="1">+_xlfn.IFNA(VLOOKUP(M2856,BespokeWindowsAreas!$B$2:$E$1999,4,FALSE),VLOOKUP(E2856,WindowTypeArea!$B$2:$C$113,2,FALSE))</f>
        <v>#N/A</v>
      </c>
      <c r="M2856">
        <f t="shared" ca="1" si="556"/>
        <v>0</v>
      </c>
    </row>
    <row r="2857" spans="1:13" x14ac:dyDescent="0.25">
      <c r="A2857">
        <f t="shared" ca="1" si="554"/>
        <v>15</v>
      </c>
      <c r="B2857">
        <f t="shared" ca="1" si="555"/>
        <v>66</v>
      </c>
      <c r="C2857" t="str">
        <f t="shared" ca="1" si="545"/>
        <v>'WINDOWS-NCH-A-OCMA-M3-01-0'!B65</v>
      </c>
      <c r="D2857" s="6" t="str">
        <f t="shared" ca="1" si="546"/>
        <v>L01-ICU-NCU-S087-06</v>
      </c>
      <c r="E2857" t="str">
        <f t="shared" ca="1" si="547"/>
        <v>Family Type: 1950w x 3050h, Family: Window Internal Type 1 - Flush</v>
      </c>
      <c r="F2857" t="str">
        <f t="shared" ca="1" si="548"/>
        <v>Vector(X = -0.977, Y = -0.212, Z = 0.000, Length = 1.000)</v>
      </c>
      <c r="G2857">
        <f t="shared" ca="1" si="549"/>
        <v>-1</v>
      </c>
      <c r="H2857">
        <f t="shared" ca="1" si="550"/>
        <v>-0.2</v>
      </c>
      <c r="I2857">
        <f t="shared" ca="1" si="551"/>
        <v>0</v>
      </c>
      <c r="J2857" s="8">
        <f t="shared" ca="1" si="552"/>
        <v>-168.69006752597977</v>
      </c>
      <c r="K2857" s="9" t="str">
        <f t="shared" ca="1" si="553"/>
        <v>W</v>
      </c>
      <c r="L2857">
        <f ca="1">+_xlfn.IFNA(VLOOKUP(M2857,BespokeWindowsAreas!$B$2:$E$1999,4,FALSE),VLOOKUP(E2857,WindowTypeArea!$B$2:$C$113,2,FALSE))</f>
        <v>5.9474999999999998</v>
      </c>
      <c r="M2857">
        <f t="shared" ca="1" si="556"/>
        <v>6316018</v>
      </c>
    </row>
    <row r="2858" spans="1:13" x14ac:dyDescent="0.25">
      <c r="A2858">
        <f t="shared" ca="1" si="554"/>
        <v>15</v>
      </c>
      <c r="B2858">
        <f t="shared" ca="1" si="555"/>
        <v>67</v>
      </c>
      <c r="C2858" t="str">
        <f t="shared" ca="1" si="545"/>
        <v>'WINDOWS-NCH-A-OCMA-M3-01-0'!B66</v>
      </c>
      <c r="D2858" s="6" t="str">
        <f t="shared" ca="1" si="546"/>
        <v>L01-ICU-NCU-S087-07</v>
      </c>
      <c r="E2858" t="str">
        <f t="shared" ca="1" si="547"/>
        <v>L01-ICU-NCU-S087-07</v>
      </c>
      <c r="F2858">
        <f t="shared" ca="1" si="548"/>
        <v>1865047</v>
      </c>
      <c r="G2858">
        <f t="shared" ca="1" si="549"/>
        <v>0</v>
      </c>
      <c r="H2858">
        <f t="shared" ca="1" si="550"/>
        <v>0</v>
      </c>
      <c r="I2858">
        <f t="shared" ca="1" si="551"/>
        <v>0</v>
      </c>
      <c r="J2858" s="8" t="e">
        <f t="shared" ca="1" si="552"/>
        <v>#DIV/0!</v>
      </c>
      <c r="K2858" s="9" t="e">
        <f t="shared" ca="1" si="553"/>
        <v>#DIV/0!</v>
      </c>
      <c r="L2858" t="e">
        <f ca="1">+_xlfn.IFNA(VLOOKUP(M2858,BespokeWindowsAreas!$B$2:$E$1999,4,FALSE),VLOOKUP(E2858,WindowTypeArea!$B$2:$C$113,2,FALSE))</f>
        <v>#N/A</v>
      </c>
      <c r="M2858">
        <f t="shared" ca="1" si="556"/>
        <v>0</v>
      </c>
    </row>
    <row r="2859" spans="1:13" x14ac:dyDescent="0.25">
      <c r="A2859">
        <f t="shared" ca="1" si="554"/>
        <v>15</v>
      </c>
      <c r="B2859">
        <f t="shared" ca="1" si="555"/>
        <v>68</v>
      </c>
      <c r="C2859" t="str">
        <f t="shared" ca="1" si="545"/>
        <v>'WINDOWS-NCH-A-OCMA-M3-01-0'!B67</v>
      </c>
      <c r="D2859" s="6" t="str">
        <f t="shared" ca="1" si="546"/>
        <v>L01-ICU-NCU-S087-07</v>
      </c>
      <c r="E2859" t="str">
        <f t="shared" ca="1" si="547"/>
        <v>Family Type: 975w x 3050h, Family: Window Internal Type 1 - Flush</v>
      </c>
      <c r="F2859" t="str">
        <f t="shared" ca="1" si="548"/>
        <v>Vector(X = -0.977, Y = -0.212, Z = 0.000, Length = 1.000)</v>
      </c>
      <c r="G2859">
        <f t="shared" ca="1" si="549"/>
        <v>-1</v>
      </c>
      <c r="H2859">
        <f t="shared" ca="1" si="550"/>
        <v>-0.2</v>
      </c>
      <c r="I2859">
        <f t="shared" ca="1" si="551"/>
        <v>0</v>
      </c>
      <c r="J2859" s="8">
        <f t="shared" ca="1" si="552"/>
        <v>-168.69006752597977</v>
      </c>
      <c r="K2859" s="9" t="str">
        <f t="shared" ca="1" si="553"/>
        <v>W</v>
      </c>
      <c r="L2859">
        <f ca="1">+_xlfn.IFNA(VLOOKUP(M2859,BespokeWindowsAreas!$B$2:$E$1999,4,FALSE),VLOOKUP(E2859,WindowTypeArea!$B$2:$C$113,2,FALSE))</f>
        <v>2.9737499999999999</v>
      </c>
      <c r="M2859">
        <f t="shared" ca="1" si="556"/>
        <v>6315613</v>
      </c>
    </row>
    <row r="2860" spans="1:13" x14ac:dyDescent="0.25">
      <c r="A2860">
        <f t="shared" ca="1" si="554"/>
        <v>15</v>
      </c>
      <c r="B2860">
        <f t="shared" ca="1" si="555"/>
        <v>69</v>
      </c>
      <c r="C2860" t="str">
        <f t="shared" ca="1" si="545"/>
        <v>'WINDOWS-NCH-A-OCMA-M3-01-0'!B68</v>
      </c>
      <c r="D2860" s="6" t="str">
        <f t="shared" ca="1" si="546"/>
        <v>L01-ICU-NCU-S087-14</v>
      </c>
      <c r="E2860" t="str">
        <f t="shared" ca="1" si="547"/>
        <v>L01-ICU-NCU-S087-14</v>
      </c>
      <c r="F2860">
        <f t="shared" ca="1" si="548"/>
        <v>1865054</v>
      </c>
      <c r="G2860">
        <f t="shared" ca="1" si="549"/>
        <v>0</v>
      </c>
      <c r="H2860">
        <f t="shared" ca="1" si="550"/>
        <v>0</v>
      </c>
      <c r="I2860">
        <f t="shared" ca="1" si="551"/>
        <v>0</v>
      </c>
      <c r="J2860" s="8" t="e">
        <f t="shared" ca="1" si="552"/>
        <v>#DIV/0!</v>
      </c>
      <c r="K2860" s="9" t="e">
        <f t="shared" ca="1" si="553"/>
        <v>#DIV/0!</v>
      </c>
      <c r="L2860" t="e">
        <f ca="1">+_xlfn.IFNA(VLOOKUP(M2860,BespokeWindowsAreas!$B$2:$E$1999,4,FALSE),VLOOKUP(E2860,WindowTypeArea!$B$2:$C$113,2,FALSE))</f>
        <v>#N/A</v>
      </c>
      <c r="M2860">
        <f t="shared" ca="1" si="556"/>
        <v>0</v>
      </c>
    </row>
    <row r="2861" spans="1:13" x14ac:dyDescent="0.25">
      <c r="A2861">
        <f t="shared" ca="1" si="554"/>
        <v>15</v>
      </c>
      <c r="B2861">
        <f t="shared" ca="1" si="555"/>
        <v>70</v>
      </c>
      <c r="C2861" t="str">
        <f t="shared" ca="1" si="545"/>
        <v>'WINDOWS-NCH-A-OCMA-M3-01-0'!B69</v>
      </c>
      <c r="D2861" s="6" t="str">
        <f t="shared" ca="1" si="546"/>
        <v>L01-ICU-NCU-S087-14</v>
      </c>
      <c r="E2861" t="str">
        <f t="shared" ca="1" si="547"/>
        <v>Family Type: 1950w x 3050h, Family: Window External Type 1 - Recessed</v>
      </c>
      <c r="F2861" t="str">
        <f t="shared" ca="1" si="548"/>
        <v>Vector(X = 0.977, Y = 0.212, Z = 0.000, Length = 1.000)</v>
      </c>
      <c r="G2861">
        <f t="shared" ca="1" si="549"/>
        <v>1</v>
      </c>
      <c r="H2861">
        <f t="shared" ca="1" si="550"/>
        <v>0.2</v>
      </c>
      <c r="I2861">
        <f t="shared" ca="1" si="551"/>
        <v>0</v>
      </c>
      <c r="J2861" s="8">
        <f t="shared" ca="1" si="552"/>
        <v>11.309932474020215</v>
      </c>
      <c r="K2861" s="9" t="str">
        <f t="shared" ca="1" si="553"/>
        <v>E</v>
      </c>
      <c r="L2861">
        <f ca="1">+_xlfn.IFNA(VLOOKUP(M2861,BespokeWindowsAreas!$B$2:$E$1999,4,FALSE),VLOOKUP(E2861,WindowTypeArea!$B$2:$C$113,2,FALSE))</f>
        <v>5.9474999999999998</v>
      </c>
      <c r="M2861">
        <f t="shared" ca="1" si="556"/>
        <v>5507271</v>
      </c>
    </row>
    <row r="2862" spans="1:13" x14ac:dyDescent="0.25">
      <c r="A2862">
        <f t="shared" ca="1" si="554"/>
        <v>15</v>
      </c>
      <c r="B2862">
        <f t="shared" ca="1" si="555"/>
        <v>71</v>
      </c>
      <c r="C2862" t="str">
        <f t="shared" ca="1" si="545"/>
        <v>'WINDOWS-NCH-A-OCMA-M3-01-0'!B70</v>
      </c>
      <c r="D2862" s="6" t="str">
        <f t="shared" ca="1" si="546"/>
        <v>L01-ICU-NCU-S087-15</v>
      </c>
      <c r="E2862" t="str">
        <f t="shared" ca="1" si="547"/>
        <v>L01-ICU-NCU-S087-15</v>
      </c>
      <c r="F2862">
        <f t="shared" ca="1" si="548"/>
        <v>1865055</v>
      </c>
      <c r="G2862">
        <f t="shared" ca="1" si="549"/>
        <v>0</v>
      </c>
      <c r="H2862">
        <f t="shared" ca="1" si="550"/>
        <v>0</v>
      </c>
      <c r="I2862">
        <f t="shared" ca="1" si="551"/>
        <v>0</v>
      </c>
      <c r="J2862" s="8" t="e">
        <f t="shared" ca="1" si="552"/>
        <v>#DIV/0!</v>
      </c>
      <c r="K2862" s="9" t="e">
        <f t="shared" ca="1" si="553"/>
        <v>#DIV/0!</v>
      </c>
      <c r="L2862" t="e">
        <f ca="1">+_xlfn.IFNA(VLOOKUP(M2862,BespokeWindowsAreas!$B$2:$E$1999,4,FALSE),VLOOKUP(E2862,WindowTypeArea!$B$2:$C$113,2,FALSE))</f>
        <v>#N/A</v>
      </c>
      <c r="M2862">
        <f t="shared" ca="1" si="556"/>
        <v>0</v>
      </c>
    </row>
    <row r="2863" spans="1:13" x14ac:dyDescent="0.25">
      <c r="A2863">
        <f t="shared" ca="1" si="554"/>
        <v>15</v>
      </c>
      <c r="B2863">
        <f t="shared" ca="1" si="555"/>
        <v>72</v>
      </c>
      <c r="C2863" t="str">
        <f t="shared" ca="1" si="545"/>
        <v>'WINDOWS-NCH-A-OCMA-M3-01-0'!B71</v>
      </c>
      <c r="D2863" s="6" t="str">
        <f t="shared" ca="1" si="546"/>
        <v>L01-ICU-NCU-S087-15</v>
      </c>
      <c r="E2863" t="str">
        <f t="shared" ca="1" si="547"/>
        <v>Family Type: 975w x 3050h, Family: Window External Type 1 - Recessed</v>
      </c>
      <c r="F2863" t="str">
        <f t="shared" ca="1" si="548"/>
        <v>Vector(X = 0.977, Y = 0.212, Z = 0.000, Length = 1.000)</v>
      </c>
      <c r="G2863">
        <f t="shared" ca="1" si="549"/>
        <v>1</v>
      </c>
      <c r="H2863">
        <f t="shared" ca="1" si="550"/>
        <v>0.2</v>
      </c>
      <c r="I2863">
        <f t="shared" ca="1" si="551"/>
        <v>0</v>
      </c>
      <c r="J2863" s="8">
        <f t="shared" ca="1" si="552"/>
        <v>11.309932474020215</v>
      </c>
      <c r="K2863" s="9" t="str">
        <f t="shared" ca="1" si="553"/>
        <v>E</v>
      </c>
      <c r="L2863">
        <f ca="1">+_xlfn.IFNA(VLOOKUP(M2863,BespokeWindowsAreas!$B$2:$E$1999,4,FALSE),VLOOKUP(E2863,WindowTypeArea!$B$2:$C$113,2,FALSE))</f>
        <v>2.9737499999999999</v>
      </c>
      <c r="M2863">
        <f t="shared" ca="1" si="556"/>
        <v>5507347</v>
      </c>
    </row>
    <row r="2864" spans="1:13" x14ac:dyDescent="0.25">
      <c r="A2864">
        <f t="shared" ca="1" si="554"/>
        <v>15</v>
      </c>
      <c r="B2864">
        <f t="shared" ca="1" si="555"/>
        <v>73</v>
      </c>
      <c r="C2864" t="str">
        <f t="shared" ca="1" si="545"/>
        <v>'WINDOWS-NCH-A-OCMA-M3-01-0'!B72</v>
      </c>
      <c r="D2864" s="6" t="str">
        <f t="shared" ca="1" si="546"/>
        <v>L01-ICU-NCU-S087-15</v>
      </c>
      <c r="E2864" t="str">
        <f t="shared" ca="1" si="547"/>
        <v>Family Type: 975w x 3050h, Family: Window External Type 1 - Recessed</v>
      </c>
      <c r="F2864" t="str">
        <f t="shared" ca="1" si="548"/>
        <v>Vector(X = 0.977, Y = 0.212, Z = 0.000, Length = 1.000)</v>
      </c>
      <c r="G2864">
        <f t="shared" ca="1" si="549"/>
        <v>1</v>
      </c>
      <c r="H2864">
        <f t="shared" ca="1" si="550"/>
        <v>0.2</v>
      </c>
      <c r="I2864">
        <f t="shared" ca="1" si="551"/>
        <v>0</v>
      </c>
      <c r="J2864" s="8">
        <f t="shared" ca="1" si="552"/>
        <v>11.309932474020215</v>
      </c>
      <c r="K2864" s="9" t="str">
        <f t="shared" ca="1" si="553"/>
        <v>E</v>
      </c>
      <c r="L2864">
        <f ca="1">+_xlfn.IFNA(VLOOKUP(M2864,BespokeWindowsAreas!$B$2:$E$1999,4,FALSE),VLOOKUP(E2864,WindowTypeArea!$B$2:$C$113,2,FALSE))</f>
        <v>2.9737499999999999</v>
      </c>
      <c r="M2864">
        <f t="shared" ca="1" si="556"/>
        <v>5507507</v>
      </c>
    </row>
    <row r="2865" spans="1:13" x14ac:dyDescent="0.25">
      <c r="A2865">
        <f t="shared" ca="1" si="554"/>
        <v>15</v>
      </c>
      <c r="B2865">
        <f t="shared" ca="1" si="555"/>
        <v>74</v>
      </c>
      <c r="C2865" t="str">
        <f t="shared" ca="1" si="545"/>
        <v>'WINDOWS-NCH-A-OCMA-M3-01-0'!B73</v>
      </c>
      <c r="D2865" s="6" t="str">
        <f t="shared" ca="1" si="546"/>
        <v>L01-ICU-NCU-S087-16</v>
      </c>
      <c r="E2865" t="str">
        <f t="shared" ca="1" si="547"/>
        <v>L01-ICU-NCU-S087-16</v>
      </c>
      <c r="F2865">
        <f t="shared" ca="1" si="548"/>
        <v>1865056</v>
      </c>
      <c r="G2865">
        <f t="shared" ca="1" si="549"/>
        <v>0</v>
      </c>
      <c r="H2865">
        <f t="shared" ca="1" si="550"/>
        <v>0</v>
      </c>
      <c r="I2865">
        <f t="shared" ca="1" si="551"/>
        <v>0</v>
      </c>
      <c r="J2865" s="8" t="e">
        <f t="shared" ca="1" si="552"/>
        <v>#DIV/0!</v>
      </c>
      <c r="K2865" s="9" t="e">
        <f t="shared" ca="1" si="553"/>
        <v>#DIV/0!</v>
      </c>
      <c r="L2865" t="e">
        <f ca="1">+_xlfn.IFNA(VLOOKUP(M2865,BespokeWindowsAreas!$B$2:$E$1999,4,FALSE),VLOOKUP(E2865,WindowTypeArea!$B$2:$C$113,2,FALSE))</f>
        <v>#N/A</v>
      </c>
      <c r="M2865">
        <f t="shared" ca="1" si="556"/>
        <v>0</v>
      </c>
    </row>
    <row r="2866" spans="1:13" x14ac:dyDescent="0.25">
      <c r="A2866">
        <f t="shared" ca="1" si="554"/>
        <v>15</v>
      </c>
      <c r="B2866">
        <f t="shared" ca="1" si="555"/>
        <v>75</v>
      </c>
      <c r="C2866" t="str">
        <f t="shared" ca="1" si="545"/>
        <v>'WINDOWS-NCH-A-OCMA-M3-01-0'!B74</v>
      </c>
      <c r="D2866" s="6" t="str">
        <f t="shared" ca="1" si="546"/>
        <v>L01-ICU-NCU-S087-16</v>
      </c>
      <c r="E2866" t="str">
        <f t="shared" ca="1" si="547"/>
        <v>Family Type: 1500w x 3050h, Family: Window External Type 1 - Recessed</v>
      </c>
      <c r="F2866" t="str">
        <f t="shared" ca="1" si="548"/>
        <v>Vector(X = 0.977, Y = 0.212, Z = 0.000, Length = 1.000)</v>
      </c>
      <c r="G2866">
        <f t="shared" ca="1" si="549"/>
        <v>1</v>
      </c>
      <c r="H2866">
        <f t="shared" ca="1" si="550"/>
        <v>0.2</v>
      </c>
      <c r="I2866">
        <f t="shared" ca="1" si="551"/>
        <v>0</v>
      </c>
      <c r="J2866" s="8">
        <f t="shared" ca="1" si="552"/>
        <v>11.309932474020215</v>
      </c>
      <c r="K2866" s="9" t="str">
        <f t="shared" ca="1" si="553"/>
        <v>E</v>
      </c>
      <c r="L2866">
        <f ca="1">+_xlfn.IFNA(VLOOKUP(M2866,BespokeWindowsAreas!$B$2:$E$1999,4,FALSE),VLOOKUP(E2866,WindowTypeArea!$B$2:$C$113,2,FALSE))</f>
        <v>4.5750000000000002</v>
      </c>
      <c r="M2866">
        <f t="shared" ca="1" si="556"/>
        <v>5507630</v>
      </c>
    </row>
    <row r="2867" spans="1:13" x14ac:dyDescent="0.25">
      <c r="A2867">
        <f t="shared" ca="1" si="554"/>
        <v>15</v>
      </c>
      <c r="B2867">
        <f t="shared" ca="1" si="555"/>
        <v>76</v>
      </c>
      <c r="C2867" t="str">
        <f t="shared" ca="1" si="545"/>
        <v>'WINDOWS-NCH-A-OCMA-M3-01-0'!B75</v>
      </c>
      <c r="D2867" s="6" t="str">
        <f t="shared" ca="1" si="546"/>
        <v>L01-ICU-NCU-S086-02</v>
      </c>
      <c r="E2867" t="str">
        <f t="shared" ca="1" si="547"/>
        <v>L01-ICU-NCU-S086-02</v>
      </c>
      <c r="F2867">
        <f t="shared" ca="1" si="548"/>
        <v>1865057</v>
      </c>
      <c r="G2867">
        <f t="shared" ca="1" si="549"/>
        <v>0</v>
      </c>
      <c r="H2867">
        <f t="shared" ca="1" si="550"/>
        <v>0</v>
      </c>
      <c r="I2867">
        <f t="shared" ca="1" si="551"/>
        <v>0</v>
      </c>
      <c r="J2867" s="8" t="e">
        <f t="shared" ca="1" si="552"/>
        <v>#DIV/0!</v>
      </c>
      <c r="K2867" s="9" t="e">
        <f t="shared" ca="1" si="553"/>
        <v>#DIV/0!</v>
      </c>
      <c r="L2867" t="e">
        <f ca="1">+_xlfn.IFNA(VLOOKUP(M2867,BespokeWindowsAreas!$B$2:$E$1999,4,FALSE),VLOOKUP(E2867,WindowTypeArea!$B$2:$C$113,2,FALSE))</f>
        <v>#N/A</v>
      </c>
      <c r="M2867">
        <f t="shared" ca="1" si="556"/>
        <v>0</v>
      </c>
    </row>
    <row r="2868" spans="1:13" x14ac:dyDescent="0.25">
      <c r="A2868">
        <f t="shared" ca="1" si="554"/>
        <v>15</v>
      </c>
      <c r="B2868">
        <f t="shared" ca="1" si="555"/>
        <v>77</v>
      </c>
      <c r="C2868" t="str">
        <f t="shared" ca="1" si="545"/>
        <v>'WINDOWS-NCH-A-OCMA-M3-01-0'!B76</v>
      </c>
      <c r="D2868" s="6" t="str">
        <f t="shared" ca="1" si="546"/>
        <v>L01-ICU-NCU-S086-02</v>
      </c>
      <c r="E2868" t="str">
        <f t="shared" ca="1" si="547"/>
        <v>Family Type: 1500w x 3050h, Family: Window External Type 1 - Recessed</v>
      </c>
      <c r="F2868" t="str">
        <f t="shared" ca="1" si="548"/>
        <v>Vector(X = 0.977, Y = 0.212, Z = 0.000, Length = 1.000)</v>
      </c>
      <c r="G2868">
        <f t="shared" ca="1" si="549"/>
        <v>1</v>
      </c>
      <c r="H2868">
        <f t="shared" ca="1" si="550"/>
        <v>0.2</v>
      </c>
      <c r="I2868">
        <f t="shared" ca="1" si="551"/>
        <v>0</v>
      </c>
      <c r="J2868" s="8">
        <f t="shared" ca="1" si="552"/>
        <v>11.309932474020215</v>
      </c>
      <c r="K2868" s="9" t="str">
        <f t="shared" ca="1" si="553"/>
        <v>E</v>
      </c>
      <c r="L2868">
        <f ca="1">+_xlfn.IFNA(VLOOKUP(M2868,BespokeWindowsAreas!$B$2:$E$1999,4,FALSE),VLOOKUP(E2868,WindowTypeArea!$B$2:$C$113,2,FALSE))</f>
        <v>4.5750000000000002</v>
      </c>
      <c r="M2868">
        <f t="shared" ca="1" si="556"/>
        <v>5507128</v>
      </c>
    </row>
    <row r="2869" spans="1:13" x14ac:dyDescent="0.25">
      <c r="A2869">
        <f t="shared" ca="1" si="554"/>
        <v>15</v>
      </c>
      <c r="B2869">
        <f t="shared" ca="1" si="555"/>
        <v>78</v>
      </c>
      <c r="C2869" t="str">
        <f t="shared" ca="1" si="545"/>
        <v>'WINDOWS-NCH-A-OCMA-M3-01-0'!B77</v>
      </c>
      <c r="D2869" s="6" t="str">
        <f t="shared" ca="1" si="546"/>
        <v>L01-ICU-NCU-S086-02</v>
      </c>
      <c r="E2869" t="str">
        <f t="shared" ca="1" si="547"/>
        <v>Family Type: 975w x 3050h, Family: Window External Type 1 - Recessed</v>
      </c>
      <c r="F2869" t="str">
        <f t="shared" ca="1" si="548"/>
        <v>Vector(X = 0.977, Y = 0.212, Z = 0.000, Length = 1.000)</v>
      </c>
      <c r="G2869">
        <f t="shared" ca="1" si="549"/>
        <v>1</v>
      </c>
      <c r="H2869">
        <f t="shared" ca="1" si="550"/>
        <v>0.2</v>
      </c>
      <c r="I2869">
        <f t="shared" ca="1" si="551"/>
        <v>0</v>
      </c>
      <c r="J2869" s="8">
        <f t="shared" ca="1" si="552"/>
        <v>11.309932474020215</v>
      </c>
      <c r="K2869" s="9" t="str">
        <f t="shared" ca="1" si="553"/>
        <v>E</v>
      </c>
      <c r="L2869">
        <f ca="1">+_xlfn.IFNA(VLOOKUP(M2869,BespokeWindowsAreas!$B$2:$E$1999,4,FALSE),VLOOKUP(E2869,WindowTypeArea!$B$2:$C$113,2,FALSE))</f>
        <v>2.9737499999999999</v>
      </c>
      <c r="M2869">
        <f t="shared" ca="1" si="556"/>
        <v>5507203</v>
      </c>
    </row>
    <row r="2870" spans="1:13" x14ac:dyDescent="0.25">
      <c r="A2870">
        <f t="shared" ca="1" si="554"/>
        <v>15</v>
      </c>
      <c r="B2870">
        <f t="shared" ca="1" si="555"/>
        <v>79</v>
      </c>
      <c r="C2870" t="str">
        <f t="shared" ca="1" si="545"/>
        <v>'WINDOWS-NCH-A-OCMA-M3-01-0'!B78</v>
      </c>
      <c r="D2870" s="6" t="str">
        <f t="shared" ca="1" si="546"/>
        <v>L01-ICU-NCU-S115-05</v>
      </c>
      <c r="E2870" t="str">
        <f t="shared" ca="1" si="547"/>
        <v>L01-ICU-NCU-S115-05</v>
      </c>
      <c r="F2870">
        <f t="shared" ca="1" si="548"/>
        <v>1865062</v>
      </c>
      <c r="G2870">
        <f t="shared" ca="1" si="549"/>
        <v>0</v>
      </c>
      <c r="H2870">
        <f t="shared" ca="1" si="550"/>
        <v>0</v>
      </c>
      <c r="I2870">
        <f t="shared" ca="1" si="551"/>
        <v>0</v>
      </c>
      <c r="J2870" s="8" t="e">
        <f t="shared" ca="1" si="552"/>
        <v>#DIV/0!</v>
      </c>
      <c r="K2870" s="9" t="e">
        <f t="shared" ca="1" si="553"/>
        <v>#DIV/0!</v>
      </c>
      <c r="L2870" t="e">
        <f ca="1">+_xlfn.IFNA(VLOOKUP(M2870,BespokeWindowsAreas!$B$2:$E$1999,4,FALSE),VLOOKUP(E2870,WindowTypeArea!$B$2:$C$113,2,FALSE))</f>
        <v>#N/A</v>
      </c>
      <c r="M2870">
        <f t="shared" ca="1" si="556"/>
        <v>0</v>
      </c>
    </row>
    <row r="2871" spans="1:13" x14ac:dyDescent="0.25">
      <c r="A2871">
        <f t="shared" ca="1" si="554"/>
        <v>15</v>
      </c>
      <c r="B2871">
        <f t="shared" ca="1" si="555"/>
        <v>80</v>
      </c>
      <c r="C2871" t="str">
        <f t="shared" ca="1" si="545"/>
        <v>'WINDOWS-NCH-A-OCMA-M3-01-0'!B79</v>
      </c>
      <c r="D2871" s="6" t="str">
        <f t="shared" ca="1" si="546"/>
        <v>L01-ICU-NCU-S115-05</v>
      </c>
      <c r="E2871" t="str">
        <f t="shared" ca="1" si="547"/>
        <v>Family Type: 1950w x 3050h, Family: Window Internal Type 1 - Flush</v>
      </c>
      <c r="F2871" t="str">
        <f t="shared" ca="1" si="548"/>
        <v>Vector(X = -0.977, Y = -0.212, Z = 0.000, Length = 1.000)</v>
      </c>
      <c r="G2871">
        <f t="shared" ca="1" si="549"/>
        <v>-1</v>
      </c>
      <c r="H2871">
        <f t="shared" ca="1" si="550"/>
        <v>-0.2</v>
      </c>
      <c r="I2871">
        <f t="shared" ca="1" si="551"/>
        <v>0</v>
      </c>
      <c r="J2871" s="8">
        <f t="shared" ca="1" si="552"/>
        <v>-168.69006752597977</v>
      </c>
      <c r="K2871" s="9" t="str">
        <f t="shared" ca="1" si="553"/>
        <v>W</v>
      </c>
      <c r="L2871">
        <f ca="1">+_xlfn.IFNA(VLOOKUP(M2871,BespokeWindowsAreas!$B$2:$E$1999,4,FALSE),VLOOKUP(E2871,WindowTypeArea!$B$2:$C$113,2,FALSE))</f>
        <v>5.9474999999999998</v>
      </c>
      <c r="M2871">
        <f t="shared" ca="1" si="556"/>
        <v>6643287</v>
      </c>
    </row>
    <row r="2872" spans="1:13" x14ac:dyDescent="0.25">
      <c r="A2872">
        <f t="shared" ca="1" si="554"/>
        <v>15</v>
      </c>
      <c r="B2872">
        <f t="shared" ca="1" si="555"/>
        <v>81</v>
      </c>
      <c r="C2872" t="str">
        <f t="shared" ca="1" si="545"/>
        <v>'WINDOWS-NCH-A-OCMA-M3-01-0'!B80</v>
      </c>
      <c r="D2872" s="6" t="str">
        <f t="shared" ca="1" si="546"/>
        <v>L01-ICU-PIC-U0078-01</v>
      </c>
      <c r="E2872" t="str">
        <f t="shared" ca="1" si="547"/>
        <v>L01-ICU-PIC-U0078-01</v>
      </c>
      <c r="F2872">
        <f t="shared" ca="1" si="548"/>
        <v>1865065</v>
      </c>
      <c r="G2872">
        <f t="shared" ca="1" si="549"/>
        <v>0</v>
      </c>
      <c r="H2872">
        <f t="shared" ca="1" si="550"/>
        <v>0</v>
      </c>
      <c r="I2872">
        <f t="shared" ca="1" si="551"/>
        <v>0</v>
      </c>
      <c r="J2872" s="8" t="e">
        <f t="shared" ca="1" si="552"/>
        <v>#DIV/0!</v>
      </c>
      <c r="K2872" s="9" t="e">
        <f t="shared" ca="1" si="553"/>
        <v>#DIV/0!</v>
      </c>
      <c r="L2872" t="e">
        <f ca="1">+_xlfn.IFNA(VLOOKUP(M2872,BespokeWindowsAreas!$B$2:$E$1999,4,FALSE),VLOOKUP(E2872,WindowTypeArea!$B$2:$C$113,2,FALSE))</f>
        <v>#N/A</v>
      </c>
      <c r="M2872">
        <f t="shared" ca="1" si="556"/>
        <v>0</v>
      </c>
    </row>
    <row r="2873" spans="1:13" x14ac:dyDescent="0.25">
      <c r="A2873">
        <f t="shared" ca="1" si="554"/>
        <v>15</v>
      </c>
      <c r="B2873">
        <f t="shared" ca="1" si="555"/>
        <v>82</v>
      </c>
      <c r="C2873" t="str">
        <f t="shared" ca="1" si="545"/>
        <v>'WINDOWS-NCH-A-OCMA-M3-01-0'!B81</v>
      </c>
      <c r="D2873" s="6" t="str">
        <f t="shared" ca="1" si="546"/>
        <v>L01-ICU-PIC-U0078-01</v>
      </c>
      <c r="E2873" t="str">
        <f t="shared" ca="1" si="547"/>
        <v>Family Type: 975w x 3050h, Family: Window Internal Type 1 - Flush</v>
      </c>
      <c r="F2873" t="str">
        <f t="shared" ca="1" si="548"/>
        <v>Vector(X = 0.212, Y = -0.977, Z = 0.000, Length = 1.000)</v>
      </c>
      <c r="G2873">
        <f t="shared" ca="1" si="549"/>
        <v>0.2</v>
      </c>
      <c r="H2873">
        <f t="shared" ca="1" si="550"/>
        <v>-1</v>
      </c>
      <c r="I2873">
        <f t="shared" ca="1" si="551"/>
        <v>0</v>
      </c>
      <c r="J2873" s="8">
        <f t="shared" ca="1" si="552"/>
        <v>-78.690067525979785</v>
      </c>
      <c r="K2873" s="9" t="str">
        <f t="shared" ca="1" si="553"/>
        <v>S</v>
      </c>
      <c r="L2873">
        <f ca="1">+_xlfn.IFNA(VLOOKUP(M2873,BespokeWindowsAreas!$B$2:$E$1999,4,FALSE),VLOOKUP(E2873,WindowTypeArea!$B$2:$C$113,2,FALSE))</f>
        <v>2.9737499999999999</v>
      </c>
      <c r="M2873">
        <f t="shared" ca="1" si="556"/>
        <v>6322219</v>
      </c>
    </row>
    <row r="2874" spans="1:13" x14ac:dyDescent="0.25">
      <c r="A2874">
        <f t="shared" ca="1" si="554"/>
        <v>15</v>
      </c>
      <c r="B2874">
        <f t="shared" ca="1" si="555"/>
        <v>83</v>
      </c>
      <c r="C2874" t="str">
        <f t="shared" ca="1" si="545"/>
        <v>'WINDOWS-NCH-A-OCMA-M3-01-0'!B82</v>
      </c>
      <c r="D2874" s="6" t="str">
        <f t="shared" ca="1" si="546"/>
        <v>L01-ICU-PIC-S059-01</v>
      </c>
      <c r="E2874" t="str">
        <f t="shared" ca="1" si="547"/>
        <v>L01-ICU-PIC-S059-01</v>
      </c>
      <c r="F2874">
        <f t="shared" ca="1" si="548"/>
        <v>1865079</v>
      </c>
      <c r="G2874">
        <f t="shared" ca="1" si="549"/>
        <v>0</v>
      </c>
      <c r="H2874">
        <f t="shared" ca="1" si="550"/>
        <v>0</v>
      </c>
      <c r="I2874">
        <f t="shared" ca="1" si="551"/>
        <v>0</v>
      </c>
      <c r="J2874" s="8" t="e">
        <f t="shared" ca="1" si="552"/>
        <v>#DIV/0!</v>
      </c>
      <c r="K2874" s="9" t="e">
        <f t="shared" ca="1" si="553"/>
        <v>#DIV/0!</v>
      </c>
      <c r="L2874" t="e">
        <f ca="1">+_xlfn.IFNA(VLOOKUP(M2874,BespokeWindowsAreas!$B$2:$E$1999,4,FALSE),VLOOKUP(E2874,WindowTypeArea!$B$2:$C$113,2,FALSE))</f>
        <v>#N/A</v>
      </c>
      <c r="M2874">
        <f t="shared" ca="1" si="556"/>
        <v>0</v>
      </c>
    </row>
    <row r="2875" spans="1:13" x14ac:dyDescent="0.25">
      <c r="A2875">
        <f t="shared" ca="1" si="554"/>
        <v>15</v>
      </c>
      <c r="B2875">
        <f t="shared" ca="1" si="555"/>
        <v>84</v>
      </c>
      <c r="C2875" t="str">
        <f t="shared" ca="1" si="545"/>
        <v>'WINDOWS-NCH-A-OCMA-M3-01-0'!B83</v>
      </c>
      <c r="D2875" s="6" t="str">
        <f t="shared" ca="1" si="546"/>
        <v>L01-ICU-PIC-S059-01</v>
      </c>
      <c r="E2875" t="str">
        <f t="shared" ca="1" si="547"/>
        <v>Family Type: 1950w x 3050h, Family: Window External Type 1 - Recessed</v>
      </c>
      <c r="F2875" t="str">
        <f t="shared" ca="1" si="548"/>
        <v>Vector(X = 0.977, Y = 0.212, Z = 0.000, Length = 1.000)</v>
      </c>
      <c r="G2875">
        <f t="shared" ca="1" si="549"/>
        <v>1</v>
      </c>
      <c r="H2875">
        <f t="shared" ca="1" si="550"/>
        <v>0.2</v>
      </c>
      <c r="I2875">
        <f t="shared" ca="1" si="551"/>
        <v>0</v>
      </c>
      <c r="J2875" s="8">
        <f t="shared" ca="1" si="552"/>
        <v>11.309932474020215</v>
      </c>
      <c r="K2875" s="9" t="str">
        <f t="shared" ca="1" si="553"/>
        <v>E</v>
      </c>
      <c r="L2875">
        <f ca="1">+_xlfn.IFNA(VLOOKUP(M2875,BespokeWindowsAreas!$B$2:$E$1999,4,FALSE),VLOOKUP(E2875,WindowTypeArea!$B$2:$C$113,2,FALSE))</f>
        <v>5.9474999999999998</v>
      </c>
      <c r="M2875">
        <f t="shared" ca="1" si="556"/>
        <v>3677518</v>
      </c>
    </row>
    <row r="2876" spans="1:13" x14ac:dyDescent="0.25">
      <c r="A2876">
        <f t="shared" ca="1" si="554"/>
        <v>15</v>
      </c>
      <c r="B2876">
        <f t="shared" ca="1" si="555"/>
        <v>85</v>
      </c>
      <c r="C2876" t="str">
        <f t="shared" ca="1" si="545"/>
        <v>'WINDOWS-NCH-A-OCMA-M3-01-0'!B84</v>
      </c>
      <c r="D2876" s="6" t="str">
        <f t="shared" ca="1" si="546"/>
        <v>L01-ICU-PIC-U0088-01</v>
      </c>
      <c r="E2876" t="str">
        <f t="shared" ca="1" si="547"/>
        <v>L01-ICU-PIC-U0088-01</v>
      </c>
      <c r="F2876">
        <f t="shared" ca="1" si="548"/>
        <v>1865093</v>
      </c>
      <c r="G2876">
        <f t="shared" ca="1" si="549"/>
        <v>0</v>
      </c>
      <c r="H2876">
        <f t="shared" ca="1" si="550"/>
        <v>0</v>
      </c>
      <c r="I2876">
        <f t="shared" ca="1" si="551"/>
        <v>0</v>
      </c>
      <c r="J2876" s="8" t="e">
        <f t="shared" ca="1" si="552"/>
        <v>#DIV/0!</v>
      </c>
      <c r="K2876" s="9" t="e">
        <f t="shared" ca="1" si="553"/>
        <v>#DIV/0!</v>
      </c>
      <c r="L2876" t="e">
        <f ca="1">+_xlfn.IFNA(VLOOKUP(M2876,BespokeWindowsAreas!$B$2:$E$1999,4,FALSE),VLOOKUP(E2876,WindowTypeArea!$B$2:$C$113,2,FALSE))</f>
        <v>#N/A</v>
      </c>
      <c r="M2876">
        <f t="shared" ca="1" si="556"/>
        <v>0</v>
      </c>
    </row>
    <row r="2877" spans="1:13" x14ac:dyDescent="0.25">
      <c r="A2877">
        <f t="shared" ca="1" si="554"/>
        <v>15</v>
      </c>
      <c r="B2877">
        <f t="shared" ca="1" si="555"/>
        <v>86</v>
      </c>
      <c r="C2877" t="str">
        <f t="shared" ca="1" si="545"/>
        <v>'WINDOWS-NCH-A-OCMA-M3-01-0'!B85</v>
      </c>
      <c r="D2877" s="6" t="str">
        <f t="shared" ca="1" si="546"/>
        <v>L01-ICU-PIC-U0088-01</v>
      </c>
      <c r="E2877" t="str">
        <f t="shared" ca="1" si="547"/>
        <v>Family Type: 1500w x 3050h, Family: Window External Type 3 - Recessed and Angle</v>
      </c>
      <c r="F2877" t="str">
        <f t="shared" ca="1" si="548"/>
        <v>Vector(X = 0.212, Y = -0.977, Z = 0.000, Length = 1.000)</v>
      </c>
      <c r="G2877">
        <f t="shared" ca="1" si="549"/>
        <v>0.2</v>
      </c>
      <c r="H2877">
        <f t="shared" ca="1" si="550"/>
        <v>-1</v>
      </c>
      <c r="I2877">
        <f t="shared" ca="1" si="551"/>
        <v>0</v>
      </c>
      <c r="J2877" s="8">
        <f t="shared" ca="1" si="552"/>
        <v>-78.690067525979785</v>
      </c>
      <c r="K2877" s="9" t="str">
        <f t="shared" ca="1" si="553"/>
        <v>S</v>
      </c>
      <c r="L2877">
        <f ca="1">+_xlfn.IFNA(VLOOKUP(M2877,BespokeWindowsAreas!$B$2:$E$1999,4,FALSE),VLOOKUP(E2877,WindowTypeArea!$B$2:$C$113,2,FALSE))</f>
        <v>4.5750000000000002</v>
      </c>
      <c r="M2877">
        <f t="shared" ca="1" si="556"/>
        <v>4928957</v>
      </c>
    </row>
    <row r="2878" spans="1:13" x14ac:dyDescent="0.25">
      <c r="A2878">
        <f t="shared" ca="1" si="554"/>
        <v>15</v>
      </c>
      <c r="B2878">
        <f t="shared" ca="1" si="555"/>
        <v>87</v>
      </c>
      <c r="C2878" t="str">
        <f t="shared" ca="1" si="545"/>
        <v>'WINDOWS-NCH-A-OCMA-M3-01-0'!B86</v>
      </c>
      <c r="D2878" s="6" t="str">
        <f t="shared" ca="1" si="546"/>
        <v>L01-ICU-PIC-U0088-01</v>
      </c>
      <c r="E2878" t="str">
        <f t="shared" ca="1" si="547"/>
        <v>Family Type: 975w x 3050h, Family: Window External Type 1 - Recessed</v>
      </c>
      <c r="F2878" t="str">
        <f t="shared" ca="1" si="548"/>
        <v>Vector(X = 0.872, Y = 0.489, Z = 0.000, Length = 1.000)</v>
      </c>
      <c r="G2878">
        <f t="shared" ca="1" si="549"/>
        <v>0.9</v>
      </c>
      <c r="H2878">
        <f t="shared" ca="1" si="550"/>
        <v>0.5</v>
      </c>
      <c r="I2878">
        <f t="shared" ca="1" si="551"/>
        <v>0</v>
      </c>
      <c r="J2878" s="8">
        <f t="shared" ca="1" si="552"/>
        <v>29.054604099077146</v>
      </c>
      <c r="K2878" s="9" t="str">
        <f t="shared" ca="1" si="553"/>
        <v>E</v>
      </c>
      <c r="L2878">
        <f ca="1">+_xlfn.IFNA(VLOOKUP(M2878,BespokeWindowsAreas!$B$2:$E$1999,4,FALSE),VLOOKUP(E2878,WindowTypeArea!$B$2:$C$113,2,FALSE))</f>
        <v>2.9737499999999999</v>
      </c>
      <c r="M2878">
        <f t="shared" ca="1" si="556"/>
        <v>5512749</v>
      </c>
    </row>
    <row r="2879" spans="1:13" x14ac:dyDescent="0.25">
      <c r="A2879">
        <f t="shared" ca="1" si="554"/>
        <v>15</v>
      </c>
      <c r="B2879">
        <f t="shared" ca="1" si="555"/>
        <v>88</v>
      </c>
      <c r="C2879" t="str">
        <f t="shared" ca="1" si="545"/>
        <v>'WINDOWS-NCH-A-OCMA-M3-01-0'!B87</v>
      </c>
      <c r="D2879" s="6" t="str">
        <f t="shared" ca="1" si="546"/>
        <v>L01-ICU-PIC-U0088-01</v>
      </c>
      <c r="E2879" t="str">
        <f t="shared" ca="1" si="547"/>
        <v>Family Type: 975w x 3050h, Family: Window External Type 1 - Recessed</v>
      </c>
      <c r="F2879" t="str">
        <f t="shared" ca="1" si="548"/>
        <v>Vector(X = 0.872, Y = 0.489, Z = 0.000, Length = 1.000)</v>
      </c>
      <c r="G2879">
        <f t="shared" ca="1" si="549"/>
        <v>0.9</v>
      </c>
      <c r="H2879">
        <f t="shared" ca="1" si="550"/>
        <v>0.5</v>
      </c>
      <c r="I2879">
        <f t="shared" ca="1" si="551"/>
        <v>0</v>
      </c>
      <c r="J2879" s="8">
        <f t="shared" ca="1" si="552"/>
        <v>29.054604099077146</v>
      </c>
      <c r="K2879" s="9" t="str">
        <f t="shared" ca="1" si="553"/>
        <v>E</v>
      </c>
      <c r="L2879">
        <f ca="1">+_xlfn.IFNA(VLOOKUP(M2879,BespokeWindowsAreas!$B$2:$E$1999,4,FALSE),VLOOKUP(E2879,WindowTypeArea!$B$2:$C$113,2,FALSE))</f>
        <v>2.9737499999999999</v>
      </c>
      <c r="M2879">
        <f t="shared" ca="1" si="556"/>
        <v>5512912</v>
      </c>
    </row>
    <row r="2880" spans="1:13" x14ac:dyDescent="0.25">
      <c r="A2880">
        <f t="shared" ca="1" si="554"/>
        <v>15</v>
      </c>
      <c r="B2880">
        <f t="shared" ca="1" si="555"/>
        <v>89</v>
      </c>
      <c r="C2880" t="str">
        <f t="shared" ca="1" si="545"/>
        <v>'WINDOWS-NCH-A-OCMA-M3-01-0'!B88</v>
      </c>
      <c r="D2880" s="6" t="str">
        <f t="shared" ca="1" si="546"/>
        <v>L01-ICU-PIC-S094-01</v>
      </c>
      <c r="E2880" t="str">
        <f t="shared" ca="1" si="547"/>
        <v>L01-ICU-PIC-S094-01</v>
      </c>
      <c r="F2880">
        <f t="shared" ca="1" si="548"/>
        <v>1865094</v>
      </c>
      <c r="G2880">
        <f t="shared" ca="1" si="549"/>
        <v>0</v>
      </c>
      <c r="H2880">
        <f t="shared" ca="1" si="550"/>
        <v>0</v>
      </c>
      <c r="I2880">
        <f t="shared" ca="1" si="551"/>
        <v>0</v>
      </c>
      <c r="J2880" s="8" t="e">
        <f t="shared" ca="1" si="552"/>
        <v>#DIV/0!</v>
      </c>
      <c r="K2880" s="9" t="e">
        <f t="shared" ca="1" si="553"/>
        <v>#DIV/0!</v>
      </c>
      <c r="L2880" t="e">
        <f ca="1">+_xlfn.IFNA(VLOOKUP(M2880,BespokeWindowsAreas!$B$2:$E$1999,4,FALSE),VLOOKUP(E2880,WindowTypeArea!$B$2:$C$113,2,FALSE))</f>
        <v>#N/A</v>
      </c>
      <c r="M2880">
        <f t="shared" ca="1" si="556"/>
        <v>0</v>
      </c>
    </row>
    <row r="2881" spans="1:13" x14ac:dyDescent="0.25">
      <c r="A2881">
        <f t="shared" ca="1" si="554"/>
        <v>15</v>
      </c>
      <c r="B2881">
        <f t="shared" ca="1" si="555"/>
        <v>90</v>
      </c>
      <c r="C2881" t="str">
        <f t="shared" ca="1" si="545"/>
        <v>'WINDOWS-NCH-A-OCMA-M3-01-0'!B89</v>
      </c>
      <c r="D2881" s="6" t="str">
        <f t="shared" ca="1" si="546"/>
        <v>L01-ICU-PIC-S094-01</v>
      </c>
      <c r="E2881" t="str">
        <f t="shared" ca="1" si="547"/>
        <v>Family Type: 1500w x 3050h, Family: Window External Type 1 - Recessed</v>
      </c>
      <c r="F2881" t="str">
        <f t="shared" ca="1" si="548"/>
        <v>Vector(X = 0.977, Y = 0.212, Z = 0.000, Length = 1.000)</v>
      </c>
      <c r="G2881">
        <f t="shared" ca="1" si="549"/>
        <v>1</v>
      </c>
      <c r="H2881">
        <f t="shared" ca="1" si="550"/>
        <v>0.2</v>
      </c>
      <c r="I2881">
        <f t="shared" ca="1" si="551"/>
        <v>0</v>
      </c>
      <c r="J2881" s="8">
        <f t="shared" ca="1" si="552"/>
        <v>11.309932474020215</v>
      </c>
      <c r="K2881" s="9" t="str">
        <f t="shared" ca="1" si="553"/>
        <v>E</v>
      </c>
      <c r="L2881">
        <f ca="1">+_xlfn.IFNA(VLOOKUP(M2881,BespokeWindowsAreas!$B$2:$E$1999,4,FALSE),VLOOKUP(E2881,WindowTypeArea!$B$2:$C$113,2,FALSE))</f>
        <v>4.5750000000000002</v>
      </c>
      <c r="M2881">
        <f t="shared" ca="1" si="556"/>
        <v>5507908</v>
      </c>
    </row>
    <row r="2882" spans="1:13" x14ac:dyDescent="0.25">
      <c r="A2882">
        <f t="shared" ca="1" si="554"/>
        <v>15</v>
      </c>
      <c r="B2882">
        <f t="shared" ca="1" si="555"/>
        <v>91</v>
      </c>
      <c r="C2882" t="str">
        <f t="shared" ca="1" si="545"/>
        <v>'WINDOWS-NCH-A-OCMA-M3-01-0'!B90</v>
      </c>
      <c r="D2882" s="6" t="str">
        <f t="shared" ca="1" si="546"/>
        <v>L01-ICU-PIC-S094-01</v>
      </c>
      <c r="E2882" t="str">
        <f t="shared" ca="1" si="547"/>
        <v>Family Type: 975w x 3050h, Family: Window External Type 1 - Recessed</v>
      </c>
      <c r="F2882" t="str">
        <f t="shared" ca="1" si="548"/>
        <v>Vector(X = 0.977, Y = 0.212, Z = 0.000, Length = 1.000)</v>
      </c>
      <c r="G2882">
        <f t="shared" ca="1" si="549"/>
        <v>1</v>
      </c>
      <c r="H2882">
        <f t="shared" ca="1" si="550"/>
        <v>0.2</v>
      </c>
      <c r="I2882">
        <f t="shared" ca="1" si="551"/>
        <v>0</v>
      </c>
      <c r="J2882" s="8">
        <f t="shared" ca="1" si="552"/>
        <v>11.309932474020215</v>
      </c>
      <c r="K2882" s="9" t="str">
        <f t="shared" ca="1" si="553"/>
        <v>E</v>
      </c>
      <c r="L2882">
        <f ca="1">+_xlfn.IFNA(VLOOKUP(M2882,BespokeWindowsAreas!$B$2:$E$1999,4,FALSE),VLOOKUP(E2882,WindowTypeArea!$B$2:$C$113,2,FALSE))</f>
        <v>2.9737499999999999</v>
      </c>
      <c r="M2882">
        <f t="shared" ca="1" si="556"/>
        <v>5507976</v>
      </c>
    </row>
    <row r="2883" spans="1:13" x14ac:dyDescent="0.25">
      <c r="A2883">
        <f t="shared" ca="1" si="554"/>
        <v>15</v>
      </c>
      <c r="B2883">
        <f t="shared" ca="1" si="555"/>
        <v>92</v>
      </c>
      <c r="C2883" t="str">
        <f t="shared" ca="1" si="545"/>
        <v>'WINDOWS-NCH-A-OCMA-M3-01-0'!B91</v>
      </c>
      <c r="D2883" s="6" t="str">
        <f t="shared" ca="1" si="546"/>
        <v>L01-ICU-PIC-S094-01</v>
      </c>
      <c r="E2883" t="str">
        <f t="shared" ca="1" si="547"/>
        <v>Family Type: 975w x 3050h, Family: Window External Type 1 - Recessed</v>
      </c>
      <c r="F2883" t="str">
        <f t="shared" ca="1" si="548"/>
        <v>Vector(X = 0.977, Y = 0.212, Z = 0.000, Length = 1.000)</v>
      </c>
      <c r="G2883">
        <f t="shared" ca="1" si="549"/>
        <v>1</v>
      </c>
      <c r="H2883">
        <f t="shared" ca="1" si="550"/>
        <v>0.2</v>
      </c>
      <c r="I2883">
        <f t="shared" ca="1" si="551"/>
        <v>0</v>
      </c>
      <c r="J2883" s="8">
        <f t="shared" ca="1" si="552"/>
        <v>11.309932474020215</v>
      </c>
      <c r="K2883" s="9" t="str">
        <f t="shared" ca="1" si="553"/>
        <v>E</v>
      </c>
      <c r="L2883">
        <f ca="1">+_xlfn.IFNA(VLOOKUP(M2883,BespokeWindowsAreas!$B$2:$E$1999,4,FALSE),VLOOKUP(E2883,WindowTypeArea!$B$2:$C$113,2,FALSE))</f>
        <v>2.9737499999999999</v>
      </c>
      <c r="M2883">
        <f t="shared" ca="1" si="556"/>
        <v>5508033</v>
      </c>
    </row>
    <row r="2884" spans="1:13" x14ac:dyDescent="0.25">
      <c r="A2884">
        <f t="shared" ca="1" si="554"/>
        <v>15</v>
      </c>
      <c r="B2884">
        <f t="shared" ca="1" si="555"/>
        <v>93</v>
      </c>
      <c r="C2884" t="str">
        <f t="shared" ca="1" si="545"/>
        <v>'WINDOWS-NCH-A-OCMA-M3-01-0'!B92</v>
      </c>
      <c r="D2884" s="6" t="str">
        <f t="shared" ca="1" si="546"/>
        <v>L01-ICU-PIC-S094-01</v>
      </c>
      <c r="E2884" t="str">
        <f t="shared" ca="1" si="547"/>
        <v>Family Type: 1950w x 3050h, Family: Window External Type 1 - Recessed</v>
      </c>
      <c r="F2884" t="str">
        <f t="shared" ca="1" si="548"/>
        <v>Vector(X = 0.958, Y = 0.288, Z = 0.000, Length = 1.000)</v>
      </c>
      <c r="G2884">
        <f t="shared" ca="1" si="549"/>
        <v>1</v>
      </c>
      <c r="H2884">
        <f t="shared" ca="1" si="550"/>
        <v>0.3</v>
      </c>
      <c r="I2884">
        <f t="shared" ca="1" si="551"/>
        <v>0</v>
      </c>
      <c r="J2884" s="8">
        <f t="shared" ca="1" si="552"/>
        <v>16.699244233993621</v>
      </c>
      <c r="K2884" s="9" t="str">
        <f t="shared" ca="1" si="553"/>
        <v>E</v>
      </c>
      <c r="L2884">
        <f ca="1">+_xlfn.IFNA(VLOOKUP(M2884,BespokeWindowsAreas!$B$2:$E$1999,4,FALSE),VLOOKUP(E2884,WindowTypeArea!$B$2:$C$113,2,FALSE))</f>
        <v>5.9474999999999998</v>
      </c>
      <c r="M2884">
        <f t="shared" ca="1" si="556"/>
        <v>5508045</v>
      </c>
    </row>
    <row r="2885" spans="1:13" x14ac:dyDescent="0.25">
      <c r="A2885">
        <f t="shared" ca="1" si="554"/>
        <v>15</v>
      </c>
      <c r="B2885">
        <f t="shared" ca="1" si="555"/>
        <v>94</v>
      </c>
      <c r="C2885" t="str">
        <f t="shared" ca="1" si="545"/>
        <v>'WINDOWS-NCH-A-OCMA-M3-01-0'!B93</v>
      </c>
      <c r="D2885" s="6" t="str">
        <f t="shared" ca="1" si="546"/>
        <v>L01-ICU-PIC-U0090-01</v>
      </c>
      <c r="E2885" t="str">
        <f t="shared" ca="1" si="547"/>
        <v>L01-ICU-PIC-U0090-01</v>
      </c>
      <c r="F2885">
        <f t="shared" ca="1" si="548"/>
        <v>1865096</v>
      </c>
      <c r="G2885">
        <f t="shared" ca="1" si="549"/>
        <v>0</v>
      </c>
      <c r="H2885">
        <f t="shared" ca="1" si="550"/>
        <v>0</v>
      </c>
      <c r="I2885">
        <f t="shared" ca="1" si="551"/>
        <v>0</v>
      </c>
      <c r="J2885" s="8" t="e">
        <f t="shared" ca="1" si="552"/>
        <v>#DIV/0!</v>
      </c>
      <c r="K2885" s="9" t="e">
        <f t="shared" ca="1" si="553"/>
        <v>#DIV/0!</v>
      </c>
      <c r="L2885" t="e">
        <f ca="1">+_xlfn.IFNA(VLOOKUP(M2885,BespokeWindowsAreas!$B$2:$E$1999,4,FALSE),VLOOKUP(E2885,WindowTypeArea!$B$2:$C$113,2,FALSE))</f>
        <v>#N/A</v>
      </c>
      <c r="M2885">
        <f t="shared" ca="1" si="556"/>
        <v>0</v>
      </c>
    </row>
    <row r="2886" spans="1:13" x14ac:dyDescent="0.25">
      <c r="A2886">
        <f t="shared" ca="1" si="554"/>
        <v>15</v>
      </c>
      <c r="B2886">
        <f t="shared" ca="1" si="555"/>
        <v>95</v>
      </c>
      <c r="C2886" t="str">
        <f t="shared" ca="1" si="545"/>
        <v>'WINDOWS-NCH-A-OCMA-M3-01-0'!B94</v>
      </c>
      <c r="D2886" s="6" t="str">
        <f t="shared" ca="1" si="546"/>
        <v>L01-ICU-PIC-U0090-01</v>
      </c>
      <c r="E2886" t="str">
        <f t="shared" ca="1" si="547"/>
        <v>Family Type: 650w x 3050h, Family: Window Internal Type 1 - Flush</v>
      </c>
      <c r="F2886" t="str">
        <f t="shared" ca="1" si="548"/>
        <v>Vector(X = 0.212, Y = -0.977, Z = 0.000, Length = 1.000)</v>
      </c>
      <c r="G2886">
        <f t="shared" ca="1" si="549"/>
        <v>0.2</v>
      </c>
      <c r="H2886">
        <f t="shared" ca="1" si="550"/>
        <v>-1</v>
      </c>
      <c r="I2886">
        <f t="shared" ca="1" si="551"/>
        <v>0</v>
      </c>
      <c r="J2886" s="8">
        <f t="shared" ca="1" si="552"/>
        <v>-78.690067525979785</v>
      </c>
      <c r="K2886" s="9" t="str">
        <f t="shared" ca="1" si="553"/>
        <v>S</v>
      </c>
      <c r="L2886">
        <f ca="1">+_xlfn.IFNA(VLOOKUP(M2886,BespokeWindowsAreas!$B$2:$E$1999,4,FALSE),VLOOKUP(E2886,WindowTypeArea!$B$2:$C$113,2,FALSE))</f>
        <v>1.9824999999999999</v>
      </c>
      <c r="M2886">
        <f t="shared" ca="1" si="556"/>
        <v>6643439</v>
      </c>
    </row>
    <row r="2887" spans="1:13" x14ac:dyDescent="0.25">
      <c r="A2887">
        <f t="shared" ca="1" si="554"/>
        <v>15</v>
      </c>
      <c r="B2887">
        <f t="shared" ca="1" si="555"/>
        <v>96</v>
      </c>
      <c r="C2887" t="str">
        <f t="shared" ca="1" si="545"/>
        <v>'WINDOWS-NCH-A-OCMA-M3-01-0'!B95</v>
      </c>
      <c r="D2887" s="6" t="str">
        <f t="shared" ca="1" si="546"/>
        <v>L01-ICU-PIC-U0090-01</v>
      </c>
      <c r="E2887" t="str">
        <f t="shared" ca="1" si="547"/>
        <v>Family Type: 975w x 3050h, Family: Window Internal Type 1 - Flush</v>
      </c>
      <c r="F2887" t="str">
        <f t="shared" ca="1" si="548"/>
        <v>Vector(X = 0.212, Y = -0.977, Z = 0.000, Length = 1.000)</v>
      </c>
      <c r="G2887">
        <f t="shared" ca="1" si="549"/>
        <v>0.2</v>
      </c>
      <c r="H2887">
        <f t="shared" ca="1" si="550"/>
        <v>-1</v>
      </c>
      <c r="I2887">
        <f t="shared" ca="1" si="551"/>
        <v>0</v>
      </c>
      <c r="J2887" s="8">
        <f t="shared" ca="1" si="552"/>
        <v>-78.690067525979785</v>
      </c>
      <c r="K2887" s="9" t="str">
        <f t="shared" ca="1" si="553"/>
        <v>S</v>
      </c>
      <c r="L2887">
        <f ca="1">+_xlfn.IFNA(VLOOKUP(M2887,BespokeWindowsAreas!$B$2:$E$1999,4,FALSE),VLOOKUP(E2887,WindowTypeArea!$B$2:$C$113,2,FALSE))</f>
        <v>2.9737499999999999</v>
      </c>
      <c r="M2887">
        <f t="shared" ca="1" si="556"/>
        <v>6643547</v>
      </c>
    </row>
    <row r="2888" spans="1:13" x14ac:dyDescent="0.25">
      <c r="A2888">
        <f t="shared" ca="1" si="554"/>
        <v>15</v>
      </c>
      <c r="B2888">
        <f t="shared" ca="1" si="555"/>
        <v>97</v>
      </c>
      <c r="C2888" t="str">
        <f t="shared" ca="1" si="545"/>
        <v>'WINDOWS-NCH-A-OCMA-M3-01-0'!B96</v>
      </c>
      <c r="D2888" s="6" t="str">
        <f t="shared" ca="1" si="546"/>
        <v>L01-ICU-PIC-U0090-01</v>
      </c>
      <c r="E2888" t="str">
        <f t="shared" ca="1" si="547"/>
        <v>Family Type: 1500w x 3050h, Family: Window Internal Type 1 - Flush</v>
      </c>
      <c r="F2888" t="str">
        <f t="shared" ca="1" si="548"/>
        <v>Vector(X = 0.212, Y = -0.977, Z = 0.000, Length = 1.000)</v>
      </c>
      <c r="G2888">
        <f t="shared" ca="1" si="549"/>
        <v>0.2</v>
      </c>
      <c r="H2888">
        <f t="shared" ca="1" si="550"/>
        <v>-1</v>
      </c>
      <c r="I2888">
        <f t="shared" ca="1" si="551"/>
        <v>0</v>
      </c>
      <c r="J2888" s="8">
        <f t="shared" ca="1" si="552"/>
        <v>-78.690067525979785</v>
      </c>
      <c r="K2888" s="9" t="str">
        <f t="shared" ca="1" si="553"/>
        <v>S</v>
      </c>
      <c r="L2888">
        <f ca="1">+_xlfn.IFNA(VLOOKUP(M2888,BespokeWindowsAreas!$B$2:$E$1999,4,FALSE),VLOOKUP(E2888,WindowTypeArea!$B$2:$C$113,2,FALSE))</f>
        <v>4.5749999999999993</v>
      </c>
      <c r="M2888">
        <f t="shared" ca="1" si="556"/>
        <v>6643602</v>
      </c>
    </row>
    <row r="2889" spans="1:13" x14ac:dyDescent="0.25">
      <c r="A2889">
        <f t="shared" ca="1" si="554"/>
        <v>15</v>
      </c>
      <c r="B2889">
        <f t="shared" ca="1" si="555"/>
        <v>98</v>
      </c>
      <c r="C2889" t="str">
        <f t="shared" ref="C2889:C2952" ca="1" si="557">+"'"&amp;INDIRECT("a"&amp;A2888)&amp;"'!B"&amp;B2888</f>
        <v>'WINDOWS-NCH-A-OCMA-M3-01-0'!B97</v>
      </c>
      <c r="D2889" s="6" t="str">
        <f t="shared" ref="D2889:D2952" ca="1" si="558">+IF(IFERROR(FIND("Family",E2889)&gt;0,FALSE),D2888,E2889)</f>
        <v>L01-ICU-PIC-S087-03</v>
      </c>
      <c r="E2889" t="str">
        <f t="shared" ref="E2889:E2952" ca="1" si="559">+OFFSET(INDIRECT(C2889),0,0)</f>
        <v>L01-ICU-PIC-S087-03</v>
      </c>
      <c r="F2889">
        <f t="shared" ref="F2889:F2952" ca="1" si="560">+OFFSET(INDIRECT(C2889),0,1)</f>
        <v>1865115</v>
      </c>
      <c r="G2889">
        <f t="shared" ref="G2889:G2952" ca="1" si="561">+OFFSET(INDIRECT(C2889),0,2)</f>
        <v>0</v>
      </c>
      <c r="H2889">
        <f t="shared" ref="H2889:H2952" ca="1" si="562">+OFFSET(INDIRECT(C2889),0,3)</f>
        <v>0</v>
      </c>
      <c r="I2889">
        <f t="shared" ref="I2889:I2952" ca="1" si="563">+OFFSET(INDIRECT(C2889),0,4)</f>
        <v>0</v>
      </c>
      <c r="J2889" s="8" t="e">
        <f t="shared" ref="J2889:J2952" ca="1" si="564">+DEGREES(ATAN2(G2889,H2889))</f>
        <v>#DIV/0!</v>
      </c>
      <c r="K2889" s="9" t="e">
        <f t="shared" ref="K2889:K2952" ca="1" si="565">VLOOKUP(J2889,$O$20:$P$36,2,-1)</f>
        <v>#DIV/0!</v>
      </c>
      <c r="L2889" t="e">
        <f ca="1">+_xlfn.IFNA(VLOOKUP(M2889,BespokeWindowsAreas!$B$2:$E$1999,4,FALSE),VLOOKUP(E2889,WindowTypeArea!$B$2:$C$113,2,FALSE))</f>
        <v>#N/A</v>
      </c>
      <c r="M2889">
        <f t="shared" ca="1" si="556"/>
        <v>0</v>
      </c>
    </row>
    <row r="2890" spans="1:13" x14ac:dyDescent="0.25">
      <c r="A2890">
        <f t="shared" ca="1" si="554"/>
        <v>15</v>
      </c>
      <c r="B2890">
        <f t="shared" ca="1" si="555"/>
        <v>99</v>
      </c>
      <c r="C2890" t="str">
        <f t="shared" ca="1" si="557"/>
        <v>'WINDOWS-NCH-A-OCMA-M3-01-0'!B98</v>
      </c>
      <c r="D2890" s="6" t="str">
        <f t="shared" ca="1" si="558"/>
        <v>L01-ICU-PIC-S087-03</v>
      </c>
      <c r="E2890" t="str">
        <f t="shared" ca="1" si="559"/>
        <v>Family Type: 1950w x 3050h, Family: Window Internal Type 1 - Flush</v>
      </c>
      <c r="F2890" t="str">
        <f t="shared" ca="1" si="560"/>
        <v>Vector(X = -0.872, Y = -0.489, Z = 0.000, Length = 1.000)</v>
      </c>
      <c r="G2890">
        <f t="shared" ca="1" si="561"/>
        <v>-0.9</v>
      </c>
      <c r="H2890">
        <f t="shared" ca="1" si="562"/>
        <v>-0.5</v>
      </c>
      <c r="I2890">
        <f t="shared" ca="1" si="563"/>
        <v>0</v>
      </c>
      <c r="J2890" s="8">
        <f t="shared" ca="1" si="564"/>
        <v>-150.94539590092285</v>
      </c>
      <c r="K2890" s="9" t="str">
        <f t="shared" ca="1" si="565"/>
        <v>W</v>
      </c>
      <c r="L2890">
        <f ca="1">+_xlfn.IFNA(VLOOKUP(M2890,BespokeWindowsAreas!$B$2:$E$1999,4,FALSE),VLOOKUP(E2890,WindowTypeArea!$B$2:$C$113,2,FALSE))</f>
        <v>5.9474999999999998</v>
      </c>
      <c r="M2890">
        <f t="shared" ca="1" si="556"/>
        <v>6102486</v>
      </c>
    </row>
    <row r="2891" spans="1:13" x14ac:dyDescent="0.25">
      <c r="A2891">
        <f t="shared" ca="1" si="554"/>
        <v>15</v>
      </c>
      <c r="B2891">
        <f t="shared" ca="1" si="555"/>
        <v>100</v>
      </c>
      <c r="C2891" t="str">
        <f t="shared" ca="1" si="557"/>
        <v>'WINDOWS-NCH-A-OCMA-M3-01-0'!B99</v>
      </c>
      <c r="D2891" s="6" t="str">
        <f t="shared" ca="1" si="558"/>
        <v>L01-ICU-PIC-S087-05</v>
      </c>
      <c r="E2891" t="str">
        <f t="shared" ca="1" si="559"/>
        <v>L01-ICU-PIC-S087-05</v>
      </c>
      <c r="F2891">
        <f t="shared" ca="1" si="560"/>
        <v>1865117</v>
      </c>
      <c r="G2891">
        <f t="shared" ca="1" si="561"/>
        <v>0</v>
      </c>
      <c r="H2891">
        <f t="shared" ca="1" si="562"/>
        <v>0</v>
      </c>
      <c r="I2891">
        <f t="shared" ca="1" si="563"/>
        <v>0</v>
      </c>
      <c r="J2891" s="8" t="e">
        <f t="shared" ca="1" si="564"/>
        <v>#DIV/0!</v>
      </c>
      <c r="K2891" s="9" t="e">
        <f t="shared" ca="1" si="565"/>
        <v>#DIV/0!</v>
      </c>
      <c r="L2891" t="e">
        <f ca="1">+_xlfn.IFNA(VLOOKUP(M2891,BespokeWindowsAreas!$B$2:$E$1999,4,FALSE),VLOOKUP(E2891,WindowTypeArea!$B$2:$C$113,2,FALSE))</f>
        <v>#N/A</v>
      </c>
      <c r="M2891">
        <f t="shared" ca="1" si="556"/>
        <v>0</v>
      </c>
    </row>
    <row r="2892" spans="1:13" x14ac:dyDescent="0.25">
      <c r="A2892">
        <f t="shared" ca="1" si="554"/>
        <v>15</v>
      </c>
      <c r="B2892">
        <f t="shared" ca="1" si="555"/>
        <v>101</v>
      </c>
      <c r="C2892" t="str">
        <f t="shared" ca="1" si="557"/>
        <v>'WINDOWS-NCH-A-OCMA-M3-01-0'!B100</v>
      </c>
      <c r="D2892" s="6" t="str">
        <f t="shared" ca="1" si="558"/>
        <v>L01-ICU-PIC-S087-05</v>
      </c>
      <c r="E2892" t="str">
        <f t="shared" ca="1" si="559"/>
        <v>Family Type: 975w x 3050h, Family: Window External Type 1 - Recessed</v>
      </c>
      <c r="F2892" t="str">
        <f t="shared" ca="1" si="560"/>
        <v>Vector(X = 0.873, Y = 0.489, Z = 0.000, Length = 1.000)</v>
      </c>
      <c r="G2892">
        <f t="shared" ca="1" si="561"/>
        <v>0.9</v>
      </c>
      <c r="H2892">
        <f t="shared" ca="1" si="562"/>
        <v>0.5</v>
      </c>
      <c r="I2892">
        <f t="shared" ca="1" si="563"/>
        <v>0</v>
      </c>
      <c r="J2892" s="8">
        <f t="shared" ca="1" si="564"/>
        <v>29.054604099077146</v>
      </c>
      <c r="K2892" s="9" t="str">
        <f t="shared" ca="1" si="565"/>
        <v>E</v>
      </c>
      <c r="L2892">
        <f ca="1">+_xlfn.IFNA(VLOOKUP(M2892,BespokeWindowsAreas!$B$2:$E$1999,4,FALSE),VLOOKUP(E2892,WindowTypeArea!$B$2:$C$113,2,FALSE))</f>
        <v>2.9737499999999999</v>
      </c>
      <c r="M2892">
        <f t="shared" ca="1" si="556"/>
        <v>5510288</v>
      </c>
    </row>
    <row r="2893" spans="1:13" x14ac:dyDescent="0.25">
      <c r="A2893">
        <f t="shared" ca="1" si="554"/>
        <v>15</v>
      </c>
      <c r="B2893">
        <f t="shared" ca="1" si="555"/>
        <v>102</v>
      </c>
      <c r="C2893" t="str">
        <f t="shared" ca="1" si="557"/>
        <v>'WINDOWS-NCH-A-OCMA-M3-01-0'!B101</v>
      </c>
      <c r="D2893" s="6" t="str">
        <f t="shared" ca="1" si="558"/>
        <v>L01-ICU-PIC-S087-05</v>
      </c>
      <c r="E2893" t="str">
        <f t="shared" ca="1" si="559"/>
        <v>Family Type: 975w x 3050h, Family: Window External Type 1 - Recessed</v>
      </c>
      <c r="F2893" t="str">
        <f t="shared" ca="1" si="560"/>
        <v>Vector(X = 0.873, Y = 0.489, Z = 0.000, Length = 1.000)</v>
      </c>
      <c r="G2893">
        <f t="shared" ca="1" si="561"/>
        <v>0.9</v>
      </c>
      <c r="H2893">
        <f t="shared" ca="1" si="562"/>
        <v>0.5</v>
      </c>
      <c r="I2893">
        <f t="shared" ca="1" si="563"/>
        <v>0</v>
      </c>
      <c r="J2893" s="8">
        <f t="shared" ca="1" si="564"/>
        <v>29.054604099077146</v>
      </c>
      <c r="K2893" s="9" t="str">
        <f t="shared" ca="1" si="565"/>
        <v>E</v>
      </c>
      <c r="L2893">
        <f ca="1">+_xlfn.IFNA(VLOOKUP(M2893,BespokeWindowsAreas!$B$2:$E$1999,4,FALSE),VLOOKUP(E2893,WindowTypeArea!$B$2:$C$113,2,FALSE))</f>
        <v>2.9737499999999999</v>
      </c>
      <c r="M2893">
        <f t="shared" ca="1" si="556"/>
        <v>5510371</v>
      </c>
    </row>
    <row r="2894" spans="1:13" x14ac:dyDescent="0.25">
      <c r="A2894">
        <f t="shared" ca="1" si="554"/>
        <v>15</v>
      </c>
      <c r="B2894">
        <f t="shared" ca="1" si="555"/>
        <v>103</v>
      </c>
      <c r="C2894" t="str">
        <f t="shared" ca="1" si="557"/>
        <v>'WINDOWS-NCH-A-OCMA-M3-01-0'!B102</v>
      </c>
      <c r="D2894" s="6" t="str">
        <f t="shared" ca="1" si="558"/>
        <v>L01-ICU-PIC-S087-06</v>
      </c>
      <c r="E2894" t="str">
        <f t="shared" ca="1" si="559"/>
        <v>L01-ICU-PIC-S087-06</v>
      </c>
      <c r="F2894">
        <f t="shared" ca="1" si="560"/>
        <v>1865118</v>
      </c>
      <c r="G2894">
        <f t="shared" ca="1" si="561"/>
        <v>0</v>
      </c>
      <c r="H2894">
        <f t="shared" ca="1" si="562"/>
        <v>0</v>
      </c>
      <c r="I2894">
        <f t="shared" ca="1" si="563"/>
        <v>0</v>
      </c>
      <c r="J2894" s="8" t="e">
        <f t="shared" ca="1" si="564"/>
        <v>#DIV/0!</v>
      </c>
      <c r="K2894" s="9" t="e">
        <f t="shared" ca="1" si="565"/>
        <v>#DIV/0!</v>
      </c>
      <c r="L2894" t="e">
        <f ca="1">+_xlfn.IFNA(VLOOKUP(M2894,BespokeWindowsAreas!$B$2:$E$1999,4,FALSE),VLOOKUP(E2894,WindowTypeArea!$B$2:$C$113,2,FALSE))</f>
        <v>#N/A</v>
      </c>
      <c r="M2894">
        <f t="shared" ca="1" si="556"/>
        <v>0</v>
      </c>
    </row>
    <row r="2895" spans="1:13" x14ac:dyDescent="0.25">
      <c r="A2895">
        <f t="shared" ca="1" si="554"/>
        <v>15</v>
      </c>
      <c r="B2895">
        <f t="shared" ca="1" si="555"/>
        <v>104</v>
      </c>
      <c r="C2895" t="str">
        <f t="shared" ca="1" si="557"/>
        <v>'WINDOWS-NCH-A-OCMA-M3-01-0'!B103</v>
      </c>
      <c r="D2895" s="6" t="str">
        <f t="shared" ca="1" si="558"/>
        <v>L01-ICU-PIC-S087-06</v>
      </c>
      <c r="E2895" t="str">
        <f t="shared" ca="1" si="559"/>
        <v>Family Type: 975w x 3050h, Family: Window External Type 1 - Recessed</v>
      </c>
      <c r="F2895" t="str">
        <f t="shared" ca="1" si="560"/>
        <v>Vector(X = 0.873, Y = 0.489, Z = 0.000, Length = 1.000)</v>
      </c>
      <c r="G2895">
        <f t="shared" ca="1" si="561"/>
        <v>0.9</v>
      </c>
      <c r="H2895">
        <f t="shared" ca="1" si="562"/>
        <v>0.5</v>
      </c>
      <c r="I2895">
        <f t="shared" ca="1" si="563"/>
        <v>0</v>
      </c>
      <c r="J2895" s="8">
        <f t="shared" ca="1" si="564"/>
        <v>29.054604099077146</v>
      </c>
      <c r="K2895" s="9" t="str">
        <f t="shared" ca="1" si="565"/>
        <v>E</v>
      </c>
      <c r="L2895">
        <f ca="1">+_xlfn.IFNA(VLOOKUP(M2895,BespokeWindowsAreas!$B$2:$E$1999,4,FALSE),VLOOKUP(E2895,WindowTypeArea!$B$2:$C$113,2,FALSE))</f>
        <v>2.9737499999999999</v>
      </c>
      <c r="M2895">
        <f t="shared" ca="1" si="556"/>
        <v>5510420</v>
      </c>
    </row>
    <row r="2896" spans="1:13" x14ac:dyDescent="0.25">
      <c r="A2896">
        <f t="shared" ca="1" si="554"/>
        <v>15</v>
      </c>
      <c r="B2896">
        <f t="shared" ca="1" si="555"/>
        <v>105</v>
      </c>
      <c r="C2896" t="str">
        <f t="shared" ca="1" si="557"/>
        <v>'WINDOWS-NCH-A-OCMA-M3-01-0'!B104</v>
      </c>
      <c r="D2896" s="6" t="str">
        <f t="shared" ca="1" si="558"/>
        <v>L01-ICU-PIC-S087-06</v>
      </c>
      <c r="E2896" t="str">
        <f t="shared" ca="1" si="559"/>
        <v>Family Type: 1950w x 3050h, Family: Window External Type 1 - Recessed</v>
      </c>
      <c r="F2896" t="str">
        <f t="shared" ca="1" si="560"/>
        <v>Vector(X = 0.873, Y = 0.489, Z = 0.000, Length = 1.000)</v>
      </c>
      <c r="G2896">
        <f t="shared" ca="1" si="561"/>
        <v>0.9</v>
      </c>
      <c r="H2896">
        <f t="shared" ca="1" si="562"/>
        <v>0.5</v>
      </c>
      <c r="I2896">
        <f t="shared" ca="1" si="563"/>
        <v>0</v>
      </c>
      <c r="J2896" s="8">
        <f t="shared" ca="1" si="564"/>
        <v>29.054604099077146</v>
      </c>
      <c r="K2896" s="9" t="str">
        <f t="shared" ca="1" si="565"/>
        <v>E</v>
      </c>
      <c r="L2896">
        <f ca="1">+_xlfn.IFNA(VLOOKUP(M2896,BespokeWindowsAreas!$B$2:$E$1999,4,FALSE),VLOOKUP(E2896,WindowTypeArea!$B$2:$C$113,2,FALSE))</f>
        <v>5.9474999999999998</v>
      </c>
      <c r="M2896">
        <f t="shared" ca="1" si="556"/>
        <v>5510470</v>
      </c>
    </row>
    <row r="2897" spans="1:13" x14ac:dyDescent="0.25">
      <c r="A2897">
        <f t="shared" ca="1" si="554"/>
        <v>15</v>
      </c>
      <c r="B2897">
        <f t="shared" ca="1" si="555"/>
        <v>106</v>
      </c>
      <c r="C2897" t="str">
        <f t="shared" ca="1" si="557"/>
        <v>'WINDOWS-NCH-A-OCMA-M3-01-0'!B105</v>
      </c>
      <c r="D2897" s="6" t="str">
        <f t="shared" ca="1" si="558"/>
        <v>L01-ICU-PIC-S087-07</v>
      </c>
      <c r="E2897" t="str">
        <f t="shared" ca="1" si="559"/>
        <v>L01-ICU-PIC-S087-07</v>
      </c>
      <c r="F2897">
        <f t="shared" ca="1" si="560"/>
        <v>1865119</v>
      </c>
      <c r="G2897">
        <f t="shared" ca="1" si="561"/>
        <v>0</v>
      </c>
      <c r="H2897">
        <f t="shared" ca="1" si="562"/>
        <v>0</v>
      </c>
      <c r="I2897">
        <f t="shared" ca="1" si="563"/>
        <v>0</v>
      </c>
      <c r="J2897" s="8" t="e">
        <f t="shared" ca="1" si="564"/>
        <v>#DIV/0!</v>
      </c>
      <c r="K2897" s="9" t="e">
        <f t="shared" ca="1" si="565"/>
        <v>#DIV/0!</v>
      </c>
      <c r="L2897" t="e">
        <f ca="1">+_xlfn.IFNA(VLOOKUP(M2897,BespokeWindowsAreas!$B$2:$E$1999,4,FALSE),VLOOKUP(E2897,WindowTypeArea!$B$2:$C$113,2,FALSE))</f>
        <v>#N/A</v>
      </c>
      <c r="M2897">
        <f t="shared" ca="1" si="556"/>
        <v>0</v>
      </c>
    </row>
    <row r="2898" spans="1:13" x14ac:dyDescent="0.25">
      <c r="A2898">
        <f t="shared" ca="1" si="554"/>
        <v>15</v>
      </c>
      <c r="B2898">
        <f t="shared" ca="1" si="555"/>
        <v>107</v>
      </c>
      <c r="C2898" t="str">
        <f t="shared" ca="1" si="557"/>
        <v>'WINDOWS-NCH-A-OCMA-M3-01-0'!B106</v>
      </c>
      <c r="D2898" s="6" t="str">
        <f t="shared" ca="1" si="558"/>
        <v>L01-ICU-PIC-S087-07</v>
      </c>
      <c r="E2898" t="str">
        <f t="shared" ca="1" si="559"/>
        <v>Family Type: 1500w x 3050h, Family: Window External Type 1 - Recessed</v>
      </c>
      <c r="F2898" t="str">
        <f t="shared" ca="1" si="560"/>
        <v>Vector(X = 0.873, Y = 0.489, Z = 0.000, Length = 1.000)</v>
      </c>
      <c r="G2898">
        <f t="shared" ca="1" si="561"/>
        <v>0.9</v>
      </c>
      <c r="H2898">
        <f t="shared" ca="1" si="562"/>
        <v>0.5</v>
      </c>
      <c r="I2898">
        <f t="shared" ca="1" si="563"/>
        <v>0</v>
      </c>
      <c r="J2898" s="8">
        <f t="shared" ca="1" si="564"/>
        <v>29.054604099077146</v>
      </c>
      <c r="K2898" s="9" t="str">
        <f t="shared" ca="1" si="565"/>
        <v>E</v>
      </c>
      <c r="L2898">
        <f ca="1">+_xlfn.IFNA(VLOOKUP(M2898,BespokeWindowsAreas!$B$2:$E$1999,4,FALSE),VLOOKUP(E2898,WindowTypeArea!$B$2:$C$113,2,FALSE))</f>
        <v>4.5750000000000002</v>
      </c>
      <c r="M2898">
        <f t="shared" ca="1" si="556"/>
        <v>5510514</v>
      </c>
    </row>
    <row r="2899" spans="1:13" x14ac:dyDescent="0.25">
      <c r="A2899">
        <f t="shared" ca="1" si="554"/>
        <v>15</v>
      </c>
      <c r="B2899">
        <f t="shared" ca="1" si="555"/>
        <v>108</v>
      </c>
      <c r="C2899" t="str">
        <f t="shared" ca="1" si="557"/>
        <v>'WINDOWS-NCH-A-OCMA-M3-01-0'!B107</v>
      </c>
      <c r="D2899" s="6" t="str">
        <f t="shared" ca="1" si="558"/>
        <v>L01-ICU-PIC-S087-08</v>
      </c>
      <c r="E2899" t="str">
        <f t="shared" ca="1" si="559"/>
        <v>L01-ICU-PIC-S087-08</v>
      </c>
      <c r="F2899">
        <f t="shared" ca="1" si="560"/>
        <v>1865120</v>
      </c>
      <c r="G2899">
        <f t="shared" ca="1" si="561"/>
        <v>0</v>
      </c>
      <c r="H2899">
        <f t="shared" ca="1" si="562"/>
        <v>0</v>
      </c>
      <c r="I2899">
        <f t="shared" ca="1" si="563"/>
        <v>0</v>
      </c>
      <c r="J2899" s="8" t="e">
        <f t="shared" ca="1" si="564"/>
        <v>#DIV/0!</v>
      </c>
      <c r="K2899" s="9" t="e">
        <f t="shared" ca="1" si="565"/>
        <v>#DIV/0!</v>
      </c>
      <c r="L2899" t="e">
        <f ca="1">+_xlfn.IFNA(VLOOKUP(M2899,BespokeWindowsAreas!$B$2:$E$1999,4,FALSE),VLOOKUP(E2899,WindowTypeArea!$B$2:$C$113,2,FALSE))</f>
        <v>#N/A</v>
      </c>
      <c r="M2899">
        <f t="shared" ca="1" si="556"/>
        <v>0</v>
      </c>
    </row>
    <row r="2900" spans="1:13" x14ac:dyDescent="0.25">
      <c r="A2900">
        <f t="shared" ref="A2900:A2963" ca="1" si="566">+IF(B2899&lt;=VLOOKUP(MID(C2900,2,26),TABS,2,FALSE),A2899,+A2899+1)</f>
        <v>15</v>
      </c>
      <c r="B2900">
        <f t="shared" ref="B2900:B2963" ca="1" si="567">+IF(B2899&lt;=VLOOKUP(MID(C2900,2,26),TABS,2,FALSE),B2899+1,1)</f>
        <v>109</v>
      </c>
      <c r="C2900" t="str">
        <f t="shared" ca="1" si="557"/>
        <v>'WINDOWS-NCH-A-OCMA-M3-01-0'!B108</v>
      </c>
      <c r="D2900" s="6" t="str">
        <f t="shared" ca="1" si="558"/>
        <v>L01-ICU-PIC-S087-08</v>
      </c>
      <c r="E2900" t="str">
        <f t="shared" ca="1" si="559"/>
        <v>Family Type: 975w x 3050h, Family: Window External Type 1 - Recessed</v>
      </c>
      <c r="F2900" t="str">
        <f t="shared" ca="1" si="560"/>
        <v>Vector(X = 0.873, Y = 0.489, Z = 0.000, Length = 1.000)</v>
      </c>
      <c r="G2900">
        <f t="shared" ca="1" si="561"/>
        <v>0.9</v>
      </c>
      <c r="H2900">
        <f t="shared" ca="1" si="562"/>
        <v>0.5</v>
      </c>
      <c r="I2900">
        <f t="shared" ca="1" si="563"/>
        <v>0</v>
      </c>
      <c r="J2900" s="8">
        <f t="shared" ca="1" si="564"/>
        <v>29.054604099077146</v>
      </c>
      <c r="K2900" s="9" t="str">
        <f t="shared" ca="1" si="565"/>
        <v>E</v>
      </c>
      <c r="L2900">
        <f ca="1">+_xlfn.IFNA(VLOOKUP(M2900,BespokeWindowsAreas!$B$2:$E$1999,4,FALSE),VLOOKUP(E2900,WindowTypeArea!$B$2:$C$113,2,FALSE))</f>
        <v>2.9737499999999999</v>
      </c>
      <c r="M2900">
        <f t="shared" ca="1" si="556"/>
        <v>5510614</v>
      </c>
    </row>
    <row r="2901" spans="1:13" x14ac:dyDescent="0.25">
      <c r="A2901">
        <f t="shared" ca="1" si="566"/>
        <v>15</v>
      </c>
      <c r="B2901">
        <f t="shared" ca="1" si="567"/>
        <v>110</v>
      </c>
      <c r="C2901" t="str">
        <f t="shared" ca="1" si="557"/>
        <v>'WINDOWS-NCH-A-OCMA-M3-01-0'!B109</v>
      </c>
      <c r="D2901" s="6" t="str">
        <f t="shared" ca="1" si="558"/>
        <v>L01-ICU-PIC-S087-09</v>
      </c>
      <c r="E2901" t="str">
        <f t="shared" ca="1" si="559"/>
        <v>L01-ICU-PIC-S087-09</v>
      </c>
      <c r="F2901">
        <f t="shared" ca="1" si="560"/>
        <v>1865121</v>
      </c>
      <c r="G2901">
        <f t="shared" ca="1" si="561"/>
        <v>0</v>
      </c>
      <c r="H2901">
        <f t="shared" ca="1" si="562"/>
        <v>0</v>
      </c>
      <c r="I2901">
        <f t="shared" ca="1" si="563"/>
        <v>0</v>
      </c>
      <c r="J2901" s="8" t="e">
        <f t="shared" ca="1" si="564"/>
        <v>#DIV/0!</v>
      </c>
      <c r="K2901" s="9" t="e">
        <f t="shared" ca="1" si="565"/>
        <v>#DIV/0!</v>
      </c>
      <c r="L2901" t="e">
        <f ca="1">+_xlfn.IFNA(VLOOKUP(M2901,BespokeWindowsAreas!$B$2:$E$1999,4,FALSE),VLOOKUP(E2901,WindowTypeArea!$B$2:$C$113,2,FALSE))</f>
        <v>#N/A</v>
      </c>
      <c r="M2901">
        <f t="shared" ca="1" si="556"/>
        <v>0</v>
      </c>
    </row>
    <row r="2902" spans="1:13" x14ac:dyDescent="0.25">
      <c r="A2902">
        <f t="shared" ca="1" si="566"/>
        <v>15</v>
      </c>
      <c r="B2902">
        <f t="shared" ca="1" si="567"/>
        <v>111</v>
      </c>
      <c r="C2902" t="str">
        <f t="shared" ca="1" si="557"/>
        <v>'WINDOWS-NCH-A-OCMA-M3-01-0'!B110</v>
      </c>
      <c r="D2902" s="6" t="str">
        <f t="shared" ca="1" si="558"/>
        <v>L01-ICU-PIC-S087-09</v>
      </c>
      <c r="E2902" t="str">
        <f t="shared" ca="1" si="559"/>
        <v>Family Type: 1950w x 3050h, Family: Window External Type 1 - Recessed</v>
      </c>
      <c r="F2902" t="str">
        <f t="shared" ca="1" si="560"/>
        <v>Vector(X = 0.873, Y = 0.489, Z = 0.000, Length = 1.000)</v>
      </c>
      <c r="G2902">
        <f t="shared" ca="1" si="561"/>
        <v>0.9</v>
      </c>
      <c r="H2902">
        <f t="shared" ca="1" si="562"/>
        <v>0.5</v>
      </c>
      <c r="I2902">
        <f t="shared" ca="1" si="563"/>
        <v>0</v>
      </c>
      <c r="J2902" s="8">
        <f t="shared" ca="1" si="564"/>
        <v>29.054604099077146</v>
      </c>
      <c r="K2902" s="9" t="str">
        <f t="shared" ca="1" si="565"/>
        <v>E</v>
      </c>
      <c r="L2902">
        <f ca="1">+_xlfn.IFNA(VLOOKUP(M2902,BespokeWindowsAreas!$B$2:$E$1999,4,FALSE),VLOOKUP(E2902,WindowTypeArea!$B$2:$C$113,2,FALSE))</f>
        <v>5.9474999999999998</v>
      </c>
      <c r="M2902">
        <f t="shared" ref="M2902:M2965" ca="1" si="568">+OFFSET(INDIRECT(C2902),0,5)</f>
        <v>5510712</v>
      </c>
    </row>
    <row r="2903" spans="1:13" x14ac:dyDescent="0.25">
      <c r="A2903">
        <f t="shared" ca="1" si="566"/>
        <v>15</v>
      </c>
      <c r="B2903">
        <f t="shared" ca="1" si="567"/>
        <v>112</v>
      </c>
      <c r="C2903" t="str">
        <f t="shared" ca="1" si="557"/>
        <v>'WINDOWS-NCH-A-OCMA-M3-01-0'!B111</v>
      </c>
      <c r="D2903" s="6" t="str">
        <f t="shared" ca="1" si="558"/>
        <v>L01-ICU-PIC-S087-09</v>
      </c>
      <c r="E2903" t="str">
        <f t="shared" ca="1" si="559"/>
        <v>Family Type: 975w x 3050h, Family: Window External Type 1 - Recessed</v>
      </c>
      <c r="F2903" t="str">
        <f t="shared" ca="1" si="560"/>
        <v>Vector(X = 0.873, Y = 0.489, Z = 0.000, Length = 1.000)</v>
      </c>
      <c r="G2903">
        <f t="shared" ca="1" si="561"/>
        <v>0.9</v>
      </c>
      <c r="H2903">
        <f t="shared" ca="1" si="562"/>
        <v>0.5</v>
      </c>
      <c r="I2903">
        <f t="shared" ca="1" si="563"/>
        <v>0</v>
      </c>
      <c r="J2903" s="8">
        <f t="shared" ca="1" si="564"/>
        <v>29.054604099077146</v>
      </c>
      <c r="K2903" s="9" t="str">
        <f t="shared" ca="1" si="565"/>
        <v>E</v>
      </c>
      <c r="L2903">
        <f ca="1">+_xlfn.IFNA(VLOOKUP(M2903,BespokeWindowsAreas!$B$2:$E$1999,4,FALSE),VLOOKUP(E2903,WindowTypeArea!$B$2:$C$113,2,FALSE))</f>
        <v>2.9737499999999999</v>
      </c>
      <c r="M2903">
        <f t="shared" ca="1" si="568"/>
        <v>5510790</v>
      </c>
    </row>
    <row r="2904" spans="1:13" x14ac:dyDescent="0.25">
      <c r="A2904">
        <f t="shared" ca="1" si="566"/>
        <v>15</v>
      </c>
      <c r="B2904">
        <f t="shared" ca="1" si="567"/>
        <v>113</v>
      </c>
      <c r="C2904" t="str">
        <f t="shared" ca="1" si="557"/>
        <v>'WINDOWS-NCH-A-OCMA-M3-01-0'!B112</v>
      </c>
      <c r="D2904" s="6" t="str">
        <f t="shared" ca="1" si="558"/>
        <v>L01-ICU-PIC-S087-10</v>
      </c>
      <c r="E2904" t="str">
        <f t="shared" ca="1" si="559"/>
        <v>L01-ICU-PIC-S087-10</v>
      </c>
      <c r="F2904">
        <f t="shared" ca="1" si="560"/>
        <v>1865122</v>
      </c>
      <c r="G2904">
        <f t="shared" ca="1" si="561"/>
        <v>0</v>
      </c>
      <c r="H2904">
        <f t="shared" ca="1" si="562"/>
        <v>0</v>
      </c>
      <c r="I2904">
        <f t="shared" ca="1" si="563"/>
        <v>0</v>
      </c>
      <c r="J2904" s="8" t="e">
        <f t="shared" ca="1" si="564"/>
        <v>#DIV/0!</v>
      </c>
      <c r="K2904" s="9" t="e">
        <f t="shared" ca="1" si="565"/>
        <v>#DIV/0!</v>
      </c>
      <c r="L2904" t="e">
        <f ca="1">+_xlfn.IFNA(VLOOKUP(M2904,BespokeWindowsAreas!$B$2:$E$1999,4,FALSE),VLOOKUP(E2904,WindowTypeArea!$B$2:$C$113,2,FALSE))</f>
        <v>#N/A</v>
      </c>
      <c r="M2904">
        <f t="shared" ca="1" si="568"/>
        <v>0</v>
      </c>
    </row>
    <row r="2905" spans="1:13" x14ac:dyDescent="0.25">
      <c r="A2905">
        <f t="shared" ca="1" si="566"/>
        <v>15</v>
      </c>
      <c r="B2905">
        <f t="shared" ca="1" si="567"/>
        <v>114</v>
      </c>
      <c r="C2905" t="str">
        <f t="shared" ca="1" si="557"/>
        <v>'WINDOWS-NCH-A-OCMA-M3-01-0'!B113</v>
      </c>
      <c r="D2905" s="6" t="str">
        <f t="shared" ca="1" si="558"/>
        <v>L01-ICU-PIC-S087-10</v>
      </c>
      <c r="E2905" t="str">
        <f t="shared" ca="1" si="559"/>
        <v>Family Type: 975w x 3050h, Family: Window External Type 1 - Recessed</v>
      </c>
      <c r="F2905" t="str">
        <f t="shared" ca="1" si="560"/>
        <v>Vector(X = 0.873, Y = 0.489, Z = 0.000, Length = 1.000)</v>
      </c>
      <c r="G2905">
        <f t="shared" ca="1" si="561"/>
        <v>0.9</v>
      </c>
      <c r="H2905">
        <f t="shared" ca="1" si="562"/>
        <v>0.5</v>
      </c>
      <c r="I2905">
        <f t="shared" ca="1" si="563"/>
        <v>0</v>
      </c>
      <c r="J2905" s="8">
        <f t="shared" ca="1" si="564"/>
        <v>29.054604099077146</v>
      </c>
      <c r="K2905" s="9" t="str">
        <f t="shared" ca="1" si="565"/>
        <v>E</v>
      </c>
      <c r="L2905">
        <f ca="1">+_xlfn.IFNA(VLOOKUP(M2905,BespokeWindowsAreas!$B$2:$E$1999,4,FALSE),VLOOKUP(E2905,WindowTypeArea!$B$2:$C$113,2,FALSE))</f>
        <v>2.9737499999999999</v>
      </c>
      <c r="M2905">
        <f t="shared" ca="1" si="568"/>
        <v>5510892</v>
      </c>
    </row>
    <row r="2906" spans="1:13" x14ac:dyDescent="0.25">
      <c r="A2906">
        <f t="shared" ca="1" si="566"/>
        <v>15</v>
      </c>
      <c r="B2906">
        <f t="shared" ca="1" si="567"/>
        <v>115</v>
      </c>
      <c r="C2906" t="str">
        <f t="shared" ca="1" si="557"/>
        <v>'WINDOWS-NCH-A-OCMA-M3-01-0'!B114</v>
      </c>
      <c r="D2906" s="6" t="str">
        <f t="shared" ca="1" si="558"/>
        <v>L01-ICU-PIC-S087-10</v>
      </c>
      <c r="E2906" t="str">
        <f t="shared" ca="1" si="559"/>
        <v>Family Type: 1500w x 3050h, Family: Window External Type 1 - Recessed</v>
      </c>
      <c r="F2906" t="str">
        <f t="shared" ca="1" si="560"/>
        <v>Vector(X = 0.873, Y = 0.489, Z = 0.000, Length = 1.000)</v>
      </c>
      <c r="G2906">
        <f t="shared" ca="1" si="561"/>
        <v>0.9</v>
      </c>
      <c r="H2906">
        <f t="shared" ca="1" si="562"/>
        <v>0.5</v>
      </c>
      <c r="I2906">
        <f t="shared" ca="1" si="563"/>
        <v>0</v>
      </c>
      <c r="J2906" s="8">
        <f t="shared" ca="1" si="564"/>
        <v>29.054604099077146</v>
      </c>
      <c r="K2906" s="9" t="str">
        <f t="shared" ca="1" si="565"/>
        <v>E</v>
      </c>
      <c r="L2906">
        <f ca="1">+_xlfn.IFNA(VLOOKUP(M2906,BespokeWindowsAreas!$B$2:$E$1999,4,FALSE),VLOOKUP(E2906,WindowTypeArea!$B$2:$C$113,2,FALSE))</f>
        <v>4.5750000000000002</v>
      </c>
      <c r="M2906">
        <f t="shared" ca="1" si="568"/>
        <v>5510968</v>
      </c>
    </row>
    <row r="2907" spans="1:13" x14ac:dyDescent="0.25">
      <c r="A2907">
        <f t="shared" ca="1" si="566"/>
        <v>15</v>
      </c>
      <c r="B2907">
        <f t="shared" ca="1" si="567"/>
        <v>116</v>
      </c>
      <c r="C2907" t="str">
        <f t="shared" ca="1" si="557"/>
        <v>'WINDOWS-NCH-A-OCMA-M3-01-0'!B115</v>
      </c>
      <c r="D2907" s="6" t="str">
        <f t="shared" ca="1" si="558"/>
        <v>L01-ICU-PIC-S087-11</v>
      </c>
      <c r="E2907" t="str">
        <f t="shared" ca="1" si="559"/>
        <v>L01-ICU-PIC-S087-11</v>
      </c>
      <c r="F2907">
        <f t="shared" ca="1" si="560"/>
        <v>1865123</v>
      </c>
      <c r="G2907">
        <f t="shared" ca="1" si="561"/>
        <v>0</v>
      </c>
      <c r="H2907">
        <f t="shared" ca="1" si="562"/>
        <v>0</v>
      </c>
      <c r="I2907">
        <f t="shared" ca="1" si="563"/>
        <v>0</v>
      </c>
      <c r="J2907" s="8" t="e">
        <f t="shared" ca="1" si="564"/>
        <v>#DIV/0!</v>
      </c>
      <c r="K2907" s="9" t="e">
        <f t="shared" ca="1" si="565"/>
        <v>#DIV/0!</v>
      </c>
      <c r="L2907" t="e">
        <f ca="1">+_xlfn.IFNA(VLOOKUP(M2907,BespokeWindowsAreas!$B$2:$E$1999,4,FALSE),VLOOKUP(E2907,WindowTypeArea!$B$2:$C$113,2,FALSE))</f>
        <v>#N/A</v>
      </c>
      <c r="M2907">
        <f t="shared" ca="1" si="568"/>
        <v>0</v>
      </c>
    </row>
    <row r="2908" spans="1:13" x14ac:dyDescent="0.25">
      <c r="A2908">
        <f t="shared" ca="1" si="566"/>
        <v>15</v>
      </c>
      <c r="B2908">
        <f t="shared" ca="1" si="567"/>
        <v>117</v>
      </c>
      <c r="C2908" t="str">
        <f t="shared" ca="1" si="557"/>
        <v>'WINDOWS-NCH-A-OCMA-M3-01-0'!B116</v>
      </c>
      <c r="D2908" s="6" t="str">
        <f t="shared" ca="1" si="558"/>
        <v>L01-ICU-PIC-S087-11</v>
      </c>
      <c r="E2908" t="str">
        <f t="shared" ca="1" si="559"/>
        <v>Family Type: 975w x 3050h, Family: Window External Type 1 - Recessed</v>
      </c>
      <c r="F2908" t="str">
        <f t="shared" ca="1" si="560"/>
        <v>Vector(X = 0.873, Y = 0.489, Z = 0.000, Length = 1.000)</v>
      </c>
      <c r="G2908">
        <f t="shared" ca="1" si="561"/>
        <v>0.9</v>
      </c>
      <c r="H2908">
        <f t="shared" ca="1" si="562"/>
        <v>0.5</v>
      </c>
      <c r="I2908">
        <f t="shared" ca="1" si="563"/>
        <v>0</v>
      </c>
      <c r="J2908" s="8">
        <f t="shared" ca="1" si="564"/>
        <v>29.054604099077146</v>
      </c>
      <c r="K2908" s="9" t="str">
        <f t="shared" ca="1" si="565"/>
        <v>E</v>
      </c>
      <c r="L2908">
        <f ca="1">+_xlfn.IFNA(VLOOKUP(M2908,BespokeWindowsAreas!$B$2:$E$1999,4,FALSE),VLOOKUP(E2908,WindowTypeArea!$B$2:$C$113,2,FALSE))</f>
        <v>2.9737499999999999</v>
      </c>
      <c r="M2908">
        <f t="shared" ca="1" si="568"/>
        <v>5511226</v>
      </c>
    </row>
    <row r="2909" spans="1:13" x14ac:dyDescent="0.25">
      <c r="A2909">
        <f t="shared" ca="1" si="566"/>
        <v>15</v>
      </c>
      <c r="B2909">
        <f t="shared" ca="1" si="567"/>
        <v>118</v>
      </c>
      <c r="C2909" t="str">
        <f t="shared" ca="1" si="557"/>
        <v>'WINDOWS-NCH-A-OCMA-M3-01-0'!B117</v>
      </c>
      <c r="D2909" s="6" t="str">
        <f t="shared" ca="1" si="558"/>
        <v>L01-ICU-PIC-S087-11</v>
      </c>
      <c r="E2909" t="str">
        <f t="shared" ca="1" si="559"/>
        <v>Family Type: 975w x 3050h, Family: Window External Type 1 - Recessed</v>
      </c>
      <c r="F2909" t="str">
        <f t="shared" ca="1" si="560"/>
        <v>Vector(X = 0.873, Y = 0.489, Z = 0.000, Length = 1.000)</v>
      </c>
      <c r="G2909">
        <f t="shared" ca="1" si="561"/>
        <v>0.9</v>
      </c>
      <c r="H2909">
        <f t="shared" ca="1" si="562"/>
        <v>0.5</v>
      </c>
      <c r="I2909">
        <f t="shared" ca="1" si="563"/>
        <v>0</v>
      </c>
      <c r="J2909" s="8">
        <f t="shared" ca="1" si="564"/>
        <v>29.054604099077146</v>
      </c>
      <c r="K2909" s="9" t="str">
        <f t="shared" ca="1" si="565"/>
        <v>E</v>
      </c>
      <c r="L2909">
        <f ca="1">+_xlfn.IFNA(VLOOKUP(M2909,BespokeWindowsAreas!$B$2:$E$1999,4,FALSE),VLOOKUP(E2909,WindowTypeArea!$B$2:$C$113,2,FALSE))</f>
        <v>2.9737499999999999</v>
      </c>
      <c r="M2909">
        <f t="shared" ca="1" si="568"/>
        <v>5511326</v>
      </c>
    </row>
    <row r="2910" spans="1:13" x14ac:dyDescent="0.25">
      <c r="A2910">
        <f t="shared" ca="1" si="566"/>
        <v>15</v>
      </c>
      <c r="B2910">
        <f t="shared" ca="1" si="567"/>
        <v>119</v>
      </c>
      <c r="C2910" t="str">
        <f t="shared" ca="1" si="557"/>
        <v>'WINDOWS-NCH-A-OCMA-M3-01-0'!B118</v>
      </c>
      <c r="D2910" s="6" t="str">
        <f t="shared" ca="1" si="558"/>
        <v>L01-ICU-PIC-S087-12</v>
      </c>
      <c r="E2910" t="str">
        <f t="shared" ca="1" si="559"/>
        <v>L01-ICU-PIC-S087-12</v>
      </c>
      <c r="F2910">
        <f t="shared" ca="1" si="560"/>
        <v>1865124</v>
      </c>
      <c r="G2910">
        <f t="shared" ca="1" si="561"/>
        <v>0</v>
      </c>
      <c r="H2910">
        <f t="shared" ca="1" si="562"/>
        <v>0</v>
      </c>
      <c r="I2910">
        <f t="shared" ca="1" si="563"/>
        <v>0</v>
      </c>
      <c r="J2910" s="8" t="e">
        <f t="shared" ca="1" si="564"/>
        <v>#DIV/0!</v>
      </c>
      <c r="K2910" s="9" t="e">
        <f t="shared" ca="1" si="565"/>
        <v>#DIV/0!</v>
      </c>
      <c r="L2910" t="e">
        <f ca="1">+_xlfn.IFNA(VLOOKUP(M2910,BespokeWindowsAreas!$B$2:$E$1999,4,FALSE),VLOOKUP(E2910,WindowTypeArea!$B$2:$C$113,2,FALSE))</f>
        <v>#N/A</v>
      </c>
      <c r="M2910">
        <f t="shared" ca="1" si="568"/>
        <v>0</v>
      </c>
    </row>
    <row r="2911" spans="1:13" x14ac:dyDescent="0.25">
      <c r="A2911">
        <f t="shared" ca="1" si="566"/>
        <v>15</v>
      </c>
      <c r="B2911">
        <f t="shared" ca="1" si="567"/>
        <v>120</v>
      </c>
      <c r="C2911" t="str">
        <f t="shared" ca="1" si="557"/>
        <v>'WINDOWS-NCH-A-OCMA-M3-01-0'!B119</v>
      </c>
      <c r="D2911" s="6" t="str">
        <f t="shared" ca="1" si="558"/>
        <v>L01-ICU-PIC-S087-12</v>
      </c>
      <c r="E2911" t="str">
        <f t="shared" ca="1" si="559"/>
        <v>Family Type: 975w x 3050h, Family: Window Internal Type 1 - Flush</v>
      </c>
      <c r="F2911" t="str">
        <f t="shared" ca="1" si="560"/>
        <v>Vector(X = -0.872, Y = -0.489, Z = 0.000, Length = 1.000)</v>
      </c>
      <c r="G2911">
        <f t="shared" ca="1" si="561"/>
        <v>-0.9</v>
      </c>
      <c r="H2911">
        <f t="shared" ca="1" si="562"/>
        <v>-0.5</v>
      </c>
      <c r="I2911">
        <f t="shared" ca="1" si="563"/>
        <v>0</v>
      </c>
      <c r="J2911" s="8">
        <f t="shared" ca="1" si="564"/>
        <v>-150.94539590092285</v>
      </c>
      <c r="K2911" s="9" t="str">
        <f t="shared" ca="1" si="565"/>
        <v>W</v>
      </c>
      <c r="L2911">
        <f ca="1">+_xlfn.IFNA(VLOOKUP(M2911,BespokeWindowsAreas!$B$2:$E$1999,4,FALSE),VLOOKUP(E2911,WindowTypeArea!$B$2:$C$113,2,FALSE))</f>
        <v>2.9737499999999999</v>
      </c>
      <c r="M2911">
        <f t="shared" ca="1" si="568"/>
        <v>6102336</v>
      </c>
    </row>
    <row r="2912" spans="1:13" x14ac:dyDescent="0.25">
      <c r="A2912">
        <f t="shared" ca="1" si="566"/>
        <v>15</v>
      </c>
      <c r="B2912">
        <f t="shared" ca="1" si="567"/>
        <v>121</v>
      </c>
      <c r="C2912" t="str">
        <f t="shared" ca="1" si="557"/>
        <v>'WINDOWS-NCH-A-OCMA-M3-01-0'!B120</v>
      </c>
      <c r="D2912" s="6" t="str">
        <f t="shared" ca="1" si="558"/>
        <v>L01-ICU-PIC-S087-12</v>
      </c>
      <c r="E2912" t="str">
        <f t="shared" ca="1" si="559"/>
        <v>Family Type: 975w x 3050h, Family: Window Internal Type 1 - Flush</v>
      </c>
      <c r="F2912" t="str">
        <f t="shared" ca="1" si="560"/>
        <v>Vector(X = -0.872, Y = -0.489, Z = 0.000, Length = 1.000)</v>
      </c>
      <c r="G2912">
        <f t="shared" ca="1" si="561"/>
        <v>-0.9</v>
      </c>
      <c r="H2912">
        <f t="shared" ca="1" si="562"/>
        <v>-0.5</v>
      </c>
      <c r="I2912">
        <f t="shared" ca="1" si="563"/>
        <v>0</v>
      </c>
      <c r="J2912" s="8">
        <f t="shared" ca="1" si="564"/>
        <v>-150.94539590092285</v>
      </c>
      <c r="K2912" s="9" t="str">
        <f t="shared" ca="1" si="565"/>
        <v>W</v>
      </c>
      <c r="L2912">
        <f ca="1">+_xlfn.IFNA(VLOOKUP(M2912,BespokeWindowsAreas!$B$2:$E$1999,4,FALSE),VLOOKUP(E2912,WindowTypeArea!$B$2:$C$113,2,FALSE))</f>
        <v>2.9737499999999999</v>
      </c>
      <c r="M2912">
        <f t="shared" ca="1" si="568"/>
        <v>6308004</v>
      </c>
    </row>
    <row r="2913" spans="1:13" x14ac:dyDescent="0.25">
      <c r="A2913">
        <f t="shared" ca="1" si="566"/>
        <v>15</v>
      </c>
      <c r="B2913">
        <f t="shared" ca="1" si="567"/>
        <v>122</v>
      </c>
      <c r="C2913" t="str">
        <f t="shared" ca="1" si="557"/>
        <v>'WINDOWS-NCH-A-OCMA-M3-01-0'!B121</v>
      </c>
      <c r="D2913" s="6" t="str">
        <f t="shared" ca="1" si="558"/>
        <v>L01-ICU-PIC-S087-13</v>
      </c>
      <c r="E2913" t="str">
        <f t="shared" ca="1" si="559"/>
        <v>L01-ICU-PIC-S087-13</v>
      </c>
      <c r="F2913">
        <f t="shared" ca="1" si="560"/>
        <v>1865125</v>
      </c>
      <c r="G2913">
        <f t="shared" ca="1" si="561"/>
        <v>0</v>
      </c>
      <c r="H2913">
        <f t="shared" ca="1" si="562"/>
        <v>0</v>
      </c>
      <c r="I2913">
        <f t="shared" ca="1" si="563"/>
        <v>0</v>
      </c>
      <c r="J2913" s="8" t="e">
        <f t="shared" ca="1" si="564"/>
        <v>#DIV/0!</v>
      </c>
      <c r="K2913" s="9" t="e">
        <f t="shared" ca="1" si="565"/>
        <v>#DIV/0!</v>
      </c>
      <c r="L2913" t="e">
        <f ca="1">+_xlfn.IFNA(VLOOKUP(M2913,BespokeWindowsAreas!$B$2:$E$1999,4,FALSE),VLOOKUP(E2913,WindowTypeArea!$B$2:$C$113,2,FALSE))</f>
        <v>#N/A</v>
      </c>
      <c r="M2913">
        <f t="shared" ca="1" si="568"/>
        <v>0</v>
      </c>
    </row>
    <row r="2914" spans="1:13" x14ac:dyDescent="0.25">
      <c r="A2914">
        <f t="shared" ca="1" si="566"/>
        <v>15</v>
      </c>
      <c r="B2914">
        <f t="shared" ca="1" si="567"/>
        <v>123</v>
      </c>
      <c r="C2914" t="str">
        <f t="shared" ca="1" si="557"/>
        <v>'WINDOWS-NCH-A-OCMA-M3-01-0'!B122</v>
      </c>
      <c r="D2914" s="6" t="str">
        <f t="shared" ca="1" si="558"/>
        <v>L01-ICU-PIC-S087-13</v>
      </c>
      <c r="E2914" t="str">
        <f t="shared" ca="1" si="559"/>
        <v>Family Type: 1500w x 3050h, Family: Window Internal Type 1 - Flush</v>
      </c>
      <c r="F2914" t="str">
        <f t="shared" ca="1" si="560"/>
        <v>Vector(X = -0.872, Y = -0.489, Z = 0.000, Length = 1.000)</v>
      </c>
      <c r="G2914">
        <f t="shared" ca="1" si="561"/>
        <v>-0.9</v>
      </c>
      <c r="H2914">
        <f t="shared" ca="1" si="562"/>
        <v>-0.5</v>
      </c>
      <c r="I2914">
        <f t="shared" ca="1" si="563"/>
        <v>0</v>
      </c>
      <c r="J2914" s="8">
        <f t="shared" ca="1" si="564"/>
        <v>-150.94539590092285</v>
      </c>
      <c r="K2914" s="9" t="str">
        <f t="shared" ca="1" si="565"/>
        <v>W</v>
      </c>
      <c r="L2914">
        <f ca="1">+_xlfn.IFNA(VLOOKUP(M2914,BespokeWindowsAreas!$B$2:$E$1999,4,FALSE),VLOOKUP(E2914,WindowTypeArea!$B$2:$C$113,2,FALSE))</f>
        <v>4.5749999999999993</v>
      </c>
      <c r="M2914">
        <f t="shared" ca="1" si="568"/>
        <v>6102422</v>
      </c>
    </row>
    <row r="2915" spans="1:13" x14ac:dyDescent="0.25">
      <c r="A2915">
        <f t="shared" ca="1" si="566"/>
        <v>15</v>
      </c>
      <c r="B2915">
        <f t="shared" ca="1" si="567"/>
        <v>124</v>
      </c>
      <c r="C2915" t="str">
        <f t="shared" ca="1" si="557"/>
        <v>'WINDOWS-NCH-A-OCMA-M3-01-0'!B123</v>
      </c>
      <c r="D2915" s="6" t="str">
        <f t="shared" ca="1" si="558"/>
        <v>L01-ICU-PIC-S087-15</v>
      </c>
      <c r="E2915" t="str">
        <f t="shared" ca="1" si="559"/>
        <v>L01-ICU-PIC-S087-15</v>
      </c>
      <c r="F2915">
        <f t="shared" ca="1" si="560"/>
        <v>1865126</v>
      </c>
      <c r="G2915">
        <f t="shared" ca="1" si="561"/>
        <v>0</v>
      </c>
      <c r="H2915">
        <f t="shared" ca="1" si="562"/>
        <v>0</v>
      </c>
      <c r="I2915">
        <f t="shared" ca="1" si="563"/>
        <v>0</v>
      </c>
      <c r="J2915" s="8" t="e">
        <f t="shared" ca="1" si="564"/>
        <v>#DIV/0!</v>
      </c>
      <c r="K2915" s="9" t="e">
        <f t="shared" ca="1" si="565"/>
        <v>#DIV/0!</v>
      </c>
      <c r="L2915" t="e">
        <f ca="1">+_xlfn.IFNA(VLOOKUP(M2915,BespokeWindowsAreas!$B$2:$E$1999,4,FALSE),VLOOKUP(E2915,WindowTypeArea!$B$2:$C$113,2,FALSE))</f>
        <v>#N/A</v>
      </c>
      <c r="M2915">
        <f t="shared" ca="1" si="568"/>
        <v>0</v>
      </c>
    </row>
    <row r="2916" spans="1:13" x14ac:dyDescent="0.25">
      <c r="A2916">
        <f t="shared" ca="1" si="566"/>
        <v>15</v>
      </c>
      <c r="B2916">
        <f t="shared" ca="1" si="567"/>
        <v>125</v>
      </c>
      <c r="C2916" t="str">
        <f t="shared" ca="1" si="557"/>
        <v>'WINDOWS-NCH-A-OCMA-M3-01-0'!B124</v>
      </c>
      <c r="D2916" s="6" t="str">
        <f t="shared" ca="1" si="558"/>
        <v>L01-ICU-PIC-S087-15</v>
      </c>
      <c r="E2916" t="str">
        <f t="shared" ca="1" si="559"/>
        <v>Family Type: 1950w x 3050h, Family: Window Internal Type 1 - Flush</v>
      </c>
      <c r="F2916" t="str">
        <f t="shared" ca="1" si="560"/>
        <v>Vector(X = -0.872, Y = -0.489, Z = 0.000, Length = 1.000)</v>
      </c>
      <c r="G2916">
        <f t="shared" ca="1" si="561"/>
        <v>-0.9</v>
      </c>
      <c r="H2916">
        <f t="shared" ca="1" si="562"/>
        <v>-0.5</v>
      </c>
      <c r="I2916">
        <f t="shared" ca="1" si="563"/>
        <v>0</v>
      </c>
      <c r="J2916" s="8">
        <f t="shared" ca="1" si="564"/>
        <v>-150.94539590092285</v>
      </c>
      <c r="K2916" s="9" t="str">
        <f t="shared" ca="1" si="565"/>
        <v>W</v>
      </c>
      <c r="L2916">
        <f ca="1">+_xlfn.IFNA(VLOOKUP(M2916,BespokeWindowsAreas!$B$2:$E$1999,4,FALSE),VLOOKUP(E2916,WindowTypeArea!$B$2:$C$113,2,FALSE))</f>
        <v>5.9474999999999998</v>
      </c>
      <c r="M2916">
        <f t="shared" ca="1" si="568"/>
        <v>6102454</v>
      </c>
    </row>
    <row r="2917" spans="1:13" x14ac:dyDescent="0.25">
      <c r="A2917">
        <f t="shared" ca="1" si="566"/>
        <v>15</v>
      </c>
      <c r="B2917">
        <f t="shared" ca="1" si="567"/>
        <v>126</v>
      </c>
      <c r="C2917" t="str">
        <f t="shared" ca="1" si="557"/>
        <v>'WINDOWS-NCH-A-OCMA-M3-01-0'!B125</v>
      </c>
      <c r="D2917" s="6" t="str">
        <f t="shared" ca="1" si="558"/>
        <v>L01-ICU-PIC-S087-16</v>
      </c>
      <c r="E2917" t="str">
        <f t="shared" ca="1" si="559"/>
        <v>L01-ICU-PIC-S087-16</v>
      </c>
      <c r="F2917">
        <f t="shared" ca="1" si="560"/>
        <v>1865127</v>
      </c>
      <c r="G2917">
        <f t="shared" ca="1" si="561"/>
        <v>0</v>
      </c>
      <c r="H2917">
        <f t="shared" ca="1" si="562"/>
        <v>0</v>
      </c>
      <c r="I2917">
        <f t="shared" ca="1" si="563"/>
        <v>0</v>
      </c>
      <c r="J2917" s="8" t="e">
        <f t="shared" ca="1" si="564"/>
        <v>#DIV/0!</v>
      </c>
      <c r="K2917" s="9" t="e">
        <f t="shared" ca="1" si="565"/>
        <v>#DIV/0!</v>
      </c>
      <c r="L2917" t="e">
        <f ca="1">+_xlfn.IFNA(VLOOKUP(M2917,BespokeWindowsAreas!$B$2:$E$1999,4,FALSE),VLOOKUP(E2917,WindowTypeArea!$B$2:$C$113,2,FALSE))</f>
        <v>#N/A</v>
      </c>
      <c r="M2917">
        <f t="shared" ca="1" si="568"/>
        <v>0</v>
      </c>
    </row>
    <row r="2918" spans="1:13" x14ac:dyDescent="0.25">
      <c r="A2918">
        <f t="shared" ca="1" si="566"/>
        <v>15</v>
      </c>
      <c r="B2918">
        <f t="shared" ca="1" si="567"/>
        <v>127</v>
      </c>
      <c r="C2918" t="str">
        <f t="shared" ca="1" si="557"/>
        <v>'WINDOWS-NCH-A-OCMA-M3-01-0'!B126</v>
      </c>
      <c r="D2918" s="6" t="str">
        <f t="shared" ca="1" si="558"/>
        <v>L01-ICU-PIC-S087-16</v>
      </c>
      <c r="E2918" t="str">
        <f t="shared" ca="1" si="559"/>
        <v>Family Type: 975w x 3050h, Family: Window Internal Type 1 - Flush</v>
      </c>
      <c r="F2918" t="str">
        <f t="shared" ca="1" si="560"/>
        <v>Vector(X = -0.872, Y = -0.489, Z = 0.000, Length = 1.000)</v>
      </c>
      <c r="G2918">
        <f t="shared" ca="1" si="561"/>
        <v>-0.9</v>
      </c>
      <c r="H2918">
        <f t="shared" ca="1" si="562"/>
        <v>-0.5</v>
      </c>
      <c r="I2918">
        <f t="shared" ca="1" si="563"/>
        <v>0</v>
      </c>
      <c r="J2918" s="8">
        <f t="shared" ca="1" si="564"/>
        <v>-150.94539590092285</v>
      </c>
      <c r="K2918" s="9" t="str">
        <f t="shared" ca="1" si="565"/>
        <v>W</v>
      </c>
      <c r="L2918">
        <f ca="1">+_xlfn.IFNA(VLOOKUP(M2918,BespokeWindowsAreas!$B$2:$E$1999,4,FALSE),VLOOKUP(E2918,WindowTypeArea!$B$2:$C$113,2,FALSE))</f>
        <v>2.9737499999999999</v>
      </c>
      <c r="M2918">
        <f t="shared" ca="1" si="568"/>
        <v>6102462</v>
      </c>
    </row>
    <row r="2919" spans="1:13" x14ac:dyDescent="0.25">
      <c r="A2919">
        <f t="shared" ca="1" si="566"/>
        <v>15</v>
      </c>
      <c r="B2919">
        <f t="shared" ca="1" si="567"/>
        <v>128</v>
      </c>
      <c r="C2919" t="str">
        <f t="shared" ca="1" si="557"/>
        <v>'WINDOWS-NCH-A-OCMA-M3-01-0'!B127</v>
      </c>
      <c r="D2919" s="6" t="str">
        <f t="shared" ca="1" si="558"/>
        <v>L01-ICU-PIC-S087-16</v>
      </c>
      <c r="E2919" t="str">
        <f t="shared" ca="1" si="559"/>
        <v>Family Type: 975w x 3050h, Family: Window Internal Type 1 - Flush</v>
      </c>
      <c r="F2919" t="str">
        <f t="shared" ca="1" si="560"/>
        <v>Vector(X = -0.872, Y = -0.489, Z = 0.000, Length = 1.000)</v>
      </c>
      <c r="G2919">
        <f t="shared" ca="1" si="561"/>
        <v>-0.9</v>
      </c>
      <c r="H2919">
        <f t="shared" ca="1" si="562"/>
        <v>-0.5</v>
      </c>
      <c r="I2919">
        <f t="shared" ca="1" si="563"/>
        <v>0</v>
      </c>
      <c r="J2919" s="8">
        <f t="shared" ca="1" si="564"/>
        <v>-150.94539590092285</v>
      </c>
      <c r="K2919" s="9" t="str">
        <f t="shared" ca="1" si="565"/>
        <v>W</v>
      </c>
      <c r="L2919">
        <f ca="1">+_xlfn.IFNA(VLOOKUP(M2919,BespokeWindowsAreas!$B$2:$E$1999,4,FALSE),VLOOKUP(E2919,WindowTypeArea!$B$2:$C$113,2,FALSE))</f>
        <v>2.9737499999999999</v>
      </c>
      <c r="M2919">
        <f t="shared" ca="1" si="568"/>
        <v>6307179</v>
      </c>
    </row>
    <row r="2920" spans="1:13" x14ac:dyDescent="0.25">
      <c r="A2920">
        <f t="shared" ca="1" si="566"/>
        <v>15</v>
      </c>
      <c r="B2920">
        <f t="shared" ca="1" si="567"/>
        <v>129</v>
      </c>
      <c r="C2920" t="str">
        <f t="shared" ca="1" si="557"/>
        <v>'WINDOWS-NCH-A-OCMA-M3-01-0'!B128</v>
      </c>
      <c r="D2920" s="6" t="str">
        <f t="shared" ca="1" si="558"/>
        <v>L01-ICU-PIC-S087-17</v>
      </c>
      <c r="E2920" t="str">
        <f t="shared" ca="1" si="559"/>
        <v>L01-ICU-PIC-S087-17</v>
      </c>
      <c r="F2920">
        <f t="shared" ca="1" si="560"/>
        <v>1865128</v>
      </c>
      <c r="G2920">
        <f t="shared" ca="1" si="561"/>
        <v>0</v>
      </c>
      <c r="H2920">
        <f t="shared" ca="1" si="562"/>
        <v>0</v>
      </c>
      <c r="I2920">
        <f t="shared" ca="1" si="563"/>
        <v>0</v>
      </c>
      <c r="J2920" s="8" t="e">
        <f t="shared" ca="1" si="564"/>
        <v>#DIV/0!</v>
      </c>
      <c r="K2920" s="9" t="e">
        <f t="shared" ca="1" si="565"/>
        <v>#DIV/0!</v>
      </c>
      <c r="L2920" t="e">
        <f ca="1">+_xlfn.IFNA(VLOOKUP(M2920,BespokeWindowsAreas!$B$2:$E$1999,4,FALSE),VLOOKUP(E2920,WindowTypeArea!$B$2:$C$113,2,FALSE))</f>
        <v>#N/A</v>
      </c>
      <c r="M2920">
        <f t="shared" ca="1" si="568"/>
        <v>0</v>
      </c>
    </row>
    <row r="2921" spans="1:13" x14ac:dyDescent="0.25">
      <c r="A2921">
        <f t="shared" ca="1" si="566"/>
        <v>15</v>
      </c>
      <c r="B2921">
        <f t="shared" ca="1" si="567"/>
        <v>130</v>
      </c>
      <c r="C2921" t="str">
        <f t="shared" ca="1" si="557"/>
        <v>'WINDOWS-NCH-A-OCMA-M3-01-0'!B129</v>
      </c>
      <c r="D2921" s="6" t="str">
        <f t="shared" ca="1" si="558"/>
        <v>L01-ICU-PIC-S087-17</v>
      </c>
      <c r="E2921" t="str">
        <f t="shared" ca="1" si="559"/>
        <v>Family Type: 1950w x 3050h, Family: Window Internal Type 1 - Flush</v>
      </c>
      <c r="F2921" t="str">
        <f t="shared" ca="1" si="560"/>
        <v>Vector(X = -0.872, Y = -0.489, Z = 0.000, Length = 1.000)</v>
      </c>
      <c r="G2921">
        <f t="shared" ca="1" si="561"/>
        <v>-0.9</v>
      </c>
      <c r="H2921">
        <f t="shared" ca="1" si="562"/>
        <v>-0.5</v>
      </c>
      <c r="I2921">
        <f t="shared" ca="1" si="563"/>
        <v>0</v>
      </c>
      <c r="J2921" s="8">
        <f t="shared" ca="1" si="564"/>
        <v>-150.94539590092285</v>
      </c>
      <c r="K2921" s="9" t="str">
        <f t="shared" ca="1" si="565"/>
        <v>W</v>
      </c>
      <c r="L2921">
        <f ca="1">+_xlfn.IFNA(VLOOKUP(M2921,BespokeWindowsAreas!$B$2:$E$1999,4,FALSE),VLOOKUP(E2921,WindowTypeArea!$B$2:$C$113,2,FALSE))</f>
        <v>5.9474999999999998</v>
      </c>
      <c r="M2921">
        <f t="shared" ca="1" si="568"/>
        <v>6306912</v>
      </c>
    </row>
    <row r="2922" spans="1:13" x14ac:dyDescent="0.25">
      <c r="A2922">
        <f t="shared" ca="1" si="566"/>
        <v>15</v>
      </c>
      <c r="B2922">
        <f t="shared" ca="1" si="567"/>
        <v>131</v>
      </c>
      <c r="C2922" t="str">
        <f t="shared" ca="1" si="557"/>
        <v>'WINDOWS-NCH-A-OCMA-M3-01-0'!B130</v>
      </c>
      <c r="D2922" s="6" t="str">
        <f t="shared" ca="1" si="558"/>
        <v>L01-ICU-PIC-S087-18</v>
      </c>
      <c r="E2922" t="str">
        <f t="shared" ca="1" si="559"/>
        <v>L01-ICU-PIC-S087-18</v>
      </c>
      <c r="F2922">
        <f t="shared" ca="1" si="560"/>
        <v>1865129</v>
      </c>
      <c r="G2922">
        <f t="shared" ca="1" si="561"/>
        <v>0</v>
      </c>
      <c r="H2922">
        <f t="shared" ca="1" si="562"/>
        <v>0</v>
      </c>
      <c r="I2922">
        <f t="shared" ca="1" si="563"/>
        <v>0</v>
      </c>
      <c r="J2922" s="8" t="e">
        <f t="shared" ca="1" si="564"/>
        <v>#DIV/0!</v>
      </c>
      <c r="K2922" s="9" t="e">
        <f t="shared" ca="1" si="565"/>
        <v>#DIV/0!</v>
      </c>
      <c r="L2922" t="e">
        <f ca="1">+_xlfn.IFNA(VLOOKUP(M2922,BespokeWindowsAreas!$B$2:$E$1999,4,FALSE),VLOOKUP(E2922,WindowTypeArea!$B$2:$C$113,2,FALSE))</f>
        <v>#N/A</v>
      </c>
      <c r="M2922">
        <f t="shared" ca="1" si="568"/>
        <v>0</v>
      </c>
    </row>
    <row r="2923" spans="1:13" x14ac:dyDescent="0.25">
      <c r="A2923">
        <f t="shared" ca="1" si="566"/>
        <v>15</v>
      </c>
      <c r="B2923">
        <f t="shared" ca="1" si="567"/>
        <v>132</v>
      </c>
      <c r="C2923" t="str">
        <f t="shared" ca="1" si="557"/>
        <v>'WINDOWS-NCH-A-OCMA-M3-01-0'!B131</v>
      </c>
      <c r="D2923" s="6" t="str">
        <f t="shared" ca="1" si="558"/>
        <v>L01-ICU-PIC-S087-18</v>
      </c>
      <c r="E2923" t="str">
        <f t="shared" ca="1" si="559"/>
        <v>Family Type: 1500w x 3050h, Family: Window Internal Type 1 - Flush</v>
      </c>
      <c r="F2923" t="str">
        <f t="shared" ca="1" si="560"/>
        <v>Vector(X = -0.872, Y = -0.489, Z = 0.000, Length = 1.000)</v>
      </c>
      <c r="G2923">
        <f t="shared" ca="1" si="561"/>
        <v>-0.9</v>
      </c>
      <c r="H2923">
        <f t="shared" ca="1" si="562"/>
        <v>-0.5</v>
      </c>
      <c r="I2923">
        <f t="shared" ca="1" si="563"/>
        <v>0</v>
      </c>
      <c r="J2923" s="8">
        <f t="shared" ca="1" si="564"/>
        <v>-150.94539590092285</v>
      </c>
      <c r="K2923" s="9" t="str">
        <f t="shared" ca="1" si="565"/>
        <v>W</v>
      </c>
      <c r="L2923">
        <f ca="1">+_xlfn.IFNA(VLOOKUP(M2923,BespokeWindowsAreas!$B$2:$E$1999,4,FALSE),VLOOKUP(E2923,WindowTypeArea!$B$2:$C$113,2,FALSE))</f>
        <v>4.5749999999999993</v>
      </c>
      <c r="M2923">
        <f t="shared" ca="1" si="568"/>
        <v>6306373</v>
      </c>
    </row>
    <row r="2924" spans="1:13" x14ac:dyDescent="0.25">
      <c r="A2924">
        <f t="shared" ca="1" si="566"/>
        <v>15</v>
      </c>
      <c r="B2924">
        <f t="shared" ca="1" si="567"/>
        <v>133</v>
      </c>
      <c r="C2924" t="str">
        <f t="shared" ca="1" si="557"/>
        <v>'WINDOWS-NCH-A-OCMA-M3-01-0'!B132</v>
      </c>
      <c r="D2924" s="6" t="str">
        <f t="shared" ca="1" si="558"/>
        <v>L01-ICU-PIC-S087-18</v>
      </c>
      <c r="E2924" t="str">
        <f t="shared" ca="1" si="559"/>
        <v>Family Type: 650w x 3050h, Family: Window Internal Type 1 - Flush</v>
      </c>
      <c r="F2924" t="str">
        <f t="shared" ca="1" si="560"/>
        <v>Vector(X = -0.872, Y = -0.489, Z = 0.000, Length = 1.000)</v>
      </c>
      <c r="G2924">
        <f t="shared" ca="1" si="561"/>
        <v>-0.9</v>
      </c>
      <c r="H2924">
        <f t="shared" ca="1" si="562"/>
        <v>-0.5</v>
      </c>
      <c r="I2924">
        <f t="shared" ca="1" si="563"/>
        <v>0</v>
      </c>
      <c r="J2924" s="8">
        <f t="shared" ca="1" si="564"/>
        <v>-150.94539590092285</v>
      </c>
      <c r="K2924" s="9" t="str">
        <f t="shared" ca="1" si="565"/>
        <v>W</v>
      </c>
      <c r="L2924">
        <f ca="1">+_xlfn.IFNA(VLOOKUP(M2924,BespokeWindowsAreas!$B$2:$E$1999,4,FALSE),VLOOKUP(E2924,WindowTypeArea!$B$2:$C$113,2,FALSE))</f>
        <v>1.9824999999999999</v>
      </c>
      <c r="M2924">
        <f t="shared" ca="1" si="568"/>
        <v>6306588</v>
      </c>
    </row>
    <row r="2925" spans="1:13" x14ac:dyDescent="0.25">
      <c r="A2925">
        <f t="shared" ca="1" si="566"/>
        <v>15</v>
      </c>
      <c r="B2925">
        <f t="shared" ca="1" si="567"/>
        <v>134</v>
      </c>
      <c r="C2925" t="str">
        <f t="shared" ca="1" si="557"/>
        <v>'WINDOWS-NCH-A-OCMA-M3-01-0'!B133</v>
      </c>
      <c r="D2925" s="6" t="str">
        <f t="shared" ca="1" si="558"/>
        <v>L01-ICU-SPN-U0118-01</v>
      </c>
      <c r="E2925" t="str">
        <f t="shared" ca="1" si="559"/>
        <v>L01-ICU-SPN-U0118-01</v>
      </c>
      <c r="F2925">
        <f t="shared" ca="1" si="560"/>
        <v>1865372</v>
      </c>
      <c r="G2925">
        <f t="shared" ca="1" si="561"/>
        <v>0</v>
      </c>
      <c r="H2925">
        <f t="shared" ca="1" si="562"/>
        <v>0</v>
      </c>
      <c r="I2925">
        <f t="shared" ca="1" si="563"/>
        <v>0</v>
      </c>
      <c r="J2925" s="8" t="e">
        <f t="shared" ca="1" si="564"/>
        <v>#DIV/0!</v>
      </c>
      <c r="K2925" s="9" t="e">
        <f t="shared" ca="1" si="565"/>
        <v>#DIV/0!</v>
      </c>
      <c r="L2925" t="e">
        <f ca="1">+_xlfn.IFNA(VLOOKUP(M2925,BespokeWindowsAreas!$B$2:$E$1999,4,FALSE),VLOOKUP(E2925,WindowTypeArea!$B$2:$C$113,2,FALSE))</f>
        <v>#N/A</v>
      </c>
      <c r="M2925">
        <f t="shared" ca="1" si="568"/>
        <v>0</v>
      </c>
    </row>
    <row r="2926" spans="1:13" x14ac:dyDescent="0.25">
      <c r="A2926">
        <f t="shared" ca="1" si="566"/>
        <v>15</v>
      </c>
      <c r="B2926">
        <f t="shared" ca="1" si="567"/>
        <v>135</v>
      </c>
      <c r="C2926" t="str">
        <f t="shared" ca="1" si="557"/>
        <v>'WINDOWS-NCH-A-OCMA-M3-01-0'!B134</v>
      </c>
      <c r="D2926" s="6" t="str">
        <f t="shared" ca="1" si="558"/>
        <v>L01-ICU-SPN-U0118-01</v>
      </c>
      <c r="E2926" t="str">
        <f t="shared" ca="1" si="559"/>
        <v>Family Type: 1500w x 3050h, Family: Window External Type 3 - Recessed and Angle</v>
      </c>
      <c r="F2926" t="str">
        <f t="shared" ca="1" si="560"/>
        <v>Vector(X = 0.212, Y = -0.977, Z = 0.000, Length = 1.000)</v>
      </c>
      <c r="G2926">
        <f t="shared" ca="1" si="561"/>
        <v>0.2</v>
      </c>
      <c r="H2926">
        <f t="shared" ca="1" si="562"/>
        <v>-1</v>
      </c>
      <c r="I2926">
        <f t="shared" ca="1" si="563"/>
        <v>0</v>
      </c>
      <c r="J2926" s="8">
        <f t="shared" ca="1" si="564"/>
        <v>-78.690067525979785</v>
      </c>
      <c r="K2926" s="9" t="str">
        <f t="shared" ca="1" si="565"/>
        <v>S</v>
      </c>
      <c r="L2926">
        <f ca="1">+_xlfn.IFNA(VLOOKUP(M2926,BespokeWindowsAreas!$B$2:$E$1999,4,FALSE),VLOOKUP(E2926,WindowTypeArea!$B$2:$C$113,2,FALSE))</f>
        <v>4.5750000000000002</v>
      </c>
      <c r="M2926">
        <f t="shared" ca="1" si="568"/>
        <v>4928947</v>
      </c>
    </row>
    <row r="2927" spans="1:13" x14ac:dyDescent="0.25">
      <c r="A2927">
        <f t="shared" ca="1" si="566"/>
        <v>15</v>
      </c>
      <c r="B2927">
        <f t="shared" ca="1" si="567"/>
        <v>136</v>
      </c>
      <c r="C2927" t="str">
        <f t="shared" ca="1" si="557"/>
        <v>'WINDOWS-NCH-A-OCMA-M3-01-0'!B135</v>
      </c>
      <c r="D2927" s="6" t="str">
        <f t="shared" ca="1" si="558"/>
        <v>L01-ICU-SPN-U0119-01</v>
      </c>
      <c r="E2927" t="str">
        <f t="shared" ca="1" si="559"/>
        <v>L01-ICU-SPN-U0119-01</v>
      </c>
      <c r="F2927">
        <f t="shared" ca="1" si="560"/>
        <v>1865392</v>
      </c>
      <c r="G2927">
        <f t="shared" ca="1" si="561"/>
        <v>0</v>
      </c>
      <c r="H2927">
        <f t="shared" ca="1" si="562"/>
        <v>0</v>
      </c>
      <c r="I2927">
        <f t="shared" ca="1" si="563"/>
        <v>0</v>
      </c>
      <c r="J2927" s="8" t="e">
        <f t="shared" ca="1" si="564"/>
        <v>#DIV/0!</v>
      </c>
      <c r="K2927" s="9" t="e">
        <f t="shared" ca="1" si="565"/>
        <v>#DIV/0!</v>
      </c>
      <c r="L2927" t="e">
        <f ca="1">+_xlfn.IFNA(VLOOKUP(M2927,BespokeWindowsAreas!$B$2:$E$1999,4,FALSE),VLOOKUP(E2927,WindowTypeArea!$B$2:$C$113,2,FALSE))</f>
        <v>#N/A</v>
      </c>
      <c r="M2927">
        <f t="shared" ca="1" si="568"/>
        <v>0</v>
      </c>
    </row>
    <row r="2928" spans="1:13" x14ac:dyDescent="0.25">
      <c r="A2928">
        <f t="shared" ca="1" si="566"/>
        <v>15</v>
      </c>
      <c r="B2928">
        <f t="shared" ca="1" si="567"/>
        <v>137</v>
      </c>
      <c r="C2928" t="str">
        <f t="shared" ca="1" si="557"/>
        <v>'WINDOWS-NCH-A-OCMA-M3-01-0'!B136</v>
      </c>
      <c r="D2928" s="6" t="str">
        <f t="shared" ca="1" si="558"/>
        <v>L01-ICU-SPN-U0119-01</v>
      </c>
      <c r="E2928" t="str">
        <f t="shared" ca="1" si="559"/>
        <v>Family Type: 1000w x 3050h, Family: Window External Type 2 - Recessed and Fin</v>
      </c>
      <c r="F2928" t="str">
        <f t="shared" ca="1" si="560"/>
        <v>Vector(X = 0.212, Y = -0.977, Z = 0.000, Length = 1.000)</v>
      </c>
      <c r="G2928">
        <f t="shared" ca="1" si="561"/>
        <v>0.2</v>
      </c>
      <c r="H2928">
        <f t="shared" ca="1" si="562"/>
        <v>-1</v>
      </c>
      <c r="I2928">
        <f t="shared" ca="1" si="563"/>
        <v>0</v>
      </c>
      <c r="J2928" s="8">
        <f t="shared" ca="1" si="564"/>
        <v>-78.690067525979785</v>
      </c>
      <c r="K2928" s="9" t="str">
        <f t="shared" ca="1" si="565"/>
        <v>S</v>
      </c>
      <c r="L2928">
        <f ca="1">+_xlfn.IFNA(VLOOKUP(M2928,BespokeWindowsAreas!$B$2:$E$1999,4,FALSE),VLOOKUP(E2928,WindowTypeArea!$B$2:$C$113,2,FALSE))</f>
        <v>3.05</v>
      </c>
      <c r="M2928">
        <f t="shared" ca="1" si="568"/>
        <v>4928948</v>
      </c>
    </row>
    <row r="2929" spans="1:13" x14ac:dyDescent="0.25">
      <c r="A2929">
        <f t="shared" ca="1" si="566"/>
        <v>15</v>
      </c>
      <c r="B2929">
        <f t="shared" ca="1" si="567"/>
        <v>138</v>
      </c>
      <c r="C2929" t="str">
        <f t="shared" ca="1" si="557"/>
        <v>'WINDOWS-NCH-A-OCMA-M3-01-0'!B137</v>
      </c>
      <c r="D2929" s="6" t="str">
        <f t="shared" ca="1" si="558"/>
        <v>L01-ICU-SPN-S115-01</v>
      </c>
      <c r="E2929" t="str">
        <f t="shared" ca="1" si="559"/>
        <v>L01-ICU-SPN-S115-01</v>
      </c>
      <c r="F2929">
        <f t="shared" ca="1" si="560"/>
        <v>1865400</v>
      </c>
      <c r="G2929">
        <f t="shared" ca="1" si="561"/>
        <v>0</v>
      </c>
      <c r="H2929">
        <f t="shared" ca="1" si="562"/>
        <v>0</v>
      </c>
      <c r="I2929">
        <f t="shared" ca="1" si="563"/>
        <v>0</v>
      </c>
      <c r="J2929" s="8" t="e">
        <f t="shared" ca="1" si="564"/>
        <v>#DIV/0!</v>
      </c>
      <c r="K2929" s="9" t="e">
        <f t="shared" ca="1" si="565"/>
        <v>#DIV/0!</v>
      </c>
      <c r="L2929" t="e">
        <f ca="1">+_xlfn.IFNA(VLOOKUP(M2929,BespokeWindowsAreas!$B$2:$E$1999,4,FALSE),VLOOKUP(E2929,WindowTypeArea!$B$2:$C$113,2,FALSE))</f>
        <v>#N/A</v>
      </c>
      <c r="M2929">
        <f t="shared" ca="1" si="568"/>
        <v>0</v>
      </c>
    </row>
    <row r="2930" spans="1:13" x14ac:dyDescent="0.25">
      <c r="A2930">
        <f t="shared" ca="1" si="566"/>
        <v>15</v>
      </c>
      <c r="B2930">
        <f t="shared" ca="1" si="567"/>
        <v>139</v>
      </c>
      <c r="C2930" t="str">
        <f t="shared" ca="1" si="557"/>
        <v>'WINDOWS-NCH-A-OCMA-M3-01-0'!B138</v>
      </c>
      <c r="D2930" s="6" t="str">
        <f t="shared" ca="1" si="558"/>
        <v>L01-ICU-SPN-S115-01</v>
      </c>
      <c r="E2930" t="str">
        <f t="shared" ca="1" si="559"/>
        <v>Family Type: 975w x 3050h, Family: Window External Type 1 - Recessed</v>
      </c>
      <c r="F2930" t="str">
        <f t="shared" ca="1" si="560"/>
        <v>Vector(X = 0.872, Y = 0.489, Z = 0.000, Length = 1.000)</v>
      </c>
      <c r="G2930">
        <f t="shared" ca="1" si="561"/>
        <v>0.9</v>
      </c>
      <c r="H2930">
        <f t="shared" ca="1" si="562"/>
        <v>0.5</v>
      </c>
      <c r="I2930">
        <f t="shared" ca="1" si="563"/>
        <v>0</v>
      </c>
      <c r="J2930" s="8">
        <f t="shared" ca="1" si="564"/>
        <v>29.054604099077146</v>
      </c>
      <c r="K2930" s="9" t="str">
        <f t="shared" ca="1" si="565"/>
        <v>E</v>
      </c>
      <c r="L2930">
        <f ca="1">+_xlfn.IFNA(VLOOKUP(M2930,BespokeWindowsAreas!$B$2:$E$1999,4,FALSE),VLOOKUP(E2930,WindowTypeArea!$B$2:$C$113,2,FALSE))</f>
        <v>2.9737499999999999</v>
      </c>
      <c r="M2930">
        <f t="shared" ca="1" si="568"/>
        <v>5512407</v>
      </c>
    </row>
    <row r="2931" spans="1:13" x14ac:dyDescent="0.25">
      <c r="A2931">
        <f t="shared" ca="1" si="566"/>
        <v>15</v>
      </c>
      <c r="B2931">
        <f t="shared" ca="1" si="567"/>
        <v>140</v>
      </c>
      <c r="C2931" t="str">
        <f t="shared" ca="1" si="557"/>
        <v>'WINDOWS-NCH-A-OCMA-M3-01-0'!B139</v>
      </c>
      <c r="D2931" s="6" t="str">
        <f t="shared" ca="1" si="558"/>
        <v>L01-ICU-SPN-S115-01</v>
      </c>
      <c r="E2931" t="str">
        <f t="shared" ca="1" si="559"/>
        <v>Family Type: 975w x 3050h, Family: Window External Type 1 - Recessed</v>
      </c>
      <c r="F2931" t="str">
        <f t="shared" ca="1" si="560"/>
        <v>Vector(X = 0.872, Y = 0.489, Z = 0.000, Length = 1.000)</v>
      </c>
      <c r="G2931">
        <f t="shared" ca="1" si="561"/>
        <v>0.9</v>
      </c>
      <c r="H2931">
        <f t="shared" ca="1" si="562"/>
        <v>0.5</v>
      </c>
      <c r="I2931">
        <f t="shared" ca="1" si="563"/>
        <v>0</v>
      </c>
      <c r="J2931" s="8">
        <f t="shared" ca="1" si="564"/>
        <v>29.054604099077146</v>
      </c>
      <c r="K2931" s="9" t="str">
        <f t="shared" ca="1" si="565"/>
        <v>E</v>
      </c>
      <c r="L2931">
        <f ca="1">+_xlfn.IFNA(VLOOKUP(M2931,BespokeWindowsAreas!$B$2:$E$1999,4,FALSE),VLOOKUP(E2931,WindowTypeArea!$B$2:$C$113,2,FALSE))</f>
        <v>2.9737499999999999</v>
      </c>
      <c r="M2931">
        <f t="shared" ca="1" si="568"/>
        <v>5512467</v>
      </c>
    </row>
    <row r="2932" spans="1:13" x14ac:dyDescent="0.25">
      <c r="A2932">
        <f t="shared" ca="1" si="566"/>
        <v>15</v>
      </c>
      <c r="B2932">
        <f t="shared" ca="1" si="567"/>
        <v>141</v>
      </c>
      <c r="C2932" t="str">
        <f t="shared" ca="1" si="557"/>
        <v>'WINDOWS-NCH-A-OCMA-M3-01-0'!B140</v>
      </c>
      <c r="D2932" s="6" t="str">
        <f t="shared" ca="1" si="558"/>
        <v>L01-ICU-SPN-S115-01</v>
      </c>
      <c r="E2932" t="str">
        <f t="shared" ca="1" si="559"/>
        <v>Family Type: 1500w x 3050h, Family: Window External Type 1 - Recessed</v>
      </c>
      <c r="F2932" t="str">
        <f t="shared" ca="1" si="560"/>
        <v>Vector(X = 0.872, Y = 0.489, Z = 0.000, Length = 1.000)</v>
      </c>
      <c r="G2932">
        <f t="shared" ca="1" si="561"/>
        <v>0.9</v>
      </c>
      <c r="H2932">
        <f t="shared" ca="1" si="562"/>
        <v>0.5</v>
      </c>
      <c r="I2932">
        <f t="shared" ca="1" si="563"/>
        <v>0</v>
      </c>
      <c r="J2932" s="8">
        <f t="shared" ca="1" si="564"/>
        <v>29.054604099077146</v>
      </c>
      <c r="K2932" s="9" t="str">
        <f t="shared" ca="1" si="565"/>
        <v>E</v>
      </c>
      <c r="L2932">
        <f ca="1">+_xlfn.IFNA(VLOOKUP(M2932,BespokeWindowsAreas!$B$2:$E$1999,4,FALSE),VLOOKUP(E2932,WindowTypeArea!$B$2:$C$113,2,FALSE))</f>
        <v>4.5750000000000002</v>
      </c>
      <c r="M2932">
        <f t="shared" ca="1" si="568"/>
        <v>5512483</v>
      </c>
    </row>
    <row r="2933" spans="1:13" x14ac:dyDescent="0.25">
      <c r="A2933">
        <f t="shared" ca="1" si="566"/>
        <v>15</v>
      </c>
      <c r="B2933">
        <f t="shared" ca="1" si="567"/>
        <v>142</v>
      </c>
      <c r="C2933" t="str">
        <f t="shared" ca="1" si="557"/>
        <v>'WINDOWS-NCH-A-OCMA-M3-01-0'!B141</v>
      </c>
      <c r="D2933" s="6" t="str">
        <f t="shared" ca="1" si="558"/>
        <v>L01-ICU-SPN-S054-01</v>
      </c>
      <c r="E2933" t="str">
        <f t="shared" ca="1" si="559"/>
        <v>L01-ICU-SPN-S054-01</v>
      </c>
      <c r="F2933">
        <f t="shared" ca="1" si="560"/>
        <v>1865404</v>
      </c>
      <c r="G2933">
        <f t="shared" ca="1" si="561"/>
        <v>0</v>
      </c>
      <c r="H2933">
        <f t="shared" ca="1" si="562"/>
        <v>0</v>
      </c>
      <c r="I2933">
        <f t="shared" ca="1" si="563"/>
        <v>0</v>
      </c>
      <c r="J2933" s="8" t="e">
        <f t="shared" ca="1" si="564"/>
        <v>#DIV/0!</v>
      </c>
      <c r="K2933" s="9" t="e">
        <f t="shared" ca="1" si="565"/>
        <v>#DIV/0!</v>
      </c>
      <c r="L2933" t="e">
        <f ca="1">+_xlfn.IFNA(VLOOKUP(M2933,BespokeWindowsAreas!$B$2:$E$1999,4,FALSE),VLOOKUP(E2933,WindowTypeArea!$B$2:$C$113,2,FALSE))</f>
        <v>#N/A</v>
      </c>
      <c r="M2933">
        <f t="shared" ca="1" si="568"/>
        <v>0</v>
      </c>
    </row>
    <row r="2934" spans="1:13" x14ac:dyDescent="0.25">
      <c r="A2934">
        <f t="shared" ca="1" si="566"/>
        <v>15</v>
      </c>
      <c r="B2934">
        <f t="shared" ca="1" si="567"/>
        <v>143</v>
      </c>
      <c r="C2934" t="str">
        <f t="shared" ca="1" si="557"/>
        <v>'WINDOWS-NCH-A-OCMA-M3-01-0'!B142</v>
      </c>
      <c r="D2934" s="6" t="str">
        <f t="shared" ca="1" si="558"/>
        <v>L01-ICU-SPN-S054-01</v>
      </c>
      <c r="E2934" t="str">
        <f t="shared" ca="1" si="559"/>
        <v>Family Type: 1000w x 3050h, Family: Window External Type 4 - Extruded</v>
      </c>
      <c r="F2934" t="str">
        <f t="shared" ca="1" si="560"/>
        <v>Vector(X = 0.212, Y = -0.977, Z = 0.000, Length = 1.000)</v>
      </c>
      <c r="G2934">
        <f t="shared" ca="1" si="561"/>
        <v>0.2</v>
      </c>
      <c r="H2934">
        <f t="shared" ca="1" si="562"/>
        <v>-1</v>
      </c>
      <c r="I2934">
        <f t="shared" ca="1" si="563"/>
        <v>0</v>
      </c>
      <c r="J2934" s="8">
        <f t="shared" ca="1" si="564"/>
        <v>-78.690067525979785</v>
      </c>
      <c r="K2934" s="9" t="str">
        <f t="shared" ca="1" si="565"/>
        <v>S</v>
      </c>
      <c r="L2934">
        <f ca="1">+_xlfn.IFNA(VLOOKUP(M2934,BespokeWindowsAreas!$B$2:$E$1999,4,FALSE),VLOOKUP(E2934,WindowTypeArea!$B$2:$C$113,2,FALSE))</f>
        <v>3.05</v>
      </c>
      <c r="M2934">
        <f t="shared" ca="1" si="568"/>
        <v>4928945</v>
      </c>
    </row>
    <row r="2935" spans="1:13" x14ac:dyDescent="0.25">
      <c r="A2935">
        <f t="shared" ca="1" si="566"/>
        <v>15</v>
      </c>
      <c r="B2935">
        <f t="shared" ca="1" si="567"/>
        <v>144</v>
      </c>
      <c r="C2935" t="str">
        <f t="shared" ca="1" si="557"/>
        <v>'WINDOWS-NCH-A-OCMA-M3-01-0'!B143</v>
      </c>
      <c r="D2935" s="6" t="str">
        <f t="shared" ca="1" si="558"/>
        <v>L01-ICU-SPN-S054-01</v>
      </c>
      <c r="E2935" t="str">
        <f t="shared" ca="1" si="559"/>
        <v>Family Type: 1000w x 3050h, Family: Window External Type 2 - Recessed and Fin</v>
      </c>
      <c r="F2935" t="str">
        <f t="shared" ca="1" si="560"/>
        <v>Vector(X = 0.212, Y = -0.977, Z = 0.000, Length = 1.000)</v>
      </c>
      <c r="G2935">
        <f t="shared" ca="1" si="561"/>
        <v>0.2</v>
      </c>
      <c r="H2935">
        <f t="shared" ca="1" si="562"/>
        <v>-1</v>
      </c>
      <c r="I2935">
        <f t="shared" ca="1" si="563"/>
        <v>0</v>
      </c>
      <c r="J2935" s="8">
        <f t="shared" ca="1" si="564"/>
        <v>-78.690067525979785</v>
      </c>
      <c r="K2935" s="9" t="str">
        <f t="shared" ca="1" si="565"/>
        <v>S</v>
      </c>
      <c r="L2935">
        <f ca="1">+_xlfn.IFNA(VLOOKUP(M2935,BespokeWindowsAreas!$B$2:$E$1999,4,FALSE),VLOOKUP(E2935,WindowTypeArea!$B$2:$C$113,2,FALSE))</f>
        <v>3.05</v>
      </c>
      <c r="M2935">
        <f t="shared" ca="1" si="568"/>
        <v>4928946</v>
      </c>
    </row>
    <row r="2936" spans="1:13" x14ac:dyDescent="0.25">
      <c r="A2936">
        <f t="shared" ca="1" si="566"/>
        <v>15</v>
      </c>
      <c r="B2936">
        <f t="shared" ca="1" si="567"/>
        <v>145</v>
      </c>
      <c r="C2936" t="str">
        <f t="shared" ca="1" si="557"/>
        <v>'WINDOWS-NCH-A-OCMA-M3-01-0'!B144</v>
      </c>
      <c r="D2936" s="6" t="str">
        <f t="shared" ca="1" si="558"/>
        <v>L01-ICU-NCU-S087-17</v>
      </c>
      <c r="E2936" t="str">
        <f t="shared" ca="1" si="559"/>
        <v>L01-ICU-NCU-S087-17</v>
      </c>
      <c r="F2936">
        <f t="shared" ca="1" si="560"/>
        <v>1865418</v>
      </c>
      <c r="G2936">
        <f t="shared" ca="1" si="561"/>
        <v>0</v>
      </c>
      <c r="H2936">
        <f t="shared" ca="1" si="562"/>
        <v>0</v>
      </c>
      <c r="I2936">
        <f t="shared" ca="1" si="563"/>
        <v>0</v>
      </c>
      <c r="J2936" s="8" t="e">
        <f t="shared" ca="1" si="564"/>
        <v>#DIV/0!</v>
      </c>
      <c r="K2936" s="9" t="e">
        <f t="shared" ca="1" si="565"/>
        <v>#DIV/0!</v>
      </c>
      <c r="L2936" t="e">
        <f ca="1">+_xlfn.IFNA(VLOOKUP(M2936,BespokeWindowsAreas!$B$2:$E$1999,4,FALSE),VLOOKUP(E2936,WindowTypeArea!$B$2:$C$113,2,FALSE))</f>
        <v>#N/A</v>
      </c>
      <c r="M2936">
        <f t="shared" ca="1" si="568"/>
        <v>0</v>
      </c>
    </row>
    <row r="2937" spans="1:13" x14ac:dyDescent="0.25">
      <c r="A2937">
        <f t="shared" ca="1" si="566"/>
        <v>15</v>
      </c>
      <c r="B2937">
        <f t="shared" ca="1" si="567"/>
        <v>146</v>
      </c>
      <c r="C2937" t="str">
        <f t="shared" ca="1" si="557"/>
        <v>'WINDOWS-NCH-A-OCMA-M3-01-0'!B145</v>
      </c>
      <c r="D2937" s="6" t="str">
        <f t="shared" ca="1" si="558"/>
        <v>L01-ICU-NCU-S087-17</v>
      </c>
      <c r="E2937" t="str">
        <f t="shared" ca="1" si="559"/>
        <v>Family Type: 1500w x 3050h, Family: Window Internal Type 1 - Flush</v>
      </c>
      <c r="F2937" t="str">
        <f t="shared" ca="1" si="560"/>
        <v>Vector(X = -0.872, Y = -0.489, Z = 0.000, Length = 1.000)</v>
      </c>
      <c r="G2937">
        <f t="shared" ca="1" si="561"/>
        <v>-0.9</v>
      </c>
      <c r="H2937">
        <f t="shared" ca="1" si="562"/>
        <v>-0.5</v>
      </c>
      <c r="I2937">
        <f t="shared" ca="1" si="563"/>
        <v>0</v>
      </c>
      <c r="J2937" s="8">
        <f t="shared" ca="1" si="564"/>
        <v>-150.94539590092285</v>
      </c>
      <c r="K2937" s="9" t="str">
        <f t="shared" ca="1" si="565"/>
        <v>W</v>
      </c>
      <c r="L2937">
        <f ca="1">+_xlfn.IFNA(VLOOKUP(M2937,BespokeWindowsAreas!$B$2:$E$1999,4,FALSE),VLOOKUP(E2937,WindowTypeArea!$B$2:$C$113,2,FALSE))</f>
        <v>4.5749999999999993</v>
      </c>
      <c r="M2937">
        <f t="shared" ca="1" si="568"/>
        <v>6102446</v>
      </c>
    </row>
    <row r="2938" spans="1:13" x14ac:dyDescent="0.25">
      <c r="A2938">
        <f t="shared" ca="1" si="566"/>
        <v>15</v>
      </c>
      <c r="B2938">
        <f t="shared" ca="1" si="567"/>
        <v>147</v>
      </c>
      <c r="C2938" t="str">
        <f t="shared" ca="1" si="557"/>
        <v>'WINDOWS-NCH-A-OCMA-M3-01-0'!B146</v>
      </c>
      <c r="D2938" s="6" t="str">
        <f t="shared" ca="1" si="558"/>
        <v>L01-ICU-NCU-S087-17</v>
      </c>
      <c r="E2938" t="str">
        <f t="shared" ca="1" si="559"/>
        <v>Family Type: 650w x 3050h, Family: Window Internal Type 1 - Flush</v>
      </c>
      <c r="F2938" t="str">
        <f t="shared" ca="1" si="560"/>
        <v>Vector(X = -0.872, Y = -0.489, Z = 0.000, Length = 1.000)</v>
      </c>
      <c r="G2938">
        <f t="shared" ca="1" si="561"/>
        <v>-0.9</v>
      </c>
      <c r="H2938">
        <f t="shared" ca="1" si="562"/>
        <v>-0.5</v>
      </c>
      <c r="I2938">
        <f t="shared" ca="1" si="563"/>
        <v>0</v>
      </c>
      <c r="J2938" s="8">
        <f t="shared" ca="1" si="564"/>
        <v>-150.94539590092285</v>
      </c>
      <c r="K2938" s="9" t="str">
        <f t="shared" ca="1" si="565"/>
        <v>W</v>
      </c>
      <c r="L2938">
        <f ca="1">+_xlfn.IFNA(VLOOKUP(M2938,BespokeWindowsAreas!$B$2:$E$1999,4,FALSE),VLOOKUP(E2938,WindowTypeArea!$B$2:$C$113,2,FALSE))</f>
        <v>1.9824999999999999</v>
      </c>
      <c r="M2938">
        <f t="shared" ca="1" si="568"/>
        <v>6307445</v>
      </c>
    </row>
    <row r="2939" spans="1:13" x14ac:dyDescent="0.25">
      <c r="A2939">
        <f t="shared" ca="1" si="566"/>
        <v>15</v>
      </c>
      <c r="B2939">
        <f t="shared" ca="1" si="567"/>
        <v>148</v>
      </c>
      <c r="C2939" t="str">
        <f t="shared" ca="1" si="557"/>
        <v>'WINDOWS-NCH-A-OCMA-M3-01-0'!B147</v>
      </c>
      <c r="D2939" s="6" t="str">
        <f t="shared" ca="1" si="558"/>
        <v>L01-ICU-SPN-U1445-01</v>
      </c>
      <c r="E2939" t="str">
        <f t="shared" ca="1" si="559"/>
        <v>L01-ICU-SPN-U1445-01</v>
      </c>
      <c r="F2939">
        <f t="shared" ca="1" si="560"/>
        <v>1865426</v>
      </c>
      <c r="G2939">
        <f t="shared" ca="1" si="561"/>
        <v>0</v>
      </c>
      <c r="H2939">
        <f t="shared" ca="1" si="562"/>
        <v>0</v>
      </c>
      <c r="I2939">
        <f t="shared" ca="1" si="563"/>
        <v>0</v>
      </c>
      <c r="J2939" s="8" t="e">
        <f t="shared" ca="1" si="564"/>
        <v>#DIV/0!</v>
      </c>
      <c r="K2939" s="9" t="e">
        <f t="shared" ca="1" si="565"/>
        <v>#DIV/0!</v>
      </c>
      <c r="L2939" t="e">
        <f ca="1">+_xlfn.IFNA(VLOOKUP(M2939,BespokeWindowsAreas!$B$2:$E$1999,4,FALSE),VLOOKUP(E2939,WindowTypeArea!$B$2:$C$113,2,FALSE))</f>
        <v>#N/A</v>
      </c>
      <c r="M2939">
        <f t="shared" ca="1" si="568"/>
        <v>0</v>
      </c>
    </row>
    <row r="2940" spans="1:13" x14ac:dyDescent="0.25">
      <c r="A2940">
        <f t="shared" ca="1" si="566"/>
        <v>15</v>
      </c>
      <c r="B2940">
        <f t="shared" ca="1" si="567"/>
        <v>149</v>
      </c>
      <c r="C2940" t="str">
        <f t="shared" ca="1" si="557"/>
        <v>'WINDOWS-NCH-A-OCMA-M3-01-0'!B148</v>
      </c>
      <c r="D2940" s="6" t="str">
        <f t="shared" ca="1" si="558"/>
        <v>L01-ICU-SPN-U1445-01</v>
      </c>
      <c r="E2940" t="str">
        <f t="shared" ca="1" si="559"/>
        <v>Family Type: 975w x 3050h, Family: Window External Type 1 - Recessed</v>
      </c>
      <c r="F2940" t="str">
        <f t="shared" ca="1" si="560"/>
        <v>Vector(X = 0.872, Y = 0.489, Z = 0.000, Length = 1.000)</v>
      </c>
      <c r="G2940">
        <f t="shared" ca="1" si="561"/>
        <v>0.9</v>
      </c>
      <c r="H2940">
        <f t="shared" ca="1" si="562"/>
        <v>0.5</v>
      </c>
      <c r="I2940">
        <f t="shared" ca="1" si="563"/>
        <v>0</v>
      </c>
      <c r="J2940" s="8">
        <f t="shared" ca="1" si="564"/>
        <v>29.054604099077146</v>
      </c>
      <c r="K2940" s="9" t="str">
        <f t="shared" ca="1" si="565"/>
        <v>E</v>
      </c>
      <c r="L2940">
        <f ca="1">+_xlfn.IFNA(VLOOKUP(M2940,BespokeWindowsAreas!$B$2:$E$1999,4,FALSE),VLOOKUP(E2940,WindowTypeArea!$B$2:$C$113,2,FALSE))</f>
        <v>2.9737499999999999</v>
      </c>
      <c r="M2940">
        <f t="shared" ca="1" si="568"/>
        <v>5512301</v>
      </c>
    </row>
    <row r="2941" spans="1:13" x14ac:dyDescent="0.25">
      <c r="A2941">
        <f t="shared" ca="1" si="566"/>
        <v>15</v>
      </c>
      <c r="B2941">
        <f t="shared" ca="1" si="567"/>
        <v>150</v>
      </c>
      <c r="C2941" t="str">
        <f t="shared" ca="1" si="557"/>
        <v>'WINDOWS-NCH-A-OCMA-M3-01-0'!B149</v>
      </c>
      <c r="D2941" s="6" t="str">
        <f t="shared" ca="1" si="558"/>
        <v>L01-ICU-CIC-U1451-01</v>
      </c>
      <c r="E2941" t="str">
        <f t="shared" ca="1" si="559"/>
        <v>L01-ICU-CIC-U1451-01</v>
      </c>
      <c r="F2941">
        <f t="shared" ca="1" si="560"/>
        <v>1865428</v>
      </c>
      <c r="G2941">
        <f t="shared" ca="1" si="561"/>
        <v>0</v>
      </c>
      <c r="H2941">
        <f t="shared" ca="1" si="562"/>
        <v>0</v>
      </c>
      <c r="I2941">
        <f t="shared" ca="1" si="563"/>
        <v>0</v>
      </c>
      <c r="J2941" s="8" t="e">
        <f t="shared" ca="1" si="564"/>
        <v>#DIV/0!</v>
      </c>
      <c r="K2941" s="9" t="e">
        <f t="shared" ca="1" si="565"/>
        <v>#DIV/0!</v>
      </c>
      <c r="L2941" t="e">
        <f ca="1">+_xlfn.IFNA(VLOOKUP(M2941,BespokeWindowsAreas!$B$2:$E$1999,4,FALSE),VLOOKUP(E2941,WindowTypeArea!$B$2:$C$113,2,FALSE))</f>
        <v>#N/A</v>
      </c>
      <c r="M2941">
        <f t="shared" ca="1" si="568"/>
        <v>0</v>
      </c>
    </row>
    <row r="2942" spans="1:13" x14ac:dyDescent="0.25">
      <c r="A2942">
        <f t="shared" ca="1" si="566"/>
        <v>15</v>
      </c>
      <c r="B2942">
        <f t="shared" ca="1" si="567"/>
        <v>151</v>
      </c>
      <c r="C2942" t="str">
        <f t="shared" ca="1" si="557"/>
        <v>'WINDOWS-NCH-A-OCMA-M3-01-0'!B150</v>
      </c>
      <c r="D2942" s="6" t="str">
        <f t="shared" ca="1" si="558"/>
        <v>L01-ICU-CIC-U1451-01</v>
      </c>
      <c r="E2942" t="str">
        <f t="shared" ca="1" si="559"/>
        <v>Family Type: 1500w x 3050h, Family: Window Internal Type 1 - Flush</v>
      </c>
      <c r="F2942" t="str">
        <f t="shared" ca="1" si="560"/>
        <v>Vector(X = 0.489, Y = -0.873, Z = 0.000, Length = 1.000)</v>
      </c>
      <c r="G2942">
        <f t="shared" ca="1" si="561"/>
        <v>0.5</v>
      </c>
      <c r="H2942">
        <f t="shared" ca="1" si="562"/>
        <v>-0.9</v>
      </c>
      <c r="I2942">
        <f t="shared" ca="1" si="563"/>
        <v>0</v>
      </c>
      <c r="J2942" s="8">
        <f t="shared" ca="1" si="564"/>
        <v>-60.945395900922861</v>
      </c>
      <c r="K2942" s="9" t="str">
        <f t="shared" ca="1" si="565"/>
        <v>S</v>
      </c>
      <c r="L2942">
        <f ca="1">+_xlfn.IFNA(VLOOKUP(M2942,BespokeWindowsAreas!$B$2:$E$1999,4,FALSE),VLOOKUP(E2942,WindowTypeArea!$B$2:$C$113,2,FALSE))</f>
        <v>4.5749999999999993</v>
      </c>
      <c r="M2942">
        <f t="shared" ca="1" si="568"/>
        <v>6103229</v>
      </c>
    </row>
    <row r="2943" spans="1:13" x14ac:dyDescent="0.25">
      <c r="A2943">
        <f t="shared" ca="1" si="566"/>
        <v>15</v>
      </c>
      <c r="B2943">
        <f t="shared" ca="1" si="567"/>
        <v>152</v>
      </c>
      <c r="C2943" t="str">
        <f t="shared" ca="1" si="557"/>
        <v>'WINDOWS-NCH-A-OCMA-M3-01-0'!B151</v>
      </c>
      <c r="D2943" s="6" t="str">
        <f t="shared" ca="1" si="558"/>
        <v>L01-ICU-SPN-L009-01 (New Construction)</v>
      </c>
      <c r="E2943" t="str">
        <f t="shared" ca="1" si="559"/>
        <v>L01-ICU-SPN-L009-01 (New Construction)</v>
      </c>
      <c r="F2943">
        <f t="shared" ca="1" si="560"/>
        <v>1933969</v>
      </c>
      <c r="G2943">
        <f t="shared" ca="1" si="561"/>
        <v>0</v>
      </c>
      <c r="H2943">
        <f t="shared" ca="1" si="562"/>
        <v>0</v>
      </c>
      <c r="I2943">
        <f t="shared" ca="1" si="563"/>
        <v>0</v>
      </c>
      <c r="J2943" s="8" t="e">
        <f t="shared" ca="1" si="564"/>
        <v>#DIV/0!</v>
      </c>
      <c r="K2943" s="9" t="e">
        <f t="shared" ca="1" si="565"/>
        <v>#DIV/0!</v>
      </c>
      <c r="L2943" t="e">
        <f ca="1">+_xlfn.IFNA(VLOOKUP(M2943,BespokeWindowsAreas!$B$2:$E$1999,4,FALSE),VLOOKUP(E2943,WindowTypeArea!$B$2:$C$113,2,FALSE))</f>
        <v>#N/A</v>
      </c>
      <c r="M2943">
        <f t="shared" ca="1" si="568"/>
        <v>0</v>
      </c>
    </row>
    <row r="2944" spans="1:13" x14ac:dyDescent="0.25">
      <c r="A2944">
        <f t="shared" ca="1" si="566"/>
        <v>15</v>
      </c>
      <c r="B2944">
        <f t="shared" ca="1" si="567"/>
        <v>153</v>
      </c>
      <c r="C2944" t="str">
        <f t="shared" ca="1" si="557"/>
        <v>'WINDOWS-NCH-A-OCMA-M3-01-0'!B152</v>
      </c>
      <c r="D2944" s="6" t="str">
        <f t="shared" ca="1" si="558"/>
        <v>L01-ICU-SPN-L009-01 (New Construction)</v>
      </c>
      <c r="E2944" t="str">
        <f t="shared" ca="1" si="559"/>
        <v>Family Type: 1950w x 3050h, Family: Window External Type 1 - Recessed</v>
      </c>
      <c r="F2944" t="str">
        <f t="shared" ca="1" si="560"/>
        <v>Vector(X = 0.872, Y = 0.489, Z = 0.000, Length = 1.000)</v>
      </c>
      <c r="G2944">
        <f t="shared" ca="1" si="561"/>
        <v>0.9</v>
      </c>
      <c r="H2944">
        <f t="shared" ca="1" si="562"/>
        <v>0.5</v>
      </c>
      <c r="I2944">
        <f t="shared" ca="1" si="563"/>
        <v>0</v>
      </c>
      <c r="J2944" s="8">
        <f t="shared" ca="1" si="564"/>
        <v>29.054604099077146</v>
      </c>
      <c r="K2944" s="9" t="str">
        <f t="shared" ca="1" si="565"/>
        <v>E</v>
      </c>
      <c r="L2944">
        <f ca="1">+_xlfn.IFNA(VLOOKUP(M2944,BespokeWindowsAreas!$B$2:$E$1999,4,FALSE),VLOOKUP(E2944,WindowTypeArea!$B$2:$C$113,2,FALSE))</f>
        <v>5.9474999999999998</v>
      </c>
      <c r="M2944">
        <f t="shared" ca="1" si="568"/>
        <v>5512626</v>
      </c>
    </row>
    <row r="2945" spans="1:13" x14ac:dyDescent="0.25">
      <c r="A2945">
        <f t="shared" ca="1" si="566"/>
        <v>15</v>
      </c>
      <c r="B2945">
        <f t="shared" ca="1" si="567"/>
        <v>154</v>
      </c>
      <c r="C2945" t="str">
        <f t="shared" ca="1" si="557"/>
        <v>'WINDOWS-NCH-A-OCMA-M3-01-0'!B153</v>
      </c>
      <c r="D2945" s="6" t="str">
        <f t="shared" ca="1" si="558"/>
        <v>L01-ICU-SPN-L009-02 (New Construction)</v>
      </c>
      <c r="E2945" t="str">
        <f t="shared" ca="1" si="559"/>
        <v>L01-ICU-SPN-L009-02 (New Construction)</v>
      </c>
      <c r="F2945">
        <f t="shared" ca="1" si="560"/>
        <v>1933970</v>
      </c>
      <c r="G2945">
        <f t="shared" ca="1" si="561"/>
        <v>0</v>
      </c>
      <c r="H2945">
        <f t="shared" ca="1" si="562"/>
        <v>0</v>
      </c>
      <c r="I2945">
        <f t="shared" ca="1" si="563"/>
        <v>0</v>
      </c>
      <c r="J2945" s="8" t="e">
        <f t="shared" ca="1" si="564"/>
        <v>#DIV/0!</v>
      </c>
      <c r="K2945" s="9" t="e">
        <f t="shared" ca="1" si="565"/>
        <v>#DIV/0!</v>
      </c>
      <c r="L2945" t="e">
        <f ca="1">+_xlfn.IFNA(VLOOKUP(M2945,BespokeWindowsAreas!$B$2:$E$1999,4,FALSE),VLOOKUP(E2945,WindowTypeArea!$B$2:$C$113,2,FALSE))</f>
        <v>#N/A</v>
      </c>
      <c r="M2945">
        <f t="shared" ca="1" si="568"/>
        <v>0</v>
      </c>
    </row>
    <row r="2946" spans="1:13" x14ac:dyDescent="0.25">
      <c r="A2946">
        <f t="shared" ca="1" si="566"/>
        <v>15</v>
      </c>
      <c r="B2946">
        <f t="shared" ca="1" si="567"/>
        <v>155</v>
      </c>
      <c r="C2946" t="str">
        <f t="shared" ca="1" si="557"/>
        <v>'WINDOWS-NCH-A-OCMA-M3-01-0'!B154</v>
      </c>
      <c r="D2946" s="6" t="str">
        <f t="shared" ca="1" si="558"/>
        <v>L01-ICU-SPN-L009-02 (New Construction)</v>
      </c>
      <c r="E2946" t="str">
        <f t="shared" ca="1" si="559"/>
        <v>Family Type: 1950w x 3050h, Family: Window External Type 1 - Recessed</v>
      </c>
      <c r="F2946" t="str">
        <f t="shared" ca="1" si="560"/>
        <v>Vector(X = 0.872, Y = 0.489, Z = 0.000, Length = 1.000)</v>
      </c>
      <c r="G2946">
        <f t="shared" ca="1" si="561"/>
        <v>0.9</v>
      </c>
      <c r="H2946">
        <f t="shared" ca="1" si="562"/>
        <v>0.5</v>
      </c>
      <c r="I2946">
        <f t="shared" ca="1" si="563"/>
        <v>0</v>
      </c>
      <c r="J2946" s="8">
        <f t="shared" ca="1" si="564"/>
        <v>29.054604099077146</v>
      </c>
      <c r="K2946" s="9" t="str">
        <f t="shared" ca="1" si="565"/>
        <v>E</v>
      </c>
      <c r="L2946">
        <f ca="1">+_xlfn.IFNA(VLOOKUP(M2946,BespokeWindowsAreas!$B$2:$E$1999,4,FALSE),VLOOKUP(E2946,WindowTypeArea!$B$2:$C$113,2,FALSE))</f>
        <v>5.9474999999999998</v>
      </c>
      <c r="M2946">
        <f t="shared" ca="1" si="568"/>
        <v>5512626</v>
      </c>
    </row>
    <row r="2947" spans="1:13" x14ac:dyDescent="0.25">
      <c r="A2947">
        <f t="shared" ca="1" si="566"/>
        <v>15</v>
      </c>
      <c r="B2947">
        <f t="shared" ca="1" si="567"/>
        <v>156</v>
      </c>
      <c r="C2947" t="str">
        <f t="shared" ca="1" si="557"/>
        <v>'WINDOWS-NCH-A-OCMA-M3-01-0'!B155</v>
      </c>
      <c r="D2947" s="6">
        <f t="shared" ca="1" si="558"/>
        <v>3372</v>
      </c>
      <c r="E2947">
        <f t="shared" ca="1" si="559"/>
        <v>3372</v>
      </c>
      <c r="F2947">
        <f t="shared" ca="1" si="560"/>
        <v>1933978</v>
      </c>
      <c r="G2947">
        <f t="shared" ca="1" si="561"/>
        <v>0</v>
      </c>
      <c r="H2947">
        <f t="shared" ca="1" si="562"/>
        <v>0</v>
      </c>
      <c r="I2947">
        <f t="shared" ca="1" si="563"/>
        <v>0</v>
      </c>
      <c r="J2947" s="8" t="e">
        <f t="shared" ca="1" si="564"/>
        <v>#DIV/0!</v>
      </c>
      <c r="K2947" s="9" t="e">
        <f t="shared" ca="1" si="565"/>
        <v>#DIV/0!</v>
      </c>
      <c r="L2947" t="e">
        <f ca="1">+_xlfn.IFNA(VLOOKUP(M2947,BespokeWindowsAreas!$B$2:$E$1999,4,FALSE),VLOOKUP(E2947,WindowTypeArea!$B$2:$C$113,2,FALSE))</f>
        <v>#N/A</v>
      </c>
      <c r="M2947">
        <f t="shared" ca="1" si="568"/>
        <v>0</v>
      </c>
    </row>
    <row r="2948" spans="1:13" x14ac:dyDescent="0.25">
      <c r="A2948">
        <f t="shared" ca="1" si="566"/>
        <v>16</v>
      </c>
      <c r="B2948">
        <f t="shared" ca="1" si="567"/>
        <v>1</v>
      </c>
      <c r="C2948" t="str">
        <f t="shared" ca="1" si="557"/>
        <v>'WINDOWS-NCH-A-OCMA-M3-01-0'!B156</v>
      </c>
      <c r="D2948" s="6">
        <f t="shared" ca="1" si="558"/>
        <v>3372</v>
      </c>
      <c r="E2948" t="str">
        <f t="shared" ca="1" si="559"/>
        <v>Family Type: 1500w x 3050h, Family: Window External Type 1 - Recessed</v>
      </c>
      <c r="F2948" t="str">
        <f t="shared" ca="1" si="560"/>
        <v>Vector(X = 0.872, Y = 0.489, Z = 0.000, Length = 1.000)</v>
      </c>
      <c r="G2948">
        <f t="shared" ca="1" si="561"/>
        <v>0.9</v>
      </c>
      <c r="H2948">
        <f t="shared" ca="1" si="562"/>
        <v>0.5</v>
      </c>
      <c r="I2948">
        <f t="shared" ca="1" si="563"/>
        <v>0</v>
      </c>
      <c r="J2948" s="8">
        <f t="shared" ca="1" si="564"/>
        <v>29.054604099077146</v>
      </c>
      <c r="K2948" s="9" t="str">
        <f t="shared" ca="1" si="565"/>
        <v>E</v>
      </c>
      <c r="L2948">
        <f ca="1">+_xlfn.IFNA(VLOOKUP(M2948,BespokeWindowsAreas!$B$2:$E$1999,4,FALSE),VLOOKUP(E2948,WindowTypeArea!$B$2:$C$113,2,FALSE))</f>
        <v>4.5750000000000002</v>
      </c>
      <c r="M2948">
        <f t="shared" ca="1" si="568"/>
        <v>5512483</v>
      </c>
    </row>
    <row r="2949" spans="1:13" x14ac:dyDescent="0.25">
      <c r="A2949" t="e">
        <f t="shared" ca="1" si="566"/>
        <v>#N/A</v>
      </c>
      <c r="B2949" t="e">
        <f t="shared" ca="1" si="567"/>
        <v>#N/A</v>
      </c>
      <c r="C2949" t="str">
        <f t="shared" ca="1" si="557"/>
        <v>''!B1</v>
      </c>
      <c r="D2949" s="6" t="e">
        <f t="shared" ca="1" si="558"/>
        <v>#REF!</v>
      </c>
      <c r="E2949" t="e">
        <f t="shared" ca="1" si="559"/>
        <v>#REF!</v>
      </c>
      <c r="F2949" t="e">
        <f t="shared" ca="1" si="560"/>
        <v>#REF!</v>
      </c>
      <c r="G2949" t="e">
        <f t="shared" ca="1" si="561"/>
        <v>#REF!</v>
      </c>
      <c r="H2949" t="e">
        <f t="shared" ca="1" si="562"/>
        <v>#REF!</v>
      </c>
      <c r="I2949" t="e">
        <f t="shared" ca="1" si="563"/>
        <v>#REF!</v>
      </c>
      <c r="J2949" s="8" t="e">
        <f t="shared" ca="1" si="564"/>
        <v>#REF!</v>
      </c>
      <c r="K2949" s="9" t="e">
        <f t="shared" ca="1" si="565"/>
        <v>#REF!</v>
      </c>
      <c r="L2949" t="e">
        <f ca="1">+_xlfn.IFNA(VLOOKUP(M2949,BespokeWindowsAreas!$B$2:$E$1999,4,FALSE),VLOOKUP(E2949,WindowTypeArea!$B$2:$C$113,2,FALSE))</f>
        <v>#REF!</v>
      </c>
      <c r="M2949" t="e">
        <f t="shared" ca="1" si="568"/>
        <v>#REF!</v>
      </c>
    </row>
    <row r="2950" spans="1:13" x14ac:dyDescent="0.25">
      <c r="A2950" t="e">
        <f t="shared" ca="1" si="566"/>
        <v>#N/A</v>
      </c>
      <c r="B2950" t="e">
        <f t="shared" ca="1" si="567"/>
        <v>#N/A</v>
      </c>
      <c r="C2950" t="e">
        <f t="shared" ca="1" si="557"/>
        <v>#N/A</v>
      </c>
      <c r="D2950" s="6" t="e">
        <f t="shared" ca="1" si="558"/>
        <v>#N/A</v>
      </c>
      <c r="E2950" t="e">
        <f t="shared" ca="1" si="559"/>
        <v>#N/A</v>
      </c>
      <c r="F2950" t="e">
        <f t="shared" ca="1" si="560"/>
        <v>#N/A</v>
      </c>
      <c r="G2950" t="e">
        <f t="shared" ca="1" si="561"/>
        <v>#N/A</v>
      </c>
      <c r="H2950" t="e">
        <f t="shared" ca="1" si="562"/>
        <v>#N/A</v>
      </c>
      <c r="I2950" t="e">
        <f t="shared" ca="1" si="563"/>
        <v>#N/A</v>
      </c>
      <c r="J2950" s="8" t="e">
        <f t="shared" ca="1" si="564"/>
        <v>#N/A</v>
      </c>
      <c r="K2950" s="9" t="e">
        <f t="shared" ca="1" si="565"/>
        <v>#N/A</v>
      </c>
      <c r="L2950" t="e">
        <f ca="1">+_xlfn.IFNA(VLOOKUP(M2950,BespokeWindowsAreas!$B$2:$E$1999,4,FALSE),VLOOKUP(E2950,WindowTypeArea!$B$2:$C$113,2,FALSE))</f>
        <v>#N/A</v>
      </c>
      <c r="M2950" t="e">
        <f t="shared" ca="1" si="568"/>
        <v>#N/A</v>
      </c>
    </row>
    <row r="2951" spans="1:13" x14ac:dyDescent="0.25">
      <c r="A2951" t="e">
        <f t="shared" ca="1" si="566"/>
        <v>#N/A</v>
      </c>
      <c r="B2951" t="e">
        <f t="shared" ca="1" si="567"/>
        <v>#N/A</v>
      </c>
      <c r="C2951" t="e">
        <f t="shared" ca="1" si="557"/>
        <v>#N/A</v>
      </c>
      <c r="D2951" s="6" t="e">
        <f t="shared" ca="1" si="558"/>
        <v>#N/A</v>
      </c>
      <c r="E2951" t="e">
        <f t="shared" ca="1" si="559"/>
        <v>#N/A</v>
      </c>
      <c r="F2951" t="e">
        <f t="shared" ca="1" si="560"/>
        <v>#N/A</v>
      </c>
      <c r="G2951" t="e">
        <f t="shared" ca="1" si="561"/>
        <v>#N/A</v>
      </c>
      <c r="H2951" t="e">
        <f t="shared" ca="1" si="562"/>
        <v>#N/A</v>
      </c>
      <c r="I2951" t="e">
        <f t="shared" ca="1" si="563"/>
        <v>#N/A</v>
      </c>
      <c r="J2951" s="8" t="e">
        <f t="shared" ca="1" si="564"/>
        <v>#N/A</v>
      </c>
      <c r="K2951" s="9" t="e">
        <f t="shared" ca="1" si="565"/>
        <v>#N/A</v>
      </c>
      <c r="L2951" t="e">
        <f ca="1">+_xlfn.IFNA(VLOOKUP(M2951,BespokeWindowsAreas!$B$2:$E$1999,4,FALSE),VLOOKUP(E2951,WindowTypeArea!$B$2:$C$113,2,FALSE))</f>
        <v>#N/A</v>
      </c>
      <c r="M2951" t="e">
        <f t="shared" ca="1" si="568"/>
        <v>#N/A</v>
      </c>
    </row>
    <row r="2952" spans="1:13" x14ac:dyDescent="0.25">
      <c r="A2952" t="e">
        <f t="shared" ca="1" si="566"/>
        <v>#N/A</v>
      </c>
      <c r="B2952" t="e">
        <f t="shared" ca="1" si="567"/>
        <v>#N/A</v>
      </c>
      <c r="C2952" t="e">
        <f t="shared" ca="1" si="557"/>
        <v>#N/A</v>
      </c>
      <c r="D2952" s="6" t="e">
        <f t="shared" ca="1" si="558"/>
        <v>#N/A</v>
      </c>
      <c r="E2952" t="e">
        <f t="shared" ca="1" si="559"/>
        <v>#N/A</v>
      </c>
      <c r="F2952" t="e">
        <f t="shared" ca="1" si="560"/>
        <v>#N/A</v>
      </c>
      <c r="G2952" t="e">
        <f t="shared" ca="1" si="561"/>
        <v>#N/A</v>
      </c>
      <c r="H2952" t="e">
        <f t="shared" ca="1" si="562"/>
        <v>#N/A</v>
      </c>
      <c r="I2952" t="e">
        <f t="shared" ca="1" si="563"/>
        <v>#N/A</v>
      </c>
      <c r="J2952" s="8" t="e">
        <f t="shared" ca="1" si="564"/>
        <v>#N/A</v>
      </c>
      <c r="K2952" s="9" t="e">
        <f t="shared" ca="1" si="565"/>
        <v>#N/A</v>
      </c>
      <c r="L2952" t="e">
        <f ca="1">+_xlfn.IFNA(VLOOKUP(M2952,BespokeWindowsAreas!$B$2:$E$1999,4,FALSE),VLOOKUP(E2952,WindowTypeArea!$B$2:$C$113,2,FALSE))</f>
        <v>#N/A</v>
      </c>
      <c r="M2952" t="e">
        <f t="shared" ca="1" si="568"/>
        <v>#N/A</v>
      </c>
    </row>
    <row r="2953" spans="1:13" x14ac:dyDescent="0.25">
      <c r="A2953" t="e">
        <f t="shared" ca="1" si="566"/>
        <v>#N/A</v>
      </c>
      <c r="B2953" t="e">
        <f t="shared" ca="1" si="567"/>
        <v>#N/A</v>
      </c>
      <c r="C2953" t="e">
        <f t="shared" ref="C2953:C3016" ca="1" si="569">+"'"&amp;INDIRECT("a"&amp;A2952)&amp;"'!B"&amp;B2952</f>
        <v>#N/A</v>
      </c>
      <c r="D2953" s="6" t="e">
        <f t="shared" ref="D2953:D3016" ca="1" si="570">+IF(IFERROR(FIND("Family",E2953)&gt;0,FALSE),D2952,E2953)</f>
        <v>#N/A</v>
      </c>
      <c r="E2953" t="e">
        <f t="shared" ref="E2953:E3016" ca="1" si="571">+OFFSET(INDIRECT(C2953),0,0)</f>
        <v>#N/A</v>
      </c>
      <c r="F2953" t="e">
        <f t="shared" ref="F2953:F3016" ca="1" si="572">+OFFSET(INDIRECT(C2953),0,1)</f>
        <v>#N/A</v>
      </c>
      <c r="G2953" t="e">
        <f t="shared" ref="G2953:G3016" ca="1" si="573">+OFFSET(INDIRECT(C2953),0,2)</f>
        <v>#N/A</v>
      </c>
      <c r="H2953" t="e">
        <f t="shared" ref="H2953:H3016" ca="1" si="574">+OFFSET(INDIRECT(C2953),0,3)</f>
        <v>#N/A</v>
      </c>
      <c r="I2953" t="e">
        <f t="shared" ref="I2953:I3016" ca="1" si="575">+OFFSET(INDIRECT(C2953),0,4)</f>
        <v>#N/A</v>
      </c>
      <c r="J2953" s="8" t="e">
        <f t="shared" ref="J2953:J3016" ca="1" si="576">+DEGREES(ATAN2(G2953,H2953))</f>
        <v>#N/A</v>
      </c>
      <c r="K2953" s="9" t="e">
        <f t="shared" ref="K2953:K3016" ca="1" si="577">VLOOKUP(J2953,$O$20:$P$36,2,-1)</f>
        <v>#N/A</v>
      </c>
      <c r="L2953" t="e">
        <f ca="1">+_xlfn.IFNA(VLOOKUP(M2953,BespokeWindowsAreas!$B$2:$E$1999,4,FALSE),VLOOKUP(E2953,WindowTypeArea!$B$2:$C$113,2,FALSE))</f>
        <v>#N/A</v>
      </c>
      <c r="M2953" t="e">
        <f t="shared" ca="1" si="568"/>
        <v>#N/A</v>
      </c>
    </row>
    <row r="2954" spans="1:13" x14ac:dyDescent="0.25">
      <c r="A2954" t="e">
        <f t="shared" ca="1" si="566"/>
        <v>#N/A</v>
      </c>
      <c r="B2954" t="e">
        <f t="shared" ca="1" si="567"/>
        <v>#N/A</v>
      </c>
      <c r="C2954" t="e">
        <f t="shared" ca="1" si="569"/>
        <v>#N/A</v>
      </c>
      <c r="D2954" s="6" t="e">
        <f t="shared" ca="1" si="570"/>
        <v>#N/A</v>
      </c>
      <c r="E2954" t="e">
        <f t="shared" ca="1" si="571"/>
        <v>#N/A</v>
      </c>
      <c r="F2954" t="e">
        <f t="shared" ca="1" si="572"/>
        <v>#N/A</v>
      </c>
      <c r="G2954" t="e">
        <f t="shared" ca="1" si="573"/>
        <v>#N/A</v>
      </c>
      <c r="H2954" t="e">
        <f t="shared" ca="1" si="574"/>
        <v>#N/A</v>
      </c>
      <c r="I2954" t="e">
        <f t="shared" ca="1" si="575"/>
        <v>#N/A</v>
      </c>
      <c r="J2954" s="8" t="e">
        <f t="shared" ca="1" si="576"/>
        <v>#N/A</v>
      </c>
      <c r="K2954" s="9" t="e">
        <f t="shared" ca="1" si="577"/>
        <v>#N/A</v>
      </c>
      <c r="L2954" t="e">
        <f ca="1">+_xlfn.IFNA(VLOOKUP(M2954,BespokeWindowsAreas!$B$2:$E$1999,4,FALSE),VLOOKUP(E2954,WindowTypeArea!$B$2:$C$113,2,FALSE))</f>
        <v>#N/A</v>
      </c>
      <c r="M2954" t="e">
        <f t="shared" ca="1" si="568"/>
        <v>#N/A</v>
      </c>
    </row>
    <row r="2955" spans="1:13" x14ac:dyDescent="0.25">
      <c r="A2955" t="e">
        <f t="shared" ca="1" si="566"/>
        <v>#N/A</v>
      </c>
      <c r="B2955" t="e">
        <f t="shared" ca="1" si="567"/>
        <v>#N/A</v>
      </c>
      <c r="C2955" t="e">
        <f t="shared" ca="1" si="569"/>
        <v>#N/A</v>
      </c>
      <c r="D2955" s="6" t="e">
        <f t="shared" ca="1" si="570"/>
        <v>#N/A</v>
      </c>
      <c r="E2955" t="e">
        <f t="shared" ca="1" si="571"/>
        <v>#N/A</v>
      </c>
      <c r="F2955" t="e">
        <f t="shared" ca="1" si="572"/>
        <v>#N/A</v>
      </c>
      <c r="G2955" t="e">
        <f t="shared" ca="1" si="573"/>
        <v>#N/A</v>
      </c>
      <c r="H2955" t="e">
        <f t="shared" ca="1" si="574"/>
        <v>#N/A</v>
      </c>
      <c r="I2955" t="e">
        <f t="shared" ca="1" si="575"/>
        <v>#N/A</v>
      </c>
      <c r="J2955" s="8" t="e">
        <f t="shared" ca="1" si="576"/>
        <v>#N/A</v>
      </c>
      <c r="K2955" s="9" t="e">
        <f t="shared" ca="1" si="577"/>
        <v>#N/A</v>
      </c>
      <c r="L2955" t="e">
        <f ca="1">+_xlfn.IFNA(VLOOKUP(M2955,BespokeWindowsAreas!$B$2:$E$1999,4,FALSE),VLOOKUP(E2955,WindowTypeArea!$B$2:$C$113,2,FALSE))</f>
        <v>#N/A</v>
      </c>
      <c r="M2955" t="e">
        <f t="shared" ca="1" si="568"/>
        <v>#N/A</v>
      </c>
    </row>
    <row r="2956" spans="1:13" x14ac:dyDescent="0.25">
      <c r="A2956" t="e">
        <f t="shared" ca="1" si="566"/>
        <v>#N/A</v>
      </c>
      <c r="B2956" t="e">
        <f t="shared" ca="1" si="567"/>
        <v>#N/A</v>
      </c>
      <c r="C2956" t="e">
        <f t="shared" ca="1" si="569"/>
        <v>#N/A</v>
      </c>
      <c r="D2956" s="6" t="e">
        <f t="shared" ca="1" si="570"/>
        <v>#N/A</v>
      </c>
      <c r="E2956" t="e">
        <f t="shared" ca="1" si="571"/>
        <v>#N/A</v>
      </c>
      <c r="F2956" t="e">
        <f t="shared" ca="1" si="572"/>
        <v>#N/A</v>
      </c>
      <c r="G2956" t="e">
        <f t="shared" ca="1" si="573"/>
        <v>#N/A</v>
      </c>
      <c r="H2956" t="e">
        <f t="shared" ca="1" si="574"/>
        <v>#N/A</v>
      </c>
      <c r="I2956" t="e">
        <f t="shared" ca="1" si="575"/>
        <v>#N/A</v>
      </c>
      <c r="J2956" s="8" t="e">
        <f t="shared" ca="1" si="576"/>
        <v>#N/A</v>
      </c>
      <c r="K2956" s="9" t="e">
        <f t="shared" ca="1" si="577"/>
        <v>#N/A</v>
      </c>
      <c r="L2956" t="e">
        <f ca="1">+_xlfn.IFNA(VLOOKUP(M2956,BespokeWindowsAreas!$B$2:$E$1999,4,FALSE),VLOOKUP(E2956,WindowTypeArea!$B$2:$C$113,2,FALSE))</f>
        <v>#N/A</v>
      </c>
      <c r="M2956" t="e">
        <f t="shared" ca="1" si="568"/>
        <v>#N/A</v>
      </c>
    </row>
    <row r="2957" spans="1:13" x14ac:dyDescent="0.25">
      <c r="A2957" t="e">
        <f t="shared" ca="1" si="566"/>
        <v>#N/A</v>
      </c>
      <c r="B2957" t="e">
        <f t="shared" ca="1" si="567"/>
        <v>#N/A</v>
      </c>
      <c r="C2957" t="e">
        <f t="shared" ca="1" si="569"/>
        <v>#N/A</v>
      </c>
      <c r="D2957" s="6" t="e">
        <f t="shared" ca="1" si="570"/>
        <v>#N/A</v>
      </c>
      <c r="E2957" t="e">
        <f t="shared" ca="1" si="571"/>
        <v>#N/A</v>
      </c>
      <c r="F2957" t="e">
        <f t="shared" ca="1" si="572"/>
        <v>#N/A</v>
      </c>
      <c r="G2957" t="e">
        <f t="shared" ca="1" si="573"/>
        <v>#N/A</v>
      </c>
      <c r="H2957" t="e">
        <f t="shared" ca="1" si="574"/>
        <v>#N/A</v>
      </c>
      <c r="I2957" t="e">
        <f t="shared" ca="1" si="575"/>
        <v>#N/A</v>
      </c>
      <c r="J2957" s="8" t="e">
        <f t="shared" ca="1" si="576"/>
        <v>#N/A</v>
      </c>
      <c r="K2957" s="9" t="e">
        <f t="shared" ca="1" si="577"/>
        <v>#N/A</v>
      </c>
      <c r="L2957" t="e">
        <f ca="1">+_xlfn.IFNA(VLOOKUP(M2957,BespokeWindowsAreas!$B$2:$E$1999,4,FALSE),VLOOKUP(E2957,WindowTypeArea!$B$2:$C$113,2,FALSE))</f>
        <v>#N/A</v>
      </c>
      <c r="M2957" t="e">
        <f t="shared" ca="1" si="568"/>
        <v>#N/A</v>
      </c>
    </row>
    <row r="2958" spans="1:13" x14ac:dyDescent="0.25">
      <c r="A2958" t="e">
        <f t="shared" ca="1" si="566"/>
        <v>#N/A</v>
      </c>
      <c r="B2958" t="e">
        <f t="shared" ca="1" si="567"/>
        <v>#N/A</v>
      </c>
      <c r="C2958" t="e">
        <f t="shared" ca="1" si="569"/>
        <v>#N/A</v>
      </c>
      <c r="D2958" s="6" t="e">
        <f t="shared" ca="1" si="570"/>
        <v>#N/A</v>
      </c>
      <c r="E2958" t="e">
        <f t="shared" ca="1" si="571"/>
        <v>#N/A</v>
      </c>
      <c r="F2958" t="e">
        <f t="shared" ca="1" si="572"/>
        <v>#N/A</v>
      </c>
      <c r="G2958" t="e">
        <f t="shared" ca="1" si="573"/>
        <v>#N/A</v>
      </c>
      <c r="H2958" t="e">
        <f t="shared" ca="1" si="574"/>
        <v>#N/A</v>
      </c>
      <c r="I2958" t="e">
        <f t="shared" ca="1" si="575"/>
        <v>#N/A</v>
      </c>
      <c r="J2958" s="8" t="e">
        <f t="shared" ca="1" si="576"/>
        <v>#N/A</v>
      </c>
      <c r="K2958" s="9" t="e">
        <f t="shared" ca="1" si="577"/>
        <v>#N/A</v>
      </c>
      <c r="L2958" t="e">
        <f ca="1">+_xlfn.IFNA(VLOOKUP(M2958,BespokeWindowsAreas!$B$2:$E$1999,4,FALSE),VLOOKUP(E2958,WindowTypeArea!$B$2:$C$113,2,FALSE))</f>
        <v>#N/A</v>
      </c>
      <c r="M2958" t="e">
        <f t="shared" ca="1" si="568"/>
        <v>#N/A</v>
      </c>
    </row>
    <row r="2959" spans="1:13" x14ac:dyDescent="0.25">
      <c r="A2959" t="e">
        <f t="shared" ca="1" si="566"/>
        <v>#N/A</v>
      </c>
      <c r="B2959" t="e">
        <f t="shared" ca="1" si="567"/>
        <v>#N/A</v>
      </c>
      <c r="C2959" t="e">
        <f t="shared" ca="1" si="569"/>
        <v>#N/A</v>
      </c>
      <c r="D2959" s="6" t="e">
        <f t="shared" ca="1" si="570"/>
        <v>#N/A</v>
      </c>
      <c r="E2959" t="e">
        <f t="shared" ca="1" si="571"/>
        <v>#N/A</v>
      </c>
      <c r="F2959" t="e">
        <f t="shared" ca="1" si="572"/>
        <v>#N/A</v>
      </c>
      <c r="G2959" t="e">
        <f t="shared" ca="1" si="573"/>
        <v>#N/A</v>
      </c>
      <c r="H2959" t="e">
        <f t="shared" ca="1" si="574"/>
        <v>#N/A</v>
      </c>
      <c r="I2959" t="e">
        <f t="shared" ca="1" si="575"/>
        <v>#N/A</v>
      </c>
      <c r="J2959" s="8" t="e">
        <f t="shared" ca="1" si="576"/>
        <v>#N/A</v>
      </c>
      <c r="K2959" s="9" t="e">
        <f t="shared" ca="1" si="577"/>
        <v>#N/A</v>
      </c>
      <c r="L2959" t="e">
        <f ca="1">+_xlfn.IFNA(VLOOKUP(M2959,BespokeWindowsAreas!$B$2:$E$1999,4,FALSE),VLOOKUP(E2959,WindowTypeArea!$B$2:$C$113,2,FALSE))</f>
        <v>#N/A</v>
      </c>
      <c r="M2959" t="e">
        <f t="shared" ca="1" si="568"/>
        <v>#N/A</v>
      </c>
    </row>
    <row r="2960" spans="1:13" x14ac:dyDescent="0.25">
      <c r="A2960" t="e">
        <f t="shared" ca="1" si="566"/>
        <v>#N/A</v>
      </c>
      <c r="B2960" t="e">
        <f t="shared" ca="1" si="567"/>
        <v>#N/A</v>
      </c>
      <c r="C2960" t="e">
        <f t="shared" ca="1" si="569"/>
        <v>#N/A</v>
      </c>
      <c r="D2960" s="6" t="e">
        <f t="shared" ca="1" si="570"/>
        <v>#N/A</v>
      </c>
      <c r="E2960" t="e">
        <f t="shared" ca="1" si="571"/>
        <v>#N/A</v>
      </c>
      <c r="F2960" t="e">
        <f t="shared" ca="1" si="572"/>
        <v>#N/A</v>
      </c>
      <c r="G2960" t="e">
        <f t="shared" ca="1" si="573"/>
        <v>#N/A</v>
      </c>
      <c r="H2960" t="e">
        <f t="shared" ca="1" si="574"/>
        <v>#N/A</v>
      </c>
      <c r="I2960" t="e">
        <f t="shared" ca="1" si="575"/>
        <v>#N/A</v>
      </c>
      <c r="J2960" s="8" t="e">
        <f t="shared" ca="1" si="576"/>
        <v>#N/A</v>
      </c>
      <c r="K2960" s="9" t="e">
        <f t="shared" ca="1" si="577"/>
        <v>#N/A</v>
      </c>
      <c r="L2960" t="e">
        <f ca="1">+_xlfn.IFNA(VLOOKUP(M2960,BespokeWindowsAreas!$B$2:$E$1999,4,FALSE),VLOOKUP(E2960,WindowTypeArea!$B$2:$C$113,2,FALSE))</f>
        <v>#N/A</v>
      </c>
      <c r="M2960" t="e">
        <f t="shared" ca="1" si="568"/>
        <v>#N/A</v>
      </c>
    </row>
    <row r="2961" spans="1:13" x14ac:dyDescent="0.25">
      <c r="A2961" t="e">
        <f t="shared" ca="1" si="566"/>
        <v>#N/A</v>
      </c>
      <c r="B2961" t="e">
        <f t="shared" ca="1" si="567"/>
        <v>#N/A</v>
      </c>
      <c r="C2961" t="e">
        <f t="shared" ca="1" si="569"/>
        <v>#N/A</v>
      </c>
      <c r="D2961" s="6" t="e">
        <f t="shared" ca="1" si="570"/>
        <v>#N/A</v>
      </c>
      <c r="E2961" t="e">
        <f t="shared" ca="1" si="571"/>
        <v>#N/A</v>
      </c>
      <c r="F2961" t="e">
        <f t="shared" ca="1" si="572"/>
        <v>#N/A</v>
      </c>
      <c r="G2961" t="e">
        <f t="shared" ca="1" si="573"/>
        <v>#N/A</v>
      </c>
      <c r="H2961" t="e">
        <f t="shared" ca="1" si="574"/>
        <v>#N/A</v>
      </c>
      <c r="I2961" t="e">
        <f t="shared" ca="1" si="575"/>
        <v>#N/A</v>
      </c>
      <c r="J2961" s="8" t="e">
        <f t="shared" ca="1" si="576"/>
        <v>#N/A</v>
      </c>
      <c r="K2961" s="9" t="e">
        <f t="shared" ca="1" si="577"/>
        <v>#N/A</v>
      </c>
      <c r="L2961" t="e">
        <f ca="1">+_xlfn.IFNA(VLOOKUP(M2961,BespokeWindowsAreas!$B$2:$E$1999,4,FALSE),VLOOKUP(E2961,WindowTypeArea!$B$2:$C$113,2,FALSE))</f>
        <v>#N/A</v>
      </c>
      <c r="M2961" t="e">
        <f t="shared" ca="1" si="568"/>
        <v>#N/A</v>
      </c>
    </row>
    <row r="2962" spans="1:13" x14ac:dyDescent="0.25">
      <c r="A2962" t="e">
        <f t="shared" ca="1" si="566"/>
        <v>#N/A</v>
      </c>
      <c r="B2962" t="e">
        <f t="shared" ca="1" si="567"/>
        <v>#N/A</v>
      </c>
      <c r="C2962" t="e">
        <f t="shared" ca="1" si="569"/>
        <v>#N/A</v>
      </c>
      <c r="D2962" s="6" t="e">
        <f t="shared" ca="1" si="570"/>
        <v>#N/A</v>
      </c>
      <c r="E2962" t="e">
        <f t="shared" ca="1" si="571"/>
        <v>#N/A</v>
      </c>
      <c r="F2962" t="e">
        <f t="shared" ca="1" si="572"/>
        <v>#N/A</v>
      </c>
      <c r="G2962" t="e">
        <f t="shared" ca="1" si="573"/>
        <v>#N/A</v>
      </c>
      <c r="H2962" t="e">
        <f t="shared" ca="1" si="574"/>
        <v>#N/A</v>
      </c>
      <c r="I2962" t="e">
        <f t="shared" ca="1" si="575"/>
        <v>#N/A</v>
      </c>
      <c r="J2962" s="8" t="e">
        <f t="shared" ca="1" si="576"/>
        <v>#N/A</v>
      </c>
      <c r="K2962" s="9" t="e">
        <f t="shared" ca="1" si="577"/>
        <v>#N/A</v>
      </c>
      <c r="L2962" t="e">
        <f ca="1">+_xlfn.IFNA(VLOOKUP(M2962,BespokeWindowsAreas!$B$2:$E$1999,4,FALSE),VLOOKUP(E2962,WindowTypeArea!$B$2:$C$113,2,FALSE))</f>
        <v>#N/A</v>
      </c>
      <c r="M2962" t="e">
        <f t="shared" ca="1" si="568"/>
        <v>#N/A</v>
      </c>
    </row>
    <row r="2963" spans="1:13" x14ac:dyDescent="0.25">
      <c r="A2963" t="e">
        <f t="shared" ca="1" si="566"/>
        <v>#N/A</v>
      </c>
      <c r="B2963" t="e">
        <f t="shared" ca="1" si="567"/>
        <v>#N/A</v>
      </c>
      <c r="C2963" t="e">
        <f t="shared" ca="1" si="569"/>
        <v>#N/A</v>
      </c>
      <c r="D2963" s="6" t="e">
        <f t="shared" ca="1" si="570"/>
        <v>#N/A</v>
      </c>
      <c r="E2963" t="e">
        <f t="shared" ca="1" si="571"/>
        <v>#N/A</v>
      </c>
      <c r="F2963" t="e">
        <f t="shared" ca="1" si="572"/>
        <v>#N/A</v>
      </c>
      <c r="G2963" t="e">
        <f t="shared" ca="1" si="573"/>
        <v>#N/A</v>
      </c>
      <c r="H2963" t="e">
        <f t="shared" ca="1" si="574"/>
        <v>#N/A</v>
      </c>
      <c r="I2963" t="e">
        <f t="shared" ca="1" si="575"/>
        <v>#N/A</v>
      </c>
      <c r="J2963" s="8" t="e">
        <f t="shared" ca="1" si="576"/>
        <v>#N/A</v>
      </c>
      <c r="K2963" s="9" t="e">
        <f t="shared" ca="1" si="577"/>
        <v>#N/A</v>
      </c>
      <c r="L2963" t="e">
        <f ca="1">+_xlfn.IFNA(VLOOKUP(M2963,BespokeWindowsAreas!$B$2:$E$1999,4,FALSE),VLOOKUP(E2963,WindowTypeArea!$B$2:$C$113,2,FALSE))</f>
        <v>#N/A</v>
      </c>
      <c r="M2963" t="e">
        <f t="shared" ca="1" si="568"/>
        <v>#N/A</v>
      </c>
    </row>
    <row r="2964" spans="1:13" x14ac:dyDescent="0.25">
      <c r="A2964" t="e">
        <f t="shared" ref="A2964:A3027" ca="1" si="578">+IF(B2963&lt;=VLOOKUP(MID(C2964,2,26),TABS,2,FALSE),A2963,+A2963+1)</f>
        <v>#N/A</v>
      </c>
      <c r="B2964" t="e">
        <f t="shared" ref="B2964:B3027" ca="1" si="579">+IF(B2963&lt;=VLOOKUP(MID(C2964,2,26),TABS,2,FALSE),B2963+1,1)</f>
        <v>#N/A</v>
      </c>
      <c r="C2964" t="e">
        <f t="shared" ca="1" si="569"/>
        <v>#N/A</v>
      </c>
      <c r="D2964" s="6" t="e">
        <f t="shared" ca="1" si="570"/>
        <v>#N/A</v>
      </c>
      <c r="E2964" t="e">
        <f t="shared" ca="1" si="571"/>
        <v>#N/A</v>
      </c>
      <c r="F2964" t="e">
        <f t="shared" ca="1" si="572"/>
        <v>#N/A</v>
      </c>
      <c r="G2964" t="e">
        <f t="shared" ca="1" si="573"/>
        <v>#N/A</v>
      </c>
      <c r="H2964" t="e">
        <f t="shared" ca="1" si="574"/>
        <v>#N/A</v>
      </c>
      <c r="I2964" t="e">
        <f t="shared" ca="1" si="575"/>
        <v>#N/A</v>
      </c>
      <c r="J2964" s="8" t="e">
        <f t="shared" ca="1" si="576"/>
        <v>#N/A</v>
      </c>
      <c r="K2964" s="9" t="e">
        <f t="shared" ca="1" si="577"/>
        <v>#N/A</v>
      </c>
      <c r="L2964" t="e">
        <f ca="1">+_xlfn.IFNA(VLOOKUP(M2964,BespokeWindowsAreas!$B$2:$E$1999,4,FALSE),VLOOKUP(E2964,WindowTypeArea!$B$2:$C$113,2,FALSE))</f>
        <v>#N/A</v>
      </c>
      <c r="M2964" t="e">
        <f t="shared" ca="1" si="568"/>
        <v>#N/A</v>
      </c>
    </row>
    <row r="2965" spans="1:13" x14ac:dyDescent="0.25">
      <c r="A2965" t="e">
        <f t="shared" ca="1" si="578"/>
        <v>#N/A</v>
      </c>
      <c r="B2965" t="e">
        <f t="shared" ca="1" si="579"/>
        <v>#N/A</v>
      </c>
      <c r="C2965" t="e">
        <f t="shared" ca="1" si="569"/>
        <v>#N/A</v>
      </c>
      <c r="D2965" s="6" t="e">
        <f t="shared" ca="1" si="570"/>
        <v>#N/A</v>
      </c>
      <c r="E2965" t="e">
        <f t="shared" ca="1" si="571"/>
        <v>#N/A</v>
      </c>
      <c r="F2965" t="e">
        <f t="shared" ca="1" si="572"/>
        <v>#N/A</v>
      </c>
      <c r="G2965" t="e">
        <f t="shared" ca="1" si="573"/>
        <v>#N/A</v>
      </c>
      <c r="H2965" t="e">
        <f t="shared" ca="1" si="574"/>
        <v>#N/A</v>
      </c>
      <c r="I2965" t="e">
        <f t="shared" ca="1" si="575"/>
        <v>#N/A</v>
      </c>
      <c r="J2965" s="8" t="e">
        <f t="shared" ca="1" si="576"/>
        <v>#N/A</v>
      </c>
      <c r="K2965" s="9" t="e">
        <f t="shared" ca="1" si="577"/>
        <v>#N/A</v>
      </c>
      <c r="L2965" t="e">
        <f ca="1">+_xlfn.IFNA(VLOOKUP(M2965,BespokeWindowsAreas!$B$2:$E$1999,4,FALSE),VLOOKUP(E2965,WindowTypeArea!$B$2:$C$113,2,FALSE))</f>
        <v>#N/A</v>
      </c>
      <c r="M2965" t="e">
        <f t="shared" ca="1" si="568"/>
        <v>#N/A</v>
      </c>
    </row>
    <row r="2966" spans="1:13" x14ac:dyDescent="0.25">
      <c r="A2966" t="e">
        <f t="shared" ca="1" si="578"/>
        <v>#N/A</v>
      </c>
      <c r="B2966" t="e">
        <f t="shared" ca="1" si="579"/>
        <v>#N/A</v>
      </c>
      <c r="C2966" t="e">
        <f t="shared" ca="1" si="569"/>
        <v>#N/A</v>
      </c>
      <c r="D2966" s="6" t="e">
        <f t="shared" ca="1" si="570"/>
        <v>#N/A</v>
      </c>
      <c r="E2966" t="e">
        <f t="shared" ca="1" si="571"/>
        <v>#N/A</v>
      </c>
      <c r="F2966" t="e">
        <f t="shared" ca="1" si="572"/>
        <v>#N/A</v>
      </c>
      <c r="G2966" t="e">
        <f t="shared" ca="1" si="573"/>
        <v>#N/A</v>
      </c>
      <c r="H2966" t="e">
        <f t="shared" ca="1" si="574"/>
        <v>#N/A</v>
      </c>
      <c r="I2966" t="e">
        <f t="shared" ca="1" si="575"/>
        <v>#N/A</v>
      </c>
      <c r="J2966" s="8" t="e">
        <f t="shared" ca="1" si="576"/>
        <v>#N/A</v>
      </c>
      <c r="K2966" s="9" t="e">
        <f t="shared" ca="1" si="577"/>
        <v>#N/A</v>
      </c>
      <c r="L2966" t="e">
        <f ca="1">+_xlfn.IFNA(VLOOKUP(M2966,BespokeWindowsAreas!$B$2:$E$1999,4,FALSE),VLOOKUP(E2966,WindowTypeArea!$B$2:$C$113,2,FALSE))</f>
        <v>#N/A</v>
      </c>
      <c r="M2966" t="e">
        <f t="shared" ref="M2966:M3029" ca="1" si="580">+OFFSET(INDIRECT(C2966),0,5)</f>
        <v>#N/A</v>
      </c>
    </row>
    <row r="2967" spans="1:13" x14ac:dyDescent="0.25">
      <c r="A2967" t="e">
        <f t="shared" ca="1" si="578"/>
        <v>#N/A</v>
      </c>
      <c r="B2967" t="e">
        <f t="shared" ca="1" si="579"/>
        <v>#N/A</v>
      </c>
      <c r="C2967" t="e">
        <f t="shared" ca="1" si="569"/>
        <v>#N/A</v>
      </c>
      <c r="D2967" s="6" t="e">
        <f t="shared" ca="1" si="570"/>
        <v>#N/A</v>
      </c>
      <c r="E2967" t="e">
        <f t="shared" ca="1" si="571"/>
        <v>#N/A</v>
      </c>
      <c r="F2967" t="e">
        <f t="shared" ca="1" si="572"/>
        <v>#N/A</v>
      </c>
      <c r="G2967" t="e">
        <f t="shared" ca="1" si="573"/>
        <v>#N/A</v>
      </c>
      <c r="H2967" t="e">
        <f t="shared" ca="1" si="574"/>
        <v>#N/A</v>
      </c>
      <c r="I2967" t="e">
        <f t="shared" ca="1" si="575"/>
        <v>#N/A</v>
      </c>
      <c r="J2967" s="8" t="e">
        <f t="shared" ca="1" si="576"/>
        <v>#N/A</v>
      </c>
      <c r="K2967" s="9" t="e">
        <f t="shared" ca="1" si="577"/>
        <v>#N/A</v>
      </c>
      <c r="L2967" t="e">
        <f ca="1">+_xlfn.IFNA(VLOOKUP(M2967,BespokeWindowsAreas!$B$2:$E$1999,4,FALSE),VLOOKUP(E2967,WindowTypeArea!$B$2:$C$113,2,FALSE))</f>
        <v>#N/A</v>
      </c>
      <c r="M2967" t="e">
        <f t="shared" ca="1" si="580"/>
        <v>#N/A</v>
      </c>
    </row>
    <row r="2968" spans="1:13" x14ac:dyDescent="0.25">
      <c r="A2968" t="e">
        <f t="shared" ca="1" si="578"/>
        <v>#N/A</v>
      </c>
      <c r="B2968" t="e">
        <f t="shared" ca="1" si="579"/>
        <v>#N/A</v>
      </c>
      <c r="C2968" t="e">
        <f t="shared" ca="1" si="569"/>
        <v>#N/A</v>
      </c>
      <c r="D2968" s="6" t="e">
        <f t="shared" ca="1" si="570"/>
        <v>#N/A</v>
      </c>
      <c r="E2968" t="e">
        <f t="shared" ca="1" si="571"/>
        <v>#N/A</v>
      </c>
      <c r="F2968" t="e">
        <f t="shared" ca="1" si="572"/>
        <v>#N/A</v>
      </c>
      <c r="G2968" t="e">
        <f t="shared" ca="1" si="573"/>
        <v>#N/A</v>
      </c>
      <c r="H2968" t="e">
        <f t="shared" ca="1" si="574"/>
        <v>#N/A</v>
      </c>
      <c r="I2968" t="e">
        <f t="shared" ca="1" si="575"/>
        <v>#N/A</v>
      </c>
      <c r="J2968" s="8" t="e">
        <f t="shared" ca="1" si="576"/>
        <v>#N/A</v>
      </c>
      <c r="K2968" s="9" t="e">
        <f t="shared" ca="1" si="577"/>
        <v>#N/A</v>
      </c>
      <c r="L2968" t="e">
        <f ca="1">+_xlfn.IFNA(VLOOKUP(M2968,BespokeWindowsAreas!$B$2:$E$1999,4,FALSE),VLOOKUP(E2968,WindowTypeArea!$B$2:$C$113,2,FALSE))</f>
        <v>#N/A</v>
      </c>
      <c r="M2968" t="e">
        <f t="shared" ca="1" si="580"/>
        <v>#N/A</v>
      </c>
    </row>
    <row r="2969" spans="1:13" x14ac:dyDescent="0.25">
      <c r="A2969" t="e">
        <f t="shared" ca="1" si="578"/>
        <v>#N/A</v>
      </c>
      <c r="B2969" t="e">
        <f t="shared" ca="1" si="579"/>
        <v>#N/A</v>
      </c>
      <c r="C2969" t="e">
        <f t="shared" ca="1" si="569"/>
        <v>#N/A</v>
      </c>
      <c r="D2969" s="6" t="e">
        <f t="shared" ca="1" si="570"/>
        <v>#N/A</v>
      </c>
      <c r="E2969" t="e">
        <f t="shared" ca="1" si="571"/>
        <v>#N/A</v>
      </c>
      <c r="F2969" t="e">
        <f t="shared" ca="1" si="572"/>
        <v>#N/A</v>
      </c>
      <c r="G2969" t="e">
        <f t="shared" ca="1" si="573"/>
        <v>#N/A</v>
      </c>
      <c r="H2969" t="e">
        <f t="shared" ca="1" si="574"/>
        <v>#N/A</v>
      </c>
      <c r="I2969" t="e">
        <f t="shared" ca="1" si="575"/>
        <v>#N/A</v>
      </c>
      <c r="J2969" s="8" t="e">
        <f t="shared" ca="1" si="576"/>
        <v>#N/A</v>
      </c>
      <c r="K2969" s="9" t="e">
        <f t="shared" ca="1" si="577"/>
        <v>#N/A</v>
      </c>
      <c r="L2969" t="e">
        <f ca="1">+_xlfn.IFNA(VLOOKUP(M2969,BespokeWindowsAreas!$B$2:$E$1999,4,FALSE),VLOOKUP(E2969,WindowTypeArea!$B$2:$C$113,2,FALSE))</f>
        <v>#N/A</v>
      </c>
      <c r="M2969" t="e">
        <f t="shared" ca="1" si="580"/>
        <v>#N/A</v>
      </c>
    </row>
    <row r="2970" spans="1:13" x14ac:dyDescent="0.25">
      <c r="A2970" t="e">
        <f t="shared" ca="1" si="578"/>
        <v>#N/A</v>
      </c>
      <c r="B2970" t="e">
        <f t="shared" ca="1" si="579"/>
        <v>#N/A</v>
      </c>
      <c r="C2970" t="e">
        <f t="shared" ca="1" si="569"/>
        <v>#N/A</v>
      </c>
      <c r="D2970" s="6" t="e">
        <f t="shared" ca="1" si="570"/>
        <v>#N/A</v>
      </c>
      <c r="E2970" t="e">
        <f t="shared" ca="1" si="571"/>
        <v>#N/A</v>
      </c>
      <c r="F2970" t="e">
        <f t="shared" ca="1" si="572"/>
        <v>#N/A</v>
      </c>
      <c r="G2970" t="e">
        <f t="shared" ca="1" si="573"/>
        <v>#N/A</v>
      </c>
      <c r="H2970" t="e">
        <f t="shared" ca="1" si="574"/>
        <v>#N/A</v>
      </c>
      <c r="I2970" t="e">
        <f t="shared" ca="1" si="575"/>
        <v>#N/A</v>
      </c>
      <c r="J2970" s="8" t="e">
        <f t="shared" ca="1" si="576"/>
        <v>#N/A</v>
      </c>
      <c r="K2970" s="9" t="e">
        <f t="shared" ca="1" si="577"/>
        <v>#N/A</v>
      </c>
      <c r="L2970" t="e">
        <f ca="1">+_xlfn.IFNA(VLOOKUP(M2970,BespokeWindowsAreas!$B$2:$E$1999,4,FALSE),VLOOKUP(E2970,WindowTypeArea!$B$2:$C$113,2,FALSE))</f>
        <v>#N/A</v>
      </c>
      <c r="M2970" t="e">
        <f t="shared" ca="1" si="580"/>
        <v>#N/A</v>
      </c>
    </row>
    <row r="2971" spans="1:13" x14ac:dyDescent="0.25">
      <c r="A2971" t="e">
        <f t="shared" ca="1" si="578"/>
        <v>#N/A</v>
      </c>
      <c r="B2971" t="e">
        <f t="shared" ca="1" si="579"/>
        <v>#N/A</v>
      </c>
      <c r="C2971" t="e">
        <f t="shared" ca="1" si="569"/>
        <v>#N/A</v>
      </c>
      <c r="D2971" s="6" t="e">
        <f t="shared" ca="1" si="570"/>
        <v>#N/A</v>
      </c>
      <c r="E2971" t="e">
        <f t="shared" ca="1" si="571"/>
        <v>#N/A</v>
      </c>
      <c r="F2971" t="e">
        <f t="shared" ca="1" si="572"/>
        <v>#N/A</v>
      </c>
      <c r="G2971" t="e">
        <f t="shared" ca="1" si="573"/>
        <v>#N/A</v>
      </c>
      <c r="H2971" t="e">
        <f t="shared" ca="1" si="574"/>
        <v>#N/A</v>
      </c>
      <c r="I2971" t="e">
        <f t="shared" ca="1" si="575"/>
        <v>#N/A</v>
      </c>
      <c r="J2971" s="8" t="e">
        <f t="shared" ca="1" si="576"/>
        <v>#N/A</v>
      </c>
      <c r="K2971" s="9" t="e">
        <f t="shared" ca="1" si="577"/>
        <v>#N/A</v>
      </c>
      <c r="L2971" t="e">
        <f ca="1">+_xlfn.IFNA(VLOOKUP(M2971,BespokeWindowsAreas!$B$2:$E$1999,4,FALSE),VLOOKUP(E2971,WindowTypeArea!$B$2:$C$113,2,FALSE))</f>
        <v>#N/A</v>
      </c>
      <c r="M2971" t="e">
        <f t="shared" ca="1" si="580"/>
        <v>#N/A</v>
      </c>
    </row>
    <row r="2972" spans="1:13" x14ac:dyDescent="0.25">
      <c r="A2972" t="e">
        <f t="shared" ca="1" si="578"/>
        <v>#N/A</v>
      </c>
      <c r="B2972" t="e">
        <f t="shared" ca="1" si="579"/>
        <v>#N/A</v>
      </c>
      <c r="C2972" t="e">
        <f t="shared" ca="1" si="569"/>
        <v>#N/A</v>
      </c>
      <c r="D2972" s="6" t="e">
        <f t="shared" ca="1" si="570"/>
        <v>#N/A</v>
      </c>
      <c r="E2972" t="e">
        <f t="shared" ca="1" si="571"/>
        <v>#N/A</v>
      </c>
      <c r="F2972" t="e">
        <f t="shared" ca="1" si="572"/>
        <v>#N/A</v>
      </c>
      <c r="G2972" t="e">
        <f t="shared" ca="1" si="573"/>
        <v>#N/A</v>
      </c>
      <c r="H2972" t="e">
        <f t="shared" ca="1" si="574"/>
        <v>#N/A</v>
      </c>
      <c r="I2972" t="e">
        <f t="shared" ca="1" si="575"/>
        <v>#N/A</v>
      </c>
      <c r="J2972" s="8" t="e">
        <f t="shared" ca="1" si="576"/>
        <v>#N/A</v>
      </c>
      <c r="K2972" s="9" t="e">
        <f t="shared" ca="1" si="577"/>
        <v>#N/A</v>
      </c>
      <c r="L2972" t="e">
        <f ca="1">+_xlfn.IFNA(VLOOKUP(M2972,BespokeWindowsAreas!$B$2:$E$1999,4,FALSE),VLOOKUP(E2972,WindowTypeArea!$B$2:$C$113,2,FALSE))</f>
        <v>#N/A</v>
      </c>
      <c r="M2972" t="e">
        <f t="shared" ca="1" si="580"/>
        <v>#N/A</v>
      </c>
    </row>
    <row r="2973" spans="1:13" x14ac:dyDescent="0.25">
      <c r="A2973" t="e">
        <f t="shared" ca="1" si="578"/>
        <v>#N/A</v>
      </c>
      <c r="B2973" t="e">
        <f t="shared" ca="1" si="579"/>
        <v>#N/A</v>
      </c>
      <c r="C2973" t="e">
        <f t="shared" ca="1" si="569"/>
        <v>#N/A</v>
      </c>
      <c r="D2973" s="6" t="e">
        <f t="shared" ca="1" si="570"/>
        <v>#N/A</v>
      </c>
      <c r="E2973" t="e">
        <f t="shared" ca="1" si="571"/>
        <v>#N/A</v>
      </c>
      <c r="F2973" t="e">
        <f t="shared" ca="1" si="572"/>
        <v>#N/A</v>
      </c>
      <c r="G2973" t="e">
        <f t="shared" ca="1" si="573"/>
        <v>#N/A</v>
      </c>
      <c r="H2973" t="e">
        <f t="shared" ca="1" si="574"/>
        <v>#N/A</v>
      </c>
      <c r="I2973" t="e">
        <f t="shared" ca="1" si="575"/>
        <v>#N/A</v>
      </c>
      <c r="J2973" s="8" t="e">
        <f t="shared" ca="1" si="576"/>
        <v>#N/A</v>
      </c>
      <c r="K2973" s="9" t="e">
        <f t="shared" ca="1" si="577"/>
        <v>#N/A</v>
      </c>
      <c r="L2973" t="e">
        <f ca="1">+_xlfn.IFNA(VLOOKUP(M2973,BespokeWindowsAreas!$B$2:$E$1999,4,FALSE),VLOOKUP(E2973,WindowTypeArea!$B$2:$C$113,2,FALSE))</f>
        <v>#N/A</v>
      </c>
      <c r="M2973" t="e">
        <f t="shared" ca="1" si="580"/>
        <v>#N/A</v>
      </c>
    </row>
    <row r="2974" spans="1:13" x14ac:dyDescent="0.25">
      <c r="A2974" t="e">
        <f t="shared" ca="1" si="578"/>
        <v>#N/A</v>
      </c>
      <c r="B2974" t="e">
        <f t="shared" ca="1" si="579"/>
        <v>#N/A</v>
      </c>
      <c r="C2974" t="e">
        <f t="shared" ca="1" si="569"/>
        <v>#N/A</v>
      </c>
      <c r="D2974" s="6" t="e">
        <f t="shared" ca="1" si="570"/>
        <v>#N/A</v>
      </c>
      <c r="E2974" t="e">
        <f t="shared" ca="1" si="571"/>
        <v>#N/A</v>
      </c>
      <c r="F2974" t="e">
        <f t="shared" ca="1" si="572"/>
        <v>#N/A</v>
      </c>
      <c r="G2974" t="e">
        <f t="shared" ca="1" si="573"/>
        <v>#N/A</v>
      </c>
      <c r="H2974" t="e">
        <f t="shared" ca="1" si="574"/>
        <v>#N/A</v>
      </c>
      <c r="I2974" t="e">
        <f t="shared" ca="1" si="575"/>
        <v>#N/A</v>
      </c>
      <c r="J2974" s="8" t="e">
        <f t="shared" ca="1" si="576"/>
        <v>#N/A</v>
      </c>
      <c r="K2974" s="9" t="e">
        <f t="shared" ca="1" si="577"/>
        <v>#N/A</v>
      </c>
      <c r="L2974" t="e">
        <f ca="1">+_xlfn.IFNA(VLOOKUP(M2974,BespokeWindowsAreas!$B$2:$E$1999,4,FALSE),VLOOKUP(E2974,WindowTypeArea!$B$2:$C$113,2,FALSE))</f>
        <v>#N/A</v>
      </c>
      <c r="M2974" t="e">
        <f t="shared" ca="1" si="580"/>
        <v>#N/A</v>
      </c>
    </row>
    <row r="2975" spans="1:13" x14ac:dyDescent="0.25">
      <c r="A2975" t="e">
        <f t="shared" ca="1" si="578"/>
        <v>#N/A</v>
      </c>
      <c r="B2975" t="e">
        <f t="shared" ca="1" si="579"/>
        <v>#N/A</v>
      </c>
      <c r="C2975" t="e">
        <f t="shared" ca="1" si="569"/>
        <v>#N/A</v>
      </c>
      <c r="D2975" s="6" t="e">
        <f t="shared" ca="1" si="570"/>
        <v>#N/A</v>
      </c>
      <c r="E2975" t="e">
        <f t="shared" ca="1" si="571"/>
        <v>#N/A</v>
      </c>
      <c r="F2975" t="e">
        <f t="shared" ca="1" si="572"/>
        <v>#N/A</v>
      </c>
      <c r="G2975" t="e">
        <f t="shared" ca="1" si="573"/>
        <v>#N/A</v>
      </c>
      <c r="H2975" t="e">
        <f t="shared" ca="1" si="574"/>
        <v>#N/A</v>
      </c>
      <c r="I2975" t="e">
        <f t="shared" ca="1" si="575"/>
        <v>#N/A</v>
      </c>
      <c r="J2975" s="8" t="e">
        <f t="shared" ca="1" si="576"/>
        <v>#N/A</v>
      </c>
      <c r="K2975" s="9" t="e">
        <f t="shared" ca="1" si="577"/>
        <v>#N/A</v>
      </c>
      <c r="L2975" t="e">
        <f ca="1">+_xlfn.IFNA(VLOOKUP(M2975,BespokeWindowsAreas!$B$2:$E$1999,4,FALSE),VLOOKUP(E2975,WindowTypeArea!$B$2:$C$113,2,FALSE))</f>
        <v>#N/A</v>
      </c>
      <c r="M2975" t="e">
        <f t="shared" ca="1" si="580"/>
        <v>#N/A</v>
      </c>
    </row>
    <row r="2976" spans="1:13" x14ac:dyDescent="0.25">
      <c r="A2976" t="e">
        <f t="shared" ca="1" si="578"/>
        <v>#N/A</v>
      </c>
      <c r="B2976" t="e">
        <f t="shared" ca="1" si="579"/>
        <v>#N/A</v>
      </c>
      <c r="C2976" t="e">
        <f t="shared" ca="1" si="569"/>
        <v>#N/A</v>
      </c>
      <c r="D2976" s="6" t="e">
        <f t="shared" ca="1" si="570"/>
        <v>#N/A</v>
      </c>
      <c r="E2976" t="e">
        <f t="shared" ca="1" si="571"/>
        <v>#N/A</v>
      </c>
      <c r="F2976" t="e">
        <f t="shared" ca="1" si="572"/>
        <v>#N/A</v>
      </c>
      <c r="G2976" t="e">
        <f t="shared" ca="1" si="573"/>
        <v>#N/A</v>
      </c>
      <c r="H2976" t="e">
        <f t="shared" ca="1" si="574"/>
        <v>#N/A</v>
      </c>
      <c r="I2976" t="e">
        <f t="shared" ca="1" si="575"/>
        <v>#N/A</v>
      </c>
      <c r="J2976" s="8" t="e">
        <f t="shared" ca="1" si="576"/>
        <v>#N/A</v>
      </c>
      <c r="K2976" s="9" t="e">
        <f t="shared" ca="1" si="577"/>
        <v>#N/A</v>
      </c>
      <c r="L2976" t="e">
        <f ca="1">+_xlfn.IFNA(VLOOKUP(M2976,BespokeWindowsAreas!$B$2:$E$1999,4,FALSE),VLOOKUP(E2976,WindowTypeArea!$B$2:$C$113,2,FALSE))</f>
        <v>#N/A</v>
      </c>
      <c r="M2976" t="e">
        <f t="shared" ca="1" si="580"/>
        <v>#N/A</v>
      </c>
    </row>
    <row r="2977" spans="1:13" x14ac:dyDescent="0.25">
      <c r="A2977" t="e">
        <f t="shared" ca="1" si="578"/>
        <v>#N/A</v>
      </c>
      <c r="B2977" t="e">
        <f t="shared" ca="1" si="579"/>
        <v>#N/A</v>
      </c>
      <c r="C2977" t="e">
        <f t="shared" ca="1" si="569"/>
        <v>#N/A</v>
      </c>
      <c r="D2977" s="6" t="e">
        <f t="shared" ca="1" si="570"/>
        <v>#N/A</v>
      </c>
      <c r="E2977" t="e">
        <f t="shared" ca="1" si="571"/>
        <v>#N/A</v>
      </c>
      <c r="F2977" t="e">
        <f t="shared" ca="1" si="572"/>
        <v>#N/A</v>
      </c>
      <c r="G2977" t="e">
        <f t="shared" ca="1" si="573"/>
        <v>#N/A</v>
      </c>
      <c r="H2977" t="e">
        <f t="shared" ca="1" si="574"/>
        <v>#N/A</v>
      </c>
      <c r="I2977" t="e">
        <f t="shared" ca="1" si="575"/>
        <v>#N/A</v>
      </c>
      <c r="J2977" s="8" t="e">
        <f t="shared" ca="1" si="576"/>
        <v>#N/A</v>
      </c>
      <c r="K2977" s="9" t="e">
        <f t="shared" ca="1" si="577"/>
        <v>#N/A</v>
      </c>
      <c r="L2977" t="e">
        <f ca="1">+_xlfn.IFNA(VLOOKUP(M2977,BespokeWindowsAreas!$B$2:$E$1999,4,FALSE),VLOOKUP(E2977,WindowTypeArea!$B$2:$C$113,2,FALSE))</f>
        <v>#N/A</v>
      </c>
      <c r="M2977" t="e">
        <f t="shared" ca="1" si="580"/>
        <v>#N/A</v>
      </c>
    </row>
    <row r="2978" spans="1:13" x14ac:dyDescent="0.25">
      <c r="A2978" t="e">
        <f t="shared" ca="1" si="578"/>
        <v>#N/A</v>
      </c>
      <c r="B2978" t="e">
        <f t="shared" ca="1" si="579"/>
        <v>#N/A</v>
      </c>
      <c r="C2978" t="e">
        <f t="shared" ca="1" si="569"/>
        <v>#N/A</v>
      </c>
      <c r="D2978" s="6" t="e">
        <f t="shared" ca="1" si="570"/>
        <v>#N/A</v>
      </c>
      <c r="E2978" t="e">
        <f t="shared" ca="1" si="571"/>
        <v>#N/A</v>
      </c>
      <c r="F2978" t="e">
        <f t="shared" ca="1" si="572"/>
        <v>#N/A</v>
      </c>
      <c r="G2978" t="e">
        <f t="shared" ca="1" si="573"/>
        <v>#N/A</v>
      </c>
      <c r="H2978" t="e">
        <f t="shared" ca="1" si="574"/>
        <v>#N/A</v>
      </c>
      <c r="I2978" t="e">
        <f t="shared" ca="1" si="575"/>
        <v>#N/A</v>
      </c>
      <c r="J2978" s="8" t="e">
        <f t="shared" ca="1" si="576"/>
        <v>#N/A</v>
      </c>
      <c r="K2978" s="9" t="e">
        <f t="shared" ca="1" si="577"/>
        <v>#N/A</v>
      </c>
      <c r="L2978" t="e">
        <f ca="1">+_xlfn.IFNA(VLOOKUP(M2978,BespokeWindowsAreas!$B$2:$E$1999,4,FALSE),VLOOKUP(E2978,WindowTypeArea!$B$2:$C$113,2,FALSE))</f>
        <v>#N/A</v>
      </c>
      <c r="M2978" t="e">
        <f t="shared" ca="1" si="580"/>
        <v>#N/A</v>
      </c>
    </row>
    <row r="2979" spans="1:13" x14ac:dyDescent="0.25">
      <c r="A2979" t="e">
        <f t="shared" ca="1" si="578"/>
        <v>#N/A</v>
      </c>
      <c r="B2979" t="e">
        <f t="shared" ca="1" si="579"/>
        <v>#N/A</v>
      </c>
      <c r="C2979" t="e">
        <f t="shared" ca="1" si="569"/>
        <v>#N/A</v>
      </c>
      <c r="D2979" s="6" t="e">
        <f t="shared" ca="1" si="570"/>
        <v>#N/A</v>
      </c>
      <c r="E2979" t="e">
        <f t="shared" ca="1" si="571"/>
        <v>#N/A</v>
      </c>
      <c r="F2979" t="e">
        <f t="shared" ca="1" si="572"/>
        <v>#N/A</v>
      </c>
      <c r="G2979" t="e">
        <f t="shared" ca="1" si="573"/>
        <v>#N/A</v>
      </c>
      <c r="H2979" t="e">
        <f t="shared" ca="1" si="574"/>
        <v>#N/A</v>
      </c>
      <c r="I2979" t="e">
        <f t="shared" ca="1" si="575"/>
        <v>#N/A</v>
      </c>
      <c r="J2979" s="8" t="e">
        <f t="shared" ca="1" si="576"/>
        <v>#N/A</v>
      </c>
      <c r="K2979" s="9" t="e">
        <f t="shared" ca="1" si="577"/>
        <v>#N/A</v>
      </c>
      <c r="L2979" t="e">
        <f ca="1">+_xlfn.IFNA(VLOOKUP(M2979,BespokeWindowsAreas!$B$2:$E$1999,4,FALSE),VLOOKUP(E2979,WindowTypeArea!$B$2:$C$113,2,FALSE))</f>
        <v>#N/A</v>
      </c>
      <c r="M2979" t="e">
        <f t="shared" ca="1" si="580"/>
        <v>#N/A</v>
      </c>
    </row>
    <row r="2980" spans="1:13" x14ac:dyDescent="0.25">
      <c r="A2980" t="e">
        <f t="shared" ca="1" si="578"/>
        <v>#N/A</v>
      </c>
      <c r="B2980" t="e">
        <f t="shared" ca="1" si="579"/>
        <v>#N/A</v>
      </c>
      <c r="C2980" t="e">
        <f t="shared" ca="1" si="569"/>
        <v>#N/A</v>
      </c>
      <c r="D2980" s="6" t="e">
        <f t="shared" ca="1" si="570"/>
        <v>#N/A</v>
      </c>
      <c r="E2980" t="e">
        <f t="shared" ca="1" si="571"/>
        <v>#N/A</v>
      </c>
      <c r="F2980" t="e">
        <f t="shared" ca="1" si="572"/>
        <v>#N/A</v>
      </c>
      <c r="G2980" t="e">
        <f t="shared" ca="1" si="573"/>
        <v>#N/A</v>
      </c>
      <c r="H2980" t="e">
        <f t="shared" ca="1" si="574"/>
        <v>#N/A</v>
      </c>
      <c r="I2980" t="e">
        <f t="shared" ca="1" si="575"/>
        <v>#N/A</v>
      </c>
      <c r="J2980" s="8" t="e">
        <f t="shared" ca="1" si="576"/>
        <v>#N/A</v>
      </c>
      <c r="K2980" s="9" t="e">
        <f t="shared" ca="1" si="577"/>
        <v>#N/A</v>
      </c>
      <c r="L2980" t="e">
        <f ca="1">+_xlfn.IFNA(VLOOKUP(M2980,BespokeWindowsAreas!$B$2:$E$1999,4,FALSE),VLOOKUP(E2980,WindowTypeArea!$B$2:$C$113,2,FALSE))</f>
        <v>#N/A</v>
      </c>
      <c r="M2980" t="e">
        <f t="shared" ca="1" si="580"/>
        <v>#N/A</v>
      </c>
    </row>
    <row r="2981" spans="1:13" x14ac:dyDescent="0.25">
      <c r="A2981" t="e">
        <f t="shared" ca="1" si="578"/>
        <v>#N/A</v>
      </c>
      <c r="B2981" t="e">
        <f t="shared" ca="1" si="579"/>
        <v>#N/A</v>
      </c>
      <c r="C2981" t="e">
        <f t="shared" ca="1" si="569"/>
        <v>#N/A</v>
      </c>
      <c r="D2981" s="6" t="e">
        <f t="shared" ca="1" si="570"/>
        <v>#N/A</v>
      </c>
      <c r="E2981" t="e">
        <f t="shared" ca="1" si="571"/>
        <v>#N/A</v>
      </c>
      <c r="F2981" t="e">
        <f t="shared" ca="1" si="572"/>
        <v>#N/A</v>
      </c>
      <c r="G2981" t="e">
        <f t="shared" ca="1" si="573"/>
        <v>#N/A</v>
      </c>
      <c r="H2981" t="e">
        <f t="shared" ca="1" si="574"/>
        <v>#N/A</v>
      </c>
      <c r="I2981" t="e">
        <f t="shared" ca="1" si="575"/>
        <v>#N/A</v>
      </c>
      <c r="J2981" s="8" t="e">
        <f t="shared" ca="1" si="576"/>
        <v>#N/A</v>
      </c>
      <c r="K2981" s="9" t="e">
        <f t="shared" ca="1" si="577"/>
        <v>#N/A</v>
      </c>
      <c r="L2981" t="e">
        <f ca="1">+_xlfn.IFNA(VLOOKUP(M2981,BespokeWindowsAreas!$B$2:$E$1999,4,FALSE),VLOOKUP(E2981,WindowTypeArea!$B$2:$C$113,2,FALSE))</f>
        <v>#N/A</v>
      </c>
      <c r="M2981" t="e">
        <f t="shared" ca="1" si="580"/>
        <v>#N/A</v>
      </c>
    </row>
    <row r="2982" spans="1:13" x14ac:dyDescent="0.25">
      <c r="A2982" t="e">
        <f t="shared" ca="1" si="578"/>
        <v>#N/A</v>
      </c>
      <c r="B2982" t="e">
        <f t="shared" ca="1" si="579"/>
        <v>#N/A</v>
      </c>
      <c r="C2982" t="e">
        <f t="shared" ca="1" si="569"/>
        <v>#N/A</v>
      </c>
      <c r="D2982" s="6" t="e">
        <f t="shared" ca="1" si="570"/>
        <v>#N/A</v>
      </c>
      <c r="E2982" t="e">
        <f t="shared" ca="1" si="571"/>
        <v>#N/A</v>
      </c>
      <c r="F2982" t="e">
        <f t="shared" ca="1" si="572"/>
        <v>#N/A</v>
      </c>
      <c r="G2982" t="e">
        <f t="shared" ca="1" si="573"/>
        <v>#N/A</v>
      </c>
      <c r="H2982" t="e">
        <f t="shared" ca="1" si="574"/>
        <v>#N/A</v>
      </c>
      <c r="I2982" t="e">
        <f t="shared" ca="1" si="575"/>
        <v>#N/A</v>
      </c>
      <c r="J2982" s="8" t="e">
        <f t="shared" ca="1" si="576"/>
        <v>#N/A</v>
      </c>
      <c r="K2982" s="9" t="e">
        <f t="shared" ca="1" si="577"/>
        <v>#N/A</v>
      </c>
      <c r="L2982" t="e">
        <f ca="1">+_xlfn.IFNA(VLOOKUP(M2982,BespokeWindowsAreas!$B$2:$E$1999,4,FALSE),VLOOKUP(E2982,WindowTypeArea!$B$2:$C$113,2,FALSE))</f>
        <v>#N/A</v>
      </c>
      <c r="M2982" t="e">
        <f t="shared" ca="1" si="580"/>
        <v>#N/A</v>
      </c>
    </row>
    <row r="2983" spans="1:13" x14ac:dyDescent="0.25">
      <c r="A2983" t="e">
        <f t="shared" ca="1" si="578"/>
        <v>#N/A</v>
      </c>
      <c r="B2983" t="e">
        <f t="shared" ca="1" si="579"/>
        <v>#N/A</v>
      </c>
      <c r="C2983" t="e">
        <f t="shared" ca="1" si="569"/>
        <v>#N/A</v>
      </c>
      <c r="D2983" s="6" t="e">
        <f t="shared" ca="1" si="570"/>
        <v>#N/A</v>
      </c>
      <c r="E2983" t="e">
        <f t="shared" ca="1" si="571"/>
        <v>#N/A</v>
      </c>
      <c r="F2983" t="e">
        <f t="shared" ca="1" si="572"/>
        <v>#N/A</v>
      </c>
      <c r="G2983" t="e">
        <f t="shared" ca="1" si="573"/>
        <v>#N/A</v>
      </c>
      <c r="H2983" t="e">
        <f t="shared" ca="1" si="574"/>
        <v>#N/A</v>
      </c>
      <c r="I2983" t="e">
        <f t="shared" ca="1" si="575"/>
        <v>#N/A</v>
      </c>
      <c r="J2983" s="8" t="e">
        <f t="shared" ca="1" si="576"/>
        <v>#N/A</v>
      </c>
      <c r="K2983" s="9" t="e">
        <f t="shared" ca="1" si="577"/>
        <v>#N/A</v>
      </c>
      <c r="L2983" t="e">
        <f ca="1">+_xlfn.IFNA(VLOOKUP(M2983,BespokeWindowsAreas!$B$2:$E$1999,4,FALSE),VLOOKUP(E2983,WindowTypeArea!$B$2:$C$113,2,FALSE))</f>
        <v>#N/A</v>
      </c>
      <c r="M2983" t="e">
        <f t="shared" ca="1" si="580"/>
        <v>#N/A</v>
      </c>
    </row>
    <row r="2984" spans="1:13" x14ac:dyDescent="0.25">
      <c r="A2984" t="e">
        <f t="shared" ca="1" si="578"/>
        <v>#N/A</v>
      </c>
      <c r="B2984" t="e">
        <f t="shared" ca="1" si="579"/>
        <v>#N/A</v>
      </c>
      <c r="C2984" t="e">
        <f t="shared" ca="1" si="569"/>
        <v>#N/A</v>
      </c>
      <c r="D2984" s="6" t="e">
        <f t="shared" ca="1" si="570"/>
        <v>#N/A</v>
      </c>
      <c r="E2984" t="e">
        <f t="shared" ca="1" si="571"/>
        <v>#N/A</v>
      </c>
      <c r="F2984" t="e">
        <f t="shared" ca="1" si="572"/>
        <v>#N/A</v>
      </c>
      <c r="G2984" t="e">
        <f t="shared" ca="1" si="573"/>
        <v>#N/A</v>
      </c>
      <c r="H2984" t="e">
        <f t="shared" ca="1" si="574"/>
        <v>#N/A</v>
      </c>
      <c r="I2984" t="e">
        <f t="shared" ca="1" si="575"/>
        <v>#N/A</v>
      </c>
      <c r="J2984" s="8" t="e">
        <f t="shared" ca="1" si="576"/>
        <v>#N/A</v>
      </c>
      <c r="K2984" s="9" t="e">
        <f t="shared" ca="1" si="577"/>
        <v>#N/A</v>
      </c>
      <c r="L2984" t="e">
        <f ca="1">+_xlfn.IFNA(VLOOKUP(M2984,BespokeWindowsAreas!$B$2:$E$1999,4,FALSE),VLOOKUP(E2984,WindowTypeArea!$B$2:$C$113,2,FALSE))</f>
        <v>#N/A</v>
      </c>
      <c r="M2984" t="e">
        <f t="shared" ca="1" si="580"/>
        <v>#N/A</v>
      </c>
    </row>
    <row r="2985" spans="1:13" x14ac:dyDescent="0.25">
      <c r="A2985" t="e">
        <f t="shared" ca="1" si="578"/>
        <v>#N/A</v>
      </c>
      <c r="B2985" t="e">
        <f t="shared" ca="1" si="579"/>
        <v>#N/A</v>
      </c>
      <c r="C2985" t="e">
        <f t="shared" ca="1" si="569"/>
        <v>#N/A</v>
      </c>
      <c r="D2985" s="6" t="e">
        <f t="shared" ca="1" si="570"/>
        <v>#N/A</v>
      </c>
      <c r="E2985" t="e">
        <f t="shared" ca="1" si="571"/>
        <v>#N/A</v>
      </c>
      <c r="F2985" t="e">
        <f t="shared" ca="1" si="572"/>
        <v>#N/A</v>
      </c>
      <c r="G2985" t="e">
        <f t="shared" ca="1" si="573"/>
        <v>#N/A</v>
      </c>
      <c r="H2985" t="e">
        <f t="shared" ca="1" si="574"/>
        <v>#N/A</v>
      </c>
      <c r="I2985" t="e">
        <f t="shared" ca="1" si="575"/>
        <v>#N/A</v>
      </c>
      <c r="J2985" s="8" t="e">
        <f t="shared" ca="1" si="576"/>
        <v>#N/A</v>
      </c>
      <c r="K2985" s="9" t="e">
        <f t="shared" ca="1" si="577"/>
        <v>#N/A</v>
      </c>
      <c r="L2985" t="e">
        <f ca="1">+_xlfn.IFNA(VLOOKUP(M2985,BespokeWindowsAreas!$B$2:$E$1999,4,FALSE),VLOOKUP(E2985,WindowTypeArea!$B$2:$C$113,2,FALSE))</f>
        <v>#N/A</v>
      </c>
      <c r="M2985" t="e">
        <f t="shared" ca="1" si="580"/>
        <v>#N/A</v>
      </c>
    </row>
    <row r="2986" spans="1:13" x14ac:dyDescent="0.25">
      <c r="A2986" t="e">
        <f t="shared" ca="1" si="578"/>
        <v>#N/A</v>
      </c>
      <c r="B2986" t="e">
        <f t="shared" ca="1" si="579"/>
        <v>#N/A</v>
      </c>
      <c r="C2986" t="e">
        <f t="shared" ca="1" si="569"/>
        <v>#N/A</v>
      </c>
      <c r="D2986" s="6" t="e">
        <f t="shared" ca="1" si="570"/>
        <v>#N/A</v>
      </c>
      <c r="E2986" t="e">
        <f t="shared" ca="1" si="571"/>
        <v>#N/A</v>
      </c>
      <c r="F2986" t="e">
        <f t="shared" ca="1" si="572"/>
        <v>#N/A</v>
      </c>
      <c r="G2986" t="e">
        <f t="shared" ca="1" si="573"/>
        <v>#N/A</v>
      </c>
      <c r="H2986" t="e">
        <f t="shared" ca="1" si="574"/>
        <v>#N/A</v>
      </c>
      <c r="I2986" t="e">
        <f t="shared" ca="1" si="575"/>
        <v>#N/A</v>
      </c>
      <c r="J2986" s="8" t="e">
        <f t="shared" ca="1" si="576"/>
        <v>#N/A</v>
      </c>
      <c r="K2986" s="9" t="e">
        <f t="shared" ca="1" si="577"/>
        <v>#N/A</v>
      </c>
      <c r="L2986" t="e">
        <f ca="1">+_xlfn.IFNA(VLOOKUP(M2986,BespokeWindowsAreas!$B$2:$E$1999,4,FALSE),VLOOKUP(E2986,WindowTypeArea!$B$2:$C$113,2,FALSE))</f>
        <v>#N/A</v>
      </c>
      <c r="M2986" t="e">
        <f t="shared" ca="1" si="580"/>
        <v>#N/A</v>
      </c>
    </row>
    <row r="2987" spans="1:13" x14ac:dyDescent="0.25">
      <c r="A2987" t="e">
        <f t="shared" ca="1" si="578"/>
        <v>#N/A</v>
      </c>
      <c r="B2987" t="e">
        <f t="shared" ca="1" si="579"/>
        <v>#N/A</v>
      </c>
      <c r="C2987" t="e">
        <f t="shared" ca="1" si="569"/>
        <v>#N/A</v>
      </c>
      <c r="D2987" s="6" t="e">
        <f t="shared" ca="1" si="570"/>
        <v>#N/A</v>
      </c>
      <c r="E2987" t="e">
        <f t="shared" ca="1" si="571"/>
        <v>#N/A</v>
      </c>
      <c r="F2987" t="e">
        <f t="shared" ca="1" si="572"/>
        <v>#N/A</v>
      </c>
      <c r="G2987" t="e">
        <f t="shared" ca="1" si="573"/>
        <v>#N/A</v>
      </c>
      <c r="H2987" t="e">
        <f t="shared" ca="1" si="574"/>
        <v>#N/A</v>
      </c>
      <c r="I2987" t="e">
        <f t="shared" ca="1" si="575"/>
        <v>#N/A</v>
      </c>
      <c r="J2987" s="8" t="e">
        <f t="shared" ca="1" si="576"/>
        <v>#N/A</v>
      </c>
      <c r="K2987" s="9" t="e">
        <f t="shared" ca="1" si="577"/>
        <v>#N/A</v>
      </c>
      <c r="L2987" t="e">
        <f ca="1">+_xlfn.IFNA(VLOOKUP(M2987,BespokeWindowsAreas!$B$2:$E$1999,4,FALSE),VLOOKUP(E2987,WindowTypeArea!$B$2:$C$113,2,FALSE))</f>
        <v>#N/A</v>
      </c>
      <c r="M2987" t="e">
        <f t="shared" ca="1" si="580"/>
        <v>#N/A</v>
      </c>
    </row>
    <row r="2988" spans="1:13" x14ac:dyDescent="0.25">
      <c r="A2988" t="e">
        <f t="shared" ca="1" si="578"/>
        <v>#N/A</v>
      </c>
      <c r="B2988" t="e">
        <f t="shared" ca="1" si="579"/>
        <v>#N/A</v>
      </c>
      <c r="C2988" t="e">
        <f t="shared" ca="1" si="569"/>
        <v>#N/A</v>
      </c>
      <c r="D2988" s="6" t="e">
        <f t="shared" ca="1" si="570"/>
        <v>#N/A</v>
      </c>
      <c r="E2988" t="e">
        <f t="shared" ca="1" si="571"/>
        <v>#N/A</v>
      </c>
      <c r="F2988" t="e">
        <f t="shared" ca="1" si="572"/>
        <v>#N/A</v>
      </c>
      <c r="G2988" t="e">
        <f t="shared" ca="1" si="573"/>
        <v>#N/A</v>
      </c>
      <c r="H2988" t="e">
        <f t="shared" ca="1" si="574"/>
        <v>#N/A</v>
      </c>
      <c r="I2988" t="e">
        <f t="shared" ca="1" si="575"/>
        <v>#N/A</v>
      </c>
      <c r="J2988" s="8" t="e">
        <f t="shared" ca="1" si="576"/>
        <v>#N/A</v>
      </c>
      <c r="K2988" s="9" t="e">
        <f t="shared" ca="1" si="577"/>
        <v>#N/A</v>
      </c>
      <c r="L2988" t="e">
        <f ca="1">+_xlfn.IFNA(VLOOKUP(M2988,BespokeWindowsAreas!$B$2:$E$1999,4,FALSE),VLOOKUP(E2988,WindowTypeArea!$B$2:$C$113,2,FALSE))</f>
        <v>#N/A</v>
      </c>
      <c r="M2988" t="e">
        <f t="shared" ca="1" si="580"/>
        <v>#N/A</v>
      </c>
    </row>
    <row r="2989" spans="1:13" x14ac:dyDescent="0.25">
      <c r="A2989" t="e">
        <f t="shared" ca="1" si="578"/>
        <v>#N/A</v>
      </c>
      <c r="B2989" t="e">
        <f t="shared" ca="1" si="579"/>
        <v>#N/A</v>
      </c>
      <c r="C2989" t="e">
        <f t="shared" ca="1" si="569"/>
        <v>#N/A</v>
      </c>
      <c r="D2989" s="6" t="e">
        <f t="shared" ca="1" si="570"/>
        <v>#N/A</v>
      </c>
      <c r="E2989" t="e">
        <f t="shared" ca="1" si="571"/>
        <v>#N/A</v>
      </c>
      <c r="F2989" t="e">
        <f t="shared" ca="1" si="572"/>
        <v>#N/A</v>
      </c>
      <c r="G2989" t="e">
        <f t="shared" ca="1" si="573"/>
        <v>#N/A</v>
      </c>
      <c r="H2989" t="e">
        <f t="shared" ca="1" si="574"/>
        <v>#N/A</v>
      </c>
      <c r="I2989" t="e">
        <f t="shared" ca="1" si="575"/>
        <v>#N/A</v>
      </c>
      <c r="J2989" s="8" t="e">
        <f t="shared" ca="1" si="576"/>
        <v>#N/A</v>
      </c>
      <c r="K2989" s="9" t="e">
        <f t="shared" ca="1" si="577"/>
        <v>#N/A</v>
      </c>
      <c r="L2989" t="e">
        <f ca="1">+_xlfn.IFNA(VLOOKUP(M2989,BespokeWindowsAreas!$B$2:$E$1999,4,FALSE),VLOOKUP(E2989,WindowTypeArea!$B$2:$C$113,2,FALSE))</f>
        <v>#N/A</v>
      </c>
      <c r="M2989" t="e">
        <f t="shared" ca="1" si="580"/>
        <v>#N/A</v>
      </c>
    </row>
    <row r="2990" spans="1:13" x14ac:dyDescent="0.25">
      <c r="A2990" t="e">
        <f t="shared" ca="1" si="578"/>
        <v>#N/A</v>
      </c>
      <c r="B2990" t="e">
        <f t="shared" ca="1" si="579"/>
        <v>#N/A</v>
      </c>
      <c r="C2990" t="e">
        <f t="shared" ca="1" si="569"/>
        <v>#N/A</v>
      </c>
      <c r="D2990" s="6" t="e">
        <f t="shared" ca="1" si="570"/>
        <v>#N/A</v>
      </c>
      <c r="E2990" t="e">
        <f t="shared" ca="1" si="571"/>
        <v>#N/A</v>
      </c>
      <c r="F2990" t="e">
        <f t="shared" ca="1" si="572"/>
        <v>#N/A</v>
      </c>
      <c r="G2990" t="e">
        <f t="shared" ca="1" si="573"/>
        <v>#N/A</v>
      </c>
      <c r="H2990" t="e">
        <f t="shared" ca="1" si="574"/>
        <v>#N/A</v>
      </c>
      <c r="I2990" t="e">
        <f t="shared" ca="1" si="575"/>
        <v>#N/A</v>
      </c>
      <c r="J2990" s="8" t="e">
        <f t="shared" ca="1" si="576"/>
        <v>#N/A</v>
      </c>
      <c r="K2990" s="9" t="e">
        <f t="shared" ca="1" si="577"/>
        <v>#N/A</v>
      </c>
      <c r="L2990" t="e">
        <f ca="1">+_xlfn.IFNA(VLOOKUP(M2990,BespokeWindowsAreas!$B$2:$E$1999,4,FALSE),VLOOKUP(E2990,WindowTypeArea!$B$2:$C$113,2,FALSE))</f>
        <v>#N/A</v>
      </c>
      <c r="M2990" t="e">
        <f t="shared" ca="1" si="580"/>
        <v>#N/A</v>
      </c>
    </row>
    <row r="2991" spans="1:13" x14ac:dyDescent="0.25">
      <c r="A2991" t="e">
        <f t="shared" ca="1" si="578"/>
        <v>#N/A</v>
      </c>
      <c r="B2991" t="e">
        <f t="shared" ca="1" si="579"/>
        <v>#N/A</v>
      </c>
      <c r="C2991" t="e">
        <f t="shared" ca="1" si="569"/>
        <v>#N/A</v>
      </c>
      <c r="D2991" s="6" t="e">
        <f t="shared" ca="1" si="570"/>
        <v>#N/A</v>
      </c>
      <c r="E2991" t="e">
        <f t="shared" ca="1" si="571"/>
        <v>#N/A</v>
      </c>
      <c r="F2991" t="e">
        <f t="shared" ca="1" si="572"/>
        <v>#N/A</v>
      </c>
      <c r="G2991" t="e">
        <f t="shared" ca="1" si="573"/>
        <v>#N/A</v>
      </c>
      <c r="H2991" t="e">
        <f t="shared" ca="1" si="574"/>
        <v>#N/A</v>
      </c>
      <c r="I2991" t="e">
        <f t="shared" ca="1" si="575"/>
        <v>#N/A</v>
      </c>
      <c r="J2991" s="8" t="e">
        <f t="shared" ca="1" si="576"/>
        <v>#N/A</v>
      </c>
      <c r="K2991" s="9" t="e">
        <f t="shared" ca="1" si="577"/>
        <v>#N/A</v>
      </c>
      <c r="L2991" t="e">
        <f ca="1">+_xlfn.IFNA(VLOOKUP(M2991,BespokeWindowsAreas!$B$2:$E$1999,4,FALSE),VLOOKUP(E2991,WindowTypeArea!$B$2:$C$113,2,FALSE))</f>
        <v>#N/A</v>
      </c>
      <c r="M2991" t="e">
        <f t="shared" ca="1" si="580"/>
        <v>#N/A</v>
      </c>
    </row>
    <row r="2992" spans="1:13" x14ac:dyDescent="0.25">
      <c r="A2992" t="e">
        <f t="shared" ca="1" si="578"/>
        <v>#N/A</v>
      </c>
      <c r="B2992" t="e">
        <f t="shared" ca="1" si="579"/>
        <v>#N/A</v>
      </c>
      <c r="C2992" t="e">
        <f t="shared" ca="1" si="569"/>
        <v>#N/A</v>
      </c>
      <c r="D2992" s="6" t="e">
        <f t="shared" ca="1" si="570"/>
        <v>#N/A</v>
      </c>
      <c r="E2992" t="e">
        <f t="shared" ca="1" si="571"/>
        <v>#N/A</v>
      </c>
      <c r="F2992" t="e">
        <f t="shared" ca="1" si="572"/>
        <v>#N/A</v>
      </c>
      <c r="G2992" t="e">
        <f t="shared" ca="1" si="573"/>
        <v>#N/A</v>
      </c>
      <c r="H2992" t="e">
        <f t="shared" ca="1" si="574"/>
        <v>#N/A</v>
      </c>
      <c r="I2992" t="e">
        <f t="shared" ca="1" si="575"/>
        <v>#N/A</v>
      </c>
      <c r="J2992" s="8" t="e">
        <f t="shared" ca="1" si="576"/>
        <v>#N/A</v>
      </c>
      <c r="K2992" s="9" t="e">
        <f t="shared" ca="1" si="577"/>
        <v>#N/A</v>
      </c>
      <c r="L2992" t="e">
        <f ca="1">+_xlfn.IFNA(VLOOKUP(M2992,BespokeWindowsAreas!$B$2:$E$1999,4,FALSE),VLOOKUP(E2992,WindowTypeArea!$B$2:$C$113,2,FALSE))</f>
        <v>#N/A</v>
      </c>
      <c r="M2992" t="e">
        <f t="shared" ca="1" si="580"/>
        <v>#N/A</v>
      </c>
    </row>
    <row r="2993" spans="1:13" x14ac:dyDescent="0.25">
      <c r="A2993" t="e">
        <f t="shared" ca="1" si="578"/>
        <v>#N/A</v>
      </c>
      <c r="B2993" t="e">
        <f t="shared" ca="1" si="579"/>
        <v>#N/A</v>
      </c>
      <c r="C2993" t="e">
        <f t="shared" ca="1" si="569"/>
        <v>#N/A</v>
      </c>
      <c r="D2993" s="6" t="e">
        <f t="shared" ca="1" si="570"/>
        <v>#N/A</v>
      </c>
      <c r="E2993" t="e">
        <f t="shared" ca="1" si="571"/>
        <v>#N/A</v>
      </c>
      <c r="F2993" t="e">
        <f t="shared" ca="1" si="572"/>
        <v>#N/A</v>
      </c>
      <c r="G2993" t="e">
        <f t="shared" ca="1" si="573"/>
        <v>#N/A</v>
      </c>
      <c r="H2993" t="e">
        <f t="shared" ca="1" si="574"/>
        <v>#N/A</v>
      </c>
      <c r="I2993" t="e">
        <f t="shared" ca="1" si="575"/>
        <v>#N/A</v>
      </c>
      <c r="J2993" s="8" t="e">
        <f t="shared" ca="1" si="576"/>
        <v>#N/A</v>
      </c>
      <c r="K2993" s="9" t="e">
        <f t="shared" ca="1" si="577"/>
        <v>#N/A</v>
      </c>
      <c r="L2993" t="e">
        <f ca="1">+_xlfn.IFNA(VLOOKUP(M2993,BespokeWindowsAreas!$B$2:$E$1999,4,FALSE),VLOOKUP(E2993,WindowTypeArea!$B$2:$C$113,2,FALSE))</f>
        <v>#N/A</v>
      </c>
      <c r="M2993" t="e">
        <f t="shared" ca="1" si="580"/>
        <v>#N/A</v>
      </c>
    </row>
    <row r="2994" spans="1:13" x14ac:dyDescent="0.25">
      <c r="A2994" t="e">
        <f t="shared" ca="1" si="578"/>
        <v>#N/A</v>
      </c>
      <c r="B2994" t="e">
        <f t="shared" ca="1" si="579"/>
        <v>#N/A</v>
      </c>
      <c r="C2994" t="e">
        <f t="shared" ca="1" si="569"/>
        <v>#N/A</v>
      </c>
      <c r="D2994" s="6" t="e">
        <f t="shared" ca="1" si="570"/>
        <v>#N/A</v>
      </c>
      <c r="E2994" t="e">
        <f t="shared" ca="1" si="571"/>
        <v>#N/A</v>
      </c>
      <c r="F2994" t="e">
        <f t="shared" ca="1" si="572"/>
        <v>#N/A</v>
      </c>
      <c r="G2994" t="e">
        <f t="shared" ca="1" si="573"/>
        <v>#N/A</v>
      </c>
      <c r="H2994" t="e">
        <f t="shared" ca="1" si="574"/>
        <v>#N/A</v>
      </c>
      <c r="I2994" t="e">
        <f t="shared" ca="1" si="575"/>
        <v>#N/A</v>
      </c>
      <c r="J2994" s="8" t="e">
        <f t="shared" ca="1" si="576"/>
        <v>#N/A</v>
      </c>
      <c r="K2994" s="9" t="e">
        <f t="shared" ca="1" si="577"/>
        <v>#N/A</v>
      </c>
      <c r="L2994" t="e">
        <f ca="1">+_xlfn.IFNA(VLOOKUP(M2994,BespokeWindowsAreas!$B$2:$E$1999,4,FALSE),VLOOKUP(E2994,WindowTypeArea!$B$2:$C$113,2,FALSE))</f>
        <v>#N/A</v>
      </c>
      <c r="M2994" t="e">
        <f t="shared" ca="1" si="580"/>
        <v>#N/A</v>
      </c>
    </row>
    <row r="2995" spans="1:13" x14ac:dyDescent="0.25">
      <c r="A2995" t="e">
        <f t="shared" ca="1" si="578"/>
        <v>#N/A</v>
      </c>
      <c r="B2995" t="e">
        <f t="shared" ca="1" si="579"/>
        <v>#N/A</v>
      </c>
      <c r="C2995" t="e">
        <f t="shared" ca="1" si="569"/>
        <v>#N/A</v>
      </c>
      <c r="D2995" s="6" t="e">
        <f t="shared" ca="1" si="570"/>
        <v>#N/A</v>
      </c>
      <c r="E2995" t="e">
        <f t="shared" ca="1" si="571"/>
        <v>#N/A</v>
      </c>
      <c r="F2995" t="e">
        <f t="shared" ca="1" si="572"/>
        <v>#N/A</v>
      </c>
      <c r="G2995" t="e">
        <f t="shared" ca="1" si="573"/>
        <v>#N/A</v>
      </c>
      <c r="H2995" t="e">
        <f t="shared" ca="1" si="574"/>
        <v>#N/A</v>
      </c>
      <c r="I2995" t="e">
        <f t="shared" ca="1" si="575"/>
        <v>#N/A</v>
      </c>
      <c r="J2995" s="8" t="e">
        <f t="shared" ca="1" si="576"/>
        <v>#N/A</v>
      </c>
      <c r="K2995" s="9" t="e">
        <f t="shared" ca="1" si="577"/>
        <v>#N/A</v>
      </c>
      <c r="L2995" t="e">
        <f ca="1">+_xlfn.IFNA(VLOOKUP(M2995,BespokeWindowsAreas!$B$2:$E$1999,4,FALSE),VLOOKUP(E2995,WindowTypeArea!$B$2:$C$113,2,FALSE))</f>
        <v>#N/A</v>
      </c>
      <c r="M2995" t="e">
        <f t="shared" ca="1" si="580"/>
        <v>#N/A</v>
      </c>
    </row>
    <row r="2996" spans="1:13" x14ac:dyDescent="0.25">
      <c r="A2996" t="e">
        <f t="shared" ca="1" si="578"/>
        <v>#N/A</v>
      </c>
      <c r="B2996" t="e">
        <f t="shared" ca="1" si="579"/>
        <v>#N/A</v>
      </c>
      <c r="C2996" t="e">
        <f t="shared" ca="1" si="569"/>
        <v>#N/A</v>
      </c>
      <c r="D2996" s="6" t="e">
        <f t="shared" ca="1" si="570"/>
        <v>#N/A</v>
      </c>
      <c r="E2996" t="e">
        <f t="shared" ca="1" si="571"/>
        <v>#N/A</v>
      </c>
      <c r="F2996" t="e">
        <f t="shared" ca="1" si="572"/>
        <v>#N/A</v>
      </c>
      <c r="G2996" t="e">
        <f t="shared" ca="1" si="573"/>
        <v>#N/A</v>
      </c>
      <c r="H2996" t="e">
        <f t="shared" ca="1" si="574"/>
        <v>#N/A</v>
      </c>
      <c r="I2996" t="e">
        <f t="shared" ca="1" si="575"/>
        <v>#N/A</v>
      </c>
      <c r="J2996" s="8" t="e">
        <f t="shared" ca="1" si="576"/>
        <v>#N/A</v>
      </c>
      <c r="K2996" s="9" t="e">
        <f t="shared" ca="1" si="577"/>
        <v>#N/A</v>
      </c>
      <c r="L2996" t="e">
        <f ca="1">+_xlfn.IFNA(VLOOKUP(M2996,BespokeWindowsAreas!$B$2:$E$1999,4,FALSE),VLOOKUP(E2996,WindowTypeArea!$B$2:$C$113,2,FALSE))</f>
        <v>#N/A</v>
      </c>
      <c r="M2996" t="e">
        <f t="shared" ca="1" si="580"/>
        <v>#N/A</v>
      </c>
    </row>
    <row r="2997" spans="1:13" x14ac:dyDescent="0.25">
      <c r="A2997" t="e">
        <f t="shared" ca="1" si="578"/>
        <v>#N/A</v>
      </c>
      <c r="B2997" t="e">
        <f t="shared" ca="1" si="579"/>
        <v>#N/A</v>
      </c>
      <c r="C2997" t="e">
        <f t="shared" ca="1" si="569"/>
        <v>#N/A</v>
      </c>
      <c r="D2997" s="6" t="e">
        <f t="shared" ca="1" si="570"/>
        <v>#N/A</v>
      </c>
      <c r="E2997" t="e">
        <f t="shared" ca="1" si="571"/>
        <v>#N/A</v>
      </c>
      <c r="F2997" t="e">
        <f t="shared" ca="1" si="572"/>
        <v>#N/A</v>
      </c>
      <c r="G2997" t="e">
        <f t="shared" ca="1" si="573"/>
        <v>#N/A</v>
      </c>
      <c r="H2997" t="e">
        <f t="shared" ca="1" si="574"/>
        <v>#N/A</v>
      </c>
      <c r="I2997" t="e">
        <f t="shared" ca="1" si="575"/>
        <v>#N/A</v>
      </c>
      <c r="J2997" s="8" t="e">
        <f t="shared" ca="1" si="576"/>
        <v>#N/A</v>
      </c>
      <c r="K2997" s="9" t="e">
        <f t="shared" ca="1" si="577"/>
        <v>#N/A</v>
      </c>
      <c r="L2997" t="e">
        <f ca="1">+_xlfn.IFNA(VLOOKUP(M2997,BespokeWindowsAreas!$B$2:$E$1999,4,FALSE),VLOOKUP(E2997,WindowTypeArea!$B$2:$C$113,2,FALSE))</f>
        <v>#N/A</v>
      </c>
      <c r="M2997" t="e">
        <f t="shared" ca="1" si="580"/>
        <v>#N/A</v>
      </c>
    </row>
    <row r="2998" spans="1:13" x14ac:dyDescent="0.25">
      <c r="A2998" t="e">
        <f t="shared" ca="1" si="578"/>
        <v>#N/A</v>
      </c>
      <c r="B2998" t="e">
        <f t="shared" ca="1" si="579"/>
        <v>#N/A</v>
      </c>
      <c r="C2998" t="e">
        <f t="shared" ca="1" si="569"/>
        <v>#N/A</v>
      </c>
      <c r="D2998" s="6" t="e">
        <f t="shared" ca="1" si="570"/>
        <v>#N/A</v>
      </c>
      <c r="E2998" t="e">
        <f t="shared" ca="1" si="571"/>
        <v>#N/A</v>
      </c>
      <c r="F2998" t="e">
        <f t="shared" ca="1" si="572"/>
        <v>#N/A</v>
      </c>
      <c r="G2998" t="e">
        <f t="shared" ca="1" si="573"/>
        <v>#N/A</v>
      </c>
      <c r="H2998" t="e">
        <f t="shared" ca="1" si="574"/>
        <v>#N/A</v>
      </c>
      <c r="I2998" t="e">
        <f t="shared" ca="1" si="575"/>
        <v>#N/A</v>
      </c>
      <c r="J2998" s="8" t="e">
        <f t="shared" ca="1" si="576"/>
        <v>#N/A</v>
      </c>
      <c r="K2998" s="9" t="e">
        <f t="shared" ca="1" si="577"/>
        <v>#N/A</v>
      </c>
      <c r="L2998" t="e">
        <f ca="1">+_xlfn.IFNA(VLOOKUP(M2998,BespokeWindowsAreas!$B$2:$E$1999,4,FALSE),VLOOKUP(E2998,WindowTypeArea!$B$2:$C$113,2,FALSE))</f>
        <v>#N/A</v>
      </c>
      <c r="M2998" t="e">
        <f t="shared" ca="1" si="580"/>
        <v>#N/A</v>
      </c>
    </row>
    <row r="2999" spans="1:13" x14ac:dyDescent="0.25">
      <c r="A2999" t="e">
        <f t="shared" ca="1" si="578"/>
        <v>#N/A</v>
      </c>
      <c r="B2999" t="e">
        <f t="shared" ca="1" si="579"/>
        <v>#N/A</v>
      </c>
      <c r="C2999" t="e">
        <f t="shared" ca="1" si="569"/>
        <v>#N/A</v>
      </c>
      <c r="D2999" s="6" t="e">
        <f t="shared" ca="1" si="570"/>
        <v>#N/A</v>
      </c>
      <c r="E2999" t="e">
        <f t="shared" ca="1" si="571"/>
        <v>#N/A</v>
      </c>
      <c r="F2999" t="e">
        <f t="shared" ca="1" si="572"/>
        <v>#N/A</v>
      </c>
      <c r="G2999" t="e">
        <f t="shared" ca="1" si="573"/>
        <v>#N/A</v>
      </c>
      <c r="H2999" t="e">
        <f t="shared" ca="1" si="574"/>
        <v>#N/A</v>
      </c>
      <c r="I2999" t="e">
        <f t="shared" ca="1" si="575"/>
        <v>#N/A</v>
      </c>
      <c r="J2999" s="8" t="e">
        <f t="shared" ca="1" si="576"/>
        <v>#N/A</v>
      </c>
      <c r="K2999" s="9" t="e">
        <f t="shared" ca="1" si="577"/>
        <v>#N/A</v>
      </c>
      <c r="L2999" t="e">
        <f ca="1">+_xlfn.IFNA(VLOOKUP(M2999,BespokeWindowsAreas!$B$2:$E$1999,4,FALSE),VLOOKUP(E2999,WindowTypeArea!$B$2:$C$113,2,FALSE))</f>
        <v>#N/A</v>
      </c>
      <c r="M2999" t="e">
        <f t="shared" ca="1" si="580"/>
        <v>#N/A</v>
      </c>
    </row>
    <row r="3000" spans="1:13" x14ac:dyDescent="0.25">
      <c r="A3000" t="e">
        <f t="shared" ca="1" si="578"/>
        <v>#N/A</v>
      </c>
      <c r="B3000" t="e">
        <f t="shared" ca="1" si="579"/>
        <v>#N/A</v>
      </c>
      <c r="C3000" t="e">
        <f t="shared" ca="1" si="569"/>
        <v>#N/A</v>
      </c>
      <c r="D3000" s="6" t="e">
        <f t="shared" ca="1" si="570"/>
        <v>#N/A</v>
      </c>
      <c r="E3000" t="e">
        <f t="shared" ca="1" si="571"/>
        <v>#N/A</v>
      </c>
      <c r="F3000" t="e">
        <f t="shared" ca="1" si="572"/>
        <v>#N/A</v>
      </c>
      <c r="G3000" t="e">
        <f t="shared" ca="1" si="573"/>
        <v>#N/A</v>
      </c>
      <c r="H3000" t="e">
        <f t="shared" ca="1" si="574"/>
        <v>#N/A</v>
      </c>
      <c r="I3000" t="e">
        <f t="shared" ca="1" si="575"/>
        <v>#N/A</v>
      </c>
      <c r="J3000" s="8" t="e">
        <f t="shared" ca="1" si="576"/>
        <v>#N/A</v>
      </c>
      <c r="K3000" s="9" t="e">
        <f t="shared" ca="1" si="577"/>
        <v>#N/A</v>
      </c>
      <c r="L3000" t="e">
        <f ca="1">+_xlfn.IFNA(VLOOKUP(M3000,BespokeWindowsAreas!$B$2:$E$1999,4,FALSE),VLOOKUP(E3000,WindowTypeArea!$B$2:$C$113,2,FALSE))</f>
        <v>#N/A</v>
      </c>
      <c r="M3000" t="e">
        <f t="shared" ca="1" si="580"/>
        <v>#N/A</v>
      </c>
    </row>
    <row r="3001" spans="1:13" x14ac:dyDescent="0.25">
      <c r="A3001" t="e">
        <f t="shared" ca="1" si="578"/>
        <v>#N/A</v>
      </c>
      <c r="B3001" t="e">
        <f t="shared" ca="1" si="579"/>
        <v>#N/A</v>
      </c>
      <c r="C3001" t="e">
        <f t="shared" ca="1" si="569"/>
        <v>#N/A</v>
      </c>
      <c r="D3001" s="6" t="e">
        <f t="shared" ca="1" si="570"/>
        <v>#N/A</v>
      </c>
      <c r="E3001" t="e">
        <f t="shared" ca="1" si="571"/>
        <v>#N/A</v>
      </c>
      <c r="F3001" t="e">
        <f t="shared" ca="1" si="572"/>
        <v>#N/A</v>
      </c>
      <c r="G3001" t="e">
        <f t="shared" ca="1" si="573"/>
        <v>#N/A</v>
      </c>
      <c r="H3001" t="e">
        <f t="shared" ca="1" si="574"/>
        <v>#N/A</v>
      </c>
      <c r="I3001" t="e">
        <f t="shared" ca="1" si="575"/>
        <v>#N/A</v>
      </c>
      <c r="J3001" s="8" t="e">
        <f t="shared" ca="1" si="576"/>
        <v>#N/A</v>
      </c>
      <c r="K3001" s="9" t="e">
        <f t="shared" ca="1" si="577"/>
        <v>#N/A</v>
      </c>
      <c r="L3001" t="e">
        <f ca="1">+_xlfn.IFNA(VLOOKUP(M3001,BespokeWindowsAreas!$B$2:$E$1999,4,FALSE),VLOOKUP(E3001,WindowTypeArea!$B$2:$C$113,2,FALSE))</f>
        <v>#N/A</v>
      </c>
      <c r="M3001" t="e">
        <f t="shared" ca="1" si="580"/>
        <v>#N/A</v>
      </c>
    </row>
    <row r="3002" spans="1:13" x14ac:dyDescent="0.25">
      <c r="A3002" t="e">
        <f t="shared" ca="1" si="578"/>
        <v>#N/A</v>
      </c>
      <c r="B3002" t="e">
        <f t="shared" ca="1" si="579"/>
        <v>#N/A</v>
      </c>
      <c r="C3002" t="e">
        <f t="shared" ca="1" si="569"/>
        <v>#N/A</v>
      </c>
      <c r="D3002" s="6" t="e">
        <f t="shared" ca="1" si="570"/>
        <v>#N/A</v>
      </c>
      <c r="E3002" t="e">
        <f t="shared" ca="1" si="571"/>
        <v>#N/A</v>
      </c>
      <c r="F3002" t="e">
        <f t="shared" ca="1" si="572"/>
        <v>#N/A</v>
      </c>
      <c r="G3002" t="e">
        <f t="shared" ca="1" si="573"/>
        <v>#N/A</v>
      </c>
      <c r="H3002" t="e">
        <f t="shared" ca="1" si="574"/>
        <v>#N/A</v>
      </c>
      <c r="I3002" t="e">
        <f t="shared" ca="1" si="575"/>
        <v>#N/A</v>
      </c>
      <c r="J3002" s="8" t="e">
        <f t="shared" ca="1" si="576"/>
        <v>#N/A</v>
      </c>
      <c r="K3002" s="9" t="e">
        <f t="shared" ca="1" si="577"/>
        <v>#N/A</v>
      </c>
      <c r="L3002" t="e">
        <f ca="1">+_xlfn.IFNA(VLOOKUP(M3002,BespokeWindowsAreas!$B$2:$E$1999,4,FALSE),VLOOKUP(E3002,WindowTypeArea!$B$2:$C$113,2,FALSE))</f>
        <v>#N/A</v>
      </c>
      <c r="M3002" t="e">
        <f t="shared" ca="1" si="580"/>
        <v>#N/A</v>
      </c>
    </row>
    <row r="3003" spans="1:13" x14ac:dyDescent="0.25">
      <c r="A3003" t="e">
        <f t="shared" ca="1" si="578"/>
        <v>#N/A</v>
      </c>
      <c r="B3003" t="e">
        <f t="shared" ca="1" si="579"/>
        <v>#N/A</v>
      </c>
      <c r="C3003" t="e">
        <f t="shared" ca="1" si="569"/>
        <v>#N/A</v>
      </c>
      <c r="D3003" s="6" t="e">
        <f t="shared" ca="1" si="570"/>
        <v>#N/A</v>
      </c>
      <c r="E3003" t="e">
        <f t="shared" ca="1" si="571"/>
        <v>#N/A</v>
      </c>
      <c r="F3003" t="e">
        <f t="shared" ca="1" si="572"/>
        <v>#N/A</v>
      </c>
      <c r="G3003" t="e">
        <f t="shared" ca="1" si="573"/>
        <v>#N/A</v>
      </c>
      <c r="H3003" t="e">
        <f t="shared" ca="1" si="574"/>
        <v>#N/A</v>
      </c>
      <c r="I3003" t="e">
        <f t="shared" ca="1" si="575"/>
        <v>#N/A</v>
      </c>
      <c r="J3003" s="8" t="e">
        <f t="shared" ca="1" si="576"/>
        <v>#N/A</v>
      </c>
      <c r="K3003" s="9" t="e">
        <f t="shared" ca="1" si="577"/>
        <v>#N/A</v>
      </c>
      <c r="L3003" t="e">
        <f ca="1">+_xlfn.IFNA(VLOOKUP(M3003,BespokeWindowsAreas!$B$2:$E$1999,4,FALSE),VLOOKUP(E3003,WindowTypeArea!$B$2:$C$113,2,FALSE))</f>
        <v>#N/A</v>
      </c>
      <c r="M3003" t="e">
        <f t="shared" ca="1" si="580"/>
        <v>#N/A</v>
      </c>
    </row>
    <row r="3004" spans="1:13" x14ac:dyDescent="0.25">
      <c r="A3004" t="e">
        <f t="shared" ca="1" si="578"/>
        <v>#N/A</v>
      </c>
      <c r="B3004" t="e">
        <f t="shared" ca="1" si="579"/>
        <v>#N/A</v>
      </c>
      <c r="C3004" t="e">
        <f t="shared" ca="1" si="569"/>
        <v>#N/A</v>
      </c>
      <c r="D3004" s="6" t="e">
        <f t="shared" ca="1" si="570"/>
        <v>#N/A</v>
      </c>
      <c r="E3004" t="e">
        <f t="shared" ca="1" si="571"/>
        <v>#N/A</v>
      </c>
      <c r="F3004" t="e">
        <f t="shared" ca="1" si="572"/>
        <v>#N/A</v>
      </c>
      <c r="G3004" t="e">
        <f t="shared" ca="1" si="573"/>
        <v>#N/A</v>
      </c>
      <c r="H3004" t="e">
        <f t="shared" ca="1" si="574"/>
        <v>#N/A</v>
      </c>
      <c r="I3004" t="e">
        <f t="shared" ca="1" si="575"/>
        <v>#N/A</v>
      </c>
      <c r="J3004" s="8" t="e">
        <f t="shared" ca="1" si="576"/>
        <v>#N/A</v>
      </c>
      <c r="K3004" s="9" t="e">
        <f t="shared" ca="1" si="577"/>
        <v>#N/A</v>
      </c>
      <c r="L3004" t="e">
        <f ca="1">+_xlfn.IFNA(VLOOKUP(M3004,BespokeWindowsAreas!$B$2:$E$1999,4,FALSE),VLOOKUP(E3004,WindowTypeArea!$B$2:$C$113,2,FALSE))</f>
        <v>#N/A</v>
      </c>
      <c r="M3004" t="e">
        <f t="shared" ca="1" si="580"/>
        <v>#N/A</v>
      </c>
    </row>
    <row r="3005" spans="1:13" x14ac:dyDescent="0.25">
      <c r="A3005" t="e">
        <f t="shared" ca="1" si="578"/>
        <v>#N/A</v>
      </c>
      <c r="B3005" t="e">
        <f t="shared" ca="1" si="579"/>
        <v>#N/A</v>
      </c>
      <c r="C3005" t="e">
        <f t="shared" ca="1" si="569"/>
        <v>#N/A</v>
      </c>
      <c r="D3005" s="6" t="e">
        <f t="shared" ca="1" si="570"/>
        <v>#N/A</v>
      </c>
      <c r="E3005" t="e">
        <f t="shared" ca="1" si="571"/>
        <v>#N/A</v>
      </c>
      <c r="F3005" t="e">
        <f t="shared" ca="1" si="572"/>
        <v>#N/A</v>
      </c>
      <c r="G3005" t="e">
        <f t="shared" ca="1" si="573"/>
        <v>#N/A</v>
      </c>
      <c r="H3005" t="e">
        <f t="shared" ca="1" si="574"/>
        <v>#N/A</v>
      </c>
      <c r="I3005" t="e">
        <f t="shared" ca="1" si="575"/>
        <v>#N/A</v>
      </c>
      <c r="J3005" s="8" t="e">
        <f t="shared" ca="1" si="576"/>
        <v>#N/A</v>
      </c>
      <c r="K3005" s="9" t="e">
        <f t="shared" ca="1" si="577"/>
        <v>#N/A</v>
      </c>
      <c r="L3005" t="e">
        <f ca="1">+_xlfn.IFNA(VLOOKUP(M3005,BespokeWindowsAreas!$B$2:$E$1999,4,FALSE),VLOOKUP(E3005,WindowTypeArea!$B$2:$C$113,2,FALSE))</f>
        <v>#N/A</v>
      </c>
      <c r="M3005" t="e">
        <f t="shared" ca="1" si="580"/>
        <v>#N/A</v>
      </c>
    </row>
    <row r="3006" spans="1:13" x14ac:dyDescent="0.25">
      <c r="A3006" t="e">
        <f t="shared" ca="1" si="578"/>
        <v>#N/A</v>
      </c>
      <c r="B3006" t="e">
        <f t="shared" ca="1" si="579"/>
        <v>#N/A</v>
      </c>
      <c r="C3006" t="e">
        <f t="shared" ca="1" si="569"/>
        <v>#N/A</v>
      </c>
      <c r="D3006" s="6" t="e">
        <f t="shared" ca="1" si="570"/>
        <v>#N/A</v>
      </c>
      <c r="E3006" t="e">
        <f t="shared" ca="1" si="571"/>
        <v>#N/A</v>
      </c>
      <c r="F3006" t="e">
        <f t="shared" ca="1" si="572"/>
        <v>#N/A</v>
      </c>
      <c r="G3006" t="e">
        <f t="shared" ca="1" si="573"/>
        <v>#N/A</v>
      </c>
      <c r="H3006" t="e">
        <f t="shared" ca="1" si="574"/>
        <v>#N/A</v>
      </c>
      <c r="I3006" t="e">
        <f t="shared" ca="1" si="575"/>
        <v>#N/A</v>
      </c>
      <c r="J3006" s="8" t="e">
        <f t="shared" ca="1" si="576"/>
        <v>#N/A</v>
      </c>
      <c r="K3006" s="9" t="e">
        <f t="shared" ca="1" si="577"/>
        <v>#N/A</v>
      </c>
      <c r="L3006" t="e">
        <f ca="1">+_xlfn.IFNA(VLOOKUP(M3006,BespokeWindowsAreas!$B$2:$E$1999,4,FALSE),VLOOKUP(E3006,WindowTypeArea!$B$2:$C$113,2,FALSE))</f>
        <v>#N/A</v>
      </c>
      <c r="M3006" t="e">
        <f t="shared" ca="1" si="580"/>
        <v>#N/A</v>
      </c>
    </row>
    <row r="3007" spans="1:13" x14ac:dyDescent="0.25">
      <c r="A3007" t="e">
        <f t="shared" ca="1" si="578"/>
        <v>#N/A</v>
      </c>
      <c r="B3007" t="e">
        <f t="shared" ca="1" si="579"/>
        <v>#N/A</v>
      </c>
      <c r="C3007" t="e">
        <f t="shared" ca="1" si="569"/>
        <v>#N/A</v>
      </c>
      <c r="D3007" s="6" t="e">
        <f t="shared" ca="1" si="570"/>
        <v>#N/A</v>
      </c>
      <c r="E3007" t="e">
        <f t="shared" ca="1" si="571"/>
        <v>#N/A</v>
      </c>
      <c r="F3007" t="e">
        <f t="shared" ca="1" si="572"/>
        <v>#N/A</v>
      </c>
      <c r="G3007" t="e">
        <f t="shared" ca="1" si="573"/>
        <v>#N/A</v>
      </c>
      <c r="H3007" t="e">
        <f t="shared" ca="1" si="574"/>
        <v>#N/A</v>
      </c>
      <c r="I3007" t="e">
        <f t="shared" ca="1" si="575"/>
        <v>#N/A</v>
      </c>
      <c r="J3007" s="8" t="e">
        <f t="shared" ca="1" si="576"/>
        <v>#N/A</v>
      </c>
      <c r="K3007" s="9" t="e">
        <f t="shared" ca="1" si="577"/>
        <v>#N/A</v>
      </c>
      <c r="L3007" t="e">
        <f ca="1">+_xlfn.IFNA(VLOOKUP(M3007,BespokeWindowsAreas!$B$2:$E$1999,4,FALSE),VLOOKUP(E3007,WindowTypeArea!$B$2:$C$113,2,FALSE))</f>
        <v>#N/A</v>
      </c>
      <c r="M3007" t="e">
        <f t="shared" ca="1" si="580"/>
        <v>#N/A</v>
      </c>
    </row>
    <row r="3008" spans="1:13" x14ac:dyDescent="0.25">
      <c r="A3008" t="e">
        <f t="shared" ca="1" si="578"/>
        <v>#N/A</v>
      </c>
      <c r="B3008" t="e">
        <f t="shared" ca="1" si="579"/>
        <v>#N/A</v>
      </c>
      <c r="C3008" t="e">
        <f t="shared" ca="1" si="569"/>
        <v>#N/A</v>
      </c>
      <c r="D3008" s="6" t="e">
        <f t="shared" ca="1" si="570"/>
        <v>#N/A</v>
      </c>
      <c r="E3008" t="e">
        <f t="shared" ca="1" si="571"/>
        <v>#N/A</v>
      </c>
      <c r="F3008" t="e">
        <f t="shared" ca="1" si="572"/>
        <v>#N/A</v>
      </c>
      <c r="G3008" t="e">
        <f t="shared" ca="1" si="573"/>
        <v>#N/A</v>
      </c>
      <c r="H3008" t="e">
        <f t="shared" ca="1" si="574"/>
        <v>#N/A</v>
      </c>
      <c r="I3008" t="e">
        <f t="shared" ca="1" si="575"/>
        <v>#N/A</v>
      </c>
      <c r="J3008" s="8" t="e">
        <f t="shared" ca="1" si="576"/>
        <v>#N/A</v>
      </c>
      <c r="K3008" s="9" t="e">
        <f t="shared" ca="1" si="577"/>
        <v>#N/A</v>
      </c>
      <c r="L3008" t="e">
        <f ca="1">+_xlfn.IFNA(VLOOKUP(M3008,BespokeWindowsAreas!$B$2:$E$1999,4,FALSE),VLOOKUP(E3008,WindowTypeArea!$B$2:$C$113,2,FALSE))</f>
        <v>#N/A</v>
      </c>
      <c r="M3008" t="e">
        <f t="shared" ca="1" si="580"/>
        <v>#N/A</v>
      </c>
    </row>
    <row r="3009" spans="1:13" x14ac:dyDescent="0.25">
      <c r="A3009" t="e">
        <f t="shared" ca="1" si="578"/>
        <v>#N/A</v>
      </c>
      <c r="B3009" t="e">
        <f t="shared" ca="1" si="579"/>
        <v>#N/A</v>
      </c>
      <c r="C3009" t="e">
        <f t="shared" ca="1" si="569"/>
        <v>#N/A</v>
      </c>
      <c r="D3009" s="6" t="e">
        <f t="shared" ca="1" si="570"/>
        <v>#N/A</v>
      </c>
      <c r="E3009" t="e">
        <f t="shared" ca="1" si="571"/>
        <v>#N/A</v>
      </c>
      <c r="F3009" t="e">
        <f t="shared" ca="1" si="572"/>
        <v>#N/A</v>
      </c>
      <c r="G3009" t="e">
        <f t="shared" ca="1" si="573"/>
        <v>#N/A</v>
      </c>
      <c r="H3009" t="e">
        <f t="shared" ca="1" si="574"/>
        <v>#N/A</v>
      </c>
      <c r="I3009" t="e">
        <f t="shared" ca="1" si="575"/>
        <v>#N/A</v>
      </c>
      <c r="J3009" s="8" t="e">
        <f t="shared" ca="1" si="576"/>
        <v>#N/A</v>
      </c>
      <c r="K3009" s="9" t="e">
        <f t="shared" ca="1" si="577"/>
        <v>#N/A</v>
      </c>
      <c r="L3009" t="e">
        <f ca="1">+_xlfn.IFNA(VLOOKUP(M3009,BespokeWindowsAreas!$B$2:$E$1999,4,FALSE),VLOOKUP(E3009,WindowTypeArea!$B$2:$C$113,2,FALSE))</f>
        <v>#N/A</v>
      </c>
      <c r="M3009" t="e">
        <f t="shared" ca="1" si="580"/>
        <v>#N/A</v>
      </c>
    </row>
    <row r="3010" spans="1:13" x14ac:dyDescent="0.25">
      <c r="A3010" t="e">
        <f t="shared" ca="1" si="578"/>
        <v>#N/A</v>
      </c>
      <c r="B3010" t="e">
        <f t="shared" ca="1" si="579"/>
        <v>#N/A</v>
      </c>
      <c r="C3010" t="e">
        <f t="shared" ca="1" si="569"/>
        <v>#N/A</v>
      </c>
      <c r="D3010" s="6" t="e">
        <f t="shared" ca="1" si="570"/>
        <v>#N/A</v>
      </c>
      <c r="E3010" t="e">
        <f t="shared" ca="1" si="571"/>
        <v>#N/A</v>
      </c>
      <c r="F3010" t="e">
        <f t="shared" ca="1" si="572"/>
        <v>#N/A</v>
      </c>
      <c r="G3010" t="e">
        <f t="shared" ca="1" si="573"/>
        <v>#N/A</v>
      </c>
      <c r="H3010" t="e">
        <f t="shared" ca="1" si="574"/>
        <v>#N/A</v>
      </c>
      <c r="I3010" t="e">
        <f t="shared" ca="1" si="575"/>
        <v>#N/A</v>
      </c>
      <c r="J3010" s="8" t="e">
        <f t="shared" ca="1" si="576"/>
        <v>#N/A</v>
      </c>
      <c r="K3010" s="9" t="e">
        <f t="shared" ca="1" si="577"/>
        <v>#N/A</v>
      </c>
      <c r="L3010" t="e">
        <f ca="1">+_xlfn.IFNA(VLOOKUP(M3010,BespokeWindowsAreas!$B$2:$E$1999,4,FALSE),VLOOKUP(E3010,WindowTypeArea!$B$2:$C$113,2,FALSE))</f>
        <v>#N/A</v>
      </c>
      <c r="M3010" t="e">
        <f t="shared" ca="1" si="580"/>
        <v>#N/A</v>
      </c>
    </row>
    <row r="3011" spans="1:13" x14ac:dyDescent="0.25">
      <c r="A3011" t="e">
        <f t="shared" ca="1" si="578"/>
        <v>#N/A</v>
      </c>
      <c r="B3011" t="e">
        <f t="shared" ca="1" si="579"/>
        <v>#N/A</v>
      </c>
      <c r="C3011" t="e">
        <f t="shared" ca="1" si="569"/>
        <v>#N/A</v>
      </c>
      <c r="D3011" s="6" t="e">
        <f t="shared" ca="1" si="570"/>
        <v>#N/A</v>
      </c>
      <c r="E3011" t="e">
        <f t="shared" ca="1" si="571"/>
        <v>#N/A</v>
      </c>
      <c r="F3011" t="e">
        <f t="shared" ca="1" si="572"/>
        <v>#N/A</v>
      </c>
      <c r="G3011" t="e">
        <f t="shared" ca="1" si="573"/>
        <v>#N/A</v>
      </c>
      <c r="H3011" t="e">
        <f t="shared" ca="1" si="574"/>
        <v>#N/A</v>
      </c>
      <c r="I3011" t="e">
        <f t="shared" ca="1" si="575"/>
        <v>#N/A</v>
      </c>
      <c r="J3011" s="8" t="e">
        <f t="shared" ca="1" si="576"/>
        <v>#N/A</v>
      </c>
      <c r="K3011" s="9" t="e">
        <f t="shared" ca="1" si="577"/>
        <v>#N/A</v>
      </c>
      <c r="L3011" t="e">
        <f ca="1">+_xlfn.IFNA(VLOOKUP(M3011,BespokeWindowsAreas!$B$2:$E$1999,4,FALSE),VLOOKUP(E3011,WindowTypeArea!$B$2:$C$113,2,FALSE))</f>
        <v>#N/A</v>
      </c>
      <c r="M3011" t="e">
        <f t="shared" ca="1" si="580"/>
        <v>#N/A</v>
      </c>
    </row>
    <row r="3012" spans="1:13" x14ac:dyDescent="0.25">
      <c r="A3012" t="e">
        <f t="shared" ca="1" si="578"/>
        <v>#N/A</v>
      </c>
      <c r="B3012" t="e">
        <f t="shared" ca="1" si="579"/>
        <v>#N/A</v>
      </c>
      <c r="C3012" t="e">
        <f t="shared" ca="1" si="569"/>
        <v>#N/A</v>
      </c>
      <c r="D3012" s="6" t="e">
        <f t="shared" ca="1" si="570"/>
        <v>#N/A</v>
      </c>
      <c r="E3012" t="e">
        <f t="shared" ca="1" si="571"/>
        <v>#N/A</v>
      </c>
      <c r="F3012" t="e">
        <f t="shared" ca="1" si="572"/>
        <v>#N/A</v>
      </c>
      <c r="G3012" t="e">
        <f t="shared" ca="1" si="573"/>
        <v>#N/A</v>
      </c>
      <c r="H3012" t="e">
        <f t="shared" ca="1" si="574"/>
        <v>#N/A</v>
      </c>
      <c r="I3012" t="e">
        <f t="shared" ca="1" si="575"/>
        <v>#N/A</v>
      </c>
      <c r="J3012" s="8" t="e">
        <f t="shared" ca="1" si="576"/>
        <v>#N/A</v>
      </c>
      <c r="K3012" s="9" t="e">
        <f t="shared" ca="1" si="577"/>
        <v>#N/A</v>
      </c>
      <c r="L3012" t="e">
        <f ca="1">+_xlfn.IFNA(VLOOKUP(M3012,BespokeWindowsAreas!$B$2:$E$1999,4,FALSE),VLOOKUP(E3012,WindowTypeArea!$B$2:$C$113,2,FALSE))</f>
        <v>#N/A</v>
      </c>
      <c r="M3012" t="e">
        <f t="shared" ca="1" si="580"/>
        <v>#N/A</v>
      </c>
    </row>
    <row r="3013" spans="1:13" x14ac:dyDescent="0.25">
      <c r="A3013" t="e">
        <f t="shared" ca="1" si="578"/>
        <v>#N/A</v>
      </c>
      <c r="B3013" t="e">
        <f t="shared" ca="1" si="579"/>
        <v>#N/A</v>
      </c>
      <c r="C3013" t="e">
        <f t="shared" ca="1" si="569"/>
        <v>#N/A</v>
      </c>
      <c r="D3013" s="6" t="e">
        <f t="shared" ca="1" si="570"/>
        <v>#N/A</v>
      </c>
      <c r="E3013" t="e">
        <f t="shared" ca="1" si="571"/>
        <v>#N/A</v>
      </c>
      <c r="F3013" t="e">
        <f t="shared" ca="1" si="572"/>
        <v>#N/A</v>
      </c>
      <c r="G3013" t="e">
        <f t="shared" ca="1" si="573"/>
        <v>#N/A</v>
      </c>
      <c r="H3013" t="e">
        <f t="shared" ca="1" si="574"/>
        <v>#N/A</v>
      </c>
      <c r="I3013" t="e">
        <f t="shared" ca="1" si="575"/>
        <v>#N/A</v>
      </c>
      <c r="J3013" s="8" t="e">
        <f t="shared" ca="1" si="576"/>
        <v>#N/A</v>
      </c>
      <c r="K3013" s="9" t="e">
        <f t="shared" ca="1" si="577"/>
        <v>#N/A</v>
      </c>
      <c r="L3013" t="e">
        <f ca="1">+_xlfn.IFNA(VLOOKUP(M3013,BespokeWindowsAreas!$B$2:$E$1999,4,FALSE),VLOOKUP(E3013,WindowTypeArea!$B$2:$C$113,2,FALSE))</f>
        <v>#N/A</v>
      </c>
      <c r="M3013" t="e">
        <f t="shared" ca="1" si="580"/>
        <v>#N/A</v>
      </c>
    </row>
    <row r="3014" spans="1:13" x14ac:dyDescent="0.25">
      <c r="A3014" t="e">
        <f t="shared" ca="1" si="578"/>
        <v>#N/A</v>
      </c>
      <c r="B3014" t="e">
        <f t="shared" ca="1" si="579"/>
        <v>#N/A</v>
      </c>
      <c r="C3014" t="e">
        <f t="shared" ca="1" si="569"/>
        <v>#N/A</v>
      </c>
      <c r="D3014" s="6" t="e">
        <f t="shared" ca="1" si="570"/>
        <v>#N/A</v>
      </c>
      <c r="E3014" t="e">
        <f t="shared" ca="1" si="571"/>
        <v>#N/A</v>
      </c>
      <c r="F3014" t="e">
        <f t="shared" ca="1" si="572"/>
        <v>#N/A</v>
      </c>
      <c r="G3014" t="e">
        <f t="shared" ca="1" si="573"/>
        <v>#N/A</v>
      </c>
      <c r="H3014" t="e">
        <f t="shared" ca="1" si="574"/>
        <v>#N/A</v>
      </c>
      <c r="I3014" t="e">
        <f t="shared" ca="1" si="575"/>
        <v>#N/A</v>
      </c>
      <c r="J3014" s="8" t="e">
        <f t="shared" ca="1" si="576"/>
        <v>#N/A</v>
      </c>
      <c r="K3014" s="9" t="e">
        <f t="shared" ca="1" si="577"/>
        <v>#N/A</v>
      </c>
      <c r="L3014" t="e">
        <f ca="1">+_xlfn.IFNA(VLOOKUP(M3014,BespokeWindowsAreas!$B$2:$E$1999,4,FALSE),VLOOKUP(E3014,WindowTypeArea!$B$2:$C$113,2,FALSE))</f>
        <v>#N/A</v>
      </c>
      <c r="M3014" t="e">
        <f t="shared" ca="1" si="580"/>
        <v>#N/A</v>
      </c>
    </row>
    <row r="3015" spans="1:13" x14ac:dyDescent="0.25">
      <c r="A3015" t="e">
        <f t="shared" ca="1" si="578"/>
        <v>#N/A</v>
      </c>
      <c r="B3015" t="e">
        <f t="shared" ca="1" si="579"/>
        <v>#N/A</v>
      </c>
      <c r="C3015" t="e">
        <f t="shared" ca="1" si="569"/>
        <v>#N/A</v>
      </c>
      <c r="D3015" s="6" t="e">
        <f t="shared" ca="1" si="570"/>
        <v>#N/A</v>
      </c>
      <c r="E3015" t="e">
        <f t="shared" ca="1" si="571"/>
        <v>#N/A</v>
      </c>
      <c r="F3015" t="e">
        <f t="shared" ca="1" si="572"/>
        <v>#N/A</v>
      </c>
      <c r="G3015" t="e">
        <f t="shared" ca="1" si="573"/>
        <v>#N/A</v>
      </c>
      <c r="H3015" t="e">
        <f t="shared" ca="1" si="574"/>
        <v>#N/A</v>
      </c>
      <c r="I3015" t="e">
        <f t="shared" ca="1" si="575"/>
        <v>#N/A</v>
      </c>
      <c r="J3015" s="8" t="e">
        <f t="shared" ca="1" si="576"/>
        <v>#N/A</v>
      </c>
      <c r="K3015" s="9" t="e">
        <f t="shared" ca="1" si="577"/>
        <v>#N/A</v>
      </c>
      <c r="L3015" t="e">
        <f ca="1">+_xlfn.IFNA(VLOOKUP(M3015,BespokeWindowsAreas!$B$2:$E$1999,4,FALSE),VLOOKUP(E3015,WindowTypeArea!$B$2:$C$113,2,FALSE))</f>
        <v>#N/A</v>
      </c>
      <c r="M3015" t="e">
        <f t="shared" ca="1" si="580"/>
        <v>#N/A</v>
      </c>
    </row>
    <row r="3016" spans="1:13" x14ac:dyDescent="0.25">
      <c r="A3016" t="e">
        <f t="shared" ca="1" si="578"/>
        <v>#N/A</v>
      </c>
      <c r="B3016" t="e">
        <f t="shared" ca="1" si="579"/>
        <v>#N/A</v>
      </c>
      <c r="C3016" t="e">
        <f t="shared" ca="1" si="569"/>
        <v>#N/A</v>
      </c>
      <c r="D3016" s="6" t="e">
        <f t="shared" ca="1" si="570"/>
        <v>#N/A</v>
      </c>
      <c r="E3016" t="e">
        <f t="shared" ca="1" si="571"/>
        <v>#N/A</v>
      </c>
      <c r="F3016" t="e">
        <f t="shared" ca="1" si="572"/>
        <v>#N/A</v>
      </c>
      <c r="G3016" t="e">
        <f t="shared" ca="1" si="573"/>
        <v>#N/A</v>
      </c>
      <c r="H3016" t="e">
        <f t="shared" ca="1" si="574"/>
        <v>#N/A</v>
      </c>
      <c r="I3016" t="e">
        <f t="shared" ca="1" si="575"/>
        <v>#N/A</v>
      </c>
      <c r="J3016" s="8" t="e">
        <f t="shared" ca="1" si="576"/>
        <v>#N/A</v>
      </c>
      <c r="K3016" s="9" t="e">
        <f t="shared" ca="1" si="577"/>
        <v>#N/A</v>
      </c>
      <c r="L3016" t="e">
        <f ca="1">+_xlfn.IFNA(VLOOKUP(M3016,BespokeWindowsAreas!$B$2:$E$1999,4,FALSE),VLOOKUP(E3016,WindowTypeArea!$B$2:$C$113,2,FALSE))</f>
        <v>#N/A</v>
      </c>
      <c r="M3016" t="e">
        <f t="shared" ca="1" si="580"/>
        <v>#N/A</v>
      </c>
    </row>
    <row r="3017" spans="1:13" x14ac:dyDescent="0.25">
      <c r="A3017" t="e">
        <f t="shared" ca="1" si="578"/>
        <v>#N/A</v>
      </c>
      <c r="B3017" t="e">
        <f t="shared" ca="1" si="579"/>
        <v>#N/A</v>
      </c>
      <c r="C3017" t="e">
        <f t="shared" ref="C3017:C3080" ca="1" si="581">+"'"&amp;INDIRECT("a"&amp;A3016)&amp;"'!B"&amp;B3016</f>
        <v>#N/A</v>
      </c>
      <c r="D3017" s="6" t="e">
        <f t="shared" ref="D3017:D3080" ca="1" si="582">+IF(IFERROR(FIND("Family",E3017)&gt;0,FALSE),D3016,E3017)</f>
        <v>#N/A</v>
      </c>
      <c r="E3017" t="e">
        <f t="shared" ref="E3017:E3080" ca="1" si="583">+OFFSET(INDIRECT(C3017),0,0)</f>
        <v>#N/A</v>
      </c>
      <c r="F3017" t="e">
        <f t="shared" ref="F3017:F3080" ca="1" si="584">+OFFSET(INDIRECT(C3017),0,1)</f>
        <v>#N/A</v>
      </c>
      <c r="G3017" t="e">
        <f t="shared" ref="G3017:G3080" ca="1" si="585">+OFFSET(INDIRECT(C3017),0,2)</f>
        <v>#N/A</v>
      </c>
      <c r="H3017" t="e">
        <f t="shared" ref="H3017:H3080" ca="1" si="586">+OFFSET(INDIRECT(C3017),0,3)</f>
        <v>#N/A</v>
      </c>
      <c r="I3017" t="e">
        <f t="shared" ref="I3017:I3080" ca="1" si="587">+OFFSET(INDIRECT(C3017),0,4)</f>
        <v>#N/A</v>
      </c>
      <c r="J3017" s="8" t="e">
        <f t="shared" ref="J3017:J3080" ca="1" si="588">+DEGREES(ATAN2(G3017,H3017))</f>
        <v>#N/A</v>
      </c>
      <c r="K3017" s="9" t="e">
        <f t="shared" ref="K3017:K3080" ca="1" si="589">VLOOKUP(J3017,$O$20:$P$36,2,-1)</f>
        <v>#N/A</v>
      </c>
      <c r="L3017" t="e">
        <f ca="1">+_xlfn.IFNA(VLOOKUP(M3017,BespokeWindowsAreas!$B$2:$E$1999,4,FALSE),VLOOKUP(E3017,WindowTypeArea!$B$2:$C$113,2,FALSE))</f>
        <v>#N/A</v>
      </c>
      <c r="M3017" t="e">
        <f t="shared" ca="1" si="580"/>
        <v>#N/A</v>
      </c>
    </row>
    <row r="3018" spans="1:13" x14ac:dyDescent="0.25">
      <c r="A3018" t="e">
        <f t="shared" ca="1" si="578"/>
        <v>#N/A</v>
      </c>
      <c r="B3018" t="e">
        <f t="shared" ca="1" si="579"/>
        <v>#N/A</v>
      </c>
      <c r="C3018" t="e">
        <f t="shared" ca="1" si="581"/>
        <v>#N/A</v>
      </c>
      <c r="D3018" s="6" t="e">
        <f t="shared" ca="1" si="582"/>
        <v>#N/A</v>
      </c>
      <c r="E3018" t="e">
        <f t="shared" ca="1" si="583"/>
        <v>#N/A</v>
      </c>
      <c r="F3018" t="e">
        <f t="shared" ca="1" si="584"/>
        <v>#N/A</v>
      </c>
      <c r="G3018" t="e">
        <f t="shared" ca="1" si="585"/>
        <v>#N/A</v>
      </c>
      <c r="H3018" t="e">
        <f t="shared" ca="1" si="586"/>
        <v>#N/A</v>
      </c>
      <c r="I3018" t="e">
        <f t="shared" ca="1" si="587"/>
        <v>#N/A</v>
      </c>
      <c r="J3018" s="8" t="e">
        <f t="shared" ca="1" si="588"/>
        <v>#N/A</v>
      </c>
      <c r="K3018" s="9" t="e">
        <f t="shared" ca="1" si="589"/>
        <v>#N/A</v>
      </c>
      <c r="L3018" t="e">
        <f ca="1">+_xlfn.IFNA(VLOOKUP(M3018,BespokeWindowsAreas!$B$2:$E$1999,4,FALSE),VLOOKUP(E3018,WindowTypeArea!$B$2:$C$113,2,FALSE))</f>
        <v>#N/A</v>
      </c>
      <c r="M3018" t="e">
        <f t="shared" ca="1" si="580"/>
        <v>#N/A</v>
      </c>
    </row>
    <row r="3019" spans="1:13" x14ac:dyDescent="0.25">
      <c r="A3019" t="e">
        <f t="shared" ca="1" si="578"/>
        <v>#N/A</v>
      </c>
      <c r="B3019" t="e">
        <f t="shared" ca="1" si="579"/>
        <v>#N/A</v>
      </c>
      <c r="C3019" t="e">
        <f t="shared" ca="1" si="581"/>
        <v>#N/A</v>
      </c>
      <c r="D3019" s="6" t="e">
        <f t="shared" ca="1" si="582"/>
        <v>#N/A</v>
      </c>
      <c r="E3019" t="e">
        <f t="shared" ca="1" si="583"/>
        <v>#N/A</v>
      </c>
      <c r="F3019" t="e">
        <f t="shared" ca="1" si="584"/>
        <v>#N/A</v>
      </c>
      <c r="G3019" t="e">
        <f t="shared" ca="1" si="585"/>
        <v>#N/A</v>
      </c>
      <c r="H3019" t="e">
        <f t="shared" ca="1" si="586"/>
        <v>#N/A</v>
      </c>
      <c r="I3019" t="e">
        <f t="shared" ca="1" si="587"/>
        <v>#N/A</v>
      </c>
      <c r="J3019" s="8" t="e">
        <f t="shared" ca="1" si="588"/>
        <v>#N/A</v>
      </c>
      <c r="K3019" s="9" t="e">
        <f t="shared" ca="1" si="589"/>
        <v>#N/A</v>
      </c>
      <c r="L3019" t="e">
        <f ca="1">+_xlfn.IFNA(VLOOKUP(M3019,BespokeWindowsAreas!$B$2:$E$1999,4,FALSE),VLOOKUP(E3019,WindowTypeArea!$B$2:$C$113,2,FALSE))</f>
        <v>#N/A</v>
      </c>
      <c r="M3019" t="e">
        <f t="shared" ca="1" si="580"/>
        <v>#N/A</v>
      </c>
    </row>
    <row r="3020" spans="1:13" x14ac:dyDescent="0.25">
      <c r="A3020" t="e">
        <f t="shared" ca="1" si="578"/>
        <v>#N/A</v>
      </c>
      <c r="B3020" t="e">
        <f t="shared" ca="1" si="579"/>
        <v>#N/A</v>
      </c>
      <c r="C3020" t="e">
        <f t="shared" ca="1" si="581"/>
        <v>#N/A</v>
      </c>
      <c r="D3020" s="6" t="e">
        <f t="shared" ca="1" si="582"/>
        <v>#N/A</v>
      </c>
      <c r="E3020" t="e">
        <f t="shared" ca="1" si="583"/>
        <v>#N/A</v>
      </c>
      <c r="F3020" t="e">
        <f t="shared" ca="1" si="584"/>
        <v>#N/A</v>
      </c>
      <c r="G3020" t="e">
        <f t="shared" ca="1" si="585"/>
        <v>#N/A</v>
      </c>
      <c r="H3020" t="e">
        <f t="shared" ca="1" si="586"/>
        <v>#N/A</v>
      </c>
      <c r="I3020" t="e">
        <f t="shared" ca="1" si="587"/>
        <v>#N/A</v>
      </c>
      <c r="J3020" s="8" t="e">
        <f t="shared" ca="1" si="588"/>
        <v>#N/A</v>
      </c>
      <c r="K3020" s="9" t="e">
        <f t="shared" ca="1" si="589"/>
        <v>#N/A</v>
      </c>
      <c r="L3020" t="e">
        <f ca="1">+_xlfn.IFNA(VLOOKUP(M3020,BespokeWindowsAreas!$B$2:$E$1999,4,FALSE),VLOOKUP(E3020,WindowTypeArea!$B$2:$C$113,2,FALSE))</f>
        <v>#N/A</v>
      </c>
      <c r="M3020" t="e">
        <f t="shared" ca="1" si="580"/>
        <v>#N/A</v>
      </c>
    </row>
    <row r="3021" spans="1:13" x14ac:dyDescent="0.25">
      <c r="A3021" t="e">
        <f t="shared" ca="1" si="578"/>
        <v>#N/A</v>
      </c>
      <c r="B3021" t="e">
        <f t="shared" ca="1" si="579"/>
        <v>#N/A</v>
      </c>
      <c r="C3021" t="e">
        <f t="shared" ca="1" si="581"/>
        <v>#N/A</v>
      </c>
      <c r="D3021" s="6" t="e">
        <f t="shared" ca="1" si="582"/>
        <v>#N/A</v>
      </c>
      <c r="E3021" t="e">
        <f t="shared" ca="1" si="583"/>
        <v>#N/A</v>
      </c>
      <c r="F3021" t="e">
        <f t="shared" ca="1" si="584"/>
        <v>#N/A</v>
      </c>
      <c r="G3021" t="e">
        <f t="shared" ca="1" si="585"/>
        <v>#N/A</v>
      </c>
      <c r="H3021" t="e">
        <f t="shared" ca="1" si="586"/>
        <v>#N/A</v>
      </c>
      <c r="I3021" t="e">
        <f t="shared" ca="1" si="587"/>
        <v>#N/A</v>
      </c>
      <c r="J3021" s="8" t="e">
        <f t="shared" ca="1" si="588"/>
        <v>#N/A</v>
      </c>
      <c r="K3021" s="9" t="e">
        <f t="shared" ca="1" si="589"/>
        <v>#N/A</v>
      </c>
      <c r="L3021" t="e">
        <f ca="1">+_xlfn.IFNA(VLOOKUP(M3021,BespokeWindowsAreas!$B$2:$E$1999,4,FALSE),VLOOKUP(E3021,WindowTypeArea!$B$2:$C$113,2,FALSE))</f>
        <v>#N/A</v>
      </c>
      <c r="M3021" t="e">
        <f t="shared" ca="1" si="580"/>
        <v>#N/A</v>
      </c>
    </row>
    <row r="3022" spans="1:13" x14ac:dyDescent="0.25">
      <c r="A3022" t="e">
        <f t="shared" ca="1" si="578"/>
        <v>#N/A</v>
      </c>
      <c r="B3022" t="e">
        <f t="shared" ca="1" si="579"/>
        <v>#N/A</v>
      </c>
      <c r="C3022" t="e">
        <f t="shared" ca="1" si="581"/>
        <v>#N/A</v>
      </c>
      <c r="D3022" s="6" t="e">
        <f t="shared" ca="1" si="582"/>
        <v>#N/A</v>
      </c>
      <c r="E3022" t="e">
        <f t="shared" ca="1" si="583"/>
        <v>#N/A</v>
      </c>
      <c r="F3022" t="e">
        <f t="shared" ca="1" si="584"/>
        <v>#N/A</v>
      </c>
      <c r="G3022" t="e">
        <f t="shared" ca="1" si="585"/>
        <v>#N/A</v>
      </c>
      <c r="H3022" t="e">
        <f t="shared" ca="1" si="586"/>
        <v>#N/A</v>
      </c>
      <c r="I3022" t="e">
        <f t="shared" ca="1" si="587"/>
        <v>#N/A</v>
      </c>
      <c r="J3022" s="8" t="e">
        <f t="shared" ca="1" si="588"/>
        <v>#N/A</v>
      </c>
      <c r="K3022" s="9" t="e">
        <f t="shared" ca="1" si="589"/>
        <v>#N/A</v>
      </c>
      <c r="L3022" t="e">
        <f ca="1">+_xlfn.IFNA(VLOOKUP(M3022,BespokeWindowsAreas!$B$2:$E$1999,4,FALSE),VLOOKUP(E3022,WindowTypeArea!$B$2:$C$113,2,FALSE))</f>
        <v>#N/A</v>
      </c>
      <c r="M3022" t="e">
        <f t="shared" ca="1" si="580"/>
        <v>#N/A</v>
      </c>
    </row>
    <row r="3023" spans="1:13" x14ac:dyDescent="0.25">
      <c r="A3023" t="e">
        <f t="shared" ca="1" si="578"/>
        <v>#N/A</v>
      </c>
      <c r="B3023" t="e">
        <f t="shared" ca="1" si="579"/>
        <v>#N/A</v>
      </c>
      <c r="C3023" t="e">
        <f t="shared" ca="1" si="581"/>
        <v>#N/A</v>
      </c>
      <c r="D3023" s="6" t="e">
        <f t="shared" ca="1" si="582"/>
        <v>#N/A</v>
      </c>
      <c r="E3023" t="e">
        <f t="shared" ca="1" si="583"/>
        <v>#N/A</v>
      </c>
      <c r="F3023" t="e">
        <f t="shared" ca="1" si="584"/>
        <v>#N/A</v>
      </c>
      <c r="G3023" t="e">
        <f t="shared" ca="1" si="585"/>
        <v>#N/A</v>
      </c>
      <c r="H3023" t="e">
        <f t="shared" ca="1" si="586"/>
        <v>#N/A</v>
      </c>
      <c r="I3023" t="e">
        <f t="shared" ca="1" si="587"/>
        <v>#N/A</v>
      </c>
      <c r="J3023" s="8" t="e">
        <f t="shared" ca="1" si="588"/>
        <v>#N/A</v>
      </c>
      <c r="K3023" s="9" t="e">
        <f t="shared" ca="1" si="589"/>
        <v>#N/A</v>
      </c>
      <c r="L3023" t="e">
        <f ca="1">+_xlfn.IFNA(VLOOKUP(M3023,BespokeWindowsAreas!$B$2:$E$1999,4,FALSE),VLOOKUP(E3023,WindowTypeArea!$B$2:$C$113,2,FALSE))</f>
        <v>#N/A</v>
      </c>
      <c r="M3023" t="e">
        <f t="shared" ca="1" si="580"/>
        <v>#N/A</v>
      </c>
    </row>
    <row r="3024" spans="1:13" x14ac:dyDescent="0.25">
      <c r="A3024" t="e">
        <f t="shared" ca="1" si="578"/>
        <v>#N/A</v>
      </c>
      <c r="B3024" t="e">
        <f t="shared" ca="1" si="579"/>
        <v>#N/A</v>
      </c>
      <c r="C3024" t="e">
        <f t="shared" ca="1" si="581"/>
        <v>#N/A</v>
      </c>
      <c r="D3024" s="6" t="e">
        <f t="shared" ca="1" si="582"/>
        <v>#N/A</v>
      </c>
      <c r="E3024" t="e">
        <f t="shared" ca="1" si="583"/>
        <v>#N/A</v>
      </c>
      <c r="F3024" t="e">
        <f t="shared" ca="1" si="584"/>
        <v>#N/A</v>
      </c>
      <c r="G3024" t="e">
        <f t="shared" ca="1" si="585"/>
        <v>#N/A</v>
      </c>
      <c r="H3024" t="e">
        <f t="shared" ca="1" si="586"/>
        <v>#N/A</v>
      </c>
      <c r="I3024" t="e">
        <f t="shared" ca="1" si="587"/>
        <v>#N/A</v>
      </c>
      <c r="J3024" s="8" t="e">
        <f t="shared" ca="1" si="588"/>
        <v>#N/A</v>
      </c>
      <c r="K3024" s="9" t="e">
        <f t="shared" ca="1" si="589"/>
        <v>#N/A</v>
      </c>
      <c r="L3024" t="e">
        <f ca="1">+_xlfn.IFNA(VLOOKUP(M3024,BespokeWindowsAreas!$B$2:$E$1999,4,FALSE),VLOOKUP(E3024,WindowTypeArea!$B$2:$C$113,2,FALSE))</f>
        <v>#N/A</v>
      </c>
      <c r="M3024" t="e">
        <f t="shared" ca="1" si="580"/>
        <v>#N/A</v>
      </c>
    </row>
    <row r="3025" spans="1:13" x14ac:dyDescent="0.25">
      <c r="A3025" t="e">
        <f t="shared" ca="1" si="578"/>
        <v>#N/A</v>
      </c>
      <c r="B3025" t="e">
        <f t="shared" ca="1" si="579"/>
        <v>#N/A</v>
      </c>
      <c r="C3025" t="e">
        <f t="shared" ca="1" si="581"/>
        <v>#N/A</v>
      </c>
      <c r="D3025" s="6" t="e">
        <f t="shared" ca="1" si="582"/>
        <v>#N/A</v>
      </c>
      <c r="E3025" t="e">
        <f t="shared" ca="1" si="583"/>
        <v>#N/A</v>
      </c>
      <c r="F3025" t="e">
        <f t="shared" ca="1" si="584"/>
        <v>#N/A</v>
      </c>
      <c r="G3025" t="e">
        <f t="shared" ca="1" si="585"/>
        <v>#N/A</v>
      </c>
      <c r="H3025" t="e">
        <f t="shared" ca="1" si="586"/>
        <v>#N/A</v>
      </c>
      <c r="I3025" t="e">
        <f t="shared" ca="1" si="587"/>
        <v>#N/A</v>
      </c>
      <c r="J3025" s="8" t="e">
        <f t="shared" ca="1" si="588"/>
        <v>#N/A</v>
      </c>
      <c r="K3025" s="9" t="e">
        <f t="shared" ca="1" si="589"/>
        <v>#N/A</v>
      </c>
      <c r="L3025" t="e">
        <f ca="1">+_xlfn.IFNA(VLOOKUP(M3025,BespokeWindowsAreas!$B$2:$E$1999,4,FALSE),VLOOKUP(E3025,WindowTypeArea!$B$2:$C$113,2,FALSE))</f>
        <v>#N/A</v>
      </c>
      <c r="M3025" t="e">
        <f t="shared" ca="1" si="580"/>
        <v>#N/A</v>
      </c>
    </row>
    <row r="3026" spans="1:13" x14ac:dyDescent="0.25">
      <c r="A3026" t="e">
        <f t="shared" ca="1" si="578"/>
        <v>#N/A</v>
      </c>
      <c r="B3026" t="e">
        <f t="shared" ca="1" si="579"/>
        <v>#N/A</v>
      </c>
      <c r="C3026" t="e">
        <f t="shared" ca="1" si="581"/>
        <v>#N/A</v>
      </c>
      <c r="D3026" s="6" t="e">
        <f t="shared" ca="1" si="582"/>
        <v>#N/A</v>
      </c>
      <c r="E3026" t="e">
        <f t="shared" ca="1" si="583"/>
        <v>#N/A</v>
      </c>
      <c r="F3026" t="e">
        <f t="shared" ca="1" si="584"/>
        <v>#N/A</v>
      </c>
      <c r="G3026" t="e">
        <f t="shared" ca="1" si="585"/>
        <v>#N/A</v>
      </c>
      <c r="H3026" t="e">
        <f t="shared" ca="1" si="586"/>
        <v>#N/A</v>
      </c>
      <c r="I3026" t="e">
        <f t="shared" ca="1" si="587"/>
        <v>#N/A</v>
      </c>
      <c r="J3026" s="8" t="e">
        <f t="shared" ca="1" si="588"/>
        <v>#N/A</v>
      </c>
      <c r="K3026" s="9" t="e">
        <f t="shared" ca="1" si="589"/>
        <v>#N/A</v>
      </c>
      <c r="L3026" t="e">
        <f ca="1">+_xlfn.IFNA(VLOOKUP(M3026,BespokeWindowsAreas!$B$2:$E$1999,4,FALSE),VLOOKUP(E3026,WindowTypeArea!$B$2:$C$113,2,FALSE))</f>
        <v>#N/A</v>
      </c>
      <c r="M3026" t="e">
        <f t="shared" ca="1" si="580"/>
        <v>#N/A</v>
      </c>
    </row>
    <row r="3027" spans="1:13" x14ac:dyDescent="0.25">
      <c r="A3027" t="e">
        <f t="shared" ca="1" si="578"/>
        <v>#N/A</v>
      </c>
      <c r="B3027" t="e">
        <f t="shared" ca="1" si="579"/>
        <v>#N/A</v>
      </c>
      <c r="C3027" t="e">
        <f t="shared" ca="1" si="581"/>
        <v>#N/A</v>
      </c>
      <c r="D3027" s="6" t="e">
        <f t="shared" ca="1" si="582"/>
        <v>#N/A</v>
      </c>
      <c r="E3027" t="e">
        <f t="shared" ca="1" si="583"/>
        <v>#N/A</v>
      </c>
      <c r="F3027" t="e">
        <f t="shared" ca="1" si="584"/>
        <v>#N/A</v>
      </c>
      <c r="G3027" t="e">
        <f t="shared" ca="1" si="585"/>
        <v>#N/A</v>
      </c>
      <c r="H3027" t="e">
        <f t="shared" ca="1" si="586"/>
        <v>#N/A</v>
      </c>
      <c r="I3027" t="e">
        <f t="shared" ca="1" si="587"/>
        <v>#N/A</v>
      </c>
      <c r="J3027" s="8" t="e">
        <f t="shared" ca="1" si="588"/>
        <v>#N/A</v>
      </c>
      <c r="K3027" s="9" t="e">
        <f t="shared" ca="1" si="589"/>
        <v>#N/A</v>
      </c>
      <c r="L3027" t="e">
        <f ca="1">+_xlfn.IFNA(VLOOKUP(M3027,BespokeWindowsAreas!$B$2:$E$1999,4,FALSE),VLOOKUP(E3027,WindowTypeArea!$B$2:$C$113,2,FALSE))</f>
        <v>#N/A</v>
      </c>
      <c r="M3027" t="e">
        <f t="shared" ca="1" si="580"/>
        <v>#N/A</v>
      </c>
    </row>
    <row r="3028" spans="1:13" x14ac:dyDescent="0.25">
      <c r="A3028" t="e">
        <f t="shared" ref="A3028:A3091" ca="1" si="590">+IF(B3027&lt;=VLOOKUP(MID(C3028,2,26),TABS,2,FALSE),A3027,+A3027+1)</f>
        <v>#N/A</v>
      </c>
      <c r="B3028" t="e">
        <f t="shared" ref="B3028:B3091" ca="1" si="591">+IF(B3027&lt;=VLOOKUP(MID(C3028,2,26),TABS,2,FALSE),B3027+1,1)</f>
        <v>#N/A</v>
      </c>
      <c r="C3028" t="e">
        <f t="shared" ca="1" si="581"/>
        <v>#N/A</v>
      </c>
      <c r="D3028" s="6" t="e">
        <f t="shared" ca="1" si="582"/>
        <v>#N/A</v>
      </c>
      <c r="E3028" t="e">
        <f t="shared" ca="1" si="583"/>
        <v>#N/A</v>
      </c>
      <c r="F3028" t="e">
        <f t="shared" ca="1" si="584"/>
        <v>#N/A</v>
      </c>
      <c r="G3028" t="e">
        <f t="shared" ca="1" si="585"/>
        <v>#N/A</v>
      </c>
      <c r="H3028" t="e">
        <f t="shared" ca="1" si="586"/>
        <v>#N/A</v>
      </c>
      <c r="I3028" t="e">
        <f t="shared" ca="1" si="587"/>
        <v>#N/A</v>
      </c>
      <c r="J3028" s="8" t="e">
        <f t="shared" ca="1" si="588"/>
        <v>#N/A</v>
      </c>
      <c r="K3028" s="9" t="e">
        <f t="shared" ca="1" si="589"/>
        <v>#N/A</v>
      </c>
      <c r="L3028" t="e">
        <f ca="1">+_xlfn.IFNA(VLOOKUP(M3028,BespokeWindowsAreas!$B$2:$E$1999,4,FALSE),VLOOKUP(E3028,WindowTypeArea!$B$2:$C$113,2,FALSE))</f>
        <v>#N/A</v>
      </c>
      <c r="M3028" t="e">
        <f t="shared" ca="1" si="580"/>
        <v>#N/A</v>
      </c>
    </row>
    <row r="3029" spans="1:13" x14ac:dyDescent="0.25">
      <c r="A3029" t="e">
        <f t="shared" ca="1" si="590"/>
        <v>#N/A</v>
      </c>
      <c r="B3029" t="e">
        <f t="shared" ca="1" si="591"/>
        <v>#N/A</v>
      </c>
      <c r="C3029" t="e">
        <f t="shared" ca="1" si="581"/>
        <v>#N/A</v>
      </c>
      <c r="D3029" s="6" t="e">
        <f t="shared" ca="1" si="582"/>
        <v>#N/A</v>
      </c>
      <c r="E3029" t="e">
        <f t="shared" ca="1" si="583"/>
        <v>#N/A</v>
      </c>
      <c r="F3029" t="e">
        <f t="shared" ca="1" si="584"/>
        <v>#N/A</v>
      </c>
      <c r="G3029" t="e">
        <f t="shared" ca="1" si="585"/>
        <v>#N/A</v>
      </c>
      <c r="H3029" t="e">
        <f t="shared" ca="1" si="586"/>
        <v>#N/A</v>
      </c>
      <c r="I3029" t="e">
        <f t="shared" ca="1" si="587"/>
        <v>#N/A</v>
      </c>
      <c r="J3029" s="8" t="e">
        <f t="shared" ca="1" si="588"/>
        <v>#N/A</v>
      </c>
      <c r="K3029" s="9" t="e">
        <f t="shared" ca="1" si="589"/>
        <v>#N/A</v>
      </c>
      <c r="L3029" t="e">
        <f ca="1">+_xlfn.IFNA(VLOOKUP(M3029,BespokeWindowsAreas!$B$2:$E$1999,4,FALSE),VLOOKUP(E3029,WindowTypeArea!$B$2:$C$113,2,FALSE))</f>
        <v>#N/A</v>
      </c>
      <c r="M3029" t="e">
        <f t="shared" ca="1" si="580"/>
        <v>#N/A</v>
      </c>
    </row>
    <row r="3030" spans="1:13" x14ac:dyDescent="0.25">
      <c r="A3030" t="e">
        <f t="shared" ca="1" si="590"/>
        <v>#N/A</v>
      </c>
      <c r="B3030" t="e">
        <f t="shared" ca="1" si="591"/>
        <v>#N/A</v>
      </c>
      <c r="C3030" t="e">
        <f t="shared" ca="1" si="581"/>
        <v>#N/A</v>
      </c>
      <c r="D3030" s="6" t="e">
        <f t="shared" ca="1" si="582"/>
        <v>#N/A</v>
      </c>
      <c r="E3030" t="e">
        <f t="shared" ca="1" si="583"/>
        <v>#N/A</v>
      </c>
      <c r="F3030" t="e">
        <f t="shared" ca="1" si="584"/>
        <v>#N/A</v>
      </c>
      <c r="G3030" t="e">
        <f t="shared" ca="1" si="585"/>
        <v>#N/A</v>
      </c>
      <c r="H3030" t="e">
        <f t="shared" ca="1" si="586"/>
        <v>#N/A</v>
      </c>
      <c r="I3030" t="e">
        <f t="shared" ca="1" si="587"/>
        <v>#N/A</v>
      </c>
      <c r="J3030" s="8" t="e">
        <f t="shared" ca="1" si="588"/>
        <v>#N/A</v>
      </c>
      <c r="K3030" s="9" t="e">
        <f t="shared" ca="1" si="589"/>
        <v>#N/A</v>
      </c>
      <c r="L3030" t="e">
        <f ca="1">+_xlfn.IFNA(VLOOKUP(M3030,BespokeWindowsAreas!$B$2:$E$1999,4,FALSE),VLOOKUP(E3030,WindowTypeArea!$B$2:$C$113,2,FALSE))</f>
        <v>#N/A</v>
      </c>
      <c r="M3030" t="e">
        <f t="shared" ref="M3030:M3093" ca="1" si="592">+OFFSET(INDIRECT(C3030),0,5)</f>
        <v>#N/A</v>
      </c>
    </row>
    <row r="3031" spans="1:13" x14ac:dyDescent="0.25">
      <c r="A3031" t="e">
        <f t="shared" ca="1" si="590"/>
        <v>#N/A</v>
      </c>
      <c r="B3031" t="e">
        <f t="shared" ca="1" si="591"/>
        <v>#N/A</v>
      </c>
      <c r="C3031" t="e">
        <f t="shared" ca="1" si="581"/>
        <v>#N/A</v>
      </c>
      <c r="D3031" s="6" t="e">
        <f t="shared" ca="1" si="582"/>
        <v>#N/A</v>
      </c>
      <c r="E3031" t="e">
        <f t="shared" ca="1" si="583"/>
        <v>#N/A</v>
      </c>
      <c r="F3031" t="e">
        <f t="shared" ca="1" si="584"/>
        <v>#N/A</v>
      </c>
      <c r="G3031" t="e">
        <f t="shared" ca="1" si="585"/>
        <v>#N/A</v>
      </c>
      <c r="H3031" t="e">
        <f t="shared" ca="1" si="586"/>
        <v>#N/A</v>
      </c>
      <c r="I3031" t="e">
        <f t="shared" ca="1" si="587"/>
        <v>#N/A</v>
      </c>
      <c r="J3031" s="8" t="e">
        <f t="shared" ca="1" si="588"/>
        <v>#N/A</v>
      </c>
      <c r="K3031" s="9" t="e">
        <f t="shared" ca="1" si="589"/>
        <v>#N/A</v>
      </c>
      <c r="L3031" t="e">
        <f ca="1">+_xlfn.IFNA(VLOOKUP(M3031,BespokeWindowsAreas!$B$2:$E$1999,4,FALSE),VLOOKUP(E3031,WindowTypeArea!$B$2:$C$113,2,FALSE))</f>
        <v>#N/A</v>
      </c>
      <c r="M3031" t="e">
        <f t="shared" ca="1" si="592"/>
        <v>#N/A</v>
      </c>
    </row>
    <row r="3032" spans="1:13" x14ac:dyDescent="0.25">
      <c r="A3032" t="e">
        <f t="shared" ca="1" si="590"/>
        <v>#N/A</v>
      </c>
      <c r="B3032" t="e">
        <f t="shared" ca="1" si="591"/>
        <v>#N/A</v>
      </c>
      <c r="C3032" t="e">
        <f t="shared" ca="1" si="581"/>
        <v>#N/A</v>
      </c>
      <c r="D3032" s="6" t="e">
        <f t="shared" ca="1" si="582"/>
        <v>#N/A</v>
      </c>
      <c r="E3032" t="e">
        <f t="shared" ca="1" si="583"/>
        <v>#N/A</v>
      </c>
      <c r="F3032" t="e">
        <f t="shared" ca="1" si="584"/>
        <v>#N/A</v>
      </c>
      <c r="G3032" t="e">
        <f t="shared" ca="1" si="585"/>
        <v>#N/A</v>
      </c>
      <c r="H3032" t="e">
        <f t="shared" ca="1" si="586"/>
        <v>#N/A</v>
      </c>
      <c r="I3032" t="e">
        <f t="shared" ca="1" si="587"/>
        <v>#N/A</v>
      </c>
      <c r="J3032" s="8" t="e">
        <f t="shared" ca="1" si="588"/>
        <v>#N/A</v>
      </c>
      <c r="K3032" s="9" t="e">
        <f t="shared" ca="1" si="589"/>
        <v>#N/A</v>
      </c>
      <c r="L3032" t="e">
        <f ca="1">+_xlfn.IFNA(VLOOKUP(M3032,BespokeWindowsAreas!$B$2:$E$1999,4,FALSE),VLOOKUP(E3032,WindowTypeArea!$B$2:$C$113,2,FALSE))</f>
        <v>#N/A</v>
      </c>
      <c r="M3032" t="e">
        <f t="shared" ca="1" si="592"/>
        <v>#N/A</v>
      </c>
    </row>
    <row r="3033" spans="1:13" x14ac:dyDescent="0.25">
      <c r="A3033" t="e">
        <f t="shared" ca="1" si="590"/>
        <v>#N/A</v>
      </c>
      <c r="B3033" t="e">
        <f t="shared" ca="1" si="591"/>
        <v>#N/A</v>
      </c>
      <c r="C3033" t="e">
        <f t="shared" ca="1" si="581"/>
        <v>#N/A</v>
      </c>
      <c r="D3033" s="6" t="e">
        <f t="shared" ca="1" si="582"/>
        <v>#N/A</v>
      </c>
      <c r="E3033" t="e">
        <f t="shared" ca="1" si="583"/>
        <v>#N/A</v>
      </c>
      <c r="F3033" t="e">
        <f t="shared" ca="1" si="584"/>
        <v>#N/A</v>
      </c>
      <c r="G3033" t="e">
        <f t="shared" ca="1" si="585"/>
        <v>#N/A</v>
      </c>
      <c r="H3033" t="e">
        <f t="shared" ca="1" si="586"/>
        <v>#N/A</v>
      </c>
      <c r="I3033" t="e">
        <f t="shared" ca="1" si="587"/>
        <v>#N/A</v>
      </c>
      <c r="J3033" s="8" t="e">
        <f t="shared" ca="1" si="588"/>
        <v>#N/A</v>
      </c>
      <c r="K3033" s="9" t="e">
        <f t="shared" ca="1" si="589"/>
        <v>#N/A</v>
      </c>
      <c r="L3033" t="e">
        <f ca="1">+_xlfn.IFNA(VLOOKUP(M3033,BespokeWindowsAreas!$B$2:$E$1999,4,FALSE),VLOOKUP(E3033,WindowTypeArea!$B$2:$C$113,2,FALSE))</f>
        <v>#N/A</v>
      </c>
      <c r="M3033" t="e">
        <f t="shared" ca="1" si="592"/>
        <v>#N/A</v>
      </c>
    </row>
    <row r="3034" spans="1:13" x14ac:dyDescent="0.25">
      <c r="A3034" t="e">
        <f t="shared" ca="1" si="590"/>
        <v>#N/A</v>
      </c>
      <c r="B3034" t="e">
        <f t="shared" ca="1" si="591"/>
        <v>#N/A</v>
      </c>
      <c r="C3034" t="e">
        <f t="shared" ca="1" si="581"/>
        <v>#N/A</v>
      </c>
      <c r="D3034" s="6" t="e">
        <f t="shared" ca="1" si="582"/>
        <v>#N/A</v>
      </c>
      <c r="E3034" t="e">
        <f t="shared" ca="1" si="583"/>
        <v>#N/A</v>
      </c>
      <c r="F3034" t="e">
        <f t="shared" ca="1" si="584"/>
        <v>#N/A</v>
      </c>
      <c r="G3034" t="e">
        <f t="shared" ca="1" si="585"/>
        <v>#N/A</v>
      </c>
      <c r="H3034" t="e">
        <f t="shared" ca="1" si="586"/>
        <v>#N/A</v>
      </c>
      <c r="I3034" t="e">
        <f t="shared" ca="1" si="587"/>
        <v>#N/A</v>
      </c>
      <c r="J3034" s="8" t="e">
        <f t="shared" ca="1" si="588"/>
        <v>#N/A</v>
      </c>
      <c r="K3034" s="9" t="e">
        <f t="shared" ca="1" si="589"/>
        <v>#N/A</v>
      </c>
      <c r="L3034" t="e">
        <f ca="1">+_xlfn.IFNA(VLOOKUP(M3034,BespokeWindowsAreas!$B$2:$E$1999,4,FALSE),VLOOKUP(E3034,WindowTypeArea!$B$2:$C$113,2,FALSE))</f>
        <v>#N/A</v>
      </c>
      <c r="M3034" t="e">
        <f t="shared" ca="1" si="592"/>
        <v>#N/A</v>
      </c>
    </row>
    <row r="3035" spans="1:13" x14ac:dyDescent="0.25">
      <c r="A3035" t="e">
        <f t="shared" ca="1" si="590"/>
        <v>#N/A</v>
      </c>
      <c r="B3035" t="e">
        <f t="shared" ca="1" si="591"/>
        <v>#N/A</v>
      </c>
      <c r="C3035" t="e">
        <f t="shared" ca="1" si="581"/>
        <v>#N/A</v>
      </c>
      <c r="D3035" s="6" t="e">
        <f t="shared" ca="1" si="582"/>
        <v>#N/A</v>
      </c>
      <c r="E3035" t="e">
        <f t="shared" ca="1" si="583"/>
        <v>#N/A</v>
      </c>
      <c r="F3035" t="e">
        <f t="shared" ca="1" si="584"/>
        <v>#N/A</v>
      </c>
      <c r="G3035" t="e">
        <f t="shared" ca="1" si="585"/>
        <v>#N/A</v>
      </c>
      <c r="H3035" t="e">
        <f t="shared" ca="1" si="586"/>
        <v>#N/A</v>
      </c>
      <c r="I3035" t="e">
        <f t="shared" ca="1" si="587"/>
        <v>#N/A</v>
      </c>
      <c r="J3035" s="8" t="e">
        <f t="shared" ca="1" si="588"/>
        <v>#N/A</v>
      </c>
      <c r="K3035" s="9" t="e">
        <f t="shared" ca="1" si="589"/>
        <v>#N/A</v>
      </c>
      <c r="L3035" t="e">
        <f ca="1">+_xlfn.IFNA(VLOOKUP(M3035,BespokeWindowsAreas!$B$2:$E$1999,4,FALSE),VLOOKUP(E3035,WindowTypeArea!$B$2:$C$113,2,FALSE))</f>
        <v>#N/A</v>
      </c>
      <c r="M3035" t="e">
        <f t="shared" ca="1" si="592"/>
        <v>#N/A</v>
      </c>
    </row>
    <row r="3036" spans="1:13" x14ac:dyDescent="0.25">
      <c r="A3036" t="e">
        <f t="shared" ca="1" si="590"/>
        <v>#N/A</v>
      </c>
      <c r="B3036" t="e">
        <f t="shared" ca="1" si="591"/>
        <v>#N/A</v>
      </c>
      <c r="C3036" t="e">
        <f t="shared" ca="1" si="581"/>
        <v>#N/A</v>
      </c>
      <c r="D3036" s="6" t="e">
        <f t="shared" ca="1" si="582"/>
        <v>#N/A</v>
      </c>
      <c r="E3036" t="e">
        <f t="shared" ca="1" si="583"/>
        <v>#N/A</v>
      </c>
      <c r="F3036" t="e">
        <f t="shared" ca="1" si="584"/>
        <v>#N/A</v>
      </c>
      <c r="G3036" t="e">
        <f t="shared" ca="1" si="585"/>
        <v>#N/A</v>
      </c>
      <c r="H3036" t="e">
        <f t="shared" ca="1" si="586"/>
        <v>#N/A</v>
      </c>
      <c r="I3036" t="e">
        <f t="shared" ca="1" si="587"/>
        <v>#N/A</v>
      </c>
      <c r="J3036" s="8" t="e">
        <f t="shared" ca="1" si="588"/>
        <v>#N/A</v>
      </c>
      <c r="K3036" s="9" t="e">
        <f t="shared" ca="1" si="589"/>
        <v>#N/A</v>
      </c>
      <c r="L3036" t="e">
        <f ca="1">+_xlfn.IFNA(VLOOKUP(M3036,BespokeWindowsAreas!$B$2:$E$1999,4,FALSE),VLOOKUP(E3036,WindowTypeArea!$B$2:$C$113,2,FALSE))</f>
        <v>#N/A</v>
      </c>
      <c r="M3036" t="e">
        <f t="shared" ca="1" si="592"/>
        <v>#N/A</v>
      </c>
    </row>
    <row r="3037" spans="1:13" x14ac:dyDescent="0.25">
      <c r="A3037" t="e">
        <f t="shared" ca="1" si="590"/>
        <v>#N/A</v>
      </c>
      <c r="B3037" t="e">
        <f t="shared" ca="1" si="591"/>
        <v>#N/A</v>
      </c>
      <c r="C3037" t="e">
        <f t="shared" ca="1" si="581"/>
        <v>#N/A</v>
      </c>
      <c r="D3037" s="6" t="e">
        <f t="shared" ca="1" si="582"/>
        <v>#N/A</v>
      </c>
      <c r="E3037" t="e">
        <f t="shared" ca="1" si="583"/>
        <v>#N/A</v>
      </c>
      <c r="F3037" t="e">
        <f t="shared" ca="1" si="584"/>
        <v>#N/A</v>
      </c>
      <c r="G3037" t="e">
        <f t="shared" ca="1" si="585"/>
        <v>#N/A</v>
      </c>
      <c r="H3037" t="e">
        <f t="shared" ca="1" si="586"/>
        <v>#N/A</v>
      </c>
      <c r="I3037" t="e">
        <f t="shared" ca="1" si="587"/>
        <v>#N/A</v>
      </c>
      <c r="J3037" s="8" t="e">
        <f t="shared" ca="1" si="588"/>
        <v>#N/A</v>
      </c>
      <c r="K3037" s="9" t="e">
        <f t="shared" ca="1" si="589"/>
        <v>#N/A</v>
      </c>
      <c r="L3037" t="e">
        <f ca="1">+_xlfn.IFNA(VLOOKUP(M3037,BespokeWindowsAreas!$B$2:$E$1999,4,FALSE),VLOOKUP(E3037,WindowTypeArea!$B$2:$C$113,2,FALSE))</f>
        <v>#N/A</v>
      </c>
      <c r="M3037" t="e">
        <f t="shared" ca="1" si="592"/>
        <v>#N/A</v>
      </c>
    </row>
    <row r="3038" spans="1:13" x14ac:dyDescent="0.25">
      <c r="A3038" t="e">
        <f t="shared" ca="1" si="590"/>
        <v>#N/A</v>
      </c>
      <c r="B3038" t="e">
        <f t="shared" ca="1" si="591"/>
        <v>#N/A</v>
      </c>
      <c r="C3038" t="e">
        <f t="shared" ca="1" si="581"/>
        <v>#N/A</v>
      </c>
      <c r="D3038" s="6" t="e">
        <f t="shared" ca="1" si="582"/>
        <v>#N/A</v>
      </c>
      <c r="E3038" t="e">
        <f t="shared" ca="1" si="583"/>
        <v>#N/A</v>
      </c>
      <c r="F3038" t="e">
        <f t="shared" ca="1" si="584"/>
        <v>#N/A</v>
      </c>
      <c r="G3038" t="e">
        <f t="shared" ca="1" si="585"/>
        <v>#N/A</v>
      </c>
      <c r="H3038" t="e">
        <f t="shared" ca="1" si="586"/>
        <v>#N/A</v>
      </c>
      <c r="I3038" t="e">
        <f t="shared" ca="1" si="587"/>
        <v>#N/A</v>
      </c>
      <c r="J3038" s="8" t="e">
        <f t="shared" ca="1" si="588"/>
        <v>#N/A</v>
      </c>
      <c r="K3038" s="9" t="e">
        <f t="shared" ca="1" si="589"/>
        <v>#N/A</v>
      </c>
      <c r="L3038" t="e">
        <f ca="1">+_xlfn.IFNA(VLOOKUP(M3038,BespokeWindowsAreas!$B$2:$E$1999,4,FALSE),VLOOKUP(E3038,WindowTypeArea!$B$2:$C$113,2,FALSE))</f>
        <v>#N/A</v>
      </c>
      <c r="M3038" t="e">
        <f t="shared" ca="1" si="592"/>
        <v>#N/A</v>
      </c>
    </row>
    <row r="3039" spans="1:13" x14ac:dyDescent="0.25">
      <c r="A3039" t="e">
        <f t="shared" ca="1" si="590"/>
        <v>#N/A</v>
      </c>
      <c r="B3039" t="e">
        <f t="shared" ca="1" si="591"/>
        <v>#N/A</v>
      </c>
      <c r="C3039" t="e">
        <f t="shared" ca="1" si="581"/>
        <v>#N/A</v>
      </c>
      <c r="D3039" s="6" t="e">
        <f t="shared" ca="1" si="582"/>
        <v>#N/A</v>
      </c>
      <c r="E3039" t="e">
        <f t="shared" ca="1" si="583"/>
        <v>#N/A</v>
      </c>
      <c r="F3039" t="e">
        <f t="shared" ca="1" si="584"/>
        <v>#N/A</v>
      </c>
      <c r="G3039" t="e">
        <f t="shared" ca="1" si="585"/>
        <v>#N/A</v>
      </c>
      <c r="H3039" t="e">
        <f t="shared" ca="1" si="586"/>
        <v>#N/A</v>
      </c>
      <c r="I3039" t="e">
        <f t="shared" ca="1" si="587"/>
        <v>#N/A</v>
      </c>
      <c r="J3039" s="8" t="e">
        <f t="shared" ca="1" si="588"/>
        <v>#N/A</v>
      </c>
      <c r="K3039" s="9" t="e">
        <f t="shared" ca="1" si="589"/>
        <v>#N/A</v>
      </c>
      <c r="L3039" t="e">
        <f ca="1">+_xlfn.IFNA(VLOOKUP(M3039,BespokeWindowsAreas!$B$2:$E$1999,4,FALSE),VLOOKUP(E3039,WindowTypeArea!$B$2:$C$113,2,FALSE))</f>
        <v>#N/A</v>
      </c>
      <c r="M3039" t="e">
        <f t="shared" ca="1" si="592"/>
        <v>#N/A</v>
      </c>
    </row>
    <row r="3040" spans="1:13" x14ac:dyDescent="0.25">
      <c r="A3040" t="e">
        <f t="shared" ca="1" si="590"/>
        <v>#N/A</v>
      </c>
      <c r="B3040" t="e">
        <f t="shared" ca="1" si="591"/>
        <v>#N/A</v>
      </c>
      <c r="C3040" t="e">
        <f t="shared" ca="1" si="581"/>
        <v>#N/A</v>
      </c>
      <c r="D3040" s="6" t="e">
        <f t="shared" ca="1" si="582"/>
        <v>#N/A</v>
      </c>
      <c r="E3040" t="e">
        <f t="shared" ca="1" si="583"/>
        <v>#N/A</v>
      </c>
      <c r="F3040" t="e">
        <f t="shared" ca="1" si="584"/>
        <v>#N/A</v>
      </c>
      <c r="G3040" t="e">
        <f t="shared" ca="1" si="585"/>
        <v>#N/A</v>
      </c>
      <c r="H3040" t="e">
        <f t="shared" ca="1" si="586"/>
        <v>#N/A</v>
      </c>
      <c r="I3040" t="e">
        <f t="shared" ca="1" si="587"/>
        <v>#N/A</v>
      </c>
      <c r="J3040" s="8" t="e">
        <f t="shared" ca="1" si="588"/>
        <v>#N/A</v>
      </c>
      <c r="K3040" s="9" t="e">
        <f t="shared" ca="1" si="589"/>
        <v>#N/A</v>
      </c>
      <c r="L3040" t="e">
        <f ca="1">+_xlfn.IFNA(VLOOKUP(M3040,BespokeWindowsAreas!$B$2:$E$1999,4,FALSE),VLOOKUP(E3040,WindowTypeArea!$B$2:$C$113,2,FALSE))</f>
        <v>#N/A</v>
      </c>
      <c r="M3040" t="e">
        <f t="shared" ca="1" si="592"/>
        <v>#N/A</v>
      </c>
    </row>
    <row r="3041" spans="1:13" x14ac:dyDescent="0.25">
      <c r="A3041" t="e">
        <f t="shared" ca="1" si="590"/>
        <v>#N/A</v>
      </c>
      <c r="B3041" t="e">
        <f t="shared" ca="1" si="591"/>
        <v>#N/A</v>
      </c>
      <c r="C3041" t="e">
        <f t="shared" ca="1" si="581"/>
        <v>#N/A</v>
      </c>
      <c r="D3041" s="6" t="e">
        <f t="shared" ca="1" si="582"/>
        <v>#N/A</v>
      </c>
      <c r="E3041" t="e">
        <f t="shared" ca="1" si="583"/>
        <v>#N/A</v>
      </c>
      <c r="F3041" t="e">
        <f t="shared" ca="1" si="584"/>
        <v>#N/A</v>
      </c>
      <c r="G3041" t="e">
        <f t="shared" ca="1" si="585"/>
        <v>#N/A</v>
      </c>
      <c r="H3041" t="e">
        <f t="shared" ca="1" si="586"/>
        <v>#N/A</v>
      </c>
      <c r="I3041" t="e">
        <f t="shared" ca="1" si="587"/>
        <v>#N/A</v>
      </c>
      <c r="J3041" s="8" t="e">
        <f t="shared" ca="1" si="588"/>
        <v>#N/A</v>
      </c>
      <c r="K3041" s="9" t="e">
        <f t="shared" ca="1" si="589"/>
        <v>#N/A</v>
      </c>
      <c r="L3041" t="e">
        <f ca="1">+_xlfn.IFNA(VLOOKUP(M3041,BespokeWindowsAreas!$B$2:$E$1999,4,FALSE),VLOOKUP(E3041,WindowTypeArea!$B$2:$C$113,2,FALSE))</f>
        <v>#N/A</v>
      </c>
      <c r="M3041" t="e">
        <f t="shared" ca="1" si="592"/>
        <v>#N/A</v>
      </c>
    </row>
    <row r="3042" spans="1:13" x14ac:dyDescent="0.25">
      <c r="A3042" t="e">
        <f t="shared" ca="1" si="590"/>
        <v>#N/A</v>
      </c>
      <c r="B3042" t="e">
        <f t="shared" ca="1" si="591"/>
        <v>#N/A</v>
      </c>
      <c r="C3042" t="e">
        <f t="shared" ca="1" si="581"/>
        <v>#N/A</v>
      </c>
      <c r="D3042" s="6" t="e">
        <f t="shared" ca="1" si="582"/>
        <v>#N/A</v>
      </c>
      <c r="E3042" t="e">
        <f t="shared" ca="1" si="583"/>
        <v>#N/A</v>
      </c>
      <c r="F3042" t="e">
        <f t="shared" ca="1" si="584"/>
        <v>#N/A</v>
      </c>
      <c r="G3042" t="e">
        <f t="shared" ca="1" si="585"/>
        <v>#N/A</v>
      </c>
      <c r="H3042" t="e">
        <f t="shared" ca="1" si="586"/>
        <v>#N/A</v>
      </c>
      <c r="I3042" t="e">
        <f t="shared" ca="1" si="587"/>
        <v>#N/A</v>
      </c>
      <c r="J3042" s="8" t="e">
        <f t="shared" ca="1" si="588"/>
        <v>#N/A</v>
      </c>
      <c r="K3042" s="9" t="e">
        <f t="shared" ca="1" si="589"/>
        <v>#N/A</v>
      </c>
      <c r="L3042" t="e">
        <f ca="1">+_xlfn.IFNA(VLOOKUP(M3042,BespokeWindowsAreas!$B$2:$E$1999,4,FALSE),VLOOKUP(E3042,WindowTypeArea!$B$2:$C$113,2,FALSE))</f>
        <v>#N/A</v>
      </c>
      <c r="M3042" t="e">
        <f t="shared" ca="1" si="592"/>
        <v>#N/A</v>
      </c>
    </row>
    <row r="3043" spans="1:13" x14ac:dyDescent="0.25">
      <c r="A3043" t="e">
        <f t="shared" ca="1" si="590"/>
        <v>#N/A</v>
      </c>
      <c r="B3043" t="e">
        <f t="shared" ca="1" si="591"/>
        <v>#N/A</v>
      </c>
      <c r="C3043" t="e">
        <f t="shared" ca="1" si="581"/>
        <v>#N/A</v>
      </c>
      <c r="D3043" s="6" t="e">
        <f t="shared" ca="1" si="582"/>
        <v>#N/A</v>
      </c>
      <c r="E3043" t="e">
        <f t="shared" ca="1" si="583"/>
        <v>#N/A</v>
      </c>
      <c r="F3043" t="e">
        <f t="shared" ca="1" si="584"/>
        <v>#N/A</v>
      </c>
      <c r="G3043" t="e">
        <f t="shared" ca="1" si="585"/>
        <v>#N/A</v>
      </c>
      <c r="H3043" t="e">
        <f t="shared" ca="1" si="586"/>
        <v>#N/A</v>
      </c>
      <c r="I3043" t="e">
        <f t="shared" ca="1" si="587"/>
        <v>#N/A</v>
      </c>
      <c r="J3043" s="8" t="e">
        <f t="shared" ca="1" si="588"/>
        <v>#N/A</v>
      </c>
      <c r="K3043" s="9" t="e">
        <f t="shared" ca="1" si="589"/>
        <v>#N/A</v>
      </c>
      <c r="L3043" t="e">
        <f ca="1">+_xlfn.IFNA(VLOOKUP(M3043,BespokeWindowsAreas!$B$2:$E$1999,4,FALSE),VLOOKUP(E3043,WindowTypeArea!$B$2:$C$113,2,FALSE))</f>
        <v>#N/A</v>
      </c>
      <c r="M3043" t="e">
        <f t="shared" ca="1" si="592"/>
        <v>#N/A</v>
      </c>
    </row>
    <row r="3044" spans="1:13" x14ac:dyDescent="0.25">
      <c r="A3044" t="e">
        <f t="shared" ca="1" si="590"/>
        <v>#N/A</v>
      </c>
      <c r="B3044" t="e">
        <f t="shared" ca="1" si="591"/>
        <v>#N/A</v>
      </c>
      <c r="C3044" t="e">
        <f t="shared" ca="1" si="581"/>
        <v>#N/A</v>
      </c>
      <c r="D3044" s="6" t="e">
        <f t="shared" ca="1" si="582"/>
        <v>#N/A</v>
      </c>
      <c r="E3044" t="e">
        <f t="shared" ca="1" si="583"/>
        <v>#N/A</v>
      </c>
      <c r="F3044" t="e">
        <f t="shared" ca="1" si="584"/>
        <v>#N/A</v>
      </c>
      <c r="G3044" t="e">
        <f t="shared" ca="1" si="585"/>
        <v>#N/A</v>
      </c>
      <c r="H3044" t="e">
        <f t="shared" ca="1" si="586"/>
        <v>#N/A</v>
      </c>
      <c r="I3044" t="e">
        <f t="shared" ca="1" si="587"/>
        <v>#N/A</v>
      </c>
      <c r="J3044" s="8" t="e">
        <f t="shared" ca="1" si="588"/>
        <v>#N/A</v>
      </c>
      <c r="K3044" s="9" t="e">
        <f t="shared" ca="1" si="589"/>
        <v>#N/A</v>
      </c>
      <c r="L3044" t="e">
        <f ca="1">+_xlfn.IFNA(VLOOKUP(M3044,BespokeWindowsAreas!$B$2:$E$1999,4,FALSE),VLOOKUP(E3044,WindowTypeArea!$B$2:$C$113,2,FALSE))</f>
        <v>#N/A</v>
      </c>
      <c r="M3044" t="e">
        <f t="shared" ca="1" si="592"/>
        <v>#N/A</v>
      </c>
    </row>
    <row r="3045" spans="1:13" x14ac:dyDescent="0.25">
      <c r="A3045" t="e">
        <f t="shared" ca="1" si="590"/>
        <v>#N/A</v>
      </c>
      <c r="B3045" t="e">
        <f t="shared" ca="1" si="591"/>
        <v>#N/A</v>
      </c>
      <c r="C3045" t="e">
        <f t="shared" ca="1" si="581"/>
        <v>#N/A</v>
      </c>
      <c r="D3045" s="6" t="e">
        <f t="shared" ca="1" si="582"/>
        <v>#N/A</v>
      </c>
      <c r="E3045" t="e">
        <f t="shared" ca="1" si="583"/>
        <v>#N/A</v>
      </c>
      <c r="F3045" t="e">
        <f t="shared" ca="1" si="584"/>
        <v>#N/A</v>
      </c>
      <c r="G3045" t="e">
        <f t="shared" ca="1" si="585"/>
        <v>#N/A</v>
      </c>
      <c r="H3045" t="e">
        <f t="shared" ca="1" si="586"/>
        <v>#N/A</v>
      </c>
      <c r="I3045" t="e">
        <f t="shared" ca="1" si="587"/>
        <v>#N/A</v>
      </c>
      <c r="J3045" s="8" t="e">
        <f t="shared" ca="1" si="588"/>
        <v>#N/A</v>
      </c>
      <c r="K3045" s="9" t="e">
        <f t="shared" ca="1" si="589"/>
        <v>#N/A</v>
      </c>
      <c r="L3045" t="e">
        <f ca="1">+_xlfn.IFNA(VLOOKUP(M3045,BespokeWindowsAreas!$B$2:$E$1999,4,FALSE),VLOOKUP(E3045,WindowTypeArea!$B$2:$C$113,2,FALSE))</f>
        <v>#N/A</v>
      </c>
      <c r="M3045" t="e">
        <f t="shared" ca="1" si="592"/>
        <v>#N/A</v>
      </c>
    </row>
    <row r="3046" spans="1:13" x14ac:dyDescent="0.25">
      <c r="A3046" t="e">
        <f t="shared" ca="1" si="590"/>
        <v>#N/A</v>
      </c>
      <c r="B3046" t="e">
        <f t="shared" ca="1" si="591"/>
        <v>#N/A</v>
      </c>
      <c r="C3046" t="e">
        <f t="shared" ca="1" si="581"/>
        <v>#N/A</v>
      </c>
      <c r="D3046" s="6" t="e">
        <f t="shared" ca="1" si="582"/>
        <v>#N/A</v>
      </c>
      <c r="E3046" t="e">
        <f t="shared" ca="1" si="583"/>
        <v>#N/A</v>
      </c>
      <c r="F3046" t="e">
        <f t="shared" ca="1" si="584"/>
        <v>#N/A</v>
      </c>
      <c r="G3046" t="e">
        <f t="shared" ca="1" si="585"/>
        <v>#N/A</v>
      </c>
      <c r="H3046" t="e">
        <f t="shared" ca="1" si="586"/>
        <v>#N/A</v>
      </c>
      <c r="I3046" t="e">
        <f t="shared" ca="1" si="587"/>
        <v>#N/A</v>
      </c>
      <c r="J3046" s="8" t="e">
        <f t="shared" ca="1" si="588"/>
        <v>#N/A</v>
      </c>
      <c r="K3046" s="9" t="e">
        <f t="shared" ca="1" si="589"/>
        <v>#N/A</v>
      </c>
      <c r="L3046" t="e">
        <f ca="1">+_xlfn.IFNA(VLOOKUP(M3046,BespokeWindowsAreas!$B$2:$E$1999,4,FALSE),VLOOKUP(E3046,WindowTypeArea!$B$2:$C$113,2,FALSE))</f>
        <v>#N/A</v>
      </c>
      <c r="M3046" t="e">
        <f t="shared" ca="1" si="592"/>
        <v>#N/A</v>
      </c>
    </row>
    <row r="3047" spans="1:13" x14ac:dyDescent="0.25">
      <c r="A3047" t="e">
        <f t="shared" ca="1" si="590"/>
        <v>#N/A</v>
      </c>
      <c r="B3047" t="e">
        <f t="shared" ca="1" si="591"/>
        <v>#N/A</v>
      </c>
      <c r="C3047" t="e">
        <f t="shared" ca="1" si="581"/>
        <v>#N/A</v>
      </c>
      <c r="D3047" s="6" t="e">
        <f t="shared" ca="1" si="582"/>
        <v>#N/A</v>
      </c>
      <c r="E3047" t="e">
        <f t="shared" ca="1" si="583"/>
        <v>#N/A</v>
      </c>
      <c r="F3047" t="e">
        <f t="shared" ca="1" si="584"/>
        <v>#N/A</v>
      </c>
      <c r="G3047" t="e">
        <f t="shared" ca="1" si="585"/>
        <v>#N/A</v>
      </c>
      <c r="H3047" t="e">
        <f t="shared" ca="1" si="586"/>
        <v>#N/A</v>
      </c>
      <c r="I3047" t="e">
        <f t="shared" ca="1" si="587"/>
        <v>#N/A</v>
      </c>
      <c r="J3047" s="8" t="e">
        <f t="shared" ca="1" si="588"/>
        <v>#N/A</v>
      </c>
      <c r="K3047" s="9" t="e">
        <f t="shared" ca="1" si="589"/>
        <v>#N/A</v>
      </c>
      <c r="L3047" t="e">
        <f ca="1">+_xlfn.IFNA(VLOOKUP(M3047,BespokeWindowsAreas!$B$2:$E$1999,4,FALSE),VLOOKUP(E3047,WindowTypeArea!$B$2:$C$113,2,FALSE))</f>
        <v>#N/A</v>
      </c>
      <c r="M3047" t="e">
        <f t="shared" ca="1" si="592"/>
        <v>#N/A</v>
      </c>
    </row>
    <row r="3048" spans="1:13" x14ac:dyDescent="0.25">
      <c r="A3048" t="e">
        <f t="shared" ca="1" si="590"/>
        <v>#N/A</v>
      </c>
      <c r="B3048" t="e">
        <f t="shared" ca="1" si="591"/>
        <v>#N/A</v>
      </c>
      <c r="C3048" t="e">
        <f t="shared" ca="1" si="581"/>
        <v>#N/A</v>
      </c>
      <c r="D3048" s="6" t="e">
        <f t="shared" ca="1" si="582"/>
        <v>#N/A</v>
      </c>
      <c r="E3048" t="e">
        <f t="shared" ca="1" si="583"/>
        <v>#N/A</v>
      </c>
      <c r="F3048" t="e">
        <f t="shared" ca="1" si="584"/>
        <v>#N/A</v>
      </c>
      <c r="G3048" t="e">
        <f t="shared" ca="1" si="585"/>
        <v>#N/A</v>
      </c>
      <c r="H3048" t="e">
        <f t="shared" ca="1" si="586"/>
        <v>#N/A</v>
      </c>
      <c r="I3048" t="e">
        <f t="shared" ca="1" si="587"/>
        <v>#N/A</v>
      </c>
      <c r="J3048" s="8" t="e">
        <f t="shared" ca="1" si="588"/>
        <v>#N/A</v>
      </c>
      <c r="K3048" s="9" t="e">
        <f t="shared" ca="1" si="589"/>
        <v>#N/A</v>
      </c>
      <c r="L3048" t="e">
        <f ca="1">+_xlfn.IFNA(VLOOKUP(M3048,BespokeWindowsAreas!$B$2:$E$1999,4,FALSE),VLOOKUP(E3048,WindowTypeArea!$B$2:$C$113,2,FALSE))</f>
        <v>#N/A</v>
      </c>
      <c r="M3048" t="e">
        <f t="shared" ca="1" si="592"/>
        <v>#N/A</v>
      </c>
    </row>
    <row r="3049" spans="1:13" x14ac:dyDescent="0.25">
      <c r="A3049" t="e">
        <f t="shared" ca="1" si="590"/>
        <v>#N/A</v>
      </c>
      <c r="B3049" t="e">
        <f t="shared" ca="1" si="591"/>
        <v>#N/A</v>
      </c>
      <c r="C3049" t="e">
        <f t="shared" ca="1" si="581"/>
        <v>#N/A</v>
      </c>
      <c r="D3049" s="6" t="e">
        <f t="shared" ca="1" si="582"/>
        <v>#N/A</v>
      </c>
      <c r="E3049" t="e">
        <f t="shared" ca="1" si="583"/>
        <v>#N/A</v>
      </c>
      <c r="F3049" t="e">
        <f t="shared" ca="1" si="584"/>
        <v>#N/A</v>
      </c>
      <c r="G3049" t="e">
        <f t="shared" ca="1" si="585"/>
        <v>#N/A</v>
      </c>
      <c r="H3049" t="e">
        <f t="shared" ca="1" si="586"/>
        <v>#N/A</v>
      </c>
      <c r="I3049" t="e">
        <f t="shared" ca="1" si="587"/>
        <v>#N/A</v>
      </c>
      <c r="J3049" s="8" t="e">
        <f t="shared" ca="1" si="588"/>
        <v>#N/A</v>
      </c>
      <c r="K3049" s="9" t="e">
        <f t="shared" ca="1" si="589"/>
        <v>#N/A</v>
      </c>
      <c r="L3049" t="e">
        <f ca="1">+_xlfn.IFNA(VLOOKUP(M3049,BespokeWindowsAreas!$B$2:$E$1999,4,FALSE),VLOOKUP(E3049,WindowTypeArea!$B$2:$C$113,2,FALSE))</f>
        <v>#N/A</v>
      </c>
      <c r="M3049" t="e">
        <f t="shared" ca="1" si="592"/>
        <v>#N/A</v>
      </c>
    </row>
    <row r="3050" spans="1:13" x14ac:dyDescent="0.25">
      <c r="A3050" t="e">
        <f t="shared" ca="1" si="590"/>
        <v>#N/A</v>
      </c>
      <c r="B3050" t="e">
        <f t="shared" ca="1" si="591"/>
        <v>#N/A</v>
      </c>
      <c r="C3050" t="e">
        <f t="shared" ca="1" si="581"/>
        <v>#N/A</v>
      </c>
      <c r="D3050" s="6" t="e">
        <f t="shared" ca="1" si="582"/>
        <v>#N/A</v>
      </c>
      <c r="E3050" t="e">
        <f t="shared" ca="1" si="583"/>
        <v>#N/A</v>
      </c>
      <c r="F3050" t="e">
        <f t="shared" ca="1" si="584"/>
        <v>#N/A</v>
      </c>
      <c r="G3050" t="e">
        <f t="shared" ca="1" si="585"/>
        <v>#N/A</v>
      </c>
      <c r="H3050" t="e">
        <f t="shared" ca="1" si="586"/>
        <v>#N/A</v>
      </c>
      <c r="I3050" t="e">
        <f t="shared" ca="1" si="587"/>
        <v>#N/A</v>
      </c>
      <c r="J3050" s="8" t="e">
        <f t="shared" ca="1" si="588"/>
        <v>#N/A</v>
      </c>
      <c r="K3050" s="9" t="e">
        <f t="shared" ca="1" si="589"/>
        <v>#N/A</v>
      </c>
      <c r="L3050" t="e">
        <f ca="1">+_xlfn.IFNA(VLOOKUP(M3050,BespokeWindowsAreas!$B$2:$E$1999,4,FALSE),VLOOKUP(E3050,WindowTypeArea!$B$2:$C$113,2,FALSE))</f>
        <v>#N/A</v>
      </c>
      <c r="M3050" t="e">
        <f t="shared" ca="1" si="592"/>
        <v>#N/A</v>
      </c>
    </row>
    <row r="3051" spans="1:13" x14ac:dyDescent="0.25">
      <c r="A3051" t="e">
        <f t="shared" ca="1" si="590"/>
        <v>#N/A</v>
      </c>
      <c r="B3051" t="e">
        <f t="shared" ca="1" si="591"/>
        <v>#N/A</v>
      </c>
      <c r="C3051" t="e">
        <f t="shared" ca="1" si="581"/>
        <v>#N/A</v>
      </c>
      <c r="D3051" s="6" t="e">
        <f t="shared" ca="1" si="582"/>
        <v>#N/A</v>
      </c>
      <c r="E3051" t="e">
        <f t="shared" ca="1" si="583"/>
        <v>#N/A</v>
      </c>
      <c r="F3051" t="e">
        <f t="shared" ca="1" si="584"/>
        <v>#N/A</v>
      </c>
      <c r="G3051" t="e">
        <f t="shared" ca="1" si="585"/>
        <v>#N/A</v>
      </c>
      <c r="H3051" t="e">
        <f t="shared" ca="1" si="586"/>
        <v>#N/A</v>
      </c>
      <c r="I3051" t="e">
        <f t="shared" ca="1" si="587"/>
        <v>#N/A</v>
      </c>
      <c r="J3051" s="8" t="e">
        <f t="shared" ca="1" si="588"/>
        <v>#N/A</v>
      </c>
      <c r="K3051" s="9" t="e">
        <f t="shared" ca="1" si="589"/>
        <v>#N/A</v>
      </c>
      <c r="L3051" t="e">
        <f ca="1">+_xlfn.IFNA(VLOOKUP(M3051,BespokeWindowsAreas!$B$2:$E$1999,4,FALSE),VLOOKUP(E3051,WindowTypeArea!$B$2:$C$113,2,FALSE))</f>
        <v>#N/A</v>
      </c>
      <c r="M3051" t="e">
        <f t="shared" ca="1" si="592"/>
        <v>#N/A</v>
      </c>
    </row>
    <row r="3052" spans="1:13" x14ac:dyDescent="0.25">
      <c r="A3052" t="e">
        <f t="shared" ca="1" si="590"/>
        <v>#N/A</v>
      </c>
      <c r="B3052" t="e">
        <f t="shared" ca="1" si="591"/>
        <v>#N/A</v>
      </c>
      <c r="C3052" t="e">
        <f t="shared" ca="1" si="581"/>
        <v>#N/A</v>
      </c>
      <c r="D3052" s="6" t="e">
        <f t="shared" ca="1" si="582"/>
        <v>#N/A</v>
      </c>
      <c r="E3052" t="e">
        <f t="shared" ca="1" si="583"/>
        <v>#N/A</v>
      </c>
      <c r="F3052" t="e">
        <f t="shared" ca="1" si="584"/>
        <v>#N/A</v>
      </c>
      <c r="G3052" t="e">
        <f t="shared" ca="1" si="585"/>
        <v>#N/A</v>
      </c>
      <c r="H3052" t="e">
        <f t="shared" ca="1" si="586"/>
        <v>#N/A</v>
      </c>
      <c r="I3052" t="e">
        <f t="shared" ca="1" si="587"/>
        <v>#N/A</v>
      </c>
      <c r="J3052" s="8" t="e">
        <f t="shared" ca="1" si="588"/>
        <v>#N/A</v>
      </c>
      <c r="K3052" s="9" t="e">
        <f t="shared" ca="1" si="589"/>
        <v>#N/A</v>
      </c>
      <c r="L3052" t="e">
        <f ca="1">+_xlfn.IFNA(VLOOKUP(M3052,BespokeWindowsAreas!$B$2:$E$1999,4,FALSE),VLOOKUP(E3052,WindowTypeArea!$B$2:$C$113,2,FALSE))</f>
        <v>#N/A</v>
      </c>
      <c r="M3052" t="e">
        <f t="shared" ca="1" si="592"/>
        <v>#N/A</v>
      </c>
    </row>
    <row r="3053" spans="1:13" x14ac:dyDescent="0.25">
      <c r="A3053" t="e">
        <f t="shared" ca="1" si="590"/>
        <v>#N/A</v>
      </c>
      <c r="B3053" t="e">
        <f t="shared" ca="1" si="591"/>
        <v>#N/A</v>
      </c>
      <c r="C3053" t="e">
        <f t="shared" ca="1" si="581"/>
        <v>#N/A</v>
      </c>
      <c r="D3053" s="6" t="e">
        <f t="shared" ca="1" si="582"/>
        <v>#N/A</v>
      </c>
      <c r="E3053" t="e">
        <f t="shared" ca="1" si="583"/>
        <v>#N/A</v>
      </c>
      <c r="F3053" t="e">
        <f t="shared" ca="1" si="584"/>
        <v>#N/A</v>
      </c>
      <c r="G3053" t="e">
        <f t="shared" ca="1" si="585"/>
        <v>#N/A</v>
      </c>
      <c r="H3053" t="e">
        <f t="shared" ca="1" si="586"/>
        <v>#N/A</v>
      </c>
      <c r="I3053" t="e">
        <f t="shared" ca="1" si="587"/>
        <v>#N/A</v>
      </c>
      <c r="J3053" s="8" t="e">
        <f t="shared" ca="1" si="588"/>
        <v>#N/A</v>
      </c>
      <c r="K3053" s="9" t="e">
        <f t="shared" ca="1" si="589"/>
        <v>#N/A</v>
      </c>
      <c r="L3053" t="e">
        <f ca="1">+_xlfn.IFNA(VLOOKUP(M3053,BespokeWindowsAreas!$B$2:$E$1999,4,FALSE),VLOOKUP(E3053,WindowTypeArea!$B$2:$C$113,2,FALSE))</f>
        <v>#N/A</v>
      </c>
      <c r="M3053" t="e">
        <f t="shared" ca="1" si="592"/>
        <v>#N/A</v>
      </c>
    </row>
    <row r="3054" spans="1:13" x14ac:dyDescent="0.25">
      <c r="A3054" t="e">
        <f t="shared" ca="1" si="590"/>
        <v>#N/A</v>
      </c>
      <c r="B3054" t="e">
        <f t="shared" ca="1" si="591"/>
        <v>#N/A</v>
      </c>
      <c r="C3054" t="e">
        <f t="shared" ca="1" si="581"/>
        <v>#N/A</v>
      </c>
      <c r="D3054" s="6" t="e">
        <f t="shared" ca="1" si="582"/>
        <v>#N/A</v>
      </c>
      <c r="E3054" t="e">
        <f t="shared" ca="1" si="583"/>
        <v>#N/A</v>
      </c>
      <c r="F3054" t="e">
        <f t="shared" ca="1" si="584"/>
        <v>#N/A</v>
      </c>
      <c r="G3054" t="e">
        <f t="shared" ca="1" si="585"/>
        <v>#N/A</v>
      </c>
      <c r="H3054" t="e">
        <f t="shared" ca="1" si="586"/>
        <v>#N/A</v>
      </c>
      <c r="I3054" t="e">
        <f t="shared" ca="1" si="587"/>
        <v>#N/A</v>
      </c>
      <c r="J3054" s="8" t="e">
        <f t="shared" ca="1" si="588"/>
        <v>#N/A</v>
      </c>
      <c r="K3054" s="9" t="e">
        <f t="shared" ca="1" si="589"/>
        <v>#N/A</v>
      </c>
      <c r="L3054" t="e">
        <f ca="1">+_xlfn.IFNA(VLOOKUP(M3054,BespokeWindowsAreas!$B$2:$E$1999,4,FALSE),VLOOKUP(E3054,WindowTypeArea!$B$2:$C$113,2,FALSE))</f>
        <v>#N/A</v>
      </c>
      <c r="M3054" t="e">
        <f t="shared" ca="1" si="592"/>
        <v>#N/A</v>
      </c>
    </row>
    <row r="3055" spans="1:13" x14ac:dyDescent="0.25">
      <c r="A3055" t="e">
        <f t="shared" ca="1" si="590"/>
        <v>#N/A</v>
      </c>
      <c r="B3055" t="e">
        <f t="shared" ca="1" si="591"/>
        <v>#N/A</v>
      </c>
      <c r="C3055" t="e">
        <f t="shared" ca="1" si="581"/>
        <v>#N/A</v>
      </c>
      <c r="D3055" s="6" t="e">
        <f t="shared" ca="1" si="582"/>
        <v>#N/A</v>
      </c>
      <c r="E3055" t="e">
        <f t="shared" ca="1" si="583"/>
        <v>#N/A</v>
      </c>
      <c r="F3055" t="e">
        <f t="shared" ca="1" si="584"/>
        <v>#N/A</v>
      </c>
      <c r="G3055" t="e">
        <f t="shared" ca="1" si="585"/>
        <v>#N/A</v>
      </c>
      <c r="H3055" t="e">
        <f t="shared" ca="1" si="586"/>
        <v>#N/A</v>
      </c>
      <c r="I3055" t="e">
        <f t="shared" ca="1" si="587"/>
        <v>#N/A</v>
      </c>
      <c r="J3055" s="8" t="e">
        <f t="shared" ca="1" si="588"/>
        <v>#N/A</v>
      </c>
      <c r="K3055" s="9" t="e">
        <f t="shared" ca="1" si="589"/>
        <v>#N/A</v>
      </c>
      <c r="L3055" t="e">
        <f ca="1">+_xlfn.IFNA(VLOOKUP(M3055,BespokeWindowsAreas!$B$2:$E$1999,4,FALSE),VLOOKUP(E3055,WindowTypeArea!$B$2:$C$113,2,FALSE))</f>
        <v>#N/A</v>
      </c>
      <c r="M3055" t="e">
        <f t="shared" ca="1" si="592"/>
        <v>#N/A</v>
      </c>
    </row>
    <row r="3056" spans="1:13" x14ac:dyDescent="0.25">
      <c r="A3056" t="e">
        <f t="shared" ca="1" si="590"/>
        <v>#N/A</v>
      </c>
      <c r="B3056" t="e">
        <f t="shared" ca="1" si="591"/>
        <v>#N/A</v>
      </c>
      <c r="C3056" t="e">
        <f t="shared" ca="1" si="581"/>
        <v>#N/A</v>
      </c>
      <c r="D3056" s="6" t="e">
        <f t="shared" ca="1" si="582"/>
        <v>#N/A</v>
      </c>
      <c r="E3056" t="e">
        <f t="shared" ca="1" si="583"/>
        <v>#N/A</v>
      </c>
      <c r="F3056" t="e">
        <f t="shared" ca="1" si="584"/>
        <v>#N/A</v>
      </c>
      <c r="G3056" t="e">
        <f t="shared" ca="1" si="585"/>
        <v>#N/A</v>
      </c>
      <c r="H3056" t="e">
        <f t="shared" ca="1" si="586"/>
        <v>#N/A</v>
      </c>
      <c r="I3056" t="e">
        <f t="shared" ca="1" si="587"/>
        <v>#N/A</v>
      </c>
      <c r="J3056" s="8" t="e">
        <f t="shared" ca="1" si="588"/>
        <v>#N/A</v>
      </c>
      <c r="K3056" s="9" t="e">
        <f t="shared" ca="1" si="589"/>
        <v>#N/A</v>
      </c>
      <c r="L3056" t="e">
        <f ca="1">+_xlfn.IFNA(VLOOKUP(M3056,BespokeWindowsAreas!$B$2:$E$1999,4,FALSE),VLOOKUP(E3056,WindowTypeArea!$B$2:$C$113,2,FALSE))</f>
        <v>#N/A</v>
      </c>
      <c r="M3056" t="e">
        <f t="shared" ca="1" si="592"/>
        <v>#N/A</v>
      </c>
    </row>
    <row r="3057" spans="1:13" x14ac:dyDescent="0.25">
      <c r="A3057" t="e">
        <f t="shared" ca="1" si="590"/>
        <v>#N/A</v>
      </c>
      <c r="B3057" t="e">
        <f t="shared" ca="1" si="591"/>
        <v>#N/A</v>
      </c>
      <c r="C3057" t="e">
        <f t="shared" ca="1" si="581"/>
        <v>#N/A</v>
      </c>
      <c r="D3057" s="6" t="e">
        <f t="shared" ca="1" si="582"/>
        <v>#N/A</v>
      </c>
      <c r="E3057" t="e">
        <f t="shared" ca="1" si="583"/>
        <v>#N/A</v>
      </c>
      <c r="F3057" t="e">
        <f t="shared" ca="1" si="584"/>
        <v>#N/A</v>
      </c>
      <c r="G3057" t="e">
        <f t="shared" ca="1" si="585"/>
        <v>#N/A</v>
      </c>
      <c r="H3057" t="e">
        <f t="shared" ca="1" si="586"/>
        <v>#N/A</v>
      </c>
      <c r="I3057" t="e">
        <f t="shared" ca="1" si="587"/>
        <v>#N/A</v>
      </c>
      <c r="J3057" s="8" t="e">
        <f t="shared" ca="1" si="588"/>
        <v>#N/A</v>
      </c>
      <c r="K3057" s="9" t="e">
        <f t="shared" ca="1" si="589"/>
        <v>#N/A</v>
      </c>
      <c r="L3057" t="e">
        <f ca="1">+_xlfn.IFNA(VLOOKUP(M3057,BespokeWindowsAreas!$B$2:$E$1999,4,FALSE),VLOOKUP(E3057,WindowTypeArea!$B$2:$C$113,2,FALSE))</f>
        <v>#N/A</v>
      </c>
      <c r="M3057" t="e">
        <f t="shared" ca="1" si="592"/>
        <v>#N/A</v>
      </c>
    </row>
    <row r="3058" spans="1:13" x14ac:dyDescent="0.25">
      <c r="A3058" t="e">
        <f t="shared" ca="1" si="590"/>
        <v>#N/A</v>
      </c>
      <c r="B3058" t="e">
        <f t="shared" ca="1" si="591"/>
        <v>#N/A</v>
      </c>
      <c r="C3058" t="e">
        <f t="shared" ca="1" si="581"/>
        <v>#N/A</v>
      </c>
      <c r="D3058" s="6" t="e">
        <f t="shared" ca="1" si="582"/>
        <v>#N/A</v>
      </c>
      <c r="E3058" t="e">
        <f t="shared" ca="1" si="583"/>
        <v>#N/A</v>
      </c>
      <c r="F3058" t="e">
        <f t="shared" ca="1" si="584"/>
        <v>#N/A</v>
      </c>
      <c r="G3058" t="e">
        <f t="shared" ca="1" si="585"/>
        <v>#N/A</v>
      </c>
      <c r="H3058" t="e">
        <f t="shared" ca="1" si="586"/>
        <v>#N/A</v>
      </c>
      <c r="I3058" t="e">
        <f t="shared" ca="1" si="587"/>
        <v>#N/A</v>
      </c>
      <c r="J3058" s="8" t="e">
        <f t="shared" ca="1" si="588"/>
        <v>#N/A</v>
      </c>
      <c r="K3058" s="9" t="e">
        <f t="shared" ca="1" si="589"/>
        <v>#N/A</v>
      </c>
      <c r="L3058" t="e">
        <f ca="1">+_xlfn.IFNA(VLOOKUP(M3058,BespokeWindowsAreas!$B$2:$E$1999,4,FALSE),VLOOKUP(E3058,WindowTypeArea!$B$2:$C$113,2,FALSE))</f>
        <v>#N/A</v>
      </c>
      <c r="M3058" t="e">
        <f t="shared" ca="1" si="592"/>
        <v>#N/A</v>
      </c>
    </row>
    <row r="3059" spans="1:13" x14ac:dyDescent="0.25">
      <c r="A3059" t="e">
        <f t="shared" ca="1" si="590"/>
        <v>#N/A</v>
      </c>
      <c r="B3059" t="e">
        <f t="shared" ca="1" si="591"/>
        <v>#N/A</v>
      </c>
      <c r="C3059" t="e">
        <f t="shared" ca="1" si="581"/>
        <v>#N/A</v>
      </c>
      <c r="D3059" s="6" t="e">
        <f t="shared" ca="1" si="582"/>
        <v>#N/A</v>
      </c>
      <c r="E3059" t="e">
        <f t="shared" ca="1" si="583"/>
        <v>#N/A</v>
      </c>
      <c r="F3059" t="e">
        <f t="shared" ca="1" si="584"/>
        <v>#N/A</v>
      </c>
      <c r="G3059" t="e">
        <f t="shared" ca="1" si="585"/>
        <v>#N/A</v>
      </c>
      <c r="H3059" t="e">
        <f t="shared" ca="1" si="586"/>
        <v>#N/A</v>
      </c>
      <c r="I3059" t="e">
        <f t="shared" ca="1" si="587"/>
        <v>#N/A</v>
      </c>
      <c r="J3059" s="8" t="e">
        <f t="shared" ca="1" si="588"/>
        <v>#N/A</v>
      </c>
      <c r="K3059" s="9" t="e">
        <f t="shared" ca="1" si="589"/>
        <v>#N/A</v>
      </c>
      <c r="L3059" t="e">
        <f ca="1">+_xlfn.IFNA(VLOOKUP(M3059,BespokeWindowsAreas!$B$2:$E$1999,4,FALSE),VLOOKUP(E3059,WindowTypeArea!$B$2:$C$113,2,FALSE))</f>
        <v>#N/A</v>
      </c>
      <c r="M3059" t="e">
        <f t="shared" ca="1" si="592"/>
        <v>#N/A</v>
      </c>
    </row>
    <row r="3060" spans="1:13" x14ac:dyDescent="0.25">
      <c r="A3060" t="e">
        <f t="shared" ca="1" si="590"/>
        <v>#N/A</v>
      </c>
      <c r="B3060" t="e">
        <f t="shared" ca="1" si="591"/>
        <v>#N/A</v>
      </c>
      <c r="C3060" t="e">
        <f t="shared" ca="1" si="581"/>
        <v>#N/A</v>
      </c>
      <c r="D3060" s="6" t="e">
        <f t="shared" ca="1" si="582"/>
        <v>#N/A</v>
      </c>
      <c r="E3060" t="e">
        <f t="shared" ca="1" si="583"/>
        <v>#N/A</v>
      </c>
      <c r="F3060" t="e">
        <f t="shared" ca="1" si="584"/>
        <v>#N/A</v>
      </c>
      <c r="G3060" t="e">
        <f t="shared" ca="1" si="585"/>
        <v>#N/A</v>
      </c>
      <c r="H3060" t="e">
        <f t="shared" ca="1" si="586"/>
        <v>#N/A</v>
      </c>
      <c r="I3060" t="e">
        <f t="shared" ca="1" si="587"/>
        <v>#N/A</v>
      </c>
      <c r="J3060" s="8" t="e">
        <f t="shared" ca="1" si="588"/>
        <v>#N/A</v>
      </c>
      <c r="K3060" s="9" t="e">
        <f t="shared" ca="1" si="589"/>
        <v>#N/A</v>
      </c>
      <c r="L3060" t="e">
        <f ca="1">+_xlfn.IFNA(VLOOKUP(M3060,BespokeWindowsAreas!$B$2:$E$1999,4,FALSE),VLOOKUP(E3060,WindowTypeArea!$B$2:$C$113,2,FALSE))</f>
        <v>#N/A</v>
      </c>
      <c r="M3060" t="e">
        <f t="shared" ca="1" si="592"/>
        <v>#N/A</v>
      </c>
    </row>
    <row r="3061" spans="1:13" x14ac:dyDescent="0.25">
      <c r="A3061" t="e">
        <f t="shared" ca="1" si="590"/>
        <v>#N/A</v>
      </c>
      <c r="B3061" t="e">
        <f t="shared" ca="1" si="591"/>
        <v>#N/A</v>
      </c>
      <c r="C3061" t="e">
        <f t="shared" ca="1" si="581"/>
        <v>#N/A</v>
      </c>
      <c r="D3061" s="6" t="e">
        <f t="shared" ca="1" si="582"/>
        <v>#N/A</v>
      </c>
      <c r="E3061" t="e">
        <f t="shared" ca="1" si="583"/>
        <v>#N/A</v>
      </c>
      <c r="F3061" t="e">
        <f t="shared" ca="1" si="584"/>
        <v>#N/A</v>
      </c>
      <c r="G3061" t="e">
        <f t="shared" ca="1" si="585"/>
        <v>#N/A</v>
      </c>
      <c r="H3061" t="e">
        <f t="shared" ca="1" si="586"/>
        <v>#N/A</v>
      </c>
      <c r="I3061" t="e">
        <f t="shared" ca="1" si="587"/>
        <v>#N/A</v>
      </c>
      <c r="J3061" s="8" t="e">
        <f t="shared" ca="1" si="588"/>
        <v>#N/A</v>
      </c>
      <c r="K3061" s="9" t="e">
        <f t="shared" ca="1" si="589"/>
        <v>#N/A</v>
      </c>
      <c r="L3061" t="e">
        <f ca="1">+_xlfn.IFNA(VLOOKUP(M3061,BespokeWindowsAreas!$B$2:$E$1999,4,FALSE),VLOOKUP(E3061,WindowTypeArea!$B$2:$C$113,2,FALSE))</f>
        <v>#N/A</v>
      </c>
      <c r="M3061" t="e">
        <f t="shared" ca="1" si="592"/>
        <v>#N/A</v>
      </c>
    </row>
    <row r="3062" spans="1:13" x14ac:dyDescent="0.25">
      <c r="A3062" t="e">
        <f t="shared" ca="1" si="590"/>
        <v>#N/A</v>
      </c>
      <c r="B3062" t="e">
        <f t="shared" ca="1" si="591"/>
        <v>#N/A</v>
      </c>
      <c r="C3062" t="e">
        <f t="shared" ca="1" si="581"/>
        <v>#N/A</v>
      </c>
      <c r="D3062" s="6" t="e">
        <f t="shared" ca="1" si="582"/>
        <v>#N/A</v>
      </c>
      <c r="E3062" t="e">
        <f t="shared" ca="1" si="583"/>
        <v>#N/A</v>
      </c>
      <c r="F3062" t="e">
        <f t="shared" ca="1" si="584"/>
        <v>#N/A</v>
      </c>
      <c r="G3062" t="e">
        <f t="shared" ca="1" si="585"/>
        <v>#N/A</v>
      </c>
      <c r="H3062" t="e">
        <f t="shared" ca="1" si="586"/>
        <v>#N/A</v>
      </c>
      <c r="I3062" t="e">
        <f t="shared" ca="1" si="587"/>
        <v>#N/A</v>
      </c>
      <c r="J3062" s="8" t="e">
        <f t="shared" ca="1" si="588"/>
        <v>#N/A</v>
      </c>
      <c r="K3062" s="9" t="e">
        <f t="shared" ca="1" si="589"/>
        <v>#N/A</v>
      </c>
      <c r="L3062" t="e">
        <f ca="1">+_xlfn.IFNA(VLOOKUP(M3062,BespokeWindowsAreas!$B$2:$E$1999,4,FALSE),VLOOKUP(E3062,WindowTypeArea!$B$2:$C$113,2,FALSE))</f>
        <v>#N/A</v>
      </c>
      <c r="M3062" t="e">
        <f t="shared" ca="1" si="592"/>
        <v>#N/A</v>
      </c>
    </row>
    <row r="3063" spans="1:13" x14ac:dyDescent="0.25">
      <c r="A3063" t="e">
        <f t="shared" ca="1" si="590"/>
        <v>#N/A</v>
      </c>
      <c r="B3063" t="e">
        <f t="shared" ca="1" si="591"/>
        <v>#N/A</v>
      </c>
      <c r="C3063" t="e">
        <f t="shared" ca="1" si="581"/>
        <v>#N/A</v>
      </c>
      <c r="D3063" s="6" t="e">
        <f t="shared" ca="1" si="582"/>
        <v>#N/A</v>
      </c>
      <c r="E3063" t="e">
        <f t="shared" ca="1" si="583"/>
        <v>#N/A</v>
      </c>
      <c r="F3063" t="e">
        <f t="shared" ca="1" si="584"/>
        <v>#N/A</v>
      </c>
      <c r="G3063" t="e">
        <f t="shared" ca="1" si="585"/>
        <v>#N/A</v>
      </c>
      <c r="H3063" t="e">
        <f t="shared" ca="1" si="586"/>
        <v>#N/A</v>
      </c>
      <c r="I3063" t="e">
        <f t="shared" ca="1" si="587"/>
        <v>#N/A</v>
      </c>
      <c r="J3063" s="8" t="e">
        <f t="shared" ca="1" si="588"/>
        <v>#N/A</v>
      </c>
      <c r="K3063" s="9" t="e">
        <f t="shared" ca="1" si="589"/>
        <v>#N/A</v>
      </c>
      <c r="L3063" t="e">
        <f ca="1">+_xlfn.IFNA(VLOOKUP(M3063,BespokeWindowsAreas!$B$2:$E$1999,4,FALSE),VLOOKUP(E3063,WindowTypeArea!$B$2:$C$113,2,FALSE))</f>
        <v>#N/A</v>
      </c>
      <c r="M3063" t="e">
        <f t="shared" ca="1" si="592"/>
        <v>#N/A</v>
      </c>
    </row>
    <row r="3064" spans="1:13" x14ac:dyDescent="0.25">
      <c r="A3064" t="e">
        <f t="shared" ca="1" si="590"/>
        <v>#N/A</v>
      </c>
      <c r="B3064" t="e">
        <f t="shared" ca="1" si="591"/>
        <v>#N/A</v>
      </c>
      <c r="C3064" t="e">
        <f t="shared" ca="1" si="581"/>
        <v>#N/A</v>
      </c>
      <c r="D3064" s="6" t="e">
        <f t="shared" ca="1" si="582"/>
        <v>#N/A</v>
      </c>
      <c r="E3064" t="e">
        <f t="shared" ca="1" si="583"/>
        <v>#N/A</v>
      </c>
      <c r="F3064" t="e">
        <f t="shared" ca="1" si="584"/>
        <v>#N/A</v>
      </c>
      <c r="G3064" t="e">
        <f t="shared" ca="1" si="585"/>
        <v>#N/A</v>
      </c>
      <c r="H3064" t="e">
        <f t="shared" ca="1" si="586"/>
        <v>#N/A</v>
      </c>
      <c r="I3064" t="e">
        <f t="shared" ca="1" si="587"/>
        <v>#N/A</v>
      </c>
      <c r="J3064" s="8" t="e">
        <f t="shared" ca="1" si="588"/>
        <v>#N/A</v>
      </c>
      <c r="K3064" s="9" t="e">
        <f t="shared" ca="1" si="589"/>
        <v>#N/A</v>
      </c>
      <c r="L3064" t="e">
        <f ca="1">+_xlfn.IFNA(VLOOKUP(M3064,BespokeWindowsAreas!$B$2:$E$1999,4,FALSE),VLOOKUP(E3064,WindowTypeArea!$B$2:$C$113,2,FALSE))</f>
        <v>#N/A</v>
      </c>
      <c r="M3064" t="e">
        <f t="shared" ca="1" si="592"/>
        <v>#N/A</v>
      </c>
    </row>
    <row r="3065" spans="1:13" x14ac:dyDescent="0.25">
      <c r="A3065" t="e">
        <f t="shared" ca="1" si="590"/>
        <v>#N/A</v>
      </c>
      <c r="B3065" t="e">
        <f t="shared" ca="1" si="591"/>
        <v>#N/A</v>
      </c>
      <c r="C3065" t="e">
        <f t="shared" ca="1" si="581"/>
        <v>#N/A</v>
      </c>
      <c r="D3065" s="6" t="e">
        <f t="shared" ca="1" si="582"/>
        <v>#N/A</v>
      </c>
      <c r="E3065" t="e">
        <f t="shared" ca="1" si="583"/>
        <v>#N/A</v>
      </c>
      <c r="F3065" t="e">
        <f t="shared" ca="1" si="584"/>
        <v>#N/A</v>
      </c>
      <c r="G3065" t="e">
        <f t="shared" ca="1" si="585"/>
        <v>#N/A</v>
      </c>
      <c r="H3065" t="e">
        <f t="shared" ca="1" si="586"/>
        <v>#N/A</v>
      </c>
      <c r="I3065" t="e">
        <f t="shared" ca="1" si="587"/>
        <v>#N/A</v>
      </c>
      <c r="J3065" s="8" t="e">
        <f t="shared" ca="1" si="588"/>
        <v>#N/A</v>
      </c>
      <c r="K3065" s="9" t="e">
        <f t="shared" ca="1" si="589"/>
        <v>#N/A</v>
      </c>
      <c r="L3065" t="e">
        <f ca="1">+_xlfn.IFNA(VLOOKUP(M3065,BespokeWindowsAreas!$B$2:$E$1999,4,FALSE),VLOOKUP(E3065,WindowTypeArea!$B$2:$C$113,2,FALSE))</f>
        <v>#N/A</v>
      </c>
      <c r="M3065" t="e">
        <f t="shared" ca="1" si="592"/>
        <v>#N/A</v>
      </c>
    </row>
    <row r="3066" spans="1:13" x14ac:dyDescent="0.25">
      <c r="A3066" t="e">
        <f t="shared" ca="1" si="590"/>
        <v>#N/A</v>
      </c>
      <c r="B3066" t="e">
        <f t="shared" ca="1" si="591"/>
        <v>#N/A</v>
      </c>
      <c r="C3066" t="e">
        <f t="shared" ca="1" si="581"/>
        <v>#N/A</v>
      </c>
      <c r="D3066" s="6" t="e">
        <f t="shared" ca="1" si="582"/>
        <v>#N/A</v>
      </c>
      <c r="E3066" t="e">
        <f t="shared" ca="1" si="583"/>
        <v>#N/A</v>
      </c>
      <c r="F3066" t="e">
        <f t="shared" ca="1" si="584"/>
        <v>#N/A</v>
      </c>
      <c r="G3066" t="e">
        <f t="shared" ca="1" si="585"/>
        <v>#N/A</v>
      </c>
      <c r="H3066" t="e">
        <f t="shared" ca="1" si="586"/>
        <v>#N/A</v>
      </c>
      <c r="I3066" t="e">
        <f t="shared" ca="1" si="587"/>
        <v>#N/A</v>
      </c>
      <c r="J3066" s="8" t="e">
        <f t="shared" ca="1" si="588"/>
        <v>#N/A</v>
      </c>
      <c r="K3066" s="9" t="e">
        <f t="shared" ca="1" si="589"/>
        <v>#N/A</v>
      </c>
      <c r="L3066" t="e">
        <f ca="1">+_xlfn.IFNA(VLOOKUP(M3066,BespokeWindowsAreas!$B$2:$E$1999,4,FALSE),VLOOKUP(E3066,WindowTypeArea!$B$2:$C$113,2,FALSE))</f>
        <v>#N/A</v>
      </c>
      <c r="M3066" t="e">
        <f t="shared" ca="1" si="592"/>
        <v>#N/A</v>
      </c>
    </row>
    <row r="3067" spans="1:13" x14ac:dyDescent="0.25">
      <c r="A3067" t="e">
        <f t="shared" ca="1" si="590"/>
        <v>#N/A</v>
      </c>
      <c r="B3067" t="e">
        <f t="shared" ca="1" si="591"/>
        <v>#N/A</v>
      </c>
      <c r="C3067" t="e">
        <f t="shared" ca="1" si="581"/>
        <v>#N/A</v>
      </c>
      <c r="D3067" s="6" t="e">
        <f t="shared" ca="1" si="582"/>
        <v>#N/A</v>
      </c>
      <c r="E3067" t="e">
        <f t="shared" ca="1" si="583"/>
        <v>#N/A</v>
      </c>
      <c r="F3067" t="e">
        <f t="shared" ca="1" si="584"/>
        <v>#N/A</v>
      </c>
      <c r="G3067" t="e">
        <f t="shared" ca="1" si="585"/>
        <v>#N/A</v>
      </c>
      <c r="H3067" t="e">
        <f t="shared" ca="1" si="586"/>
        <v>#N/A</v>
      </c>
      <c r="I3067" t="e">
        <f t="shared" ca="1" si="587"/>
        <v>#N/A</v>
      </c>
      <c r="J3067" s="8" t="e">
        <f t="shared" ca="1" si="588"/>
        <v>#N/A</v>
      </c>
      <c r="K3067" s="9" t="e">
        <f t="shared" ca="1" si="589"/>
        <v>#N/A</v>
      </c>
      <c r="L3067" t="e">
        <f ca="1">+_xlfn.IFNA(VLOOKUP(M3067,BespokeWindowsAreas!$B$2:$E$1999,4,FALSE),VLOOKUP(E3067,WindowTypeArea!$B$2:$C$113,2,FALSE))</f>
        <v>#N/A</v>
      </c>
      <c r="M3067" t="e">
        <f t="shared" ca="1" si="592"/>
        <v>#N/A</v>
      </c>
    </row>
    <row r="3068" spans="1:13" x14ac:dyDescent="0.25">
      <c r="A3068" t="e">
        <f t="shared" ca="1" si="590"/>
        <v>#N/A</v>
      </c>
      <c r="B3068" t="e">
        <f t="shared" ca="1" si="591"/>
        <v>#N/A</v>
      </c>
      <c r="C3068" t="e">
        <f t="shared" ca="1" si="581"/>
        <v>#N/A</v>
      </c>
      <c r="D3068" s="6" t="e">
        <f t="shared" ca="1" si="582"/>
        <v>#N/A</v>
      </c>
      <c r="E3068" t="e">
        <f t="shared" ca="1" si="583"/>
        <v>#N/A</v>
      </c>
      <c r="F3068" t="e">
        <f t="shared" ca="1" si="584"/>
        <v>#N/A</v>
      </c>
      <c r="G3068" t="e">
        <f t="shared" ca="1" si="585"/>
        <v>#N/A</v>
      </c>
      <c r="H3068" t="e">
        <f t="shared" ca="1" si="586"/>
        <v>#N/A</v>
      </c>
      <c r="I3068" t="e">
        <f t="shared" ca="1" si="587"/>
        <v>#N/A</v>
      </c>
      <c r="J3068" s="8" t="e">
        <f t="shared" ca="1" si="588"/>
        <v>#N/A</v>
      </c>
      <c r="K3068" s="9" t="e">
        <f t="shared" ca="1" si="589"/>
        <v>#N/A</v>
      </c>
      <c r="L3068" t="e">
        <f ca="1">+_xlfn.IFNA(VLOOKUP(M3068,BespokeWindowsAreas!$B$2:$E$1999,4,FALSE),VLOOKUP(E3068,WindowTypeArea!$B$2:$C$113,2,FALSE))</f>
        <v>#N/A</v>
      </c>
      <c r="M3068" t="e">
        <f t="shared" ca="1" si="592"/>
        <v>#N/A</v>
      </c>
    </row>
    <row r="3069" spans="1:13" x14ac:dyDescent="0.25">
      <c r="A3069" t="e">
        <f t="shared" ca="1" si="590"/>
        <v>#N/A</v>
      </c>
      <c r="B3069" t="e">
        <f t="shared" ca="1" si="591"/>
        <v>#N/A</v>
      </c>
      <c r="C3069" t="e">
        <f t="shared" ca="1" si="581"/>
        <v>#N/A</v>
      </c>
      <c r="D3069" s="6" t="e">
        <f t="shared" ca="1" si="582"/>
        <v>#N/A</v>
      </c>
      <c r="E3069" t="e">
        <f t="shared" ca="1" si="583"/>
        <v>#N/A</v>
      </c>
      <c r="F3069" t="e">
        <f t="shared" ca="1" si="584"/>
        <v>#N/A</v>
      </c>
      <c r="G3069" t="e">
        <f t="shared" ca="1" si="585"/>
        <v>#N/A</v>
      </c>
      <c r="H3069" t="e">
        <f t="shared" ca="1" si="586"/>
        <v>#N/A</v>
      </c>
      <c r="I3069" t="e">
        <f t="shared" ca="1" si="587"/>
        <v>#N/A</v>
      </c>
      <c r="J3069" s="8" t="e">
        <f t="shared" ca="1" si="588"/>
        <v>#N/A</v>
      </c>
      <c r="K3069" s="9" t="e">
        <f t="shared" ca="1" si="589"/>
        <v>#N/A</v>
      </c>
      <c r="L3069" t="e">
        <f ca="1">+_xlfn.IFNA(VLOOKUP(M3069,BespokeWindowsAreas!$B$2:$E$1999,4,FALSE),VLOOKUP(E3069,WindowTypeArea!$B$2:$C$113,2,FALSE))</f>
        <v>#N/A</v>
      </c>
      <c r="M3069" t="e">
        <f t="shared" ca="1" si="592"/>
        <v>#N/A</v>
      </c>
    </row>
    <row r="3070" spans="1:13" x14ac:dyDescent="0.25">
      <c r="A3070" t="e">
        <f t="shared" ca="1" si="590"/>
        <v>#N/A</v>
      </c>
      <c r="B3070" t="e">
        <f t="shared" ca="1" si="591"/>
        <v>#N/A</v>
      </c>
      <c r="C3070" t="e">
        <f t="shared" ca="1" si="581"/>
        <v>#N/A</v>
      </c>
      <c r="D3070" s="6" t="e">
        <f t="shared" ca="1" si="582"/>
        <v>#N/A</v>
      </c>
      <c r="E3070" t="e">
        <f t="shared" ca="1" si="583"/>
        <v>#N/A</v>
      </c>
      <c r="F3070" t="e">
        <f t="shared" ca="1" si="584"/>
        <v>#N/A</v>
      </c>
      <c r="G3070" t="e">
        <f t="shared" ca="1" si="585"/>
        <v>#N/A</v>
      </c>
      <c r="H3070" t="e">
        <f t="shared" ca="1" si="586"/>
        <v>#N/A</v>
      </c>
      <c r="I3070" t="e">
        <f t="shared" ca="1" si="587"/>
        <v>#N/A</v>
      </c>
      <c r="J3070" s="8" t="e">
        <f t="shared" ca="1" si="588"/>
        <v>#N/A</v>
      </c>
      <c r="K3070" s="9" t="e">
        <f t="shared" ca="1" si="589"/>
        <v>#N/A</v>
      </c>
      <c r="L3070" t="e">
        <f ca="1">+_xlfn.IFNA(VLOOKUP(M3070,BespokeWindowsAreas!$B$2:$E$1999,4,FALSE),VLOOKUP(E3070,WindowTypeArea!$B$2:$C$113,2,FALSE))</f>
        <v>#N/A</v>
      </c>
      <c r="M3070" t="e">
        <f t="shared" ca="1" si="592"/>
        <v>#N/A</v>
      </c>
    </row>
    <row r="3071" spans="1:13" x14ac:dyDescent="0.25">
      <c r="A3071" t="e">
        <f t="shared" ca="1" si="590"/>
        <v>#N/A</v>
      </c>
      <c r="B3071" t="e">
        <f t="shared" ca="1" si="591"/>
        <v>#N/A</v>
      </c>
      <c r="C3071" t="e">
        <f t="shared" ca="1" si="581"/>
        <v>#N/A</v>
      </c>
      <c r="D3071" s="6" t="e">
        <f t="shared" ca="1" si="582"/>
        <v>#N/A</v>
      </c>
      <c r="E3071" t="e">
        <f t="shared" ca="1" si="583"/>
        <v>#N/A</v>
      </c>
      <c r="F3071" t="e">
        <f t="shared" ca="1" si="584"/>
        <v>#N/A</v>
      </c>
      <c r="G3071" t="e">
        <f t="shared" ca="1" si="585"/>
        <v>#N/A</v>
      </c>
      <c r="H3071" t="e">
        <f t="shared" ca="1" si="586"/>
        <v>#N/A</v>
      </c>
      <c r="I3071" t="e">
        <f t="shared" ca="1" si="587"/>
        <v>#N/A</v>
      </c>
      <c r="J3071" s="8" t="e">
        <f t="shared" ca="1" si="588"/>
        <v>#N/A</v>
      </c>
      <c r="K3071" s="9" t="e">
        <f t="shared" ca="1" si="589"/>
        <v>#N/A</v>
      </c>
      <c r="L3071" t="e">
        <f ca="1">+_xlfn.IFNA(VLOOKUP(M3071,BespokeWindowsAreas!$B$2:$E$1999,4,FALSE),VLOOKUP(E3071,WindowTypeArea!$B$2:$C$113,2,FALSE))</f>
        <v>#N/A</v>
      </c>
      <c r="M3071" t="e">
        <f t="shared" ca="1" si="592"/>
        <v>#N/A</v>
      </c>
    </row>
    <row r="3072" spans="1:13" x14ac:dyDescent="0.25">
      <c r="A3072" t="e">
        <f t="shared" ca="1" si="590"/>
        <v>#N/A</v>
      </c>
      <c r="B3072" t="e">
        <f t="shared" ca="1" si="591"/>
        <v>#N/A</v>
      </c>
      <c r="C3072" t="e">
        <f t="shared" ca="1" si="581"/>
        <v>#N/A</v>
      </c>
      <c r="D3072" s="6" t="e">
        <f t="shared" ca="1" si="582"/>
        <v>#N/A</v>
      </c>
      <c r="E3072" t="e">
        <f t="shared" ca="1" si="583"/>
        <v>#N/A</v>
      </c>
      <c r="F3072" t="e">
        <f t="shared" ca="1" si="584"/>
        <v>#N/A</v>
      </c>
      <c r="G3072" t="e">
        <f t="shared" ca="1" si="585"/>
        <v>#N/A</v>
      </c>
      <c r="H3072" t="e">
        <f t="shared" ca="1" si="586"/>
        <v>#N/A</v>
      </c>
      <c r="I3072" t="e">
        <f t="shared" ca="1" si="587"/>
        <v>#N/A</v>
      </c>
      <c r="J3072" s="8" t="e">
        <f t="shared" ca="1" si="588"/>
        <v>#N/A</v>
      </c>
      <c r="K3072" s="9" t="e">
        <f t="shared" ca="1" si="589"/>
        <v>#N/A</v>
      </c>
      <c r="L3072" t="e">
        <f ca="1">+_xlfn.IFNA(VLOOKUP(M3072,BespokeWindowsAreas!$B$2:$E$1999,4,FALSE),VLOOKUP(E3072,WindowTypeArea!$B$2:$C$113,2,FALSE))</f>
        <v>#N/A</v>
      </c>
      <c r="M3072" t="e">
        <f t="shared" ca="1" si="592"/>
        <v>#N/A</v>
      </c>
    </row>
    <row r="3073" spans="1:13" x14ac:dyDescent="0.25">
      <c r="A3073" t="e">
        <f t="shared" ca="1" si="590"/>
        <v>#N/A</v>
      </c>
      <c r="B3073" t="e">
        <f t="shared" ca="1" si="591"/>
        <v>#N/A</v>
      </c>
      <c r="C3073" t="e">
        <f t="shared" ca="1" si="581"/>
        <v>#N/A</v>
      </c>
      <c r="D3073" s="6" t="e">
        <f t="shared" ca="1" si="582"/>
        <v>#N/A</v>
      </c>
      <c r="E3073" t="e">
        <f t="shared" ca="1" si="583"/>
        <v>#N/A</v>
      </c>
      <c r="F3073" t="e">
        <f t="shared" ca="1" si="584"/>
        <v>#N/A</v>
      </c>
      <c r="G3073" t="e">
        <f t="shared" ca="1" si="585"/>
        <v>#N/A</v>
      </c>
      <c r="H3073" t="e">
        <f t="shared" ca="1" si="586"/>
        <v>#N/A</v>
      </c>
      <c r="I3073" t="e">
        <f t="shared" ca="1" si="587"/>
        <v>#N/A</v>
      </c>
      <c r="J3073" s="8" t="e">
        <f t="shared" ca="1" si="588"/>
        <v>#N/A</v>
      </c>
      <c r="K3073" s="9" t="e">
        <f t="shared" ca="1" si="589"/>
        <v>#N/A</v>
      </c>
      <c r="L3073" t="e">
        <f ca="1">+_xlfn.IFNA(VLOOKUP(M3073,BespokeWindowsAreas!$B$2:$E$1999,4,FALSE),VLOOKUP(E3073,WindowTypeArea!$B$2:$C$113,2,FALSE))</f>
        <v>#N/A</v>
      </c>
      <c r="M3073" t="e">
        <f t="shared" ca="1" si="592"/>
        <v>#N/A</v>
      </c>
    </row>
    <row r="3074" spans="1:13" x14ac:dyDescent="0.25">
      <c r="A3074" t="e">
        <f t="shared" ca="1" si="590"/>
        <v>#N/A</v>
      </c>
      <c r="B3074" t="e">
        <f t="shared" ca="1" si="591"/>
        <v>#N/A</v>
      </c>
      <c r="C3074" t="e">
        <f t="shared" ca="1" si="581"/>
        <v>#N/A</v>
      </c>
      <c r="D3074" s="6" t="e">
        <f t="shared" ca="1" si="582"/>
        <v>#N/A</v>
      </c>
      <c r="E3074" t="e">
        <f t="shared" ca="1" si="583"/>
        <v>#N/A</v>
      </c>
      <c r="F3074" t="e">
        <f t="shared" ca="1" si="584"/>
        <v>#N/A</v>
      </c>
      <c r="G3074" t="e">
        <f t="shared" ca="1" si="585"/>
        <v>#N/A</v>
      </c>
      <c r="H3074" t="e">
        <f t="shared" ca="1" si="586"/>
        <v>#N/A</v>
      </c>
      <c r="I3074" t="e">
        <f t="shared" ca="1" si="587"/>
        <v>#N/A</v>
      </c>
      <c r="J3074" s="8" t="e">
        <f t="shared" ca="1" si="588"/>
        <v>#N/A</v>
      </c>
      <c r="K3074" s="9" t="e">
        <f t="shared" ca="1" si="589"/>
        <v>#N/A</v>
      </c>
      <c r="L3074" t="e">
        <f ca="1">+_xlfn.IFNA(VLOOKUP(M3074,BespokeWindowsAreas!$B$2:$E$1999,4,FALSE),VLOOKUP(E3074,WindowTypeArea!$B$2:$C$113,2,FALSE))</f>
        <v>#N/A</v>
      </c>
      <c r="M3074" t="e">
        <f t="shared" ca="1" si="592"/>
        <v>#N/A</v>
      </c>
    </row>
    <row r="3075" spans="1:13" x14ac:dyDescent="0.25">
      <c r="A3075" t="e">
        <f t="shared" ca="1" si="590"/>
        <v>#N/A</v>
      </c>
      <c r="B3075" t="e">
        <f t="shared" ca="1" si="591"/>
        <v>#N/A</v>
      </c>
      <c r="C3075" t="e">
        <f t="shared" ca="1" si="581"/>
        <v>#N/A</v>
      </c>
      <c r="D3075" s="6" t="e">
        <f t="shared" ca="1" si="582"/>
        <v>#N/A</v>
      </c>
      <c r="E3075" t="e">
        <f t="shared" ca="1" si="583"/>
        <v>#N/A</v>
      </c>
      <c r="F3075" t="e">
        <f t="shared" ca="1" si="584"/>
        <v>#N/A</v>
      </c>
      <c r="G3075" t="e">
        <f t="shared" ca="1" si="585"/>
        <v>#N/A</v>
      </c>
      <c r="H3075" t="e">
        <f t="shared" ca="1" si="586"/>
        <v>#N/A</v>
      </c>
      <c r="I3075" t="e">
        <f t="shared" ca="1" si="587"/>
        <v>#N/A</v>
      </c>
      <c r="J3075" s="8" t="e">
        <f t="shared" ca="1" si="588"/>
        <v>#N/A</v>
      </c>
      <c r="K3075" s="9" t="e">
        <f t="shared" ca="1" si="589"/>
        <v>#N/A</v>
      </c>
      <c r="L3075" t="e">
        <f ca="1">+_xlfn.IFNA(VLOOKUP(M3075,BespokeWindowsAreas!$B$2:$E$1999,4,FALSE),VLOOKUP(E3075,WindowTypeArea!$B$2:$C$113,2,FALSE))</f>
        <v>#N/A</v>
      </c>
      <c r="M3075" t="e">
        <f t="shared" ca="1" si="592"/>
        <v>#N/A</v>
      </c>
    </row>
    <row r="3076" spans="1:13" x14ac:dyDescent="0.25">
      <c r="A3076" t="e">
        <f t="shared" ca="1" si="590"/>
        <v>#N/A</v>
      </c>
      <c r="B3076" t="e">
        <f t="shared" ca="1" si="591"/>
        <v>#N/A</v>
      </c>
      <c r="C3076" t="e">
        <f t="shared" ca="1" si="581"/>
        <v>#N/A</v>
      </c>
      <c r="D3076" s="6" t="e">
        <f t="shared" ca="1" si="582"/>
        <v>#N/A</v>
      </c>
      <c r="E3076" t="e">
        <f t="shared" ca="1" si="583"/>
        <v>#N/A</v>
      </c>
      <c r="F3076" t="e">
        <f t="shared" ca="1" si="584"/>
        <v>#N/A</v>
      </c>
      <c r="G3076" t="e">
        <f t="shared" ca="1" si="585"/>
        <v>#N/A</v>
      </c>
      <c r="H3076" t="e">
        <f t="shared" ca="1" si="586"/>
        <v>#N/A</v>
      </c>
      <c r="I3076" t="e">
        <f t="shared" ca="1" si="587"/>
        <v>#N/A</v>
      </c>
      <c r="J3076" s="8" t="e">
        <f t="shared" ca="1" si="588"/>
        <v>#N/A</v>
      </c>
      <c r="K3076" s="9" t="e">
        <f t="shared" ca="1" si="589"/>
        <v>#N/A</v>
      </c>
      <c r="L3076" t="e">
        <f ca="1">+_xlfn.IFNA(VLOOKUP(M3076,BespokeWindowsAreas!$B$2:$E$1999,4,FALSE),VLOOKUP(E3076,WindowTypeArea!$B$2:$C$113,2,FALSE))</f>
        <v>#N/A</v>
      </c>
      <c r="M3076" t="e">
        <f t="shared" ca="1" si="592"/>
        <v>#N/A</v>
      </c>
    </row>
    <row r="3077" spans="1:13" x14ac:dyDescent="0.25">
      <c r="A3077" t="e">
        <f t="shared" ca="1" si="590"/>
        <v>#N/A</v>
      </c>
      <c r="B3077" t="e">
        <f t="shared" ca="1" si="591"/>
        <v>#N/A</v>
      </c>
      <c r="C3077" t="e">
        <f t="shared" ca="1" si="581"/>
        <v>#N/A</v>
      </c>
      <c r="D3077" s="6" t="e">
        <f t="shared" ca="1" si="582"/>
        <v>#N/A</v>
      </c>
      <c r="E3077" t="e">
        <f t="shared" ca="1" si="583"/>
        <v>#N/A</v>
      </c>
      <c r="F3077" t="e">
        <f t="shared" ca="1" si="584"/>
        <v>#N/A</v>
      </c>
      <c r="G3077" t="e">
        <f t="shared" ca="1" si="585"/>
        <v>#N/A</v>
      </c>
      <c r="H3077" t="e">
        <f t="shared" ca="1" si="586"/>
        <v>#N/A</v>
      </c>
      <c r="I3077" t="e">
        <f t="shared" ca="1" si="587"/>
        <v>#N/A</v>
      </c>
      <c r="J3077" s="8" t="e">
        <f t="shared" ca="1" si="588"/>
        <v>#N/A</v>
      </c>
      <c r="K3077" s="9" t="e">
        <f t="shared" ca="1" si="589"/>
        <v>#N/A</v>
      </c>
      <c r="L3077" t="e">
        <f ca="1">+_xlfn.IFNA(VLOOKUP(M3077,BespokeWindowsAreas!$B$2:$E$1999,4,FALSE),VLOOKUP(E3077,WindowTypeArea!$B$2:$C$113,2,FALSE))</f>
        <v>#N/A</v>
      </c>
      <c r="M3077" t="e">
        <f t="shared" ca="1" si="592"/>
        <v>#N/A</v>
      </c>
    </row>
    <row r="3078" spans="1:13" x14ac:dyDescent="0.25">
      <c r="A3078" t="e">
        <f t="shared" ca="1" si="590"/>
        <v>#N/A</v>
      </c>
      <c r="B3078" t="e">
        <f t="shared" ca="1" si="591"/>
        <v>#N/A</v>
      </c>
      <c r="C3078" t="e">
        <f t="shared" ca="1" si="581"/>
        <v>#N/A</v>
      </c>
      <c r="D3078" s="6" t="e">
        <f t="shared" ca="1" si="582"/>
        <v>#N/A</v>
      </c>
      <c r="E3078" t="e">
        <f t="shared" ca="1" si="583"/>
        <v>#N/A</v>
      </c>
      <c r="F3078" t="e">
        <f t="shared" ca="1" si="584"/>
        <v>#N/A</v>
      </c>
      <c r="G3078" t="e">
        <f t="shared" ca="1" si="585"/>
        <v>#N/A</v>
      </c>
      <c r="H3078" t="e">
        <f t="shared" ca="1" si="586"/>
        <v>#N/A</v>
      </c>
      <c r="I3078" t="e">
        <f t="shared" ca="1" si="587"/>
        <v>#N/A</v>
      </c>
      <c r="J3078" s="8" t="e">
        <f t="shared" ca="1" si="588"/>
        <v>#N/A</v>
      </c>
      <c r="K3078" s="9" t="e">
        <f t="shared" ca="1" si="589"/>
        <v>#N/A</v>
      </c>
      <c r="L3078" t="e">
        <f ca="1">+_xlfn.IFNA(VLOOKUP(M3078,BespokeWindowsAreas!$B$2:$E$1999,4,FALSE),VLOOKUP(E3078,WindowTypeArea!$B$2:$C$113,2,FALSE))</f>
        <v>#N/A</v>
      </c>
      <c r="M3078" t="e">
        <f t="shared" ca="1" si="592"/>
        <v>#N/A</v>
      </c>
    </row>
    <row r="3079" spans="1:13" x14ac:dyDescent="0.25">
      <c r="A3079" t="e">
        <f t="shared" ca="1" si="590"/>
        <v>#N/A</v>
      </c>
      <c r="B3079" t="e">
        <f t="shared" ca="1" si="591"/>
        <v>#N/A</v>
      </c>
      <c r="C3079" t="e">
        <f t="shared" ca="1" si="581"/>
        <v>#N/A</v>
      </c>
      <c r="D3079" s="6" t="e">
        <f t="shared" ca="1" si="582"/>
        <v>#N/A</v>
      </c>
      <c r="E3079" t="e">
        <f t="shared" ca="1" si="583"/>
        <v>#N/A</v>
      </c>
      <c r="F3079" t="e">
        <f t="shared" ca="1" si="584"/>
        <v>#N/A</v>
      </c>
      <c r="G3079" t="e">
        <f t="shared" ca="1" si="585"/>
        <v>#N/A</v>
      </c>
      <c r="H3079" t="e">
        <f t="shared" ca="1" si="586"/>
        <v>#N/A</v>
      </c>
      <c r="I3079" t="e">
        <f t="shared" ca="1" si="587"/>
        <v>#N/A</v>
      </c>
      <c r="J3079" s="8" t="e">
        <f t="shared" ca="1" si="588"/>
        <v>#N/A</v>
      </c>
      <c r="K3079" s="9" t="e">
        <f t="shared" ca="1" si="589"/>
        <v>#N/A</v>
      </c>
      <c r="L3079" t="e">
        <f ca="1">+_xlfn.IFNA(VLOOKUP(M3079,BespokeWindowsAreas!$B$2:$E$1999,4,FALSE),VLOOKUP(E3079,WindowTypeArea!$B$2:$C$113,2,FALSE))</f>
        <v>#N/A</v>
      </c>
      <c r="M3079" t="e">
        <f t="shared" ca="1" si="592"/>
        <v>#N/A</v>
      </c>
    </row>
    <row r="3080" spans="1:13" x14ac:dyDescent="0.25">
      <c r="A3080" t="e">
        <f t="shared" ca="1" si="590"/>
        <v>#N/A</v>
      </c>
      <c r="B3080" t="e">
        <f t="shared" ca="1" si="591"/>
        <v>#N/A</v>
      </c>
      <c r="C3080" t="e">
        <f t="shared" ca="1" si="581"/>
        <v>#N/A</v>
      </c>
      <c r="D3080" s="6" t="e">
        <f t="shared" ca="1" si="582"/>
        <v>#N/A</v>
      </c>
      <c r="E3080" t="e">
        <f t="shared" ca="1" si="583"/>
        <v>#N/A</v>
      </c>
      <c r="F3080" t="e">
        <f t="shared" ca="1" si="584"/>
        <v>#N/A</v>
      </c>
      <c r="G3080" t="e">
        <f t="shared" ca="1" si="585"/>
        <v>#N/A</v>
      </c>
      <c r="H3080" t="e">
        <f t="shared" ca="1" si="586"/>
        <v>#N/A</v>
      </c>
      <c r="I3080" t="e">
        <f t="shared" ca="1" si="587"/>
        <v>#N/A</v>
      </c>
      <c r="J3080" s="8" t="e">
        <f t="shared" ca="1" si="588"/>
        <v>#N/A</v>
      </c>
      <c r="K3080" s="9" t="e">
        <f t="shared" ca="1" si="589"/>
        <v>#N/A</v>
      </c>
      <c r="L3080" t="e">
        <f ca="1">+_xlfn.IFNA(VLOOKUP(M3080,BespokeWindowsAreas!$B$2:$E$1999,4,FALSE),VLOOKUP(E3080,WindowTypeArea!$B$2:$C$113,2,FALSE))</f>
        <v>#N/A</v>
      </c>
      <c r="M3080" t="e">
        <f t="shared" ca="1" si="592"/>
        <v>#N/A</v>
      </c>
    </row>
    <row r="3081" spans="1:13" x14ac:dyDescent="0.25">
      <c r="A3081" t="e">
        <f t="shared" ca="1" si="590"/>
        <v>#N/A</v>
      </c>
      <c r="B3081" t="e">
        <f t="shared" ca="1" si="591"/>
        <v>#N/A</v>
      </c>
      <c r="C3081" t="e">
        <f t="shared" ref="C3081:C3144" ca="1" si="593">+"'"&amp;INDIRECT("a"&amp;A3080)&amp;"'!B"&amp;B3080</f>
        <v>#N/A</v>
      </c>
      <c r="D3081" s="6" t="e">
        <f t="shared" ref="D3081:D3144" ca="1" si="594">+IF(IFERROR(FIND("Family",E3081)&gt;0,FALSE),D3080,E3081)</f>
        <v>#N/A</v>
      </c>
      <c r="E3081" t="e">
        <f t="shared" ref="E3081:E3144" ca="1" si="595">+OFFSET(INDIRECT(C3081),0,0)</f>
        <v>#N/A</v>
      </c>
      <c r="F3081" t="e">
        <f t="shared" ref="F3081:F3144" ca="1" si="596">+OFFSET(INDIRECT(C3081),0,1)</f>
        <v>#N/A</v>
      </c>
      <c r="G3081" t="e">
        <f t="shared" ref="G3081:G3144" ca="1" si="597">+OFFSET(INDIRECT(C3081),0,2)</f>
        <v>#N/A</v>
      </c>
      <c r="H3081" t="e">
        <f t="shared" ref="H3081:H3144" ca="1" si="598">+OFFSET(INDIRECT(C3081),0,3)</f>
        <v>#N/A</v>
      </c>
      <c r="I3081" t="e">
        <f t="shared" ref="I3081:I3144" ca="1" si="599">+OFFSET(INDIRECT(C3081),0,4)</f>
        <v>#N/A</v>
      </c>
      <c r="J3081" s="8" t="e">
        <f t="shared" ref="J3081:J3144" ca="1" si="600">+DEGREES(ATAN2(G3081,H3081))</f>
        <v>#N/A</v>
      </c>
      <c r="K3081" s="9" t="e">
        <f t="shared" ref="K3081:K3144" ca="1" si="601">VLOOKUP(J3081,$O$20:$P$36,2,-1)</f>
        <v>#N/A</v>
      </c>
      <c r="L3081" t="e">
        <f ca="1">+_xlfn.IFNA(VLOOKUP(M3081,BespokeWindowsAreas!$B$2:$E$1999,4,FALSE),VLOOKUP(E3081,WindowTypeArea!$B$2:$C$113,2,FALSE))</f>
        <v>#N/A</v>
      </c>
      <c r="M3081" t="e">
        <f t="shared" ca="1" si="592"/>
        <v>#N/A</v>
      </c>
    </row>
    <row r="3082" spans="1:13" x14ac:dyDescent="0.25">
      <c r="A3082" t="e">
        <f t="shared" ca="1" si="590"/>
        <v>#N/A</v>
      </c>
      <c r="B3082" t="e">
        <f t="shared" ca="1" si="591"/>
        <v>#N/A</v>
      </c>
      <c r="C3082" t="e">
        <f t="shared" ca="1" si="593"/>
        <v>#N/A</v>
      </c>
      <c r="D3082" s="6" t="e">
        <f t="shared" ca="1" si="594"/>
        <v>#N/A</v>
      </c>
      <c r="E3082" t="e">
        <f t="shared" ca="1" si="595"/>
        <v>#N/A</v>
      </c>
      <c r="F3082" t="e">
        <f t="shared" ca="1" si="596"/>
        <v>#N/A</v>
      </c>
      <c r="G3082" t="e">
        <f t="shared" ca="1" si="597"/>
        <v>#N/A</v>
      </c>
      <c r="H3082" t="e">
        <f t="shared" ca="1" si="598"/>
        <v>#N/A</v>
      </c>
      <c r="I3082" t="e">
        <f t="shared" ca="1" si="599"/>
        <v>#N/A</v>
      </c>
      <c r="J3082" s="8" t="e">
        <f t="shared" ca="1" si="600"/>
        <v>#N/A</v>
      </c>
      <c r="K3082" s="9" t="e">
        <f t="shared" ca="1" si="601"/>
        <v>#N/A</v>
      </c>
      <c r="L3082" t="e">
        <f ca="1">+_xlfn.IFNA(VLOOKUP(M3082,BespokeWindowsAreas!$B$2:$E$1999,4,FALSE),VLOOKUP(E3082,WindowTypeArea!$B$2:$C$113,2,FALSE))</f>
        <v>#N/A</v>
      </c>
      <c r="M3082" t="e">
        <f t="shared" ca="1" si="592"/>
        <v>#N/A</v>
      </c>
    </row>
    <row r="3083" spans="1:13" x14ac:dyDescent="0.25">
      <c r="A3083" t="e">
        <f t="shared" ca="1" si="590"/>
        <v>#N/A</v>
      </c>
      <c r="B3083" t="e">
        <f t="shared" ca="1" si="591"/>
        <v>#N/A</v>
      </c>
      <c r="C3083" t="e">
        <f t="shared" ca="1" si="593"/>
        <v>#N/A</v>
      </c>
      <c r="D3083" s="6" t="e">
        <f t="shared" ca="1" si="594"/>
        <v>#N/A</v>
      </c>
      <c r="E3083" t="e">
        <f t="shared" ca="1" si="595"/>
        <v>#N/A</v>
      </c>
      <c r="F3083" t="e">
        <f t="shared" ca="1" si="596"/>
        <v>#N/A</v>
      </c>
      <c r="G3083" t="e">
        <f t="shared" ca="1" si="597"/>
        <v>#N/A</v>
      </c>
      <c r="H3083" t="e">
        <f t="shared" ca="1" si="598"/>
        <v>#N/A</v>
      </c>
      <c r="I3083" t="e">
        <f t="shared" ca="1" si="599"/>
        <v>#N/A</v>
      </c>
      <c r="J3083" s="8" t="e">
        <f t="shared" ca="1" si="600"/>
        <v>#N/A</v>
      </c>
      <c r="K3083" s="9" t="e">
        <f t="shared" ca="1" si="601"/>
        <v>#N/A</v>
      </c>
      <c r="L3083" t="e">
        <f ca="1">+_xlfn.IFNA(VLOOKUP(M3083,BespokeWindowsAreas!$B$2:$E$1999,4,FALSE),VLOOKUP(E3083,WindowTypeArea!$B$2:$C$113,2,FALSE))</f>
        <v>#N/A</v>
      </c>
      <c r="M3083" t="e">
        <f t="shared" ca="1" si="592"/>
        <v>#N/A</v>
      </c>
    </row>
    <row r="3084" spans="1:13" x14ac:dyDescent="0.25">
      <c r="A3084" t="e">
        <f t="shared" ca="1" si="590"/>
        <v>#N/A</v>
      </c>
      <c r="B3084" t="e">
        <f t="shared" ca="1" si="591"/>
        <v>#N/A</v>
      </c>
      <c r="C3084" t="e">
        <f t="shared" ca="1" si="593"/>
        <v>#N/A</v>
      </c>
      <c r="D3084" s="6" t="e">
        <f t="shared" ca="1" si="594"/>
        <v>#N/A</v>
      </c>
      <c r="E3084" t="e">
        <f t="shared" ca="1" si="595"/>
        <v>#N/A</v>
      </c>
      <c r="F3084" t="e">
        <f t="shared" ca="1" si="596"/>
        <v>#N/A</v>
      </c>
      <c r="G3084" t="e">
        <f t="shared" ca="1" si="597"/>
        <v>#N/A</v>
      </c>
      <c r="H3084" t="e">
        <f t="shared" ca="1" si="598"/>
        <v>#N/A</v>
      </c>
      <c r="I3084" t="e">
        <f t="shared" ca="1" si="599"/>
        <v>#N/A</v>
      </c>
      <c r="J3084" s="8" t="e">
        <f t="shared" ca="1" si="600"/>
        <v>#N/A</v>
      </c>
      <c r="K3084" s="9" t="e">
        <f t="shared" ca="1" si="601"/>
        <v>#N/A</v>
      </c>
      <c r="L3084" t="e">
        <f ca="1">+_xlfn.IFNA(VLOOKUP(M3084,BespokeWindowsAreas!$B$2:$E$1999,4,FALSE),VLOOKUP(E3084,WindowTypeArea!$B$2:$C$113,2,FALSE))</f>
        <v>#N/A</v>
      </c>
      <c r="M3084" t="e">
        <f t="shared" ca="1" si="592"/>
        <v>#N/A</v>
      </c>
    </row>
    <row r="3085" spans="1:13" x14ac:dyDescent="0.25">
      <c r="A3085" t="e">
        <f t="shared" ca="1" si="590"/>
        <v>#N/A</v>
      </c>
      <c r="B3085" t="e">
        <f t="shared" ca="1" si="591"/>
        <v>#N/A</v>
      </c>
      <c r="C3085" t="e">
        <f t="shared" ca="1" si="593"/>
        <v>#N/A</v>
      </c>
      <c r="D3085" s="6" t="e">
        <f t="shared" ca="1" si="594"/>
        <v>#N/A</v>
      </c>
      <c r="E3085" t="e">
        <f t="shared" ca="1" si="595"/>
        <v>#N/A</v>
      </c>
      <c r="F3085" t="e">
        <f t="shared" ca="1" si="596"/>
        <v>#N/A</v>
      </c>
      <c r="G3085" t="e">
        <f t="shared" ca="1" si="597"/>
        <v>#N/A</v>
      </c>
      <c r="H3085" t="e">
        <f t="shared" ca="1" si="598"/>
        <v>#N/A</v>
      </c>
      <c r="I3085" t="e">
        <f t="shared" ca="1" si="599"/>
        <v>#N/A</v>
      </c>
      <c r="J3085" s="8" t="e">
        <f t="shared" ca="1" si="600"/>
        <v>#N/A</v>
      </c>
      <c r="K3085" s="9" t="e">
        <f t="shared" ca="1" si="601"/>
        <v>#N/A</v>
      </c>
      <c r="L3085" t="e">
        <f ca="1">+_xlfn.IFNA(VLOOKUP(M3085,BespokeWindowsAreas!$B$2:$E$1999,4,FALSE),VLOOKUP(E3085,WindowTypeArea!$B$2:$C$113,2,FALSE))</f>
        <v>#N/A</v>
      </c>
      <c r="M3085" t="e">
        <f t="shared" ca="1" si="592"/>
        <v>#N/A</v>
      </c>
    </row>
    <row r="3086" spans="1:13" x14ac:dyDescent="0.25">
      <c r="A3086" t="e">
        <f t="shared" ca="1" si="590"/>
        <v>#N/A</v>
      </c>
      <c r="B3086" t="e">
        <f t="shared" ca="1" si="591"/>
        <v>#N/A</v>
      </c>
      <c r="C3086" t="e">
        <f t="shared" ca="1" si="593"/>
        <v>#N/A</v>
      </c>
      <c r="D3086" s="6" t="e">
        <f t="shared" ca="1" si="594"/>
        <v>#N/A</v>
      </c>
      <c r="E3086" t="e">
        <f t="shared" ca="1" si="595"/>
        <v>#N/A</v>
      </c>
      <c r="F3086" t="e">
        <f t="shared" ca="1" si="596"/>
        <v>#N/A</v>
      </c>
      <c r="G3086" t="e">
        <f t="shared" ca="1" si="597"/>
        <v>#N/A</v>
      </c>
      <c r="H3086" t="e">
        <f t="shared" ca="1" si="598"/>
        <v>#N/A</v>
      </c>
      <c r="I3086" t="e">
        <f t="shared" ca="1" si="599"/>
        <v>#N/A</v>
      </c>
      <c r="J3086" s="8" t="e">
        <f t="shared" ca="1" si="600"/>
        <v>#N/A</v>
      </c>
      <c r="K3086" s="9" t="e">
        <f t="shared" ca="1" si="601"/>
        <v>#N/A</v>
      </c>
      <c r="L3086" t="e">
        <f ca="1">+_xlfn.IFNA(VLOOKUP(M3086,BespokeWindowsAreas!$B$2:$E$1999,4,FALSE),VLOOKUP(E3086,WindowTypeArea!$B$2:$C$113,2,FALSE))</f>
        <v>#N/A</v>
      </c>
      <c r="M3086" t="e">
        <f t="shared" ca="1" si="592"/>
        <v>#N/A</v>
      </c>
    </row>
    <row r="3087" spans="1:13" x14ac:dyDescent="0.25">
      <c r="A3087" t="e">
        <f t="shared" ca="1" si="590"/>
        <v>#N/A</v>
      </c>
      <c r="B3087" t="e">
        <f t="shared" ca="1" si="591"/>
        <v>#N/A</v>
      </c>
      <c r="C3087" t="e">
        <f t="shared" ca="1" si="593"/>
        <v>#N/A</v>
      </c>
      <c r="D3087" s="6" t="e">
        <f t="shared" ca="1" si="594"/>
        <v>#N/A</v>
      </c>
      <c r="E3087" t="e">
        <f t="shared" ca="1" si="595"/>
        <v>#N/A</v>
      </c>
      <c r="F3087" t="e">
        <f t="shared" ca="1" si="596"/>
        <v>#N/A</v>
      </c>
      <c r="G3087" t="e">
        <f t="shared" ca="1" si="597"/>
        <v>#N/A</v>
      </c>
      <c r="H3087" t="e">
        <f t="shared" ca="1" si="598"/>
        <v>#N/A</v>
      </c>
      <c r="I3087" t="e">
        <f t="shared" ca="1" si="599"/>
        <v>#N/A</v>
      </c>
      <c r="J3087" s="8" t="e">
        <f t="shared" ca="1" si="600"/>
        <v>#N/A</v>
      </c>
      <c r="K3087" s="9" t="e">
        <f t="shared" ca="1" si="601"/>
        <v>#N/A</v>
      </c>
      <c r="L3087" t="e">
        <f ca="1">+_xlfn.IFNA(VLOOKUP(M3087,BespokeWindowsAreas!$B$2:$E$1999,4,FALSE),VLOOKUP(E3087,WindowTypeArea!$B$2:$C$113,2,FALSE))</f>
        <v>#N/A</v>
      </c>
      <c r="M3087" t="e">
        <f t="shared" ca="1" si="592"/>
        <v>#N/A</v>
      </c>
    </row>
    <row r="3088" spans="1:13" x14ac:dyDescent="0.25">
      <c r="A3088" t="e">
        <f t="shared" ca="1" si="590"/>
        <v>#N/A</v>
      </c>
      <c r="B3088" t="e">
        <f t="shared" ca="1" si="591"/>
        <v>#N/A</v>
      </c>
      <c r="C3088" t="e">
        <f t="shared" ca="1" si="593"/>
        <v>#N/A</v>
      </c>
      <c r="D3088" s="6" t="e">
        <f t="shared" ca="1" si="594"/>
        <v>#N/A</v>
      </c>
      <c r="E3088" t="e">
        <f t="shared" ca="1" si="595"/>
        <v>#N/A</v>
      </c>
      <c r="F3088" t="e">
        <f t="shared" ca="1" si="596"/>
        <v>#N/A</v>
      </c>
      <c r="G3088" t="e">
        <f t="shared" ca="1" si="597"/>
        <v>#N/A</v>
      </c>
      <c r="H3088" t="e">
        <f t="shared" ca="1" si="598"/>
        <v>#N/A</v>
      </c>
      <c r="I3088" t="e">
        <f t="shared" ca="1" si="599"/>
        <v>#N/A</v>
      </c>
      <c r="J3088" s="8" t="e">
        <f t="shared" ca="1" si="600"/>
        <v>#N/A</v>
      </c>
      <c r="K3088" s="9" t="e">
        <f t="shared" ca="1" si="601"/>
        <v>#N/A</v>
      </c>
      <c r="L3088" t="e">
        <f ca="1">+_xlfn.IFNA(VLOOKUP(M3088,BespokeWindowsAreas!$B$2:$E$1999,4,FALSE),VLOOKUP(E3088,WindowTypeArea!$B$2:$C$113,2,FALSE))</f>
        <v>#N/A</v>
      </c>
      <c r="M3088" t="e">
        <f t="shared" ca="1" si="592"/>
        <v>#N/A</v>
      </c>
    </row>
    <row r="3089" spans="1:13" x14ac:dyDescent="0.25">
      <c r="A3089" t="e">
        <f t="shared" ca="1" si="590"/>
        <v>#N/A</v>
      </c>
      <c r="B3089" t="e">
        <f t="shared" ca="1" si="591"/>
        <v>#N/A</v>
      </c>
      <c r="C3089" t="e">
        <f t="shared" ca="1" si="593"/>
        <v>#N/A</v>
      </c>
      <c r="D3089" s="6" t="e">
        <f t="shared" ca="1" si="594"/>
        <v>#N/A</v>
      </c>
      <c r="E3089" t="e">
        <f t="shared" ca="1" si="595"/>
        <v>#N/A</v>
      </c>
      <c r="F3089" t="e">
        <f t="shared" ca="1" si="596"/>
        <v>#N/A</v>
      </c>
      <c r="G3089" t="e">
        <f t="shared" ca="1" si="597"/>
        <v>#N/A</v>
      </c>
      <c r="H3089" t="e">
        <f t="shared" ca="1" si="598"/>
        <v>#N/A</v>
      </c>
      <c r="I3089" t="e">
        <f t="shared" ca="1" si="599"/>
        <v>#N/A</v>
      </c>
      <c r="J3089" s="8" t="e">
        <f t="shared" ca="1" si="600"/>
        <v>#N/A</v>
      </c>
      <c r="K3089" s="9" t="e">
        <f t="shared" ca="1" si="601"/>
        <v>#N/A</v>
      </c>
      <c r="L3089" t="e">
        <f ca="1">+_xlfn.IFNA(VLOOKUP(M3089,BespokeWindowsAreas!$B$2:$E$1999,4,FALSE),VLOOKUP(E3089,WindowTypeArea!$B$2:$C$113,2,FALSE))</f>
        <v>#N/A</v>
      </c>
      <c r="M3089" t="e">
        <f t="shared" ca="1" si="592"/>
        <v>#N/A</v>
      </c>
    </row>
    <row r="3090" spans="1:13" x14ac:dyDescent="0.25">
      <c r="A3090" t="e">
        <f t="shared" ca="1" si="590"/>
        <v>#N/A</v>
      </c>
      <c r="B3090" t="e">
        <f t="shared" ca="1" si="591"/>
        <v>#N/A</v>
      </c>
      <c r="C3090" t="e">
        <f t="shared" ca="1" si="593"/>
        <v>#N/A</v>
      </c>
      <c r="D3090" s="6" t="e">
        <f t="shared" ca="1" si="594"/>
        <v>#N/A</v>
      </c>
      <c r="E3090" t="e">
        <f t="shared" ca="1" si="595"/>
        <v>#N/A</v>
      </c>
      <c r="F3090" t="e">
        <f t="shared" ca="1" si="596"/>
        <v>#N/A</v>
      </c>
      <c r="G3090" t="e">
        <f t="shared" ca="1" si="597"/>
        <v>#N/A</v>
      </c>
      <c r="H3090" t="e">
        <f t="shared" ca="1" si="598"/>
        <v>#N/A</v>
      </c>
      <c r="I3090" t="e">
        <f t="shared" ca="1" si="599"/>
        <v>#N/A</v>
      </c>
      <c r="J3090" s="8" t="e">
        <f t="shared" ca="1" si="600"/>
        <v>#N/A</v>
      </c>
      <c r="K3090" s="9" t="e">
        <f t="shared" ca="1" si="601"/>
        <v>#N/A</v>
      </c>
      <c r="L3090" t="e">
        <f ca="1">+_xlfn.IFNA(VLOOKUP(M3090,BespokeWindowsAreas!$B$2:$E$1999,4,FALSE),VLOOKUP(E3090,WindowTypeArea!$B$2:$C$113,2,FALSE))</f>
        <v>#N/A</v>
      </c>
      <c r="M3090" t="e">
        <f t="shared" ca="1" si="592"/>
        <v>#N/A</v>
      </c>
    </row>
    <row r="3091" spans="1:13" x14ac:dyDescent="0.25">
      <c r="A3091" t="e">
        <f t="shared" ca="1" si="590"/>
        <v>#N/A</v>
      </c>
      <c r="B3091" t="e">
        <f t="shared" ca="1" si="591"/>
        <v>#N/A</v>
      </c>
      <c r="C3091" t="e">
        <f t="shared" ca="1" si="593"/>
        <v>#N/A</v>
      </c>
      <c r="D3091" s="6" t="e">
        <f t="shared" ca="1" si="594"/>
        <v>#N/A</v>
      </c>
      <c r="E3091" t="e">
        <f t="shared" ca="1" si="595"/>
        <v>#N/A</v>
      </c>
      <c r="F3091" t="e">
        <f t="shared" ca="1" si="596"/>
        <v>#N/A</v>
      </c>
      <c r="G3091" t="e">
        <f t="shared" ca="1" si="597"/>
        <v>#N/A</v>
      </c>
      <c r="H3091" t="e">
        <f t="shared" ca="1" si="598"/>
        <v>#N/A</v>
      </c>
      <c r="I3091" t="e">
        <f t="shared" ca="1" si="599"/>
        <v>#N/A</v>
      </c>
      <c r="J3091" s="8" t="e">
        <f t="shared" ca="1" si="600"/>
        <v>#N/A</v>
      </c>
      <c r="K3091" s="9" t="e">
        <f t="shared" ca="1" si="601"/>
        <v>#N/A</v>
      </c>
      <c r="L3091" t="e">
        <f ca="1">+_xlfn.IFNA(VLOOKUP(M3091,BespokeWindowsAreas!$B$2:$E$1999,4,FALSE),VLOOKUP(E3091,WindowTypeArea!$B$2:$C$113,2,FALSE))</f>
        <v>#N/A</v>
      </c>
      <c r="M3091" t="e">
        <f t="shared" ca="1" si="592"/>
        <v>#N/A</v>
      </c>
    </row>
    <row r="3092" spans="1:13" x14ac:dyDescent="0.25">
      <c r="A3092" t="e">
        <f t="shared" ref="A3092:A3155" ca="1" si="602">+IF(B3091&lt;=VLOOKUP(MID(C3092,2,26),TABS,2,FALSE),A3091,+A3091+1)</f>
        <v>#N/A</v>
      </c>
      <c r="B3092" t="e">
        <f t="shared" ref="B3092:B3155" ca="1" si="603">+IF(B3091&lt;=VLOOKUP(MID(C3092,2,26),TABS,2,FALSE),B3091+1,1)</f>
        <v>#N/A</v>
      </c>
      <c r="C3092" t="e">
        <f t="shared" ca="1" si="593"/>
        <v>#N/A</v>
      </c>
      <c r="D3092" s="6" t="e">
        <f t="shared" ca="1" si="594"/>
        <v>#N/A</v>
      </c>
      <c r="E3092" t="e">
        <f t="shared" ca="1" si="595"/>
        <v>#N/A</v>
      </c>
      <c r="F3092" t="e">
        <f t="shared" ca="1" si="596"/>
        <v>#N/A</v>
      </c>
      <c r="G3092" t="e">
        <f t="shared" ca="1" si="597"/>
        <v>#N/A</v>
      </c>
      <c r="H3092" t="e">
        <f t="shared" ca="1" si="598"/>
        <v>#N/A</v>
      </c>
      <c r="I3092" t="e">
        <f t="shared" ca="1" si="599"/>
        <v>#N/A</v>
      </c>
      <c r="J3092" s="8" t="e">
        <f t="shared" ca="1" si="600"/>
        <v>#N/A</v>
      </c>
      <c r="K3092" s="9" t="e">
        <f t="shared" ca="1" si="601"/>
        <v>#N/A</v>
      </c>
      <c r="L3092" t="e">
        <f ca="1">+_xlfn.IFNA(VLOOKUP(M3092,BespokeWindowsAreas!$B$2:$E$1999,4,FALSE),VLOOKUP(E3092,WindowTypeArea!$B$2:$C$113,2,FALSE))</f>
        <v>#N/A</v>
      </c>
      <c r="M3092" t="e">
        <f t="shared" ca="1" si="592"/>
        <v>#N/A</v>
      </c>
    </row>
    <row r="3093" spans="1:13" x14ac:dyDescent="0.25">
      <c r="A3093" t="e">
        <f t="shared" ca="1" si="602"/>
        <v>#N/A</v>
      </c>
      <c r="B3093" t="e">
        <f t="shared" ca="1" si="603"/>
        <v>#N/A</v>
      </c>
      <c r="C3093" t="e">
        <f t="shared" ca="1" si="593"/>
        <v>#N/A</v>
      </c>
      <c r="D3093" s="6" t="e">
        <f t="shared" ca="1" si="594"/>
        <v>#N/A</v>
      </c>
      <c r="E3093" t="e">
        <f t="shared" ca="1" si="595"/>
        <v>#N/A</v>
      </c>
      <c r="F3093" t="e">
        <f t="shared" ca="1" si="596"/>
        <v>#N/A</v>
      </c>
      <c r="G3093" t="e">
        <f t="shared" ca="1" si="597"/>
        <v>#N/A</v>
      </c>
      <c r="H3093" t="e">
        <f t="shared" ca="1" si="598"/>
        <v>#N/A</v>
      </c>
      <c r="I3093" t="e">
        <f t="shared" ca="1" si="599"/>
        <v>#N/A</v>
      </c>
      <c r="J3093" s="8" t="e">
        <f t="shared" ca="1" si="600"/>
        <v>#N/A</v>
      </c>
      <c r="K3093" s="9" t="e">
        <f t="shared" ca="1" si="601"/>
        <v>#N/A</v>
      </c>
      <c r="L3093" t="e">
        <f ca="1">+_xlfn.IFNA(VLOOKUP(M3093,BespokeWindowsAreas!$B$2:$E$1999,4,FALSE),VLOOKUP(E3093,WindowTypeArea!$B$2:$C$113,2,FALSE))</f>
        <v>#N/A</v>
      </c>
      <c r="M3093" t="e">
        <f t="shared" ca="1" si="592"/>
        <v>#N/A</v>
      </c>
    </row>
    <row r="3094" spans="1:13" x14ac:dyDescent="0.25">
      <c r="A3094" t="e">
        <f t="shared" ca="1" si="602"/>
        <v>#N/A</v>
      </c>
      <c r="B3094" t="e">
        <f t="shared" ca="1" si="603"/>
        <v>#N/A</v>
      </c>
      <c r="C3094" t="e">
        <f t="shared" ca="1" si="593"/>
        <v>#N/A</v>
      </c>
      <c r="D3094" s="6" t="e">
        <f t="shared" ca="1" si="594"/>
        <v>#N/A</v>
      </c>
      <c r="E3094" t="e">
        <f t="shared" ca="1" si="595"/>
        <v>#N/A</v>
      </c>
      <c r="F3094" t="e">
        <f t="shared" ca="1" si="596"/>
        <v>#N/A</v>
      </c>
      <c r="G3094" t="e">
        <f t="shared" ca="1" si="597"/>
        <v>#N/A</v>
      </c>
      <c r="H3094" t="e">
        <f t="shared" ca="1" si="598"/>
        <v>#N/A</v>
      </c>
      <c r="I3094" t="e">
        <f t="shared" ca="1" si="599"/>
        <v>#N/A</v>
      </c>
      <c r="J3094" s="8" t="e">
        <f t="shared" ca="1" si="600"/>
        <v>#N/A</v>
      </c>
      <c r="K3094" s="9" t="e">
        <f t="shared" ca="1" si="601"/>
        <v>#N/A</v>
      </c>
      <c r="L3094" t="e">
        <f ca="1">+_xlfn.IFNA(VLOOKUP(M3094,BespokeWindowsAreas!$B$2:$E$1999,4,FALSE),VLOOKUP(E3094,WindowTypeArea!$B$2:$C$113,2,FALSE))</f>
        <v>#N/A</v>
      </c>
      <c r="M3094" t="e">
        <f t="shared" ref="M3094:M3157" ca="1" si="604">+OFFSET(INDIRECT(C3094),0,5)</f>
        <v>#N/A</v>
      </c>
    </row>
    <row r="3095" spans="1:13" x14ac:dyDescent="0.25">
      <c r="A3095" t="e">
        <f t="shared" ca="1" si="602"/>
        <v>#N/A</v>
      </c>
      <c r="B3095" t="e">
        <f t="shared" ca="1" si="603"/>
        <v>#N/A</v>
      </c>
      <c r="C3095" t="e">
        <f t="shared" ca="1" si="593"/>
        <v>#N/A</v>
      </c>
      <c r="D3095" s="6" t="e">
        <f t="shared" ca="1" si="594"/>
        <v>#N/A</v>
      </c>
      <c r="E3095" t="e">
        <f t="shared" ca="1" si="595"/>
        <v>#N/A</v>
      </c>
      <c r="F3095" t="e">
        <f t="shared" ca="1" si="596"/>
        <v>#N/A</v>
      </c>
      <c r="G3095" t="e">
        <f t="shared" ca="1" si="597"/>
        <v>#N/A</v>
      </c>
      <c r="H3095" t="e">
        <f t="shared" ca="1" si="598"/>
        <v>#N/A</v>
      </c>
      <c r="I3095" t="e">
        <f t="shared" ca="1" si="599"/>
        <v>#N/A</v>
      </c>
      <c r="J3095" s="8" t="e">
        <f t="shared" ca="1" si="600"/>
        <v>#N/A</v>
      </c>
      <c r="K3095" s="9" t="e">
        <f t="shared" ca="1" si="601"/>
        <v>#N/A</v>
      </c>
      <c r="L3095" t="e">
        <f ca="1">+_xlfn.IFNA(VLOOKUP(M3095,BespokeWindowsAreas!$B$2:$E$1999,4,FALSE),VLOOKUP(E3095,WindowTypeArea!$B$2:$C$113,2,FALSE))</f>
        <v>#N/A</v>
      </c>
      <c r="M3095" t="e">
        <f t="shared" ca="1" si="604"/>
        <v>#N/A</v>
      </c>
    </row>
    <row r="3096" spans="1:13" x14ac:dyDescent="0.25">
      <c r="A3096" t="e">
        <f t="shared" ca="1" si="602"/>
        <v>#N/A</v>
      </c>
      <c r="B3096" t="e">
        <f t="shared" ca="1" si="603"/>
        <v>#N/A</v>
      </c>
      <c r="C3096" t="e">
        <f t="shared" ca="1" si="593"/>
        <v>#N/A</v>
      </c>
      <c r="D3096" s="6" t="e">
        <f t="shared" ca="1" si="594"/>
        <v>#N/A</v>
      </c>
      <c r="E3096" t="e">
        <f t="shared" ca="1" si="595"/>
        <v>#N/A</v>
      </c>
      <c r="F3096" t="e">
        <f t="shared" ca="1" si="596"/>
        <v>#N/A</v>
      </c>
      <c r="G3096" t="e">
        <f t="shared" ca="1" si="597"/>
        <v>#N/A</v>
      </c>
      <c r="H3096" t="e">
        <f t="shared" ca="1" si="598"/>
        <v>#N/A</v>
      </c>
      <c r="I3096" t="e">
        <f t="shared" ca="1" si="599"/>
        <v>#N/A</v>
      </c>
      <c r="J3096" s="8" t="e">
        <f t="shared" ca="1" si="600"/>
        <v>#N/A</v>
      </c>
      <c r="K3096" s="9" t="e">
        <f t="shared" ca="1" si="601"/>
        <v>#N/A</v>
      </c>
      <c r="L3096" t="e">
        <f ca="1">+_xlfn.IFNA(VLOOKUP(M3096,BespokeWindowsAreas!$B$2:$E$1999,4,FALSE),VLOOKUP(E3096,WindowTypeArea!$B$2:$C$113,2,FALSE))</f>
        <v>#N/A</v>
      </c>
      <c r="M3096" t="e">
        <f t="shared" ca="1" si="604"/>
        <v>#N/A</v>
      </c>
    </row>
    <row r="3097" spans="1:13" x14ac:dyDescent="0.25">
      <c r="A3097" t="e">
        <f t="shared" ca="1" si="602"/>
        <v>#N/A</v>
      </c>
      <c r="B3097" t="e">
        <f t="shared" ca="1" si="603"/>
        <v>#N/A</v>
      </c>
      <c r="C3097" t="e">
        <f t="shared" ca="1" si="593"/>
        <v>#N/A</v>
      </c>
      <c r="D3097" s="6" t="e">
        <f t="shared" ca="1" si="594"/>
        <v>#N/A</v>
      </c>
      <c r="E3097" t="e">
        <f t="shared" ca="1" si="595"/>
        <v>#N/A</v>
      </c>
      <c r="F3097" t="e">
        <f t="shared" ca="1" si="596"/>
        <v>#N/A</v>
      </c>
      <c r="G3097" t="e">
        <f t="shared" ca="1" si="597"/>
        <v>#N/A</v>
      </c>
      <c r="H3097" t="e">
        <f t="shared" ca="1" si="598"/>
        <v>#N/A</v>
      </c>
      <c r="I3097" t="e">
        <f t="shared" ca="1" si="599"/>
        <v>#N/A</v>
      </c>
      <c r="J3097" s="8" t="e">
        <f t="shared" ca="1" si="600"/>
        <v>#N/A</v>
      </c>
      <c r="K3097" s="9" t="e">
        <f t="shared" ca="1" si="601"/>
        <v>#N/A</v>
      </c>
      <c r="L3097" t="e">
        <f ca="1">+_xlfn.IFNA(VLOOKUP(M3097,BespokeWindowsAreas!$B$2:$E$1999,4,FALSE),VLOOKUP(E3097,WindowTypeArea!$B$2:$C$113,2,FALSE))</f>
        <v>#N/A</v>
      </c>
      <c r="M3097" t="e">
        <f t="shared" ca="1" si="604"/>
        <v>#N/A</v>
      </c>
    </row>
    <row r="3098" spans="1:13" x14ac:dyDescent="0.25">
      <c r="A3098" t="e">
        <f t="shared" ca="1" si="602"/>
        <v>#N/A</v>
      </c>
      <c r="B3098" t="e">
        <f t="shared" ca="1" si="603"/>
        <v>#N/A</v>
      </c>
      <c r="C3098" t="e">
        <f t="shared" ca="1" si="593"/>
        <v>#N/A</v>
      </c>
      <c r="D3098" s="6" t="e">
        <f t="shared" ca="1" si="594"/>
        <v>#N/A</v>
      </c>
      <c r="E3098" t="e">
        <f t="shared" ca="1" si="595"/>
        <v>#N/A</v>
      </c>
      <c r="F3098" t="e">
        <f t="shared" ca="1" si="596"/>
        <v>#N/A</v>
      </c>
      <c r="G3098" t="e">
        <f t="shared" ca="1" si="597"/>
        <v>#N/A</v>
      </c>
      <c r="H3098" t="e">
        <f t="shared" ca="1" si="598"/>
        <v>#N/A</v>
      </c>
      <c r="I3098" t="e">
        <f t="shared" ca="1" si="599"/>
        <v>#N/A</v>
      </c>
      <c r="J3098" s="8" t="e">
        <f t="shared" ca="1" si="600"/>
        <v>#N/A</v>
      </c>
      <c r="K3098" s="9" t="e">
        <f t="shared" ca="1" si="601"/>
        <v>#N/A</v>
      </c>
      <c r="L3098" t="e">
        <f ca="1">+_xlfn.IFNA(VLOOKUP(M3098,BespokeWindowsAreas!$B$2:$E$1999,4,FALSE),VLOOKUP(E3098,WindowTypeArea!$B$2:$C$113,2,FALSE))</f>
        <v>#N/A</v>
      </c>
      <c r="M3098" t="e">
        <f t="shared" ca="1" si="604"/>
        <v>#N/A</v>
      </c>
    </row>
    <row r="3099" spans="1:13" x14ac:dyDescent="0.25">
      <c r="A3099" t="e">
        <f t="shared" ca="1" si="602"/>
        <v>#N/A</v>
      </c>
      <c r="B3099" t="e">
        <f t="shared" ca="1" si="603"/>
        <v>#N/A</v>
      </c>
      <c r="C3099" t="e">
        <f t="shared" ca="1" si="593"/>
        <v>#N/A</v>
      </c>
      <c r="D3099" s="6" t="e">
        <f t="shared" ca="1" si="594"/>
        <v>#N/A</v>
      </c>
      <c r="E3099" t="e">
        <f t="shared" ca="1" si="595"/>
        <v>#N/A</v>
      </c>
      <c r="F3099" t="e">
        <f t="shared" ca="1" si="596"/>
        <v>#N/A</v>
      </c>
      <c r="G3099" t="e">
        <f t="shared" ca="1" si="597"/>
        <v>#N/A</v>
      </c>
      <c r="H3099" t="e">
        <f t="shared" ca="1" si="598"/>
        <v>#N/A</v>
      </c>
      <c r="I3099" t="e">
        <f t="shared" ca="1" si="599"/>
        <v>#N/A</v>
      </c>
      <c r="J3099" s="8" t="e">
        <f t="shared" ca="1" si="600"/>
        <v>#N/A</v>
      </c>
      <c r="K3099" s="9" t="e">
        <f t="shared" ca="1" si="601"/>
        <v>#N/A</v>
      </c>
      <c r="L3099" t="e">
        <f ca="1">+_xlfn.IFNA(VLOOKUP(M3099,BespokeWindowsAreas!$B$2:$E$1999,4,FALSE),VLOOKUP(E3099,WindowTypeArea!$B$2:$C$113,2,FALSE))</f>
        <v>#N/A</v>
      </c>
      <c r="M3099" t="e">
        <f t="shared" ca="1" si="604"/>
        <v>#N/A</v>
      </c>
    </row>
    <row r="3100" spans="1:13" x14ac:dyDescent="0.25">
      <c r="A3100" t="e">
        <f t="shared" ca="1" si="602"/>
        <v>#N/A</v>
      </c>
      <c r="B3100" t="e">
        <f t="shared" ca="1" si="603"/>
        <v>#N/A</v>
      </c>
      <c r="C3100" t="e">
        <f t="shared" ca="1" si="593"/>
        <v>#N/A</v>
      </c>
      <c r="D3100" s="6" t="e">
        <f t="shared" ca="1" si="594"/>
        <v>#N/A</v>
      </c>
      <c r="E3100" t="e">
        <f t="shared" ca="1" si="595"/>
        <v>#N/A</v>
      </c>
      <c r="F3100" t="e">
        <f t="shared" ca="1" si="596"/>
        <v>#N/A</v>
      </c>
      <c r="G3100" t="e">
        <f t="shared" ca="1" si="597"/>
        <v>#N/A</v>
      </c>
      <c r="H3100" t="e">
        <f t="shared" ca="1" si="598"/>
        <v>#N/A</v>
      </c>
      <c r="I3100" t="e">
        <f t="shared" ca="1" si="599"/>
        <v>#N/A</v>
      </c>
      <c r="J3100" s="8" t="e">
        <f t="shared" ca="1" si="600"/>
        <v>#N/A</v>
      </c>
      <c r="K3100" s="9" t="e">
        <f t="shared" ca="1" si="601"/>
        <v>#N/A</v>
      </c>
      <c r="L3100" t="e">
        <f ca="1">+_xlfn.IFNA(VLOOKUP(M3100,BespokeWindowsAreas!$B$2:$E$1999,4,FALSE),VLOOKUP(E3100,WindowTypeArea!$B$2:$C$113,2,FALSE))</f>
        <v>#N/A</v>
      </c>
      <c r="M3100" t="e">
        <f t="shared" ca="1" si="604"/>
        <v>#N/A</v>
      </c>
    </row>
    <row r="3101" spans="1:13" x14ac:dyDescent="0.25">
      <c r="A3101" t="e">
        <f t="shared" ca="1" si="602"/>
        <v>#N/A</v>
      </c>
      <c r="B3101" t="e">
        <f t="shared" ca="1" si="603"/>
        <v>#N/A</v>
      </c>
      <c r="C3101" t="e">
        <f t="shared" ca="1" si="593"/>
        <v>#N/A</v>
      </c>
      <c r="D3101" s="6" t="e">
        <f t="shared" ca="1" si="594"/>
        <v>#N/A</v>
      </c>
      <c r="E3101" t="e">
        <f t="shared" ca="1" si="595"/>
        <v>#N/A</v>
      </c>
      <c r="F3101" t="e">
        <f t="shared" ca="1" si="596"/>
        <v>#N/A</v>
      </c>
      <c r="G3101" t="e">
        <f t="shared" ca="1" si="597"/>
        <v>#N/A</v>
      </c>
      <c r="H3101" t="e">
        <f t="shared" ca="1" si="598"/>
        <v>#N/A</v>
      </c>
      <c r="I3101" t="e">
        <f t="shared" ca="1" si="599"/>
        <v>#N/A</v>
      </c>
      <c r="J3101" s="8" t="e">
        <f t="shared" ca="1" si="600"/>
        <v>#N/A</v>
      </c>
      <c r="K3101" s="9" t="e">
        <f t="shared" ca="1" si="601"/>
        <v>#N/A</v>
      </c>
      <c r="L3101" t="e">
        <f ca="1">+_xlfn.IFNA(VLOOKUP(M3101,BespokeWindowsAreas!$B$2:$E$1999,4,FALSE),VLOOKUP(E3101,WindowTypeArea!$B$2:$C$113,2,FALSE))</f>
        <v>#N/A</v>
      </c>
      <c r="M3101" t="e">
        <f t="shared" ca="1" si="604"/>
        <v>#N/A</v>
      </c>
    </row>
    <row r="3102" spans="1:13" x14ac:dyDescent="0.25">
      <c r="A3102" t="e">
        <f t="shared" ca="1" si="602"/>
        <v>#N/A</v>
      </c>
      <c r="B3102" t="e">
        <f t="shared" ca="1" si="603"/>
        <v>#N/A</v>
      </c>
      <c r="C3102" t="e">
        <f t="shared" ca="1" si="593"/>
        <v>#N/A</v>
      </c>
      <c r="D3102" s="6" t="e">
        <f t="shared" ca="1" si="594"/>
        <v>#N/A</v>
      </c>
      <c r="E3102" t="e">
        <f t="shared" ca="1" si="595"/>
        <v>#N/A</v>
      </c>
      <c r="F3102" t="e">
        <f t="shared" ca="1" si="596"/>
        <v>#N/A</v>
      </c>
      <c r="G3102" t="e">
        <f t="shared" ca="1" si="597"/>
        <v>#N/A</v>
      </c>
      <c r="H3102" t="e">
        <f t="shared" ca="1" si="598"/>
        <v>#N/A</v>
      </c>
      <c r="I3102" t="e">
        <f t="shared" ca="1" si="599"/>
        <v>#N/A</v>
      </c>
      <c r="J3102" s="8" t="e">
        <f t="shared" ca="1" si="600"/>
        <v>#N/A</v>
      </c>
      <c r="K3102" s="9" t="e">
        <f t="shared" ca="1" si="601"/>
        <v>#N/A</v>
      </c>
      <c r="L3102" t="e">
        <f ca="1">+_xlfn.IFNA(VLOOKUP(M3102,BespokeWindowsAreas!$B$2:$E$1999,4,FALSE),VLOOKUP(E3102,WindowTypeArea!$B$2:$C$113,2,FALSE))</f>
        <v>#N/A</v>
      </c>
      <c r="M3102" t="e">
        <f t="shared" ca="1" si="604"/>
        <v>#N/A</v>
      </c>
    </row>
    <row r="3103" spans="1:13" x14ac:dyDescent="0.25">
      <c r="A3103" t="e">
        <f t="shared" ca="1" si="602"/>
        <v>#N/A</v>
      </c>
      <c r="B3103" t="e">
        <f t="shared" ca="1" si="603"/>
        <v>#N/A</v>
      </c>
      <c r="C3103" t="e">
        <f t="shared" ca="1" si="593"/>
        <v>#N/A</v>
      </c>
      <c r="D3103" s="6" t="e">
        <f t="shared" ca="1" si="594"/>
        <v>#N/A</v>
      </c>
      <c r="E3103" t="e">
        <f t="shared" ca="1" si="595"/>
        <v>#N/A</v>
      </c>
      <c r="F3103" t="e">
        <f t="shared" ca="1" si="596"/>
        <v>#N/A</v>
      </c>
      <c r="G3103" t="e">
        <f t="shared" ca="1" si="597"/>
        <v>#N/A</v>
      </c>
      <c r="H3103" t="e">
        <f t="shared" ca="1" si="598"/>
        <v>#N/A</v>
      </c>
      <c r="I3103" t="e">
        <f t="shared" ca="1" si="599"/>
        <v>#N/A</v>
      </c>
      <c r="J3103" s="8" t="e">
        <f t="shared" ca="1" si="600"/>
        <v>#N/A</v>
      </c>
      <c r="K3103" s="9" t="e">
        <f t="shared" ca="1" si="601"/>
        <v>#N/A</v>
      </c>
      <c r="L3103" t="e">
        <f ca="1">+_xlfn.IFNA(VLOOKUP(M3103,BespokeWindowsAreas!$B$2:$E$1999,4,FALSE),VLOOKUP(E3103,WindowTypeArea!$B$2:$C$113,2,FALSE))</f>
        <v>#N/A</v>
      </c>
      <c r="M3103" t="e">
        <f t="shared" ca="1" si="604"/>
        <v>#N/A</v>
      </c>
    </row>
    <row r="3104" spans="1:13" x14ac:dyDescent="0.25">
      <c r="A3104" t="e">
        <f t="shared" ca="1" si="602"/>
        <v>#N/A</v>
      </c>
      <c r="B3104" t="e">
        <f t="shared" ca="1" si="603"/>
        <v>#N/A</v>
      </c>
      <c r="C3104" t="e">
        <f t="shared" ca="1" si="593"/>
        <v>#N/A</v>
      </c>
      <c r="D3104" s="6" t="e">
        <f t="shared" ca="1" si="594"/>
        <v>#N/A</v>
      </c>
      <c r="E3104" t="e">
        <f t="shared" ca="1" si="595"/>
        <v>#N/A</v>
      </c>
      <c r="F3104" t="e">
        <f t="shared" ca="1" si="596"/>
        <v>#N/A</v>
      </c>
      <c r="G3104" t="e">
        <f t="shared" ca="1" si="597"/>
        <v>#N/A</v>
      </c>
      <c r="H3104" t="e">
        <f t="shared" ca="1" si="598"/>
        <v>#N/A</v>
      </c>
      <c r="I3104" t="e">
        <f t="shared" ca="1" si="599"/>
        <v>#N/A</v>
      </c>
      <c r="J3104" s="8" t="e">
        <f t="shared" ca="1" si="600"/>
        <v>#N/A</v>
      </c>
      <c r="K3104" s="9" t="e">
        <f t="shared" ca="1" si="601"/>
        <v>#N/A</v>
      </c>
      <c r="L3104" t="e">
        <f ca="1">+_xlfn.IFNA(VLOOKUP(M3104,BespokeWindowsAreas!$B$2:$E$1999,4,FALSE),VLOOKUP(E3104,WindowTypeArea!$B$2:$C$113,2,FALSE))</f>
        <v>#N/A</v>
      </c>
      <c r="M3104" t="e">
        <f t="shared" ca="1" si="604"/>
        <v>#N/A</v>
      </c>
    </row>
    <row r="3105" spans="1:13" x14ac:dyDescent="0.25">
      <c r="A3105" t="e">
        <f t="shared" ca="1" si="602"/>
        <v>#N/A</v>
      </c>
      <c r="B3105" t="e">
        <f t="shared" ca="1" si="603"/>
        <v>#N/A</v>
      </c>
      <c r="C3105" t="e">
        <f t="shared" ca="1" si="593"/>
        <v>#N/A</v>
      </c>
      <c r="D3105" s="6" t="e">
        <f t="shared" ca="1" si="594"/>
        <v>#N/A</v>
      </c>
      <c r="E3105" t="e">
        <f t="shared" ca="1" si="595"/>
        <v>#N/A</v>
      </c>
      <c r="F3105" t="e">
        <f t="shared" ca="1" si="596"/>
        <v>#N/A</v>
      </c>
      <c r="G3105" t="e">
        <f t="shared" ca="1" si="597"/>
        <v>#N/A</v>
      </c>
      <c r="H3105" t="e">
        <f t="shared" ca="1" si="598"/>
        <v>#N/A</v>
      </c>
      <c r="I3105" t="e">
        <f t="shared" ca="1" si="599"/>
        <v>#N/A</v>
      </c>
      <c r="J3105" s="8" t="e">
        <f t="shared" ca="1" si="600"/>
        <v>#N/A</v>
      </c>
      <c r="K3105" s="9" t="e">
        <f t="shared" ca="1" si="601"/>
        <v>#N/A</v>
      </c>
      <c r="L3105" t="e">
        <f ca="1">+_xlfn.IFNA(VLOOKUP(M3105,BespokeWindowsAreas!$B$2:$E$1999,4,FALSE),VLOOKUP(E3105,WindowTypeArea!$B$2:$C$113,2,FALSE))</f>
        <v>#N/A</v>
      </c>
      <c r="M3105" t="e">
        <f t="shared" ca="1" si="604"/>
        <v>#N/A</v>
      </c>
    </row>
    <row r="3106" spans="1:13" x14ac:dyDescent="0.25">
      <c r="A3106" t="e">
        <f t="shared" ca="1" si="602"/>
        <v>#N/A</v>
      </c>
      <c r="B3106" t="e">
        <f t="shared" ca="1" si="603"/>
        <v>#N/A</v>
      </c>
      <c r="C3106" t="e">
        <f t="shared" ca="1" si="593"/>
        <v>#N/A</v>
      </c>
      <c r="D3106" s="6" t="e">
        <f t="shared" ca="1" si="594"/>
        <v>#N/A</v>
      </c>
      <c r="E3106" t="e">
        <f t="shared" ca="1" si="595"/>
        <v>#N/A</v>
      </c>
      <c r="F3106" t="e">
        <f t="shared" ca="1" si="596"/>
        <v>#N/A</v>
      </c>
      <c r="G3106" t="e">
        <f t="shared" ca="1" si="597"/>
        <v>#N/A</v>
      </c>
      <c r="H3106" t="e">
        <f t="shared" ca="1" si="598"/>
        <v>#N/A</v>
      </c>
      <c r="I3106" t="e">
        <f t="shared" ca="1" si="599"/>
        <v>#N/A</v>
      </c>
      <c r="J3106" s="8" t="e">
        <f t="shared" ca="1" si="600"/>
        <v>#N/A</v>
      </c>
      <c r="K3106" s="9" t="e">
        <f t="shared" ca="1" si="601"/>
        <v>#N/A</v>
      </c>
      <c r="L3106" t="e">
        <f ca="1">+_xlfn.IFNA(VLOOKUP(M3106,BespokeWindowsAreas!$B$2:$E$1999,4,FALSE),VLOOKUP(E3106,WindowTypeArea!$B$2:$C$113,2,FALSE))</f>
        <v>#N/A</v>
      </c>
      <c r="M3106" t="e">
        <f t="shared" ca="1" si="604"/>
        <v>#N/A</v>
      </c>
    </row>
    <row r="3107" spans="1:13" x14ac:dyDescent="0.25">
      <c r="A3107" t="e">
        <f t="shared" ca="1" si="602"/>
        <v>#N/A</v>
      </c>
      <c r="B3107" t="e">
        <f t="shared" ca="1" si="603"/>
        <v>#N/A</v>
      </c>
      <c r="C3107" t="e">
        <f t="shared" ca="1" si="593"/>
        <v>#N/A</v>
      </c>
      <c r="D3107" s="6" t="e">
        <f t="shared" ca="1" si="594"/>
        <v>#N/A</v>
      </c>
      <c r="E3107" t="e">
        <f t="shared" ca="1" si="595"/>
        <v>#N/A</v>
      </c>
      <c r="F3107" t="e">
        <f t="shared" ca="1" si="596"/>
        <v>#N/A</v>
      </c>
      <c r="G3107" t="e">
        <f t="shared" ca="1" si="597"/>
        <v>#N/A</v>
      </c>
      <c r="H3107" t="e">
        <f t="shared" ca="1" si="598"/>
        <v>#N/A</v>
      </c>
      <c r="I3107" t="e">
        <f t="shared" ca="1" si="599"/>
        <v>#N/A</v>
      </c>
      <c r="J3107" s="8" t="e">
        <f t="shared" ca="1" si="600"/>
        <v>#N/A</v>
      </c>
      <c r="K3107" s="9" t="e">
        <f t="shared" ca="1" si="601"/>
        <v>#N/A</v>
      </c>
      <c r="L3107" t="e">
        <f ca="1">+_xlfn.IFNA(VLOOKUP(M3107,BespokeWindowsAreas!$B$2:$E$1999,4,FALSE),VLOOKUP(E3107,WindowTypeArea!$B$2:$C$113,2,FALSE))</f>
        <v>#N/A</v>
      </c>
      <c r="M3107" t="e">
        <f t="shared" ca="1" si="604"/>
        <v>#N/A</v>
      </c>
    </row>
    <row r="3108" spans="1:13" x14ac:dyDescent="0.25">
      <c r="A3108" t="e">
        <f t="shared" ca="1" si="602"/>
        <v>#N/A</v>
      </c>
      <c r="B3108" t="e">
        <f t="shared" ca="1" si="603"/>
        <v>#N/A</v>
      </c>
      <c r="C3108" t="e">
        <f t="shared" ca="1" si="593"/>
        <v>#N/A</v>
      </c>
      <c r="D3108" s="6" t="e">
        <f t="shared" ca="1" si="594"/>
        <v>#N/A</v>
      </c>
      <c r="E3108" t="e">
        <f t="shared" ca="1" si="595"/>
        <v>#N/A</v>
      </c>
      <c r="F3108" t="e">
        <f t="shared" ca="1" si="596"/>
        <v>#N/A</v>
      </c>
      <c r="G3108" t="e">
        <f t="shared" ca="1" si="597"/>
        <v>#N/A</v>
      </c>
      <c r="H3108" t="e">
        <f t="shared" ca="1" si="598"/>
        <v>#N/A</v>
      </c>
      <c r="I3108" t="e">
        <f t="shared" ca="1" si="599"/>
        <v>#N/A</v>
      </c>
      <c r="J3108" s="8" t="e">
        <f t="shared" ca="1" si="600"/>
        <v>#N/A</v>
      </c>
      <c r="K3108" s="9" t="e">
        <f t="shared" ca="1" si="601"/>
        <v>#N/A</v>
      </c>
      <c r="L3108" t="e">
        <f ca="1">+_xlfn.IFNA(VLOOKUP(M3108,BespokeWindowsAreas!$B$2:$E$1999,4,FALSE),VLOOKUP(E3108,WindowTypeArea!$B$2:$C$113,2,FALSE))</f>
        <v>#N/A</v>
      </c>
      <c r="M3108" t="e">
        <f t="shared" ca="1" si="604"/>
        <v>#N/A</v>
      </c>
    </row>
    <row r="3109" spans="1:13" x14ac:dyDescent="0.25">
      <c r="A3109" t="e">
        <f t="shared" ca="1" si="602"/>
        <v>#N/A</v>
      </c>
      <c r="B3109" t="e">
        <f t="shared" ca="1" si="603"/>
        <v>#N/A</v>
      </c>
      <c r="C3109" t="e">
        <f t="shared" ca="1" si="593"/>
        <v>#N/A</v>
      </c>
      <c r="D3109" s="6" t="e">
        <f t="shared" ca="1" si="594"/>
        <v>#N/A</v>
      </c>
      <c r="E3109" t="e">
        <f t="shared" ca="1" si="595"/>
        <v>#N/A</v>
      </c>
      <c r="F3109" t="e">
        <f t="shared" ca="1" si="596"/>
        <v>#N/A</v>
      </c>
      <c r="G3109" t="e">
        <f t="shared" ca="1" si="597"/>
        <v>#N/A</v>
      </c>
      <c r="H3109" t="e">
        <f t="shared" ca="1" si="598"/>
        <v>#N/A</v>
      </c>
      <c r="I3109" t="e">
        <f t="shared" ca="1" si="599"/>
        <v>#N/A</v>
      </c>
      <c r="J3109" s="8" t="e">
        <f t="shared" ca="1" si="600"/>
        <v>#N/A</v>
      </c>
      <c r="K3109" s="9" t="e">
        <f t="shared" ca="1" si="601"/>
        <v>#N/A</v>
      </c>
      <c r="L3109" t="e">
        <f ca="1">+_xlfn.IFNA(VLOOKUP(M3109,BespokeWindowsAreas!$B$2:$E$1999,4,FALSE),VLOOKUP(E3109,WindowTypeArea!$B$2:$C$113,2,FALSE))</f>
        <v>#N/A</v>
      </c>
      <c r="M3109" t="e">
        <f t="shared" ca="1" si="604"/>
        <v>#N/A</v>
      </c>
    </row>
    <row r="3110" spans="1:13" x14ac:dyDescent="0.25">
      <c r="A3110" t="e">
        <f t="shared" ca="1" si="602"/>
        <v>#N/A</v>
      </c>
      <c r="B3110" t="e">
        <f t="shared" ca="1" si="603"/>
        <v>#N/A</v>
      </c>
      <c r="C3110" t="e">
        <f t="shared" ca="1" si="593"/>
        <v>#N/A</v>
      </c>
      <c r="D3110" s="6" t="e">
        <f t="shared" ca="1" si="594"/>
        <v>#N/A</v>
      </c>
      <c r="E3110" t="e">
        <f t="shared" ca="1" si="595"/>
        <v>#N/A</v>
      </c>
      <c r="F3110" t="e">
        <f t="shared" ca="1" si="596"/>
        <v>#N/A</v>
      </c>
      <c r="G3110" t="e">
        <f t="shared" ca="1" si="597"/>
        <v>#N/A</v>
      </c>
      <c r="H3110" t="e">
        <f t="shared" ca="1" si="598"/>
        <v>#N/A</v>
      </c>
      <c r="I3110" t="e">
        <f t="shared" ca="1" si="599"/>
        <v>#N/A</v>
      </c>
      <c r="J3110" s="8" t="e">
        <f t="shared" ca="1" si="600"/>
        <v>#N/A</v>
      </c>
      <c r="K3110" s="9" t="e">
        <f t="shared" ca="1" si="601"/>
        <v>#N/A</v>
      </c>
      <c r="L3110" t="e">
        <f ca="1">+_xlfn.IFNA(VLOOKUP(M3110,BespokeWindowsAreas!$B$2:$E$1999,4,FALSE),VLOOKUP(E3110,WindowTypeArea!$B$2:$C$113,2,FALSE))</f>
        <v>#N/A</v>
      </c>
      <c r="M3110" t="e">
        <f t="shared" ca="1" si="604"/>
        <v>#N/A</v>
      </c>
    </row>
    <row r="3111" spans="1:13" x14ac:dyDescent="0.25">
      <c r="A3111" t="e">
        <f t="shared" ca="1" si="602"/>
        <v>#N/A</v>
      </c>
      <c r="B3111" t="e">
        <f t="shared" ca="1" si="603"/>
        <v>#N/A</v>
      </c>
      <c r="C3111" t="e">
        <f t="shared" ca="1" si="593"/>
        <v>#N/A</v>
      </c>
      <c r="D3111" s="6" t="e">
        <f t="shared" ca="1" si="594"/>
        <v>#N/A</v>
      </c>
      <c r="E3111" t="e">
        <f t="shared" ca="1" si="595"/>
        <v>#N/A</v>
      </c>
      <c r="F3111" t="e">
        <f t="shared" ca="1" si="596"/>
        <v>#N/A</v>
      </c>
      <c r="G3111" t="e">
        <f t="shared" ca="1" si="597"/>
        <v>#N/A</v>
      </c>
      <c r="H3111" t="e">
        <f t="shared" ca="1" si="598"/>
        <v>#N/A</v>
      </c>
      <c r="I3111" t="e">
        <f t="shared" ca="1" si="599"/>
        <v>#N/A</v>
      </c>
      <c r="J3111" s="8" t="e">
        <f t="shared" ca="1" si="600"/>
        <v>#N/A</v>
      </c>
      <c r="K3111" s="9" t="e">
        <f t="shared" ca="1" si="601"/>
        <v>#N/A</v>
      </c>
      <c r="L3111" t="e">
        <f ca="1">+_xlfn.IFNA(VLOOKUP(M3111,BespokeWindowsAreas!$B$2:$E$1999,4,FALSE),VLOOKUP(E3111,WindowTypeArea!$B$2:$C$113,2,FALSE))</f>
        <v>#N/A</v>
      </c>
      <c r="M3111" t="e">
        <f t="shared" ca="1" si="604"/>
        <v>#N/A</v>
      </c>
    </row>
    <row r="3112" spans="1:13" x14ac:dyDescent="0.25">
      <c r="A3112" t="e">
        <f t="shared" ca="1" si="602"/>
        <v>#N/A</v>
      </c>
      <c r="B3112" t="e">
        <f t="shared" ca="1" si="603"/>
        <v>#N/A</v>
      </c>
      <c r="C3112" t="e">
        <f t="shared" ca="1" si="593"/>
        <v>#N/A</v>
      </c>
      <c r="D3112" s="6" t="e">
        <f t="shared" ca="1" si="594"/>
        <v>#N/A</v>
      </c>
      <c r="E3112" t="e">
        <f t="shared" ca="1" si="595"/>
        <v>#N/A</v>
      </c>
      <c r="F3112" t="e">
        <f t="shared" ca="1" si="596"/>
        <v>#N/A</v>
      </c>
      <c r="G3112" t="e">
        <f t="shared" ca="1" si="597"/>
        <v>#N/A</v>
      </c>
      <c r="H3112" t="e">
        <f t="shared" ca="1" si="598"/>
        <v>#N/A</v>
      </c>
      <c r="I3112" t="e">
        <f t="shared" ca="1" si="599"/>
        <v>#N/A</v>
      </c>
      <c r="J3112" s="8" t="e">
        <f t="shared" ca="1" si="600"/>
        <v>#N/A</v>
      </c>
      <c r="K3112" s="9" t="e">
        <f t="shared" ca="1" si="601"/>
        <v>#N/A</v>
      </c>
      <c r="L3112" t="e">
        <f ca="1">+_xlfn.IFNA(VLOOKUP(M3112,BespokeWindowsAreas!$B$2:$E$1999,4,FALSE),VLOOKUP(E3112,WindowTypeArea!$B$2:$C$113,2,FALSE))</f>
        <v>#N/A</v>
      </c>
      <c r="M3112" t="e">
        <f t="shared" ca="1" si="604"/>
        <v>#N/A</v>
      </c>
    </row>
    <row r="3113" spans="1:13" x14ac:dyDescent="0.25">
      <c r="A3113" t="e">
        <f t="shared" ca="1" si="602"/>
        <v>#N/A</v>
      </c>
      <c r="B3113" t="e">
        <f t="shared" ca="1" si="603"/>
        <v>#N/A</v>
      </c>
      <c r="C3113" t="e">
        <f t="shared" ca="1" si="593"/>
        <v>#N/A</v>
      </c>
      <c r="D3113" s="6" t="e">
        <f t="shared" ca="1" si="594"/>
        <v>#N/A</v>
      </c>
      <c r="E3113" t="e">
        <f t="shared" ca="1" si="595"/>
        <v>#N/A</v>
      </c>
      <c r="F3113" t="e">
        <f t="shared" ca="1" si="596"/>
        <v>#N/A</v>
      </c>
      <c r="G3113" t="e">
        <f t="shared" ca="1" si="597"/>
        <v>#N/A</v>
      </c>
      <c r="H3113" t="e">
        <f t="shared" ca="1" si="598"/>
        <v>#N/A</v>
      </c>
      <c r="I3113" t="e">
        <f t="shared" ca="1" si="599"/>
        <v>#N/A</v>
      </c>
      <c r="J3113" s="8" t="e">
        <f t="shared" ca="1" si="600"/>
        <v>#N/A</v>
      </c>
      <c r="K3113" s="9" t="e">
        <f t="shared" ca="1" si="601"/>
        <v>#N/A</v>
      </c>
      <c r="L3113" t="e">
        <f ca="1">+_xlfn.IFNA(VLOOKUP(M3113,BespokeWindowsAreas!$B$2:$E$1999,4,FALSE),VLOOKUP(E3113,WindowTypeArea!$B$2:$C$113,2,FALSE))</f>
        <v>#N/A</v>
      </c>
      <c r="M3113" t="e">
        <f t="shared" ca="1" si="604"/>
        <v>#N/A</v>
      </c>
    </row>
    <row r="3114" spans="1:13" x14ac:dyDescent="0.25">
      <c r="A3114" t="e">
        <f t="shared" ca="1" si="602"/>
        <v>#N/A</v>
      </c>
      <c r="B3114" t="e">
        <f t="shared" ca="1" si="603"/>
        <v>#N/A</v>
      </c>
      <c r="C3114" t="e">
        <f t="shared" ca="1" si="593"/>
        <v>#N/A</v>
      </c>
      <c r="D3114" s="6" t="e">
        <f t="shared" ca="1" si="594"/>
        <v>#N/A</v>
      </c>
      <c r="E3114" t="e">
        <f t="shared" ca="1" si="595"/>
        <v>#N/A</v>
      </c>
      <c r="F3114" t="e">
        <f t="shared" ca="1" si="596"/>
        <v>#N/A</v>
      </c>
      <c r="G3114" t="e">
        <f t="shared" ca="1" si="597"/>
        <v>#N/A</v>
      </c>
      <c r="H3114" t="e">
        <f t="shared" ca="1" si="598"/>
        <v>#N/A</v>
      </c>
      <c r="I3114" t="e">
        <f t="shared" ca="1" si="599"/>
        <v>#N/A</v>
      </c>
      <c r="J3114" s="8" t="e">
        <f t="shared" ca="1" si="600"/>
        <v>#N/A</v>
      </c>
      <c r="K3114" s="9" t="e">
        <f t="shared" ca="1" si="601"/>
        <v>#N/A</v>
      </c>
      <c r="L3114" t="e">
        <f ca="1">+_xlfn.IFNA(VLOOKUP(M3114,BespokeWindowsAreas!$B$2:$E$1999,4,FALSE),VLOOKUP(E3114,WindowTypeArea!$B$2:$C$113,2,FALSE))</f>
        <v>#N/A</v>
      </c>
      <c r="M3114" t="e">
        <f t="shared" ca="1" si="604"/>
        <v>#N/A</v>
      </c>
    </row>
    <row r="3115" spans="1:13" x14ac:dyDescent="0.25">
      <c r="A3115" t="e">
        <f t="shared" ca="1" si="602"/>
        <v>#N/A</v>
      </c>
      <c r="B3115" t="e">
        <f t="shared" ca="1" si="603"/>
        <v>#N/A</v>
      </c>
      <c r="C3115" t="e">
        <f t="shared" ca="1" si="593"/>
        <v>#N/A</v>
      </c>
      <c r="D3115" s="6" t="e">
        <f t="shared" ca="1" si="594"/>
        <v>#N/A</v>
      </c>
      <c r="E3115" t="e">
        <f t="shared" ca="1" si="595"/>
        <v>#N/A</v>
      </c>
      <c r="F3115" t="e">
        <f t="shared" ca="1" si="596"/>
        <v>#N/A</v>
      </c>
      <c r="G3115" t="e">
        <f t="shared" ca="1" si="597"/>
        <v>#N/A</v>
      </c>
      <c r="H3115" t="e">
        <f t="shared" ca="1" si="598"/>
        <v>#N/A</v>
      </c>
      <c r="I3115" t="e">
        <f t="shared" ca="1" si="599"/>
        <v>#N/A</v>
      </c>
      <c r="J3115" s="8" t="e">
        <f t="shared" ca="1" si="600"/>
        <v>#N/A</v>
      </c>
      <c r="K3115" s="9" t="e">
        <f t="shared" ca="1" si="601"/>
        <v>#N/A</v>
      </c>
      <c r="L3115" t="e">
        <f ca="1">+_xlfn.IFNA(VLOOKUP(M3115,BespokeWindowsAreas!$B$2:$E$1999,4,FALSE),VLOOKUP(E3115,WindowTypeArea!$B$2:$C$113,2,FALSE))</f>
        <v>#N/A</v>
      </c>
      <c r="M3115" t="e">
        <f t="shared" ca="1" si="604"/>
        <v>#N/A</v>
      </c>
    </row>
    <row r="3116" spans="1:13" x14ac:dyDescent="0.25">
      <c r="A3116" t="e">
        <f t="shared" ca="1" si="602"/>
        <v>#N/A</v>
      </c>
      <c r="B3116" t="e">
        <f t="shared" ca="1" si="603"/>
        <v>#N/A</v>
      </c>
      <c r="C3116" t="e">
        <f t="shared" ca="1" si="593"/>
        <v>#N/A</v>
      </c>
      <c r="D3116" s="6" t="e">
        <f t="shared" ca="1" si="594"/>
        <v>#N/A</v>
      </c>
      <c r="E3116" t="e">
        <f t="shared" ca="1" si="595"/>
        <v>#N/A</v>
      </c>
      <c r="F3116" t="e">
        <f t="shared" ca="1" si="596"/>
        <v>#N/A</v>
      </c>
      <c r="G3116" t="e">
        <f t="shared" ca="1" si="597"/>
        <v>#N/A</v>
      </c>
      <c r="H3116" t="e">
        <f t="shared" ca="1" si="598"/>
        <v>#N/A</v>
      </c>
      <c r="I3116" t="e">
        <f t="shared" ca="1" si="599"/>
        <v>#N/A</v>
      </c>
      <c r="J3116" s="8" t="e">
        <f t="shared" ca="1" si="600"/>
        <v>#N/A</v>
      </c>
      <c r="K3116" s="9" t="e">
        <f t="shared" ca="1" si="601"/>
        <v>#N/A</v>
      </c>
      <c r="L3116" t="e">
        <f ca="1">+_xlfn.IFNA(VLOOKUP(M3116,BespokeWindowsAreas!$B$2:$E$1999,4,FALSE),VLOOKUP(E3116,WindowTypeArea!$B$2:$C$113,2,FALSE))</f>
        <v>#N/A</v>
      </c>
      <c r="M3116" t="e">
        <f t="shared" ca="1" si="604"/>
        <v>#N/A</v>
      </c>
    </row>
    <row r="3117" spans="1:13" x14ac:dyDescent="0.25">
      <c r="A3117" t="e">
        <f t="shared" ca="1" si="602"/>
        <v>#N/A</v>
      </c>
      <c r="B3117" t="e">
        <f t="shared" ca="1" si="603"/>
        <v>#N/A</v>
      </c>
      <c r="C3117" t="e">
        <f t="shared" ca="1" si="593"/>
        <v>#N/A</v>
      </c>
      <c r="D3117" s="6" t="e">
        <f t="shared" ca="1" si="594"/>
        <v>#N/A</v>
      </c>
      <c r="E3117" t="e">
        <f t="shared" ca="1" si="595"/>
        <v>#N/A</v>
      </c>
      <c r="F3117" t="e">
        <f t="shared" ca="1" si="596"/>
        <v>#N/A</v>
      </c>
      <c r="G3117" t="e">
        <f t="shared" ca="1" si="597"/>
        <v>#N/A</v>
      </c>
      <c r="H3117" t="e">
        <f t="shared" ca="1" si="598"/>
        <v>#N/A</v>
      </c>
      <c r="I3117" t="e">
        <f t="shared" ca="1" si="599"/>
        <v>#N/A</v>
      </c>
      <c r="J3117" s="8" t="e">
        <f t="shared" ca="1" si="600"/>
        <v>#N/A</v>
      </c>
      <c r="K3117" s="9" t="e">
        <f t="shared" ca="1" si="601"/>
        <v>#N/A</v>
      </c>
      <c r="L3117" t="e">
        <f ca="1">+_xlfn.IFNA(VLOOKUP(M3117,BespokeWindowsAreas!$B$2:$E$1999,4,FALSE),VLOOKUP(E3117,WindowTypeArea!$B$2:$C$113,2,FALSE))</f>
        <v>#N/A</v>
      </c>
      <c r="M3117" t="e">
        <f t="shared" ca="1" si="604"/>
        <v>#N/A</v>
      </c>
    </row>
    <row r="3118" spans="1:13" x14ac:dyDescent="0.25">
      <c r="A3118" t="e">
        <f t="shared" ca="1" si="602"/>
        <v>#N/A</v>
      </c>
      <c r="B3118" t="e">
        <f t="shared" ca="1" si="603"/>
        <v>#N/A</v>
      </c>
      <c r="C3118" t="e">
        <f t="shared" ca="1" si="593"/>
        <v>#N/A</v>
      </c>
      <c r="D3118" s="6" t="e">
        <f t="shared" ca="1" si="594"/>
        <v>#N/A</v>
      </c>
      <c r="E3118" t="e">
        <f t="shared" ca="1" si="595"/>
        <v>#N/A</v>
      </c>
      <c r="F3118" t="e">
        <f t="shared" ca="1" si="596"/>
        <v>#N/A</v>
      </c>
      <c r="G3118" t="e">
        <f t="shared" ca="1" si="597"/>
        <v>#N/A</v>
      </c>
      <c r="H3118" t="e">
        <f t="shared" ca="1" si="598"/>
        <v>#N/A</v>
      </c>
      <c r="I3118" t="e">
        <f t="shared" ca="1" si="599"/>
        <v>#N/A</v>
      </c>
      <c r="J3118" s="8" t="e">
        <f t="shared" ca="1" si="600"/>
        <v>#N/A</v>
      </c>
      <c r="K3118" s="9" t="e">
        <f t="shared" ca="1" si="601"/>
        <v>#N/A</v>
      </c>
      <c r="L3118" t="e">
        <f ca="1">+_xlfn.IFNA(VLOOKUP(M3118,BespokeWindowsAreas!$B$2:$E$1999,4,FALSE),VLOOKUP(E3118,WindowTypeArea!$B$2:$C$113,2,FALSE))</f>
        <v>#N/A</v>
      </c>
      <c r="M3118" t="e">
        <f t="shared" ca="1" si="604"/>
        <v>#N/A</v>
      </c>
    </row>
    <row r="3119" spans="1:13" x14ac:dyDescent="0.25">
      <c r="A3119" t="e">
        <f t="shared" ca="1" si="602"/>
        <v>#N/A</v>
      </c>
      <c r="B3119" t="e">
        <f t="shared" ca="1" si="603"/>
        <v>#N/A</v>
      </c>
      <c r="C3119" t="e">
        <f t="shared" ca="1" si="593"/>
        <v>#N/A</v>
      </c>
      <c r="D3119" s="6" t="e">
        <f t="shared" ca="1" si="594"/>
        <v>#N/A</v>
      </c>
      <c r="E3119" t="e">
        <f t="shared" ca="1" si="595"/>
        <v>#N/A</v>
      </c>
      <c r="F3119" t="e">
        <f t="shared" ca="1" si="596"/>
        <v>#N/A</v>
      </c>
      <c r="G3119" t="e">
        <f t="shared" ca="1" si="597"/>
        <v>#N/A</v>
      </c>
      <c r="H3119" t="e">
        <f t="shared" ca="1" si="598"/>
        <v>#N/A</v>
      </c>
      <c r="I3119" t="e">
        <f t="shared" ca="1" si="599"/>
        <v>#N/A</v>
      </c>
      <c r="J3119" s="8" t="e">
        <f t="shared" ca="1" si="600"/>
        <v>#N/A</v>
      </c>
      <c r="K3119" s="9" t="e">
        <f t="shared" ca="1" si="601"/>
        <v>#N/A</v>
      </c>
      <c r="L3119" t="e">
        <f ca="1">+_xlfn.IFNA(VLOOKUP(M3119,BespokeWindowsAreas!$B$2:$E$1999,4,FALSE),VLOOKUP(E3119,WindowTypeArea!$B$2:$C$113,2,FALSE))</f>
        <v>#N/A</v>
      </c>
      <c r="M3119" t="e">
        <f t="shared" ca="1" si="604"/>
        <v>#N/A</v>
      </c>
    </row>
    <row r="3120" spans="1:13" x14ac:dyDescent="0.25">
      <c r="A3120" t="e">
        <f t="shared" ca="1" si="602"/>
        <v>#N/A</v>
      </c>
      <c r="B3120" t="e">
        <f t="shared" ca="1" si="603"/>
        <v>#N/A</v>
      </c>
      <c r="C3120" t="e">
        <f t="shared" ca="1" si="593"/>
        <v>#N/A</v>
      </c>
      <c r="D3120" s="6" t="e">
        <f t="shared" ca="1" si="594"/>
        <v>#N/A</v>
      </c>
      <c r="E3120" t="e">
        <f t="shared" ca="1" si="595"/>
        <v>#N/A</v>
      </c>
      <c r="F3120" t="e">
        <f t="shared" ca="1" si="596"/>
        <v>#N/A</v>
      </c>
      <c r="G3120" t="e">
        <f t="shared" ca="1" si="597"/>
        <v>#N/A</v>
      </c>
      <c r="H3120" t="e">
        <f t="shared" ca="1" si="598"/>
        <v>#N/A</v>
      </c>
      <c r="I3120" t="e">
        <f t="shared" ca="1" si="599"/>
        <v>#N/A</v>
      </c>
      <c r="J3120" s="8" t="e">
        <f t="shared" ca="1" si="600"/>
        <v>#N/A</v>
      </c>
      <c r="K3120" s="9" t="e">
        <f t="shared" ca="1" si="601"/>
        <v>#N/A</v>
      </c>
      <c r="L3120" t="e">
        <f ca="1">+_xlfn.IFNA(VLOOKUP(M3120,BespokeWindowsAreas!$B$2:$E$1999,4,FALSE),VLOOKUP(E3120,WindowTypeArea!$B$2:$C$113,2,FALSE))</f>
        <v>#N/A</v>
      </c>
      <c r="M3120" t="e">
        <f t="shared" ca="1" si="604"/>
        <v>#N/A</v>
      </c>
    </row>
    <row r="3121" spans="1:13" x14ac:dyDescent="0.25">
      <c r="A3121" t="e">
        <f t="shared" ca="1" si="602"/>
        <v>#N/A</v>
      </c>
      <c r="B3121" t="e">
        <f t="shared" ca="1" si="603"/>
        <v>#N/A</v>
      </c>
      <c r="C3121" t="e">
        <f t="shared" ca="1" si="593"/>
        <v>#N/A</v>
      </c>
      <c r="D3121" s="6" t="e">
        <f t="shared" ca="1" si="594"/>
        <v>#N/A</v>
      </c>
      <c r="E3121" t="e">
        <f t="shared" ca="1" si="595"/>
        <v>#N/A</v>
      </c>
      <c r="F3121" t="e">
        <f t="shared" ca="1" si="596"/>
        <v>#N/A</v>
      </c>
      <c r="G3121" t="e">
        <f t="shared" ca="1" si="597"/>
        <v>#N/A</v>
      </c>
      <c r="H3121" t="e">
        <f t="shared" ca="1" si="598"/>
        <v>#N/A</v>
      </c>
      <c r="I3121" t="e">
        <f t="shared" ca="1" si="599"/>
        <v>#N/A</v>
      </c>
      <c r="J3121" s="8" t="e">
        <f t="shared" ca="1" si="600"/>
        <v>#N/A</v>
      </c>
      <c r="K3121" s="9" t="e">
        <f t="shared" ca="1" si="601"/>
        <v>#N/A</v>
      </c>
      <c r="L3121" t="e">
        <f ca="1">+_xlfn.IFNA(VLOOKUP(M3121,BespokeWindowsAreas!$B$2:$E$1999,4,FALSE),VLOOKUP(E3121,WindowTypeArea!$B$2:$C$113,2,FALSE))</f>
        <v>#N/A</v>
      </c>
      <c r="M3121" t="e">
        <f t="shared" ca="1" si="604"/>
        <v>#N/A</v>
      </c>
    </row>
    <row r="3122" spans="1:13" x14ac:dyDescent="0.25">
      <c r="A3122" t="e">
        <f t="shared" ca="1" si="602"/>
        <v>#N/A</v>
      </c>
      <c r="B3122" t="e">
        <f t="shared" ca="1" si="603"/>
        <v>#N/A</v>
      </c>
      <c r="C3122" t="e">
        <f t="shared" ca="1" si="593"/>
        <v>#N/A</v>
      </c>
      <c r="D3122" s="6" t="e">
        <f t="shared" ca="1" si="594"/>
        <v>#N/A</v>
      </c>
      <c r="E3122" t="e">
        <f t="shared" ca="1" si="595"/>
        <v>#N/A</v>
      </c>
      <c r="F3122" t="e">
        <f t="shared" ca="1" si="596"/>
        <v>#N/A</v>
      </c>
      <c r="G3122" t="e">
        <f t="shared" ca="1" si="597"/>
        <v>#N/A</v>
      </c>
      <c r="H3122" t="e">
        <f t="shared" ca="1" si="598"/>
        <v>#N/A</v>
      </c>
      <c r="I3122" t="e">
        <f t="shared" ca="1" si="599"/>
        <v>#N/A</v>
      </c>
      <c r="J3122" s="8" t="e">
        <f t="shared" ca="1" si="600"/>
        <v>#N/A</v>
      </c>
      <c r="K3122" s="9" t="e">
        <f t="shared" ca="1" si="601"/>
        <v>#N/A</v>
      </c>
      <c r="L3122" t="e">
        <f ca="1">+_xlfn.IFNA(VLOOKUP(M3122,BespokeWindowsAreas!$B$2:$E$1999,4,FALSE),VLOOKUP(E3122,WindowTypeArea!$B$2:$C$113,2,FALSE))</f>
        <v>#N/A</v>
      </c>
      <c r="M3122" t="e">
        <f t="shared" ca="1" si="604"/>
        <v>#N/A</v>
      </c>
    </row>
    <row r="3123" spans="1:13" x14ac:dyDescent="0.25">
      <c r="A3123" t="e">
        <f t="shared" ca="1" si="602"/>
        <v>#N/A</v>
      </c>
      <c r="B3123" t="e">
        <f t="shared" ca="1" si="603"/>
        <v>#N/A</v>
      </c>
      <c r="C3123" t="e">
        <f t="shared" ca="1" si="593"/>
        <v>#N/A</v>
      </c>
      <c r="D3123" s="6" t="e">
        <f t="shared" ca="1" si="594"/>
        <v>#N/A</v>
      </c>
      <c r="E3123" t="e">
        <f t="shared" ca="1" si="595"/>
        <v>#N/A</v>
      </c>
      <c r="F3123" t="e">
        <f t="shared" ca="1" si="596"/>
        <v>#N/A</v>
      </c>
      <c r="G3123" t="e">
        <f t="shared" ca="1" si="597"/>
        <v>#N/A</v>
      </c>
      <c r="H3123" t="e">
        <f t="shared" ca="1" si="598"/>
        <v>#N/A</v>
      </c>
      <c r="I3123" t="e">
        <f t="shared" ca="1" si="599"/>
        <v>#N/A</v>
      </c>
      <c r="J3123" s="8" t="e">
        <f t="shared" ca="1" si="600"/>
        <v>#N/A</v>
      </c>
      <c r="K3123" s="9" t="e">
        <f t="shared" ca="1" si="601"/>
        <v>#N/A</v>
      </c>
      <c r="L3123" t="e">
        <f ca="1">+_xlfn.IFNA(VLOOKUP(M3123,BespokeWindowsAreas!$B$2:$E$1999,4,FALSE),VLOOKUP(E3123,WindowTypeArea!$B$2:$C$113,2,FALSE))</f>
        <v>#N/A</v>
      </c>
      <c r="M3123" t="e">
        <f t="shared" ca="1" si="604"/>
        <v>#N/A</v>
      </c>
    </row>
    <row r="3124" spans="1:13" x14ac:dyDescent="0.25">
      <c r="A3124" t="e">
        <f t="shared" ca="1" si="602"/>
        <v>#N/A</v>
      </c>
      <c r="B3124" t="e">
        <f t="shared" ca="1" si="603"/>
        <v>#N/A</v>
      </c>
      <c r="C3124" t="e">
        <f t="shared" ca="1" si="593"/>
        <v>#N/A</v>
      </c>
      <c r="D3124" s="6" t="e">
        <f t="shared" ca="1" si="594"/>
        <v>#N/A</v>
      </c>
      <c r="E3124" t="e">
        <f t="shared" ca="1" si="595"/>
        <v>#N/A</v>
      </c>
      <c r="F3124" t="e">
        <f t="shared" ca="1" si="596"/>
        <v>#N/A</v>
      </c>
      <c r="G3124" t="e">
        <f t="shared" ca="1" si="597"/>
        <v>#N/A</v>
      </c>
      <c r="H3124" t="e">
        <f t="shared" ca="1" si="598"/>
        <v>#N/A</v>
      </c>
      <c r="I3124" t="e">
        <f t="shared" ca="1" si="599"/>
        <v>#N/A</v>
      </c>
      <c r="J3124" s="8" t="e">
        <f t="shared" ca="1" si="600"/>
        <v>#N/A</v>
      </c>
      <c r="K3124" s="9" t="e">
        <f t="shared" ca="1" si="601"/>
        <v>#N/A</v>
      </c>
      <c r="L3124" t="e">
        <f ca="1">+_xlfn.IFNA(VLOOKUP(M3124,BespokeWindowsAreas!$B$2:$E$1999,4,FALSE),VLOOKUP(E3124,WindowTypeArea!$B$2:$C$113,2,FALSE))</f>
        <v>#N/A</v>
      </c>
      <c r="M3124" t="e">
        <f t="shared" ca="1" si="604"/>
        <v>#N/A</v>
      </c>
    </row>
    <row r="3125" spans="1:13" x14ac:dyDescent="0.25">
      <c r="A3125" t="e">
        <f t="shared" ca="1" si="602"/>
        <v>#N/A</v>
      </c>
      <c r="B3125" t="e">
        <f t="shared" ca="1" si="603"/>
        <v>#N/A</v>
      </c>
      <c r="C3125" t="e">
        <f t="shared" ca="1" si="593"/>
        <v>#N/A</v>
      </c>
      <c r="D3125" s="6" t="e">
        <f t="shared" ca="1" si="594"/>
        <v>#N/A</v>
      </c>
      <c r="E3125" t="e">
        <f t="shared" ca="1" si="595"/>
        <v>#N/A</v>
      </c>
      <c r="F3125" t="e">
        <f t="shared" ca="1" si="596"/>
        <v>#N/A</v>
      </c>
      <c r="G3125" t="e">
        <f t="shared" ca="1" si="597"/>
        <v>#N/A</v>
      </c>
      <c r="H3125" t="e">
        <f t="shared" ca="1" si="598"/>
        <v>#N/A</v>
      </c>
      <c r="I3125" t="e">
        <f t="shared" ca="1" si="599"/>
        <v>#N/A</v>
      </c>
      <c r="J3125" s="8" t="e">
        <f t="shared" ca="1" si="600"/>
        <v>#N/A</v>
      </c>
      <c r="K3125" s="9" t="e">
        <f t="shared" ca="1" si="601"/>
        <v>#N/A</v>
      </c>
      <c r="L3125" t="e">
        <f ca="1">+_xlfn.IFNA(VLOOKUP(M3125,BespokeWindowsAreas!$B$2:$E$1999,4,FALSE),VLOOKUP(E3125,WindowTypeArea!$B$2:$C$113,2,FALSE))</f>
        <v>#N/A</v>
      </c>
      <c r="M3125" t="e">
        <f t="shared" ca="1" si="604"/>
        <v>#N/A</v>
      </c>
    </row>
    <row r="3126" spans="1:13" x14ac:dyDescent="0.25">
      <c r="A3126" t="e">
        <f t="shared" ca="1" si="602"/>
        <v>#N/A</v>
      </c>
      <c r="B3126" t="e">
        <f t="shared" ca="1" si="603"/>
        <v>#N/A</v>
      </c>
      <c r="C3126" t="e">
        <f t="shared" ca="1" si="593"/>
        <v>#N/A</v>
      </c>
      <c r="D3126" s="6" t="e">
        <f t="shared" ca="1" si="594"/>
        <v>#N/A</v>
      </c>
      <c r="E3126" t="e">
        <f t="shared" ca="1" si="595"/>
        <v>#N/A</v>
      </c>
      <c r="F3126" t="e">
        <f t="shared" ca="1" si="596"/>
        <v>#N/A</v>
      </c>
      <c r="G3126" t="e">
        <f t="shared" ca="1" si="597"/>
        <v>#N/A</v>
      </c>
      <c r="H3126" t="e">
        <f t="shared" ca="1" si="598"/>
        <v>#N/A</v>
      </c>
      <c r="I3126" t="e">
        <f t="shared" ca="1" si="599"/>
        <v>#N/A</v>
      </c>
      <c r="J3126" s="8" t="e">
        <f t="shared" ca="1" si="600"/>
        <v>#N/A</v>
      </c>
      <c r="K3126" s="9" t="e">
        <f t="shared" ca="1" si="601"/>
        <v>#N/A</v>
      </c>
      <c r="L3126" t="e">
        <f ca="1">+_xlfn.IFNA(VLOOKUP(M3126,BespokeWindowsAreas!$B$2:$E$1999,4,FALSE),VLOOKUP(E3126,WindowTypeArea!$B$2:$C$113,2,FALSE))</f>
        <v>#N/A</v>
      </c>
      <c r="M3126" t="e">
        <f t="shared" ca="1" si="604"/>
        <v>#N/A</v>
      </c>
    </row>
    <row r="3127" spans="1:13" x14ac:dyDescent="0.25">
      <c r="A3127" t="e">
        <f t="shared" ca="1" si="602"/>
        <v>#N/A</v>
      </c>
      <c r="B3127" t="e">
        <f t="shared" ca="1" si="603"/>
        <v>#N/A</v>
      </c>
      <c r="C3127" t="e">
        <f t="shared" ca="1" si="593"/>
        <v>#N/A</v>
      </c>
      <c r="D3127" s="6" t="e">
        <f t="shared" ca="1" si="594"/>
        <v>#N/A</v>
      </c>
      <c r="E3127" t="e">
        <f t="shared" ca="1" si="595"/>
        <v>#N/A</v>
      </c>
      <c r="F3127" t="e">
        <f t="shared" ca="1" si="596"/>
        <v>#N/A</v>
      </c>
      <c r="G3127" t="e">
        <f t="shared" ca="1" si="597"/>
        <v>#N/A</v>
      </c>
      <c r="H3127" t="e">
        <f t="shared" ca="1" si="598"/>
        <v>#N/A</v>
      </c>
      <c r="I3127" t="e">
        <f t="shared" ca="1" si="599"/>
        <v>#N/A</v>
      </c>
      <c r="J3127" s="8" t="e">
        <f t="shared" ca="1" si="600"/>
        <v>#N/A</v>
      </c>
      <c r="K3127" s="9" t="e">
        <f t="shared" ca="1" si="601"/>
        <v>#N/A</v>
      </c>
      <c r="L3127" t="e">
        <f ca="1">+_xlfn.IFNA(VLOOKUP(M3127,BespokeWindowsAreas!$B$2:$E$1999,4,FALSE),VLOOKUP(E3127,WindowTypeArea!$B$2:$C$113,2,FALSE))</f>
        <v>#N/A</v>
      </c>
      <c r="M3127" t="e">
        <f t="shared" ca="1" si="604"/>
        <v>#N/A</v>
      </c>
    </row>
    <row r="3128" spans="1:13" x14ac:dyDescent="0.25">
      <c r="A3128" t="e">
        <f t="shared" ca="1" si="602"/>
        <v>#N/A</v>
      </c>
      <c r="B3128" t="e">
        <f t="shared" ca="1" si="603"/>
        <v>#N/A</v>
      </c>
      <c r="C3128" t="e">
        <f t="shared" ca="1" si="593"/>
        <v>#N/A</v>
      </c>
      <c r="D3128" s="6" t="e">
        <f t="shared" ca="1" si="594"/>
        <v>#N/A</v>
      </c>
      <c r="E3128" t="e">
        <f t="shared" ca="1" si="595"/>
        <v>#N/A</v>
      </c>
      <c r="F3128" t="e">
        <f t="shared" ca="1" si="596"/>
        <v>#N/A</v>
      </c>
      <c r="G3128" t="e">
        <f t="shared" ca="1" si="597"/>
        <v>#N/A</v>
      </c>
      <c r="H3128" t="e">
        <f t="shared" ca="1" si="598"/>
        <v>#N/A</v>
      </c>
      <c r="I3128" t="e">
        <f t="shared" ca="1" si="599"/>
        <v>#N/A</v>
      </c>
      <c r="J3128" s="8" t="e">
        <f t="shared" ca="1" si="600"/>
        <v>#N/A</v>
      </c>
      <c r="K3128" s="9" t="e">
        <f t="shared" ca="1" si="601"/>
        <v>#N/A</v>
      </c>
      <c r="L3128" t="e">
        <f ca="1">+_xlfn.IFNA(VLOOKUP(M3128,BespokeWindowsAreas!$B$2:$E$1999,4,FALSE),VLOOKUP(E3128,WindowTypeArea!$B$2:$C$113,2,FALSE))</f>
        <v>#N/A</v>
      </c>
      <c r="M3128" t="e">
        <f t="shared" ca="1" si="604"/>
        <v>#N/A</v>
      </c>
    </row>
    <row r="3129" spans="1:13" x14ac:dyDescent="0.25">
      <c r="A3129" t="e">
        <f t="shared" ca="1" si="602"/>
        <v>#N/A</v>
      </c>
      <c r="B3129" t="e">
        <f t="shared" ca="1" si="603"/>
        <v>#N/A</v>
      </c>
      <c r="C3129" t="e">
        <f t="shared" ca="1" si="593"/>
        <v>#N/A</v>
      </c>
      <c r="D3129" s="6" t="e">
        <f t="shared" ca="1" si="594"/>
        <v>#N/A</v>
      </c>
      <c r="E3129" t="e">
        <f t="shared" ca="1" si="595"/>
        <v>#N/A</v>
      </c>
      <c r="F3129" t="e">
        <f t="shared" ca="1" si="596"/>
        <v>#N/A</v>
      </c>
      <c r="G3129" t="e">
        <f t="shared" ca="1" si="597"/>
        <v>#N/A</v>
      </c>
      <c r="H3129" t="e">
        <f t="shared" ca="1" si="598"/>
        <v>#N/A</v>
      </c>
      <c r="I3129" t="e">
        <f t="shared" ca="1" si="599"/>
        <v>#N/A</v>
      </c>
      <c r="J3129" s="8" t="e">
        <f t="shared" ca="1" si="600"/>
        <v>#N/A</v>
      </c>
      <c r="K3129" s="9" t="e">
        <f t="shared" ca="1" si="601"/>
        <v>#N/A</v>
      </c>
      <c r="L3129" t="e">
        <f ca="1">+_xlfn.IFNA(VLOOKUP(M3129,BespokeWindowsAreas!$B$2:$E$1999,4,FALSE),VLOOKUP(E3129,WindowTypeArea!$B$2:$C$113,2,FALSE))</f>
        <v>#N/A</v>
      </c>
      <c r="M3129" t="e">
        <f t="shared" ca="1" si="604"/>
        <v>#N/A</v>
      </c>
    </row>
    <row r="3130" spans="1:13" x14ac:dyDescent="0.25">
      <c r="A3130" t="e">
        <f t="shared" ca="1" si="602"/>
        <v>#N/A</v>
      </c>
      <c r="B3130" t="e">
        <f t="shared" ca="1" si="603"/>
        <v>#N/A</v>
      </c>
      <c r="C3130" t="e">
        <f t="shared" ca="1" si="593"/>
        <v>#N/A</v>
      </c>
      <c r="D3130" s="6" t="e">
        <f t="shared" ca="1" si="594"/>
        <v>#N/A</v>
      </c>
      <c r="E3130" t="e">
        <f t="shared" ca="1" si="595"/>
        <v>#N/A</v>
      </c>
      <c r="F3130" t="e">
        <f t="shared" ca="1" si="596"/>
        <v>#N/A</v>
      </c>
      <c r="G3130" t="e">
        <f t="shared" ca="1" si="597"/>
        <v>#N/A</v>
      </c>
      <c r="H3130" t="e">
        <f t="shared" ca="1" si="598"/>
        <v>#N/A</v>
      </c>
      <c r="I3130" t="e">
        <f t="shared" ca="1" si="599"/>
        <v>#N/A</v>
      </c>
      <c r="J3130" s="8" t="e">
        <f t="shared" ca="1" si="600"/>
        <v>#N/A</v>
      </c>
      <c r="K3130" s="9" t="e">
        <f t="shared" ca="1" si="601"/>
        <v>#N/A</v>
      </c>
      <c r="L3130" t="e">
        <f ca="1">+_xlfn.IFNA(VLOOKUP(M3130,BespokeWindowsAreas!$B$2:$E$1999,4,FALSE),VLOOKUP(E3130,WindowTypeArea!$B$2:$C$113,2,FALSE))</f>
        <v>#N/A</v>
      </c>
      <c r="M3130" t="e">
        <f t="shared" ca="1" si="604"/>
        <v>#N/A</v>
      </c>
    </row>
    <row r="3131" spans="1:13" x14ac:dyDescent="0.25">
      <c r="A3131" t="e">
        <f t="shared" ca="1" si="602"/>
        <v>#N/A</v>
      </c>
      <c r="B3131" t="e">
        <f t="shared" ca="1" si="603"/>
        <v>#N/A</v>
      </c>
      <c r="C3131" t="e">
        <f t="shared" ca="1" si="593"/>
        <v>#N/A</v>
      </c>
      <c r="D3131" s="6" t="e">
        <f t="shared" ca="1" si="594"/>
        <v>#N/A</v>
      </c>
      <c r="E3131" t="e">
        <f t="shared" ca="1" si="595"/>
        <v>#N/A</v>
      </c>
      <c r="F3131" t="e">
        <f t="shared" ca="1" si="596"/>
        <v>#N/A</v>
      </c>
      <c r="G3131" t="e">
        <f t="shared" ca="1" si="597"/>
        <v>#N/A</v>
      </c>
      <c r="H3131" t="e">
        <f t="shared" ca="1" si="598"/>
        <v>#N/A</v>
      </c>
      <c r="I3131" t="e">
        <f t="shared" ca="1" si="599"/>
        <v>#N/A</v>
      </c>
      <c r="J3131" s="8" t="e">
        <f t="shared" ca="1" si="600"/>
        <v>#N/A</v>
      </c>
      <c r="K3131" s="9" t="e">
        <f t="shared" ca="1" si="601"/>
        <v>#N/A</v>
      </c>
      <c r="L3131" t="e">
        <f ca="1">+_xlfn.IFNA(VLOOKUP(M3131,BespokeWindowsAreas!$B$2:$E$1999,4,FALSE),VLOOKUP(E3131,WindowTypeArea!$B$2:$C$113,2,FALSE))</f>
        <v>#N/A</v>
      </c>
      <c r="M3131" t="e">
        <f t="shared" ca="1" si="604"/>
        <v>#N/A</v>
      </c>
    </row>
    <row r="3132" spans="1:13" x14ac:dyDescent="0.25">
      <c r="A3132" t="e">
        <f t="shared" ca="1" si="602"/>
        <v>#N/A</v>
      </c>
      <c r="B3132" t="e">
        <f t="shared" ca="1" si="603"/>
        <v>#N/A</v>
      </c>
      <c r="C3132" t="e">
        <f t="shared" ca="1" si="593"/>
        <v>#N/A</v>
      </c>
      <c r="D3132" s="6" t="e">
        <f t="shared" ca="1" si="594"/>
        <v>#N/A</v>
      </c>
      <c r="E3132" t="e">
        <f t="shared" ca="1" si="595"/>
        <v>#N/A</v>
      </c>
      <c r="F3132" t="e">
        <f t="shared" ca="1" si="596"/>
        <v>#N/A</v>
      </c>
      <c r="G3132" t="e">
        <f t="shared" ca="1" si="597"/>
        <v>#N/A</v>
      </c>
      <c r="H3132" t="e">
        <f t="shared" ca="1" si="598"/>
        <v>#N/A</v>
      </c>
      <c r="I3132" t="e">
        <f t="shared" ca="1" si="599"/>
        <v>#N/A</v>
      </c>
      <c r="J3132" s="8" t="e">
        <f t="shared" ca="1" si="600"/>
        <v>#N/A</v>
      </c>
      <c r="K3132" s="9" t="e">
        <f t="shared" ca="1" si="601"/>
        <v>#N/A</v>
      </c>
      <c r="L3132" t="e">
        <f ca="1">+_xlfn.IFNA(VLOOKUP(M3132,BespokeWindowsAreas!$B$2:$E$1999,4,FALSE),VLOOKUP(E3132,WindowTypeArea!$B$2:$C$113,2,FALSE))</f>
        <v>#N/A</v>
      </c>
      <c r="M3132" t="e">
        <f t="shared" ca="1" si="604"/>
        <v>#N/A</v>
      </c>
    </row>
    <row r="3133" spans="1:13" x14ac:dyDescent="0.25">
      <c r="A3133" t="e">
        <f t="shared" ca="1" si="602"/>
        <v>#N/A</v>
      </c>
      <c r="B3133" t="e">
        <f t="shared" ca="1" si="603"/>
        <v>#N/A</v>
      </c>
      <c r="C3133" t="e">
        <f t="shared" ca="1" si="593"/>
        <v>#N/A</v>
      </c>
      <c r="D3133" s="6" t="e">
        <f t="shared" ca="1" si="594"/>
        <v>#N/A</v>
      </c>
      <c r="E3133" t="e">
        <f t="shared" ca="1" si="595"/>
        <v>#N/A</v>
      </c>
      <c r="F3133" t="e">
        <f t="shared" ca="1" si="596"/>
        <v>#N/A</v>
      </c>
      <c r="G3133" t="e">
        <f t="shared" ca="1" si="597"/>
        <v>#N/A</v>
      </c>
      <c r="H3133" t="e">
        <f t="shared" ca="1" si="598"/>
        <v>#N/A</v>
      </c>
      <c r="I3133" t="e">
        <f t="shared" ca="1" si="599"/>
        <v>#N/A</v>
      </c>
      <c r="J3133" s="8" t="e">
        <f t="shared" ca="1" si="600"/>
        <v>#N/A</v>
      </c>
      <c r="K3133" s="9" t="e">
        <f t="shared" ca="1" si="601"/>
        <v>#N/A</v>
      </c>
      <c r="L3133" t="e">
        <f ca="1">+_xlfn.IFNA(VLOOKUP(M3133,BespokeWindowsAreas!$B$2:$E$1999,4,FALSE),VLOOKUP(E3133,WindowTypeArea!$B$2:$C$113,2,FALSE))</f>
        <v>#N/A</v>
      </c>
      <c r="M3133" t="e">
        <f t="shared" ca="1" si="604"/>
        <v>#N/A</v>
      </c>
    </row>
    <row r="3134" spans="1:13" x14ac:dyDescent="0.25">
      <c r="A3134" t="e">
        <f t="shared" ca="1" si="602"/>
        <v>#N/A</v>
      </c>
      <c r="B3134" t="e">
        <f t="shared" ca="1" si="603"/>
        <v>#N/A</v>
      </c>
      <c r="C3134" t="e">
        <f t="shared" ca="1" si="593"/>
        <v>#N/A</v>
      </c>
      <c r="D3134" s="6" t="e">
        <f t="shared" ca="1" si="594"/>
        <v>#N/A</v>
      </c>
      <c r="E3134" t="e">
        <f t="shared" ca="1" si="595"/>
        <v>#N/A</v>
      </c>
      <c r="F3134" t="e">
        <f t="shared" ca="1" si="596"/>
        <v>#N/A</v>
      </c>
      <c r="G3134" t="e">
        <f t="shared" ca="1" si="597"/>
        <v>#N/A</v>
      </c>
      <c r="H3134" t="e">
        <f t="shared" ca="1" si="598"/>
        <v>#N/A</v>
      </c>
      <c r="I3134" t="e">
        <f t="shared" ca="1" si="599"/>
        <v>#N/A</v>
      </c>
      <c r="J3134" s="8" t="e">
        <f t="shared" ca="1" si="600"/>
        <v>#N/A</v>
      </c>
      <c r="K3134" s="9" t="e">
        <f t="shared" ca="1" si="601"/>
        <v>#N/A</v>
      </c>
      <c r="L3134" t="e">
        <f ca="1">+_xlfn.IFNA(VLOOKUP(M3134,BespokeWindowsAreas!$B$2:$E$1999,4,FALSE),VLOOKUP(E3134,WindowTypeArea!$B$2:$C$113,2,FALSE))</f>
        <v>#N/A</v>
      </c>
      <c r="M3134" t="e">
        <f t="shared" ca="1" si="604"/>
        <v>#N/A</v>
      </c>
    </row>
    <row r="3135" spans="1:13" x14ac:dyDescent="0.25">
      <c r="A3135" t="e">
        <f t="shared" ca="1" si="602"/>
        <v>#N/A</v>
      </c>
      <c r="B3135" t="e">
        <f t="shared" ca="1" si="603"/>
        <v>#N/A</v>
      </c>
      <c r="C3135" t="e">
        <f t="shared" ca="1" si="593"/>
        <v>#N/A</v>
      </c>
      <c r="D3135" s="6" t="e">
        <f t="shared" ca="1" si="594"/>
        <v>#N/A</v>
      </c>
      <c r="E3135" t="e">
        <f t="shared" ca="1" si="595"/>
        <v>#N/A</v>
      </c>
      <c r="F3135" t="e">
        <f t="shared" ca="1" si="596"/>
        <v>#N/A</v>
      </c>
      <c r="G3135" t="e">
        <f t="shared" ca="1" si="597"/>
        <v>#N/A</v>
      </c>
      <c r="H3135" t="e">
        <f t="shared" ca="1" si="598"/>
        <v>#N/A</v>
      </c>
      <c r="I3135" t="e">
        <f t="shared" ca="1" si="599"/>
        <v>#N/A</v>
      </c>
      <c r="J3135" s="8" t="e">
        <f t="shared" ca="1" si="600"/>
        <v>#N/A</v>
      </c>
      <c r="K3135" s="9" t="e">
        <f t="shared" ca="1" si="601"/>
        <v>#N/A</v>
      </c>
      <c r="L3135" t="e">
        <f ca="1">+_xlfn.IFNA(VLOOKUP(M3135,BespokeWindowsAreas!$B$2:$E$1999,4,FALSE),VLOOKUP(E3135,WindowTypeArea!$B$2:$C$113,2,FALSE))</f>
        <v>#N/A</v>
      </c>
      <c r="M3135" t="e">
        <f t="shared" ca="1" si="604"/>
        <v>#N/A</v>
      </c>
    </row>
    <row r="3136" spans="1:13" x14ac:dyDescent="0.25">
      <c r="A3136" t="e">
        <f t="shared" ca="1" si="602"/>
        <v>#N/A</v>
      </c>
      <c r="B3136" t="e">
        <f t="shared" ca="1" si="603"/>
        <v>#N/A</v>
      </c>
      <c r="C3136" t="e">
        <f t="shared" ca="1" si="593"/>
        <v>#N/A</v>
      </c>
      <c r="D3136" s="6" t="e">
        <f t="shared" ca="1" si="594"/>
        <v>#N/A</v>
      </c>
      <c r="E3136" t="e">
        <f t="shared" ca="1" si="595"/>
        <v>#N/A</v>
      </c>
      <c r="F3136" t="e">
        <f t="shared" ca="1" si="596"/>
        <v>#N/A</v>
      </c>
      <c r="G3136" t="e">
        <f t="shared" ca="1" si="597"/>
        <v>#N/A</v>
      </c>
      <c r="H3136" t="e">
        <f t="shared" ca="1" si="598"/>
        <v>#N/A</v>
      </c>
      <c r="I3136" t="e">
        <f t="shared" ca="1" si="599"/>
        <v>#N/A</v>
      </c>
      <c r="J3136" s="8" t="e">
        <f t="shared" ca="1" si="600"/>
        <v>#N/A</v>
      </c>
      <c r="K3136" s="9" t="e">
        <f t="shared" ca="1" si="601"/>
        <v>#N/A</v>
      </c>
      <c r="L3136" t="e">
        <f ca="1">+_xlfn.IFNA(VLOOKUP(M3136,BespokeWindowsAreas!$B$2:$E$1999,4,FALSE),VLOOKUP(E3136,WindowTypeArea!$B$2:$C$113,2,FALSE))</f>
        <v>#N/A</v>
      </c>
      <c r="M3136" t="e">
        <f t="shared" ca="1" si="604"/>
        <v>#N/A</v>
      </c>
    </row>
    <row r="3137" spans="1:13" x14ac:dyDescent="0.25">
      <c r="A3137" t="e">
        <f t="shared" ca="1" si="602"/>
        <v>#N/A</v>
      </c>
      <c r="B3137" t="e">
        <f t="shared" ca="1" si="603"/>
        <v>#N/A</v>
      </c>
      <c r="C3137" t="e">
        <f t="shared" ca="1" si="593"/>
        <v>#N/A</v>
      </c>
      <c r="D3137" s="6" t="e">
        <f t="shared" ca="1" si="594"/>
        <v>#N/A</v>
      </c>
      <c r="E3137" t="e">
        <f t="shared" ca="1" si="595"/>
        <v>#N/A</v>
      </c>
      <c r="F3137" t="e">
        <f t="shared" ca="1" si="596"/>
        <v>#N/A</v>
      </c>
      <c r="G3137" t="e">
        <f t="shared" ca="1" si="597"/>
        <v>#N/A</v>
      </c>
      <c r="H3137" t="e">
        <f t="shared" ca="1" si="598"/>
        <v>#N/A</v>
      </c>
      <c r="I3137" t="e">
        <f t="shared" ca="1" si="599"/>
        <v>#N/A</v>
      </c>
      <c r="J3137" s="8" t="e">
        <f t="shared" ca="1" si="600"/>
        <v>#N/A</v>
      </c>
      <c r="K3137" s="9" t="e">
        <f t="shared" ca="1" si="601"/>
        <v>#N/A</v>
      </c>
      <c r="L3137" t="e">
        <f ca="1">+_xlfn.IFNA(VLOOKUP(M3137,BespokeWindowsAreas!$B$2:$E$1999,4,FALSE),VLOOKUP(E3137,WindowTypeArea!$B$2:$C$113,2,FALSE))</f>
        <v>#N/A</v>
      </c>
      <c r="M3137" t="e">
        <f t="shared" ca="1" si="604"/>
        <v>#N/A</v>
      </c>
    </row>
    <row r="3138" spans="1:13" x14ac:dyDescent="0.25">
      <c r="A3138" t="e">
        <f t="shared" ca="1" si="602"/>
        <v>#N/A</v>
      </c>
      <c r="B3138" t="e">
        <f t="shared" ca="1" si="603"/>
        <v>#N/A</v>
      </c>
      <c r="C3138" t="e">
        <f t="shared" ca="1" si="593"/>
        <v>#N/A</v>
      </c>
      <c r="D3138" s="6" t="e">
        <f t="shared" ca="1" si="594"/>
        <v>#N/A</v>
      </c>
      <c r="E3138" t="e">
        <f t="shared" ca="1" si="595"/>
        <v>#N/A</v>
      </c>
      <c r="F3138" t="e">
        <f t="shared" ca="1" si="596"/>
        <v>#N/A</v>
      </c>
      <c r="G3138" t="e">
        <f t="shared" ca="1" si="597"/>
        <v>#N/A</v>
      </c>
      <c r="H3138" t="e">
        <f t="shared" ca="1" si="598"/>
        <v>#N/A</v>
      </c>
      <c r="I3138" t="e">
        <f t="shared" ca="1" si="599"/>
        <v>#N/A</v>
      </c>
      <c r="J3138" s="8" t="e">
        <f t="shared" ca="1" si="600"/>
        <v>#N/A</v>
      </c>
      <c r="K3138" s="9" t="e">
        <f t="shared" ca="1" si="601"/>
        <v>#N/A</v>
      </c>
      <c r="L3138" t="e">
        <f ca="1">+_xlfn.IFNA(VLOOKUP(M3138,BespokeWindowsAreas!$B$2:$E$1999,4,FALSE),VLOOKUP(E3138,WindowTypeArea!$B$2:$C$113,2,FALSE))</f>
        <v>#N/A</v>
      </c>
      <c r="M3138" t="e">
        <f t="shared" ca="1" si="604"/>
        <v>#N/A</v>
      </c>
    </row>
    <row r="3139" spans="1:13" x14ac:dyDescent="0.25">
      <c r="A3139" t="e">
        <f t="shared" ca="1" si="602"/>
        <v>#N/A</v>
      </c>
      <c r="B3139" t="e">
        <f t="shared" ca="1" si="603"/>
        <v>#N/A</v>
      </c>
      <c r="C3139" t="e">
        <f t="shared" ca="1" si="593"/>
        <v>#N/A</v>
      </c>
      <c r="D3139" s="6" t="e">
        <f t="shared" ca="1" si="594"/>
        <v>#N/A</v>
      </c>
      <c r="E3139" t="e">
        <f t="shared" ca="1" si="595"/>
        <v>#N/A</v>
      </c>
      <c r="F3139" t="e">
        <f t="shared" ca="1" si="596"/>
        <v>#N/A</v>
      </c>
      <c r="G3139" t="e">
        <f t="shared" ca="1" si="597"/>
        <v>#N/A</v>
      </c>
      <c r="H3139" t="e">
        <f t="shared" ca="1" si="598"/>
        <v>#N/A</v>
      </c>
      <c r="I3139" t="e">
        <f t="shared" ca="1" si="599"/>
        <v>#N/A</v>
      </c>
      <c r="J3139" s="8" t="e">
        <f t="shared" ca="1" si="600"/>
        <v>#N/A</v>
      </c>
      <c r="K3139" s="9" t="e">
        <f t="shared" ca="1" si="601"/>
        <v>#N/A</v>
      </c>
      <c r="L3139" t="e">
        <f ca="1">+_xlfn.IFNA(VLOOKUP(M3139,BespokeWindowsAreas!$B$2:$E$1999,4,FALSE),VLOOKUP(E3139,WindowTypeArea!$B$2:$C$113,2,FALSE))</f>
        <v>#N/A</v>
      </c>
      <c r="M3139" t="e">
        <f t="shared" ca="1" si="604"/>
        <v>#N/A</v>
      </c>
    </row>
    <row r="3140" spans="1:13" x14ac:dyDescent="0.25">
      <c r="A3140" t="e">
        <f t="shared" ca="1" si="602"/>
        <v>#N/A</v>
      </c>
      <c r="B3140" t="e">
        <f t="shared" ca="1" si="603"/>
        <v>#N/A</v>
      </c>
      <c r="C3140" t="e">
        <f t="shared" ca="1" si="593"/>
        <v>#N/A</v>
      </c>
      <c r="D3140" s="6" t="e">
        <f t="shared" ca="1" si="594"/>
        <v>#N/A</v>
      </c>
      <c r="E3140" t="e">
        <f t="shared" ca="1" si="595"/>
        <v>#N/A</v>
      </c>
      <c r="F3140" t="e">
        <f t="shared" ca="1" si="596"/>
        <v>#N/A</v>
      </c>
      <c r="G3140" t="e">
        <f t="shared" ca="1" si="597"/>
        <v>#N/A</v>
      </c>
      <c r="H3140" t="e">
        <f t="shared" ca="1" si="598"/>
        <v>#N/A</v>
      </c>
      <c r="I3140" t="e">
        <f t="shared" ca="1" si="599"/>
        <v>#N/A</v>
      </c>
      <c r="J3140" s="8" t="e">
        <f t="shared" ca="1" si="600"/>
        <v>#N/A</v>
      </c>
      <c r="K3140" s="9" t="e">
        <f t="shared" ca="1" si="601"/>
        <v>#N/A</v>
      </c>
      <c r="L3140" t="e">
        <f ca="1">+_xlfn.IFNA(VLOOKUP(M3140,BespokeWindowsAreas!$B$2:$E$1999,4,FALSE),VLOOKUP(E3140,WindowTypeArea!$B$2:$C$113,2,FALSE))</f>
        <v>#N/A</v>
      </c>
      <c r="M3140" t="e">
        <f t="shared" ca="1" si="604"/>
        <v>#N/A</v>
      </c>
    </row>
    <row r="3141" spans="1:13" x14ac:dyDescent="0.25">
      <c r="A3141" t="e">
        <f t="shared" ca="1" si="602"/>
        <v>#N/A</v>
      </c>
      <c r="B3141" t="e">
        <f t="shared" ca="1" si="603"/>
        <v>#N/A</v>
      </c>
      <c r="C3141" t="e">
        <f t="shared" ca="1" si="593"/>
        <v>#N/A</v>
      </c>
      <c r="D3141" s="6" t="e">
        <f t="shared" ca="1" si="594"/>
        <v>#N/A</v>
      </c>
      <c r="E3141" t="e">
        <f t="shared" ca="1" si="595"/>
        <v>#N/A</v>
      </c>
      <c r="F3141" t="e">
        <f t="shared" ca="1" si="596"/>
        <v>#N/A</v>
      </c>
      <c r="G3141" t="e">
        <f t="shared" ca="1" si="597"/>
        <v>#N/A</v>
      </c>
      <c r="H3141" t="e">
        <f t="shared" ca="1" si="598"/>
        <v>#N/A</v>
      </c>
      <c r="I3141" t="e">
        <f t="shared" ca="1" si="599"/>
        <v>#N/A</v>
      </c>
      <c r="J3141" s="8" t="e">
        <f t="shared" ca="1" si="600"/>
        <v>#N/A</v>
      </c>
      <c r="K3141" s="9" t="e">
        <f t="shared" ca="1" si="601"/>
        <v>#N/A</v>
      </c>
      <c r="L3141" t="e">
        <f ca="1">+_xlfn.IFNA(VLOOKUP(M3141,BespokeWindowsAreas!$B$2:$E$1999,4,FALSE),VLOOKUP(E3141,WindowTypeArea!$B$2:$C$113,2,FALSE))</f>
        <v>#N/A</v>
      </c>
      <c r="M3141" t="e">
        <f t="shared" ca="1" si="604"/>
        <v>#N/A</v>
      </c>
    </row>
    <row r="3142" spans="1:13" x14ac:dyDescent="0.25">
      <c r="A3142" t="e">
        <f t="shared" ca="1" si="602"/>
        <v>#N/A</v>
      </c>
      <c r="B3142" t="e">
        <f t="shared" ca="1" si="603"/>
        <v>#N/A</v>
      </c>
      <c r="C3142" t="e">
        <f t="shared" ca="1" si="593"/>
        <v>#N/A</v>
      </c>
      <c r="D3142" s="6" t="e">
        <f t="shared" ca="1" si="594"/>
        <v>#N/A</v>
      </c>
      <c r="E3142" t="e">
        <f t="shared" ca="1" si="595"/>
        <v>#N/A</v>
      </c>
      <c r="F3142" t="e">
        <f t="shared" ca="1" si="596"/>
        <v>#N/A</v>
      </c>
      <c r="G3142" t="e">
        <f t="shared" ca="1" si="597"/>
        <v>#N/A</v>
      </c>
      <c r="H3142" t="e">
        <f t="shared" ca="1" si="598"/>
        <v>#N/A</v>
      </c>
      <c r="I3142" t="e">
        <f t="shared" ca="1" si="599"/>
        <v>#N/A</v>
      </c>
      <c r="J3142" s="8" t="e">
        <f t="shared" ca="1" si="600"/>
        <v>#N/A</v>
      </c>
      <c r="K3142" s="9" t="e">
        <f t="shared" ca="1" si="601"/>
        <v>#N/A</v>
      </c>
      <c r="L3142" t="e">
        <f ca="1">+_xlfn.IFNA(VLOOKUP(M3142,BespokeWindowsAreas!$B$2:$E$1999,4,FALSE),VLOOKUP(E3142,WindowTypeArea!$B$2:$C$113,2,FALSE))</f>
        <v>#N/A</v>
      </c>
      <c r="M3142" t="e">
        <f t="shared" ca="1" si="604"/>
        <v>#N/A</v>
      </c>
    </row>
    <row r="3143" spans="1:13" x14ac:dyDescent="0.25">
      <c r="A3143" t="e">
        <f t="shared" ca="1" si="602"/>
        <v>#N/A</v>
      </c>
      <c r="B3143" t="e">
        <f t="shared" ca="1" si="603"/>
        <v>#N/A</v>
      </c>
      <c r="C3143" t="e">
        <f t="shared" ca="1" si="593"/>
        <v>#N/A</v>
      </c>
      <c r="D3143" s="6" t="e">
        <f t="shared" ca="1" si="594"/>
        <v>#N/A</v>
      </c>
      <c r="E3143" t="e">
        <f t="shared" ca="1" si="595"/>
        <v>#N/A</v>
      </c>
      <c r="F3143" t="e">
        <f t="shared" ca="1" si="596"/>
        <v>#N/A</v>
      </c>
      <c r="G3143" t="e">
        <f t="shared" ca="1" si="597"/>
        <v>#N/A</v>
      </c>
      <c r="H3143" t="e">
        <f t="shared" ca="1" si="598"/>
        <v>#N/A</v>
      </c>
      <c r="I3143" t="e">
        <f t="shared" ca="1" si="599"/>
        <v>#N/A</v>
      </c>
      <c r="J3143" s="8" t="e">
        <f t="shared" ca="1" si="600"/>
        <v>#N/A</v>
      </c>
      <c r="K3143" s="9" t="e">
        <f t="shared" ca="1" si="601"/>
        <v>#N/A</v>
      </c>
      <c r="L3143" t="e">
        <f ca="1">+_xlfn.IFNA(VLOOKUP(M3143,BespokeWindowsAreas!$B$2:$E$1999,4,FALSE),VLOOKUP(E3143,WindowTypeArea!$B$2:$C$113,2,FALSE))</f>
        <v>#N/A</v>
      </c>
      <c r="M3143" t="e">
        <f t="shared" ca="1" si="604"/>
        <v>#N/A</v>
      </c>
    </row>
    <row r="3144" spans="1:13" x14ac:dyDescent="0.25">
      <c r="A3144" t="e">
        <f t="shared" ca="1" si="602"/>
        <v>#N/A</v>
      </c>
      <c r="B3144" t="e">
        <f t="shared" ca="1" si="603"/>
        <v>#N/A</v>
      </c>
      <c r="C3144" t="e">
        <f t="shared" ca="1" si="593"/>
        <v>#N/A</v>
      </c>
      <c r="D3144" s="6" t="e">
        <f t="shared" ca="1" si="594"/>
        <v>#N/A</v>
      </c>
      <c r="E3144" t="e">
        <f t="shared" ca="1" si="595"/>
        <v>#N/A</v>
      </c>
      <c r="F3144" t="e">
        <f t="shared" ca="1" si="596"/>
        <v>#N/A</v>
      </c>
      <c r="G3144" t="e">
        <f t="shared" ca="1" si="597"/>
        <v>#N/A</v>
      </c>
      <c r="H3144" t="e">
        <f t="shared" ca="1" si="598"/>
        <v>#N/A</v>
      </c>
      <c r="I3144" t="e">
        <f t="shared" ca="1" si="599"/>
        <v>#N/A</v>
      </c>
      <c r="J3144" s="8" t="e">
        <f t="shared" ca="1" si="600"/>
        <v>#N/A</v>
      </c>
      <c r="K3144" s="9" t="e">
        <f t="shared" ca="1" si="601"/>
        <v>#N/A</v>
      </c>
      <c r="L3144" t="e">
        <f ca="1">+_xlfn.IFNA(VLOOKUP(M3144,BespokeWindowsAreas!$B$2:$E$1999,4,FALSE),VLOOKUP(E3144,WindowTypeArea!$B$2:$C$113,2,FALSE))</f>
        <v>#N/A</v>
      </c>
      <c r="M3144" t="e">
        <f t="shared" ca="1" si="604"/>
        <v>#N/A</v>
      </c>
    </row>
    <row r="3145" spans="1:13" x14ac:dyDescent="0.25">
      <c r="A3145" t="e">
        <f t="shared" ca="1" si="602"/>
        <v>#N/A</v>
      </c>
      <c r="B3145" t="e">
        <f t="shared" ca="1" si="603"/>
        <v>#N/A</v>
      </c>
      <c r="C3145" t="e">
        <f t="shared" ref="C3145:C3208" ca="1" si="605">+"'"&amp;INDIRECT("a"&amp;A3144)&amp;"'!B"&amp;B3144</f>
        <v>#N/A</v>
      </c>
      <c r="D3145" s="6" t="e">
        <f t="shared" ref="D3145:D3208" ca="1" si="606">+IF(IFERROR(FIND("Family",E3145)&gt;0,FALSE),D3144,E3145)</f>
        <v>#N/A</v>
      </c>
      <c r="E3145" t="e">
        <f t="shared" ref="E3145:E3208" ca="1" si="607">+OFFSET(INDIRECT(C3145),0,0)</f>
        <v>#N/A</v>
      </c>
      <c r="F3145" t="e">
        <f t="shared" ref="F3145:F3208" ca="1" si="608">+OFFSET(INDIRECT(C3145),0,1)</f>
        <v>#N/A</v>
      </c>
      <c r="G3145" t="e">
        <f t="shared" ref="G3145:G3208" ca="1" si="609">+OFFSET(INDIRECT(C3145),0,2)</f>
        <v>#N/A</v>
      </c>
      <c r="H3145" t="e">
        <f t="shared" ref="H3145:H3208" ca="1" si="610">+OFFSET(INDIRECT(C3145),0,3)</f>
        <v>#N/A</v>
      </c>
      <c r="I3145" t="e">
        <f t="shared" ref="I3145:I3208" ca="1" si="611">+OFFSET(INDIRECT(C3145),0,4)</f>
        <v>#N/A</v>
      </c>
      <c r="J3145" s="8" t="e">
        <f t="shared" ref="J3145:J3208" ca="1" si="612">+DEGREES(ATAN2(G3145,H3145))</f>
        <v>#N/A</v>
      </c>
      <c r="K3145" s="9" t="e">
        <f t="shared" ref="K3145:K3208" ca="1" si="613">VLOOKUP(J3145,$O$20:$P$36,2,-1)</f>
        <v>#N/A</v>
      </c>
      <c r="L3145" t="e">
        <f ca="1">+_xlfn.IFNA(VLOOKUP(M3145,BespokeWindowsAreas!$B$2:$E$1999,4,FALSE),VLOOKUP(E3145,WindowTypeArea!$B$2:$C$113,2,FALSE))</f>
        <v>#N/A</v>
      </c>
      <c r="M3145" t="e">
        <f t="shared" ca="1" si="604"/>
        <v>#N/A</v>
      </c>
    </row>
    <row r="3146" spans="1:13" x14ac:dyDescent="0.25">
      <c r="A3146" t="e">
        <f t="shared" ca="1" si="602"/>
        <v>#N/A</v>
      </c>
      <c r="B3146" t="e">
        <f t="shared" ca="1" si="603"/>
        <v>#N/A</v>
      </c>
      <c r="C3146" t="e">
        <f t="shared" ca="1" si="605"/>
        <v>#N/A</v>
      </c>
      <c r="D3146" s="6" t="e">
        <f t="shared" ca="1" si="606"/>
        <v>#N/A</v>
      </c>
      <c r="E3146" t="e">
        <f t="shared" ca="1" si="607"/>
        <v>#N/A</v>
      </c>
      <c r="F3146" t="e">
        <f t="shared" ca="1" si="608"/>
        <v>#N/A</v>
      </c>
      <c r="G3146" t="e">
        <f t="shared" ca="1" si="609"/>
        <v>#N/A</v>
      </c>
      <c r="H3146" t="e">
        <f t="shared" ca="1" si="610"/>
        <v>#N/A</v>
      </c>
      <c r="I3146" t="e">
        <f t="shared" ca="1" si="611"/>
        <v>#N/A</v>
      </c>
      <c r="J3146" s="8" t="e">
        <f t="shared" ca="1" si="612"/>
        <v>#N/A</v>
      </c>
      <c r="K3146" s="9" t="e">
        <f t="shared" ca="1" si="613"/>
        <v>#N/A</v>
      </c>
      <c r="L3146" t="e">
        <f ca="1">+_xlfn.IFNA(VLOOKUP(M3146,BespokeWindowsAreas!$B$2:$E$1999,4,FALSE),VLOOKUP(E3146,WindowTypeArea!$B$2:$C$113,2,FALSE))</f>
        <v>#N/A</v>
      </c>
      <c r="M3146" t="e">
        <f t="shared" ca="1" si="604"/>
        <v>#N/A</v>
      </c>
    </row>
    <row r="3147" spans="1:13" x14ac:dyDescent="0.25">
      <c r="A3147" t="e">
        <f t="shared" ca="1" si="602"/>
        <v>#N/A</v>
      </c>
      <c r="B3147" t="e">
        <f t="shared" ca="1" si="603"/>
        <v>#N/A</v>
      </c>
      <c r="C3147" t="e">
        <f t="shared" ca="1" si="605"/>
        <v>#N/A</v>
      </c>
      <c r="D3147" s="6" t="e">
        <f t="shared" ca="1" si="606"/>
        <v>#N/A</v>
      </c>
      <c r="E3147" t="e">
        <f t="shared" ca="1" si="607"/>
        <v>#N/A</v>
      </c>
      <c r="F3147" t="e">
        <f t="shared" ca="1" si="608"/>
        <v>#N/A</v>
      </c>
      <c r="G3147" t="e">
        <f t="shared" ca="1" si="609"/>
        <v>#N/A</v>
      </c>
      <c r="H3147" t="e">
        <f t="shared" ca="1" si="610"/>
        <v>#N/A</v>
      </c>
      <c r="I3147" t="e">
        <f t="shared" ca="1" si="611"/>
        <v>#N/A</v>
      </c>
      <c r="J3147" s="8" t="e">
        <f t="shared" ca="1" si="612"/>
        <v>#N/A</v>
      </c>
      <c r="K3147" s="9" t="e">
        <f t="shared" ca="1" si="613"/>
        <v>#N/A</v>
      </c>
      <c r="L3147" t="e">
        <f ca="1">+_xlfn.IFNA(VLOOKUP(M3147,BespokeWindowsAreas!$B$2:$E$1999,4,FALSE),VLOOKUP(E3147,WindowTypeArea!$B$2:$C$113,2,FALSE))</f>
        <v>#N/A</v>
      </c>
      <c r="M3147" t="e">
        <f t="shared" ca="1" si="604"/>
        <v>#N/A</v>
      </c>
    </row>
    <row r="3148" spans="1:13" x14ac:dyDescent="0.25">
      <c r="A3148" t="e">
        <f t="shared" ca="1" si="602"/>
        <v>#N/A</v>
      </c>
      <c r="B3148" t="e">
        <f t="shared" ca="1" si="603"/>
        <v>#N/A</v>
      </c>
      <c r="C3148" t="e">
        <f t="shared" ca="1" si="605"/>
        <v>#N/A</v>
      </c>
      <c r="D3148" s="6" t="e">
        <f t="shared" ca="1" si="606"/>
        <v>#N/A</v>
      </c>
      <c r="E3148" t="e">
        <f t="shared" ca="1" si="607"/>
        <v>#N/A</v>
      </c>
      <c r="F3148" t="e">
        <f t="shared" ca="1" si="608"/>
        <v>#N/A</v>
      </c>
      <c r="G3148" t="e">
        <f t="shared" ca="1" si="609"/>
        <v>#N/A</v>
      </c>
      <c r="H3148" t="e">
        <f t="shared" ca="1" si="610"/>
        <v>#N/A</v>
      </c>
      <c r="I3148" t="e">
        <f t="shared" ca="1" si="611"/>
        <v>#N/A</v>
      </c>
      <c r="J3148" s="8" t="e">
        <f t="shared" ca="1" si="612"/>
        <v>#N/A</v>
      </c>
      <c r="K3148" s="9" t="e">
        <f t="shared" ca="1" si="613"/>
        <v>#N/A</v>
      </c>
      <c r="L3148" t="e">
        <f ca="1">+_xlfn.IFNA(VLOOKUP(M3148,BespokeWindowsAreas!$B$2:$E$1999,4,FALSE),VLOOKUP(E3148,WindowTypeArea!$B$2:$C$113,2,FALSE))</f>
        <v>#N/A</v>
      </c>
      <c r="M3148" t="e">
        <f t="shared" ca="1" si="604"/>
        <v>#N/A</v>
      </c>
    </row>
    <row r="3149" spans="1:13" x14ac:dyDescent="0.25">
      <c r="A3149" t="e">
        <f t="shared" ca="1" si="602"/>
        <v>#N/A</v>
      </c>
      <c r="B3149" t="e">
        <f t="shared" ca="1" si="603"/>
        <v>#N/A</v>
      </c>
      <c r="C3149" t="e">
        <f t="shared" ca="1" si="605"/>
        <v>#N/A</v>
      </c>
      <c r="D3149" s="6" t="e">
        <f t="shared" ca="1" si="606"/>
        <v>#N/A</v>
      </c>
      <c r="E3149" t="e">
        <f t="shared" ca="1" si="607"/>
        <v>#N/A</v>
      </c>
      <c r="F3149" t="e">
        <f t="shared" ca="1" si="608"/>
        <v>#N/A</v>
      </c>
      <c r="G3149" t="e">
        <f t="shared" ca="1" si="609"/>
        <v>#N/A</v>
      </c>
      <c r="H3149" t="e">
        <f t="shared" ca="1" si="610"/>
        <v>#N/A</v>
      </c>
      <c r="I3149" t="e">
        <f t="shared" ca="1" si="611"/>
        <v>#N/A</v>
      </c>
      <c r="J3149" s="8" t="e">
        <f t="shared" ca="1" si="612"/>
        <v>#N/A</v>
      </c>
      <c r="K3149" s="9" t="e">
        <f t="shared" ca="1" si="613"/>
        <v>#N/A</v>
      </c>
      <c r="L3149" t="e">
        <f ca="1">+_xlfn.IFNA(VLOOKUP(M3149,BespokeWindowsAreas!$B$2:$E$1999,4,FALSE),VLOOKUP(E3149,WindowTypeArea!$B$2:$C$113,2,FALSE))</f>
        <v>#N/A</v>
      </c>
      <c r="M3149" t="e">
        <f t="shared" ca="1" si="604"/>
        <v>#N/A</v>
      </c>
    </row>
    <row r="3150" spans="1:13" x14ac:dyDescent="0.25">
      <c r="A3150" t="e">
        <f t="shared" ca="1" si="602"/>
        <v>#N/A</v>
      </c>
      <c r="B3150" t="e">
        <f t="shared" ca="1" si="603"/>
        <v>#N/A</v>
      </c>
      <c r="C3150" t="e">
        <f t="shared" ca="1" si="605"/>
        <v>#N/A</v>
      </c>
      <c r="D3150" s="6" t="e">
        <f t="shared" ca="1" si="606"/>
        <v>#N/A</v>
      </c>
      <c r="E3150" t="e">
        <f t="shared" ca="1" si="607"/>
        <v>#N/A</v>
      </c>
      <c r="F3150" t="e">
        <f t="shared" ca="1" si="608"/>
        <v>#N/A</v>
      </c>
      <c r="G3150" t="e">
        <f t="shared" ca="1" si="609"/>
        <v>#N/A</v>
      </c>
      <c r="H3150" t="e">
        <f t="shared" ca="1" si="610"/>
        <v>#N/A</v>
      </c>
      <c r="I3150" t="e">
        <f t="shared" ca="1" si="611"/>
        <v>#N/A</v>
      </c>
      <c r="J3150" s="8" t="e">
        <f t="shared" ca="1" si="612"/>
        <v>#N/A</v>
      </c>
      <c r="K3150" s="9" t="e">
        <f t="shared" ca="1" si="613"/>
        <v>#N/A</v>
      </c>
      <c r="L3150" t="e">
        <f ca="1">+_xlfn.IFNA(VLOOKUP(M3150,BespokeWindowsAreas!$B$2:$E$1999,4,FALSE),VLOOKUP(E3150,WindowTypeArea!$B$2:$C$113,2,FALSE))</f>
        <v>#N/A</v>
      </c>
      <c r="M3150" t="e">
        <f t="shared" ca="1" si="604"/>
        <v>#N/A</v>
      </c>
    </row>
    <row r="3151" spans="1:13" x14ac:dyDescent="0.25">
      <c r="A3151" t="e">
        <f t="shared" ca="1" si="602"/>
        <v>#N/A</v>
      </c>
      <c r="B3151" t="e">
        <f t="shared" ca="1" si="603"/>
        <v>#N/A</v>
      </c>
      <c r="C3151" t="e">
        <f t="shared" ca="1" si="605"/>
        <v>#N/A</v>
      </c>
      <c r="D3151" s="6" t="e">
        <f t="shared" ca="1" si="606"/>
        <v>#N/A</v>
      </c>
      <c r="E3151" t="e">
        <f t="shared" ca="1" si="607"/>
        <v>#N/A</v>
      </c>
      <c r="F3151" t="e">
        <f t="shared" ca="1" si="608"/>
        <v>#N/A</v>
      </c>
      <c r="G3151" t="e">
        <f t="shared" ca="1" si="609"/>
        <v>#N/A</v>
      </c>
      <c r="H3151" t="e">
        <f t="shared" ca="1" si="610"/>
        <v>#N/A</v>
      </c>
      <c r="I3151" t="e">
        <f t="shared" ca="1" si="611"/>
        <v>#N/A</v>
      </c>
      <c r="J3151" s="8" t="e">
        <f t="shared" ca="1" si="612"/>
        <v>#N/A</v>
      </c>
      <c r="K3151" s="9" t="e">
        <f t="shared" ca="1" si="613"/>
        <v>#N/A</v>
      </c>
      <c r="L3151" t="e">
        <f ca="1">+_xlfn.IFNA(VLOOKUP(M3151,BespokeWindowsAreas!$B$2:$E$1999,4,FALSE),VLOOKUP(E3151,WindowTypeArea!$B$2:$C$113,2,FALSE))</f>
        <v>#N/A</v>
      </c>
      <c r="M3151" t="e">
        <f t="shared" ca="1" si="604"/>
        <v>#N/A</v>
      </c>
    </row>
    <row r="3152" spans="1:13" x14ac:dyDescent="0.25">
      <c r="A3152" t="e">
        <f t="shared" ca="1" si="602"/>
        <v>#N/A</v>
      </c>
      <c r="B3152" t="e">
        <f t="shared" ca="1" si="603"/>
        <v>#N/A</v>
      </c>
      <c r="C3152" t="e">
        <f t="shared" ca="1" si="605"/>
        <v>#N/A</v>
      </c>
      <c r="D3152" s="6" t="e">
        <f t="shared" ca="1" si="606"/>
        <v>#N/A</v>
      </c>
      <c r="E3152" t="e">
        <f t="shared" ca="1" si="607"/>
        <v>#N/A</v>
      </c>
      <c r="F3152" t="e">
        <f t="shared" ca="1" si="608"/>
        <v>#N/A</v>
      </c>
      <c r="G3152" t="e">
        <f t="shared" ca="1" si="609"/>
        <v>#N/A</v>
      </c>
      <c r="H3152" t="e">
        <f t="shared" ca="1" si="610"/>
        <v>#N/A</v>
      </c>
      <c r="I3152" t="e">
        <f t="shared" ca="1" si="611"/>
        <v>#N/A</v>
      </c>
      <c r="J3152" s="8" t="e">
        <f t="shared" ca="1" si="612"/>
        <v>#N/A</v>
      </c>
      <c r="K3152" s="9" t="e">
        <f t="shared" ca="1" si="613"/>
        <v>#N/A</v>
      </c>
      <c r="L3152" t="e">
        <f ca="1">+_xlfn.IFNA(VLOOKUP(M3152,BespokeWindowsAreas!$B$2:$E$1999,4,FALSE),VLOOKUP(E3152,WindowTypeArea!$B$2:$C$113,2,FALSE))</f>
        <v>#N/A</v>
      </c>
      <c r="M3152" t="e">
        <f t="shared" ca="1" si="604"/>
        <v>#N/A</v>
      </c>
    </row>
    <row r="3153" spans="1:13" x14ac:dyDescent="0.25">
      <c r="A3153" t="e">
        <f t="shared" ca="1" si="602"/>
        <v>#N/A</v>
      </c>
      <c r="B3153" t="e">
        <f t="shared" ca="1" si="603"/>
        <v>#N/A</v>
      </c>
      <c r="C3153" t="e">
        <f t="shared" ca="1" si="605"/>
        <v>#N/A</v>
      </c>
      <c r="D3153" s="6" t="e">
        <f t="shared" ca="1" si="606"/>
        <v>#N/A</v>
      </c>
      <c r="E3153" t="e">
        <f t="shared" ca="1" si="607"/>
        <v>#N/A</v>
      </c>
      <c r="F3153" t="e">
        <f t="shared" ca="1" si="608"/>
        <v>#N/A</v>
      </c>
      <c r="G3153" t="e">
        <f t="shared" ca="1" si="609"/>
        <v>#N/A</v>
      </c>
      <c r="H3153" t="e">
        <f t="shared" ca="1" si="610"/>
        <v>#N/A</v>
      </c>
      <c r="I3153" t="e">
        <f t="shared" ca="1" si="611"/>
        <v>#N/A</v>
      </c>
      <c r="J3153" s="8" t="e">
        <f t="shared" ca="1" si="612"/>
        <v>#N/A</v>
      </c>
      <c r="K3153" s="9" t="e">
        <f t="shared" ca="1" si="613"/>
        <v>#N/A</v>
      </c>
      <c r="L3153" t="e">
        <f ca="1">+_xlfn.IFNA(VLOOKUP(M3153,BespokeWindowsAreas!$B$2:$E$1999,4,FALSE),VLOOKUP(E3153,WindowTypeArea!$B$2:$C$113,2,FALSE))</f>
        <v>#N/A</v>
      </c>
      <c r="M3153" t="e">
        <f t="shared" ca="1" si="604"/>
        <v>#N/A</v>
      </c>
    </row>
    <row r="3154" spans="1:13" x14ac:dyDescent="0.25">
      <c r="A3154" t="e">
        <f t="shared" ca="1" si="602"/>
        <v>#N/A</v>
      </c>
      <c r="B3154" t="e">
        <f t="shared" ca="1" si="603"/>
        <v>#N/A</v>
      </c>
      <c r="C3154" t="e">
        <f t="shared" ca="1" si="605"/>
        <v>#N/A</v>
      </c>
      <c r="D3154" s="6" t="e">
        <f t="shared" ca="1" si="606"/>
        <v>#N/A</v>
      </c>
      <c r="E3154" t="e">
        <f t="shared" ca="1" si="607"/>
        <v>#N/A</v>
      </c>
      <c r="F3154" t="e">
        <f t="shared" ca="1" si="608"/>
        <v>#N/A</v>
      </c>
      <c r="G3154" t="e">
        <f t="shared" ca="1" si="609"/>
        <v>#N/A</v>
      </c>
      <c r="H3154" t="e">
        <f t="shared" ca="1" si="610"/>
        <v>#N/A</v>
      </c>
      <c r="I3154" t="e">
        <f t="shared" ca="1" si="611"/>
        <v>#N/A</v>
      </c>
      <c r="J3154" s="8" t="e">
        <f t="shared" ca="1" si="612"/>
        <v>#N/A</v>
      </c>
      <c r="K3154" s="9" t="e">
        <f t="shared" ca="1" si="613"/>
        <v>#N/A</v>
      </c>
      <c r="L3154" t="e">
        <f ca="1">+_xlfn.IFNA(VLOOKUP(M3154,BespokeWindowsAreas!$B$2:$E$1999,4,FALSE),VLOOKUP(E3154,WindowTypeArea!$B$2:$C$113,2,FALSE))</f>
        <v>#N/A</v>
      </c>
      <c r="M3154" t="e">
        <f t="shared" ca="1" si="604"/>
        <v>#N/A</v>
      </c>
    </row>
    <row r="3155" spans="1:13" x14ac:dyDescent="0.25">
      <c r="A3155" t="e">
        <f t="shared" ca="1" si="602"/>
        <v>#N/A</v>
      </c>
      <c r="B3155" t="e">
        <f t="shared" ca="1" si="603"/>
        <v>#N/A</v>
      </c>
      <c r="C3155" t="e">
        <f t="shared" ca="1" si="605"/>
        <v>#N/A</v>
      </c>
      <c r="D3155" s="6" t="e">
        <f t="shared" ca="1" si="606"/>
        <v>#N/A</v>
      </c>
      <c r="E3155" t="e">
        <f t="shared" ca="1" si="607"/>
        <v>#N/A</v>
      </c>
      <c r="F3155" t="e">
        <f t="shared" ca="1" si="608"/>
        <v>#N/A</v>
      </c>
      <c r="G3155" t="e">
        <f t="shared" ca="1" si="609"/>
        <v>#N/A</v>
      </c>
      <c r="H3155" t="e">
        <f t="shared" ca="1" si="610"/>
        <v>#N/A</v>
      </c>
      <c r="I3155" t="e">
        <f t="shared" ca="1" si="611"/>
        <v>#N/A</v>
      </c>
      <c r="J3155" s="8" t="e">
        <f t="shared" ca="1" si="612"/>
        <v>#N/A</v>
      </c>
      <c r="K3155" s="9" t="e">
        <f t="shared" ca="1" si="613"/>
        <v>#N/A</v>
      </c>
      <c r="L3155" t="e">
        <f ca="1">+_xlfn.IFNA(VLOOKUP(M3155,BespokeWindowsAreas!$B$2:$E$1999,4,FALSE),VLOOKUP(E3155,WindowTypeArea!$B$2:$C$113,2,FALSE))</f>
        <v>#N/A</v>
      </c>
      <c r="M3155" t="e">
        <f t="shared" ca="1" si="604"/>
        <v>#N/A</v>
      </c>
    </row>
    <row r="3156" spans="1:13" x14ac:dyDescent="0.25">
      <c r="A3156" t="e">
        <f t="shared" ref="A3156:A3219" ca="1" si="614">+IF(B3155&lt;=VLOOKUP(MID(C3156,2,26),TABS,2,FALSE),A3155,+A3155+1)</f>
        <v>#N/A</v>
      </c>
      <c r="B3156" t="e">
        <f t="shared" ref="B3156:B3219" ca="1" si="615">+IF(B3155&lt;=VLOOKUP(MID(C3156,2,26),TABS,2,FALSE),B3155+1,1)</f>
        <v>#N/A</v>
      </c>
      <c r="C3156" t="e">
        <f t="shared" ca="1" si="605"/>
        <v>#N/A</v>
      </c>
      <c r="D3156" s="6" t="e">
        <f t="shared" ca="1" si="606"/>
        <v>#N/A</v>
      </c>
      <c r="E3156" t="e">
        <f t="shared" ca="1" si="607"/>
        <v>#N/A</v>
      </c>
      <c r="F3156" t="e">
        <f t="shared" ca="1" si="608"/>
        <v>#N/A</v>
      </c>
      <c r="G3156" t="e">
        <f t="shared" ca="1" si="609"/>
        <v>#N/A</v>
      </c>
      <c r="H3156" t="e">
        <f t="shared" ca="1" si="610"/>
        <v>#N/A</v>
      </c>
      <c r="I3156" t="e">
        <f t="shared" ca="1" si="611"/>
        <v>#N/A</v>
      </c>
      <c r="J3156" s="8" t="e">
        <f t="shared" ca="1" si="612"/>
        <v>#N/A</v>
      </c>
      <c r="K3156" s="9" t="e">
        <f t="shared" ca="1" si="613"/>
        <v>#N/A</v>
      </c>
      <c r="L3156" t="e">
        <f ca="1">+_xlfn.IFNA(VLOOKUP(M3156,BespokeWindowsAreas!$B$2:$E$1999,4,FALSE),VLOOKUP(E3156,WindowTypeArea!$B$2:$C$113,2,FALSE))</f>
        <v>#N/A</v>
      </c>
      <c r="M3156" t="e">
        <f t="shared" ca="1" si="604"/>
        <v>#N/A</v>
      </c>
    </row>
    <row r="3157" spans="1:13" x14ac:dyDescent="0.25">
      <c r="A3157" t="e">
        <f t="shared" ca="1" si="614"/>
        <v>#N/A</v>
      </c>
      <c r="B3157" t="e">
        <f t="shared" ca="1" si="615"/>
        <v>#N/A</v>
      </c>
      <c r="C3157" t="e">
        <f t="shared" ca="1" si="605"/>
        <v>#N/A</v>
      </c>
      <c r="D3157" s="6" t="e">
        <f t="shared" ca="1" si="606"/>
        <v>#N/A</v>
      </c>
      <c r="E3157" t="e">
        <f t="shared" ca="1" si="607"/>
        <v>#N/A</v>
      </c>
      <c r="F3157" t="e">
        <f t="shared" ca="1" si="608"/>
        <v>#N/A</v>
      </c>
      <c r="G3157" t="e">
        <f t="shared" ca="1" si="609"/>
        <v>#N/A</v>
      </c>
      <c r="H3157" t="e">
        <f t="shared" ca="1" si="610"/>
        <v>#N/A</v>
      </c>
      <c r="I3157" t="e">
        <f t="shared" ca="1" si="611"/>
        <v>#N/A</v>
      </c>
      <c r="J3157" s="8" t="e">
        <f t="shared" ca="1" si="612"/>
        <v>#N/A</v>
      </c>
      <c r="K3157" s="9" t="e">
        <f t="shared" ca="1" si="613"/>
        <v>#N/A</v>
      </c>
      <c r="L3157" t="e">
        <f ca="1">+_xlfn.IFNA(VLOOKUP(M3157,BespokeWindowsAreas!$B$2:$E$1999,4,FALSE),VLOOKUP(E3157,WindowTypeArea!$B$2:$C$113,2,FALSE))</f>
        <v>#N/A</v>
      </c>
      <c r="M3157" t="e">
        <f t="shared" ca="1" si="604"/>
        <v>#N/A</v>
      </c>
    </row>
    <row r="3158" spans="1:13" x14ac:dyDescent="0.25">
      <c r="A3158" t="e">
        <f t="shared" ca="1" si="614"/>
        <v>#N/A</v>
      </c>
      <c r="B3158" t="e">
        <f t="shared" ca="1" si="615"/>
        <v>#N/A</v>
      </c>
      <c r="C3158" t="e">
        <f t="shared" ca="1" si="605"/>
        <v>#N/A</v>
      </c>
      <c r="D3158" s="6" t="e">
        <f t="shared" ca="1" si="606"/>
        <v>#N/A</v>
      </c>
      <c r="E3158" t="e">
        <f t="shared" ca="1" si="607"/>
        <v>#N/A</v>
      </c>
      <c r="F3158" t="e">
        <f t="shared" ca="1" si="608"/>
        <v>#N/A</v>
      </c>
      <c r="G3158" t="e">
        <f t="shared" ca="1" si="609"/>
        <v>#N/A</v>
      </c>
      <c r="H3158" t="e">
        <f t="shared" ca="1" si="610"/>
        <v>#N/A</v>
      </c>
      <c r="I3158" t="e">
        <f t="shared" ca="1" si="611"/>
        <v>#N/A</v>
      </c>
      <c r="J3158" s="8" t="e">
        <f t="shared" ca="1" si="612"/>
        <v>#N/A</v>
      </c>
      <c r="K3158" s="9" t="e">
        <f t="shared" ca="1" si="613"/>
        <v>#N/A</v>
      </c>
      <c r="L3158" t="e">
        <f ca="1">+_xlfn.IFNA(VLOOKUP(M3158,BespokeWindowsAreas!$B$2:$E$1999,4,FALSE),VLOOKUP(E3158,WindowTypeArea!$B$2:$C$113,2,FALSE))</f>
        <v>#N/A</v>
      </c>
      <c r="M3158" t="e">
        <f t="shared" ref="M3158:M3221" ca="1" si="616">+OFFSET(INDIRECT(C3158),0,5)</f>
        <v>#N/A</v>
      </c>
    </row>
    <row r="3159" spans="1:13" x14ac:dyDescent="0.25">
      <c r="A3159" t="e">
        <f t="shared" ca="1" si="614"/>
        <v>#N/A</v>
      </c>
      <c r="B3159" t="e">
        <f t="shared" ca="1" si="615"/>
        <v>#N/A</v>
      </c>
      <c r="C3159" t="e">
        <f t="shared" ca="1" si="605"/>
        <v>#N/A</v>
      </c>
      <c r="D3159" s="6" t="e">
        <f t="shared" ca="1" si="606"/>
        <v>#N/A</v>
      </c>
      <c r="E3159" t="e">
        <f t="shared" ca="1" si="607"/>
        <v>#N/A</v>
      </c>
      <c r="F3159" t="e">
        <f t="shared" ca="1" si="608"/>
        <v>#N/A</v>
      </c>
      <c r="G3159" t="e">
        <f t="shared" ca="1" si="609"/>
        <v>#N/A</v>
      </c>
      <c r="H3159" t="e">
        <f t="shared" ca="1" si="610"/>
        <v>#N/A</v>
      </c>
      <c r="I3159" t="e">
        <f t="shared" ca="1" si="611"/>
        <v>#N/A</v>
      </c>
      <c r="J3159" s="8" t="e">
        <f t="shared" ca="1" si="612"/>
        <v>#N/A</v>
      </c>
      <c r="K3159" s="9" t="e">
        <f t="shared" ca="1" si="613"/>
        <v>#N/A</v>
      </c>
      <c r="L3159" t="e">
        <f ca="1">+_xlfn.IFNA(VLOOKUP(M3159,BespokeWindowsAreas!$B$2:$E$1999,4,FALSE),VLOOKUP(E3159,WindowTypeArea!$B$2:$C$113,2,FALSE))</f>
        <v>#N/A</v>
      </c>
      <c r="M3159" t="e">
        <f t="shared" ca="1" si="616"/>
        <v>#N/A</v>
      </c>
    </row>
    <row r="3160" spans="1:13" x14ac:dyDescent="0.25">
      <c r="A3160" t="e">
        <f t="shared" ca="1" si="614"/>
        <v>#N/A</v>
      </c>
      <c r="B3160" t="e">
        <f t="shared" ca="1" si="615"/>
        <v>#N/A</v>
      </c>
      <c r="C3160" t="e">
        <f t="shared" ca="1" si="605"/>
        <v>#N/A</v>
      </c>
      <c r="D3160" s="6" t="e">
        <f t="shared" ca="1" si="606"/>
        <v>#N/A</v>
      </c>
      <c r="E3160" t="e">
        <f t="shared" ca="1" si="607"/>
        <v>#N/A</v>
      </c>
      <c r="F3160" t="e">
        <f t="shared" ca="1" si="608"/>
        <v>#N/A</v>
      </c>
      <c r="G3160" t="e">
        <f t="shared" ca="1" si="609"/>
        <v>#N/A</v>
      </c>
      <c r="H3160" t="e">
        <f t="shared" ca="1" si="610"/>
        <v>#N/A</v>
      </c>
      <c r="I3160" t="e">
        <f t="shared" ca="1" si="611"/>
        <v>#N/A</v>
      </c>
      <c r="J3160" s="8" t="e">
        <f t="shared" ca="1" si="612"/>
        <v>#N/A</v>
      </c>
      <c r="K3160" s="9" t="e">
        <f t="shared" ca="1" si="613"/>
        <v>#N/A</v>
      </c>
      <c r="L3160" t="e">
        <f ca="1">+_xlfn.IFNA(VLOOKUP(M3160,BespokeWindowsAreas!$B$2:$E$1999,4,FALSE),VLOOKUP(E3160,WindowTypeArea!$B$2:$C$113,2,FALSE))</f>
        <v>#N/A</v>
      </c>
      <c r="M3160" t="e">
        <f t="shared" ca="1" si="616"/>
        <v>#N/A</v>
      </c>
    </row>
    <row r="3161" spans="1:13" x14ac:dyDescent="0.25">
      <c r="A3161" t="e">
        <f t="shared" ca="1" si="614"/>
        <v>#N/A</v>
      </c>
      <c r="B3161" t="e">
        <f t="shared" ca="1" si="615"/>
        <v>#N/A</v>
      </c>
      <c r="C3161" t="e">
        <f t="shared" ca="1" si="605"/>
        <v>#N/A</v>
      </c>
      <c r="D3161" s="6" t="e">
        <f t="shared" ca="1" si="606"/>
        <v>#N/A</v>
      </c>
      <c r="E3161" t="e">
        <f t="shared" ca="1" si="607"/>
        <v>#N/A</v>
      </c>
      <c r="F3161" t="e">
        <f t="shared" ca="1" si="608"/>
        <v>#N/A</v>
      </c>
      <c r="G3161" t="e">
        <f t="shared" ca="1" si="609"/>
        <v>#N/A</v>
      </c>
      <c r="H3161" t="e">
        <f t="shared" ca="1" si="610"/>
        <v>#N/A</v>
      </c>
      <c r="I3161" t="e">
        <f t="shared" ca="1" si="611"/>
        <v>#N/A</v>
      </c>
      <c r="J3161" s="8" t="e">
        <f t="shared" ca="1" si="612"/>
        <v>#N/A</v>
      </c>
      <c r="K3161" s="9" t="e">
        <f t="shared" ca="1" si="613"/>
        <v>#N/A</v>
      </c>
      <c r="L3161" t="e">
        <f ca="1">+_xlfn.IFNA(VLOOKUP(M3161,BespokeWindowsAreas!$B$2:$E$1999,4,FALSE),VLOOKUP(E3161,WindowTypeArea!$B$2:$C$113,2,FALSE))</f>
        <v>#N/A</v>
      </c>
      <c r="M3161" t="e">
        <f t="shared" ca="1" si="616"/>
        <v>#N/A</v>
      </c>
    </row>
    <row r="3162" spans="1:13" x14ac:dyDescent="0.25">
      <c r="A3162" t="e">
        <f t="shared" ca="1" si="614"/>
        <v>#N/A</v>
      </c>
      <c r="B3162" t="e">
        <f t="shared" ca="1" si="615"/>
        <v>#N/A</v>
      </c>
      <c r="C3162" t="e">
        <f t="shared" ca="1" si="605"/>
        <v>#N/A</v>
      </c>
      <c r="D3162" s="6" t="e">
        <f t="shared" ca="1" si="606"/>
        <v>#N/A</v>
      </c>
      <c r="E3162" t="e">
        <f t="shared" ca="1" si="607"/>
        <v>#N/A</v>
      </c>
      <c r="F3162" t="e">
        <f t="shared" ca="1" si="608"/>
        <v>#N/A</v>
      </c>
      <c r="G3162" t="e">
        <f t="shared" ca="1" si="609"/>
        <v>#N/A</v>
      </c>
      <c r="H3162" t="e">
        <f t="shared" ca="1" si="610"/>
        <v>#N/A</v>
      </c>
      <c r="I3162" t="e">
        <f t="shared" ca="1" si="611"/>
        <v>#N/A</v>
      </c>
      <c r="J3162" s="8" t="e">
        <f t="shared" ca="1" si="612"/>
        <v>#N/A</v>
      </c>
      <c r="K3162" s="9" t="e">
        <f t="shared" ca="1" si="613"/>
        <v>#N/A</v>
      </c>
      <c r="L3162" t="e">
        <f ca="1">+_xlfn.IFNA(VLOOKUP(M3162,BespokeWindowsAreas!$B$2:$E$1999,4,FALSE),VLOOKUP(E3162,WindowTypeArea!$B$2:$C$113,2,FALSE))</f>
        <v>#N/A</v>
      </c>
      <c r="M3162" t="e">
        <f t="shared" ca="1" si="616"/>
        <v>#N/A</v>
      </c>
    </row>
    <row r="3163" spans="1:13" x14ac:dyDescent="0.25">
      <c r="A3163" t="e">
        <f t="shared" ca="1" si="614"/>
        <v>#N/A</v>
      </c>
      <c r="B3163" t="e">
        <f t="shared" ca="1" si="615"/>
        <v>#N/A</v>
      </c>
      <c r="C3163" t="e">
        <f t="shared" ca="1" si="605"/>
        <v>#N/A</v>
      </c>
      <c r="D3163" s="6" t="e">
        <f t="shared" ca="1" si="606"/>
        <v>#N/A</v>
      </c>
      <c r="E3163" t="e">
        <f t="shared" ca="1" si="607"/>
        <v>#N/A</v>
      </c>
      <c r="F3163" t="e">
        <f t="shared" ca="1" si="608"/>
        <v>#N/A</v>
      </c>
      <c r="G3163" t="e">
        <f t="shared" ca="1" si="609"/>
        <v>#N/A</v>
      </c>
      <c r="H3163" t="e">
        <f t="shared" ca="1" si="610"/>
        <v>#N/A</v>
      </c>
      <c r="I3163" t="e">
        <f t="shared" ca="1" si="611"/>
        <v>#N/A</v>
      </c>
      <c r="J3163" s="8" t="e">
        <f t="shared" ca="1" si="612"/>
        <v>#N/A</v>
      </c>
      <c r="K3163" s="9" t="e">
        <f t="shared" ca="1" si="613"/>
        <v>#N/A</v>
      </c>
      <c r="L3163" t="e">
        <f ca="1">+_xlfn.IFNA(VLOOKUP(M3163,BespokeWindowsAreas!$B$2:$E$1999,4,FALSE),VLOOKUP(E3163,WindowTypeArea!$B$2:$C$113,2,FALSE))</f>
        <v>#N/A</v>
      </c>
      <c r="M3163" t="e">
        <f t="shared" ca="1" si="616"/>
        <v>#N/A</v>
      </c>
    </row>
    <row r="3164" spans="1:13" x14ac:dyDescent="0.25">
      <c r="A3164" t="e">
        <f t="shared" ca="1" si="614"/>
        <v>#N/A</v>
      </c>
      <c r="B3164" t="e">
        <f t="shared" ca="1" si="615"/>
        <v>#N/A</v>
      </c>
      <c r="C3164" t="e">
        <f t="shared" ca="1" si="605"/>
        <v>#N/A</v>
      </c>
      <c r="D3164" s="6" t="e">
        <f t="shared" ca="1" si="606"/>
        <v>#N/A</v>
      </c>
      <c r="E3164" t="e">
        <f t="shared" ca="1" si="607"/>
        <v>#N/A</v>
      </c>
      <c r="F3164" t="e">
        <f t="shared" ca="1" si="608"/>
        <v>#N/A</v>
      </c>
      <c r="G3164" t="e">
        <f t="shared" ca="1" si="609"/>
        <v>#N/A</v>
      </c>
      <c r="H3164" t="e">
        <f t="shared" ca="1" si="610"/>
        <v>#N/A</v>
      </c>
      <c r="I3164" t="e">
        <f t="shared" ca="1" si="611"/>
        <v>#N/A</v>
      </c>
      <c r="J3164" s="8" t="e">
        <f t="shared" ca="1" si="612"/>
        <v>#N/A</v>
      </c>
      <c r="K3164" s="9" t="e">
        <f t="shared" ca="1" si="613"/>
        <v>#N/A</v>
      </c>
      <c r="L3164" t="e">
        <f ca="1">+_xlfn.IFNA(VLOOKUP(M3164,BespokeWindowsAreas!$B$2:$E$1999,4,FALSE),VLOOKUP(E3164,WindowTypeArea!$B$2:$C$113,2,FALSE))</f>
        <v>#N/A</v>
      </c>
      <c r="M3164" t="e">
        <f t="shared" ca="1" si="616"/>
        <v>#N/A</v>
      </c>
    </row>
    <row r="3165" spans="1:13" x14ac:dyDescent="0.25">
      <c r="A3165" t="e">
        <f t="shared" ca="1" si="614"/>
        <v>#N/A</v>
      </c>
      <c r="B3165" t="e">
        <f t="shared" ca="1" si="615"/>
        <v>#N/A</v>
      </c>
      <c r="C3165" t="e">
        <f t="shared" ca="1" si="605"/>
        <v>#N/A</v>
      </c>
      <c r="D3165" s="6" t="e">
        <f t="shared" ca="1" si="606"/>
        <v>#N/A</v>
      </c>
      <c r="E3165" t="e">
        <f t="shared" ca="1" si="607"/>
        <v>#N/A</v>
      </c>
      <c r="F3165" t="e">
        <f t="shared" ca="1" si="608"/>
        <v>#N/A</v>
      </c>
      <c r="G3165" t="e">
        <f t="shared" ca="1" si="609"/>
        <v>#N/A</v>
      </c>
      <c r="H3165" t="e">
        <f t="shared" ca="1" si="610"/>
        <v>#N/A</v>
      </c>
      <c r="I3165" t="e">
        <f t="shared" ca="1" si="611"/>
        <v>#N/A</v>
      </c>
      <c r="J3165" s="8" t="e">
        <f t="shared" ca="1" si="612"/>
        <v>#N/A</v>
      </c>
      <c r="K3165" s="9" t="e">
        <f t="shared" ca="1" si="613"/>
        <v>#N/A</v>
      </c>
      <c r="L3165" t="e">
        <f ca="1">+_xlfn.IFNA(VLOOKUP(M3165,BespokeWindowsAreas!$B$2:$E$1999,4,FALSE),VLOOKUP(E3165,WindowTypeArea!$B$2:$C$113,2,FALSE))</f>
        <v>#N/A</v>
      </c>
      <c r="M3165" t="e">
        <f t="shared" ca="1" si="616"/>
        <v>#N/A</v>
      </c>
    </row>
    <row r="3166" spans="1:13" x14ac:dyDescent="0.25">
      <c r="A3166" t="e">
        <f t="shared" ca="1" si="614"/>
        <v>#N/A</v>
      </c>
      <c r="B3166" t="e">
        <f t="shared" ca="1" si="615"/>
        <v>#N/A</v>
      </c>
      <c r="C3166" t="e">
        <f t="shared" ca="1" si="605"/>
        <v>#N/A</v>
      </c>
      <c r="D3166" s="6" t="e">
        <f t="shared" ca="1" si="606"/>
        <v>#N/A</v>
      </c>
      <c r="E3166" t="e">
        <f t="shared" ca="1" si="607"/>
        <v>#N/A</v>
      </c>
      <c r="F3166" t="e">
        <f t="shared" ca="1" si="608"/>
        <v>#N/A</v>
      </c>
      <c r="G3166" t="e">
        <f t="shared" ca="1" si="609"/>
        <v>#N/A</v>
      </c>
      <c r="H3166" t="e">
        <f t="shared" ca="1" si="610"/>
        <v>#N/A</v>
      </c>
      <c r="I3166" t="e">
        <f t="shared" ca="1" si="611"/>
        <v>#N/A</v>
      </c>
      <c r="J3166" s="8" t="e">
        <f t="shared" ca="1" si="612"/>
        <v>#N/A</v>
      </c>
      <c r="K3166" s="9" t="e">
        <f t="shared" ca="1" si="613"/>
        <v>#N/A</v>
      </c>
      <c r="L3166" t="e">
        <f ca="1">+_xlfn.IFNA(VLOOKUP(M3166,BespokeWindowsAreas!$B$2:$E$1999,4,FALSE),VLOOKUP(E3166,WindowTypeArea!$B$2:$C$113,2,FALSE))</f>
        <v>#N/A</v>
      </c>
      <c r="M3166" t="e">
        <f t="shared" ca="1" si="616"/>
        <v>#N/A</v>
      </c>
    </row>
    <row r="3167" spans="1:13" x14ac:dyDescent="0.25">
      <c r="A3167" t="e">
        <f t="shared" ca="1" si="614"/>
        <v>#N/A</v>
      </c>
      <c r="B3167" t="e">
        <f t="shared" ca="1" si="615"/>
        <v>#N/A</v>
      </c>
      <c r="C3167" t="e">
        <f t="shared" ca="1" si="605"/>
        <v>#N/A</v>
      </c>
      <c r="D3167" s="6" t="e">
        <f t="shared" ca="1" si="606"/>
        <v>#N/A</v>
      </c>
      <c r="E3167" t="e">
        <f t="shared" ca="1" si="607"/>
        <v>#N/A</v>
      </c>
      <c r="F3167" t="e">
        <f t="shared" ca="1" si="608"/>
        <v>#N/A</v>
      </c>
      <c r="G3167" t="e">
        <f t="shared" ca="1" si="609"/>
        <v>#N/A</v>
      </c>
      <c r="H3167" t="e">
        <f t="shared" ca="1" si="610"/>
        <v>#N/A</v>
      </c>
      <c r="I3167" t="e">
        <f t="shared" ca="1" si="611"/>
        <v>#N/A</v>
      </c>
      <c r="J3167" s="8" t="e">
        <f t="shared" ca="1" si="612"/>
        <v>#N/A</v>
      </c>
      <c r="K3167" s="9" t="e">
        <f t="shared" ca="1" si="613"/>
        <v>#N/A</v>
      </c>
      <c r="L3167" t="e">
        <f ca="1">+_xlfn.IFNA(VLOOKUP(M3167,BespokeWindowsAreas!$B$2:$E$1999,4,FALSE),VLOOKUP(E3167,WindowTypeArea!$B$2:$C$113,2,FALSE))</f>
        <v>#N/A</v>
      </c>
      <c r="M3167" t="e">
        <f t="shared" ca="1" si="616"/>
        <v>#N/A</v>
      </c>
    </row>
    <row r="3168" spans="1:13" x14ac:dyDescent="0.25">
      <c r="A3168" t="e">
        <f t="shared" ca="1" si="614"/>
        <v>#N/A</v>
      </c>
      <c r="B3168" t="e">
        <f t="shared" ca="1" si="615"/>
        <v>#N/A</v>
      </c>
      <c r="C3168" t="e">
        <f t="shared" ca="1" si="605"/>
        <v>#N/A</v>
      </c>
      <c r="D3168" s="6" t="e">
        <f t="shared" ca="1" si="606"/>
        <v>#N/A</v>
      </c>
      <c r="E3168" t="e">
        <f t="shared" ca="1" si="607"/>
        <v>#N/A</v>
      </c>
      <c r="F3168" t="e">
        <f t="shared" ca="1" si="608"/>
        <v>#N/A</v>
      </c>
      <c r="G3168" t="e">
        <f t="shared" ca="1" si="609"/>
        <v>#N/A</v>
      </c>
      <c r="H3168" t="e">
        <f t="shared" ca="1" si="610"/>
        <v>#N/A</v>
      </c>
      <c r="I3168" t="e">
        <f t="shared" ca="1" si="611"/>
        <v>#N/A</v>
      </c>
      <c r="J3168" s="8" t="e">
        <f t="shared" ca="1" si="612"/>
        <v>#N/A</v>
      </c>
      <c r="K3168" s="9" t="e">
        <f t="shared" ca="1" si="613"/>
        <v>#N/A</v>
      </c>
      <c r="L3168" t="e">
        <f ca="1">+_xlfn.IFNA(VLOOKUP(M3168,BespokeWindowsAreas!$B$2:$E$1999,4,FALSE),VLOOKUP(E3168,WindowTypeArea!$B$2:$C$113,2,FALSE))</f>
        <v>#N/A</v>
      </c>
      <c r="M3168" t="e">
        <f t="shared" ca="1" si="616"/>
        <v>#N/A</v>
      </c>
    </row>
    <row r="3169" spans="1:13" x14ac:dyDescent="0.25">
      <c r="A3169" t="e">
        <f t="shared" ca="1" si="614"/>
        <v>#N/A</v>
      </c>
      <c r="B3169" t="e">
        <f t="shared" ca="1" si="615"/>
        <v>#N/A</v>
      </c>
      <c r="C3169" t="e">
        <f t="shared" ca="1" si="605"/>
        <v>#N/A</v>
      </c>
      <c r="D3169" s="6" t="e">
        <f t="shared" ca="1" si="606"/>
        <v>#N/A</v>
      </c>
      <c r="E3169" t="e">
        <f t="shared" ca="1" si="607"/>
        <v>#N/A</v>
      </c>
      <c r="F3169" t="e">
        <f t="shared" ca="1" si="608"/>
        <v>#N/A</v>
      </c>
      <c r="G3169" t="e">
        <f t="shared" ca="1" si="609"/>
        <v>#N/A</v>
      </c>
      <c r="H3169" t="e">
        <f t="shared" ca="1" si="610"/>
        <v>#N/A</v>
      </c>
      <c r="I3169" t="e">
        <f t="shared" ca="1" si="611"/>
        <v>#N/A</v>
      </c>
      <c r="J3169" s="8" t="e">
        <f t="shared" ca="1" si="612"/>
        <v>#N/A</v>
      </c>
      <c r="K3169" s="9" t="e">
        <f t="shared" ca="1" si="613"/>
        <v>#N/A</v>
      </c>
      <c r="L3169" t="e">
        <f ca="1">+_xlfn.IFNA(VLOOKUP(M3169,BespokeWindowsAreas!$B$2:$E$1999,4,FALSE),VLOOKUP(E3169,WindowTypeArea!$B$2:$C$113,2,FALSE))</f>
        <v>#N/A</v>
      </c>
      <c r="M3169" t="e">
        <f t="shared" ca="1" si="616"/>
        <v>#N/A</v>
      </c>
    </row>
    <row r="3170" spans="1:13" x14ac:dyDescent="0.25">
      <c r="A3170" t="e">
        <f t="shared" ca="1" si="614"/>
        <v>#N/A</v>
      </c>
      <c r="B3170" t="e">
        <f t="shared" ca="1" si="615"/>
        <v>#N/A</v>
      </c>
      <c r="C3170" t="e">
        <f t="shared" ca="1" si="605"/>
        <v>#N/A</v>
      </c>
      <c r="D3170" s="6" t="e">
        <f t="shared" ca="1" si="606"/>
        <v>#N/A</v>
      </c>
      <c r="E3170" t="e">
        <f t="shared" ca="1" si="607"/>
        <v>#N/A</v>
      </c>
      <c r="F3170" t="e">
        <f t="shared" ca="1" si="608"/>
        <v>#N/A</v>
      </c>
      <c r="G3170" t="e">
        <f t="shared" ca="1" si="609"/>
        <v>#N/A</v>
      </c>
      <c r="H3170" t="e">
        <f t="shared" ca="1" si="610"/>
        <v>#N/A</v>
      </c>
      <c r="I3170" t="e">
        <f t="shared" ca="1" si="611"/>
        <v>#N/A</v>
      </c>
      <c r="J3170" s="8" t="e">
        <f t="shared" ca="1" si="612"/>
        <v>#N/A</v>
      </c>
      <c r="K3170" s="9" t="e">
        <f t="shared" ca="1" si="613"/>
        <v>#N/A</v>
      </c>
      <c r="L3170" t="e">
        <f ca="1">+_xlfn.IFNA(VLOOKUP(M3170,BespokeWindowsAreas!$B$2:$E$1999,4,FALSE),VLOOKUP(E3170,WindowTypeArea!$B$2:$C$113,2,FALSE))</f>
        <v>#N/A</v>
      </c>
      <c r="M3170" t="e">
        <f t="shared" ca="1" si="616"/>
        <v>#N/A</v>
      </c>
    </row>
    <row r="3171" spans="1:13" x14ac:dyDescent="0.25">
      <c r="A3171" t="e">
        <f t="shared" ca="1" si="614"/>
        <v>#N/A</v>
      </c>
      <c r="B3171" t="e">
        <f t="shared" ca="1" si="615"/>
        <v>#N/A</v>
      </c>
      <c r="C3171" t="e">
        <f t="shared" ca="1" si="605"/>
        <v>#N/A</v>
      </c>
      <c r="D3171" s="6" t="e">
        <f t="shared" ca="1" si="606"/>
        <v>#N/A</v>
      </c>
      <c r="E3171" t="e">
        <f t="shared" ca="1" si="607"/>
        <v>#N/A</v>
      </c>
      <c r="F3171" t="e">
        <f t="shared" ca="1" si="608"/>
        <v>#N/A</v>
      </c>
      <c r="G3171" t="e">
        <f t="shared" ca="1" si="609"/>
        <v>#N/A</v>
      </c>
      <c r="H3171" t="e">
        <f t="shared" ca="1" si="610"/>
        <v>#N/A</v>
      </c>
      <c r="I3171" t="e">
        <f t="shared" ca="1" si="611"/>
        <v>#N/A</v>
      </c>
      <c r="J3171" s="8" t="e">
        <f t="shared" ca="1" si="612"/>
        <v>#N/A</v>
      </c>
      <c r="K3171" s="9" t="e">
        <f t="shared" ca="1" si="613"/>
        <v>#N/A</v>
      </c>
      <c r="L3171" t="e">
        <f ca="1">+_xlfn.IFNA(VLOOKUP(M3171,BespokeWindowsAreas!$B$2:$E$1999,4,FALSE),VLOOKUP(E3171,WindowTypeArea!$B$2:$C$113,2,FALSE))</f>
        <v>#N/A</v>
      </c>
      <c r="M3171" t="e">
        <f t="shared" ca="1" si="616"/>
        <v>#N/A</v>
      </c>
    </row>
    <row r="3172" spans="1:13" x14ac:dyDescent="0.25">
      <c r="A3172" t="e">
        <f t="shared" ca="1" si="614"/>
        <v>#N/A</v>
      </c>
      <c r="B3172" t="e">
        <f t="shared" ca="1" si="615"/>
        <v>#N/A</v>
      </c>
      <c r="C3172" t="e">
        <f t="shared" ca="1" si="605"/>
        <v>#N/A</v>
      </c>
      <c r="D3172" s="6" t="e">
        <f t="shared" ca="1" si="606"/>
        <v>#N/A</v>
      </c>
      <c r="E3172" t="e">
        <f t="shared" ca="1" si="607"/>
        <v>#N/A</v>
      </c>
      <c r="F3172" t="e">
        <f t="shared" ca="1" si="608"/>
        <v>#N/A</v>
      </c>
      <c r="G3172" t="e">
        <f t="shared" ca="1" si="609"/>
        <v>#N/A</v>
      </c>
      <c r="H3172" t="e">
        <f t="shared" ca="1" si="610"/>
        <v>#N/A</v>
      </c>
      <c r="I3172" t="e">
        <f t="shared" ca="1" si="611"/>
        <v>#N/A</v>
      </c>
      <c r="J3172" s="8" t="e">
        <f t="shared" ca="1" si="612"/>
        <v>#N/A</v>
      </c>
      <c r="K3172" s="9" t="e">
        <f t="shared" ca="1" si="613"/>
        <v>#N/A</v>
      </c>
      <c r="L3172" t="e">
        <f ca="1">+_xlfn.IFNA(VLOOKUP(M3172,BespokeWindowsAreas!$B$2:$E$1999,4,FALSE),VLOOKUP(E3172,WindowTypeArea!$B$2:$C$113,2,FALSE))</f>
        <v>#N/A</v>
      </c>
      <c r="M3172" t="e">
        <f t="shared" ca="1" si="616"/>
        <v>#N/A</v>
      </c>
    </row>
    <row r="3173" spans="1:13" x14ac:dyDescent="0.25">
      <c r="A3173" t="e">
        <f t="shared" ca="1" si="614"/>
        <v>#N/A</v>
      </c>
      <c r="B3173" t="e">
        <f t="shared" ca="1" si="615"/>
        <v>#N/A</v>
      </c>
      <c r="C3173" t="e">
        <f t="shared" ca="1" si="605"/>
        <v>#N/A</v>
      </c>
      <c r="D3173" s="6" t="e">
        <f t="shared" ca="1" si="606"/>
        <v>#N/A</v>
      </c>
      <c r="E3173" t="e">
        <f t="shared" ca="1" si="607"/>
        <v>#N/A</v>
      </c>
      <c r="F3173" t="e">
        <f t="shared" ca="1" si="608"/>
        <v>#N/A</v>
      </c>
      <c r="G3173" t="e">
        <f t="shared" ca="1" si="609"/>
        <v>#N/A</v>
      </c>
      <c r="H3173" t="e">
        <f t="shared" ca="1" si="610"/>
        <v>#N/A</v>
      </c>
      <c r="I3173" t="e">
        <f t="shared" ca="1" si="611"/>
        <v>#N/A</v>
      </c>
      <c r="J3173" s="8" t="e">
        <f t="shared" ca="1" si="612"/>
        <v>#N/A</v>
      </c>
      <c r="K3173" s="9" t="e">
        <f t="shared" ca="1" si="613"/>
        <v>#N/A</v>
      </c>
      <c r="L3173" t="e">
        <f ca="1">+_xlfn.IFNA(VLOOKUP(M3173,BespokeWindowsAreas!$B$2:$E$1999,4,FALSE),VLOOKUP(E3173,WindowTypeArea!$B$2:$C$113,2,FALSE))</f>
        <v>#N/A</v>
      </c>
      <c r="M3173" t="e">
        <f t="shared" ca="1" si="616"/>
        <v>#N/A</v>
      </c>
    </row>
    <row r="3174" spans="1:13" x14ac:dyDescent="0.25">
      <c r="A3174" t="e">
        <f t="shared" ca="1" si="614"/>
        <v>#N/A</v>
      </c>
      <c r="B3174" t="e">
        <f t="shared" ca="1" si="615"/>
        <v>#N/A</v>
      </c>
      <c r="C3174" t="e">
        <f t="shared" ca="1" si="605"/>
        <v>#N/A</v>
      </c>
      <c r="D3174" s="6" t="e">
        <f t="shared" ca="1" si="606"/>
        <v>#N/A</v>
      </c>
      <c r="E3174" t="e">
        <f t="shared" ca="1" si="607"/>
        <v>#N/A</v>
      </c>
      <c r="F3174" t="e">
        <f t="shared" ca="1" si="608"/>
        <v>#N/A</v>
      </c>
      <c r="G3174" t="e">
        <f t="shared" ca="1" si="609"/>
        <v>#N/A</v>
      </c>
      <c r="H3174" t="e">
        <f t="shared" ca="1" si="610"/>
        <v>#N/A</v>
      </c>
      <c r="I3174" t="e">
        <f t="shared" ca="1" si="611"/>
        <v>#N/A</v>
      </c>
      <c r="J3174" s="8" t="e">
        <f t="shared" ca="1" si="612"/>
        <v>#N/A</v>
      </c>
      <c r="K3174" s="9" t="e">
        <f t="shared" ca="1" si="613"/>
        <v>#N/A</v>
      </c>
      <c r="L3174" t="e">
        <f ca="1">+_xlfn.IFNA(VLOOKUP(M3174,BespokeWindowsAreas!$B$2:$E$1999,4,FALSE),VLOOKUP(E3174,WindowTypeArea!$B$2:$C$113,2,FALSE))</f>
        <v>#N/A</v>
      </c>
      <c r="M3174" t="e">
        <f t="shared" ca="1" si="616"/>
        <v>#N/A</v>
      </c>
    </row>
    <row r="3175" spans="1:13" x14ac:dyDescent="0.25">
      <c r="A3175" t="e">
        <f t="shared" ca="1" si="614"/>
        <v>#N/A</v>
      </c>
      <c r="B3175" t="e">
        <f t="shared" ca="1" si="615"/>
        <v>#N/A</v>
      </c>
      <c r="C3175" t="e">
        <f t="shared" ca="1" si="605"/>
        <v>#N/A</v>
      </c>
      <c r="D3175" s="6" t="e">
        <f t="shared" ca="1" si="606"/>
        <v>#N/A</v>
      </c>
      <c r="E3175" t="e">
        <f t="shared" ca="1" si="607"/>
        <v>#N/A</v>
      </c>
      <c r="F3175" t="e">
        <f t="shared" ca="1" si="608"/>
        <v>#N/A</v>
      </c>
      <c r="G3175" t="e">
        <f t="shared" ca="1" si="609"/>
        <v>#N/A</v>
      </c>
      <c r="H3175" t="e">
        <f t="shared" ca="1" si="610"/>
        <v>#N/A</v>
      </c>
      <c r="I3175" t="e">
        <f t="shared" ca="1" si="611"/>
        <v>#N/A</v>
      </c>
      <c r="J3175" s="8" t="e">
        <f t="shared" ca="1" si="612"/>
        <v>#N/A</v>
      </c>
      <c r="K3175" s="9" t="e">
        <f t="shared" ca="1" si="613"/>
        <v>#N/A</v>
      </c>
      <c r="L3175" t="e">
        <f ca="1">+_xlfn.IFNA(VLOOKUP(M3175,BespokeWindowsAreas!$B$2:$E$1999,4,FALSE),VLOOKUP(E3175,WindowTypeArea!$B$2:$C$113,2,FALSE))</f>
        <v>#N/A</v>
      </c>
      <c r="M3175" t="e">
        <f t="shared" ca="1" si="616"/>
        <v>#N/A</v>
      </c>
    </row>
    <row r="3176" spans="1:13" x14ac:dyDescent="0.25">
      <c r="A3176" t="e">
        <f t="shared" ca="1" si="614"/>
        <v>#N/A</v>
      </c>
      <c r="B3176" t="e">
        <f t="shared" ca="1" si="615"/>
        <v>#N/A</v>
      </c>
      <c r="C3176" t="e">
        <f t="shared" ca="1" si="605"/>
        <v>#N/A</v>
      </c>
      <c r="D3176" s="6" t="e">
        <f t="shared" ca="1" si="606"/>
        <v>#N/A</v>
      </c>
      <c r="E3176" t="e">
        <f t="shared" ca="1" si="607"/>
        <v>#N/A</v>
      </c>
      <c r="F3176" t="e">
        <f t="shared" ca="1" si="608"/>
        <v>#N/A</v>
      </c>
      <c r="G3176" t="e">
        <f t="shared" ca="1" si="609"/>
        <v>#N/A</v>
      </c>
      <c r="H3176" t="e">
        <f t="shared" ca="1" si="610"/>
        <v>#N/A</v>
      </c>
      <c r="I3176" t="e">
        <f t="shared" ca="1" si="611"/>
        <v>#N/A</v>
      </c>
      <c r="J3176" s="8" t="e">
        <f t="shared" ca="1" si="612"/>
        <v>#N/A</v>
      </c>
      <c r="K3176" s="9" t="e">
        <f t="shared" ca="1" si="613"/>
        <v>#N/A</v>
      </c>
      <c r="L3176" t="e">
        <f ca="1">+_xlfn.IFNA(VLOOKUP(M3176,BespokeWindowsAreas!$B$2:$E$1999,4,FALSE),VLOOKUP(E3176,WindowTypeArea!$B$2:$C$113,2,FALSE))</f>
        <v>#N/A</v>
      </c>
      <c r="M3176" t="e">
        <f t="shared" ca="1" si="616"/>
        <v>#N/A</v>
      </c>
    </row>
    <row r="3177" spans="1:13" x14ac:dyDescent="0.25">
      <c r="A3177" t="e">
        <f t="shared" ca="1" si="614"/>
        <v>#N/A</v>
      </c>
      <c r="B3177" t="e">
        <f t="shared" ca="1" si="615"/>
        <v>#N/A</v>
      </c>
      <c r="C3177" t="e">
        <f t="shared" ca="1" si="605"/>
        <v>#N/A</v>
      </c>
      <c r="D3177" s="6" t="e">
        <f t="shared" ca="1" si="606"/>
        <v>#N/A</v>
      </c>
      <c r="E3177" t="e">
        <f t="shared" ca="1" si="607"/>
        <v>#N/A</v>
      </c>
      <c r="F3177" t="e">
        <f t="shared" ca="1" si="608"/>
        <v>#N/A</v>
      </c>
      <c r="G3177" t="e">
        <f t="shared" ca="1" si="609"/>
        <v>#N/A</v>
      </c>
      <c r="H3177" t="e">
        <f t="shared" ca="1" si="610"/>
        <v>#N/A</v>
      </c>
      <c r="I3177" t="e">
        <f t="shared" ca="1" si="611"/>
        <v>#N/A</v>
      </c>
      <c r="J3177" s="8" t="e">
        <f t="shared" ca="1" si="612"/>
        <v>#N/A</v>
      </c>
      <c r="K3177" s="9" t="e">
        <f t="shared" ca="1" si="613"/>
        <v>#N/A</v>
      </c>
      <c r="L3177" t="e">
        <f ca="1">+_xlfn.IFNA(VLOOKUP(M3177,BespokeWindowsAreas!$B$2:$E$1999,4,FALSE),VLOOKUP(E3177,WindowTypeArea!$B$2:$C$113,2,FALSE))</f>
        <v>#N/A</v>
      </c>
      <c r="M3177" t="e">
        <f t="shared" ca="1" si="616"/>
        <v>#N/A</v>
      </c>
    </row>
    <row r="3178" spans="1:13" x14ac:dyDescent="0.25">
      <c r="A3178" t="e">
        <f t="shared" ca="1" si="614"/>
        <v>#N/A</v>
      </c>
      <c r="B3178" t="e">
        <f t="shared" ca="1" si="615"/>
        <v>#N/A</v>
      </c>
      <c r="C3178" t="e">
        <f t="shared" ca="1" si="605"/>
        <v>#N/A</v>
      </c>
      <c r="D3178" s="6" t="e">
        <f t="shared" ca="1" si="606"/>
        <v>#N/A</v>
      </c>
      <c r="E3178" t="e">
        <f t="shared" ca="1" si="607"/>
        <v>#N/A</v>
      </c>
      <c r="F3178" t="e">
        <f t="shared" ca="1" si="608"/>
        <v>#N/A</v>
      </c>
      <c r="G3178" t="e">
        <f t="shared" ca="1" si="609"/>
        <v>#N/A</v>
      </c>
      <c r="H3178" t="e">
        <f t="shared" ca="1" si="610"/>
        <v>#N/A</v>
      </c>
      <c r="I3178" t="e">
        <f t="shared" ca="1" si="611"/>
        <v>#N/A</v>
      </c>
      <c r="J3178" s="8" t="e">
        <f t="shared" ca="1" si="612"/>
        <v>#N/A</v>
      </c>
      <c r="K3178" s="9" t="e">
        <f t="shared" ca="1" si="613"/>
        <v>#N/A</v>
      </c>
      <c r="L3178" t="e">
        <f ca="1">+_xlfn.IFNA(VLOOKUP(M3178,BespokeWindowsAreas!$B$2:$E$1999,4,FALSE),VLOOKUP(E3178,WindowTypeArea!$B$2:$C$113,2,FALSE))</f>
        <v>#N/A</v>
      </c>
      <c r="M3178" t="e">
        <f t="shared" ca="1" si="616"/>
        <v>#N/A</v>
      </c>
    </row>
    <row r="3179" spans="1:13" x14ac:dyDescent="0.25">
      <c r="A3179" t="e">
        <f t="shared" ca="1" si="614"/>
        <v>#N/A</v>
      </c>
      <c r="B3179" t="e">
        <f t="shared" ca="1" si="615"/>
        <v>#N/A</v>
      </c>
      <c r="C3179" t="e">
        <f t="shared" ca="1" si="605"/>
        <v>#N/A</v>
      </c>
      <c r="D3179" s="6" t="e">
        <f t="shared" ca="1" si="606"/>
        <v>#N/A</v>
      </c>
      <c r="E3179" t="e">
        <f t="shared" ca="1" si="607"/>
        <v>#N/A</v>
      </c>
      <c r="F3179" t="e">
        <f t="shared" ca="1" si="608"/>
        <v>#N/A</v>
      </c>
      <c r="G3179" t="e">
        <f t="shared" ca="1" si="609"/>
        <v>#N/A</v>
      </c>
      <c r="H3179" t="e">
        <f t="shared" ca="1" si="610"/>
        <v>#N/A</v>
      </c>
      <c r="I3179" t="e">
        <f t="shared" ca="1" si="611"/>
        <v>#N/A</v>
      </c>
      <c r="J3179" s="8" t="e">
        <f t="shared" ca="1" si="612"/>
        <v>#N/A</v>
      </c>
      <c r="K3179" s="9" t="e">
        <f t="shared" ca="1" si="613"/>
        <v>#N/A</v>
      </c>
      <c r="L3179" t="e">
        <f ca="1">+_xlfn.IFNA(VLOOKUP(M3179,BespokeWindowsAreas!$B$2:$E$1999,4,FALSE),VLOOKUP(E3179,WindowTypeArea!$B$2:$C$113,2,FALSE))</f>
        <v>#N/A</v>
      </c>
      <c r="M3179" t="e">
        <f t="shared" ca="1" si="616"/>
        <v>#N/A</v>
      </c>
    </row>
    <row r="3180" spans="1:13" x14ac:dyDescent="0.25">
      <c r="A3180" t="e">
        <f t="shared" ca="1" si="614"/>
        <v>#N/A</v>
      </c>
      <c r="B3180" t="e">
        <f t="shared" ca="1" si="615"/>
        <v>#N/A</v>
      </c>
      <c r="C3180" t="e">
        <f t="shared" ca="1" si="605"/>
        <v>#N/A</v>
      </c>
      <c r="D3180" s="6" t="e">
        <f t="shared" ca="1" si="606"/>
        <v>#N/A</v>
      </c>
      <c r="E3180" t="e">
        <f t="shared" ca="1" si="607"/>
        <v>#N/A</v>
      </c>
      <c r="F3180" t="e">
        <f t="shared" ca="1" si="608"/>
        <v>#N/A</v>
      </c>
      <c r="G3180" t="e">
        <f t="shared" ca="1" si="609"/>
        <v>#N/A</v>
      </c>
      <c r="H3180" t="e">
        <f t="shared" ca="1" si="610"/>
        <v>#N/A</v>
      </c>
      <c r="I3180" t="e">
        <f t="shared" ca="1" si="611"/>
        <v>#N/A</v>
      </c>
      <c r="J3180" s="8" t="e">
        <f t="shared" ca="1" si="612"/>
        <v>#N/A</v>
      </c>
      <c r="K3180" s="9" t="e">
        <f t="shared" ca="1" si="613"/>
        <v>#N/A</v>
      </c>
      <c r="L3180" t="e">
        <f ca="1">+_xlfn.IFNA(VLOOKUP(M3180,BespokeWindowsAreas!$B$2:$E$1999,4,FALSE),VLOOKUP(E3180,WindowTypeArea!$B$2:$C$113,2,FALSE))</f>
        <v>#N/A</v>
      </c>
      <c r="M3180" t="e">
        <f t="shared" ca="1" si="616"/>
        <v>#N/A</v>
      </c>
    </row>
    <row r="3181" spans="1:13" x14ac:dyDescent="0.25">
      <c r="A3181" t="e">
        <f t="shared" ca="1" si="614"/>
        <v>#N/A</v>
      </c>
      <c r="B3181" t="e">
        <f t="shared" ca="1" si="615"/>
        <v>#N/A</v>
      </c>
      <c r="C3181" t="e">
        <f t="shared" ca="1" si="605"/>
        <v>#N/A</v>
      </c>
      <c r="D3181" s="6" t="e">
        <f t="shared" ca="1" si="606"/>
        <v>#N/A</v>
      </c>
      <c r="E3181" t="e">
        <f t="shared" ca="1" si="607"/>
        <v>#N/A</v>
      </c>
      <c r="F3181" t="e">
        <f t="shared" ca="1" si="608"/>
        <v>#N/A</v>
      </c>
      <c r="G3181" t="e">
        <f t="shared" ca="1" si="609"/>
        <v>#N/A</v>
      </c>
      <c r="H3181" t="e">
        <f t="shared" ca="1" si="610"/>
        <v>#N/A</v>
      </c>
      <c r="I3181" t="e">
        <f t="shared" ca="1" si="611"/>
        <v>#N/A</v>
      </c>
      <c r="J3181" s="8" t="e">
        <f t="shared" ca="1" si="612"/>
        <v>#N/A</v>
      </c>
      <c r="K3181" s="9" t="e">
        <f t="shared" ca="1" si="613"/>
        <v>#N/A</v>
      </c>
      <c r="L3181" t="e">
        <f ca="1">+_xlfn.IFNA(VLOOKUP(M3181,BespokeWindowsAreas!$B$2:$E$1999,4,FALSE),VLOOKUP(E3181,WindowTypeArea!$B$2:$C$113,2,FALSE))</f>
        <v>#N/A</v>
      </c>
      <c r="M3181" t="e">
        <f t="shared" ca="1" si="616"/>
        <v>#N/A</v>
      </c>
    </row>
    <row r="3182" spans="1:13" x14ac:dyDescent="0.25">
      <c r="A3182" t="e">
        <f t="shared" ca="1" si="614"/>
        <v>#N/A</v>
      </c>
      <c r="B3182" t="e">
        <f t="shared" ca="1" si="615"/>
        <v>#N/A</v>
      </c>
      <c r="C3182" t="e">
        <f t="shared" ca="1" si="605"/>
        <v>#N/A</v>
      </c>
      <c r="D3182" s="6" t="e">
        <f t="shared" ca="1" si="606"/>
        <v>#N/A</v>
      </c>
      <c r="E3182" t="e">
        <f t="shared" ca="1" si="607"/>
        <v>#N/A</v>
      </c>
      <c r="F3182" t="e">
        <f t="shared" ca="1" si="608"/>
        <v>#N/A</v>
      </c>
      <c r="G3182" t="e">
        <f t="shared" ca="1" si="609"/>
        <v>#N/A</v>
      </c>
      <c r="H3182" t="e">
        <f t="shared" ca="1" si="610"/>
        <v>#N/A</v>
      </c>
      <c r="I3182" t="e">
        <f t="shared" ca="1" si="611"/>
        <v>#N/A</v>
      </c>
      <c r="J3182" s="8" t="e">
        <f t="shared" ca="1" si="612"/>
        <v>#N/A</v>
      </c>
      <c r="K3182" s="9" t="e">
        <f t="shared" ca="1" si="613"/>
        <v>#N/A</v>
      </c>
      <c r="L3182" t="e">
        <f ca="1">+_xlfn.IFNA(VLOOKUP(M3182,BespokeWindowsAreas!$B$2:$E$1999,4,FALSE),VLOOKUP(E3182,WindowTypeArea!$B$2:$C$113,2,FALSE))</f>
        <v>#N/A</v>
      </c>
      <c r="M3182" t="e">
        <f t="shared" ca="1" si="616"/>
        <v>#N/A</v>
      </c>
    </row>
    <row r="3183" spans="1:13" x14ac:dyDescent="0.25">
      <c r="A3183" t="e">
        <f t="shared" ca="1" si="614"/>
        <v>#N/A</v>
      </c>
      <c r="B3183" t="e">
        <f t="shared" ca="1" si="615"/>
        <v>#N/A</v>
      </c>
      <c r="C3183" t="e">
        <f t="shared" ca="1" si="605"/>
        <v>#N/A</v>
      </c>
      <c r="D3183" s="6" t="e">
        <f t="shared" ca="1" si="606"/>
        <v>#N/A</v>
      </c>
      <c r="E3183" t="e">
        <f t="shared" ca="1" si="607"/>
        <v>#N/A</v>
      </c>
      <c r="F3183" t="e">
        <f t="shared" ca="1" si="608"/>
        <v>#N/A</v>
      </c>
      <c r="G3183" t="e">
        <f t="shared" ca="1" si="609"/>
        <v>#N/A</v>
      </c>
      <c r="H3183" t="e">
        <f t="shared" ca="1" si="610"/>
        <v>#N/A</v>
      </c>
      <c r="I3183" t="e">
        <f t="shared" ca="1" si="611"/>
        <v>#N/A</v>
      </c>
      <c r="J3183" s="8" t="e">
        <f t="shared" ca="1" si="612"/>
        <v>#N/A</v>
      </c>
      <c r="K3183" s="9" t="e">
        <f t="shared" ca="1" si="613"/>
        <v>#N/A</v>
      </c>
      <c r="L3183" t="e">
        <f ca="1">+_xlfn.IFNA(VLOOKUP(M3183,BespokeWindowsAreas!$B$2:$E$1999,4,FALSE),VLOOKUP(E3183,WindowTypeArea!$B$2:$C$113,2,FALSE))</f>
        <v>#N/A</v>
      </c>
      <c r="M3183" t="e">
        <f t="shared" ca="1" si="616"/>
        <v>#N/A</v>
      </c>
    </row>
    <row r="3184" spans="1:13" x14ac:dyDescent="0.25">
      <c r="A3184" t="e">
        <f t="shared" ca="1" si="614"/>
        <v>#N/A</v>
      </c>
      <c r="B3184" t="e">
        <f t="shared" ca="1" si="615"/>
        <v>#N/A</v>
      </c>
      <c r="C3184" t="e">
        <f t="shared" ca="1" si="605"/>
        <v>#N/A</v>
      </c>
      <c r="D3184" s="6" t="e">
        <f t="shared" ca="1" si="606"/>
        <v>#N/A</v>
      </c>
      <c r="E3184" t="e">
        <f t="shared" ca="1" si="607"/>
        <v>#N/A</v>
      </c>
      <c r="F3184" t="e">
        <f t="shared" ca="1" si="608"/>
        <v>#N/A</v>
      </c>
      <c r="G3184" t="e">
        <f t="shared" ca="1" si="609"/>
        <v>#N/A</v>
      </c>
      <c r="H3184" t="e">
        <f t="shared" ca="1" si="610"/>
        <v>#N/A</v>
      </c>
      <c r="I3184" t="e">
        <f t="shared" ca="1" si="611"/>
        <v>#N/A</v>
      </c>
      <c r="J3184" s="8" t="e">
        <f t="shared" ca="1" si="612"/>
        <v>#N/A</v>
      </c>
      <c r="K3184" s="9" t="e">
        <f t="shared" ca="1" si="613"/>
        <v>#N/A</v>
      </c>
      <c r="L3184" t="e">
        <f ca="1">+_xlfn.IFNA(VLOOKUP(M3184,BespokeWindowsAreas!$B$2:$E$1999,4,FALSE),VLOOKUP(E3184,WindowTypeArea!$B$2:$C$113,2,FALSE))</f>
        <v>#N/A</v>
      </c>
      <c r="M3184" t="e">
        <f t="shared" ca="1" si="616"/>
        <v>#N/A</v>
      </c>
    </row>
    <row r="3185" spans="1:13" x14ac:dyDescent="0.25">
      <c r="A3185" t="e">
        <f t="shared" ca="1" si="614"/>
        <v>#N/A</v>
      </c>
      <c r="B3185" t="e">
        <f t="shared" ca="1" si="615"/>
        <v>#N/A</v>
      </c>
      <c r="C3185" t="e">
        <f t="shared" ca="1" si="605"/>
        <v>#N/A</v>
      </c>
      <c r="D3185" s="6" t="e">
        <f t="shared" ca="1" si="606"/>
        <v>#N/A</v>
      </c>
      <c r="E3185" t="e">
        <f t="shared" ca="1" si="607"/>
        <v>#N/A</v>
      </c>
      <c r="F3185" t="e">
        <f t="shared" ca="1" si="608"/>
        <v>#N/A</v>
      </c>
      <c r="G3185" t="e">
        <f t="shared" ca="1" si="609"/>
        <v>#N/A</v>
      </c>
      <c r="H3185" t="e">
        <f t="shared" ca="1" si="610"/>
        <v>#N/A</v>
      </c>
      <c r="I3185" t="e">
        <f t="shared" ca="1" si="611"/>
        <v>#N/A</v>
      </c>
      <c r="J3185" s="8" t="e">
        <f t="shared" ca="1" si="612"/>
        <v>#N/A</v>
      </c>
      <c r="K3185" s="9" t="e">
        <f t="shared" ca="1" si="613"/>
        <v>#N/A</v>
      </c>
      <c r="L3185" t="e">
        <f ca="1">+_xlfn.IFNA(VLOOKUP(M3185,BespokeWindowsAreas!$B$2:$E$1999,4,FALSE),VLOOKUP(E3185,WindowTypeArea!$B$2:$C$113,2,FALSE))</f>
        <v>#N/A</v>
      </c>
      <c r="M3185" t="e">
        <f t="shared" ca="1" si="616"/>
        <v>#N/A</v>
      </c>
    </row>
    <row r="3186" spans="1:13" x14ac:dyDescent="0.25">
      <c r="A3186" t="e">
        <f t="shared" ca="1" si="614"/>
        <v>#N/A</v>
      </c>
      <c r="B3186" t="e">
        <f t="shared" ca="1" si="615"/>
        <v>#N/A</v>
      </c>
      <c r="C3186" t="e">
        <f t="shared" ca="1" si="605"/>
        <v>#N/A</v>
      </c>
      <c r="D3186" s="6" t="e">
        <f t="shared" ca="1" si="606"/>
        <v>#N/A</v>
      </c>
      <c r="E3186" t="e">
        <f t="shared" ca="1" si="607"/>
        <v>#N/A</v>
      </c>
      <c r="F3186" t="e">
        <f t="shared" ca="1" si="608"/>
        <v>#N/A</v>
      </c>
      <c r="G3186" t="e">
        <f t="shared" ca="1" si="609"/>
        <v>#N/A</v>
      </c>
      <c r="H3186" t="e">
        <f t="shared" ca="1" si="610"/>
        <v>#N/A</v>
      </c>
      <c r="I3186" t="e">
        <f t="shared" ca="1" si="611"/>
        <v>#N/A</v>
      </c>
      <c r="J3186" s="8" t="e">
        <f t="shared" ca="1" si="612"/>
        <v>#N/A</v>
      </c>
      <c r="K3186" s="9" t="e">
        <f t="shared" ca="1" si="613"/>
        <v>#N/A</v>
      </c>
      <c r="L3186" t="e">
        <f ca="1">+_xlfn.IFNA(VLOOKUP(M3186,BespokeWindowsAreas!$B$2:$E$1999,4,FALSE),VLOOKUP(E3186,WindowTypeArea!$B$2:$C$113,2,FALSE))</f>
        <v>#N/A</v>
      </c>
      <c r="M3186" t="e">
        <f t="shared" ca="1" si="616"/>
        <v>#N/A</v>
      </c>
    </row>
    <row r="3187" spans="1:13" x14ac:dyDescent="0.25">
      <c r="A3187" t="e">
        <f t="shared" ca="1" si="614"/>
        <v>#N/A</v>
      </c>
      <c r="B3187" t="e">
        <f t="shared" ca="1" si="615"/>
        <v>#N/A</v>
      </c>
      <c r="C3187" t="e">
        <f t="shared" ca="1" si="605"/>
        <v>#N/A</v>
      </c>
      <c r="D3187" s="6" t="e">
        <f t="shared" ca="1" si="606"/>
        <v>#N/A</v>
      </c>
      <c r="E3187" t="e">
        <f t="shared" ca="1" si="607"/>
        <v>#N/A</v>
      </c>
      <c r="F3187" t="e">
        <f t="shared" ca="1" si="608"/>
        <v>#N/A</v>
      </c>
      <c r="G3187" t="e">
        <f t="shared" ca="1" si="609"/>
        <v>#N/A</v>
      </c>
      <c r="H3187" t="e">
        <f t="shared" ca="1" si="610"/>
        <v>#N/A</v>
      </c>
      <c r="I3187" t="e">
        <f t="shared" ca="1" si="611"/>
        <v>#N/A</v>
      </c>
      <c r="J3187" s="8" t="e">
        <f t="shared" ca="1" si="612"/>
        <v>#N/A</v>
      </c>
      <c r="K3187" s="9" t="e">
        <f t="shared" ca="1" si="613"/>
        <v>#N/A</v>
      </c>
      <c r="L3187" t="e">
        <f ca="1">+_xlfn.IFNA(VLOOKUP(M3187,BespokeWindowsAreas!$B$2:$E$1999,4,FALSE),VLOOKUP(E3187,WindowTypeArea!$B$2:$C$113,2,FALSE))</f>
        <v>#N/A</v>
      </c>
      <c r="M3187" t="e">
        <f t="shared" ca="1" si="616"/>
        <v>#N/A</v>
      </c>
    </row>
    <row r="3188" spans="1:13" x14ac:dyDescent="0.25">
      <c r="A3188" t="e">
        <f t="shared" ca="1" si="614"/>
        <v>#N/A</v>
      </c>
      <c r="B3188" t="e">
        <f t="shared" ca="1" si="615"/>
        <v>#N/A</v>
      </c>
      <c r="C3188" t="e">
        <f t="shared" ca="1" si="605"/>
        <v>#N/A</v>
      </c>
      <c r="D3188" s="6" t="e">
        <f t="shared" ca="1" si="606"/>
        <v>#N/A</v>
      </c>
      <c r="E3188" t="e">
        <f t="shared" ca="1" si="607"/>
        <v>#N/A</v>
      </c>
      <c r="F3188" t="e">
        <f t="shared" ca="1" si="608"/>
        <v>#N/A</v>
      </c>
      <c r="G3188" t="e">
        <f t="shared" ca="1" si="609"/>
        <v>#N/A</v>
      </c>
      <c r="H3188" t="e">
        <f t="shared" ca="1" si="610"/>
        <v>#N/A</v>
      </c>
      <c r="I3188" t="e">
        <f t="shared" ca="1" si="611"/>
        <v>#N/A</v>
      </c>
      <c r="J3188" s="8" t="e">
        <f t="shared" ca="1" si="612"/>
        <v>#N/A</v>
      </c>
      <c r="K3188" s="9" t="e">
        <f t="shared" ca="1" si="613"/>
        <v>#N/A</v>
      </c>
      <c r="L3188" t="e">
        <f ca="1">+_xlfn.IFNA(VLOOKUP(M3188,BespokeWindowsAreas!$B$2:$E$1999,4,FALSE),VLOOKUP(E3188,WindowTypeArea!$B$2:$C$113,2,FALSE))</f>
        <v>#N/A</v>
      </c>
      <c r="M3188" t="e">
        <f t="shared" ca="1" si="616"/>
        <v>#N/A</v>
      </c>
    </row>
    <row r="3189" spans="1:13" x14ac:dyDescent="0.25">
      <c r="A3189" t="e">
        <f t="shared" ca="1" si="614"/>
        <v>#N/A</v>
      </c>
      <c r="B3189" t="e">
        <f t="shared" ca="1" si="615"/>
        <v>#N/A</v>
      </c>
      <c r="C3189" t="e">
        <f t="shared" ca="1" si="605"/>
        <v>#N/A</v>
      </c>
      <c r="D3189" s="6" t="e">
        <f t="shared" ca="1" si="606"/>
        <v>#N/A</v>
      </c>
      <c r="E3189" t="e">
        <f t="shared" ca="1" si="607"/>
        <v>#N/A</v>
      </c>
      <c r="F3189" t="e">
        <f t="shared" ca="1" si="608"/>
        <v>#N/A</v>
      </c>
      <c r="G3189" t="e">
        <f t="shared" ca="1" si="609"/>
        <v>#N/A</v>
      </c>
      <c r="H3189" t="e">
        <f t="shared" ca="1" si="610"/>
        <v>#N/A</v>
      </c>
      <c r="I3189" t="e">
        <f t="shared" ca="1" si="611"/>
        <v>#N/A</v>
      </c>
      <c r="J3189" s="8" t="e">
        <f t="shared" ca="1" si="612"/>
        <v>#N/A</v>
      </c>
      <c r="K3189" s="9" t="e">
        <f t="shared" ca="1" si="613"/>
        <v>#N/A</v>
      </c>
      <c r="L3189" t="e">
        <f ca="1">+_xlfn.IFNA(VLOOKUP(M3189,BespokeWindowsAreas!$B$2:$E$1999,4,FALSE),VLOOKUP(E3189,WindowTypeArea!$B$2:$C$113,2,FALSE))</f>
        <v>#N/A</v>
      </c>
      <c r="M3189" t="e">
        <f t="shared" ca="1" si="616"/>
        <v>#N/A</v>
      </c>
    </row>
    <row r="3190" spans="1:13" x14ac:dyDescent="0.25">
      <c r="A3190" t="e">
        <f t="shared" ca="1" si="614"/>
        <v>#N/A</v>
      </c>
      <c r="B3190" t="e">
        <f t="shared" ca="1" si="615"/>
        <v>#N/A</v>
      </c>
      <c r="C3190" t="e">
        <f t="shared" ca="1" si="605"/>
        <v>#N/A</v>
      </c>
      <c r="D3190" s="6" t="e">
        <f t="shared" ca="1" si="606"/>
        <v>#N/A</v>
      </c>
      <c r="E3190" t="e">
        <f t="shared" ca="1" si="607"/>
        <v>#N/A</v>
      </c>
      <c r="F3190" t="e">
        <f t="shared" ca="1" si="608"/>
        <v>#N/A</v>
      </c>
      <c r="G3190" t="e">
        <f t="shared" ca="1" si="609"/>
        <v>#N/A</v>
      </c>
      <c r="H3190" t="e">
        <f t="shared" ca="1" si="610"/>
        <v>#N/A</v>
      </c>
      <c r="I3190" t="e">
        <f t="shared" ca="1" si="611"/>
        <v>#N/A</v>
      </c>
      <c r="J3190" s="8" t="e">
        <f t="shared" ca="1" si="612"/>
        <v>#N/A</v>
      </c>
      <c r="K3190" s="9" t="e">
        <f t="shared" ca="1" si="613"/>
        <v>#N/A</v>
      </c>
      <c r="L3190" t="e">
        <f ca="1">+_xlfn.IFNA(VLOOKUP(M3190,BespokeWindowsAreas!$B$2:$E$1999,4,FALSE),VLOOKUP(E3190,WindowTypeArea!$B$2:$C$113,2,FALSE))</f>
        <v>#N/A</v>
      </c>
      <c r="M3190" t="e">
        <f t="shared" ca="1" si="616"/>
        <v>#N/A</v>
      </c>
    </row>
    <row r="3191" spans="1:13" x14ac:dyDescent="0.25">
      <c r="A3191" t="e">
        <f t="shared" ca="1" si="614"/>
        <v>#N/A</v>
      </c>
      <c r="B3191" t="e">
        <f t="shared" ca="1" si="615"/>
        <v>#N/A</v>
      </c>
      <c r="C3191" t="e">
        <f t="shared" ca="1" si="605"/>
        <v>#N/A</v>
      </c>
      <c r="D3191" s="6" t="e">
        <f t="shared" ca="1" si="606"/>
        <v>#N/A</v>
      </c>
      <c r="E3191" t="e">
        <f t="shared" ca="1" si="607"/>
        <v>#N/A</v>
      </c>
      <c r="F3191" t="e">
        <f t="shared" ca="1" si="608"/>
        <v>#N/A</v>
      </c>
      <c r="G3191" t="e">
        <f t="shared" ca="1" si="609"/>
        <v>#N/A</v>
      </c>
      <c r="H3191" t="e">
        <f t="shared" ca="1" si="610"/>
        <v>#N/A</v>
      </c>
      <c r="I3191" t="e">
        <f t="shared" ca="1" si="611"/>
        <v>#N/A</v>
      </c>
      <c r="J3191" s="8" t="e">
        <f t="shared" ca="1" si="612"/>
        <v>#N/A</v>
      </c>
      <c r="K3191" s="9" t="e">
        <f t="shared" ca="1" si="613"/>
        <v>#N/A</v>
      </c>
      <c r="L3191" t="e">
        <f ca="1">+_xlfn.IFNA(VLOOKUP(M3191,BespokeWindowsAreas!$B$2:$E$1999,4,FALSE),VLOOKUP(E3191,WindowTypeArea!$B$2:$C$113,2,FALSE))</f>
        <v>#N/A</v>
      </c>
      <c r="M3191" t="e">
        <f t="shared" ca="1" si="616"/>
        <v>#N/A</v>
      </c>
    </row>
    <row r="3192" spans="1:13" x14ac:dyDescent="0.25">
      <c r="A3192" t="e">
        <f t="shared" ca="1" si="614"/>
        <v>#N/A</v>
      </c>
      <c r="B3192" t="e">
        <f t="shared" ca="1" si="615"/>
        <v>#N/A</v>
      </c>
      <c r="C3192" t="e">
        <f t="shared" ca="1" si="605"/>
        <v>#N/A</v>
      </c>
      <c r="D3192" s="6" t="e">
        <f t="shared" ca="1" si="606"/>
        <v>#N/A</v>
      </c>
      <c r="E3192" t="e">
        <f t="shared" ca="1" si="607"/>
        <v>#N/A</v>
      </c>
      <c r="F3192" t="e">
        <f t="shared" ca="1" si="608"/>
        <v>#N/A</v>
      </c>
      <c r="G3192" t="e">
        <f t="shared" ca="1" si="609"/>
        <v>#N/A</v>
      </c>
      <c r="H3192" t="e">
        <f t="shared" ca="1" si="610"/>
        <v>#N/A</v>
      </c>
      <c r="I3192" t="e">
        <f t="shared" ca="1" si="611"/>
        <v>#N/A</v>
      </c>
      <c r="J3192" s="8" t="e">
        <f t="shared" ca="1" si="612"/>
        <v>#N/A</v>
      </c>
      <c r="K3192" s="9" t="e">
        <f t="shared" ca="1" si="613"/>
        <v>#N/A</v>
      </c>
      <c r="L3192" t="e">
        <f ca="1">+_xlfn.IFNA(VLOOKUP(M3192,BespokeWindowsAreas!$B$2:$E$1999,4,FALSE),VLOOKUP(E3192,WindowTypeArea!$B$2:$C$113,2,FALSE))</f>
        <v>#N/A</v>
      </c>
      <c r="M3192" t="e">
        <f t="shared" ca="1" si="616"/>
        <v>#N/A</v>
      </c>
    </row>
    <row r="3193" spans="1:13" x14ac:dyDescent="0.25">
      <c r="A3193" t="e">
        <f t="shared" ca="1" si="614"/>
        <v>#N/A</v>
      </c>
      <c r="B3193" t="e">
        <f t="shared" ca="1" si="615"/>
        <v>#N/A</v>
      </c>
      <c r="C3193" t="e">
        <f t="shared" ca="1" si="605"/>
        <v>#N/A</v>
      </c>
      <c r="D3193" s="6" t="e">
        <f t="shared" ca="1" si="606"/>
        <v>#N/A</v>
      </c>
      <c r="E3193" t="e">
        <f t="shared" ca="1" si="607"/>
        <v>#N/A</v>
      </c>
      <c r="F3193" t="e">
        <f t="shared" ca="1" si="608"/>
        <v>#N/A</v>
      </c>
      <c r="G3193" t="e">
        <f t="shared" ca="1" si="609"/>
        <v>#N/A</v>
      </c>
      <c r="H3193" t="e">
        <f t="shared" ca="1" si="610"/>
        <v>#N/A</v>
      </c>
      <c r="I3193" t="e">
        <f t="shared" ca="1" si="611"/>
        <v>#N/A</v>
      </c>
      <c r="J3193" s="8" t="e">
        <f t="shared" ca="1" si="612"/>
        <v>#N/A</v>
      </c>
      <c r="K3193" s="9" t="e">
        <f t="shared" ca="1" si="613"/>
        <v>#N/A</v>
      </c>
      <c r="L3193" t="e">
        <f ca="1">+_xlfn.IFNA(VLOOKUP(M3193,BespokeWindowsAreas!$B$2:$E$1999,4,FALSE),VLOOKUP(E3193,WindowTypeArea!$B$2:$C$113,2,FALSE))</f>
        <v>#N/A</v>
      </c>
      <c r="M3193" t="e">
        <f t="shared" ca="1" si="616"/>
        <v>#N/A</v>
      </c>
    </row>
    <row r="3194" spans="1:13" x14ac:dyDescent="0.25">
      <c r="A3194" t="e">
        <f t="shared" ca="1" si="614"/>
        <v>#N/A</v>
      </c>
      <c r="B3194" t="e">
        <f t="shared" ca="1" si="615"/>
        <v>#N/A</v>
      </c>
      <c r="C3194" t="e">
        <f t="shared" ca="1" si="605"/>
        <v>#N/A</v>
      </c>
      <c r="D3194" s="6" t="e">
        <f t="shared" ca="1" si="606"/>
        <v>#N/A</v>
      </c>
      <c r="E3194" t="e">
        <f t="shared" ca="1" si="607"/>
        <v>#N/A</v>
      </c>
      <c r="F3194" t="e">
        <f t="shared" ca="1" si="608"/>
        <v>#N/A</v>
      </c>
      <c r="G3194" t="e">
        <f t="shared" ca="1" si="609"/>
        <v>#N/A</v>
      </c>
      <c r="H3194" t="e">
        <f t="shared" ca="1" si="610"/>
        <v>#N/A</v>
      </c>
      <c r="I3194" t="e">
        <f t="shared" ca="1" si="611"/>
        <v>#N/A</v>
      </c>
      <c r="J3194" s="8" t="e">
        <f t="shared" ca="1" si="612"/>
        <v>#N/A</v>
      </c>
      <c r="K3194" s="9" t="e">
        <f t="shared" ca="1" si="613"/>
        <v>#N/A</v>
      </c>
      <c r="L3194" t="e">
        <f ca="1">+_xlfn.IFNA(VLOOKUP(M3194,BespokeWindowsAreas!$B$2:$E$1999,4,FALSE),VLOOKUP(E3194,WindowTypeArea!$B$2:$C$113,2,FALSE))</f>
        <v>#N/A</v>
      </c>
      <c r="M3194" t="e">
        <f t="shared" ca="1" si="616"/>
        <v>#N/A</v>
      </c>
    </row>
    <row r="3195" spans="1:13" x14ac:dyDescent="0.25">
      <c r="A3195" t="e">
        <f t="shared" ca="1" si="614"/>
        <v>#N/A</v>
      </c>
      <c r="B3195" t="e">
        <f t="shared" ca="1" si="615"/>
        <v>#N/A</v>
      </c>
      <c r="C3195" t="e">
        <f t="shared" ca="1" si="605"/>
        <v>#N/A</v>
      </c>
      <c r="D3195" s="6" t="e">
        <f t="shared" ca="1" si="606"/>
        <v>#N/A</v>
      </c>
      <c r="E3195" t="e">
        <f t="shared" ca="1" si="607"/>
        <v>#N/A</v>
      </c>
      <c r="F3195" t="e">
        <f t="shared" ca="1" si="608"/>
        <v>#N/A</v>
      </c>
      <c r="G3195" t="e">
        <f t="shared" ca="1" si="609"/>
        <v>#N/A</v>
      </c>
      <c r="H3195" t="e">
        <f t="shared" ca="1" si="610"/>
        <v>#N/A</v>
      </c>
      <c r="I3195" t="e">
        <f t="shared" ca="1" si="611"/>
        <v>#N/A</v>
      </c>
      <c r="J3195" s="8" t="e">
        <f t="shared" ca="1" si="612"/>
        <v>#N/A</v>
      </c>
      <c r="K3195" s="9" t="e">
        <f t="shared" ca="1" si="613"/>
        <v>#N/A</v>
      </c>
      <c r="L3195" t="e">
        <f ca="1">+_xlfn.IFNA(VLOOKUP(M3195,BespokeWindowsAreas!$B$2:$E$1999,4,FALSE),VLOOKUP(E3195,WindowTypeArea!$B$2:$C$113,2,FALSE))</f>
        <v>#N/A</v>
      </c>
      <c r="M3195" t="e">
        <f t="shared" ca="1" si="616"/>
        <v>#N/A</v>
      </c>
    </row>
    <row r="3196" spans="1:13" x14ac:dyDescent="0.25">
      <c r="A3196" t="e">
        <f t="shared" ca="1" si="614"/>
        <v>#N/A</v>
      </c>
      <c r="B3196" t="e">
        <f t="shared" ca="1" si="615"/>
        <v>#N/A</v>
      </c>
      <c r="C3196" t="e">
        <f t="shared" ca="1" si="605"/>
        <v>#N/A</v>
      </c>
      <c r="D3196" s="6" t="e">
        <f t="shared" ca="1" si="606"/>
        <v>#N/A</v>
      </c>
      <c r="E3196" t="e">
        <f t="shared" ca="1" si="607"/>
        <v>#N/A</v>
      </c>
      <c r="F3196" t="e">
        <f t="shared" ca="1" si="608"/>
        <v>#N/A</v>
      </c>
      <c r="G3196" t="e">
        <f t="shared" ca="1" si="609"/>
        <v>#N/A</v>
      </c>
      <c r="H3196" t="e">
        <f t="shared" ca="1" si="610"/>
        <v>#N/A</v>
      </c>
      <c r="I3196" t="e">
        <f t="shared" ca="1" si="611"/>
        <v>#N/A</v>
      </c>
      <c r="J3196" s="8" t="e">
        <f t="shared" ca="1" si="612"/>
        <v>#N/A</v>
      </c>
      <c r="K3196" s="9" t="e">
        <f t="shared" ca="1" si="613"/>
        <v>#N/A</v>
      </c>
      <c r="L3196" t="e">
        <f ca="1">+_xlfn.IFNA(VLOOKUP(M3196,BespokeWindowsAreas!$B$2:$E$1999,4,FALSE),VLOOKUP(E3196,WindowTypeArea!$B$2:$C$113,2,FALSE))</f>
        <v>#N/A</v>
      </c>
      <c r="M3196" t="e">
        <f t="shared" ca="1" si="616"/>
        <v>#N/A</v>
      </c>
    </row>
    <row r="3197" spans="1:13" x14ac:dyDescent="0.25">
      <c r="A3197" t="e">
        <f t="shared" ca="1" si="614"/>
        <v>#N/A</v>
      </c>
      <c r="B3197" t="e">
        <f t="shared" ca="1" si="615"/>
        <v>#N/A</v>
      </c>
      <c r="C3197" t="e">
        <f t="shared" ca="1" si="605"/>
        <v>#N/A</v>
      </c>
      <c r="D3197" s="6" t="e">
        <f t="shared" ca="1" si="606"/>
        <v>#N/A</v>
      </c>
      <c r="E3197" t="e">
        <f t="shared" ca="1" si="607"/>
        <v>#N/A</v>
      </c>
      <c r="F3197" t="e">
        <f t="shared" ca="1" si="608"/>
        <v>#N/A</v>
      </c>
      <c r="G3197" t="e">
        <f t="shared" ca="1" si="609"/>
        <v>#N/A</v>
      </c>
      <c r="H3197" t="e">
        <f t="shared" ca="1" si="610"/>
        <v>#N/A</v>
      </c>
      <c r="I3197" t="e">
        <f t="shared" ca="1" si="611"/>
        <v>#N/A</v>
      </c>
      <c r="J3197" s="8" t="e">
        <f t="shared" ca="1" si="612"/>
        <v>#N/A</v>
      </c>
      <c r="K3197" s="9" t="e">
        <f t="shared" ca="1" si="613"/>
        <v>#N/A</v>
      </c>
      <c r="L3197" t="e">
        <f ca="1">+_xlfn.IFNA(VLOOKUP(M3197,BespokeWindowsAreas!$B$2:$E$1999,4,FALSE),VLOOKUP(E3197,WindowTypeArea!$B$2:$C$113,2,FALSE))</f>
        <v>#N/A</v>
      </c>
      <c r="M3197" t="e">
        <f t="shared" ca="1" si="616"/>
        <v>#N/A</v>
      </c>
    </row>
    <row r="3198" spans="1:13" x14ac:dyDescent="0.25">
      <c r="A3198" t="e">
        <f t="shared" ca="1" si="614"/>
        <v>#N/A</v>
      </c>
      <c r="B3198" t="e">
        <f t="shared" ca="1" si="615"/>
        <v>#N/A</v>
      </c>
      <c r="C3198" t="e">
        <f t="shared" ca="1" si="605"/>
        <v>#N/A</v>
      </c>
      <c r="D3198" s="6" t="e">
        <f t="shared" ca="1" si="606"/>
        <v>#N/A</v>
      </c>
      <c r="E3198" t="e">
        <f t="shared" ca="1" si="607"/>
        <v>#N/A</v>
      </c>
      <c r="F3198" t="e">
        <f t="shared" ca="1" si="608"/>
        <v>#N/A</v>
      </c>
      <c r="G3198" t="e">
        <f t="shared" ca="1" si="609"/>
        <v>#N/A</v>
      </c>
      <c r="H3198" t="e">
        <f t="shared" ca="1" si="610"/>
        <v>#N/A</v>
      </c>
      <c r="I3198" t="e">
        <f t="shared" ca="1" si="611"/>
        <v>#N/A</v>
      </c>
      <c r="J3198" s="8" t="e">
        <f t="shared" ca="1" si="612"/>
        <v>#N/A</v>
      </c>
      <c r="K3198" s="9" t="e">
        <f t="shared" ca="1" si="613"/>
        <v>#N/A</v>
      </c>
      <c r="L3198" t="e">
        <f ca="1">+_xlfn.IFNA(VLOOKUP(M3198,BespokeWindowsAreas!$B$2:$E$1999,4,FALSE),VLOOKUP(E3198,WindowTypeArea!$B$2:$C$113,2,FALSE))</f>
        <v>#N/A</v>
      </c>
      <c r="M3198" t="e">
        <f t="shared" ca="1" si="616"/>
        <v>#N/A</v>
      </c>
    </row>
    <row r="3199" spans="1:13" x14ac:dyDescent="0.25">
      <c r="A3199" t="e">
        <f t="shared" ca="1" si="614"/>
        <v>#N/A</v>
      </c>
      <c r="B3199" t="e">
        <f t="shared" ca="1" si="615"/>
        <v>#N/A</v>
      </c>
      <c r="C3199" t="e">
        <f t="shared" ca="1" si="605"/>
        <v>#N/A</v>
      </c>
      <c r="D3199" s="6" t="e">
        <f t="shared" ca="1" si="606"/>
        <v>#N/A</v>
      </c>
      <c r="E3199" t="e">
        <f t="shared" ca="1" si="607"/>
        <v>#N/A</v>
      </c>
      <c r="F3199" t="e">
        <f t="shared" ca="1" si="608"/>
        <v>#N/A</v>
      </c>
      <c r="G3199" t="e">
        <f t="shared" ca="1" si="609"/>
        <v>#N/A</v>
      </c>
      <c r="H3199" t="e">
        <f t="shared" ca="1" si="610"/>
        <v>#N/A</v>
      </c>
      <c r="I3199" t="e">
        <f t="shared" ca="1" si="611"/>
        <v>#N/A</v>
      </c>
      <c r="J3199" s="8" t="e">
        <f t="shared" ca="1" si="612"/>
        <v>#N/A</v>
      </c>
      <c r="K3199" s="9" t="e">
        <f t="shared" ca="1" si="613"/>
        <v>#N/A</v>
      </c>
      <c r="L3199" t="e">
        <f ca="1">+_xlfn.IFNA(VLOOKUP(M3199,BespokeWindowsAreas!$B$2:$E$1999,4,FALSE),VLOOKUP(E3199,WindowTypeArea!$B$2:$C$113,2,FALSE))</f>
        <v>#N/A</v>
      </c>
      <c r="M3199" t="e">
        <f t="shared" ca="1" si="616"/>
        <v>#N/A</v>
      </c>
    </row>
    <row r="3200" spans="1:13" x14ac:dyDescent="0.25">
      <c r="A3200" t="e">
        <f t="shared" ca="1" si="614"/>
        <v>#N/A</v>
      </c>
      <c r="B3200" t="e">
        <f t="shared" ca="1" si="615"/>
        <v>#N/A</v>
      </c>
      <c r="C3200" t="e">
        <f t="shared" ca="1" si="605"/>
        <v>#N/A</v>
      </c>
      <c r="D3200" s="6" t="e">
        <f t="shared" ca="1" si="606"/>
        <v>#N/A</v>
      </c>
      <c r="E3200" t="e">
        <f t="shared" ca="1" si="607"/>
        <v>#N/A</v>
      </c>
      <c r="F3200" t="e">
        <f t="shared" ca="1" si="608"/>
        <v>#N/A</v>
      </c>
      <c r="G3200" t="e">
        <f t="shared" ca="1" si="609"/>
        <v>#N/A</v>
      </c>
      <c r="H3200" t="e">
        <f t="shared" ca="1" si="610"/>
        <v>#N/A</v>
      </c>
      <c r="I3200" t="e">
        <f t="shared" ca="1" si="611"/>
        <v>#N/A</v>
      </c>
      <c r="J3200" s="8" t="e">
        <f t="shared" ca="1" si="612"/>
        <v>#N/A</v>
      </c>
      <c r="K3200" s="9" t="e">
        <f t="shared" ca="1" si="613"/>
        <v>#N/A</v>
      </c>
      <c r="L3200" t="e">
        <f ca="1">+_xlfn.IFNA(VLOOKUP(M3200,BespokeWindowsAreas!$B$2:$E$1999,4,FALSE),VLOOKUP(E3200,WindowTypeArea!$B$2:$C$113,2,FALSE))</f>
        <v>#N/A</v>
      </c>
      <c r="M3200" t="e">
        <f t="shared" ca="1" si="616"/>
        <v>#N/A</v>
      </c>
    </row>
    <row r="3201" spans="1:13" x14ac:dyDescent="0.25">
      <c r="A3201" t="e">
        <f t="shared" ca="1" si="614"/>
        <v>#N/A</v>
      </c>
      <c r="B3201" t="e">
        <f t="shared" ca="1" si="615"/>
        <v>#N/A</v>
      </c>
      <c r="C3201" t="e">
        <f t="shared" ca="1" si="605"/>
        <v>#N/A</v>
      </c>
      <c r="D3201" s="6" t="e">
        <f t="shared" ca="1" si="606"/>
        <v>#N/A</v>
      </c>
      <c r="E3201" t="e">
        <f t="shared" ca="1" si="607"/>
        <v>#N/A</v>
      </c>
      <c r="F3201" t="e">
        <f t="shared" ca="1" si="608"/>
        <v>#N/A</v>
      </c>
      <c r="G3201" t="e">
        <f t="shared" ca="1" si="609"/>
        <v>#N/A</v>
      </c>
      <c r="H3201" t="e">
        <f t="shared" ca="1" si="610"/>
        <v>#N/A</v>
      </c>
      <c r="I3201" t="e">
        <f t="shared" ca="1" si="611"/>
        <v>#N/A</v>
      </c>
      <c r="J3201" s="8" t="e">
        <f t="shared" ca="1" si="612"/>
        <v>#N/A</v>
      </c>
      <c r="K3201" s="9" t="e">
        <f t="shared" ca="1" si="613"/>
        <v>#N/A</v>
      </c>
      <c r="L3201" t="e">
        <f ca="1">+_xlfn.IFNA(VLOOKUP(M3201,BespokeWindowsAreas!$B$2:$E$1999,4,FALSE),VLOOKUP(E3201,WindowTypeArea!$B$2:$C$113,2,FALSE))</f>
        <v>#N/A</v>
      </c>
      <c r="M3201" t="e">
        <f t="shared" ca="1" si="616"/>
        <v>#N/A</v>
      </c>
    </row>
    <row r="3202" spans="1:13" x14ac:dyDescent="0.25">
      <c r="A3202" t="e">
        <f t="shared" ca="1" si="614"/>
        <v>#N/A</v>
      </c>
      <c r="B3202" t="e">
        <f t="shared" ca="1" si="615"/>
        <v>#N/A</v>
      </c>
      <c r="C3202" t="e">
        <f t="shared" ca="1" si="605"/>
        <v>#N/A</v>
      </c>
      <c r="D3202" s="6" t="e">
        <f t="shared" ca="1" si="606"/>
        <v>#N/A</v>
      </c>
      <c r="E3202" t="e">
        <f t="shared" ca="1" si="607"/>
        <v>#N/A</v>
      </c>
      <c r="F3202" t="e">
        <f t="shared" ca="1" si="608"/>
        <v>#N/A</v>
      </c>
      <c r="G3202" t="e">
        <f t="shared" ca="1" si="609"/>
        <v>#N/A</v>
      </c>
      <c r="H3202" t="e">
        <f t="shared" ca="1" si="610"/>
        <v>#N/A</v>
      </c>
      <c r="I3202" t="e">
        <f t="shared" ca="1" si="611"/>
        <v>#N/A</v>
      </c>
      <c r="J3202" s="8" t="e">
        <f t="shared" ca="1" si="612"/>
        <v>#N/A</v>
      </c>
      <c r="K3202" s="9" t="e">
        <f t="shared" ca="1" si="613"/>
        <v>#N/A</v>
      </c>
      <c r="L3202" t="e">
        <f ca="1">+_xlfn.IFNA(VLOOKUP(M3202,BespokeWindowsAreas!$B$2:$E$1999,4,FALSE),VLOOKUP(E3202,WindowTypeArea!$B$2:$C$113,2,FALSE))</f>
        <v>#N/A</v>
      </c>
      <c r="M3202" t="e">
        <f t="shared" ca="1" si="616"/>
        <v>#N/A</v>
      </c>
    </row>
    <row r="3203" spans="1:13" x14ac:dyDescent="0.25">
      <c r="A3203" t="e">
        <f t="shared" ca="1" si="614"/>
        <v>#N/A</v>
      </c>
      <c r="B3203" t="e">
        <f t="shared" ca="1" si="615"/>
        <v>#N/A</v>
      </c>
      <c r="C3203" t="e">
        <f t="shared" ca="1" si="605"/>
        <v>#N/A</v>
      </c>
      <c r="D3203" s="6" t="e">
        <f t="shared" ca="1" si="606"/>
        <v>#N/A</v>
      </c>
      <c r="E3203" t="e">
        <f t="shared" ca="1" si="607"/>
        <v>#N/A</v>
      </c>
      <c r="F3203" t="e">
        <f t="shared" ca="1" si="608"/>
        <v>#N/A</v>
      </c>
      <c r="G3203" t="e">
        <f t="shared" ca="1" si="609"/>
        <v>#N/A</v>
      </c>
      <c r="H3203" t="e">
        <f t="shared" ca="1" si="610"/>
        <v>#N/A</v>
      </c>
      <c r="I3203" t="e">
        <f t="shared" ca="1" si="611"/>
        <v>#N/A</v>
      </c>
      <c r="J3203" s="8" t="e">
        <f t="shared" ca="1" si="612"/>
        <v>#N/A</v>
      </c>
      <c r="K3203" s="9" t="e">
        <f t="shared" ca="1" si="613"/>
        <v>#N/A</v>
      </c>
      <c r="L3203" t="e">
        <f ca="1">+_xlfn.IFNA(VLOOKUP(M3203,BespokeWindowsAreas!$B$2:$E$1999,4,FALSE),VLOOKUP(E3203,WindowTypeArea!$B$2:$C$113,2,FALSE))</f>
        <v>#N/A</v>
      </c>
      <c r="M3203" t="e">
        <f t="shared" ca="1" si="616"/>
        <v>#N/A</v>
      </c>
    </row>
    <row r="3204" spans="1:13" x14ac:dyDescent="0.25">
      <c r="A3204" t="e">
        <f t="shared" ca="1" si="614"/>
        <v>#N/A</v>
      </c>
      <c r="B3204" t="e">
        <f t="shared" ca="1" si="615"/>
        <v>#N/A</v>
      </c>
      <c r="C3204" t="e">
        <f t="shared" ca="1" si="605"/>
        <v>#N/A</v>
      </c>
      <c r="D3204" s="6" t="e">
        <f t="shared" ca="1" si="606"/>
        <v>#N/A</v>
      </c>
      <c r="E3204" t="e">
        <f t="shared" ca="1" si="607"/>
        <v>#N/A</v>
      </c>
      <c r="F3204" t="e">
        <f t="shared" ca="1" si="608"/>
        <v>#N/A</v>
      </c>
      <c r="G3204" t="e">
        <f t="shared" ca="1" si="609"/>
        <v>#N/A</v>
      </c>
      <c r="H3204" t="e">
        <f t="shared" ca="1" si="610"/>
        <v>#N/A</v>
      </c>
      <c r="I3204" t="e">
        <f t="shared" ca="1" si="611"/>
        <v>#N/A</v>
      </c>
      <c r="J3204" s="8" t="e">
        <f t="shared" ca="1" si="612"/>
        <v>#N/A</v>
      </c>
      <c r="K3204" s="9" t="e">
        <f t="shared" ca="1" si="613"/>
        <v>#N/A</v>
      </c>
      <c r="L3204" t="e">
        <f ca="1">+_xlfn.IFNA(VLOOKUP(M3204,BespokeWindowsAreas!$B$2:$E$1999,4,FALSE),VLOOKUP(E3204,WindowTypeArea!$B$2:$C$113,2,FALSE))</f>
        <v>#N/A</v>
      </c>
      <c r="M3204" t="e">
        <f t="shared" ca="1" si="616"/>
        <v>#N/A</v>
      </c>
    </row>
    <row r="3205" spans="1:13" x14ac:dyDescent="0.25">
      <c r="A3205" t="e">
        <f t="shared" ca="1" si="614"/>
        <v>#N/A</v>
      </c>
      <c r="B3205" t="e">
        <f t="shared" ca="1" si="615"/>
        <v>#N/A</v>
      </c>
      <c r="C3205" t="e">
        <f t="shared" ca="1" si="605"/>
        <v>#N/A</v>
      </c>
      <c r="D3205" s="6" t="e">
        <f t="shared" ca="1" si="606"/>
        <v>#N/A</v>
      </c>
      <c r="E3205" t="e">
        <f t="shared" ca="1" si="607"/>
        <v>#N/A</v>
      </c>
      <c r="F3205" t="e">
        <f t="shared" ca="1" si="608"/>
        <v>#N/A</v>
      </c>
      <c r="G3205" t="e">
        <f t="shared" ca="1" si="609"/>
        <v>#N/A</v>
      </c>
      <c r="H3205" t="e">
        <f t="shared" ca="1" si="610"/>
        <v>#N/A</v>
      </c>
      <c r="I3205" t="e">
        <f t="shared" ca="1" si="611"/>
        <v>#N/A</v>
      </c>
      <c r="J3205" s="8" t="e">
        <f t="shared" ca="1" si="612"/>
        <v>#N/A</v>
      </c>
      <c r="K3205" s="9" t="e">
        <f t="shared" ca="1" si="613"/>
        <v>#N/A</v>
      </c>
      <c r="L3205" t="e">
        <f ca="1">+_xlfn.IFNA(VLOOKUP(M3205,BespokeWindowsAreas!$B$2:$E$1999,4,FALSE),VLOOKUP(E3205,WindowTypeArea!$B$2:$C$113,2,FALSE))</f>
        <v>#N/A</v>
      </c>
      <c r="M3205" t="e">
        <f t="shared" ca="1" si="616"/>
        <v>#N/A</v>
      </c>
    </row>
    <row r="3206" spans="1:13" x14ac:dyDescent="0.25">
      <c r="A3206" t="e">
        <f t="shared" ca="1" si="614"/>
        <v>#N/A</v>
      </c>
      <c r="B3206" t="e">
        <f t="shared" ca="1" si="615"/>
        <v>#N/A</v>
      </c>
      <c r="C3206" t="e">
        <f t="shared" ca="1" si="605"/>
        <v>#N/A</v>
      </c>
      <c r="D3206" s="6" t="e">
        <f t="shared" ca="1" si="606"/>
        <v>#N/A</v>
      </c>
      <c r="E3206" t="e">
        <f t="shared" ca="1" si="607"/>
        <v>#N/A</v>
      </c>
      <c r="F3206" t="e">
        <f t="shared" ca="1" si="608"/>
        <v>#N/A</v>
      </c>
      <c r="G3206" t="e">
        <f t="shared" ca="1" si="609"/>
        <v>#N/A</v>
      </c>
      <c r="H3206" t="e">
        <f t="shared" ca="1" si="610"/>
        <v>#N/A</v>
      </c>
      <c r="I3206" t="e">
        <f t="shared" ca="1" si="611"/>
        <v>#N/A</v>
      </c>
      <c r="J3206" s="8" t="e">
        <f t="shared" ca="1" si="612"/>
        <v>#N/A</v>
      </c>
      <c r="K3206" s="9" t="e">
        <f t="shared" ca="1" si="613"/>
        <v>#N/A</v>
      </c>
      <c r="L3206" t="e">
        <f ca="1">+_xlfn.IFNA(VLOOKUP(M3206,BespokeWindowsAreas!$B$2:$E$1999,4,FALSE),VLOOKUP(E3206,WindowTypeArea!$B$2:$C$113,2,FALSE))</f>
        <v>#N/A</v>
      </c>
      <c r="M3206" t="e">
        <f t="shared" ca="1" si="616"/>
        <v>#N/A</v>
      </c>
    </row>
    <row r="3207" spans="1:13" x14ac:dyDescent="0.25">
      <c r="A3207" t="e">
        <f t="shared" ca="1" si="614"/>
        <v>#N/A</v>
      </c>
      <c r="B3207" t="e">
        <f t="shared" ca="1" si="615"/>
        <v>#N/A</v>
      </c>
      <c r="C3207" t="e">
        <f t="shared" ca="1" si="605"/>
        <v>#N/A</v>
      </c>
      <c r="D3207" s="6" t="e">
        <f t="shared" ca="1" si="606"/>
        <v>#N/A</v>
      </c>
      <c r="E3207" t="e">
        <f t="shared" ca="1" si="607"/>
        <v>#N/A</v>
      </c>
      <c r="F3207" t="e">
        <f t="shared" ca="1" si="608"/>
        <v>#N/A</v>
      </c>
      <c r="G3207" t="e">
        <f t="shared" ca="1" si="609"/>
        <v>#N/A</v>
      </c>
      <c r="H3207" t="e">
        <f t="shared" ca="1" si="610"/>
        <v>#N/A</v>
      </c>
      <c r="I3207" t="e">
        <f t="shared" ca="1" si="611"/>
        <v>#N/A</v>
      </c>
      <c r="J3207" s="8" t="e">
        <f t="shared" ca="1" si="612"/>
        <v>#N/A</v>
      </c>
      <c r="K3207" s="9" t="e">
        <f t="shared" ca="1" si="613"/>
        <v>#N/A</v>
      </c>
      <c r="L3207" t="e">
        <f ca="1">+_xlfn.IFNA(VLOOKUP(M3207,BespokeWindowsAreas!$B$2:$E$1999,4,FALSE),VLOOKUP(E3207,WindowTypeArea!$B$2:$C$113,2,FALSE))</f>
        <v>#N/A</v>
      </c>
      <c r="M3207" t="e">
        <f t="shared" ca="1" si="616"/>
        <v>#N/A</v>
      </c>
    </row>
    <row r="3208" spans="1:13" x14ac:dyDescent="0.25">
      <c r="A3208" t="e">
        <f t="shared" ca="1" si="614"/>
        <v>#N/A</v>
      </c>
      <c r="B3208" t="e">
        <f t="shared" ca="1" si="615"/>
        <v>#N/A</v>
      </c>
      <c r="C3208" t="e">
        <f t="shared" ca="1" si="605"/>
        <v>#N/A</v>
      </c>
      <c r="D3208" s="6" t="e">
        <f t="shared" ca="1" si="606"/>
        <v>#N/A</v>
      </c>
      <c r="E3208" t="e">
        <f t="shared" ca="1" si="607"/>
        <v>#N/A</v>
      </c>
      <c r="F3208" t="e">
        <f t="shared" ca="1" si="608"/>
        <v>#N/A</v>
      </c>
      <c r="G3208" t="e">
        <f t="shared" ca="1" si="609"/>
        <v>#N/A</v>
      </c>
      <c r="H3208" t="e">
        <f t="shared" ca="1" si="610"/>
        <v>#N/A</v>
      </c>
      <c r="I3208" t="e">
        <f t="shared" ca="1" si="611"/>
        <v>#N/A</v>
      </c>
      <c r="J3208" s="8" t="e">
        <f t="shared" ca="1" si="612"/>
        <v>#N/A</v>
      </c>
      <c r="K3208" s="9" t="e">
        <f t="shared" ca="1" si="613"/>
        <v>#N/A</v>
      </c>
      <c r="L3208" t="e">
        <f ca="1">+_xlfn.IFNA(VLOOKUP(M3208,BespokeWindowsAreas!$B$2:$E$1999,4,FALSE),VLOOKUP(E3208,WindowTypeArea!$B$2:$C$113,2,FALSE))</f>
        <v>#N/A</v>
      </c>
      <c r="M3208" t="e">
        <f t="shared" ca="1" si="616"/>
        <v>#N/A</v>
      </c>
    </row>
    <row r="3209" spans="1:13" x14ac:dyDescent="0.25">
      <c r="A3209" t="e">
        <f t="shared" ca="1" si="614"/>
        <v>#N/A</v>
      </c>
      <c r="B3209" t="e">
        <f t="shared" ca="1" si="615"/>
        <v>#N/A</v>
      </c>
      <c r="C3209" t="e">
        <f t="shared" ref="C3209:C3272" ca="1" si="617">+"'"&amp;INDIRECT("a"&amp;A3208)&amp;"'!B"&amp;B3208</f>
        <v>#N/A</v>
      </c>
      <c r="D3209" s="6" t="e">
        <f t="shared" ref="D3209:D3272" ca="1" si="618">+IF(IFERROR(FIND("Family",E3209)&gt;0,FALSE),D3208,E3209)</f>
        <v>#N/A</v>
      </c>
      <c r="E3209" t="e">
        <f t="shared" ref="E3209:E3272" ca="1" si="619">+OFFSET(INDIRECT(C3209),0,0)</f>
        <v>#N/A</v>
      </c>
      <c r="F3209" t="e">
        <f t="shared" ref="F3209:F3272" ca="1" si="620">+OFFSET(INDIRECT(C3209),0,1)</f>
        <v>#N/A</v>
      </c>
      <c r="G3209" t="e">
        <f t="shared" ref="G3209:G3272" ca="1" si="621">+OFFSET(INDIRECT(C3209),0,2)</f>
        <v>#N/A</v>
      </c>
      <c r="H3209" t="e">
        <f t="shared" ref="H3209:H3272" ca="1" si="622">+OFFSET(INDIRECT(C3209),0,3)</f>
        <v>#N/A</v>
      </c>
      <c r="I3209" t="e">
        <f t="shared" ref="I3209:I3272" ca="1" si="623">+OFFSET(INDIRECT(C3209),0,4)</f>
        <v>#N/A</v>
      </c>
      <c r="J3209" s="8" t="e">
        <f t="shared" ref="J3209:J3272" ca="1" si="624">+DEGREES(ATAN2(G3209,H3209))</f>
        <v>#N/A</v>
      </c>
      <c r="K3209" s="9" t="e">
        <f t="shared" ref="K3209:K3272" ca="1" si="625">VLOOKUP(J3209,$O$20:$P$36,2,-1)</f>
        <v>#N/A</v>
      </c>
      <c r="L3209" t="e">
        <f ca="1">+_xlfn.IFNA(VLOOKUP(M3209,BespokeWindowsAreas!$B$2:$E$1999,4,FALSE),VLOOKUP(E3209,WindowTypeArea!$B$2:$C$113,2,FALSE))</f>
        <v>#N/A</v>
      </c>
      <c r="M3209" t="e">
        <f t="shared" ca="1" si="616"/>
        <v>#N/A</v>
      </c>
    </row>
    <row r="3210" spans="1:13" x14ac:dyDescent="0.25">
      <c r="A3210" t="e">
        <f t="shared" ca="1" si="614"/>
        <v>#N/A</v>
      </c>
      <c r="B3210" t="e">
        <f t="shared" ca="1" si="615"/>
        <v>#N/A</v>
      </c>
      <c r="C3210" t="e">
        <f t="shared" ca="1" si="617"/>
        <v>#N/A</v>
      </c>
      <c r="D3210" s="6" t="e">
        <f t="shared" ca="1" si="618"/>
        <v>#N/A</v>
      </c>
      <c r="E3210" t="e">
        <f t="shared" ca="1" si="619"/>
        <v>#N/A</v>
      </c>
      <c r="F3210" t="e">
        <f t="shared" ca="1" si="620"/>
        <v>#N/A</v>
      </c>
      <c r="G3210" t="e">
        <f t="shared" ca="1" si="621"/>
        <v>#N/A</v>
      </c>
      <c r="H3210" t="e">
        <f t="shared" ca="1" si="622"/>
        <v>#N/A</v>
      </c>
      <c r="I3210" t="e">
        <f t="shared" ca="1" si="623"/>
        <v>#N/A</v>
      </c>
      <c r="J3210" s="8" t="e">
        <f t="shared" ca="1" si="624"/>
        <v>#N/A</v>
      </c>
      <c r="K3210" s="9" t="e">
        <f t="shared" ca="1" si="625"/>
        <v>#N/A</v>
      </c>
      <c r="L3210" t="e">
        <f ca="1">+_xlfn.IFNA(VLOOKUP(M3210,BespokeWindowsAreas!$B$2:$E$1999,4,FALSE),VLOOKUP(E3210,WindowTypeArea!$B$2:$C$113,2,FALSE))</f>
        <v>#N/A</v>
      </c>
      <c r="M3210" t="e">
        <f t="shared" ca="1" si="616"/>
        <v>#N/A</v>
      </c>
    </row>
    <row r="3211" spans="1:13" x14ac:dyDescent="0.25">
      <c r="A3211" t="e">
        <f t="shared" ca="1" si="614"/>
        <v>#N/A</v>
      </c>
      <c r="B3211" t="e">
        <f t="shared" ca="1" si="615"/>
        <v>#N/A</v>
      </c>
      <c r="C3211" t="e">
        <f t="shared" ca="1" si="617"/>
        <v>#N/A</v>
      </c>
      <c r="D3211" s="6" t="e">
        <f t="shared" ca="1" si="618"/>
        <v>#N/A</v>
      </c>
      <c r="E3211" t="e">
        <f t="shared" ca="1" si="619"/>
        <v>#N/A</v>
      </c>
      <c r="F3211" t="e">
        <f t="shared" ca="1" si="620"/>
        <v>#N/A</v>
      </c>
      <c r="G3211" t="e">
        <f t="shared" ca="1" si="621"/>
        <v>#N/A</v>
      </c>
      <c r="H3211" t="e">
        <f t="shared" ca="1" si="622"/>
        <v>#N/A</v>
      </c>
      <c r="I3211" t="e">
        <f t="shared" ca="1" si="623"/>
        <v>#N/A</v>
      </c>
      <c r="J3211" s="8" t="e">
        <f t="shared" ca="1" si="624"/>
        <v>#N/A</v>
      </c>
      <c r="K3211" s="9" t="e">
        <f t="shared" ca="1" si="625"/>
        <v>#N/A</v>
      </c>
      <c r="L3211" t="e">
        <f ca="1">+_xlfn.IFNA(VLOOKUP(M3211,BespokeWindowsAreas!$B$2:$E$1999,4,FALSE),VLOOKUP(E3211,WindowTypeArea!$B$2:$C$113,2,FALSE))</f>
        <v>#N/A</v>
      </c>
      <c r="M3211" t="e">
        <f t="shared" ca="1" si="616"/>
        <v>#N/A</v>
      </c>
    </row>
    <row r="3212" spans="1:13" x14ac:dyDescent="0.25">
      <c r="A3212" t="e">
        <f t="shared" ca="1" si="614"/>
        <v>#N/A</v>
      </c>
      <c r="B3212" t="e">
        <f t="shared" ca="1" si="615"/>
        <v>#N/A</v>
      </c>
      <c r="C3212" t="e">
        <f t="shared" ca="1" si="617"/>
        <v>#N/A</v>
      </c>
      <c r="D3212" s="6" t="e">
        <f t="shared" ca="1" si="618"/>
        <v>#N/A</v>
      </c>
      <c r="E3212" t="e">
        <f t="shared" ca="1" si="619"/>
        <v>#N/A</v>
      </c>
      <c r="F3212" t="e">
        <f t="shared" ca="1" si="620"/>
        <v>#N/A</v>
      </c>
      <c r="G3212" t="e">
        <f t="shared" ca="1" si="621"/>
        <v>#N/A</v>
      </c>
      <c r="H3212" t="e">
        <f t="shared" ca="1" si="622"/>
        <v>#N/A</v>
      </c>
      <c r="I3212" t="e">
        <f t="shared" ca="1" si="623"/>
        <v>#N/A</v>
      </c>
      <c r="J3212" s="8" t="e">
        <f t="shared" ca="1" si="624"/>
        <v>#N/A</v>
      </c>
      <c r="K3212" s="9" t="e">
        <f t="shared" ca="1" si="625"/>
        <v>#N/A</v>
      </c>
      <c r="L3212" t="e">
        <f ca="1">+_xlfn.IFNA(VLOOKUP(M3212,BespokeWindowsAreas!$B$2:$E$1999,4,FALSE),VLOOKUP(E3212,WindowTypeArea!$B$2:$C$113,2,FALSE))</f>
        <v>#N/A</v>
      </c>
      <c r="M3212" t="e">
        <f t="shared" ca="1" si="616"/>
        <v>#N/A</v>
      </c>
    </row>
    <row r="3213" spans="1:13" x14ac:dyDescent="0.25">
      <c r="A3213" t="e">
        <f t="shared" ca="1" si="614"/>
        <v>#N/A</v>
      </c>
      <c r="B3213" t="e">
        <f t="shared" ca="1" si="615"/>
        <v>#N/A</v>
      </c>
      <c r="C3213" t="e">
        <f t="shared" ca="1" si="617"/>
        <v>#N/A</v>
      </c>
      <c r="D3213" s="6" t="e">
        <f t="shared" ca="1" si="618"/>
        <v>#N/A</v>
      </c>
      <c r="E3213" t="e">
        <f t="shared" ca="1" si="619"/>
        <v>#N/A</v>
      </c>
      <c r="F3213" t="e">
        <f t="shared" ca="1" si="620"/>
        <v>#N/A</v>
      </c>
      <c r="G3213" t="e">
        <f t="shared" ca="1" si="621"/>
        <v>#N/A</v>
      </c>
      <c r="H3213" t="e">
        <f t="shared" ca="1" si="622"/>
        <v>#N/A</v>
      </c>
      <c r="I3213" t="e">
        <f t="shared" ca="1" si="623"/>
        <v>#N/A</v>
      </c>
      <c r="J3213" s="8" t="e">
        <f t="shared" ca="1" si="624"/>
        <v>#N/A</v>
      </c>
      <c r="K3213" s="9" t="e">
        <f t="shared" ca="1" si="625"/>
        <v>#N/A</v>
      </c>
      <c r="L3213" t="e">
        <f ca="1">+_xlfn.IFNA(VLOOKUP(M3213,BespokeWindowsAreas!$B$2:$E$1999,4,FALSE),VLOOKUP(E3213,WindowTypeArea!$B$2:$C$113,2,FALSE))</f>
        <v>#N/A</v>
      </c>
      <c r="M3213" t="e">
        <f t="shared" ca="1" si="616"/>
        <v>#N/A</v>
      </c>
    </row>
    <row r="3214" spans="1:13" x14ac:dyDescent="0.25">
      <c r="A3214" t="e">
        <f t="shared" ca="1" si="614"/>
        <v>#N/A</v>
      </c>
      <c r="B3214" t="e">
        <f t="shared" ca="1" si="615"/>
        <v>#N/A</v>
      </c>
      <c r="C3214" t="e">
        <f t="shared" ca="1" si="617"/>
        <v>#N/A</v>
      </c>
      <c r="D3214" s="6" t="e">
        <f t="shared" ca="1" si="618"/>
        <v>#N/A</v>
      </c>
      <c r="E3214" t="e">
        <f t="shared" ca="1" si="619"/>
        <v>#N/A</v>
      </c>
      <c r="F3214" t="e">
        <f t="shared" ca="1" si="620"/>
        <v>#N/A</v>
      </c>
      <c r="G3214" t="e">
        <f t="shared" ca="1" si="621"/>
        <v>#N/A</v>
      </c>
      <c r="H3214" t="e">
        <f t="shared" ca="1" si="622"/>
        <v>#N/A</v>
      </c>
      <c r="I3214" t="e">
        <f t="shared" ca="1" si="623"/>
        <v>#N/A</v>
      </c>
      <c r="J3214" s="8" t="e">
        <f t="shared" ca="1" si="624"/>
        <v>#N/A</v>
      </c>
      <c r="K3214" s="9" t="e">
        <f t="shared" ca="1" si="625"/>
        <v>#N/A</v>
      </c>
      <c r="L3214" t="e">
        <f ca="1">+_xlfn.IFNA(VLOOKUP(M3214,BespokeWindowsAreas!$B$2:$E$1999,4,FALSE),VLOOKUP(E3214,WindowTypeArea!$B$2:$C$113,2,FALSE))</f>
        <v>#N/A</v>
      </c>
      <c r="M3214" t="e">
        <f t="shared" ca="1" si="616"/>
        <v>#N/A</v>
      </c>
    </row>
    <row r="3215" spans="1:13" x14ac:dyDescent="0.25">
      <c r="A3215" t="e">
        <f t="shared" ca="1" si="614"/>
        <v>#N/A</v>
      </c>
      <c r="B3215" t="e">
        <f t="shared" ca="1" si="615"/>
        <v>#N/A</v>
      </c>
      <c r="C3215" t="e">
        <f t="shared" ca="1" si="617"/>
        <v>#N/A</v>
      </c>
      <c r="D3215" s="6" t="e">
        <f t="shared" ca="1" si="618"/>
        <v>#N/A</v>
      </c>
      <c r="E3215" t="e">
        <f t="shared" ca="1" si="619"/>
        <v>#N/A</v>
      </c>
      <c r="F3215" t="e">
        <f t="shared" ca="1" si="620"/>
        <v>#N/A</v>
      </c>
      <c r="G3215" t="e">
        <f t="shared" ca="1" si="621"/>
        <v>#N/A</v>
      </c>
      <c r="H3215" t="e">
        <f t="shared" ca="1" si="622"/>
        <v>#N/A</v>
      </c>
      <c r="I3215" t="e">
        <f t="shared" ca="1" si="623"/>
        <v>#N/A</v>
      </c>
      <c r="J3215" s="8" t="e">
        <f t="shared" ca="1" si="624"/>
        <v>#N/A</v>
      </c>
      <c r="K3215" s="9" t="e">
        <f t="shared" ca="1" si="625"/>
        <v>#N/A</v>
      </c>
      <c r="L3215" t="e">
        <f ca="1">+_xlfn.IFNA(VLOOKUP(M3215,BespokeWindowsAreas!$B$2:$E$1999,4,FALSE),VLOOKUP(E3215,WindowTypeArea!$B$2:$C$113,2,FALSE))</f>
        <v>#N/A</v>
      </c>
      <c r="M3215" t="e">
        <f t="shared" ca="1" si="616"/>
        <v>#N/A</v>
      </c>
    </row>
    <row r="3216" spans="1:13" x14ac:dyDescent="0.25">
      <c r="A3216" t="e">
        <f t="shared" ca="1" si="614"/>
        <v>#N/A</v>
      </c>
      <c r="B3216" t="e">
        <f t="shared" ca="1" si="615"/>
        <v>#N/A</v>
      </c>
      <c r="C3216" t="e">
        <f t="shared" ca="1" si="617"/>
        <v>#N/A</v>
      </c>
      <c r="D3216" s="6" t="e">
        <f t="shared" ca="1" si="618"/>
        <v>#N/A</v>
      </c>
      <c r="E3216" t="e">
        <f t="shared" ca="1" si="619"/>
        <v>#N/A</v>
      </c>
      <c r="F3216" t="e">
        <f t="shared" ca="1" si="620"/>
        <v>#N/A</v>
      </c>
      <c r="G3216" t="e">
        <f t="shared" ca="1" si="621"/>
        <v>#N/A</v>
      </c>
      <c r="H3216" t="e">
        <f t="shared" ca="1" si="622"/>
        <v>#N/A</v>
      </c>
      <c r="I3216" t="e">
        <f t="shared" ca="1" si="623"/>
        <v>#N/A</v>
      </c>
      <c r="J3216" s="8" t="e">
        <f t="shared" ca="1" si="624"/>
        <v>#N/A</v>
      </c>
      <c r="K3216" s="9" t="e">
        <f t="shared" ca="1" si="625"/>
        <v>#N/A</v>
      </c>
      <c r="L3216" t="e">
        <f ca="1">+_xlfn.IFNA(VLOOKUP(M3216,BespokeWindowsAreas!$B$2:$E$1999,4,FALSE),VLOOKUP(E3216,WindowTypeArea!$B$2:$C$113,2,FALSE))</f>
        <v>#N/A</v>
      </c>
      <c r="M3216" t="e">
        <f t="shared" ca="1" si="616"/>
        <v>#N/A</v>
      </c>
    </row>
    <row r="3217" spans="1:13" x14ac:dyDescent="0.25">
      <c r="A3217" t="e">
        <f t="shared" ca="1" si="614"/>
        <v>#N/A</v>
      </c>
      <c r="B3217" t="e">
        <f t="shared" ca="1" si="615"/>
        <v>#N/A</v>
      </c>
      <c r="C3217" t="e">
        <f t="shared" ca="1" si="617"/>
        <v>#N/A</v>
      </c>
      <c r="D3217" s="6" t="e">
        <f t="shared" ca="1" si="618"/>
        <v>#N/A</v>
      </c>
      <c r="E3217" t="e">
        <f t="shared" ca="1" si="619"/>
        <v>#N/A</v>
      </c>
      <c r="F3217" t="e">
        <f t="shared" ca="1" si="620"/>
        <v>#N/A</v>
      </c>
      <c r="G3217" t="e">
        <f t="shared" ca="1" si="621"/>
        <v>#N/A</v>
      </c>
      <c r="H3217" t="e">
        <f t="shared" ca="1" si="622"/>
        <v>#N/A</v>
      </c>
      <c r="I3217" t="e">
        <f t="shared" ca="1" si="623"/>
        <v>#N/A</v>
      </c>
      <c r="J3217" s="8" t="e">
        <f t="shared" ca="1" si="624"/>
        <v>#N/A</v>
      </c>
      <c r="K3217" s="9" t="e">
        <f t="shared" ca="1" si="625"/>
        <v>#N/A</v>
      </c>
      <c r="L3217" t="e">
        <f ca="1">+_xlfn.IFNA(VLOOKUP(M3217,BespokeWindowsAreas!$B$2:$E$1999,4,FALSE),VLOOKUP(E3217,WindowTypeArea!$B$2:$C$113,2,FALSE))</f>
        <v>#N/A</v>
      </c>
      <c r="M3217" t="e">
        <f t="shared" ca="1" si="616"/>
        <v>#N/A</v>
      </c>
    </row>
    <row r="3218" spans="1:13" x14ac:dyDescent="0.25">
      <c r="A3218" t="e">
        <f t="shared" ca="1" si="614"/>
        <v>#N/A</v>
      </c>
      <c r="B3218" t="e">
        <f t="shared" ca="1" si="615"/>
        <v>#N/A</v>
      </c>
      <c r="C3218" t="e">
        <f t="shared" ca="1" si="617"/>
        <v>#N/A</v>
      </c>
      <c r="D3218" s="6" t="e">
        <f t="shared" ca="1" si="618"/>
        <v>#N/A</v>
      </c>
      <c r="E3218" t="e">
        <f t="shared" ca="1" si="619"/>
        <v>#N/A</v>
      </c>
      <c r="F3218" t="e">
        <f t="shared" ca="1" si="620"/>
        <v>#N/A</v>
      </c>
      <c r="G3218" t="e">
        <f t="shared" ca="1" si="621"/>
        <v>#N/A</v>
      </c>
      <c r="H3218" t="e">
        <f t="shared" ca="1" si="622"/>
        <v>#N/A</v>
      </c>
      <c r="I3218" t="e">
        <f t="shared" ca="1" si="623"/>
        <v>#N/A</v>
      </c>
      <c r="J3218" s="8" t="e">
        <f t="shared" ca="1" si="624"/>
        <v>#N/A</v>
      </c>
      <c r="K3218" s="9" t="e">
        <f t="shared" ca="1" si="625"/>
        <v>#N/A</v>
      </c>
      <c r="L3218" t="e">
        <f ca="1">+_xlfn.IFNA(VLOOKUP(M3218,BespokeWindowsAreas!$B$2:$E$1999,4,FALSE),VLOOKUP(E3218,WindowTypeArea!$B$2:$C$113,2,FALSE))</f>
        <v>#N/A</v>
      </c>
      <c r="M3218" t="e">
        <f t="shared" ca="1" si="616"/>
        <v>#N/A</v>
      </c>
    </row>
    <row r="3219" spans="1:13" x14ac:dyDescent="0.25">
      <c r="A3219" t="e">
        <f t="shared" ca="1" si="614"/>
        <v>#N/A</v>
      </c>
      <c r="B3219" t="e">
        <f t="shared" ca="1" si="615"/>
        <v>#N/A</v>
      </c>
      <c r="C3219" t="e">
        <f t="shared" ca="1" si="617"/>
        <v>#N/A</v>
      </c>
      <c r="D3219" s="6" t="e">
        <f t="shared" ca="1" si="618"/>
        <v>#N/A</v>
      </c>
      <c r="E3219" t="e">
        <f t="shared" ca="1" si="619"/>
        <v>#N/A</v>
      </c>
      <c r="F3219" t="e">
        <f t="shared" ca="1" si="620"/>
        <v>#N/A</v>
      </c>
      <c r="G3219" t="e">
        <f t="shared" ca="1" si="621"/>
        <v>#N/A</v>
      </c>
      <c r="H3219" t="e">
        <f t="shared" ca="1" si="622"/>
        <v>#N/A</v>
      </c>
      <c r="I3219" t="e">
        <f t="shared" ca="1" si="623"/>
        <v>#N/A</v>
      </c>
      <c r="J3219" s="8" t="e">
        <f t="shared" ca="1" si="624"/>
        <v>#N/A</v>
      </c>
      <c r="K3219" s="9" t="e">
        <f t="shared" ca="1" si="625"/>
        <v>#N/A</v>
      </c>
      <c r="L3219" t="e">
        <f ca="1">+_xlfn.IFNA(VLOOKUP(M3219,BespokeWindowsAreas!$B$2:$E$1999,4,FALSE),VLOOKUP(E3219,WindowTypeArea!$B$2:$C$113,2,FALSE))</f>
        <v>#N/A</v>
      </c>
      <c r="M3219" t="e">
        <f t="shared" ca="1" si="616"/>
        <v>#N/A</v>
      </c>
    </row>
    <row r="3220" spans="1:13" x14ac:dyDescent="0.25">
      <c r="A3220" t="e">
        <f t="shared" ref="A3220:A3283" ca="1" si="626">+IF(B3219&lt;=VLOOKUP(MID(C3220,2,26),TABS,2,FALSE),A3219,+A3219+1)</f>
        <v>#N/A</v>
      </c>
      <c r="B3220" t="e">
        <f t="shared" ref="B3220:B3283" ca="1" si="627">+IF(B3219&lt;=VLOOKUP(MID(C3220,2,26),TABS,2,FALSE),B3219+1,1)</f>
        <v>#N/A</v>
      </c>
      <c r="C3220" t="e">
        <f t="shared" ca="1" si="617"/>
        <v>#N/A</v>
      </c>
      <c r="D3220" s="6" t="e">
        <f t="shared" ca="1" si="618"/>
        <v>#N/A</v>
      </c>
      <c r="E3220" t="e">
        <f t="shared" ca="1" si="619"/>
        <v>#N/A</v>
      </c>
      <c r="F3220" t="e">
        <f t="shared" ca="1" si="620"/>
        <v>#N/A</v>
      </c>
      <c r="G3220" t="e">
        <f t="shared" ca="1" si="621"/>
        <v>#N/A</v>
      </c>
      <c r="H3220" t="e">
        <f t="shared" ca="1" si="622"/>
        <v>#N/A</v>
      </c>
      <c r="I3220" t="e">
        <f t="shared" ca="1" si="623"/>
        <v>#N/A</v>
      </c>
      <c r="J3220" s="8" t="e">
        <f t="shared" ca="1" si="624"/>
        <v>#N/A</v>
      </c>
      <c r="K3220" s="9" t="e">
        <f t="shared" ca="1" si="625"/>
        <v>#N/A</v>
      </c>
      <c r="L3220" t="e">
        <f ca="1">+_xlfn.IFNA(VLOOKUP(M3220,BespokeWindowsAreas!$B$2:$E$1999,4,FALSE),VLOOKUP(E3220,WindowTypeArea!$B$2:$C$113,2,FALSE))</f>
        <v>#N/A</v>
      </c>
      <c r="M3220" t="e">
        <f t="shared" ca="1" si="616"/>
        <v>#N/A</v>
      </c>
    </row>
    <row r="3221" spans="1:13" x14ac:dyDescent="0.25">
      <c r="A3221" t="e">
        <f t="shared" ca="1" si="626"/>
        <v>#N/A</v>
      </c>
      <c r="B3221" t="e">
        <f t="shared" ca="1" si="627"/>
        <v>#N/A</v>
      </c>
      <c r="C3221" t="e">
        <f t="shared" ca="1" si="617"/>
        <v>#N/A</v>
      </c>
      <c r="D3221" s="6" t="e">
        <f t="shared" ca="1" si="618"/>
        <v>#N/A</v>
      </c>
      <c r="E3221" t="e">
        <f t="shared" ca="1" si="619"/>
        <v>#N/A</v>
      </c>
      <c r="F3221" t="e">
        <f t="shared" ca="1" si="620"/>
        <v>#N/A</v>
      </c>
      <c r="G3221" t="e">
        <f t="shared" ca="1" si="621"/>
        <v>#N/A</v>
      </c>
      <c r="H3221" t="e">
        <f t="shared" ca="1" si="622"/>
        <v>#N/A</v>
      </c>
      <c r="I3221" t="e">
        <f t="shared" ca="1" si="623"/>
        <v>#N/A</v>
      </c>
      <c r="J3221" s="8" t="e">
        <f t="shared" ca="1" si="624"/>
        <v>#N/A</v>
      </c>
      <c r="K3221" s="9" t="e">
        <f t="shared" ca="1" si="625"/>
        <v>#N/A</v>
      </c>
      <c r="L3221" t="e">
        <f ca="1">+_xlfn.IFNA(VLOOKUP(M3221,BespokeWindowsAreas!$B$2:$E$1999,4,FALSE),VLOOKUP(E3221,WindowTypeArea!$B$2:$C$113,2,FALSE))</f>
        <v>#N/A</v>
      </c>
      <c r="M3221" t="e">
        <f t="shared" ca="1" si="616"/>
        <v>#N/A</v>
      </c>
    </row>
    <row r="3222" spans="1:13" x14ac:dyDescent="0.25">
      <c r="A3222" t="e">
        <f t="shared" ca="1" si="626"/>
        <v>#N/A</v>
      </c>
      <c r="B3222" t="e">
        <f t="shared" ca="1" si="627"/>
        <v>#N/A</v>
      </c>
      <c r="C3222" t="e">
        <f t="shared" ca="1" si="617"/>
        <v>#N/A</v>
      </c>
      <c r="D3222" s="6" t="e">
        <f t="shared" ca="1" si="618"/>
        <v>#N/A</v>
      </c>
      <c r="E3222" t="e">
        <f t="shared" ca="1" si="619"/>
        <v>#N/A</v>
      </c>
      <c r="F3222" t="e">
        <f t="shared" ca="1" si="620"/>
        <v>#N/A</v>
      </c>
      <c r="G3222" t="e">
        <f t="shared" ca="1" si="621"/>
        <v>#N/A</v>
      </c>
      <c r="H3222" t="e">
        <f t="shared" ca="1" si="622"/>
        <v>#N/A</v>
      </c>
      <c r="I3222" t="e">
        <f t="shared" ca="1" si="623"/>
        <v>#N/A</v>
      </c>
      <c r="J3222" s="8" t="e">
        <f t="shared" ca="1" si="624"/>
        <v>#N/A</v>
      </c>
      <c r="K3222" s="9" t="e">
        <f t="shared" ca="1" si="625"/>
        <v>#N/A</v>
      </c>
      <c r="L3222" t="e">
        <f ca="1">+_xlfn.IFNA(VLOOKUP(M3222,BespokeWindowsAreas!$B$2:$E$1999,4,FALSE),VLOOKUP(E3222,WindowTypeArea!$B$2:$C$113,2,FALSE))</f>
        <v>#N/A</v>
      </c>
      <c r="M3222" t="e">
        <f t="shared" ref="M3222:M3285" ca="1" si="628">+OFFSET(INDIRECT(C3222),0,5)</f>
        <v>#N/A</v>
      </c>
    </row>
    <row r="3223" spans="1:13" x14ac:dyDescent="0.25">
      <c r="A3223" t="e">
        <f t="shared" ca="1" si="626"/>
        <v>#N/A</v>
      </c>
      <c r="B3223" t="e">
        <f t="shared" ca="1" si="627"/>
        <v>#N/A</v>
      </c>
      <c r="C3223" t="e">
        <f t="shared" ca="1" si="617"/>
        <v>#N/A</v>
      </c>
      <c r="D3223" s="6" t="e">
        <f t="shared" ca="1" si="618"/>
        <v>#N/A</v>
      </c>
      <c r="E3223" t="e">
        <f t="shared" ca="1" si="619"/>
        <v>#N/A</v>
      </c>
      <c r="F3223" t="e">
        <f t="shared" ca="1" si="620"/>
        <v>#N/A</v>
      </c>
      <c r="G3223" t="e">
        <f t="shared" ca="1" si="621"/>
        <v>#N/A</v>
      </c>
      <c r="H3223" t="e">
        <f t="shared" ca="1" si="622"/>
        <v>#N/A</v>
      </c>
      <c r="I3223" t="e">
        <f t="shared" ca="1" si="623"/>
        <v>#N/A</v>
      </c>
      <c r="J3223" s="8" t="e">
        <f t="shared" ca="1" si="624"/>
        <v>#N/A</v>
      </c>
      <c r="K3223" s="9" t="e">
        <f t="shared" ca="1" si="625"/>
        <v>#N/A</v>
      </c>
      <c r="L3223" t="e">
        <f ca="1">+_xlfn.IFNA(VLOOKUP(M3223,BespokeWindowsAreas!$B$2:$E$1999,4,FALSE),VLOOKUP(E3223,WindowTypeArea!$B$2:$C$113,2,FALSE))</f>
        <v>#N/A</v>
      </c>
      <c r="M3223" t="e">
        <f t="shared" ca="1" si="628"/>
        <v>#N/A</v>
      </c>
    </row>
    <row r="3224" spans="1:13" x14ac:dyDescent="0.25">
      <c r="A3224" t="e">
        <f t="shared" ca="1" si="626"/>
        <v>#N/A</v>
      </c>
      <c r="B3224" t="e">
        <f t="shared" ca="1" si="627"/>
        <v>#N/A</v>
      </c>
      <c r="C3224" t="e">
        <f t="shared" ca="1" si="617"/>
        <v>#N/A</v>
      </c>
      <c r="D3224" s="6" t="e">
        <f t="shared" ca="1" si="618"/>
        <v>#N/A</v>
      </c>
      <c r="E3224" t="e">
        <f t="shared" ca="1" si="619"/>
        <v>#N/A</v>
      </c>
      <c r="F3224" t="e">
        <f t="shared" ca="1" si="620"/>
        <v>#N/A</v>
      </c>
      <c r="G3224" t="e">
        <f t="shared" ca="1" si="621"/>
        <v>#N/A</v>
      </c>
      <c r="H3224" t="e">
        <f t="shared" ca="1" si="622"/>
        <v>#N/A</v>
      </c>
      <c r="I3224" t="e">
        <f t="shared" ca="1" si="623"/>
        <v>#N/A</v>
      </c>
      <c r="J3224" s="8" t="e">
        <f t="shared" ca="1" si="624"/>
        <v>#N/A</v>
      </c>
      <c r="K3224" s="9" t="e">
        <f t="shared" ca="1" si="625"/>
        <v>#N/A</v>
      </c>
      <c r="L3224" t="e">
        <f ca="1">+_xlfn.IFNA(VLOOKUP(M3224,BespokeWindowsAreas!$B$2:$E$1999,4,FALSE),VLOOKUP(E3224,WindowTypeArea!$B$2:$C$113,2,FALSE))</f>
        <v>#N/A</v>
      </c>
      <c r="M3224" t="e">
        <f t="shared" ca="1" si="628"/>
        <v>#N/A</v>
      </c>
    </row>
    <row r="3225" spans="1:13" x14ac:dyDescent="0.25">
      <c r="A3225" t="e">
        <f t="shared" ca="1" si="626"/>
        <v>#N/A</v>
      </c>
      <c r="B3225" t="e">
        <f t="shared" ca="1" si="627"/>
        <v>#N/A</v>
      </c>
      <c r="C3225" t="e">
        <f t="shared" ca="1" si="617"/>
        <v>#N/A</v>
      </c>
      <c r="D3225" s="6" t="e">
        <f t="shared" ca="1" si="618"/>
        <v>#N/A</v>
      </c>
      <c r="E3225" t="e">
        <f t="shared" ca="1" si="619"/>
        <v>#N/A</v>
      </c>
      <c r="F3225" t="e">
        <f t="shared" ca="1" si="620"/>
        <v>#N/A</v>
      </c>
      <c r="G3225" t="e">
        <f t="shared" ca="1" si="621"/>
        <v>#N/A</v>
      </c>
      <c r="H3225" t="e">
        <f t="shared" ca="1" si="622"/>
        <v>#N/A</v>
      </c>
      <c r="I3225" t="e">
        <f t="shared" ca="1" si="623"/>
        <v>#N/A</v>
      </c>
      <c r="J3225" s="8" t="e">
        <f t="shared" ca="1" si="624"/>
        <v>#N/A</v>
      </c>
      <c r="K3225" s="9" t="e">
        <f t="shared" ca="1" si="625"/>
        <v>#N/A</v>
      </c>
      <c r="L3225" t="e">
        <f ca="1">+_xlfn.IFNA(VLOOKUP(M3225,BespokeWindowsAreas!$B$2:$E$1999,4,FALSE),VLOOKUP(E3225,WindowTypeArea!$B$2:$C$113,2,FALSE))</f>
        <v>#N/A</v>
      </c>
      <c r="M3225" t="e">
        <f t="shared" ca="1" si="628"/>
        <v>#N/A</v>
      </c>
    </row>
    <row r="3226" spans="1:13" x14ac:dyDescent="0.25">
      <c r="A3226" t="e">
        <f t="shared" ca="1" si="626"/>
        <v>#N/A</v>
      </c>
      <c r="B3226" t="e">
        <f t="shared" ca="1" si="627"/>
        <v>#N/A</v>
      </c>
      <c r="C3226" t="e">
        <f t="shared" ca="1" si="617"/>
        <v>#N/A</v>
      </c>
      <c r="D3226" s="6" t="e">
        <f t="shared" ca="1" si="618"/>
        <v>#N/A</v>
      </c>
      <c r="E3226" t="e">
        <f t="shared" ca="1" si="619"/>
        <v>#N/A</v>
      </c>
      <c r="F3226" t="e">
        <f t="shared" ca="1" si="620"/>
        <v>#N/A</v>
      </c>
      <c r="G3226" t="e">
        <f t="shared" ca="1" si="621"/>
        <v>#N/A</v>
      </c>
      <c r="H3226" t="e">
        <f t="shared" ca="1" si="622"/>
        <v>#N/A</v>
      </c>
      <c r="I3226" t="e">
        <f t="shared" ca="1" si="623"/>
        <v>#N/A</v>
      </c>
      <c r="J3226" s="8" t="e">
        <f t="shared" ca="1" si="624"/>
        <v>#N/A</v>
      </c>
      <c r="K3226" s="9" t="e">
        <f t="shared" ca="1" si="625"/>
        <v>#N/A</v>
      </c>
      <c r="L3226" t="e">
        <f ca="1">+_xlfn.IFNA(VLOOKUP(M3226,BespokeWindowsAreas!$B$2:$E$1999,4,FALSE),VLOOKUP(E3226,WindowTypeArea!$B$2:$C$113,2,FALSE))</f>
        <v>#N/A</v>
      </c>
      <c r="M3226" t="e">
        <f t="shared" ca="1" si="628"/>
        <v>#N/A</v>
      </c>
    </row>
    <row r="3227" spans="1:13" x14ac:dyDescent="0.25">
      <c r="A3227" t="e">
        <f t="shared" ca="1" si="626"/>
        <v>#N/A</v>
      </c>
      <c r="B3227" t="e">
        <f t="shared" ca="1" si="627"/>
        <v>#N/A</v>
      </c>
      <c r="C3227" t="e">
        <f t="shared" ca="1" si="617"/>
        <v>#N/A</v>
      </c>
      <c r="D3227" s="6" t="e">
        <f t="shared" ca="1" si="618"/>
        <v>#N/A</v>
      </c>
      <c r="E3227" t="e">
        <f t="shared" ca="1" si="619"/>
        <v>#N/A</v>
      </c>
      <c r="F3227" t="e">
        <f t="shared" ca="1" si="620"/>
        <v>#N/A</v>
      </c>
      <c r="G3227" t="e">
        <f t="shared" ca="1" si="621"/>
        <v>#N/A</v>
      </c>
      <c r="H3227" t="e">
        <f t="shared" ca="1" si="622"/>
        <v>#N/A</v>
      </c>
      <c r="I3227" t="e">
        <f t="shared" ca="1" si="623"/>
        <v>#N/A</v>
      </c>
      <c r="J3227" s="8" t="e">
        <f t="shared" ca="1" si="624"/>
        <v>#N/A</v>
      </c>
      <c r="K3227" s="9" t="e">
        <f t="shared" ca="1" si="625"/>
        <v>#N/A</v>
      </c>
      <c r="L3227" t="e">
        <f ca="1">+_xlfn.IFNA(VLOOKUP(M3227,BespokeWindowsAreas!$B$2:$E$1999,4,FALSE),VLOOKUP(E3227,WindowTypeArea!$B$2:$C$113,2,FALSE))</f>
        <v>#N/A</v>
      </c>
      <c r="M3227" t="e">
        <f t="shared" ca="1" si="628"/>
        <v>#N/A</v>
      </c>
    </row>
    <row r="3228" spans="1:13" x14ac:dyDescent="0.25">
      <c r="A3228" t="e">
        <f t="shared" ca="1" si="626"/>
        <v>#N/A</v>
      </c>
      <c r="B3228" t="e">
        <f t="shared" ca="1" si="627"/>
        <v>#N/A</v>
      </c>
      <c r="C3228" t="e">
        <f t="shared" ca="1" si="617"/>
        <v>#N/A</v>
      </c>
      <c r="D3228" s="6" t="e">
        <f t="shared" ca="1" si="618"/>
        <v>#N/A</v>
      </c>
      <c r="E3228" t="e">
        <f t="shared" ca="1" si="619"/>
        <v>#N/A</v>
      </c>
      <c r="F3228" t="e">
        <f t="shared" ca="1" si="620"/>
        <v>#N/A</v>
      </c>
      <c r="G3228" t="e">
        <f t="shared" ca="1" si="621"/>
        <v>#N/A</v>
      </c>
      <c r="H3228" t="e">
        <f t="shared" ca="1" si="622"/>
        <v>#N/A</v>
      </c>
      <c r="I3228" t="e">
        <f t="shared" ca="1" si="623"/>
        <v>#N/A</v>
      </c>
      <c r="J3228" s="8" t="e">
        <f t="shared" ca="1" si="624"/>
        <v>#N/A</v>
      </c>
      <c r="K3228" s="9" t="e">
        <f t="shared" ca="1" si="625"/>
        <v>#N/A</v>
      </c>
      <c r="L3228" t="e">
        <f ca="1">+_xlfn.IFNA(VLOOKUP(M3228,BespokeWindowsAreas!$B$2:$E$1999,4,FALSE),VLOOKUP(E3228,WindowTypeArea!$B$2:$C$113,2,FALSE))</f>
        <v>#N/A</v>
      </c>
      <c r="M3228" t="e">
        <f t="shared" ca="1" si="628"/>
        <v>#N/A</v>
      </c>
    </row>
    <row r="3229" spans="1:13" x14ac:dyDescent="0.25">
      <c r="A3229" t="e">
        <f t="shared" ca="1" si="626"/>
        <v>#N/A</v>
      </c>
      <c r="B3229" t="e">
        <f t="shared" ca="1" si="627"/>
        <v>#N/A</v>
      </c>
      <c r="C3229" t="e">
        <f t="shared" ca="1" si="617"/>
        <v>#N/A</v>
      </c>
      <c r="D3229" s="6" t="e">
        <f t="shared" ca="1" si="618"/>
        <v>#N/A</v>
      </c>
      <c r="E3229" t="e">
        <f t="shared" ca="1" si="619"/>
        <v>#N/A</v>
      </c>
      <c r="F3229" t="e">
        <f t="shared" ca="1" si="620"/>
        <v>#N/A</v>
      </c>
      <c r="G3229" t="e">
        <f t="shared" ca="1" si="621"/>
        <v>#N/A</v>
      </c>
      <c r="H3229" t="e">
        <f t="shared" ca="1" si="622"/>
        <v>#N/A</v>
      </c>
      <c r="I3229" t="e">
        <f t="shared" ca="1" si="623"/>
        <v>#N/A</v>
      </c>
      <c r="J3229" s="8" t="e">
        <f t="shared" ca="1" si="624"/>
        <v>#N/A</v>
      </c>
      <c r="K3229" s="9" t="e">
        <f t="shared" ca="1" si="625"/>
        <v>#N/A</v>
      </c>
      <c r="L3229" t="e">
        <f ca="1">+_xlfn.IFNA(VLOOKUP(M3229,BespokeWindowsAreas!$B$2:$E$1999,4,FALSE),VLOOKUP(E3229,WindowTypeArea!$B$2:$C$113,2,FALSE))</f>
        <v>#N/A</v>
      </c>
      <c r="M3229" t="e">
        <f t="shared" ca="1" si="628"/>
        <v>#N/A</v>
      </c>
    </row>
    <row r="3230" spans="1:13" x14ac:dyDescent="0.25">
      <c r="A3230" t="e">
        <f t="shared" ca="1" si="626"/>
        <v>#N/A</v>
      </c>
      <c r="B3230" t="e">
        <f t="shared" ca="1" si="627"/>
        <v>#N/A</v>
      </c>
      <c r="C3230" t="e">
        <f t="shared" ca="1" si="617"/>
        <v>#N/A</v>
      </c>
      <c r="D3230" s="6" t="e">
        <f t="shared" ca="1" si="618"/>
        <v>#N/A</v>
      </c>
      <c r="E3230" t="e">
        <f t="shared" ca="1" si="619"/>
        <v>#N/A</v>
      </c>
      <c r="F3230" t="e">
        <f t="shared" ca="1" si="620"/>
        <v>#N/A</v>
      </c>
      <c r="G3230" t="e">
        <f t="shared" ca="1" si="621"/>
        <v>#N/A</v>
      </c>
      <c r="H3230" t="e">
        <f t="shared" ca="1" si="622"/>
        <v>#N/A</v>
      </c>
      <c r="I3230" t="e">
        <f t="shared" ca="1" si="623"/>
        <v>#N/A</v>
      </c>
      <c r="J3230" s="8" t="e">
        <f t="shared" ca="1" si="624"/>
        <v>#N/A</v>
      </c>
      <c r="K3230" s="9" t="e">
        <f t="shared" ca="1" si="625"/>
        <v>#N/A</v>
      </c>
      <c r="L3230" t="e">
        <f ca="1">+_xlfn.IFNA(VLOOKUP(M3230,BespokeWindowsAreas!$B$2:$E$1999,4,FALSE),VLOOKUP(E3230,WindowTypeArea!$B$2:$C$113,2,FALSE))</f>
        <v>#N/A</v>
      </c>
      <c r="M3230" t="e">
        <f t="shared" ca="1" si="628"/>
        <v>#N/A</v>
      </c>
    </row>
    <row r="3231" spans="1:13" x14ac:dyDescent="0.25">
      <c r="A3231" t="e">
        <f t="shared" ca="1" si="626"/>
        <v>#N/A</v>
      </c>
      <c r="B3231" t="e">
        <f t="shared" ca="1" si="627"/>
        <v>#N/A</v>
      </c>
      <c r="C3231" t="e">
        <f t="shared" ca="1" si="617"/>
        <v>#N/A</v>
      </c>
      <c r="D3231" s="6" t="e">
        <f t="shared" ca="1" si="618"/>
        <v>#N/A</v>
      </c>
      <c r="E3231" t="e">
        <f t="shared" ca="1" si="619"/>
        <v>#N/A</v>
      </c>
      <c r="F3231" t="e">
        <f t="shared" ca="1" si="620"/>
        <v>#N/A</v>
      </c>
      <c r="G3231" t="e">
        <f t="shared" ca="1" si="621"/>
        <v>#N/A</v>
      </c>
      <c r="H3231" t="e">
        <f t="shared" ca="1" si="622"/>
        <v>#N/A</v>
      </c>
      <c r="I3231" t="e">
        <f t="shared" ca="1" si="623"/>
        <v>#N/A</v>
      </c>
      <c r="J3231" s="8" t="e">
        <f t="shared" ca="1" si="624"/>
        <v>#N/A</v>
      </c>
      <c r="K3231" s="9" t="e">
        <f t="shared" ca="1" si="625"/>
        <v>#N/A</v>
      </c>
      <c r="L3231" t="e">
        <f ca="1">+_xlfn.IFNA(VLOOKUP(M3231,BespokeWindowsAreas!$B$2:$E$1999,4,FALSE),VLOOKUP(E3231,WindowTypeArea!$B$2:$C$113,2,FALSE))</f>
        <v>#N/A</v>
      </c>
      <c r="M3231" t="e">
        <f t="shared" ca="1" si="628"/>
        <v>#N/A</v>
      </c>
    </row>
    <row r="3232" spans="1:13" x14ac:dyDescent="0.25">
      <c r="A3232" t="e">
        <f t="shared" ca="1" si="626"/>
        <v>#N/A</v>
      </c>
      <c r="B3232" t="e">
        <f t="shared" ca="1" si="627"/>
        <v>#N/A</v>
      </c>
      <c r="C3232" t="e">
        <f t="shared" ca="1" si="617"/>
        <v>#N/A</v>
      </c>
      <c r="D3232" s="6" t="e">
        <f t="shared" ca="1" si="618"/>
        <v>#N/A</v>
      </c>
      <c r="E3232" t="e">
        <f t="shared" ca="1" si="619"/>
        <v>#N/A</v>
      </c>
      <c r="F3232" t="e">
        <f t="shared" ca="1" si="620"/>
        <v>#N/A</v>
      </c>
      <c r="G3232" t="e">
        <f t="shared" ca="1" si="621"/>
        <v>#N/A</v>
      </c>
      <c r="H3232" t="e">
        <f t="shared" ca="1" si="622"/>
        <v>#N/A</v>
      </c>
      <c r="I3232" t="e">
        <f t="shared" ca="1" si="623"/>
        <v>#N/A</v>
      </c>
      <c r="J3232" s="8" t="e">
        <f t="shared" ca="1" si="624"/>
        <v>#N/A</v>
      </c>
      <c r="K3232" s="9" t="e">
        <f t="shared" ca="1" si="625"/>
        <v>#N/A</v>
      </c>
      <c r="L3232" t="e">
        <f ca="1">+_xlfn.IFNA(VLOOKUP(M3232,BespokeWindowsAreas!$B$2:$E$1999,4,FALSE),VLOOKUP(E3232,WindowTypeArea!$B$2:$C$113,2,FALSE))</f>
        <v>#N/A</v>
      </c>
      <c r="M3232" t="e">
        <f t="shared" ca="1" si="628"/>
        <v>#N/A</v>
      </c>
    </row>
    <row r="3233" spans="1:13" x14ac:dyDescent="0.25">
      <c r="A3233" t="e">
        <f t="shared" ca="1" si="626"/>
        <v>#N/A</v>
      </c>
      <c r="B3233" t="e">
        <f t="shared" ca="1" si="627"/>
        <v>#N/A</v>
      </c>
      <c r="C3233" t="e">
        <f t="shared" ca="1" si="617"/>
        <v>#N/A</v>
      </c>
      <c r="D3233" s="6" t="e">
        <f t="shared" ca="1" si="618"/>
        <v>#N/A</v>
      </c>
      <c r="E3233" t="e">
        <f t="shared" ca="1" si="619"/>
        <v>#N/A</v>
      </c>
      <c r="F3233" t="e">
        <f t="shared" ca="1" si="620"/>
        <v>#N/A</v>
      </c>
      <c r="G3233" t="e">
        <f t="shared" ca="1" si="621"/>
        <v>#N/A</v>
      </c>
      <c r="H3233" t="e">
        <f t="shared" ca="1" si="622"/>
        <v>#N/A</v>
      </c>
      <c r="I3233" t="e">
        <f t="shared" ca="1" si="623"/>
        <v>#N/A</v>
      </c>
      <c r="J3233" s="8" t="e">
        <f t="shared" ca="1" si="624"/>
        <v>#N/A</v>
      </c>
      <c r="K3233" s="9" t="e">
        <f t="shared" ca="1" si="625"/>
        <v>#N/A</v>
      </c>
      <c r="L3233" t="e">
        <f ca="1">+_xlfn.IFNA(VLOOKUP(M3233,BespokeWindowsAreas!$B$2:$E$1999,4,FALSE),VLOOKUP(E3233,WindowTypeArea!$B$2:$C$113,2,FALSE))</f>
        <v>#N/A</v>
      </c>
      <c r="M3233" t="e">
        <f t="shared" ca="1" si="628"/>
        <v>#N/A</v>
      </c>
    </row>
    <row r="3234" spans="1:13" x14ac:dyDescent="0.25">
      <c r="A3234" t="e">
        <f t="shared" ca="1" si="626"/>
        <v>#N/A</v>
      </c>
      <c r="B3234" t="e">
        <f t="shared" ca="1" si="627"/>
        <v>#N/A</v>
      </c>
      <c r="C3234" t="e">
        <f t="shared" ca="1" si="617"/>
        <v>#N/A</v>
      </c>
      <c r="D3234" s="6" t="e">
        <f t="shared" ca="1" si="618"/>
        <v>#N/A</v>
      </c>
      <c r="E3234" t="e">
        <f t="shared" ca="1" si="619"/>
        <v>#N/A</v>
      </c>
      <c r="F3234" t="e">
        <f t="shared" ca="1" si="620"/>
        <v>#N/A</v>
      </c>
      <c r="G3234" t="e">
        <f t="shared" ca="1" si="621"/>
        <v>#N/A</v>
      </c>
      <c r="H3234" t="e">
        <f t="shared" ca="1" si="622"/>
        <v>#N/A</v>
      </c>
      <c r="I3234" t="e">
        <f t="shared" ca="1" si="623"/>
        <v>#N/A</v>
      </c>
      <c r="J3234" s="8" t="e">
        <f t="shared" ca="1" si="624"/>
        <v>#N/A</v>
      </c>
      <c r="K3234" s="9" t="e">
        <f t="shared" ca="1" si="625"/>
        <v>#N/A</v>
      </c>
      <c r="L3234" t="e">
        <f ca="1">+_xlfn.IFNA(VLOOKUP(M3234,BespokeWindowsAreas!$B$2:$E$1999,4,FALSE),VLOOKUP(E3234,WindowTypeArea!$B$2:$C$113,2,FALSE))</f>
        <v>#N/A</v>
      </c>
      <c r="M3234" t="e">
        <f t="shared" ca="1" si="628"/>
        <v>#N/A</v>
      </c>
    </row>
    <row r="3235" spans="1:13" x14ac:dyDescent="0.25">
      <c r="A3235" t="e">
        <f t="shared" ca="1" si="626"/>
        <v>#N/A</v>
      </c>
      <c r="B3235" t="e">
        <f t="shared" ca="1" si="627"/>
        <v>#N/A</v>
      </c>
      <c r="C3235" t="e">
        <f t="shared" ca="1" si="617"/>
        <v>#N/A</v>
      </c>
      <c r="D3235" s="6" t="e">
        <f t="shared" ca="1" si="618"/>
        <v>#N/A</v>
      </c>
      <c r="E3235" t="e">
        <f t="shared" ca="1" si="619"/>
        <v>#N/A</v>
      </c>
      <c r="F3235" t="e">
        <f t="shared" ca="1" si="620"/>
        <v>#N/A</v>
      </c>
      <c r="G3235" t="e">
        <f t="shared" ca="1" si="621"/>
        <v>#N/A</v>
      </c>
      <c r="H3235" t="e">
        <f t="shared" ca="1" si="622"/>
        <v>#N/A</v>
      </c>
      <c r="I3235" t="e">
        <f t="shared" ca="1" si="623"/>
        <v>#N/A</v>
      </c>
      <c r="J3235" s="8" t="e">
        <f t="shared" ca="1" si="624"/>
        <v>#N/A</v>
      </c>
      <c r="K3235" s="9" t="e">
        <f t="shared" ca="1" si="625"/>
        <v>#N/A</v>
      </c>
      <c r="L3235" t="e">
        <f ca="1">+_xlfn.IFNA(VLOOKUP(M3235,BespokeWindowsAreas!$B$2:$E$1999,4,FALSE),VLOOKUP(E3235,WindowTypeArea!$B$2:$C$113,2,FALSE))</f>
        <v>#N/A</v>
      </c>
      <c r="M3235" t="e">
        <f t="shared" ca="1" si="628"/>
        <v>#N/A</v>
      </c>
    </row>
    <row r="3236" spans="1:13" x14ac:dyDescent="0.25">
      <c r="A3236" t="e">
        <f t="shared" ca="1" si="626"/>
        <v>#N/A</v>
      </c>
      <c r="B3236" t="e">
        <f t="shared" ca="1" si="627"/>
        <v>#N/A</v>
      </c>
      <c r="C3236" t="e">
        <f t="shared" ca="1" si="617"/>
        <v>#N/A</v>
      </c>
      <c r="D3236" s="6" t="e">
        <f t="shared" ca="1" si="618"/>
        <v>#N/A</v>
      </c>
      <c r="E3236" t="e">
        <f t="shared" ca="1" si="619"/>
        <v>#N/A</v>
      </c>
      <c r="F3236" t="e">
        <f t="shared" ca="1" si="620"/>
        <v>#N/A</v>
      </c>
      <c r="G3236" t="e">
        <f t="shared" ca="1" si="621"/>
        <v>#N/A</v>
      </c>
      <c r="H3236" t="e">
        <f t="shared" ca="1" si="622"/>
        <v>#N/A</v>
      </c>
      <c r="I3236" t="e">
        <f t="shared" ca="1" si="623"/>
        <v>#N/A</v>
      </c>
      <c r="J3236" s="8" t="e">
        <f t="shared" ca="1" si="624"/>
        <v>#N/A</v>
      </c>
      <c r="K3236" s="9" t="e">
        <f t="shared" ca="1" si="625"/>
        <v>#N/A</v>
      </c>
      <c r="L3236" t="e">
        <f ca="1">+_xlfn.IFNA(VLOOKUP(M3236,BespokeWindowsAreas!$B$2:$E$1999,4,FALSE),VLOOKUP(E3236,WindowTypeArea!$B$2:$C$113,2,FALSE))</f>
        <v>#N/A</v>
      </c>
      <c r="M3236" t="e">
        <f t="shared" ca="1" si="628"/>
        <v>#N/A</v>
      </c>
    </row>
    <row r="3237" spans="1:13" x14ac:dyDescent="0.25">
      <c r="A3237" t="e">
        <f t="shared" ca="1" si="626"/>
        <v>#N/A</v>
      </c>
      <c r="B3237" t="e">
        <f t="shared" ca="1" si="627"/>
        <v>#N/A</v>
      </c>
      <c r="C3237" t="e">
        <f t="shared" ca="1" si="617"/>
        <v>#N/A</v>
      </c>
      <c r="D3237" s="6" t="e">
        <f t="shared" ca="1" si="618"/>
        <v>#N/A</v>
      </c>
      <c r="E3237" t="e">
        <f t="shared" ca="1" si="619"/>
        <v>#N/A</v>
      </c>
      <c r="F3237" t="e">
        <f t="shared" ca="1" si="620"/>
        <v>#N/A</v>
      </c>
      <c r="G3237" t="e">
        <f t="shared" ca="1" si="621"/>
        <v>#N/A</v>
      </c>
      <c r="H3237" t="e">
        <f t="shared" ca="1" si="622"/>
        <v>#N/A</v>
      </c>
      <c r="I3237" t="e">
        <f t="shared" ca="1" si="623"/>
        <v>#N/A</v>
      </c>
      <c r="J3237" s="8" t="e">
        <f t="shared" ca="1" si="624"/>
        <v>#N/A</v>
      </c>
      <c r="K3237" s="9" t="e">
        <f t="shared" ca="1" si="625"/>
        <v>#N/A</v>
      </c>
      <c r="L3237" t="e">
        <f ca="1">+_xlfn.IFNA(VLOOKUP(M3237,BespokeWindowsAreas!$B$2:$E$1999,4,FALSE),VLOOKUP(E3237,WindowTypeArea!$B$2:$C$113,2,FALSE))</f>
        <v>#N/A</v>
      </c>
      <c r="M3237" t="e">
        <f t="shared" ca="1" si="628"/>
        <v>#N/A</v>
      </c>
    </row>
    <row r="3238" spans="1:13" x14ac:dyDescent="0.25">
      <c r="A3238" t="e">
        <f t="shared" ca="1" si="626"/>
        <v>#N/A</v>
      </c>
      <c r="B3238" t="e">
        <f t="shared" ca="1" si="627"/>
        <v>#N/A</v>
      </c>
      <c r="C3238" t="e">
        <f t="shared" ca="1" si="617"/>
        <v>#N/A</v>
      </c>
      <c r="D3238" s="6" t="e">
        <f t="shared" ca="1" si="618"/>
        <v>#N/A</v>
      </c>
      <c r="E3238" t="e">
        <f t="shared" ca="1" si="619"/>
        <v>#N/A</v>
      </c>
      <c r="F3238" t="e">
        <f t="shared" ca="1" si="620"/>
        <v>#N/A</v>
      </c>
      <c r="G3238" t="e">
        <f t="shared" ca="1" si="621"/>
        <v>#N/A</v>
      </c>
      <c r="H3238" t="e">
        <f t="shared" ca="1" si="622"/>
        <v>#N/A</v>
      </c>
      <c r="I3238" t="e">
        <f t="shared" ca="1" si="623"/>
        <v>#N/A</v>
      </c>
      <c r="J3238" s="8" t="e">
        <f t="shared" ca="1" si="624"/>
        <v>#N/A</v>
      </c>
      <c r="K3238" s="9" t="e">
        <f t="shared" ca="1" si="625"/>
        <v>#N/A</v>
      </c>
      <c r="L3238" t="e">
        <f ca="1">+_xlfn.IFNA(VLOOKUP(M3238,BespokeWindowsAreas!$B$2:$E$1999,4,FALSE),VLOOKUP(E3238,WindowTypeArea!$B$2:$C$113,2,FALSE))</f>
        <v>#N/A</v>
      </c>
      <c r="M3238" t="e">
        <f t="shared" ca="1" si="628"/>
        <v>#N/A</v>
      </c>
    </row>
    <row r="3239" spans="1:13" x14ac:dyDescent="0.25">
      <c r="A3239" t="e">
        <f t="shared" ca="1" si="626"/>
        <v>#N/A</v>
      </c>
      <c r="B3239" t="e">
        <f t="shared" ca="1" si="627"/>
        <v>#N/A</v>
      </c>
      <c r="C3239" t="e">
        <f t="shared" ca="1" si="617"/>
        <v>#N/A</v>
      </c>
      <c r="D3239" s="6" t="e">
        <f t="shared" ca="1" si="618"/>
        <v>#N/A</v>
      </c>
      <c r="E3239" t="e">
        <f t="shared" ca="1" si="619"/>
        <v>#N/A</v>
      </c>
      <c r="F3239" t="e">
        <f t="shared" ca="1" si="620"/>
        <v>#N/A</v>
      </c>
      <c r="G3239" t="e">
        <f t="shared" ca="1" si="621"/>
        <v>#N/A</v>
      </c>
      <c r="H3239" t="e">
        <f t="shared" ca="1" si="622"/>
        <v>#N/A</v>
      </c>
      <c r="I3239" t="e">
        <f t="shared" ca="1" si="623"/>
        <v>#N/A</v>
      </c>
      <c r="J3239" s="8" t="e">
        <f t="shared" ca="1" si="624"/>
        <v>#N/A</v>
      </c>
      <c r="K3239" s="9" t="e">
        <f t="shared" ca="1" si="625"/>
        <v>#N/A</v>
      </c>
      <c r="L3239" t="e">
        <f ca="1">+_xlfn.IFNA(VLOOKUP(M3239,BespokeWindowsAreas!$B$2:$E$1999,4,FALSE),VLOOKUP(E3239,WindowTypeArea!$B$2:$C$113,2,FALSE))</f>
        <v>#N/A</v>
      </c>
      <c r="M3239" t="e">
        <f t="shared" ca="1" si="628"/>
        <v>#N/A</v>
      </c>
    </row>
    <row r="3240" spans="1:13" x14ac:dyDescent="0.25">
      <c r="A3240" t="e">
        <f t="shared" ca="1" si="626"/>
        <v>#N/A</v>
      </c>
      <c r="B3240" t="e">
        <f t="shared" ca="1" si="627"/>
        <v>#N/A</v>
      </c>
      <c r="C3240" t="e">
        <f t="shared" ca="1" si="617"/>
        <v>#N/A</v>
      </c>
      <c r="D3240" s="6" t="e">
        <f t="shared" ca="1" si="618"/>
        <v>#N/A</v>
      </c>
      <c r="E3240" t="e">
        <f t="shared" ca="1" si="619"/>
        <v>#N/A</v>
      </c>
      <c r="F3240" t="e">
        <f t="shared" ca="1" si="620"/>
        <v>#N/A</v>
      </c>
      <c r="G3240" t="e">
        <f t="shared" ca="1" si="621"/>
        <v>#N/A</v>
      </c>
      <c r="H3240" t="e">
        <f t="shared" ca="1" si="622"/>
        <v>#N/A</v>
      </c>
      <c r="I3240" t="e">
        <f t="shared" ca="1" si="623"/>
        <v>#N/A</v>
      </c>
      <c r="J3240" s="8" t="e">
        <f t="shared" ca="1" si="624"/>
        <v>#N/A</v>
      </c>
      <c r="K3240" s="9" t="e">
        <f t="shared" ca="1" si="625"/>
        <v>#N/A</v>
      </c>
      <c r="L3240" t="e">
        <f ca="1">+_xlfn.IFNA(VLOOKUP(M3240,BespokeWindowsAreas!$B$2:$E$1999,4,FALSE),VLOOKUP(E3240,WindowTypeArea!$B$2:$C$113,2,FALSE))</f>
        <v>#N/A</v>
      </c>
      <c r="M3240" t="e">
        <f t="shared" ca="1" si="628"/>
        <v>#N/A</v>
      </c>
    </row>
    <row r="3241" spans="1:13" x14ac:dyDescent="0.25">
      <c r="A3241" t="e">
        <f t="shared" ca="1" si="626"/>
        <v>#N/A</v>
      </c>
      <c r="B3241" t="e">
        <f t="shared" ca="1" si="627"/>
        <v>#N/A</v>
      </c>
      <c r="C3241" t="e">
        <f t="shared" ca="1" si="617"/>
        <v>#N/A</v>
      </c>
      <c r="D3241" s="6" t="e">
        <f t="shared" ca="1" si="618"/>
        <v>#N/A</v>
      </c>
      <c r="E3241" t="e">
        <f t="shared" ca="1" si="619"/>
        <v>#N/A</v>
      </c>
      <c r="F3241" t="e">
        <f t="shared" ca="1" si="620"/>
        <v>#N/A</v>
      </c>
      <c r="G3241" t="e">
        <f t="shared" ca="1" si="621"/>
        <v>#N/A</v>
      </c>
      <c r="H3241" t="e">
        <f t="shared" ca="1" si="622"/>
        <v>#N/A</v>
      </c>
      <c r="I3241" t="e">
        <f t="shared" ca="1" si="623"/>
        <v>#N/A</v>
      </c>
      <c r="J3241" s="8" t="e">
        <f t="shared" ca="1" si="624"/>
        <v>#N/A</v>
      </c>
      <c r="K3241" s="9" t="e">
        <f t="shared" ca="1" si="625"/>
        <v>#N/A</v>
      </c>
      <c r="L3241" t="e">
        <f ca="1">+_xlfn.IFNA(VLOOKUP(M3241,BespokeWindowsAreas!$B$2:$E$1999,4,FALSE),VLOOKUP(E3241,WindowTypeArea!$B$2:$C$113,2,FALSE))</f>
        <v>#N/A</v>
      </c>
      <c r="M3241" t="e">
        <f t="shared" ca="1" si="628"/>
        <v>#N/A</v>
      </c>
    </row>
    <row r="3242" spans="1:13" x14ac:dyDescent="0.25">
      <c r="A3242" t="e">
        <f t="shared" ca="1" si="626"/>
        <v>#N/A</v>
      </c>
      <c r="B3242" t="e">
        <f t="shared" ca="1" si="627"/>
        <v>#N/A</v>
      </c>
      <c r="C3242" t="e">
        <f t="shared" ca="1" si="617"/>
        <v>#N/A</v>
      </c>
      <c r="D3242" s="6" t="e">
        <f t="shared" ca="1" si="618"/>
        <v>#N/A</v>
      </c>
      <c r="E3242" t="e">
        <f t="shared" ca="1" si="619"/>
        <v>#N/A</v>
      </c>
      <c r="F3242" t="e">
        <f t="shared" ca="1" si="620"/>
        <v>#N/A</v>
      </c>
      <c r="G3242" t="e">
        <f t="shared" ca="1" si="621"/>
        <v>#N/A</v>
      </c>
      <c r="H3242" t="e">
        <f t="shared" ca="1" si="622"/>
        <v>#N/A</v>
      </c>
      <c r="I3242" t="e">
        <f t="shared" ca="1" si="623"/>
        <v>#N/A</v>
      </c>
      <c r="J3242" s="8" t="e">
        <f t="shared" ca="1" si="624"/>
        <v>#N/A</v>
      </c>
      <c r="K3242" s="9" t="e">
        <f t="shared" ca="1" si="625"/>
        <v>#N/A</v>
      </c>
      <c r="L3242" t="e">
        <f ca="1">+_xlfn.IFNA(VLOOKUP(M3242,BespokeWindowsAreas!$B$2:$E$1999,4,FALSE),VLOOKUP(E3242,WindowTypeArea!$B$2:$C$113,2,FALSE))</f>
        <v>#N/A</v>
      </c>
      <c r="M3242" t="e">
        <f t="shared" ca="1" si="628"/>
        <v>#N/A</v>
      </c>
    </row>
    <row r="3243" spans="1:13" x14ac:dyDescent="0.25">
      <c r="A3243" t="e">
        <f t="shared" ca="1" si="626"/>
        <v>#N/A</v>
      </c>
      <c r="B3243" t="e">
        <f t="shared" ca="1" si="627"/>
        <v>#N/A</v>
      </c>
      <c r="C3243" t="e">
        <f t="shared" ca="1" si="617"/>
        <v>#N/A</v>
      </c>
      <c r="D3243" s="6" t="e">
        <f t="shared" ca="1" si="618"/>
        <v>#N/A</v>
      </c>
      <c r="E3243" t="e">
        <f t="shared" ca="1" si="619"/>
        <v>#N/A</v>
      </c>
      <c r="F3243" t="e">
        <f t="shared" ca="1" si="620"/>
        <v>#N/A</v>
      </c>
      <c r="G3243" t="e">
        <f t="shared" ca="1" si="621"/>
        <v>#N/A</v>
      </c>
      <c r="H3243" t="e">
        <f t="shared" ca="1" si="622"/>
        <v>#N/A</v>
      </c>
      <c r="I3243" t="e">
        <f t="shared" ca="1" si="623"/>
        <v>#N/A</v>
      </c>
      <c r="J3243" s="8" t="e">
        <f t="shared" ca="1" si="624"/>
        <v>#N/A</v>
      </c>
      <c r="K3243" s="9" t="e">
        <f t="shared" ca="1" si="625"/>
        <v>#N/A</v>
      </c>
      <c r="L3243" t="e">
        <f ca="1">+_xlfn.IFNA(VLOOKUP(M3243,BespokeWindowsAreas!$B$2:$E$1999,4,FALSE),VLOOKUP(E3243,WindowTypeArea!$B$2:$C$113,2,FALSE))</f>
        <v>#N/A</v>
      </c>
      <c r="M3243" t="e">
        <f t="shared" ca="1" si="628"/>
        <v>#N/A</v>
      </c>
    </row>
    <row r="3244" spans="1:13" x14ac:dyDescent="0.25">
      <c r="A3244" t="e">
        <f t="shared" ca="1" si="626"/>
        <v>#N/A</v>
      </c>
      <c r="B3244" t="e">
        <f t="shared" ca="1" si="627"/>
        <v>#N/A</v>
      </c>
      <c r="C3244" t="e">
        <f t="shared" ca="1" si="617"/>
        <v>#N/A</v>
      </c>
      <c r="D3244" s="6" t="e">
        <f t="shared" ca="1" si="618"/>
        <v>#N/A</v>
      </c>
      <c r="E3244" t="e">
        <f t="shared" ca="1" si="619"/>
        <v>#N/A</v>
      </c>
      <c r="F3244" t="e">
        <f t="shared" ca="1" si="620"/>
        <v>#N/A</v>
      </c>
      <c r="G3244" t="e">
        <f t="shared" ca="1" si="621"/>
        <v>#N/A</v>
      </c>
      <c r="H3244" t="e">
        <f t="shared" ca="1" si="622"/>
        <v>#N/A</v>
      </c>
      <c r="I3244" t="e">
        <f t="shared" ca="1" si="623"/>
        <v>#N/A</v>
      </c>
      <c r="J3244" s="8" t="e">
        <f t="shared" ca="1" si="624"/>
        <v>#N/A</v>
      </c>
      <c r="K3244" s="9" t="e">
        <f t="shared" ca="1" si="625"/>
        <v>#N/A</v>
      </c>
      <c r="L3244" t="e">
        <f ca="1">+_xlfn.IFNA(VLOOKUP(M3244,BespokeWindowsAreas!$B$2:$E$1999,4,FALSE),VLOOKUP(E3244,WindowTypeArea!$B$2:$C$113,2,FALSE))</f>
        <v>#N/A</v>
      </c>
      <c r="M3244" t="e">
        <f t="shared" ca="1" si="628"/>
        <v>#N/A</v>
      </c>
    </row>
    <row r="3245" spans="1:13" x14ac:dyDescent="0.25">
      <c r="A3245" t="e">
        <f t="shared" ca="1" si="626"/>
        <v>#N/A</v>
      </c>
      <c r="B3245" t="e">
        <f t="shared" ca="1" si="627"/>
        <v>#N/A</v>
      </c>
      <c r="C3245" t="e">
        <f t="shared" ca="1" si="617"/>
        <v>#N/A</v>
      </c>
      <c r="D3245" s="6" t="e">
        <f t="shared" ca="1" si="618"/>
        <v>#N/A</v>
      </c>
      <c r="E3245" t="e">
        <f t="shared" ca="1" si="619"/>
        <v>#N/A</v>
      </c>
      <c r="F3245" t="e">
        <f t="shared" ca="1" si="620"/>
        <v>#N/A</v>
      </c>
      <c r="G3245" t="e">
        <f t="shared" ca="1" si="621"/>
        <v>#N/A</v>
      </c>
      <c r="H3245" t="e">
        <f t="shared" ca="1" si="622"/>
        <v>#N/A</v>
      </c>
      <c r="I3245" t="e">
        <f t="shared" ca="1" si="623"/>
        <v>#N/A</v>
      </c>
      <c r="J3245" s="8" t="e">
        <f t="shared" ca="1" si="624"/>
        <v>#N/A</v>
      </c>
      <c r="K3245" s="9" t="e">
        <f t="shared" ca="1" si="625"/>
        <v>#N/A</v>
      </c>
      <c r="L3245" t="e">
        <f ca="1">+_xlfn.IFNA(VLOOKUP(M3245,BespokeWindowsAreas!$B$2:$E$1999,4,FALSE),VLOOKUP(E3245,WindowTypeArea!$B$2:$C$113,2,FALSE))</f>
        <v>#N/A</v>
      </c>
      <c r="M3245" t="e">
        <f t="shared" ca="1" si="628"/>
        <v>#N/A</v>
      </c>
    </row>
    <row r="3246" spans="1:13" x14ac:dyDescent="0.25">
      <c r="A3246" t="e">
        <f t="shared" ca="1" si="626"/>
        <v>#N/A</v>
      </c>
      <c r="B3246" t="e">
        <f t="shared" ca="1" si="627"/>
        <v>#N/A</v>
      </c>
      <c r="C3246" t="e">
        <f t="shared" ca="1" si="617"/>
        <v>#N/A</v>
      </c>
      <c r="D3246" s="6" t="e">
        <f t="shared" ca="1" si="618"/>
        <v>#N/A</v>
      </c>
      <c r="E3246" t="e">
        <f t="shared" ca="1" si="619"/>
        <v>#N/A</v>
      </c>
      <c r="F3246" t="e">
        <f t="shared" ca="1" si="620"/>
        <v>#N/A</v>
      </c>
      <c r="G3246" t="e">
        <f t="shared" ca="1" si="621"/>
        <v>#N/A</v>
      </c>
      <c r="H3246" t="e">
        <f t="shared" ca="1" si="622"/>
        <v>#N/A</v>
      </c>
      <c r="I3246" t="e">
        <f t="shared" ca="1" si="623"/>
        <v>#N/A</v>
      </c>
      <c r="J3246" s="8" t="e">
        <f t="shared" ca="1" si="624"/>
        <v>#N/A</v>
      </c>
      <c r="K3246" s="9" t="e">
        <f t="shared" ca="1" si="625"/>
        <v>#N/A</v>
      </c>
      <c r="L3246" t="e">
        <f ca="1">+_xlfn.IFNA(VLOOKUP(M3246,BespokeWindowsAreas!$B$2:$E$1999,4,FALSE),VLOOKUP(E3246,WindowTypeArea!$B$2:$C$113,2,FALSE))</f>
        <v>#N/A</v>
      </c>
      <c r="M3246" t="e">
        <f t="shared" ca="1" si="628"/>
        <v>#N/A</v>
      </c>
    </row>
    <row r="3247" spans="1:13" x14ac:dyDescent="0.25">
      <c r="A3247" t="e">
        <f t="shared" ca="1" si="626"/>
        <v>#N/A</v>
      </c>
      <c r="B3247" t="e">
        <f t="shared" ca="1" si="627"/>
        <v>#N/A</v>
      </c>
      <c r="C3247" t="e">
        <f t="shared" ca="1" si="617"/>
        <v>#N/A</v>
      </c>
      <c r="D3247" s="6" t="e">
        <f t="shared" ca="1" si="618"/>
        <v>#N/A</v>
      </c>
      <c r="E3247" t="e">
        <f t="shared" ca="1" si="619"/>
        <v>#N/A</v>
      </c>
      <c r="F3247" t="e">
        <f t="shared" ca="1" si="620"/>
        <v>#N/A</v>
      </c>
      <c r="G3247" t="e">
        <f t="shared" ca="1" si="621"/>
        <v>#N/A</v>
      </c>
      <c r="H3247" t="e">
        <f t="shared" ca="1" si="622"/>
        <v>#N/A</v>
      </c>
      <c r="I3247" t="e">
        <f t="shared" ca="1" si="623"/>
        <v>#N/A</v>
      </c>
      <c r="J3247" s="8" t="e">
        <f t="shared" ca="1" si="624"/>
        <v>#N/A</v>
      </c>
      <c r="K3247" s="9" t="e">
        <f t="shared" ca="1" si="625"/>
        <v>#N/A</v>
      </c>
      <c r="L3247" t="e">
        <f ca="1">+_xlfn.IFNA(VLOOKUP(M3247,BespokeWindowsAreas!$B$2:$E$1999,4,FALSE),VLOOKUP(E3247,WindowTypeArea!$B$2:$C$113,2,FALSE))</f>
        <v>#N/A</v>
      </c>
      <c r="M3247" t="e">
        <f t="shared" ca="1" si="628"/>
        <v>#N/A</v>
      </c>
    </row>
    <row r="3248" spans="1:13" x14ac:dyDescent="0.25">
      <c r="A3248" t="e">
        <f t="shared" ca="1" si="626"/>
        <v>#N/A</v>
      </c>
      <c r="B3248" t="e">
        <f t="shared" ca="1" si="627"/>
        <v>#N/A</v>
      </c>
      <c r="C3248" t="e">
        <f t="shared" ca="1" si="617"/>
        <v>#N/A</v>
      </c>
      <c r="D3248" s="6" t="e">
        <f t="shared" ca="1" si="618"/>
        <v>#N/A</v>
      </c>
      <c r="E3248" t="e">
        <f t="shared" ca="1" si="619"/>
        <v>#N/A</v>
      </c>
      <c r="F3248" t="e">
        <f t="shared" ca="1" si="620"/>
        <v>#N/A</v>
      </c>
      <c r="G3248" t="e">
        <f t="shared" ca="1" si="621"/>
        <v>#N/A</v>
      </c>
      <c r="H3248" t="e">
        <f t="shared" ca="1" si="622"/>
        <v>#N/A</v>
      </c>
      <c r="I3248" t="e">
        <f t="shared" ca="1" si="623"/>
        <v>#N/A</v>
      </c>
      <c r="J3248" s="8" t="e">
        <f t="shared" ca="1" si="624"/>
        <v>#N/A</v>
      </c>
      <c r="K3248" s="9" t="e">
        <f t="shared" ca="1" si="625"/>
        <v>#N/A</v>
      </c>
      <c r="L3248" t="e">
        <f ca="1">+_xlfn.IFNA(VLOOKUP(M3248,BespokeWindowsAreas!$B$2:$E$1999,4,FALSE),VLOOKUP(E3248,WindowTypeArea!$B$2:$C$113,2,FALSE))</f>
        <v>#N/A</v>
      </c>
      <c r="M3248" t="e">
        <f t="shared" ca="1" si="628"/>
        <v>#N/A</v>
      </c>
    </row>
    <row r="3249" spans="1:13" x14ac:dyDescent="0.25">
      <c r="A3249" t="e">
        <f t="shared" ca="1" si="626"/>
        <v>#N/A</v>
      </c>
      <c r="B3249" t="e">
        <f t="shared" ca="1" si="627"/>
        <v>#N/A</v>
      </c>
      <c r="C3249" t="e">
        <f t="shared" ca="1" si="617"/>
        <v>#N/A</v>
      </c>
      <c r="D3249" s="6" t="e">
        <f t="shared" ca="1" si="618"/>
        <v>#N/A</v>
      </c>
      <c r="E3249" t="e">
        <f t="shared" ca="1" si="619"/>
        <v>#N/A</v>
      </c>
      <c r="F3249" t="e">
        <f t="shared" ca="1" si="620"/>
        <v>#N/A</v>
      </c>
      <c r="G3249" t="e">
        <f t="shared" ca="1" si="621"/>
        <v>#N/A</v>
      </c>
      <c r="H3249" t="e">
        <f t="shared" ca="1" si="622"/>
        <v>#N/A</v>
      </c>
      <c r="I3249" t="e">
        <f t="shared" ca="1" si="623"/>
        <v>#N/A</v>
      </c>
      <c r="J3249" s="8" t="e">
        <f t="shared" ca="1" si="624"/>
        <v>#N/A</v>
      </c>
      <c r="K3249" s="9" t="e">
        <f t="shared" ca="1" si="625"/>
        <v>#N/A</v>
      </c>
      <c r="L3249" t="e">
        <f ca="1">+_xlfn.IFNA(VLOOKUP(M3249,BespokeWindowsAreas!$B$2:$E$1999,4,FALSE),VLOOKUP(E3249,WindowTypeArea!$B$2:$C$113,2,FALSE))</f>
        <v>#N/A</v>
      </c>
      <c r="M3249" t="e">
        <f t="shared" ca="1" si="628"/>
        <v>#N/A</v>
      </c>
    </row>
    <row r="3250" spans="1:13" x14ac:dyDescent="0.25">
      <c r="A3250" t="e">
        <f t="shared" ca="1" si="626"/>
        <v>#N/A</v>
      </c>
      <c r="B3250" t="e">
        <f t="shared" ca="1" si="627"/>
        <v>#N/A</v>
      </c>
      <c r="C3250" t="e">
        <f t="shared" ca="1" si="617"/>
        <v>#N/A</v>
      </c>
      <c r="D3250" s="6" t="e">
        <f t="shared" ca="1" si="618"/>
        <v>#N/A</v>
      </c>
      <c r="E3250" t="e">
        <f t="shared" ca="1" si="619"/>
        <v>#N/A</v>
      </c>
      <c r="F3250" t="e">
        <f t="shared" ca="1" si="620"/>
        <v>#N/A</v>
      </c>
      <c r="G3250" t="e">
        <f t="shared" ca="1" si="621"/>
        <v>#N/A</v>
      </c>
      <c r="H3250" t="e">
        <f t="shared" ca="1" si="622"/>
        <v>#N/A</v>
      </c>
      <c r="I3250" t="e">
        <f t="shared" ca="1" si="623"/>
        <v>#N/A</v>
      </c>
      <c r="J3250" s="8" t="e">
        <f t="shared" ca="1" si="624"/>
        <v>#N/A</v>
      </c>
      <c r="K3250" s="9" t="e">
        <f t="shared" ca="1" si="625"/>
        <v>#N/A</v>
      </c>
      <c r="L3250" t="e">
        <f ca="1">+_xlfn.IFNA(VLOOKUP(M3250,BespokeWindowsAreas!$B$2:$E$1999,4,FALSE),VLOOKUP(E3250,WindowTypeArea!$B$2:$C$113,2,FALSE))</f>
        <v>#N/A</v>
      </c>
      <c r="M3250" t="e">
        <f t="shared" ca="1" si="628"/>
        <v>#N/A</v>
      </c>
    </row>
    <row r="3251" spans="1:13" x14ac:dyDescent="0.25">
      <c r="A3251" t="e">
        <f t="shared" ca="1" si="626"/>
        <v>#N/A</v>
      </c>
      <c r="B3251" t="e">
        <f t="shared" ca="1" si="627"/>
        <v>#N/A</v>
      </c>
      <c r="C3251" t="e">
        <f t="shared" ca="1" si="617"/>
        <v>#N/A</v>
      </c>
      <c r="D3251" s="6" t="e">
        <f t="shared" ca="1" si="618"/>
        <v>#N/A</v>
      </c>
      <c r="E3251" t="e">
        <f t="shared" ca="1" si="619"/>
        <v>#N/A</v>
      </c>
      <c r="F3251" t="e">
        <f t="shared" ca="1" si="620"/>
        <v>#N/A</v>
      </c>
      <c r="G3251" t="e">
        <f t="shared" ca="1" si="621"/>
        <v>#N/A</v>
      </c>
      <c r="H3251" t="e">
        <f t="shared" ca="1" si="622"/>
        <v>#N/A</v>
      </c>
      <c r="I3251" t="e">
        <f t="shared" ca="1" si="623"/>
        <v>#N/A</v>
      </c>
      <c r="J3251" s="8" t="e">
        <f t="shared" ca="1" si="624"/>
        <v>#N/A</v>
      </c>
      <c r="K3251" s="9" t="e">
        <f t="shared" ca="1" si="625"/>
        <v>#N/A</v>
      </c>
      <c r="L3251" t="e">
        <f ca="1">+_xlfn.IFNA(VLOOKUP(M3251,BespokeWindowsAreas!$B$2:$E$1999,4,FALSE),VLOOKUP(E3251,WindowTypeArea!$B$2:$C$113,2,FALSE))</f>
        <v>#N/A</v>
      </c>
      <c r="M3251" t="e">
        <f t="shared" ca="1" si="628"/>
        <v>#N/A</v>
      </c>
    </row>
    <row r="3252" spans="1:13" x14ac:dyDescent="0.25">
      <c r="A3252" t="e">
        <f t="shared" ca="1" si="626"/>
        <v>#N/A</v>
      </c>
      <c r="B3252" t="e">
        <f t="shared" ca="1" si="627"/>
        <v>#N/A</v>
      </c>
      <c r="C3252" t="e">
        <f t="shared" ca="1" si="617"/>
        <v>#N/A</v>
      </c>
      <c r="D3252" s="6" t="e">
        <f t="shared" ca="1" si="618"/>
        <v>#N/A</v>
      </c>
      <c r="E3252" t="e">
        <f t="shared" ca="1" si="619"/>
        <v>#N/A</v>
      </c>
      <c r="F3252" t="e">
        <f t="shared" ca="1" si="620"/>
        <v>#N/A</v>
      </c>
      <c r="G3252" t="e">
        <f t="shared" ca="1" si="621"/>
        <v>#N/A</v>
      </c>
      <c r="H3252" t="e">
        <f t="shared" ca="1" si="622"/>
        <v>#N/A</v>
      </c>
      <c r="I3252" t="e">
        <f t="shared" ca="1" si="623"/>
        <v>#N/A</v>
      </c>
      <c r="J3252" s="8" t="e">
        <f t="shared" ca="1" si="624"/>
        <v>#N/A</v>
      </c>
      <c r="K3252" s="9" t="e">
        <f t="shared" ca="1" si="625"/>
        <v>#N/A</v>
      </c>
      <c r="L3252" t="e">
        <f ca="1">+_xlfn.IFNA(VLOOKUP(M3252,BespokeWindowsAreas!$B$2:$E$1999,4,FALSE),VLOOKUP(E3252,WindowTypeArea!$B$2:$C$113,2,FALSE))</f>
        <v>#N/A</v>
      </c>
      <c r="M3252" t="e">
        <f t="shared" ca="1" si="628"/>
        <v>#N/A</v>
      </c>
    </row>
    <row r="3253" spans="1:13" x14ac:dyDescent="0.25">
      <c r="A3253" t="e">
        <f t="shared" ca="1" si="626"/>
        <v>#N/A</v>
      </c>
      <c r="B3253" t="e">
        <f t="shared" ca="1" si="627"/>
        <v>#N/A</v>
      </c>
      <c r="C3253" t="e">
        <f t="shared" ca="1" si="617"/>
        <v>#N/A</v>
      </c>
      <c r="D3253" s="6" t="e">
        <f t="shared" ca="1" si="618"/>
        <v>#N/A</v>
      </c>
      <c r="E3253" t="e">
        <f t="shared" ca="1" si="619"/>
        <v>#N/A</v>
      </c>
      <c r="F3253" t="e">
        <f t="shared" ca="1" si="620"/>
        <v>#N/A</v>
      </c>
      <c r="G3253" t="e">
        <f t="shared" ca="1" si="621"/>
        <v>#N/A</v>
      </c>
      <c r="H3253" t="e">
        <f t="shared" ca="1" si="622"/>
        <v>#N/A</v>
      </c>
      <c r="I3253" t="e">
        <f t="shared" ca="1" si="623"/>
        <v>#N/A</v>
      </c>
      <c r="J3253" s="8" t="e">
        <f t="shared" ca="1" si="624"/>
        <v>#N/A</v>
      </c>
      <c r="K3253" s="9" t="e">
        <f t="shared" ca="1" si="625"/>
        <v>#N/A</v>
      </c>
      <c r="L3253" t="e">
        <f ca="1">+_xlfn.IFNA(VLOOKUP(M3253,BespokeWindowsAreas!$B$2:$E$1999,4,FALSE),VLOOKUP(E3253,WindowTypeArea!$B$2:$C$113,2,FALSE))</f>
        <v>#N/A</v>
      </c>
      <c r="M3253" t="e">
        <f t="shared" ca="1" si="628"/>
        <v>#N/A</v>
      </c>
    </row>
    <row r="3254" spans="1:13" x14ac:dyDescent="0.25">
      <c r="A3254" t="e">
        <f t="shared" ca="1" si="626"/>
        <v>#N/A</v>
      </c>
      <c r="B3254" t="e">
        <f t="shared" ca="1" si="627"/>
        <v>#N/A</v>
      </c>
      <c r="C3254" t="e">
        <f t="shared" ca="1" si="617"/>
        <v>#N/A</v>
      </c>
      <c r="D3254" s="6" t="e">
        <f t="shared" ca="1" si="618"/>
        <v>#N/A</v>
      </c>
      <c r="E3254" t="e">
        <f t="shared" ca="1" si="619"/>
        <v>#N/A</v>
      </c>
      <c r="F3254" t="e">
        <f t="shared" ca="1" si="620"/>
        <v>#N/A</v>
      </c>
      <c r="G3254" t="e">
        <f t="shared" ca="1" si="621"/>
        <v>#N/A</v>
      </c>
      <c r="H3254" t="e">
        <f t="shared" ca="1" si="622"/>
        <v>#N/A</v>
      </c>
      <c r="I3254" t="e">
        <f t="shared" ca="1" si="623"/>
        <v>#N/A</v>
      </c>
      <c r="J3254" s="8" t="e">
        <f t="shared" ca="1" si="624"/>
        <v>#N/A</v>
      </c>
      <c r="K3254" s="9" t="e">
        <f t="shared" ca="1" si="625"/>
        <v>#N/A</v>
      </c>
      <c r="L3254" t="e">
        <f ca="1">+_xlfn.IFNA(VLOOKUP(M3254,BespokeWindowsAreas!$B$2:$E$1999,4,FALSE),VLOOKUP(E3254,WindowTypeArea!$B$2:$C$113,2,FALSE))</f>
        <v>#N/A</v>
      </c>
      <c r="M3254" t="e">
        <f t="shared" ca="1" si="628"/>
        <v>#N/A</v>
      </c>
    </row>
    <row r="3255" spans="1:13" x14ac:dyDescent="0.25">
      <c r="A3255" t="e">
        <f t="shared" ca="1" si="626"/>
        <v>#N/A</v>
      </c>
      <c r="B3255" t="e">
        <f t="shared" ca="1" si="627"/>
        <v>#N/A</v>
      </c>
      <c r="C3255" t="e">
        <f t="shared" ca="1" si="617"/>
        <v>#N/A</v>
      </c>
      <c r="D3255" s="6" t="e">
        <f t="shared" ca="1" si="618"/>
        <v>#N/A</v>
      </c>
      <c r="E3255" t="e">
        <f t="shared" ca="1" si="619"/>
        <v>#N/A</v>
      </c>
      <c r="F3255" t="e">
        <f t="shared" ca="1" si="620"/>
        <v>#N/A</v>
      </c>
      <c r="G3255" t="e">
        <f t="shared" ca="1" si="621"/>
        <v>#N/A</v>
      </c>
      <c r="H3255" t="e">
        <f t="shared" ca="1" si="622"/>
        <v>#N/A</v>
      </c>
      <c r="I3255" t="e">
        <f t="shared" ca="1" si="623"/>
        <v>#N/A</v>
      </c>
      <c r="J3255" s="8" t="e">
        <f t="shared" ca="1" si="624"/>
        <v>#N/A</v>
      </c>
      <c r="K3255" s="9" t="e">
        <f t="shared" ca="1" si="625"/>
        <v>#N/A</v>
      </c>
      <c r="L3255" t="e">
        <f ca="1">+_xlfn.IFNA(VLOOKUP(M3255,BespokeWindowsAreas!$B$2:$E$1999,4,FALSE),VLOOKUP(E3255,WindowTypeArea!$B$2:$C$113,2,FALSE))</f>
        <v>#N/A</v>
      </c>
      <c r="M3255" t="e">
        <f t="shared" ca="1" si="628"/>
        <v>#N/A</v>
      </c>
    </row>
    <row r="3256" spans="1:13" x14ac:dyDescent="0.25">
      <c r="A3256" t="e">
        <f t="shared" ca="1" si="626"/>
        <v>#N/A</v>
      </c>
      <c r="B3256" t="e">
        <f t="shared" ca="1" si="627"/>
        <v>#N/A</v>
      </c>
      <c r="C3256" t="e">
        <f t="shared" ca="1" si="617"/>
        <v>#N/A</v>
      </c>
      <c r="D3256" s="6" t="e">
        <f t="shared" ca="1" si="618"/>
        <v>#N/A</v>
      </c>
      <c r="E3256" t="e">
        <f t="shared" ca="1" si="619"/>
        <v>#N/A</v>
      </c>
      <c r="F3256" t="e">
        <f t="shared" ca="1" si="620"/>
        <v>#N/A</v>
      </c>
      <c r="G3256" t="e">
        <f t="shared" ca="1" si="621"/>
        <v>#N/A</v>
      </c>
      <c r="H3256" t="e">
        <f t="shared" ca="1" si="622"/>
        <v>#N/A</v>
      </c>
      <c r="I3256" t="e">
        <f t="shared" ca="1" si="623"/>
        <v>#N/A</v>
      </c>
      <c r="J3256" s="8" t="e">
        <f t="shared" ca="1" si="624"/>
        <v>#N/A</v>
      </c>
      <c r="K3256" s="9" t="e">
        <f t="shared" ca="1" si="625"/>
        <v>#N/A</v>
      </c>
      <c r="L3256" t="e">
        <f ca="1">+_xlfn.IFNA(VLOOKUP(M3256,BespokeWindowsAreas!$B$2:$E$1999,4,FALSE),VLOOKUP(E3256,WindowTypeArea!$B$2:$C$113,2,FALSE))</f>
        <v>#N/A</v>
      </c>
      <c r="M3256" t="e">
        <f t="shared" ca="1" si="628"/>
        <v>#N/A</v>
      </c>
    </row>
    <row r="3257" spans="1:13" x14ac:dyDescent="0.25">
      <c r="A3257" t="e">
        <f t="shared" ca="1" si="626"/>
        <v>#N/A</v>
      </c>
      <c r="B3257" t="e">
        <f t="shared" ca="1" si="627"/>
        <v>#N/A</v>
      </c>
      <c r="C3257" t="e">
        <f t="shared" ca="1" si="617"/>
        <v>#N/A</v>
      </c>
      <c r="D3257" s="6" t="e">
        <f t="shared" ca="1" si="618"/>
        <v>#N/A</v>
      </c>
      <c r="E3257" t="e">
        <f t="shared" ca="1" si="619"/>
        <v>#N/A</v>
      </c>
      <c r="F3257" t="e">
        <f t="shared" ca="1" si="620"/>
        <v>#N/A</v>
      </c>
      <c r="G3257" t="e">
        <f t="shared" ca="1" si="621"/>
        <v>#N/A</v>
      </c>
      <c r="H3257" t="e">
        <f t="shared" ca="1" si="622"/>
        <v>#N/A</v>
      </c>
      <c r="I3257" t="e">
        <f t="shared" ca="1" si="623"/>
        <v>#N/A</v>
      </c>
      <c r="J3257" s="8" t="e">
        <f t="shared" ca="1" si="624"/>
        <v>#N/A</v>
      </c>
      <c r="K3257" s="9" t="e">
        <f t="shared" ca="1" si="625"/>
        <v>#N/A</v>
      </c>
      <c r="L3257" t="e">
        <f ca="1">+_xlfn.IFNA(VLOOKUP(M3257,BespokeWindowsAreas!$B$2:$E$1999,4,FALSE),VLOOKUP(E3257,WindowTypeArea!$B$2:$C$113,2,FALSE))</f>
        <v>#N/A</v>
      </c>
      <c r="M3257" t="e">
        <f t="shared" ca="1" si="628"/>
        <v>#N/A</v>
      </c>
    </row>
    <row r="3258" spans="1:13" x14ac:dyDescent="0.25">
      <c r="A3258" t="e">
        <f t="shared" ca="1" si="626"/>
        <v>#N/A</v>
      </c>
      <c r="B3258" t="e">
        <f t="shared" ca="1" si="627"/>
        <v>#N/A</v>
      </c>
      <c r="C3258" t="e">
        <f t="shared" ca="1" si="617"/>
        <v>#N/A</v>
      </c>
      <c r="D3258" s="6" t="e">
        <f t="shared" ca="1" si="618"/>
        <v>#N/A</v>
      </c>
      <c r="E3258" t="e">
        <f t="shared" ca="1" si="619"/>
        <v>#N/A</v>
      </c>
      <c r="F3258" t="e">
        <f t="shared" ca="1" si="620"/>
        <v>#N/A</v>
      </c>
      <c r="G3258" t="e">
        <f t="shared" ca="1" si="621"/>
        <v>#N/A</v>
      </c>
      <c r="H3258" t="e">
        <f t="shared" ca="1" si="622"/>
        <v>#N/A</v>
      </c>
      <c r="I3258" t="e">
        <f t="shared" ca="1" si="623"/>
        <v>#N/A</v>
      </c>
      <c r="J3258" s="8" t="e">
        <f t="shared" ca="1" si="624"/>
        <v>#N/A</v>
      </c>
      <c r="K3258" s="9" t="e">
        <f t="shared" ca="1" si="625"/>
        <v>#N/A</v>
      </c>
      <c r="L3258" t="e">
        <f ca="1">+_xlfn.IFNA(VLOOKUP(M3258,BespokeWindowsAreas!$B$2:$E$1999,4,FALSE),VLOOKUP(E3258,WindowTypeArea!$B$2:$C$113,2,FALSE))</f>
        <v>#N/A</v>
      </c>
      <c r="M3258" t="e">
        <f t="shared" ca="1" si="628"/>
        <v>#N/A</v>
      </c>
    </row>
    <row r="3259" spans="1:13" x14ac:dyDescent="0.25">
      <c r="A3259" t="e">
        <f t="shared" ca="1" si="626"/>
        <v>#N/A</v>
      </c>
      <c r="B3259" t="e">
        <f t="shared" ca="1" si="627"/>
        <v>#N/A</v>
      </c>
      <c r="C3259" t="e">
        <f t="shared" ca="1" si="617"/>
        <v>#N/A</v>
      </c>
      <c r="D3259" s="6" t="e">
        <f t="shared" ca="1" si="618"/>
        <v>#N/A</v>
      </c>
      <c r="E3259" t="e">
        <f t="shared" ca="1" si="619"/>
        <v>#N/A</v>
      </c>
      <c r="F3259" t="e">
        <f t="shared" ca="1" si="620"/>
        <v>#N/A</v>
      </c>
      <c r="G3259" t="e">
        <f t="shared" ca="1" si="621"/>
        <v>#N/A</v>
      </c>
      <c r="H3259" t="e">
        <f t="shared" ca="1" si="622"/>
        <v>#N/A</v>
      </c>
      <c r="I3259" t="e">
        <f t="shared" ca="1" si="623"/>
        <v>#N/A</v>
      </c>
      <c r="J3259" s="8" t="e">
        <f t="shared" ca="1" si="624"/>
        <v>#N/A</v>
      </c>
      <c r="K3259" s="9" t="e">
        <f t="shared" ca="1" si="625"/>
        <v>#N/A</v>
      </c>
      <c r="L3259" t="e">
        <f ca="1">+_xlfn.IFNA(VLOOKUP(M3259,BespokeWindowsAreas!$B$2:$E$1999,4,FALSE),VLOOKUP(E3259,WindowTypeArea!$B$2:$C$113,2,FALSE))</f>
        <v>#N/A</v>
      </c>
      <c r="M3259" t="e">
        <f t="shared" ca="1" si="628"/>
        <v>#N/A</v>
      </c>
    </row>
    <row r="3260" spans="1:13" x14ac:dyDescent="0.25">
      <c r="A3260" t="e">
        <f t="shared" ca="1" si="626"/>
        <v>#N/A</v>
      </c>
      <c r="B3260" t="e">
        <f t="shared" ca="1" si="627"/>
        <v>#N/A</v>
      </c>
      <c r="C3260" t="e">
        <f t="shared" ca="1" si="617"/>
        <v>#N/A</v>
      </c>
      <c r="D3260" s="6" t="e">
        <f t="shared" ca="1" si="618"/>
        <v>#N/A</v>
      </c>
      <c r="E3260" t="e">
        <f t="shared" ca="1" si="619"/>
        <v>#N/A</v>
      </c>
      <c r="F3260" t="e">
        <f t="shared" ca="1" si="620"/>
        <v>#N/A</v>
      </c>
      <c r="G3260" t="e">
        <f t="shared" ca="1" si="621"/>
        <v>#N/A</v>
      </c>
      <c r="H3260" t="e">
        <f t="shared" ca="1" si="622"/>
        <v>#N/A</v>
      </c>
      <c r="I3260" t="e">
        <f t="shared" ca="1" si="623"/>
        <v>#N/A</v>
      </c>
      <c r="J3260" s="8" t="e">
        <f t="shared" ca="1" si="624"/>
        <v>#N/A</v>
      </c>
      <c r="K3260" s="9" t="e">
        <f t="shared" ca="1" si="625"/>
        <v>#N/A</v>
      </c>
      <c r="L3260" t="e">
        <f ca="1">+_xlfn.IFNA(VLOOKUP(M3260,BespokeWindowsAreas!$B$2:$E$1999,4,FALSE),VLOOKUP(E3260,WindowTypeArea!$B$2:$C$113,2,FALSE))</f>
        <v>#N/A</v>
      </c>
      <c r="M3260" t="e">
        <f t="shared" ca="1" si="628"/>
        <v>#N/A</v>
      </c>
    </row>
    <row r="3261" spans="1:13" x14ac:dyDescent="0.25">
      <c r="A3261" t="e">
        <f t="shared" ca="1" si="626"/>
        <v>#N/A</v>
      </c>
      <c r="B3261" t="e">
        <f t="shared" ca="1" si="627"/>
        <v>#N/A</v>
      </c>
      <c r="C3261" t="e">
        <f t="shared" ca="1" si="617"/>
        <v>#N/A</v>
      </c>
      <c r="D3261" s="6" t="e">
        <f t="shared" ca="1" si="618"/>
        <v>#N/A</v>
      </c>
      <c r="E3261" t="e">
        <f t="shared" ca="1" si="619"/>
        <v>#N/A</v>
      </c>
      <c r="F3261" t="e">
        <f t="shared" ca="1" si="620"/>
        <v>#N/A</v>
      </c>
      <c r="G3261" t="e">
        <f t="shared" ca="1" si="621"/>
        <v>#N/A</v>
      </c>
      <c r="H3261" t="e">
        <f t="shared" ca="1" si="622"/>
        <v>#N/A</v>
      </c>
      <c r="I3261" t="e">
        <f t="shared" ca="1" si="623"/>
        <v>#N/A</v>
      </c>
      <c r="J3261" s="8" t="e">
        <f t="shared" ca="1" si="624"/>
        <v>#N/A</v>
      </c>
      <c r="K3261" s="9" t="e">
        <f t="shared" ca="1" si="625"/>
        <v>#N/A</v>
      </c>
      <c r="L3261" t="e">
        <f ca="1">+_xlfn.IFNA(VLOOKUP(M3261,BespokeWindowsAreas!$B$2:$E$1999,4,FALSE),VLOOKUP(E3261,WindowTypeArea!$B$2:$C$113,2,FALSE))</f>
        <v>#N/A</v>
      </c>
      <c r="M3261" t="e">
        <f t="shared" ca="1" si="628"/>
        <v>#N/A</v>
      </c>
    </row>
    <row r="3262" spans="1:13" x14ac:dyDescent="0.25">
      <c r="A3262" t="e">
        <f t="shared" ca="1" si="626"/>
        <v>#N/A</v>
      </c>
      <c r="B3262" t="e">
        <f t="shared" ca="1" si="627"/>
        <v>#N/A</v>
      </c>
      <c r="C3262" t="e">
        <f t="shared" ca="1" si="617"/>
        <v>#N/A</v>
      </c>
      <c r="D3262" s="6" t="e">
        <f t="shared" ca="1" si="618"/>
        <v>#N/A</v>
      </c>
      <c r="E3262" t="e">
        <f t="shared" ca="1" si="619"/>
        <v>#N/A</v>
      </c>
      <c r="F3262" t="e">
        <f t="shared" ca="1" si="620"/>
        <v>#N/A</v>
      </c>
      <c r="G3262" t="e">
        <f t="shared" ca="1" si="621"/>
        <v>#N/A</v>
      </c>
      <c r="H3262" t="e">
        <f t="shared" ca="1" si="622"/>
        <v>#N/A</v>
      </c>
      <c r="I3262" t="e">
        <f t="shared" ca="1" si="623"/>
        <v>#N/A</v>
      </c>
      <c r="J3262" s="8" t="e">
        <f t="shared" ca="1" si="624"/>
        <v>#N/A</v>
      </c>
      <c r="K3262" s="9" t="e">
        <f t="shared" ca="1" si="625"/>
        <v>#N/A</v>
      </c>
      <c r="L3262" t="e">
        <f ca="1">+_xlfn.IFNA(VLOOKUP(M3262,BespokeWindowsAreas!$B$2:$E$1999,4,FALSE),VLOOKUP(E3262,WindowTypeArea!$B$2:$C$113,2,FALSE))</f>
        <v>#N/A</v>
      </c>
      <c r="M3262" t="e">
        <f t="shared" ca="1" si="628"/>
        <v>#N/A</v>
      </c>
    </row>
    <row r="3263" spans="1:13" x14ac:dyDescent="0.25">
      <c r="A3263" t="e">
        <f t="shared" ca="1" si="626"/>
        <v>#N/A</v>
      </c>
      <c r="B3263" t="e">
        <f t="shared" ca="1" si="627"/>
        <v>#N/A</v>
      </c>
      <c r="C3263" t="e">
        <f t="shared" ca="1" si="617"/>
        <v>#N/A</v>
      </c>
      <c r="D3263" s="6" t="e">
        <f t="shared" ca="1" si="618"/>
        <v>#N/A</v>
      </c>
      <c r="E3263" t="e">
        <f t="shared" ca="1" si="619"/>
        <v>#N/A</v>
      </c>
      <c r="F3263" t="e">
        <f t="shared" ca="1" si="620"/>
        <v>#N/A</v>
      </c>
      <c r="G3263" t="e">
        <f t="shared" ca="1" si="621"/>
        <v>#N/A</v>
      </c>
      <c r="H3263" t="e">
        <f t="shared" ca="1" si="622"/>
        <v>#N/A</v>
      </c>
      <c r="I3263" t="e">
        <f t="shared" ca="1" si="623"/>
        <v>#N/A</v>
      </c>
      <c r="J3263" s="8" t="e">
        <f t="shared" ca="1" si="624"/>
        <v>#N/A</v>
      </c>
      <c r="K3263" s="9" t="e">
        <f t="shared" ca="1" si="625"/>
        <v>#N/A</v>
      </c>
      <c r="L3263" t="e">
        <f ca="1">+_xlfn.IFNA(VLOOKUP(M3263,BespokeWindowsAreas!$B$2:$E$1999,4,FALSE),VLOOKUP(E3263,WindowTypeArea!$B$2:$C$113,2,FALSE))</f>
        <v>#N/A</v>
      </c>
      <c r="M3263" t="e">
        <f t="shared" ca="1" si="628"/>
        <v>#N/A</v>
      </c>
    </row>
    <row r="3264" spans="1:13" x14ac:dyDescent="0.25">
      <c r="A3264" t="e">
        <f t="shared" ca="1" si="626"/>
        <v>#N/A</v>
      </c>
      <c r="B3264" t="e">
        <f t="shared" ca="1" si="627"/>
        <v>#N/A</v>
      </c>
      <c r="C3264" t="e">
        <f t="shared" ca="1" si="617"/>
        <v>#N/A</v>
      </c>
      <c r="D3264" s="6" t="e">
        <f t="shared" ca="1" si="618"/>
        <v>#N/A</v>
      </c>
      <c r="E3264" t="e">
        <f t="shared" ca="1" si="619"/>
        <v>#N/A</v>
      </c>
      <c r="F3264" t="e">
        <f t="shared" ca="1" si="620"/>
        <v>#N/A</v>
      </c>
      <c r="G3264" t="e">
        <f t="shared" ca="1" si="621"/>
        <v>#N/A</v>
      </c>
      <c r="H3264" t="e">
        <f t="shared" ca="1" si="622"/>
        <v>#N/A</v>
      </c>
      <c r="I3264" t="e">
        <f t="shared" ca="1" si="623"/>
        <v>#N/A</v>
      </c>
      <c r="J3264" s="8" t="e">
        <f t="shared" ca="1" si="624"/>
        <v>#N/A</v>
      </c>
      <c r="K3264" s="9" t="e">
        <f t="shared" ca="1" si="625"/>
        <v>#N/A</v>
      </c>
      <c r="L3264" t="e">
        <f ca="1">+_xlfn.IFNA(VLOOKUP(M3264,BespokeWindowsAreas!$B$2:$E$1999,4,FALSE),VLOOKUP(E3264,WindowTypeArea!$B$2:$C$113,2,FALSE))</f>
        <v>#N/A</v>
      </c>
      <c r="M3264" t="e">
        <f t="shared" ca="1" si="628"/>
        <v>#N/A</v>
      </c>
    </row>
    <row r="3265" spans="1:13" x14ac:dyDescent="0.25">
      <c r="A3265" t="e">
        <f t="shared" ca="1" si="626"/>
        <v>#N/A</v>
      </c>
      <c r="B3265" t="e">
        <f t="shared" ca="1" si="627"/>
        <v>#N/A</v>
      </c>
      <c r="C3265" t="e">
        <f t="shared" ca="1" si="617"/>
        <v>#N/A</v>
      </c>
      <c r="D3265" s="6" t="e">
        <f t="shared" ca="1" si="618"/>
        <v>#N/A</v>
      </c>
      <c r="E3265" t="e">
        <f t="shared" ca="1" si="619"/>
        <v>#N/A</v>
      </c>
      <c r="F3265" t="e">
        <f t="shared" ca="1" si="620"/>
        <v>#N/A</v>
      </c>
      <c r="G3265" t="e">
        <f t="shared" ca="1" si="621"/>
        <v>#N/A</v>
      </c>
      <c r="H3265" t="e">
        <f t="shared" ca="1" si="622"/>
        <v>#N/A</v>
      </c>
      <c r="I3265" t="e">
        <f t="shared" ca="1" si="623"/>
        <v>#N/A</v>
      </c>
      <c r="J3265" s="8" t="e">
        <f t="shared" ca="1" si="624"/>
        <v>#N/A</v>
      </c>
      <c r="K3265" s="9" t="e">
        <f t="shared" ca="1" si="625"/>
        <v>#N/A</v>
      </c>
      <c r="L3265" t="e">
        <f ca="1">+_xlfn.IFNA(VLOOKUP(M3265,BespokeWindowsAreas!$B$2:$E$1999,4,FALSE),VLOOKUP(E3265,WindowTypeArea!$B$2:$C$113,2,FALSE))</f>
        <v>#N/A</v>
      </c>
      <c r="M3265" t="e">
        <f t="shared" ca="1" si="628"/>
        <v>#N/A</v>
      </c>
    </row>
    <row r="3266" spans="1:13" x14ac:dyDescent="0.25">
      <c r="A3266" t="e">
        <f t="shared" ca="1" si="626"/>
        <v>#N/A</v>
      </c>
      <c r="B3266" t="e">
        <f t="shared" ca="1" si="627"/>
        <v>#N/A</v>
      </c>
      <c r="C3266" t="e">
        <f t="shared" ca="1" si="617"/>
        <v>#N/A</v>
      </c>
      <c r="D3266" s="6" t="e">
        <f t="shared" ca="1" si="618"/>
        <v>#N/A</v>
      </c>
      <c r="E3266" t="e">
        <f t="shared" ca="1" si="619"/>
        <v>#N/A</v>
      </c>
      <c r="F3266" t="e">
        <f t="shared" ca="1" si="620"/>
        <v>#N/A</v>
      </c>
      <c r="G3266" t="e">
        <f t="shared" ca="1" si="621"/>
        <v>#N/A</v>
      </c>
      <c r="H3266" t="e">
        <f t="shared" ca="1" si="622"/>
        <v>#N/A</v>
      </c>
      <c r="I3266" t="e">
        <f t="shared" ca="1" si="623"/>
        <v>#N/A</v>
      </c>
      <c r="J3266" s="8" t="e">
        <f t="shared" ca="1" si="624"/>
        <v>#N/A</v>
      </c>
      <c r="K3266" s="9" t="e">
        <f t="shared" ca="1" si="625"/>
        <v>#N/A</v>
      </c>
      <c r="L3266" t="e">
        <f ca="1">+_xlfn.IFNA(VLOOKUP(M3266,BespokeWindowsAreas!$B$2:$E$1999,4,FALSE),VLOOKUP(E3266,WindowTypeArea!$B$2:$C$113,2,FALSE))</f>
        <v>#N/A</v>
      </c>
      <c r="M3266" t="e">
        <f t="shared" ca="1" si="628"/>
        <v>#N/A</v>
      </c>
    </row>
    <row r="3267" spans="1:13" x14ac:dyDescent="0.25">
      <c r="A3267" t="e">
        <f t="shared" ca="1" si="626"/>
        <v>#N/A</v>
      </c>
      <c r="B3267" t="e">
        <f t="shared" ca="1" si="627"/>
        <v>#N/A</v>
      </c>
      <c r="C3267" t="e">
        <f t="shared" ca="1" si="617"/>
        <v>#N/A</v>
      </c>
      <c r="D3267" s="6" t="e">
        <f t="shared" ca="1" si="618"/>
        <v>#N/A</v>
      </c>
      <c r="E3267" t="e">
        <f t="shared" ca="1" si="619"/>
        <v>#N/A</v>
      </c>
      <c r="F3267" t="e">
        <f t="shared" ca="1" si="620"/>
        <v>#N/A</v>
      </c>
      <c r="G3267" t="e">
        <f t="shared" ca="1" si="621"/>
        <v>#N/A</v>
      </c>
      <c r="H3267" t="e">
        <f t="shared" ca="1" si="622"/>
        <v>#N/A</v>
      </c>
      <c r="I3267" t="e">
        <f t="shared" ca="1" si="623"/>
        <v>#N/A</v>
      </c>
      <c r="J3267" s="8" t="e">
        <f t="shared" ca="1" si="624"/>
        <v>#N/A</v>
      </c>
      <c r="K3267" s="9" t="e">
        <f t="shared" ca="1" si="625"/>
        <v>#N/A</v>
      </c>
      <c r="L3267" t="e">
        <f ca="1">+_xlfn.IFNA(VLOOKUP(M3267,BespokeWindowsAreas!$B$2:$E$1999,4,FALSE),VLOOKUP(E3267,WindowTypeArea!$B$2:$C$113,2,FALSE))</f>
        <v>#N/A</v>
      </c>
      <c r="M3267" t="e">
        <f t="shared" ca="1" si="628"/>
        <v>#N/A</v>
      </c>
    </row>
    <row r="3268" spans="1:13" x14ac:dyDescent="0.25">
      <c r="A3268" t="e">
        <f t="shared" ca="1" si="626"/>
        <v>#N/A</v>
      </c>
      <c r="B3268" t="e">
        <f t="shared" ca="1" si="627"/>
        <v>#N/A</v>
      </c>
      <c r="C3268" t="e">
        <f t="shared" ca="1" si="617"/>
        <v>#N/A</v>
      </c>
      <c r="D3268" s="6" t="e">
        <f t="shared" ca="1" si="618"/>
        <v>#N/A</v>
      </c>
      <c r="E3268" t="e">
        <f t="shared" ca="1" si="619"/>
        <v>#N/A</v>
      </c>
      <c r="F3268" t="e">
        <f t="shared" ca="1" si="620"/>
        <v>#N/A</v>
      </c>
      <c r="G3268" t="e">
        <f t="shared" ca="1" si="621"/>
        <v>#N/A</v>
      </c>
      <c r="H3268" t="e">
        <f t="shared" ca="1" si="622"/>
        <v>#N/A</v>
      </c>
      <c r="I3268" t="e">
        <f t="shared" ca="1" si="623"/>
        <v>#N/A</v>
      </c>
      <c r="J3268" s="8" t="e">
        <f t="shared" ca="1" si="624"/>
        <v>#N/A</v>
      </c>
      <c r="K3268" s="9" t="e">
        <f t="shared" ca="1" si="625"/>
        <v>#N/A</v>
      </c>
      <c r="L3268" t="e">
        <f ca="1">+_xlfn.IFNA(VLOOKUP(M3268,BespokeWindowsAreas!$B$2:$E$1999,4,FALSE),VLOOKUP(E3268,WindowTypeArea!$B$2:$C$113,2,FALSE))</f>
        <v>#N/A</v>
      </c>
      <c r="M3268" t="e">
        <f t="shared" ca="1" si="628"/>
        <v>#N/A</v>
      </c>
    </row>
    <row r="3269" spans="1:13" x14ac:dyDescent="0.25">
      <c r="A3269" t="e">
        <f t="shared" ca="1" si="626"/>
        <v>#N/A</v>
      </c>
      <c r="B3269" t="e">
        <f t="shared" ca="1" si="627"/>
        <v>#N/A</v>
      </c>
      <c r="C3269" t="e">
        <f t="shared" ca="1" si="617"/>
        <v>#N/A</v>
      </c>
      <c r="D3269" s="6" t="e">
        <f t="shared" ca="1" si="618"/>
        <v>#N/A</v>
      </c>
      <c r="E3269" t="e">
        <f t="shared" ca="1" si="619"/>
        <v>#N/A</v>
      </c>
      <c r="F3269" t="e">
        <f t="shared" ca="1" si="620"/>
        <v>#N/A</v>
      </c>
      <c r="G3269" t="e">
        <f t="shared" ca="1" si="621"/>
        <v>#N/A</v>
      </c>
      <c r="H3269" t="e">
        <f t="shared" ca="1" si="622"/>
        <v>#N/A</v>
      </c>
      <c r="I3269" t="e">
        <f t="shared" ca="1" si="623"/>
        <v>#N/A</v>
      </c>
      <c r="J3269" s="8" t="e">
        <f t="shared" ca="1" si="624"/>
        <v>#N/A</v>
      </c>
      <c r="K3269" s="9" t="e">
        <f t="shared" ca="1" si="625"/>
        <v>#N/A</v>
      </c>
      <c r="L3269" t="e">
        <f ca="1">+_xlfn.IFNA(VLOOKUP(M3269,BespokeWindowsAreas!$B$2:$E$1999,4,FALSE),VLOOKUP(E3269,WindowTypeArea!$B$2:$C$113,2,FALSE))</f>
        <v>#N/A</v>
      </c>
      <c r="M3269" t="e">
        <f t="shared" ca="1" si="628"/>
        <v>#N/A</v>
      </c>
    </row>
    <row r="3270" spans="1:13" x14ac:dyDescent="0.25">
      <c r="A3270" t="e">
        <f t="shared" ca="1" si="626"/>
        <v>#N/A</v>
      </c>
      <c r="B3270" t="e">
        <f t="shared" ca="1" si="627"/>
        <v>#N/A</v>
      </c>
      <c r="C3270" t="e">
        <f t="shared" ca="1" si="617"/>
        <v>#N/A</v>
      </c>
      <c r="D3270" s="6" t="e">
        <f t="shared" ca="1" si="618"/>
        <v>#N/A</v>
      </c>
      <c r="E3270" t="e">
        <f t="shared" ca="1" si="619"/>
        <v>#N/A</v>
      </c>
      <c r="F3270" t="e">
        <f t="shared" ca="1" si="620"/>
        <v>#N/A</v>
      </c>
      <c r="G3270" t="e">
        <f t="shared" ca="1" si="621"/>
        <v>#N/A</v>
      </c>
      <c r="H3270" t="e">
        <f t="shared" ca="1" si="622"/>
        <v>#N/A</v>
      </c>
      <c r="I3270" t="e">
        <f t="shared" ca="1" si="623"/>
        <v>#N/A</v>
      </c>
      <c r="J3270" s="8" t="e">
        <f t="shared" ca="1" si="624"/>
        <v>#N/A</v>
      </c>
      <c r="K3270" s="9" t="e">
        <f t="shared" ca="1" si="625"/>
        <v>#N/A</v>
      </c>
      <c r="L3270" t="e">
        <f ca="1">+_xlfn.IFNA(VLOOKUP(M3270,BespokeWindowsAreas!$B$2:$E$1999,4,FALSE),VLOOKUP(E3270,WindowTypeArea!$B$2:$C$113,2,FALSE))</f>
        <v>#N/A</v>
      </c>
      <c r="M3270" t="e">
        <f t="shared" ca="1" si="628"/>
        <v>#N/A</v>
      </c>
    </row>
    <row r="3271" spans="1:13" x14ac:dyDescent="0.25">
      <c r="A3271" t="e">
        <f t="shared" ca="1" si="626"/>
        <v>#N/A</v>
      </c>
      <c r="B3271" t="e">
        <f t="shared" ca="1" si="627"/>
        <v>#N/A</v>
      </c>
      <c r="C3271" t="e">
        <f t="shared" ca="1" si="617"/>
        <v>#N/A</v>
      </c>
      <c r="D3271" s="6" t="e">
        <f t="shared" ca="1" si="618"/>
        <v>#N/A</v>
      </c>
      <c r="E3271" t="e">
        <f t="shared" ca="1" si="619"/>
        <v>#N/A</v>
      </c>
      <c r="F3271" t="e">
        <f t="shared" ca="1" si="620"/>
        <v>#N/A</v>
      </c>
      <c r="G3271" t="e">
        <f t="shared" ca="1" si="621"/>
        <v>#N/A</v>
      </c>
      <c r="H3271" t="e">
        <f t="shared" ca="1" si="622"/>
        <v>#N/A</v>
      </c>
      <c r="I3271" t="e">
        <f t="shared" ca="1" si="623"/>
        <v>#N/A</v>
      </c>
      <c r="J3271" s="8" t="e">
        <f t="shared" ca="1" si="624"/>
        <v>#N/A</v>
      </c>
      <c r="K3271" s="9" t="e">
        <f t="shared" ca="1" si="625"/>
        <v>#N/A</v>
      </c>
      <c r="L3271" t="e">
        <f ca="1">+_xlfn.IFNA(VLOOKUP(M3271,BespokeWindowsAreas!$B$2:$E$1999,4,FALSE),VLOOKUP(E3271,WindowTypeArea!$B$2:$C$113,2,FALSE))</f>
        <v>#N/A</v>
      </c>
      <c r="M3271" t="e">
        <f t="shared" ca="1" si="628"/>
        <v>#N/A</v>
      </c>
    </row>
    <row r="3272" spans="1:13" x14ac:dyDescent="0.25">
      <c r="A3272" t="e">
        <f t="shared" ca="1" si="626"/>
        <v>#N/A</v>
      </c>
      <c r="B3272" t="e">
        <f t="shared" ca="1" si="627"/>
        <v>#N/A</v>
      </c>
      <c r="C3272" t="e">
        <f t="shared" ca="1" si="617"/>
        <v>#N/A</v>
      </c>
      <c r="D3272" s="6" t="e">
        <f t="shared" ca="1" si="618"/>
        <v>#N/A</v>
      </c>
      <c r="E3272" t="e">
        <f t="shared" ca="1" si="619"/>
        <v>#N/A</v>
      </c>
      <c r="F3272" t="e">
        <f t="shared" ca="1" si="620"/>
        <v>#N/A</v>
      </c>
      <c r="G3272" t="e">
        <f t="shared" ca="1" si="621"/>
        <v>#N/A</v>
      </c>
      <c r="H3272" t="e">
        <f t="shared" ca="1" si="622"/>
        <v>#N/A</v>
      </c>
      <c r="I3272" t="e">
        <f t="shared" ca="1" si="623"/>
        <v>#N/A</v>
      </c>
      <c r="J3272" s="8" t="e">
        <f t="shared" ca="1" si="624"/>
        <v>#N/A</v>
      </c>
      <c r="K3272" s="9" t="e">
        <f t="shared" ca="1" si="625"/>
        <v>#N/A</v>
      </c>
      <c r="L3272" t="e">
        <f ca="1">+_xlfn.IFNA(VLOOKUP(M3272,BespokeWindowsAreas!$B$2:$E$1999,4,FALSE),VLOOKUP(E3272,WindowTypeArea!$B$2:$C$113,2,FALSE))</f>
        <v>#N/A</v>
      </c>
      <c r="M3272" t="e">
        <f t="shared" ca="1" si="628"/>
        <v>#N/A</v>
      </c>
    </row>
    <row r="3273" spans="1:13" x14ac:dyDescent="0.25">
      <c r="A3273" t="e">
        <f t="shared" ca="1" si="626"/>
        <v>#N/A</v>
      </c>
      <c r="B3273" t="e">
        <f t="shared" ca="1" si="627"/>
        <v>#N/A</v>
      </c>
      <c r="C3273" t="e">
        <f t="shared" ref="C3273:C3336" ca="1" si="629">+"'"&amp;INDIRECT("a"&amp;A3272)&amp;"'!B"&amp;B3272</f>
        <v>#N/A</v>
      </c>
      <c r="D3273" s="6" t="e">
        <f t="shared" ref="D3273:D3336" ca="1" si="630">+IF(IFERROR(FIND("Family",E3273)&gt;0,FALSE),D3272,E3273)</f>
        <v>#N/A</v>
      </c>
      <c r="E3273" t="e">
        <f t="shared" ref="E3273:E3336" ca="1" si="631">+OFFSET(INDIRECT(C3273),0,0)</f>
        <v>#N/A</v>
      </c>
      <c r="F3273" t="e">
        <f t="shared" ref="F3273:F3336" ca="1" si="632">+OFFSET(INDIRECT(C3273),0,1)</f>
        <v>#N/A</v>
      </c>
      <c r="G3273" t="e">
        <f t="shared" ref="G3273:G3336" ca="1" si="633">+OFFSET(INDIRECT(C3273),0,2)</f>
        <v>#N/A</v>
      </c>
      <c r="H3273" t="e">
        <f t="shared" ref="H3273:H3336" ca="1" si="634">+OFFSET(INDIRECT(C3273),0,3)</f>
        <v>#N/A</v>
      </c>
      <c r="I3273" t="e">
        <f t="shared" ref="I3273:I3336" ca="1" si="635">+OFFSET(INDIRECT(C3273),0,4)</f>
        <v>#N/A</v>
      </c>
      <c r="J3273" s="8" t="e">
        <f t="shared" ref="J3273:J3336" ca="1" si="636">+DEGREES(ATAN2(G3273,H3273))</f>
        <v>#N/A</v>
      </c>
      <c r="K3273" s="9" t="e">
        <f t="shared" ref="K3273:K3336" ca="1" si="637">VLOOKUP(J3273,$O$20:$P$36,2,-1)</f>
        <v>#N/A</v>
      </c>
      <c r="L3273" t="e">
        <f ca="1">+_xlfn.IFNA(VLOOKUP(M3273,BespokeWindowsAreas!$B$2:$E$1999,4,FALSE),VLOOKUP(E3273,WindowTypeArea!$B$2:$C$113,2,FALSE))</f>
        <v>#N/A</v>
      </c>
      <c r="M3273" t="e">
        <f t="shared" ca="1" si="628"/>
        <v>#N/A</v>
      </c>
    </row>
    <row r="3274" spans="1:13" x14ac:dyDescent="0.25">
      <c r="A3274" t="e">
        <f t="shared" ca="1" si="626"/>
        <v>#N/A</v>
      </c>
      <c r="B3274" t="e">
        <f t="shared" ca="1" si="627"/>
        <v>#N/A</v>
      </c>
      <c r="C3274" t="e">
        <f t="shared" ca="1" si="629"/>
        <v>#N/A</v>
      </c>
      <c r="D3274" s="6" t="e">
        <f t="shared" ca="1" si="630"/>
        <v>#N/A</v>
      </c>
      <c r="E3274" t="e">
        <f t="shared" ca="1" si="631"/>
        <v>#N/A</v>
      </c>
      <c r="F3274" t="e">
        <f t="shared" ca="1" si="632"/>
        <v>#N/A</v>
      </c>
      <c r="G3274" t="e">
        <f t="shared" ca="1" si="633"/>
        <v>#N/A</v>
      </c>
      <c r="H3274" t="e">
        <f t="shared" ca="1" si="634"/>
        <v>#N/A</v>
      </c>
      <c r="I3274" t="e">
        <f t="shared" ca="1" si="635"/>
        <v>#N/A</v>
      </c>
      <c r="J3274" s="8" t="e">
        <f t="shared" ca="1" si="636"/>
        <v>#N/A</v>
      </c>
      <c r="K3274" s="9" t="e">
        <f t="shared" ca="1" si="637"/>
        <v>#N/A</v>
      </c>
      <c r="L3274" t="e">
        <f ca="1">+_xlfn.IFNA(VLOOKUP(M3274,BespokeWindowsAreas!$B$2:$E$1999,4,FALSE),VLOOKUP(E3274,WindowTypeArea!$B$2:$C$113,2,FALSE))</f>
        <v>#N/A</v>
      </c>
      <c r="M3274" t="e">
        <f t="shared" ca="1" si="628"/>
        <v>#N/A</v>
      </c>
    </row>
    <row r="3275" spans="1:13" x14ac:dyDescent="0.25">
      <c r="A3275" t="e">
        <f t="shared" ca="1" si="626"/>
        <v>#N/A</v>
      </c>
      <c r="B3275" t="e">
        <f t="shared" ca="1" si="627"/>
        <v>#N/A</v>
      </c>
      <c r="C3275" t="e">
        <f t="shared" ca="1" si="629"/>
        <v>#N/A</v>
      </c>
      <c r="D3275" s="6" t="e">
        <f t="shared" ca="1" si="630"/>
        <v>#N/A</v>
      </c>
      <c r="E3275" t="e">
        <f t="shared" ca="1" si="631"/>
        <v>#N/A</v>
      </c>
      <c r="F3275" t="e">
        <f t="shared" ca="1" si="632"/>
        <v>#N/A</v>
      </c>
      <c r="G3275" t="e">
        <f t="shared" ca="1" si="633"/>
        <v>#N/A</v>
      </c>
      <c r="H3275" t="e">
        <f t="shared" ca="1" si="634"/>
        <v>#N/A</v>
      </c>
      <c r="I3275" t="e">
        <f t="shared" ca="1" si="635"/>
        <v>#N/A</v>
      </c>
      <c r="J3275" s="8" t="e">
        <f t="shared" ca="1" si="636"/>
        <v>#N/A</v>
      </c>
      <c r="K3275" s="9" t="e">
        <f t="shared" ca="1" si="637"/>
        <v>#N/A</v>
      </c>
      <c r="L3275" t="e">
        <f ca="1">+_xlfn.IFNA(VLOOKUP(M3275,BespokeWindowsAreas!$B$2:$E$1999,4,FALSE),VLOOKUP(E3275,WindowTypeArea!$B$2:$C$113,2,FALSE))</f>
        <v>#N/A</v>
      </c>
      <c r="M3275" t="e">
        <f t="shared" ca="1" si="628"/>
        <v>#N/A</v>
      </c>
    </row>
    <row r="3276" spans="1:13" x14ac:dyDescent="0.25">
      <c r="A3276" t="e">
        <f t="shared" ca="1" si="626"/>
        <v>#N/A</v>
      </c>
      <c r="B3276" t="e">
        <f t="shared" ca="1" si="627"/>
        <v>#N/A</v>
      </c>
      <c r="C3276" t="e">
        <f t="shared" ca="1" si="629"/>
        <v>#N/A</v>
      </c>
      <c r="D3276" s="6" t="e">
        <f t="shared" ca="1" si="630"/>
        <v>#N/A</v>
      </c>
      <c r="E3276" t="e">
        <f t="shared" ca="1" si="631"/>
        <v>#N/A</v>
      </c>
      <c r="F3276" t="e">
        <f t="shared" ca="1" si="632"/>
        <v>#N/A</v>
      </c>
      <c r="G3276" t="e">
        <f t="shared" ca="1" si="633"/>
        <v>#N/A</v>
      </c>
      <c r="H3276" t="e">
        <f t="shared" ca="1" si="634"/>
        <v>#N/A</v>
      </c>
      <c r="I3276" t="e">
        <f t="shared" ca="1" si="635"/>
        <v>#N/A</v>
      </c>
      <c r="J3276" s="8" t="e">
        <f t="shared" ca="1" si="636"/>
        <v>#N/A</v>
      </c>
      <c r="K3276" s="9" t="e">
        <f t="shared" ca="1" si="637"/>
        <v>#N/A</v>
      </c>
      <c r="L3276" t="e">
        <f ca="1">+_xlfn.IFNA(VLOOKUP(M3276,BespokeWindowsAreas!$B$2:$E$1999,4,FALSE),VLOOKUP(E3276,WindowTypeArea!$B$2:$C$113,2,FALSE))</f>
        <v>#N/A</v>
      </c>
      <c r="M3276" t="e">
        <f t="shared" ca="1" si="628"/>
        <v>#N/A</v>
      </c>
    </row>
    <row r="3277" spans="1:13" x14ac:dyDescent="0.25">
      <c r="A3277" t="e">
        <f t="shared" ca="1" si="626"/>
        <v>#N/A</v>
      </c>
      <c r="B3277" t="e">
        <f t="shared" ca="1" si="627"/>
        <v>#N/A</v>
      </c>
      <c r="C3277" t="e">
        <f t="shared" ca="1" si="629"/>
        <v>#N/A</v>
      </c>
      <c r="D3277" s="6" t="e">
        <f t="shared" ca="1" si="630"/>
        <v>#N/A</v>
      </c>
      <c r="E3277" t="e">
        <f t="shared" ca="1" si="631"/>
        <v>#N/A</v>
      </c>
      <c r="F3277" t="e">
        <f t="shared" ca="1" si="632"/>
        <v>#N/A</v>
      </c>
      <c r="G3277" t="e">
        <f t="shared" ca="1" si="633"/>
        <v>#N/A</v>
      </c>
      <c r="H3277" t="e">
        <f t="shared" ca="1" si="634"/>
        <v>#N/A</v>
      </c>
      <c r="I3277" t="e">
        <f t="shared" ca="1" si="635"/>
        <v>#N/A</v>
      </c>
      <c r="J3277" s="8" t="e">
        <f t="shared" ca="1" si="636"/>
        <v>#N/A</v>
      </c>
      <c r="K3277" s="9" t="e">
        <f t="shared" ca="1" si="637"/>
        <v>#N/A</v>
      </c>
      <c r="L3277" t="e">
        <f ca="1">+_xlfn.IFNA(VLOOKUP(M3277,BespokeWindowsAreas!$B$2:$E$1999,4,FALSE),VLOOKUP(E3277,WindowTypeArea!$B$2:$C$113,2,FALSE))</f>
        <v>#N/A</v>
      </c>
      <c r="M3277" t="e">
        <f t="shared" ca="1" si="628"/>
        <v>#N/A</v>
      </c>
    </row>
    <row r="3278" spans="1:13" x14ac:dyDescent="0.25">
      <c r="A3278" t="e">
        <f t="shared" ca="1" si="626"/>
        <v>#N/A</v>
      </c>
      <c r="B3278" t="e">
        <f t="shared" ca="1" si="627"/>
        <v>#N/A</v>
      </c>
      <c r="C3278" t="e">
        <f t="shared" ca="1" si="629"/>
        <v>#N/A</v>
      </c>
      <c r="D3278" s="6" t="e">
        <f t="shared" ca="1" si="630"/>
        <v>#N/A</v>
      </c>
      <c r="E3278" t="e">
        <f t="shared" ca="1" si="631"/>
        <v>#N/A</v>
      </c>
      <c r="F3278" t="e">
        <f t="shared" ca="1" si="632"/>
        <v>#N/A</v>
      </c>
      <c r="G3278" t="e">
        <f t="shared" ca="1" si="633"/>
        <v>#N/A</v>
      </c>
      <c r="H3278" t="e">
        <f t="shared" ca="1" si="634"/>
        <v>#N/A</v>
      </c>
      <c r="I3278" t="e">
        <f t="shared" ca="1" si="635"/>
        <v>#N/A</v>
      </c>
      <c r="J3278" s="8" t="e">
        <f t="shared" ca="1" si="636"/>
        <v>#N/A</v>
      </c>
      <c r="K3278" s="9" t="e">
        <f t="shared" ca="1" si="637"/>
        <v>#N/A</v>
      </c>
      <c r="L3278" t="e">
        <f ca="1">+_xlfn.IFNA(VLOOKUP(M3278,BespokeWindowsAreas!$B$2:$E$1999,4,FALSE),VLOOKUP(E3278,WindowTypeArea!$B$2:$C$113,2,FALSE))</f>
        <v>#N/A</v>
      </c>
      <c r="M3278" t="e">
        <f t="shared" ca="1" si="628"/>
        <v>#N/A</v>
      </c>
    </row>
    <row r="3279" spans="1:13" x14ac:dyDescent="0.25">
      <c r="A3279" t="e">
        <f t="shared" ca="1" si="626"/>
        <v>#N/A</v>
      </c>
      <c r="B3279" t="e">
        <f t="shared" ca="1" si="627"/>
        <v>#N/A</v>
      </c>
      <c r="C3279" t="e">
        <f t="shared" ca="1" si="629"/>
        <v>#N/A</v>
      </c>
      <c r="D3279" s="6" t="e">
        <f t="shared" ca="1" si="630"/>
        <v>#N/A</v>
      </c>
      <c r="E3279" t="e">
        <f t="shared" ca="1" si="631"/>
        <v>#N/A</v>
      </c>
      <c r="F3279" t="e">
        <f t="shared" ca="1" si="632"/>
        <v>#N/A</v>
      </c>
      <c r="G3279" t="e">
        <f t="shared" ca="1" si="633"/>
        <v>#N/A</v>
      </c>
      <c r="H3279" t="e">
        <f t="shared" ca="1" si="634"/>
        <v>#N/A</v>
      </c>
      <c r="I3279" t="e">
        <f t="shared" ca="1" si="635"/>
        <v>#N/A</v>
      </c>
      <c r="J3279" s="8" t="e">
        <f t="shared" ca="1" si="636"/>
        <v>#N/A</v>
      </c>
      <c r="K3279" s="9" t="e">
        <f t="shared" ca="1" si="637"/>
        <v>#N/A</v>
      </c>
      <c r="L3279" t="e">
        <f ca="1">+_xlfn.IFNA(VLOOKUP(M3279,BespokeWindowsAreas!$B$2:$E$1999,4,FALSE),VLOOKUP(E3279,WindowTypeArea!$B$2:$C$113,2,FALSE))</f>
        <v>#N/A</v>
      </c>
      <c r="M3279" t="e">
        <f t="shared" ca="1" si="628"/>
        <v>#N/A</v>
      </c>
    </row>
    <row r="3280" spans="1:13" x14ac:dyDescent="0.25">
      <c r="A3280" t="e">
        <f t="shared" ca="1" si="626"/>
        <v>#N/A</v>
      </c>
      <c r="B3280" t="e">
        <f t="shared" ca="1" si="627"/>
        <v>#N/A</v>
      </c>
      <c r="C3280" t="e">
        <f t="shared" ca="1" si="629"/>
        <v>#N/A</v>
      </c>
      <c r="D3280" s="6" t="e">
        <f t="shared" ca="1" si="630"/>
        <v>#N/A</v>
      </c>
      <c r="E3280" t="e">
        <f t="shared" ca="1" si="631"/>
        <v>#N/A</v>
      </c>
      <c r="F3280" t="e">
        <f t="shared" ca="1" si="632"/>
        <v>#N/A</v>
      </c>
      <c r="G3280" t="e">
        <f t="shared" ca="1" si="633"/>
        <v>#N/A</v>
      </c>
      <c r="H3280" t="e">
        <f t="shared" ca="1" si="634"/>
        <v>#N/A</v>
      </c>
      <c r="I3280" t="e">
        <f t="shared" ca="1" si="635"/>
        <v>#N/A</v>
      </c>
      <c r="J3280" s="8" t="e">
        <f t="shared" ca="1" si="636"/>
        <v>#N/A</v>
      </c>
      <c r="K3280" s="9" t="e">
        <f t="shared" ca="1" si="637"/>
        <v>#N/A</v>
      </c>
      <c r="L3280" t="e">
        <f ca="1">+_xlfn.IFNA(VLOOKUP(M3280,BespokeWindowsAreas!$B$2:$E$1999,4,FALSE),VLOOKUP(E3280,WindowTypeArea!$B$2:$C$113,2,FALSE))</f>
        <v>#N/A</v>
      </c>
      <c r="M3280" t="e">
        <f t="shared" ca="1" si="628"/>
        <v>#N/A</v>
      </c>
    </row>
    <row r="3281" spans="1:13" x14ac:dyDescent="0.25">
      <c r="A3281" t="e">
        <f t="shared" ca="1" si="626"/>
        <v>#N/A</v>
      </c>
      <c r="B3281" t="e">
        <f t="shared" ca="1" si="627"/>
        <v>#N/A</v>
      </c>
      <c r="C3281" t="e">
        <f t="shared" ca="1" si="629"/>
        <v>#N/A</v>
      </c>
      <c r="D3281" s="6" t="e">
        <f t="shared" ca="1" si="630"/>
        <v>#N/A</v>
      </c>
      <c r="E3281" t="e">
        <f t="shared" ca="1" si="631"/>
        <v>#N/A</v>
      </c>
      <c r="F3281" t="e">
        <f t="shared" ca="1" si="632"/>
        <v>#N/A</v>
      </c>
      <c r="G3281" t="e">
        <f t="shared" ca="1" si="633"/>
        <v>#N/A</v>
      </c>
      <c r="H3281" t="e">
        <f t="shared" ca="1" si="634"/>
        <v>#N/A</v>
      </c>
      <c r="I3281" t="e">
        <f t="shared" ca="1" si="635"/>
        <v>#N/A</v>
      </c>
      <c r="J3281" s="8" t="e">
        <f t="shared" ca="1" si="636"/>
        <v>#N/A</v>
      </c>
      <c r="K3281" s="9" t="e">
        <f t="shared" ca="1" si="637"/>
        <v>#N/A</v>
      </c>
      <c r="L3281" t="e">
        <f ca="1">+_xlfn.IFNA(VLOOKUP(M3281,BespokeWindowsAreas!$B$2:$E$1999,4,FALSE),VLOOKUP(E3281,WindowTypeArea!$B$2:$C$113,2,FALSE))</f>
        <v>#N/A</v>
      </c>
      <c r="M3281" t="e">
        <f t="shared" ca="1" si="628"/>
        <v>#N/A</v>
      </c>
    </row>
    <row r="3282" spans="1:13" x14ac:dyDescent="0.25">
      <c r="A3282" t="e">
        <f t="shared" ca="1" si="626"/>
        <v>#N/A</v>
      </c>
      <c r="B3282" t="e">
        <f t="shared" ca="1" si="627"/>
        <v>#N/A</v>
      </c>
      <c r="C3282" t="e">
        <f t="shared" ca="1" si="629"/>
        <v>#N/A</v>
      </c>
      <c r="D3282" s="6" t="e">
        <f t="shared" ca="1" si="630"/>
        <v>#N/A</v>
      </c>
      <c r="E3282" t="e">
        <f t="shared" ca="1" si="631"/>
        <v>#N/A</v>
      </c>
      <c r="F3282" t="e">
        <f t="shared" ca="1" si="632"/>
        <v>#N/A</v>
      </c>
      <c r="G3282" t="e">
        <f t="shared" ca="1" si="633"/>
        <v>#N/A</v>
      </c>
      <c r="H3282" t="e">
        <f t="shared" ca="1" si="634"/>
        <v>#N/A</v>
      </c>
      <c r="I3282" t="e">
        <f t="shared" ca="1" si="635"/>
        <v>#N/A</v>
      </c>
      <c r="J3282" s="8" t="e">
        <f t="shared" ca="1" si="636"/>
        <v>#N/A</v>
      </c>
      <c r="K3282" s="9" t="e">
        <f t="shared" ca="1" si="637"/>
        <v>#N/A</v>
      </c>
      <c r="L3282" t="e">
        <f ca="1">+_xlfn.IFNA(VLOOKUP(M3282,BespokeWindowsAreas!$B$2:$E$1999,4,FALSE),VLOOKUP(E3282,WindowTypeArea!$B$2:$C$113,2,FALSE))</f>
        <v>#N/A</v>
      </c>
      <c r="M3282" t="e">
        <f t="shared" ca="1" si="628"/>
        <v>#N/A</v>
      </c>
    </row>
    <row r="3283" spans="1:13" x14ac:dyDescent="0.25">
      <c r="A3283" t="e">
        <f t="shared" ca="1" si="626"/>
        <v>#N/A</v>
      </c>
      <c r="B3283" t="e">
        <f t="shared" ca="1" si="627"/>
        <v>#N/A</v>
      </c>
      <c r="C3283" t="e">
        <f t="shared" ca="1" si="629"/>
        <v>#N/A</v>
      </c>
      <c r="D3283" s="6" t="e">
        <f t="shared" ca="1" si="630"/>
        <v>#N/A</v>
      </c>
      <c r="E3283" t="e">
        <f t="shared" ca="1" si="631"/>
        <v>#N/A</v>
      </c>
      <c r="F3283" t="e">
        <f t="shared" ca="1" si="632"/>
        <v>#N/A</v>
      </c>
      <c r="G3283" t="e">
        <f t="shared" ca="1" si="633"/>
        <v>#N/A</v>
      </c>
      <c r="H3283" t="e">
        <f t="shared" ca="1" si="634"/>
        <v>#N/A</v>
      </c>
      <c r="I3283" t="e">
        <f t="shared" ca="1" si="635"/>
        <v>#N/A</v>
      </c>
      <c r="J3283" s="8" t="e">
        <f t="shared" ca="1" si="636"/>
        <v>#N/A</v>
      </c>
      <c r="K3283" s="9" t="e">
        <f t="shared" ca="1" si="637"/>
        <v>#N/A</v>
      </c>
      <c r="L3283" t="e">
        <f ca="1">+_xlfn.IFNA(VLOOKUP(M3283,BespokeWindowsAreas!$B$2:$E$1999,4,FALSE),VLOOKUP(E3283,WindowTypeArea!$B$2:$C$113,2,FALSE))</f>
        <v>#N/A</v>
      </c>
      <c r="M3283" t="e">
        <f t="shared" ca="1" si="628"/>
        <v>#N/A</v>
      </c>
    </row>
    <row r="3284" spans="1:13" x14ac:dyDescent="0.25">
      <c r="A3284" t="e">
        <f t="shared" ref="A3284:A3347" ca="1" si="638">+IF(B3283&lt;=VLOOKUP(MID(C3284,2,26),TABS,2,FALSE),A3283,+A3283+1)</f>
        <v>#N/A</v>
      </c>
      <c r="B3284" t="e">
        <f t="shared" ref="B3284:B3347" ca="1" si="639">+IF(B3283&lt;=VLOOKUP(MID(C3284,2,26),TABS,2,FALSE),B3283+1,1)</f>
        <v>#N/A</v>
      </c>
      <c r="C3284" t="e">
        <f t="shared" ca="1" si="629"/>
        <v>#N/A</v>
      </c>
      <c r="D3284" s="6" t="e">
        <f t="shared" ca="1" si="630"/>
        <v>#N/A</v>
      </c>
      <c r="E3284" t="e">
        <f t="shared" ca="1" si="631"/>
        <v>#N/A</v>
      </c>
      <c r="F3284" t="e">
        <f t="shared" ca="1" si="632"/>
        <v>#N/A</v>
      </c>
      <c r="G3284" t="e">
        <f t="shared" ca="1" si="633"/>
        <v>#N/A</v>
      </c>
      <c r="H3284" t="e">
        <f t="shared" ca="1" si="634"/>
        <v>#N/A</v>
      </c>
      <c r="I3284" t="e">
        <f t="shared" ca="1" si="635"/>
        <v>#N/A</v>
      </c>
      <c r="J3284" s="8" t="e">
        <f t="shared" ca="1" si="636"/>
        <v>#N/A</v>
      </c>
      <c r="K3284" s="9" t="e">
        <f t="shared" ca="1" si="637"/>
        <v>#N/A</v>
      </c>
      <c r="L3284" t="e">
        <f ca="1">+_xlfn.IFNA(VLOOKUP(M3284,BespokeWindowsAreas!$B$2:$E$1999,4,FALSE),VLOOKUP(E3284,WindowTypeArea!$B$2:$C$113,2,FALSE))</f>
        <v>#N/A</v>
      </c>
      <c r="M3284" t="e">
        <f t="shared" ca="1" si="628"/>
        <v>#N/A</v>
      </c>
    </row>
    <row r="3285" spans="1:13" x14ac:dyDescent="0.25">
      <c r="A3285" t="e">
        <f t="shared" ca="1" si="638"/>
        <v>#N/A</v>
      </c>
      <c r="B3285" t="e">
        <f t="shared" ca="1" si="639"/>
        <v>#N/A</v>
      </c>
      <c r="C3285" t="e">
        <f t="shared" ca="1" si="629"/>
        <v>#N/A</v>
      </c>
      <c r="D3285" s="6" t="e">
        <f t="shared" ca="1" si="630"/>
        <v>#N/A</v>
      </c>
      <c r="E3285" t="e">
        <f t="shared" ca="1" si="631"/>
        <v>#N/A</v>
      </c>
      <c r="F3285" t="e">
        <f t="shared" ca="1" si="632"/>
        <v>#N/A</v>
      </c>
      <c r="G3285" t="e">
        <f t="shared" ca="1" si="633"/>
        <v>#N/A</v>
      </c>
      <c r="H3285" t="e">
        <f t="shared" ca="1" si="634"/>
        <v>#N/A</v>
      </c>
      <c r="I3285" t="e">
        <f t="shared" ca="1" si="635"/>
        <v>#N/A</v>
      </c>
      <c r="J3285" s="8" t="e">
        <f t="shared" ca="1" si="636"/>
        <v>#N/A</v>
      </c>
      <c r="K3285" s="9" t="e">
        <f t="shared" ca="1" si="637"/>
        <v>#N/A</v>
      </c>
      <c r="L3285" t="e">
        <f ca="1">+_xlfn.IFNA(VLOOKUP(M3285,BespokeWindowsAreas!$B$2:$E$1999,4,FALSE),VLOOKUP(E3285,WindowTypeArea!$B$2:$C$113,2,FALSE))</f>
        <v>#N/A</v>
      </c>
      <c r="M3285" t="e">
        <f t="shared" ca="1" si="628"/>
        <v>#N/A</v>
      </c>
    </row>
    <row r="3286" spans="1:13" x14ac:dyDescent="0.25">
      <c r="A3286" t="e">
        <f t="shared" ca="1" si="638"/>
        <v>#N/A</v>
      </c>
      <c r="B3286" t="e">
        <f t="shared" ca="1" si="639"/>
        <v>#N/A</v>
      </c>
      <c r="C3286" t="e">
        <f t="shared" ca="1" si="629"/>
        <v>#N/A</v>
      </c>
      <c r="D3286" s="6" t="e">
        <f t="shared" ca="1" si="630"/>
        <v>#N/A</v>
      </c>
      <c r="E3286" t="e">
        <f t="shared" ca="1" si="631"/>
        <v>#N/A</v>
      </c>
      <c r="F3286" t="e">
        <f t="shared" ca="1" si="632"/>
        <v>#N/A</v>
      </c>
      <c r="G3286" t="e">
        <f t="shared" ca="1" si="633"/>
        <v>#N/A</v>
      </c>
      <c r="H3286" t="e">
        <f t="shared" ca="1" si="634"/>
        <v>#N/A</v>
      </c>
      <c r="I3286" t="e">
        <f t="shared" ca="1" si="635"/>
        <v>#N/A</v>
      </c>
      <c r="J3286" s="8" t="e">
        <f t="shared" ca="1" si="636"/>
        <v>#N/A</v>
      </c>
      <c r="K3286" s="9" t="e">
        <f t="shared" ca="1" si="637"/>
        <v>#N/A</v>
      </c>
      <c r="L3286" t="e">
        <f ca="1">+_xlfn.IFNA(VLOOKUP(M3286,BespokeWindowsAreas!$B$2:$E$1999,4,FALSE),VLOOKUP(E3286,WindowTypeArea!$B$2:$C$113,2,FALSE))</f>
        <v>#N/A</v>
      </c>
      <c r="M3286" t="e">
        <f t="shared" ref="M3286:M3349" ca="1" si="640">+OFFSET(INDIRECT(C3286),0,5)</f>
        <v>#N/A</v>
      </c>
    </row>
    <row r="3287" spans="1:13" x14ac:dyDescent="0.25">
      <c r="A3287" t="e">
        <f t="shared" ca="1" si="638"/>
        <v>#N/A</v>
      </c>
      <c r="B3287" t="e">
        <f t="shared" ca="1" si="639"/>
        <v>#N/A</v>
      </c>
      <c r="C3287" t="e">
        <f t="shared" ca="1" si="629"/>
        <v>#N/A</v>
      </c>
      <c r="D3287" s="6" t="e">
        <f t="shared" ca="1" si="630"/>
        <v>#N/A</v>
      </c>
      <c r="E3287" t="e">
        <f t="shared" ca="1" si="631"/>
        <v>#N/A</v>
      </c>
      <c r="F3287" t="e">
        <f t="shared" ca="1" si="632"/>
        <v>#N/A</v>
      </c>
      <c r="G3287" t="e">
        <f t="shared" ca="1" si="633"/>
        <v>#N/A</v>
      </c>
      <c r="H3287" t="e">
        <f t="shared" ca="1" si="634"/>
        <v>#N/A</v>
      </c>
      <c r="I3287" t="e">
        <f t="shared" ca="1" si="635"/>
        <v>#N/A</v>
      </c>
      <c r="J3287" s="8" t="e">
        <f t="shared" ca="1" si="636"/>
        <v>#N/A</v>
      </c>
      <c r="K3287" s="9" t="e">
        <f t="shared" ca="1" si="637"/>
        <v>#N/A</v>
      </c>
      <c r="L3287" t="e">
        <f ca="1">+_xlfn.IFNA(VLOOKUP(M3287,BespokeWindowsAreas!$B$2:$E$1999,4,FALSE),VLOOKUP(E3287,WindowTypeArea!$B$2:$C$113,2,FALSE))</f>
        <v>#N/A</v>
      </c>
      <c r="M3287" t="e">
        <f t="shared" ca="1" si="640"/>
        <v>#N/A</v>
      </c>
    </row>
    <row r="3288" spans="1:13" x14ac:dyDescent="0.25">
      <c r="A3288" t="e">
        <f t="shared" ca="1" si="638"/>
        <v>#N/A</v>
      </c>
      <c r="B3288" t="e">
        <f t="shared" ca="1" si="639"/>
        <v>#N/A</v>
      </c>
      <c r="C3288" t="e">
        <f t="shared" ca="1" si="629"/>
        <v>#N/A</v>
      </c>
      <c r="D3288" s="6" t="e">
        <f t="shared" ca="1" si="630"/>
        <v>#N/A</v>
      </c>
      <c r="E3288" t="e">
        <f t="shared" ca="1" si="631"/>
        <v>#N/A</v>
      </c>
      <c r="F3288" t="e">
        <f t="shared" ca="1" si="632"/>
        <v>#N/A</v>
      </c>
      <c r="G3288" t="e">
        <f t="shared" ca="1" si="633"/>
        <v>#N/A</v>
      </c>
      <c r="H3288" t="e">
        <f t="shared" ca="1" si="634"/>
        <v>#N/A</v>
      </c>
      <c r="I3288" t="e">
        <f t="shared" ca="1" si="635"/>
        <v>#N/A</v>
      </c>
      <c r="J3288" s="8" t="e">
        <f t="shared" ca="1" si="636"/>
        <v>#N/A</v>
      </c>
      <c r="K3288" s="9" t="e">
        <f t="shared" ca="1" si="637"/>
        <v>#N/A</v>
      </c>
      <c r="L3288" t="e">
        <f ca="1">+_xlfn.IFNA(VLOOKUP(M3288,BespokeWindowsAreas!$B$2:$E$1999,4,FALSE),VLOOKUP(E3288,WindowTypeArea!$B$2:$C$113,2,FALSE))</f>
        <v>#N/A</v>
      </c>
      <c r="M3288" t="e">
        <f t="shared" ca="1" si="640"/>
        <v>#N/A</v>
      </c>
    </row>
    <row r="3289" spans="1:13" x14ac:dyDescent="0.25">
      <c r="A3289" t="e">
        <f t="shared" ca="1" si="638"/>
        <v>#N/A</v>
      </c>
      <c r="B3289" t="e">
        <f t="shared" ca="1" si="639"/>
        <v>#N/A</v>
      </c>
      <c r="C3289" t="e">
        <f t="shared" ca="1" si="629"/>
        <v>#N/A</v>
      </c>
      <c r="D3289" s="6" t="e">
        <f t="shared" ca="1" si="630"/>
        <v>#N/A</v>
      </c>
      <c r="E3289" t="e">
        <f t="shared" ca="1" si="631"/>
        <v>#N/A</v>
      </c>
      <c r="F3289" t="e">
        <f t="shared" ca="1" si="632"/>
        <v>#N/A</v>
      </c>
      <c r="G3289" t="e">
        <f t="shared" ca="1" si="633"/>
        <v>#N/A</v>
      </c>
      <c r="H3289" t="e">
        <f t="shared" ca="1" si="634"/>
        <v>#N/A</v>
      </c>
      <c r="I3289" t="e">
        <f t="shared" ca="1" si="635"/>
        <v>#N/A</v>
      </c>
      <c r="J3289" s="8" t="e">
        <f t="shared" ca="1" si="636"/>
        <v>#N/A</v>
      </c>
      <c r="K3289" s="9" t="e">
        <f t="shared" ca="1" si="637"/>
        <v>#N/A</v>
      </c>
      <c r="L3289" t="e">
        <f ca="1">+_xlfn.IFNA(VLOOKUP(M3289,BespokeWindowsAreas!$B$2:$E$1999,4,FALSE),VLOOKUP(E3289,WindowTypeArea!$B$2:$C$113,2,FALSE))</f>
        <v>#N/A</v>
      </c>
      <c r="M3289" t="e">
        <f t="shared" ca="1" si="640"/>
        <v>#N/A</v>
      </c>
    </row>
    <row r="3290" spans="1:13" x14ac:dyDescent="0.25">
      <c r="A3290" t="e">
        <f t="shared" ca="1" si="638"/>
        <v>#N/A</v>
      </c>
      <c r="B3290" t="e">
        <f t="shared" ca="1" si="639"/>
        <v>#N/A</v>
      </c>
      <c r="C3290" t="e">
        <f t="shared" ca="1" si="629"/>
        <v>#N/A</v>
      </c>
      <c r="D3290" s="6" t="e">
        <f t="shared" ca="1" si="630"/>
        <v>#N/A</v>
      </c>
      <c r="E3290" t="e">
        <f t="shared" ca="1" si="631"/>
        <v>#N/A</v>
      </c>
      <c r="F3290" t="e">
        <f t="shared" ca="1" si="632"/>
        <v>#N/A</v>
      </c>
      <c r="G3290" t="e">
        <f t="shared" ca="1" si="633"/>
        <v>#N/A</v>
      </c>
      <c r="H3290" t="e">
        <f t="shared" ca="1" si="634"/>
        <v>#N/A</v>
      </c>
      <c r="I3290" t="e">
        <f t="shared" ca="1" si="635"/>
        <v>#N/A</v>
      </c>
      <c r="J3290" s="8" t="e">
        <f t="shared" ca="1" si="636"/>
        <v>#N/A</v>
      </c>
      <c r="K3290" s="9" t="e">
        <f t="shared" ca="1" si="637"/>
        <v>#N/A</v>
      </c>
      <c r="L3290" t="e">
        <f ca="1">+_xlfn.IFNA(VLOOKUP(M3290,BespokeWindowsAreas!$B$2:$E$1999,4,FALSE),VLOOKUP(E3290,WindowTypeArea!$B$2:$C$113,2,FALSE))</f>
        <v>#N/A</v>
      </c>
      <c r="M3290" t="e">
        <f t="shared" ca="1" si="640"/>
        <v>#N/A</v>
      </c>
    </row>
    <row r="3291" spans="1:13" x14ac:dyDescent="0.25">
      <c r="A3291" t="e">
        <f t="shared" ca="1" si="638"/>
        <v>#N/A</v>
      </c>
      <c r="B3291" t="e">
        <f t="shared" ca="1" si="639"/>
        <v>#N/A</v>
      </c>
      <c r="C3291" t="e">
        <f t="shared" ca="1" si="629"/>
        <v>#N/A</v>
      </c>
      <c r="D3291" s="6" t="e">
        <f t="shared" ca="1" si="630"/>
        <v>#N/A</v>
      </c>
      <c r="E3291" t="e">
        <f t="shared" ca="1" si="631"/>
        <v>#N/A</v>
      </c>
      <c r="F3291" t="e">
        <f t="shared" ca="1" si="632"/>
        <v>#N/A</v>
      </c>
      <c r="G3291" t="e">
        <f t="shared" ca="1" si="633"/>
        <v>#N/A</v>
      </c>
      <c r="H3291" t="e">
        <f t="shared" ca="1" si="634"/>
        <v>#N/A</v>
      </c>
      <c r="I3291" t="e">
        <f t="shared" ca="1" si="635"/>
        <v>#N/A</v>
      </c>
      <c r="J3291" s="8" t="e">
        <f t="shared" ca="1" si="636"/>
        <v>#N/A</v>
      </c>
      <c r="K3291" s="9" t="e">
        <f t="shared" ca="1" si="637"/>
        <v>#N/A</v>
      </c>
      <c r="L3291" t="e">
        <f ca="1">+_xlfn.IFNA(VLOOKUP(M3291,BespokeWindowsAreas!$B$2:$E$1999,4,FALSE),VLOOKUP(E3291,WindowTypeArea!$B$2:$C$113,2,FALSE))</f>
        <v>#N/A</v>
      </c>
      <c r="M3291" t="e">
        <f t="shared" ca="1" si="640"/>
        <v>#N/A</v>
      </c>
    </row>
    <row r="3292" spans="1:13" x14ac:dyDescent="0.25">
      <c r="A3292" t="e">
        <f t="shared" ca="1" si="638"/>
        <v>#N/A</v>
      </c>
      <c r="B3292" t="e">
        <f t="shared" ca="1" si="639"/>
        <v>#N/A</v>
      </c>
      <c r="C3292" t="e">
        <f t="shared" ca="1" si="629"/>
        <v>#N/A</v>
      </c>
      <c r="D3292" s="6" t="e">
        <f t="shared" ca="1" si="630"/>
        <v>#N/A</v>
      </c>
      <c r="E3292" t="e">
        <f t="shared" ca="1" si="631"/>
        <v>#N/A</v>
      </c>
      <c r="F3292" t="e">
        <f t="shared" ca="1" si="632"/>
        <v>#N/A</v>
      </c>
      <c r="G3292" t="e">
        <f t="shared" ca="1" si="633"/>
        <v>#N/A</v>
      </c>
      <c r="H3292" t="e">
        <f t="shared" ca="1" si="634"/>
        <v>#N/A</v>
      </c>
      <c r="I3292" t="e">
        <f t="shared" ca="1" si="635"/>
        <v>#N/A</v>
      </c>
      <c r="J3292" s="8" t="e">
        <f t="shared" ca="1" si="636"/>
        <v>#N/A</v>
      </c>
      <c r="K3292" s="9" t="e">
        <f t="shared" ca="1" si="637"/>
        <v>#N/A</v>
      </c>
      <c r="L3292" t="e">
        <f ca="1">+_xlfn.IFNA(VLOOKUP(M3292,BespokeWindowsAreas!$B$2:$E$1999,4,FALSE),VLOOKUP(E3292,WindowTypeArea!$B$2:$C$113,2,FALSE))</f>
        <v>#N/A</v>
      </c>
      <c r="M3292" t="e">
        <f t="shared" ca="1" si="640"/>
        <v>#N/A</v>
      </c>
    </row>
    <row r="3293" spans="1:13" x14ac:dyDescent="0.25">
      <c r="A3293" t="e">
        <f t="shared" ca="1" si="638"/>
        <v>#N/A</v>
      </c>
      <c r="B3293" t="e">
        <f t="shared" ca="1" si="639"/>
        <v>#N/A</v>
      </c>
      <c r="C3293" t="e">
        <f t="shared" ca="1" si="629"/>
        <v>#N/A</v>
      </c>
      <c r="D3293" s="6" t="e">
        <f t="shared" ca="1" si="630"/>
        <v>#N/A</v>
      </c>
      <c r="E3293" t="e">
        <f t="shared" ca="1" si="631"/>
        <v>#N/A</v>
      </c>
      <c r="F3293" t="e">
        <f t="shared" ca="1" si="632"/>
        <v>#N/A</v>
      </c>
      <c r="G3293" t="e">
        <f t="shared" ca="1" si="633"/>
        <v>#N/A</v>
      </c>
      <c r="H3293" t="e">
        <f t="shared" ca="1" si="634"/>
        <v>#N/A</v>
      </c>
      <c r="I3293" t="e">
        <f t="shared" ca="1" si="635"/>
        <v>#N/A</v>
      </c>
      <c r="J3293" s="8" t="e">
        <f t="shared" ca="1" si="636"/>
        <v>#N/A</v>
      </c>
      <c r="K3293" s="9" t="e">
        <f t="shared" ca="1" si="637"/>
        <v>#N/A</v>
      </c>
      <c r="L3293" t="e">
        <f ca="1">+_xlfn.IFNA(VLOOKUP(M3293,BespokeWindowsAreas!$B$2:$E$1999,4,FALSE),VLOOKUP(E3293,WindowTypeArea!$B$2:$C$113,2,FALSE))</f>
        <v>#N/A</v>
      </c>
      <c r="M3293" t="e">
        <f t="shared" ca="1" si="640"/>
        <v>#N/A</v>
      </c>
    </row>
    <row r="3294" spans="1:13" x14ac:dyDescent="0.25">
      <c r="A3294" t="e">
        <f t="shared" ca="1" si="638"/>
        <v>#N/A</v>
      </c>
      <c r="B3294" t="e">
        <f t="shared" ca="1" si="639"/>
        <v>#N/A</v>
      </c>
      <c r="C3294" t="e">
        <f t="shared" ca="1" si="629"/>
        <v>#N/A</v>
      </c>
      <c r="D3294" s="6" t="e">
        <f t="shared" ca="1" si="630"/>
        <v>#N/A</v>
      </c>
      <c r="E3294" t="e">
        <f t="shared" ca="1" si="631"/>
        <v>#N/A</v>
      </c>
      <c r="F3294" t="e">
        <f t="shared" ca="1" si="632"/>
        <v>#N/A</v>
      </c>
      <c r="G3294" t="e">
        <f t="shared" ca="1" si="633"/>
        <v>#N/A</v>
      </c>
      <c r="H3294" t="e">
        <f t="shared" ca="1" si="634"/>
        <v>#N/A</v>
      </c>
      <c r="I3294" t="e">
        <f t="shared" ca="1" si="635"/>
        <v>#N/A</v>
      </c>
      <c r="J3294" s="8" t="e">
        <f t="shared" ca="1" si="636"/>
        <v>#N/A</v>
      </c>
      <c r="K3294" s="9" t="e">
        <f t="shared" ca="1" si="637"/>
        <v>#N/A</v>
      </c>
      <c r="L3294" t="e">
        <f ca="1">+_xlfn.IFNA(VLOOKUP(M3294,BespokeWindowsAreas!$B$2:$E$1999,4,FALSE),VLOOKUP(E3294,WindowTypeArea!$B$2:$C$113,2,FALSE))</f>
        <v>#N/A</v>
      </c>
      <c r="M3294" t="e">
        <f t="shared" ca="1" si="640"/>
        <v>#N/A</v>
      </c>
    </row>
    <row r="3295" spans="1:13" x14ac:dyDescent="0.25">
      <c r="A3295" t="e">
        <f t="shared" ca="1" si="638"/>
        <v>#N/A</v>
      </c>
      <c r="B3295" t="e">
        <f t="shared" ca="1" si="639"/>
        <v>#N/A</v>
      </c>
      <c r="C3295" t="e">
        <f t="shared" ca="1" si="629"/>
        <v>#N/A</v>
      </c>
      <c r="D3295" s="6" t="e">
        <f t="shared" ca="1" si="630"/>
        <v>#N/A</v>
      </c>
      <c r="E3295" t="e">
        <f t="shared" ca="1" si="631"/>
        <v>#N/A</v>
      </c>
      <c r="F3295" t="e">
        <f t="shared" ca="1" si="632"/>
        <v>#N/A</v>
      </c>
      <c r="G3295" t="e">
        <f t="shared" ca="1" si="633"/>
        <v>#N/A</v>
      </c>
      <c r="H3295" t="e">
        <f t="shared" ca="1" si="634"/>
        <v>#N/A</v>
      </c>
      <c r="I3295" t="e">
        <f t="shared" ca="1" si="635"/>
        <v>#N/A</v>
      </c>
      <c r="J3295" s="8" t="e">
        <f t="shared" ca="1" si="636"/>
        <v>#N/A</v>
      </c>
      <c r="K3295" s="9" t="e">
        <f t="shared" ca="1" si="637"/>
        <v>#N/A</v>
      </c>
      <c r="L3295" t="e">
        <f ca="1">+_xlfn.IFNA(VLOOKUP(M3295,BespokeWindowsAreas!$B$2:$E$1999,4,FALSE),VLOOKUP(E3295,WindowTypeArea!$B$2:$C$113,2,FALSE))</f>
        <v>#N/A</v>
      </c>
      <c r="M3295" t="e">
        <f t="shared" ca="1" si="640"/>
        <v>#N/A</v>
      </c>
    </row>
    <row r="3296" spans="1:13" x14ac:dyDescent="0.25">
      <c r="A3296" t="e">
        <f t="shared" ca="1" si="638"/>
        <v>#N/A</v>
      </c>
      <c r="B3296" t="e">
        <f t="shared" ca="1" si="639"/>
        <v>#N/A</v>
      </c>
      <c r="C3296" t="e">
        <f t="shared" ca="1" si="629"/>
        <v>#N/A</v>
      </c>
      <c r="D3296" s="6" t="e">
        <f t="shared" ca="1" si="630"/>
        <v>#N/A</v>
      </c>
      <c r="E3296" t="e">
        <f t="shared" ca="1" si="631"/>
        <v>#N/A</v>
      </c>
      <c r="F3296" t="e">
        <f t="shared" ca="1" si="632"/>
        <v>#N/A</v>
      </c>
      <c r="G3296" t="e">
        <f t="shared" ca="1" si="633"/>
        <v>#N/A</v>
      </c>
      <c r="H3296" t="e">
        <f t="shared" ca="1" si="634"/>
        <v>#N/A</v>
      </c>
      <c r="I3296" t="e">
        <f t="shared" ca="1" si="635"/>
        <v>#N/A</v>
      </c>
      <c r="J3296" s="8" t="e">
        <f t="shared" ca="1" si="636"/>
        <v>#N/A</v>
      </c>
      <c r="K3296" s="9" t="e">
        <f t="shared" ca="1" si="637"/>
        <v>#N/A</v>
      </c>
      <c r="L3296" t="e">
        <f ca="1">+_xlfn.IFNA(VLOOKUP(M3296,BespokeWindowsAreas!$B$2:$E$1999,4,FALSE),VLOOKUP(E3296,WindowTypeArea!$B$2:$C$113,2,FALSE))</f>
        <v>#N/A</v>
      </c>
      <c r="M3296" t="e">
        <f t="shared" ca="1" si="640"/>
        <v>#N/A</v>
      </c>
    </row>
    <row r="3297" spans="1:13" x14ac:dyDescent="0.25">
      <c r="A3297" t="e">
        <f t="shared" ca="1" si="638"/>
        <v>#N/A</v>
      </c>
      <c r="B3297" t="e">
        <f t="shared" ca="1" si="639"/>
        <v>#N/A</v>
      </c>
      <c r="C3297" t="e">
        <f t="shared" ca="1" si="629"/>
        <v>#N/A</v>
      </c>
      <c r="D3297" s="6" t="e">
        <f t="shared" ca="1" si="630"/>
        <v>#N/A</v>
      </c>
      <c r="E3297" t="e">
        <f t="shared" ca="1" si="631"/>
        <v>#N/A</v>
      </c>
      <c r="F3297" t="e">
        <f t="shared" ca="1" si="632"/>
        <v>#N/A</v>
      </c>
      <c r="G3297" t="e">
        <f t="shared" ca="1" si="633"/>
        <v>#N/A</v>
      </c>
      <c r="H3297" t="e">
        <f t="shared" ca="1" si="634"/>
        <v>#N/A</v>
      </c>
      <c r="I3297" t="e">
        <f t="shared" ca="1" si="635"/>
        <v>#N/A</v>
      </c>
      <c r="J3297" s="8" t="e">
        <f t="shared" ca="1" si="636"/>
        <v>#N/A</v>
      </c>
      <c r="K3297" s="9" t="e">
        <f t="shared" ca="1" si="637"/>
        <v>#N/A</v>
      </c>
      <c r="L3297" t="e">
        <f ca="1">+_xlfn.IFNA(VLOOKUP(M3297,BespokeWindowsAreas!$B$2:$E$1999,4,FALSE),VLOOKUP(E3297,WindowTypeArea!$B$2:$C$113,2,FALSE))</f>
        <v>#N/A</v>
      </c>
      <c r="M3297" t="e">
        <f t="shared" ca="1" si="640"/>
        <v>#N/A</v>
      </c>
    </row>
    <row r="3298" spans="1:13" x14ac:dyDescent="0.25">
      <c r="A3298" t="e">
        <f t="shared" ca="1" si="638"/>
        <v>#N/A</v>
      </c>
      <c r="B3298" t="e">
        <f t="shared" ca="1" si="639"/>
        <v>#N/A</v>
      </c>
      <c r="C3298" t="e">
        <f t="shared" ca="1" si="629"/>
        <v>#N/A</v>
      </c>
      <c r="D3298" s="6" t="e">
        <f t="shared" ca="1" si="630"/>
        <v>#N/A</v>
      </c>
      <c r="E3298" t="e">
        <f t="shared" ca="1" si="631"/>
        <v>#N/A</v>
      </c>
      <c r="F3298" t="e">
        <f t="shared" ca="1" si="632"/>
        <v>#N/A</v>
      </c>
      <c r="G3298" t="e">
        <f t="shared" ca="1" si="633"/>
        <v>#N/A</v>
      </c>
      <c r="H3298" t="e">
        <f t="shared" ca="1" si="634"/>
        <v>#N/A</v>
      </c>
      <c r="I3298" t="e">
        <f t="shared" ca="1" si="635"/>
        <v>#N/A</v>
      </c>
      <c r="J3298" s="8" t="e">
        <f t="shared" ca="1" si="636"/>
        <v>#N/A</v>
      </c>
      <c r="K3298" s="9" t="e">
        <f t="shared" ca="1" si="637"/>
        <v>#N/A</v>
      </c>
      <c r="L3298" t="e">
        <f ca="1">+_xlfn.IFNA(VLOOKUP(M3298,BespokeWindowsAreas!$B$2:$E$1999,4,FALSE),VLOOKUP(E3298,WindowTypeArea!$B$2:$C$113,2,FALSE))</f>
        <v>#N/A</v>
      </c>
      <c r="M3298" t="e">
        <f t="shared" ca="1" si="640"/>
        <v>#N/A</v>
      </c>
    </row>
    <row r="3299" spans="1:13" x14ac:dyDescent="0.25">
      <c r="A3299" t="e">
        <f t="shared" ca="1" si="638"/>
        <v>#N/A</v>
      </c>
      <c r="B3299" t="e">
        <f t="shared" ca="1" si="639"/>
        <v>#N/A</v>
      </c>
      <c r="C3299" t="e">
        <f t="shared" ca="1" si="629"/>
        <v>#N/A</v>
      </c>
      <c r="D3299" s="6" t="e">
        <f t="shared" ca="1" si="630"/>
        <v>#N/A</v>
      </c>
      <c r="E3299" t="e">
        <f t="shared" ca="1" si="631"/>
        <v>#N/A</v>
      </c>
      <c r="F3299" t="e">
        <f t="shared" ca="1" si="632"/>
        <v>#N/A</v>
      </c>
      <c r="G3299" t="e">
        <f t="shared" ca="1" si="633"/>
        <v>#N/A</v>
      </c>
      <c r="H3299" t="e">
        <f t="shared" ca="1" si="634"/>
        <v>#N/A</v>
      </c>
      <c r="I3299" t="e">
        <f t="shared" ca="1" si="635"/>
        <v>#N/A</v>
      </c>
      <c r="J3299" s="8" t="e">
        <f t="shared" ca="1" si="636"/>
        <v>#N/A</v>
      </c>
      <c r="K3299" s="9" t="e">
        <f t="shared" ca="1" si="637"/>
        <v>#N/A</v>
      </c>
      <c r="L3299" t="e">
        <f ca="1">+_xlfn.IFNA(VLOOKUP(M3299,BespokeWindowsAreas!$B$2:$E$1999,4,FALSE),VLOOKUP(E3299,WindowTypeArea!$B$2:$C$113,2,FALSE))</f>
        <v>#N/A</v>
      </c>
      <c r="M3299" t="e">
        <f t="shared" ca="1" si="640"/>
        <v>#N/A</v>
      </c>
    </row>
    <row r="3300" spans="1:13" x14ac:dyDescent="0.25">
      <c r="A3300" t="e">
        <f t="shared" ca="1" si="638"/>
        <v>#N/A</v>
      </c>
      <c r="B3300" t="e">
        <f t="shared" ca="1" si="639"/>
        <v>#N/A</v>
      </c>
      <c r="C3300" t="e">
        <f t="shared" ca="1" si="629"/>
        <v>#N/A</v>
      </c>
      <c r="D3300" s="6" t="e">
        <f t="shared" ca="1" si="630"/>
        <v>#N/A</v>
      </c>
      <c r="E3300" t="e">
        <f t="shared" ca="1" si="631"/>
        <v>#N/A</v>
      </c>
      <c r="F3300" t="e">
        <f t="shared" ca="1" si="632"/>
        <v>#N/A</v>
      </c>
      <c r="G3300" t="e">
        <f t="shared" ca="1" si="633"/>
        <v>#N/A</v>
      </c>
      <c r="H3300" t="e">
        <f t="shared" ca="1" si="634"/>
        <v>#N/A</v>
      </c>
      <c r="I3300" t="e">
        <f t="shared" ca="1" si="635"/>
        <v>#N/A</v>
      </c>
      <c r="J3300" s="8" t="e">
        <f t="shared" ca="1" si="636"/>
        <v>#N/A</v>
      </c>
      <c r="K3300" s="9" t="e">
        <f t="shared" ca="1" si="637"/>
        <v>#N/A</v>
      </c>
      <c r="L3300" t="e">
        <f ca="1">+_xlfn.IFNA(VLOOKUP(M3300,BespokeWindowsAreas!$B$2:$E$1999,4,FALSE),VLOOKUP(E3300,WindowTypeArea!$B$2:$C$113,2,FALSE))</f>
        <v>#N/A</v>
      </c>
      <c r="M3300" t="e">
        <f t="shared" ca="1" si="640"/>
        <v>#N/A</v>
      </c>
    </row>
    <row r="3301" spans="1:13" x14ac:dyDescent="0.25">
      <c r="A3301" t="e">
        <f t="shared" ca="1" si="638"/>
        <v>#N/A</v>
      </c>
      <c r="B3301" t="e">
        <f t="shared" ca="1" si="639"/>
        <v>#N/A</v>
      </c>
      <c r="C3301" t="e">
        <f t="shared" ca="1" si="629"/>
        <v>#N/A</v>
      </c>
      <c r="D3301" s="6" t="e">
        <f t="shared" ca="1" si="630"/>
        <v>#N/A</v>
      </c>
      <c r="E3301" t="e">
        <f t="shared" ca="1" si="631"/>
        <v>#N/A</v>
      </c>
      <c r="F3301" t="e">
        <f t="shared" ca="1" si="632"/>
        <v>#N/A</v>
      </c>
      <c r="G3301" t="e">
        <f t="shared" ca="1" si="633"/>
        <v>#N/A</v>
      </c>
      <c r="H3301" t="e">
        <f t="shared" ca="1" si="634"/>
        <v>#N/A</v>
      </c>
      <c r="I3301" t="e">
        <f t="shared" ca="1" si="635"/>
        <v>#N/A</v>
      </c>
      <c r="J3301" s="8" t="e">
        <f t="shared" ca="1" si="636"/>
        <v>#N/A</v>
      </c>
      <c r="K3301" s="9" t="e">
        <f t="shared" ca="1" si="637"/>
        <v>#N/A</v>
      </c>
      <c r="L3301" t="e">
        <f ca="1">+_xlfn.IFNA(VLOOKUP(M3301,BespokeWindowsAreas!$B$2:$E$1999,4,FALSE),VLOOKUP(E3301,WindowTypeArea!$B$2:$C$113,2,FALSE))</f>
        <v>#N/A</v>
      </c>
      <c r="M3301" t="e">
        <f t="shared" ca="1" si="640"/>
        <v>#N/A</v>
      </c>
    </row>
    <row r="3302" spans="1:13" x14ac:dyDescent="0.25">
      <c r="A3302" t="e">
        <f t="shared" ca="1" si="638"/>
        <v>#N/A</v>
      </c>
      <c r="B3302" t="e">
        <f t="shared" ca="1" si="639"/>
        <v>#N/A</v>
      </c>
      <c r="C3302" t="e">
        <f t="shared" ca="1" si="629"/>
        <v>#N/A</v>
      </c>
      <c r="D3302" s="6" t="e">
        <f t="shared" ca="1" si="630"/>
        <v>#N/A</v>
      </c>
      <c r="E3302" t="e">
        <f t="shared" ca="1" si="631"/>
        <v>#N/A</v>
      </c>
      <c r="F3302" t="e">
        <f t="shared" ca="1" si="632"/>
        <v>#N/A</v>
      </c>
      <c r="G3302" t="e">
        <f t="shared" ca="1" si="633"/>
        <v>#N/A</v>
      </c>
      <c r="H3302" t="e">
        <f t="shared" ca="1" si="634"/>
        <v>#N/A</v>
      </c>
      <c r="I3302" t="e">
        <f t="shared" ca="1" si="635"/>
        <v>#N/A</v>
      </c>
      <c r="J3302" s="8" t="e">
        <f t="shared" ca="1" si="636"/>
        <v>#N/A</v>
      </c>
      <c r="K3302" s="9" t="e">
        <f t="shared" ca="1" si="637"/>
        <v>#N/A</v>
      </c>
      <c r="L3302" t="e">
        <f ca="1">+_xlfn.IFNA(VLOOKUP(M3302,BespokeWindowsAreas!$B$2:$E$1999,4,FALSE),VLOOKUP(E3302,WindowTypeArea!$B$2:$C$113,2,FALSE))</f>
        <v>#N/A</v>
      </c>
      <c r="M3302" t="e">
        <f t="shared" ca="1" si="640"/>
        <v>#N/A</v>
      </c>
    </row>
    <row r="3303" spans="1:13" x14ac:dyDescent="0.25">
      <c r="A3303" t="e">
        <f t="shared" ca="1" si="638"/>
        <v>#N/A</v>
      </c>
      <c r="B3303" t="e">
        <f t="shared" ca="1" si="639"/>
        <v>#N/A</v>
      </c>
      <c r="C3303" t="e">
        <f t="shared" ca="1" si="629"/>
        <v>#N/A</v>
      </c>
      <c r="D3303" s="6" t="e">
        <f t="shared" ca="1" si="630"/>
        <v>#N/A</v>
      </c>
      <c r="E3303" t="e">
        <f t="shared" ca="1" si="631"/>
        <v>#N/A</v>
      </c>
      <c r="F3303" t="e">
        <f t="shared" ca="1" si="632"/>
        <v>#N/A</v>
      </c>
      <c r="G3303" t="e">
        <f t="shared" ca="1" si="633"/>
        <v>#N/A</v>
      </c>
      <c r="H3303" t="e">
        <f t="shared" ca="1" si="634"/>
        <v>#N/A</v>
      </c>
      <c r="I3303" t="e">
        <f t="shared" ca="1" si="635"/>
        <v>#N/A</v>
      </c>
      <c r="J3303" s="8" t="e">
        <f t="shared" ca="1" si="636"/>
        <v>#N/A</v>
      </c>
      <c r="K3303" s="9" t="e">
        <f t="shared" ca="1" si="637"/>
        <v>#N/A</v>
      </c>
      <c r="L3303" t="e">
        <f ca="1">+_xlfn.IFNA(VLOOKUP(M3303,BespokeWindowsAreas!$B$2:$E$1999,4,FALSE),VLOOKUP(E3303,WindowTypeArea!$B$2:$C$113,2,FALSE))</f>
        <v>#N/A</v>
      </c>
      <c r="M3303" t="e">
        <f t="shared" ca="1" si="640"/>
        <v>#N/A</v>
      </c>
    </row>
    <row r="3304" spans="1:13" x14ac:dyDescent="0.25">
      <c r="A3304" t="e">
        <f t="shared" ca="1" si="638"/>
        <v>#N/A</v>
      </c>
      <c r="B3304" t="e">
        <f t="shared" ca="1" si="639"/>
        <v>#N/A</v>
      </c>
      <c r="C3304" t="e">
        <f t="shared" ca="1" si="629"/>
        <v>#N/A</v>
      </c>
      <c r="D3304" s="6" t="e">
        <f t="shared" ca="1" si="630"/>
        <v>#N/A</v>
      </c>
      <c r="E3304" t="e">
        <f t="shared" ca="1" si="631"/>
        <v>#N/A</v>
      </c>
      <c r="F3304" t="e">
        <f t="shared" ca="1" si="632"/>
        <v>#N/A</v>
      </c>
      <c r="G3304" t="e">
        <f t="shared" ca="1" si="633"/>
        <v>#N/A</v>
      </c>
      <c r="H3304" t="e">
        <f t="shared" ca="1" si="634"/>
        <v>#N/A</v>
      </c>
      <c r="I3304" t="e">
        <f t="shared" ca="1" si="635"/>
        <v>#N/A</v>
      </c>
      <c r="J3304" s="8" t="e">
        <f t="shared" ca="1" si="636"/>
        <v>#N/A</v>
      </c>
      <c r="K3304" s="9" t="e">
        <f t="shared" ca="1" si="637"/>
        <v>#N/A</v>
      </c>
      <c r="L3304" t="e">
        <f ca="1">+_xlfn.IFNA(VLOOKUP(M3304,BespokeWindowsAreas!$B$2:$E$1999,4,FALSE),VLOOKUP(E3304,WindowTypeArea!$B$2:$C$113,2,FALSE))</f>
        <v>#N/A</v>
      </c>
      <c r="M3304" t="e">
        <f t="shared" ca="1" si="640"/>
        <v>#N/A</v>
      </c>
    </row>
    <row r="3305" spans="1:13" x14ac:dyDescent="0.25">
      <c r="A3305" t="e">
        <f t="shared" ca="1" si="638"/>
        <v>#N/A</v>
      </c>
      <c r="B3305" t="e">
        <f t="shared" ca="1" si="639"/>
        <v>#N/A</v>
      </c>
      <c r="C3305" t="e">
        <f t="shared" ca="1" si="629"/>
        <v>#N/A</v>
      </c>
      <c r="D3305" s="6" t="e">
        <f t="shared" ca="1" si="630"/>
        <v>#N/A</v>
      </c>
      <c r="E3305" t="e">
        <f t="shared" ca="1" si="631"/>
        <v>#N/A</v>
      </c>
      <c r="F3305" t="e">
        <f t="shared" ca="1" si="632"/>
        <v>#N/A</v>
      </c>
      <c r="G3305" t="e">
        <f t="shared" ca="1" si="633"/>
        <v>#N/A</v>
      </c>
      <c r="H3305" t="e">
        <f t="shared" ca="1" si="634"/>
        <v>#N/A</v>
      </c>
      <c r="I3305" t="e">
        <f t="shared" ca="1" si="635"/>
        <v>#N/A</v>
      </c>
      <c r="J3305" s="8" t="e">
        <f t="shared" ca="1" si="636"/>
        <v>#N/A</v>
      </c>
      <c r="K3305" s="9" t="e">
        <f t="shared" ca="1" si="637"/>
        <v>#N/A</v>
      </c>
      <c r="L3305" t="e">
        <f ca="1">+_xlfn.IFNA(VLOOKUP(M3305,BespokeWindowsAreas!$B$2:$E$1999,4,FALSE),VLOOKUP(E3305,WindowTypeArea!$B$2:$C$113,2,FALSE))</f>
        <v>#N/A</v>
      </c>
      <c r="M3305" t="e">
        <f t="shared" ca="1" si="640"/>
        <v>#N/A</v>
      </c>
    </row>
    <row r="3306" spans="1:13" x14ac:dyDescent="0.25">
      <c r="A3306" t="e">
        <f t="shared" ca="1" si="638"/>
        <v>#N/A</v>
      </c>
      <c r="B3306" t="e">
        <f t="shared" ca="1" si="639"/>
        <v>#N/A</v>
      </c>
      <c r="C3306" t="e">
        <f t="shared" ca="1" si="629"/>
        <v>#N/A</v>
      </c>
      <c r="D3306" s="6" t="e">
        <f t="shared" ca="1" si="630"/>
        <v>#N/A</v>
      </c>
      <c r="E3306" t="e">
        <f t="shared" ca="1" si="631"/>
        <v>#N/A</v>
      </c>
      <c r="F3306" t="e">
        <f t="shared" ca="1" si="632"/>
        <v>#N/A</v>
      </c>
      <c r="G3306" t="e">
        <f t="shared" ca="1" si="633"/>
        <v>#N/A</v>
      </c>
      <c r="H3306" t="e">
        <f t="shared" ca="1" si="634"/>
        <v>#N/A</v>
      </c>
      <c r="I3306" t="e">
        <f t="shared" ca="1" si="635"/>
        <v>#N/A</v>
      </c>
      <c r="J3306" s="8" t="e">
        <f t="shared" ca="1" si="636"/>
        <v>#N/A</v>
      </c>
      <c r="K3306" s="9" t="e">
        <f t="shared" ca="1" si="637"/>
        <v>#N/A</v>
      </c>
      <c r="L3306" t="e">
        <f ca="1">+_xlfn.IFNA(VLOOKUP(M3306,BespokeWindowsAreas!$B$2:$E$1999,4,FALSE),VLOOKUP(E3306,WindowTypeArea!$B$2:$C$113,2,FALSE))</f>
        <v>#N/A</v>
      </c>
      <c r="M3306" t="e">
        <f t="shared" ca="1" si="640"/>
        <v>#N/A</v>
      </c>
    </row>
    <row r="3307" spans="1:13" x14ac:dyDescent="0.25">
      <c r="A3307" t="e">
        <f t="shared" ca="1" si="638"/>
        <v>#N/A</v>
      </c>
      <c r="B3307" t="e">
        <f t="shared" ca="1" si="639"/>
        <v>#N/A</v>
      </c>
      <c r="C3307" t="e">
        <f t="shared" ca="1" si="629"/>
        <v>#N/A</v>
      </c>
      <c r="D3307" s="6" t="e">
        <f t="shared" ca="1" si="630"/>
        <v>#N/A</v>
      </c>
      <c r="E3307" t="e">
        <f t="shared" ca="1" si="631"/>
        <v>#N/A</v>
      </c>
      <c r="F3307" t="e">
        <f t="shared" ca="1" si="632"/>
        <v>#N/A</v>
      </c>
      <c r="G3307" t="e">
        <f t="shared" ca="1" si="633"/>
        <v>#N/A</v>
      </c>
      <c r="H3307" t="e">
        <f t="shared" ca="1" si="634"/>
        <v>#N/A</v>
      </c>
      <c r="I3307" t="e">
        <f t="shared" ca="1" si="635"/>
        <v>#N/A</v>
      </c>
      <c r="J3307" s="8" t="e">
        <f t="shared" ca="1" si="636"/>
        <v>#N/A</v>
      </c>
      <c r="K3307" s="9" t="e">
        <f t="shared" ca="1" si="637"/>
        <v>#N/A</v>
      </c>
      <c r="L3307" t="e">
        <f ca="1">+_xlfn.IFNA(VLOOKUP(M3307,BespokeWindowsAreas!$B$2:$E$1999,4,FALSE),VLOOKUP(E3307,WindowTypeArea!$B$2:$C$113,2,FALSE))</f>
        <v>#N/A</v>
      </c>
      <c r="M3307" t="e">
        <f t="shared" ca="1" si="640"/>
        <v>#N/A</v>
      </c>
    </row>
    <row r="3308" spans="1:13" x14ac:dyDescent="0.25">
      <c r="A3308" t="e">
        <f t="shared" ca="1" si="638"/>
        <v>#N/A</v>
      </c>
      <c r="B3308" t="e">
        <f t="shared" ca="1" si="639"/>
        <v>#N/A</v>
      </c>
      <c r="C3308" t="e">
        <f t="shared" ca="1" si="629"/>
        <v>#N/A</v>
      </c>
      <c r="D3308" s="6" t="e">
        <f t="shared" ca="1" si="630"/>
        <v>#N/A</v>
      </c>
      <c r="E3308" t="e">
        <f t="shared" ca="1" si="631"/>
        <v>#N/A</v>
      </c>
      <c r="F3308" t="e">
        <f t="shared" ca="1" si="632"/>
        <v>#N/A</v>
      </c>
      <c r="G3308" t="e">
        <f t="shared" ca="1" si="633"/>
        <v>#N/A</v>
      </c>
      <c r="H3308" t="e">
        <f t="shared" ca="1" si="634"/>
        <v>#N/A</v>
      </c>
      <c r="I3308" t="e">
        <f t="shared" ca="1" si="635"/>
        <v>#N/A</v>
      </c>
      <c r="J3308" s="8" t="e">
        <f t="shared" ca="1" si="636"/>
        <v>#N/A</v>
      </c>
      <c r="K3308" s="9" t="e">
        <f t="shared" ca="1" si="637"/>
        <v>#N/A</v>
      </c>
      <c r="L3308" t="e">
        <f ca="1">+_xlfn.IFNA(VLOOKUP(M3308,BespokeWindowsAreas!$B$2:$E$1999,4,FALSE),VLOOKUP(E3308,WindowTypeArea!$B$2:$C$113,2,FALSE))</f>
        <v>#N/A</v>
      </c>
      <c r="M3308" t="e">
        <f t="shared" ca="1" si="640"/>
        <v>#N/A</v>
      </c>
    </row>
    <row r="3309" spans="1:13" x14ac:dyDescent="0.25">
      <c r="A3309" t="e">
        <f t="shared" ca="1" si="638"/>
        <v>#N/A</v>
      </c>
      <c r="B3309" t="e">
        <f t="shared" ca="1" si="639"/>
        <v>#N/A</v>
      </c>
      <c r="C3309" t="e">
        <f t="shared" ca="1" si="629"/>
        <v>#N/A</v>
      </c>
      <c r="D3309" s="6" t="e">
        <f t="shared" ca="1" si="630"/>
        <v>#N/A</v>
      </c>
      <c r="E3309" t="e">
        <f t="shared" ca="1" si="631"/>
        <v>#N/A</v>
      </c>
      <c r="F3309" t="e">
        <f t="shared" ca="1" si="632"/>
        <v>#N/A</v>
      </c>
      <c r="G3309" t="e">
        <f t="shared" ca="1" si="633"/>
        <v>#N/A</v>
      </c>
      <c r="H3309" t="e">
        <f t="shared" ca="1" si="634"/>
        <v>#N/A</v>
      </c>
      <c r="I3309" t="e">
        <f t="shared" ca="1" si="635"/>
        <v>#N/A</v>
      </c>
      <c r="J3309" s="8" t="e">
        <f t="shared" ca="1" si="636"/>
        <v>#N/A</v>
      </c>
      <c r="K3309" s="9" t="e">
        <f t="shared" ca="1" si="637"/>
        <v>#N/A</v>
      </c>
      <c r="L3309" t="e">
        <f ca="1">+_xlfn.IFNA(VLOOKUP(M3309,BespokeWindowsAreas!$B$2:$E$1999,4,FALSE),VLOOKUP(E3309,WindowTypeArea!$B$2:$C$113,2,FALSE))</f>
        <v>#N/A</v>
      </c>
      <c r="M3309" t="e">
        <f t="shared" ca="1" si="640"/>
        <v>#N/A</v>
      </c>
    </row>
    <row r="3310" spans="1:13" x14ac:dyDescent="0.25">
      <c r="A3310" t="e">
        <f t="shared" ca="1" si="638"/>
        <v>#N/A</v>
      </c>
      <c r="B3310" t="e">
        <f t="shared" ca="1" si="639"/>
        <v>#N/A</v>
      </c>
      <c r="C3310" t="e">
        <f t="shared" ca="1" si="629"/>
        <v>#N/A</v>
      </c>
      <c r="D3310" s="6" t="e">
        <f t="shared" ca="1" si="630"/>
        <v>#N/A</v>
      </c>
      <c r="E3310" t="e">
        <f t="shared" ca="1" si="631"/>
        <v>#N/A</v>
      </c>
      <c r="F3310" t="e">
        <f t="shared" ca="1" si="632"/>
        <v>#N/A</v>
      </c>
      <c r="G3310" t="e">
        <f t="shared" ca="1" si="633"/>
        <v>#N/A</v>
      </c>
      <c r="H3310" t="e">
        <f t="shared" ca="1" si="634"/>
        <v>#N/A</v>
      </c>
      <c r="I3310" t="e">
        <f t="shared" ca="1" si="635"/>
        <v>#N/A</v>
      </c>
      <c r="J3310" s="8" t="e">
        <f t="shared" ca="1" si="636"/>
        <v>#N/A</v>
      </c>
      <c r="K3310" s="9" t="e">
        <f t="shared" ca="1" si="637"/>
        <v>#N/A</v>
      </c>
      <c r="L3310" t="e">
        <f ca="1">+_xlfn.IFNA(VLOOKUP(M3310,BespokeWindowsAreas!$B$2:$E$1999,4,FALSE),VLOOKUP(E3310,WindowTypeArea!$B$2:$C$113,2,FALSE))</f>
        <v>#N/A</v>
      </c>
      <c r="M3310" t="e">
        <f t="shared" ca="1" si="640"/>
        <v>#N/A</v>
      </c>
    </row>
    <row r="3311" spans="1:13" x14ac:dyDescent="0.25">
      <c r="A3311" t="e">
        <f t="shared" ca="1" si="638"/>
        <v>#N/A</v>
      </c>
      <c r="B3311" t="e">
        <f t="shared" ca="1" si="639"/>
        <v>#N/A</v>
      </c>
      <c r="C3311" t="e">
        <f t="shared" ca="1" si="629"/>
        <v>#N/A</v>
      </c>
      <c r="D3311" s="6" t="e">
        <f t="shared" ca="1" si="630"/>
        <v>#N/A</v>
      </c>
      <c r="E3311" t="e">
        <f t="shared" ca="1" si="631"/>
        <v>#N/A</v>
      </c>
      <c r="F3311" t="e">
        <f t="shared" ca="1" si="632"/>
        <v>#N/A</v>
      </c>
      <c r="G3311" t="e">
        <f t="shared" ca="1" si="633"/>
        <v>#N/A</v>
      </c>
      <c r="H3311" t="e">
        <f t="shared" ca="1" si="634"/>
        <v>#N/A</v>
      </c>
      <c r="I3311" t="e">
        <f t="shared" ca="1" si="635"/>
        <v>#N/A</v>
      </c>
      <c r="J3311" s="8" t="e">
        <f t="shared" ca="1" si="636"/>
        <v>#N/A</v>
      </c>
      <c r="K3311" s="9" t="e">
        <f t="shared" ca="1" si="637"/>
        <v>#N/A</v>
      </c>
      <c r="L3311" t="e">
        <f ca="1">+_xlfn.IFNA(VLOOKUP(M3311,BespokeWindowsAreas!$B$2:$E$1999,4,FALSE),VLOOKUP(E3311,WindowTypeArea!$B$2:$C$113,2,FALSE))</f>
        <v>#N/A</v>
      </c>
      <c r="M3311" t="e">
        <f t="shared" ca="1" si="640"/>
        <v>#N/A</v>
      </c>
    </row>
    <row r="3312" spans="1:13" x14ac:dyDescent="0.25">
      <c r="A3312" t="e">
        <f t="shared" ca="1" si="638"/>
        <v>#N/A</v>
      </c>
      <c r="B3312" t="e">
        <f t="shared" ca="1" si="639"/>
        <v>#N/A</v>
      </c>
      <c r="C3312" t="e">
        <f t="shared" ca="1" si="629"/>
        <v>#N/A</v>
      </c>
      <c r="D3312" s="6" t="e">
        <f t="shared" ca="1" si="630"/>
        <v>#N/A</v>
      </c>
      <c r="E3312" t="e">
        <f t="shared" ca="1" si="631"/>
        <v>#N/A</v>
      </c>
      <c r="F3312" t="e">
        <f t="shared" ca="1" si="632"/>
        <v>#N/A</v>
      </c>
      <c r="G3312" t="e">
        <f t="shared" ca="1" si="633"/>
        <v>#N/A</v>
      </c>
      <c r="H3312" t="e">
        <f t="shared" ca="1" si="634"/>
        <v>#N/A</v>
      </c>
      <c r="I3312" t="e">
        <f t="shared" ca="1" si="635"/>
        <v>#N/A</v>
      </c>
      <c r="J3312" s="8" t="e">
        <f t="shared" ca="1" si="636"/>
        <v>#N/A</v>
      </c>
      <c r="K3312" s="9" t="e">
        <f t="shared" ca="1" si="637"/>
        <v>#N/A</v>
      </c>
      <c r="L3312" t="e">
        <f ca="1">+_xlfn.IFNA(VLOOKUP(M3312,BespokeWindowsAreas!$B$2:$E$1999,4,FALSE),VLOOKUP(E3312,WindowTypeArea!$B$2:$C$113,2,FALSE))</f>
        <v>#N/A</v>
      </c>
      <c r="M3312" t="e">
        <f t="shared" ca="1" si="640"/>
        <v>#N/A</v>
      </c>
    </row>
    <row r="3313" spans="1:13" x14ac:dyDescent="0.25">
      <c r="A3313" t="e">
        <f t="shared" ca="1" si="638"/>
        <v>#N/A</v>
      </c>
      <c r="B3313" t="e">
        <f t="shared" ca="1" si="639"/>
        <v>#N/A</v>
      </c>
      <c r="C3313" t="e">
        <f t="shared" ca="1" si="629"/>
        <v>#N/A</v>
      </c>
      <c r="D3313" s="6" t="e">
        <f t="shared" ca="1" si="630"/>
        <v>#N/A</v>
      </c>
      <c r="E3313" t="e">
        <f t="shared" ca="1" si="631"/>
        <v>#N/A</v>
      </c>
      <c r="F3313" t="e">
        <f t="shared" ca="1" si="632"/>
        <v>#N/A</v>
      </c>
      <c r="G3313" t="e">
        <f t="shared" ca="1" si="633"/>
        <v>#N/A</v>
      </c>
      <c r="H3313" t="e">
        <f t="shared" ca="1" si="634"/>
        <v>#N/A</v>
      </c>
      <c r="I3313" t="e">
        <f t="shared" ca="1" si="635"/>
        <v>#N/A</v>
      </c>
      <c r="J3313" s="8" t="e">
        <f t="shared" ca="1" si="636"/>
        <v>#N/A</v>
      </c>
      <c r="K3313" s="9" t="e">
        <f t="shared" ca="1" si="637"/>
        <v>#N/A</v>
      </c>
      <c r="L3313" t="e">
        <f ca="1">+_xlfn.IFNA(VLOOKUP(M3313,BespokeWindowsAreas!$B$2:$E$1999,4,FALSE),VLOOKUP(E3313,WindowTypeArea!$B$2:$C$113,2,FALSE))</f>
        <v>#N/A</v>
      </c>
      <c r="M3313" t="e">
        <f t="shared" ca="1" si="640"/>
        <v>#N/A</v>
      </c>
    </row>
    <row r="3314" spans="1:13" x14ac:dyDescent="0.25">
      <c r="A3314" t="e">
        <f t="shared" ca="1" si="638"/>
        <v>#N/A</v>
      </c>
      <c r="B3314" t="e">
        <f t="shared" ca="1" si="639"/>
        <v>#N/A</v>
      </c>
      <c r="C3314" t="e">
        <f t="shared" ca="1" si="629"/>
        <v>#N/A</v>
      </c>
      <c r="D3314" s="6" t="e">
        <f t="shared" ca="1" si="630"/>
        <v>#N/A</v>
      </c>
      <c r="E3314" t="e">
        <f t="shared" ca="1" si="631"/>
        <v>#N/A</v>
      </c>
      <c r="F3314" t="e">
        <f t="shared" ca="1" si="632"/>
        <v>#N/A</v>
      </c>
      <c r="G3314" t="e">
        <f t="shared" ca="1" si="633"/>
        <v>#N/A</v>
      </c>
      <c r="H3314" t="e">
        <f t="shared" ca="1" si="634"/>
        <v>#N/A</v>
      </c>
      <c r="I3314" t="e">
        <f t="shared" ca="1" si="635"/>
        <v>#N/A</v>
      </c>
      <c r="J3314" s="8" t="e">
        <f t="shared" ca="1" si="636"/>
        <v>#N/A</v>
      </c>
      <c r="K3314" s="9" t="e">
        <f t="shared" ca="1" si="637"/>
        <v>#N/A</v>
      </c>
      <c r="L3314" t="e">
        <f ca="1">+_xlfn.IFNA(VLOOKUP(M3314,BespokeWindowsAreas!$B$2:$E$1999,4,FALSE),VLOOKUP(E3314,WindowTypeArea!$B$2:$C$113,2,FALSE))</f>
        <v>#N/A</v>
      </c>
      <c r="M3314" t="e">
        <f t="shared" ca="1" si="640"/>
        <v>#N/A</v>
      </c>
    </row>
    <row r="3315" spans="1:13" x14ac:dyDescent="0.25">
      <c r="A3315" t="e">
        <f t="shared" ca="1" si="638"/>
        <v>#N/A</v>
      </c>
      <c r="B3315" t="e">
        <f t="shared" ca="1" si="639"/>
        <v>#N/A</v>
      </c>
      <c r="C3315" t="e">
        <f t="shared" ca="1" si="629"/>
        <v>#N/A</v>
      </c>
      <c r="D3315" s="6" t="e">
        <f t="shared" ca="1" si="630"/>
        <v>#N/A</v>
      </c>
      <c r="E3315" t="e">
        <f t="shared" ca="1" si="631"/>
        <v>#N/A</v>
      </c>
      <c r="F3315" t="e">
        <f t="shared" ca="1" si="632"/>
        <v>#N/A</v>
      </c>
      <c r="G3315" t="e">
        <f t="shared" ca="1" si="633"/>
        <v>#N/A</v>
      </c>
      <c r="H3315" t="e">
        <f t="shared" ca="1" si="634"/>
        <v>#N/A</v>
      </c>
      <c r="I3315" t="e">
        <f t="shared" ca="1" si="635"/>
        <v>#N/A</v>
      </c>
      <c r="J3315" s="8" t="e">
        <f t="shared" ca="1" si="636"/>
        <v>#N/A</v>
      </c>
      <c r="K3315" s="9" t="e">
        <f t="shared" ca="1" si="637"/>
        <v>#N/A</v>
      </c>
      <c r="L3315" t="e">
        <f ca="1">+_xlfn.IFNA(VLOOKUP(M3315,BespokeWindowsAreas!$B$2:$E$1999,4,FALSE),VLOOKUP(E3315,WindowTypeArea!$B$2:$C$113,2,FALSE))</f>
        <v>#N/A</v>
      </c>
      <c r="M3315" t="e">
        <f t="shared" ca="1" si="640"/>
        <v>#N/A</v>
      </c>
    </row>
    <row r="3316" spans="1:13" x14ac:dyDescent="0.25">
      <c r="A3316" t="e">
        <f t="shared" ca="1" si="638"/>
        <v>#N/A</v>
      </c>
      <c r="B3316" t="e">
        <f t="shared" ca="1" si="639"/>
        <v>#N/A</v>
      </c>
      <c r="C3316" t="e">
        <f t="shared" ca="1" si="629"/>
        <v>#N/A</v>
      </c>
      <c r="D3316" s="6" t="e">
        <f t="shared" ca="1" si="630"/>
        <v>#N/A</v>
      </c>
      <c r="E3316" t="e">
        <f t="shared" ca="1" si="631"/>
        <v>#N/A</v>
      </c>
      <c r="F3316" t="e">
        <f t="shared" ca="1" si="632"/>
        <v>#N/A</v>
      </c>
      <c r="G3316" t="e">
        <f t="shared" ca="1" si="633"/>
        <v>#N/A</v>
      </c>
      <c r="H3316" t="e">
        <f t="shared" ca="1" si="634"/>
        <v>#N/A</v>
      </c>
      <c r="I3316" t="e">
        <f t="shared" ca="1" si="635"/>
        <v>#N/A</v>
      </c>
      <c r="J3316" s="8" t="e">
        <f t="shared" ca="1" si="636"/>
        <v>#N/A</v>
      </c>
      <c r="K3316" s="9" t="e">
        <f t="shared" ca="1" si="637"/>
        <v>#N/A</v>
      </c>
      <c r="L3316" t="e">
        <f ca="1">+_xlfn.IFNA(VLOOKUP(M3316,BespokeWindowsAreas!$B$2:$E$1999,4,FALSE),VLOOKUP(E3316,WindowTypeArea!$B$2:$C$113,2,FALSE))</f>
        <v>#N/A</v>
      </c>
      <c r="M3316" t="e">
        <f t="shared" ca="1" si="640"/>
        <v>#N/A</v>
      </c>
    </row>
    <row r="3317" spans="1:13" x14ac:dyDescent="0.25">
      <c r="A3317" t="e">
        <f t="shared" ca="1" si="638"/>
        <v>#N/A</v>
      </c>
      <c r="B3317" t="e">
        <f t="shared" ca="1" si="639"/>
        <v>#N/A</v>
      </c>
      <c r="C3317" t="e">
        <f t="shared" ca="1" si="629"/>
        <v>#N/A</v>
      </c>
      <c r="D3317" s="6" t="e">
        <f t="shared" ca="1" si="630"/>
        <v>#N/A</v>
      </c>
      <c r="E3317" t="e">
        <f t="shared" ca="1" si="631"/>
        <v>#N/A</v>
      </c>
      <c r="F3317" t="e">
        <f t="shared" ca="1" si="632"/>
        <v>#N/A</v>
      </c>
      <c r="G3317" t="e">
        <f t="shared" ca="1" si="633"/>
        <v>#N/A</v>
      </c>
      <c r="H3317" t="e">
        <f t="shared" ca="1" si="634"/>
        <v>#N/A</v>
      </c>
      <c r="I3317" t="e">
        <f t="shared" ca="1" si="635"/>
        <v>#N/A</v>
      </c>
      <c r="J3317" s="8" t="e">
        <f t="shared" ca="1" si="636"/>
        <v>#N/A</v>
      </c>
      <c r="K3317" s="9" t="e">
        <f t="shared" ca="1" si="637"/>
        <v>#N/A</v>
      </c>
      <c r="L3317" t="e">
        <f ca="1">+_xlfn.IFNA(VLOOKUP(M3317,BespokeWindowsAreas!$B$2:$E$1999,4,FALSE),VLOOKUP(E3317,WindowTypeArea!$B$2:$C$113,2,FALSE))</f>
        <v>#N/A</v>
      </c>
      <c r="M3317" t="e">
        <f t="shared" ca="1" si="640"/>
        <v>#N/A</v>
      </c>
    </row>
    <row r="3318" spans="1:13" x14ac:dyDescent="0.25">
      <c r="A3318" t="e">
        <f t="shared" ca="1" si="638"/>
        <v>#N/A</v>
      </c>
      <c r="B3318" t="e">
        <f t="shared" ca="1" si="639"/>
        <v>#N/A</v>
      </c>
      <c r="C3318" t="e">
        <f t="shared" ca="1" si="629"/>
        <v>#N/A</v>
      </c>
      <c r="D3318" s="6" t="e">
        <f t="shared" ca="1" si="630"/>
        <v>#N/A</v>
      </c>
      <c r="E3318" t="e">
        <f t="shared" ca="1" si="631"/>
        <v>#N/A</v>
      </c>
      <c r="F3318" t="e">
        <f t="shared" ca="1" si="632"/>
        <v>#N/A</v>
      </c>
      <c r="G3318" t="e">
        <f t="shared" ca="1" si="633"/>
        <v>#N/A</v>
      </c>
      <c r="H3318" t="e">
        <f t="shared" ca="1" si="634"/>
        <v>#N/A</v>
      </c>
      <c r="I3318" t="e">
        <f t="shared" ca="1" si="635"/>
        <v>#N/A</v>
      </c>
      <c r="J3318" s="8" t="e">
        <f t="shared" ca="1" si="636"/>
        <v>#N/A</v>
      </c>
      <c r="K3318" s="9" t="e">
        <f t="shared" ca="1" si="637"/>
        <v>#N/A</v>
      </c>
      <c r="L3318" t="e">
        <f ca="1">+_xlfn.IFNA(VLOOKUP(M3318,BespokeWindowsAreas!$B$2:$E$1999,4,FALSE),VLOOKUP(E3318,WindowTypeArea!$B$2:$C$113,2,FALSE))</f>
        <v>#N/A</v>
      </c>
      <c r="M3318" t="e">
        <f t="shared" ca="1" si="640"/>
        <v>#N/A</v>
      </c>
    </row>
    <row r="3319" spans="1:13" x14ac:dyDescent="0.25">
      <c r="A3319" t="e">
        <f t="shared" ca="1" si="638"/>
        <v>#N/A</v>
      </c>
      <c r="B3319" t="e">
        <f t="shared" ca="1" si="639"/>
        <v>#N/A</v>
      </c>
      <c r="C3319" t="e">
        <f t="shared" ca="1" si="629"/>
        <v>#N/A</v>
      </c>
      <c r="D3319" s="6" t="e">
        <f t="shared" ca="1" si="630"/>
        <v>#N/A</v>
      </c>
      <c r="E3319" t="e">
        <f t="shared" ca="1" si="631"/>
        <v>#N/A</v>
      </c>
      <c r="F3319" t="e">
        <f t="shared" ca="1" si="632"/>
        <v>#N/A</v>
      </c>
      <c r="G3319" t="e">
        <f t="shared" ca="1" si="633"/>
        <v>#N/A</v>
      </c>
      <c r="H3319" t="e">
        <f t="shared" ca="1" si="634"/>
        <v>#N/A</v>
      </c>
      <c r="I3319" t="e">
        <f t="shared" ca="1" si="635"/>
        <v>#N/A</v>
      </c>
      <c r="J3319" s="8" t="e">
        <f t="shared" ca="1" si="636"/>
        <v>#N/A</v>
      </c>
      <c r="K3319" s="9" t="e">
        <f t="shared" ca="1" si="637"/>
        <v>#N/A</v>
      </c>
      <c r="L3319" t="e">
        <f ca="1">+_xlfn.IFNA(VLOOKUP(M3319,BespokeWindowsAreas!$B$2:$E$1999,4,FALSE),VLOOKUP(E3319,WindowTypeArea!$B$2:$C$113,2,FALSE))</f>
        <v>#N/A</v>
      </c>
      <c r="M3319" t="e">
        <f t="shared" ca="1" si="640"/>
        <v>#N/A</v>
      </c>
    </row>
    <row r="3320" spans="1:13" x14ac:dyDescent="0.25">
      <c r="A3320" t="e">
        <f t="shared" ca="1" si="638"/>
        <v>#N/A</v>
      </c>
      <c r="B3320" t="e">
        <f t="shared" ca="1" si="639"/>
        <v>#N/A</v>
      </c>
      <c r="C3320" t="e">
        <f t="shared" ca="1" si="629"/>
        <v>#N/A</v>
      </c>
      <c r="D3320" s="6" t="e">
        <f t="shared" ca="1" si="630"/>
        <v>#N/A</v>
      </c>
      <c r="E3320" t="e">
        <f t="shared" ca="1" si="631"/>
        <v>#N/A</v>
      </c>
      <c r="F3320" t="e">
        <f t="shared" ca="1" si="632"/>
        <v>#N/A</v>
      </c>
      <c r="G3320" t="e">
        <f t="shared" ca="1" si="633"/>
        <v>#N/A</v>
      </c>
      <c r="H3320" t="e">
        <f t="shared" ca="1" si="634"/>
        <v>#N/A</v>
      </c>
      <c r="I3320" t="e">
        <f t="shared" ca="1" si="635"/>
        <v>#N/A</v>
      </c>
      <c r="J3320" s="8" t="e">
        <f t="shared" ca="1" si="636"/>
        <v>#N/A</v>
      </c>
      <c r="K3320" s="9" t="e">
        <f t="shared" ca="1" si="637"/>
        <v>#N/A</v>
      </c>
      <c r="L3320" t="e">
        <f ca="1">+_xlfn.IFNA(VLOOKUP(M3320,BespokeWindowsAreas!$B$2:$E$1999,4,FALSE),VLOOKUP(E3320,WindowTypeArea!$B$2:$C$113,2,FALSE))</f>
        <v>#N/A</v>
      </c>
      <c r="M3320" t="e">
        <f t="shared" ca="1" si="640"/>
        <v>#N/A</v>
      </c>
    </row>
    <row r="3321" spans="1:13" x14ac:dyDescent="0.25">
      <c r="A3321" t="e">
        <f t="shared" ca="1" si="638"/>
        <v>#N/A</v>
      </c>
      <c r="B3321" t="e">
        <f t="shared" ca="1" si="639"/>
        <v>#N/A</v>
      </c>
      <c r="C3321" t="e">
        <f t="shared" ca="1" si="629"/>
        <v>#N/A</v>
      </c>
      <c r="D3321" s="6" t="e">
        <f t="shared" ca="1" si="630"/>
        <v>#N/A</v>
      </c>
      <c r="E3321" t="e">
        <f t="shared" ca="1" si="631"/>
        <v>#N/A</v>
      </c>
      <c r="F3321" t="e">
        <f t="shared" ca="1" si="632"/>
        <v>#N/A</v>
      </c>
      <c r="G3321" t="e">
        <f t="shared" ca="1" si="633"/>
        <v>#N/A</v>
      </c>
      <c r="H3321" t="e">
        <f t="shared" ca="1" si="634"/>
        <v>#N/A</v>
      </c>
      <c r="I3321" t="e">
        <f t="shared" ca="1" si="635"/>
        <v>#N/A</v>
      </c>
      <c r="J3321" s="8" t="e">
        <f t="shared" ca="1" si="636"/>
        <v>#N/A</v>
      </c>
      <c r="K3321" s="9" t="e">
        <f t="shared" ca="1" si="637"/>
        <v>#N/A</v>
      </c>
      <c r="L3321" t="e">
        <f ca="1">+_xlfn.IFNA(VLOOKUP(M3321,BespokeWindowsAreas!$B$2:$E$1999,4,FALSE),VLOOKUP(E3321,WindowTypeArea!$B$2:$C$113,2,FALSE))</f>
        <v>#N/A</v>
      </c>
      <c r="M3321" t="e">
        <f t="shared" ca="1" si="640"/>
        <v>#N/A</v>
      </c>
    </row>
    <row r="3322" spans="1:13" x14ac:dyDescent="0.25">
      <c r="A3322" t="e">
        <f t="shared" ca="1" si="638"/>
        <v>#N/A</v>
      </c>
      <c r="B3322" t="e">
        <f t="shared" ca="1" si="639"/>
        <v>#N/A</v>
      </c>
      <c r="C3322" t="e">
        <f t="shared" ca="1" si="629"/>
        <v>#N/A</v>
      </c>
      <c r="D3322" s="6" t="e">
        <f t="shared" ca="1" si="630"/>
        <v>#N/A</v>
      </c>
      <c r="E3322" t="e">
        <f t="shared" ca="1" si="631"/>
        <v>#N/A</v>
      </c>
      <c r="F3322" t="e">
        <f t="shared" ca="1" si="632"/>
        <v>#N/A</v>
      </c>
      <c r="G3322" t="e">
        <f t="shared" ca="1" si="633"/>
        <v>#N/A</v>
      </c>
      <c r="H3322" t="e">
        <f t="shared" ca="1" si="634"/>
        <v>#N/A</v>
      </c>
      <c r="I3322" t="e">
        <f t="shared" ca="1" si="635"/>
        <v>#N/A</v>
      </c>
      <c r="J3322" s="8" t="e">
        <f t="shared" ca="1" si="636"/>
        <v>#N/A</v>
      </c>
      <c r="K3322" s="9" t="e">
        <f t="shared" ca="1" si="637"/>
        <v>#N/A</v>
      </c>
      <c r="L3322" t="e">
        <f ca="1">+_xlfn.IFNA(VLOOKUP(M3322,BespokeWindowsAreas!$B$2:$E$1999,4,FALSE),VLOOKUP(E3322,WindowTypeArea!$B$2:$C$113,2,FALSE))</f>
        <v>#N/A</v>
      </c>
      <c r="M3322" t="e">
        <f t="shared" ca="1" si="640"/>
        <v>#N/A</v>
      </c>
    </row>
    <row r="3323" spans="1:13" x14ac:dyDescent="0.25">
      <c r="A3323" t="e">
        <f t="shared" ca="1" si="638"/>
        <v>#N/A</v>
      </c>
      <c r="B3323" t="e">
        <f t="shared" ca="1" si="639"/>
        <v>#N/A</v>
      </c>
      <c r="C3323" t="e">
        <f t="shared" ca="1" si="629"/>
        <v>#N/A</v>
      </c>
      <c r="D3323" s="6" t="e">
        <f t="shared" ca="1" si="630"/>
        <v>#N/A</v>
      </c>
      <c r="E3323" t="e">
        <f t="shared" ca="1" si="631"/>
        <v>#N/A</v>
      </c>
      <c r="F3323" t="e">
        <f t="shared" ca="1" si="632"/>
        <v>#N/A</v>
      </c>
      <c r="G3323" t="e">
        <f t="shared" ca="1" si="633"/>
        <v>#N/A</v>
      </c>
      <c r="H3323" t="e">
        <f t="shared" ca="1" si="634"/>
        <v>#N/A</v>
      </c>
      <c r="I3323" t="e">
        <f t="shared" ca="1" si="635"/>
        <v>#N/A</v>
      </c>
      <c r="J3323" s="8" t="e">
        <f t="shared" ca="1" si="636"/>
        <v>#N/A</v>
      </c>
      <c r="K3323" s="9" t="e">
        <f t="shared" ca="1" si="637"/>
        <v>#N/A</v>
      </c>
      <c r="L3323" t="e">
        <f ca="1">+_xlfn.IFNA(VLOOKUP(M3323,BespokeWindowsAreas!$B$2:$E$1999,4,FALSE),VLOOKUP(E3323,WindowTypeArea!$B$2:$C$113,2,FALSE))</f>
        <v>#N/A</v>
      </c>
      <c r="M3323" t="e">
        <f t="shared" ca="1" si="640"/>
        <v>#N/A</v>
      </c>
    </row>
    <row r="3324" spans="1:13" x14ac:dyDescent="0.25">
      <c r="A3324" t="e">
        <f t="shared" ca="1" si="638"/>
        <v>#N/A</v>
      </c>
      <c r="B3324" t="e">
        <f t="shared" ca="1" si="639"/>
        <v>#N/A</v>
      </c>
      <c r="C3324" t="e">
        <f t="shared" ca="1" si="629"/>
        <v>#N/A</v>
      </c>
      <c r="D3324" s="6" t="e">
        <f t="shared" ca="1" si="630"/>
        <v>#N/A</v>
      </c>
      <c r="E3324" t="e">
        <f t="shared" ca="1" si="631"/>
        <v>#N/A</v>
      </c>
      <c r="F3324" t="e">
        <f t="shared" ca="1" si="632"/>
        <v>#N/A</v>
      </c>
      <c r="G3324" t="e">
        <f t="shared" ca="1" si="633"/>
        <v>#N/A</v>
      </c>
      <c r="H3324" t="e">
        <f t="shared" ca="1" si="634"/>
        <v>#N/A</v>
      </c>
      <c r="I3324" t="e">
        <f t="shared" ca="1" si="635"/>
        <v>#N/A</v>
      </c>
      <c r="J3324" s="8" t="e">
        <f t="shared" ca="1" si="636"/>
        <v>#N/A</v>
      </c>
      <c r="K3324" s="9" t="e">
        <f t="shared" ca="1" si="637"/>
        <v>#N/A</v>
      </c>
      <c r="L3324" t="e">
        <f ca="1">+_xlfn.IFNA(VLOOKUP(M3324,BespokeWindowsAreas!$B$2:$E$1999,4,FALSE),VLOOKUP(E3324,WindowTypeArea!$B$2:$C$113,2,FALSE))</f>
        <v>#N/A</v>
      </c>
      <c r="M3324" t="e">
        <f t="shared" ca="1" si="640"/>
        <v>#N/A</v>
      </c>
    </row>
    <row r="3325" spans="1:13" x14ac:dyDescent="0.25">
      <c r="A3325" t="e">
        <f t="shared" ca="1" si="638"/>
        <v>#N/A</v>
      </c>
      <c r="B3325" t="e">
        <f t="shared" ca="1" si="639"/>
        <v>#N/A</v>
      </c>
      <c r="C3325" t="e">
        <f t="shared" ca="1" si="629"/>
        <v>#N/A</v>
      </c>
      <c r="D3325" s="6" t="e">
        <f t="shared" ca="1" si="630"/>
        <v>#N/A</v>
      </c>
      <c r="E3325" t="e">
        <f t="shared" ca="1" si="631"/>
        <v>#N/A</v>
      </c>
      <c r="F3325" t="e">
        <f t="shared" ca="1" si="632"/>
        <v>#N/A</v>
      </c>
      <c r="G3325" t="e">
        <f t="shared" ca="1" si="633"/>
        <v>#N/A</v>
      </c>
      <c r="H3325" t="e">
        <f t="shared" ca="1" si="634"/>
        <v>#N/A</v>
      </c>
      <c r="I3325" t="e">
        <f t="shared" ca="1" si="635"/>
        <v>#N/A</v>
      </c>
      <c r="J3325" s="8" t="e">
        <f t="shared" ca="1" si="636"/>
        <v>#N/A</v>
      </c>
      <c r="K3325" s="9" t="e">
        <f t="shared" ca="1" si="637"/>
        <v>#N/A</v>
      </c>
      <c r="L3325" t="e">
        <f ca="1">+_xlfn.IFNA(VLOOKUP(M3325,BespokeWindowsAreas!$B$2:$E$1999,4,FALSE),VLOOKUP(E3325,WindowTypeArea!$B$2:$C$113,2,FALSE))</f>
        <v>#N/A</v>
      </c>
      <c r="M3325" t="e">
        <f t="shared" ca="1" si="640"/>
        <v>#N/A</v>
      </c>
    </row>
    <row r="3326" spans="1:13" x14ac:dyDescent="0.25">
      <c r="A3326" t="e">
        <f t="shared" ca="1" si="638"/>
        <v>#N/A</v>
      </c>
      <c r="B3326" t="e">
        <f t="shared" ca="1" si="639"/>
        <v>#N/A</v>
      </c>
      <c r="C3326" t="e">
        <f t="shared" ca="1" si="629"/>
        <v>#N/A</v>
      </c>
      <c r="D3326" s="6" t="e">
        <f t="shared" ca="1" si="630"/>
        <v>#N/A</v>
      </c>
      <c r="E3326" t="e">
        <f t="shared" ca="1" si="631"/>
        <v>#N/A</v>
      </c>
      <c r="F3326" t="e">
        <f t="shared" ca="1" si="632"/>
        <v>#N/A</v>
      </c>
      <c r="G3326" t="e">
        <f t="shared" ca="1" si="633"/>
        <v>#N/A</v>
      </c>
      <c r="H3326" t="e">
        <f t="shared" ca="1" si="634"/>
        <v>#N/A</v>
      </c>
      <c r="I3326" t="e">
        <f t="shared" ca="1" si="635"/>
        <v>#N/A</v>
      </c>
      <c r="J3326" s="8" t="e">
        <f t="shared" ca="1" si="636"/>
        <v>#N/A</v>
      </c>
      <c r="K3326" s="9" t="e">
        <f t="shared" ca="1" si="637"/>
        <v>#N/A</v>
      </c>
      <c r="L3326" t="e">
        <f ca="1">+_xlfn.IFNA(VLOOKUP(M3326,BespokeWindowsAreas!$B$2:$E$1999,4,FALSE),VLOOKUP(E3326,WindowTypeArea!$B$2:$C$113,2,FALSE))</f>
        <v>#N/A</v>
      </c>
      <c r="M3326" t="e">
        <f t="shared" ca="1" si="640"/>
        <v>#N/A</v>
      </c>
    </row>
    <row r="3327" spans="1:13" x14ac:dyDescent="0.25">
      <c r="A3327" t="e">
        <f t="shared" ca="1" si="638"/>
        <v>#N/A</v>
      </c>
      <c r="B3327" t="e">
        <f t="shared" ca="1" si="639"/>
        <v>#N/A</v>
      </c>
      <c r="C3327" t="e">
        <f t="shared" ca="1" si="629"/>
        <v>#N/A</v>
      </c>
      <c r="D3327" s="6" t="e">
        <f t="shared" ca="1" si="630"/>
        <v>#N/A</v>
      </c>
      <c r="E3327" t="e">
        <f t="shared" ca="1" si="631"/>
        <v>#N/A</v>
      </c>
      <c r="F3327" t="e">
        <f t="shared" ca="1" si="632"/>
        <v>#N/A</v>
      </c>
      <c r="G3327" t="e">
        <f t="shared" ca="1" si="633"/>
        <v>#N/A</v>
      </c>
      <c r="H3327" t="e">
        <f t="shared" ca="1" si="634"/>
        <v>#N/A</v>
      </c>
      <c r="I3327" t="e">
        <f t="shared" ca="1" si="635"/>
        <v>#N/A</v>
      </c>
      <c r="J3327" s="8" t="e">
        <f t="shared" ca="1" si="636"/>
        <v>#N/A</v>
      </c>
      <c r="K3327" s="9" t="e">
        <f t="shared" ca="1" si="637"/>
        <v>#N/A</v>
      </c>
      <c r="L3327" t="e">
        <f ca="1">+_xlfn.IFNA(VLOOKUP(M3327,BespokeWindowsAreas!$B$2:$E$1999,4,FALSE),VLOOKUP(E3327,WindowTypeArea!$B$2:$C$113,2,FALSE))</f>
        <v>#N/A</v>
      </c>
      <c r="M3327" t="e">
        <f t="shared" ca="1" si="640"/>
        <v>#N/A</v>
      </c>
    </row>
    <row r="3328" spans="1:13" x14ac:dyDescent="0.25">
      <c r="A3328" t="e">
        <f t="shared" ca="1" si="638"/>
        <v>#N/A</v>
      </c>
      <c r="B3328" t="e">
        <f t="shared" ca="1" si="639"/>
        <v>#N/A</v>
      </c>
      <c r="C3328" t="e">
        <f t="shared" ca="1" si="629"/>
        <v>#N/A</v>
      </c>
      <c r="D3328" s="6" t="e">
        <f t="shared" ca="1" si="630"/>
        <v>#N/A</v>
      </c>
      <c r="E3328" t="e">
        <f t="shared" ca="1" si="631"/>
        <v>#N/A</v>
      </c>
      <c r="F3328" t="e">
        <f t="shared" ca="1" si="632"/>
        <v>#N/A</v>
      </c>
      <c r="G3328" t="e">
        <f t="shared" ca="1" si="633"/>
        <v>#N/A</v>
      </c>
      <c r="H3328" t="e">
        <f t="shared" ca="1" si="634"/>
        <v>#N/A</v>
      </c>
      <c r="I3328" t="e">
        <f t="shared" ca="1" si="635"/>
        <v>#N/A</v>
      </c>
      <c r="J3328" s="8" t="e">
        <f t="shared" ca="1" si="636"/>
        <v>#N/A</v>
      </c>
      <c r="K3328" s="9" t="e">
        <f t="shared" ca="1" si="637"/>
        <v>#N/A</v>
      </c>
      <c r="L3328" t="e">
        <f ca="1">+_xlfn.IFNA(VLOOKUP(M3328,BespokeWindowsAreas!$B$2:$E$1999,4,FALSE),VLOOKUP(E3328,WindowTypeArea!$B$2:$C$113,2,FALSE))</f>
        <v>#N/A</v>
      </c>
      <c r="M3328" t="e">
        <f t="shared" ca="1" si="640"/>
        <v>#N/A</v>
      </c>
    </row>
    <row r="3329" spans="1:13" x14ac:dyDescent="0.25">
      <c r="A3329" t="e">
        <f t="shared" ca="1" si="638"/>
        <v>#N/A</v>
      </c>
      <c r="B3329" t="e">
        <f t="shared" ca="1" si="639"/>
        <v>#N/A</v>
      </c>
      <c r="C3329" t="e">
        <f t="shared" ca="1" si="629"/>
        <v>#N/A</v>
      </c>
      <c r="D3329" s="6" t="e">
        <f t="shared" ca="1" si="630"/>
        <v>#N/A</v>
      </c>
      <c r="E3329" t="e">
        <f t="shared" ca="1" si="631"/>
        <v>#N/A</v>
      </c>
      <c r="F3329" t="e">
        <f t="shared" ca="1" si="632"/>
        <v>#N/A</v>
      </c>
      <c r="G3329" t="e">
        <f t="shared" ca="1" si="633"/>
        <v>#N/A</v>
      </c>
      <c r="H3329" t="e">
        <f t="shared" ca="1" si="634"/>
        <v>#N/A</v>
      </c>
      <c r="I3329" t="e">
        <f t="shared" ca="1" si="635"/>
        <v>#N/A</v>
      </c>
      <c r="J3329" s="8" t="e">
        <f t="shared" ca="1" si="636"/>
        <v>#N/A</v>
      </c>
      <c r="K3329" s="9" t="e">
        <f t="shared" ca="1" si="637"/>
        <v>#N/A</v>
      </c>
      <c r="L3329" t="e">
        <f ca="1">+_xlfn.IFNA(VLOOKUP(M3329,BespokeWindowsAreas!$B$2:$E$1999,4,FALSE),VLOOKUP(E3329,WindowTypeArea!$B$2:$C$113,2,FALSE))</f>
        <v>#N/A</v>
      </c>
      <c r="M3329" t="e">
        <f t="shared" ca="1" si="640"/>
        <v>#N/A</v>
      </c>
    </row>
    <row r="3330" spans="1:13" x14ac:dyDescent="0.25">
      <c r="A3330" t="e">
        <f t="shared" ca="1" si="638"/>
        <v>#N/A</v>
      </c>
      <c r="B3330" t="e">
        <f t="shared" ca="1" si="639"/>
        <v>#N/A</v>
      </c>
      <c r="C3330" t="e">
        <f t="shared" ca="1" si="629"/>
        <v>#N/A</v>
      </c>
      <c r="D3330" s="6" t="e">
        <f t="shared" ca="1" si="630"/>
        <v>#N/A</v>
      </c>
      <c r="E3330" t="e">
        <f t="shared" ca="1" si="631"/>
        <v>#N/A</v>
      </c>
      <c r="F3330" t="e">
        <f t="shared" ca="1" si="632"/>
        <v>#N/A</v>
      </c>
      <c r="G3330" t="e">
        <f t="shared" ca="1" si="633"/>
        <v>#N/A</v>
      </c>
      <c r="H3330" t="e">
        <f t="shared" ca="1" si="634"/>
        <v>#N/A</v>
      </c>
      <c r="I3330" t="e">
        <f t="shared" ca="1" si="635"/>
        <v>#N/A</v>
      </c>
      <c r="J3330" s="8" t="e">
        <f t="shared" ca="1" si="636"/>
        <v>#N/A</v>
      </c>
      <c r="K3330" s="9" t="e">
        <f t="shared" ca="1" si="637"/>
        <v>#N/A</v>
      </c>
      <c r="L3330" t="e">
        <f ca="1">+_xlfn.IFNA(VLOOKUP(M3330,BespokeWindowsAreas!$B$2:$E$1999,4,FALSE),VLOOKUP(E3330,WindowTypeArea!$B$2:$C$113,2,FALSE))</f>
        <v>#N/A</v>
      </c>
      <c r="M3330" t="e">
        <f t="shared" ca="1" si="640"/>
        <v>#N/A</v>
      </c>
    </row>
    <row r="3331" spans="1:13" x14ac:dyDescent="0.25">
      <c r="A3331" t="e">
        <f t="shared" ca="1" si="638"/>
        <v>#N/A</v>
      </c>
      <c r="B3331" t="e">
        <f t="shared" ca="1" si="639"/>
        <v>#N/A</v>
      </c>
      <c r="C3331" t="e">
        <f t="shared" ca="1" si="629"/>
        <v>#N/A</v>
      </c>
      <c r="D3331" s="6" t="e">
        <f t="shared" ca="1" si="630"/>
        <v>#N/A</v>
      </c>
      <c r="E3331" t="e">
        <f t="shared" ca="1" si="631"/>
        <v>#N/A</v>
      </c>
      <c r="F3331" t="e">
        <f t="shared" ca="1" si="632"/>
        <v>#N/A</v>
      </c>
      <c r="G3331" t="e">
        <f t="shared" ca="1" si="633"/>
        <v>#N/A</v>
      </c>
      <c r="H3331" t="e">
        <f t="shared" ca="1" si="634"/>
        <v>#N/A</v>
      </c>
      <c r="I3331" t="e">
        <f t="shared" ca="1" si="635"/>
        <v>#N/A</v>
      </c>
      <c r="J3331" s="8" t="e">
        <f t="shared" ca="1" si="636"/>
        <v>#N/A</v>
      </c>
      <c r="K3331" s="9" t="e">
        <f t="shared" ca="1" si="637"/>
        <v>#N/A</v>
      </c>
      <c r="L3331" t="e">
        <f ca="1">+_xlfn.IFNA(VLOOKUP(M3331,BespokeWindowsAreas!$B$2:$E$1999,4,FALSE),VLOOKUP(E3331,WindowTypeArea!$B$2:$C$113,2,FALSE))</f>
        <v>#N/A</v>
      </c>
      <c r="M3331" t="e">
        <f t="shared" ca="1" si="640"/>
        <v>#N/A</v>
      </c>
    </row>
    <row r="3332" spans="1:13" x14ac:dyDescent="0.25">
      <c r="A3332" t="e">
        <f t="shared" ca="1" si="638"/>
        <v>#N/A</v>
      </c>
      <c r="B3332" t="e">
        <f t="shared" ca="1" si="639"/>
        <v>#N/A</v>
      </c>
      <c r="C3332" t="e">
        <f t="shared" ca="1" si="629"/>
        <v>#N/A</v>
      </c>
      <c r="D3332" s="6" t="e">
        <f t="shared" ca="1" si="630"/>
        <v>#N/A</v>
      </c>
      <c r="E3332" t="e">
        <f t="shared" ca="1" si="631"/>
        <v>#N/A</v>
      </c>
      <c r="F3332" t="e">
        <f t="shared" ca="1" si="632"/>
        <v>#N/A</v>
      </c>
      <c r="G3332" t="e">
        <f t="shared" ca="1" si="633"/>
        <v>#N/A</v>
      </c>
      <c r="H3332" t="e">
        <f t="shared" ca="1" si="634"/>
        <v>#N/A</v>
      </c>
      <c r="I3332" t="e">
        <f t="shared" ca="1" si="635"/>
        <v>#N/A</v>
      </c>
      <c r="J3332" s="8" t="e">
        <f t="shared" ca="1" si="636"/>
        <v>#N/A</v>
      </c>
      <c r="K3332" s="9" t="e">
        <f t="shared" ca="1" si="637"/>
        <v>#N/A</v>
      </c>
      <c r="L3332" t="e">
        <f ca="1">+_xlfn.IFNA(VLOOKUP(M3332,BespokeWindowsAreas!$B$2:$E$1999,4,FALSE),VLOOKUP(E3332,WindowTypeArea!$B$2:$C$113,2,FALSE))</f>
        <v>#N/A</v>
      </c>
      <c r="M3332" t="e">
        <f t="shared" ca="1" si="640"/>
        <v>#N/A</v>
      </c>
    </row>
    <row r="3333" spans="1:13" x14ac:dyDescent="0.25">
      <c r="A3333" t="e">
        <f t="shared" ca="1" si="638"/>
        <v>#N/A</v>
      </c>
      <c r="B3333" t="e">
        <f t="shared" ca="1" si="639"/>
        <v>#N/A</v>
      </c>
      <c r="C3333" t="e">
        <f t="shared" ca="1" si="629"/>
        <v>#N/A</v>
      </c>
      <c r="D3333" s="6" t="e">
        <f t="shared" ca="1" si="630"/>
        <v>#N/A</v>
      </c>
      <c r="E3333" t="e">
        <f t="shared" ca="1" si="631"/>
        <v>#N/A</v>
      </c>
      <c r="F3333" t="e">
        <f t="shared" ca="1" si="632"/>
        <v>#N/A</v>
      </c>
      <c r="G3333" t="e">
        <f t="shared" ca="1" si="633"/>
        <v>#N/A</v>
      </c>
      <c r="H3333" t="e">
        <f t="shared" ca="1" si="634"/>
        <v>#N/A</v>
      </c>
      <c r="I3333" t="e">
        <f t="shared" ca="1" si="635"/>
        <v>#N/A</v>
      </c>
      <c r="J3333" s="8" t="e">
        <f t="shared" ca="1" si="636"/>
        <v>#N/A</v>
      </c>
      <c r="K3333" s="9" t="e">
        <f t="shared" ca="1" si="637"/>
        <v>#N/A</v>
      </c>
      <c r="L3333" t="e">
        <f ca="1">+_xlfn.IFNA(VLOOKUP(M3333,BespokeWindowsAreas!$B$2:$E$1999,4,FALSE),VLOOKUP(E3333,WindowTypeArea!$B$2:$C$113,2,FALSE))</f>
        <v>#N/A</v>
      </c>
      <c r="M3333" t="e">
        <f t="shared" ca="1" si="640"/>
        <v>#N/A</v>
      </c>
    </row>
    <row r="3334" spans="1:13" x14ac:dyDescent="0.25">
      <c r="A3334" t="e">
        <f t="shared" ca="1" si="638"/>
        <v>#N/A</v>
      </c>
      <c r="B3334" t="e">
        <f t="shared" ca="1" si="639"/>
        <v>#N/A</v>
      </c>
      <c r="C3334" t="e">
        <f t="shared" ca="1" si="629"/>
        <v>#N/A</v>
      </c>
      <c r="D3334" s="6" t="e">
        <f t="shared" ca="1" si="630"/>
        <v>#N/A</v>
      </c>
      <c r="E3334" t="e">
        <f t="shared" ca="1" si="631"/>
        <v>#N/A</v>
      </c>
      <c r="F3334" t="e">
        <f t="shared" ca="1" si="632"/>
        <v>#N/A</v>
      </c>
      <c r="G3334" t="e">
        <f t="shared" ca="1" si="633"/>
        <v>#N/A</v>
      </c>
      <c r="H3334" t="e">
        <f t="shared" ca="1" si="634"/>
        <v>#N/A</v>
      </c>
      <c r="I3334" t="e">
        <f t="shared" ca="1" si="635"/>
        <v>#N/A</v>
      </c>
      <c r="J3334" s="8" t="e">
        <f t="shared" ca="1" si="636"/>
        <v>#N/A</v>
      </c>
      <c r="K3334" s="9" t="e">
        <f t="shared" ca="1" si="637"/>
        <v>#N/A</v>
      </c>
      <c r="L3334" t="e">
        <f ca="1">+_xlfn.IFNA(VLOOKUP(M3334,BespokeWindowsAreas!$B$2:$E$1999,4,FALSE),VLOOKUP(E3334,WindowTypeArea!$B$2:$C$113,2,FALSE))</f>
        <v>#N/A</v>
      </c>
      <c r="M3334" t="e">
        <f t="shared" ca="1" si="640"/>
        <v>#N/A</v>
      </c>
    </row>
    <row r="3335" spans="1:13" x14ac:dyDescent="0.25">
      <c r="A3335" t="e">
        <f t="shared" ca="1" si="638"/>
        <v>#N/A</v>
      </c>
      <c r="B3335" t="e">
        <f t="shared" ca="1" si="639"/>
        <v>#N/A</v>
      </c>
      <c r="C3335" t="e">
        <f t="shared" ca="1" si="629"/>
        <v>#N/A</v>
      </c>
      <c r="D3335" s="6" t="e">
        <f t="shared" ca="1" si="630"/>
        <v>#N/A</v>
      </c>
      <c r="E3335" t="e">
        <f t="shared" ca="1" si="631"/>
        <v>#N/A</v>
      </c>
      <c r="F3335" t="e">
        <f t="shared" ca="1" si="632"/>
        <v>#N/A</v>
      </c>
      <c r="G3335" t="e">
        <f t="shared" ca="1" si="633"/>
        <v>#N/A</v>
      </c>
      <c r="H3335" t="e">
        <f t="shared" ca="1" si="634"/>
        <v>#N/A</v>
      </c>
      <c r="I3335" t="e">
        <f t="shared" ca="1" si="635"/>
        <v>#N/A</v>
      </c>
      <c r="J3335" s="8" t="e">
        <f t="shared" ca="1" si="636"/>
        <v>#N/A</v>
      </c>
      <c r="K3335" s="9" t="e">
        <f t="shared" ca="1" si="637"/>
        <v>#N/A</v>
      </c>
      <c r="L3335" t="e">
        <f ca="1">+_xlfn.IFNA(VLOOKUP(M3335,BespokeWindowsAreas!$B$2:$E$1999,4,FALSE),VLOOKUP(E3335,WindowTypeArea!$B$2:$C$113,2,FALSE))</f>
        <v>#N/A</v>
      </c>
      <c r="M3335" t="e">
        <f t="shared" ca="1" si="640"/>
        <v>#N/A</v>
      </c>
    </row>
    <row r="3336" spans="1:13" x14ac:dyDescent="0.25">
      <c r="A3336" t="e">
        <f t="shared" ca="1" si="638"/>
        <v>#N/A</v>
      </c>
      <c r="B3336" t="e">
        <f t="shared" ca="1" si="639"/>
        <v>#N/A</v>
      </c>
      <c r="C3336" t="e">
        <f t="shared" ca="1" si="629"/>
        <v>#N/A</v>
      </c>
      <c r="D3336" s="6" t="e">
        <f t="shared" ca="1" si="630"/>
        <v>#N/A</v>
      </c>
      <c r="E3336" t="e">
        <f t="shared" ca="1" si="631"/>
        <v>#N/A</v>
      </c>
      <c r="F3336" t="e">
        <f t="shared" ca="1" si="632"/>
        <v>#N/A</v>
      </c>
      <c r="G3336" t="e">
        <f t="shared" ca="1" si="633"/>
        <v>#N/A</v>
      </c>
      <c r="H3336" t="e">
        <f t="shared" ca="1" si="634"/>
        <v>#N/A</v>
      </c>
      <c r="I3336" t="e">
        <f t="shared" ca="1" si="635"/>
        <v>#N/A</v>
      </c>
      <c r="J3336" s="8" t="e">
        <f t="shared" ca="1" si="636"/>
        <v>#N/A</v>
      </c>
      <c r="K3336" s="9" t="e">
        <f t="shared" ca="1" si="637"/>
        <v>#N/A</v>
      </c>
      <c r="L3336" t="e">
        <f ca="1">+_xlfn.IFNA(VLOOKUP(M3336,BespokeWindowsAreas!$B$2:$E$1999,4,FALSE),VLOOKUP(E3336,WindowTypeArea!$B$2:$C$113,2,FALSE))</f>
        <v>#N/A</v>
      </c>
      <c r="M3336" t="e">
        <f t="shared" ca="1" si="640"/>
        <v>#N/A</v>
      </c>
    </row>
    <row r="3337" spans="1:13" x14ac:dyDescent="0.25">
      <c r="A3337" t="e">
        <f t="shared" ca="1" si="638"/>
        <v>#N/A</v>
      </c>
      <c r="B3337" t="e">
        <f t="shared" ca="1" si="639"/>
        <v>#N/A</v>
      </c>
      <c r="C3337" t="e">
        <f t="shared" ref="C3337:C3371" ca="1" si="641">+"'"&amp;INDIRECT("a"&amp;A3336)&amp;"'!B"&amp;B3336</f>
        <v>#N/A</v>
      </c>
      <c r="D3337" s="6" t="e">
        <f t="shared" ref="D3337:D3371" ca="1" si="642">+IF(IFERROR(FIND("Family",E3337)&gt;0,FALSE),D3336,E3337)</f>
        <v>#N/A</v>
      </c>
      <c r="E3337" t="e">
        <f t="shared" ref="E3337:E3371" ca="1" si="643">+OFFSET(INDIRECT(C3337),0,0)</f>
        <v>#N/A</v>
      </c>
      <c r="F3337" t="e">
        <f t="shared" ref="F3337:F3371" ca="1" si="644">+OFFSET(INDIRECT(C3337),0,1)</f>
        <v>#N/A</v>
      </c>
      <c r="G3337" t="e">
        <f t="shared" ref="G3337:G3371" ca="1" si="645">+OFFSET(INDIRECT(C3337),0,2)</f>
        <v>#N/A</v>
      </c>
      <c r="H3337" t="e">
        <f t="shared" ref="H3337:H3371" ca="1" si="646">+OFFSET(INDIRECT(C3337),0,3)</f>
        <v>#N/A</v>
      </c>
      <c r="I3337" t="e">
        <f t="shared" ref="I3337:I3371" ca="1" si="647">+OFFSET(INDIRECT(C3337),0,4)</f>
        <v>#N/A</v>
      </c>
      <c r="J3337" s="8" t="e">
        <f t="shared" ref="J3337:J3371" ca="1" si="648">+DEGREES(ATAN2(G3337,H3337))</f>
        <v>#N/A</v>
      </c>
      <c r="K3337" s="9" t="e">
        <f t="shared" ref="K3337:K3371" ca="1" si="649">VLOOKUP(J3337,$O$20:$P$36,2,-1)</f>
        <v>#N/A</v>
      </c>
      <c r="L3337" t="e">
        <f ca="1">+_xlfn.IFNA(VLOOKUP(M3337,BespokeWindowsAreas!$B$2:$E$1999,4,FALSE),VLOOKUP(E3337,WindowTypeArea!$B$2:$C$113,2,FALSE))</f>
        <v>#N/A</v>
      </c>
      <c r="M3337" t="e">
        <f t="shared" ca="1" si="640"/>
        <v>#N/A</v>
      </c>
    </row>
    <row r="3338" spans="1:13" x14ac:dyDescent="0.25">
      <c r="A3338" t="e">
        <f t="shared" ca="1" si="638"/>
        <v>#N/A</v>
      </c>
      <c r="B3338" t="e">
        <f t="shared" ca="1" si="639"/>
        <v>#N/A</v>
      </c>
      <c r="C3338" t="e">
        <f t="shared" ca="1" si="641"/>
        <v>#N/A</v>
      </c>
      <c r="D3338" s="6" t="e">
        <f t="shared" ca="1" si="642"/>
        <v>#N/A</v>
      </c>
      <c r="E3338" t="e">
        <f t="shared" ca="1" si="643"/>
        <v>#N/A</v>
      </c>
      <c r="F3338" t="e">
        <f t="shared" ca="1" si="644"/>
        <v>#N/A</v>
      </c>
      <c r="G3338" t="e">
        <f t="shared" ca="1" si="645"/>
        <v>#N/A</v>
      </c>
      <c r="H3338" t="e">
        <f t="shared" ca="1" si="646"/>
        <v>#N/A</v>
      </c>
      <c r="I3338" t="e">
        <f t="shared" ca="1" si="647"/>
        <v>#N/A</v>
      </c>
      <c r="J3338" s="8" t="e">
        <f t="shared" ca="1" si="648"/>
        <v>#N/A</v>
      </c>
      <c r="K3338" s="9" t="e">
        <f t="shared" ca="1" si="649"/>
        <v>#N/A</v>
      </c>
      <c r="L3338" t="e">
        <f ca="1">+_xlfn.IFNA(VLOOKUP(M3338,BespokeWindowsAreas!$B$2:$E$1999,4,FALSE),VLOOKUP(E3338,WindowTypeArea!$B$2:$C$113,2,FALSE))</f>
        <v>#N/A</v>
      </c>
      <c r="M3338" t="e">
        <f t="shared" ca="1" si="640"/>
        <v>#N/A</v>
      </c>
    </row>
    <row r="3339" spans="1:13" x14ac:dyDescent="0.25">
      <c r="A3339" t="e">
        <f t="shared" ca="1" si="638"/>
        <v>#N/A</v>
      </c>
      <c r="B3339" t="e">
        <f t="shared" ca="1" si="639"/>
        <v>#N/A</v>
      </c>
      <c r="C3339" t="e">
        <f t="shared" ca="1" si="641"/>
        <v>#N/A</v>
      </c>
      <c r="D3339" s="6" t="e">
        <f t="shared" ca="1" si="642"/>
        <v>#N/A</v>
      </c>
      <c r="E3339" t="e">
        <f t="shared" ca="1" si="643"/>
        <v>#N/A</v>
      </c>
      <c r="F3339" t="e">
        <f t="shared" ca="1" si="644"/>
        <v>#N/A</v>
      </c>
      <c r="G3339" t="e">
        <f t="shared" ca="1" si="645"/>
        <v>#N/A</v>
      </c>
      <c r="H3339" t="e">
        <f t="shared" ca="1" si="646"/>
        <v>#N/A</v>
      </c>
      <c r="I3339" t="e">
        <f t="shared" ca="1" si="647"/>
        <v>#N/A</v>
      </c>
      <c r="J3339" s="8" t="e">
        <f t="shared" ca="1" si="648"/>
        <v>#N/A</v>
      </c>
      <c r="K3339" s="9" t="e">
        <f t="shared" ca="1" si="649"/>
        <v>#N/A</v>
      </c>
      <c r="L3339" t="e">
        <f ca="1">+_xlfn.IFNA(VLOOKUP(M3339,BespokeWindowsAreas!$B$2:$E$1999,4,FALSE),VLOOKUP(E3339,WindowTypeArea!$B$2:$C$113,2,FALSE))</f>
        <v>#N/A</v>
      </c>
      <c r="M3339" t="e">
        <f t="shared" ca="1" si="640"/>
        <v>#N/A</v>
      </c>
    </row>
    <row r="3340" spans="1:13" x14ac:dyDescent="0.25">
      <c r="A3340" t="e">
        <f t="shared" ca="1" si="638"/>
        <v>#N/A</v>
      </c>
      <c r="B3340" t="e">
        <f t="shared" ca="1" si="639"/>
        <v>#N/A</v>
      </c>
      <c r="C3340" t="e">
        <f t="shared" ca="1" si="641"/>
        <v>#N/A</v>
      </c>
      <c r="D3340" s="6" t="e">
        <f t="shared" ca="1" si="642"/>
        <v>#N/A</v>
      </c>
      <c r="E3340" t="e">
        <f t="shared" ca="1" si="643"/>
        <v>#N/A</v>
      </c>
      <c r="F3340" t="e">
        <f t="shared" ca="1" si="644"/>
        <v>#N/A</v>
      </c>
      <c r="G3340" t="e">
        <f t="shared" ca="1" si="645"/>
        <v>#N/A</v>
      </c>
      <c r="H3340" t="e">
        <f t="shared" ca="1" si="646"/>
        <v>#N/A</v>
      </c>
      <c r="I3340" t="e">
        <f t="shared" ca="1" si="647"/>
        <v>#N/A</v>
      </c>
      <c r="J3340" s="8" t="e">
        <f t="shared" ca="1" si="648"/>
        <v>#N/A</v>
      </c>
      <c r="K3340" s="9" t="e">
        <f t="shared" ca="1" si="649"/>
        <v>#N/A</v>
      </c>
      <c r="L3340" t="e">
        <f ca="1">+_xlfn.IFNA(VLOOKUP(M3340,BespokeWindowsAreas!$B$2:$E$1999,4,FALSE),VLOOKUP(E3340,WindowTypeArea!$B$2:$C$113,2,FALSE))</f>
        <v>#N/A</v>
      </c>
      <c r="M3340" t="e">
        <f t="shared" ca="1" si="640"/>
        <v>#N/A</v>
      </c>
    </row>
    <row r="3341" spans="1:13" x14ac:dyDescent="0.25">
      <c r="A3341" t="e">
        <f t="shared" ca="1" si="638"/>
        <v>#N/A</v>
      </c>
      <c r="B3341" t="e">
        <f t="shared" ca="1" si="639"/>
        <v>#N/A</v>
      </c>
      <c r="C3341" t="e">
        <f t="shared" ca="1" si="641"/>
        <v>#N/A</v>
      </c>
      <c r="D3341" s="6" t="e">
        <f t="shared" ca="1" si="642"/>
        <v>#N/A</v>
      </c>
      <c r="E3341" t="e">
        <f t="shared" ca="1" si="643"/>
        <v>#N/A</v>
      </c>
      <c r="F3341" t="e">
        <f t="shared" ca="1" si="644"/>
        <v>#N/A</v>
      </c>
      <c r="G3341" t="e">
        <f t="shared" ca="1" si="645"/>
        <v>#N/A</v>
      </c>
      <c r="H3341" t="e">
        <f t="shared" ca="1" si="646"/>
        <v>#N/A</v>
      </c>
      <c r="I3341" t="e">
        <f t="shared" ca="1" si="647"/>
        <v>#N/A</v>
      </c>
      <c r="J3341" s="8" t="e">
        <f t="shared" ca="1" si="648"/>
        <v>#N/A</v>
      </c>
      <c r="K3341" s="9" t="e">
        <f t="shared" ca="1" si="649"/>
        <v>#N/A</v>
      </c>
      <c r="L3341" t="e">
        <f ca="1">+_xlfn.IFNA(VLOOKUP(M3341,BespokeWindowsAreas!$B$2:$E$1999,4,FALSE),VLOOKUP(E3341,WindowTypeArea!$B$2:$C$113,2,FALSE))</f>
        <v>#N/A</v>
      </c>
      <c r="M3341" t="e">
        <f t="shared" ca="1" si="640"/>
        <v>#N/A</v>
      </c>
    </row>
    <row r="3342" spans="1:13" x14ac:dyDescent="0.25">
      <c r="A3342" t="e">
        <f t="shared" ca="1" si="638"/>
        <v>#N/A</v>
      </c>
      <c r="B3342" t="e">
        <f t="shared" ca="1" si="639"/>
        <v>#N/A</v>
      </c>
      <c r="C3342" t="e">
        <f t="shared" ca="1" si="641"/>
        <v>#N/A</v>
      </c>
      <c r="D3342" s="6" t="e">
        <f t="shared" ca="1" si="642"/>
        <v>#N/A</v>
      </c>
      <c r="E3342" t="e">
        <f t="shared" ca="1" si="643"/>
        <v>#N/A</v>
      </c>
      <c r="F3342" t="e">
        <f t="shared" ca="1" si="644"/>
        <v>#N/A</v>
      </c>
      <c r="G3342" t="e">
        <f t="shared" ca="1" si="645"/>
        <v>#N/A</v>
      </c>
      <c r="H3342" t="e">
        <f t="shared" ca="1" si="646"/>
        <v>#N/A</v>
      </c>
      <c r="I3342" t="e">
        <f t="shared" ca="1" si="647"/>
        <v>#N/A</v>
      </c>
      <c r="J3342" s="8" t="e">
        <f t="shared" ca="1" si="648"/>
        <v>#N/A</v>
      </c>
      <c r="K3342" s="9" t="e">
        <f t="shared" ca="1" si="649"/>
        <v>#N/A</v>
      </c>
      <c r="L3342" t="e">
        <f ca="1">+_xlfn.IFNA(VLOOKUP(M3342,BespokeWindowsAreas!$B$2:$E$1999,4,FALSE),VLOOKUP(E3342,WindowTypeArea!$B$2:$C$113,2,FALSE))</f>
        <v>#N/A</v>
      </c>
      <c r="M3342" t="e">
        <f t="shared" ca="1" si="640"/>
        <v>#N/A</v>
      </c>
    </row>
    <row r="3343" spans="1:13" x14ac:dyDescent="0.25">
      <c r="A3343" t="e">
        <f t="shared" ca="1" si="638"/>
        <v>#N/A</v>
      </c>
      <c r="B3343" t="e">
        <f t="shared" ca="1" si="639"/>
        <v>#N/A</v>
      </c>
      <c r="C3343" t="e">
        <f t="shared" ca="1" si="641"/>
        <v>#N/A</v>
      </c>
      <c r="D3343" s="6" t="e">
        <f t="shared" ca="1" si="642"/>
        <v>#N/A</v>
      </c>
      <c r="E3343" t="e">
        <f t="shared" ca="1" si="643"/>
        <v>#N/A</v>
      </c>
      <c r="F3343" t="e">
        <f t="shared" ca="1" si="644"/>
        <v>#N/A</v>
      </c>
      <c r="G3343" t="e">
        <f t="shared" ca="1" si="645"/>
        <v>#N/A</v>
      </c>
      <c r="H3343" t="e">
        <f t="shared" ca="1" si="646"/>
        <v>#N/A</v>
      </c>
      <c r="I3343" t="e">
        <f t="shared" ca="1" si="647"/>
        <v>#N/A</v>
      </c>
      <c r="J3343" s="8" t="e">
        <f t="shared" ca="1" si="648"/>
        <v>#N/A</v>
      </c>
      <c r="K3343" s="9" t="e">
        <f t="shared" ca="1" si="649"/>
        <v>#N/A</v>
      </c>
      <c r="L3343" t="e">
        <f ca="1">+_xlfn.IFNA(VLOOKUP(M3343,BespokeWindowsAreas!$B$2:$E$1999,4,FALSE),VLOOKUP(E3343,WindowTypeArea!$B$2:$C$113,2,FALSE))</f>
        <v>#N/A</v>
      </c>
      <c r="M3343" t="e">
        <f t="shared" ca="1" si="640"/>
        <v>#N/A</v>
      </c>
    </row>
    <row r="3344" spans="1:13" x14ac:dyDescent="0.25">
      <c r="A3344" t="e">
        <f t="shared" ca="1" si="638"/>
        <v>#N/A</v>
      </c>
      <c r="B3344" t="e">
        <f t="shared" ca="1" si="639"/>
        <v>#N/A</v>
      </c>
      <c r="C3344" t="e">
        <f t="shared" ca="1" si="641"/>
        <v>#N/A</v>
      </c>
      <c r="D3344" s="6" t="e">
        <f t="shared" ca="1" si="642"/>
        <v>#N/A</v>
      </c>
      <c r="E3344" t="e">
        <f t="shared" ca="1" si="643"/>
        <v>#N/A</v>
      </c>
      <c r="F3344" t="e">
        <f t="shared" ca="1" si="644"/>
        <v>#N/A</v>
      </c>
      <c r="G3344" t="e">
        <f t="shared" ca="1" si="645"/>
        <v>#N/A</v>
      </c>
      <c r="H3344" t="e">
        <f t="shared" ca="1" si="646"/>
        <v>#N/A</v>
      </c>
      <c r="I3344" t="e">
        <f t="shared" ca="1" si="647"/>
        <v>#N/A</v>
      </c>
      <c r="J3344" s="8" t="e">
        <f t="shared" ca="1" si="648"/>
        <v>#N/A</v>
      </c>
      <c r="K3344" s="9" t="e">
        <f t="shared" ca="1" si="649"/>
        <v>#N/A</v>
      </c>
      <c r="L3344" t="e">
        <f ca="1">+_xlfn.IFNA(VLOOKUP(M3344,BespokeWindowsAreas!$B$2:$E$1999,4,FALSE),VLOOKUP(E3344,WindowTypeArea!$B$2:$C$113,2,FALSE))</f>
        <v>#N/A</v>
      </c>
      <c r="M3344" t="e">
        <f t="shared" ca="1" si="640"/>
        <v>#N/A</v>
      </c>
    </row>
    <row r="3345" spans="1:13" x14ac:dyDescent="0.25">
      <c r="A3345" t="e">
        <f t="shared" ca="1" si="638"/>
        <v>#N/A</v>
      </c>
      <c r="B3345" t="e">
        <f t="shared" ca="1" si="639"/>
        <v>#N/A</v>
      </c>
      <c r="C3345" t="e">
        <f t="shared" ca="1" si="641"/>
        <v>#N/A</v>
      </c>
      <c r="D3345" s="6" t="e">
        <f t="shared" ca="1" si="642"/>
        <v>#N/A</v>
      </c>
      <c r="E3345" t="e">
        <f t="shared" ca="1" si="643"/>
        <v>#N/A</v>
      </c>
      <c r="F3345" t="e">
        <f t="shared" ca="1" si="644"/>
        <v>#N/A</v>
      </c>
      <c r="G3345" t="e">
        <f t="shared" ca="1" si="645"/>
        <v>#N/A</v>
      </c>
      <c r="H3345" t="e">
        <f t="shared" ca="1" si="646"/>
        <v>#N/A</v>
      </c>
      <c r="I3345" t="e">
        <f t="shared" ca="1" si="647"/>
        <v>#N/A</v>
      </c>
      <c r="J3345" s="8" t="e">
        <f t="shared" ca="1" si="648"/>
        <v>#N/A</v>
      </c>
      <c r="K3345" s="9" t="e">
        <f t="shared" ca="1" si="649"/>
        <v>#N/A</v>
      </c>
      <c r="L3345" t="e">
        <f ca="1">+_xlfn.IFNA(VLOOKUP(M3345,BespokeWindowsAreas!$B$2:$E$1999,4,FALSE),VLOOKUP(E3345,WindowTypeArea!$B$2:$C$113,2,FALSE))</f>
        <v>#N/A</v>
      </c>
      <c r="M3345" t="e">
        <f t="shared" ca="1" si="640"/>
        <v>#N/A</v>
      </c>
    </row>
    <row r="3346" spans="1:13" x14ac:dyDescent="0.25">
      <c r="A3346" t="e">
        <f t="shared" ca="1" si="638"/>
        <v>#N/A</v>
      </c>
      <c r="B3346" t="e">
        <f t="shared" ca="1" si="639"/>
        <v>#N/A</v>
      </c>
      <c r="C3346" t="e">
        <f t="shared" ca="1" si="641"/>
        <v>#N/A</v>
      </c>
      <c r="D3346" s="6" t="e">
        <f t="shared" ca="1" si="642"/>
        <v>#N/A</v>
      </c>
      <c r="E3346" t="e">
        <f t="shared" ca="1" si="643"/>
        <v>#N/A</v>
      </c>
      <c r="F3346" t="e">
        <f t="shared" ca="1" si="644"/>
        <v>#N/A</v>
      </c>
      <c r="G3346" t="e">
        <f t="shared" ca="1" si="645"/>
        <v>#N/A</v>
      </c>
      <c r="H3346" t="e">
        <f t="shared" ca="1" si="646"/>
        <v>#N/A</v>
      </c>
      <c r="I3346" t="e">
        <f t="shared" ca="1" si="647"/>
        <v>#N/A</v>
      </c>
      <c r="J3346" s="8" t="e">
        <f t="shared" ca="1" si="648"/>
        <v>#N/A</v>
      </c>
      <c r="K3346" s="9" t="e">
        <f t="shared" ca="1" si="649"/>
        <v>#N/A</v>
      </c>
      <c r="L3346" t="e">
        <f ca="1">+_xlfn.IFNA(VLOOKUP(M3346,BespokeWindowsAreas!$B$2:$E$1999,4,FALSE),VLOOKUP(E3346,WindowTypeArea!$B$2:$C$113,2,FALSE))</f>
        <v>#N/A</v>
      </c>
      <c r="M3346" t="e">
        <f t="shared" ca="1" si="640"/>
        <v>#N/A</v>
      </c>
    </row>
    <row r="3347" spans="1:13" x14ac:dyDescent="0.25">
      <c r="A3347" t="e">
        <f t="shared" ca="1" si="638"/>
        <v>#N/A</v>
      </c>
      <c r="B3347" t="e">
        <f t="shared" ca="1" si="639"/>
        <v>#N/A</v>
      </c>
      <c r="C3347" t="e">
        <f t="shared" ca="1" si="641"/>
        <v>#N/A</v>
      </c>
      <c r="D3347" s="6" t="e">
        <f t="shared" ca="1" si="642"/>
        <v>#N/A</v>
      </c>
      <c r="E3347" t="e">
        <f t="shared" ca="1" si="643"/>
        <v>#N/A</v>
      </c>
      <c r="F3347" t="e">
        <f t="shared" ca="1" si="644"/>
        <v>#N/A</v>
      </c>
      <c r="G3347" t="e">
        <f t="shared" ca="1" si="645"/>
        <v>#N/A</v>
      </c>
      <c r="H3347" t="e">
        <f t="shared" ca="1" si="646"/>
        <v>#N/A</v>
      </c>
      <c r="I3347" t="e">
        <f t="shared" ca="1" si="647"/>
        <v>#N/A</v>
      </c>
      <c r="J3347" s="8" t="e">
        <f t="shared" ca="1" si="648"/>
        <v>#N/A</v>
      </c>
      <c r="K3347" s="9" t="e">
        <f t="shared" ca="1" si="649"/>
        <v>#N/A</v>
      </c>
      <c r="L3347" t="e">
        <f ca="1">+_xlfn.IFNA(VLOOKUP(M3347,BespokeWindowsAreas!$B$2:$E$1999,4,FALSE),VLOOKUP(E3347,WindowTypeArea!$B$2:$C$113,2,FALSE))</f>
        <v>#N/A</v>
      </c>
      <c r="M3347" t="e">
        <f t="shared" ca="1" si="640"/>
        <v>#N/A</v>
      </c>
    </row>
    <row r="3348" spans="1:13" x14ac:dyDescent="0.25">
      <c r="A3348" t="e">
        <f t="shared" ref="A3348:A3371" ca="1" si="650">+IF(B3347&lt;=VLOOKUP(MID(C3348,2,26),TABS,2,FALSE),A3347,+A3347+1)</f>
        <v>#N/A</v>
      </c>
      <c r="B3348" t="e">
        <f t="shared" ref="B3348:B3371" ca="1" si="651">+IF(B3347&lt;=VLOOKUP(MID(C3348,2,26),TABS,2,FALSE),B3347+1,1)</f>
        <v>#N/A</v>
      </c>
      <c r="C3348" t="e">
        <f t="shared" ca="1" si="641"/>
        <v>#N/A</v>
      </c>
      <c r="D3348" s="6" t="e">
        <f t="shared" ca="1" si="642"/>
        <v>#N/A</v>
      </c>
      <c r="E3348" t="e">
        <f t="shared" ca="1" si="643"/>
        <v>#N/A</v>
      </c>
      <c r="F3348" t="e">
        <f t="shared" ca="1" si="644"/>
        <v>#N/A</v>
      </c>
      <c r="G3348" t="e">
        <f t="shared" ca="1" si="645"/>
        <v>#N/A</v>
      </c>
      <c r="H3348" t="e">
        <f t="shared" ca="1" si="646"/>
        <v>#N/A</v>
      </c>
      <c r="I3348" t="e">
        <f t="shared" ca="1" si="647"/>
        <v>#N/A</v>
      </c>
      <c r="J3348" s="8" t="e">
        <f t="shared" ca="1" si="648"/>
        <v>#N/A</v>
      </c>
      <c r="K3348" s="9" t="e">
        <f t="shared" ca="1" si="649"/>
        <v>#N/A</v>
      </c>
      <c r="L3348" t="e">
        <f ca="1">+_xlfn.IFNA(VLOOKUP(M3348,BespokeWindowsAreas!$B$2:$E$1999,4,FALSE),VLOOKUP(E3348,WindowTypeArea!$B$2:$C$113,2,FALSE))</f>
        <v>#N/A</v>
      </c>
      <c r="M3348" t="e">
        <f t="shared" ca="1" si="640"/>
        <v>#N/A</v>
      </c>
    </row>
    <row r="3349" spans="1:13" x14ac:dyDescent="0.25">
      <c r="A3349" t="e">
        <f t="shared" ca="1" si="650"/>
        <v>#N/A</v>
      </c>
      <c r="B3349" t="e">
        <f t="shared" ca="1" si="651"/>
        <v>#N/A</v>
      </c>
      <c r="C3349" t="e">
        <f t="shared" ca="1" si="641"/>
        <v>#N/A</v>
      </c>
      <c r="D3349" s="6" t="e">
        <f t="shared" ca="1" si="642"/>
        <v>#N/A</v>
      </c>
      <c r="E3349" t="e">
        <f t="shared" ca="1" si="643"/>
        <v>#N/A</v>
      </c>
      <c r="F3349" t="e">
        <f t="shared" ca="1" si="644"/>
        <v>#N/A</v>
      </c>
      <c r="G3349" t="e">
        <f t="shared" ca="1" si="645"/>
        <v>#N/A</v>
      </c>
      <c r="H3349" t="e">
        <f t="shared" ca="1" si="646"/>
        <v>#N/A</v>
      </c>
      <c r="I3349" t="e">
        <f t="shared" ca="1" si="647"/>
        <v>#N/A</v>
      </c>
      <c r="J3349" s="8" t="e">
        <f t="shared" ca="1" si="648"/>
        <v>#N/A</v>
      </c>
      <c r="K3349" s="9" t="e">
        <f t="shared" ca="1" si="649"/>
        <v>#N/A</v>
      </c>
      <c r="L3349" t="e">
        <f ca="1">+_xlfn.IFNA(VLOOKUP(M3349,BespokeWindowsAreas!$B$2:$E$1999,4,FALSE),VLOOKUP(E3349,WindowTypeArea!$B$2:$C$113,2,FALSE))</f>
        <v>#N/A</v>
      </c>
      <c r="M3349" t="e">
        <f t="shared" ca="1" si="640"/>
        <v>#N/A</v>
      </c>
    </row>
    <row r="3350" spans="1:13" x14ac:dyDescent="0.25">
      <c r="A3350" t="e">
        <f t="shared" ca="1" si="650"/>
        <v>#N/A</v>
      </c>
      <c r="B3350" t="e">
        <f t="shared" ca="1" si="651"/>
        <v>#N/A</v>
      </c>
      <c r="C3350" t="e">
        <f t="shared" ca="1" si="641"/>
        <v>#N/A</v>
      </c>
      <c r="D3350" s="6" t="e">
        <f t="shared" ca="1" si="642"/>
        <v>#N/A</v>
      </c>
      <c r="E3350" t="e">
        <f t="shared" ca="1" si="643"/>
        <v>#N/A</v>
      </c>
      <c r="F3350" t="e">
        <f t="shared" ca="1" si="644"/>
        <v>#N/A</v>
      </c>
      <c r="G3350" t="e">
        <f t="shared" ca="1" si="645"/>
        <v>#N/A</v>
      </c>
      <c r="H3350" t="e">
        <f t="shared" ca="1" si="646"/>
        <v>#N/A</v>
      </c>
      <c r="I3350" t="e">
        <f t="shared" ca="1" si="647"/>
        <v>#N/A</v>
      </c>
      <c r="J3350" s="8" t="e">
        <f t="shared" ca="1" si="648"/>
        <v>#N/A</v>
      </c>
      <c r="K3350" s="9" t="e">
        <f t="shared" ca="1" si="649"/>
        <v>#N/A</v>
      </c>
      <c r="L3350" t="e">
        <f ca="1">+_xlfn.IFNA(VLOOKUP(M3350,BespokeWindowsAreas!$B$2:$E$1999,4,FALSE),VLOOKUP(E3350,WindowTypeArea!$B$2:$C$113,2,FALSE))</f>
        <v>#N/A</v>
      </c>
      <c r="M3350" t="e">
        <f t="shared" ref="M3350:M3371" ca="1" si="652">+OFFSET(INDIRECT(C3350),0,5)</f>
        <v>#N/A</v>
      </c>
    </row>
    <row r="3351" spans="1:13" x14ac:dyDescent="0.25">
      <c r="A3351" t="e">
        <f t="shared" ca="1" si="650"/>
        <v>#N/A</v>
      </c>
      <c r="B3351" t="e">
        <f t="shared" ca="1" si="651"/>
        <v>#N/A</v>
      </c>
      <c r="C3351" t="e">
        <f t="shared" ca="1" si="641"/>
        <v>#N/A</v>
      </c>
      <c r="D3351" s="6" t="e">
        <f t="shared" ca="1" si="642"/>
        <v>#N/A</v>
      </c>
      <c r="E3351" t="e">
        <f t="shared" ca="1" si="643"/>
        <v>#N/A</v>
      </c>
      <c r="F3351" t="e">
        <f t="shared" ca="1" si="644"/>
        <v>#N/A</v>
      </c>
      <c r="G3351" t="e">
        <f t="shared" ca="1" si="645"/>
        <v>#N/A</v>
      </c>
      <c r="H3351" t="e">
        <f t="shared" ca="1" si="646"/>
        <v>#N/A</v>
      </c>
      <c r="I3351" t="e">
        <f t="shared" ca="1" si="647"/>
        <v>#N/A</v>
      </c>
      <c r="J3351" s="8" t="e">
        <f t="shared" ca="1" si="648"/>
        <v>#N/A</v>
      </c>
      <c r="K3351" s="9" t="e">
        <f t="shared" ca="1" si="649"/>
        <v>#N/A</v>
      </c>
      <c r="L3351" t="e">
        <f ca="1">+_xlfn.IFNA(VLOOKUP(M3351,BespokeWindowsAreas!$B$2:$E$1999,4,FALSE),VLOOKUP(E3351,WindowTypeArea!$B$2:$C$113,2,FALSE))</f>
        <v>#N/A</v>
      </c>
      <c r="M3351" t="e">
        <f t="shared" ca="1" si="652"/>
        <v>#N/A</v>
      </c>
    </row>
    <row r="3352" spans="1:13" x14ac:dyDescent="0.25">
      <c r="A3352" t="e">
        <f t="shared" ca="1" si="650"/>
        <v>#N/A</v>
      </c>
      <c r="B3352" t="e">
        <f t="shared" ca="1" si="651"/>
        <v>#N/A</v>
      </c>
      <c r="C3352" t="e">
        <f t="shared" ca="1" si="641"/>
        <v>#N/A</v>
      </c>
      <c r="D3352" s="6" t="e">
        <f t="shared" ca="1" si="642"/>
        <v>#N/A</v>
      </c>
      <c r="E3352" t="e">
        <f t="shared" ca="1" si="643"/>
        <v>#N/A</v>
      </c>
      <c r="F3352" t="e">
        <f t="shared" ca="1" si="644"/>
        <v>#N/A</v>
      </c>
      <c r="G3352" t="e">
        <f t="shared" ca="1" si="645"/>
        <v>#N/A</v>
      </c>
      <c r="H3352" t="e">
        <f t="shared" ca="1" si="646"/>
        <v>#N/A</v>
      </c>
      <c r="I3352" t="e">
        <f t="shared" ca="1" si="647"/>
        <v>#N/A</v>
      </c>
      <c r="J3352" s="8" t="e">
        <f t="shared" ca="1" si="648"/>
        <v>#N/A</v>
      </c>
      <c r="K3352" s="9" t="e">
        <f t="shared" ca="1" si="649"/>
        <v>#N/A</v>
      </c>
      <c r="L3352" t="e">
        <f ca="1">+_xlfn.IFNA(VLOOKUP(M3352,BespokeWindowsAreas!$B$2:$E$1999,4,FALSE),VLOOKUP(E3352,WindowTypeArea!$B$2:$C$113,2,FALSE))</f>
        <v>#N/A</v>
      </c>
      <c r="M3352" t="e">
        <f t="shared" ca="1" si="652"/>
        <v>#N/A</v>
      </c>
    </row>
    <row r="3353" spans="1:13" x14ac:dyDescent="0.25">
      <c r="A3353" t="e">
        <f t="shared" ca="1" si="650"/>
        <v>#N/A</v>
      </c>
      <c r="B3353" t="e">
        <f t="shared" ca="1" si="651"/>
        <v>#N/A</v>
      </c>
      <c r="C3353" t="e">
        <f t="shared" ca="1" si="641"/>
        <v>#N/A</v>
      </c>
      <c r="D3353" s="6" t="e">
        <f t="shared" ca="1" si="642"/>
        <v>#N/A</v>
      </c>
      <c r="E3353" t="e">
        <f t="shared" ca="1" si="643"/>
        <v>#N/A</v>
      </c>
      <c r="F3353" t="e">
        <f t="shared" ca="1" si="644"/>
        <v>#N/A</v>
      </c>
      <c r="G3353" t="e">
        <f t="shared" ca="1" si="645"/>
        <v>#N/A</v>
      </c>
      <c r="H3353" t="e">
        <f t="shared" ca="1" si="646"/>
        <v>#N/A</v>
      </c>
      <c r="I3353" t="e">
        <f t="shared" ca="1" si="647"/>
        <v>#N/A</v>
      </c>
      <c r="J3353" s="8" t="e">
        <f t="shared" ca="1" si="648"/>
        <v>#N/A</v>
      </c>
      <c r="K3353" s="9" t="e">
        <f t="shared" ca="1" si="649"/>
        <v>#N/A</v>
      </c>
      <c r="L3353" t="e">
        <f ca="1">+_xlfn.IFNA(VLOOKUP(M3353,BespokeWindowsAreas!$B$2:$E$1999,4,FALSE),VLOOKUP(E3353,WindowTypeArea!$B$2:$C$113,2,FALSE))</f>
        <v>#N/A</v>
      </c>
      <c r="M3353" t="e">
        <f t="shared" ca="1" si="652"/>
        <v>#N/A</v>
      </c>
    </row>
    <row r="3354" spans="1:13" x14ac:dyDescent="0.25">
      <c r="A3354" t="e">
        <f t="shared" ca="1" si="650"/>
        <v>#N/A</v>
      </c>
      <c r="B3354" t="e">
        <f t="shared" ca="1" si="651"/>
        <v>#N/A</v>
      </c>
      <c r="C3354" t="e">
        <f t="shared" ca="1" si="641"/>
        <v>#N/A</v>
      </c>
      <c r="D3354" s="6" t="e">
        <f t="shared" ca="1" si="642"/>
        <v>#N/A</v>
      </c>
      <c r="E3354" t="e">
        <f t="shared" ca="1" si="643"/>
        <v>#N/A</v>
      </c>
      <c r="F3354" t="e">
        <f t="shared" ca="1" si="644"/>
        <v>#N/A</v>
      </c>
      <c r="G3354" t="e">
        <f t="shared" ca="1" si="645"/>
        <v>#N/A</v>
      </c>
      <c r="H3354" t="e">
        <f t="shared" ca="1" si="646"/>
        <v>#N/A</v>
      </c>
      <c r="I3354" t="e">
        <f t="shared" ca="1" si="647"/>
        <v>#N/A</v>
      </c>
      <c r="J3354" s="8" t="e">
        <f t="shared" ca="1" si="648"/>
        <v>#N/A</v>
      </c>
      <c r="K3354" s="9" t="e">
        <f t="shared" ca="1" si="649"/>
        <v>#N/A</v>
      </c>
      <c r="L3354" t="e">
        <f ca="1">+_xlfn.IFNA(VLOOKUP(M3354,BespokeWindowsAreas!$B$2:$E$1999,4,FALSE),VLOOKUP(E3354,WindowTypeArea!$B$2:$C$113,2,FALSE))</f>
        <v>#N/A</v>
      </c>
      <c r="M3354" t="e">
        <f t="shared" ca="1" si="652"/>
        <v>#N/A</v>
      </c>
    </row>
    <row r="3355" spans="1:13" x14ac:dyDescent="0.25">
      <c r="A3355" t="e">
        <f t="shared" ca="1" si="650"/>
        <v>#N/A</v>
      </c>
      <c r="B3355" t="e">
        <f t="shared" ca="1" si="651"/>
        <v>#N/A</v>
      </c>
      <c r="C3355" t="e">
        <f t="shared" ca="1" si="641"/>
        <v>#N/A</v>
      </c>
      <c r="D3355" s="6" t="e">
        <f t="shared" ca="1" si="642"/>
        <v>#N/A</v>
      </c>
      <c r="E3355" t="e">
        <f t="shared" ca="1" si="643"/>
        <v>#N/A</v>
      </c>
      <c r="F3355" t="e">
        <f t="shared" ca="1" si="644"/>
        <v>#N/A</v>
      </c>
      <c r="G3355" t="e">
        <f t="shared" ca="1" si="645"/>
        <v>#N/A</v>
      </c>
      <c r="H3355" t="e">
        <f t="shared" ca="1" si="646"/>
        <v>#N/A</v>
      </c>
      <c r="I3355" t="e">
        <f t="shared" ca="1" si="647"/>
        <v>#N/A</v>
      </c>
      <c r="J3355" s="8" t="e">
        <f t="shared" ca="1" si="648"/>
        <v>#N/A</v>
      </c>
      <c r="K3355" s="9" t="e">
        <f t="shared" ca="1" si="649"/>
        <v>#N/A</v>
      </c>
      <c r="L3355" t="e">
        <f ca="1">+_xlfn.IFNA(VLOOKUP(M3355,BespokeWindowsAreas!$B$2:$E$1999,4,FALSE),VLOOKUP(E3355,WindowTypeArea!$B$2:$C$113,2,FALSE))</f>
        <v>#N/A</v>
      </c>
      <c r="M3355" t="e">
        <f t="shared" ca="1" si="652"/>
        <v>#N/A</v>
      </c>
    </row>
    <row r="3356" spans="1:13" x14ac:dyDescent="0.25">
      <c r="A3356" t="e">
        <f t="shared" ca="1" si="650"/>
        <v>#N/A</v>
      </c>
      <c r="B3356" t="e">
        <f t="shared" ca="1" si="651"/>
        <v>#N/A</v>
      </c>
      <c r="C3356" t="e">
        <f t="shared" ca="1" si="641"/>
        <v>#N/A</v>
      </c>
      <c r="D3356" s="6" t="e">
        <f t="shared" ca="1" si="642"/>
        <v>#N/A</v>
      </c>
      <c r="E3356" t="e">
        <f t="shared" ca="1" si="643"/>
        <v>#N/A</v>
      </c>
      <c r="F3356" t="e">
        <f t="shared" ca="1" si="644"/>
        <v>#N/A</v>
      </c>
      <c r="G3356" t="e">
        <f t="shared" ca="1" si="645"/>
        <v>#N/A</v>
      </c>
      <c r="H3356" t="e">
        <f t="shared" ca="1" si="646"/>
        <v>#N/A</v>
      </c>
      <c r="I3356" t="e">
        <f t="shared" ca="1" si="647"/>
        <v>#N/A</v>
      </c>
      <c r="J3356" s="8" t="e">
        <f t="shared" ca="1" si="648"/>
        <v>#N/A</v>
      </c>
      <c r="K3356" s="9" t="e">
        <f t="shared" ca="1" si="649"/>
        <v>#N/A</v>
      </c>
      <c r="L3356" t="e">
        <f ca="1">+_xlfn.IFNA(VLOOKUP(M3356,BespokeWindowsAreas!$B$2:$E$1999,4,FALSE),VLOOKUP(E3356,WindowTypeArea!$B$2:$C$113,2,FALSE))</f>
        <v>#N/A</v>
      </c>
      <c r="M3356" t="e">
        <f t="shared" ca="1" si="652"/>
        <v>#N/A</v>
      </c>
    </row>
    <row r="3357" spans="1:13" x14ac:dyDescent="0.25">
      <c r="A3357" t="e">
        <f t="shared" ca="1" si="650"/>
        <v>#N/A</v>
      </c>
      <c r="B3357" t="e">
        <f t="shared" ca="1" si="651"/>
        <v>#N/A</v>
      </c>
      <c r="C3357" t="e">
        <f t="shared" ca="1" si="641"/>
        <v>#N/A</v>
      </c>
      <c r="D3357" s="6" t="e">
        <f t="shared" ca="1" si="642"/>
        <v>#N/A</v>
      </c>
      <c r="E3357" t="e">
        <f t="shared" ca="1" si="643"/>
        <v>#N/A</v>
      </c>
      <c r="F3357" t="e">
        <f t="shared" ca="1" si="644"/>
        <v>#N/A</v>
      </c>
      <c r="G3357" t="e">
        <f t="shared" ca="1" si="645"/>
        <v>#N/A</v>
      </c>
      <c r="H3357" t="e">
        <f t="shared" ca="1" si="646"/>
        <v>#N/A</v>
      </c>
      <c r="I3357" t="e">
        <f t="shared" ca="1" si="647"/>
        <v>#N/A</v>
      </c>
      <c r="J3357" s="8" t="e">
        <f t="shared" ca="1" si="648"/>
        <v>#N/A</v>
      </c>
      <c r="K3357" s="9" t="e">
        <f t="shared" ca="1" si="649"/>
        <v>#N/A</v>
      </c>
      <c r="L3357" t="e">
        <f ca="1">+_xlfn.IFNA(VLOOKUP(M3357,BespokeWindowsAreas!$B$2:$E$1999,4,FALSE),VLOOKUP(E3357,WindowTypeArea!$B$2:$C$113,2,FALSE))</f>
        <v>#N/A</v>
      </c>
      <c r="M3357" t="e">
        <f t="shared" ca="1" si="652"/>
        <v>#N/A</v>
      </c>
    </row>
    <row r="3358" spans="1:13" x14ac:dyDescent="0.25">
      <c r="A3358" t="e">
        <f t="shared" ca="1" si="650"/>
        <v>#N/A</v>
      </c>
      <c r="B3358" t="e">
        <f t="shared" ca="1" si="651"/>
        <v>#N/A</v>
      </c>
      <c r="C3358" t="e">
        <f t="shared" ca="1" si="641"/>
        <v>#N/A</v>
      </c>
      <c r="D3358" s="6" t="e">
        <f t="shared" ca="1" si="642"/>
        <v>#N/A</v>
      </c>
      <c r="E3358" t="e">
        <f t="shared" ca="1" si="643"/>
        <v>#N/A</v>
      </c>
      <c r="F3358" t="e">
        <f t="shared" ca="1" si="644"/>
        <v>#N/A</v>
      </c>
      <c r="G3358" t="e">
        <f t="shared" ca="1" si="645"/>
        <v>#N/A</v>
      </c>
      <c r="H3358" t="e">
        <f t="shared" ca="1" si="646"/>
        <v>#N/A</v>
      </c>
      <c r="I3358" t="e">
        <f t="shared" ca="1" si="647"/>
        <v>#N/A</v>
      </c>
      <c r="J3358" s="8" t="e">
        <f t="shared" ca="1" si="648"/>
        <v>#N/A</v>
      </c>
      <c r="K3358" s="9" t="e">
        <f t="shared" ca="1" si="649"/>
        <v>#N/A</v>
      </c>
      <c r="L3358" t="e">
        <f ca="1">+_xlfn.IFNA(VLOOKUP(M3358,BespokeWindowsAreas!$B$2:$E$1999,4,FALSE),VLOOKUP(E3358,WindowTypeArea!$B$2:$C$113,2,FALSE))</f>
        <v>#N/A</v>
      </c>
      <c r="M3358" t="e">
        <f t="shared" ca="1" si="652"/>
        <v>#N/A</v>
      </c>
    </row>
    <row r="3359" spans="1:13" x14ac:dyDescent="0.25">
      <c r="A3359" t="e">
        <f t="shared" ca="1" si="650"/>
        <v>#N/A</v>
      </c>
      <c r="B3359" t="e">
        <f t="shared" ca="1" si="651"/>
        <v>#N/A</v>
      </c>
      <c r="C3359" t="e">
        <f t="shared" ca="1" si="641"/>
        <v>#N/A</v>
      </c>
      <c r="D3359" s="6" t="e">
        <f t="shared" ca="1" si="642"/>
        <v>#N/A</v>
      </c>
      <c r="E3359" t="e">
        <f t="shared" ca="1" si="643"/>
        <v>#N/A</v>
      </c>
      <c r="F3359" t="e">
        <f t="shared" ca="1" si="644"/>
        <v>#N/A</v>
      </c>
      <c r="G3359" t="e">
        <f t="shared" ca="1" si="645"/>
        <v>#N/A</v>
      </c>
      <c r="H3359" t="e">
        <f t="shared" ca="1" si="646"/>
        <v>#N/A</v>
      </c>
      <c r="I3359" t="e">
        <f t="shared" ca="1" si="647"/>
        <v>#N/A</v>
      </c>
      <c r="J3359" s="8" t="e">
        <f t="shared" ca="1" si="648"/>
        <v>#N/A</v>
      </c>
      <c r="K3359" s="9" t="e">
        <f t="shared" ca="1" si="649"/>
        <v>#N/A</v>
      </c>
      <c r="L3359" t="e">
        <f ca="1">+_xlfn.IFNA(VLOOKUP(M3359,BespokeWindowsAreas!$B$2:$E$1999,4,FALSE),VLOOKUP(E3359,WindowTypeArea!$B$2:$C$113,2,FALSE))</f>
        <v>#N/A</v>
      </c>
      <c r="M3359" t="e">
        <f t="shared" ca="1" si="652"/>
        <v>#N/A</v>
      </c>
    </row>
    <row r="3360" spans="1:13" x14ac:dyDescent="0.25">
      <c r="A3360" t="e">
        <f t="shared" ca="1" si="650"/>
        <v>#N/A</v>
      </c>
      <c r="B3360" t="e">
        <f t="shared" ca="1" si="651"/>
        <v>#N/A</v>
      </c>
      <c r="C3360" t="e">
        <f t="shared" ca="1" si="641"/>
        <v>#N/A</v>
      </c>
      <c r="D3360" s="6" t="e">
        <f t="shared" ca="1" si="642"/>
        <v>#N/A</v>
      </c>
      <c r="E3360" t="e">
        <f t="shared" ca="1" si="643"/>
        <v>#N/A</v>
      </c>
      <c r="F3360" t="e">
        <f t="shared" ca="1" si="644"/>
        <v>#N/A</v>
      </c>
      <c r="G3360" t="e">
        <f t="shared" ca="1" si="645"/>
        <v>#N/A</v>
      </c>
      <c r="H3360" t="e">
        <f t="shared" ca="1" si="646"/>
        <v>#N/A</v>
      </c>
      <c r="I3360" t="e">
        <f t="shared" ca="1" si="647"/>
        <v>#N/A</v>
      </c>
      <c r="J3360" s="8" t="e">
        <f t="shared" ca="1" si="648"/>
        <v>#N/A</v>
      </c>
      <c r="K3360" s="9" t="e">
        <f t="shared" ca="1" si="649"/>
        <v>#N/A</v>
      </c>
      <c r="L3360" t="e">
        <f ca="1">+_xlfn.IFNA(VLOOKUP(M3360,BespokeWindowsAreas!$B$2:$E$1999,4,FALSE),VLOOKUP(E3360,WindowTypeArea!$B$2:$C$113,2,FALSE))</f>
        <v>#N/A</v>
      </c>
      <c r="M3360" t="e">
        <f t="shared" ca="1" si="652"/>
        <v>#N/A</v>
      </c>
    </row>
    <row r="3361" spans="1:13" x14ac:dyDescent="0.25">
      <c r="A3361" t="e">
        <f t="shared" ca="1" si="650"/>
        <v>#N/A</v>
      </c>
      <c r="B3361" t="e">
        <f t="shared" ca="1" si="651"/>
        <v>#N/A</v>
      </c>
      <c r="C3361" t="e">
        <f t="shared" ca="1" si="641"/>
        <v>#N/A</v>
      </c>
      <c r="D3361" s="6" t="e">
        <f t="shared" ca="1" si="642"/>
        <v>#N/A</v>
      </c>
      <c r="E3361" t="e">
        <f t="shared" ca="1" si="643"/>
        <v>#N/A</v>
      </c>
      <c r="F3361" t="e">
        <f t="shared" ca="1" si="644"/>
        <v>#N/A</v>
      </c>
      <c r="G3361" t="e">
        <f t="shared" ca="1" si="645"/>
        <v>#N/A</v>
      </c>
      <c r="H3361" t="e">
        <f t="shared" ca="1" si="646"/>
        <v>#N/A</v>
      </c>
      <c r="I3361" t="e">
        <f t="shared" ca="1" si="647"/>
        <v>#N/A</v>
      </c>
      <c r="J3361" s="8" t="e">
        <f t="shared" ca="1" si="648"/>
        <v>#N/A</v>
      </c>
      <c r="K3361" s="9" t="e">
        <f t="shared" ca="1" si="649"/>
        <v>#N/A</v>
      </c>
      <c r="L3361" t="e">
        <f ca="1">+_xlfn.IFNA(VLOOKUP(M3361,BespokeWindowsAreas!$B$2:$E$1999,4,FALSE),VLOOKUP(E3361,WindowTypeArea!$B$2:$C$113,2,FALSE))</f>
        <v>#N/A</v>
      </c>
      <c r="M3361" t="e">
        <f t="shared" ca="1" si="652"/>
        <v>#N/A</v>
      </c>
    </row>
    <row r="3362" spans="1:13" x14ac:dyDescent="0.25">
      <c r="A3362" t="e">
        <f t="shared" ca="1" si="650"/>
        <v>#N/A</v>
      </c>
      <c r="B3362" t="e">
        <f t="shared" ca="1" si="651"/>
        <v>#N/A</v>
      </c>
      <c r="C3362" t="e">
        <f t="shared" ca="1" si="641"/>
        <v>#N/A</v>
      </c>
      <c r="D3362" s="6" t="e">
        <f t="shared" ca="1" si="642"/>
        <v>#N/A</v>
      </c>
      <c r="E3362" t="e">
        <f t="shared" ca="1" si="643"/>
        <v>#N/A</v>
      </c>
      <c r="F3362" t="e">
        <f t="shared" ca="1" si="644"/>
        <v>#N/A</v>
      </c>
      <c r="G3362" t="e">
        <f t="shared" ca="1" si="645"/>
        <v>#N/A</v>
      </c>
      <c r="H3362" t="e">
        <f t="shared" ca="1" si="646"/>
        <v>#N/A</v>
      </c>
      <c r="I3362" t="e">
        <f t="shared" ca="1" si="647"/>
        <v>#N/A</v>
      </c>
      <c r="J3362" s="8" t="e">
        <f t="shared" ca="1" si="648"/>
        <v>#N/A</v>
      </c>
      <c r="K3362" s="9" t="e">
        <f t="shared" ca="1" si="649"/>
        <v>#N/A</v>
      </c>
      <c r="L3362" t="e">
        <f ca="1">+_xlfn.IFNA(VLOOKUP(M3362,BespokeWindowsAreas!$B$2:$E$1999,4,FALSE),VLOOKUP(E3362,WindowTypeArea!$B$2:$C$113,2,FALSE))</f>
        <v>#N/A</v>
      </c>
      <c r="M3362" t="e">
        <f t="shared" ca="1" si="652"/>
        <v>#N/A</v>
      </c>
    </row>
    <row r="3363" spans="1:13" x14ac:dyDescent="0.25">
      <c r="A3363" t="e">
        <f t="shared" ca="1" si="650"/>
        <v>#N/A</v>
      </c>
      <c r="B3363" t="e">
        <f t="shared" ca="1" si="651"/>
        <v>#N/A</v>
      </c>
      <c r="C3363" t="e">
        <f t="shared" ca="1" si="641"/>
        <v>#N/A</v>
      </c>
      <c r="D3363" s="6" t="e">
        <f t="shared" ca="1" si="642"/>
        <v>#N/A</v>
      </c>
      <c r="E3363" t="e">
        <f t="shared" ca="1" si="643"/>
        <v>#N/A</v>
      </c>
      <c r="F3363" t="e">
        <f t="shared" ca="1" si="644"/>
        <v>#N/A</v>
      </c>
      <c r="G3363" t="e">
        <f t="shared" ca="1" si="645"/>
        <v>#N/A</v>
      </c>
      <c r="H3363" t="e">
        <f t="shared" ca="1" si="646"/>
        <v>#N/A</v>
      </c>
      <c r="I3363" t="e">
        <f t="shared" ca="1" si="647"/>
        <v>#N/A</v>
      </c>
      <c r="J3363" s="8" t="e">
        <f t="shared" ca="1" si="648"/>
        <v>#N/A</v>
      </c>
      <c r="K3363" s="9" t="e">
        <f t="shared" ca="1" si="649"/>
        <v>#N/A</v>
      </c>
      <c r="L3363" t="e">
        <f ca="1">+_xlfn.IFNA(VLOOKUP(M3363,BespokeWindowsAreas!$B$2:$E$1999,4,FALSE),VLOOKUP(E3363,WindowTypeArea!$B$2:$C$113,2,FALSE))</f>
        <v>#N/A</v>
      </c>
      <c r="M3363" t="e">
        <f t="shared" ca="1" si="652"/>
        <v>#N/A</v>
      </c>
    </row>
    <row r="3364" spans="1:13" x14ac:dyDescent="0.25">
      <c r="A3364" t="e">
        <f t="shared" ca="1" si="650"/>
        <v>#N/A</v>
      </c>
      <c r="B3364" t="e">
        <f t="shared" ca="1" si="651"/>
        <v>#N/A</v>
      </c>
      <c r="C3364" t="e">
        <f t="shared" ca="1" si="641"/>
        <v>#N/A</v>
      </c>
      <c r="D3364" s="6" t="e">
        <f t="shared" ca="1" si="642"/>
        <v>#N/A</v>
      </c>
      <c r="E3364" t="e">
        <f t="shared" ca="1" si="643"/>
        <v>#N/A</v>
      </c>
      <c r="F3364" t="e">
        <f t="shared" ca="1" si="644"/>
        <v>#N/A</v>
      </c>
      <c r="G3364" t="e">
        <f t="shared" ca="1" si="645"/>
        <v>#N/A</v>
      </c>
      <c r="H3364" t="e">
        <f t="shared" ca="1" si="646"/>
        <v>#N/A</v>
      </c>
      <c r="I3364" t="e">
        <f t="shared" ca="1" si="647"/>
        <v>#N/A</v>
      </c>
      <c r="J3364" s="8" t="e">
        <f t="shared" ca="1" si="648"/>
        <v>#N/A</v>
      </c>
      <c r="K3364" s="9" t="e">
        <f t="shared" ca="1" si="649"/>
        <v>#N/A</v>
      </c>
      <c r="L3364" t="e">
        <f ca="1">+_xlfn.IFNA(VLOOKUP(M3364,BespokeWindowsAreas!$B$2:$E$1999,4,FALSE),VLOOKUP(E3364,WindowTypeArea!$B$2:$C$113,2,FALSE))</f>
        <v>#N/A</v>
      </c>
      <c r="M3364" t="e">
        <f t="shared" ca="1" si="652"/>
        <v>#N/A</v>
      </c>
    </row>
    <row r="3365" spans="1:13" x14ac:dyDescent="0.25">
      <c r="A3365" t="e">
        <f t="shared" ca="1" si="650"/>
        <v>#N/A</v>
      </c>
      <c r="B3365" t="e">
        <f t="shared" ca="1" si="651"/>
        <v>#N/A</v>
      </c>
      <c r="C3365" t="e">
        <f t="shared" ca="1" si="641"/>
        <v>#N/A</v>
      </c>
      <c r="D3365" s="6" t="e">
        <f t="shared" ca="1" si="642"/>
        <v>#N/A</v>
      </c>
      <c r="E3365" t="e">
        <f t="shared" ca="1" si="643"/>
        <v>#N/A</v>
      </c>
      <c r="F3365" t="e">
        <f t="shared" ca="1" si="644"/>
        <v>#N/A</v>
      </c>
      <c r="G3365" t="e">
        <f t="shared" ca="1" si="645"/>
        <v>#N/A</v>
      </c>
      <c r="H3365" t="e">
        <f t="shared" ca="1" si="646"/>
        <v>#N/A</v>
      </c>
      <c r="I3365" t="e">
        <f t="shared" ca="1" si="647"/>
        <v>#N/A</v>
      </c>
      <c r="J3365" s="8" t="e">
        <f t="shared" ca="1" si="648"/>
        <v>#N/A</v>
      </c>
      <c r="K3365" s="9" t="e">
        <f t="shared" ca="1" si="649"/>
        <v>#N/A</v>
      </c>
      <c r="L3365" t="e">
        <f ca="1">+_xlfn.IFNA(VLOOKUP(M3365,BespokeWindowsAreas!$B$2:$E$1999,4,FALSE),VLOOKUP(E3365,WindowTypeArea!$B$2:$C$113,2,FALSE))</f>
        <v>#N/A</v>
      </c>
      <c r="M3365" t="e">
        <f t="shared" ca="1" si="652"/>
        <v>#N/A</v>
      </c>
    </row>
    <row r="3366" spans="1:13" x14ac:dyDescent="0.25">
      <c r="A3366" t="e">
        <f t="shared" ca="1" si="650"/>
        <v>#N/A</v>
      </c>
      <c r="B3366" t="e">
        <f t="shared" ca="1" si="651"/>
        <v>#N/A</v>
      </c>
      <c r="C3366" t="e">
        <f t="shared" ca="1" si="641"/>
        <v>#N/A</v>
      </c>
      <c r="D3366" s="6" t="e">
        <f t="shared" ca="1" si="642"/>
        <v>#N/A</v>
      </c>
      <c r="E3366" t="e">
        <f t="shared" ca="1" si="643"/>
        <v>#N/A</v>
      </c>
      <c r="F3366" t="e">
        <f t="shared" ca="1" si="644"/>
        <v>#N/A</v>
      </c>
      <c r="G3366" t="e">
        <f t="shared" ca="1" si="645"/>
        <v>#N/A</v>
      </c>
      <c r="H3366" t="e">
        <f t="shared" ca="1" si="646"/>
        <v>#N/A</v>
      </c>
      <c r="I3366" t="e">
        <f t="shared" ca="1" si="647"/>
        <v>#N/A</v>
      </c>
      <c r="J3366" s="8" t="e">
        <f t="shared" ca="1" si="648"/>
        <v>#N/A</v>
      </c>
      <c r="K3366" s="9" t="e">
        <f t="shared" ca="1" si="649"/>
        <v>#N/A</v>
      </c>
      <c r="L3366" t="e">
        <f ca="1">+_xlfn.IFNA(VLOOKUP(M3366,BespokeWindowsAreas!$B$2:$E$1999,4,FALSE),VLOOKUP(E3366,WindowTypeArea!$B$2:$C$113,2,FALSE))</f>
        <v>#N/A</v>
      </c>
      <c r="M3366" t="e">
        <f t="shared" ca="1" si="652"/>
        <v>#N/A</v>
      </c>
    </row>
    <row r="3367" spans="1:13" x14ac:dyDescent="0.25">
      <c r="A3367" t="e">
        <f t="shared" ca="1" si="650"/>
        <v>#N/A</v>
      </c>
      <c r="B3367" t="e">
        <f t="shared" ca="1" si="651"/>
        <v>#N/A</v>
      </c>
      <c r="C3367" t="e">
        <f t="shared" ca="1" si="641"/>
        <v>#N/A</v>
      </c>
      <c r="D3367" s="6" t="e">
        <f t="shared" ca="1" si="642"/>
        <v>#N/A</v>
      </c>
      <c r="E3367" t="e">
        <f t="shared" ca="1" si="643"/>
        <v>#N/A</v>
      </c>
      <c r="F3367" t="e">
        <f t="shared" ca="1" si="644"/>
        <v>#N/A</v>
      </c>
      <c r="G3367" t="e">
        <f t="shared" ca="1" si="645"/>
        <v>#N/A</v>
      </c>
      <c r="H3367" t="e">
        <f t="shared" ca="1" si="646"/>
        <v>#N/A</v>
      </c>
      <c r="I3367" t="e">
        <f t="shared" ca="1" si="647"/>
        <v>#N/A</v>
      </c>
      <c r="J3367" s="8" t="e">
        <f t="shared" ca="1" si="648"/>
        <v>#N/A</v>
      </c>
      <c r="K3367" s="9" t="e">
        <f t="shared" ca="1" si="649"/>
        <v>#N/A</v>
      </c>
      <c r="L3367" t="e">
        <f ca="1">+_xlfn.IFNA(VLOOKUP(M3367,BespokeWindowsAreas!$B$2:$E$1999,4,FALSE),VLOOKUP(E3367,WindowTypeArea!$B$2:$C$113,2,FALSE))</f>
        <v>#N/A</v>
      </c>
      <c r="M3367" t="e">
        <f t="shared" ca="1" si="652"/>
        <v>#N/A</v>
      </c>
    </row>
    <row r="3368" spans="1:13" x14ac:dyDescent="0.25">
      <c r="A3368" t="e">
        <f t="shared" ca="1" si="650"/>
        <v>#N/A</v>
      </c>
      <c r="B3368" t="e">
        <f t="shared" ca="1" si="651"/>
        <v>#N/A</v>
      </c>
      <c r="C3368" t="e">
        <f t="shared" ca="1" si="641"/>
        <v>#N/A</v>
      </c>
      <c r="D3368" s="6" t="e">
        <f t="shared" ca="1" si="642"/>
        <v>#N/A</v>
      </c>
      <c r="E3368" t="e">
        <f t="shared" ca="1" si="643"/>
        <v>#N/A</v>
      </c>
      <c r="F3368" t="e">
        <f t="shared" ca="1" si="644"/>
        <v>#N/A</v>
      </c>
      <c r="G3368" t="e">
        <f t="shared" ca="1" si="645"/>
        <v>#N/A</v>
      </c>
      <c r="H3368" t="e">
        <f t="shared" ca="1" si="646"/>
        <v>#N/A</v>
      </c>
      <c r="I3368" t="e">
        <f t="shared" ca="1" si="647"/>
        <v>#N/A</v>
      </c>
      <c r="J3368" s="8" t="e">
        <f t="shared" ca="1" si="648"/>
        <v>#N/A</v>
      </c>
      <c r="K3368" s="9" t="e">
        <f t="shared" ca="1" si="649"/>
        <v>#N/A</v>
      </c>
      <c r="L3368" t="e">
        <f ca="1">+_xlfn.IFNA(VLOOKUP(M3368,BespokeWindowsAreas!$B$2:$E$1999,4,FALSE),VLOOKUP(E3368,WindowTypeArea!$B$2:$C$113,2,FALSE))</f>
        <v>#N/A</v>
      </c>
      <c r="M3368" t="e">
        <f t="shared" ca="1" si="652"/>
        <v>#N/A</v>
      </c>
    </row>
    <row r="3369" spans="1:13" x14ac:dyDescent="0.25">
      <c r="A3369" t="e">
        <f t="shared" ca="1" si="650"/>
        <v>#N/A</v>
      </c>
      <c r="B3369" t="e">
        <f t="shared" ca="1" si="651"/>
        <v>#N/A</v>
      </c>
      <c r="C3369" t="e">
        <f t="shared" ca="1" si="641"/>
        <v>#N/A</v>
      </c>
      <c r="D3369" s="6" t="e">
        <f t="shared" ca="1" si="642"/>
        <v>#N/A</v>
      </c>
      <c r="E3369" t="e">
        <f t="shared" ca="1" si="643"/>
        <v>#N/A</v>
      </c>
      <c r="F3369" t="e">
        <f t="shared" ca="1" si="644"/>
        <v>#N/A</v>
      </c>
      <c r="G3369" t="e">
        <f t="shared" ca="1" si="645"/>
        <v>#N/A</v>
      </c>
      <c r="H3369" t="e">
        <f t="shared" ca="1" si="646"/>
        <v>#N/A</v>
      </c>
      <c r="I3369" t="e">
        <f t="shared" ca="1" si="647"/>
        <v>#N/A</v>
      </c>
      <c r="J3369" s="8" t="e">
        <f t="shared" ca="1" si="648"/>
        <v>#N/A</v>
      </c>
      <c r="K3369" s="9" t="e">
        <f t="shared" ca="1" si="649"/>
        <v>#N/A</v>
      </c>
      <c r="L3369" t="e">
        <f ca="1">+_xlfn.IFNA(VLOOKUP(M3369,BespokeWindowsAreas!$B$2:$E$1999,4,FALSE),VLOOKUP(E3369,WindowTypeArea!$B$2:$C$113,2,FALSE))</f>
        <v>#N/A</v>
      </c>
      <c r="M3369" t="e">
        <f t="shared" ca="1" si="652"/>
        <v>#N/A</v>
      </c>
    </row>
    <row r="3370" spans="1:13" x14ac:dyDescent="0.25">
      <c r="A3370" t="e">
        <f t="shared" ca="1" si="650"/>
        <v>#N/A</v>
      </c>
      <c r="B3370" t="e">
        <f t="shared" ca="1" si="651"/>
        <v>#N/A</v>
      </c>
      <c r="C3370" t="e">
        <f t="shared" ca="1" si="641"/>
        <v>#N/A</v>
      </c>
      <c r="D3370" s="6" t="e">
        <f t="shared" ca="1" si="642"/>
        <v>#N/A</v>
      </c>
      <c r="E3370" t="e">
        <f t="shared" ca="1" si="643"/>
        <v>#N/A</v>
      </c>
      <c r="F3370" t="e">
        <f t="shared" ca="1" si="644"/>
        <v>#N/A</v>
      </c>
      <c r="G3370" t="e">
        <f t="shared" ca="1" si="645"/>
        <v>#N/A</v>
      </c>
      <c r="H3370" t="e">
        <f t="shared" ca="1" si="646"/>
        <v>#N/A</v>
      </c>
      <c r="I3370" t="e">
        <f t="shared" ca="1" si="647"/>
        <v>#N/A</v>
      </c>
      <c r="J3370" s="8" t="e">
        <f t="shared" ca="1" si="648"/>
        <v>#N/A</v>
      </c>
      <c r="K3370" s="9" t="e">
        <f t="shared" ca="1" si="649"/>
        <v>#N/A</v>
      </c>
      <c r="L3370" t="e">
        <f ca="1">+_xlfn.IFNA(VLOOKUP(M3370,BespokeWindowsAreas!$B$2:$E$1999,4,FALSE),VLOOKUP(E3370,WindowTypeArea!$B$2:$C$113,2,FALSE))</f>
        <v>#N/A</v>
      </c>
      <c r="M3370" t="e">
        <f t="shared" ca="1" si="652"/>
        <v>#N/A</v>
      </c>
    </row>
    <row r="3371" spans="1:13" x14ac:dyDescent="0.25">
      <c r="A3371" t="e">
        <f t="shared" ca="1" si="650"/>
        <v>#N/A</v>
      </c>
      <c r="B3371" t="e">
        <f t="shared" ca="1" si="651"/>
        <v>#N/A</v>
      </c>
      <c r="C3371" t="e">
        <f t="shared" ca="1" si="641"/>
        <v>#N/A</v>
      </c>
      <c r="D3371" s="6" t="e">
        <f t="shared" ca="1" si="642"/>
        <v>#N/A</v>
      </c>
      <c r="E3371" t="e">
        <f t="shared" ca="1" si="643"/>
        <v>#N/A</v>
      </c>
      <c r="F3371" t="e">
        <f t="shared" ca="1" si="644"/>
        <v>#N/A</v>
      </c>
      <c r="G3371" t="e">
        <f t="shared" ca="1" si="645"/>
        <v>#N/A</v>
      </c>
      <c r="H3371" t="e">
        <f t="shared" ca="1" si="646"/>
        <v>#N/A</v>
      </c>
      <c r="I3371" t="e">
        <f t="shared" ca="1" si="647"/>
        <v>#N/A</v>
      </c>
      <c r="J3371" s="8" t="e">
        <f t="shared" ca="1" si="648"/>
        <v>#N/A</v>
      </c>
      <c r="K3371" s="9" t="e">
        <f t="shared" ca="1" si="649"/>
        <v>#N/A</v>
      </c>
      <c r="L3371" t="e">
        <f ca="1">+_xlfn.IFNA(VLOOKUP(M3371,BespokeWindowsAreas!$B$2:$E$1999,4,FALSE),VLOOKUP(E3371,WindowTypeArea!$B$2:$C$113,2,FALSE))</f>
        <v>#N/A</v>
      </c>
      <c r="M3371" t="e">
        <f t="shared" ca="1" si="652"/>
        <v>#N/A</v>
      </c>
    </row>
  </sheetData>
  <autoFilter ref="D17:P3371"/>
  <customSheetViews>
    <customSheetView guid="{561E68F6-21E3-461A-ACB1-9392AEDA3331}" scale="85" showAutoFilter="1">
      <pane xSplit="4" ySplit="17" topLeftCell="F1948" activePane="bottomRight" state="frozen"/>
      <selection pane="bottomRight" activeCell="A1959" sqref="A1959:XFD1959"/>
      <pageMargins left="0.7" right="0.7" top="0.75" bottom="0.75" header="0.3" footer="0.3"/>
      <autoFilter ref="D17:P2504"/>
    </customSheetView>
    <customSheetView guid="{2A8AA8A9-D849-43BE-B128-2DCE8081808F}" showAutoFilter="1" hiddenRows="1" topLeftCell="D1711">
      <selection activeCell="K1732" sqref="K1732:K1739"/>
      <pageMargins left="0.7" right="0.7" top="0.75" bottom="0.75" header="0.3" footer="0.3"/>
      <autoFilter ref="D17:P3371"/>
    </customSheetView>
    <customSheetView guid="{E07775A8-4E8E-4F0F-ABD4-8C1611285DFF}" scale="70" showAutoFilter="1">
      <pane xSplit="4" ySplit="96" topLeftCell="E100" activePane="bottomRight" state="frozen"/>
      <selection pane="bottomRight" activeCell="C52" activeCellId="1" sqref="J21 C52"/>
      <pageMargins left="0.7" right="0.7" top="0.75" bottom="0.75" header="0.3" footer="0.3"/>
      <autoFilter ref="D17:P3371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95"/>
  <sheetViews>
    <sheetView topLeftCell="A82" zoomScale="70" zoomScaleNormal="70" workbookViewId="0">
      <selection activeCell="B95" sqref="B95"/>
    </sheetView>
  </sheetViews>
  <sheetFormatPr defaultRowHeight="15" x14ac:dyDescent="0.25"/>
  <cols>
    <col min="2" max="2" width="98.5703125" bestFit="1" customWidth="1"/>
    <col min="3" max="3" width="12.28515625" customWidth="1"/>
    <col min="4" max="4" width="40.85546875" customWidth="1"/>
  </cols>
  <sheetData>
    <row r="1" spans="2:4" ht="63" x14ac:dyDescent="0.5">
      <c r="B1" s="13" t="s">
        <v>747</v>
      </c>
      <c r="C1" s="13" t="s">
        <v>0</v>
      </c>
      <c r="D1" s="13" t="s">
        <v>748</v>
      </c>
    </row>
    <row r="2" spans="2:4" x14ac:dyDescent="0.25">
      <c r="B2" t="s">
        <v>23</v>
      </c>
      <c r="C2">
        <v>7.6779999999999999</v>
      </c>
      <c r="D2">
        <f ca="1">+COUNTIF('All floors'!E:E,WindowTypeArea!B2)</f>
        <v>0</v>
      </c>
    </row>
    <row r="3" spans="2:4" x14ac:dyDescent="0.25">
      <c r="B3" t="s">
        <v>736</v>
      </c>
      <c r="C3">
        <v>6.4</v>
      </c>
      <c r="D3">
        <f ca="1">+COUNTIF('All floors'!E:E,WindowTypeArea!B3)</f>
        <v>0</v>
      </c>
    </row>
    <row r="4" spans="2:4" x14ac:dyDescent="0.25">
      <c r="B4" t="s">
        <v>24</v>
      </c>
      <c r="C4">
        <v>6.24</v>
      </c>
      <c r="D4">
        <f ca="1">+COUNTIF('All floors'!E:E,WindowTypeArea!B4)</f>
        <v>0</v>
      </c>
    </row>
    <row r="5" spans="2:4" x14ac:dyDescent="0.25">
      <c r="B5" t="s">
        <v>737</v>
      </c>
      <c r="C5">
        <v>6.24</v>
      </c>
      <c r="D5">
        <f ca="1">+COUNTIF('All floors'!E:E,WindowTypeArea!B5)</f>
        <v>0</v>
      </c>
    </row>
    <row r="6" spans="2:4" x14ac:dyDescent="0.25">
      <c r="B6" t="s">
        <v>738</v>
      </c>
      <c r="C6">
        <v>7.04</v>
      </c>
      <c r="D6">
        <f ca="1">+COUNTIF('All floors'!E:E,WindowTypeArea!B6)</f>
        <v>0</v>
      </c>
    </row>
    <row r="7" spans="2:4" x14ac:dyDescent="0.25">
      <c r="B7" t="s">
        <v>739</v>
      </c>
      <c r="C7">
        <v>6.24</v>
      </c>
      <c r="D7">
        <f ca="1">+COUNTIF('All floors'!E:E,WindowTypeArea!B7)</f>
        <v>0</v>
      </c>
    </row>
    <row r="8" spans="2:4" x14ac:dyDescent="0.25">
      <c r="B8" t="s">
        <v>740</v>
      </c>
      <c r="C8">
        <v>6.4</v>
      </c>
      <c r="D8">
        <f ca="1">+COUNTIF('All floors'!E:E,WindowTypeArea!B8)</f>
        <v>0</v>
      </c>
    </row>
    <row r="9" spans="2:4" x14ac:dyDescent="0.25">
      <c r="B9" t="s">
        <v>741</v>
      </c>
      <c r="C9">
        <v>6.4</v>
      </c>
      <c r="D9">
        <f ca="1">+COUNTIF('All floors'!E:E,WindowTypeArea!B9)</f>
        <v>0</v>
      </c>
    </row>
    <row r="10" spans="2:4" x14ac:dyDescent="0.25">
      <c r="B10" t="s">
        <v>742</v>
      </c>
      <c r="C10">
        <v>6.4</v>
      </c>
      <c r="D10">
        <f ca="1">+COUNTIF('All floors'!E:E,WindowTypeArea!B10)</f>
        <v>0</v>
      </c>
    </row>
    <row r="11" spans="2:4" x14ac:dyDescent="0.25">
      <c r="B11" t="s">
        <v>743</v>
      </c>
      <c r="C11">
        <v>5.12</v>
      </c>
      <c r="D11">
        <f ca="1">+COUNTIF('All floors'!E:E,WindowTypeArea!B11)</f>
        <v>0</v>
      </c>
    </row>
    <row r="12" spans="2:4" x14ac:dyDescent="0.25">
      <c r="B12" t="s">
        <v>744</v>
      </c>
      <c r="C12">
        <v>3.84</v>
      </c>
      <c r="D12">
        <f ca="1">+COUNTIF('All floors'!E:E,WindowTypeArea!B12)</f>
        <v>0</v>
      </c>
    </row>
    <row r="13" spans="2:4" x14ac:dyDescent="0.25">
      <c r="B13" t="s">
        <v>745</v>
      </c>
      <c r="C13">
        <v>6.24</v>
      </c>
      <c r="D13">
        <f ca="1">+COUNTIF('All floors'!E:E,WindowTypeArea!B13)</f>
        <v>0</v>
      </c>
    </row>
    <row r="14" spans="2:4" x14ac:dyDescent="0.25">
      <c r="B14" t="s">
        <v>25</v>
      </c>
      <c r="C14">
        <v>5.6159999999999997</v>
      </c>
      <c r="D14">
        <f ca="1">+COUNTIF('All floors'!E:E,WindowTypeArea!B14)</f>
        <v>0</v>
      </c>
    </row>
    <row r="15" spans="2:4" x14ac:dyDescent="0.25">
      <c r="B15" t="s">
        <v>26</v>
      </c>
      <c r="C15">
        <v>6.24</v>
      </c>
      <c r="D15">
        <f ca="1">+COUNTIF('All floors'!E:E,WindowTypeArea!B15)</f>
        <v>0</v>
      </c>
    </row>
    <row r="16" spans="2:4" x14ac:dyDescent="0.25">
      <c r="B16" t="s">
        <v>746</v>
      </c>
      <c r="C16">
        <v>5.6159999999999997</v>
      </c>
      <c r="D16">
        <f ca="1">+COUNTIF('All floors'!E:E,WindowTypeArea!B16)</f>
        <v>0</v>
      </c>
    </row>
    <row r="17" spans="2:4" x14ac:dyDescent="0.25">
      <c r="B17" t="s">
        <v>27</v>
      </c>
      <c r="C17">
        <v>2.9737499999999999</v>
      </c>
      <c r="D17">
        <f ca="1">+COUNTIF('All floors'!E:E,WindowTypeArea!B17)</f>
        <v>176</v>
      </c>
    </row>
    <row r="18" spans="2:4" x14ac:dyDescent="0.25">
      <c r="B18" t="s">
        <v>28</v>
      </c>
      <c r="C18">
        <v>3.05</v>
      </c>
      <c r="D18">
        <f ca="1">+COUNTIF('All floors'!E:E,WindowTypeArea!B18)</f>
        <v>40</v>
      </c>
    </row>
    <row r="19" spans="2:4" x14ac:dyDescent="0.25">
      <c r="B19" t="s">
        <v>29</v>
      </c>
      <c r="C19">
        <v>4.5750000000000002</v>
      </c>
      <c r="D19">
        <f ca="1">+COUNTIF('All floors'!E:E,WindowTypeArea!B19)</f>
        <v>27</v>
      </c>
    </row>
    <row r="20" spans="2:4" x14ac:dyDescent="0.25">
      <c r="B20" t="s">
        <v>30</v>
      </c>
      <c r="C20">
        <v>5.9474999999999998</v>
      </c>
      <c r="D20">
        <f ca="1">+COUNTIF('All floors'!E:E,WindowTypeArea!B20)</f>
        <v>94</v>
      </c>
    </row>
    <row r="21" spans="2:4" x14ac:dyDescent="0.25">
      <c r="B21" t="s">
        <v>31</v>
      </c>
      <c r="C21">
        <v>4.5750000000000002</v>
      </c>
      <c r="D21">
        <f ca="1">+COUNTIF('All floors'!E:E,WindowTypeArea!B21)</f>
        <v>188</v>
      </c>
    </row>
    <row r="22" spans="2:4" x14ac:dyDescent="0.25">
      <c r="B22" t="s">
        <v>32</v>
      </c>
      <c r="C22">
        <v>3.05</v>
      </c>
      <c r="D22">
        <f ca="1">+COUNTIF('All floors'!E:E,WindowTypeArea!B22)</f>
        <v>0</v>
      </c>
    </row>
    <row r="23" spans="2:4" x14ac:dyDescent="0.25">
      <c r="B23" t="s">
        <v>33</v>
      </c>
      <c r="C23">
        <v>3.05</v>
      </c>
      <c r="D23">
        <f ca="1">+COUNTIF('All floors'!E:E,WindowTypeArea!B23)</f>
        <v>74</v>
      </c>
    </row>
    <row r="24" spans="2:4" x14ac:dyDescent="0.25">
      <c r="B24" t="s">
        <v>34</v>
      </c>
      <c r="C24">
        <v>7.67075</v>
      </c>
      <c r="D24">
        <f ca="1">+COUNTIF('All floors'!E:E,WindowTypeArea!B24)</f>
        <v>3</v>
      </c>
    </row>
    <row r="25" spans="2:4" x14ac:dyDescent="0.25">
      <c r="B25" t="s">
        <v>622</v>
      </c>
      <c r="C25">
        <v>3.9975000000000001</v>
      </c>
      <c r="D25">
        <f ca="1">+COUNTIF('All floors'!E:E,WindowTypeArea!B25)</f>
        <v>128</v>
      </c>
    </row>
    <row r="26" spans="2:4" x14ac:dyDescent="0.25">
      <c r="B26" t="s">
        <v>619</v>
      </c>
      <c r="C26">
        <v>7.9950000000000001</v>
      </c>
      <c r="D26">
        <f ca="1">+COUNTIF('All floors'!E:E,WindowTypeArea!B26)</f>
        <v>163</v>
      </c>
    </row>
    <row r="27" spans="2:4" x14ac:dyDescent="0.25">
      <c r="B27" t="s">
        <v>629</v>
      </c>
      <c r="D27">
        <f ca="1">+COUNTIF('All floors'!E:E,WindowTypeArea!B27)</f>
        <v>1</v>
      </c>
    </row>
    <row r="28" spans="2:4" x14ac:dyDescent="0.25">
      <c r="B28" t="s">
        <v>35</v>
      </c>
      <c r="C28">
        <v>5.9474999999999998</v>
      </c>
      <c r="D28">
        <f ca="1">+COUNTIF('All floors'!E:E,WindowTypeArea!B28)</f>
        <v>0</v>
      </c>
    </row>
    <row r="29" spans="2:4" x14ac:dyDescent="0.25">
      <c r="B29" t="s">
        <v>36</v>
      </c>
      <c r="C29">
        <v>4.758</v>
      </c>
      <c r="D29">
        <f ca="1">+COUNTIF('All floors'!E:E,WindowTypeArea!B29)</f>
        <v>0</v>
      </c>
    </row>
    <row r="30" spans="2:4" x14ac:dyDescent="0.25">
      <c r="B30" s="14" t="s">
        <v>332</v>
      </c>
      <c r="C30" s="14"/>
      <c r="D30">
        <f ca="1">+COUNTIF('All floors'!E:E,WindowTypeArea!B30)</f>
        <v>1</v>
      </c>
    </row>
    <row r="31" spans="2:4" x14ac:dyDescent="0.25">
      <c r="B31" t="s">
        <v>648</v>
      </c>
      <c r="D31">
        <f ca="1">+COUNTIF('All floors'!E:E,WindowTypeArea!B31)</f>
        <v>5</v>
      </c>
    </row>
    <row r="32" spans="2:4" x14ac:dyDescent="0.25">
      <c r="B32" t="s">
        <v>38</v>
      </c>
      <c r="C32">
        <v>5.9474999999999998</v>
      </c>
      <c r="D32">
        <f ca="1">+COUNTIF('All floors'!E:E,WindowTypeArea!B32)</f>
        <v>30</v>
      </c>
    </row>
    <row r="33" spans="2:4" x14ac:dyDescent="0.25">
      <c r="B33" t="s">
        <v>217</v>
      </c>
      <c r="C33">
        <v>2.9737499999999999</v>
      </c>
      <c r="D33">
        <f ca="1">+COUNTIF('All floors'!E:E,WindowTypeArea!B33)</f>
        <v>0</v>
      </c>
    </row>
    <row r="34" spans="2:4" x14ac:dyDescent="0.25">
      <c r="B34" t="s">
        <v>668</v>
      </c>
      <c r="D34">
        <f ca="1">+COUNTIF('All floors'!E:E,WindowTypeArea!B34)</f>
        <v>30</v>
      </c>
    </row>
    <row r="35" spans="2:4" x14ac:dyDescent="0.25">
      <c r="B35" t="s">
        <v>696</v>
      </c>
      <c r="D35">
        <f ca="1">+COUNTIF('All floors'!E:E,WindowTypeArea!B35)</f>
        <v>27</v>
      </c>
    </row>
    <row r="36" spans="2:4" x14ac:dyDescent="0.25">
      <c r="B36" t="s">
        <v>43</v>
      </c>
      <c r="C36">
        <v>1.4868749999999999</v>
      </c>
      <c r="D36">
        <f ca="1">+COUNTIF('All floors'!E:E,WindowTypeArea!B36)</f>
        <v>5</v>
      </c>
    </row>
    <row r="37" spans="2:4" x14ac:dyDescent="0.25">
      <c r="B37" t="s">
        <v>203</v>
      </c>
      <c r="C37">
        <v>6.24</v>
      </c>
      <c r="D37">
        <f ca="1">+COUNTIF('All floors'!E:E,WindowTypeArea!B37)</f>
        <v>39</v>
      </c>
    </row>
    <row r="38" spans="2:4" x14ac:dyDescent="0.25">
      <c r="B38" t="s">
        <v>229</v>
      </c>
      <c r="C38">
        <v>3.2</v>
      </c>
      <c r="D38">
        <f ca="1">+COUNTIF('All floors'!E:E,WindowTypeArea!B38)</f>
        <v>4</v>
      </c>
    </row>
    <row r="39" spans="2:4" x14ac:dyDescent="0.25">
      <c r="B39" t="s">
        <v>200</v>
      </c>
      <c r="C39">
        <v>1.8720000000000001</v>
      </c>
      <c r="D39">
        <f ca="1">+COUNTIF('All floors'!E:E,WindowTypeArea!B39)</f>
        <v>29</v>
      </c>
    </row>
    <row r="40" spans="2:4" x14ac:dyDescent="0.25">
      <c r="B40" t="s">
        <v>202</v>
      </c>
      <c r="C40">
        <v>3.12</v>
      </c>
      <c r="D40">
        <f ca="1">+COUNTIF('All floors'!E:E,WindowTypeArea!B40)</f>
        <v>63</v>
      </c>
    </row>
    <row r="41" spans="2:4" x14ac:dyDescent="0.25">
      <c r="B41" t="s">
        <v>199</v>
      </c>
      <c r="C41">
        <v>4.8</v>
      </c>
      <c r="D41">
        <f ca="1">+COUNTIF('All floors'!E:E,WindowTypeArea!B41)</f>
        <v>46</v>
      </c>
    </row>
    <row r="42" spans="2:4" x14ac:dyDescent="0.25">
      <c r="B42" s="14" t="s">
        <v>47</v>
      </c>
      <c r="C42" s="14"/>
      <c r="D42">
        <f ca="1">+COUNTIF('All floors'!E:E,WindowTypeArea!B42)</f>
        <v>6</v>
      </c>
    </row>
    <row r="43" spans="2:4" x14ac:dyDescent="0.25">
      <c r="B43" s="14" t="s">
        <v>49</v>
      </c>
      <c r="C43" s="14"/>
      <c r="D43">
        <f ca="1">+COUNTIF('All floors'!E:E,WindowTypeArea!B43)</f>
        <v>0</v>
      </c>
    </row>
    <row r="44" spans="2:4" x14ac:dyDescent="0.25">
      <c r="B44" t="s">
        <v>654</v>
      </c>
      <c r="C44">
        <v>0.97499999999999998</v>
      </c>
      <c r="D44">
        <f ca="1">+COUNTIF('All floors'!E:E,WindowTypeArea!B44)</f>
        <v>5</v>
      </c>
    </row>
    <row r="45" spans="2:4" x14ac:dyDescent="0.25">
      <c r="B45" t="s">
        <v>655</v>
      </c>
      <c r="C45">
        <v>1.95</v>
      </c>
      <c r="D45">
        <f ca="1">+COUNTIF('All floors'!E:E,WindowTypeArea!B45)</f>
        <v>1</v>
      </c>
    </row>
    <row r="46" spans="2:4" x14ac:dyDescent="0.25">
      <c r="B46" t="s">
        <v>663</v>
      </c>
      <c r="C46">
        <v>6.15</v>
      </c>
      <c r="D46">
        <f ca="1">+COUNTIF('All floors'!E:E,WindowTypeArea!B46)</f>
        <v>0</v>
      </c>
    </row>
    <row r="47" spans="2:4" x14ac:dyDescent="0.25">
      <c r="B47" t="s">
        <v>621</v>
      </c>
      <c r="D47">
        <f ca="1">+COUNTIF('All floors'!E:E,WindowTypeArea!B47)</f>
        <v>206</v>
      </c>
    </row>
    <row r="48" spans="2:4" x14ac:dyDescent="0.25">
      <c r="B48" t="s">
        <v>732</v>
      </c>
      <c r="D48">
        <f ca="1">+COUNTIF('All floors'!E:E,WindowTypeArea!B48)</f>
        <v>0</v>
      </c>
    </row>
    <row r="49" spans="2:4" x14ac:dyDescent="0.25">
      <c r="B49" t="s">
        <v>675</v>
      </c>
      <c r="D49">
        <f ca="1">+COUNTIF('All floors'!E:E,WindowTypeArea!B49)</f>
        <v>4</v>
      </c>
    </row>
    <row r="50" spans="2:4" x14ac:dyDescent="0.25">
      <c r="B50" t="s">
        <v>664</v>
      </c>
      <c r="C50">
        <v>1.5</v>
      </c>
      <c r="D50">
        <f ca="1">+COUNTIF('All floors'!E:E,WindowTypeArea!B50)</f>
        <v>0</v>
      </c>
    </row>
    <row r="51" spans="2:4" x14ac:dyDescent="0.25">
      <c r="B51" t="s">
        <v>316</v>
      </c>
      <c r="C51">
        <v>2.6880000000000002</v>
      </c>
      <c r="D51">
        <f ca="1">+COUNTIF('All floors'!E:E,WindowTypeArea!B51)</f>
        <v>1</v>
      </c>
    </row>
    <row r="52" spans="2:4" x14ac:dyDescent="0.25">
      <c r="B52" t="s">
        <v>349</v>
      </c>
      <c r="C52">
        <v>3.68</v>
      </c>
      <c r="D52">
        <f ca="1">+COUNTIF('All floors'!E:E,WindowTypeArea!B52)</f>
        <v>1</v>
      </c>
    </row>
    <row r="53" spans="2:4" x14ac:dyDescent="0.25">
      <c r="B53" t="s">
        <v>731</v>
      </c>
      <c r="C53">
        <v>3.28</v>
      </c>
      <c r="D53">
        <f ca="1">+COUNTIF('All floors'!E:E,WindowTypeArea!B53)</f>
        <v>0</v>
      </c>
    </row>
    <row r="54" spans="2:4" x14ac:dyDescent="0.25">
      <c r="B54" t="s">
        <v>211</v>
      </c>
      <c r="C54">
        <v>4.8384</v>
      </c>
      <c r="D54">
        <f ca="1">+COUNTIF('All floors'!E:E,WindowTypeArea!B54)</f>
        <v>1</v>
      </c>
    </row>
    <row r="55" spans="2:4" x14ac:dyDescent="0.25">
      <c r="B55" s="14" t="s">
        <v>197</v>
      </c>
      <c r="C55" s="14"/>
      <c r="D55">
        <f ca="1">+COUNTIF('All floors'!E:E,WindowTypeArea!B55)</f>
        <v>6</v>
      </c>
    </row>
    <row r="56" spans="2:4" x14ac:dyDescent="0.25">
      <c r="B56" s="14" t="s">
        <v>320</v>
      </c>
      <c r="C56" s="14"/>
      <c r="D56">
        <f ca="1">+COUNTIF('All floors'!E:E,WindowTypeArea!B56)</f>
        <v>0</v>
      </c>
    </row>
    <row r="57" spans="2:4" x14ac:dyDescent="0.25">
      <c r="B57" t="s">
        <v>693</v>
      </c>
      <c r="C57">
        <v>5.2275</v>
      </c>
      <c r="D57">
        <f ca="1">+COUNTIF('All floors'!E:E,WindowTypeArea!B57)</f>
        <v>2</v>
      </c>
    </row>
    <row r="58" spans="2:4" x14ac:dyDescent="0.25">
      <c r="B58" t="s">
        <v>733</v>
      </c>
      <c r="D58">
        <f ca="1">+COUNTIF('All floors'!E:E,WindowTypeArea!B58)</f>
        <v>0</v>
      </c>
    </row>
    <row r="59" spans="2:4" x14ac:dyDescent="0.25">
      <c r="B59" t="s">
        <v>734</v>
      </c>
      <c r="C59">
        <v>1.5</v>
      </c>
      <c r="D59">
        <f ca="1">+COUNTIF('All floors'!E:E,WindowTypeArea!B59)</f>
        <v>0</v>
      </c>
    </row>
    <row r="60" spans="2:4" x14ac:dyDescent="0.25">
      <c r="B60" t="s">
        <v>730</v>
      </c>
      <c r="C60">
        <v>6.5190000000000001</v>
      </c>
      <c r="D60">
        <f ca="1">+COUNTIF('All floors'!E:E,WindowTypeArea!B60)</f>
        <v>0</v>
      </c>
    </row>
    <row r="61" spans="2:4" x14ac:dyDescent="0.25">
      <c r="B61" t="s">
        <v>735</v>
      </c>
      <c r="C61">
        <v>1.59</v>
      </c>
      <c r="D61">
        <f ca="1">+COUNTIF('All floors'!E:E,WindowTypeArea!B61)</f>
        <v>0</v>
      </c>
    </row>
    <row r="62" spans="2:4" x14ac:dyDescent="0.25">
      <c r="B62" t="s">
        <v>126</v>
      </c>
      <c r="C62">
        <v>3.5880000000000001</v>
      </c>
      <c r="D62">
        <f ca="1">+COUNTIF('All floors'!E:E,WindowTypeArea!B62)</f>
        <v>4</v>
      </c>
    </row>
    <row r="63" spans="2:4" x14ac:dyDescent="0.25">
      <c r="B63" t="s">
        <v>661</v>
      </c>
      <c r="C63">
        <v>9.0609999999999999</v>
      </c>
      <c r="D63">
        <f ca="1">+COUNTIF('All floors'!E:E,WindowTypeArea!B63)</f>
        <v>1</v>
      </c>
    </row>
    <row r="64" spans="2:4" x14ac:dyDescent="0.25">
      <c r="B64" t="s">
        <v>634</v>
      </c>
      <c r="D64">
        <f ca="1">+COUNTIF('All floors'!E:E,WindowTypeArea!B64)</f>
        <v>1</v>
      </c>
    </row>
    <row r="65" spans="2:7" x14ac:dyDescent="0.25">
      <c r="B65" t="s">
        <v>204</v>
      </c>
      <c r="C65">
        <v>2.448</v>
      </c>
      <c r="D65">
        <f ca="1">+COUNTIF('All floors'!E:E,WindowTypeArea!B65)</f>
        <v>0</v>
      </c>
    </row>
    <row r="66" spans="2:7" x14ac:dyDescent="0.25">
      <c r="B66" t="s">
        <v>665</v>
      </c>
      <c r="C66">
        <v>2.4700000000000002</v>
      </c>
      <c r="D66">
        <f ca="1">+COUNTIF('All floors'!E:E,WindowTypeArea!B66)</f>
        <v>1</v>
      </c>
    </row>
    <row r="67" spans="2:7" x14ac:dyDescent="0.25">
      <c r="B67" t="s">
        <v>667</v>
      </c>
      <c r="C67">
        <v>1.95</v>
      </c>
      <c r="D67">
        <f ca="1">+COUNTIF('All floors'!E:E,WindowTypeArea!B67)</f>
        <v>0</v>
      </c>
    </row>
    <row r="68" spans="2:7" x14ac:dyDescent="0.25">
      <c r="B68" t="s">
        <v>73</v>
      </c>
      <c r="C68">
        <v>4.5750000000000002</v>
      </c>
      <c r="D68">
        <f ca="1">+COUNTIF('All floors'!E:E,WindowTypeArea!B68)</f>
        <v>0</v>
      </c>
    </row>
    <row r="69" spans="2:7" x14ac:dyDescent="0.25">
      <c r="B69" t="s">
        <v>146</v>
      </c>
      <c r="C69">
        <v>5.9474999999999998</v>
      </c>
      <c r="D69">
        <f ca="1">+COUNTIF('All floors'!E:E,WindowTypeArea!B69)</f>
        <v>0</v>
      </c>
    </row>
    <row r="70" spans="2:7" x14ac:dyDescent="0.25">
      <c r="B70" t="s">
        <v>145</v>
      </c>
      <c r="C70">
        <v>1.9824999999999999</v>
      </c>
      <c r="D70">
        <f ca="1">+COUNTIF('All floors'!E:E,WindowTypeArea!B70)</f>
        <v>0</v>
      </c>
    </row>
    <row r="71" spans="2:7" x14ac:dyDescent="0.25">
      <c r="B71" t="s">
        <v>206</v>
      </c>
      <c r="C71">
        <v>2.9737499999999999</v>
      </c>
      <c r="D71">
        <f ca="1">+COUNTIF('All floors'!E:E,WindowTypeArea!B71)</f>
        <v>0</v>
      </c>
    </row>
    <row r="72" spans="2:7" x14ac:dyDescent="0.25">
      <c r="B72" t="s">
        <v>54</v>
      </c>
      <c r="C72">
        <v>2.2425000000000002</v>
      </c>
      <c r="D72">
        <f ca="1">+COUNTIF('All floors'!E:E,WindowTypeArea!B72)</f>
        <v>65</v>
      </c>
    </row>
    <row r="73" spans="2:7" x14ac:dyDescent="0.25">
      <c r="B73" t="s">
        <v>53</v>
      </c>
      <c r="C73">
        <v>4.4850000000000003</v>
      </c>
      <c r="D73">
        <f ca="1">+COUNTIF('All floors'!E:E,WindowTypeArea!B73)</f>
        <v>36</v>
      </c>
    </row>
    <row r="74" spans="2:7" x14ac:dyDescent="0.25">
      <c r="B74" s="14" t="s">
        <v>797</v>
      </c>
      <c r="C74">
        <f>+F74*G74</f>
        <v>4.5749999999999993</v>
      </c>
      <c r="F74">
        <v>1.5</v>
      </c>
      <c r="G74">
        <v>3.05</v>
      </c>
    </row>
    <row r="75" spans="2:7" x14ac:dyDescent="0.25">
      <c r="B75" s="14" t="s">
        <v>808</v>
      </c>
      <c r="C75">
        <f t="shared" ref="C75:C86" si="0">+F75*G75</f>
        <v>4.5749999999999993</v>
      </c>
      <c r="F75">
        <v>1.5</v>
      </c>
      <c r="G75">
        <v>3.05</v>
      </c>
    </row>
    <row r="76" spans="2:7" x14ac:dyDescent="0.25">
      <c r="B76" s="14" t="s">
        <v>806</v>
      </c>
      <c r="C76">
        <f t="shared" si="0"/>
        <v>4.5749999999999993</v>
      </c>
      <c r="F76">
        <v>1.5</v>
      </c>
      <c r="G76">
        <v>3.05</v>
      </c>
    </row>
    <row r="77" spans="2:7" x14ac:dyDescent="0.25">
      <c r="B77" s="14" t="s">
        <v>786</v>
      </c>
      <c r="C77">
        <f t="shared" si="0"/>
        <v>5.9474999999999998</v>
      </c>
      <c r="F77">
        <v>1.95</v>
      </c>
      <c r="G77">
        <v>3.05</v>
      </c>
    </row>
    <row r="78" spans="2:7" x14ac:dyDescent="0.25">
      <c r="B78" s="14" t="s">
        <v>821</v>
      </c>
      <c r="C78">
        <f t="shared" si="0"/>
        <v>5.9474999999999998</v>
      </c>
      <c r="F78">
        <v>1.95</v>
      </c>
      <c r="G78">
        <v>3.05</v>
      </c>
    </row>
    <row r="79" spans="2:7" x14ac:dyDescent="0.25">
      <c r="B79" s="14" t="s">
        <v>810</v>
      </c>
      <c r="C79">
        <f t="shared" si="0"/>
        <v>5.9474999999999998</v>
      </c>
      <c r="F79">
        <v>1.95</v>
      </c>
      <c r="G79">
        <v>3.05</v>
      </c>
    </row>
    <row r="80" spans="2:7" x14ac:dyDescent="0.25">
      <c r="B80" s="14" t="s">
        <v>830</v>
      </c>
      <c r="C80">
        <f t="shared" si="0"/>
        <v>6.1762499999999996</v>
      </c>
      <c r="F80">
        <v>2.0249999999999999</v>
      </c>
      <c r="G80">
        <v>3.05</v>
      </c>
    </row>
    <row r="81" spans="2:7" x14ac:dyDescent="0.25">
      <c r="B81" s="14" t="s">
        <v>814</v>
      </c>
      <c r="C81">
        <f t="shared" si="0"/>
        <v>7.67075</v>
      </c>
      <c r="F81">
        <v>2.5150000000000001</v>
      </c>
      <c r="G81">
        <v>3.05</v>
      </c>
    </row>
    <row r="82" spans="2:7" x14ac:dyDescent="0.25">
      <c r="B82" s="14" t="s">
        <v>840</v>
      </c>
      <c r="C82">
        <f t="shared" si="0"/>
        <v>1.9824999999999999</v>
      </c>
      <c r="F82">
        <v>0.65</v>
      </c>
      <c r="G82">
        <v>3.05</v>
      </c>
    </row>
    <row r="83" spans="2:7" x14ac:dyDescent="0.25">
      <c r="B83" s="14" t="s">
        <v>787</v>
      </c>
      <c r="C83">
        <f t="shared" si="0"/>
        <v>2.9737499999999999</v>
      </c>
      <c r="F83">
        <v>0.97499999999999998</v>
      </c>
      <c r="G83">
        <v>3.05</v>
      </c>
    </row>
    <row r="84" spans="2:7" x14ac:dyDescent="0.25">
      <c r="B84" s="14" t="s">
        <v>803</v>
      </c>
      <c r="C84">
        <f t="shared" si="0"/>
        <v>2.9737499999999999</v>
      </c>
      <c r="F84">
        <v>0.97499999999999998</v>
      </c>
      <c r="G84">
        <v>3.05</v>
      </c>
    </row>
    <row r="85" spans="2:7" x14ac:dyDescent="0.25">
      <c r="B85" s="14" t="s">
        <v>853</v>
      </c>
      <c r="C85">
        <f t="shared" si="0"/>
        <v>4.5749999999999993</v>
      </c>
      <c r="F85">
        <v>1.5</v>
      </c>
      <c r="G85">
        <v>3.05</v>
      </c>
    </row>
    <row r="86" spans="2:7" x14ac:dyDescent="0.25">
      <c r="B86" s="14" t="s">
        <v>851</v>
      </c>
      <c r="C86">
        <f t="shared" si="0"/>
        <v>5.9474999999999998</v>
      </c>
      <c r="F86">
        <v>1.95</v>
      </c>
      <c r="G86">
        <v>3.05</v>
      </c>
    </row>
    <row r="87" spans="2:7" x14ac:dyDescent="0.25">
      <c r="B87" s="14" t="s">
        <v>852</v>
      </c>
      <c r="C87">
        <f>+F87*G87</f>
        <v>2.9737499999999999</v>
      </c>
      <c r="F87">
        <v>0.97499999999999998</v>
      </c>
      <c r="G87">
        <v>3.05</v>
      </c>
    </row>
    <row r="88" spans="2:7" x14ac:dyDescent="0.25">
      <c r="B88" s="14" t="s">
        <v>1059</v>
      </c>
      <c r="C88">
        <v>3.51</v>
      </c>
    </row>
    <row r="89" spans="2:7" x14ac:dyDescent="0.25">
      <c r="B89" s="14" t="s">
        <v>1060</v>
      </c>
      <c r="C89">
        <v>10.9725</v>
      </c>
    </row>
    <row r="90" spans="2:7" x14ac:dyDescent="0.25">
      <c r="B90" s="14" t="s">
        <v>1078</v>
      </c>
      <c r="C90">
        <v>1.5</v>
      </c>
    </row>
    <row r="91" spans="2:7" x14ac:dyDescent="0.25">
      <c r="B91" s="14" t="s">
        <v>1084</v>
      </c>
      <c r="C91">
        <v>3.5</v>
      </c>
    </row>
    <row r="92" spans="2:7" x14ac:dyDescent="0.25">
      <c r="B92" s="14" t="s">
        <v>1087</v>
      </c>
      <c r="C92">
        <v>2.6</v>
      </c>
    </row>
    <row r="93" spans="2:7" x14ac:dyDescent="0.25">
      <c r="B93" t="s">
        <v>1090</v>
      </c>
      <c r="C93">
        <f>2.4/1.9*7.995</f>
        <v>10.098947368421053</v>
      </c>
    </row>
    <row r="94" spans="2:7" x14ac:dyDescent="0.25">
      <c r="B94" s="14" t="s">
        <v>1092</v>
      </c>
      <c r="C94">
        <f>4.6*4.1</f>
        <v>18.859999999999996</v>
      </c>
    </row>
    <row r="95" spans="2:7" x14ac:dyDescent="0.25">
      <c r="B95" s="14" t="s">
        <v>1093</v>
      </c>
      <c r="C95">
        <f>4.1*10.2</f>
        <v>41.819999999999993</v>
      </c>
    </row>
  </sheetData>
  <autoFilter ref="B1:D89"/>
  <customSheetViews>
    <customSheetView guid="{561E68F6-21E3-461A-ACB1-9392AEDA3331}" filter="1" showAutoFilter="1">
      <selection activeCell="B92" sqref="B92"/>
      <pageMargins left="0.7" right="0.7" top="0.75" bottom="0.75" header="0.3" footer="0.3"/>
      <autoFilter ref="B1:D73">
        <filterColumn colId="2">
          <filters>
            <filter val="1"/>
            <filter val="3"/>
            <filter val="6"/>
            <filter val="9"/>
          </filters>
        </filterColumn>
      </autoFilter>
    </customSheetView>
    <customSheetView guid="{2A8AA8A9-D849-43BE-B128-2DCE8081808F}" filter="1" showAutoFilter="1">
      <selection activeCell="B88" sqref="B88"/>
      <pageMargins left="0.7" right="0.7" top="0.75" bottom="0.75" header="0.3" footer="0.3"/>
      <autoFilter ref="B1:D73">
        <filterColumn colId="2">
          <filters>
            <filter val="1"/>
            <filter val="3"/>
            <filter val="6"/>
            <filter val="9"/>
          </filters>
        </filterColumn>
      </autoFilter>
    </customSheetView>
    <customSheetView guid="{E07775A8-4E8E-4F0F-ABD4-8C1611285DFF}" scale="55" showAutoFilter="1" topLeftCell="A52">
      <selection activeCell="C88" sqref="C88"/>
      <pageMargins left="0.7" right="0.7" top="0.75" bottom="0.75" header="0.3" footer="0.3"/>
      <autoFilter ref="B1:D89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H696"/>
  <sheetViews>
    <sheetView topLeftCell="A250" workbookViewId="0">
      <selection activeCell="B265" sqref="B265"/>
    </sheetView>
  </sheetViews>
  <sheetFormatPr defaultRowHeight="15" x14ac:dyDescent="0.25"/>
  <cols>
    <col min="1" max="1" width="9.140625" style="28"/>
    <col min="2" max="2" width="98.5703125" style="28" bestFit="1" customWidth="1"/>
    <col min="3" max="3" width="16.140625" style="28" customWidth="1"/>
    <col min="4" max="16384" width="9.140625" style="28"/>
  </cols>
  <sheetData>
    <row r="2" spans="2:7" x14ac:dyDescent="0.25">
      <c r="B2" s="28" t="s">
        <v>618</v>
      </c>
      <c r="C2" s="28">
        <v>1133530</v>
      </c>
    </row>
    <row r="3" spans="2:7" x14ac:dyDescent="0.25">
      <c r="B3" s="28" t="s">
        <v>619</v>
      </c>
      <c r="C3" s="28" t="s">
        <v>6</v>
      </c>
      <c r="D3" s="28">
        <v>-0.2</v>
      </c>
      <c r="E3" s="28">
        <v>1</v>
      </c>
      <c r="F3" s="28">
        <v>0</v>
      </c>
      <c r="G3" s="28">
        <v>4940775</v>
      </c>
    </row>
    <row r="4" spans="2:7" x14ac:dyDescent="0.25">
      <c r="B4" s="28" t="s">
        <v>619</v>
      </c>
      <c r="C4" s="28" t="s">
        <v>6</v>
      </c>
      <c r="D4" s="28">
        <v>-0.2</v>
      </c>
      <c r="E4" s="28">
        <v>1</v>
      </c>
      <c r="F4" s="28">
        <v>0</v>
      </c>
      <c r="G4" s="28">
        <v>4940776</v>
      </c>
    </row>
    <row r="5" spans="2:7" x14ac:dyDescent="0.25">
      <c r="B5" s="28" t="s">
        <v>620</v>
      </c>
      <c r="C5" s="28">
        <v>1202652</v>
      </c>
    </row>
    <row r="6" spans="2:7" x14ac:dyDescent="0.25">
      <c r="B6" s="28" t="s">
        <v>621</v>
      </c>
      <c r="C6" s="28" t="s">
        <v>6</v>
      </c>
      <c r="D6" s="28">
        <v>-0.2</v>
      </c>
      <c r="E6" s="28">
        <v>1</v>
      </c>
      <c r="F6" s="28">
        <v>0</v>
      </c>
      <c r="G6" s="28">
        <v>4940794</v>
      </c>
    </row>
    <row r="7" spans="2:7" x14ac:dyDescent="0.25">
      <c r="B7" s="28" t="s">
        <v>622</v>
      </c>
      <c r="C7" s="28" t="s">
        <v>6</v>
      </c>
      <c r="D7" s="28">
        <v>-0.2</v>
      </c>
      <c r="E7" s="28">
        <v>1</v>
      </c>
      <c r="F7" s="28">
        <v>0</v>
      </c>
      <c r="G7" s="28">
        <v>4940795</v>
      </c>
    </row>
    <row r="8" spans="2:7" x14ac:dyDescent="0.25">
      <c r="B8" s="28" t="s">
        <v>622</v>
      </c>
      <c r="C8" s="28" t="s">
        <v>6</v>
      </c>
      <c r="D8" s="28">
        <v>-0.2</v>
      </c>
      <c r="E8" s="28">
        <v>1</v>
      </c>
      <c r="F8" s="28">
        <v>0</v>
      </c>
      <c r="G8" s="28">
        <v>4940796</v>
      </c>
    </row>
    <row r="9" spans="2:7" x14ac:dyDescent="0.25">
      <c r="B9" s="28" t="s">
        <v>619</v>
      </c>
      <c r="C9" s="28" t="s">
        <v>6</v>
      </c>
      <c r="D9" s="28">
        <v>-0.2</v>
      </c>
      <c r="E9" s="28">
        <v>1</v>
      </c>
      <c r="F9" s="28">
        <v>0</v>
      </c>
      <c r="G9" s="28">
        <v>4940797</v>
      </c>
    </row>
    <row r="10" spans="2:7" x14ac:dyDescent="0.25">
      <c r="B10" s="28" t="s">
        <v>622</v>
      </c>
      <c r="C10" s="28" t="s">
        <v>6</v>
      </c>
      <c r="D10" s="28">
        <v>-0.2</v>
      </c>
      <c r="E10" s="28">
        <v>1</v>
      </c>
      <c r="F10" s="28">
        <v>0</v>
      </c>
      <c r="G10" s="28">
        <v>4940798</v>
      </c>
    </row>
    <row r="11" spans="2:7" x14ac:dyDescent="0.25">
      <c r="B11" s="28" t="s">
        <v>622</v>
      </c>
      <c r="C11" s="28" t="s">
        <v>6</v>
      </c>
      <c r="D11" s="28">
        <v>-0.2</v>
      </c>
      <c r="E11" s="28">
        <v>1</v>
      </c>
      <c r="F11" s="28">
        <v>0</v>
      </c>
      <c r="G11" s="28">
        <v>4940799</v>
      </c>
    </row>
    <row r="12" spans="2:7" x14ac:dyDescent="0.25">
      <c r="B12" s="28" t="s">
        <v>622</v>
      </c>
      <c r="C12" s="28" t="s">
        <v>6</v>
      </c>
      <c r="D12" s="28">
        <v>-0.2</v>
      </c>
      <c r="E12" s="28">
        <v>1</v>
      </c>
      <c r="F12" s="28">
        <v>0</v>
      </c>
      <c r="G12" s="28">
        <v>4940800</v>
      </c>
    </row>
    <row r="13" spans="2:7" x14ac:dyDescent="0.25">
      <c r="B13" s="28" t="s">
        <v>623</v>
      </c>
      <c r="C13" s="28">
        <v>1295814</v>
      </c>
    </row>
    <row r="14" spans="2:7" x14ac:dyDescent="0.25">
      <c r="B14" s="28" t="s">
        <v>619</v>
      </c>
      <c r="C14" s="28" t="s">
        <v>782</v>
      </c>
      <c r="D14" s="28">
        <v>-1</v>
      </c>
      <c r="E14" s="28">
        <v>-0.3</v>
      </c>
      <c r="F14" s="28">
        <v>0</v>
      </c>
      <c r="G14" s="28">
        <v>4838638</v>
      </c>
    </row>
    <row r="15" spans="2:7" x14ac:dyDescent="0.25">
      <c r="B15" s="28" t="s">
        <v>621</v>
      </c>
      <c r="C15" s="28" t="s">
        <v>782</v>
      </c>
      <c r="D15" s="28">
        <v>-1</v>
      </c>
      <c r="E15" s="28">
        <v>-0.3</v>
      </c>
      <c r="F15" s="28">
        <v>0</v>
      </c>
      <c r="G15" s="28">
        <v>4838639</v>
      </c>
    </row>
    <row r="16" spans="2:7" x14ac:dyDescent="0.25">
      <c r="B16" s="28" t="s">
        <v>619</v>
      </c>
      <c r="C16" s="28" t="s">
        <v>782</v>
      </c>
      <c r="D16" s="28">
        <v>-1</v>
      </c>
      <c r="E16" s="28">
        <v>-0.3</v>
      </c>
      <c r="F16" s="28">
        <v>0</v>
      </c>
      <c r="G16" s="28">
        <v>4838640</v>
      </c>
    </row>
    <row r="17" spans="2:7" x14ac:dyDescent="0.25">
      <c r="B17" s="28" t="s">
        <v>619</v>
      </c>
      <c r="C17" s="28" t="s">
        <v>782</v>
      </c>
      <c r="D17" s="28">
        <v>-1</v>
      </c>
      <c r="E17" s="28">
        <v>-0.3</v>
      </c>
      <c r="F17" s="28">
        <v>0</v>
      </c>
      <c r="G17" s="28">
        <v>4838645</v>
      </c>
    </row>
    <row r="18" spans="2:7" x14ac:dyDescent="0.25">
      <c r="B18" s="28" t="s">
        <v>621</v>
      </c>
      <c r="C18" s="28" t="s">
        <v>782</v>
      </c>
      <c r="D18" s="28">
        <v>-1</v>
      </c>
      <c r="E18" s="28">
        <v>-0.3</v>
      </c>
      <c r="F18" s="28">
        <v>0</v>
      </c>
      <c r="G18" s="28">
        <v>4913555</v>
      </c>
    </row>
    <row r="19" spans="2:7" x14ac:dyDescent="0.25">
      <c r="B19" s="28" t="s">
        <v>621</v>
      </c>
      <c r="C19" s="28" t="s">
        <v>782</v>
      </c>
      <c r="D19" s="28">
        <v>-1</v>
      </c>
      <c r="E19" s="28">
        <v>-0.3</v>
      </c>
      <c r="F19" s="28">
        <v>0</v>
      </c>
      <c r="G19" s="28">
        <v>4913556</v>
      </c>
    </row>
    <row r="20" spans="2:7" x14ac:dyDescent="0.25">
      <c r="B20" s="28" t="s">
        <v>621</v>
      </c>
      <c r="C20" s="28" t="s">
        <v>782</v>
      </c>
      <c r="D20" s="28">
        <v>-1</v>
      </c>
      <c r="E20" s="28">
        <v>-0.3</v>
      </c>
      <c r="F20" s="28">
        <v>0</v>
      </c>
      <c r="G20" s="28">
        <v>4913557</v>
      </c>
    </row>
    <row r="21" spans="2:7" x14ac:dyDescent="0.25">
      <c r="B21" s="28" t="s">
        <v>621</v>
      </c>
      <c r="C21" s="28" t="s">
        <v>782</v>
      </c>
      <c r="D21" s="28">
        <v>-1</v>
      </c>
      <c r="E21" s="28">
        <v>-0.3</v>
      </c>
      <c r="F21" s="28">
        <v>0</v>
      </c>
      <c r="G21" s="28">
        <v>5143652</v>
      </c>
    </row>
    <row r="22" spans="2:7" x14ac:dyDescent="0.25">
      <c r="B22" s="28" t="s">
        <v>621</v>
      </c>
      <c r="C22" s="28" t="s">
        <v>782</v>
      </c>
      <c r="D22" s="28">
        <v>-1</v>
      </c>
      <c r="E22" s="28">
        <v>-0.3</v>
      </c>
      <c r="F22" s="28">
        <v>0</v>
      </c>
      <c r="G22" s="28">
        <v>5143653</v>
      </c>
    </row>
    <row r="23" spans="2:7" x14ac:dyDescent="0.25">
      <c r="B23" s="28" t="s">
        <v>621</v>
      </c>
      <c r="C23" s="28" t="s">
        <v>782</v>
      </c>
      <c r="D23" s="28">
        <v>-1</v>
      </c>
      <c r="E23" s="28">
        <v>-0.3</v>
      </c>
      <c r="F23" s="28">
        <v>0</v>
      </c>
      <c r="G23" s="28">
        <v>5143654</v>
      </c>
    </row>
    <row r="24" spans="2:7" x14ac:dyDescent="0.25">
      <c r="B24" s="28" t="s">
        <v>621</v>
      </c>
      <c r="C24" s="28" t="s">
        <v>782</v>
      </c>
      <c r="D24" s="28">
        <v>-1</v>
      </c>
      <c r="E24" s="28">
        <v>-0.3</v>
      </c>
      <c r="F24" s="28">
        <v>0</v>
      </c>
      <c r="G24" s="28">
        <v>5143655</v>
      </c>
    </row>
    <row r="25" spans="2:7" x14ac:dyDescent="0.25">
      <c r="B25" s="28" t="s">
        <v>621</v>
      </c>
      <c r="C25" s="28" t="s">
        <v>782</v>
      </c>
      <c r="D25" s="28">
        <v>-1</v>
      </c>
      <c r="E25" s="28">
        <v>-0.3</v>
      </c>
      <c r="F25" s="28">
        <v>0</v>
      </c>
      <c r="G25" s="28">
        <v>5143656</v>
      </c>
    </row>
    <row r="26" spans="2:7" x14ac:dyDescent="0.25">
      <c r="B26" s="28" t="s">
        <v>621</v>
      </c>
      <c r="C26" s="28" t="s">
        <v>782</v>
      </c>
      <c r="D26" s="28">
        <v>-1</v>
      </c>
      <c r="E26" s="28">
        <v>-0.3</v>
      </c>
      <c r="F26" s="28">
        <v>0</v>
      </c>
      <c r="G26" s="28">
        <v>5143657</v>
      </c>
    </row>
    <row r="27" spans="2:7" x14ac:dyDescent="0.25">
      <c r="B27" s="28" t="s">
        <v>621</v>
      </c>
      <c r="C27" s="28" t="s">
        <v>782</v>
      </c>
      <c r="D27" s="28">
        <v>-1</v>
      </c>
      <c r="E27" s="28">
        <v>-0.3</v>
      </c>
      <c r="F27" s="28">
        <v>0</v>
      </c>
      <c r="G27" s="28">
        <v>5143658</v>
      </c>
    </row>
    <row r="28" spans="2:7" x14ac:dyDescent="0.25">
      <c r="B28" s="28" t="s">
        <v>625</v>
      </c>
      <c r="C28" s="28">
        <v>1295976</v>
      </c>
    </row>
    <row r="29" spans="2:7" x14ac:dyDescent="0.25">
      <c r="B29" s="28" t="s">
        <v>622</v>
      </c>
      <c r="C29" s="28" t="s">
        <v>783</v>
      </c>
      <c r="D29" s="28">
        <v>-1</v>
      </c>
      <c r="E29" s="28">
        <v>-0.2</v>
      </c>
      <c r="F29" s="28">
        <v>0</v>
      </c>
      <c r="G29" s="28">
        <v>4913575</v>
      </c>
    </row>
    <row r="30" spans="2:7" x14ac:dyDescent="0.25">
      <c r="B30" s="28" t="s">
        <v>621</v>
      </c>
      <c r="C30" s="28" t="s">
        <v>783</v>
      </c>
      <c r="D30" s="28">
        <v>-1</v>
      </c>
      <c r="E30" s="28">
        <v>-0.2</v>
      </c>
      <c r="F30" s="28">
        <v>0</v>
      </c>
      <c r="G30" s="28">
        <v>4913576</v>
      </c>
    </row>
    <row r="31" spans="2:7" x14ac:dyDescent="0.25">
      <c r="B31" s="28" t="s">
        <v>621</v>
      </c>
      <c r="C31" s="28" t="s">
        <v>783</v>
      </c>
      <c r="D31" s="28">
        <v>-1</v>
      </c>
      <c r="E31" s="28">
        <v>-0.2</v>
      </c>
      <c r="F31" s="28">
        <v>0</v>
      </c>
      <c r="G31" s="28">
        <v>4913577</v>
      </c>
    </row>
    <row r="32" spans="2:7" x14ac:dyDescent="0.25">
      <c r="B32" s="28" t="s">
        <v>621</v>
      </c>
      <c r="C32" s="28" t="s">
        <v>783</v>
      </c>
      <c r="D32" s="28">
        <v>-1</v>
      </c>
      <c r="E32" s="28">
        <v>-0.2</v>
      </c>
      <c r="F32" s="28">
        <v>0</v>
      </c>
      <c r="G32" s="28">
        <v>5143375</v>
      </c>
    </row>
    <row r="33" spans="2:7" x14ac:dyDescent="0.25">
      <c r="B33" s="28" t="s">
        <v>627</v>
      </c>
      <c r="C33" s="28">
        <v>1295992</v>
      </c>
    </row>
    <row r="34" spans="2:7" x14ac:dyDescent="0.25">
      <c r="B34" s="28" t="s">
        <v>621</v>
      </c>
      <c r="C34" s="28" t="s">
        <v>783</v>
      </c>
      <c r="D34" s="28">
        <v>-1</v>
      </c>
      <c r="E34" s="28">
        <v>-0.2</v>
      </c>
      <c r="F34" s="28">
        <v>0</v>
      </c>
      <c r="G34" s="28">
        <v>4913578</v>
      </c>
    </row>
    <row r="35" spans="2:7" x14ac:dyDescent="0.25">
      <c r="B35" s="28" t="s">
        <v>621</v>
      </c>
      <c r="C35" s="28" t="s">
        <v>783</v>
      </c>
      <c r="D35" s="28">
        <v>-1</v>
      </c>
      <c r="E35" s="28">
        <v>-0.2</v>
      </c>
      <c r="F35" s="28">
        <v>0</v>
      </c>
      <c r="G35" s="28">
        <v>4913579</v>
      </c>
    </row>
    <row r="36" spans="2:7" x14ac:dyDescent="0.25">
      <c r="B36" s="28" t="s">
        <v>621</v>
      </c>
      <c r="C36" s="28" t="s">
        <v>783</v>
      </c>
      <c r="D36" s="28">
        <v>-1</v>
      </c>
      <c r="E36" s="28">
        <v>-0.2</v>
      </c>
      <c r="F36" s="28">
        <v>0</v>
      </c>
      <c r="G36" s="28">
        <v>4913580</v>
      </c>
    </row>
    <row r="37" spans="2:7" x14ac:dyDescent="0.25">
      <c r="B37" s="28" t="s">
        <v>621</v>
      </c>
      <c r="C37" s="28" t="s">
        <v>783</v>
      </c>
      <c r="D37" s="28">
        <v>-1</v>
      </c>
      <c r="E37" s="28">
        <v>-0.2</v>
      </c>
      <c r="F37" s="28">
        <v>0</v>
      </c>
      <c r="G37" s="28">
        <v>4913581</v>
      </c>
    </row>
    <row r="38" spans="2:7" x14ac:dyDescent="0.25">
      <c r="B38" s="28" t="s">
        <v>621</v>
      </c>
      <c r="C38" s="28" t="s">
        <v>783</v>
      </c>
      <c r="D38" s="28">
        <v>-1</v>
      </c>
      <c r="E38" s="28">
        <v>-0.2</v>
      </c>
      <c r="F38" s="28">
        <v>0</v>
      </c>
      <c r="G38" s="28">
        <v>4913582</v>
      </c>
    </row>
    <row r="39" spans="2:7" x14ac:dyDescent="0.25">
      <c r="B39" s="28" t="s">
        <v>621</v>
      </c>
      <c r="C39" s="28" t="s">
        <v>783</v>
      </c>
      <c r="D39" s="28">
        <v>-1</v>
      </c>
      <c r="E39" s="28">
        <v>-0.2</v>
      </c>
      <c r="F39" s="28">
        <v>0</v>
      </c>
      <c r="G39" s="28">
        <v>4913584</v>
      </c>
    </row>
    <row r="40" spans="2:7" x14ac:dyDescent="0.25">
      <c r="B40" s="28" t="s">
        <v>621</v>
      </c>
      <c r="C40" s="28" t="s">
        <v>783</v>
      </c>
      <c r="D40" s="28">
        <v>-1</v>
      </c>
      <c r="E40" s="28">
        <v>-0.2</v>
      </c>
      <c r="F40" s="28">
        <v>0</v>
      </c>
      <c r="G40" s="28">
        <v>4913585</v>
      </c>
    </row>
    <row r="41" spans="2:7" x14ac:dyDescent="0.25">
      <c r="B41" s="28" t="s">
        <v>621</v>
      </c>
      <c r="C41" s="28" t="s">
        <v>783</v>
      </c>
      <c r="D41" s="28">
        <v>-1</v>
      </c>
      <c r="E41" s="28">
        <v>-0.2</v>
      </c>
      <c r="F41" s="28">
        <v>0</v>
      </c>
      <c r="G41" s="28">
        <v>5143376</v>
      </c>
    </row>
    <row r="42" spans="2:7" x14ac:dyDescent="0.25">
      <c r="B42" s="28" t="s">
        <v>621</v>
      </c>
      <c r="C42" s="28" t="s">
        <v>783</v>
      </c>
      <c r="D42" s="28">
        <v>-1</v>
      </c>
      <c r="E42" s="28">
        <v>-0.2</v>
      </c>
      <c r="F42" s="28">
        <v>0</v>
      </c>
      <c r="G42" s="28">
        <v>5143377</v>
      </c>
    </row>
    <row r="43" spans="2:7" x14ac:dyDescent="0.25">
      <c r="B43" s="28" t="s">
        <v>621</v>
      </c>
      <c r="C43" s="28" t="s">
        <v>783</v>
      </c>
      <c r="D43" s="28">
        <v>-1</v>
      </c>
      <c r="E43" s="28">
        <v>-0.2</v>
      </c>
      <c r="F43" s="28">
        <v>0</v>
      </c>
      <c r="G43" s="28">
        <v>5143378</v>
      </c>
    </row>
    <row r="44" spans="2:7" x14ac:dyDescent="0.25">
      <c r="B44" s="28" t="s">
        <v>621</v>
      </c>
      <c r="C44" s="28" t="s">
        <v>783</v>
      </c>
      <c r="D44" s="28">
        <v>-1</v>
      </c>
      <c r="E44" s="28">
        <v>-0.2</v>
      </c>
      <c r="F44" s="28">
        <v>0</v>
      </c>
      <c r="G44" s="28">
        <v>5143379</v>
      </c>
    </row>
    <row r="45" spans="2:7" x14ac:dyDescent="0.25">
      <c r="B45" s="28" t="s">
        <v>621</v>
      </c>
      <c r="C45" s="28" t="s">
        <v>783</v>
      </c>
      <c r="D45" s="28">
        <v>-1</v>
      </c>
      <c r="E45" s="28">
        <v>-0.2</v>
      </c>
      <c r="F45" s="28">
        <v>0</v>
      </c>
      <c r="G45" s="28">
        <v>5143380</v>
      </c>
    </row>
    <row r="46" spans="2:7" x14ac:dyDescent="0.25">
      <c r="B46" s="28" t="s">
        <v>621</v>
      </c>
      <c r="C46" s="28" t="s">
        <v>783</v>
      </c>
      <c r="D46" s="28">
        <v>-1</v>
      </c>
      <c r="E46" s="28">
        <v>-0.2</v>
      </c>
      <c r="F46" s="28">
        <v>0</v>
      </c>
      <c r="G46" s="28">
        <v>5143382</v>
      </c>
    </row>
    <row r="47" spans="2:7" x14ac:dyDescent="0.25">
      <c r="B47" s="28" t="s">
        <v>621</v>
      </c>
      <c r="C47" s="28" t="s">
        <v>783</v>
      </c>
      <c r="D47" s="28">
        <v>-1</v>
      </c>
      <c r="E47" s="28">
        <v>-0.2</v>
      </c>
      <c r="F47" s="28">
        <v>0</v>
      </c>
      <c r="G47" s="28">
        <v>5143383</v>
      </c>
    </row>
    <row r="48" spans="2:7" x14ac:dyDescent="0.25">
      <c r="B48" s="28" t="s">
        <v>628</v>
      </c>
      <c r="C48" s="28">
        <v>1296071</v>
      </c>
    </row>
    <row r="49" spans="2:7" x14ac:dyDescent="0.25">
      <c r="B49" s="28" t="s">
        <v>629</v>
      </c>
      <c r="C49" s="28" t="s">
        <v>783</v>
      </c>
      <c r="D49" s="28">
        <v>-1</v>
      </c>
      <c r="E49" s="28">
        <v>-0.2</v>
      </c>
      <c r="F49" s="28">
        <v>0</v>
      </c>
      <c r="G49" s="28">
        <v>4661514</v>
      </c>
    </row>
    <row r="50" spans="2:7" x14ac:dyDescent="0.25">
      <c r="B50" s="28" t="s">
        <v>619</v>
      </c>
      <c r="C50" s="28" t="s">
        <v>783</v>
      </c>
      <c r="D50" s="28">
        <v>-1</v>
      </c>
      <c r="E50" s="28">
        <v>-0.2</v>
      </c>
      <c r="F50" s="28">
        <v>0</v>
      </c>
      <c r="G50" s="28">
        <v>4913562</v>
      </c>
    </row>
    <row r="51" spans="2:7" x14ac:dyDescent="0.25">
      <c r="B51" s="28" t="s">
        <v>622</v>
      </c>
      <c r="C51" s="28" t="s">
        <v>783</v>
      </c>
      <c r="D51" s="28">
        <v>-1</v>
      </c>
      <c r="E51" s="28">
        <v>-0.2</v>
      </c>
      <c r="F51" s="28">
        <v>0</v>
      </c>
      <c r="G51" s="28">
        <v>4913563</v>
      </c>
    </row>
    <row r="52" spans="2:7" x14ac:dyDescent="0.25">
      <c r="B52" s="28" t="s">
        <v>622</v>
      </c>
      <c r="C52" s="28" t="s">
        <v>783</v>
      </c>
      <c r="D52" s="28">
        <v>-1</v>
      </c>
      <c r="E52" s="28">
        <v>-0.2</v>
      </c>
      <c r="F52" s="28">
        <v>0</v>
      </c>
      <c r="G52" s="28">
        <v>4913564</v>
      </c>
    </row>
    <row r="53" spans="2:7" x14ac:dyDescent="0.25">
      <c r="B53" s="28" t="s">
        <v>622</v>
      </c>
      <c r="C53" s="28" t="s">
        <v>783</v>
      </c>
      <c r="D53" s="28">
        <v>-1</v>
      </c>
      <c r="E53" s="28">
        <v>-0.2</v>
      </c>
      <c r="F53" s="28">
        <v>0</v>
      </c>
      <c r="G53" s="28">
        <v>4913565</v>
      </c>
    </row>
    <row r="54" spans="2:7" x14ac:dyDescent="0.25">
      <c r="B54" s="28" t="s">
        <v>622</v>
      </c>
      <c r="C54" s="28" t="s">
        <v>783</v>
      </c>
      <c r="D54" s="28">
        <v>-1</v>
      </c>
      <c r="E54" s="28">
        <v>-0.2</v>
      </c>
      <c r="F54" s="28">
        <v>0</v>
      </c>
      <c r="G54" s="28">
        <v>4913566</v>
      </c>
    </row>
    <row r="55" spans="2:7" x14ac:dyDescent="0.25">
      <c r="B55" s="28" t="s">
        <v>622</v>
      </c>
      <c r="C55" s="28" t="s">
        <v>783</v>
      </c>
      <c r="D55" s="28">
        <v>-1</v>
      </c>
      <c r="E55" s="28">
        <v>-0.2</v>
      </c>
      <c r="F55" s="28">
        <v>0</v>
      </c>
      <c r="G55" s="28">
        <v>4913567</v>
      </c>
    </row>
    <row r="56" spans="2:7" x14ac:dyDescent="0.25">
      <c r="B56" s="28" t="s">
        <v>622</v>
      </c>
      <c r="C56" s="28" t="s">
        <v>783</v>
      </c>
      <c r="D56" s="28">
        <v>-1</v>
      </c>
      <c r="E56" s="28">
        <v>-0.2</v>
      </c>
      <c r="F56" s="28">
        <v>0</v>
      </c>
      <c r="G56" s="28">
        <v>4913568</v>
      </c>
    </row>
    <row r="57" spans="2:7" x14ac:dyDescent="0.25">
      <c r="B57" s="28" t="s">
        <v>619</v>
      </c>
      <c r="C57" s="28" t="s">
        <v>783</v>
      </c>
      <c r="D57" s="28">
        <v>-1</v>
      </c>
      <c r="E57" s="28">
        <v>-0.2</v>
      </c>
      <c r="F57" s="28">
        <v>0</v>
      </c>
      <c r="G57" s="28">
        <v>4913569</v>
      </c>
    </row>
    <row r="58" spans="2:7" x14ac:dyDescent="0.25">
      <c r="B58" s="28" t="s">
        <v>619</v>
      </c>
      <c r="C58" s="28" t="s">
        <v>329</v>
      </c>
      <c r="D58" s="28">
        <v>0.3</v>
      </c>
      <c r="E58" s="28">
        <v>-0.9</v>
      </c>
      <c r="F58" s="28">
        <v>0</v>
      </c>
      <c r="G58" s="28">
        <v>4913586</v>
      </c>
    </row>
    <row r="59" spans="2:7" x14ac:dyDescent="0.25">
      <c r="B59" s="28" t="s">
        <v>619</v>
      </c>
      <c r="C59" s="28" t="s">
        <v>329</v>
      </c>
      <c r="D59" s="28">
        <v>0.3</v>
      </c>
      <c r="E59" s="28">
        <v>-0.9</v>
      </c>
      <c r="F59" s="28">
        <v>0</v>
      </c>
      <c r="G59" s="28">
        <v>4913587</v>
      </c>
    </row>
    <row r="60" spans="2:7" x14ac:dyDescent="0.25">
      <c r="B60" s="28" t="s">
        <v>619</v>
      </c>
      <c r="C60" s="28" t="s">
        <v>329</v>
      </c>
      <c r="D60" s="28">
        <v>0.3</v>
      </c>
      <c r="E60" s="28">
        <v>-0.9</v>
      </c>
      <c r="F60" s="28">
        <v>0</v>
      </c>
      <c r="G60" s="28">
        <v>4913588</v>
      </c>
    </row>
    <row r="61" spans="2:7" x14ac:dyDescent="0.25">
      <c r="B61" s="28" t="s">
        <v>621</v>
      </c>
      <c r="C61" s="28" t="s">
        <v>329</v>
      </c>
      <c r="D61" s="28">
        <v>0.3</v>
      </c>
      <c r="E61" s="28">
        <v>-0.9</v>
      </c>
      <c r="F61" s="28">
        <v>0</v>
      </c>
      <c r="G61" s="28">
        <v>4913589</v>
      </c>
    </row>
    <row r="62" spans="2:7" x14ac:dyDescent="0.25">
      <c r="B62" s="28" t="s">
        <v>621</v>
      </c>
      <c r="C62" s="28" t="s">
        <v>784</v>
      </c>
      <c r="D62" s="28">
        <v>-1</v>
      </c>
      <c r="E62" s="28">
        <v>0</v>
      </c>
      <c r="F62" s="28">
        <v>0</v>
      </c>
      <c r="G62" s="28">
        <v>4913642</v>
      </c>
    </row>
    <row r="63" spans="2:7" x14ac:dyDescent="0.25">
      <c r="B63" s="28" t="s">
        <v>785</v>
      </c>
      <c r="C63" s="28">
        <v>1296155</v>
      </c>
    </row>
    <row r="64" spans="2:7" x14ac:dyDescent="0.25">
      <c r="B64" s="28" t="s">
        <v>786</v>
      </c>
      <c r="C64" s="28" t="s">
        <v>5</v>
      </c>
      <c r="D64" s="28">
        <v>0.2</v>
      </c>
      <c r="E64" s="28">
        <v>-1</v>
      </c>
      <c r="F64" s="28">
        <v>0</v>
      </c>
      <c r="G64" s="28">
        <v>6905360</v>
      </c>
    </row>
    <row r="65" spans="2:7" x14ac:dyDescent="0.25">
      <c r="B65" s="28" t="s">
        <v>787</v>
      </c>
      <c r="C65" s="28" t="s">
        <v>5</v>
      </c>
      <c r="D65" s="28">
        <v>0.2</v>
      </c>
      <c r="E65" s="28">
        <v>-1</v>
      </c>
      <c r="F65" s="28">
        <v>0</v>
      </c>
      <c r="G65" s="28">
        <v>6905361</v>
      </c>
    </row>
    <row r="66" spans="2:7" x14ac:dyDescent="0.25">
      <c r="B66" s="28" t="s">
        <v>631</v>
      </c>
      <c r="C66" s="28">
        <v>1296191</v>
      </c>
    </row>
    <row r="67" spans="2:7" x14ac:dyDescent="0.25">
      <c r="B67" s="28" t="s">
        <v>621</v>
      </c>
      <c r="C67" s="28" t="s">
        <v>6</v>
      </c>
      <c r="D67" s="28">
        <v>-0.2</v>
      </c>
      <c r="E67" s="28">
        <v>1</v>
      </c>
      <c r="F67" s="28">
        <v>0</v>
      </c>
      <c r="G67" s="28">
        <v>5280256</v>
      </c>
    </row>
    <row r="68" spans="2:7" x14ac:dyDescent="0.25">
      <c r="B68" s="28" t="s">
        <v>621</v>
      </c>
      <c r="C68" s="28" t="s">
        <v>6</v>
      </c>
      <c r="D68" s="28">
        <v>-0.2</v>
      </c>
      <c r="E68" s="28">
        <v>1</v>
      </c>
      <c r="F68" s="28">
        <v>0</v>
      </c>
      <c r="G68" s="28">
        <v>5280303</v>
      </c>
    </row>
    <row r="69" spans="2:7" x14ac:dyDescent="0.25">
      <c r="B69" s="28" t="s">
        <v>621</v>
      </c>
      <c r="C69" s="28" t="s">
        <v>6</v>
      </c>
      <c r="D69" s="28">
        <v>-0.2</v>
      </c>
      <c r="E69" s="28">
        <v>1</v>
      </c>
      <c r="F69" s="28">
        <v>0</v>
      </c>
      <c r="G69" s="28">
        <v>5280392</v>
      </c>
    </row>
    <row r="70" spans="2:7" x14ac:dyDescent="0.25">
      <c r="B70" s="28" t="s">
        <v>621</v>
      </c>
      <c r="C70" s="28" t="s">
        <v>6</v>
      </c>
      <c r="D70" s="28">
        <v>-0.2</v>
      </c>
      <c r="E70" s="28">
        <v>1</v>
      </c>
      <c r="F70" s="28">
        <v>0</v>
      </c>
      <c r="G70" s="28">
        <v>5280780</v>
      </c>
    </row>
    <row r="71" spans="2:7" x14ac:dyDescent="0.25">
      <c r="B71" s="28" t="s">
        <v>621</v>
      </c>
      <c r="C71" s="28" t="s">
        <v>6</v>
      </c>
      <c r="D71" s="28">
        <v>-0.2</v>
      </c>
      <c r="E71" s="28">
        <v>1</v>
      </c>
      <c r="F71" s="28">
        <v>0</v>
      </c>
      <c r="G71" s="28">
        <v>5282409</v>
      </c>
    </row>
    <row r="72" spans="2:7" x14ac:dyDescent="0.25">
      <c r="B72" s="28" t="s">
        <v>621</v>
      </c>
      <c r="C72" s="28" t="s">
        <v>6</v>
      </c>
      <c r="D72" s="28">
        <v>-0.2</v>
      </c>
      <c r="E72" s="28">
        <v>1</v>
      </c>
      <c r="F72" s="28">
        <v>0</v>
      </c>
      <c r="G72" s="28">
        <v>5282410</v>
      </c>
    </row>
    <row r="73" spans="2:7" x14ac:dyDescent="0.25">
      <c r="B73" s="28" t="s">
        <v>621</v>
      </c>
      <c r="C73" s="28" t="s">
        <v>6</v>
      </c>
      <c r="D73" s="28">
        <v>-0.2</v>
      </c>
      <c r="E73" s="28">
        <v>1</v>
      </c>
      <c r="F73" s="28">
        <v>0</v>
      </c>
      <c r="G73" s="28">
        <v>5282411</v>
      </c>
    </row>
    <row r="74" spans="2:7" x14ac:dyDescent="0.25">
      <c r="B74" s="28" t="s">
        <v>621</v>
      </c>
      <c r="C74" s="28" t="s">
        <v>6</v>
      </c>
      <c r="D74" s="28">
        <v>-0.2</v>
      </c>
      <c r="E74" s="28">
        <v>1</v>
      </c>
      <c r="F74" s="28">
        <v>0</v>
      </c>
      <c r="G74" s="28">
        <v>5282412</v>
      </c>
    </row>
    <row r="75" spans="2:7" x14ac:dyDescent="0.25">
      <c r="B75" s="28" t="s">
        <v>621</v>
      </c>
      <c r="C75" s="28" t="s">
        <v>6</v>
      </c>
      <c r="D75" s="28">
        <v>-0.2</v>
      </c>
      <c r="E75" s="28">
        <v>1</v>
      </c>
      <c r="F75" s="28">
        <v>0</v>
      </c>
      <c r="G75" s="28">
        <v>5282679</v>
      </c>
    </row>
    <row r="76" spans="2:7" x14ac:dyDescent="0.25">
      <c r="B76" s="28" t="s">
        <v>632</v>
      </c>
      <c r="C76" s="28">
        <v>1296195</v>
      </c>
    </row>
    <row r="77" spans="2:7" x14ac:dyDescent="0.25">
      <c r="B77" s="28" t="s">
        <v>619</v>
      </c>
      <c r="C77" s="28" t="s">
        <v>6</v>
      </c>
      <c r="D77" s="28">
        <v>-0.2</v>
      </c>
      <c r="E77" s="28">
        <v>1</v>
      </c>
      <c r="F77" s="28">
        <v>0</v>
      </c>
      <c r="G77" s="28">
        <v>4940773</v>
      </c>
    </row>
    <row r="78" spans="2:7" x14ac:dyDescent="0.25">
      <c r="B78" s="28" t="s">
        <v>622</v>
      </c>
      <c r="C78" s="28" t="s">
        <v>6</v>
      </c>
      <c r="D78" s="28">
        <v>-0.2</v>
      </c>
      <c r="E78" s="28">
        <v>1</v>
      </c>
      <c r="F78" s="28">
        <v>0</v>
      </c>
      <c r="G78" s="28">
        <v>4940774</v>
      </c>
    </row>
    <row r="79" spans="2:7" x14ac:dyDescent="0.25">
      <c r="B79" s="28" t="s">
        <v>619</v>
      </c>
      <c r="C79" s="28" t="s">
        <v>6</v>
      </c>
      <c r="D79" s="28">
        <v>-0.2</v>
      </c>
      <c r="E79" s="28">
        <v>1</v>
      </c>
      <c r="F79" s="28">
        <v>0</v>
      </c>
      <c r="G79" s="28">
        <v>4940775</v>
      </c>
    </row>
    <row r="80" spans="2:7" x14ac:dyDescent="0.25">
      <c r="B80" s="28" t="s">
        <v>619</v>
      </c>
      <c r="C80" s="28" t="s">
        <v>6</v>
      </c>
      <c r="D80" s="28">
        <v>-0.2</v>
      </c>
      <c r="E80" s="28">
        <v>1</v>
      </c>
      <c r="F80" s="28">
        <v>0</v>
      </c>
      <c r="G80" s="28">
        <v>4940776</v>
      </c>
    </row>
    <row r="81" spans="2:7" x14ac:dyDescent="0.25">
      <c r="B81" s="28" t="s">
        <v>619</v>
      </c>
      <c r="C81" s="28" t="s">
        <v>6</v>
      </c>
      <c r="D81" s="28">
        <v>-0.2</v>
      </c>
      <c r="E81" s="28">
        <v>1</v>
      </c>
      <c r="F81" s="28">
        <v>0</v>
      </c>
      <c r="G81" s="28">
        <v>4940777</v>
      </c>
    </row>
    <row r="82" spans="2:7" x14ac:dyDescent="0.25">
      <c r="B82" s="28" t="s">
        <v>633</v>
      </c>
      <c r="C82" s="28">
        <v>1296197</v>
      </c>
    </row>
    <row r="83" spans="2:7" x14ac:dyDescent="0.25">
      <c r="B83" s="28" t="s">
        <v>621</v>
      </c>
      <c r="C83" s="28" t="s">
        <v>788</v>
      </c>
      <c r="D83" s="28">
        <v>-1</v>
      </c>
      <c r="E83" s="28">
        <v>0.3</v>
      </c>
      <c r="F83" s="28">
        <v>0</v>
      </c>
      <c r="G83" s="28">
        <v>4915175</v>
      </c>
    </row>
    <row r="84" spans="2:7" x14ac:dyDescent="0.25">
      <c r="B84" s="28" t="s">
        <v>621</v>
      </c>
      <c r="C84" s="28" t="s">
        <v>788</v>
      </c>
      <c r="D84" s="28">
        <v>-1</v>
      </c>
      <c r="E84" s="28">
        <v>0.3</v>
      </c>
      <c r="F84" s="28">
        <v>0</v>
      </c>
      <c r="G84" s="28">
        <v>4915176</v>
      </c>
    </row>
    <row r="85" spans="2:7" x14ac:dyDescent="0.25">
      <c r="B85" s="28" t="s">
        <v>621</v>
      </c>
      <c r="C85" s="28" t="s">
        <v>788</v>
      </c>
      <c r="D85" s="28">
        <v>-1</v>
      </c>
      <c r="E85" s="28">
        <v>0.3</v>
      </c>
      <c r="F85" s="28">
        <v>0</v>
      </c>
      <c r="G85" s="28">
        <v>4915177</v>
      </c>
    </row>
    <row r="86" spans="2:7" x14ac:dyDescent="0.25">
      <c r="B86" s="28" t="s">
        <v>634</v>
      </c>
      <c r="C86" s="28" t="s">
        <v>6</v>
      </c>
      <c r="D86" s="28">
        <v>-0.2</v>
      </c>
      <c r="E86" s="28">
        <v>1</v>
      </c>
      <c r="F86" s="28">
        <v>0</v>
      </c>
      <c r="G86" s="28">
        <v>4926055</v>
      </c>
    </row>
    <row r="87" spans="2:7" x14ac:dyDescent="0.25">
      <c r="B87" s="28" t="s">
        <v>619</v>
      </c>
      <c r="C87" s="28" t="s">
        <v>5</v>
      </c>
      <c r="D87" s="28">
        <v>0.2</v>
      </c>
      <c r="E87" s="28">
        <v>-1</v>
      </c>
      <c r="F87" s="28">
        <v>0</v>
      </c>
      <c r="G87" s="28">
        <v>4926058</v>
      </c>
    </row>
    <row r="88" spans="2:7" x14ac:dyDescent="0.25">
      <c r="B88" s="28" t="s">
        <v>619</v>
      </c>
      <c r="C88" s="28" t="s">
        <v>5</v>
      </c>
      <c r="D88" s="28">
        <v>0.2</v>
      </c>
      <c r="E88" s="28">
        <v>-1</v>
      </c>
      <c r="F88" s="28">
        <v>0</v>
      </c>
      <c r="G88" s="28">
        <v>4926059</v>
      </c>
    </row>
    <row r="89" spans="2:7" x14ac:dyDescent="0.25">
      <c r="B89" s="28" t="s">
        <v>619</v>
      </c>
      <c r="C89" s="28" t="s">
        <v>5</v>
      </c>
      <c r="D89" s="28">
        <v>0.2</v>
      </c>
      <c r="E89" s="28">
        <v>-1</v>
      </c>
      <c r="F89" s="28">
        <v>0</v>
      </c>
      <c r="G89" s="28">
        <v>4926060</v>
      </c>
    </row>
    <row r="90" spans="2:7" x14ac:dyDescent="0.25">
      <c r="B90" s="28" t="s">
        <v>622</v>
      </c>
      <c r="C90" s="28" t="s">
        <v>789</v>
      </c>
      <c r="D90" s="28">
        <v>-1</v>
      </c>
      <c r="E90" s="28">
        <v>0.3</v>
      </c>
      <c r="F90" s="28">
        <v>0</v>
      </c>
      <c r="G90" s="28">
        <v>4926061</v>
      </c>
    </row>
    <row r="91" spans="2:7" x14ac:dyDescent="0.25">
      <c r="B91" s="28" t="s">
        <v>622</v>
      </c>
      <c r="C91" s="28" t="s">
        <v>789</v>
      </c>
      <c r="D91" s="28">
        <v>-1</v>
      </c>
      <c r="E91" s="28">
        <v>0.3</v>
      </c>
      <c r="F91" s="28">
        <v>0</v>
      </c>
      <c r="G91" s="28">
        <v>4926062</v>
      </c>
    </row>
    <row r="92" spans="2:7" x14ac:dyDescent="0.25">
      <c r="B92" s="28" t="s">
        <v>622</v>
      </c>
      <c r="C92" s="28" t="s">
        <v>789</v>
      </c>
      <c r="D92" s="28">
        <v>-1</v>
      </c>
      <c r="E92" s="28">
        <v>0.3</v>
      </c>
      <c r="F92" s="28">
        <v>0</v>
      </c>
      <c r="G92" s="28">
        <v>4926063</v>
      </c>
    </row>
    <row r="93" spans="2:7" x14ac:dyDescent="0.25">
      <c r="B93" s="28" t="s">
        <v>619</v>
      </c>
      <c r="C93" s="28" t="s">
        <v>789</v>
      </c>
      <c r="D93" s="28">
        <v>-1</v>
      </c>
      <c r="E93" s="28">
        <v>0.3</v>
      </c>
      <c r="F93" s="28">
        <v>0</v>
      </c>
      <c r="G93" s="28">
        <v>4926064</v>
      </c>
    </row>
    <row r="94" spans="2:7" x14ac:dyDescent="0.25">
      <c r="B94" s="28" t="s">
        <v>622</v>
      </c>
      <c r="C94" s="28" t="s">
        <v>789</v>
      </c>
      <c r="D94" s="28">
        <v>-1</v>
      </c>
      <c r="E94" s="28">
        <v>0.3</v>
      </c>
      <c r="F94" s="28">
        <v>0</v>
      </c>
      <c r="G94" s="28">
        <v>4926065</v>
      </c>
    </row>
    <row r="95" spans="2:7" x14ac:dyDescent="0.25">
      <c r="B95" s="28" t="s">
        <v>622</v>
      </c>
      <c r="C95" s="28" t="s">
        <v>789</v>
      </c>
      <c r="D95" s="28">
        <v>-1</v>
      </c>
      <c r="E95" s="28">
        <v>0.3</v>
      </c>
      <c r="F95" s="28">
        <v>0</v>
      </c>
      <c r="G95" s="28">
        <v>4926066</v>
      </c>
    </row>
    <row r="96" spans="2:7" x14ac:dyDescent="0.25">
      <c r="B96" s="28" t="s">
        <v>622</v>
      </c>
      <c r="C96" s="28" t="s">
        <v>789</v>
      </c>
      <c r="D96" s="28">
        <v>-1</v>
      </c>
      <c r="E96" s="28">
        <v>0.3</v>
      </c>
      <c r="F96" s="28">
        <v>0</v>
      </c>
      <c r="G96" s="28">
        <v>4926067</v>
      </c>
    </row>
    <row r="97" spans="2:7" x14ac:dyDescent="0.25">
      <c r="B97" s="28" t="s">
        <v>619</v>
      </c>
      <c r="C97" s="28" t="s">
        <v>789</v>
      </c>
      <c r="D97" s="28">
        <v>-1</v>
      </c>
      <c r="E97" s="28">
        <v>0.3</v>
      </c>
      <c r="F97" s="28">
        <v>0</v>
      </c>
      <c r="G97" s="28">
        <v>4926068</v>
      </c>
    </row>
    <row r="98" spans="2:7" x14ac:dyDescent="0.25">
      <c r="B98" s="28" t="s">
        <v>621</v>
      </c>
      <c r="C98" s="28" t="s">
        <v>788</v>
      </c>
      <c r="D98" s="28">
        <v>-1</v>
      </c>
      <c r="E98" s="28">
        <v>0.3</v>
      </c>
      <c r="F98" s="28">
        <v>0</v>
      </c>
      <c r="G98" s="28">
        <v>5142604</v>
      </c>
    </row>
    <row r="99" spans="2:7" x14ac:dyDescent="0.25">
      <c r="B99" s="28" t="s">
        <v>621</v>
      </c>
      <c r="C99" s="28" t="s">
        <v>788</v>
      </c>
      <c r="D99" s="28">
        <v>-1</v>
      </c>
      <c r="E99" s="28">
        <v>0.3</v>
      </c>
      <c r="F99" s="28">
        <v>0</v>
      </c>
      <c r="G99" s="28">
        <v>5144169</v>
      </c>
    </row>
    <row r="100" spans="2:7" x14ac:dyDescent="0.25">
      <c r="B100" s="28" t="s">
        <v>621</v>
      </c>
      <c r="C100" s="28" t="s">
        <v>788</v>
      </c>
      <c r="D100" s="28">
        <v>-1</v>
      </c>
      <c r="E100" s="28">
        <v>0.3</v>
      </c>
      <c r="F100" s="28">
        <v>0</v>
      </c>
      <c r="G100" s="28">
        <v>5144170</v>
      </c>
    </row>
    <row r="101" spans="2:7" x14ac:dyDescent="0.25">
      <c r="B101" s="28" t="s">
        <v>621</v>
      </c>
      <c r="C101" s="28" t="s">
        <v>788</v>
      </c>
      <c r="D101" s="28">
        <v>-1</v>
      </c>
      <c r="E101" s="28">
        <v>0.3</v>
      </c>
      <c r="F101" s="28">
        <v>0</v>
      </c>
      <c r="G101" s="28">
        <v>5144171</v>
      </c>
    </row>
    <row r="102" spans="2:7" x14ac:dyDescent="0.25">
      <c r="B102" s="28" t="s">
        <v>621</v>
      </c>
      <c r="C102" s="28" t="s">
        <v>788</v>
      </c>
      <c r="D102" s="28">
        <v>-1</v>
      </c>
      <c r="E102" s="28">
        <v>0.3</v>
      </c>
      <c r="F102" s="28">
        <v>0</v>
      </c>
      <c r="G102" s="28">
        <v>5144217</v>
      </c>
    </row>
    <row r="103" spans="2:7" x14ac:dyDescent="0.25">
      <c r="B103" s="28" t="s">
        <v>635</v>
      </c>
      <c r="C103" s="28">
        <v>1296205</v>
      </c>
    </row>
    <row r="104" spans="2:7" x14ac:dyDescent="0.25">
      <c r="B104" s="28" t="s">
        <v>622</v>
      </c>
      <c r="C104" s="28" t="s">
        <v>6</v>
      </c>
      <c r="D104" s="28">
        <v>-0.2</v>
      </c>
      <c r="E104" s="28">
        <v>1</v>
      </c>
      <c r="F104" s="28">
        <v>0</v>
      </c>
      <c r="G104" s="28">
        <v>4940802</v>
      </c>
    </row>
    <row r="105" spans="2:7" x14ac:dyDescent="0.25">
      <c r="B105" s="28" t="s">
        <v>622</v>
      </c>
      <c r="C105" s="28" t="s">
        <v>6</v>
      </c>
      <c r="D105" s="28">
        <v>-0.2</v>
      </c>
      <c r="E105" s="28">
        <v>1</v>
      </c>
      <c r="F105" s="28">
        <v>0</v>
      </c>
      <c r="G105" s="28">
        <v>4940803</v>
      </c>
    </row>
    <row r="106" spans="2:7" x14ac:dyDescent="0.25">
      <c r="B106" s="28" t="s">
        <v>619</v>
      </c>
      <c r="C106" s="28" t="s">
        <v>6</v>
      </c>
      <c r="D106" s="28">
        <v>-0.2</v>
      </c>
      <c r="E106" s="28">
        <v>1</v>
      </c>
      <c r="F106" s="28">
        <v>0</v>
      </c>
      <c r="G106" s="28">
        <v>4940804</v>
      </c>
    </row>
    <row r="107" spans="2:7" x14ac:dyDescent="0.25">
      <c r="B107" s="28" t="s">
        <v>636</v>
      </c>
      <c r="C107" s="28">
        <v>1296207</v>
      </c>
    </row>
    <row r="108" spans="2:7" x14ac:dyDescent="0.25">
      <c r="B108" s="28" t="s">
        <v>619</v>
      </c>
      <c r="C108" s="28" t="s">
        <v>6</v>
      </c>
      <c r="D108" s="28">
        <v>-0.2</v>
      </c>
      <c r="E108" s="28">
        <v>1</v>
      </c>
      <c r="F108" s="28">
        <v>0</v>
      </c>
      <c r="G108" s="28">
        <v>4940770</v>
      </c>
    </row>
    <row r="109" spans="2:7" x14ac:dyDescent="0.25">
      <c r="B109" s="28" t="s">
        <v>621</v>
      </c>
      <c r="C109" s="28" t="s">
        <v>6</v>
      </c>
      <c r="D109" s="28">
        <v>-0.2</v>
      </c>
      <c r="E109" s="28">
        <v>1</v>
      </c>
      <c r="F109" s="28">
        <v>0</v>
      </c>
      <c r="G109" s="28">
        <v>5282679</v>
      </c>
    </row>
    <row r="110" spans="2:7" x14ac:dyDescent="0.25">
      <c r="B110" s="28" t="s">
        <v>637</v>
      </c>
      <c r="C110" s="28">
        <v>1296225</v>
      </c>
    </row>
    <row r="111" spans="2:7" x14ac:dyDescent="0.25">
      <c r="B111" s="28" t="s">
        <v>619</v>
      </c>
      <c r="C111" s="28" t="s">
        <v>6</v>
      </c>
      <c r="D111" s="28">
        <v>-0.2</v>
      </c>
      <c r="E111" s="28">
        <v>1</v>
      </c>
      <c r="F111" s="28">
        <v>0</v>
      </c>
      <c r="G111" s="28">
        <v>4940771</v>
      </c>
    </row>
    <row r="112" spans="2:7" x14ac:dyDescent="0.25">
      <c r="B112" s="28" t="s">
        <v>619</v>
      </c>
      <c r="C112" s="28" t="s">
        <v>6</v>
      </c>
      <c r="D112" s="28">
        <v>-0.2</v>
      </c>
      <c r="E112" s="28">
        <v>1</v>
      </c>
      <c r="F112" s="28">
        <v>0</v>
      </c>
      <c r="G112" s="28">
        <v>4940772</v>
      </c>
    </row>
    <row r="113" spans="2:7" x14ac:dyDescent="0.25">
      <c r="B113" s="28" t="s">
        <v>619</v>
      </c>
      <c r="C113" s="28" t="s">
        <v>6</v>
      </c>
      <c r="D113" s="28">
        <v>-0.2</v>
      </c>
      <c r="E113" s="28">
        <v>1</v>
      </c>
      <c r="F113" s="28">
        <v>0</v>
      </c>
      <c r="G113" s="28">
        <v>4940773</v>
      </c>
    </row>
    <row r="114" spans="2:7" x14ac:dyDescent="0.25">
      <c r="B114" s="28" t="s">
        <v>638</v>
      </c>
      <c r="C114" s="28">
        <v>1296239</v>
      </c>
    </row>
    <row r="115" spans="2:7" x14ac:dyDescent="0.25">
      <c r="B115" s="28" t="s">
        <v>622</v>
      </c>
      <c r="C115" s="28" t="s">
        <v>789</v>
      </c>
      <c r="D115" s="28">
        <v>-1</v>
      </c>
      <c r="E115" s="28">
        <v>0.3</v>
      </c>
      <c r="F115" s="28">
        <v>0</v>
      </c>
      <c r="G115" s="28">
        <v>4926070</v>
      </c>
    </row>
    <row r="116" spans="2:7" x14ac:dyDescent="0.25">
      <c r="B116" s="28" t="s">
        <v>619</v>
      </c>
      <c r="C116" s="28" t="s">
        <v>789</v>
      </c>
      <c r="D116" s="28">
        <v>-1</v>
      </c>
      <c r="E116" s="28">
        <v>0.3</v>
      </c>
      <c r="F116" s="28">
        <v>0</v>
      </c>
      <c r="G116" s="28">
        <v>4926071</v>
      </c>
    </row>
    <row r="117" spans="2:7" x14ac:dyDescent="0.25">
      <c r="B117" s="28" t="s">
        <v>622</v>
      </c>
      <c r="C117" s="28" t="s">
        <v>789</v>
      </c>
      <c r="D117" s="28">
        <v>-1</v>
      </c>
      <c r="E117" s="28">
        <v>0.3</v>
      </c>
      <c r="F117" s="28">
        <v>0</v>
      </c>
      <c r="G117" s="28">
        <v>4926072</v>
      </c>
    </row>
    <row r="118" spans="2:7" x14ac:dyDescent="0.25">
      <c r="B118" s="28" t="s">
        <v>619</v>
      </c>
      <c r="C118" s="28" t="s">
        <v>789</v>
      </c>
      <c r="D118" s="28">
        <v>-1</v>
      </c>
      <c r="E118" s="28">
        <v>0.3</v>
      </c>
      <c r="F118" s="28">
        <v>0</v>
      </c>
      <c r="G118" s="28">
        <v>4926073</v>
      </c>
    </row>
    <row r="119" spans="2:7" x14ac:dyDescent="0.25">
      <c r="B119" s="28" t="s">
        <v>622</v>
      </c>
      <c r="C119" s="28" t="s">
        <v>6</v>
      </c>
      <c r="D119" s="28">
        <v>-0.2</v>
      </c>
      <c r="E119" s="28">
        <v>1</v>
      </c>
      <c r="F119" s="28">
        <v>0</v>
      </c>
      <c r="G119" s="28">
        <v>4940807</v>
      </c>
    </row>
    <row r="120" spans="2:7" x14ac:dyDescent="0.25">
      <c r="B120" s="28" t="s">
        <v>619</v>
      </c>
      <c r="C120" s="28" t="s">
        <v>6</v>
      </c>
      <c r="D120" s="28">
        <v>-0.2</v>
      </c>
      <c r="E120" s="28">
        <v>1</v>
      </c>
      <c r="F120" s="28">
        <v>0</v>
      </c>
      <c r="G120" s="28">
        <v>4940808</v>
      </c>
    </row>
    <row r="121" spans="2:7" x14ac:dyDescent="0.25">
      <c r="B121" s="28" t="s">
        <v>639</v>
      </c>
      <c r="C121" s="28">
        <v>1296241</v>
      </c>
    </row>
    <row r="122" spans="2:7" x14ac:dyDescent="0.25">
      <c r="B122" s="28" t="s">
        <v>619</v>
      </c>
      <c r="C122" s="28" t="s">
        <v>6</v>
      </c>
      <c r="D122" s="28">
        <v>-0.2</v>
      </c>
      <c r="E122" s="28">
        <v>1</v>
      </c>
      <c r="F122" s="28">
        <v>0</v>
      </c>
      <c r="G122" s="28">
        <v>4940770</v>
      </c>
    </row>
    <row r="123" spans="2:7" x14ac:dyDescent="0.25">
      <c r="B123" s="28" t="s">
        <v>619</v>
      </c>
      <c r="C123" s="28" t="s">
        <v>6</v>
      </c>
      <c r="D123" s="28">
        <v>-0.2</v>
      </c>
      <c r="E123" s="28">
        <v>1</v>
      </c>
      <c r="F123" s="28">
        <v>0</v>
      </c>
      <c r="G123" s="28">
        <v>4940771</v>
      </c>
    </row>
    <row r="124" spans="2:7" x14ac:dyDescent="0.25">
      <c r="B124" s="28" t="s">
        <v>619</v>
      </c>
      <c r="C124" s="28" t="s">
        <v>6</v>
      </c>
      <c r="D124" s="28">
        <v>-0.2</v>
      </c>
      <c r="E124" s="28">
        <v>1</v>
      </c>
      <c r="F124" s="28">
        <v>0</v>
      </c>
      <c r="G124" s="28">
        <v>4940772</v>
      </c>
    </row>
    <row r="125" spans="2:7" x14ac:dyDescent="0.25">
      <c r="B125" s="28" t="s">
        <v>619</v>
      </c>
      <c r="C125" s="28" t="s">
        <v>6</v>
      </c>
      <c r="D125" s="28">
        <v>-0.2</v>
      </c>
      <c r="E125" s="28">
        <v>1</v>
      </c>
      <c r="F125" s="28">
        <v>0</v>
      </c>
      <c r="G125" s="28">
        <v>4940773</v>
      </c>
    </row>
    <row r="126" spans="2:7" x14ac:dyDescent="0.25">
      <c r="B126" s="28" t="s">
        <v>640</v>
      </c>
      <c r="C126" s="28">
        <v>1296283</v>
      </c>
    </row>
    <row r="127" spans="2:7" x14ac:dyDescent="0.25">
      <c r="B127" s="28" t="s">
        <v>619</v>
      </c>
      <c r="C127" s="28" t="s">
        <v>6</v>
      </c>
      <c r="D127" s="28">
        <v>-0.2</v>
      </c>
      <c r="E127" s="28">
        <v>1</v>
      </c>
      <c r="F127" s="28">
        <v>0</v>
      </c>
      <c r="G127" s="28">
        <v>4940777</v>
      </c>
    </row>
    <row r="128" spans="2:7" x14ac:dyDescent="0.25">
      <c r="B128" s="28" t="s">
        <v>622</v>
      </c>
      <c r="C128" s="28" t="s">
        <v>6</v>
      </c>
      <c r="D128" s="28">
        <v>-0.2</v>
      </c>
      <c r="E128" s="28">
        <v>1</v>
      </c>
      <c r="F128" s="28">
        <v>0</v>
      </c>
      <c r="G128" s="28">
        <v>4940778</v>
      </c>
    </row>
    <row r="129" spans="2:7" x14ac:dyDescent="0.25">
      <c r="B129" s="28" t="s">
        <v>619</v>
      </c>
      <c r="C129" s="28" t="s">
        <v>6</v>
      </c>
      <c r="D129" s="28">
        <v>-0.2</v>
      </c>
      <c r="E129" s="28">
        <v>1</v>
      </c>
      <c r="F129" s="28">
        <v>0</v>
      </c>
      <c r="G129" s="28">
        <v>4940779</v>
      </c>
    </row>
    <row r="130" spans="2:7" x14ac:dyDescent="0.25">
      <c r="B130" s="28" t="s">
        <v>619</v>
      </c>
      <c r="C130" s="28" t="s">
        <v>6</v>
      </c>
      <c r="D130" s="28">
        <v>-0.2</v>
      </c>
      <c r="E130" s="28">
        <v>1</v>
      </c>
      <c r="F130" s="28">
        <v>0</v>
      </c>
      <c r="G130" s="28">
        <v>4940780</v>
      </c>
    </row>
    <row r="131" spans="2:7" x14ac:dyDescent="0.25">
      <c r="B131" s="28" t="s">
        <v>622</v>
      </c>
      <c r="C131" s="28" t="s">
        <v>6</v>
      </c>
      <c r="D131" s="28">
        <v>-0.2</v>
      </c>
      <c r="E131" s="28">
        <v>1</v>
      </c>
      <c r="F131" s="28">
        <v>0</v>
      </c>
      <c r="G131" s="28">
        <v>4940781</v>
      </c>
    </row>
    <row r="132" spans="2:7" x14ac:dyDescent="0.25">
      <c r="B132" s="28" t="s">
        <v>619</v>
      </c>
      <c r="C132" s="28" t="s">
        <v>6</v>
      </c>
      <c r="D132" s="28">
        <v>-0.2</v>
      </c>
      <c r="E132" s="28">
        <v>1</v>
      </c>
      <c r="F132" s="28">
        <v>0</v>
      </c>
      <c r="G132" s="28">
        <v>4940782</v>
      </c>
    </row>
    <row r="133" spans="2:7" x14ac:dyDescent="0.25">
      <c r="B133" s="28" t="s">
        <v>622</v>
      </c>
      <c r="C133" s="28" t="s">
        <v>6</v>
      </c>
      <c r="D133" s="28">
        <v>-0.2</v>
      </c>
      <c r="E133" s="28">
        <v>1</v>
      </c>
      <c r="F133" s="28">
        <v>0</v>
      </c>
      <c r="G133" s="28">
        <v>4940783</v>
      </c>
    </row>
    <row r="134" spans="2:7" x14ac:dyDescent="0.25">
      <c r="B134" s="28" t="s">
        <v>619</v>
      </c>
      <c r="C134" s="28" t="s">
        <v>6</v>
      </c>
      <c r="D134" s="28">
        <v>-0.2</v>
      </c>
      <c r="E134" s="28">
        <v>1</v>
      </c>
      <c r="F134" s="28">
        <v>0</v>
      </c>
      <c r="G134" s="28">
        <v>4940784</v>
      </c>
    </row>
    <row r="135" spans="2:7" x14ac:dyDescent="0.25">
      <c r="B135" s="28" t="s">
        <v>622</v>
      </c>
      <c r="C135" s="28" t="s">
        <v>6</v>
      </c>
      <c r="D135" s="28">
        <v>-0.2</v>
      </c>
      <c r="E135" s="28">
        <v>1</v>
      </c>
      <c r="F135" s="28">
        <v>0</v>
      </c>
      <c r="G135" s="28">
        <v>4940785</v>
      </c>
    </row>
    <row r="136" spans="2:7" x14ac:dyDescent="0.25">
      <c r="B136" s="28" t="s">
        <v>619</v>
      </c>
      <c r="C136" s="28" t="s">
        <v>6</v>
      </c>
      <c r="D136" s="28">
        <v>-0.2</v>
      </c>
      <c r="E136" s="28">
        <v>1</v>
      </c>
      <c r="F136" s="28">
        <v>0</v>
      </c>
      <c r="G136" s="28">
        <v>4940786</v>
      </c>
    </row>
    <row r="137" spans="2:7" x14ac:dyDescent="0.25">
      <c r="B137" s="28" t="s">
        <v>622</v>
      </c>
      <c r="C137" s="28" t="s">
        <v>6</v>
      </c>
      <c r="D137" s="28">
        <v>-0.2</v>
      </c>
      <c r="E137" s="28">
        <v>1</v>
      </c>
      <c r="F137" s="28">
        <v>0</v>
      </c>
      <c r="G137" s="28">
        <v>4940787</v>
      </c>
    </row>
    <row r="138" spans="2:7" x14ac:dyDescent="0.25">
      <c r="B138" s="28" t="s">
        <v>622</v>
      </c>
      <c r="C138" s="28" t="s">
        <v>6</v>
      </c>
      <c r="D138" s="28">
        <v>-0.2</v>
      </c>
      <c r="E138" s="28">
        <v>1</v>
      </c>
      <c r="F138" s="28">
        <v>0</v>
      </c>
      <c r="G138" s="28">
        <v>4940788</v>
      </c>
    </row>
    <row r="139" spans="2:7" x14ac:dyDescent="0.25">
      <c r="B139" s="28" t="s">
        <v>619</v>
      </c>
      <c r="C139" s="28" t="s">
        <v>6</v>
      </c>
      <c r="D139" s="28">
        <v>-0.2</v>
      </c>
      <c r="E139" s="28">
        <v>1</v>
      </c>
      <c r="F139" s="28">
        <v>0</v>
      </c>
      <c r="G139" s="28">
        <v>4940789</v>
      </c>
    </row>
    <row r="140" spans="2:7" x14ac:dyDescent="0.25">
      <c r="B140" s="28" t="s">
        <v>622</v>
      </c>
      <c r="C140" s="28" t="s">
        <v>6</v>
      </c>
      <c r="D140" s="28">
        <v>-0.2</v>
      </c>
      <c r="E140" s="28">
        <v>1</v>
      </c>
      <c r="F140" s="28">
        <v>0</v>
      </c>
      <c r="G140" s="28">
        <v>4940790</v>
      </c>
    </row>
    <row r="141" spans="2:7" x14ac:dyDescent="0.25">
      <c r="B141" s="28" t="s">
        <v>622</v>
      </c>
      <c r="C141" s="28" t="s">
        <v>6</v>
      </c>
      <c r="D141" s="28">
        <v>-0.2</v>
      </c>
      <c r="E141" s="28">
        <v>1</v>
      </c>
      <c r="F141" s="28">
        <v>0</v>
      </c>
      <c r="G141" s="28">
        <v>4940791</v>
      </c>
    </row>
    <row r="142" spans="2:7" x14ac:dyDescent="0.25">
      <c r="B142" s="28" t="s">
        <v>622</v>
      </c>
      <c r="C142" s="28" t="s">
        <v>6</v>
      </c>
      <c r="D142" s="28">
        <v>-0.2</v>
      </c>
      <c r="E142" s="28">
        <v>1</v>
      </c>
      <c r="F142" s="28">
        <v>0</v>
      </c>
      <c r="G142" s="28">
        <v>4940792</v>
      </c>
    </row>
    <row r="143" spans="2:7" x14ac:dyDescent="0.25">
      <c r="B143" s="28" t="s">
        <v>619</v>
      </c>
      <c r="C143" s="28" t="s">
        <v>2</v>
      </c>
      <c r="D143" s="28">
        <v>1</v>
      </c>
      <c r="E143" s="28">
        <v>0.2</v>
      </c>
      <c r="F143" s="28">
        <v>0</v>
      </c>
      <c r="G143" s="28">
        <v>4948357</v>
      </c>
    </row>
    <row r="144" spans="2:7" x14ac:dyDescent="0.25">
      <c r="B144" s="28" t="s">
        <v>619</v>
      </c>
      <c r="C144" s="28" t="s">
        <v>2</v>
      </c>
      <c r="D144" s="28">
        <v>1</v>
      </c>
      <c r="E144" s="28">
        <v>0.2</v>
      </c>
      <c r="F144" s="28">
        <v>0</v>
      </c>
      <c r="G144" s="28">
        <v>4948364</v>
      </c>
    </row>
    <row r="145" spans="2:7" x14ac:dyDescent="0.25">
      <c r="B145" s="28" t="s">
        <v>619</v>
      </c>
      <c r="C145" s="28" t="s">
        <v>2</v>
      </c>
      <c r="D145" s="28">
        <v>1</v>
      </c>
      <c r="E145" s="28">
        <v>0.2</v>
      </c>
      <c r="F145" s="28">
        <v>0</v>
      </c>
      <c r="G145" s="28">
        <v>4948371</v>
      </c>
    </row>
    <row r="146" spans="2:7" x14ac:dyDescent="0.25">
      <c r="B146" s="28" t="s">
        <v>619</v>
      </c>
      <c r="C146" s="28" t="s">
        <v>2</v>
      </c>
      <c r="D146" s="28">
        <v>1</v>
      </c>
      <c r="E146" s="28">
        <v>0.2</v>
      </c>
      <c r="F146" s="28">
        <v>0</v>
      </c>
      <c r="G146" s="28">
        <v>4948378</v>
      </c>
    </row>
    <row r="147" spans="2:7" x14ac:dyDescent="0.25">
      <c r="B147" s="28" t="s">
        <v>619</v>
      </c>
      <c r="C147" s="28" t="s">
        <v>2</v>
      </c>
      <c r="D147" s="28">
        <v>1</v>
      </c>
      <c r="E147" s="28">
        <v>0.2</v>
      </c>
      <c r="F147" s="28">
        <v>0</v>
      </c>
      <c r="G147" s="28">
        <v>4948385</v>
      </c>
    </row>
    <row r="148" spans="2:7" x14ac:dyDescent="0.25">
      <c r="B148" s="28" t="s">
        <v>619</v>
      </c>
      <c r="C148" s="28" t="s">
        <v>2</v>
      </c>
      <c r="D148" s="28">
        <v>1</v>
      </c>
      <c r="E148" s="28">
        <v>0.2</v>
      </c>
      <c r="F148" s="28">
        <v>0</v>
      </c>
      <c r="G148" s="28">
        <v>4948392</v>
      </c>
    </row>
    <row r="149" spans="2:7" x14ac:dyDescent="0.25">
      <c r="B149" s="28" t="s">
        <v>619</v>
      </c>
      <c r="C149" s="28" t="s">
        <v>2</v>
      </c>
      <c r="D149" s="28">
        <v>1</v>
      </c>
      <c r="E149" s="28">
        <v>0.2</v>
      </c>
      <c r="F149" s="28">
        <v>0</v>
      </c>
      <c r="G149" s="28">
        <v>4948399</v>
      </c>
    </row>
    <row r="150" spans="2:7" x14ac:dyDescent="0.25">
      <c r="B150" s="28" t="s">
        <v>621</v>
      </c>
      <c r="C150" s="28" t="s">
        <v>2</v>
      </c>
      <c r="D150" s="28">
        <v>1</v>
      </c>
      <c r="E150" s="28">
        <v>0.2</v>
      </c>
      <c r="F150" s="28">
        <v>0</v>
      </c>
      <c r="G150" s="28">
        <v>4948738</v>
      </c>
    </row>
    <row r="151" spans="2:7" x14ac:dyDescent="0.25">
      <c r="B151" s="28" t="s">
        <v>27</v>
      </c>
      <c r="C151" s="28" t="s">
        <v>5</v>
      </c>
      <c r="D151" s="28">
        <v>0.2</v>
      </c>
      <c r="E151" s="28">
        <v>-1</v>
      </c>
      <c r="F151" s="28">
        <v>0</v>
      </c>
      <c r="G151" s="28">
        <v>5711799</v>
      </c>
    </row>
    <row r="152" spans="2:7" x14ac:dyDescent="0.25">
      <c r="B152" s="28" t="s">
        <v>27</v>
      </c>
      <c r="C152" s="28" t="s">
        <v>5</v>
      </c>
      <c r="D152" s="28">
        <v>0.2</v>
      </c>
      <c r="E152" s="28">
        <v>-1</v>
      </c>
      <c r="F152" s="28">
        <v>0</v>
      </c>
      <c r="G152" s="28">
        <v>5711857</v>
      </c>
    </row>
    <row r="153" spans="2:7" x14ac:dyDescent="0.25">
      <c r="B153" s="28" t="s">
        <v>641</v>
      </c>
      <c r="C153" s="28">
        <v>1296393</v>
      </c>
    </row>
    <row r="154" spans="2:7" x14ac:dyDescent="0.25">
      <c r="B154" s="28" t="s">
        <v>622</v>
      </c>
      <c r="C154" s="28" t="s">
        <v>789</v>
      </c>
      <c r="D154" s="28">
        <v>-1</v>
      </c>
      <c r="E154" s="28">
        <v>0.3</v>
      </c>
      <c r="F154" s="28">
        <v>0</v>
      </c>
      <c r="G154" s="28">
        <v>4926066</v>
      </c>
    </row>
    <row r="155" spans="2:7" x14ac:dyDescent="0.25">
      <c r="B155" s="28" t="s">
        <v>622</v>
      </c>
      <c r="C155" s="28" t="s">
        <v>789</v>
      </c>
      <c r="D155" s="28">
        <v>-1</v>
      </c>
      <c r="E155" s="28">
        <v>0.3</v>
      </c>
      <c r="F155" s="28">
        <v>0</v>
      </c>
      <c r="G155" s="28">
        <v>4926067</v>
      </c>
    </row>
    <row r="156" spans="2:7" x14ac:dyDescent="0.25">
      <c r="B156" s="28" t="s">
        <v>619</v>
      </c>
      <c r="C156" s="28" t="s">
        <v>789</v>
      </c>
      <c r="D156" s="28">
        <v>-1</v>
      </c>
      <c r="E156" s="28">
        <v>0.3</v>
      </c>
      <c r="F156" s="28">
        <v>0</v>
      </c>
      <c r="G156" s="28">
        <v>4926068</v>
      </c>
    </row>
    <row r="157" spans="2:7" x14ac:dyDescent="0.25">
      <c r="B157" s="28" t="s">
        <v>619</v>
      </c>
      <c r="C157" s="28" t="s">
        <v>6</v>
      </c>
      <c r="D157" s="28">
        <v>-0.2</v>
      </c>
      <c r="E157" s="28">
        <v>1</v>
      </c>
      <c r="F157" s="28">
        <v>0</v>
      </c>
      <c r="G157" s="28">
        <v>4940770</v>
      </c>
    </row>
    <row r="158" spans="2:7" x14ac:dyDescent="0.25">
      <c r="B158" s="28" t="s">
        <v>619</v>
      </c>
      <c r="C158" s="28" t="s">
        <v>6</v>
      </c>
      <c r="D158" s="28">
        <v>-0.2</v>
      </c>
      <c r="E158" s="28">
        <v>1</v>
      </c>
      <c r="F158" s="28">
        <v>0</v>
      </c>
      <c r="G158" s="28">
        <v>4940771</v>
      </c>
    </row>
    <row r="159" spans="2:7" x14ac:dyDescent="0.25">
      <c r="B159" s="28" t="s">
        <v>619</v>
      </c>
      <c r="C159" s="28" t="s">
        <v>6</v>
      </c>
      <c r="D159" s="28">
        <v>-0.2</v>
      </c>
      <c r="E159" s="28">
        <v>1</v>
      </c>
      <c r="F159" s="28">
        <v>0</v>
      </c>
      <c r="G159" s="28">
        <v>4940772</v>
      </c>
    </row>
    <row r="160" spans="2:7" x14ac:dyDescent="0.25">
      <c r="B160" s="28" t="s">
        <v>619</v>
      </c>
      <c r="C160" s="28" t="s">
        <v>6</v>
      </c>
      <c r="D160" s="28">
        <v>-0.2</v>
      </c>
      <c r="E160" s="28">
        <v>1</v>
      </c>
      <c r="F160" s="28">
        <v>0</v>
      </c>
      <c r="G160" s="28">
        <v>4940773</v>
      </c>
    </row>
    <row r="161" spans="2:7" x14ac:dyDescent="0.25">
      <c r="B161" s="28" t="s">
        <v>622</v>
      </c>
      <c r="C161" s="28" t="s">
        <v>6</v>
      </c>
      <c r="D161" s="28">
        <v>-0.2</v>
      </c>
      <c r="E161" s="28">
        <v>1</v>
      </c>
      <c r="F161" s="28">
        <v>0</v>
      </c>
      <c r="G161" s="28">
        <v>4940774</v>
      </c>
    </row>
    <row r="162" spans="2:7" x14ac:dyDescent="0.25">
      <c r="B162" s="28" t="s">
        <v>619</v>
      </c>
      <c r="C162" s="28" t="s">
        <v>6</v>
      </c>
      <c r="D162" s="28">
        <v>-0.2</v>
      </c>
      <c r="E162" s="28">
        <v>1</v>
      </c>
      <c r="F162" s="28">
        <v>0</v>
      </c>
      <c r="G162" s="28">
        <v>4940775</v>
      </c>
    </row>
    <row r="163" spans="2:7" x14ac:dyDescent="0.25">
      <c r="B163" s="28" t="s">
        <v>619</v>
      </c>
      <c r="C163" s="28" t="s">
        <v>6</v>
      </c>
      <c r="D163" s="28">
        <v>-0.2</v>
      </c>
      <c r="E163" s="28">
        <v>1</v>
      </c>
      <c r="F163" s="28">
        <v>0</v>
      </c>
      <c r="G163" s="28">
        <v>4940776</v>
      </c>
    </row>
    <row r="164" spans="2:7" x14ac:dyDescent="0.25">
      <c r="B164" s="28" t="s">
        <v>619</v>
      </c>
      <c r="C164" s="28" t="s">
        <v>6</v>
      </c>
      <c r="D164" s="28">
        <v>-0.2</v>
      </c>
      <c r="E164" s="28">
        <v>1</v>
      </c>
      <c r="F164" s="28">
        <v>0</v>
      </c>
      <c r="G164" s="28">
        <v>4940777</v>
      </c>
    </row>
    <row r="165" spans="2:7" x14ac:dyDescent="0.25">
      <c r="B165" s="28" t="s">
        <v>622</v>
      </c>
      <c r="C165" s="28" t="s">
        <v>6</v>
      </c>
      <c r="D165" s="28">
        <v>-0.2</v>
      </c>
      <c r="E165" s="28">
        <v>1</v>
      </c>
      <c r="F165" s="28">
        <v>0</v>
      </c>
      <c r="G165" s="28">
        <v>4940778</v>
      </c>
    </row>
    <row r="166" spans="2:7" x14ac:dyDescent="0.25">
      <c r="B166" s="28" t="s">
        <v>619</v>
      </c>
      <c r="C166" s="28" t="s">
        <v>6</v>
      </c>
      <c r="D166" s="28">
        <v>-0.2</v>
      </c>
      <c r="E166" s="28">
        <v>1</v>
      </c>
      <c r="F166" s="28">
        <v>0</v>
      </c>
      <c r="G166" s="28">
        <v>4940779</v>
      </c>
    </row>
    <row r="167" spans="2:7" x14ac:dyDescent="0.25">
      <c r="B167" s="28" t="s">
        <v>619</v>
      </c>
      <c r="C167" s="28" t="s">
        <v>6</v>
      </c>
      <c r="D167" s="28">
        <v>-0.2</v>
      </c>
      <c r="E167" s="28">
        <v>1</v>
      </c>
      <c r="F167" s="28">
        <v>0</v>
      </c>
      <c r="G167" s="28">
        <v>4940780</v>
      </c>
    </row>
    <row r="168" spans="2:7" x14ac:dyDescent="0.25">
      <c r="B168" s="28" t="s">
        <v>622</v>
      </c>
      <c r="C168" s="28" t="s">
        <v>6</v>
      </c>
      <c r="D168" s="28">
        <v>-0.2</v>
      </c>
      <c r="E168" s="28">
        <v>1</v>
      </c>
      <c r="F168" s="28">
        <v>0</v>
      </c>
      <c r="G168" s="28">
        <v>4940781</v>
      </c>
    </row>
    <row r="169" spans="2:7" x14ac:dyDescent="0.25">
      <c r="B169" s="28" t="s">
        <v>619</v>
      </c>
      <c r="C169" s="28" t="s">
        <v>6</v>
      </c>
      <c r="D169" s="28">
        <v>-0.2</v>
      </c>
      <c r="E169" s="28">
        <v>1</v>
      </c>
      <c r="F169" s="28">
        <v>0</v>
      </c>
      <c r="G169" s="28">
        <v>4940782</v>
      </c>
    </row>
    <row r="170" spans="2:7" x14ac:dyDescent="0.25">
      <c r="B170" s="28" t="s">
        <v>621</v>
      </c>
      <c r="C170" s="28" t="s">
        <v>6</v>
      </c>
      <c r="D170" s="28">
        <v>-0.2</v>
      </c>
      <c r="E170" s="28">
        <v>1</v>
      </c>
      <c r="F170" s="28">
        <v>0</v>
      </c>
      <c r="G170" s="28">
        <v>4940794</v>
      </c>
    </row>
    <row r="171" spans="2:7" x14ac:dyDescent="0.25">
      <c r="B171" s="28" t="s">
        <v>621</v>
      </c>
      <c r="C171" s="28" t="s">
        <v>6</v>
      </c>
      <c r="D171" s="28">
        <v>-0.2</v>
      </c>
      <c r="E171" s="28">
        <v>1</v>
      </c>
      <c r="F171" s="28">
        <v>0</v>
      </c>
      <c r="G171" s="28">
        <v>5280085</v>
      </c>
    </row>
    <row r="172" spans="2:7" x14ac:dyDescent="0.25">
      <c r="B172" s="28" t="s">
        <v>621</v>
      </c>
      <c r="C172" s="28" t="s">
        <v>6</v>
      </c>
      <c r="D172" s="28">
        <v>-0.2</v>
      </c>
      <c r="E172" s="28">
        <v>1</v>
      </c>
      <c r="F172" s="28">
        <v>0</v>
      </c>
      <c r="G172" s="28">
        <v>5280095</v>
      </c>
    </row>
    <row r="173" spans="2:7" x14ac:dyDescent="0.25">
      <c r="B173" s="28" t="s">
        <v>621</v>
      </c>
      <c r="C173" s="28" t="s">
        <v>6</v>
      </c>
      <c r="D173" s="28">
        <v>-0.2</v>
      </c>
      <c r="E173" s="28">
        <v>1</v>
      </c>
      <c r="F173" s="28">
        <v>0</v>
      </c>
      <c r="G173" s="28">
        <v>5280136</v>
      </c>
    </row>
    <row r="174" spans="2:7" x14ac:dyDescent="0.25">
      <c r="B174" s="28" t="s">
        <v>621</v>
      </c>
      <c r="C174" s="28" t="s">
        <v>6</v>
      </c>
      <c r="D174" s="28">
        <v>-0.2</v>
      </c>
      <c r="E174" s="28">
        <v>1</v>
      </c>
      <c r="F174" s="28">
        <v>0</v>
      </c>
      <c r="G174" s="28">
        <v>5280181</v>
      </c>
    </row>
    <row r="175" spans="2:7" x14ac:dyDescent="0.25">
      <c r="B175" s="28" t="s">
        <v>621</v>
      </c>
      <c r="C175" s="28" t="s">
        <v>6</v>
      </c>
      <c r="D175" s="28">
        <v>-0.2</v>
      </c>
      <c r="E175" s="28">
        <v>1</v>
      </c>
      <c r="F175" s="28">
        <v>0</v>
      </c>
      <c r="G175" s="28">
        <v>5280256</v>
      </c>
    </row>
    <row r="176" spans="2:7" x14ac:dyDescent="0.25">
      <c r="B176" s="28" t="s">
        <v>621</v>
      </c>
      <c r="C176" s="28" t="s">
        <v>6</v>
      </c>
      <c r="D176" s="28">
        <v>-0.2</v>
      </c>
      <c r="E176" s="28">
        <v>1</v>
      </c>
      <c r="F176" s="28">
        <v>0</v>
      </c>
      <c r="G176" s="28">
        <v>5280303</v>
      </c>
    </row>
    <row r="177" spans="2:7" x14ac:dyDescent="0.25">
      <c r="B177" s="28" t="s">
        <v>621</v>
      </c>
      <c r="C177" s="28" t="s">
        <v>6</v>
      </c>
      <c r="D177" s="28">
        <v>-0.2</v>
      </c>
      <c r="E177" s="28">
        <v>1</v>
      </c>
      <c r="F177" s="28">
        <v>0</v>
      </c>
      <c r="G177" s="28">
        <v>5280392</v>
      </c>
    </row>
    <row r="178" spans="2:7" x14ac:dyDescent="0.25">
      <c r="B178" s="28" t="s">
        <v>621</v>
      </c>
      <c r="C178" s="28" t="s">
        <v>6</v>
      </c>
      <c r="D178" s="28">
        <v>-0.2</v>
      </c>
      <c r="E178" s="28">
        <v>1</v>
      </c>
      <c r="F178" s="28">
        <v>0</v>
      </c>
      <c r="G178" s="28">
        <v>5280780</v>
      </c>
    </row>
    <row r="179" spans="2:7" x14ac:dyDescent="0.25">
      <c r="B179" s="28" t="s">
        <v>621</v>
      </c>
      <c r="C179" s="28" t="s">
        <v>6</v>
      </c>
      <c r="D179" s="28">
        <v>-0.2</v>
      </c>
      <c r="E179" s="28">
        <v>1</v>
      </c>
      <c r="F179" s="28">
        <v>0</v>
      </c>
      <c r="G179" s="28">
        <v>5282405</v>
      </c>
    </row>
    <row r="180" spans="2:7" x14ac:dyDescent="0.25">
      <c r="B180" s="28" t="s">
        <v>621</v>
      </c>
      <c r="C180" s="28" t="s">
        <v>6</v>
      </c>
      <c r="D180" s="28">
        <v>-0.2</v>
      </c>
      <c r="E180" s="28">
        <v>1</v>
      </c>
      <c r="F180" s="28">
        <v>0</v>
      </c>
      <c r="G180" s="28">
        <v>5282406</v>
      </c>
    </row>
    <row r="181" spans="2:7" x14ac:dyDescent="0.25">
      <c r="B181" s="28" t="s">
        <v>621</v>
      </c>
      <c r="C181" s="28" t="s">
        <v>6</v>
      </c>
      <c r="D181" s="28">
        <v>-0.2</v>
      </c>
      <c r="E181" s="28">
        <v>1</v>
      </c>
      <c r="F181" s="28">
        <v>0</v>
      </c>
      <c r="G181" s="28">
        <v>5282407</v>
      </c>
    </row>
    <row r="182" spans="2:7" x14ac:dyDescent="0.25">
      <c r="B182" s="28" t="s">
        <v>621</v>
      </c>
      <c r="C182" s="28" t="s">
        <v>6</v>
      </c>
      <c r="D182" s="28">
        <v>-0.2</v>
      </c>
      <c r="E182" s="28">
        <v>1</v>
      </c>
      <c r="F182" s="28">
        <v>0</v>
      </c>
      <c r="G182" s="28">
        <v>5282408</v>
      </c>
    </row>
    <row r="183" spans="2:7" x14ac:dyDescent="0.25">
      <c r="B183" s="28" t="s">
        <v>621</v>
      </c>
      <c r="C183" s="28" t="s">
        <v>6</v>
      </c>
      <c r="D183" s="28">
        <v>-0.2</v>
      </c>
      <c r="E183" s="28">
        <v>1</v>
      </c>
      <c r="F183" s="28">
        <v>0</v>
      </c>
      <c r="G183" s="28">
        <v>5282409</v>
      </c>
    </row>
    <row r="184" spans="2:7" x14ac:dyDescent="0.25">
      <c r="B184" s="28" t="s">
        <v>621</v>
      </c>
      <c r="C184" s="28" t="s">
        <v>6</v>
      </c>
      <c r="D184" s="28">
        <v>-0.2</v>
      </c>
      <c r="E184" s="28">
        <v>1</v>
      </c>
      <c r="F184" s="28">
        <v>0</v>
      </c>
      <c r="G184" s="28">
        <v>5282410</v>
      </c>
    </row>
    <row r="185" spans="2:7" x14ac:dyDescent="0.25">
      <c r="B185" s="28" t="s">
        <v>621</v>
      </c>
      <c r="C185" s="28" t="s">
        <v>6</v>
      </c>
      <c r="D185" s="28">
        <v>-0.2</v>
      </c>
      <c r="E185" s="28">
        <v>1</v>
      </c>
      <c r="F185" s="28">
        <v>0</v>
      </c>
      <c r="G185" s="28">
        <v>5282411</v>
      </c>
    </row>
    <row r="186" spans="2:7" x14ac:dyDescent="0.25">
      <c r="B186" s="28" t="s">
        <v>621</v>
      </c>
      <c r="C186" s="28" t="s">
        <v>6</v>
      </c>
      <c r="D186" s="28">
        <v>-0.2</v>
      </c>
      <c r="E186" s="28">
        <v>1</v>
      </c>
      <c r="F186" s="28">
        <v>0</v>
      </c>
      <c r="G186" s="28">
        <v>5282412</v>
      </c>
    </row>
    <row r="187" spans="2:7" x14ac:dyDescent="0.25">
      <c r="B187" s="28" t="s">
        <v>621</v>
      </c>
      <c r="C187" s="28" t="s">
        <v>6</v>
      </c>
      <c r="D187" s="28">
        <v>-0.2</v>
      </c>
      <c r="E187" s="28">
        <v>1</v>
      </c>
      <c r="F187" s="28">
        <v>0</v>
      </c>
      <c r="G187" s="28">
        <v>5282679</v>
      </c>
    </row>
    <row r="188" spans="2:7" x14ac:dyDescent="0.25">
      <c r="B188" s="28" t="s">
        <v>27</v>
      </c>
      <c r="C188" s="28" t="s">
        <v>5</v>
      </c>
      <c r="D188" s="28">
        <v>0.2</v>
      </c>
      <c r="E188" s="28">
        <v>-1</v>
      </c>
      <c r="F188" s="28">
        <v>0</v>
      </c>
      <c r="G188" s="28">
        <v>5711799</v>
      </c>
    </row>
    <row r="189" spans="2:7" x14ac:dyDescent="0.25">
      <c r="B189" s="28" t="s">
        <v>642</v>
      </c>
      <c r="C189" s="28">
        <v>1296403</v>
      </c>
    </row>
    <row r="190" spans="2:7" x14ac:dyDescent="0.25">
      <c r="B190" s="28" t="s">
        <v>619</v>
      </c>
      <c r="C190" s="28" t="s">
        <v>6</v>
      </c>
      <c r="D190" s="28">
        <v>-0.2</v>
      </c>
      <c r="E190" s="28">
        <v>1</v>
      </c>
      <c r="F190" s="28">
        <v>0</v>
      </c>
      <c r="G190" s="28">
        <v>4940804</v>
      </c>
    </row>
    <row r="191" spans="2:7" x14ac:dyDescent="0.25">
      <c r="B191" s="28" t="s">
        <v>622</v>
      </c>
      <c r="C191" s="28" t="s">
        <v>6</v>
      </c>
      <c r="D191" s="28">
        <v>-0.2</v>
      </c>
      <c r="E191" s="28">
        <v>1</v>
      </c>
      <c r="F191" s="28">
        <v>0</v>
      </c>
      <c r="G191" s="28">
        <v>4940805</v>
      </c>
    </row>
    <row r="192" spans="2:7" x14ac:dyDescent="0.25">
      <c r="B192" s="28" t="s">
        <v>619</v>
      </c>
      <c r="C192" s="28" t="s">
        <v>6</v>
      </c>
      <c r="D192" s="28">
        <v>-0.2</v>
      </c>
      <c r="E192" s="28">
        <v>1</v>
      </c>
      <c r="F192" s="28">
        <v>0</v>
      </c>
      <c r="G192" s="28">
        <v>4940806</v>
      </c>
    </row>
    <row r="193" spans="2:7" x14ac:dyDescent="0.25">
      <c r="B193" s="28" t="s">
        <v>643</v>
      </c>
      <c r="C193" s="28">
        <v>1296413</v>
      </c>
    </row>
    <row r="194" spans="2:7" x14ac:dyDescent="0.25">
      <c r="B194" s="28" t="s">
        <v>621</v>
      </c>
      <c r="C194" s="28" t="s">
        <v>6</v>
      </c>
      <c r="D194" s="28">
        <v>-0.2</v>
      </c>
      <c r="E194" s="28">
        <v>1</v>
      </c>
      <c r="F194" s="28">
        <v>0</v>
      </c>
      <c r="G194" s="28">
        <v>5280136</v>
      </c>
    </row>
    <row r="195" spans="2:7" x14ac:dyDescent="0.25">
      <c r="B195" s="28" t="s">
        <v>621</v>
      </c>
      <c r="C195" s="28" t="s">
        <v>6</v>
      </c>
      <c r="D195" s="28">
        <v>-0.2</v>
      </c>
      <c r="E195" s="28">
        <v>1</v>
      </c>
      <c r="F195" s="28">
        <v>0</v>
      </c>
      <c r="G195" s="28">
        <v>5280181</v>
      </c>
    </row>
    <row r="196" spans="2:7" x14ac:dyDescent="0.25">
      <c r="B196" s="28" t="s">
        <v>621</v>
      </c>
      <c r="C196" s="28" t="s">
        <v>6</v>
      </c>
      <c r="D196" s="28">
        <v>-0.2</v>
      </c>
      <c r="E196" s="28">
        <v>1</v>
      </c>
      <c r="F196" s="28">
        <v>0</v>
      </c>
      <c r="G196" s="28">
        <v>5280256</v>
      </c>
    </row>
    <row r="197" spans="2:7" x14ac:dyDescent="0.25">
      <c r="B197" s="28" t="s">
        <v>621</v>
      </c>
      <c r="C197" s="28" t="s">
        <v>6</v>
      </c>
      <c r="D197" s="28">
        <v>-0.2</v>
      </c>
      <c r="E197" s="28">
        <v>1</v>
      </c>
      <c r="F197" s="28">
        <v>0</v>
      </c>
      <c r="G197" s="28">
        <v>5282407</v>
      </c>
    </row>
    <row r="198" spans="2:7" x14ac:dyDescent="0.25">
      <c r="B198" s="28" t="s">
        <v>621</v>
      </c>
      <c r="C198" s="28" t="s">
        <v>6</v>
      </c>
      <c r="D198" s="28">
        <v>-0.2</v>
      </c>
      <c r="E198" s="28">
        <v>1</v>
      </c>
      <c r="F198" s="28">
        <v>0</v>
      </c>
      <c r="G198" s="28">
        <v>5282408</v>
      </c>
    </row>
    <row r="199" spans="2:7" x14ac:dyDescent="0.25">
      <c r="B199" s="28" t="s">
        <v>621</v>
      </c>
      <c r="C199" s="28" t="s">
        <v>6</v>
      </c>
      <c r="D199" s="28">
        <v>-0.2</v>
      </c>
      <c r="E199" s="28">
        <v>1</v>
      </c>
      <c r="F199" s="28">
        <v>0</v>
      </c>
      <c r="G199" s="28">
        <v>5282409</v>
      </c>
    </row>
    <row r="200" spans="2:7" x14ac:dyDescent="0.25">
      <c r="B200" s="28" t="s">
        <v>644</v>
      </c>
      <c r="C200" s="28">
        <v>1296415</v>
      </c>
    </row>
    <row r="201" spans="2:7" x14ac:dyDescent="0.25">
      <c r="B201" s="28" t="s">
        <v>621</v>
      </c>
      <c r="C201" s="28" t="s">
        <v>6</v>
      </c>
      <c r="D201" s="28">
        <v>-0.2</v>
      </c>
      <c r="E201" s="28">
        <v>1</v>
      </c>
      <c r="F201" s="28">
        <v>0</v>
      </c>
      <c r="G201" s="28">
        <v>4940794</v>
      </c>
    </row>
    <row r="202" spans="2:7" x14ac:dyDescent="0.25">
      <c r="B202" s="28" t="s">
        <v>621</v>
      </c>
      <c r="C202" s="28" t="s">
        <v>6</v>
      </c>
      <c r="D202" s="28">
        <v>-0.2</v>
      </c>
      <c r="E202" s="28">
        <v>1</v>
      </c>
      <c r="F202" s="28">
        <v>0</v>
      </c>
      <c r="G202" s="28">
        <v>5280085</v>
      </c>
    </row>
    <row r="203" spans="2:7" x14ac:dyDescent="0.25">
      <c r="B203" s="28" t="s">
        <v>621</v>
      </c>
      <c r="C203" s="28" t="s">
        <v>6</v>
      </c>
      <c r="D203" s="28">
        <v>-0.2</v>
      </c>
      <c r="E203" s="28">
        <v>1</v>
      </c>
      <c r="F203" s="28">
        <v>0</v>
      </c>
      <c r="G203" s="28">
        <v>5280095</v>
      </c>
    </row>
    <row r="204" spans="2:7" x14ac:dyDescent="0.25">
      <c r="B204" s="28" t="s">
        <v>621</v>
      </c>
      <c r="C204" s="28" t="s">
        <v>6</v>
      </c>
      <c r="D204" s="28">
        <v>-0.2</v>
      </c>
      <c r="E204" s="28">
        <v>1</v>
      </c>
      <c r="F204" s="28">
        <v>0</v>
      </c>
      <c r="G204" s="28">
        <v>5282405</v>
      </c>
    </row>
    <row r="205" spans="2:7" x14ac:dyDescent="0.25">
      <c r="B205" s="28" t="s">
        <v>621</v>
      </c>
      <c r="C205" s="28" t="s">
        <v>6</v>
      </c>
      <c r="D205" s="28">
        <v>-0.2</v>
      </c>
      <c r="E205" s="28">
        <v>1</v>
      </c>
      <c r="F205" s="28">
        <v>0</v>
      </c>
      <c r="G205" s="28">
        <v>5282406</v>
      </c>
    </row>
    <row r="206" spans="2:7" x14ac:dyDescent="0.25">
      <c r="B206" s="28" t="s">
        <v>645</v>
      </c>
      <c r="C206" s="28">
        <v>1296451</v>
      </c>
    </row>
    <row r="207" spans="2:7" x14ac:dyDescent="0.25">
      <c r="B207" s="28" t="s">
        <v>619</v>
      </c>
      <c r="C207" s="28" t="s">
        <v>783</v>
      </c>
      <c r="D207" s="28">
        <v>-1</v>
      </c>
      <c r="E207" s="28">
        <v>-0.2</v>
      </c>
      <c r="F207" s="28">
        <v>0</v>
      </c>
      <c r="G207" s="28">
        <v>4913569</v>
      </c>
    </row>
    <row r="208" spans="2:7" x14ac:dyDescent="0.25">
      <c r="B208" s="28" t="s">
        <v>622</v>
      </c>
      <c r="C208" s="28" t="s">
        <v>783</v>
      </c>
      <c r="D208" s="28">
        <v>-1</v>
      </c>
      <c r="E208" s="28">
        <v>-0.2</v>
      </c>
      <c r="F208" s="28">
        <v>0</v>
      </c>
      <c r="G208" s="28">
        <v>4913570</v>
      </c>
    </row>
    <row r="209" spans="2:7" x14ac:dyDescent="0.25">
      <c r="B209" s="28" t="s">
        <v>622</v>
      </c>
      <c r="C209" s="28" t="s">
        <v>783</v>
      </c>
      <c r="D209" s="28">
        <v>-1</v>
      </c>
      <c r="E209" s="28">
        <v>-0.2</v>
      </c>
      <c r="F209" s="28">
        <v>0</v>
      </c>
      <c r="G209" s="28">
        <v>4913571</v>
      </c>
    </row>
    <row r="210" spans="2:7" x14ac:dyDescent="0.25">
      <c r="B210" s="28" t="s">
        <v>621</v>
      </c>
      <c r="C210" s="28" t="s">
        <v>783</v>
      </c>
      <c r="D210" s="28">
        <v>-1</v>
      </c>
      <c r="E210" s="28">
        <v>-0.2</v>
      </c>
      <c r="F210" s="28">
        <v>0</v>
      </c>
      <c r="G210" s="28">
        <v>4913572</v>
      </c>
    </row>
    <row r="211" spans="2:7" x14ac:dyDescent="0.25">
      <c r="B211" s="28" t="s">
        <v>622</v>
      </c>
      <c r="C211" s="28" t="s">
        <v>783</v>
      </c>
      <c r="D211" s="28">
        <v>-1</v>
      </c>
      <c r="E211" s="28">
        <v>-0.2</v>
      </c>
      <c r="F211" s="28">
        <v>0</v>
      </c>
      <c r="G211" s="28">
        <v>4913573</v>
      </c>
    </row>
    <row r="212" spans="2:7" x14ac:dyDescent="0.25">
      <c r="B212" s="28" t="s">
        <v>621</v>
      </c>
      <c r="C212" s="28" t="s">
        <v>783</v>
      </c>
      <c r="D212" s="28">
        <v>-1</v>
      </c>
      <c r="E212" s="28">
        <v>-0.2</v>
      </c>
      <c r="F212" s="28">
        <v>0</v>
      </c>
      <c r="G212" s="28">
        <v>4913574</v>
      </c>
    </row>
    <row r="213" spans="2:7" x14ac:dyDescent="0.25">
      <c r="B213" s="28" t="s">
        <v>646</v>
      </c>
      <c r="C213" s="28">
        <v>1296660</v>
      </c>
    </row>
    <row r="214" spans="2:7" s="14" customFormat="1" x14ac:dyDescent="0.25">
      <c r="B214" s="14" t="s">
        <v>1090</v>
      </c>
      <c r="C214" s="14" t="s">
        <v>5</v>
      </c>
      <c r="D214" s="14">
        <v>0.2</v>
      </c>
      <c r="E214" s="14">
        <v>-1</v>
      </c>
      <c r="F214" s="14">
        <v>0</v>
      </c>
      <c r="G214" s="14">
        <v>4928690</v>
      </c>
    </row>
    <row r="215" spans="2:7" s="14" customFormat="1" x14ac:dyDescent="0.25">
      <c r="B215" s="14" t="s">
        <v>1081</v>
      </c>
      <c r="C215" s="14" t="s">
        <v>5</v>
      </c>
      <c r="D215" s="14">
        <v>0.2</v>
      </c>
      <c r="E215" s="14">
        <v>-1</v>
      </c>
      <c r="F215" s="14">
        <v>0</v>
      </c>
      <c r="G215" s="14">
        <v>4928698</v>
      </c>
    </row>
    <row r="216" spans="2:7" x14ac:dyDescent="0.25">
      <c r="B216" s="28" t="s">
        <v>647</v>
      </c>
      <c r="C216" s="28">
        <v>1296666</v>
      </c>
    </row>
    <row r="217" spans="2:7" x14ac:dyDescent="0.25">
      <c r="B217" s="28" t="s">
        <v>648</v>
      </c>
      <c r="C217" s="28" t="s">
        <v>790</v>
      </c>
      <c r="D217" s="28">
        <v>1</v>
      </c>
      <c r="E217" s="28">
        <v>0</v>
      </c>
      <c r="F217" s="28">
        <v>0</v>
      </c>
      <c r="G217" s="28">
        <v>4660581</v>
      </c>
    </row>
    <row r="218" spans="2:7" x14ac:dyDescent="0.25">
      <c r="B218" s="28" t="s">
        <v>622</v>
      </c>
      <c r="C218" s="28" t="s">
        <v>784</v>
      </c>
      <c r="D218" s="28">
        <v>-1</v>
      </c>
      <c r="E218" s="28">
        <v>0</v>
      </c>
      <c r="F218" s="28">
        <v>0</v>
      </c>
      <c r="G218" s="28">
        <v>4913590</v>
      </c>
    </row>
    <row r="219" spans="2:7" x14ac:dyDescent="0.25">
      <c r="B219" s="28" t="s">
        <v>622</v>
      </c>
      <c r="C219" s="28" t="s">
        <v>784</v>
      </c>
      <c r="D219" s="28">
        <v>-1</v>
      </c>
      <c r="E219" s="28">
        <v>0</v>
      </c>
      <c r="F219" s="28">
        <v>0</v>
      </c>
      <c r="G219" s="28">
        <v>4913591</v>
      </c>
    </row>
    <row r="220" spans="2:7" x14ac:dyDescent="0.25">
      <c r="B220" s="28" t="s">
        <v>622</v>
      </c>
      <c r="C220" s="28" t="s">
        <v>784</v>
      </c>
      <c r="D220" s="28">
        <v>-1</v>
      </c>
      <c r="E220" s="28">
        <v>0</v>
      </c>
      <c r="F220" s="28">
        <v>0</v>
      </c>
      <c r="G220" s="28">
        <v>4913592</v>
      </c>
    </row>
    <row r="221" spans="2:7" x14ac:dyDescent="0.25">
      <c r="B221" s="28" t="s">
        <v>619</v>
      </c>
      <c r="C221" s="28" t="s">
        <v>784</v>
      </c>
      <c r="D221" s="28">
        <v>-1</v>
      </c>
      <c r="E221" s="28">
        <v>0</v>
      </c>
      <c r="F221" s="28">
        <v>0</v>
      </c>
      <c r="G221" s="28">
        <v>4913593</v>
      </c>
    </row>
    <row r="222" spans="2:7" x14ac:dyDescent="0.25">
      <c r="B222" s="28" t="s">
        <v>622</v>
      </c>
      <c r="C222" s="28" t="s">
        <v>784</v>
      </c>
      <c r="D222" s="28">
        <v>-1</v>
      </c>
      <c r="E222" s="28">
        <v>0</v>
      </c>
      <c r="F222" s="28">
        <v>0</v>
      </c>
      <c r="G222" s="28">
        <v>4913594</v>
      </c>
    </row>
    <row r="223" spans="2:7" x14ac:dyDescent="0.25">
      <c r="B223" s="28" t="s">
        <v>622</v>
      </c>
      <c r="C223" s="28" t="s">
        <v>784</v>
      </c>
      <c r="D223" s="28">
        <v>-1</v>
      </c>
      <c r="E223" s="28">
        <v>0</v>
      </c>
      <c r="F223" s="28">
        <v>0</v>
      </c>
      <c r="G223" s="28">
        <v>4913595</v>
      </c>
    </row>
    <row r="224" spans="2:7" x14ac:dyDescent="0.25">
      <c r="B224" s="28" t="s">
        <v>619</v>
      </c>
      <c r="C224" s="28" t="s">
        <v>784</v>
      </c>
      <c r="D224" s="28">
        <v>-1</v>
      </c>
      <c r="E224" s="28">
        <v>0</v>
      </c>
      <c r="F224" s="28">
        <v>0</v>
      </c>
      <c r="G224" s="28">
        <v>4913597</v>
      </c>
    </row>
    <row r="225" spans="2:7" x14ac:dyDescent="0.25">
      <c r="B225" s="28" t="s">
        <v>622</v>
      </c>
      <c r="C225" s="28" t="s">
        <v>5</v>
      </c>
      <c r="D225" s="28">
        <v>0.2</v>
      </c>
      <c r="E225" s="28">
        <v>-1</v>
      </c>
      <c r="F225" s="28">
        <v>0</v>
      </c>
      <c r="G225" s="28">
        <v>4928741</v>
      </c>
    </row>
    <row r="226" spans="2:7" x14ac:dyDescent="0.25">
      <c r="B226" s="28" t="s">
        <v>619</v>
      </c>
      <c r="C226" s="28" t="s">
        <v>5</v>
      </c>
      <c r="D226" s="28">
        <v>0.2</v>
      </c>
      <c r="E226" s="28">
        <v>-1</v>
      </c>
      <c r="F226" s="28">
        <v>0</v>
      </c>
      <c r="G226" s="28">
        <v>4928784</v>
      </c>
    </row>
    <row r="227" spans="2:7" x14ac:dyDescent="0.25">
      <c r="B227" s="28" t="s">
        <v>619</v>
      </c>
      <c r="C227" s="28" t="s">
        <v>5</v>
      </c>
      <c r="D227" s="28">
        <v>0.2</v>
      </c>
      <c r="E227" s="28">
        <v>-1</v>
      </c>
      <c r="F227" s="28">
        <v>0</v>
      </c>
      <c r="G227" s="28">
        <v>4928793</v>
      </c>
    </row>
    <row r="228" spans="2:7" x14ac:dyDescent="0.25">
      <c r="B228" s="28" t="s">
        <v>619</v>
      </c>
      <c r="C228" s="28" t="s">
        <v>5</v>
      </c>
      <c r="D228" s="28">
        <v>0.2</v>
      </c>
      <c r="E228" s="28">
        <v>-1</v>
      </c>
      <c r="F228" s="28">
        <v>0</v>
      </c>
      <c r="G228" s="28">
        <v>4928801</v>
      </c>
    </row>
    <row r="229" spans="2:7" x14ac:dyDescent="0.25">
      <c r="B229" s="28" t="s">
        <v>619</v>
      </c>
      <c r="C229" s="28" t="s">
        <v>5</v>
      </c>
      <c r="D229" s="28">
        <v>0.2</v>
      </c>
      <c r="E229" s="28">
        <v>-1</v>
      </c>
      <c r="F229" s="28">
        <v>0</v>
      </c>
      <c r="G229" s="28">
        <v>4928809</v>
      </c>
    </row>
    <row r="230" spans="2:7" x14ac:dyDescent="0.25">
      <c r="B230" s="28" t="s">
        <v>649</v>
      </c>
      <c r="C230" s="28">
        <v>1296670</v>
      </c>
    </row>
    <row r="231" spans="2:7" x14ac:dyDescent="0.25">
      <c r="B231" s="28" t="s">
        <v>619</v>
      </c>
      <c r="C231" s="28" t="s">
        <v>5</v>
      </c>
      <c r="D231" s="28">
        <v>0.2</v>
      </c>
      <c r="E231" s="28">
        <v>-1</v>
      </c>
      <c r="F231" s="28">
        <v>0</v>
      </c>
      <c r="G231" s="28">
        <v>4927141</v>
      </c>
    </row>
    <row r="232" spans="2:7" x14ac:dyDescent="0.25">
      <c r="B232" s="28" t="s">
        <v>619</v>
      </c>
      <c r="C232" s="28" t="s">
        <v>5</v>
      </c>
      <c r="D232" s="28">
        <v>0.2</v>
      </c>
      <c r="E232" s="28">
        <v>-1</v>
      </c>
      <c r="F232" s="28">
        <v>0</v>
      </c>
      <c r="G232" s="28">
        <v>4927292</v>
      </c>
    </row>
    <row r="233" spans="2:7" x14ac:dyDescent="0.25">
      <c r="B233" s="28" t="s">
        <v>650</v>
      </c>
      <c r="C233" s="28">
        <v>1296672</v>
      </c>
    </row>
    <row r="234" spans="2:7" x14ac:dyDescent="0.25">
      <c r="B234" s="28" t="s">
        <v>619</v>
      </c>
      <c r="C234" s="28" t="s">
        <v>5</v>
      </c>
      <c r="D234" s="28">
        <v>0.2</v>
      </c>
      <c r="E234" s="28">
        <v>-1</v>
      </c>
      <c r="F234" s="28">
        <v>0</v>
      </c>
      <c r="G234" s="28">
        <v>4927422</v>
      </c>
    </row>
    <row r="235" spans="2:7" x14ac:dyDescent="0.25">
      <c r="B235" s="28" t="s">
        <v>619</v>
      </c>
      <c r="C235" s="28" t="s">
        <v>5</v>
      </c>
      <c r="D235" s="28">
        <v>0.2</v>
      </c>
      <c r="E235" s="28">
        <v>-1</v>
      </c>
      <c r="F235" s="28">
        <v>0</v>
      </c>
      <c r="G235" s="28">
        <v>4927493</v>
      </c>
    </row>
    <row r="236" spans="2:7" x14ac:dyDescent="0.25">
      <c r="B236" s="28" t="s">
        <v>651</v>
      </c>
      <c r="C236" s="28">
        <v>1296676</v>
      </c>
    </row>
    <row r="237" spans="2:7" x14ac:dyDescent="0.25">
      <c r="B237" s="28" t="s">
        <v>619</v>
      </c>
      <c r="C237" s="28" t="s">
        <v>5</v>
      </c>
      <c r="D237" s="28">
        <v>0.2</v>
      </c>
      <c r="E237" s="28">
        <v>-1</v>
      </c>
      <c r="F237" s="28">
        <v>0</v>
      </c>
      <c r="G237" s="28">
        <v>4927300</v>
      </c>
    </row>
    <row r="238" spans="2:7" x14ac:dyDescent="0.25">
      <c r="B238" s="28" t="s">
        <v>619</v>
      </c>
      <c r="C238" s="28" t="s">
        <v>5</v>
      </c>
      <c r="D238" s="28">
        <v>0.2</v>
      </c>
      <c r="E238" s="28">
        <v>-1</v>
      </c>
      <c r="F238" s="28">
        <v>0</v>
      </c>
      <c r="G238" s="28">
        <v>4927308</v>
      </c>
    </row>
    <row r="239" spans="2:7" x14ac:dyDescent="0.25">
      <c r="B239" s="28" t="s">
        <v>652</v>
      </c>
      <c r="C239" s="28">
        <v>1296678</v>
      </c>
    </row>
    <row r="240" spans="2:7" x14ac:dyDescent="0.25">
      <c r="B240" s="28" t="s">
        <v>619</v>
      </c>
      <c r="C240" s="28" t="s">
        <v>5</v>
      </c>
      <c r="D240" s="28">
        <v>0.2</v>
      </c>
      <c r="E240" s="28">
        <v>-1</v>
      </c>
      <c r="F240" s="28">
        <v>0</v>
      </c>
      <c r="G240" s="28">
        <v>4927406</v>
      </c>
    </row>
    <row r="241" spans="2:7" x14ac:dyDescent="0.25">
      <c r="B241" s="28" t="s">
        <v>619</v>
      </c>
      <c r="C241" s="28" t="s">
        <v>5</v>
      </c>
      <c r="D241" s="28">
        <v>0.2</v>
      </c>
      <c r="E241" s="28">
        <v>-1</v>
      </c>
      <c r="F241" s="28">
        <v>0</v>
      </c>
      <c r="G241" s="28">
        <v>4927414</v>
      </c>
    </row>
    <row r="242" spans="2:7" x14ac:dyDescent="0.25">
      <c r="B242" s="28" t="s">
        <v>619</v>
      </c>
      <c r="C242" s="28" t="s">
        <v>5</v>
      </c>
      <c r="D242" s="28">
        <v>0.2</v>
      </c>
      <c r="E242" s="28">
        <v>-1</v>
      </c>
      <c r="F242" s="28">
        <v>0</v>
      </c>
      <c r="G242" s="28">
        <v>4927422</v>
      </c>
    </row>
    <row r="243" spans="2:7" s="36" customFormat="1" x14ac:dyDescent="0.25">
      <c r="B243" s="36" t="s">
        <v>653</v>
      </c>
      <c r="C243" s="36">
        <v>1296698</v>
      </c>
    </row>
    <row r="244" spans="2:7" s="36" customFormat="1" x14ac:dyDescent="0.25">
      <c r="B244" s="36" t="s">
        <v>619</v>
      </c>
      <c r="C244" s="36" t="s">
        <v>5</v>
      </c>
      <c r="D244" s="36">
        <v>0.2</v>
      </c>
      <c r="E244" s="36">
        <v>-1</v>
      </c>
      <c r="F244" s="36">
        <v>0</v>
      </c>
      <c r="G244" s="36">
        <v>4927864</v>
      </c>
    </row>
    <row r="245" spans="2:7" s="36" customFormat="1" x14ac:dyDescent="0.25">
      <c r="B245" s="36" t="s">
        <v>622</v>
      </c>
      <c r="C245" s="36" t="s">
        <v>5</v>
      </c>
      <c r="D245" s="36">
        <v>0.2</v>
      </c>
      <c r="E245" s="36">
        <v>-1</v>
      </c>
      <c r="F245" s="36">
        <v>0</v>
      </c>
      <c r="G245" s="36">
        <v>4927901</v>
      </c>
    </row>
    <row r="246" spans="2:7" s="36" customFormat="1" x14ac:dyDescent="0.25">
      <c r="B246" s="36" t="s">
        <v>622</v>
      </c>
      <c r="C246" s="36" t="s">
        <v>5</v>
      </c>
      <c r="D246" s="36">
        <v>0.2</v>
      </c>
      <c r="E246" s="36">
        <v>-1</v>
      </c>
      <c r="F246" s="36">
        <v>0</v>
      </c>
      <c r="G246" s="36">
        <v>4927909</v>
      </c>
    </row>
    <row r="247" spans="2:7" s="36" customFormat="1" x14ac:dyDescent="0.25">
      <c r="B247" s="36" t="s">
        <v>654</v>
      </c>
      <c r="C247" s="36" t="s">
        <v>5</v>
      </c>
      <c r="D247" s="36">
        <v>0.2</v>
      </c>
      <c r="E247" s="36">
        <v>-1</v>
      </c>
      <c r="F247" s="36">
        <v>0</v>
      </c>
      <c r="G247" s="36">
        <v>5123891</v>
      </c>
    </row>
    <row r="248" spans="2:7" s="36" customFormat="1" x14ac:dyDescent="0.25">
      <c r="B248" s="36" t="s">
        <v>654</v>
      </c>
      <c r="C248" s="36" t="s">
        <v>5</v>
      </c>
      <c r="D248" s="36">
        <v>0.2</v>
      </c>
      <c r="E248" s="36">
        <v>-1</v>
      </c>
      <c r="F248" s="36">
        <v>0</v>
      </c>
      <c r="G248" s="36">
        <v>5123892</v>
      </c>
    </row>
    <row r="249" spans="2:7" s="36" customFormat="1" x14ac:dyDescent="0.25">
      <c r="B249" s="36" t="s">
        <v>655</v>
      </c>
      <c r="C249" s="36" t="s">
        <v>5</v>
      </c>
      <c r="D249" s="36">
        <v>0.2</v>
      </c>
      <c r="E249" s="36">
        <v>-1</v>
      </c>
      <c r="F249" s="36">
        <v>0</v>
      </c>
      <c r="G249" s="36">
        <v>5123902</v>
      </c>
    </row>
    <row r="250" spans="2:7" x14ac:dyDescent="0.25">
      <c r="B250" s="28" t="s">
        <v>656</v>
      </c>
      <c r="C250" s="28">
        <v>1296702</v>
      </c>
    </row>
    <row r="251" spans="2:7" s="14" customFormat="1" x14ac:dyDescent="0.25">
      <c r="B251" s="14" t="s">
        <v>1093</v>
      </c>
      <c r="C251" s="14" t="s">
        <v>5</v>
      </c>
      <c r="D251" s="14">
        <v>0.2</v>
      </c>
      <c r="E251" s="14">
        <v>-1</v>
      </c>
      <c r="F251" s="14">
        <v>0</v>
      </c>
      <c r="G251" s="14">
        <v>4927917</v>
      </c>
    </row>
    <row r="252" spans="2:7" s="14" customFormat="1" x14ac:dyDescent="0.25">
      <c r="B252" s="14" t="s">
        <v>1091</v>
      </c>
      <c r="C252" s="14" t="s">
        <v>5</v>
      </c>
      <c r="D252" s="14">
        <v>0.2</v>
      </c>
      <c r="E252" s="14">
        <v>-1</v>
      </c>
      <c r="F252" s="14">
        <v>0</v>
      </c>
      <c r="G252" s="14">
        <v>4927925</v>
      </c>
    </row>
    <row r="253" spans="2:7" s="14" customFormat="1" x14ac:dyDescent="0.25">
      <c r="B253" s="14" t="s">
        <v>1091</v>
      </c>
      <c r="C253" s="14" t="s">
        <v>5</v>
      </c>
      <c r="D253" s="14">
        <v>0.2</v>
      </c>
      <c r="E253" s="14">
        <v>-1</v>
      </c>
      <c r="F253" s="14">
        <v>0</v>
      </c>
      <c r="G253" s="14">
        <v>4928056</v>
      </c>
    </row>
    <row r="254" spans="2:7" s="14" customFormat="1" x14ac:dyDescent="0.25">
      <c r="B254" s="14" t="s">
        <v>1091</v>
      </c>
      <c r="C254" s="14" t="s">
        <v>5</v>
      </c>
      <c r="D254" s="14">
        <v>0.2</v>
      </c>
      <c r="E254" s="14">
        <v>-1</v>
      </c>
      <c r="F254" s="14">
        <v>0</v>
      </c>
      <c r="G254" s="14">
        <v>4928090</v>
      </c>
    </row>
    <row r="255" spans="2:7" s="14" customFormat="1" x14ac:dyDescent="0.25">
      <c r="B255" s="14" t="s">
        <v>1091</v>
      </c>
      <c r="C255" s="14" t="s">
        <v>5</v>
      </c>
      <c r="D255" s="14">
        <v>0.2</v>
      </c>
      <c r="E255" s="14">
        <v>-1</v>
      </c>
      <c r="F255" s="14">
        <v>0</v>
      </c>
      <c r="G255" s="14">
        <v>4928098</v>
      </c>
    </row>
    <row r="256" spans="2:7" s="14" customFormat="1" x14ac:dyDescent="0.25">
      <c r="B256" s="14" t="s">
        <v>1091</v>
      </c>
      <c r="C256" s="14" t="s">
        <v>5</v>
      </c>
      <c r="D256" s="14">
        <v>0.2</v>
      </c>
      <c r="E256" s="14">
        <v>-1</v>
      </c>
      <c r="F256" s="14">
        <v>0</v>
      </c>
      <c r="G256" s="14">
        <v>4928106</v>
      </c>
    </row>
    <row r="257" spans="2:7" s="14" customFormat="1" x14ac:dyDescent="0.25">
      <c r="B257" s="14" t="s">
        <v>1091</v>
      </c>
      <c r="C257" s="14" t="s">
        <v>5</v>
      </c>
      <c r="D257" s="14">
        <v>0.2</v>
      </c>
      <c r="E257" s="14">
        <v>-1</v>
      </c>
      <c r="F257" s="14">
        <v>0</v>
      </c>
      <c r="G257" s="14">
        <v>4928131</v>
      </c>
    </row>
    <row r="258" spans="2:7" s="14" customFormat="1" x14ac:dyDescent="0.25">
      <c r="B258" s="14" t="s">
        <v>1091</v>
      </c>
      <c r="C258" s="14" t="s">
        <v>5</v>
      </c>
      <c r="D258" s="14">
        <v>0.2</v>
      </c>
      <c r="E258" s="14">
        <v>-1</v>
      </c>
      <c r="F258" s="14">
        <v>0</v>
      </c>
      <c r="G258" s="14">
        <v>4928179</v>
      </c>
    </row>
    <row r="259" spans="2:7" s="14" customFormat="1" x14ac:dyDescent="0.25">
      <c r="B259" s="14" t="s">
        <v>1091</v>
      </c>
      <c r="C259" s="14" t="s">
        <v>5</v>
      </c>
      <c r="D259" s="14">
        <v>0.2</v>
      </c>
      <c r="E259" s="14">
        <v>-1</v>
      </c>
      <c r="F259" s="14">
        <v>0</v>
      </c>
      <c r="G259" s="14">
        <v>5123893</v>
      </c>
    </row>
    <row r="260" spans="2:7" s="14" customFormat="1" x14ac:dyDescent="0.25">
      <c r="B260" s="14" t="s">
        <v>1091</v>
      </c>
      <c r="C260" s="14" t="s">
        <v>5</v>
      </c>
      <c r="D260" s="14">
        <v>0.2</v>
      </c>
      <c r="E260" s="14">
        <v>-1</v>
      </c>
      <c r="F260" s="14">
        <v>0</v>
      </c>
      <c r="G260" s="14">
        <v>5123894</v>
      </c>
    </row>
    <row r="261" spans="2:7" s="14" customFormat="1" x14ac:dyDescent="0.25">
      <c r="B261" s="14" t="s">
        <v>1091</v>
      </c>
      <c r="C261" s="14" t="s">
        <v>5</v>
      </c>
      <c r="D261" s="14">
        <v>0.2</v>
      </c>
      <c r="E261" s="14">
        <v>-1</v>
      </c>
      <c r="F261" s="14">
        <v>0</v>
      </c>
      <c r="G261" s="14">
        <v>5123895</v>
      </c>
    </row>
    <row r="262" spans="2:7" s="14" customFormat="1" x14ac:dyDescent="0.25">
      <c r="B262" s="14" t="s">
        <v>1091</v>
      </c>
      <c r="C262" s="14" t="s">
        <v>5</v>
      </c>
      <c r="D262" s="14">
        <v>0.2</v>
      </c>
      <c r="E262" s="14">
        <v>-1</v>
      </c>
      <c r="F262" s="14">
        <v>0</v>
      </c>
      <c r="G262" s="14">
        <v>5123896</v>
      </c>
    </row>
    <row r="263" spans="2:7" s="14" customFormat="1" x14ac:dyDescent="0.25">
      <c r="B263" s="14" t="s">
        <v>1091</v>
      </c>
      <c r="C263" s="14" t="s">
        <v>5</v>
      </c>
      <c r="D263" s="14">
        <v>0.2</v>
      </c>
      <c r="E263" s="14">
        <v>-1</v>
      </c>
      <c r="F263" s="14">
        <v>0</v>
      </c>
      <c r="G263" s="14">
        <v>5123897</v>
      </c>
    </row>
    <row r="264" spans="2:7" s="14" customFormat="1" x14ac:dyDescent="0.25">
      <c r="B264" s="14" t="s">
        <v>1091</v>
      </c>
      <c r="C264" s="14" t="s">
        <v>5</v>
      </c>
      <c r="D264" s="14">
        <v>0.2</v>
      </c>
      <c r="E264" s="14">
        <v>-1</v>
      </c>
      <c r="F264" s="14">
        <v>0</v>
      </c>
      <c r="G264" s="14">
        <v>5123898</v>
      </c>
    </row>
    <row r="265" spans="2:7" s="14" customFormat="1" x14ac:dyDescent="0.25">
      <c r="B265" s="14" t="s">
        <v>1091</v>
      </c>
      <c r="C265" s="14" t="s">
        <v>5</v>
      </c>
      <c r="D265" s="14">
        <v>0.2</v>
      </c>
      <c r="E265" s="14">
        <v>-1</v>
      </c>
      <c r="F265" s="14">
        <v>0</v>
      </c>
      <c r="G265" s="14">
        <v>5123903</v>
      </c>
    </row>
    <row r="266" spans="2:7" s="14" customFormat="1" x14ac:dyDescent="0.25">
      <c r="B266" s="14" t="s">
        <v>1091</v>
      </c>
      <c r="C266" s="14" t="s">
        <v>5</v>
      </c>
      <c r="D266" s="14">
        <v>0.2</v>
      </c>
      <c r="E266" s="14">
        <v>-1</v>
      </c>
      <c r="F266" s="14">
        <v>0</v>
      </c>
      <c r="G266" s="14">
        <v>5123904</v>
      </c>
    </row>
    <row r="267" spans="2:7" x14ac:dyDescent="0.25">
      <c r="B267" s="28" t="s">
        <v>657</v>
      </c>
      <c r="C267" s="28">
        <v>1296704</v>
      </c>
    </row>
    <row r="268" spans="2:7" x14ac:dyDescent="0.25">
      <c r="B268" s="28" t="s">
        <v>622</v>
      </c>
      <c r="C268" s="28" t="s">
        <v>5</v>
      </c>
      <c r="D268" s="28">
        <v>0.2</v>
      </c>
      <c r="E268" s="28">
        <v>-1</v>
      </c>
      <c r="F268" s="28">
        <v>0</v>
      </c>
      <c r="G268" s="28">
        <v>4928221</v>
      </c>
    </row>
    <row r="269" spans="2:7" x14ac:dyDescent="0.25">
      <c r="B269" s="28" t="s">
        <v>622</v>
      </c>
      <c r="C269" s="28" t="s">
        <v>5</v>
      </c>
      <c r="D269" s="28">
        <v>0.2</v>
      </c>
      <c r="E269" s="28">
        <v>-1</v>
      </c>
      <c r="F269" s="28">
        <v>0</v>
      </c>
      <c r="G269" s="28">
        <v>4928229</v>
      </c>
    </row>
    <row r="270" spans="2:7" x14ac:dyDescent="0.25">
      <c r="B270" s="28" t="s">
        <v>622</v>
      </c>
      <c r="C270" s="28" t="s">
        <v>5</v>
      </c>
      <c r="D270" s="28">
        <v>0.2</v>
      </c>
      <c r="E270" s="28">
        <v>-1</v>
      </c>
      <c r="F270" s="28">
        <v>0</v>
      </c>
      <c r="G270" s="28">
        <v>4928237</v>
      </c>
    </row>
    <row r="271" spans="2:7" x14ac:dyDescent="0.25">
      <c r="B271" s="28" t="s">
        <v>654</v>
      </c>
      <c r="C271" s="28" t="s">
        <v>5</v>
      </c>
      <c r="D271" s="28">
        <v>0.2</v>
      </c>
      <c r="E271" s="28">
        <v>-1</v>
      </c>
      <c r="F271" s="28">
        <v>0</v>
      </c>
      <c r="G271" s="28">
        <v>5123899</v>
      </c>
    </row>
    <row r="272" spans="2:7" x14ac:dyDescent="0.25">
      <c r="B272" s="28" t="s">
        <v>654</v>
      </c>
      <c r="C272" s="28" t="s">
        <v>5</v>
      </c>
      <c r="D272" s="28">
        <v>0.2</v>
      </c>
      <c r="E272" s="28">
        <v>-1</v>
      </c>
      <c r="F272" s="28">
        <v>0</v>
      </c>
      <c r="G272" s="28">
        <v>5123900</v>
      </c>
    </row>
    <row r="273" spans="2:7" x14ac:dyDescent="0.25">
      <c r="B273" s="28" t="s">
        <v>654</v>
      </c>
      <c r="C273" s="28" t="s">
        <v>5</v>
      </c>
      <c r="D273" s="28">
        <v>0.2</v>
      </c>
      <c r="E273" s="28">
        <v>-1</v>
      </c>
      <c r="F273" s="28">
        <v>0</v>
      </c>
      <c r="G273" s="28">
        <v>5123901</v>
      </c>
    </row>
    <row r="274" spans="2:7" x14ac:dyDescent="0.25">
      <c r="B274" s="28" t="s">
        <v>658</v>
      </c>
      <c r="C274" s="28">
        <v>1296710</v>
      </c>
    </row>
    <row r="275" spans="2:7" x14ac:dyDescent="0.25">
      <c r="B275" s="14" t="s">
        <v>619</v>
      </c>
      <c r="C275" s="28" t="s">
        <v>5</v>
      </c>
      <c r="D275" s="28">
        <v>0.2</v>
      </c>
      <c r="E275" s="28">
        <v>-1</v>
      </c>
      <c r="F275" s="28">
        <v>0</v>
      </c>
      <c r="G275" s="28">
        <v>4927754</v>
      </c>
    </row>
    <row r="276" spans="2:7" x14ac:dyDescent="0.25">
      <c r="B276" s="14" t="s">
        <v>1092</v>
      </c>
      <c r="C276" s="28" t="s">
        <v>5</v>
      </c>
      <c r="D276" s="28">
        <v>0.2</v>
      </c>
      <c r="E276" s="28">
        <v>-1</v>
      </c>
      <c r="F276" s="28">
        <v>0</v>
      </c>
      <c r="G276" s="28">
        <v>4927817</v>
      </c>
    </row>
    <row r="277" spans="2:7" x14ac:dyDescent="0.25">
      <c r="B277" s="14" t="s">
        <v>1091</v>
      </c>
      <c r="C277" s="28" t="s">
        <v>5</v>
      </c>
      <c r="D277" s="28">
        <v>0.2</v>
      </c>
      <c r="E277" s="28">
        <v>-1</v>
      </c>
      <c r="F277" s="28">
        <v>0</v>
      </c>
      <c r="G277" s="28">
        <v>4927825</v>
      </c>
    </row>
    <row r="278" spans="2:7" x14ac:dyDescent="0.25">
      <c r="B278" s="14" t="s">
        <v>1091</v>
      </c>
      <c r="C278" s="28" t="s">
        <v>5</v>
      </c>
      <c r="D278" s="28">
        <v>0.2</v>
      </c>
      <c r="E278" s="28">
        <v>-1</v>
      </c>
      <c r="F278" s="28">
        <v>0</v>
      </c>
      <c r="G278" s="28">
        <v>4927833</v>
      </c>
    </row>
    <row r="279" spans="2:7" x14ac:dyDescent="0.25">
      <c r="B279" s="14" t="s">
        <v>1091</v>
      </c>
      <c r="C279" s="28" t="s">
        <v>5</v>
      </c>
      <c r="D279" s="28">
        <v>0.2</v>
      </c>
      <c r="E279" s="28">
        <v>-1</v>
      </c>
      <c r="F279" s="28">
        <v>0</v>
      </c>
      <c r="G279" s="28">
        <v>4927864</v>
      </c>
    </row>
    <row r="280" spans="2:7" x14ac:dyDescent="0.25">
      <c r="B280" s="14" t="s">
        <v>1091</v>
      </c>
      <c r="C280" s="28" t="s">
        <v>5</v>
      </c>
      <c r="D280" s="28">
        <v>0.2</v>
      </c>
      <c r="E280" s="28">
        <v>-1</v>
      </c>
      <c r="F280" s="28">
        <v>0</v>
      </c>
      <c r="G280" s="28">
        <v>5123885</v>
      </c>
    </row>
    <row r="281" spans="2:7" x14ac:dyDescent="0.25">
      <c r="B281" s="14" t="s">
        <v>1091</v>
      </c>
      <c r="C281" s="28" t="s">
        <v>5</v>
      </c>
      <c r="D281" s="28">
        <v>0.2</v>
      </c>
      <c r="E281" s="28">
        <v>-1</v>
      </c>
      <c r="F281" s="28">
        <v>0</v>
      </c>
      <c r="G281" s="28">
        <v>5123889</v>
      </c>
    </row>
    <row r="282" spans="2:7" x14ac:dyDescent="0.25">
      <c r="B282" s="14" t="s">
        <v>1091</v>
      </c>
      <c r="C282" s="28" t="s">
        <v>5</v>
      </c>
      <c r="D282" s="28">
        <v>0.2</v>
      </c>
      <c r="E282" s="28">
        <v>-1</v>
      </c>
      <c r="F282" s="28">
        <v>0</v>
      </c>
      <c r="G282" s="28">
        <v>5123890</v>
      </c>
    </row>
    <row r="283" spans="2:7" x14ac:dyDescent="0.25">
      <c r="B283" s="14" t="s">
        <v>1091</v>
      </c>
      <c r="C283" s="28" t="s">
        <v>5</v>
      </c>
      <c r="D283" s="28">
        <v>0.2</v>
      </c>
      <c r="E283" s="28">
        <v>-1</v>
      </c>
      <c r="F283" s="28">
        <v>0</v>
      </c>
      <c r="G283" s="28">
        <v>5123902</v>
      </c>
    </row>
    <row r="284" spans="2:7" x14ac:dyDescent="0.25">
      <c r="B284" s="28" t="s">
        <v>659</v>
      </c>
      <c r="C284" s="28">
        <v>1296712</v>
      </c>
    </row>
    <row r="285" spans="2:7" x14ac:dyDescent="0.25">
      <c r="B285" s="28" t="s">
        <v>619</v>
      </c>
      <c r="C285" s="28" t="s">
        <v>5</v>
      </c>
      <c r="D285" s="28">
        <v>0.2</v>
      </c>
      <c r="E285" s="28">
        <v>-1</v>
      </c>
      <c r="F285" s="28">
        <v>0</v>
      </c>
      <c r="G285" s="28">
        <v>4927754</v>
      </c>
    </row>
    <row r="286" spans="2:7" x14ac:dyDescent="0.25">
      <c r="B286" s="28" t="s">
        <v>660</v>
      </c>
      <c r="C286" s="28">
        <v>1296714</v>
      </c>
    </row>
    <row r="287" spans="2:7" x14ac:dyDescent="0.25">
      <c r="B287" s="28" t="s">
        <v>661</v>
      </c>
      <c r="C287" s="28" t="s">
        <v>5</v>
      </c>
      <c r="D287" s="28">
        <v>0.2</v>
      </c>
      <c r="E287" s="28">
        <v>-1</v>
      </c>
      <c r="F287" s="28">
        <v>0</v>
      </c>
      <c r="G287" s="28">
        <v>4926915</v>
      </c>
    </row>
    <row r="288" spans="2:7" x14ac:dyDescent="0.25">
      <c r="B288" s="28" t="s">
        <v>619</v>
      </c>
      <c r="C288" s="28" t="s">
        <v>5</v>
      </c>
      <c r="D288" s="28">
        <v>0.2</v>
      </c>
      <c r="E288" s="28">
        <v>-1</v>
      </c>
      <c r="F288" s="28">
        <v>0</v>
      </c>
      <c r="G288" s="28">
        <v>4927101</v>
      </c>
    </row>
    <row r="289" spans="2:7" x14ac:dyDescent="0.25">
      <c r="B289" s="28" t="s">
        <v>619</v>
      </c>
      <c r="C289" s="28" t="s">
        <v>5</v>
      </c>
      <c r="D289" s="28">
        <v>0.2</v>
      </c>
      <c r="E289" s="28">
        <v>-1</v>
      </c>
      <c r="F289" s="28">
        <v>0</v>
      </c>
      <c r="G289" s="28">
        <v>4927109</v>
      </c>
    </row>
    <row r="290" spans="2:7" x14ac:dyDescent="0.25">
      <c r="B290" s="28" t="s">
        <v>619</v>
      </c>
      <c r="C290" s="28" t="s">
        <v>5</v>
      </c>
      <c r="D290" s="28">
        <v>0.2</v>
      </c>
      <c r="E290" s="28">
        <v>-1</v>
      </c>
      <c r="F290" s="28">
        <v>0</v>
      </c>
      <c r="G290" s="28">
        <v>4927117</v>
      </c>
    </row>
    <row r="291" spans="2:7" x14ac:dyDescent="0.25">
      <c r="B291" s="28" t="s">
        <v>619</v>
      </c>
      <c r="C291" s="28" t="s">
        <v>5</v>
      </c>
      <c r="D291" s="28">
        <v>0.2</v>
      </c>
      <c r="E291" s="28">
        <v>-1</v>
      </c>
      <c r="F291" s="28">
        <v>0</v>
      </c>
      <c r="G291" s="28">
        <v>4927125</v>
      </c>
    </row>
    <row r="292" spans="2:7" x14ac:dyDescent="0.25">
      <c r="B292" s="28" t="s">
        <v>619</v>
      </c>
      <c r="C292" s="28" t="s">
        <v>5</v>
      </c>
      <c r="D292" s="28">
        <v>0.2</v>
      </c>
      <c r="E292" s="28">
        <v>-1</v>
      </c>
      <c r="F292" s="28">
        <v>0</v>
      </c>
      <c r="G292" s="28">
        <v>4927141</v>
      </c>
    </row>
    <row r="293" spans="2:7" x14ac:dyDescent="0.25">
      <c r="B293" s="28" t="s">
        <v>622</v>
      </c>
      <c r="C293" s="28" t="s">
        <v>5</v>
      </c>
      <c r="D293" s="28">
        <v>0.2</v>
      </c>
      <c r="E293" s="28">
        <v>-1</v>
      </c>
      <c r="F293" s="28">
        <v>0</v>
      </c>
      <c r="G293" s="28">
        <v>4927188</v>
      </c>
    </row>
    <row r="294" spans="2:7" x14ac:dyDescent="0.25">
      <c r="B294" s="28" t="s">
        <v>619</v>
      </c>
      <c r="C294" s="28" t="s">
        <v>74</v>
      </c>
      <c r="D294" s="28">
        <v>0.9</v>
      </c>
      <c r="E294" s="28">
        <v>0.5</v>
      </c>
      <c r="F294" s="28">
        <v>0</v>
      </c>
      <c r="G294" s="28">
        <v>4941100</v>
      </c>
    </row>
    <row r="295" spans="2:7" x14ac:dyDescent="0.25">
      <c r="B295" s="28" t="s">
        <v>622</v>
      </c>
      <c r="C295" s="28" t="s">
        <v>74</v>
      </c>
      <c r="D295" s="28">
        <v>0.9</v>
      </c>
      <c r="E295" s="28">
        <v>0.5</v>
      </c>
      <c r="F295" s="28">
        <v>0</v>
      </c>
      <c r="G295" s="28">
        <v>4941130</v>
      </c>
    </row>
    <row r="296" spans="2:7" x14ac:dyDescent="0.25">
      <c r="B296" s="28" t="s">
        <v>622</v>
      </c>
      <c r="C296" s="28" t="s">
        <v>74</v>
      </c>
      <c r="D296" s="28">
        <v>0.9</v>
      </c>
      <c r="E296" s="28">
        <v>0.5</v>
      </c>
      <c r="F296" s="28">
        <v>0</v>
      </c>
      <c r="G296" s="28">
        <v>4941202</v>
      </c>
    </row>
    <row r="297" spans="2:7" x14ac:dyDescent="0.25">
      <c r="B297" s="28" t="s">
        <v>622</v>
      </c>
      <c r="C297" s="28" t="s">
        <v>74</v>
      </c>
      <c r="D297" s="28">
        <v>0.9</v>
      </c>
      <c r="E297" s="28">
        <v>0.5</v>
      </c>
      <c r="F297" s="28">
        <v>0</v>
      </c>
      <c r="G297" s="28">
        <v>4941226</v>
      </c>
    </row>
    <row r="298" spans="2:7" x14ac:dyDescent="0.25">
      <c r="B298" s="28" t="s">
        <v>622</v>
      </c>
      <c r="C298" s="28" t="s">
        <v>74</v>
      </c>
      <c r="D298" s="28">
        <v>0.9</v>
      </c>
      <c r="E298" s="28">
        <v>0.5</v>
      </c>
      <c r="F298" s="28">
        <v>0</v>
      </c>
      <c r="G298" s="28">
        <v>4941285</v>
      </c>
    </row>
    <row r="299" spans="2:7" x14ac:dyDescent="0.25">
      <c r="B299" s="28" t="s">
        <v>622</v>
      </c>
      <c r="C299" s="28" t="s">
        <v>74</v>
      </c>
      <c r="D299" s="28">
        <v>0.9</v>
      </c>
      <c r="E299" s="28">
        <v>0.5</v>
      </c>
      <c r="F299" s="28">
        <v>0</v>
      </c>
      <c r="G299" s="28">
        <v>4941292</v>
      </c>
    </row>
    <row r="300" spans="2:7" x14ac:dyDescent="0.25">
      <c r="B300" s="28" t="s">
        <v>619</v>
      </c>
      <c r="C300" s="28" t="s">
        <v>74</v>
      </c>
      <c r="D300" s="28">
        <v>0.9</v>
      </c>
      <c r="E300" s="28">
        <v>0.5</v>
      </c>
      <c r="F300" s="28">
        <v>0</v>
      </c>
      <c r="G300" s="28">
        <v>4941321</v>
      </c>
    </row>
    <row r="301" spans="2:7" x14ac:dyDescent="0.25">
      <c r="B301" s="28" t="s">
        <v>622</v>
      </c>
      <c r="C301" s="28" t="s">
        <v>74</v>
      </c>
      <c r="D301" s="28">
        <v>0.9</v>
      </c>
      <c r="E301" s="28">
        <v>0.5</v>
      </c>
      <c r="F301" s="28">
        <v>0</v>
      </c>
      <c r="G301" s="28">
        <v>4941365</v>
      </c>
    </row>
    <row r="302" spans="2:7" x14ac:dyDescent="0.25">
      <c r="B302" s="28" t="s">
        <v>619</v>
      </c>
      <c r="C302" s="28" t="s">
        <v>74</v>
      </c>
      <c r="D302" s="28">
        <v>0.9</v>
      </c>
      <c r="E302" s="28">
        <v>0.5</v>
      </c>
      <c r="F302" s="28">
        <v>0</v>
      </c>
      <c r="G302" s="28">
        <v>4941402</v>
      </c>
    </row>
    <row r="303" spans="2:7" x14ac:dyDescent="0.25">
      <c r="B303" s="28" t="s">
        <v>622</v>
      </c>
      <c r="C303" s="28" t="s">
        <v>74</v>
      </c>
      <c r="D303" s="28">
        <v>0.9</v>
      </c>
      <c r="E303" s="28">
        <v>0.5</v>
      </c>
      <c r="F303" s="28">
        <v>0</v>
      </c>
      <c r="G303" s="28">
        <v>4941433</v>
      </c>
    </row>
    <row r="304" spans="2:7" x14ac:dyDescent="0.25">
      <c r="B304" s="28" t="s">
        <v>619</v>
      </c>
      <c r="C304" s="28" t="s">
        <v>74</v>
      </c>
      <c r="D304" s="28">
        <v>0.9</v>
      </c>
      <c r="E304" s="28">
        <v>0.5</v>
      </c>
      <c r="F304" s="28">
        <v>0</v>
      </c>
      <c r="G304" s="28">
        <v>4941490</v>
      </c>
    </row>
    <row r="305" spans="2:7" x14ac:dyDescent="0.25">
      <c r="B305" s="28" t="s">
        <v>619</v>
      </c>
      <c r="C305" s="28" t="s">
        <v>74</v>
      </c>
      <c r="D305" s="28">
        <v>0.9</v>
      </c>
      <c r="E305" s="28">
        <v>0.5</v>
      </c>
      <c r="F305" s="28">
        <v>0</v>
      </c>
      <c r="G305" s="28">
        <v>4941497</v>
      </c>
    </row>
    <row r="306" spans="2:7" x14ac:dyDescent="0.25">
      <c r="B306" s="28" t="s">
        <v>662</v>
      </c>
      <c r="C306" s="28">
        <v>1296716</v>
      </c>
    </row>
    <row r="307" spans="2:7" x14ac:dyDescent="0.25">
      <c r="B307" s="28" t="s">
        <v>619</v>
      </c>
      <c r="C307" s="28" t="s">
        <v>74</v>
      </c>
      <c r="D307" s="28">
        <v>0.9</v>
      </c>
      <c r="E307" s="28">
        <v>0.5</v>
      </c>
      <c r="F307" s="28">
        <v>0</v>
      </c>
      <c r="G307" s="28">
        <v>4941497</v>
      </c>
    </row>
    <row r="308" spans="2:7" x14ac:dyDescent="0.25">
      <c r="B308" s="28" t="s">
        <v>622</v>
      </c>
      <c r="C308" s="28" t="s">
        <v>74</v>
      </c>
      <c r="D308" s="28">
        <v>0.9</v>
      </c>
      <c r="E308" s="28">
        <v>0.5</v>
      </c>
      <c r="F308" s="28">
        <v>0</v>
      </c>
      <c r="G308" s="28">
        <v>4941543</v>
      </c>
    </row>
    <row r="309" spans="2:7" x14ac:dyDescent="0.25">
      <c r="B309" s="28" t="s">
        <v>619</v>
      </c>
      <c r="C309" s="28" t="s">
        <v>74</v>
      </c>
      <c r="D309" s="28">
        <v>0.9</v>
      </c>
      <c r="E309" s="28">
        <v>0.5</v>
      </c>
      <c r="F309" s="28">
        <v>0</v>
      </c>
      <c r="G309" s="28">
        <v>4941589</v>
      </c>
    </row>
    <row r="310" spans="2:7" x14ac:dyDescent="0.25">
      <c r="B310" s="28" t="s">
        <v>619</v>
      </c>
      <c r="C310" s="28" t="s">
        <v>74</v>
      </c>
      <c r="D310" s="28">
        <v>0.9</v>
      </c>
      <c r="E310" s="28">
        <v>0.5</v>
      </c>
      <c r="F310" s="28">
        <v>0</v>
      </c>
      <c r="G310" s="28">
        <v>4941596</v>
      </c>
    </row>
    <row r="311" spans="2:7" x14ac:dyDescent="0.25">
      <c r="B311" s="28" t="s">
        <v>619</v>
      </c>
      <c r="C311" s="28" t="s">
        <v>74</v>
      </c>
      <c r="D311" s="28">
        <v>0.9</v>
      </c>
      <c r="E311" s="28">
        <v>0.5</v>
      </c>
      <c r="F311" s="28">
        <v>0</v>
      </c>
      <c r="G311" s="28">
        <v>4941603</v>
      </c>
    </row>
    <row r="312" spans="2:7" x14ac:dyDescent="0.25">
      <c r="B312" s="28" t="s">
        <v>621</v>
      </c>
      <c r="C312" s="28" t="s">
        <v>791</v>
      </c>
      <c r="D312" s="28">
        <v>0.9</v>
      </c>
      <c r="E312" s="28">
        <v>0.5</v>
      </c>
      <c r="F312" s="28">
        <v>0</v>
      </c>
      <c r="G312" s="28">
        <v>4941858</v>
      </c>
    </row>
    <row r="313" spans="2:7" x14ac:dyDescent="0.25">
      <c r="B313" s="28" t="s">
        <v>621</v>
      </c>
      <c r="C313" s="28" t="s">
        <v>791</v>
      </c>
      <c r="D313" s="28">
        <v>0.9</v>
      </c>
      <c r="E313" s="28">
        <v>0.5</v>
      </c>
      <c r="F313" s="28">
        <v>0</v>
      </c>
      <c r="G313" s="28">
        <v>4942085</v>
      </c>
    </row>
    <row r="314" spans="2:7" x14ac:dyDescent="0.25">
      <c r="B314" s="28" t="s">
        <v>621</v>
      </c>
      <c r="C314" s="28" t="s">
        <v>791</v>
      </c>
      <c r="D314" s="28">
        <v>0.9</v>
      </c>
      <c r="E314" s="28">
        <v>0.5</v>
      </c>
      <c r="F314" s="28">
        <v>0</v>
      </c>
      <c r="G314" s="28">
        <v>5167758</v>
      </c>
    </row>
    <row r="315" spans="2:7" x14ac:dyDescent="0.25">
      <c r="B315" s="28" t="s">
        <v>621</v>
      </c>
      <c r="C315" s="28" t="s">
        <v>791</v>
      </c>
      <c r="D315" s="28">
        <v>0.9</v>
      </c>
      <c r="E315" s="28">
        <v>0.5</v>
      </c>
      <c r="F315" s="28">
        <v>0</v>
      </c>
      <c r="G315" s="28">
        <v>5167759</v>
      </c>
    </row>
    <row r="316" spans="2:7" x14ac:dyDescent="0.25">
      <c r="B316" s="28" t="s">
        <v>665</v>
      </c>
      <c r="C316" s="28" t="s">
        <v>74</v>
      </c>
      <c r="D316" s="28">
        <v>0.9</v>
      </c>
      <c r="E316" s="28">
        <v>0.5</v>
      </c>
      <c r="F316" s="28">
        <v>0</v>
      </c>
      <c r="G316" s="28">
        <v>5836951</v>
      </c>
    </row>
    <row r="317" spans="2:7" x14ac:dyDescent="0.25">
      <c r="B317" s="28" t="s">
        <v>666</v>
      </c>
      <c r="C317" s="28">
        <v>1296728</v>
      </c>
    </row>
    <row r="318" spans="2:7" x14ac:dyDescent="0.25">
      <c r="B318" s="28" t="s">
        <v>621</v>
      </c>
      <c r="C318" s="28" t="s">
        <v>791</v>
      </c>
      <c r="D318" s="28">
        <v>0.9</v>
      </c>
      <c r="E318" s="28">
        <v>0.5</v>
      </c>
      <c r="F318" s="28">
        <v>0</v>
      </c>
      <c r="G318" s="28">
        <v>4942085</v>
      </c>
    </row>
    <row r="319" spans="2:7" x14ac:dyDescent="0.25">
      <c r="B319" s="28" t="s">
        <v>621</v>
      </c>
      <c r="C319" s="28" t="s">
        <v>791</v>
      </c>
      <c r="D319" s="28">
        <v>0.9</v>
      </c>
      <c r="E319" s="28">
        <v>0.5</v>
      </c>
      <c r="F319" s="28">
        <v>0</v>
      </c>
      <c r="G319" s="28">
        <v>4942092</v>
      </c>
    </row>
    <row r="320" spans="2:7" x14ac:dyDescent="0.25">
      <c r="B320" s="28" t="s">
        <v>621</v>
      </c>
      <c r="C320" s="28" t="s">
        <v>791</v>
      </c>
      <c r="D320" s="28">
        <v>0.9</v>
      </c>
      <c r="E320" s="28">
        <v>0.5</v>
      </c>
      <c r="F320" s="28">
        <v>0</v>
      </c>
      <c r="G320" s="28">
        <v>5167758</v>
      </c>
    </row>
    <row r="321" spans="2:7" x14ac:dyDescent="0.25">
      <c r="B321" s="28" t="s">
        <v>621</v>
      </c>
      <c r="C321" s="28" t="s">
        <v>791</v>
      </c>
      <c r="D321" s="28">
        <v>0.9</v>
      </c>
      <c r="E321" s="28">
        <v>0.5</v>
      </c>
      <c r="F321" s="28">
        <v>0</v>
      </c>
      <c r="G321" s="28">
        <v>5167760</v>
      </c>
    </row>
    <row r="322" spans="2:7" x14ac:dyDescent="0.25">
      <c r="B322" s="28" t="s">
        <v>668</v>
      </c>
      <c r="C322" s="28" t="s">
        <v>791</v>
      </c>
      <c r="D322" s="28">
        <v>0.9</v>
      </c>
      <c r="E322" s="28">
        <v>0.5</v>
      </c>
      <c r="F322" s="28">
        <v>0</v>
      </c>
      <c r="G322" s="28">
        <v>5778534</v>
      </c>
    </row>
    <row r="323" spans="2:7" x14ac:dyDescent="0.25">
      <c r="B323" s="28" t="s">
        <v>621</v>
      </c>
      <c r="C323" s="28" t="s">
        <v>791</v>
      </c>
      <c r="D323" s="28">
        <v>0.9</v>
      </c>
      <c r="E323" s="28">
        <v>0.5</v>
      </c>
      <c r="F323" s="28">
        <v>0</v>
      </c>
      <c r="G323" s="28">
        <v>6756944</v>
      </c>
    </row>
    <row r="324" spans="2:7" x14ac:dyDescent="0.25">
      <c r="B324" s="28" t="s">
        <v>621</v>
      </c>
      <c r="C324" s="28" t="s">
        <v>791</v>
      </c>
      <c r="D324" s="28">
        <v>0.9</v>
      </c>
      <c r="E324" s="28">
        <v>0.5</v>
      </c>
      <c r="F324" s="28">
        <v>0</v>
      </c>
      <c r="G324" s="28">
        <v>6756980</v>
      </c>
    </row>
    <row r="325" spans="2:7" x14ac:dyDescent="0.25">
      <c r="B325" s="28" t="s">
        <v>669</v>
      </c>
      <c r="C325" s="28">
        <v>1296842</v>
      </c>
    </row>
    <row r="326" spans="2:7" s="14" customFormat="1" x14ac:dyDescent="0.25">
      <c r="B326" s="14" t="s">
        <v>1090</v>
      </c>
      <c r="C326" s="14" t="s">
        <v>5</v>
      </c>
      <c r="D326" s="14">
        <v>0.2</v>
      </c>
      <c r="E326" s="14">
        <v>-1</v>
      </c>
      <c r="F326" s="14">
        <v>0</v>
      </c>
      <c r="G326" s="14">
        <v>4928698</v>
      </c>
    </row>
    <row r="327" spans="2:7" s="14" customFormat="1" x14ac:dyDescent="0.25">
      <c r="B327" s="14" t="s">
        <v>1081</v>
      </c>
      <c r="C327" s="14" t="s">
        <v>5</v>
      </c>
      <c r="D327" s="14">
        <v>0.2</v>
      </c>
      <c r="E327" s="14">
        <v>-1</v>
      </c>
      <c r="F327" s="14">
        <v>0</v>
      </c>
      <c r="G327" s="14">
        <v>4928706</v>
      </c>
    </row>
    <row r="328" spans="2:7" x14ac:dyDescent="0.25">
      <c r="B328" s="28" t="s">
        <v>670</v>
      </c>
      <c r="C328" s="28">
        <v>1296844</v>
      </c>
    </row>
    <row r="329" spans="2:7" s="14" customFormat="1" x14ac:dyDescent="0.25">
      <c r="B329" s="14" t="s">
        <v>1090</v>
      </c>
      <c r="C329" s="14" t="s">
        <v>5</v>
      </c>
      <c r="D329" s="14">
        <v>0.2</v>
      </c>
      <c r="E329" s="14">
        <v>-1</v>
      </c>
      <c r="F329" s="14">
        <v>0</v>
      </c>
      <c r="G329" s="14">
        <v>4928587</v>
      </c>
    </row>
    <row r="330" spans="2:7" s="14" customFormat="1" x14ac:dyDescent="0.25">
      <c r="B330" s="14" t="s">
        <v>1081</v>
      </c>
      <c r="C330" s="14" t="s">
        <v>5</v>
      </c>
      <c r="D330" s="14">
        <v>0.2</v>
      </c>
      <c r="E330" s="14">
        <v>-1</v>
      </c>
      <c r="F330" s="14">
        <v>0</v>
      </c>
      <c r="G330" s="14">
        <v>4928595</v>
      </c>
    </row>
    <row r="331" spans="2:7" x14ac:dyDescent="0.25">
      <c r="B331" s="28" t="s">
        <v>1081</v>
      </c>
      <c r="C331" s="28" t="s">
        <v>5</v>
      </c>
      <c r="D331" s="28">
        <v>0.2</v>
      </c>
      <c r="E331" s="28">
        <v>-1</v>
      </c>
      <c r="F331" s="28">
        <v>0</v>
      </c>
      <c r="G331" s="28">
        <v>4928690</v>
      </c>
    </row>
    <row r="332" spans="2:7" x14ac:dyDescent="0.25">
      <c r="B332" s="28" t="s">
        <v>671</v>
      </c>
      <c r="C332" s="28">
        <v>1296846</v>
      </c>
    </row>
    <row r="333" spans="2:7" s="14" customFormat="1" x14ac:dyDescent="0.25">
      <c r="B333" s="14" t="s">
        <v>1090</v>
      </c>
      <c r="C333" s="14" t="s">
        <v>5</v>
      </c>
      <c r="D333" s="14">
        <v>0.2</v>
      </c>
      <c r="E333" s="14">
        <v>-1</v>
      </c>
      <c r="F333" s="14">
        <v>0</v>
      </c>
      <c r="G333" s="14">
        <v>4928587</v>
      </c>
    </row>
    <row r="334" spans="2:7" s="14" customFormat="1" x14ac:dyDescent="0.25">
      <c r="B334" s="14" t="s">
        <v>1081</v>
      </c>
      <c r="C334" s="14" t="s">
        <v>5</v>
      </c>
      <c r="D334" s="14">
        <v>0.2</v>
      </c>
      <c r="E334" s="14">
        <v>-1</v>
      </c>
      <c r="F334" s="14">
        <v>0</v>
      </c>
      <c r="G334" s="14">
        <v>4928595</v>
      </c>
    </row>
    <row r="335" spans="2:7" x14ac:dyDescent="0.25">
      <c r="B335" s="28" t="s">
        <v>672</v>
      </c>
      <c r="C335" s="28">
        <v>1300860</v>
      </c>
    </row>
    <row r="336" spans="2:7" x14ac:dyDescent="0.25">
      <c r="B336" s="28" t="s">
        <v>621</v>
      </c>
      <c r="C336" s="28" t="s">
        <v>788</v>
      </c>
      <c r="D336" s="28">
        <v>-1</v>
      </c>
      <c r="E336" s="28">
        <v>0.3</v>
      </c>
      <c r="F336" s="28">
        <v>0</v>
      </c>
      <c r="G336" s="28">
        <v>4915171</v>
      </c>
    </row>
    <row r="337" spans="2:7" x14ac:dyDescent="0.25">
      <c r="B337" s="28" t="s">
        <v>621</v>
      </c>
      <c r="C337" s="28" t="s">
        <v>788</v>
      </c>
      <c r="D337" s="28">
        <v>-1</v>
      </c>
      <c r="E337" s="28">
        <v>0.3</v>
      </c>
      <c r="F337" s="28">
        <v>0</v>
      </c>
      <c r="G337" s="28">
        <v>4915172</v>
      </c>
    </row>
    <row r="338" spans="2:7" x14ac:dyDescent="0.25">
      <c r="B338" s="28" t="s">
        <v>621</v>
      </c>
      <c r="C338" s="28" t="s">
        <v>788</v>
      </c>
      <c r="D338" s="28">
        <v>-1</v>
      </c>
      <c r="E338" s="28">
        <v>0.3</v>
      </c>
      <c r="F338" s="28">
        <v>0</v>
      </c>
      <c r="G338" s="28">
        <v>4915174</v>
      </c>
    </row>
    <row r="339" spans="2:7" x14ac:dyDescent="0.25">
      <c r="B339" s="28" t="s">
        <v>621</v>
      </c>
      <c r="C339" s="28" t="s">
        <v>788</v>
      </c>
      <c r="D339" s="28">
        <v>-1</v>
      </c>
      <c r="E339" s="28">
        <v>0.3</v>
      </c>
      <c r="F339" s="28">
        <v>0</v>
      </c>
      <c r="G339" s="28">
        <v>4915175</v>
      </c>
    </row>
    <row r="340" spans="2:7" x14ac:dyDescent="0.25">
      <c r="B340" s="28" t="s">
        <v>621</v>
      </c>
      <c r="C340" s="28" t="s">
        <v>788</v>
      </c>
      <c r="D340" s="28">
        <v>-1</v>
      </c>
      <c r="E340" s="28">
        <v>0.3</v>
      </c>
      <c r="F340" s="28">
        <v>0</v>
      </c>
      <c r="G340" s="28">
        <v>5144165</v>
      </c>
    </row>
    <row r="341" spans="2:7" x14ac:dyDescent="0.25">
      <c r="B341" s="28" t="s">
        <v>621</v>
      </c>
      <c r="C341" s="28" t="s">
        <v>788</v>
      </c>
      <c r="D341" s="28">
        <v>-1</v>
      </c>
      <c r="E341" s="28">
        <v>0.3</v>
      </c>
      <c r="F341" s="28">
        <v>0</v>
      </c>
      <c r="G341" s="28">
        <v>5144166</v>
      </c>
    </row>
    <row r="342" spans="2:7" x14ac:dyDescent="0.25">
      <c r="B342" s="28" t="s">
        <v>621</v>
      </c>
      <c r="C342" s="28" t="s">
        <v>788</v>
      </c>
      <c r="D342" s="28">
        <v>-1</v>
      </c>
      <c r="E342" s="28">
        <v>0.3</v>
      </c>
      <c r="F342" s="28">
        <v>0</v>
      </c>
      <c r="G342" s="28">
        <v>5144168</v>
      </c>
    </row>
    <row r="343" spans="2:7" x14ac:dyDescent="0.25">
      <c r="B343" s="28" t="s">
        <v>621</v>
      </c>
      <c r="C343" s="28" t="s">
        <v>788</v>
      </c>
      <c r="D343" s="28">
        <v>-1</v>
      </c>
      <c r="E343" s="28">
        <v>0.3</v>
      </c>
      <c r="F343" s="28">
        <v>0</v>
      </c>
      <c r="G343" s="28">
        <v>5144169</v>
      </c>
    </row>
    <row r="344" spans="2:7" x14ac:dyDescent="0.25">
      <c r="B344" s="28" t="s">
        <v>673</v>
      </c>
      <c r="C344" s="28">
        <v>1300861</v>
      </c>
    </row>
    <row r="345" spans="2:7" x14ac:dyDescent="0.25">
      <c r="B345" s="28" t="s">
        <v>621</v>
      </c>
      <c r="C345" s="28" t="s">
        <v>788</v>
      </c>
      <c r="D345" s="28">
        <v>-1</v>
      </c>
      <c r="E345" s="28">
        <v>0.3</v>
      </c>
      <c r="F345" s="28">
        <v>0</v>
      </c>
      <c r="G345" s="28">
        <v>4914404</v>
      </c>
    </row>
    <row r="346" spans="2:7" x14ac:dyDescent="0.25">
      <c r="B346" s="28" t="s">
        <v>621</v>
      </c>
      <c r="C346" s="28" t="s">
        <v>788</v>
      </c>
      <c r="D346" s="28">
        <v>-1</v>
      </c>
      <c r="E346" s="28">
        <v>0.3</v>
      </c>
      <c r="F346" s="28">
        <v>0</v>
      </c>
      <c r="G346" s="28">
        <v>4914405</v>
      </c>
    </row>
    <row r="347" spans="2:7" x14ac:dyDescent="0.25">
      <c r="B347" s="28" t="s">
        <v>621</v>
      </c>
      <c r="C347" s="28" t="s">
        <v>788</v>
      </c>
      <c r="D347" s="28">
        <v>-1</v>
      </c>
      <c r="E347" s="28">
        <v>0.3</v>
      </c>
      <c r="F347" s="28">
        <v>0</v>
      </c>
      <c r="G347" s="28">
        <v>4914406</v>
      </c>
    </row>
    <row r="348" spans="2:7" x14ac:dyDescent="0.25">
      <c r="B348" s="28" t="s">
        <v>621</v>
      </c>
      <c r="C348" s="28" t="s">
        <v>788</v>
      </c>
      <c r="D348" s="28">
        <v>-1</v>
      </c>
      <c r="E348" s="28">
        <v>0.3</v>
      </c>
      <c r="F348" s="28">
        <v>0</v>
      </c>
      <c r="G348" s="28">
        <v>4914407</v>
      </c>
    </row>
    <row r="349" spans="2:7" x14ac:dyDescent="0.25">
      <c r="B349" s="28" t="s">
        <v>621</v>
      </c>
      <c r="C349" s="28" t="s">
        <v>788</v>
      </c>
      <c r="D349" s="28">
        <v>-1</v>
      </c>
      <c r="E349" s="28">
        <v>0.3</v>
      </c>
      <c r="F349" s="28">
        <v>0</v>
      </c>
      <c r="G349" s="28">
        <v>4914409</v>
      </c>
    </row>
    <row r="350" spans="2:7" x14ac:dyDescent="0.25">
      <c r="B350" s="28" t="s">
        <v>621</v>
      </c>
      <c r="C350" s="28" t="s">
        <v>788</v>
      </c>
      <c r="D350" s="28">
        <v>-1</v>
      </c>
      <c r="E350" s="28">
        <v>0.3</v>
      </c>
      <c r="F350" s="28">
        <v>0</v>
      </c>
      <c r="G350" s="28">
        <v>5144016</v>
      </c>
    </row>
    <row r="351" spans="2:7" x14ac:dyDescent="0.25">
      <c r="B351" s="28" t="s">
        <v>621</v>
      </c>
      <c r="C351" s="28" t="s">
        <v>788</v>
      </c>
      <c r="D351" s="28">
        <v>-1</v>
      </c>
      <c r="E351" s="28">
        <v>0.3</v>
      </c>
      <c r="F351" s="28">
        <v>0</v>
      </c>
      <c r="G351" s="28">
        <v>5144017</v>
      </c>
    </row>
    <row r="352" spans="2:7" x14ac:dyDescent="0.25">
      <c r="B352" s="28" t="s">
        <v>621</v>
      </c>
      <c r="C352" s="28" t="s">
        <v>788</v>
      </c>
      <c r="D352" s="28">
        <v>-1</v>
      </c>
      <c r="E352" s="28">
        <v>0.3</v>
      </c>
      <c r="F352" s="28">
        <v>0</v>
      </c>
      <c r="G352" s="28">
        <v>5144018</v>
      </c>
    </row>
    <row r="353" spans="2:7" x14ac:dyDescent="0.25">
      <c r="B353" s="28" t="s">
        <v>621</v>
      </c>
      <c r="C353" s="28" t="s">
        <v>788</v>
      </c>
      <c r="D353" s="28">
        <v>-1</v>
      </c>
      <c r="E353" s="28">
        <v>0.3</v>
      </c>
      <c r="F353" s="28">
        <v>0</v>
      </c>
      <c r="G353" s="28">
        <v>5144019</v>
      </c>
    </row>
    <row r="354" spans="2:7" x14ac:dyDescent="0.25">
      <c r="B354" s="28" t="s">
        <v>621</v>
      </c>
      <c r="C354" s="28" t="s">
        <v>788</v>
      </c>
      <c r="D354" s="28">
        <v>-1</v>
      </c>
      <c r="E354" s="28">
        <v>0.3</v>
      </c>
      <c r="F354" s="28">
        <v>0</v>
      </c>
      <c r="G354" s="28">
        <v>5144021</v>
      </c>
    </row>
    <row r="355" spans="2:7" x14ac:dyDescent="0.25">
      <c r="B355" s="28" t="s">
        <v>674</v>
      </c>
      <c r="C355" s="28">
        <v>1300863</v>
      </c>
    </row>
    <row r="356" spans="2:7" x14ac:dyDescent="0.25">
      <c r="B356" s="28" t="s">
        <v>619</v>
      </c>
      <c r="C356" s="28" t="s">
        <v>788</v>
      </c>
      <c r="D356" s="28">
        <v>-1</v>
      </c>
      <c r="E356" s="28">
        <v>0.3</v>
      </c>
      <c r="F356" s="28">
        <v>0</v>
      </c>
      <c r="G356" s="28">
        <v>4915165</v>
      </c>
    </row>
    <row r="357" spans="2:7" x14ac:dyDescent="0.25">
      <c r="B357" s="28" t="s">
        <v>622</v>
      </c>
      <c r="C357" s="28" t="s">
        <v>788</v>
      </c>
      <c r="D357" s="28">
        <v>-1</v>
      </c>
      <c r="E357" s="28">
        <v>0.3</v>
      </c>
      <c r="F357" s="28">
        <v>0</v>
      </c>
      <c r="G357" s="28">
        <v>4915166</v>
      </c>
    </row>
    <row r="358" spans="2:7" x14ac:dyDescent="0.25">
      <c r="B358" s="28" t="s">
        <v>619</v>
      </c>
      <c r="C358" s="28" t="s">
        <v>788</v>
      </c>
      <c r="D358" s="28">
        <v>-1</v>
      </c>
      <c r="E358" s="28">
        <v>0.3</v>
      </c>
      <c r="F358" s="28">
        <v>0</v>
      </c>
      <c r="G358" s="28">
        <v>4915167</v>
      </c>
    </row>
    <row r="359" spans="2:7" x14ac:dyDescent="0.25">
      <c r="B359" s="28" t="s">
        <v>621</v>
      </c>
      <c r="C359" s="28" t="s">
        <v>788</v>
      </c>
      <c r="D359" s="28">
        <v>-1</v>
      </c>
      <c r="E359" s="28">
        <v>0.3</v>
      </c>
      <c r="F359" s="28">
        <v>0</v>
      </c>
      <c r="G359" s="28">
        <v>4915168</v>
      </c>
    </row>
    <row r="360" spans="2:7" x14ac:dyDescent="0.25">
      <c r="B360" s="28" t="s">
        <v>675</v>
      </c>
      <c r="C360" s="28" t="s">
        <v>788</v>
      </c>
      <c r="D360" s="28">
        <v>-1</v>
      </c>
      <c r="E360" s="28">
        <v>0.3</v>
      </c>
      <c r="F360" s="28">
        <v>0</v>
      </c>
      <c r="G360" s="28">
        <v>5144346</v>
      </c>
    </row>
    <row r="361" spans="2:7" x14ac:dyDescent="0.25">
      <c r="B361" s="28" t="s">
        <v>676</v>
      </c>
      <c r="C361" s="28">
        <v>1300864</v>
      </c>
    </row>
    <row r="362" spans="2:7" x14ac:dyDescent="0.25">
      <c r="B362" s="28" t="s">
        <v>621</v>
      </c>
      <c r="C362" s="28" t="s">
        <v>792</v>
      </c>
      <c r="D362" s="28">
        <v>-1</v>
      </c>
      <c r="E362" s="28">
        <v>-0.2</v>
      </c>
      <c r="F362" s="28">
        <v>0</v>
      </c>
      <c r="G362" s="28">
        <v>4810554</v>
      </c>
    </row>
    <row r="363" spans="2:7" x14ac:dyDescent="0.25">
      <c r="B363" s="28" t="s">
        <v>621</v>
      </c>
      <c r="C363" s="28" t="s">
        <v>792</v>
      </c>
      <c r="D363" s="28">
        <v>-1</v>
      </c>
      <c r="E363" s="28">
        <v>-0.2</v>
      </c>
      <c r="F363" s="28">
        <v>0</v>
      </c>
      <c r="G363" s="28">
        <v>4810555</v>
      </c>
    </row>
    <row r="364" spans="2:7" x14ac:dyDescent="0.25">
      <c r="B364" s="28" t="s">
        <v>621</v>
      </c>
      <c r="C364" s="28" t="s">
        <v>792</v>
      </c>
      <c r="D364" s="28">
        <v>-1</v>
      </c>
      <c r="E364" s="28">
        <v>-0.2</v>
      </c>
      <c r="F364" s="28">
        <v>0</v>
      </c>
      <c r="G364" s="28">
        <v>4810556</v>
      </c>
    </row>
    <row r="365" spans="2:7" x14ac:dyDescent="0.25">
      <c r="B365" s="28" t="s">
        <v>621</v>
      </c>
      <c r="C365" s="28" t="s">
        <v>792</v>
      </c>
      <c r="D365" s="28">
        <v>-1</v>
      </c>
      <c r="E365" s="28">
        <v>-0.2</v>
      </c>
      <c r="F365" s="28">
        <v>0</v>
      </c>
      <c r="G365" s="28">
        <v>4810557</v>
      </c>
    </row>
    <row r="366" spans="2:7" x14ac:dyDescent="0.25">
      <c r="B366" s="28" t="s">
        <v>621</v>
      </c>
      <c r="C366" s="28" t="s">
        <v>792</v>
      </c>
      <c r="D366" s="28">
        <v>-1</v>
      </c>
      <c r="E366" s="28">
        <v>-0.2</v>
      </c>
      <c r="F366" s="28">
        <v>0</v>
      </c>
      <c r="G366" s="28">
        <v>4810558</v>
      </c>
    </row>
    <row r="367" spans="2:7" x14ac:dyDescent="0.25">
      <c r="B367" s="28" t="s">
        <v>621</v>
      </c>
      <c r="C367" s="28" t="s">
        <v>792</v>
      </c>
      <c r="D367" s="28">
        <v>-1</v>
      </c>
      <c r="E367" s="28">
        <v>-0.2</v>
      </c>
      <c r="F367" s="28">
        <v>0</v>
      </c>
      <c r="G367" s="28">
        <v>5143816</v>
      </c>
    </row>
    <row r="368" spans="2:7" x14ac:dyDescent="0.25">
      <c r="B368" s="28" t="s">
        <v>621</v>
      </c>
      <c r="C368" s="28" t="s">
        <v>792</v>
      </c>
      <c r="D368" s="28">
        <v>-1</v>
      </c>
      <c r="E368" s="28">
        <v>-0.2</v>
      </c>
      <c r="F368" s="28">
        <v>0</v>
      </c>
      <c r="G368" s="28">
        <v>5143817</v>
      </c>
    </row>
    <row r="369" spans="2:7" x14ac:dyDescent="0.25">
      <c r="B369" s="28" t="s">
        <v>621</v>
      </c>
      <c r="C369" s="28" t="s">
        <v>792</v>
      </c>
      <c r="D369" s="28">
        <v>-1</v>
      </c>
      <c r="E369" s="28">
        <v>-0.2</v>
      </c>
      <c r="F369" s="28">
        <v>0</v>
      </c>
      <c r="G369" s="28">
        <v>5143818</v>
      </c>
    </row>
    <row r="370" spans="2:7" x14ac:dyDescent="0.25">
      <c r="B370" s="28" t="s">
        <v>621</v>
      </c>
      <c r="C370" s="28" t="s">
        <v>792</v>
      </c>
      <c r="D370" s="28">
        <v>-1</v>
      </c>
      <c r="E370" s="28">
        <v>-0.2</v>
      </c>
      <c r="F370" s="28">
        <v>0</v>
      </c>
      <c r="G370" s="28">
        <v>5143819</v>
      </c>
    </row>
    <row r="371" spans="2:7" x14ac:dyDescent="0.25">
      <c r="B371" s="28" t="s">
        <v>621</v>
      </c>
      <c r="C371" s="28" t="s">
        <v>792</v>
      </c>
      <c r="D371" s="28">
        <v>-1</v>
      </c>
      <c r="E371" s="28">
        <v>-0.2</v>
      </c>
      <c r="F371" s="28">
        <v>0</v>
      </c>
      <c r="G371" s="28">
        <v>5143820</v>
      </c>
    </row>
    <row r="372" spans="2:7" x14ac:dyDescent="0.25">
      <c r="B372" s="28" t="s">
        <v>677</v>
      </c>
      <c r="C372" s="28">
        <v>1300866</v>
      </c>
    </row>
    <row r="373" spans="2:7" x14ac:dyDescent="0.25">
      <c r="B373" s="28" t="s">
        <v>619</v>
      </c>
      <c r="C373" s="28" t="s">
        <v>788</v>
      </c>
      <c r="D373" s="28">
        <v>-1</v>
      </c>
      <c r="E373" s="28">
        <v>0.3</v>
      </c>
      <c r="F373" s="28">
        <v>0</v>
      </c>
      <c r="G373" s="28">
        <v>4915158</v>
      </c>
    </row>
    <row r="374" spans="2:7" x14ac:dyDescent="0.25">
      <c r="B374" s="28" t="s">
        <v>622</v>
      </c>
      <c r="C374" s="28" t="s">
        <v>788</v>
      </c>
      <c r="D374" s="28">
        <v>-1</v>
      </c>
      <c r="E374" s="28">
        <v>0.3</v>
      </c>
      <c r="F374" s="28">
        <v>0</v>
      </c>
      <c r="G374" s="28">
        <v>4915159</v>
      </c>
    </row>
    <row r="375" spans="2:7" x14ac:dyDescent="0.25">
      <c r="B375" s="28" t="s">
        <v>622</v>
      </c>
      <c r="C375" s="28" t="s">
        <v>788</v>
      </c>
      <c r="D375" s="28">
        <v>-1</v>
      </c>
      <c r="E375" s="28">
        <v>0.3</v>
      </c>
      <c r="F375" s="28">
        <v>0</v>
      </c>
      <c r="G375" s="28">
        <v>4915160</v>
      </c>
    </row>
    <row r="376" spans="2:7" x14ac:dyDescent="0.25">
      <c r="B376" s="28" t="s">
        <v>622</v>
      </c>
      <c r="C376" s="28" t="s">
        <v>788</v>
      </c>
      <c r="D376" s="28">
        <v>-1</v>
      </c>
      <c r="E376" s="28">
        <v>0.3</v>
      </c>
      <c r="F376" s="28">
        <v>0</v>
      </c>
      <c r="G376" s="28">
        <v>4915161</v>
      </c>
    </row>
    <row r="377" spans="2:7" x14ac:dyDescent="0.25">
      <c r="B377" s="28" t="s">
        <v>619</v>
      </c>
      <c r="C377" s="28" t="s">
        <v>788</v>
      </c>
      <c r="D377" s="28">
        <v>-1</v>
      </c>
      <c r="E377" s="28">
        <v>0.3</v>
      </c>
      <c r="F377" s="28">
        <v>0</v>
      </c>
      <c r="G377" s="28">
        <v>4915162</v>
      </c>
    </row>
    <row r="378" spans="2:7" x14ac:dyDescent="0.25">
      <c r="B378" s="28" t="s">
        <v>622</v>
      </c>
      <c r="C378" s="28" t="s">
        <v>788</v>
      </c>
      <c r="D378" s="28">
        <v>-1</v>
      </c>
      <c r="E378" s="28">
        <v>0.3</v>
      </c>
      <c r="F378" s="28">
        <v>0</v>
      </c>
      <c r="G378" s="28">
        <v>4915163</v>
      </c>
    </row>
    <row r="379" spans="2:7" x14ac:dyDescent="0.25">
      <c r="B379" s="28" t="s">
        <v>622</v>
      </c>
      <c r="C379" s="28" t="s">
        <v>788</v>
      </c>
      <c r="D379" s="28">
        <v>-1</v>
      </c>
      <c r="E379" s="28">
        <v>0.3</v>
      </c>
      <c r="F379" s="28">
        <v>0</v>
      </c>
      <c r="G379" s="28">
        <v>4915164</v>
      </c>
    </row>
    <row r="380" spans="2:7" x14ac:dyDescent="0.25">
      <c r="B380" s="28" t="s">
        <v>619</v>
      </c>
      <c r="C380" s="28" t="s">
        <v>788</v>
      </c>
      <c r="D380" s="28">
        <v>-1</v>
      </c>
      <c r="E380" s="28">
        <v>0.3</v>
      </c>
      <c r="F380" s="28">
        <v>0</v>
      </c>
      <c r="G380" s="28">
        <v>4915165</v>
      </c>
    </row>
    <row r="381" spans="2:7" x14ac:dyDescent="0.25">
      <c r="B381" s="28" t="s">
        <v>678</v>
      </c>
      <c r="C381" s="28">
        <v>1300872</v>
      </c>
    </row>
    <row r="382" spans="2:7" x14ac:dyDescent="0.25">
      <c r="B382" s="28" t="s">
        <v>621</v>
      </c>
      <c r="C382" s="28" t="s">
        <v>792</v>
      </c>
      <c r="D382" s="28">
        <v>-1</v>
      </c>
      <c r="E382" s="28">
        <v>-0.2</v>
      </c>
      <c r="F382" s="28">
        <v>0</v>
      </c>
      <c r="G382" s="28">
        <v>4810566</v>
      </c>
    </row>
    <row r="383" spans="2:7" x14ac:dyDescent="0.25">
      <c r="B383" s="28" t="s">
        <v>621</v>
      </c>
      <c r="C383" s="28" t="s">
        <v>792</v>
      </c>
      <c r="D383" s="28">
        <v>-1</v>
      </c>
      <c r="E383" s="28">
        <v>-0.2</v>
      </c>
      <c r="F383" s="28">
        <v>0</v>
      </c>
      <c r="G383" s="28">
        <v>4810567</v>
      </c>
    </row>
    <row r="384" spans="2:7" x14ac:dyDescent="0.25">
      <c r="B384" s="28" t="s">
        <v>621</v>
      </c>
      <c r="C384" s="28" t="s">
        <v>792</v>
      </c>
      <c r="D384" s="28">
        <v>-1</v>
      </c>
      <c r="E384" s="28">
        <v>-0.2</v>
      </c>
      <c r="F384" s="28">
        <v>0</v>
      </c>
      <c r="G384" s="28">
        <v>4810568</v>
      </c>
    </row>
    <row r="385" spans="2:7" x14ac:dyDescent="0.25">
      <c r="B385" s="28" t="s">
        <v>621</v>
      </c>
      <c r="C385" s="28" t="s">
        <v>792</v>
      </c>
      <c r="D385" s="28">
        <v>-1</v>
      </c>
      <c r="E385" s="28">
        <v>-0.2</v>
      </c>
      <c r="F385" s="28">
        <v>0</v>
      </c>
      <c r="G385" s="28">
        <v>5143828</v>
      </c>
    </row>
    <row r="386" spans="2:7" x14ac:dyDescent="0.25">
      <c r="B386" s="28" t="s">
        <v>621</v>
      </c>
      <c r="C386" s="28" t="s">
        <v>792</v>
      </c>
      <c r="D386" s="28">
        <v>-1</v>
      </c>
      <c r="E386" s="28">
        <v>-0.2</v>
      </c>
      <c r="F386" s="28">
        <v>0</v>
      </c>
      <c r="G386" s="28">
        <v>5143830</v>
      </c>
    </row>
    <row r="387" spans="2:7" x14ac:dyDescent="0.25">
      <c r="B387" s="28" t="s">
        <v>621</v>
      </c>
      <c r="C387" s="28" t="s">
        <v>792</v>
      </c>
      <c r="D387" s="28">
        <v>-1</v>
      </c>
      <c r="E387" s="28">
        <v>-0.2</v>
      </c>
      <c r="F387" s="28">
        <v>0</v>
      </c>
      <c r="G387" s="28">
        <v>5143831</v>
      </c>
    </row>
    <row r="388" spans="2:7" x14ac:dyDescent="0.25">
      <c r="B388" s="28" t="s">
        <v>680</v>
      </c>
      <c r="C388" s="28">
        <v>1300875</v>
      </c>
    </row>
    <row r="389" spans="2:7" x14ac:dyDescent="0.25">
      <c r="B389" s="28" t="s">
        <v>621</v>
      </c>
      <c r="C389" s="28" t="s">
        <v>792</v>
      </c>
      <c r="D389" s="28">
        <v>-1</v>
      </c>
      <c r="E389" s="28">
        <v>-0.2</v>
      </c>
      <c r="F389" s="28">
        <v>0</v>
      </c>
      <c r="G389" s="28">
        <v>4810569</v>
      </c>
    </row>
    <row r="390" spans="2:7" x14ac:dyDescent="0.25">
      <c r="B390" s="28" t="s">
        <v>621</v>
      </c>
      <c r="C390" s="28" t="s">
        <v>792</v>
      </c>
      <c r="D390" s="28">
        <v>-1</v>
      </c>
      <c r="E390" s="28">
        <v>-0.2</v>
      </c>
      <c r="F390" s="28">
        <v>0</v>
      </c>
      <c r="G390" s="28">
        <v>5143832</v>
      </c>
    </row>
    <row r="391" spans="2:7" x14ac:dyDescent="0.25">
      <c r="B391" s="28" t="s">
        <v>681</v>
      </c>
      <c r="C391" s="28">
        <v>1300922</v>
      </c>
    </row>
    <row r="392" spans="2:7" x14ac:dyDescent="0.25">
      <c r="B392" s="28" t="s">
        <v>621</v>
      </c>
      <c r="C392" s="28" t="s">
        <v>788</v>
      </c>
      <c r="D392" s="28">
        <v>-1</v>
      </c>
      <c r="E392" s="28">
        <v>0.3</v>
      </c>
      <c r="F392" s="28">
        <v>0</v>
      </c>
      <c r="G392" s="28">
        <v>4914400</v>
      </c>
    </row>
    <row r="393" spans="2:7" x14ac:dyDescent="0.25">
      <c r="B393" s="28" t="s">
        <v>621</v>
      </c>
      <c r="C393" s="28" t="s">
        <v>788</v>
      </c>
      <c r="D393" s="28">
        <v>-1</v>
      </c>
      <c r="E393" s="28">
        <v>0.3</v>
      </c>
      <c r="F393" s="28">
        <v>0</v>
      </c>
      <c r="G393" s="28">
        <v>4914401</v>
      </c>
    </row>
    <row r="394" spans="2:7" x14ac:dyDescent="0.25">
      <c r="B394" s="28" t="s">
        <v>621</v>
      </c>
      <c r="C394" s="28" t="s">
        <v>788</v>
      </c>
      <c r="D394" s="28">
        <v>-1</v>
      </c>
      <c r="E394" s="28">
        <v>0.3</v>
      </c>
      <c r="F394" s="28">
        <v>0</v>
      </c>
      <c r="G394" s="28">
        <v>4914402</v>
      </c>
    </row>
    <row r="395" spans="2:7" x14ac:dyDescent="0.25">
      <c r="B395" s="28" t="s">
        <v>621</v>
      </c>
      <c r="C395" s="28" t="s">
        <v>788</v>
      </c>
      <c r="D395" s="28">
        <v>-1</v>
      </c>
      <c r="E395" s="28">
        <v>0.3</v>
      </c>
      <c r="F395" s="28">
        <v>0</v>
      </c>
      <c r="G395" s="28">
        <v>4914403</v>
      </c>
    </row>
    <row r="396" spans="2:7" x14ac:dyDescent="0.25">
      <c r="B396" s="28" t="s">
        <v>621</v>
      </c>
      <c r="C396" s="28" t="s">
        <v>788</v>
      </c>
      <c r="D396" s="28">
        <v>-1</v>
      </c>
      <c r="E396" s="28">
        <v>0.3</v>
      </c>
      <c r="F396" s="28">
        <v>0</v>
      </c>
      <c r="G396" s="28">
        <v>4914404</v>
      </c>
    </row>
    <row r="397" spans="2:7" x14ac:dyDescent="0.25">
      <c r="B397" s="28" t="s">
        <v>621</v>
      </c>
      <c r="C397" s="28" t="s">
        <v>788</v>
      </c>
      <c r="D397" s="28">
        <v>-1</v>
      </c>
      <c r="E397" s="28">
        <v>0.3</v>
      </c>
      <c r="F397" s="28">
        <v>0</v>
      </c>
      <c r="G397" s="28">
        <v>5144012</v>
      </c>
    </row>
    <row r="398" spans="2:7" x14ac:dyDescent="0.25">
      <c r="B398" s="28" t="s">
        <v>621</v>
      </c>
      <c r="C398" s="28" t="s">
        <v>788</v>
      </c>
      <c r="D398" s="28">
        <v>-1</v>
      </c>
      <c r="E398" s="28">
        <v>0.3</v>
      </c>
      <c r="F398" s="28">
        <v>0</v>
      </c>
      <c r="G398" s="28">
        <v>5144013</v>
      </c>
    </row>
    <row r="399" spans="2:7" x14ac:dyDescent="0.25">
      <c r="B399" s="28" t="s">
        <v>621</v>
      </c>
      <c r="C399" s="28" t="s">
        <v>788</v>
      </c>
      <c r="D399" s="28">
        <v>-1</v>
      </c>
      <c r="E399" s="28">
        <v>0.3</v>
      </c>
      <c r="F399" s="28">
        <v>0</v>
      </c>
      <c r="G399" s="28">
        <v>5144014</v>
      </c>
    </row>
    <row r="400" spans="2:7" x14ac:dyDescent="0.25">
      <c r="B400" s="28" t="s">
        <v>621</v>
      </c>
      <c r="C400" s="28" t="s">
        <v>788</v>
      </c>
      <c r="D400" s="28">
        <v>-1</v>
      </c>
      <c r="E400" s="28">
        <v>0.3</v>
      </c>
      <c r="F400" s="28">
        <v>0</v>
      </c>
      <c r="G400" s="28">
        <v>5144015</v>
      </c>
    </row>
    <row r="401" spans="2:7" x14ac:dyDescent="0.25">
      <c r="B401" s="28" t="s">
        <v>621</v>
      </c>
      <c r="C401" s="28" t="s">
        <v>788</v>
      </c>
      <c r="D401" s="28">
        <v>-1</v>
      </c>
      <c r="E401" s="28">
        <v>0.3</v>
      </c>
      <c r="F401" s="28">
        <v>0</v>
      </c>
      <c r="G401" s="28">
        <v>5144016</v>
      </c>
    </row>
    <row r="402" spans="2:7" x14ac:dyDescent="0.25">
      <c r="B402" s="28" t="s">
        <v>682</v>
      </c>
      <c r="C402" s="28">
        <v>1300923</v>
      </c>
    </row>
    <row r="403" spans="2:7" x14ac:dyDescent="0.25">
      <c r="B403" s="28" t="s">
        <v>648</v>
      </c>
      <c r="C403" s="28" t="s">
        <v>793</v>
      </c>
      <c r="D403" s="28">
        <v>0</v>
      </c>
      <c r="E403" s="28">
        <v>1</v>
      </c>
      <c r="F403" s="28">
        <v>0</v>
      </c>
      <c r="G403" s="28">
        <v>4915149</v>
      </c>
    </row>
    <row r="404" spans="2:7" x14ac:dyDescent="0.25">
      <c r="B404" s="28" t="s">
        <v>619</v>
      </c>
      <c r="C404" s="28" t="s">
        <v>794</v>
      </c>
      <c r="D404" s="28">
        <v>0</v>
      </c>
      <c r="E404" s="28">
        <v>-1</v>
      </c>
      <c r="F404" s="28">
        <v>0</v>
      </c>
      <c r="G404" s="28">
        <v>4915152</v>
      </c>
    </row>
    <row r="405" spans="2:7" x14ac:dyDescent="0.25">
      <c r="B405" s="28" t="s">
        <v>619</v>
      </c>
      <c r="C405" s="28" t="s">
        <v>794</v>
      </c>
      <c r="D405" s="28">
        <v>0</v>
      </c>
      <c r="E405" s="28">
        <v>-1</v>
      </c>
      <c r="F405" s="28">
        <v>0</v>
      </c>
      <c r="G405" s="28">
        <v>4915153</v>
      </c>
    </row>
    <row r="406" spans="2:7" x14ac:dyDescent="0.25">
      <c r="B406" s="28" t="s">
        <v>619</v>
      </c>
      <c r="C406" s="28" t="s">
        <v>794</v>
      </c>
      <c r="D406" s="28">
        <v>0</v>
      </c>
      <c r="E406" s="28">
        <v>-1</v>
      </c>
      <c r="F406" s="28">
        <v>0</v>
      </c>
      <c r="G406" s="28">
        <v>4915154</v>
      </c>
    </row>
    <row r="407" spans="2:7" x14ac:dyDescent="0.25">
      <c r="B407" s="28" t="s">
        <v>622</v>
      </c>
      <c r="C407" s="28" t="s">
        <v>788</v>
      </c>
      <c r="D407" s="28">
        <v>-1</v>
      </c>
      <c r="E407" s="28">
        <v>0.3</v>
      </c>
      <c r="F407" s="28">
        <v>0</v>
      </c>
      <c r="G407" s="28">
        <v>4915155</v>
      </c>
    </row>
    <row r="408" spans="2:7" x14ac:dyDescent="0.25">
      <c r="B408" s="28" t="s">
        <v>622</v>
      </c>
      <c r="C408" s="28" t="s">
        <v>788</v>
      </c>
      <c r="D408" s="28">
        <v>-1</v>
      </c>
      <c r="E408" s="28">
        <v>0.3</v>
      </c>
      <c r="F408" s="28">
        <v>0</v>
      </c>
      <c r="G408" s="28">
        <v>4915156</v>
      </c>
    </row>
    <row r="409" spans="2:7" x14ac:dyDescent="0.25">
      <c r="B409" s="28" t="s">
        <v>622</v>
      </c>
      <c r="C409" s="28" t="s">
        <v>788</v>
      </c>
      <c r="D409" s="28">
        <v>-1</v>
      </c>
      <c r="E409" s="28">
        <v>0.3</v>
      </c>
      <c r="F409" s="28">
        <v>0</v>
      </c>
      <c r="G409" s="28">
        <v>4915157</v>
      </c>
    </row>
    <row r="410" spans="2:7" x14ac:dyDescent="0.25">
      <c r="B410" s="28" t="s">
        <v>619</v>
      </c>
      <c r="C410" s="28" t="s">
        <v>788</v>
      </c>
      <c r="D410" s="28">
        <v>-1</v>
      </c>
      <c r="E410" s="28">
        <v>0.3</v>
      </c>
      <c r="F410" s="28">
        <v>0</v>
      </c>
      <c r="G410" s="28">
        <v>4915158</v>
      </c>
    </row>
    <row r="411" spans="2:7" x14ac:dyDescent="0.25">
      <c r="B411" s="28" t="s">
        <v>683</v>
      </c>
      <c r="C411" s="28">
        <v>1300924</v>
      </c>
    </row>
    <row r="412" spans="2:7" x14ac:dyDescent="0.25">
      <c r="B412" s="28" t="s">
        <v>619</v>
      </c>
      <c r="C412" s="28" t="s">
        <v>794</v>
      </c>
      <c r="D412" s="28">
        <v>0</v>
      </c>
      <c r="E412" s="28">
        <v>-1</v>
      </c>
      <c r="F412" s="28">
        <v>0</v>
      </c>
      <c r="G412" s="28">
        <v>4915154</v>
      </c>
    </row>
    <row r="413" spans="2:7" x14ac:dyDescent="0.25">
      <c r="B413" s="28" t="s">
        <v>684</v>
      </c>
      <c r="C413" s="28">
        <v>1300925</v>
      </c>
    </row>
    <row r="414" spans="2:7" x14ac:dyDescent="0.25">
      <c r="B414" s="28" t="s">
        <v>622</v>
      </c>
      <c r="C414" s="28" t="s">
        <v>788</v>
      </c>
      <c r="D414" s="28">
        <v>-1</v>
      </c>
      <c r="E414" s="28">
        <v>0.3</v>
      </c>
      <c r="F414" s="28">
        <v>0</v>
      </c>
      <c r="G414" s="28">
        <v>4914396</v>
      </c>
    </row>
    <row r="415" spans="2:7" x14ac:dyDescent="0.25">
      <c r="B415" s="28" t="s">
        <v>622</v>
      </c>
      <c r="C415" s="28" t="s">
        <v>788</v>
      </c>
      <c r="D415" s="28">
        <v>-1</v>
      </c>
      <c r="E415" s="28">
        <v>0.3</v>
      </c>
      <c r="F415" s="28">
        <v>0</v>
      </c>
      <c r="G415" s="28">
        <v>4914397</v>
      </c>
    </row>
    <row r="416" spans="2:7" x14ac:dyDescent="0.25">
      <c r="B416" s="28" t="s">
        <v>619</v>
      </c>
      <c r="C416" s="28" t="s">
        <v>788</v>
      </c>
      <c r="D416" s="28">
        <v>-1</v>
      </c>
      <c r="E416" s="28">
        <v>0.3</v>
      </c>
      <c r="F416" s="28">
        <v>0</v>
      </c>
      <c r="G416" s="28">
        <v>4914398</v>
      </c>
    </row>
    <row r="417" spans="2:7" x14ac:dyDescent="0.25">
      <c r="B417" s="28" t="s">
        <v>622</v>
      </c>
      <c r="C417" s="28" t="s">
        <v>788</v>
      </c>
      <c r="D417" s="28">
        <v>-1</v>
      </c>
      <c r="E417" s="28">
        <v>0.3</v>
      </c>
      <c r="F417" s="28">
        <v>0</v>
      </c>
      <c r="G417" s="28">
        <v>4914399</v>
      </c>
    </row>
    <row r="418" spans="2:7" x14ac:dyDescent="0.25">
      <c r="B418" s="28" t="s">
        <v>621</v>
      </c>
      <c r="C418" s="28" t="s">
        <v>788</v>
      </c>
      <c r="D418" s="28">
        <v>-1</v>
      </c>
      <c r="E418" s="28">
        <v>0.3</v>
      </c>
      <c r="F418" s="28">
        <v>0</v>
      </c>
      <c r="G418" s="28">
        <v>4914400</v>
      </c>
    </row>
    <row r="419" spans="2:7" x14ac:dyDescent="0.25">
      <c r="B419" s="28" t="s">
        <v>621</v>
      </c>
      <c r="C419" s="28" t="s">
        <v>788</v>
      </c>
      <c r="D419" s="28">
        <v>-1</v>
      </c>
      <c r="E419" s="28">
        <v>0.3</v>
      </c>
      <c r="F419" s="28">
        <v>0</v>
      </c>
      <c r="G419" s="28">
        <v>5144012</v>
      </c>
    </row>
    <row r="420" spans="2:7" x14ac:dyDescent="0.25">
      <c r="B420" s="28" t="s">
        <v>685</v>
      </c>
      <c r="C420" s="28">
        <v>1300927</v>
      </c>
    </row>
    <row r="421" spans="2:7" x14ac:dyDescent="0.25">
      <c r="B421" s="28" t="s">
        <v>648</v>
      </c>
      <c r="C421" s="28" t="s">
        <v>795</v>
      </c>
      <c r="D421" s="28">
        <v>0.1</v>
      </c>
      <c r="E421" s="28">
        <v>1</v>
      </c>
      <c r="F421" s="28">
        <v>0</v>
      </c>
      <c r="G421" s="28">
        <v>4914383</v>
      </c>
    </row>
    <row r="422" spans="2:7" x14ac:dyDescent="0.25">
      <c r="B422" s="28" t="s">
        <v>619</v>
      </c>
      <c r="C422" s="28" t="s">
        <v>796</v>
      </c>
      <c r="D422" s="28">
        <v>-0.1</v>
      </c>
      <c r="E422" s="28">
        <v>-1</v>
      </c>
      <c r="F422" s="28">
        <v>0</v>
      </c>
      <c r="G422" s="28">
        <v>4914386</v>
      </c>
    </row>
    <row r="423" spans="2:7" x14ac:dyDescent="0.25">
      <c r="B423" s="28" t="s">
        <v>619</v>
      </c>
      <c r="C423" s="28" t="s">
        <v>796</v>
      </c>
      <c r="D423" s="28">
        <v>-0.1</v>
      </c>
      <c r="E423" s="28">
        <v>-1</v>
      </c>
      <c r="F423" s="28">
        <v>0</v>
      </c>
      <c r="G423" s="28">
        <v>4914387</v>
      </c>
    </row>
    <row r="424" spans="2:7" x14ac:dyDescent="0.25">
      <c r="B424" s="28" t="s">
        <v>622</v>
      </c>
      <c r="C424" s="28" t="s">
        <v>788</v>
      </c>
      <c r="D424" s="28">
        <v>-1</v>
      </c>
      <c r="E424" s="28">
        <v>0.3</v>
      </c>
      <c r="F424" s="28">
        <v>0</v>
      </c>
      <c r="G424" s="28">
        <v>4914388</v>
      </c>
    </row>
    <row r="425" spans="2:7" x14ac:dyDescent="0.25">
      <c r="B425" s="28" t="s">
        <v>622</v>
      </c>
      <c r="C425" s="28" t="s">
        <v>788</v>
      </c>
      <c r="D425" s="28">
        <v>-1</v>
      </c>
      <c r="E425" s="28">
        <v>0.3</v>
      </c>
      <c r="F425" s="28">
        <v>0</v>
      </c>
      <c r="G425" s="28">
        <v>4914389</v>
      </c>
    </row>
    <row r="426" spans="2:7" x14ac:dyDescent="0.25">
      <c r="B426" s="28" t="s">
        <v>686</v>
      </c>
      <c r="C426" s="28">
        <v>1300935</v>
      </c>
    </row>
    <row r="427" spans="2:7" x14ac:dyDescent="0.25">
      <c r="B427" s="28" t="s">
        <v>621</v>
      </c>
      <c r="C427" s="28" t="s">
        <v>792</v>
      </c>
      <c r="D427" s="28">
        <v>-1</v>
      </c>
      <c r="E427" s="28">
        <v>-0.2</v>
      </c>
      <c r="F427" s="28">
        <v>0</v>
      </c>
      <c r="G427" s="28">
        <v>4810552</v>
      </c>
    </row>
    <row r="428" spans="2:7" x14ac:dyDescent="0.25">
      <c r="B428" s="28" t="s">
        <v>621</v>
      </c>
      <c r="C428" s="28" t="s">
        <v>792</v>
      </c>
      <c r="D428" s="28">
        <v>-1</v>
      </c>
      <c r="E428" s="28">
        <v>-0.2</v>
      </c>
      <c r="F428" s="28">
        <v>0</v>
      </c>
      <c r="G428" s="28">
        <v>4810553</v>
      </c>
    </row>
    <row r="429" spans="2:7" x14ac:dyDescent="0.25">
      <c r="B429" s="28" t="s">
        <v>621</v>
      </c>
      <c r="C429" s="28" t="s">
        <v>792</v>
      </c>
      <c r="D429" s="28">
        <v>-1</v>
      </c>
      <c r="E429" s="28">
        <v>-0.2</v>
      </c>
      <c r="F429" s="28">
        <v>0</v>
      </c>
      <c r="G429" s="28">
        <v>4865543</v>
      </c>
    </row>
    <row r="430" spans="2:7" x14ac:dyDescent="0.25">
      <c r="B430" s="28" t="s">
        <v>621</v>
      </c>
      <c r="C430" s="28" t="s">
        <v>792</v>
      </c>
      <c r="D430" s="28">
        <v>-1</v>
      </c>
      <c r="E430" s="28">
        <v>-0.2</v>
      </c>
      <c r="F430" s="28">
        <v>0</v>
      </c>
      <c r="G430" s="28">
        <v>4865581</v>
      </c>
    </row>
    <row r="431" spans="2:7" x14ac:dyDescent="0.25">
      <c r="B431" s="28" t="s">
        <v>621</v>
      </c>
      <c r="C431" s="28" t="s">
        <v>792</v>
      </c>
      <c r="D431" s="28">
        <v>-1</v>
      </c>
      <c r="E431" s="28">
        <v>-0.2</v>
      </c>
      <c r="F431" s="28">
        <v>0</v>
      </c>
      <c r="G431" s="28">
        <v>4865624</v>
      </c>
    </row>
    <row r="432" spans="2:7" x14ac:dyDescent="0.25">
      <c r="B432" s="28" t="s">
        <v>621</v>
      </c>
      <c r="C432" s="28" t="s">
        <v>792</v>
      </c>
      <c r="D432" s="28">
        <v>-1</v>
      </c>
      <c r="E432" s="28">
        <v>-0.2</v>
      </c>
      <c r="F432" s="28">
        <v>0</v>
      </c>
      <c r="G432" s="28">
        <v>4865649</v>
      </c>
    </row>
    <row r="433" spans="2:7" x14ac:dyDescent="0.25">
      <c r="B433" s="28" t="s">
        <v>621</v>
      </c>
      <c r="C433" s="28" t="s">
        <v>792</v>
      </c>
      <c r="D433" s="28">
        <v>-1</v>
      </c>
      <c r="E433" s="28">
        <v>-0.2</v>
      </c>
      <c r="F433" s="28">
        <v>0</v>
      </c>
      <c r="G433" s="28">
        <v>5143814</v>
      </c>
    </row>
    <row r="434" spans="2:7" x14ac:dyDescent="0.25">
      <c r="B434" s="28" t="s">
        <v>621</v>
      </c>
      <c r="C434" s="28" t="s">
        <v>792</v>
      </c>
      <c r="D434" s="28">
        <v>-1</v>
      </c>
      <c r="E434" s="28">
        <v>-0.2</v>
      </c>
      <c r="F434" s="28">
        <v>0</v>
      </c>
      <c r="G434" s="28">
        <v>5143815</v>
      </c>
    </row>
    <row r="435" spans="2:7" x14ac:dyDescent="0.25">
      <c r="B435" s="28" t="s">
        <v>621</v>
      </c>
      <c r="C435" s="28" t="s">
        <v>792</v>
      </c>
      <c r="D435" s="28">
        <v>-1</v>
      </c>
      <c r="E435" s="28">
        <v>-0.2</v>
      </c>
      <c r="F435" s="28">
        <v>0</v>
      </c>
      <c r="G435" s="28">
        <v>5143835</v>
      </c>
    </row>
    <row r="436" spans="2:7" x14ac:dyDescent="0.25">
      <c r="B436" s="28" t="s">
        <v>621</v>
      </c>
      <c r="C436" s="28" t="s">
        <v>792</v>
      </c>
      <c r="D436" s="28">
        <v>-1</v>
      </c>
      <c r="E436" s="28">
        <v>-0.2</v>
      </c>
      <c r="F436" s="28">
        <v>0</v>
      </c>
      <c r="G436" s="28">
        <v>5143836</v>
      </c>
    </row>
    <row r="437" spans="2:7" x14ac:dyDescent="0.25">
      <c r="B437" s="28" t="s">
        <v>621</v>
      </c>
      <c r="C437" s="28" t="s">
        <v>792</v>
      </c>
      <c r="D437" s="28">
        <v>-1</v>
      </c>
      <c r="E437" s="28">
        <v>-0.2</v>
      </c>
      <c r="F437" s="28">
        <v>0</v>
      </c>
      <c r="G437" s="28">
        <v>5143837</v>
      </c>
    </row>
    <row r="438" spans="2:7" x14ac:dyDescent="0.25">
      <c r="B438" s="28" t="s">
        <v>675</v>
      </c>
      <c r="C438" s="28" t="s">
        <v>792</v>
      </c>
      <c r="D438" s="28">
        <v>-1</v>
      </c>
      <c r="E438" s="28">
        <v>-0.2</v>
      </c>
      <c r="F438" s="28">
        <v>0</v>
      </c>
      <c r="G438" s="28">
        <v>6678262</v>
      </c>
    </row>
    <row r="439" spans="2:7" x14ac:dyDescent="0.25">
      <c r="B439" s="28" t="s">
        <v>687</v>
      </c>
      <c r="C439" s="28">
        <v>1300936</v>
      </c>
    </row>
    <row r="440" spans="2:7" x14ac:dyDescent="0.25">
      <c r="B440" s="28" t="s">
        <v>621</v>
      </c>
      <c r="C440" s="28" t="s">
        <v>792</v>
      </c>
      <c r="D440" s="28">
        <v>-1</v>
      </c>
      <c r="E440" s="28">
        <v>-0.2</v>
      </c>
      <c r="F440" s="28">
        <v>0</v>
      </c>
      <c r="G440" s="28">
        <v>4810559</v>
      </c>
    </row>
    <row r="441" spans="2:7" x14ac:dyDescent="0.25">
      <c r="B441" s="28" t="s">
        <v>621</v>
      </c>
      <c r="C441" s="28" t="s">
        <v>792</v>
      </c>
      <c r="D441" s="28">
        <v>-1</v>
      </c>
      <c r="E441" s="28">
        <v>-0.2</v>
      </c>
      <c r="F441" s="28">
        <v>0</v>
      </c>
      <c r="G441" s="28">
        <v>4810560</v>
      </c>
    </row>
    <row r="442" spans="2:7" x14ac:dyDescent="0.25">
      <c r="B442" s="28" t="s">
        <v>621</v>
      </c>
      <c r="C442" s="28" t="s">
        <v>792</v>
      </c>
      <c r="D442" s="28">
        <v>-1</v>
      </c>
      <c r="E442" s="28">
        <v>-0.2</v>
      </c>
      <c r="F442" s="28">
        <v>0</v>
      </c>
      <c r="G442" s="28">
        <v>4810561</v>
      </c>
    </row>
    <row r="443" spans="2:7" x14ac:dyDescent="0.25">
      <c r="B443" s="28" t="s">
        <v>621</v>
      </c>
      <c r="C443" s="28" t="s">
        <v>792</v>
      </c>
      <c r="D443" s="28">
        <v>-1</v>
      </c>
      <c r="E443" s="28">
        <v>-0.2</v>
      </c>
      <c r="F443" s="28">
        <v>0</v>
      </c>
      <c r="G443" s="28">
        <v>4810562</v>
      </c>
    </row>
    <row r="444" spans="2:7" x14ac:dyDescent="0.25">
      <c r="B444" s="28" t="s">
        <v>621</v>
      </c>
      <c r="C444" s="28" t="s">
        <v>792</v>
      </c>
      <c r="D444" s="28">
        <v>-1</v>
      </c>
      <c r="E444" s="28">
        <v>-0.2</v>
      </c>
      <c r="F444" s="28">
        <v>0</v>
      </c>
      <c r="G444" s="28">
        <v>4810563</v>
      </c>
    </row>
    <row r="445" spans="2:7" x14ac:dyDescent="0.25">
      <c r="B445" s="28" t="s">
        <v>621</v>
      </c>
      <c r="C445" s="28" t="s">
        <v>792</v>
      </c>
      <c r="D445" s="28">
        <v>-1</v>
      </c>
      <c r="E445" s="28">
        <v>-0.2</v>
      </c>
      <c r="F445" s="28">
        <v>0</v>
      </c>
      <c r="G445" s="28">
        <v>5143821</v>
      </c>
    </row>
    <row r="446" spans="2:7" x14ac:dyDescent="0.25">
      <c r="B446" s="28" t="s">
        <v>621</v>
      </c>
      <c r="C446" s="28" t="s">
        <v>792</v>
      </c>
      <c r="D446" s="28">
        <v>-1</v>
      </c>
      <c r="E446" s="28">
        <v>-0.2</v>
      </c>
      <c r="F446" s="28">
        <v>0</v>
      </c>
      <c r="G446" s="28">
        <v>5143822</v>
      </c>
    </row>
    <row r="447" spans="2:7" x14ac:dyDescent="0.25">
      <c r="B447" s="28" t="s">
        <v>621</v>
      </c>
      <c r="C447" s="28" t="s">
        <v>792</v>
      </c>
      <c r="D447" s="28">
        <v>-1</v>
      </c>
      <c r="E447" s="28">
        <v>-0.2</v>
      </c>
      <c r="F447" s="28">
        <v>0</v>
      </c>
      <c r="G447" s="28">
        <v>5143823</v>
      </c>
    </row>
    <row r="448" spans="2:7" x14ac:dyDescent="0.25">
      <c r="B448" s="28" t="s">
        <v>621</v>
      </c>
      <c r="C448" s="28" t="s">
        <v>792</v>
      </c>
      <c r="D448" s="28">
        <v>-1</v>
      </c>
      <c r="E448" s="28">
        <v>-0.2</v>
      </c>
      <c r="F448" s="28">
        <v>0</v>
      </c>
      <c r="G448" s="28">
        <v>5143824</v>
      </c>
    </row>
    <row r="449" spans="2:7" x14ac:dyDescent="0.25">
      <c r="B449" s="28" t="s">
        <v>621</v>
      </c>
      <c r="C449" s="28" t="s">
        <v>792</v>
      </c>
      <c r="D449" s="28">
        <v>-1</v>
      </c>
      <c r="E449" s="28">
        <v>-0.2</v>
      </c>
      <c r="F449" s="28">
        <v>0</v>
      </c>
      <c r="G449" s="28">
        <v>5143825</v>
      </c>
    </row>
    <row r="450" spans="2:7" x14ac:dyDescent="0.25">
      <c r="B450" s="28" t="s">
        <v>688</v>
      </c>
      <c r="C450" s="28">
        <v>1300937</v>
      </c>
    </row>
    <row r="451" spans="2:7" x14ac:dyDescent="0.25">
      <c r="B451" s="28" t="s">
        <v>621</v>
      </c>
      <c r="C451" s="28" t="s">
        <v>788</v>
      </c>
      <c r="D451" s="28">
        <v>-1</v>
      </c>
      <c r="E451" s="28">
        <v>0.3</v>
      </c>
      <c r="F451" s="28">
        <v>0</v>
      </c>
      <c r="G451" s="28">
        <v>4915168</v>
      </c>
    </row>
    <row r="452" spans="2:7" x14ac:dyDescent="0.25">
      <c r="B452" s="28" t="s">
        <v>621</v>
      </c>
      <c r="C452" s="28" t="s">
        <v>788</v>
      </c>
      <c r="D452" s="28">
        <v>-1</v>
      </c>
      <c r="E452" s="28">
        <v>0.3</v>
      </c>
      <c r="F452" s="28">
        <v>0</v>
      </c>
      <c r="G452" s="28">
        <v>4915169</v>
      </c>
    </row>
    <row r="453" spans="2:7" x14ac:dyDescent="0.25">
      <c r="B453" s="28" t="s">
        <v>621</v>
      </c>
      <c r="C453" s="28" t="s">
        <v>788</v>
      </c>
      <c r="D453" s="28">
        <v>-1</v>
      </c>
      <c r="E453" s="28">
        <v>0.3</v>
      </c>
      <c r="F453" s="28">
        <v>0</v>
      </c>
      <c r="G453" s="28">
        <v>4915170</v>
      </c>
    </row>
    <row r="454" spans="2:7" x14ac:dyDescent="0.25">
      <c r="B454" s="28" t="s">
        <v>621</v>
      </c>
      <c r="C454" s="28" t="s">
        <v>788</v>
      </c>
      <c r="D454" s="28">
        <v>-1</v>
      </c>
      <c r="E454" s="28">
        <v>0.3</v>
      </c>
      <c r="F454" s="28">
        <v>0</v>
      </c>
      <c r="G454" s="28">
        <v>4915171</v>
      </c>
    </row>
    <row r="455" spans="2:7" x14ac:dyDescent="0.25">
      <c r="B455" s="28" t="s">
        <v>621</v>
      </c>
      <c r="C455" s="28" t="s">
        <v>788</v>
      </c>
      <c r="D455" s="28">
        <v>-1</v>
      </c>
      <c r="E455" s="28">
        <v>0.3</v>
      </c>
      <c r="F455" s="28">
        <v>0</v>
      </c>
      <c r="G455" s="28">
        <v>5144163</v>
      </c>
    </row>
    <row r="456" spans="2:7" x14ac:dyDescent="0.25">
      <c r="B456" s="28" t="s">
        <v>621</v>
      </c>
      <c r="C456" s="28" t="s">
        <v>788</v>
      </c>
      <c r="D456" s="28">
        <v>-1</v>
      </c>
      <c r="E456" s="28">
        <v>0.3</v>
      </c>
      <c r="F456" s="28">
        <v>0</v>
      </c>
      <c r="G456" s="28">
        <v>5144164</v>
      </c>
    </row>
    <row r="457" spans="2:7" x14ac:dyDescent="0.25">
      <c r="B457" s="28" t="s">
        <v>621</v>
      </c>
      <c r="C457" s="28" t="s">
        <v>788</v>
      </c>
      <c r="D457" s="28">
        <v>-1</v>
      </c>
      <c r="E457" s="28">
        <v>0.3</v>
      </c>
      <c r="F457" s="28">
        <v>0</v>
      </c>
      <c r="G457" s="28">
        <v>5144165</v>
      </c>
    </row>
    <row r="458" spans="2:7" x14ac:dyDescent="0.25">
      <c r="B458" s="28" t="s">
        <v>675</v>
      </c>
      <c r="C458" s="28" t="s">
        <v>788</v>
      </c>
      <c r="D458" s="28">
        <v>-1</v>
      </c>
      <c r="E458" s="28">
        <v>0.3</v>
      </c>
      <c r="F458" s="28">
        <v>0</v>
      </c>
      <c r="G458" s="28">
        <v>5144346</v>
      </c>
    </row>
    <row r="459" spans="2:7" x14ac:dyDescent="0.25">
      <c r="B459" s="28" t="s">
        <v>691</v>
      </c>
      <c r="C459" s="28">
        <v>1415061</v>
      </c>
    </row>
    <row r="460" spans="2:7" x14ac:dyDescent="0.25">
      <c r="B460" s="28" t="s">
        <v>619</v>
      </c>
      <c r="C460" s="28" t="s">
        <v>789</v>
      </c>
      <c r="D460" s="28">
        <v>-1</v>
      </c>
      <c r="E460" s="28">
        <v>0.3</v>
      </c>
      <c r="F460" s="28">
        <v>0</v>
      </c>
      <c r="G460" s="28">
        <v>4926068</v>
      </c>
    </row>
    <row r="461" spans="2:7" x14ac:dyDescent="0.25">
      <c r="B461" s="28" t="s">
        <v>622</v>
      </c>
      <c r="C461" s="28" t="s">
        <v>789</v>
      </c>
      <c r="D461" s="28">
        <v>-1</v>
      </c>
      <c r="E461" s="28">
        <v>0.3</v>
      </c>
      <c r="F461" s="28">
        <v>0</v>
      </c>
      <c r="G461" s="28">
        <v>4926069</v>
      </c>
    </row>
    <row r="462" spans="2:7" x14ac:dyDescent="0.25">
      <c r="B462" s="28" t="s">
        <v>622</v>
      </c>
      <c r="C462" s="28" t="s">
        <v>789</v>
      </c>
      <c r="D462" s="28">
        <v>-1</v>
      </c>
      <c r="E462" s="28">
        <v>0.3</v>
      </c>
      <c r="F462" s="28">
        <v>0</v>
      </c>
      <c r="G462" s="28">
        <v>4926070</v>
      </c>
    </row>
    <row r="463" spans="2:7" x14ac:dyDescent="0.25">
      <c r="B463" s="28" t="s">
        <v>692</v>
      </c>
      <c r="C463" s="28">
        <v>1415063</v>
      </c>
    </row>
    <row r="464" spans="2:7" x14ac:dyDescent="0.25">
      <c r="B464" s="28" t="s">
        <v>619</v>
      </c>
      <c r="C464" s="28" t="s">
        <v>6</v>
      </c>
      <c r="D464" s="28">
        <v>-0.2</v>
      </c>
      <c r="E464" s="28">
        <v>1</v>
      </c>
      <c r="F464" s="28">
        <v>0</v>
      </c>
      <c r="G464" s="28">
        <v>4940777</v>
      </c>
    </row>
    <row r="465" spans="2:7" x14ac:dyDescent="0.25">
      <c r="B465" s="28" t="s">
        <v>622</v>
      </c>
      <c r="C465" s="28" t="s">
        <v>6</v>
      </c>
      <c r="D465" s="28">
        <v>-0.2</v>
      </c>
      <c r="E465" s="28">
        <v>1</v>
      </c>
      <c r="F465" s="28">
        <v>0</v>
      </c>
      <c r="G465" s="28">
        <v>4940778</v>
      </c>
    </row>
    <row r="466" spans="2:7" x14ac:dyDescent="0.25">
      <c r="B466" s="28" t="s">
        <v>619</v>
      </c>
      <c r="C466" s="28" t="s">
        <v>6</v>
      </c>
      <c r="D466" s="28">
        <v>-0.2</v>
      </c>
      <c r="E466" s="28">
        <v>1</v>
      </c>
      <c r="F466" s="28">
        <v>0</v>
      </c>
      <c r="G466" s="28">
        <v>4940779</v>
      </c>
    </row>
    <row r="467" spans="2:7" x14ac:dyDescent="0.25">
      <c r="B467" s="28" t="s">
        <v>619</v>
      </c>
      <c r="C467" s="28" t="s">
        <v>6</v>
      </c>
      <c r="D467" s="28">
        <v>-0.2</v>
      </c>
      <c r="E467" s="28">
        <v>1</v>
      </c>
      <c r="F467" s="28">
        <v>0</v>
      </c>
      <c r="G467" s="28">
        <v>4940780</v>
      </c>
    </row>
    <row r="468" spans="2:7" x14ac:dyDescent="0.25">
      <c r="B468" s="28" t="s">
        <v>622</v>
      </c>
      <c r="C468" s="28" t="s">
        <v>6</v>
      </c>
      <c r="D468" s="28">
        <v>-0.2</v>
      </c>
      <c r="E468" s="28">
        <v>1</v>
      </c>
      <c r="F468" s="28">
        <v>0</v>
      </c>
      <c r="G468" s="28">
        <v>4940781</v>
      </c>
    </row>
    <row r="469" spans="2:7" x14ac:dyDescent="0.25">
      <c r="B469" s="28" t="s">
        <v>619</v>
      </c>
      <c r="C469" s="28" t="s">
        <v>6</v>
      </c>
      <c r="D469" s="28">
        <v>-0.2</v>
      </c>
      <c r="E469" s="28">
        <v>1</v>
      </c>
      <c r="F469" s="28">
        <v>0</v>
      </c>
      <c r="G469" s="28">
        <v>4940782</v>
      </c>
    </row>
    <row r="470" spans="2:7" x14ac:dyDescent="0.25">
      <c r="B470" s="28" t="s">
        <v>622</v>
      </c>
      <c r="C470" s="28" t="s">
        <v>6</v>
      </c>
      <c r="D470" s="28">
        <v>-0.2</v>
      </c>
      <c r="E470" s="28">
        <v>1</v>
      </c>
      <c r="F470" s="28">
        <v>0</v>
      </c>
      <c r="G470" s="28">
        <v>4940783</v>
      </c>
    </row>
    <row r="471" spans="2:7" x14ac:dyDescent="0.25">
      <c r="B471" s="28" t="s">
        <v>619</v>
      </c>
      <c r="C471" s="28" t="s">
        <v>6</v>
      </c>
      <c r="D471" s="28">
        <v>-0.2</v>
      </c>
      <c r="E471" s="28">
        <v>1</v>
      </c>
      <c r="F471" s="28">
        <v>0</v>
      </c>
      <c r="G471" s="28">
        <v>4940784</v>
      </c>
    </row>
    <row r="472" spans="2:7" x14ac:dyDescent="0.25">
      <c r="B472" s="28" t="s">
        <v>622</v>
      </c>
      <c r="C472" s="28" t="s">
        <v>6</v>
      </c>
      <c r="D472" s="28">
        <v>-0.2</v>
      </c>
      <c r="E472" s="28">
        <v>1</v>
      </c>
      <c r="F472" s="28">
        <v>0</v>
      </c>
      <c r="G472" s="28">
        <v>4940785</v>
      </c>
    </row>
    <row r="473" spans="2:7" x14ac:dyDescent="0.25">
      <c r="B473" s="28" t="s">
        <v>619</v>
      </c>
      <c r="C473" s="28" t="s">
        <v>6</v>
      </c>
      <c r="D473" s="28">
        <v>-0.2</v>
      </c>
      <c r="E473" s="28">
        <v>1</v>
      </c>
      <c r="F473" s="28">
        <v>0</v>
      </c>
      <c r="G473" s="28">
        <v>4940786</v>
      </c>
    </row>
    <row r="474" spans="2:7" x14ac:dyDescent="0.25">
      <c r="B474" s="28" t="s">
        <v>622</v>
      </c>
      <c r="C474" s="28" t="s">
        <v>6</v>
      </c>
      <c r="D474" s="28">
        <v>-0.2</v>
      </c>
      <c r="E474" s="28">
        <v>1</v>
      </c>
      <c r="F474" s="28">
        <v>0</v>
      </c>
      <c r="G474" s="28">
        <v>4940787</v>
      </c>
    </row>
    <row r="475" spans="2:7" x14ac:dyDescent="0.25">
      <c r="B475" s="28" t="s">
        <v>622</v>
      </c>
      <c r="C475" s="28" t="s">
        <v>6</v>
      </c>
      <c r="D475" s="28">
        <v>-0.2</v>
      </c>
      <c r="E475" s="28">
        <v>1</v>
      </c>
      <c r="F475" s="28">
        <v>0</v>
      </c>
      <c r="G475" s="28">
        <v>4940788</v>
      </c>
    </row>
    <row r="476" spans="2:7" x14ac:dyDescent="0.25">
      <c r="B476" s="28" t="s">
        <v>619</v>
      </c>
      <c r="C476" s="28" t="s">
        <v>6</v>
      </c>
      <c r="D476" s="28">
        <v>-0.2</v>
      </c>
      <c r="E476" s="28">
        <v>1</v>
      </c>
      <c r="F476" s="28">
        <v>0</v>
      </c>
      <c r="G476" s="28">
        <v>4940789</v>
      </c>
    </row>
    <row r="477" spans="2:7" x14ac:dyDescent="0.25">
      <c r="B477" s="28" t="s">
        <v>622</v>
      </c>
      <c r="C477" s="28" t="s">
        <v>6</v>
      </c>
      <c r="D477" s="28">
        <v>-0.2</v>
      </c>
      <c r="E477" s="28">
        <v>1</v>
      </c>
      <c r="F477" s="28">
        <v>0</v>
      </c>
      <c r="G477" s="28">
        <v>4940790</v>
      </c>
    </row>
    <row r="478" spans="2:7" x14ac:dyDescent="0.25">
      <c r="B478" s="28" t="s">
        <v>622</v>
      </c>
      <c r="C478" s="28" t="s">
        <v>6</v>
      </c>
      <c r="D478" s="28">
        <v>-0.2</v>
      </c>
      <c r="E478" s="28">
        <v>1</v>
      </c>
      <c r="F478" s="28">
        <v>0</v>
      </c>
      <c r="G478" s="28">
        <v>4940791</v>
      </c>
    </row>
    <row r="479" spans="2:7" x14ac:dyDescent="0.25">
      <c r="B479" s="28" t="s">
        <v>622</v>
      </c>
      <c r="C479" s="28" t="s">
        <v>6</v>
      </c>
      <c r="D479" s="28">
        <v>-0.2</v>
      </c>
      <c r="E479" s="28">
        <v>1</v>
      </c>
      <c r="F479" s="28">
        <v>0</v>
      </c>
      <c r="G479" s="28">
        <v>4940792</v>
      </c>
    </row>
    <row r="480" spans="2:7" x14ac:dyDescent="0.25">
      <c r="B480" s="28" t="s">
        <v>619</v>
      </c>
      <c r="C480" s="28" t="s">
        <v>2</v>
      </c>
      <c r="D480" s="28">
        <v>1</v>
      </c>
      <c r="E480" s="28">
        <v>0.2</v>
      </c>
      <c r="F480" s="28">
        <v>0</v>
      </c>
      <c r="G480" s="28">
        <v>4948357</v>
      </c>
    </row>
    <row r="481" spans="2:7" x14ac:dyDescent="0.25">
      <c r="B481" s="28" t="s">
        <v>619</v>
      </c>
      <c r="C481" s="28" t="s">
        <v>2</v>
      </c>
      <c r="D481" s="28">
        <v>1</v>
      </c>
      <c r="E481" s="28">
        <v>0.2</v>
      </c>
      <c r="F481" s="28">
        <v>0</v>
      </c>
      <c r="G481" s="28">
        <v>4948364</v>
      </c>
    </row>
    <row r="482" spans="2:7" x14ac:dyDescent="0.25">
      <c r="B482" s="28" t="s">
        <v>619</v>
      </c>
      <c r="C482" s="28" t="s">
        <v>2</v>
      </c>
      <c r="D482" s="28">
        <v>1</v>
      </c>
      <c r="E482" s="28">
        <v>0.2</v>
      </c>
      <c r="F482" s="28">
        <v>0</v>
      </c>
      <c r="G482" s="28">
        <v>4948371</v>
      </c>
    </row>
    <row r="483" spans="2:7" x14ac:dyDescent="0.25">
      <c r="B483" s="28" t="s">
        <v>619</v>
      </c>
      <c r="C483" s="28" t="s">
        <v>2</v>
      </c>
      <c r="D483" s="28">
        <v>1</v>
      </c>
      <c r="E483" s="28">
        <v>0.2</v>
      </c>
      <c r="F483" s="28">
        <v>0</v>
      </c>
      <c r="G483" s="28">
        <v>4948378</v>
      </c>
    </row>
    <row r="484" spans="2:7" x14ac:dyDescent="0.25">
      <c r="B484" s="28" t="s">
        <v>619</v>
      </c>
      <c r="C484" s="28" t="s">
        <v>2</v>
      </c>
      <c r="D484" s="28">
        <v>1</v>
      </c>
      <c r="E484" s="28">
        <v>0.2</v>
      </c>
      <c r="F484" s="28">
        <v>0</v>
      </c>
      <c r="G484" s="28">
        <v>4948385</v>
      </c>
    </row>
    <row r="485" spans="2:7" x14ac:dyDescent="0.25">
      <c r="B485" s="28" t="s">
        <v>619</v>
      </c>
      <c r="C485" s="28" t="s">
        <v>2</v>
      </c>
      <c r="D485" s="28">
        <v>1</v>
      </c>
      <c r="E485" s="28">
        <v>0.2</v>
      </c>
      <c r="F485" s="28">
        <v>0</v>
      </c>
      <c r="G485" s="28">
        <v>4948392</v>
      </c>
    </row>
    <row r="486" spans="2:7" x14ac:dyDescent="0.25">
      <c r="B486" s="28" t="s">
        <v>619</v>
      </c>
      <c r="C486" s="28" t="s">
        <v>2</v>
      </c>
      <c r="D486" s="28">
        <v>1</v>
      </c>
      <c r="E486" s="28">
        <v>0.2</v>
      </c>
      <c r="F486" s="28">
        <v>0</v>
      </c>
      <c r="G486" s="28">
        <v>4948399</v>
      </c>
    </row>
    <row r="487" spans="2:7" x14ac:dyDescent="0.25">
      <c r="B487" s="28" t="s">
        <v>621</v>
      </c>
      <c r="C487" s="28" t="s">
        <v>2</v>
      </c>
      <c r="D487" s="28">
        <v>1</v>
      </c>
      <c r="E487" s="28">
        <v>0.2</v>
      </c>
      <c r="F487" s="28">
        <v>0</v>
      </c>
      <c r="G487" s="28">
        <v>4948738</v>
      </c>
    </row>
    <row r="488" spans="2:7" x14ac:dyDescent="0.25">
      <c r="B488" s="28" t="s">
        <v>693</v>
      </c>
      <c r="C488" s="28" t="s">
        <v>2</v>
      </c>
      <c r="D488" s="28">
        <v>1</v>
      </c>
      <c r="E488" s="28">
        <v>0.2</v>
      </c>
      <c r="F488" s="28">
        <v>0</v>
      </c>
      <c r="G488" s="28">
        <v>5079879</v>
      </c>
    </row>
    <row r="489" spans="2:7" x14ac:dyDescent="0.25">
      <c r="B489" s="28" t="s">
        <v>27</v>
      </c>
      <c r="C489" s="28" t="s">
        <v>5</v>
      </c>
      <c r="D489" s="28">
        <v>0.2</v>
      </c>
      <c r="E489" s="28">
        <v>-1</v>
      </c>
      <c r="F489" s="28">
        <v>0</v>
      </c>
      <c r="G489" s="28">
        <v>5711799</v>
      </c>
    </row>
    <row r="490" spans="2:7" x14ac:dyDescent="0.25">
      <c r="B490" s="28" t="s">
        <v>27</v>
      </c>
      <c r="C490" s="28" t="s">
        <v>5</v>
      </c>
      <c r="D490" s="28">
        <v>0.2</v>
      </c>
      <c r="E490" s="28">
        <v>-1</v>
      </c>
      <c r="F490" s="28">
        <v>0</v>
      </c>
      <c r="G490" s="28">
        <v>5711857</v>
      </c>
    </row>
    <row r="491" spans="2:7" x14ac:dyDescent="0.25">
      <c r="B491" s="28" t="s">
        <v>694</v>
      </c>
      <c r="C491" s="28">
        <v>1438078</v>
      </c>
    </row>
    <row r="492" spans="2:7" x14ac:dyDescent="0.25">
      <c r="B492" s="28" t="s">
        <v>621</v>
      </c>
      <c r="C492" s="28" t="s">
        <v>6</v>
      </c>
      <c r="D492" s="28">
        <v>-0.2</v>
      </c>
      <c r="E492" s="28">
        <v>1</v>
      </c>
      <c r="F492" s="28">
        <v>0</v>
      </c>
      <c r="G492" s="28">
        <v>5280095</v>
      </c>
    </row>
    <row r="493" spans="2:7" x14ac:dyDescent="0.25">
      <c r="B493" s="28" t="s">
        <v>621</v>
      </c>
      <c r="C493" s="28" t="s">
        <v>6</v>
      </c>
      <c r="D493" s="28">
        <v>-0.2</v>
      </c>
      <c r="E493" s="28">
        <v>1</v>
      </c>
      <c r="F493" s="28">
        <v>0</v>
      </c>
      <c r="G493" s="28">
        <v>5280136</v>
      </c>
    </row>
    <row r="494" spans="2:7" x14ac:dyDescent="0.25">
      <c r="B494" s="28" t="s">
        <v>621</v>
      </c>
      <c r="C494" s="28" t="s">
        <v>6</v>
      </c>
      <c r="D494" s="28">
        <v>-0.2</v>
      </c>
      <c r="E494" s="28">
        <v>1</v>
      </c>
      <c r="F494" s="28">
        <v>0</v>
      </c>
      <c r="G494" s="28">
        <v>5282406</v>
      </c>
    </row>
    <row r="495" spans="2:7" x14ac:dyDescent="0.25">
      <c r="B495" s="28" t="s">
        <v>621</v>
      </c>
      <c r="C495" s="28" t="s">
        <v>6</v>
      </c>
      <c r="D495" s="28">
        <v>-0.2</v>
      </c>
      <c r="E495" s="28">
        <v>1</v>
      </c>
      <c r="F495" s="28">
        <v>0</v>
      </c>
      <c r="G495" s="28">
        <v>5282407</v>
      </c>
    </row>
    <row r="496" spans="2:7" x14ac:dyDescent="0.25">
      <c r="B496" s="28" t="s">
        <v>695</v>
      </c>
      <c r="C496" s="28">
        <v>1438086</v>
      </c>
    </row>
    <row r="497" spans="2:8" x14ac:dyDescent="0.25">
      <c r="B497" s="28" t="s">
        <v>696</v>
      </c>
      <c r="C497" s="28" t="s">
        <v>6</v>
      </c>
      <c r="D497" s="28">
        <v>-0.2</v>
      </c>
      <c r="E497" s="28">
        <v>1</v>
      </c>
      <c r="F497" s="28">
        <v>0</v>
      </c>
      <c r="G497" s="28">
        <v>5763362</v>
      </c>
    </row>
    <row r="498" spans="2:8" x14ac:dyDescent="0.25">
      <c r="B498" s="28" t="s">
        <v>697</v>
      </c>
      <c r="C498" s="28">
        <v>1499517</v>
      </c>
    </row>
    <row r="499" spans="2:8" x14ac:dyDescent="0.25">
      <c r="B499" s="28" t="s">
        <v>668</v>
      </c>
      <c r="C499" s="28" t="s">
        <v>791</v>
      </c>
      <c r="D499" s="28">
        <v>0.9</v>
      </c>
      <c r="E499" s="28">
        <v>0.5</v>
      </c>
      <c r="F499" s="28">
        <v>0</v>
      </c>
      <c r="G499" s="28">
        <v>4942121</v>
      </c>
    </row>
    <row r="500" spans="2:8" x14ac:dyDescent="0.25">
      <c r="B500" s="28" t="s">
        <v>668</v>
      </c>
      <c r="C500" s="28" t="s">
        <v>791</v>
      </c>
      <c r="D500" s="28">
        <v>0.9</v>
      </c>
      <c r="E500" s="28">
        <v>0.5</v>
      </c>
      <c r="F500" s="28">
        <v>0</v>
      </c>
      <c r="G500" s="28">
        <v>4942277</v>
      </c>
    </row>
    <row r="501" spans="2:8" x14ac:dyDescent="0.25">
      <c r="B501" s="28" t="s">
        <v>668</v>
      </c>
      <c r="C501" s="28" t="s">
        <v>791</v>
      </c>
      <c r="D501" s="28">
        <v>0.9</v>
      </c>
      <c r="E501" s="28">
        <v>0.5</v>
      </c>
      <c r="F501" s="28">
        <v>0</v>
      </c>
      <c r="G501" s="28">
        <v>4942284</v>
      </c>
    </row>
    <row r="502" spans="2:8" x14ac:dyDescent="0.25">
      <c r="B502" s="28" t="s">
        <v>797</v>
      </c>
      <c r="C502" s="28" t="s">
        <v>798</v>
      </c>
      <c r="D502" s="28">
        <v>-0.5</v>
      </c>
      <c r="E502" s="28">
        <v>0.9</v>
      </c>
      <c r="F502" s="28">
        <v>0</v>
      </c>
      <c r="G502" s="28">
        <v>6910198</v>
      </c>
    </row>
    <row r="503" spans="2:8" x14ac:dyDescent="0.25">
      <c r="B503" s="28" t="s">
        <v>787</v>
      </c>
      <c r="C503" s="28" t="s">
        <v>798</v>
      </c>
      <c r="D503" s="28">
        <v>-0.5</v>
      </c>
      <c r="E503" s="28">
        <v>0.9</v>
      </c>
      <c r="F503" s="28">
        <v>0</v>
      </c>
      <c r="G503" s="28">
        <v>6910261</v>
      </c>
    </row>
    <row r="504" spans="2:8" x14ac:dyDescent="0.25">
      <c r="B504" s="28" t="s">
        <v>787</v>
      </c>
      <c r="C504" s="28" t="s">
        <v>798</v>
      </c>
      <c r="D504" s="28">
        <v>-0.5</v>
      </c>
      <c r="E504" s="28">
        <v>0.9</v>
      </c>
      <c r="F504" s="28">
        <v>0</v>
      </c>
      <c r="G504" s="28">
        <v>6910294</v>
      </c>
    </row>
    <row r="505" spans="2:8" x14ac:dyDescent="0.25">
      <c r="B505" s="28" t="s">
        <v>799</v>
      </c>
      <c r="C505" s="28">
        <v>1500907</v>
      </c>
    </row>
    <row r="506" spans="2:8" x14ac:dyDescent="0.25">
      <c r="B506" s="28" t="s">
        <v>797</v>
      </c>
      <c r="C506" s="28" t="s">
        <v>117</v>
      </c>
      <c r="D506" s="28">
        <v>0.5</v>
      </c>
      <c r="E506" s="28">
        <v>-0.9</v>
      </c>
      <c r="F506" s="28">
        <v>0</v>
      </c>
      <c r="G506" s="28">
        <v>6909749</v>
      </c>
    </row>
    <row r="507" spans="2:8" x14ac:dyDescent="0.25">
      <c r="B507" s="28" t="s">
        <v>698</v>
      </c>
      <c r="C507" s="28">
        <v>1500933</v>
      </c>
    </row>
    <row r="508" spans="2:8" x14ac:dyDescent="0.25">
      <c r="B508" s="28" t="s">
        <v>619</v>
      </c>
      <c r="C508" s="28" t="s">
        <v>5</v>
      </c>
      <c r="D508" s="28">
        <v>0.2</v>
      </c>
      <c r="E508" s="28">
        <v>-1</v>
      </c>
      <c r="F508" s="28">
        <v>0</v>
      </c>
      <c r="G508" s="28">
        <v>4927501</v>
      </c>
    </row>
    <row r="509" spans="2:8" x14ac:dyDescent="0.25">
      <c r="B509" s="28" t="s">
        <v>619</v>
      </c>
      <c r="C509" s="28" t="s">
        <v>5</v>
      </c>
      <c r="D509" s="28">
        <v>0.2</v>
      </c>
      <c r="E509" s="28">
        <v>-1</v>
      </c>
      <c r="F509" s="28">
        <v>0</v>
      </c>
      <c r="G509" s="28">
        <v>4927583</v>
      </c>
    </row>
    <row r="510" spans="2:8" x14ac:dyDescent="0.25">
      <c r="B510" s="28" t="s">
        <v>619</v>
      </c>
      <c r="C510" s="28" t="s">
        <v>5</v>
      </c>
      <c r="D510" s="28">
        <v>0.2</v>
      </c>
      <c r="E510" s="28">
        <v>-1</v>
      </c>
      <c r="F510" s="28">
        <v>0</v>
      </c>
      <c r="G510" s="28">
        <v>4927657</v>
      </c>
    </row>
    <row r="511" spans="2:8" x14ac:dyDescent="0.25">
      <c r="B511" s="14" t="s">
        <v>622</v>
      </c>
      <c r="C511" s="14" t="s">
        <v>5</v>
      </c>
      <c r="D511" s="14">
        <v>0.2</v>
      </c>
      <c r="E511" s="14">
        <v>-1</v>
      </c>
      <c r="F511" s="14">
        <v>0</v>
      </c>
      <c r="G511" s="14">
        <v>4927713</v>
      </c>
      <c r="H511" s="28" t="s">
        <v>1055</v>
      </c>
    </row>
    <row r="512" spans="2:8" x14ac:dyDescent="0.25">
      <c r="B512" s="14" t="s">
        <v>622</v>
      </c>
      <c r="C512" s="14" t="s">
        <v>5</v>
      </c>
      <c r="D512" s="14">
        <v>0.2</v>
      </c>
      <c r="E512" s="14">
        <v>-1</v>
      </c>
      <c r="F512" s="14">
        <v>0</v>
      </c>
      <c r="G512" s="14">
        <v>4927622</v>
      </c>
      <c r="H512" s="28" t="s">
        <v>1055</v>
      </c>
    </row>
    <row r="513" spans="2:8" x14ac:dyDescent="0.25">
      <c r="B513" s="14" t="s">
        <v>622</v>
      </c>
      <c r="C513" s="14" t="s">
        <v>5</v>
      </c>
      <c r="D513" s="14">
        <v>0.2</v>
      </c>
      <c r="E513" s="14">
        <v>-1</v>
      </c>
      <c r="F513" s="14">
        <v>0</v>
      </c>
      <c r="G513" s="14">
        <v>4927533</v>
      </c>
      <c r="H513" s="28" t="s">
        <v>1055</v>
      </c>
    </row>
    <row r="514" spans="2:8" x14ac:dyDescent="0.25">
      <c r="B514" s="28" t="s">
        <v>699</v>
      </c>
      <c r="C514" s="28">
        <v>1500937</v>
      </c>
    </row>
    <row r="515" spans="2:8" x14ac:dyDescent="0.25">
      <c r="B515" s="28" t="s">
        <v>619</v>
      </c>
      <c r="C515" s="28" t="s">
        <v>5</v>
      </c>
      <c r="D515" s="28">
        <v>0.2</v>
      </c>
      <c r="E515" s="28">
        <v>-1</v>
      </c>
      <c r="F515" s="28">
        <v>0</v>
      </c>
      <c r="G515" s="28">
        <v>4928267</v>
      </c>
    </row>
    <row r="516" spans="2:8" x14ac:dyDescent="0.25">
      <c r="B516" s="28" t="s">
        <v>622</v>
      </c>
      <c r="C516" s="28" t="s">
        <v>5</v>
      </c>
      <c r="D516" s="28">
        <v>0.2</v>
      </c>
      <c r="E516" s="28">
        <v>-1</v>
      </c>
      <c r="F516" s="28">
        <v>0</v>
      </c>
      <c r="G516" s="28">
        <v>4928300</v>
      </c>
    </row>
    <row r="517" spans="2:8" x14ac:dyDescent="0.25">
      <c r="B517" s="28" t="s">
        <v>622</v>
      </c>
      <c r="C517" s="28" t="s">
        <v>5</v>
      </c>
      <c r="D517" s="28">
        <v>0.2</v>
      </c>
      <c r="E517" s="28">
        <v>-1</v>
      </c>
      <c r="F517" s="28">
        <v>0</v>
      </c>
      <c r="G517" s="28">
        <v>4928308</v>
      </c>
    </row>
    <row r="518" spans="2:8" x14ac:dyDescent="0.25">
      <c r="B518" s="28" t="s">
        <v>619</v>
      </c>
      <c r="C518" s="28" t="s">
        <v>5</v>
      </c>
      <c r="D518" s="28">
        <v>0.2</v>
      </c>
      <c r="E518" s="28">
        <v>-1</v>
      </c>
      <c r="F518" s="28">
        <v>0</v>
      </c>
      <c r="G518" s="28">
        <v>4928350</v>
      </c>
    </row>
    <row r="519" spans="2:8" x14ac:dyDescent="0.25">
      <c r="B519" s="28" t="s">
        <v>622</v>
      </c>
      <c r="C519" s="28" t="s">
        <v>5</v>
      </c>
      <c r="D519" s="28">
        <v>0.2</v>
      </c>
      <c r="E519" s="28">
        <v>-1</v>
      </c>
      <c r="F519" s="28">
        <v>0</v>
      </c>
      <c r="G519" s="28">
        <v>4928390</v>
      </c>
    </row>
    <row r="520" spans="2:8" x14ac:dyDescent="0.25">
      <c r="B520" s="28" t="s">
        <v>619</v>
      </c>
      <c r="C520" s="28" t="s">
        <v>5</v>
      </c>
      <c r="D520" s="28">
        <v>0.2</v>
      </c>
      <c r="E520" s="28">
        <v>-1</v>
      </c>
      <c r="F520" s="28">
        <v>0</v>
      </c>
      <c r="G520" s="28">
        <v>4928423</v>
      </c>
    </row>
    <row r="521" spans="2:8" x14ac:dyDescent="0.25">
      <c r="B521" s="28" t="s">
        <v>700</v>
      </c>
      <c r="C521" s="28">
        <v>1516135</v>
      </c>
    </row>
    <row r="522" spans="2:8" x14ac:dyDescent="0.25">
      <c r="B522" s="28" t="s">
        <v>668</v>
      </c>
      <c r="C522" s="28" t="s">
        <v>2</v>
      </c>
      <c r="D522" s="28">
        <v>1</v>
      </c>
      <c r="E522" s="28">
        <v>0.2</v>
      </c>
      <c r="F522" s="28">
        <v>0</v>
      </c>
      <c r="G522" s="28">
        <v>4946667</v>
      </c>
    </row>
    <row r="523" spans="2:8" x14ac:dyDescent="0.25">
      <c r="B523" s="28" t="s">
        <v>668</v>
      </c>
      <c r="C523" s="28" t="s">
        <v>2</v>
      </c>
      <c r="D523" s="28">
        <v>1</v>
      </c>
      <c r="E523" s="28">
        <v>0.2</v>
      </c>
      <c r="F523" s="28">
        <v>0</v>
      </c>
      <c r="G523" s="28">
        <v>4946668</v>
      </c>
    </row>
    <row r="524" spans="2:8" x14ac:dyDescent="0.25">
      <c r="B524" s="28" t="s">
        <v>668</v>
      </c>
      <c r="C524" s="28" t="s">
        <v>2</v>
      </c>
      <c r="D524" s="28">
        <v>1</v>
      </c>
      <c r="E524" s="28">
        <v>0.2</v>
      </c>
      <c r="F524" s="28">
        <v>0</v>
      </c>
      <c r="G524" s="28">
        <v>4946669</v>
      </c>
    </row>
    <row r="525" spans="2:8" x14ac:dyDescent="0.25">
      <c r="B525" s="28" t="s">
        <v>668</v>
      </c>
      <c r="C525" s="28" t="s">
        <v>2</v>
      </c>
      <c r="D525" s="28">
        <v>1</v>
      </c>
      <c r="E525" s="28">
        <v>0.2</v>
      </c>
      <c r="F525" s="28">
        <v>0</v>
      </c>
      <c r="G525" s="28">
        <v>4946670</v>
      </c>
    </row>
    <row r="526" spans="2:8" x14ac:dyDescent="0.25">
      <c r="B526" s="28" t="s">
        <v>668</v>
      </c>
      <c r="C526" s="28" t="s">
        <v>2</v>
      </c>
      <c r="D526" s="28">
        <v>1</v>
      </c>
      <c r="E526" s="28">
        <v>0.2</v>
      </c>
      <c r="F526" s="28">
        <v>0</v>
      </c>
      <c r="G526" s="28">
        <v>4946671</v>
      </c>
    </row>
    <row r="527" spans="2:8" x14ac:dyDescent="0.25">
      <c r="B527" s="28" t="s">
        <v>696</v>
      </c>
      <c r="C527" s="28" t="s">
        <v>2</v>
      </c>
      <c r="D527" s="28">
        <v>1</v>
      </c>
      <c r="E527" s="28">
        <v>0.2</v>
      </c>
      <c r="F527" s="28">
        <v>0</v>
      </c>
      <c r="G527" s="28">
        <v>4946672</v>
      </c>
    </row>
    <row r="528" spans="2:8" x14ac:dyDescent="0.25">
      <c r="B528" s="28" t="s">
        <v>668</v>
      </c>
      <c r="C528" s="28" t="s">
        <v>2</v>
      </c>
      <c r="D528" s="28">
        <v>1</v>
      </c>
      <c r="E528" s="28">
        <v>0.2</v>
      </c>
      <c r="F528" s="28">
        <v>0</v>
      </c>
      <c r="G528" s="28">
        <v>4946696</v>
      </c>
    </row>
    <row r="529" spans="2:7" x14ac:dyDescent="0.25">
      <c r="B529" s="28" t="s">
        <v>668</v>
      </c>
      <c r="C529" s="28" t="s">
        <v>2</v>
      </c>
      <c r="D529" s="28">
        <v>1</v>
      </c>
      <c r="E529" s="28">
        <v>0.2</v>
      </c>
      <c r="F529" s="28">
        <v>0</v>
      </c>
      <c r="G529" s="28">
        <v>4946703</v>
      </c>
    </row>
    <row r="530" spans="2:7" x14ac:dyDescent="0.25">
      <c r="B530" s="28" t="s">
        <v>668</v>
      </c>
      <c r="C530" s="28" t="s">
        <v>2</v>
      </c>
      <c r="D530" s="28">
        <v>1</v>
      </c>
      <c r="E530" s="28">
        <v>0.2</v>
      </c>
      <c r="F530" s="28">
        <v>0</v>
      </c>
      <c r="G530" s="28">
        <v>4946710</v>
      </c>
    </row>
    <row r="531" spans="2:7" x14ac:dyDescent="0.25">
      <c r="B531" s="28" t="s">
        <v>668</v>
      </c>
      <c r="C531" s="28" t="s">
        <v>2</v>
      </c>
      <c r="D531" s="28">
        <v>1</v>
      </c>
      <c r="E531" s="28">
        <v>0.2</v>
      </c>
      <c r="F531" s="28">
        <v>0</v>
      </c>
      <c r="G531" s="28">
        <v>4946717</v>
      </c>
    </row>
    <row r="532" spans="2:7" x14ac:dyDescent="0.25">
      <c r="B532" s="28" t="s">
        <v>696</v>
      </c>
      <c r="C532" s="28" t="s">
        <v>2</v>
      </c>
      <c r="D532" s="28">
        <v>1</v>
      </c>
      <c r="E532" s="28">
        <v>0.2</v>
      </c>
      <c r="F532" s="28">
        <v>0</v>
      </c>
      <c r="G532" s="28">
        <v>4946757</v>
      </c>
    </row>
    <row r="533" spans="2:7" x14ac:dyDescent="0.25">
      <c r="B533" s="28" t="s">
        <v>668</v>
      </c>
      <c r="C533" s="28" t="s">
        <v>2</v>
      </c>
      <c r="D533" s="28">
        <v>1</v>
      </c>
      <c r="E533" s="28">
        <v>0.2</v>
      </c>
      <c r="F533" s="28">
        <v>0</v>
      </c>
      <c r="G533" s="28">
        <v>4946800</v>
      </c>
    </row>
    <row r="534" spans="2:7" x14ac:dyDescent="0.25">
      <c r="B534" s="28" t="s">
        <v>668</v>
      </c>
      <c r="C534" s="28" t="s">
        <v>2</v>
      </c>
      <c r="D534" s="28">
        <v>1</v>
      </c>
      <c r="E534" s="28">
        <v>0.2</v>
      </c>
      <c r="F534" s="28">
        <v>0</v>
      </c>
      <c r="G534" s="28">
        <v>4946807</v>
      </c>
    </row>
    <row r="535" spans="2:7" x14ac:dyDescent="0.25">
      <c r="B535" s="28" t="s">
        <v>668</v>
      </c>
      <c r="C535" s="28" t="s">
        <v>2</v>
      </c>
      <c r="D535" s="28">
        <v>1</v>
      </c>
      <c r="E535" s="28">
        <v>0.2</v>
      </c>
      <c r="F535" s="28">
        <v>0</v>
      </c>
      <c r="G535" s="28">
        <v>4946814</v>
      </c>
    </row>
    <row r="536" spans="2:7" x14ac:dyDescent="0.25">
      <c r="B536" s="28" t="s">
        <v>696</v>
      </c>
      <c r="C536" s="28" t="s">
        <v>2</v>
      </c>
      <c r="D536" s="28">
        <v>1</v>
      </c>
      <c r="E536" s="28">
        <v>0.2</v>
      </c>
      <c r="F536" s="28">
        <v>0</v>
      </c>
      <c r="G536" s="28">
        <v>4946858</v>
      </c>
    </row>
    <row r="537" spans="2:7" x14ac:dyDescent="0.25">
      <c r="B537" s="28" t="s">
        <v>668</v>
      </c>
      <c r="C537" s="28" t="s">
        <v>2</v>
      </c>
      <c r="D537" s="28">
        <v>1</v>
      </c>
      <c r="E537" s="28">
        <v>0.2</v>
      </c>
      <c r="F537" s="28">
        <v>0</v>
      </c>
      <c r="G537" s="28">
        <v>4946901</v>
      </c>
    </row>
    <row r="538" spans="2:7" x14ac:dyDescent="0.25">
      <c r="B538" s="28" t="s">
        <v>668</v>
      </c>
      <c r="C538" s="28" t="s">
        <v>2</v>
      </c>
      <c r="D538" s="28">
        <v>1</v>
      </c>
      <c r="E538" s="28">
        <v>0.2</v>
      </c>
      <c r="F538" s="28">
        <v>0</v>
      </c>
      <c r="G538" s="28">
        <v>4946908</v>
      </c>
    </row>
    <row r="539" spans="2:7" x14ac:dyDescent="0.25">
      <c r="B539" s="28" t="s">
        <v>696</v>
      </c>
      <c r="C539" s="28" t="s">
        <v>2</v>
      </c>
      <c r="D539" s="28">
        <v>1</v>
      </c>
      <c r="E539" s="28">
        <v>0.2</v>
      </c>
      <c r="F539" s="28">
        <v>0</v>
      </c>
      <c r="G539" s="28">
        <v>4946940</v>
      </c>
    </row>
    <row r="540" spans="2:7" x14ac:dyDescent="0.25">
      <c r="B540" s="28" t="s">
        <v>668</v>
      </c>
      <c r="C540" s="28" t="s">
        <v>2</v>
      </c>
      <c r="D540" s="28">
        <v>1</v>
      </c>
      <c r="E540" s="28">
        <v>0.2</v>
      </c>
      <c r="F540" s="28">
        <v>0</v>
      </c>
      <c r="G540" s="28">
        <v>4946978</v>
      </c>
    </row>
    <row r="541" spans="2:7" x14ac:dyDescent="0.25">
      <c r="B541" s="28" t="s">
        <v>696</v>
      </c>
      <c r="C541" s="28" t="s">
        <v>2</v>
      </c>
      <c r="D541" s="28">
        <v>1</v>
      </c>
      <c r="E541" s="28">
        <v>0.2</v>
      </c>
      <c r="F541" s="28">
        <v>0</v>
      </c>
      <c r="G541" s="28">
        <v>4947028</v>
      </c>
    </row>
    <row r="542" spans="2:7" x14ac:dyDescent="0.25">
      <c r="B542" s="28" t="s">
        <v>668</v>
      </c>
      <c r="C542" s="28" t="s">
        <v>2</v>
      </c>
      <c r="D542" s="28">
        <v>1</v>
      </c>
      <c r="E542" s="28">
        <v>0.2</v>
      </c>
      <c r="F542" s="28">
        <v>0</v>
      </c>
      <c r="G542" s="28">
        <v>4947072</v>
      </c>
    </row>
    <row r="543" spans="2:7" x14ac:dyDescent="0.25">
      <c r="B543" s="28" t="s">
        <v>696</v>
      </c>
      <c r="C543" s="28" t="s">
        <v>2</v>
      </c>
      <c r="D543" s="28">
        <v>1</v>
      </c>
      <c r="E543" s="28">
        <v>0.2</v>
      </c>
      <c r="F543" s="28">
        <v>0</v>
      </c>
      <c r="G543" s="28">
        <v>4947101</v>
      </c>
    </row>
    <row r="544" spans="2:7" x14ac:dyDescent="0.25">
      <c r="B544" s="28" t="s">
        <v>696</v>
      </c>
      <c r="C544" s="28" t="s">
        <v>2</v>
      </c>
      <c r="D544" s="28">
        <v>1</v>
      </c>
      <c r="E544" s="28">
        <v>0.2</v>
      </c>
      <c r="F544" s="28">
        <v>0</v>
      </c>
      <c r="G544" s="28">
        <v>4947108</v>
      </c>
    </row>
    <row r="545" spans="2:7" x14ac:dyDescent="0.25">
      <c r="B545" s="28" t="s">
        <v>668</v>
      </c>
      <c r="C545" s="28" t="s">
        <v>2</v>
      </c>
      <c r="D545" s="28">
        <v>1</v>
      </c>
      <c r="E545" s="28">
        <v>0.2</v>
      </c>
      <c r="F545" s="28">
        <v>0</v>
      </c>
      <c r="G545" s="28">
        <v>4947150</v>
      </c>
    </row>
    <row r="546" spans="2:7" x14ac:dyDescent="0.25">
      <c r="B546" s="28" t="s">
        <v>696</v>
      </c>
      <c r="C546" s="28" t="s">
        <v>2</v>
      </c>
      <c r="D546" s="28">
        <v>1</v>
      </c>
      <c r="E546" s="28">
        <v>0.2</v>
      </c>
      <c r="F546" s="28">
        <v>0</v>
      </c>
      <c r="G546" s="28">
        <v>4947186</v>
      </c>
    </row>
    <row r="547" spans="2:7" x14ac:dyDescent="0.25">
      <c r="B547" s="28" t="s">
        <v>696</v>
      </c>
      <c r="C547" s="28" t="s">
        <v>2</v>
      </c>
      <c r="D547" s="28">
        <v>1</v>
      </c>
      <c r="E547" s="28">
        <v>0.2</v>
      </c>
      <c r="F547" s="28">
        <v>0</v>
      </c>
      <c r="G547" s="28">
        <v>4947193</v>
      </c>
    </row>
    <row r="548" spans="2:7" x14ac:dyDescent="0.25">
      <c r="B548" s="28" t="s">
        <v>696</v>
      </c>
      <c r="C548" s="28" t="s">
        <v>2</v>
      </c>
      <c r="D548" s="28">
        <v>1</v>
      </c>
      <c r="E548" s="28">
        <v>0.2</v>
      </c>
      <c r="F548" s="28">
        <v>0</v>
      </c>
      <c r="G548" s="28">
        <v>4947200</v>
      </c>
    </row>
    <row r="549" spans="2:7" x14ac:dyDescent="0.25">
      <c r="B549" s="28" t="s">
        <v>668</v>
      </c>
      <c r="C549" s="28" t="s">
        <v>2</v>
      </c>
      <c r="D549" s="28">
        <v>1</v>
      </c>
      <c r="E549" s="28">
        <v>0.2</v>
      </c>
      <c r="F549" s="28">
        <v>0</v>
      </c>
      <c r="G549" s="28">
        <v>4947237</v>
      </c>
    </row>
    <row r="550" spans="2:7" x14ac:dyDescent="0.25">
      <c r="B550" s="28" t="s">
        <v>696</v>
      </c>
      <c r="C550" s="28" t="s">
        <v>2</v>
      </c>
      <c r="D550" s="28">
        <v>1</v>
      </c>
      <c r="E550" s="28">
        <v>0.2</v>
      </c>
      <c r="F550" s="28">
        <v>0</v>
      </c>
      <c r="G550" s="28">
        <v>4947269</v>
      </c>
    </row>
    <row r="551" spans="2:7" x14ac:dyDescent="0.25">
      <c r="B551" s="28" t="s">
        <v>696</v>
      </c>
      <c r="C551" s="28" t="s">
        <v>2</v>
      </c>
      <c r="D551" s="28">
        <v>1</v>
      </c>
      <c r="E551" s="28">
        <v>0.2</v>
      </c>
      <c r="F551" s="28">
        <v>0</v>
      </c>
      <c r="G551" s="28">
        <v>4947908</v>
      </c>
    </row>
    <row r="552" spans="2:7" x14ac:dyDescent="0.25">
      <c r="B552" s="28" t="s">
        <v>696</v>
      </c>
      <c r="C552" s="28" t="s">
        <v>2</v>
      </c>
      <c r="D552" s="28">
        <v>1</v>
      </c>
      <c r="E552" s="28">
        <v>0.2</v>
      </c>
      <c r="F552" s="28">
        <v>0</v>
      </c>
      <c r="G552" s="28">
        <v>4947915</v>
      </c>
    </row>
    <row r="553" spans="2:7" x14ac:dyDescent="0.25">
      <c r="B553" s="28" t="s">
        <v>696</v>
      </c>
      <c r="C553" s="28" t="s">
        <v>2</v>
      </c>
      <c r="D553" s="28">
        <v>1</v>
      </c>
      <c r="E553" s="28">
        <v>0.2</v>
      </c>
      <c r="F553" s="28">
        <v>0</v>
      </c>
      <c r="G553" s="28">
        <v>4947922</v>
      </c>
    </row>
    <row r="554" spans="2:7" x14ac:dyDescent="0.25">
      <c r="B554" s="28" t="s">
        <v>696</v>
      </c>
      <c r="C554" s="28" t="s">
        <v>2</v>
      </c>
      <c r="D554" s="28">
        <v>1</v>
      </c>
      <c r="E554" s="28">
        <v>0.2</v>
      </c>
      <c r="F554" s="28">
        <v>0</v>
      </c>
      <c r="G554" s="28">
        <v>4947929</v>
      </c>
    </row>
    <row r="555" spans="2:7" x14ac:dyDescent="0.25">
      <c r="B555" s="28" t="s">
        <v>668</v>
      </c>
      <c r="C555" s="28" t="s">
        <v>2</v>
      </c>
      <c r="D555" s="28">
        <v>1</v>
      </c>
      <c r="E555" s="28">
        <v>0.2</v>
      </c>
      <c r="F555" s="28">
        <v>0</v>
      </c>
      <c r="G555" s="28">
        <v>4947951</v>
      </c>
    </row>
    <row r="556" spans="2:7" x14ac:dyDescent="0.25">
      <c r="B556" s="28" t="s">
        <v>696</v>
      </c>
      <c r="C556" s="28" t="s">
        <v>2</v>
      </c>
      <c r="D556" s="28">
        <v>1</v>
      </c>
      <c r="E556" s="28">
        <v>0.2</v>
      </c>
      <c r="F556" s="28">
        <v>0</v>
      </c>
      <c r="G556" s="28">
        <v>4948053</v>
      </c>
    </row>
    <row r="557" spans="2:7" x14ac:dyDescent="0.25">
      <c r="B557" s="28" t="s">
        <v>696</v>
      </c>
      <c r="C557" s="28" t="s">
        <v>2</v>
      </c>
      <c r="D557" s="28">
        <v>1</v>
      </c>
      <c r="E557" s="28">
        <v>0.2</v>
      </c>
      <c r="F557" s="28">
        <v>0</v>
      </c>
      <c r="G557" s="28">
        <v>4948060</v>
      </c>
    </row>
    <row r="558" spans="2:7" x14ac:dyDescent="0.25">
      <c r="B558" s="28" t="s">
        <v>696</v>
      </c>
      <c r="C558" s="28" t="s">
        <v>2</v>
      </c>
      <c r="D558" s="28">
        <v>1</v>
      </c>
      <c r="E558" s="28">
        <v>0.2</v>
      </c>
      <c r="F558" s="28">
        <v>0</v>
      </c>
      <c r="G558" s="28">
        <v>4948067</v>
      </c>
    </row>
    <row r="559" spans="2:7" x14ac:dyDescent="0.25">
      <c r="B559" s="28" t="s">
        <v>696</v>
      </c>
      <c r="C559" s="28" t="s">
        <v>2</v>
      </c>
      <c r="D559" s="28">
        <v>1</v>
      </c>
      <c r="E559" s="28">
        <v>0.2</v>
      </c>
      <c r="F559" s="28">
        <v>0</v>
      </c>
      <c r="G559" s="28">
        <v>4948074</v>
      </c>
    </row>
    <row r="560" spans="2:7" x14ac:dyDescent="0.25">
      <c r="B560" s="28" t="s">
        <v>696</v>
      </c>
      <c r="C560" s="28" t="s">
        <v>2</v>
      </c>
      <c r="D560" s="28">
        <v>1</v>
      </c>
      <c r="E560" s="28">
        <v>0.2</v>
      </c>
      <c r="F560" s="28">
        <v>0</v>
      </c>
      <c r="G560" s="28">
        <v>4948081</v>
      </c>
    </row>
    <row r="561" spans="2:7" x14ac:dyDescent="0.25">
      <c r="B561" s="28" t="s">
        <v>696</v>
      </c>
      <c r="C561" s="28" t="s">
        <v>2</v>
      </c>
      <c r="D561" s="28">
        <v>1</v>
      </c>
      <c r="E561" s="28">
        <v>0.2</v>
      </c>
      <c r="F561" s="28">
        <v>0</v>
      </c>
      <c r="G561" s="28">
        <v>4948088</v>
      </c>
    </row>
    <row r="562" spans="2:7" x14ac:dyDescent="0.25">
      <c r="B562" s="28" t="s">
        <v>696</v>
      </c>
      <c r="C562" s="28" t="s">
        <v>2</v>
      </c>
      <c r="D562" s="28">
        <v>1</v>
      </c>
      <c r="E562" s="28">
        <v>0.2</v>
      </c>
      <c r="F562" s="28">
        <v>0</v>
      </c>
      <c r="G562" s="28">
        <v>4957075</v>
      </c>
    </row>
    <row r="563" spans="2:7" x14ac:dyDescent="0.25">
      <c r="B563" s="28" t="s">
        <v>668</v>
      </c>
      <c r="C563" s="28" t="s">
        <v>2</v>
      </c>
      <c r="D563" s="28">
        <v>1</v>
      </c>
      <c r="E563" s="28">
        <v>0.2</v>
      </c>
      <c r="F563" s="28">
        <v>0</v>
      </c>
      <c r="G563" s="28">
        <v>5078581</v>
      </c>
    </row>
    <row r="564" spans="2:7" x14ac:dyDescent="0.25">
      <c r="B564" s="28" t="s">
        <v>668</v>
      </c>
      <c r="C564" s="28" t="s">
        <v>2</v>
      </c>
      <c r="D564" s="28">
        <v>1</v>
      </c>
      <c r="E564" s="28">
        <v>0.2</v>
      </c>
      <c r="F564" s="28">
        <v>0</v>
      </c>
      <c r="G564" s="28">
        <v>5078777</v>
      </c>
    </row>
    <row r="565" spans="2:7" x14ac:dyDescent="0.25">
      <c r="B565" s="28" t="s">
        <v>668</v>
      </c>
      <c r="C565" s="28" t="s">
        <v>2</v>
      </c>
      <c r="D565" s="28">
        <v>1</v>
      </c>
      <c r="E565" s="28">
        <v>0.2</v>
      </c>
      <c r="F565" s="28">
        <v>0</v>
      </c>
      <c r="G565" s="28">
        <v>5079012</v>
      </c>
    </row>
    <row r="566" spans="2:7" x14ac:dyDescent="0.25">
      <c r="B566" s="28" t="s">
        <v>696</v>
      </c>
      <c r="C566" s="28" t="s">
        <v>6</v>
      </c>
      <c r="D566" s="28">
        <v>-0.2</v>
      </c>
      <c r="E566" s="28">
        <v>1</v>
      </c>
      <c r="F566" s="28">
        <v>0</v>
      </c>
      <c r="G566" s="28">
        <v>5762550</v>
      </c>
    </row>
    <row r="567" spans="2:7" x14ac:dyDescent="0.25">
      <c r="B567" s="28" t="s">
        <v>696</v>
      </c>
      <c r="C567" s="28" t="s">
        <v>6</v>
      </c>
      <c r="D567" s="28">
        <v>-0.2</v>
      </c>
      <c r="E567" s="28">
        <v>1</v>
      </c>
      <c r="F567" s="28">
        <v>0</v>
      </c>
      <c r="G567" s="28">
        <v>5762792</v>
      </c>
    </row>
    <row r="568" spans="2:7" x14ac:dyDescent="0.25">
      <c r="B568" s="28" t="s">
        <v>696</v>
      </c>
      <c r="C568" s="28" t="s">
        <v>6</v>
      </c>
      <c r="D568" s="28">
        <v>-0.2</v>
      </c>
      <c r="E568" s="28">
        <v>1</v>
      </c>
      <c r="F568" s="28">
        <v>0</v>
      </c>
      <c r="G568" s="28">
        <v>5762800</v>
      </c>
    </row>
    <row r="569" spans="2:7" x14ac:dyDescent="0.25">
      <c r="B569" s="28" t="s">
        <v>668</v>
      </c>
      <c r="C569" s="28" t="s">
        <v>6</v>
      </c>
      <c r="D569" s="28">
        <v>-0.2</v>
      </c>
      <c r="E569" s="28">
        <v>1</v>
      </c>
      <c r="F569" s="28">
        <v>0</v>
      </c>
      <c r="G569" s="28">
        <v>5762898</v>
      </c>
    </row>
    <row r="570" spans="2:7" x14ac:dyDescent="0.25">
      <c r="B570" s="28" t="s">
        <v>668</v>
      </c>
      <c r="C570" s="28" t="s">
        <v>6</v>
      </c>
      <c r="D570" s="28">
        <v>-0.2</v>
      </c>
      <c r="E570" s="28">
        <v>1</v>
      </c>
      <c r="F570" s="28">
        <v>0</v>
      </c>
      <c r="G570" s="28">
        <v>5763127</v>
      </c>
    </row>
    <row r="571" spans="2:7" x14ac:dyDescent="0.25">
      <c r="B571" s="28" t="s">
        <v>668</v>
      </c>
      <c r="C571" s="28" t="s">
        <v>6</v>
      </c>
      <c r="D571" s="28">
        <v>-0.2</v>
      </c>
      <c r="E571" s="28">
        <v>1</v>
      </c>
      <c r="F571" s="28">
        <v>0</v>
      </c>
      <c r="G571" s="28">
        <v>5763272</v>
      </c>
    </row>
    <row r="572" spans="2:7" x14ac:dyDescent="0.25">
      <c r="B572" s="28" t="s">
        <v>668</v>
      </c>
      <c r="C572" s="28" t="s">
        <v>6</v>
      </c>
      <c r="D572" s="28">
        <v>-0.2</v>
      </c>
      <c r="E572" s="28">
        <v>1</v>
      </c>
      <c r="F572" s="28">
        <v>0</v>
      </c>
      <c r="G572" s="28">
        <v>5763273</v>
      </c>
    </row>
    <row r="573" spans="2:7" x14ac:dyDescent="0.25">
      <c r="B573" s="28" t="s">
        <v>696</v>
      </c>
      <c r="C573" s="28" t="s">
        <v>6</v>
      </c>
      <c r="D573" s="28">
        <v>-0.2</v>
      </c>
      <c r="E573" s="28">
        <v>1</v>
      </c>
      <c r="F573" s="28">
        <v>0</v>
      </c>
      <c r="G573" s="28">
        <v>5763362</v>
      </c>
    </row>
    <row r="574" spans="2:7" x14ac:dyDescent="0.25">
      <c r="C574" s="28">
        <v>1527327</v>
      </c>
    </row>
    <row r="575" spans="2:7" x14ac:dyDescent="0.25">
      <c r="B575" s="28" t="s">
        <v>619</v>
      </c>
      <c r="C575" s="28" t="s">
        <v>6</v>
      </c>
      <c r="D575" s="28">
        <v>-0.2</v>
      </c>
      <c r="E575" s="28">
        <v>1</v>
      </c>
      <c r="F575" s="28">
        <v>0</v>
      </c>
      <c r="G575" s="28">
        <v>4940777</v>
      </c>
    </row>
    <row r="576" spans="2:7" x14ac:dyDescent="0.25">
      <c r="B576" s="28" t="s">
        <v>622</v>
      </c>
      <c r="C576" s="28" t="s">
        <v>6</v>
      </c>
      <c r="D576" s="28">
        <v>-0.2</v>
      </c>
      <c r="E576" s="28">
        <v>1</v>
      </c>
      <c r="F576" s="28">
        <v>0</v>
      </c>
      <c r="G576" s="28">
        <v>4940778</v>
      </c>
    </row>
    <row r="577" spans="2:7" x14ac:dyDescent="0.25">
      <c r="B577" s="28" t="s">
        <v>619</v>
      </c>
      <c r="C577" s="28" t="s">
        <v>6</v>
      </c>
      <c r="D577" s="28">
        <v>-0.2</v>
      </c>
      <c r="E577" s="28">
        <v>1</v>
      </c>
      <c r="F577" s="28">
        <v>0</v>
      </c>
      <c r="G577" s="28">
        <v>4940779</v>
      </c>
    </row>
    <row r="578" spans="2:7" x14ac:dyDescent="0.25">
      <c r="B578" s="28" t="s">
        <v>619</v>
      </c>
      <c r="C578" s="28" t="s">
        <v>6</v>
      </c>
      <c r="D578" s="28">
        <v>-0.2</v>
      </c>
      <c r="E578" s="28">
        <v>1</v>
      </c>
      <c r="F578" s="28">
        <v>0</v>
      </c>
      <c r="G578" s="28">
        <v>4940780</v>
      </c>
    </row>
    <row r="579" spans="2:7" x14ac:dyDescent="0.25">
      <c r="B579" s="28" t="s">
        <v>622</v>
      </c>
      <c r="C579" s="28" t="s">
        <v>6</v>
      </c>
      <c r="D579" s="28">
        <v>-0.2</v>
      </c>
      <c r="E579" s="28">
        <v>1</v>
      </c>
      <c r="F579" s="28">
        <v>0</v>
      </c>
      <c r="G579" s="28">
        <v>4940781</v>
      </c>
    </row>
    <row r="580" spans="2:7" x14ac:dyDescent="0.25">
      <c r="B580" s="28" t="s">
        <v>619</v>
      </c>
      <c r="C580" s="28" t="s">
        <v>6</v>
      </c>
      <c r="D580" s="28">
        <v>-0.2</v>
      </c>
      <c r="E580" s="28">
        <v>1</v>
      </c>
      <c r="F580" s="28">
        <v>0</v>
      </c>
      <c r="G580" s="28">
        <v>4940782</v>
      </c>
    </row>
    <row r="581" spans="2:7" x14ac:dyDescent="0.25">
      <c r="B581" s="28" t="s">
        <v>622</v>
      </c>
      <c r="C581" s="28" t="s">
        <v>6</v>
      </c>
      <c r="D581" s="28">
        <v>-0.2</v>
      </c>
      <c r="E581" s="28">
        <v>1</v>
      </c>
      <c r="F581" s="28">
        <v>0</v>
      </c>
      <c r="G581" s="28">
        <v>4940783</v>
      </c>
    </row>
    <row r="582" spans="2:7" x14ac:dyDescent="0.25">
      <c r="B582" s="28" t="s">
        <v>619</v>
      </c>
      <c r="C582" s="28" t="s">
        <v>6</v>
      </c>
      <c r="D582" s="28">
        <v>-0.2</v>
      </c>
      <c r="E582" s="28">
        <v>1</v>
      </c>
      <c r="F582" s="28">
        <v>0</v>
      </c>
      <c r="G582" s="28">
        <v>4940784</v>
      </c>
    </row>
    <row r="583" spans="2:7" x14ac:dyDescent="0.25">
      <c r="B583" s="28" t="s">
        <v>622</v>
      </c>
      <c r="C583" s="28" t="s">
        <v>6</v>
      </c>
      <c r="D583" s="28">
        <v>-0.2</v>
      </c>
      <c r="E583" s="28">
        <v>1</v>
      </c>
      <c r="F583" s="28">
        <v>0</v>
      </c>
      <c r="G583" s="28">
        <v>4940785</v>
      </c>
    </row>
    <row r="584" spans="2:7" x14ac:dyDescent="0.25">
      <c r="B584" s="28" t="s">
        <v>619</v>
      </c>
      <c r="C584" s="28" t="s">
        <v>6</v>
      </c>
      <c r="D584" s="28">
        <v>-0.2</v>
      </c>
      <c r="E584" s="28">
        <v>1</v>
      </c>
      <c r="F584" s="28">
        <v>0</v>
      </c>
      <c r="G584" s="28">
        <v>4940786</v>
      </c>
    </row>
    <row r="585" spans="2:7" x14ac:dyDescent="0.25">
      <c r="B585" s="28" t="s">
        <v>622</v>
      </c>
      <c r="C585" s="28" t="s">
        <v>6</v>
      </c>
      <c r="D585" s="28">
        <v>-0.2</v>
      </c>
      <c r="E585" s="28">
        <v>1</v>
      </c>
      <c r="F585" s="28">
        <v>0</v>
      </c>
      <c r="G585" s="28">
        <v>4940787</v>
      </c>
    </row>
    <row r="586" spans="2:7" x14ac:dyDescent="0.25">
      <c r="B586" s="28" t="s">
        <v>622</v>
      </c>
      <c r="C586" s="28" t="s">
        <v>6</v>
      </c>
      <c r="D586" s="28">
        <v>-0.2</v>
      </c>
      <c r="E586" s="28">
        <v>1</v>
      </c>
      <c r="F586" s="28">
        <v>0</v>
      </c>
      <c r="G586" s="28">
        <v>4940788</v>
      </c>
    </row>
    <row r="587" spans="2:7" x14ac:dyDescent="0.25">
      <c r="B587" s="28" t="s">
        <v>619</v>
      </c>
      <c r="C587" s="28" t="s">
        <v>6</v>
      </c>
      <c r="D587" s="28">
        <v>-0.2</v>
      </c>
      <c r="E587" s="28">
        <v>1</v>
      </c>
      <c r="F587" s="28">
        <v>0</v>
      </c>
      <c r="G587" s="28">
        <v>4940789</v>
      </c>
    </row>
    <row r="588" spans="2:7" x14ac:dyDescent="0.25">
      <c r="B588" s="28" t="s">
        <v>622</v>
      </c>
      <c r="C588" s="28" t="s">
        <v>6</v>
      </c>
      <c r="D588" s="28">
        <v>-0.2</v>
      </c>
      <c r="E588" s="28">
        <v>1</v>
      </c>
      <c r="F588" s="28">
        <v>0</v>
      </c>
      <c r="G588" s="28">
        <v>4940790</v>
      </c>
    </row>
    <row r="589" spans="2:7" x14ac:dyDescent="0.25">
      <c r="B589" s="28" t="s">
        <v>622</v>
      </c>
      <c r="C589" s="28" t="s">
        <v>6</v>
      </c>
      <c r="D589" s="28">
        <v>-0.2</v>
      </c>
      <c r="E589" s="28">
        <v>1</v>
      </c>
      <c r="F589" s="28">
        <v>0</v>
      </c>
      <c r="G589" s="28">
        <v>4940791</v>
      </c>
    </row>
    <row r="590" spans="2:7" x14ac:dyDescent="0.25">
      <c r="B590" s="28" t="s">
        <v>622</v>
      </c>
      <c r="C590" s="28" t="s">
        <v>6</v>
      </c>
      <c r="D590" s="28">
        <v>-0.2</v>
      </c>
      <c r="E590" s="28">
        <v>1</v>
      </c>
      <c r="F590" s="28">
        <v>0</v>
      </c>
      <c r="G590" s="28">
        <v>4940792</v>
      </c>
    </row>
    <row r="591" spans="2:7" x14ac:dyDescent="0.25">
      <c r="B591" s="28" t="s">
        <v>619</v>
      </c>
      <c r="C591" s="28" t="s">
        <v>2</v>
      </c>
      <c r="D591" s="28">
        <v>1</v>
      </c>
      <c r="E591" s="28">
        <v>0.2</v>
      </c>
      <c r="F591" s="28">
        <v>0</v>
      </c>
      <c r="G591" s="28">
        <v>4948357</v>
      </c>
    </row>
    <row r="592" spans="2:7" x14ac:dyDescent="0.25">
      <c r="B592" s="28" t="s">
        <v>619</v>
      </c>
      <c r="C592" s="28" t="s">
        <v>2</v>
      </c>
      <c r="D592" s="28">
        <v>1</v>
      </c>
      <c r="E592" s="28">
        <v>0.2</v>
      </c>
      <c r="F592" s="28">
        <v>0</v>
      </c>
      <c r="G592" s="28">
        <v>4948364</v>
      </c>
    </row>
    <row r="593" spans="2:7" x14ac:dyDescent="0.25">
      <c r="B593" s="28" t="s">
        <v>619</v>
      </c>
      <c r="C593" s="28" t="s">
        <v>2</v>
      </c>
      <c r="D593" s="28">
        <v>1</v>
      </c>
      <c r="E593" s="28">
        <v>0.2</v>
      </c>
      <c r="F593" s="28">
        <v>0</v>
      </c>
      <c r="G593" s="28">
        <v>4948371</v>
      </c>
    </row>
    <row r="594" spans="2:7" x14ac:dyDescent="0.25">
      <c r="B594" s="28" t="s">
        <v>619</v>
      </c>
      <c r="C594" s="28" t="s">
        <v>2</v>
      </c>
      <c r="D594" s="28">
        <v>1</v>
      </c>
      <c r="E594" s="28">
        <v>0.2</v>
      </c>
      <c r="F594" s="28">
        <v>0</v>
      </c>
      <c r="G594" s="28">
        <v>4948378</v>
      </c>
    </row>
    <row r="595" spans="2:7" x14ac:dyDescent="0.25">
      <c r="B595" s="28" t="s">
        <v>619</v>
      </c>
      <c r="C595" s="28" t="s">
        <v>2</v>
      </c>
      <c r="D595" s="28">
        <v>1</v>
      </c>
      <c r="E595" s="28">
        <v>0.2</v>
      </c>
      <c r="F595" s="28">
        <v>0</v>
      </c>
      <c r="G595" s="28">
        <v>4948385</v>
      </c>
    </row>
    <row r="596" spans="2:7" x14ac:dyDescent="0.25">
      <c r="B596" s="28" t="s">
        <v>619</v>
      </c>
      <c r="C596" s="28" t="s">
        <v>2</v>
      </c>
      <c r="D596" s="28">
        <v>1</v>
      </c>
      <c r="E596" s="28">
        <v>0.2</v>
      </c>
      <c r="F596" s="28">
        <v>0</v>
      </c>
      <c r="G596" s="28">
        <v>4948392</v>
      </c>
    </row>
    <row r="597" spans="2:7" x14ac:dyDescent="0.25">
      <c r="B597" s="28" t="s">
        <v>619</v>
      </c>
      <c r="C597" s="28" t="s">
        <v>2</v>
      </c>
      <c r="D597" s="28">
        <v>1</v>
      </c>
      <c r="E597" s="28">
        <v>0.2</v>
      </c>
      <c r="F597" s="28">
        <v>0</v>
      </c>
      <c r="G597" s="28">
        <v>4948399</v>
      </c>
    </row>
    <row r="598" spans="2:7" x14ac:dyDescent="0.25">
      <c r="B598" s="28" t="s">
        <v>621</v>
      </c>
      <c r="C598" s="28" t="s">
        <v>2</v>
      </c>
      <c r="D598" s="28">
        <v>1</v>
      </c>
      <c r="E598" s="28">
        <v>0.2</v>
      </c>
      <c r="F598" s="28">
        <v>0</v>
      </c>
      <c r="G598" s="28">
        <v>4948738</v>
      </c>
    </row>
    <row r="599" spans="2:7" x14ac:dyDescent="0.25">
      <c r="B599" s="28" t="s">
        <v>693</v>
      </c>
      <c r="C599" s="28" t="s">
        <v>2</v>
      </c>
      <c r="D599" s="28">
        <v>1</v>
      </c>
      <c r="E599" s="28">
        <v>0.2</v>
      </c>
      <c r="F599" s="28">
        <v>0</v>
      </c>
      <c r="G599" s="28">
        <v>5079879</v>
      </c>
    </row>
    <row r="600" spans="2:7" x14ac:dyDescent="0.25">
      <c r="B600" s="28" t="s">
        <v>27</v>
      </c>
      <c r="C600" s="28" t="s">
        <v>5</v>
      </c>
      <c r="D600" s="28">
        <v>0.2</v>
      </c>
      <c r="E600" s="28">
        <v>-1</v>
      </c>
      <c r="F600" s="28">
        <v>0</v>
      </c>
      <c r="G600" s="28">
        <v>5711799</v>
      </c>
    </row>
    <row r="601" spans="2:7" x14ac:dyDescent="0.25">
      <c r="B601" s="28" t="s">
        <v>27</v>
      </c>
      <c r="C601" s="28" t="s">
        <v>5</v>
      </c>
      <c r="D601" s="28">
        <v>0.2</v>
      </c>
      <c r="E601" s="28">
        <v>-1</v>
      </c>
      <c r="F601" s="28">
        <v>0</v>
      </c>
      <c r="G601" s="28">
        <v>5711857</v>
      </c>
    </row>
    <row r="602" spans="2:7" x14ac:dyDescent="0.25">
      <c r="B602" s="28" t="s">
        <v>701</v>
      </c>
      <c r="C602" s="28">
        <v>1575476</v>
      </c>
    </row>
    <row r="603" spans="2:7" x14ac:dyDescent="0.25">
      <c r="B603" s="28" t="s">
        <v>619</v>
      </c>
      <c r="C603" s="28" t="s">
        <v>6</v>
      </c>
      <c r="D603" s="28">
        <v>-0.2</v>
      </c>
      <c r="E603" s="28">
        <v>1</v>
      </c>
      <c r="F603" s="28">
        <v>0</v>
      </c>
      <c r="G603" s="28">
        <v>4940801</v>
      </c>
    </row>
    <row r="604" spans="2:7" x14ac:dyDescent="0.25">
      <c r="B604" s="28" t="s">
        <v>622</v>
      </c>
      <c r="C604" s="28" t="s">
        <v>6</v>
      </c>
      <c r="D604" s="28">
        <v>-0.2</v>
      </c>
      <c r="E604" s="28">
        <v>1</v>
      </c>
      <c r="F604" s="28">
        <v>0</v>
      </c>
      <c r="G604" s="28">
        <v>4940802</v>
      </c>
    </row>
    <row r="605" spans="2:7" x14ac:dyDescent="0.25">
      <c r="B605" s="28" t="s">
        <v>702</v>
      </c>
      <c r="C605" s="28">
        <v>1576474</v>
      </c>
    </row>
    <row r="606" spans="2:7" s="14" customFormat="1" x14ac:dyDescent="0.25">
      <c r="B606" s="14" t="s">
        <v>1090</v>
      </c>
      <c r="C606" s="14" t="s">
        <v>5</v>
      </c>
      <c r="D606" s="14">
        <v>0.2</v>
      </c>
      <c r="E606" s="14">
        <v>-1</v>
      </c>
      <c r="F606" s="14">
        <v>0</v>
      </c>
      <c r="G606" s="14">
        <v>4928504</v>
      </c>
    </row>
    <row r="607" spans="2:7" s="14" customFormat="1" x14ac:dyDescent="0.25">
      <c r="B607" s="14" t="s">
        <v>1081</v>
      </c>
      <c r="C607" s="14" t="s">
        <v>5</v>
      </c>
      <c r="D607" s="14">
        <v>0.2</v>
      </c>
      <c r="E607" s="14">
        <v>-1</v>
      </c>
      <c r="F607" s="14">
        <v>0</v>
      </c>
      <c r="G607" s="14">
        <v>4928587</v>
      </c>
    </row>
    <row r="608" spans="2:7" x14ac:dyDescent="0.25">
      <c r="B608" s="28" t="s">
        <v>703</v>
      </c>
      <c r="C608" s="28">
        <v>1586753</v>
      </c>
    </row>
    <row r="609" spans="2:8" x14ac:dyDescent="0.25">
      <c r="B609" s="28" t="s">
        <v>622</v>
      </c>
      <c r="C609" s="28" t="s">
        <v>788</v>
      </c>
      <c r="D609" s="28">
        <v>-1</v>
      </c>
      <c r="E609" s="28">
        <v>0.3</v>
      </c>
      <c r="F609" s="28">
        <v>0</v>
      </c>
      <c r="G609" s="28">
        <v>4914390</v>
      </c>
    </row>
    <row r="610" spans="2:8" x14ac:dyDescent="0.25">
      <c r="B610" s="28" t="s">
        <v>619</v>
      </c>
      <c r="C610" s="28" t="s">
        <v>788</v>
      </c>
      <c r="D610" s="28">
        <v>-1</v>
      </c>
      <c r="E610" s="28">
        <v>0.3</v>
      </c>
      <c r="F610" s="28">
        <v>0</v>
      </c>
      <c r="G610" s="28">
        <v>4914391</v>
      </c>
    </row>
    <row r="611" spans="2:8" x14ac:dyDescent="0.25">
      <c r="B611" s="28" t="s">
        <v>622</v>
      </c>
      <c r="C611" s="28" t="s">
        <v>788</v>
      </c>
      <c r="D611" s="28">
        <v>-1</v>
      </c>
      <c r="E611" s="28">
        <v>0.3</v>
      </c>
      <c r="F611" s="28">
        <v>0</v>
      </c>
      <c r="G611" s="28">
        <v>4914392</v>
      </c>
    </row>
    <row r="612" spans="2:8" x14ac:dyDescent="0.25">
      <c r="B612" s="28" t="s">
        <v>622</v>
      </c>
      <c r="C612" s="28" t="s">
        <v>788</v>
      </c>
      <c r="D612" s="28">
        <v>-1</v>
      </c>
      <c r="E612" s="28">
        <v>0.3</v>
      </c>
      <c r="F612" s="28">
        <v>0</v>
      </c>
      <c r="G612" s="28">
        <v>4914393</v>
      </c>
    </row>
    <row r="613" spans="2:8" x14ac:dyDescent="0.25">
      <c r="B613" s="28" t="s">
        <v>622</v>
      </c>
      <c r="C613" s="28" t="s">
        <v>788</v>
      </c>
      <c r="D613" s="28">
        <v>-1</v>
      </c>
      <c r="E613" s="28">
        <v>0.3</v>
      </c>
      <c r="F613" s="28">
        <v>0</v>
      </c>
      <c r="G613" s="28">
        <v>4914394</v>
      </c>
    </row>
    <row r="614" spans="2:8" x14ac:dyDescent="0.25">
      <c r="B614" s="28" t="s">
        <v>619</v>
      </c>
      <c r="C614" s="28" t="s">
        <v>788</v>
      </c>
      <c r="D614" s="28">
        <v>-1</v>
      </c>
      <c r="E614" s="28">
        <v>0.3</v>
      </c>
      <c r="F614" s="28">
        <v>0</v>
      </c>
      <c r="G614" s="28">
        <v>4914395</v>
      </c>
    </row>
    <row r="615" spans="2:8" x14ac:dyDescent="0.25">
      <c r="B615" s="28" t="s">
        <v>622</v>
      </c>
      <c r="C615" s="28" t="s">
        <v>788</v>
      </c>
      <c r="D615" s="28">
        <v>-1</v>
      </c>
      <c r="E615" s="28">
        <v>0.3</v>
      </c>
      <c r="F615" s="28">
        <v>0</v>
      </c>
      <c r="G615" s="28">
        <v>4914396</v>
      </c>
    </row>
    <row r="616" spans="2:8" x14ac:dyDescent="0.25">
      <c r="B616" s="28" t="s">
        <v>704</v>
      </c>
      <c r="C616" s="28">
        <v>1586755</v>
      </c>
    </row>
    <row r="617" spans="2:8" x14ac:dyDescent="0.25">
      <c r="B617" s="28" t="s">
        <v>621</v>
      </c>
      <c r="C617" s="28" t="s">
        <v>792</v>
      </c>
      <c r="D617" s="28">
        <v>-1</v>
      </c>
      <c r="E617" s="28">
        <v>-0.2</v>
      </c>
      <c r="F617" s="28">
        <v>0</v>
      </c>
      <c r="G617" s="28">
        <v>4810563</v>
      </c>
    </row>
    <row r="618" spans="2:8" x14ac:dyDescent="0.25">
      <c r="B618" s="28" t="s">
        <v>621</v>
      </c>
      <c r="C618" s="28" t="s">
        <v>792</v>
      </c>
      <c r="D618" s="28">
        <v>-1</v>
      </c>
      <c r="E618" s="28">
        <v>-0.2</v>
      </c>
      <c r="F618" s="28">
        <v>0</v>
      </c>
      <c r="G618" s="28">
        <v>4810564</v>
      </c>
    </row>
    <row r="619" spans="2:8" x14ac:dyDescent="0.25">
      <c r="B619" s="28" t="s">
        <v>621</v>
      </c>
      <c r="C619" s="28" t="s">
        <v>792</v>
      </c>
      <c r="D619" s="28">
        <v>-1</v>
      </c>
      <c r="E619" s="28">
        <v>-0.2</v>
      </c>
      <c r="F619" s="28">
        <v>0</v>
      </c>
      <c r="G619" s="28">
        <v>4810565</v>
      </c>
    </row>
    <row r="620" spans="2:8" x14ac:dyDescent="0.25">
      <c r="B620" s="28" t="s">
        <v>621</v>
      </c>
      <c r="C620" s="28" t="s">
        <v>792</v>
      </c>
      <c r="D620" s="28">
        <v>-1</v>
      </c>
      <c r="E620" s="28">
        <v>-0.2</v>
      </c>
      <c r="F620" s="28">
        <v>0</v>
      </c>
      <c r="G620" s="28">
        <v>5143825</v>
      </c>
    </row>
    <row r="621" spans="2:8" x14ac:dyDescent="0.25">
      <c r="B621" s="28" t="s">
        <v>621</v>
      </c>
      <c r="C621" s="28" t="s">
        <v>792</v>
      </c>
      <c r="D621" s="28">
        <v>-1</v>
      </c>
      <c r="E621" s="28">
        <v>-0.2</v>
      </c>
      <c r="F621" s="28">
        <v>0</v>
      </c>
      <c r="G621" s="28">
        <v>5143826</v>
      </c>
    </row>
    <row r="622" spans="2:8" x14ac:dyDescent="0.25">
      <c r="B622" s="28" t="s">
        <v>621</v>
      </c>
      <c r="C622" s="28" t="s">
        <v>792</v>
      </c>
      <c r="D622" s="28">
        <v>-1</v>
      </c>
      <c r="E622" s="28">
        <v>-0.2</v>
      </c>
      <c r="F622" s="28">
        <v>0</v>
      </c>
      <c r="G622" s="28">
        <v>5143827</v>
      </c>
    </row>
    <row r="623" spans="2:8" x14ac:dyDescent="0.25">
      <c r="B623" s="14" t="s">
        <v>679</v>
      </c>
      <c r="C623" s="14" t="s">
        <v>1050</v>
      </c>
      <c r="D623" s="14"/>
      <c r="E623" s="14"/>
      <c r="F623" s="14"/>
      <c r="G623" s="14"/>
    </row>
    <row r="624" spans="2:8" x14ac:dyDescent="0.25">
      <c r="B624" s="14" t="s">
        <v>621</v>
      </c>
      <c r="C624" s="14" t="s">
        <v>792</v>
      </c>
      <c r="D624" s="14">
        <v>-1</v>
      </c>
      <c r="E624" s="14">
        <v>-0.2</v>
      </c>
      <c r="F624" s="14">
        <v>0</v>
      </c>
      <c r="G624" s="14">
        <v>4810569</v>
      </c>
      <c r="H624" s="28" t="s">
        <v>1073</v>
      </c>
    </row>
    <row r="625" spans="2:8" x14ac:dyDescent="0.25">
      <c r="B625" s="14" t="s">
        <v>621</v>
      </c>
      <c r="C625" s="14" t="s">
        <v>792</v>
      </c>
      <c r="D625" s="14">
        <v>-1</v>
      </c>
      <c r="E625" s="14">
        <v>-0.2</v>
      </c>
      <c r="F625" s="14">
        <v>0</v>
      </c>
      <c r="G625" s="14">
        <v>5143832</v>
      </c>
      <c r="H625" s="28" t="s">
        <v>1073</v>
      </c>
    </row>
    <row r="626" spans="2:8" x14ac:dyDescent="0.25">
      <c r="B626" s="14" t="s">
        <v>621</v>
      </c>
      <c r="C626" s="14" t="s">
        <v>792</v>
      </c>
      <c r="D626" s="14">
        <v>-1</v>
      </c>
      <c r="E626" s="14">
        <v>-0.2</v>
      </c>
      <c r="F626" s="14">
        <v>0</v>
      </c>
      <c r="G626" s="14">
        <v>4810570</v>
      </c>
      <c r="H626" s="28" t="s">
        <v>1073</v>
      </c>
    </row>
    <row r="627" spans="2:8" x14ac:dyDescent="0.25">
      <c r="B627" s="14" t="s">
        <v>675</v>
      </c>
      <c r="C627" s="14" t="s">
        <v>792</v>
      </c>
      <c r="D627" s="14">
        <v>-1</v>
      </c>
      <c r="E627" s="14">
        <v>-0.2</v>
      </c>
      <c r="F627" s="14">
        <v>0</v>
      </c>
      <c r="G627" s="14">
        <v>6678260</v>
      </c>
      <c r="H627" s="28" t="s">
        <v>1073</v>
      </c>
    </row>
    <row r="628" spans="2:8" x14ac:dyDescent="0.25">
      <c r="B628" s="14" t="s">
        <v>621</v>
      </c>
      <c r="C628" s="14" t="s">
        <v>792</v>
      </c>
      <c r="D628" s="14">
        <v>-1</v>
      </c>
      <c r="E628" s="14">
        <v>-0.2</v>
      </c>
      <c r="F628" s="14">
        <v>0</v>
      </c>
      <c r="G628" s="14">
        <v>4810571</v>
      </c>
      <c r="H628" s="28" t="s">
        <v>1073</v>
      </c>
    </row>
    <row r="629" spans="2:8" x14ac:dyDescent="0.25">
      <c r="B629" s="14" t="s">
        <v>621</v>
      </c>
      <c r="C629" s="14" t="s">
        <v>792</v>
      </c>
      <c r="D629" s="14">
        <v>-1</v>
      </c>
      <c r="E629" s="14">
        <v>-0.2</v>
      </c>
      <c r="F629" s="14">
        <v>0</v>
      </c>
      <c r="G629" s="14">
        <v>5143833</v>
      </c>
      <c r="H629" s="28" t="s">
        <v>1073</v>
      </c>
    </row>
    <row r="630" spans="2:8" x14ac:dyDescent="0.25">
      <c r="B630" s="14" t="s">
        <v>621</v>
      </c>
      <c r="C630" s="14" t="s">
        <v>792</v>
      </c>
      <c r="D630" s="14">
        <v>-1</v>
      </c>
      <c r="E630" s="14">
        <v>-0.2</v>
      </c>
      <c r="F630" s="14">
        <v>0</v>
      </c>
      <c r="G630" s="14">
        <v>4865197</v>
      </c>
      <c r="H630" s="28" t="s">
        <v>1073</v>
      </c>
    </row>
    <row r="631" spans="2:8" x14ac:dyDescent="0.25">
      <c r="B631" s="14" t="s">
        <v>621</v>
      </c>
      <c r="C631" s="14" t="s">
        <v>792</v>
      </c>
      <c r="D631" s="14">
        <v>-1</v>
      </c>
      <c r="E631" s="14">
        <v>-0.2</v>
      </c>
      <c r="F631" s="14">
        <v>0</v>
      </c>
      <c r="G631" s="14">
        <v>5143834</v>
      </c>
      <c r="H631" s="28" t="s">
        <v>1073</v>
      </c>
    </row>
    <row r="632" spans="2:8" x14ac:dyDescent="0.25">
      <c r="B632" s="14" t="s">
        <v>619</v>
      </c>
      <c r="C632" s="14" t="s">
        <v>792</v>
      </c>
      <c r="D632" s="14">
        <v>-1</v>
      </c>
      <c r="E632" s="14">
        <v>-0.2</v>
      </c>
      <c r="F632" s="14">
        <v>0</v>
      </c>
      <c r="G632" s="14">
        <v>4810573</v>
      </c>
      <c r="H632" s="28" t="s">
        <v>1053</v>
      </c>
    </row>
    <row r="633" spans="2:8" x14ac:dyDescent="0.25">
      <c r="B633" s="14" t="s">
        <v>619</v>
      </c>
      <c r="C633" s="14" t="s">
        <v>792</v>
      </c>
      <c r="D633" s="14">
        <v>-1</v>
      </c>
      <c r="E633" s="14">
        <v>-0.2</v>
      </c>
      <c r="F633" s="14">
        <v>0</v>
      </c>
      <c r="G633" s="14">
        <v>4810574</v>
      </c>
      <c r="H633" s="28" t="s">
        <v>1053</v>
      </c>
    </row>
    <row r="634" spans="2:8" x14ac:dyDescent="0.25">
      <c r="B634" s="14" t="s">
        <v>622</v>
      </c>
      <c r="C634" s="14" t="s">
        <v>792</v>
      </c>
      <c r="D634" s="14">
        <v>-1</v>
      </c>
      <c r="E634" s="14">
        <v>-0.2</v>
      </c>
      <c r="F634" s="14">
        <v>0</v>
      </c>
      <c r="G634" s="14">
        <v>4810575</v>
      </c>
      <c r="H634" s="28" t="s">
        <v>1053</v>
      </c>
    </row>
    <row r="635" spans="2:8" x14ac:dyDescent="0.25">
      <c r="B635" s="14" t="s">
        <v>619</v>
      </c>
      <c r="C635" s="14" t="s">
        <v>792</v>
      </c>
      <c r="D635" s="14">
        <v>-1</v>
      </c>
      <c r="E635" s="14">
        <v>-0.2</v>
      </c>
      <c r="F635" s="14">
        <v>0</v>
      </c>
      <c r="G635" s="14">
        <v>4864497</v>
      </c>
      <c r="H635" s="28" t="s">
        <v>1053</v>
      </c>
    </row>
    <row r="636" spans="2:8" x14ac:dyDescent="0.25">
      <c r="B636" s="14" t="s">
        <v>622</v>
      </c>
      <c r="C636" s="14" t="s">
        <v>792</v>
      </c>
      <c r="D636" s="14">
        <v>-1</v>
      </c>
      <c r="E636" s="14">
        <v>-0.2</v>
      </c>
      <c r="F636" s="14">
        <v>0</v>
      </c>
      <c r="G636" s="14">
        <v>4865080</v>
      </c>
      <c r="H636" s="28" t="s">
        <v>1053</v>
      </c>
    </row>
    <row r="637" spans="2:8" x14ac:dyDescent="0.25">
      <c r="B637" s="14" t="s">
        <v>619</v>
      </c>
      <c r="C637" s="14" t="s">
        <v>792</v>
      </c>
      <c r="D637" s="14">
        <v>-1</v>
      </c>
      <c r="E637" s="14">
        <v>-0.2</v>
      </c>
      <c r="F637" s="14">
        <v>0</v>
      </c>
      <c r="G637" s="14">
        <v>4810578</v>
      </c>
      <c r="H637" s="28" t="s">
        <v>1053</v>
      </c>
    </row>
    <row r="638" spans="2:8" x14ac:dyDescent="0.25">
      <c r="B638" s="14" t="s">
        <v>622</v>
      </c>
      <c r="C638" s="14" t="s">
        <v>792</v>
      </c>
      <c r="D638" s="14">
        <v>-1</v>
      </c>
      <c r="E638" s="14">
        <v>-0.2</v>
      </c>
      <c r="F638" s="14">
        <v>0</v>
      </c>
      <c r="G638" s="14">
        <v>4865007</v>
      </c>
      <c r="H638" s="28" t="s">
        <v>1053</v>
      </c>
    </row>
    <row r="639" spans="2:8" x14ac:dyDescent="0.25">
      <c r="B639" s="14" t="s">
        <v>622</v>
      </c>
      <c r="C639" s="14" t="s">
        <v>792</v>
      </c>
      <c r="D639" s="14">
        <v>-1</v>
      </c>
      <c r="E639" s="14">
        <v>-0.2</v>
      </c>
      <c r="F639" s="14">
        <v>0</v>
      </c>
      <c r="G639" s="14">
        <v>4810581</v>
      </c>
      <c r="H639" s="28" t="s">
        <v>1053</v>
      </c>
    </row>
    <row r="640" spans="2:8" x14ac:dyDescent="0.25">
      <c r="B640" s="14" t="s">
        <v>619</v>
      </c>
      <c r="C640" s="14" t="s">
        <v>792</v>
      </c>
      <c r="D640" s="14">
        <v>-1</v>
      </c>
      <c r="E640" s="14">
        <v>-0.2</v>
      </c>
      <c r="F640" s="14">
        <v>0</v>
      </c>
      <c r="G640" s="14">
        <v>4810580</v>
      </c>
      <c r="H640" s="28" t="s">
        <v>1053</v>
      </c>
    </row>
    <row r="641" spans="2:8" x14ac:dyDescent="0.25">
      <c r="B641" s="14" t="s">
        <v>622</v>
      </c>
      <c r="C641" s="14" t="s">
        <v>792</v>
      </c>
      <c r="D641" s="14">
        <v>-1</v>
      </c>
      <c r="E641" s="14">
        <v>-0.2</v>
      </c>
      <c r="F641" s="14">
        <v>0</v>
      </c>
      <c r="G641" s="14">
        <v>4864913</v>
      </c>
      <c r="H641" s="28" t="s">
        <v>1053</v>
      </c>
    </row>
    <row r="642" spans="2:8" x14ac:dyDescent="0.25">
      <c r="B642" s="14" t="s">
        <v>622</v>
      </c>
      <c r="C642" s="14" t="s">
        <v>792</v>
      </c>
      <c r="D642" s="14">
        <v>-1</v>
      </c>
      <c r="E642" s="14">
        <v>-0.2</v>
      </c>
      <c r="F642" s="14">
        <v>0</v>
      </c>
      <c r="G642" s="14">
        <v>4864873</v>
      </c>
      <c r="H642" s="28" t="s">
        <v>1053</v>
      </c>
    </row>
    <row r="643" spans="2:8" x14ac:dyDescent="0.25">
      <c r="B643" s="14" t="s">
        <v>622</v>
      </c>
      <c r="C643" s="14" t="s">
        <v>792</v>
      </c>
      <c r="D643" s="14">
        <v>-1</v>
      </c>
      <c r="E643" s="14">
        <v>-0.2</v>
      </c>
      <c r="F643" s="14">
        <v>0</v>
      </c>
      <c r="G643" s="14">
        <v>4810583</v>
      </c>
      <c r="H643" s="28" t="s">
        <v>1053</v>
      </c>
    </row>
    <row r="644" spans="2:8" x14ac:dyDescent="0.25">
      <c r="B644" s="14" t="s">
        <v>619</v>
      </c>
      <c r="C644" s="14" t="s">
        <v>792</v>
      </c>
      <c r="D644" s="14">
        <v>-1</v>
      </c>
      <c r="E644" s="14">
        <v>-0.2</v>
      </c>
      <c r="F644" s="14">
        <v>0</v>
      </c>
      <c r="G644" s="14">
        <v>4810582</v>
      </c>
      <c r="H644" s="28" t="s">
        <v>1053</v>
      </c>
    </row>
    <row r="645" spans="2:8" x14ac:dyDescent="0.25">
      <c r="B645" s="14" t="s">
        <v>622</v>
      </c>
      <c r="C645" s="14" t="s">
        <v>792</v>
      </c>
      <c r="D645" s="14">
        <v>-1</v>
      </c>
      <c r="E645" s="14">
        <v>-0.2</v>
      </c>
      <c r="F645" s="14">
        <v>0</v>
      </c>
      <c r="G645" s="14">
        <v>4810586</v>
      </c>
      <c r="H645" s="28" t="s">
        <v>1053</v>
      </c>
    </row>
    <row r="646" spans="2:8" x14ac:dyDescent="0.25">
      <c r="B646" s="14" t="s">
        <v>622</v>
      </c>
      <c r="C646" s="14" t="s">
        <v>792</v>
      </c>
      <c r="D646" s="14">
        <v>-1</v>
      </c>
      <c r="E646" s="14">
        <v>-0.2</v>
      </c>
      <c r="F646" s="14">
        <v>0</v>
      </c>
      <c r="G646" s="14">
        <v>4810587</v>
      </c>
      <c r="H646" s="28" t="s">
        <v>1053</v>
      </c>
    </row>
    <row r="647" spans="2:8" x14ac:dyDescent="0.25">
      <c r="B647" s="14" t="s">
        <v>622</v>
      </c>
      <c r="C647" s="14" t="s">
        <v>792</v>
      </c>
      <c r="D647" s="14">
        <v>-1</v>
      </c>
      <c r="E647" s="14">
        <v>-0.2</v>
      </c>
      <c r="F647" s="14">
        <v>0</v>
      </c>
      <c r="G647" s="14">
        <v>4810589</v>
      </c>
      <c r="H647" s="28" t="s">
        <v>1053</v>
      </c>
    </row>
    <row r="648" spans="2:8" x14ac:dyDescent="0.25">
      <c r="B648" s="14" t="s">
        <v>648</v>
      </c>
      <c r="C648" s="14" t="s">
        <v>329</v>
      </c>
      <c r="D648" s="14">
        <v>0.3</v>
      </c>
      <c r="E648" s="14">
        <v>-0.9</v>
      </c>
      <c r="F648" s="14">
        <v>0</v>
      </c>
      <c r="G648" s="14">
        <v>4654648</v>
      </c>
      <c r="H648" s="28" t="s">
        <v>1053</v>
      </c>
    </row>
    <row r="649" spans="2:8" x14ac:dyDescent="0.25">
      <c r="B649" s="14" t="s">
        <v>619</v>
      </c>
      <c r="C649" s="14" t="s">
        <v>329</v>
      </c>
      <c r="D649" s="14">
        <v>0.3</v>
      </c>
      <c r="E649" s="14">
        <v>-0.9</v>
      </c>
      <c r="F649" s="14">
        <v>0</v>
      </c>
      <c r="G649" s="14">
        <v>4850687</v>
      </c>
      <c r="H649" s="28" t="s">
        <v>1053</v>
      </c>
    </row>
    <row r="650" spans="2:8" x14ac:dyDescent="0.25">
      <c r="B650" s="14" t="s">
        <v>619</v>
      </c>
      <c r="C650" s="14" t="s">
        <v>329</v>
      </c>
      <c r="D650" s="14">
        <v>0.3</v>
      </c>
      <c r="E650" s="14">
        <v>-0.9</v>
      </c>
      <c r="F650" s="14">
        <v>0</v>
      </c>
      <c r="G650" s="14">
        <v>4850688</v>
      </c>
      <c r="H650" s="28" t="s">
        <v>1053</v>
      </c>
    </row>
    <row r="651" spans="2:8" x14ac:dyDescent="0.25">
      <c r="B651" s="14" t="s">
        <v>619</v>
      </c>
      <c r="C651" s="14" t="s">
        <v>329</v>
      </c>
      <c r="D651" s="14">
        <v>0.3</v>
      </c>
      <c r="E651" s="14">
        <v>-0.9</v>
      </c>
      <c r="F651" s="14">
        <v>0</v>
      </c>
      <c r="G651" s="14">
        <v>4850689</v>
      </c>
      <c r="H651" s="28" t="s">
        <v>1053</v>
      </c>
    </row>
    <row r="652" spans="2:8" x14ac:dyDescent="0.25">
      <c r="B652" s="14" t="s">
        <v>619</v>
      </c>
      <c r="C652" s="14" t="s">
        <v>329</v>
      </c>
      <c r="D652" s="14">
        <v>0.3</v>
      </c>
      <c r="E652" s="14">
        <v>-0.9</v>
      </c>
      <c r="F652" s="14">
        <v>0</v>
      </c>
      <c r="G652" s="14">
        <v>4850690</v>
      </c>
      <c r="H652" s="28" t="s">
        <v>1053</v>
      </c>
    </row>
    <row r="653" spans="2:8" x14ac:dyDescent="0.25">
      <c r="B653" s="14" t="s">
        <v>689</v>
      </c>
      <c r="C653" s="14" t="s">
        <v>1050</v>
      </c>
      <c r="D653" s="14"/>
      <c r="E653" s="14"/>
      <c r="F653" s="14"/>
      <c r="G653" s="14"/>
    </row>
    <row r="654" spans="2:8" x14ac:dyDescent="0.25">
      <c r="B654" s="14" t="s">
        <v>621</v>
      </c>
      <c r="C654" s="14" t="s">
        <v>783</v>
      </c>
      <c r="D654" s="14">
        <v>-1</v>
      </c>
      <c r="E654" s="14">
        <v>-0.2</v>
      </c>
      <c r="F654" s="14">
        <v>0</v>
      </c>
      <c r="G654" s="14">
        <v>4913555</v>
      </c>
      <c r="H654" s="28" t="s">
        <v>1073</v>
      </c>
    </row>
    <row r="655" spans="2:8" x14ac:dyDescent="0.25">
      <c r="B655" s="14" t="s">
        <v>621</v>
      </c>
      <c r="C655" s="14" t="s">
        <v>783</v>
      </c>
      <c r="D655" s="14">
        <v>-1</v>
      </c>
      <c r="E655" s="14">
        <v>-0.2</v>
      </c>
      <c r="F655" s="14">
        <v>0</v>
      </c>
      <c r="G655" s="14">
        <v>5143656</v>
      </c>
      <c r="H655" s="28" t="s">
        <v>1073</v>
      </c>
    </row>
    <row r="656" spans="2:8" x14ac:dyDescent="0.25">
      <c r="B656" s="14" t="s">
        <v>619</v>
      </c>
      <c r="C656" s="14" t="s">
        <v>783</v>
      </c>
      <c r="D656" s="14">
        <v>-1</v>
      </c>
      <c r="E656" s="14">
        <v>-0.2</v>
      </c>
      <c r="F656" s="14">
        <v>0</v>
      </c>
      <c r="G656" s="14">
        <v>4838636</v>
      </c>
      <c r="H656" s="28" t="s">
        <v>1053</v>
      </c>
    </row>
    <row r="657" spans="2:8" x14ac:dyDescent="0.25">
      <c r="B657" s="14" t="s">
        <v>621</v>
      </c>
      <c r="C657" s="14" t="s">
        <v>783</v>
      </c>
      <c r="D657" s="14">
        <v>-1</v>
      </c>
      <c r="E657" s="14">
        <v>-0.2</v>
      </c>
      <c r="F657" s="14">
        <v>0</v>
      </c>
      <c r="G657" s="14">
        <v>5143650</v>
      </c>
      <c r="H657" s="28" t="s">
        <v>1073</v>
      </c>
    </row>
    <row r="658" spans="2:8" x14ac:dyDescent="0.25">
      <c r="B658" s="14" t="s">
        <v>619</v>
      </c>
      <c r="C658" s="14" t="s">
        <v>783</v>
      </c>
      <c r="D658" s="14">
        <v>-1</v>
      </c>
      <c r="E658" s="14">
        <v>-0.2</v>
      </c>
      <c r="F658" s="14">
        <v>0</v>
      </c>
      <c r="G658" s="14">
        <v>4838635</v>
      </c>
      <c r="H658" s="28" t="s">
        <v>1053</v>
      </c>
    </row>
    <row r="659" spans="2:8" x14ac:dyDescent="0.25">
      <c r="B659" s="14" t="s">
        <v>622</v>
      </c>
      <c r="C659" s="14" t="s">
        <v>783</v>
      </c>
      <c r="D659" s="14">
        <v>-1</v>
      </c>
      <c r="E659" s="14">
        <v>-0.2</v>
      </c>
      <c r="F659" s="14">
        <v>0</v>
      </c>
      <c r="G659" s="14">
        <v>4913554</v>
      </c>
      <c r="H659" s="28" t="s">
        <v>1053</v>
      </c>
    </row>
    <row r="660" spans="2:8" x14ac:dyDescent="0.25">
      <c r="B660" s="14" t="s">
        <v>619</v>
      </c>
      <c r="C660" s="14" t="s">
        <v>783</v>
      </c>
      <c r="D660" s="14">
        <v>-1</v>
      </c>
      <c r="E660" s="14">
        <v>-0.2</v>
      </c>
      <c r="F660" s="14">
        <v>0</v>
      </c>
      <c r="G660" s="14">
        <v>4838632</v>
      </c>
      <c r="H660" s="28" t="s">
        <v>1053</v>
      </c>
    </row>
    <row r="661" spans="2:8" x14ac:dyDescent="0.25">
      <c r="B661" s="14" t="s">
        <v>622</v>
      </c>
      <c r="C661" s="14" t="s">
        <v>783</v>
      </c>
      <c r="D661" s="14">
        <v>-1</v>
      </c>
      <c r="E661" s="14">
        <v>-0.2</v>
      </c>
      <c r="F661" s="14">
        <v>0</v>
      </c>
      <c r="G661" s="14">
        <v>4838633</v>
      </c>
      <c r="H661" s="28" t="s">
        <v>1053</v>
      </c>
    </row>
    <row r="662" spans="2:8" x14ac:dyDescent="0.25">
      <c r="B662" s="14" t="s">
        <v>619</v>
      </c>
      <c r="C662" s="14" t="s">
        <v>783</v>
      </c>
      <c r="D662" s="14">
        <v>-1</v>
      </c>
      <c r="E662" s="14">
        <v>-0.2</v>
      </c>
      <c r="F662" s="14">
        <v>0</v>
      </c>
      <c r="G662" s="14">
        <v>4838631</v>
      </c>
      <c r="H662" s="28" t="s">
        <v>1053</v>
      </c>
    </row>
    <row r="663" spans="2:8" x14ac:dyDescent="0.25">
      <c r="B663" s="14" t="s">
        <v>622</v>
      </c>
      <c r="C663" s="14" t="s">
        <v>783</v>
      </c>
      <c r="D663" s="14">
        <v>-1</v>
      </c>
      <c r="E663" s="14">
        <v>-0.2</v>
      </c>
      <c r="F663" s="14">
        <v>0</v>
      </c>
      <c r="G663" s="14">
        <v>4913553</v>
      </c>
      <c r="H663" s="28" t="s">
        <v>1053</v>
      </c>
    </row>
    <row r="664" spans="2:8" x14ac:dyDescent="0.25">
      <c r="B664" s="14" t="s">
        <v>622</v>
      </c>
      <c r="C664" s="14" t="s">
        <v>783</v>
      </c>
      <c r="D664" s="14">
        <v>-1</v>
      </c>
      <c r="E664" s="14">
        <v>-0.2</v>
      </c>
      <c r="F664" s="14">
        <v>0</v>
      </c>
      <c r="G664" s="14">
        <v>4838630</v>
      </c>
      <c r="H664" s="28" t="s">
        <v>1053</v>
      </c>
    </row>
    <row r="665" spans="2:8" x14ac:dyDescent="0.25">
      <c r="B665" s="14" t="s">
        <v>619</v>
      </c>
      <c r="C665" s="14" t="s">
        <v>783</v>
      </c>
      <c r="D665" s="14">
        <v>-1</v>
      </c>
      <c r="E665" s="14">
        <v>-0.2</v>
      </c>
      <c r="F665" s="14">
        <v>0</v>
      </c>
      <c r="G665" s="14">
        <v>4838629</v>
      </c>
      <c r="H665" s="28" t="s">
        <v>1053</v>
      </c>
    </row>
    <row r="666" spans="2:8" x14ac:dyDescent="0.25">
      <c r="B666" s="14" t="s">
        <v>622</v>
      </c>
      <c r="C666" s="14" t="s">
        <v>783</v>
      </c>
      <c r="D666" s="14">
        <v>-1</v>
      </c>
      <c r="E666" s="14">
        <v>-0.2</v>
      </c>
      <c r="F666" s="14">
        <v>0</v>
      </c>
      <c r="G666" s="14">
        <v>4838628</v>
      </c>
      <c r="H666" s="28" t="s">
        <v>1053</v>
      </c>
    </row>
    <row r="667" spans="2:8" x14ac:dyDescent="0.25">
      <c r="B667" s="14" t="s">
        <v>622</v>
      </c>
      <c r="C667" s="14" t="s">
        <v>783</v>
      </c>
      <c r="D667" s="14">
        <v>-1</v>
      </c>
      <c r="E667" s="14">
        <v>-0.2</v>
      </c>
      <c r="F667" s="14">
        <v>0</v>
      </c>
      <c r="G667" s="14">
        <v>4838627</v>
      </c>
      <c r="H667" s="28" t="s">
        <v>1053</v>
      </c>
    </row>
    <row r="668" spans="2:8" x14ac:dyDescent="0.25">
      <c r="B668" s="14" t="s">
        <v>622</v>
      </c>
      <c r="C668" s="14" t="s">
        <v>783</v>
      </c>
      <c r="D668" s="14">
        <v>-1</v>
      </c>
      <c r="E668" s="14">
        <v>-0.2</v>
      </c>
      <c r="F668" s="14">
        <v>0</v>
      </c>
      <c r="G668" s="14">
        <v>4913552</v>
      </c>
      <c r="H668" s="28" t="s">
        <v>1053</v>
      </c>
    </row>
    <row r="669" spans="2:8" x14ac:dyDescent="0.25">
      <c r="B669" s="14" t="s">
        <v>619</v>
      </c>
      <c r="C669" s="14" t="s">
        <v>783</v>
      </c>
      <c r="D669" s="14">
        <v>-1</v>
      </c>
      <c r="E669" s="14">
        <v>-0.2</v>
      </c>
      <c r="F669" s="14">
        <v>0</v>
      </c>
      <c r="G669" s="14">
        <v>4838626</v>
      </c>
      <c r="H669" s="28" t="s">
        <v>1053</v>
      </c>
    </row>
    <row r="670" spans="2:8" x14ac:dyDescent="0.25">
      <c r="B670" s="14" t="s">
        <v>622</v>
      </c>
      <c r="C670" s="14" t="s">
        <v>783</v>
      </c>
      <c r="D670" s="14">
        <v>-1</v>
      </c>
      <c r="E670" s="14">
        <v>-0.2</v>
      </c>
      <c r="F670" s="14">
        <v>0</v>
      </c>
      <c r="G670" s="14">
        <v>4838625</v>
      </c>
      <c r="H670" s="28" t="s">
        <v>1053</v>
      </c>
    </row>
    <row r="671" spans="2:8" x14ac:dyDescent="0.25">
      <c r="B671" s="14" t="s">
        <v>622</v>
      </c>
      <c r="C671" s="14" t="s">
        <v>783</v>
      </c>
      <c r="D671" s="14">
        <v>-1</v>
      </c>
      <c r="E671" s="14">
        <v>-0.2</v>
      </c>
      <c r="F671" s="14">
        <v>0</v>
      </c>
      <c r="G671" s="14">
        <v>4838641</v>
      </c>
      <c r="H671" s="28" t="s">
        <v>1053</v>
      </c>
    </row>
    <row r="672" spans="2:8" x14ac:dyDescent="0.25">
      <c r="B672" s="14" t="s">
        <v>622</v>
      </c>
      <c r="C672" s="14" t="s">
        <v>783</v>
      </c>
      <c r="D672" s="14">
        <v>-1</v>
      </c>
      <c r="E672" s="14">
        <v>-0.2</v>
      </c>
      <c r="F672" s="14">
        <v>0</v>
      </c>
      <c r="G672" s="14">
        <v>4850685</v>
      </c>
      <c r="H672" s="28" t="s">
        <v>1053</v>
      </c>
    </row>
    <row r="673" spans="2:8" x14ac:dyDescent="0.25">
      <c r="B673" s="14" t="s">
        <v>648</v>
      </c>
      <c r="C673" s="14" t="s">
        <v>329</v>
      </c>
      <c r="D673" s="14">
        <v>0.3</v>
      </c>
      <c r="E673" s="14">
        <v>-0.9</v>
      </c>
      <c r="F673" s="14">
        <v>0</v>
      </c>
      <c r="G673" s="14">
        <v>4656876</v>
      </c>
      <c r="H673" s="28" t="s">
        <v>1053</v>
      </c>
    </row>
    <row r="674" spans="2:8" x14ac:dyDescent="0.25">
      <c r="B674" s="14" t="s">
        <v>619</v>
      </c>
      <c r="C674" s="14" t="s">
        <v>329</v>
      </c>
      <c r="D674" s="14">
        <v>0.3</v>
      </c>
      <c r="E674" s="14">
        <v>-0.9</v>
      </c>
      <c r="F674" s="14">
        <v>0</v>
      </c>
      <c r="G674" s="14">
        <v>4913558</v>
      </c>
      <c r="H674" s="28" t="s">
        <v>1053</v>
      </c>
    </row>
    <row r="675" spans="2:8" x14ac:dyDescent="0.25">
      <c r="B675" s="14" t="s">
        <v>619</v>
      </c>
      <c r="C675" s="14" t="s">
        <v>329</v>
      </c>
      <c r="D675" s="14">
        <v>0.3</v>
      </c>
      <c r="E675" s="14">
        <v>-0.9</v>
      </c>
      <c r="F675" s="14">
        <v>0</v>
      </c>
      <c r="G675" s="14">
        <v>4913559</v>
      </c>
      <c r="H675" s="28" t="s">
        <v>1053</v>
      </c>
    </row>
    <row r="676" spans="2:8" x14ac:dyDescent="0.25">
      <c r="B676" s="14" t="s">
        <v>619</v>
      </c>
      <c r="C676" s="14" t="s">
        <v>329</v>
      </c>
      <c r="D676" s="14">
        <v>0.3</v>
      </c>
      <c r="E676" s="14">
        <v>-0.9</v>
      </c>
      <c r="F676" s="14">
        <v>0</v>
      </c>
      <c r="G676" s="14">
        <v>4913560</v>
      </c>
      <c r="H676" s="28" t="s">
        <v>1053</v>
      </c>
    </row>
    <row r="677" spans="2:8" x14ac:dyDescent="0.25">
      <c r="B677" s="14" t="s">
        <v>619</v>
      </c>
      <c r="C677" s="14" t="s">
        <v>329</v>
      </c>
      <c r="D677" s="14">
        <v>0.3</v>
      </c>
      <c r="E677" s="14">
        <v>-0.9</v>
      </c>
      <c r="F677" s="14">
        <v>0</v>
      </c>
      <c r="G677" s="14">
        <v>4913561</v>
      </c>
      <c r="H677" s="28" t="s">
        <v>1053</v>
      </c>
    </row>
    <row r="678" spans="2:8" x14ac:dyDescent="0.25">
      <c r="B678" s="14" t="s">
        <v>1075</v>
      </c>
      <c r="C678" s="14" t="s">
        <v>1050</v>
      </c>
      <c r="D678" s="14"/>
      <c r="E678" s="14"/>
      <c r="F678" s="14"/>
      <c r="G678" s="14"/>
    </row>
    <row r="679" spans="2:8" x14ac:dyDescent="0.25">
      <c r="B679" s="14" t="s">
        <v>621</v>
      </c>
      <c r="C679" s="14" t="s">
        <v>790</v>
      </c>
      <c r="D679" s="14">
        <v>1</v>
      </c>
      <c r="E679" s="14">
        <v>0</v>
      </c>
      <c r="F679" s="14">
        <v>0</v>
      </c>
      <c r="G679" s="14">
        <v>4913585</v>
      </c>
      <c r="H679" s="28" t="s">
        <v>1073</v>
      </c>
    </row>
    <row r="680" spans="2:8" x14ac:dyDescent="0.25">
      <c r="B680" s="14" t="s">
        <v>621</v>
      </c>
      <c r="C680" s="14" t="s">
        <v>790</v>
      </c>
      <c r="D680" s="14">
        <v>1</v>
      </c>
      <c r="E680" s="14">
        <v>0</v>
      </c>
      <c r="F680" s="14">
        <v>0</v>
      </c>
      <c r="G680" s="14">
        <v>5143383</v>
      </c>
      <c r="H680" s="28" t="s">
        <v>1073</v>
      </c>
    </row>
    <row r="681" spans="2:8" x14ac:dyDescent="0.25">
      <c r="B681" s="14" t="s">
        <v>621</v>
      </c>
      <c r="C681" s="14" t="s">
        <v>790</v>
      </c>
      <c r="D681" s="14">
        <v>1</v>
      </c>
      <c r="E681" s="14">
        <v>0</v>
      </c>
      <c r="F681" s="14">
        <v>0</v>
      </c>
      <c r="G681" s="14">
        <v>4913584</v>
      </c>
      <c r="H681" s="28" t="s">
        <v>1073</v>
      </c>
    </row>
    <row r="682" spans="2:8" x14ac:dyDescent="0.25">
      <c r="B682" s="14" t="s">
        <v>621</v>
      </c>
      <c r="C682" s="14" t="s">
        <v>790</v>
      </c>
      <c r="D682" s="14">
        <v>1</v>
      </c>
      <c r="E682" s="14">
        <v>0</v>
      </c>
      <c r="F682" s="14">
        <v>0</v>
      </c>
      <c r="G682" s="14">
        <v>5143382</v>
      </c>
      <c r="H682" s="28" t="s">
        <v>1073</v>
      </c>
    </row>
    <row r="683" spans="2:8" x14ac:dyDescent="0.25">
      <c r="B683" s="14" t="s">
        <v>621</v>
      </c>
      <c r="C683" s="14" t="s">
        <v>790</v>
      </c>
      <c r="D683" s="14">
        <v>1</v>
      </c>
      <c r="E683" s="14">
        <v>0</v>
      </c>
      <c r="F683" s="14">
        <v>0</v>
      </c>
      <c r="G683" s="14">
        <v>4913582</v>
      </c>
      <c r="H683" s="28" t="s">
        <v>1073</v>
      </c>
    </row>
    <row r="684" spans="2:8" x14ac:dyDescent="0.25">
      <c r="B684" s="14" t="s">
        <v>621</v>
      </c>
      <c r="C684" s="14" t="s">
        <v>790</v>
      </c>
      <c r="D684" s="14">
        <v>1</v>
      </c>
      <c r="E684" s="14">
        <v>0</v>
      </c>
      <c r="F684" s="14">
        <v>0</v>
      </c>
      <c r="G684" s="14">
        <v>5143380</v>
      </c>
      <c r="H684" s="28" t="s">
        <v>1073</v>
      </c>
    </row>
    <row r="685" spans="2:8" x14ac:dyDescent="0.25">
      <c r="B685" s="14" t="s">
        <v>1076</v>
      </c>
      <c r="C685" s="14" t="s">
        <v>1050</v>
      </c>
      <c r="D685" s="14"/>
      <c r="E685" s="14"/>
      <c r="F685" s="14"/>
      <c r="G685" s="14"/>
    </row>
    <row r="686" spans="2:8" x14ac:dyDescent="0.25">
      <c r="B686" s="14" t="s">
        <v>621</v>
      </c>
      <c r="C686" s="35" t="s">
        <v>790</v>
      </c>
      <c r="D686" s="35">
        <v>1</v>
      </c>
      <c r="E686" s="35">
        <v>0</v>
      </c>
      <c r="F686" s="35">
        <v>0</v>
      </c>
      <c r="G686" s="14">
        <v>4913581</v>
      </c>
      <c r="H686" s="28" t="s">
        <v>1073</v>
      </c>
    </row>
    <row r="687" spans="2:8" x14ac:dyDescent="0.25">
      <c r="B687" s="14" t="s">
        <v>621</v>
      </c>
      <c r="C687" s="35" t="s">
        <v>790</v>
      </c>
      <c r="D687" s="35">
        <v>1</v>
      </c>
      <c r="E687" s="35">
        <v>0</v>
      </c>
      <c r="F687" s="35">
        <v>0</v>
      </c>
      <c r="G687" s="14">
        <v>5143379</v>
      </c>
      <c r="H687" s="28" t="s">
        <v>1073</v>
      </c>
    </row>
    <row r="688" spans="2:8" x14ac:dyDescent="0.25">
      <c r="B688" s="14" t="s">
        <v>621</v>
      </c>
      <c r="C688" s="35" t="s">
        <v>790</v>
      </c>
      <c r="D688" s="35">
        <v>1</v>
      </c>
      <c r="E688" s="35">
        <v>0</v>
      </c>
      <c r="F688" s="35">
        <v>0</v>
      </c>
      <c r="G688" s="14">
        <v>4913580</v>
      </c>
      <c r="H688" s="28" t="s">
        <v>1073</v>
      </c>
    </row>
    <row r="689" spans="2:8" x14ac:dyDescent="0.25">
      <c r="B689" s="14" t="s">
        <v>621</v>
      </c>
      <c r="C689" s="35" t="s">
        <v>790</v>
      </c>
      <c r="D689" s="35">
        <v>1</v>
      </c>
      <c r="E689" s="35">
        <v>0</v>
      </c>
      <c r="F689" s="35">
        <v>0</v>
      </c>
      <c r="G689" s="14">
        <v>5143378</v>
      </c>
      <c r="H689" s="28" t="s">
        <v>1073</v>
      </c>
    </row>
    <row r="690" spans="2:8" x14ac:dyDescent="0.25">
      <c r="B690" s="14" t="s">
        <v>1077</v>
      </c>
      <c r="C690" s="35" t="s">
        <v>1050</v>
      </c>
      <c r="D690" s="14"/>
      <c r="E690" s="14"/>
      <c r="F690" s="14"/>
      <c r="G690" s="14"/>
    </row>
    <row r="691" spans="2:8" x14ac:dyDescent="0.25">
      <c r="B691" s="14" t="s">
        <v>621</v>
      </c>
      <c r="C691" s="35" t="s">
        <v>790</v>
      </c>
      <c r="D691" s="35">
        <v>1</v>
      </c>
      <c r="E691" s="35">
        <v>0</v>
      </c>
      <c r="F691" s="35">
        <v>0</v>
      </c>
      <c r="G691" s="14">
        <v>4913579</v>
      </c>
      <c r="H691" s="28" t="s">
        <v>1073</v>
      </c>
    </row>
    <row r="692" spans="2:8" x14ac:dyDescent="0.25">
      <c r="B692" s="14" t="s">
        <v>621</v>
      </c>
      <c r="C692" s="35" t="s">
        <v>790</v>
      </c>
      <c r="D692" s="35">
        <v>1</v>
      </c>
      <c r="E692" s="35">
        <v>0</v>
      </c>
      <c r="F692" s="35">
        <v>0</v>
      </c>
      <c r="G692" s="14">
        <v>5143377</v>
      </c>
      <c r="H692" s="28" t="s">
        <v>1073</v>
      </c>
    </row>
    <row r="693" spans="2:8" x14ac:dyDescent="0.25">
      <c r="B693" s="14" t="s">
        <v>621</v>
      </c>
      <c r="C693" s="35" t="s">
        <v>790</v>
      </c>
      <c r="D693" s="35">
        <v>1</v>
      </c>
      <c r="E693" s="35">
        <v>0</v>
      </c>
      <c r="F693" s="35">
        <v>0</v>
      </c>
      <c r="G693" s="14">
        <v>4913578</v>
      </c>
      <c r="H693" s="28" t="s">
        <v>1073</v>
      </c>
    </row>
    <row r="694" spans="2:8" x14ac:dyDescent="0.25">
      <c r="B694" s="14" t="s">
        <v>621</v>
      </c>
      <c r="C694" s="35" t="s">
        <v>790</v>
      </c>
      <c r="D694" s="35">
        <v>1</v>
      </c>
      <c r="E694" s="35">
        <v>0</v>
      </c>
      <c r="F694" s="35">
        <v>0</v>
      </c>
      <c r="G694" s="14">
        <v>5143376</v>
      </c>
      <c r="H694" s="28" t="s">
        <v>1073</v>
      </c>
    </row>
    <row r="695" spans="2:8" x14ac:dyDescent="0.25">
      <c r="B695" s="14" t="s">
        <v>621</v>
      </c>
      <c r="C695" s="35" t="s">
        <v>790</v>
      </c>
      <c r="D695" s="35">
        <v>1</v>
      </c>
      <c r="E695" s="35">
        <v>0</v>
      </c>
      <c r="F695" s="35">
        <v>0</v>
      </c>
      <c r="G695" s="14">
        <v>4913577</v>
      </c>
      <c r="H695" s="28" t="s">
        <v>1073</v>
      </c>
    </row>
    <row r="696" spans="2:8" x14ac:dyDescent="0.25">
      <c r="B696" s="14" t="s">
        <v>621</v>
      </c>
      <c r="C696" s="35" t="s">
        <v>790</v>
      </c>
      <c r="D696" s="35">
        <v>1</v>
      </c>
      <c r="E696" s="35">
        <v>0</v>
      </c>
      <c r="F696" s="35">
        <v>0</v>
      </c>
      <c r="G696" s="14">
        <v>5143375</v>
      </c>
      <c r="H696" s="28" t="s">
        <v>1073</v>
      </c>
    </row>
  </sheetData>
  <customSheetViews>
    <customSheetView guid="{561E68F6-21E3-461A-ACB1-9392AEDA3331}" topLeftCell="A603">
      <selection activeCell="B26" sqref="B26"/>
      <pageMargins left="0.7" right="0.7" top="0.75" bottom="0.75" header="0.3" footer="0.3"/>
      <pageSetup paperSize="8" orientation="portrait" verticalDpi="0" r:id="rId1"/>
    </customSheetView>
    <customSheetView guid="{2A8AA8A9-D849-43BE-B128-2DCE8081808F}" topLeftCell="A29">
      <selection activeCell="E55" sqref="E55"/>
      <pageMargins left="0.7" right="0.7" top="0.75" bottom="0.75" header="0.3" footer="0.3"/>
      <pageSetup paperSize="8" orientation="portrait" verticalDpi="0" r:id="rId2"/>
    </customSheetView>
    <customSheetView guid="{E07775A8-4E8E-4F0F-ABD4-8C1611285DFF}" topLeftCell="A603">
      <selection activeCell="B26" sqref="B26"/>
      <pageMargins left="0.7" right="0.7" top="0.75" bottom="0.75" header="0.3" footer="0.3"/>
      <pageSetup paperSize="8" orientation="portrait" verticalDpi="0" r:id="rId3"/>
    </customSheetView>
  </customSheetViews>
  <pageMargins left="0.7" right="0.7" top="0.75" bottom="0.75" header="0.3" footer="0.3"/>
  <pageSetup paperSize="8" orientation="portrait" verticalDpi="0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286"/>
  <sheetViews>
    <sheetView topLeftCell="A274" workbookViewId="0">
      <selection activeCell="A286" sqref="A286:XFD286"/>
    </sheetView>
  </sheetViews>
  <sheetFormatPr defaultRowHeight="15" x14ac:dyDescent="0.25"/>
  <cols>
    <col min="2" max="2" width="75.7109375" bestFit="1" customWidth="1"/>
  </cols>
  <sheetData>
    <row r="2" spans="2:7" x14ac:dyDescent="0.25">
      <c r="B2" t="s">
        <v>490</v>
      </c>
      <c r="C2">
        <v>1543445</v>
      </c>
    </row>
    <row r="3" spans="2:7" x14ac:dyDescent="0.25">
      <c r="B3" t="s">
        <v>31</v>
      </c>
      <c r="C3" t="s">
        <v>1</v>
      </c>
      <c r="D3">
        <v>-1</v>
      </c>
      <c r="E3">
        <v>-0.2</v>
      </c>
      <c r="F3">
        <v>0</v>
      </c>
      <c r="G3">
        <v>5288091</v>
      </c>
    </row>
    <row r="4" spans="2:7" x14ac:dyDescent="0.25">
      <c r="B4" t="s">
        <v>491</v>
      </c>
      <c r="C4">
        <v>1543449</v>
      </c>
    </row>
    <row r="5" spans="2:7" x14ac:dyDescent="0.25">
      <c r="B5" t="s">
        <v>29</v>
      </c>
      <c r="C5" t="s">
        <v>5</v>
      </c>
      <c r="D5">
        <v>0.2</v>
      </c>
      <c r="E5">
        <v>-1</v>
      </c>
      <c r="F5">
        <v>0</v>
      </c>
      <c r="G5">
        <v>6095294</v>
      </c>
    </row>
    <row r="6" spans="2:7" x14ac:dyDescent="0.25">
      <c r="B6" t="s">
        <v>492</v>
      </c>
      <c r="C6">
        <v>1543469</v>
      </c>
    </row>
    <row r="7" spans="2:7" x14ac:dyDescent="0.25">
      <c r="B7" t="s">
        <v>27</v>
      </c>
      <c r="C7" t="s">
        <v>1</v>
      </c>
      <c r="D7">
        <v>-1</v>
      </c>
      <c r="E7">
        <v>-0.2</v>
      </c>
      <c r="F7">
        <v>0</v>
      </c>
      <c r="G7">
        <v>5288342</v>
      </c>
    </row>
    <row r="8" spans="2:7" x14ac:dyDescent="0.25">
      <c r="B8" t="s">
        <v>493</v>
      </c>
      <c r="C8">
        <v>1543471</v>
      </c>
    </row>
    <row r="9" spans="2:7" x14ac:dyDescent="0.25">
      <c r="B9" t="s">
        <v>31</v>
      </c>
      <c r="C9" t="s">
        <v>2</v>
      </c>
      <c r="D9">
        <v>1</v>
      </c>
      <c r="E9">
        <v>0.2</v>
      </c>
      <c r="F9">
        <v>0</v>
      </c>
      <c r="G9">
        <v>5287398</v>
      </c>
    </row>
    <row r="10" spans="2:7" x14ac:dyDescent="0.25">
      <c r="B10" t="s">
        <v>494</v>
      </c>
      <c r="C10">
        <v>1543473</v>
      </c>
    </row>
    <row r="11" spans="2:7" x14ac:dyDescent="0.25">
      <c r="B11" t="s">
        <v>30</v>
      </c>
      <c r="C11" t="s">
        <v>2</v>
      </c>
      <c r="D11">
        <v>1</v>
      </c>
      <c r="E11">
        <v>0.2</v>
      </c>
      <c r="F11">
        <v>0</v>
      </c>
      <c r="G11">
        <v>3744527</v>
      </c>
    </row>
    <row r="12" spans="2:7" x14ac:dyDescent="0.25">
      <c r="B12" t="s">
        <v>495</v>
      </c>
      <c r="C12">
        <v>1543475</v>
      </c>
    </row>
    <row r="13" spans="2:7" x14ac:dyDescent="0.25">
      <c r="B13" t="s">
        <v>33</v>
      </c>
      <c r="C13" t="s">
        <v>6</v>
      </c>
      <c r="D13">
        <v>-0.2</v>
      </c>
      <c r="E13">
        <v>1</v>
      </c>
      <c r="F13">
        <v>0</v>
      </c>
      <c r="G13">
        <v>4813396</v>
      </c>
    </row>
    <row r="14" spans="2:7" x14ac:dyDescent="0.25">
      <c r="B14" t="s">
        <v>496</v>
      </c>
      <c r="C14">
        <v>1543477</v>
      </c>
    </row>
    <row r="15" spans="2:7" x14ac:dyDescent="0.25">
      <c r="B15" t="s">
        <v>31</v>
      </c>
      <c r="C15" t="s">
        <v>6</v>
      </c>
      <c r="D15">
        <v>-0.2</v>
      </c>
      <c r="E15">
        <v>1</v>
      </c>
      <c r="F15">
        <v>0</v>
      </c>
      <c r="G15">
        <v>4813628</v>
      </c>
    </row>
    <row r="16" spans="2:7" x14ac:dyDescent="0.25">
      <c r="B16" t="s">
        <v>497</v>
      </c>
      <c r="C16">
        <v>1543479</v>
      </c>
    </row>
    <row r="17" spans="2:7" x14ac:dyDescent="0.25">
      <c r="B17" t="s">
        <v>33</v>
      </c>
      <c r="C17" t="s">
        <v>6</v>
      </c>
      <c r="D17">
        <v>-0.2</v>
      </c>
      <c r="E17">
        <v>1</v>
      </c>
      <c r="F17">
        <v>0</v>
      </c>
      <c r="G17">
        <v>4814690</v>
      </c>
    </row>
    <row r="18" spans="2:7" x14ac:dyDescent="0.25">
      <c r="B18" t="s">
        <v>498</v>
      </c>
      <c r="C18">
        <v>1543481</v>
      </c>
    </row>
    <row r="19" spans="2:7" x14ac:dyDescent="0.25">
      <c r="B19" t="s">
        <v>27</v>
      </c>
      <c r="C19" t="s">
        <v>6</v>
      </c>
      <c r="D19">
        <v>-0.2</v>
      </c>
      <c r="E19">
        <v>1</v>
      </c>
      <c r="F19">
        <v>0</v>
      </c>
      <c r="G19">
        <v>4814715</v>
      </c>
    </row>
    <row r="20" spans="2:7" x14ac:dyDescent="0.25">
      <c r="B20" t="s">
        <v>499</v>
      </c>
      <c r="C20">
        <v>1543483</v>
      </c>
    </row>
    <row r="21" spans="2:7" x14ac:dyDescent="0.25">
      <c r="B21" t="s">
        <v>31</v>
      </c>
      <c r="C21" t="s">
        <v>6</v>
      </c>
      <c r="D21">
        <v>-0.2</v>
      </c>
      <c r="E21">
        <v>1</v>
      </c>
      <c r="F21">
        <v>0</v>
      </c>
      <c r="G21">
        <v>4814368</v>
      </c>
    </row>
    <row r="22" spans="2:7" x14ac:dyDescent="0.25">
      <c r="B22" t="s">
        <v>500</v>
      </c>
      <c r="C22">
        <v>1543485</v>
      </c>
    </row>
    <row r="23" spans="2:7" x14ac:dyDescent="0.25">
      <c r="B23" t="s">
        <v>33</v>
      </c>
      <c r="C23" t="s">
        <v>6</v>
      </c>
      <c r="D23">
        <v>-0.2</v>
      </c>
      <c r="E23">
        <v>1</v>
      </c>
      <c r="F23">
        <v>0</v>
      </c>
      <c r="G23">
        <v>4814768</v>
      </c>
    </row>
    <row r="24" spans="2:7" x14ac:dyDescent="0.25">
      <c r="B24" t="s">
        <v>502</v>
      </c>
      <c r="C24">
        <v>1543489</v>
      </c>
    </row>
    <row r="25" spans="2:7" x14ac:dyDescent="0.25">
      <c r="B25" t="s">
        <v>30</v>
      </c>
      <c r="C25" t="s">
        <v>6</v>
      </c>
      <c r="D25">
        <v>-0.2</v>
      </c>
      <c r="E25">
        <v>1</v>
      </c>
      <c r="F25">
        <v>0</v>
      </c>
      <c r="G25">
        <v>4814317</v>
      </c>
    </row>
    <row r="26" spans="2:7" x14ac:dyDescent="0.25">
      <c r="B26" t="s">
        <v>503</v>
      </c>
      <c r="C26">
        <v>1543491</v>
      </c>
    </row>
    <row r="27" spans="2:7" x14ac:dyDescent="0.25">
      <c r="B27" t="s">
        <v>31</v>
      </c>
      <c r="C27" t="s">
        <v>6</v>
      </c>
      <c r="D27">
        <v>-0.2</v>
      </c>
      <c r="E27">
        <v>1</v>
      </c>
      <c r="F27">
        <v>0</v>
      </c>
      <c r="G27">
        <v>4814849</v>
      </c>
    </row>
    <row r="28" spans="2:7" x14ac:dyDescent="0.25">
      <c r="B28" t="s">
        <v>504</v>
      </c>
      <c r="C28">
        <v>1543493</v>
      </c>
    </row>
    <row r="29" spans="2:7" x14ac:dyDescent="0.25">
      <c r="B29" t="s">
        <v>29</v>
      </c>
      <c r="C29" t="s">
        <v>5</v>
      </c>
      <c r="D29">
        <v>0.2</v>
      </c>
      <c r="E29">
        <v>-1</v>
      </c>
      <c r="F29">
        <v>0</v>
      </c>
      <c r="G29">
        <v>6095238</v>
      </c>
    </row>
    <row r="30" spans="2:7" x14ac:dyDescent="0.25">
      <c r="B30" t="s">
        <v>505</v>
      </c>
      <c r="C30">
        <v>1543495</v>
      </c>
    </row>
    <row r="31" spans="2:7" x14ac:dyDescent="0.25">
      <c r="B31" t="s">
        <v>29</v>
      </c>
      <c r="C31" t="s">
        <v>5</v>
      </c>
      <c r="D31">
        <v>0.2</v>
      </c>
      <c r="E31">
        <v>-1</v>
      </c>
      <c r="F31">
        <v>0</v>
      </c>
      <c r="G31">
        <v>6095222</v>
      </c>
    </row>
    <row r="32" spans="2:7" x14ac:dyDescent="0.25">
      <c r="B32" t="s">
        <v>506</v>
      </c>
      <c r="C32">
        <v>1543499</v>
      </c>
    </row>
    <row r="33" spans="2:7" x14ac:dyDescent="0.25">
      <c r="B33" t="s">
        <v>31</v>
      </c>
      <c r="C33" t="s">
        <v>6</v>
      </c>
      <c r="D33">
        <v>-0.2</v>
      </c>
      <c r="E33">
        <v>1</v>
      </c>
      <c r="F33">
        <v>0</v>
      </c>
      <c r="G33">
        <v>3684594</v>
      </c>
    </row>
    <row r="34" spans="2:7" x14ac:dyDescent="0.25">
      <c r="B34" t="s">
        <v>507</v>
      </c>
      <c r="C34">
        <v>1543531</v>
      </c>
    </row>
    <row r="35" spans="2:7" x14ac:dyDescent="0.25">
      <c r="B35" t="s">
        <v>43</v>
      </c>
      <c r="C35" t="s">
        <v>5</v>
      </c>
      <c r="D35">
        <v>0.2</v>
      </c>
      <c r="E35">
        <v>-1</v>
      </c>
      <c r="F35">
        <v>0</v>
      </c>
      <c r="G35">
        <v>6095320</v>
      </c>
    </row>
    <row r="36" spans="2:7" x14ac:dyDescent="0.25">
      <c r="B36" t="s">
        <v>508</v>
      </c>
      <c r="C36">
        <v>1543533</v>
      </c>
    </row>
    <row r="37" spans="2:7" x14ac:dyDescent="0.25">
      <c r="B37" t="s">
        <v>43</v>
      </c>
      <c r="C37" t="s">
        <v>5</v>
      </c>
      <c r="D37">
        <v>0.2</v>
      </c>
      <c r="E37">
        <v>-1</v>
      </c>
      <c r="F37">
        <v>0</v>
      </c>
      <c r="G37">
        <v>6095353</v>
      </c>
    </row>
    <row r="38" spans="2:7" x14ac:dyDescent="0.25">
      <c r="B38" t="s">
        <v>509</v>
      </c>
      <c r="C38">
        <v>1543543</v>
      </c>
    </row>
    <row r="39" spans="2:7" x14ac:dyDescent="0.25">
      <c r="B39" t="s">
        <v>29</v>
      </c>
      <c r="C39" t="s">
        <v>5</v>
      </c>
      <c r="D39">
        <v>0.2</v>
      </c>
      <c r="E39">
        <v>-1</v>
      </c>
      <c r="F39">
        <v>0</v>
      </c>
      <c r="G39">
        <v>6094971</v>
      </c>
    </row>
    <row r="40" spans="2:7" x14ac:dyDescent="0.25">
      <c r="B40" t="s">
        <v>510</v>
      </c>
      <c r="C40">
        <v>1543557</v>
      </c>
    </row>
    <row r="41" spans="2:7" x14ac:dyDescent="0.25">
      <c r="B41" t="s">
        <v>27</v>
      </c>
      <c r="C41" t="s">
        <v>1</v>
      </c>
      <c r="D41">
        <v>-1</v>
      </c>
      <c r="E41">
        <v>-0.2</v>
      </c>
      <c r="F41">
        <v>0</v>
      </c>
      <c r="G41">
        <v>5288139</v>
      </c>
    </row>
    <row r="42" spans="2:7" x14ac:dyDescent="0.25">
      <c r="B42" t="s">
        <v>511</v>
      </c>
      <c r="C42">
        <v>1543559</v>
      </c>
    </row>
    <row r="43" spans="2:7" x14ac:dyDescent="0.25">
      <c r="B43" t="s">
        <v>31</v>
      </c>
      <c r="C43" t="s">
        <v>6</v>
      </c>
      <c r="D43">
        <v>-0.2</v>
      </c>
      <c r="E43">
        <v>1</v>
      </c>
      <c r="F43">
        <v>0</v>
      </c>
      <c r="G43">
        <v>3684595</v>
      </c>
    </row>
    <row r="44" spans="2:7" x14ac:dyDescent="0.25">
      <c r="B44" t="s">
        <v>512</v>
      </c>
      <c r="C44">
        <v>1543751</v>
      </c>
    </row>
    <row r="45" spans="2:7" x14ac:dyDescent="0.25">
      <c r="B45" t="s">
        <v>27</v>
      </c>
      <c r="C45" t="s">
        <v>802</v>
      </c>
      <c r="D45">
        <v>-0.3</v>
      </c>
      <c r="E45">
        <v>0.9</v>
      </c>
      <c r="F45">
        <v>0</v>
      </c>
      <c r="G45">
        <v>4804991</v>
      </c>
    </row>
    <row r="46" spans="2:7" x14ac:dyDescent="0.25">
      <c r="B46" t="s">
        <v>513</v>
      </c>
      <c r="C46">
        <v>1543753</v>
      </c>
    </row>
    <row r="47" spans="2:7" x14ac:dyDescent="0.25">
      <c r="B47" t="s">
        <v>30</v>
      </c>
      <c r="C47" t="s">
        <v>802</v>
      </c>
      <c r="D47">
        <v>-0.3</v>
      </c>
      <c r="E47">
        <v>0.9</v>
      </c>
      <c r="F47">
        <v>0</v>
      </c>
      <c r="G47">
        <v>4804881</v>
      </c>
    </row>
    <row r="48" spans="2:7" x14ac:dyDescent="0.25">
      <c r="B48" t="s">
        <v>514</v>
      </c>
      <c r="C48">
        <v>1543771</v>
      </c>
    </row>
    <row r="49" spans="2:7" x14ac:dyDescent="0.25">
      <c r="B49" t="s">
        <v>27</v>
      </c>
      <c r="C49" t="s">
        <v>6</v>
      </c>
      <c r="D49">
        <v>-0.2</v>
      </c>
      <c r="E49">
        <v>1</v>
      </c>
      <c r="F49">
        <v>0</v>
      </c>
      <c r="G49">
        <v>4807048</v>
      </c>
    </row>
    <row r="50" spans="2:7" x14ac:dyDescent="0.25">
      <c r="B50" t="s">
        <v>515</v>
      </c>
      <c r="C50">
        <v>1543787</v>
      </c>
    </row>
    <row r="51" spans="2:7" x14ac:dyDescent="0.25">
      <c r="B51" t="s">
        <v>30</v>
      </c>
      <c r="C51" t="s">
        <v>6</v>
      </c>
      <c r="D51">
        <v>-0.2</v>
      </c>
      <c r="E51">
        <v>1</v>
      </c>
      <c r="F51">
        <v>0</v>
      </c>
      <c r="G51">
        <v>4807127</v>
      </c>
    </row>
    <row r="52" spans="2:7" x14ac:dyDescent="0.25">
      <c r="B52" t="s">
        <v>516</v>
      </c>
      <c r="C52">
        <v>1543789</v>
      </c>
    </row>
    <row r="53" spans="2:7" x14ac:dyDescent="0.25">
      <c r="B53" t="s">
        <v>27</v>
      </c>
      <c r="C53" t="s">
        <v>329</v>
      </c>
      <c r="D53">
        <v>0.3</v>
      </c>
      <c r="E53">
        <v>-0.9</v>
      </c>
      <c r="F53">
        <v>0</v>
      </c>
      <c r="G53">
        <v>4806321</v>
      </c>
    </row>
    <row r="54" spans="2:7" x14ac:dyDescent="0.25">
      <c r="B54" t="s">
        <v>517</v>
      </c>
      <c r="C54">
        <v>1543805</v>
      </c>
    </row>
    <row r="55" spans="2:7" s="14" customFormat="1" x14ac:dyDescent="0.25">
      <c r="B55" s="14" t="s">
        <v>1088</v>
      </c>
      <c r="C55" s="14" t="s">
        <v>804</v>
      </c>
      <c r="D55" s="14">
        <v>0.9</v>
      </c>
      <c r="E55" s="14">
        <v>0.4</v>
      </c>
      <c r="F55" s="14">
        <v>0</v>
      </c>
      <c r="G55" s="14">
        <v>5191993</v>
      </c>
    </row>
    <row r="56" spans="2:7" x14ac:dyDescent="0.25">
      <c r="B56" t="s">
        <v>805</v>
      </c>
      <c r="C56">
        <v>1543845</v>
      </c>
    </row>
    <row r="57" spans="2:7" x14ac:dyDescent="0.25">
      <c r="B57" t="s">
        <v>31</v>
      </c>
      <c r="C57" t="s">
        <v>6</v>
      </c>
      <c r="D57">
        <v>-0.2</v>
      </c>
      <c r="E57">
        <v>1</v>
      </c>
      <c r="F57">
        <v>0</v>
      </c>
      <c r="G57">
        <v>4807206</v>
      </c>
    </row>
    <row r="58" spans="2:7" x14ac:dyDescent="0.25">
      <c r="B58" t="s">
        <v>518</v>
      </c>
      <c r="C58">
        <v>1543865</v>
      </c>
    </row>
    <row r="59" spans="2:7" s="14" customFormat="1" x14ac:dyDescent="0.25">
      <c r="B59" s="14" t="s">
        <v>1088</v>
      </c>
      <c r="C59" s="14" t="s">
        <v>807</v>
      </c>
      <c r="D59" s="14">
        <v>0.9</v>
      </c>
      <c r="E59" s="14">
        <v>0.4</v>
      </c>
      <c r="F59" s="14">
        <v>0</v>
      </c>
      <c r="G59" s="14">
        <v>5191990</v>
      </c>
    </row>
    <row r="60" spans="2:7" x14ac:dyDescent="0.25">
      <c r="B60" t="s">
        <v>520</v>
      </c>
      <c r="C60">
        <v>1543883</v>
      </c>
    </row>
    <row r="61" spans="2:7" s="14" customFormat="1" x14ac:dyDescent="0.25">
      <c r="B61" s="14" t="s">
        <v>1088</v>
      </c>
      <c r="C61" s="14" t="s">
        <v>809</v>
      </c>
      <c r="D61" s="14">
        <v>0.9</v>
      </c>
      <c r="E61" s="14">
        <v>0.5</v>
      </c>
      <c r="F61" s="14">
        <v>0</v>
      </c>
      <c r="G61" s="14">
        <v>5188263</v>
      </c>
    </row>
    <row r="62" spans="2:7" x14ac:dyDescent="0.25">
      <c r="B62" t="s">
        <v>521</v>
      </c>
      <c r="C62">
        <v>1543885</v>
      </c>
    </row>
    <row r="63" spans="2:7" x14ac:dyDescent="0.25">
      <c r="B63" t="s">
        <v>27</v>
      </c>
      <c r="C63" t="s">
        <v>802</v>
      </c>
      <c r="D63">
        <v>-0.3</v>
      </c>
      <c r="E63">
        <v>0.9</v>
      </c>
      <c r="F63">
        <v>0</v>
      </c>
      <c r="G63">
        <v>4805405</v>
      </c>
    </row>
    <row r="64" spans="2:7" x14ac:dyDescent="0.25">
      <c r="B64" t="s">
        <v>30</v>
      </c>
      <c r="C64" t="s">
        <v>802</v>
      </c>
      <c r="D64">
        <v>-0.3</v>
      </c>
      <c r="E64">
        <v>0.9</v>
      </c>
      <c r="F64">
        <v>0</v>
      </c>
      <c r="G64">
        <v>4805453</v>
      </c>
    </row>
    <row r="65" spans="2:7" x14ac:dyDescent="0.25">
      <c r="B65" t="s">
        <v>523</v>
      </c>
      <c r="C65">
        <v>1543899</v>
      </c>
    </row>
    <row r="66" spans="2:7" x14ac:dyDescent="0.25">
      <c r="B66" t="s">
        <v>27</v>
      </c>
      <c r="C66" t="s">
        <v>802</v>
      </c>
      <c r="D66">
        <v>-0.3</v>
      </c>
      <c r="E66">
        <v>0.9</v>
      </c>
      <c r="F66">
        <v>0</v>
      </c>
      <c r="G66">
        <v>4805085</v>
      </c>
    </row>
    <row r="67" spans="2:7" x14ac:dyDescent="0.25">
      <c r="B67" t="s">
        <v>524</v>
      </c>
      <c r="C67">
        <v>1543901</v>
      </c>
    </row>
    <row r="68" spans="2:7" x14ac:dyDescent="0.25">
      <c r="B68" t="s">
        <v>27</v>
      </c>
      <c r="C68" t="s">
        <v>802</v>
      </c>
      <c r="D68">
        <v>-0.3</v>
      </c>
      <c r="E68">
        <v>0.9</v>
      </c>
      <c r="F68">
        <v>0</v>
      </c>
      <c r="G68">
        <v>4805235</v>
      </c>
    </row>
    <row r="69" spans="2:7" x14ac:dyDescent="0.25">
      <c r="B69" t="s">
        <v>525</v>
      </c>
      <c r="C69">
        <v>1543903</v>
      </c>
    </row>
    <row r="70" spans="2:7" x14ac:dyDescent="0.25">
      <c r="B70" t="s">
        <v>30</v>
      </c>
      <c r="C70" t="s">
        <v>802</v>
      </c>
      <c r="D70">
        <v>-0.3</v>
      </c>
      <c r="E70">
        <v>0.9</v>
      </c>
      <c r="F70">
        <v>0</v>
      </c>
      <c r="G70">
        <v>4805297</v>
      </c>
    </row>
    <row r="71" spans="2:7" x14ac:dyDescent="0.25">
      <c r="B71" t="s">
        <v>526</v>
      </c>
      <c r="C71">
        <v>1543911</v>
      </c>
    </row>
    <row r="72" spans="2:7" x14ac:dyDescent="0.25">
      <c r="B72" t="s">
        <v>31</v>
      </c>
      <c r="C72" t="s">
        <v>329</v>
      </c>
      <c r="D72">
        <v>0.3</v>
      </c>
      <c r="E72">
        <v>-0.9</v>
      </c>
      <c r="F72">
        <v>0</v>
      </c>
      <c r="G72">
        <v>4806213</v>
      </c>
    </row>
    <row r="73" spans="2:7" x14ac:dyDescent="0.25">
      <c r="B73" t="s">
        <v>527</v>
      </c>
      <c r="C73">
        <v>1543913</v>
      </c>
    </row>
    <row r="74" spans="2:7" x14ac:dyDescent="0.25">
      <c r="B74" t="s">
        <v>27</v>
      </c>
      <c r="C74" t="s">
        <v>329</v>
      </c>
      <c r="D74">
        <v>0.3</v>
      </c>
      <c r="E74">
        <v>-0.9</v>
      </c>
      <c r="F74">
        <v>0</v>
      </c>
      <c r="G74">
        <v>4806003</v>
      </c>
    </row>
    <row r="75" spans="2:7" x14ac:dyDescent="0.25">
      <c r="B75" t="s">
        <v>528</v>
      </c>
      <c r="C75">
        <v>1543915</v>
      </c>
    </row>
    <row r="76" spans="2:7" x14ac:dyDescent="0.25">
      <c r="B76" t="s">
        <v>30</v>
      </c>
      <c r="C76" t="s">
        <v>329</v>
      </c>
      <c r="D76">
        <v>0.3</v>
      </c>
      <c r="E76">
        <v>-0.9</v>
      </c>
      <c r="F76">
        <v>0</v>
      </c>
      <c r="G76">
        <v>4805915</v>
      </c>
    </row>
    <row r="77" spans="2:7" x14ac:dyDescent="0.25">
      <c r="B77" t="s">
        <v>529</v>
      </c>
      <c r="C77">
        <v>1543917</v>
      </c>
    </row>
    <row r="78" spans="2:7" x14ac:dyDescent="0.25">
      <c r="B78" t="s">
        <v>27</v>
      </c>
      <c r="C78" t="s">
        <v>329</v>
      </c>
      <c r="D78">
        <v>0.3</v>
      </c>
      <c r="E78">
        <v>-0.9</v>
      </c>
      <c r="F78">
        <v>0</v>
      </c>
      <c r="G78">
        <v>4805760</v>
      </c>
    </row>
    <row r="79" spans="2:7" x14ac:dyDescent="0.25">
      <c r="B79" t="s">
        <v>530</v>
      </c>
      <c r="C79">
        <v>1543919</v>
      </c>
    </row>
    <row r="80" spans="2:7" x14ac:dyDescent="0.25">
      <c r="B80" t="s">
        <v>27</v>
      </c>
      <c r="C80" t="s">
        <v>329</v>
      </c>
      <c r="D80">
        <v>0.3</v>
      </c>
      <c r="E80">
        <v>-0.9</v>
      </c>
      <c r="F80">
        <v>0</v>
      </c>
      <c r="G80">
        <v>4805693</v>
      </c>
    </row>
    <row r="81" spans="2:7" x14ac:dyDescent="0.25">
      <c r="B81" t="s">
        <v>531</v>
      </c>
      <c r="C81">
        <v>1543921</v>
      </c>
    </row>
    <row r="82" spans="2:7" x14ac:dyDescent="0.25">
      <c r="B82" t="s">
        <v>30</v>
      </c>
      <c r="C82" t="s">
        <v>329</v>
      </c>
      <c r="D82">
        <v>0.3</v>
      </c>
      <c r="E82">
        <v>-0.9</v>
      </c>
      <c r="F82">
        <v>0</v>
      </c>
      <c r="G82">
        <v>4805653</v>
      </c>
    </row>
    <row r="83" spans="2:7" x14ac:dyDescent="0.25">
      <c r="B83" t="s">
        <v>532</v>
      </c>
      <c r="C83">
        <v>1543927</v>
      </c>
    </row>
    <row r="84" spans="2:7" x14ac:dyDescent="0.25">
      <c r="B84" t="s">
        <v>31</v>
      </c>
      <c r="C84" t="s">
        <v>329</v>
      </c>
      <c r="D84">
        <v>0.3</v>
      </c>
      <c r="E84">
        <v>-0.9</v>
      </c>
      <c r="F84">
        <v>0</v>
      </c>
      <c r="G84">
        <v>4839221</v>
      </c>
    </row>
    <row r="85" spans="2:7" x14ac:dyDescent="0.25">
      <c r="B85" t="s">
        <v>533</v>
      </c>
      <c r="C85">
        <v>1543941</v>
      </c>
    </row>
    <row r="86" spans="2:7" x14ac:dyDescent="0.25">
      <c r="B86" t="s">
        <v>31</v>
      </c>
      <c r="C86" t="s">
        <v>6</v>
      </c>
      <c r="D86">
        <v>-0.2</v>
      </c>
      <c r="E86">
        <v>1</v>
      </c>
      <c r="F86">
        <v>0</v>
      </c>
      <c r="G86">
        <v>4806622</v>
      </c>
    </row>
    <row r="87" spans="2:7" x14ac:dyDescent="0.25">
      <c r="B87" t="s">
        <v>534</v>
      </c>
      <c r="C87">
        <v>1543943</v>
      </c>
    </row>
    <row r="88" spans="2:7" x14ac:dyDescent="0.25">
      <c r="B88" t="s">
        <v>27</v>
      </c>
      <c r="C88" t="s">
        <v>6</v>
      </c>
      <c r="D88">
        <v>-0.2</v>
      </c>
      <c r="E88">
        <v>1</v>
      </c>
      <c r="F88">
        <v>0</v>
      </c>
      <c r="G88">
        <v>4806948</v>
      </c>
    </row>
    <row r="89" spans="2:7" x14ac:dyDescent="0.25">
      <c r="B89" t="s">
        <v>535</v>
      </c>
      <c r="C89">
        <v>1543945</v>
      </c>
    </row>
    <row r="90" spans="2:7" x14ac:dyDescent="0.25">
      <c r="B90" t="s">
        <v>31</v>
      </c>
      <c r="C90" t="s">
        <v>6</v>
      </c>
      <c r="D90">
        <v>-0.2</v>
      </c>
      <c r="E90">
        <v>1</v>
      </c>
      <c r="F90">
        <v>0</v>
      </c>
      <c r="G90">
        <v>4806386</v>
      </c>
    </row>
    <row r="91" spans="2:7" x14ac:dyDescent="0.25">
      <c r="B91" t="s">
        <v>536</v>
      </c>
      <c r="C91">
        <v>1543947</v>
      </c>
    </row>
    <row r="92" spans="2:7" x14ac:dyDescent="0.25">
      <c r="B92" t="s">
        <v>27</v>
      </c>
      <c r="C92" t="s">
        <v>6</v>
      </c>
      <c r="D92">
        <v>-0.2</v>
      </c>
      <c r="E92">
        <v>1</v>
      </c>
      <c r="F92">
        <v>0</v>
      </c>
      <c r="G92">
        <v>4806491</v>
      </c>
    </row>
    <row r="93" spans="2:7" x14ac:dyDescent="0.25">
      <c r="B93" t="s">
        <v>27</v>
      </c>
      <c r="C93" t="s">
        <v>6</v>
      </c>
      <c r="D93">
        <v>-0.2</v>
      </c>
      <c r="E93">
        <v>1</v>
      </c>
      <c r="F93">
        <v>0</v>
      </c>
      <c r="G93">
        <v>4806565</v>
      </c>
    </row>
    <row r="94" spans="2:7" x14ac:dyDescent="0.25">
      <c r="B94" t="s">
        <v>537</v>
      </c>
      <c r="C94">
        <v>1543951</v>
      </c>
    </row>
    <row r="95" spans="2:7" x14ac:dyDescent="0.25">
      <c r="B95" t="s">
        <v>27</v>
      </c>
      <c r="C95" t="s">
        <v>6</v>
      </c>
      <c r="D95">
        <v>-0.2</v>
      </c>
      <c r="E95">
        <v>1</v>
      </c>
      <c r="F95">
        <v>0</v>
      </c>
      <c r="G95">
        <v>4840015</v>
      </c>
    </row>
    <row r="96" spans="2:7" x14ac:dyDescent="0.25">
      <c r="B96" t="s">
        <v>538</v>
      </c>
      <c r="C96">
        <v>1543961</v>
      </c>
    </row>
    <row r="97" spans="2:7" x14ac:dyDescent="0.25">
      <c r="B97" t="s">
        <v>31</v>
      </c>
      <c r="C97" t="s">
        <v>5</v>
      </c>
      <c r="D97">
        <v>0.2</v>
      </c>
      <c r="E97">
        <v>-1</v>
      </c>
      <c r="F97">
        <v>0</v>
      </c>
      <c r="G97">
        <v>4869218</v>
      </c>
    </row>
    <row r="98" spans="2:7" x14ac:dyDescent="0.25">
      <c r="B98" t="s">
        <v>539</v>
      </c>
      <c r="C98">
        <v>1543963</v>
      </c>
    </row>
    <row r="99" spans="2:7" x14ac:dyDescent="0.25">
      <c r="B99" t="s">
        <v>33</v>
      </c>
      <c r="C99" t="s">
        <v>5</v>
      </c>
      <c r="D99">
        <v>0.2</v>
      </c>
      <c r="E99">
        <v>-1</v>
      </c>
      <c r="F99">
        <v>0</v>
      </c>
      <c r="G99">
        <v>4868636</v>
      </c>
    </row>
    <row r="100" spans="2:7" x14ac:dyDescent="0.25">
      <c r="B100" t="s">
        <v>540</v>
      </c>
      <c r="C100">
        <v>1543965</v>
      </c>
    </row>
    <row r="101" spans="2:7" x14ac:dyDescent="0.25">
      <c r="B101" t="s">
        <v>33</v>
      </c>
      <c r="C101" t="s">
        <v>5</v>
      </c>
      <c r="D101">
        <v>0.2</v>
      </c>
      <c r="E101">
        <v>-1</v>
      </c>
      <c r="F101">
        <v>0</v>
      </c>
      <c r="G101">
        <v>4868595</v>
      </c>
    </row>
    <row r="102" spans="2:7" x14ac:dyDescent="0.25">
      <c r="B102" t="s">
        <v>541</v>
      </c>
      <c r="C102">
        <v>1543967</v>
      </c>
    </row>
    <row r="103" spans="2:7" x14ac:dyDescent="0.25">
      <c r="B103" t="s">
        <v>28</v>
      </c>
      <c r="C103" t="s">
        <v>5</v>
      </c>
      <c r="D103">
        <v>0.2</v>
      </c>
      <c r="E103">
        <v>-1</v>
      </c>
      <c r="F103">
        <v>0</v>
      </c>
      <c r="G103">
        <v>4868427</v>
      </c>
    </row>
    <row r="104" spans="2:7" x14ac:dyDescent="0.25">
      <c r="B104" t="s">
        <v>33</v>
      </c>
      <c r="C104" t="s">
        <v>5</v>
      </c>
      <c r="D104">
        <v>0.2</v>
      </c>
      <c r="E104">
        <v>-1</v>
      </c>
      <c r="F104">
        <v>0</v>
      </c>
      <c r="G104">
        <v>4868502</v>
      </c>
    </row>
    <row r="105" spans="2:7" x14ac:dyDescent="0.25">
      <c r="B105" t="s">
        <v>542</v>
      </c>
      <c r="C105">
        <v>1543969</v>
      </c>
    </row>
    <row r="106" spans="2:7" x14ac:dyDescent="0.25">
      <c r="B106" t="s">
        <v>28</v>
      </c>
      <c r="C106" t="s">
        <v>5</v>
      </c>
      <c r="D106">
        <v>0.2</v>
      </c>
      <c r="E106">
        <v>-1</v>
      </c>
      <c r="F106">
        <v>0</v>
      </c>
      <c r="G106">
        <v>4868427</v>
      </c>
    </row>
    <row r="107" spans="2:7" x14ac:dyDescent="0.25">
      <c r="B107" t="s">
        <v>543</v>
      </c>
      <c r="C107">
        <v>1543971</v>
      </c>
    </row>
    <row r="108" spans="2:7" x14ac:dyDescent="0.25">
      <c r="B108" t="s">
        <v>31</v>
      </c>
      <c r="C108" t="s">
        <v>5</v>
      </c>
      <c r="D108">
        <v>0.2</v>
      </c>
      <c r="E108">
        <v>-1</v>
      </c>
      <c r="F108">
        <v>0</v>
      </c>
      <c r="G108">
        <v>4868366</v>
      </c>
    </row>
    <row r="109" spans="2:7" x14ac:dyDescent="0.25">
      <c r="B109" t="s">
        <v>544</v>
      </c>
      <c r="C109">
        <v>1543973</v>
      </c>
    </row>
    <row r="110" spans="2:7" x14ac:dyDescent="0.25">
      <c r="B110" t="s">
        <v>33</v>
      </c>
      <c r="C110" t="s">
        <v>5</v>
      </c>
      <c r="D110">
        <v>0.2</v>
      </c>
      <c r="E110">
        <v>-1</v>
      </c>
      <c r="F110">
        <v>0</v>
      </c>
      <c r="G110">
        <v>4868309</v>
      </c>
    </row>
    <row r="111" spans="2:7" x14ac:dyDescent="0.25">
      <c r="B111" t="s">
        <v>545</v>
      </c>
      <c r="C111">
        <v>1543975</v>
      </c>
    </row>
    <row r="112" spans="2:7" x14ac:dyDescent="0.25">
      <c r="B112" t="s">
        <v>30</v>
      </c>
      <c r="C112" t="s">
        <v>5</v>
      </c>
      <c r="D112">
        <v>0.2</v>
      </c>
      <c r="E112">
        <v>-1</v>
      </c>
      <c r="F112">
        <v>0</v>
      </c>
      <c r="G112">
        <v>4865749</v>
      </c>
    </row>
    <row r="113" spans="2:7" x14ac:dyDescent="0.25">
      <c r="B113" t="s">
        <v>546</v>
      </c>
      <c r="C113">
        <v>1544018</v>
      </c>
    </row>
    <row r="114" spans="2:7" s="14" customFormat="1" x14ac:dyDescent="0.25">
      <c r="B114" s="14" t="s">
        <v>1088</v>
      </c>
      <c r="C114" s="14" t="s">
        <v>811</v>
      </c>
      <c r="D114" s="14">
        <v>1</v>
      </c>
      <c r="E114" s="14">
        <v>0.3</v>
      </c>
      <c r="F114" s="14">
        <v>0</v>
      </c>
      <c r="G114" s="14">
        <v>5193960</v>
      </c>
    </row>
    <row r="115" spans="2:7" x14ac:dyDescent="0.25">
      <c r="B115" t="s">
        <v>548</v>
      </c>
      <c r="C115">
        <v>1544034</v>
      </c>
    </row>
    <row r="116" spans="2:7" s="14" customFormat="1" x14ac:dyDescent="0.25">
      <c r="B116" s="14" t="s">
        <v>1088</v>
      </c>
      <c r="C116" s="14" t="s">
        <v>812</v>
      </c>
      <c r="D116" s="14">
        <v>0.8</v>
      </c>
      <c r="E116" s="14">
        <v>0.6</v>
      </c>
      <c r="F116" s="14">
        <v>0</v>
      </c>
      <c r="G116" s="14">
        <v>6536955</v>
      </c>
    </row>
    <row r="117" spans="2:7" x14ac:dyDescent="0.25">
      <c r="B117" t="s">
        <v>550</v>
      </c>
      <c r="C117">
        <v>1544348</v>
      </c>
    </row>
    <row r="118" spans="2:7" s="14" customFormat="1" x14ac:dyDescent="0.25">
      <c r="B118" s="14" t="s">
        <v>1088</v>
      </c>
      <c r="C118" s="14" t="s">
        <v>813</v>
      </c>
      <c r="D118" s="14">
        <v>0.9</v>
      </c>
      <c r="E118" s="14">
        <v>0.4</v>
      </c>
      <c r="F118" s="14">
        <v>0</v>
      </c>
      <c r="G118" s="14">
        <v>5191994</v>
      </c>
    </row>
    <row r="119" spans="2:7" x14ac:dyDescent="0.25">
      <c r="B119" t="s">
        <v>552</v>
      </c>
      <c r="C119">
        <v>1544445</v>
      </c>
    </row>
    <row r="120" spans="2:7" x14ac:dyDescent="0.25">
      <c r="B120" t="s">
        <v>814</v>
      </c>
      <c r="C120" t="s">
        <v>815</v>
      </c>
      <c r="D120">
        <v>-0.5</v>
      </c>
      <c r="E120">
        <v>0.8</v>
      </c>
      <c r="F120">
        <v>0</v>
      </c>
      <c r="G120">
        <v>7067624</v>
      </c>
    </row>
    <row r="121" spans="2:7" s="14" customFormat="1" x14ac:dyDescent="0.25">
      <c r="B121" s="14" t="s">
        <v>1087</v>
      </c>
      <c r="C121" s="14" t="s">
        <v>815</v>
      </c>
      <c r="D121" s="14">
        <v>-0.5</v>
      </c>
      <c r="E121" s="14">
        <v>0.8</v>
      </c>
      <c r="F121" s="14">
        <v>0</v>
      </c>
      <c r="G121" s="14" t="s">
        <v>1089</v>
      </c>
    </row>
    <row r="122" spans="2:7" x14ac:dyDescent="0.25">
      <c r="B122" t="s">
        <v>553</v>
      </c>
      <c r="C122">
        <v>1544447</v>
      </c>
    </row>
    <row r="123" spans="2:7" s="14" customFormat="1" x14ac:dyDescent="0.25">
      <c r="B123" s="14" t="s">
        <v>1088</v>
      </c>
      <c r="C123" s="14" t="s">
        <v>816</v>
      </c>
      <c r="D123" s="14">
        <v>0.9</v>
      </c>
      <c r="E123" s="14">
        <v>0.5</v>
      </c>
      <c r="F123" s="14">
        <v>0</v>
      </c>
      <c r="G123" s="14">
        <v>5183462</v>
      </c>
    </row>
    <row r="124" spans="2:7" x14ac:dyDescent="0.25">
      <c r="B124" t="s">
        <v>555</v>
      </c>
      <c r="C124">
        <v>1544513</v>
      </c>
    </row>
    <row r="125" spans="2:7" x14ac:dyDescent="0.25">
      <c r="B125" t="s">
        <v>814</v>
      </c>
      <c r="C125" t="s">
        <v>815</v>
      </c>
      <c r="D125">
        <v>-0.5</v>
      </c>
      <c r="E125">
        <v>0.8</v>
      </c>
      <c r="F125">
        <v>0</v>
      </c>
      <c r="G125">
        <v>7067601</v>
      </c>
    </row>
    <row r="126" spans="2:7" s="14" customFormat="1" x14ac:dyDescent="0.25">
      <c r="B126" s="14" t="s">
        <v>1087</v>
      </c>
      <c r="C126" s="14" t="s">
        <v>815</v>
      </c>
      <c r="D126" s="14">
        <v>-0.5</v>
      </c>
      <c r="E126" s="14">
        <v>0.8</v>
      </c>
      <c r="F126" s="14">
        <v>0</v>
      </c>
      <c r="G126" s="14" t="s">
        <v>1089</v>
      </c>
    </row>
    <row r="127" spans="2:7" x14ac:dyDescent="0.25">
      <c r="B127" t="s">
        <v>556</v>
      </c>
      <c r="C127">
        <v>1544515</v>
      </c>
    </row>
    <row r="128" spans="2:7" x14ac:dyDescent="0.25">
      <c r="B128" t="s">
        <v>814</v>
      </c>
      <c r="C128" t="s">
        <v>815</v>
      </c>
      <c r="D128">
        <v>-0.5</v>
      </c>
      <c r="E128">
        <v>0.8</v>
      </c>
      <c r="F128">
        <v>0</v>
      </c>
      <c r="G128">
        <v>7067541</v>
      </c>
    </row>
    <row r="129" spans="2:7" s="14" customFormat="1" x14ac:dyDescent="0.25">
      <c r="B129" s="14" t="s">
        <v>1087</v>
      </c>
      <c r="C129" s="14" t="s">
        <v>815</v>
      </c>
      <c r="D129" s="14">
        <v>-0.5</v>
      </c>
      <c r="E129" s="14">
        <v>0.8</v>
      </c>
      <c r="F129" s="14">
        <v>0</v>
      </c>
      <c r="G129" s="14" t="s">
        <v>1089</v>
      </c>
    </row>
    <row r="130" spans="2:7" x14ac:dyDescent="0.25">
      <c r="B130" t="s">
        <v>557</v>
      </c>
      <c r="C130">
        <v>1544517</v>
      </c>
    </row>
    <row r="131" spans="2:7" x14ac:dyDescent="0.25">
      <c r="B131" t="s">
        <v>814</v>
      </c>
      <c r="C131" t="s">
        <v>815</v>
      </c>
      <c r="D131">
        <v>-0.5</v>
      </c>
      <c r="E131">
        <v>0.8</v>
      </c>
      <c r="F131">
        <v>0</v>
      </c>
      <c r="G131">
        <v>7067489</v>
      </c>
    </row>
    <row r="132" spans="2:7" s="14" customFormat="1" x14ac:dyDescent="0.25">
      <c r="B132" s="14" t="s">
        <v>1087</v>
      </c>
      <c r="C132" s="14" t="s">
        <v>815</v>
      </c>
      <c r="D132" s="14">
        <v>-0.5</v>
      </c>
      <c r="E132" s="14">
        <v>0.8</v>
      </c>
      <c r="F132" s="14">
        <v>0</v>
      </c>
      <c r="G132" s="14" t="s">
        <v>1089</v>
      </c>
    </row>
    <row r="133" spans="2:7" x14ac:dyDescent="0.25">
      <c r="B133" t="s">
        <v>558</v>
      </c>
      <c r="C133">
        <v>1544519</v>
      </c>
    </row>
    <row r="134" spans="2:7" x14ac:dyDescent="0.25">
      <c r="B134" t="s">
        <v>814</v>
      </c>
      <c r="C134" t="s">
        <v>815</v>
      </c>
      <c r="D134">
        <v>-0.5</v>
      </c>
      <c r="E134">
        <v>0.8</v>
      </c>
      <c r="F134">
        <v>0</v>
      </c>
      <c r="G134">
        <v>7067445</v>
      </c>
    </row>
    <row r="135" spans="2:7" s="14" customFormat="1" x14ac:dyDescent="0.25">
      <c r="B135" s="14" t="s">
        <v>1087</v>
      </c>
      <c r="C135" s="14" t="s">
        <v>815</v>
      </c>
      <c r="D135" s="14">
        <v>-0.5</v>
      </c>
      <c r="E135" s="14">
        <v>0.8</v>
      </c>
      <c r="F135" s="14">
        <v>0</v>
      </c>
      <c r="G135" s="14" t="s">
        <v>1089</v>
      </c>
    </row>
    <row r="136" spans="2:7" x14ac:dyDescent="0.25">
      <c r="B136" t="s">
        <v>559</v>
      </c>
      <c r="C136">
        <v>1544521</v>
      </c>
    </row>
    <row r="137" spans="2:7" x14ac:dyDescent="0.25">
      <c r="B137" t="s">
        <v>27</v>
      </c>
      <c r="C137" t="s">
        <v>42</v>
      </c>
      <c r="D137">
        <v>0.5</v>
      </c>
      <c r="E137">
        <v>-0.8</v>
      </c>
      <c r="F137">
        <v>0</v>
      </c>
      <c r="G137">
        <v>4709846</v>
      </c>
    </row>
    <row r="138" spans="2:7" x14ac:dyDescent="0.25">
      <c r="B138" t="s">
        <v>34</v>
      </c>
      <c r="C138" t="s">
        <v>42</v>
      </c>
      <c r="D138">
        <v>0.5</v>
      </c>
      <c r="E138">
        <v>-0.8</v>
      </c>
      <c r="F138">
        <v>0</v>
      </c>
      <c r="G138">
        <v>4710845</v>
      </c>
    </row>
    <row r="139" spans="2:7" x14ac:dyDescent="0.25">
      <c r="B139" t="s">
        <v>560</v>
      </c>
      <c r="C139">
        <v>1544523</v>
      </c>
    </row>
    <row r="140" spans="2:7" x14ac:dyDescent="0.25">
      <c r="B140" t="s">
        <v>814</v>
      </c>
      <c r="C140" t="s">
        <v>42</v>
      </c>
      <c r="D140">
        <v>0.5</v>
      </c>
      <c r="E140">
        <v>-0.8</v>
      </c>
      <c r="F140">
        <v>0</v>
      </c>
      <c r="G140">
        <v>7067215</v>
      </c>
    </row>
    <row r="141" spans="2:7" s="14" customFormat="1" x14ac:dyDescent="0.25">
      <c r="B141" s="14" t="s">
        <v>1087</v>
      </c>
      <c r="C141" s="14" t="s">
        <v>815</v>
      </c>
      <c r="D141" s="14">
        <v>-0.5</v>
      </c>
      <c r="E141" s="14">
        <v>0.8</v>
      </c>
      <c r="F141" s="14">
        <v>0</v>
      </c>
      <c r="G141" s="14" t="s">
        <v>1089</v>
      </c>
    </row>
    <row r="142" spans="2:7" x14ac:dyDescent="0.25">
      <c r="B142" t="s">
        <v>561</v>
      </c>
      <c r="C142">
        <v>1544525</v>
      </c>
    </row>
    <row r="143" spans="2:7" x14ac:dyDescent="0.25">
      <c r="B143" t="s">
        <v>814</v>
      </c>
      <c r="C143" t="s">
        <v>42</v>
      </c>
      <c r="D143">
        <v>0.5</v>
      </c>
      <c r="E143">
        <v>-0.8</v>
      </c>
      <c r="F143">
        <v>0</v>
      </c>
      <c r="G143">
        <v>7067153</v>
      </c>
    </row>
    <row r="144" spans="2:7" s="14" customFormat="1" x14ac:dyDescent="0.25">
      <c r="B144" s="14" t="s">
        <v>1087</v>
      </c>
      <c r="C144" s="14" t="s">
        <v>815</v>
      </c>
      <c r="D144" s="14">
        <v>-0.5</v>
      </c>
      <c r="E144" s="14">
        <v>0.8</v>
      </c>
      <c r="F144" s="14">
        <v>0</v>
      </c>
      <c r="G144" s="14" t="s">
        <v>1089</v>
      </c>
    </row>
    <row r="145" spans="2:7" x14ac:dyDescent="0.25">
      <c r="B145" t="s">
        <v>562</v>
      </c>
      <c r="C145">
        <v>1544527</v>
      </c>
    </row>
    <row r="146" spans="2:7" x14ac:dyDescent="0.25">
      <c r="B146" t="s">
        <v>34</v>
      </c>
      <c r="C146" t="s">
        <v>42</v>
      </c>
      <c r="D146">
        <v>0.5</v>
      </c>
      <c r="E146">
        <v>-0.8</v>
      </c>
      <c r="F146">
        <v>0</v>
      </c>
      <c r="G146">
        <v>4716594</v>
      </c>
    </row>
    <row r="147" spans="2:7" x14ac:dyDescent="0.25">
      <c r="B147" t="s">
        <v>563</v>
      </c>
      <c r="C147">
        <v>1544537</v>
      </c>
    </row>
    <row r="148" spans="2:7" x14ac:dyDescent="0.25">
      <c r="B148" t="s">
        <v>34</v>
      </c>
      <c r="C148" t="s">
        <v>817</v>
      </c>
      <c r="D148">
        <v>-0.4</v>
      </c>
      <c r="E148">
        <v>0.9</v>
      </c>
      <c r="F148">
        <v>0</v>
      </c>
      <c r="G148">
        <v>4779506</v>
      </c>
    </row>
    <row r="149" spans="2:7" x14ac:dyDescent="0.25">
      <c r="B149" t="s">
        <v>564</v>
      </c>
      <c r="C149">
        <v>1544539</v>
      </c>
    </row>
    <row r="150" spans="2:7" x14ac:dyDescent="0.25">
      <c r="B150" t="s">
        <v>814</v>
      </c>
      <c r="C150" t="s">
        <v>817</v>
      </c>
      <c r="D150">
        <v>-0.4</v>
      </c>
      <c r="E150">
        <v>0.9</v>
      </c>
      <c r="F150">
        <v>0</v>
      </c>
      <c r="G150">
        <v>7066972</v>
      </c>
    </row>
    <row r="151" spans="2:7" s="14" customFormat="1" x14ac:dyDescent="0.25">
      <c r="B151" s="14" t="s">
        <v>1087</v>
      </c>
      <c r="C151" s="14" t="s">
        <v>815</v>
      </c>
      <c r="D151">
        <v>-0.4</v>
      </c>
      <c r="E151">
        <v>0.9</v>
      </c>
      <c r="F151">
        <v>0</v>
      </c>
      <c r="G151" s="14" t="s">
        <v>1089</v>
      </c>
    </row>
    <row r="152" spans="2:7" x14ac:dyDescent="0.25">
      <c r="B152" t="s">
        <v>565</v>
      </c>
      <c r="C152">
        <v>1544541</v>
      </c>
    </row>
    <row r="153" spans="2:7" x14ac:dyDescent="0.25">
      <c r="B153" t="s">
        <v>814</v>
      </c>
      <c r="C153" t="s">
        <v>817</v>
      </c>
      <c r="D153">
        <v>-0.4</v>
      </c>
      <c r="E153">
        <v>0.9</v>
      </c>
      <c r="F153">
        <v>0</v>
      </c>
      <c r="G153">
        <v>7066928</v>
      </c>
    </row>
    <row r="154" spans="2:7" s="14" customFormat="1" x14ac:dyDescent="0.25">
      <c r="B154" s="14" t="s">
        <v>1087</v>
      </c>
      <c r="C154" s="14" t="s">
        <v>815</v>
      </c>
      <c r="D154">
        <v>-0.4</v>
      </c>
      <c r="E154">
        <v>0.9</v>
      </c>
      <c r="F154">
        <v>0</v>
      </c>
      <c r="G154" s="14" t="s">
        <v>1089</v>
      </c>
    </row>
    <row r="155" spans="2:7" x14ac:dyDescent="0.25">
      <c r="B155" t="s">
        <v>566</v>
      </c>
      <c r="C155">
        <v>1544543</v>
      </c>
    </row>
    <row r="156" spans="2:7" x14ac:dyDescent="0.25">
      <c r="B156" t="s">
        <v>814</v>
      </c>
      <c r="C156" t="s">
        <v>817</v>
      </c>
      <c r="D156">
        <v>-0.4</v>
      </c>
      <c r="E156">
        <v>0.9</v>
      </c>
      <c r="F156">
        <v>0</v>
      </c>
      <c r="G156">
        <v>7066896</v>
      </c>
    </row>
    <row r="157" spans="2:7" s="14" customFormat="1" x14ac:dyDescent="0.25">
      <c r="B157" s="14" t="s">
        <v>1087</v>
      </c>
      <c r="C157" s="14" t="s">
        <v>815</v>
      </c>
      <c r="D157">
        <v>-0.4</v>
      </c>
      <c r="E157">
        <v>0.9</v>
      </c>
      <c r="F157">
        <v>0</v>
      </c>
      <c r="G157" s="14" t="s">
        <v>1089</v>
      </c>
    </row>
    <row r="158" spans="2:7" x14ac:dyDescent="0.25">
      <c r="B158" t="s">
        <v>567</v>
      </c>
      <c r="C158">
        <v>1544545</v>
      </c>
    </row>
    <row r="159" spans="2:7" x14ac:dyDescent="0.25">
      <c r="B159" t="s">
        <v>814</v>
      </c>
      <c r="C159" t="s">
        <v>327</v>
      </c>
      <c r="D159">
        <v>0.4</v>
      </c>
      <c r="E159">
        <v>-0.9</v>
      </c>
      <c r="F159">
        <v>0</v>
      </c>
      <c r="G159">
        <v>7066581</v>
      </c>
    </row>
    <row r="160" spans="2:7" s="14" customFormat="1" x14ac:dyDescent="0.25">
      <c r="B160" s="14" t="s">
        <v>1087</v>
      </c>
      <c r="C160" s="14" t="s">
        <v>815</v>
      </c>
      <c r="D160">
        <v>-0.4</v>
      </c>
      <c r="E160">
        <v>0.9</v>
      </c>
      <c r="F160">
        <v>0</v>
      </c>
      <c r="G160" s="14" t="s">
        <v>1089</v>
      </c>
    </row>
    <row r="161" spans="2:8" x14ac:dyDescent="0.25">
      <c r="B161" t="s">
        <v>568</v>
      </c>
      <c r="C161">
        <v>1544547</v>
      </c>
    </row>
    <row r="162" spans="2:8" x14ac:dyDescent="0.25">
      <c r="B162" t="s">
        <v>814</v>
      </c>
      <c r="C162" t="s">
        <v>327</v>
      </c>
      <c r="D162">
        <v>0.4</v>
      </c>
      <c r="E162">
        <v>-0.9</v>
      </c>
      <c r="F162">
        <v>0</v>
      </c>
      <c r="G162">
        <v>7066596</v>
      </c>
    </row>
    <row r="163" spans="2:8" s="14" customFormat="1" x14ac:dyDescent="0.25">
      <c r="B163" s="14" t="s">
        <v>1087</v>
      </c>
      <c r="C163" s="14" t="s">
        <v>815</v>
      </c>
      <c r="D163">
        <v>-0.4</v>
      </c>
      <c r="E163">
        <v>0.9</v>
      </c>
      <c r="F163">
        <v>0</v>
      </c>
      <c r="G163" s="14" t="s">
        <v>1089</v>
      </c>
    </row>
    <row r="164" spans="2:8" x14ac:dyDescent="0.25">
      <c r="B164" t="s">
        <v>569</v>
      </c>
      <c r="C164">
        <v>1544549</v>
      </c>
    </row>
    <row r="165" spans="2:8" x14ac:dyDescent="0.25">
      <c r="B165" t="s">
        <v>814</v>
      </c>
      <c r="C165" t="s">
        <v>327</v>
      </c>
      <c r="D165">
        <v>0.4</v>
      </c>
      <c r="E165">
        <v>-0.9</v>
      </c>
      <c r="F165">
        <v>0</v>
      </c>
      <c r="G165">
        <v>7066647</v>
      </c>
    </row>
    <row r="166" spans="2:8" s="14" customFormat="1" x14ac:dyDescent="0.25">
      <c r="B166" s="14" t="s">
        <v>1087</v>
      </c>
      <c r="C166" s="14" t="s">
        <v>815</v>
      </c>
      <c r="D166">
        <v>-0.4</v>
      </c>
      <c r="E166">
        <v>0.9</v>
      </c>
      <c r="F166">
        <v>0</v>
      </c>
      <c r="G166" s="14" t="s">
        <v>1089</v>
      </c>
    </row>
    <row r="167" spans="2:8" x14ac:dyDescent="0.25">
      <c r="B167" t="s">
        <v>570</v>
      </c>
      <c r="C167">
        <v>1544551</v>
      </c>
    </row>
    <row r="168" spans="2:8" x14ac:dyDescent="0.25">
      <c r="B168" t="s">
        <v>814</v>
      </c>
      <c r="C168" t="s">
        <v>815</v>
      </c>
      <c r="D168">
        <v>-0.5</v>
      </c>
      <c r="E168">
        <v>0.8</v>
      </c>
      <c r="F168">
        <v>0</v>
      </c>
      <c r="G168">
        <v>7067924</v>
      </c>
      <c r="H168" t="s">
        <v>814</v>
      </c>
    </row>
    <row r="169" spans="2:8" x14ac:dyDescent="0.25">
      <c r="B169" s="14" t="s">
        <v>1087</v>
      </c>
      <c r="C169" t="s">
        <v>815</v>
      </c>
      <c r="D169">
        <v>-0.5</v>
      </c>
      <c r="E169">
        <v>0.8</v>
      </c>
      <c r="F169">
        <v>0</v>
      </c>
      <c r="G169" t="s">
        <v>1089</v>
      </c>
    </row>
    <row r="170" spans="2:8" x14ac:dyDescent="0.25">
      <c r="B170" t="s">
        <v>571</v>
      </c>
      <c r="C170">
        <v>1544553</v>
      </c>
    </row>
    <row r="171" spans="2:8" x14ac:dyDescent="0.25">
      <c r="B171" t="s">
        <v>814</v>
      </c>
      <c r="C171" t="s">
        <v>327</v>
      </c>
      <c r="D171">
        <v>0.4</v>
      </c>
      <c r="E171">
        <v>-0.9</v>
      </c>
      <c r="F171">
        <v>0</v>
      </c>
      <c r="G171">
        <v>7066700</v>
      </c>
    </row>
    <row r="172" spans="2:8" s="14" customFormat="1" x14ac:dyDescent="0.25">
      <c r="B172" s="14" t="s">
        <v>1087</v>
      </c>
      <c r="C172" s="14" t="s">
        <v>815</v>
      </c>
      <c r="D172">
        <v>-0.4</v>
      </c>
      <c r="E172">
        <v>0.9</v>
      </c>
      <c r="F172">
        <v>0</v>
      </c>
      <c r="G172" s="14" t="s">
        <v>1089</v>
      </c>
    </row>
    <row r="173" spans="2:8" x14ac:dyDescent="0.25">
      <c r="B173" t="s">
        <v>818</v>
      </c>
      <c r="C173">
        <v>1544802</v>
      </c>
    </row>
    <row r="174" spans="2:8" s="14" customFormat="1" x14ac:dyDescent="0.25">
      <c r="B174" s="14" t="s">
        <v>1088</v>
      </c>
      <c r="C174" s="14" t="s">
        <v>5</v>
      </c>
      <c r="D174" s="14">
        <v>0.2</v>
      </c>
      <c r="E174" s="14">
        <v>-1</v>
      </c>
      <c r="F174" s="14">
        <v>0</v>
      </c>
      <c r="G174" s="14">
        <v>4865750</v>
      </c>
    </row>
    <row r="175" spans="2:8" x14ac:dyDescent="0.25">
      <c r="B175" t="s">
        <v>573</v>
      </c>
      <c r="C175">
        <v>1544810</v>
      </c>
    </row>
    <row r="176" spans="2:8" x14ac:dyDescent="0.25">
      <c r="B176" t="s">
        <v>33</v>
      </c>
      <c r="C176" t="s">
        <v>5</v>
      </c>
      <c r="D176">
        <v>0.2</v>
      </c>
      <c r="E176">
        <v>-1</v>
      </c>
      <c r="F176">
        <v>0</v>
      </c>
      <c r="G176">
        <v>4869553</v>
      </c>
    </row>
    <row r="177" spans="2:9" x14ac:dyDescent="0.25">
      <c r="B177" t="s">
        <v>28</v>
      </c>
      <c r="C177" t="s">
        <v>5</v>
      </c>
      <c r="D177">
        <v>0.2</v>
      </c>
      <c r="E177">
        <v>-1</v>
      </c>
      <c r="F177">
        <v>0</v>
      </c>
      <c r="G177">
        <v>4869608</v>
      </c>
    </row>
    <row r="178" spans="2:9" x14ac:dyDescent="0.25">
      <c r="B178" t="s">
        <v>574</v>
      </c>
      <c r="C178">
        <v>1544812</v>
      </c>
    </row>
    <row r="179" spans="2:9" x14ac:dyDescent="0.25">
      <c r="B179" t="s">
        <v>30</v>
      </c>
      <c r="C179" t="s">
        <v>5</v>
      </c>
      <c r="D179">
        <v>0.2</v>
      </c>
      <c r="E179">
        <v>-1</v>
      </c>
      <c r="F179">
        <v>0</v>
      </c>
      <c r="G179">
        <v>4865750</v>
      </c>
    </row>
    <row r="180" spans="2:9" x14ac:dyDescent="0.25">
      <c r="B180" t="s">
        <v>575</v>
      </c>
      <c r="C180">
        <v>1544818</v>
      </c>
    </row>
    <row r="181" spans="2:9" x14ac:dyDescent="0.25">
      <c r="B181" s="26" t="s">
        <v>1072</v>
      </c>
      <c r="C181" s="26" t="s">
        <v>819</v>
      </c>
      <c r="D181" s="26">
        <v>1</v>
      </c>
      <c r="E181" s="26">
        <v>0.2</v>
      </c>
      <c r="F181" s="26">
        <v>0</v>
      </c>
      <c r="G181" s="26">
        <v>5193961</v>
      </c>
      <c r="H181" t="s">
        <v>1071</v>
      </c>
      <c r="I181" t="s">
        <v>806</v>
      </c>
    </row>
    <row r="182" spans="2:9" x14ac:dyDescent="0.25">
      <c r="B182" s="26" t="s">
        <v>1072</v>
      </c>
      <c r="C182" s="26" t="s">
        <v>820</v>
      </c>
      <c r="D182" s="26">
        <v>1</v>
      </c>
      <c r="E182" s="26">
        <v>0.2</v>
      </c>
      <c r="F182" s="26">
        <v>0</v>
      </c>
      <c r="G182" s="26">
        <v>6535160</v>
      </c>
      <c r="H182" t="s">
        <v>1071</v>
      </c>
      <c r="I182" t="s">
        <v>803</v>
      </c>
    </row>
    <row r="183" spans="2:9" x14ac:dyDescent="0.25">
      <c r="B183" t="s">
        <v>576</v>
      </c>
      <c r="C183">
        <v>1544840</v>
      </c>
    </row>
    <row r="184" spans="2:9" s="14" customFormat="1" x14ac:dyDescent="0.25">
      <c r="B184" s="14" t="s">
        <v>1088</v>
      </c>
      <c r="C184" s="14" t="s">
        <v>819</v>
      </c>
      <c r="D184" s="14">
        <v>1</v>
      </c>
      <c r="E184" s="14">
        <v>0.2</v>
      </c>
      <c r="F184" s="14">
        <v>0</v>
      </c>
      <c r="G184" s="14">
        <v>5193961</v>
      </c>
      <c r="H184" s="14" t="s">
        <v>806</v>
      </c>
    </row>
    <row r="185" spans="2:9" x14ac:dyDescent="0.25">
      <c r="B185" t="s">
        <v>577</v>
      </c>
      <c r="C185">
        <v>1544842</v>
      </c>
    </row>
    <row r="186" spans="2:9" x14ac:dyDescent="0.25">
      <c r="B186" t="s">
        <v>31</v>
      </c>
      <c r="C186" t="s">
        <v>5</v>
      </c>
      <c r="D186">
        <v>0.2</v>
      </c>
      <c r="E186">
        <v>-1</v>
      </c>
      <c r="F186">
        <v>0</v>
      </c>
      <c r="G186">
        <v>4869510</v>
      </c>
    </row>
    <row r="187" spans="2:9" x14ac:dyDescent="0.25">
      <c r="B187" t="s">
        <v>578</v>
      </c>
      <c r="C187">
        <v>1544844</v>
      </c>
    </row>
    <row r="188" spans="2:9" x14ac:dyDescent="0.25">
      <c r="B188" t="s">
        <v>33</v>
      </c>
      <c r="C188" t="s">
        <v>5</v>
      </c>
      <c r="D188">
        <v>0.2</v>
      </c>
      <c r="E188">
        <v>-1</v>
      </c>
      <c r="F188">
        <v>0</v>
      </c>
      <c r="G188">
        <v>4869141</v>
      </c>
    </row>
    <row r="189" spans="2:9" x14ac:dyDescent="0.25">
      <c r="B189" t="s">
        <v>579</v>
      </c>
      <c r="C189">
        <v>1544846</v>
      </c>
    </row>
    <row r="190" spans="2:9" x14ac:dyDescent="0.25">
      <c r="B190" t="s">
        <v>28</v>
      </c>
      <c r="C190" t="s">
        <v>5</v>
      </c>
      <c r="D190">
        <v>0.2</v>
      </c>
      <c r="E190">
        <v>-1</v>
      </c>
      <c r="F190">
        <v>0</v>
      </c>
      <c r="G190">
        <v>4869245</v>
      </c>
    </row>
    <row r="191" spans="2:9" x14ac:dyDescent="0.25">
      <c r="B191" t="s">
        <v>580</v>
      </c>
      <c r="C191">
        <v>1544892</v>
      </c>
    </row>
    <row r="192" spans="2:9" x14ac:dyDescent="0.25">
      <c r="B192" t="s">
        <v>821</v>
      </c>
      <c r="C192" t="s">
        <v>822</v>
      </c>
      <c r="D192">
        <v>1</v>
      </c>
      <c r="E192">
        <v>-0.2</v>
      </c>
      <c r="F192">
        <v>0</v>
      </c>
      <c r="G192">
        <v>5209292</v>
      </c>
    </row>
    <row r="193" spans="2:8" x14ac:dyDescent="0.25">
      <c r="B193" t="s">
        <v>582</v>
      </c>
      <c r="C193">
        <v>1544904</v>
      </c>
    </row>
    <row r="194" spans="2:8" x14ac:dyDescent="0.25">
      <c r="B194" t="s">
        <v>27</v>
      </c>
      <c r="C194" t="s">
        <v>793</v>
      </c>
      <c r="D194">
        <v>0</v>
      </c>
      <c r="E194">
        <v>1</v>
      </c>
      <c r="F194">
        <v>0</v>
      </c>
      <c r="G194">
        <v>5207393</v>
      </c>
    </row>
    <row r="195" spans="2:8" x14ac:dyDescent="0.25">
      <c r="B195" t="s">
        <v>583</v>
      </c>
      <c r="C195">
        <v>1544908</v>
      </c>
    </row>
    <row r="196" spans="2:8" x14ac:dyDescent="0.25">
      <c r="B196" t="s">
        <v>30</v>
      </c>
      <c r="C196" t="s">
        <v>794</v>
      </c>
      <c r="D196">
        <v>0</v>
      </c>
      <c r="E196">
        <v>-1</v>
      </c>
      <c r="F196">
        <v>0</v>
      </c>
      <c r="G196">
        <v>5032142</v>
      </c>
    </row>
    <row r="197" spans="2:8" x14ac:dyDescent="0.25">
      <c r="B197" s="14" t="s">
        <v>27</v>
      </c>
      <c r="C197" s="14" t="s">
        <v>794</v>
      </c>
      <c r="D197" s="14">
        <v>0</v>
      </c>
      <c r="E197" s="14">
        <v>-1</v>
      </c>
      <c r="F197" s="14">
        <v>0</v>
      </c>
      <c r="G197" s="14">
        <v>5032223</v>
      </c>
      <c r="H197" t="s">
        <v>1049</v>
      </c>
    </row>
    <row r="198" spans="2:8" x14ac:dyDescent="0.25">
      <c r="B198" t="s">
        <v>584</v>
      </c>
      <c r="C198">
        <v>1544912</v>
      </c>
    </row>
    <row r="199" spans="2:8" x14ac:dyDescent="0.25">
      <c r="B199" t="s">
        <v>30</v>
      </c>
      <c r="C199" t="s">
        <v>793</v>
      </c>
      <c r="D199">
        <v>0</v>
      </c>
      <c r="E199">
        <v>1</v>
      </c>
      <c r="F199">
        <v>0</v>
      </c>
      <c r="G199">
        <v>5029206</v>
      </c>
    </row>
    <row r="200" spans="2:8" x14ac:dyDescent="0.25">
      <c r="B200" t="s">
        <v>585</v>
      </c>
      <c r="C200">
        <v>1544916</v>
      </c>
    </row>
    <row r="201" spans="2:8" x14ac:dyDescent="0.25">
      <c r="B201" t="s">
        <v>31</v>
      </c>
      <c r="C201" t="s">
        <v>793</v>
      </c>
      <c r="D201">
        <v>0</v>
      </c>
      <c r="E201">
        <v>1</v>
      </c>
      <c r="F201">
        <v>0</v>
      </c>
      <c r="G201">
        <v>4804278</v>
      </c>
    </row>
    <row r="202" spans="2:8" x14ac:dyDescent="0.25">
      <c r="B202" s="14" t="s">
        <v>27</v>
      </c>
      <c r="C202" s="14" t="s">
        <v>793</v>
      </c>
      <c r="D202" s="14">
        <v>0</v>
      </c>
      <c r="E202" s="14">
        <v>1</v>
      </c>
      <c r="F202" s="14">
        <v>0</v>
      </c>
      <c r="G202" s="14">
        <v>5207395</v>
      </c>
      <c r="H202" t="s">
        <v>1049</v>
      </c>
    </row>
    <row r="203" spans="2:8" x14ac:dyDescent="0.25">
      <c r="B203" t="s">
        <v>586</v>
      </c>
      <c r="C203">
        <v>1544918</v>
      </c>
    </row>
    <row r="204" spans="2:8" x14ac:dyDescent="0.25">
      <c r="B204" t="s">
        <v>27</v>
      </c>
      <c r="C204" t="s">
        <v>793</v>
      </c>
      <c r="D204">
        <v>0</v>
      </c>
      <c r="E204">
        <v>1</v>
      </c>
      <c r="F204">
        <v>0</v>
      </c>
      <c r="G204">
        <v>5207392</v>
      </c>
    </row>
    <row r="205" spans="2:8" x14ac:dyDescent="0.25">
      <c r="B205" t="s">
        <v>587</v>
      </c>
      <c r="C205">
        <v>1544940</v>
      </c>
    </row>
    <row r="206" spans="2:8" x14ac:dyDescent="0.25">
      <c r="B206" t="s">
        <v>31</v>
      </c>
      <c r="C206" t="s">
        <v>794</v>
      </c>
      <c r="D206">
        <v>0</v>
      </c>
      <c r="E206">
        <v>-1</v>
      </c>
      <c r="F206">
        <v>0</v>
      </c>
      <c r="G206">
        <v>4803839</v>
      </c>
    </row>
    <row r="207" spans="2:8" x14ac:dyDescent="0.25">
      <c r="B207" t="s">
        <v>30</v>
      </c>
      <c r="C207" t="s">
        <v>794</v>
      </c>
      <c r="D207">
        <v>0</v>
      </c>
      <c r="E207">
        <v>-1</v>
      </c>
      <c r="F207">
        <v>0</v>
      </c>
      <c r="G207">
        <v>4803887</v>
      </c>
    </row>
    <row r="208" spans="2:8" x14ac:dyDescent="0.25">
      <c r="B208" t="s">
        <v>588</v>
      </c>
      <c r="C208">
        <v>1544952</v>
      </c>
    </row>
    <row r="209" spans="2:7" x14ac:dyDescent="0.25">
      <c r="B209" t="s">
        <v>30</v>
      </c>
      <c r="C209" t="s">
        <v>796</v>
      </c>
      <c r="D209">
        <v>-0.1</v>
      </c>
      <c r="E209">
        <v>-1</v>
      </c>
      <c r="F209">
        <v>0</v>
      </c>
      <c r="G209">
        <v>4795798</v>
      </c>
    </row>
    <row r="210" spans="2:7" x14ac:dyDescent="0.25">
      <c r="B210" t="s">
        <v>31</v>
      </c>
      <c r="C210" t="s">
        <v>796</v>
      </c>
      <c r="D210">
        <v>-0.1</v>
      </c>
      <c r="E210">
        <v>-1</v>
      </c>
      <c r="F210">
        <v>0</v>
      </c>
      <c r="G210">
        <v>4795800</v>
      </c>
    </row>
    <row r="211" spans="2:7" x14ac:dyDescent="0.25">
      <c r="B211" t="s">
        <v>589</v>
      </c>
      <c r="C211">
        <v>1544954</v>
      </c>
    </row>
    <row r="212" spans="2:7" x14ac:dyDescent="0.25">
      <c r="B212" t="s">
        <v>27</v>
      </c>
      <c r="C212" t="s">
        <v>796</v>
      </c>
      <c r="D212">
        <v>-0.1</v>
      </c>
      <c r="E212">
        <v>-1</v>
      </c>
      <c r="F212">
        <v>0</v>
      </c>
      <c r="G212">
        <v>4797694</v>
      </c>
    </row>
    <row r="213" spans="2:7" x14ac:dyDescent="0.25">
      <c r="B213" t="s">
        <v>31</v>
      </c>
      <c r="C213" t="s">
        <v>796</v>
      </c>
      <c r="D213">
        <v>-0.1</v>
      </c>
      <c r="E213">
        <v>-1</v>
      </c>
      <c r="F213">
        <v>0</v>
      </c>
      <c r="G213">
        <v>4797907</v>
      </c>
    </row>
    <row r="214" spans="2:7" x14ac:dyDescent="0.25">
      <c r="B214" t="s">
        <v>27</v>
      </c>
      <c r="C214" t="s">
        <v>796</v>
      </c>
      <c r="D214">
        <v>-0.1</v>
      </c>
      <c r="E214">
        <v>-1</v>
      </c>
      <c r="F214">
        <v>0</v>
      </c>
      <c r="G214">
        <v>4798261</v>
      </c>
    </row>
    <row r="215" spans="2:7" x14ac:dyDescent="0.25">
      <c r="B215" t="s">
        <v>590</v>
      </c>
      <c r="C215">
        <v>1544960</v>
      </c>
    </row>
    <row r="216" spans="2:7" x14ac:dyDescent="0.25">
      <c r="B216" t="s">
        <v>30</v>
      </c>
      <c r="C216" t="s">
        <v>795</v>
      </c>
      <c r="D216">
        <v>0.1</v>
      </c>
      <c r="E216">
        <v>1</v>
      </c>
      <c r="F216">
        <v>0</v>
      </c>
      <c r="G216">
        <v>4803348</v>
      </c>
    </row>
    <row r="217" spans="2:7" x14ac:dyDescent="0.25">
      <c r="B217" t="s">
        <v>31</v>
      </c>
      <c r="C217" t="s">
        <v>795</v>
      </c>
      <c r="D217">
        <v>0.1</v>
      </c>
      <c r="E217">
        <v>1</v>
      </c>
      <c r="F217">
        <v>0</v>
      </c>
      <c r="G217">
        <v>4803434</v>
      </c>
    </row>
    <row r="218" spans="2:7" x14ac:dyDescent="0.25">
      <c r="B218" t="s">
        <v>591</v>
      </c>
      <c r="C218">
        <v>1544962</v>
      </c>
    </row>
    <row r="219" spans="2:7" x14ac:dyDescent="0.25">
      <c r="B219" t="s">
        <v>30</v>
      </c>
      <c r="C219" t="s">
        <v>795</v>
      </c>
      <c r="D219">
        <v>0.1</v>
      </c>
      <c r="E219">
        <v>1</v>
      </c>
      <c r="F219">
        <v>0</v>
      </c>
      <c r="G219">
        <v>4803314</v>
      </c>
    </row>
    <row r="220" spans="2:7" x14ac:dyDescent="0.25">
      <c r="B220" t="s">
        <v>27</v>
      </c>
      <c r="C220" t="s">
        <v>795</v>
      </c>
      <c r="D220">
        <v>0.1</v>
      </c>
      <c r="E220">
        <v>1</v>
      </c>
      <c r="F220">
        <v>0</v>
      </c>
      <c r="G220">
        <v>4803388</v>
      </c>
    </row>
    <row r="221" spans="2:7" x14ac:dyDescent="0.25">
      <c r="B221" t="s">
        <v>592</v>
      </c>
      <c r="C221">
        <v>1544970</v>
      </c>
    </row>
    <row r="222" spans="2:7" x14ac:dyDescent="0.25">
      <c r="B222" t="s">
        <v>27</v>
      </c>
      <c r="C222" t="s">
        <v>796</v>
      </c>
      <c r="D222">
        <v>-0.1</v>
      </c>
      <c r="E222">
        <v>-1</v>
      </c>
      <c r="F222">
        <v>0</v>
      </c>
      <c r="G222">
        <v>4798919</v>
      </c>
    </row>
    <row r="223" spans="2:7" x14ac:dyDescent="0.25">
      <c r="B223" t="s">
        <v>593</v>
      </c>
      <c r="C223">
        <v>1544976</v>
      </c>
    </row>
    <row r="224" spans="2:7" x14ac:dyDescent="0.25">
      <c r="B224" t="s">
        <v>31</v>
      </c>
      <c r="C224" t="s">
        <v>796</v>
      </c>
      <c r="D224">
        <v>-0.1</v>
      </c>
      <c r="E224">
        <v>-1</v>
      </c>
      <c r="F224">
        <v>0</v>
      </c>
      <c r="G224">
        <v>4798822</v>
      </c>
    </row>
    <row r="225" spans="2:7" x14ac:dyDescent="0.25">
      <c r="B225" t="s">
        <v>594</v>
      </c>
      <c r="C225">
        <v>1545042</v>
      </c>
    </row>
    <row r="226" spans="2:7" s="14" customFormat="1" x14ac:dyDescent="0.25">
      <c r="B226" s="14" t="s">
        <v>1088</v>
      </c>
      <c r="C226" s="14" t="s">
        <v>823</v>
      </c>
      <c r="D226" s="14">
        <v>0.8</v>
      </c>
      <c r="E226" s="14">
        <v>0.6</v>
      </c>
      <c r="F226" s="14">
        <v>0</v>
      </c>
      <c r="G226" s="14">
        <v>6536870</v>
      </c>
    </row>
    <row r="227" spans="2:7" x14ac:dyDescent="0.25">
      <c r="C227">
        <v>1634473</v>
      </c>
    </row>
    <row r="228" spans="2:7" x14ac:dyDescent="0.25">
      <c r="B228" t="s">
        <v>29</v>
      </c>
      <c r="C228" t="s">
        <v>5</v>
      </c>
      <c r="D228">
        <v>0.2</v>
      </c>
      <c r="E228">
        <v>-1</v>
      </c>
      <c r="F228">
        <v>0</v>
      </c>
      <c r="G228">
        <v>6094971</v>
      </c>
    </row>
    <row r="229" spans="2:7" x14ac:dyDescent="0.25">
      <c r="B229" t="s">
        <v>29</v>
      </c>
      <c r="C229" t="s">
        <v>5</v>
      </c>
      <c r="D229">
        <v>0.2</v>
      </c>
      <c r="E229">
        <v>-1</v>
      </c>
      <c r="F229">
        <v>0</v>
      </c>
      <c r="G229">
        <v>6095222</v>
      </c>
    </row>
    <row r="230" spans="2:7" x14ac:dyDescent="0.25">
      <c r="B230" t="s">
        <v>43</v>
      </c>
      <c r="C230" t="s">
        <v>5</v>
      </c>
      <c r="D230">
        <v>0.2</v>
      </c>
      <c r="E230">
        <v>-1</v>
      </c>
      <c r="F230">
        <v>0</v>
      </c>
      <c r="G230">
        <v>6095320</v>
      </c>
    </row>
    <row r="231" spans="2:7" x14ac:dyDescent="0.25">
      <c r="B231" t="s">
        <v>43</v>
      </c>
      <c r="C231" t="s">
        <v>5</v>
      </c>
      <c r="D231">
        <v>0.2</v>
      </c>
      <c r="E231">
        <v>-1</v>
      </c>
      <c r="F231">
        <v>0</v>
      </c>
      <c r="G231">
        <v>6095353</v>
      </c>
    </row>
    <row r="232" spans="2:7" x14ac:dyDescent="0.25">
      <c r="B232" t="s">
        <v>596</v>
      </c>
      <c r="C232">
        <v>1666257</v>
      </c>
    </row>
    <row r="233" spans="2:7" s="14" customFormat="1" x14ac:dyDescent="0.25">
      <c r="B233" s="14" t="s">
        <v>1088</v>
      </c>
      <c r="C233" s="14" t="s">
        <v>824</v>
      </c>
      <c r="D233" s="14">
        <v>0.9</v>
      </c>
      <c r="E233" s="14">
        <v>0.4</v>
      </c>
      <c r="F233" s="14">
        <v>0</v>
      </c>
      <c r="G233" s="14">
        <v>5183440</v>
      </c>
    </row>
    <row r="234" spans="2:7" x14ac:dyDescent="0.25">
      <c r="B234" t="s">
        <v>597</v>
      </c>
      <c r="C234">
        <v>1666277</v>
      </c>
    </row>
    <row r="235" spans="2:7" s="14" customFormat="1" x14ac:dyDescent="0.25">
      <c r="B235" s="14" t="s">
        <v>1088</v>
      </c>
      <c r="C235" s="14" t="s">
        <v>825</v>
      </c>
      <c r="D235" s="14">
        <v>0.9</v>
      </c>
      <c r="E235" s="14">
        <v>0.5</v>
      </c>
      <c r="F235" s="14">
        <v>0</v>
      </c>
      <c r="G235" s="14">
        <v>6537104</v>
      </c>
    </row>
    <row r="236" spans="2:7" x14ac:dyDescent="0.25">
      <c r="B236" t="s">
        <v>599</v>
      </c>
      <c r="C236">
        <v>1666287</v>
      </c>
    </row>
    <row r="237" spans="2:7" s="14" customFormat="1" x14ac:dyDescent="0.25">
      <c r="B237" s="14" t="s">
        <v>1088</v>
      </c>
      <c r="C237" s="14" t="s">
        <v>812</v>
      </c>
      <c r="D237" s="14">
        <v>0.8</v>
      </c>
      <c r="E237" s="14">
        <v>0.6</v>
      </c>
      <c r="F237" s="14">
        <v>0</v>
      </c>
      <c r="G237" s="14">
        <v>6536955</v>
      </c>
    </row>
    <row r="238" spans="2:7" s="14" customFormat="1" x14ac:dyDescent="0.25">
      <c r="B238" s="14" t="s">
        <v>1088</v>
      </c>
      <c r="C238" s="14" t="s">
        <v>826</v>
      </c>
      <c r="D238" s="14">
        <v>0.8</v>
      </c>
      <c r="E238" s="14">
        <v>0.5</v>
      </c>
      <c r="F238" s="14">
        <v>0</v>
      </c>
      <c r="G238" s="14">
        <v>6537017</v>
      </c>
    </row>
    <row r="239" spans="2:7" x14ac:dyDescent="0.25">
      <c r="B239" t="s">
        <v>601</v>
      </c>
      <c r="C239">
        <v>1666299</v>
      </c>
    </row>
    <row r="240" spans="2:7" x14ac:dyDescent="0.25">
      <c r="B240" t="s">
        <v>30</v>
      </c>
      <c r="C240" t="s">
        <v>802</v>
      </c>
      <c r="D240">
        <v>-0.3</v>
      </c>
      <c r="E240">
        <v>0.9</v>
      </c>
      <c r="F240">
        <v>0</v>
      </c>
      <c r="G240">
        <v>4804881</v>
      </c>
    </row>
    <row r="241" spans="2:7" x14ac:dyDescent="0.25">
      <c r="B241" t="s">
        <v>27</v>
      </c>
      <c r="C241" t="s">
        <v>802</v>
      </c>
      <c r="D241">
        <v>-0.3</v>
      </c>
      <c r="E241">
        <v>0.9</v>
      </c>
      <c r="F241">
        <v>0</v>
      </c>
      <c r="G241">
        <v>4804991</v>
      </c>
    </row>
    <row r="242" spans="2:7" x14ac:dyDescent="0.25">
      <c r="B242" t="s">
        <v>27</v>
      </c>
      <c r="C242" t="s">
        <v>802</v>
      </c>
      <c r="D242">
        <v>-0.3</v>
      </c>
      <c r="E242">
        <v>0.9</v>
      </c>
      <c r="F242">
        <v>0</v>
      </c>
      <c r="G242">
        <v>4805085</v>
      </c>
    </row>
    <row r="243" spans="2:7" x14ac:dyDescent="0.25">
      <c r="B243" t="s">
        <v>31</v>
      </c>
      <c r="C243" t="s">
        <v>802</v>
      </c>
      <c r="D243">
        <v>-0.3</v>
      </c>
      <c r="E243">
        <v>0.9</v>
      </c>
      <c r="F243">
        <v>0</v>
      </c>
      <c r="G243">
        <v>4805153</v>
      </c>
    </row>
    <row r="244" spans="2:7" x14ac:dyDescent="0.25">
      <c r="B244" t="s">
        <v>27</v>
      </c>
      <c r="C244" t="s">
        <v>802</v>
      </c>
      <c r="D244">
        <v>-0.3</v>
      </c>
      <c r="E244">
        <v>0.9</v>
      </c>
      <c r="F244">
        <v>0</v>
      </c>
      <c r="G244">
        <v>4805235</v>
      </c>
    </row>
    <row r="245" spans="2:7" x14ac:dyDescent="0.25">
      <c r="B245" t="s">
        <v>30</v>
      </c>
      <c r="C245" t="s">
        <v>802</v>
      </c>
      <c r="D245">
        <v>-0.3</v>
      </c>
      <c r="E245">
        <v>0.9</v>
      </c>
      <c r="F245">
        <v>0</v>
      </c>
      <c r="G245">
        <v>4805297</v>
      </c>
    </row>
    <row r="246" spans="2:7" x14ac:dyDescent="0.25">
      <c r="B246" t="s">
        <v>814</v>
      </c>
      <c r="C246" t="s">
        <v>327</v>
      </c>
      <c r="D246">
        <v>0.4</v>
      </c>
      <c r="E246">
        <v>-0.9</v>
      </c>
      <c r="F246">
        <v>0</v>
      </c>
      <c r="G246">
        <v>7066581</v>
      </c>
    </row>
    <row r="247" spans="2:7" x14ac:dyDescent="0.25">
      <c r="B247" t="s">
        <v>814</v>
      </c>
      <c r="C247" t="s">
        <v>327</v>
      </c>
      <c r="D247">
        <v>0.4</v>
      </c>
      <c r="E247">
        <v>-0.9</v>
      </c>
      <c r="F247">
        <v>0</v>
      </c>
      <c r="G247">
        <v>7066596</v>
      </c>
    </row>
    <row r="248" spans="2:7" x14ac:dyDescent="0.25">
      <c r="B248" t="s">
        <v>814</v>
      </c>
      <c r="C248" t="s">
        <v>327</v>
      </c>
      <c r="D248">
        <v>0.4</v>
      </c>
      <c r="E248">
        <v>-0.9</v>
      </c>
      <c r="F248">
        <v>0</v>
      </c>
      <c r="G248">
        <v>7066647</v>
      </c>
    </row>
    <row r="249" spans="2:7" x14ac:dyDescent="0.25">
      <c r="C249">
        <v>1676453</v>
      </c>
    </row>
    <row r="250" spans="2:7" x14ac:dyDescent="0.25">
      <c r="B250" t="s">
        <v>30</v>
      </c>
      <c r="C250" t="s">
        <v>794</v>
      </c>
      <c r="D250">
        <v>0</v>
      </c>
      <c r="E250">
        <v>-1</v>
      </c>
      <c r="F250">
        <v>0</v>
      </c>
      <c r="G250">
        <v>5032142</v>
      </c>
    </row>
    <row r="251" spans="2:7" x14ac:dyDescent="0.25">
      <c r="B251" t="s">
        <v>602</v>
      </c>
      <c r="C251">
        <v>1686817</v>
      </c>
    </row>
    <row r="252" spans="2:7" x14ac:dyDescent="0.25">
      <c r="B252" t="s">
        <v>33</v>
      </c>
      <c r="C252" t="s">
        <v>6</v>
      </c>
      <c r="D252">
        <v>-0.2</v>
      </c>
      <c r="E252">
        <v>1</v>
      </c>
      <c r="F252">
        <v>0</v>
      </c>
      <c r="G252">
        <v>4306480</v>
      </c>
    </row>
    <row r="253" spans="2:7" x14ac:dyDescent="0.25">
      <c r="C253">
        <v>1687895</v>
      </c>
    </row>
    <row r="254" spans="2:7" x14ac:dyDescent="0.25">
      <c r="B254" t="s">
        <v>31</v>
      </c>
      <c r="C254" t="s">
        <v>5</v>
      </c>
      <c r="D254">
        <v>0.2</v>
      </c>
      <c r="E254">
        <v>-1</v>
      </c>
      <c r="F254">
        <v>0</v>
      </c>
      <c r="G254">
        <v>4928962</v>
      </c>
    </row>
    <row r="255" spans="2:7" x14ac:dyDescent="0.25">
      <c r="B255" t="s">
        <v>30</v>
      </c>
      <c r="C255" t="s">
        <v>5</v>
      </c>
      <c r="D255">
        <v>0.2</v>
      </c>
      <c r="E255">
        <v>-1</v>
      </c>
      <c r="F255">
        <v>0</v>
      </c>
      <c r="G255">
        <v>4928964</v>
      </c>
    </row>
    <row r="256" spans="2:7" x14ac:dyDescent="0.25">
      <c r="B256" t="s">
        <v>604</v>
      </c>
      <c r="C256">
        <v>1687921</v>
      </c>
    </row>
    <row r="257" spans="2:7" x14ac:dyDescent="0.25">
      <c r="B257" t="s">
        <v>33</v>
      </c>
      <c r="C257" t="s">
        <v>5</v>
      </c>
      <c r="D257">
        <v>0.2</v>
      </c>
      <c r="E257">
        <v>-1</v>
      </c>
      <c r="F257">
        <v>0</v>
      </c>
      <c r="G257">
        <v>4870412</v>
      </c>
    </row>
    <row r="258" spans="2:7" x14ac:dyDescent="0.25">
      <c r="B258" t="s">
        <v>605</v>
      </c>
      <c r="C258">
        <v>1687931</v>
      </c>
    </row>
    <row r="259" spans="2:7" x14ac:dyDescent="0.25">
      <c r="B259" t="s">
        <v>33</v>
      </c>
      <c r="C259" t="s">
        <v>815</v>
      </c>
      <c r="D259">
        <v>-0.5</v>
      </c>
      <c r="E259">
        <v>0.8</v>
      </c>
      <c r="F259">
        <v>0</v>
      </c>
      <c r="G259">
        <v>6091460</v>
      </c>
    </row>
    <row r="260" spans="2:7" x14ac:dyDescent="0.25">
      <c r="B260" t="s">
        <v>31</v>
      </c>
      <c r="C260" t="s">
        <v>815</v>
      </c>
      <c r="D260">
        <v>-0.5</v>
      </c>
      <c r="E260">
        <v>0.8</v>
      </c>
      <c r="F260">
        <v>0</v>
      </c>
      <c r="G260">
        <v>6091461</v>
      </c>
    </row>
    <row r="261" spans="2:7" x14ac:dyDescent="0.25">
      <c r="B261" t="s">
        <v>606</v>
      </c>
      <c r="C261">
        <v>1687933</v>
      </c>
    </row>
    <row r="262" spans="2:7" x14ac:dyDescent="0.25">
      <c r="B262" t="s">
        <v>31</v>
      </c>
      <c r="C262" t="s">
        <v>796</v>
      </c>
      <c r="D262">
        <v>-0.1</v>
      </c>
      <c r="E262">
        <v>-1</v>
      </c>
      <c r="F262">
        <v>0</v>
      </c>
      <c r="G262">
        <v>4798427</v>
      </c>
    </row>
    <row r="263" spans="2:7" x14ac:dyDescent="0.25">
      <c r="B263" t="s">
        <v>31</v>
      </c>
      <c r="C263" t="s">
        <v>796</v>
      </c>
      <c r="D263">
        <v>-0.1</v>
      </c>
      <c r="E263">
        <v>-1</v>
      </c>
      <c r="F263">
        <v>0</v>
      </c>
      <c r="G263">
        <v>4800657</v>
      </c>
    </row>
    <row r="264" spans="2:7" x14ac:dyDescent="0.25">
      <c r="B264" t="s">
        <v>607</v>
      </c>
      <c r="C264">
        <v>1687939</v>
      </c>
    </row>
    <row r="265" spans="2:7" x14ac:dyDescent="0.25">
      <c r="B265" t="s">
        <v>31</v>
      </c>
      <c r="C265" t="s">
        <v>2</v>
      </c>
      <c r="D265">
        <v>1</v>
      </c>
      <c r="E265">
        <v>0.2</v>
      </c>
      <c r="F265">
        <v>0</v>
      </c>
      <c r="G265">
        <v>3744526</v>
      </c>
    </row>
    <row r="266" spans="2:7" x14ac:dyDescent="0.25">
      <c r="C266">
        <v>1714073</v>
      </c>
    </row>
    <row r="267" spans="2:7" x14ac:dyDescent="0.25">
      <c r="B267" t="s">
        <v>30</v>
      </c>
      <c r="C267" t="s">
        <v>5</v>
      </c>
      <c r="D267">
        <v>0.2</v>
      </c>
      <c r="E267">
        <v>-1</v>
      </c>
      <c r="F267">
        <v>0</v>
      </c>
      <c r="G267">
        <v>4928964</v>
      </c>
    </row>
    <row r="268" spans="2:7" x14ac:dyDescent="0.25">
      <c r="B268" t="s">
        <v>31</v>
      </c>
      <c r="C268" t="s">
        <v>5</v>
      </c>
      <c r="D268">
        <v>0.2</v>
      </c>
      <c r="E268">
        <v>-1</v>
      </c>
      <c r="F268">
        <v>0</v>
      </c>
      <c r="G268">
        <v>4929825</v>
      </c>
    </row>
    <row r="269" spans="2:7" x14ac:dyDescent="0.25">
      <c r="B269" t="s">
        <v>609</v>
      </c>
      <c r="C269">
        <v>1775251</v>
      </c>
    </row>
    <row r="270" spans="2:7" x14ac:dyDescent="0.25">
      <c r="B270" t="s">
        <v>30</v>
      </c>
      <c r="C270" t="s">
        <v>796</v>
      </c>
      <c r="D270">
        <v>-0.1</v>
      </c>
      <c r="E270">
        <v>-1</v>
      </c>
      <c r="F270">
        <v>0</v>
      </c>
      <c r="G270">
        <v>4799077</v>
      </c>
    </row>
    <row r="271" spans="2:7" x14ac:dyDescent="0.25">
      <c r="B271" t="s">
        <v>610</v>
      </c>
      <c r="C271">
        <v>1778842</v>
      </c>
    </row>
    <row r="272" spans="2:7" x14ac:dyDescent="0.25">
      <c r="B272" t="s">
        <v>31</v>
      </c>
      <c r="C272" t="s">
        <v>6</v>
      </c>
      <c r="D272">
        <v>-0.2</v>
      </c>
      <c r="E272">
        <v>1</v>
      </c>
      <c r="F272">
        <v>0</v>
      </c>
      <c r="G272">
        <v>4812716</v>
      </c>
    </row>
    <row r="273" spans="2:8" x14ac:dyDescent="0.25">
      <c r="B273" t="s">
        <v>611</v>
      </c>
      <c r="C273">
        <v>1778927</v>
      </c>
    </row>
    <row r="274" spans="2:8" x14ac:dyDescent="0.25">
      <c r="B274" t="s">
        <v>38</v>
      </c>
      <c r="C274" t="s">
        <v>815</v>
      </c>
      <c r="D274">
        <v>-0.5</v>
      </c>
      <c r="E274">
        <v>0.8</v>
      </c>
      <c r="F274">
        <v>0</v>
      </c>
      <c r="G274">
        <v>6091456</v>
      </c>
    </row>
    <row r="275" spans="2:8" x14ac:dyDescent="0.25">
      <c r="B275" t="s">
        <v>612</v>
      </c>
      <c r="C275">
        <v>1779017</v>
      </c>
    </row>
    <row r="276" spans="2:8" x14ac:dyDescent="0.25">
      <c r="B276" t="s">
        <v>30</v>
      </c>
      <c r="C276" t="s">
        <v>5</v>
      </c>
      <c r="D276">
        <v>0.2</v>
      </c>
      <c r="E276">
        <v>-1</v>
      </c>
      <c r="F276">
        <v>0</v>
      </c>
      <c r="G276">
        <v>4869656</v>
      </c>
    </row>
    <row r="277" spans="2:8" x14ac:dyDescent="0.25">
      <c r="B277" t="s">
        <v>613</v>
      </c>
      <c r="C277">
        <v>1924672</v>
      </c>
    </row>
    <row r="278" spans="2:8" x14ac:dyDescent="0.25">
      <c r="B278" t="s">
        <v>31</v>
      </c>
      <c r="C278" t="s">
        <v>802</v>
      </c>
      <c r="D278">
        <v>-0.3</v>
      </c>
      <c r="E278">
        <v>0.9</v>
      </c>
      <c r="F278">
        <v>0</v>
      </c>
      <c r="G278">
        <v>4805153</v>
      </c>
    </row>
    <row r="279" spans="2:8" x14ac:dyDescent="0.25">
      <c r="B279" t="s">
        <v>614</v>
      </c>
      <c r="C279">
        <v>1933601</v>
      </c>
    </row>
    <row r="280" spans="2:8" s="14" customFormat="1" x14ac:dyDescent="0.25">
      <c r="B280" s="14" t="s">
        <v>1088</v>
      </c>
      <c r="C280" s="14" t="s">
        <v>827</v>
      </c>
      <c r="D280" s="14">
        <v>0.9</v>
      </c>
      <c r="E280" s="14">
        <v>0.3</v>
      </c>
      <c r="F280" s="14">
        <v>0</v>
      </c>
      <c r="G280" s="14">
        <v>5183404</v>
      </c>
    </row>
    <row r="281" spans="2:8" s="14" customFormat="1" x14ac:dyDescent="0.25">
      <c r="B281" s="14" t="s">
        <v>1088</v>
      </c>
      <c r="C281" s="14" t="s">
        <v>828</v>
      </c>
      <c r="D281" s="14">
        <v>0.9</v>
      </c>
      <c r="E281" s="14">
        <v>0.4</v>
      </c>
      <c r="F281" s="14">
        <v>0</v>
      </c>
      <c r="G281" s="14">
        <v>5183579</v>
      </c>
    </row>
    <row r="282" spans="2:8" s="14" customFormat="1" x14ac:dyDescent="0.25">
      <c r="B282" s="14" t="s">
        <v>1088</v>
      </c>
      <c r="C282" s="14" t="s">
        <v>829</v>
      </c>
      <c r="D282" s="14">
        <v>0.9</v>
      </c>
      <c r="E282" s="14">
        <v>0.3</v>
      </c>
      <c r="F282" s="14">
        <v>0</v>
      </c>
      <c r="G282" s="14">
        <v>6552697</v>
      </c>
    </row>
    <row r="283" spans="2:8" x14ac:dyDescent="0.25">
      <c r="C283">
        <v>1969730</v>
      </c>
    </row>
    <row r="284" spans="2:8" x14ac:dyDescent="0.25">
      <c r="B284" t="s">
        <v>803</v>
      </c>
      <c r="C284" t="s">
        <v>820</v>
      </c>
      <c r="D284">
        <v>1</v>
      </c>
      <c r="E284">
        <v>0.2</v>
      </c>
      <c r="F284">
        <v>0</v>
      </c>
      <c r="G284">
        <v>6535160</v>
      </c>
    </row>
    <row r="285" spans="2:8" x14ac:dyDescent="0.25">
      <c r="B285" t="s">
        <v>617</v>
      </c>
      <c r="C285">
        <v>1980072</v>
      </c>
    </row>
    <row r="286" spans="2:8" s="14" customFormat="1" x14ac:dyDescent="0.25">
      <c r="B286" s="14" t="s">
        <v>1088</v>
      </c>
      <c r="C286" s="14" t="s">
        <v>820</v>
      </c>
      <c r="D286" s="14">
        <v>1</v>
      </c>
      <c r="E286" s="14">
        <v>0.2</v>
      </c>
      <c r="F286" s="14">
        <v>0</v>
      </c>
      <c r="G286" s="14">
        <v>6535160</v>
      </c>
      <c r="H286" s="14" t="s">
        <v>803</v>
      </c>
    </row>
  </sheetData>
  <customSheetViews>
    <customSheetView guid="{561E68F6-21E3-461A-ACB1-9392AEDA3331}" topLeftCell="A147">
      <selection activeCell="E183" sqref="E183"/>
      <pageMargins left="0.7" right="0.7" top="0.75" bottom="0.75" header="0.3" footer="0.3"/>
    </customSheetView>
    <customSheetView guid="{2A8AA8A9-D849-43BE-B128-2DCE8081808F}">
      <selection activeCell="C182" sqref="C182"/>
      <pageMargins left="0.7" right="0.7" top="0.75" bottom="0.75" header="0.3" footer="0.3"/>
    </customSheetView>
    <customSheetView guid="{E07775A8-4E8E-4F0F-ABD4-8C1611285DFF}" topLeftCell="A243">
      <selection activeCell="B26" sqref="B2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312"/>
  <sheetViews>
    <sheetView topLeftCell="A238" workbookViewId="0">
      <selection activeCell="B240" sqref="B240"/>
    </sheetView>
  </sheetViews>
  <sheetFormatPr defaultRowHeight="15" x14ac:dyDescent="0.25"/>
  <cols>
    <col min="2" max="2" width="92" bestFit="1" customWidth="1"/>
  </cols>
  <sheetData>
    <row r="2" spans="2:7" x14ac:dyDescent="0.25">
      <c r="B2" t="s">
        <v>364</v>
      </c>
      <c r="C2">
        <v>1420927</v>
      </c>
    </row>
    <row r="3" spans="2:7" x14ac:dyDescent="0.25">
      <c r="B3" t="s">
        <v>830</v>
      </c>
      <c r="C3" t="s">
        <v>796</v>
      </c>
      <c r="D3">
        <v>-0.1</v>
      </c>
      <c r="E3">
        <v>-1</v>
      </c>
      <c r="F3">
        <v>0</v>
      </c>
      <c r="G3">
        <v>7064613</v>
      </c>
    </row>
    <row r="4" spans="2:7" x14ac:dyDescent="0.25">
      <c r="B4" t="s">
        <v>365</v>
      </c>
      <c r="C4">
        <v>1420937</v>
      </c>
    </row>
    <row r="5" spans="2:7" x14ac:dyDescent="0.25">
      <c r="B5" t="s">
        <v>30</v>
      </c>
      <c r="C5" t="s">
        <v>795</v>
      </c>
      <c r="D5">
        <v>0.1</v>
      </c>
      <c r="E5">
        <v>1</v>
      </c>
      <c r="F5">
        <v>0</v>
      </c>
      <c r="G5">
        <v>4803208</v>
      </c>
    </row>
    <row r="6" spans="2:7" x14ac:dyDescent="0.25">
      <c r="B6" t="s">
        <v>366</v>
      </c>
      <c r="C6">
        <v>1420983</v>
      </c>
    </row>
    <row r="7" spans="2:7" x14ac:dyDescent="0.25">
      <c r="B7" t="s">
        <v>814</v>
      </c>
      <c r="C7" t="s">
        <v>793</v>
      </c>
      <c r="D7">
        <v>0</v>
      </c>
      <c r="E7">
        <v>1</v>
      </c>
      <c r="F7">
        <v>0</v>
      </c>
      <c r="G7">
        <v>7065331</v>
      </c>
    </row>
    <row r="8" spans="2:7" x14ac:dyDescent="0.25">
      <c r="B8" t="s">
        <v>367</v>
      </c>
      <c r="C8">
        <v>1421027</v>
      </c>
    </row>
    <row r="9" spans="2:7" x14ac:dyDescent="0.25">
      <c r="B9" t="s">
        <v>803</v>
      </c>
      <c r="C9" t="s">
        <v>831</v>
      </c>
      <c r="D9">
        <v>1</v>
      </c>
      <c r="E9">
        <v>-0.2</v>
      </c>
      <c r="F9">
        <v>0</v>
      </c>
      <c r="G9">
        <v>5209688</v>
      </c>
    </row>
    <row r="10" spans="2:7" x14ac:dyDescent="0.25">
      <c r="B10" t="s">
        <v>821</v>
      </c>
      <c r="C10" t="s">
        <v>832</v>
      </c>
      <c r="D10">
        <v>1</v>
      </c>
      <c r="E10">
        <v>-0.2</v>
      </c>
      <c r="F10">
        <v>0</v>
      </c>
      <c r="G10">
        <v>5209690</v>
      </c>
    </row>
    <row r="11" spans="2:7" x14ac:dyDescent="0.25">
      <c r="B11" t="s">
        <v>370</v>
      </c>
      <c r="C11">
        <v>1421071</v>
      </c>
    </row>
    <row r="12" spans="2:7" x14ac:dyDescent="0.25">
      <c r="B12" t="s">
        <v>830</v>
      </c>
      <c r="C12" t="s">
        <v>796</v>
      </c>
      <c r="D12">
        <v>-0.1</v>
      </c>
      <c r="E12">
        <v>-1</v>
      </c>
      <c r="F12">
        <v>0</v>
      </c>
      <c r="G12">
        <v>7060821</v>
      </c>
    </row>
    <row r="13" spans="2:7" x14ac:dyDescent="0.25">
      <c r="B13" t="s">
        <v>371</v>
      </c>
      <c r="C13">
        <v>1421077</v>
      </c>
    </row>
    <row r="14" spans="2:7" x14ac:dyDescent="0.25">
      <c r="B14" t="s">
        <v>830</v>
      </c>
      <c r="C14" t="s">
        <v>795</v>
      </c>
      <c r="D14">
        <v>0.1</v>
      </c>
      <c r="E14">
        <v>1</v>
      </c>
      <c r="F14">
        <v>0</v>
      </c>
      <c r="G14">
        <v>7064939</v>
      </c>
    </row>
    <row r="15" spans="2:7" x14ac:dyDescent="0.25">
      <c r="B15" t="s">
        <v>372</v>
      </c>
      <c r="C15">
        <v>1421079</v>
      </c>
    </row>
    <row r="16" spans="2:7" x14ac:dyDescent="0.25">
      <c r="B16" t="s">
        <v>830</v>
      </c>
      <c r="C16" t="s">
        <v>795</v>
      </c>
      <c r="D16">
        <v>0.1</v>
      </c>
      <c r="E16">
        <v>1</v>
      </c>
      <c r="F16">
        <v>0</v>
      </c>
      <c r="G16">
        <v>7064898</v>
      </c>
    </row>
    <row r="17" spans="2:7" x14ac:dyDescent="0.25">
      <c r="B17" t="s">
        <v>373</v>
      </c>
      <c r="C17">
        <v>1421081</v>
      </c>
    </row>
    <row r="18" spans="2:7" x14ac:dyDescent="0.25">
      <c r="B18" t="s">
        <v>830</v>
      </c>
      <c r="C18" t="s">
        <v>796</v>
      </c>
      <c r="D18">
        <v>-0.1</v>
      </c>
      <c r="E18">
        <v>-1</v>
      </c>
      <c r="F18">
        <v>0</v>
      </c>
      <c r="G18">
        <v>7060877</v>
      </c>
    </row>
    <row r="19" spans="2:7" x14ac:dyDescent="0.25">
      <c r="B19" t="s">
        <v>374</v>
      </c>
      <c r="C19">
        <v>1421083</v>
      </c>
    </row>
    <row r="20" spans="2:7" x14ac:dyDescent="0.25">
      <c r="B20" t="s">
        <v>31</v>
      </c>
      <c r="C20" t="s">
        <v>795</v>
      </c>
      <c r="D20">
        <v>0.1</v>
      </c>
      <c r="E20">
        <v>1</v>
      </c>
      <c r="F20">
        <v>0</v>
      </c>
      <c r="G20">
        <v>6562531</v>
      </c>
    </row>
    <row r="21" spans="2:7" x14ac:dyDescent="0.25">
      <c r="B21" t="s">
        <v>375</v>
      </c>
      <c r="C21">
        <v>1421085</v>
      </c>
    </row>
    <row r="22" spans="2:7" x14ac:dyDescent="0.25">
      <c r="B22" t="s">
        <v>830</v>
      </c>
      <c r="C22" t="s">
        <v>796</v>
      </c>
      <c r="D22">
        <v>-0.1</v>
      </c>
      <c r="E22">
        <v>-1</v>
      </c>
      <c r="F22">
        <v>0</v>
      </c>
      <c r="G22">
        <v>7060921</v>
      </c>
    </row>
    <row r="23" spans="2:7" x14ac:dyDescent="0.25">
      <c r="B23" t="s">
        <v>376</v>
      </c>
      <c r="C23">
        <v>1421087</v>
      </c>
    </row>
    <row r="24" spans="2:7" x14ac:dyDescent="0.25">
      <c r="B24" t="s">
        <v>830</v>
      </c>
      <c r="C24" t="s">
        <v>796</v>
      </c>
      <c r="D24">
        <v>-0.1</v>
      </c>
      <c r="E24">
        <v>-1</v>
      </c>
      <c r="F24">
        <v>0</v>
      </c>
      <c r="G24">
        <v>7060942</v>
      </c>
    </row>
    <row r="25" spans="2:7" x14ac:dyDescent="0.25">
      <c r="B25" t="s">
        <v>377</v>
      </c>
      <c r="C25">
        <v>1421089</v>
      </c>
    </row>
    <row r="26" spans="2:7" x14ac:dyDescent="0.25">
      <c r="B26" t="s">
        <v>830</v>
      </c>
      <c r="C26" t="s">
        <v>796</v>
      </c>
      <c r="D26">
        <v>-0.1</v>
      </c>
      <c r="E26">
        <v>-1</v>
      </c>
      <c r="F26">
        <v>0</v>
      </c>
      <c r="G26">
        <v>7060977</v>
      </c>
    </row>
    <row r="27" spans="2:7" x14ac:dyDescent="0.25">
      <c r="B27" t="s">
        <v>833</v>
      </c>
      <c r="C27">
        <v>1421099</v>
      </c>
    </row>
    <row r="28" spans="2:7" x14ac:dyDescent="0.25">
      <c r="B28" t="s">
        <v>830</v>
      </c>
      <c r="C28" t="s">
        <v>795</v>
      </c>
      <c r="D28">
        <v>0.1</v>
      </c>
      <c r="E28">
        <v>1</v>
      </c>
      <c r="F28">
        <v>0</v>
      </c>
      <c r="G28">
        <v>7064898</v>
      </c>
    </row>
    <row r="29" spans="2:7" x14ac:dyDescent="0.25">
      <c r="B29" t="s">
        <v>378</v>
      </c>
      <c r="C29">
        <v>1421113</v>
      </c>
    </row>
    <row r="30" spans="2:7" x14ac:dyDescent="0.25">
      <c r="B30" t="s">
        <v>30</v>
      </c>
      <c r="C30" t="s">
        <v>793</v>
      </c>
      <c r="D30">
        <v>0</v>
      </c>
      <c r="E30">
        <v>1</v>
      </c>
      <c r="F30">
        <v>0</v>
      </c>
      <c r="G30">
        <v>7065521</v>
      </c>
    </row>
    <row r="31" spans="2:7" x14ac:dyDescent="0.25">
      <c r="B31" t="s">
        <v>379</v>
      </c>
      <c r="C31">
        <v>1421115</v>
      </c>
    </row>
    <row r="32" spans="2:7" x14ac:dyDescent="0.25">
      <c r="B32" t="s">
        <v>830</v>
      </c>
      <c r="C32" t="s">
        <v>793</v>
      </c>
      <c r="D32">
        <v>0</v>
      </c>
      <c r="E32">
        <v>1</v>
      </c>
      <c r="F32">
        <v>0</v>
      </c>
      <c r="G32">
        <v>7065311</v>
      </c>
    </row>
    <row r="33" spans="2:8" x14ac:dyDescent="0.25">
      <c r="B33" t="s">
        <v>380</v>
      </c>
      <c r="C33">
        <v>1421119</v>
      </c>
    </row>
    <row r="34" spans="2:8" x14ac:dyDescent="0.25">
      <c r="B34" t="s">
        <v>30</v>
      </c>
      <c r="C34" t="s">
        <v>794</v>
      </c>
      <c r="D34">
        <v>0</v>
      </c>
      <c r="E34">
        <v>-1</v>
      </c>
      <c r="F34">
        <v>0</v>
      </c>
      <c r="G34">
        <v>4803203</v>
      </c>
    </row>
    <row r="35" spans="2:8" x14ac:dyDescent="0.25">
      <c r="B35" t="s">
        <v>381</v>
      </c>
      <c r="C35">
        <v>1421121</v>
      </c>
    </row>
    <row r="36" spans="2:8" x14ac:dyDescent="0.25">
      <c r="B36" t="s">
        <v>830</v>
      </c>
      <c r="C36" t="s">
        <v>794</v>
      </c>
      <c r="D36">
        <v>0</v>
      </c>
      <c r="E36">
        <v>-1</v>
      </c>
      <c r="F36">
        <v>0</v>
      </c>
      <c r="G36">
        <v>7065110</v>
      </c>
    </row>
    <row r="37" spans="2:8" x14ac:dyDescent="0.25">
      <c r="B37" t="s">
        <v>382</v>
      </c>
      <c r="C37">
        <v>1421123</v>
      </c>
    </row>
    <row r="38" spans="2:8" x14ac:dyDescent="0.25">
      <c r="B38" t="s">
        <v>830</v>
      </c>
      <c r="C38" t="s">
        <v>794</v>
      </c>
      <c r="D38">
        <v>0</v>
      </c>
      <c r="E38">
        <v>-1</v>
      </c>
      <c r="F38">
        <v>0</v>
      </c>
      <c r="G38">
        <v>7065244</v>
      </c>
    </row>
    <row r="39" spans="2:8" x14ac:dyDescent="0.25">
      <c r="B39" t="s">
        <v>383</v>
      </c>
      <c r="C39">
        <v>1421162</v>
      </c>
    </row>
    <row r="40" spans="2:8" s="14" customFormat="1" x14ac:dyDescent="0.25">
      <c r="B40" s="14" t="s">
        <v>1086</v>
      </c>
      <c r="C40" s="14" t="s">
        <v>802</v>
      </c>
      <c r="D40" s="14">
        <v>-0.3</v>
      </c>
      <c r="E40" s="14">
        <v>0.9</v>
      </c>
      <c r="F40" s="14">
        <v>0</v>
      </c>
      <c r="G40" s="14">
        <v>5152713</v>
      </c>
      <c r="H40" s="14" t="s">
        <v>810</v>
      </c>
    </row>
    <row r="41" spans="2:8" x14ac:dyDescent="0.25">
      <c r="B41" t="s">
        <v>384</v>
      </c>
      <c r="C41">
        <v>1421190</v>
      </c>
    </row>
    <row r="42" spans="2:8" s="14" customFormat="1" x14ac:dyDescent="0.25">
      <c r="B42" s="14" t="s">
        <v>1086</v>
      </c>
      <c r="C42" s="14" t="s">
        <v>834</v>
      </c>
      <c r="D42" s="14">
        <v>0.9</v>
      </c>
      <c r="E42" s="14">
        <v>0.4</v>
      </c>
      <c r="F42" s="14">
        <v>0</v>
      </c>
      <c r="G42" s="14">
        <v>5192183</v>
      </c>
      <c r="H42" s="14" t="s">
        <v>810</v>
      </c>
    </row>
    <row r="43" spans="2:8" x14ac:dyDescent="0.25">
      <c r="B43" t="s">
        <v>386</v>
      </c>
      <c r="C43">
        <v>1421246</v>
      </c>
    </row>
    <row r="44" spans="2:8" s="14" customFormat="1" x14ac:dyDescent="0.25">
      <c r="B44" s="14" t="s">
        <v>1086</v>
      </c>
      <c r="C44" s="14" t="s">
        <v>804</v>
      </c>
      <c r="D44" s="14">
        <v>0.9</v>
      </c>
      <c r="E44" s="14">
        <v>0.4</v>
      </c>
      <c r="F44" s="14">
        <v>0</v>
      </c>
      <c r="G44" s="14">
        <v>6535223</v>
      </c>
      <c r="H44" s="14" t="s">
        <v>803</v>
      </c>
    </row>
    <row r="45" spans="2:8" x14ac:dyDescent="0.25">
      <c r="B45" t="s">
        <v>388</v>
      </c>
      <c r="C45">
        <v>1421272</v>
      </c>
    </row>
    <row r="46" spans="2:8" s="14" customFormat="1" x14ac:dyDescent="0.25">
      <c r="B46" s="14" t="s">
        <v>1086</v>
      </c>
      <c r="C46" s="14" t="s">
        <v>835</v>
      </c>
      <c r="D46" s="14">
        <v>1</v>
      </c>
      <c r="E46" s="14">
        <v>0.3</v>
      </c>
      <c r="F46" s="14">
        <v>0</v>
      </c>
      <c r="G46" s="14">
        <v>5193943</v>
      </c>
      <c r="H46" s="14" t="s">
        <v>803</v>
      </c>
    </row>
    <row r="47" spans="2:8" x14ac:dyDescent="0.25">
      <c r="B47" t="s">
        <v>389</v>
      </c>
      <c r="C47">
        <v>1421274</v>
      </c>
    </row>
    <row r="48" spans="2:8" s="14" customFormat="1" x14ac:dyDescent="0.25">
      <c r="B48" s="14" t="s">
        <v>1086</v>
      </c>
      <c r="C48" s="14" t="s">
        <v>836</v>
      </c>
      <c r="D48" s="14">
        <v>1</v>
      </c>
      <c r="E48" s="14">
        <v>0.3</v>
      </c>
      <c r="F48" s="14">
        <v>0</v>
      </c>
      <c r="G48" s="14">
        <v>6535143</v>
      </c>
      <c r="H48" s="14" t="s">
        <v>803</v>
      </c>
    </row>
    <row r="49" spans="2:8" x14ac:dyDescent="0.25">
      <c r="B49" t="s">
        <v>391</v>
      </c>
      <c r="C49">
        <v>1421286</v>
      </c>
    </row>
    <row r="50" spans="2:8" s="14" customFormat="1" x14ac:dyDescent="0.25">
      <c r="B50" s="14" t="s">
        <v>1086</v>
      </c>
      <c r="C50" s="14" t="s">
        <v>802</v>
      </c>
      <c r="D50" s="14">
        <v>-0.3</v>
      </c>
      <c r="E50" s="14">
        <v>0.9</v>
      </c>
      <c r="F50" s="14">
        <v>0</v>
      </c>
      <c r="G50" s="14">
        <v>5152712</v>
      </c>
      <c r="H50" s="14" t="s">
        <v>810</v>
      </c>
    </row>
    <row r="51" spans="2:8" x14ac:dyDescent="0.25">
      <c r="B51" t="s">
        <v>392</v>
      </c>
      <c r="C51">
        <v>1421288</v>
      </c>
    </row>
    <row r="52" spans="2:8" x14ac:dyDescent="0.25">
      <c r="B52" t="s">
        <v>814</v>
      </c>
      <c r="C52" t="s">
        <v>802</v>
      </c>
      <c r="D52">
        <v>-0.3</v>
      </c>
      <c r="E52">
        <v>0.9</v>
      </c>
      <c r="F52">
        <v>0</v>
      </c>
      <c r="G52">
        <v>7058454</v>
      </c>
    </row>
    <row r="53" spans="2:8" x14ac:dyDescent="0.25">
      <c r="B53" s="14" t="s">
        <v>1087</v>
      </c>
      <c r="C53" t="s">
        <v>802</v>
      </c>
      <c r="D53">
        <v>-0.3</v>
      </c>
      <c r="E53">
        <v>0.9</v>
      </c>
      <c r="F53">
        <v>0</v>
      </c>
      <c r="G53" t="s">
        <v>1058</v>
      </c>
    </row>
    <row r="54" spans="2:8" x14ac:dyDescent="0.25">
      <c r="B54" t="s">
        <v>393</v>
      </c>
      <c r="C54">
        <v>1421290</v>
      </c>
    </row>
    <row r="55" spans="2:8" x14ac:dyDescent="0.25">
      <c r="B55" t="s">
        <v>30</v>
      </c>
      <c r="C55" t="s">
        <v>802</v>
      </c>
      <c r="D55">
        <v>-0.3</v>
      </c>
      <c r="E55">
        <v>0.9</v>
      </c>
      <c r="F55">
        <v>0</v>
      </c>
      <c r="G55">
        <v>5152709</v>
      </c>
    </row>
    <row r="56" spans="2:8" x14ac:dyDescent="0.25">
      <c r="B56" t="s">
        <v>394</v>
      </c>
      <c r="C56">
        <v>1421292</v>
      </c>
    </row>
    <row r="57" spans="2:8" x14ac:dyDescent="0.25">
      <c r="B57" t="s">
        <v>814</v>
      </c>
      <c r="C57" t="s">
        <v>802</v>
      </c>
      <c r="D57">
        <v>-0.3</v>
      </c>
      <c r="E57">
        <v>0.9</v>
      </c>
      <c r="F57">
        <v>0</v>
      </c>
      <c r="G57">
        <v>7058672</v>
      </c>
    </row>
    <row r="58" spans="2:8" x14ac:dyDescent="0.25">
      <c r="B58" s="14" t="s">
        <v>1087</v>
      </c>
      <c r="C58" t="s">
        <v>802</v>
      </c>
      <c r="D58">
        <v>-0.3</v>
      </c>
      <c r="E58">
        <v>0.9</v>
      </c>
      <c r="F58">
        <v>0</v>
      </c>
      <c r="G58" t="s">
        <v>1058</v>
      </c>
    </row>
    <row r="59" spans="2:8" x14ac:dyDescent="0.25">
      <c r="B59" t="s">
        <v>395</v>
      </c>
      <c r="C59">
        <v>1421294</v>
      </c>
    </row>
    <row r="60" spans="2:8" x14ac:dyDescent="0.25">
      <c r="B60" t="s">
        <v>814</v>
      </c>
      <c r="C60" t="s">
        <v>802</v>
      </c>
      <c r="D60">
        <v>-0.3</v>
      </c>
      <c r="E60">
        <v>0.9</v>
      </c>
      <c r="F60">
        <v>0</v>
      </c>
      <c r="G60">
        <v>7058794</v>
      </c>
    </row>
    <row r="61" spans="2:8" x14ac:dyDescent="0.25">
      <c r="B61" s="14" t="s">
        <v>1087</v>
      </c>
      <c r="C61" t="s">
        <v>802</v>
      </c>
      <c r="D61">
        <v>-0.3</v>
      </c>
      <c r="E61">
        <v>0.9</v>
      </c>
      <c r="F61">
        <v>0</v>
      </c>
      <c r="G61" t="s">
        <v>1058</v>
      </c>
    </row>
    <row r="62" spans="2:8" x14ac:dyDescent="0.25">
      <c r="B62" t="s">
        <v>396</v>
      </c>
      <c r="C62">
        <v>1421296</v>
      </c>
    </row>
    <row r="63" spans="2:8" x14ac:dyDescent="0.25">
      <c r="B63" t="s">
        <v>814</v>
      </c>
      <c r="C63" t="s">
        <v>802</v>
      </c>
      <c r="D63">
        <v>-0.3</v>
      </c>
      <c r="E63">
        <v>0.9</v>
      </c>
      <c r="F63">
        <v>0</v>
      </c>
      <c r="G63">
        <v>7059039</v>
      </c>
    </row>
    <row r="64" spans="2:8" x14ac:dyDescent="0.25">
      <c r="B64" s="14" t="s">
        <v>1087</v>
      </c>
      <c r="C64" t="s">
        <v>802</v>
      </c>
      <c r="D64">
        <v>-0.3</v>
      </c>
      <c r="E64">
        <v>0.9</v>
      </c>
      <c r="F64">
        <v>0</v>
      </c>
      <c r="G64" t="s">
        <v>1058</v>
      </c>
    </row>
    <row r="65" spans="2:7" x14ac:dyDescent="0.25">
      <c r="B65" t="s">
        <v>399</v>
      </c>
      <c r="C65">
        <v>1421302</v>
      </c>
    </row>
    <row r="66" spans="2:7" x14ac:dyDescent="0.25">
      <c r="B66" s="14" t="s">
        <v>1087</v>
      </c>
      <c r="C66" t="s">
        <v>802</v>
      </c>
      <c r="D66">
        <v>0.3</v>
      </c>
      <c r="E66">
        <v>-0.9</v>
      </c>
      <c r="F66">
        <v>0</v>
      </c>
      <c r="G66" t="s">
        <v>1058</v>
      </c>
    </row>
    <row r="67" spans="2:7" x14ac:dyDescent="0.25">
      <c r="B67" t="s">
        <v>814</v>
      </c>
      <c r="C67" t="s">
        <v>329</v>
      </c>
      <c r="D67">
        <v>0.3</v>
      </c>
      <c r="E67">
        <v>-0.9</v>
      </c>
      <c r="F67">
        <v>0</v>
      </c>
      <c r="G67">
        <v>7057725</v>
      </c>
    </row>
    <row r="68" spans="2:7" x14ac:dyDescent="0.25">
      <c r="B68" t="s">
        <v>400</v>
      </c>
      <c r="C68">
        <v>1421304</v>
      </c>
    </row>
    <row r="69" spans="2:7" x14ac:dyDescent="0.25">
      <c r="B69" t="s">
        <v>814</v>
      </c>
      <c r="C69" t="s">
        <v>329</v>
      </c>
      <c r="D69">
        <v>0.3</v>
      </c>
      <c r="E69">
        <v>-0.9</v>
      </c>
      <c r="F69">
        <v>0</v>
      </c>
      <c r="G69">
        <v>7057571</v>
      </c>
    </row>
    <row r="70" spans="2:7" x14ac:dyDescent="0.25">
      <c r="B70" s="14" t="s">
        <v>1087</v>
      </c>
      <c r="C70" t="s">
        <v>802</v>
      </c>
      <c r="D70">
        <v>0.3</v>
      </c>
      <c r="E70">
        <v>-0.9</v>
      </c>
      <c r="F70">
        <v>0</v>
      </c>
      <c r="G70" t="s">
        <v>1058</v>
      </c>
    </row>
    <row r="71" spans="2:7" x14ac:dyDescent="0.25">
      <c r="B71" t="s">
        <v>401</v>
      </c>
      <c r="C71">
        <v>1421306</v>
      </c>
    </row>
    <row r="72" spans="2:7" x14ac:dyDescent="0.25">
      <c r="B72" t="s">
        <v>814</v>
      </c>
      <c r="C72" t="s">
        <v>329</v>
      </c>
      <c r="D72">
        <v>0.3</v>
      </c>
      <c r="E72">
        <v>-0.9</v>
      </c>
      <c r="F72">
        <v>0</v>
      </c>
      <c r="G72">
        <v>7057404</v>
      </c>
    </row>
    <row r="73" spans="2:7" x14ac:dyDescent="0.25">
      <c r="B73" s="14" t="s">
        <v>1087</v>
      </c>
      <c r="C73" t="s">
        <v>802</v>
      </c>
      <c r="D73">
        <v>0.3</v>
      </c>
      <c r="E73">
        <v>-0.9</v>
      </c>
      <c r="F73">
        <v>0</v>
      </c>
      <c r="G73" t="s">
        <v>1058</v>
      </c>
    </row>
    <row r="74" spans="2:7" x14ac:dyDescent="0.25">
      <c r="B74" t="s">
        <v>402</v>
      </c>
      <c r="C74">
        <v>1421310</v>
      </c>
    </row>
    <row r="75" spans="2:7" x14ac:dyDescent="0.25">
      <c r="B75" t="s">
        <v>814</v>
      </c>
      <c r="C75" t="s">
        <v>6</v>
      </c>
      <c r="D75">
        <v>-0.2</v>
      </c>
      <c r="E75">
        <v>1</v>
      </c>
      <c r="F75">
        <v>0</v>
      </c>
      <c r="G75">
        <v>7056755</v>
      </c>
    </row>
    <row r="76" spans="2:7" x14ac:dyDescent="0.25">
      <c r="B76" s="14" t="s">
        <v>1087</v>
      </c>
      <c r="C76" t="s">
        <v>802</v>
      </c>
      <c r="D76">
        <v>-0.2</v>
      </c>
      <c r="E76">
        <v>1</v>
      </c>
      <c r="F76">
        <v>0</v>
      </c>
      <c r="G76" t="s">
        <v>1058</v>
      </c>
    </row>
    <row r="77" spans="2:7" x14ac:dyDescent="0.25">
      <c r="B77" t="s">
        <v>403</v>
      </c>
      <c r="C77">
        <v>1421312</v>
      </c>
    </row>
    <row r="78" spans="2:7" x14ac:dyDescent="0.25">
      <c r="B78" t="s">
        <v>814</v>
      </c>
      <c r="C78" t="s">
        <v>6</v>
      </c>
      <c r="D78">
        <v>-0.2</v>
      </c>
      <c r="E78">
        <v>1</v>
      </c>
      <c r="F78">
        <v>0</v>
      </c>
      <c r="G78">
        <v>7056786</v>
      </c>
    </row>
    <row r="79" spans="2:7" x14ac:dyDescent="0.25">
      <c r="B79" s="14" t="s">
        <v>1087</v>
      </c>
      <c r="C79" t="s">
        <v>802</v>
      </c>
      <c r="D79">
        <v>-0.2</v>
      </c>
      <c r="E79">
        <v>1</v>
      </c>
      <c r="F79">
        <v>0</v>
      </c>
      <c r="G79" t="s">
        <v>1058</v>
      </c>
    </row>
    <row r="80" spans="2:7" x14ac:dyDescent="0.25">
      <c r="B80" t="s">
        <v>404</v>
      </c>
      <c r="C80">
        <v>1421314</v>
      </c>
    </row>
    <row r="81" spans="2:7" x14ac:dyDescent="0.25">
      <c r="B81" t="s">
        <v>814</v>
      </c>
      <c r="C81" t="s">
        <v>6</v>
      </c>
      <c r="D81">
        <v>-0.2</v>
      </c>
      <c r="E81">
        <v>1</v>
      </c>
      <c r="F81">
        <v>0</v>
      </c>
      <c r="G81">
        <v>7056832</v>
      </c>
    </row>
    <row r="82" spans="2:7" x14ac:dyDescent="0.25">
      <c r="B82" s="14" t="s">
        <v>1087</v>
      </c>
      <c r="C82" t="s">
        <v>802</v>
      </c>
      <c r="D82">
        <v>-0.2</v>
      </c>
      <c r="E82">
        <v>1</v>
      </c>
      <c r="F82">
        <v>0</v>
      </c>
      <c r="G82" t="s">
        <v>1058</v>
      </c>
    </row>
    <row r="83" spans="2:7" x14ac:dyDescent="0.25">
      <c r="B83" t="s">
        <v>405</v>
      </c>
      <c r="C83">
        <v>1421316</v>
      </c>
    </row>
    <row r="84" spans="2:7" x14ac:dyDescent="0.25">
      <c r="B84" t="s">
        <v>814</v>
      </c>
      <c r="C84" t="s">
        <v>6</v>
      </c>
      <c r="D84">
        <v>-0.2</v>
      </c>
      <c r="E84">
        <v>1</v>
      </c>
      <c r="F84">
        <v>0</v>
      </c>
      <c r="G84">
        <v>7056569</v>
      </c>
    </row>
    <row r="85" spans="2:7" x14ac:dyDescent="0.25">
      <c r="B85" s="14" t="s">
        <v>1087</v>
      </c>
      <c r="C85" t="s">
        <v>802</v>
      </c>
      <c r="D85">
        <v>-0.2</v>
      </c>
      <c r="E85">
        <v>1</v>
      </c>
      <c r="F85">
        <v>0</v>
      </c>
      <c r="G85" t="s">
        <v>1058</v>
      </c>
    </row>
    <row r="86" spans="2:7" x14ac:dyDescent="0.25">
      <c r="B86" t="s">
        <v>406</v>
      </c>
      <c r="C86">
        <v>1421318</v>
      </c>
    </row>
    <row r="87" spans="2:7" x14ac:dyDescent="0.25">
      <c r="B87" t="s">
        <v>38</v>
      </c>
      <c r="C87" t="s">
        <v>6</v>
      </c>
      <c r="D87">
        <v>-0.2</v>
      </c>
      <c r="E87">
        <v>1</v>
      </c>
      <c r="F87">
        <v>0</v>
      </c>
      <c r="G87">
        <v>4839905</v>
      </c>
    </row>
    <row r="88" spans="2:7" x14ac:dyDescent="0.25">
      <c r="B88" t="s">
        <v>407</v>
      </c>
      <c r="C88">
        <v>1421320</v>
      </c>
    </row>
    <row r="89" spans="2:7" x14ac:dyDescent="0.25">
      <c r="B89" t="s">
        <v>814</v>
      </c>
      <c r="C89" t="s">
        <v>5</v>
      </c>
      <c r="D89">
        <v>0.2</v>
      </c>
      <c r="E89">
        <v>-1</v>
      </c>
      <c r="F89">
        <v>0</v>
      </c>
      <c r="G89">
        <v>7055204</v>
      </c>
    </row>
    <row r="90" spans="2:7" x14ac:dyDescent="0.25">
      <c r="B90" s="14" t="s">
        <v>1087</v>
      </c>
      <c r="C90" t="s">
        <v>802</v>
      </c>
      <c r="D90">
        <v>-0.2</v>
      </c>
      <c r="E90">
        <v>1</v>
      </c>
      <c r="F90">
        <v>0</v>
      </c>
      <c r="G90" t="s">
        <v>1058</v>
      </c>
    </row>
    <row r="91" spans="2:7" x14ac:dyDescent="0.25">
      <c r="B91" t="s">
        <v>408</v>
      </c>
      <c r="C91">
        <v>1421322</v>
      </c>
    </row>
    <row r="92" spans="2:7" x14ac:dyDescent="0.25">
      <c r="B92" t="s">
        <v>814</v>
      </c>
      <c r="C92" t="s">
        <v>5</v>
      </c>
      <c r="D92">
        <v>0.2</v>
      </c>
      <c r="E92">
        <v>-1</v>
      </c>
      <c r="F92">
        <v>0</v>
      </c>
      <c r="G92">
        <v>7055205</v>
      </c>
    </row>
    <row r="93" spans="2:7" x14ac:dyDescent="0.25">
      <c r="B93" s="14" t="s">
        <v>1087</v>
      </c>
      <c r="C93" t="s">
        <v>802</v>
      </c>
      <c r="D93">
        <v>-0.2</v>
      </c>
      <c r="E93">
        <v>1</v>
      </c>
      <c r="F93">
        <v>0</v>
      </c>
      <c r="G93" t="s">
        <v>1058</v>
      </c>
    </row>
    <row r="94" spans="2:7" x14ac:dyDescent="0.25">
      <c r="B94" t="s">
        <v>409</v>
      </c>
      <c r="C94">
        <v>1421324</v>
      </c>
    </row>
    <row r="95" spans="2:7" x14ac:dyDescent="0.25">
      <c r="B95" t="s">
        <v>814</v>
      </c>
      <c r="C95" t="s">
        <v>5</v>
      </c>
      <c r="D95">
        <v>0.2</v>
      </c>
      <c r="E95">
        <v>-1</v>
      </c>
      <c r="F95">
        <v>0</v>
      </c>
      <c r="G95">
        <v>7055206</v>
      </c>
    </row>
    <row r="96" spans="2:7" x14ac:dyDescent="0.25">
      <c r="B96" s="14" t="s">
        <v>1087</v>
      </c>
      <c r="C96" t="s">
        <v>802</v>
      </c>
      <c r="D96">
        <v>-0.2</v>
      </c>
      <c r="E96">
        <v>1</v>
      </c>
      <c r="F96">
        <v>0</v>
      </c>
      <c r="G96" t="s">
        <v>1058</v>
      </c>
    </row>
    <row r="97" spans="2:7" x14ac:dyDescent="0.25">
      <c r="B97" t="s">
        <v>410</v>
      </c>
      <c r="C97">
        <v>1421326</v>
      </c>
    </row>
    <row r="98" spans="2:7" x14ac:dyDescent="0.25">
      <c r="B98" t="s">
        <v>814</v>
      </c>
      <c r="C98" t="s">
        <v>5</v>
      </c>
      <c r="D98">
        <v>0.2</v>
      </c>
      <c r="E98">
        <v>-1</v>
      </c>
      <c r="F98">
        <v>0</v>
      </c>
      <c r="G98">
        <v>7055224</v>
      </c>
    </row>
    <row r="99" spans="2:7" x14ac:dyDescent="0.25">
      <c r="B99" s="14" t="s">
        <v>1087</v>
      </c>
      <c r="C99" t="s">
        <v>802</v>
      </c>
      <c r="D99">
        <v>-0.2</v>
      </c>
      <c r="E99">
        <v>1</v>
      </c>
      <c r="F99">
        <v>0</v>
      </c>
      <c r="G99" t="s">
        <v>1058</v>
      </c>
    </row>
    <row r="100" spans="2:7" x14ac:dyDescent="0.25">
      <c r="B100" t="s">
        <v>411</v>
      </c>
      <c r="C100">
        <v>1421328</v>
      </c>
    </row>
    <row r="101" spans="2:7" x14ac:dyDescent="0.25">
      <c r="B101" t="s">
        <v>814</v>
      </c>
      <c r="C101" t="s">
        <v>5</v>
      </c>
      <c r="D101">
        <v>0.2</v>
      </c>
      <c r="E101">
        <v>-1</v>
      </c>
      <c r="F101">
        <v>0</v>
      </c>
      <c r="G101">
        <v>7055272</v>
      </c>
    </row>
    <row r="102" spans="2:7" x14ac:dyDescent="0.25">
      <c r="B102" s="14" t="s">
        <v>1087</v>
      </c>
      <c r="C102" t="s">
        <v>802</v>
      </c>
      <c r="D102">
        <v>-0.2</v>
      </c>
      <c r="E102">
        <v>1</v>
      </c>
      <c r="F102">
        <v>0</v>
      </c>
      <c r="G102" t="s">
        <v>1058</v>
      </c>
    </row>
    <row r="103" spans="2:7" x14ac:dyDescent="0.25">
      <c r="B103" t="s">
        <v>412</v>
      </c>
      <c r="C103">
        <v>1421330</v>
      </c>
    </row>
    <row r="104" spans="2:7" x14ac:dyDescent="0.25">
      <c r="B104" t="s">
        <v>814</v>
      </c>
      <c r="C104" t="s">
        <v>5</v>
      </c>
      <c r="D104">
        <v>0.2</v>
      </c>
      <c r="E104">
        <v>-1</v>
      </c>
      <c r="F104">
        <v>0</v>
      </c>
      <c r="G104">
        <v>7055891</v>
      </c>
    </row>
    <row r="105" spans="2:7" x14ac:dyDescent="0.25">
      <c r="B105" s="14" t="s">
        <v>1087</v>
      </c>
      <c r="C105" t="s">
        <v>802</v>
      </c>
      <c r="D105">
        <v>-0.2</v>
      </c>
      <c r="E105">
        <v>1</v>
      </c>
      <c r="F105">
        <v>0</v>
      </c>
      <c r="G105" t="s">
        <v>1058</v>
      </c>
    </row>
    <row r="106" spans="2:7" x14ac:dyDescent="0.25">
      <c r="B106" t="s">
        <v>413</v>
      </c>
      <c r="C106">
        <v>1421332</v>
      </c>
    </row>
    <row r="107" spans="2:7" x14ac:dyDescent="0.25">
      <c r="B107" t="s">
        <v>814</v>
      </c>
      <c r="C107" t="s">
        <v>5</v>
      </c>
      <c r="D107">
        <v>0.2</v>
      </c>
      <c r="E107">
        <v>-1</v>
      </c>
      <c r="F107">
        <v>0</v>
      </c>
      <c r="G107">
        <v>7055961</v>
      </c>
    </row>
    <row r="108" spans="2:7" x14ac:dyDescent="0.25">
      <c r="B108" s="14" t="s">
        <v>1087</v>
      </c>
      <c r="C108" t="s">
        <v>802</v>
      </c>
      <c r="D108">
        <v>-0.2</v>
      </c>
      <c r="E108">
        <v>1</v>
      </c>
      <c r="F108">
        <v>0</v>
      </c>
      <c r="G108" t="s">
        <v>1058</v>
      </c>
    </row>
    <row r="109" spans="2:7" x14ac:dyDescent="0.25">
      <c r="B109" t="s">
        <v>414</v>
      </c>
      <c r="C109">
        <v>1421334</v>
      </c>
    </row>
    <row r="110" spans="2:7" x14ac:dyDescent="0.25">
      <c r="B110" t="s">
        <v>814</v>
      </c>
      <c r="C110" t="s">
        <v>5</v>
      </c>
      <c r="D110">
        <v>0.2</v>
      </c>
      <c r="E110">
        <v>-1</v>
      </c>
      <c r="F110">
        <v>0</v>
      </c>
      <c r="G110">
        <v>7055995</v>
      </c>
    </row>
    <row r="111" spans="2:7" x14ac:dyDescent="0.25">
      <c r="B111" s="14" t="s">
        <v>1087</v>
      </c>
      <c r="C111" t="s">
        <v>802</v>
      </c>
      <c r="D111">
        <v>-0.2</v>
      </c>
      <c r="E111">
        <v>1</v>
      </c>
      <c r="F111">
        <v>0</v>
      </c>
      <c r="G111" t="s">
        <v>1058</v>
      </c>
    </row>
    <row r="112" spans="2:7" x14ac:dyDescent="0.25">
      <c r="B112" t="s">
        <v>418</v>
      </c>
      <c r="C112">
        <v>1421442</v>
      </c>
    </row>
    <row r="113" spans="2:7" x14ac:dyDescent="0.25">
      <c r="B113" t="s">
        <v>38</v>
      </c>
      <c r="C113" t="s">
        <v>815</v>
      </c>
      <c r="D113">
        <v>-0.5</v>
      </c>
      <c r="E113">
        <v>0.8</v>
      </c>
      <c r="F113">
        <v>0</v>
      </c>
      <c r="G113">
        <v>6091440</v>
      </c>
    </row>
    <row r="114" spans="2:7" x14ac:dyDescent="0.25">
      <c r="B114" t="s">
        <v>419</v>
      </c>
      <c r="C114">
        <v>1421454</v>
      </c>
    </row>
    <row r="115" spans="2:7" x14ac:dyDescent="0.25">
      <c r="B115" t="s">
        <v>27</v>
      </c>
      <c r="C115" t="s">
        <v>42</v>
      </c>
      <c r="D115">
        <v>0.5</v>
      </c>
      <c r="E115">
        <v>-0.8</v>
      </c>
      <c r="F115">
        <v>0</v>
      </c>
      <c r="G115">
        <v>4718414</v>
      </c>
    </row>
    <row r="116" spans="2:7" x14ac:dyDescent="0.25">
      <c r="B116" t="s">
        <v>420</v>
      </c>
      <c r="C116">
        <v>1421460</v>
      </c>
    </row>
    <row r="117" spans="2:7" x14ac:dyDescent="0.25">
      <c r="B117" t="s">
        <v>31</v>
      </c>
      <c r="C117" t="s">
        <v>42</v>
      </c>
      <c r="D117">
        <v>0.5</v>
      </c>
      <c r="E117">
        <v>-0.8</v>
      </c>
      <c r="F117">
        <v>0</v>
      </c>
      <c r="G117">
        <v>4717715</v>
      </c>
    </row>
    <row r="118" spans="2:7" x14ac:dyDescent="0.25">
      <c r="B118" t="s">
        <v>421</v>
      </c>
      <c r="C118">
        <v>1421472</v>
      </c>
    </row>
    <row r="119" spans="2:7" x14ac:dyDescent="0.25">
      <c r="B119" t="s">
        <v>30</v>
      </c>
      <c r="C119" t="s">
        <v>815</v>
      </c>
      <c r="D119">
        <v>-0.5</v>
      </c>
      <c r="E119">
        <v>0.8</v>
      </c>
      <c r="F119">
        <v>0</v>
      </c>
      <c r="G119">
        <v>6091435</v>
      </c>
    </row>
    <row r="120" spans="2:7" x14ac:dyDescent="0.25">
      <c r="B120" t="s">
        <v>422</v>
      </c>
      <c r="C120">
        <v>1421478</v>
      </c>
    </row>
    <row r="121" spans="2:7" x14ac:dyDescent="0.25">
      <c r="B121" t="s">
        <v>31</v>
      </c>
      <c r="C121" t="s">
        <v>815</v>
      </c>
      <c r="D121">
        <v>-0.5</v>
      </c>
      <c r="E121">
        <v>0.8</v>
      </c>
      <c r="F121">
        <v>0</v>
      </c>
      <c r="G121">
        <v>6562783</v>
      </c>
    </row>
    <row r="122" spans="2:7" x14ac:dyDescent="0.25">
      <c r="B122" t="s">
        <v>423</v>
      </c>
      <c r="C122">
        <v>1421482</v>
      </c>
    </row>
    <row r="123" spans="2:7" x14ac:dyDescent="0.25">
      <c r="B123" t="s">
        <v>31</v>
      </c>
      <c r="C123" t="s">
        <v>815</v>
      </c>
      <c r="D123">
        <v>-0.5</v>
      </c>
      <c r="E123">
        <v>0.8</v>
      </c>
      <c r="F123">
        <v>0</v>
      </c>
      <c r="G123">
        <v>6091426</v>
      </c>
    </row>
    <row r="124" spans="2:7" x14ac:dyDescent="0.25">
      <c r="B124" t="s">
        <v>424</v>
      </c>
      <c r="C124">
        <v>1421486</v>
      </c>
    </row>
    <row r="125" spans="2:7" x14ac:dyDescent="0.25">
      <c r="B125" t="s">
        <v>31</v>
      </c>
      <c r="C125" t="s">
        <v>42</v>
      </c>
      <c r="D125">
        <v>0.5</v>
      </c>
      <c r="E125">
        <v>-0.8</v>
      </c>
      <c r="F125">
        <v>0</v>
      </c>
      <c r="G125">
        <v>4718925</v>
      </c>
    </row>
    <row r="126" spans="2:7" x14ac:dyDescent="0.25">
      <c r="B126" t="s">
        <v>425</v>
      </c>
      <c r="C126">
        <v>1421488</v>
      </c>
    </row>
    <row r="127" spans="2:7" x14ac:dyDescent="0.25">
      <c r="B127" t="s">
        <v>33</v>
      </c>
      <c r="C127" t="s">
        <v>815</v>
      </c>
      <c r="D127">
        <v>-0.5</v>
      </c>
      <c r="E127">
        <v>0.8</v>
      </c>
      <c r="F127">
        <v>0</v>
      </c>
      <c r="G127">
        <v>6091425</v>
      </c>
    </row>
    <row r="128" spans="2:7" x14ac:dyDescent="0.25">
      <c r="B128" t="s">
        <v>426</v>
      </c>
      <c r="C128">
        <v>1421494</v>
      </c>
    </row>
    <row r="129" spans="2:8" x14ac:dyDescent="0.25">
      <c r="B129" t="s">
        <v>33</v>
      </c>
      <c r="C129" t="s">
        <v>815</v>
      </c>
      <c r="D129">
        <v>-0.5</v>
      </c>
      <c r="E129">
        <v>0.8</v>
      </c>
      <c r="F129">
        <v>0</v>
      </c>
      <c r="G129">
        <v>6091436</v>
      </c>
    </row>
    <row r="130" spans="2:8" x14ac:dyDescent="0.25">
      <c r="B130" t="s">
        <v>427</v>
      </c>
      <c r="C130">
        <v>1421512</v>
      </c>
    </row>
    <row r="131" spans="2:8" x14ac:dyDescent="0.25">
      <c r="B131" t="s">
        <v>30</v>
      </c>
      <c r="C131" t="s">
        <v>815</v>
      </c>
      <c r="D131">
        <v>-0.5</v>
      </c>
      <c r="E131">
        <v>0.8</v>
      </c>
      <c r="F131">
        <v>0</v>
      </c>
      <c r="G131">
        <v>6091431</v>
      </c>
    </row>
    <row r="132" spans="2:8" x14ac:dyDescent="0.25">
      <c r="B132" t="s">
        <v>428</v>
      </c>
      <c r="C132">
        <v>1421514</v>
      </c>
    </row>
    <row r="133" spans="2:8" x14ac:dyDescent="0.25">
      <c r="B133" t="s">
        <v>33</v>
      </c>
      <c r="C133" t="s">
        <v>815</v>
      </c>
      <c r="D133">
        <v>-0.5</v>
      </c>
      <c r="E133">
        <v>0.8</v>
      </c>
      <c r="F133">
        <v>0</v>
      </c>
      <c r="G133">
        <v>6091428</v>
      </c>
    </row>
    <row r="134" spans="2:8" x14ac:dyDescent="0.25">
      <c r="B134" t="s">
        <v>429</v>
      </c>
      <c r="C134">
        <v>1421516</v>
      </c>
    </row>
    <row r="135" spans="2:8" x14ac:dyDescent="0.25">
      <c r="B135" t="s">
        <v>27</v>
      </c>
      <c r="C135" t="s">
        <v>815</v>
      </c>
      <c r="D135">
        <v>-0.5</v>
      </c>
      <c r="E135">
        <v>0.8</v>
      </c>
      <c r="F135">
        <v>0</v>
      </c>
      <c r="G135">
        <v>6091427</v>
      </c>
    </row>
    <row r="136" spans="2:8" x14ac:dyDescent="0.25">
      <c r="B136" t="s">
        <v>430</v>
      </c>
      <c r="C136">
        <v>1421520</v>
      </c>
    </row>
    <row r="137" spans="2:8" x14ac:dyDescent="0.25">
      <c r="B137" t="s">
        <v>33</v>
      </c>
      <c r="C137" t="s">
        <v>42</v>
      </c>
      <c r="D137">
        <v>0.5</v>
      </c>
      <c r="E137">
        <v>-0.8</v>
      </c>
      <c r="F137">
        <v>0</v>
      </c>
      <c r="G137">
        <v>4721126</v>
      </c>
    </row>
    <row r="138" spans="2:8" x14ac:dyDescent="0.25">
      <c r="B138" t="s">
        <v>432</v>
      </c>
      <c r="C138">
        <v>1421554</v>
      </c>
    </row>
    <row r="139" spans="2:8" x14ac:dyDescent="0.25">
      <c r="B139" t="s">
        <v>30</v>
      </c>
      <c r="C139" t="s">
        <v>817</v>
      </c>
      <c r="D139">
        <v>-0.4</v>
      </c>
      <c r="E139">
        <v>0.9</v>
      </c>
      <c r="F139">
        <v>0</v>
      </c>
      <c r="G139">
        <v>4785969</v>
      </c>
    </row>
    <row r="140" spans="2:8" x14ac:dyDescent="0.25">
      <c r="B140" t="s">
        <v>27</v>
      </c>
      <c r="C140" t="s">
        <v>817</v>
      </c>
      <c r="D140">
        <v>-0.4</v>
      </c>
      <c r="E140">
        <v>0.9</v>
      </c>
      <c r="F140">
        <v>0</v>
      </c>
      <c r="G140">
        <v>5169417</v>
      </c>
    </row>
    <row r="141" spans="2:8" x14ac:dyDescent="0.25">
      <c r="B141" t="s">
        <v>433</v>
      </c>
      <c r="C141">
        <v>1421556</v>
      </c>
    </row>
    <row r="142" spans="2:8" s="14" customFormat="1" x14ac:dyDescent="0.25">
      <c r="B142" s="14" t="s">
        <v>1086</v>
      </c>
      <c r="C142" s="14" t="s">
        <v>327</v>
      </c>
      <c r="D142" s="14">
        <v>0.4</v>
      </c>
      <c r="E142" s="14">
        <v>-0.9</v>
      </c>
      <c r="F142" s="14">
        <v>0</v>
      </c>
      <c r="G142" s="14">
        <v>5152715</v>
      </c>
      <c r="H142" s="14" t="s">
        <v>803</v>
      </c>
    </row>
    <row r="143" spans="2:8" x14ac:dyDescent="0.25">
      <c r="B143" t="s">
        <v>434</v>
      </c>
      <c r="C143">
        <v>1421721</v>
      </c>
    </row>
    <row r="144" spans="2:8" x14ac:dyDescent="0.25">
      <c r="B144" t="s">
        <v>31</v>
      </c>
      <c r="C144" t="s">
        <v>327</v>
      </c>
      <c r="D144">
        <v>0.4</v>
      </c>
      <c r="E144">
        <v>-0.9</v>
      </c>
      <c r="F144">
        <v>0</v>
      </c>
      <c r="G144">
        <v>5186874</v>
      </c>
    </row>
    <row r="145" spans="2:8" x14ac:dyDescent="0.25">
      <c r="B145" t="s">
        <v>27</v>
      </c>
      <c r="C145" t="s">
        <v>327</v>
      </c>
      <c r="D145">
        <v>0.4</v>
      </c>
      <c r="E145">
        <v>-0.9</v>
      </c>
      <c r="F145">
        <v>0</v>
      </c>
      <c r="G145">
        <v>5186943</v>
      </c>
    </row>
    <row r="146" spans="2:8" x14ac:dyDescent="0.25">
      <c r="B146" t="s">
        <v>435</v>
      </c>
      <c r="C146">
        <v>1421725</v>
      </c>
    </row>
    <row r="147" spans="2:8" x14ac:dyDescent="0.25">
      <c r="B147" t="s">
        <v>31</v>
      </c>
      <c r="C147" t="s">
        <v>817</v>
      </c>
      <c r="D147">
        <v>-0.4</v>
      </c>
      <c r="E147">
        <v>0.9</v>
      </c>
      <c r="F147">
        <v>0</v>
      </c>
      <c r="G147">
        <v>4785966</v>
      </c>
    </row>
    <row r="148" spans="2:8" x14ac:dyDescent="0.25">
      <c r="B148" t="s">
        <v>27</v>
      </c>
      <c r="C148" t="s">
        <v>817</v>
      </c>
      <c r="D148">
        <v>-0.4</v>
      </c>
      <c r="E148">
        <v>0.9</v>
      </c>
      <c r="F148">
        <v>0</v>
      </c>
      <c r="G148">
        <v>4785967</v>
      </c>
    </row>
    <row r="149" spans="2:8" x14ac:dyDescent="0.25">
      <c r="B149" t="s">
        <v>436</v>
      </c>
      <c r="C149">
        <v>1421729</v>
      </c>
    </row>
    <row r="150" spans="2:8" s="14" customFormat="1" x14ac:dyDescent="0.25">
      <c r="B150" s="14" t="s">
        <v>1086</v>
      </c>
      <c r="C150" s="14" t="s">
        <v>327</v>
      </c>
      <c r="D150" s="14">
        <v>0.4</v>
      </c>
      <c r="E150" s="14">
        <v>-0.9</v>
      </c>
      <c r="F150" s="14">
        <v>0</v>
      </c>
      <c r="G150" s="14">
        <v>5152719</v>
      </c>
      <c r="H150" s="14" t="s">
        <v>803</v>
      </c>
    </row>
    <row r="151" spans="2:8" x14ac:dyDescent="0.25">
      <c r="B151" t="s">
        <v>437</v>
      </c>
      <c r="C151">
        <v>1421735</v>
      </c>
    </row>
    <row r="152" spans="2:8" x14ac:dyDescent="0.25">
      <c r="B152" t="s">
        <v>30</v>
      </c>
      <c r="C152" t="s">
        <v>5</v>
      </c>
      <c r="D152">
        <v>0.2</v>
      </c>
      <c r="E152">
        <v>-1</v>
      </c>
      <c r="F152">
        <v>0</v>
      </c>
      <c r="G152">
        <v>5009730</v>
      </c>
    </row>
    <row r="153" spans="2:8" x14ac:dyDescent="0.25">
      <c r="B153" s="14" t="s">
        <v>1060</v>
      </c>
      <c r="C153" s="14" t="s">
        <v>847</v>
      </c>
      <c r="D153" s="14">
        <v>-1</v>
      </c>
      <c r="E153" s="14">
        <v>-0.1</v>
      </c>
      <c r="F153" s="14">
        <v>0</v>
      </c>
      <c r="G153" s="14" t="s">
        <v>1058</v>
      </c>
      <c r="H153" t="s">
        <v>1055</v>
      </c>
    </row>
    <row r="154" spans="2:8" x14ac:dyDescent="0.25">
      <c r="B154" t="s">
        <v>438</v>
      </c>
      <c r="C154">
        <v>1421765</v>
      </c>
    </row>
    <row r="155" spans="2:8" s="14" customFormat="1" x14ac:dyDescent="0.25">
      <c r="B155" s="14" t="s">
        <v>1086</v>
      </c>
      <c r="C155" s="14" t="s">
        <v>327</v>
      </c>
      <c r="D155" s="14">
        <v>0.4</v>
      </c>
      <c r="E155" s="14">
        <v>-0.9</v>
      </c>
      <c r="F155" s="14">
        <v>0</v>
      </c>
      <c r="G155" s="14">
        <v>5152718</v>
      </c>
      <c r="H155" s="14" t="s">
        <v>806</v>
      </c>
    </row>
    <row r="156" spans="2:8" x14ac:dyDescent="0.25">
      <c r="B156" t="s">
        <v>439</v>
      </c>
      <c r="C156">
        <v>1421767</v>
      </c>
    </row>
    <row r="157" spans="2:8" s="14" customFormat="1" x14ac:dyDescent="0.25">
      <c r="B157" s="14" t="s">
        <v>1086</v>
      </c>
      <c r="C157" s="14" t="s">
        <v>327</v>
      </c>
      <c r="D157" s="14">
        <v>0.4</v>
      </c>
      <c r="E157" s="14">
        <v>-0.9</v>
      </c>
      <c r="F157" s="14">
        <v>0</v>
      </c>
      <c r="G157" s="14">
        <v>5152717</v>
      </c>
      <c r="H157" s="14" t="s">
        <v>803</v>
      </c>
    </row>
    <row r="158" spans="2:8" x14ac:dyDescent="0.25">
      <c r="B158" t="s">
        <v>440</v>
      </c>
      <c r="C158">
        <v>1421769</v>
      </c>
    </row>
    <row r="159" spans="2:8" s="14" customFormat="1" x14ac:dyDescent="0.25">
      <c r="B159" s="14" t="s">
        <v>1086</v>
      </c>
      <c r="C159" s="14" t="s">
        <v>327</v>
      </c>
      <c r="D159" s="14">
        <v>0.4</v>
      </c>
      <c r="E159" s="14">
        <v>-0.9</v>
      </c>
      <c r="F159" s="14">
        <v>0</v>
      </c>
      <c r="G159" s="14">
        <v>5152716</v>
      </c>
      <c r="H159" s="14" t="s">
        <v>803</v>
      </c>
    </row>
    <row r="160" spans="2:8" x14ac:dyDescent="0.25">
      <c r="B160" t="s">
        <v>441</v>
      </c>
      <c r="C160">
        <v>1426499</v>
      </c>
    </row>
    <row r="161" spans="2:7" x14ac:dyDescent="0.25">
      <c r="B161" t="s">
        <v>27</v>
      </c>
      <c r="C161" t="s">
        <v>6</v>
      </c>
      <c r="D161">
        <v>-0.2</v>
      </c>
      <c r="E161">
        <v>1</v>
      </c>
      <c r="F161">
        <v>0</v>
      </c>
      <c r="G161">
        <v>4306484</v>
      </c>
    </row>
    <row r="162" spans="2:7" x14ac:dyDescent="0.25">
      <c r="B162" t="s">
        <v>33</v>
      </c>
      <c r="C162" t="s">
        <v>6</v>
      </c>
      <c r="D162">
        <v>-0.2</v>
      </c>
      <c r="E162">
        <v>1</v>
      </c>
      <c r="F162">
        <v>0</v>
      </c>
      <c r="G162">
        <v>4306488</v>
      </c>
    </row>
    <row r="163" spans="2:7" x14ac:dyDescent="0.25">
      <c r="B163" t="s">
        <v>442</v>
      </c>
      <c r="C163">
        <v>1426685</v>
      </c>
    </row>
    <row r="164" spans="2:7" x14ac:dyDescent="0.25">
      <c r="B164" t="s">
        <v>30</v>
      </c>
      <c r="C164" t="s">
        <v>1</v>
      </c>
      <c r="D164">
        <v>-1</v>
      </c>
      <c r="E164">
        <v>-0.2</v>
      </c>
      <c r="F164">
        <v>0</v>
      </c>
      <c r="G164">
        <v>5288075</v>
      </c>
    </row>
    <row r="165" spans="2:7" x14ac:dyDescent="0.25">
      <c r="B165" t="s">
        <v>443</v>
      </c>
      <c r="C165">
        <v>1426687</v>
      </c>
    </row>
    <row r="166" spans="2:7" x14ac:dyDescent="0.25">
      <c r="B166" t="s">
        <v>33</v>
      </c>
      <c r="C166" t="s">
        <v>6</v>
      </c>
      <c r="D166">
        <v>-0.2</v>
      </c>
      <c r="E166">
        <v>1</v>
      </c>
      <c r="F166">
        <v>0</v>
      </c>
      <c r="G166">
        <v>3418955</v>
      </c>
    </row>
    <row r="167" spans="2:7" x14ac:dyDescent="0.25">
      <c r="B167" t="s">
        <v>33</v>
      </c>
      <c r="C167" t="s">
        <v>6</v>
      </c>
      <c r="D167">
        <v>-0.2</v>
      </c>
      <c r="E167">
        <v>1</v>
      </c>
      <c r="F167">
        <v>0</v>
      </c>
      <c r="G167">
        <v>4826918</v>
      </c>
    </row>
    <row r="168" spans="2:7" x14ac:dyDescent="0.25">
      <c r="B168" t="s">
        <v>31</v>
      </c>
      <c r="C168" t="s">
        <v>6</v>
      </c>
      <c r="D168">
        <v>-0.2</v>
      </c>
      <c r="E168">
        <v>1</v>
      </c>
      <c r="F168">
        <v>0</v>
      </c>
      <c r="G168">
        <v>4826926</v>
      </c>
    </row>
    <row r="169" spans="2:7" x14ac:dyDescent="0.25">
      <c r="B169" t="s">
        <v>444</v>
      </c>
      <c r="C169">
        <v>1426805</v>
      </c>
    </row>
    <row r="170" spans="2:7" x14ac:dyDescent="0.25">
      <c r="B170" t="s">
        <v>31</v>
      </c>
      <c r="C170" t="s">
        <v>6</v>
      </c>
      <c r="D170">
        <v>-0.2</v>
      </c>
      <c r="E170">
        <v>1</v>
      </c>
      <c r="F170">
        <v>0</v>
      </c>
      <c r="G170">
        <v>3418852</v>
      </c>
    </row>
    <row r="171" spans="2:7" x14ac:dyDescent="0.25">
      <c r="B171" t="s">
        <v>33</v>
      </c>
      <c r="C171" t="s">
        <v>6</v>
      </c>
      <c r="D171">
        <v>-0.2</v>
      </c>
      <c r="E171">
        <v>1</v>
      </c>
      <c r="F171">
        <v>0</v>
      </c>
      <c r="G171">
        <v>3418883</v>
      </c>
    </row>
    <row r="172" spans="2:7" x14ac:dyDescent="0.25">
      <c r="B172" t="s">
        <v>33</v>
      </c>
      <c r="C172" t="s">
        <v>6</v>
      </c>
      <c r="D172">
        <v>-0.2</v>
      </c>
      <c r="E172">
        <v>1</v>
      </c>
      <c r="F172">
        <v>0</v>
      </c>
      <c r="G172">
        <v>3418911</v>
      </c>
    </row>
    <row r="173" spans="2:7" x14ac:dyDescent="0.25">
      <c r="B173" t="s">
        <v>30</v>
      </c>
      <c r="C173" t="s">
        <v>1</v>
      </c>
      <c r="D173">
        <v>-1</v>
      </c>
      <c r="E173">
        <v>-0.2</v>
      </c>
      <c r="F173">
        <v>0</v>
      </c>
      <c r="G173">
        <v>5287942</v>
      </c>
    </row>
    <row r="174" spans="2:7" x14ac:dyDescent="0.25">
      <c r="B174" t="s">
        <v>27</v>
      </c>
      <c r="C174" t="s">
        <v>1</v>
      </c>
      <c r="D174">
        <v>-1</v>
      </c>
      <c r="E174">
        <v>-0.2</v>
      </c>
      <c r="F174">
        <v>0</v>
      </c>
      <c r="G174">
        <v>5288002</v>
      </c>
    </row>
    <row r="175" spans="2:7" x14ac:dyDescent="0.25">
      <c r="B175" t="s">
        <v>445</v>
      </c>
      <c r="C175">
        <v>1426807</v>
      </c>
    </row>
    <row r="176" spans="2:7" x14ac:dyDescent="0.25">
      <c r="B176" t="s">
        <v>30</v>
      </c>
      <c r="C176" t="s">
        <v>6</v>
      </c>
      <c r="D176">
        <v>-0.2</v>
      </c>
      <c r="E176">
        <v>1</v>
      </c>
      <c r="F176">
        <v>0</v>
      </c>
      <c r="G176">
        <v>3418912</v>
      </c>
    </row>
    <row r="177" spans="2:7" x14ac:dyDescent="0.25">
      <c r="B177" t="s">
        <v>446</v>
      </c>
      <c r="C177">
        <v>1426817</v>
      </c>
    </row>
    <row r="178" spans="2:7" x14ac:dyDescent="0.25">
      <c r="B178" t="s">
        <v>27</v>
      </c>
      <c r="C178" t="s">
        <v>2</v>
      </c>
      <c r="D178">
        <v>1</v>
      </c>
      <c r="E178">
        <v>0.2</v>
      </c>
      <c r="F178">
        <v>0</v>
      </c>
      <c r="G178">
        <v>5065686</v>
      </c>
    </row>
    <row r="179" spans="2:7" x14ac:dyDescent="0.25">
      <c r="B179" t="s">
        <v>31</v>
      </c>
      <c r="C179" t="s">
        <v>2</v>
      </c>
      <c r="D179">
        <v>1</v>
      </c>
      <c r="E179">
        <v>0.2</v>
      </c>
      <c r="F179">
        <v>0</v>
      </c>
      <c r="G179">
        <v>5065688</v>
      </c>
    </row>
    <row r="180" spans="2:7" x14ac:dyDescent="0.25">
      <c r="B180" t="s">
        <v>447</v>
      </c>
      <c r="C180">
        <v>1426819</v>
      </c>
    </row>
    <row r="181" spans="2:7" x14ac:dyDescent="0.25">
      <c r="B181" t="s">
        <v>27</v>
      </c>
      <c r="C181" t="s">
        <v>2</v>
      </c>
      <c r="D181">
        <v>1</v>
      </c>
      <c r="E181">
        <v>0.2</v>
      </c>
      <c r="F181">
        <v>0</v>
      </c>
      <c r="G181">
        <v>5065684</v>
      </c>
    </row>
    <row r="182" spans="2:7" x14ac:dyDescent="0.25">
      <c r="B182" t="s">
        <v>31</v>
      </c>
      <c r="C182" t="s">
        <v>2</v>
      </c>
      <c r="D182">
        <v>1</v>
      </c>
      <c r="E182">
        <v>0.2</v>
      </c>
      <c r="F182">
        <v>0</v>
      </c>
      <c r="G182">
        <v>5065688</v>
      </c>
    </row>
    <row r="183" spans="2:7" x14ac:dyDescent="0.25">
      <c r="B183" t="s">
        <v>448</v>
      </c>
      <c r="C183">
        <v>1426843</v>
      </c>
    </row>
    <row r="184" spans="2:7" x14ac:dyDescent="0.25">
      <c r="B184" t="s">
        <v>31</v>
      </c>
      <c r="C184" t="s">
        <v>2</v>
      </c>
      <c r="D184">
        <v>1</v>
      </c>
      <c r="E184">
        <v>0.2</v>
      </c>
      <c r="F184">
        <v>0</v>
      </c>
      <c r="G184">
        <v>5065687</v>
      </c>
    </row>
    <row r="185" spans="2:7" x14ac:dyDescent="0.25">
      <c r="B185" t="s">
        <v>449</v>
      </c>
      <c r="C185">
        <v>1512587</v>
      </c>
    </row>
    <row r="186" spans="2:7" x14ac:dyDescent="0.25">
      <c r="B186" t="s">
        <v>33</v>
      </c>
      <c r="C186" t="s">
        <v>5</v>
      </c>
      <c r="D186">
        <v>0.2</v>
      </c>
      <c r="E186">
        <v>-1</v>
      </c>
      <c r="F186">
        <v>0</v>
      </c>
      <c r="G186">
        <v>4808465</v>
      </c>
    </row>
    <row r="187" spans="2:7" x14ac:dyDescent="0.25">
      <c r="B187" t="s">
        <v>450</v>
      </c>
      <c r="C187">
        <v>1512590</v>
      </c>
    </row>
    <row r="188" spans="2:7" x14ac:dyDescent="0.25">
      <c r="B188" t="s">
        <v>30</v>
      </c>
      <c r="C188" t="s">
        <v>5</v>
      </c>
      <c r="D188">
        <v>0.2</v>
      </c>
      <c r="E188">
        <v>-1</v>
      </c>
      <c r="F188">
        <v>0</v>
      </c>
      <c r="G188">
        <v>4808557</v>
      </c>
    </row>
    <row r="189" spans="2:7" x14ac:dyDescent="0.25">
      <c r="B189" t="s">
        <v>451</v>
      </c>
      <c r="C189">
        <v>1512591</v>
      </c>
    </row>
    <row r="190" spans="2:7" x14ac:dyDescent="0.25">
      <c r="B190" t="s">
        <v>31</v>
      </c>
      <c r="C190" t="s">
        <v>6</v>
      </c>
      <c r="D190">
        <v>-0.2</v>
      </c>
      <c r="E190">
        <v>1</v>
      </c>
      <c r="F190">
        <v>0</v>
      </c>
      <c r="G190">
        <v>4819493</v>
      </c>
    </row>
    <row r="191" spans="2:7" x14ac:dyDescent="0.25">
      <c r="B191" t="s">
        <v>452</v>
      </c>
      <c r="C191">
        <v>1512592</v>
      </c>
    </row>
    <row r="192" spans="2:7" x14ac:dyDescent="0.25">
      <c r="B192" t="s">
        <v>33</v>
      </c>
      <c r="C192" t="s">
        <v>6</v>
      </c>
      <c r="D192">
        <v>-0.2</v>
      </c>
      <c r="E192">
        <v>1</v>
      </c>
      <c r="F192">
        <v>0</v>
      </c>
      <c r="G192">
        <v>4818597</v>
      </c>
    </row>
    <row r="193" spans="2:7" x14ac:dyDescent="0.25">
      <c r="B193" t="s">
        <v>453</v>
      </c>
      <c r="C193">
        <v>1512594</v>
      </c>
    </row>
    <row r="194" spans="2:7" x14ac:dyDescent="0.25">
      <c r="B194" t="s">
        <v>31</v>
      </c>
      <c r="C194" t="s">
        <v>5</v>
      </c>
      <c r="D194">
        <v>0.2</v>
      </c>
      <c r="E194">
        <v>-1</v>
      </c>
      <c r="F194">
        <v>0</v>
      </c>
      <c r="G194">
        <v>4808275</v>
      </c>
    </row>
    <row r="195" spans="2:7" x14ac:dyDescent="0.25">
      <c r="B195" t="s">
        <v>454</v>
      </c>
      <c r="C195">
        <v>1512600</v>
      </c>
    </row>
    <row r="196" spans="2:7" x14ac:dyDescent="0.25">
      <c r="B196" t="s">
        <v>33</v>
      </c>
      <c r="C196" t="s">
        <v>6</v>
      </c>
      <c r="D196">
        <v>-0.2</v>
      </c>
      <c r="E196">
        <v>1</v>
      </c>
      <c r="F196">
        <v>0</v>
      </c>
      <c r="G196">
        <v>4822249</v>
      </c>
    </row>
    <row r="197" spans="2:7" x14ac:dyDescent="0.25">
      <c r="B197" t="s">
        <v>455</v>
      </c>
      <c r="C197">
        <v>1512601</v>
      </c>
    </row>
    <row r="198" spans="2:7" x14ac:dyDescent="0.25">
      <c r="B198" t="s">
        <v>31</v>
      </c>
      <c r="C198" t="s">
        <v>6</v>
      </c>
      <c r="D198">
        <v>-0.2</v>
      </c>
      <c r="E198">
        <v>1</v>
      </c>
      <c r="F198">
        <v>0</v>
      </c>
      <c r="G198">
        <v>4818772</v>
      </c>
    </row>
    <row r="199" spans="2:7" x14ac:dyDescent="0.25">
      <c r="B199" t="s">
        <v>456</v>
      </c>
      <c r="C199">
        <v>1512602</v>
      </c>
    </row>
    <row r="200" spans="2:7" x14ac:dyDescent="0.25">
      <c r="B200" t="s">
        <v>31</v>
      </c>
      <c r="C200" t="s">
        <v>6</v>
      </c>
      <c r="D200">
        <v>-0.2</v>
      </c>
      <c r="E200">
        <v>1</v>
      </c>
      <c r="F200">
        <v>0</v>
      </c>
      <c r="G200">
        <v>4821092</v>
      </c>
    </row>
    <row r="201" spans="2:7" x14ac:dyDescent="0.25">
      <c r="B201" t="s">
        <v>457</v>
      </c>
      <c r="C201">
        <v>1512603</v>
      </c>
    </row>
    <row r="202" spans="2:7" x14ac:dyDescent="0.25">
      <c r="B202" t="s">
        <v>33</v>
      </c>
      <c r="C202" t="s">
        <v>6</v>
      </c>
      <c r="D202">
        <v>-0.2</v>
      </c>
      <c r="E202">
        <v>1</v>
      </c>
      <c r="F202">
        <v>0</v>
      </c>
      <c r="G202">
        <v>4821156</v>
      </c>
    </row>
    <row r="203" spans="2:7" x14ac:dyDescent="0.25">
      <c r="B203" t="s">
        <v>458</v>
      </c>
      <c r="C203">
        <v>1512604</v>
      </c>
    </row>
    <row r="204" spans="2:7" x14ac:dyDescent="0.25">
      <c r="B204" t="s">
        <v>33</v>
      </c>
      <c r="C204" t="s">
        <v>6</v>
      </c>
      <c r="D204">
        <v>-0.2</v>
      </c>
      <c r="E204">
        <v>1</v>
      </c>
      <c r="F204">
        <v>0</v>
      </c>
      <c r="G204">
        <v>4821193</v>
      </c>
    </row>
    <row r="205" spans="2:7" x14ac:dyDescent="0.25">
      <c r="B205" t="s">
        <v>459</v>
      </c>
      <c r="C205">
        <v>1512605</v>
      </c>
    </row>
    <row r="206" spans="2:7" x14ac:dyDescent="0.25">
      <c r="B206" t="s">
        <v>30</v>
      </c>
      <c r="C206" t="s">
        <v>6</v>
      </c>
      <c r="D206">
        <v>-0.2</v>
      </c>
      <c r="E206">
        <v>1</v>
      </c>
      <c r="F206">
        <v>0</v>
      </c>
      <c r="G206">
        <v>4821644</v>
      </c>
    </row>
    <row r="207" spans="2:7" x14ac:dyDescent="0.25">
      <c r="B207" t="s">
        <v>460</v>
      </c>
      <c r="C207">
        <v>1512607</v>
      </c>
    </row>
    <row r="208" spans="2:7" x14ac:dyDescent="0.25">
      <c r="B208" t="s">
        <v>27</v>
      </c>
      <c r="C208" t="s">
        <v>5</v>
      </c>
      <c r="D208">
        <v>0.2</v>
      </c>
      <c r="E208">
        <v>-1</v>
      </c>
      <c r="F208">
        <v>0</v>
      </c>
      <c r="G208">
        <v>5010479</v>
      </c>
    </row>
    <row r="209" spans="2:8" x14ac:dyDescent="0.25">
      <c r="B209" t="s">
        <v>463</v>
      </c>
      <c r="C209">
        <v>1605284</v>
      </c>
    </row>
    <row r="210" spans="2:8" s="14" customFormat="1" x14ac:dyDescent="0.25">
      <c r="B210" s="14" t="s">
        <v>1086</v>
      </c>
      <c r="C210" s="14" t="s">
        <v>837</v>
      </c>
      <c r="D210" s="14">
        <v>0.9</v>
      </c>
      <c r="E210" s="14">
        <v>0.3</v>
      </c>
      <c r="F210" s="14">
        <v>0</v>
      </c>
      <c r="G210" s="14">
        <v>5183261</v>
      </c>
      <c r="H210" s="14" t="s">
        <v>803</v>
      </c>
    </row>
    <row r="211" spans="2:8" s="14" customFormat="1" x14ac:dyDescent="0.25">
      <c r="B211" s="14" t="s">
        <v>1086</v>
      </c>
      <c r="C211" s="14" t="s">
        <v>828</v>
      </c>
      <c r="D211" s="14">
        <v>0.9</v>
      </c>
      <c r="E211" s="14">
        <v>0.4</v>
      </c>
      <c r="F211" s="14">
        <v>0</v>
      </c>
      <c r="G211" s="14">
        <v>6552670</v>
      </c>
      <c r="H211" s="14" t="s">
        <v>803</v>
      </c>
    </row>
    <row r="212" spans="2:8" s="14" customFormat="1" x14ac:dyDescent="0.25">
      <c r="B212" s="14" t="s">
        <v>1086</v>
      </c>
      <c r="C212" s="14" t="s">
        <v>838</v>
      </c>
      <c r="D212" s="14">
        <v>0.9</v>
      </c>
      <c r="E212" s="14">
        <v>0.3</v>
      </c>
      <c r="F212" s="14">
        <v>0</v>
      </c>
      <c r="G212" s="14">
        <v>6552671</v>
      </c>
      <c r="H212" s="14" t="s">
        <v>803</v>
      </c>
    </row>
    <row r="213" spans="2:8" x14ac:dyDescent="0.25">
      <c r="B213" t="s">
        <v>466</v>
      </c>
      <c r="C213">
        <v>1605302</v>
      </c>
    </row>
    <row r="214" spans="2:8" x14ac:dyDescent="0.25">
      <c r="B214" t="s">
        <v>31</v>
      </c>
      <c r="C214" t="s">
        <v>42</v>
      </c>
      <c r="D214">
        <v>0.5</v>
      </c>
      <c r="E214">
        <v>-0.8</v>
      </c>
      <c r="F214">
        <v>0</v>
      </c>
      <c r="G214">
        <v>4718200</v>
      </c>
    </row>
    <row r="215" spans="2:8" x14ac:dyDescent="0.25">
      <c r="B215" t="s">
        <v>33</v>
      </c>
      <c r="C215" t="s">
        <v>815</v>
      </c>
      <c r="D215">
        <v>-0.5</v>
      </c>
      <c r="E215">
        <v>0.8</v>
      </c>
      <c r="F215">
        <v>0</v>
      </c>
      <c r="G215">
        <v>6091411</v>
      </c>
    </row>
    <row r="216" spans="2:8" x14ac:dyDescent="0.25">
      <c r="B216" t="s">
        <v>839</v>
      </c>
      <c r="C216">
        <v>1605759</v>
      </c>
    </row>
    <row r="217" spans="2:8" x14ac:dyDescent="0.25">
      <c r="B217" t="s">
        <v>814</v>
      </c>
      <c r="C217" t="s">
        <v>329</v>
      </c>
      <c r="D217">
        <v>0.3</v>
      </c>
      <c r="E217">
        <v>-0.9</v>
      </c>
      <c r="F217">
        <v>0</v>
      </c>
      <c r="G217">
        <v>7057404</v>
      </c>
    </row>
    <row r="218" spans="2:8" x14ac:dyDescent="0.25">
      <c r="B218" t="s">
        <v>470</v>
      </c>
      <c r="C218">
        <v>1605937</v>
      </c>
    </row>
    <row r="219" spans="2:8" x14ac:dyDescent="0.25">
      <c r="B219" t="s">
        <v>27</v>
      </c>
      <c r="C219" t="s">
        <v>2</v>
      </c>
      <c r="D219">
        <v>1</v>
      </c>
      <c r="E219">
        <v>0.2</v>
      </c>
      <c r="F219">
        <v>0</v>
      </c>
      <c r="G219">
        <v>3697573</v>
      </c>
    </row>
    <row r="220" spans="2:8" x14ac:dyDescent="0.25">
      <c r="B220" s="14" t="s">
        <v>1059</v>
      </c>
      <c r="C220" s="14" t="s">
        <v>795</v>
      </c>
      <c r="D220" s="14">
        <v>0.1</v>
      </c>
      <c r="E220" s="14">
        <v>1</v>
      </c>
      <c r="F220" s="14">
        <v>0</v>
      </c>
      <c r="G220" s="14">
        <v>4931361</v>
      </c>
      <c r="H220" t="s">
        <v>1055</v>
      </c>
    </row>
    <row r="221" spans="2:8" x14ac:dyDescent="0.25">
      <c r="B221" t="s">
        <v>471</v>
      </c>
      <c r="C221">
        <v>1605940</v>
      </c>
    </row>
    <row r="222" spans="2:8" x14ac:dyDescent="0.25">
      <c r="B222" t="s">
        <v>27</v>
      </c>
      <c r="C222" t="s">
        <v>796</v>
      </c>
      <c r="D222">
        <v>-0.1</v>
      </c>
      <c r="E222">
        <v>-1</v>
      </c>
      <c r="F222">
        <v>0</v>
      </c>
      <c r="G222">
        <v>4795722</v>
      </c>
    </row>
    <row r="223" spans="2:8" x14ac:dyDescent="0.25">
      <c r="B223" t="s">
        <v>28</v>
      </c>
      <c r="C223" t="s">
        <v>796</v>
      </c>
      <c r="D223">
        <v>-0.1</v>
      </c>
      <c r="E223">
        <v>-1</v>
      </c>
      <c r="F223">
        <v>0</v>
      </c>
      <c r="G223">
        <v>4795793</v>
      </c>
    </row>
    <row r="224" spans="2:8" x14ac:dyDescent="0.25">
      <c r="B224" t="s">
        <v>472</v>
      </c>
      <c r="C224">
        <v>1605943</v>
      </c>
    </row>
    <row r="225" spans="2:7" x14ac:dyDescent="0.25">
      <c r="B225" t="s">
        <v>30</v>
      </c>
      <c r="C225" t="s">
        <v>815</v>
      </c>
      <c r="D225">
        <v>-0.5</v>
      </c>
      <c r="E225">
        <v>0.8</v>
      </c>
      <c r="F225">
        <v>0</v>
      </c>
      <c r="G225">
        <v>6091462</v>
      </c>
    </row>
    <row r="226" spans="2:7" x14ac:dyDescent="0.25">
      <c r="B226" t="s">
        <v>27</v>
      </c>
      <c r="C226" t="s">
        <v>815</v>
      </c>
      <c r="D226">
        <v>-0.5</v>
      </c>
      <c r="E226">
        <v>0.8</v>
      </c>
      <c r="F226">
        <v>0</v>
      </c>
      <c r="G226">
        <v>6091465</v>
      </c>
    </row>
    <row r="227" spans="2:7" x14ac:dyDescent="0.25">
      <c r="B227" t="s">
        <v>473</v>
      </c>
      <c r="C227">
        <v>1605946</v>
      </c>
    </row>
    <row r="228" spans="2:7" x14ac:dyDescent="0.25">
      <c r="B228" t="s">
        <v>33</v>
      </c>
      <c r="C228" t="s">
        <v>5</v>
      </c>
      <c r="D228">
        <v>0.2</v>
      </c>
      <c r="E228">
        <v>-1</v>
      </c>
      <c r="F228">
        <v>0</v>
      </c>
      <c r="G228">
        <v>4870679</v>
      </c>
    </row>
    <row r="229" spans="2:7" x14ac:dyDescent="0.25">
      <c r="B229" t="s">
        <v>474</v>
      </c>
      <c r="C229">
        <v>1605949</v>
      </c>
    </row>
    <row r="230" spans="2:7" x14ac:dyDescent="0.25">
      <c r="B230" t="s">
        <v>33</v>
      </c>
      <c r="C230" t="s">
        <v>5</v>
      </c>
      <c r="D230">
        <v>0.2</v>
      </c>
      <c r="E230">
        <v>-1</v>
      </c>
      <c r="F230">
        <v>0</v>
      </c>
      <c r="G230">
        <v>4929824</v>
      </c>
    </row>
    <row r="231" spans="2:7" x14ac:dyDescent="0.25">
      <c r="B231" t="s">
        <v>475</v>
      </c>
      <c r="C231">
        <v>1627937</v>
      </c>
    </row>
    <row r="232" spans="2:7" x14ac:dyDescent="0.25">
      <c r="B232" t="s">
        <v>28</v>
      </c>
      <c r="C232" t="s">
        <v>5</v>
      </c>
      <c r="D232">
        <v>0.2</v>
      </c>
      <c r="E232">
        <v>-1</v>
      </c>
      <c r="F232">
        <v>0</v>
      </c>
      <c r="G232">
        <v>4868138</v>
      </c>
    </row>
    <row r="233" spans="2:7" x14ac:dyDescent="0.25">
      <c r="B233" t="s">
        <v>476</v>
      </c>
      <c r="C233">
        <v>1628003</v>
      </c>
    </row>
    <row r="234" spans="2:7" x14ac:dyDescent="0.25">
      <c r="B234" t="s">
        <v>787</v>
      </c>
      <c r="C234" t="s">
        <v>7</v>
      </c>
      <c r="D234">
        <v>-0.9</v>
      </c>
      <c r="E234">
        <v>-0.5</v>
      </c>
      <c r="F234">
        <v>0</v>
      </c>
      <c r="G234">
        <v>6102336</v>
      </c>
    </row>
    <row r="235" spans="2:7" x14ac:dyDescent="0.25">
      <c r="B235" t="s">
        <v>797</v>
      </c>
      <c r="C235" t="s">
        <v>7</v>
      </c>
      <c r="D235">
        <v>-0.9</v>
      </c>
      <c r="E235">
        <v>-0.5</v>
      </c>
      <c r="F235">
        <v>0</v>
      </c>
      <c r="G235">
        <v>6102422</v>
      </c>
    </row>
    <row r="236" spans="2:7" x14ac:dyDescent="0.25">
      <c r="B236" t="s">
        <v>797</v>
      </c>
      <c r="C236" t="s">
        <v>7</v>
      </c>
      <c r="D236">
        <v>-0.9</v>
      </c>
      <c r="E236">
        <v>-0.5</v>
      </c>
      <c r="F236">
        <v>0</v>
      </c>
      <c r="G236">
        <v>6102446</v>
      </c>
    </row>
    <row r="237" spans="2:7" x14ac:dyDescent="0.25">
      <c r="B237" t="s">
        <v>840</v>
      </c>
      <c r="C237" t="s">
        <v>117</v>
      </c>
      <c r="D237">
        <v>0.5</v>
      </c>
      <c r="E237">
        <v>-0.9</v>
      </c>
      <c r="F237">
        <v>0</v>
      </c>
      <c r="G237">
        <v>6103228</v>
      </c>
    </row>
    <row r="238" spans="2:7" x14ac:dyDescent="0.25">
      <c r="B238" t="s">
        <v>797</v>
      </c>
      <c r="C238" t="s">
        <v>117</v>
      </c>
      <c r="D238">
        <v>0.5</v>
      </c>
      <c r="E238">
        <v>-0.9</v>
      </c>
      <c r="F238">
        <v>0</v>
      </c>
      <c r="G238">
        <v>6103229</v>
      </c>
    </row>
    <row r="239" spans="2:7" x14ac:dyDescent="0.25">
      <c r="B239" t="s">
        <v>840</v>
      </c>
      <c r="C239" t="s">
        <v>7</v>
      </c>
      <c r="D239">
        <v>-0.9</v>
      </c>
      <c r="E239">
        <v>-0.5</v>
      </c>
      <c r="F239">
        <v>0</v>
      </c>
      <c r="G239">
        <v>6307445</v>
      </c>
    </row>
    <row r="240" spans="2:7" x14ac:dyDescent="0.25">
      <c r="B240" t="s">
        <v>787</v>
      </c>
      <c r="C240" t="s">
        <v>7</v>
      </c>
      <c r="D240">
        <v>-0.9</v>
      </c>
      <c r="E240">
        <v>-0.5</v>
      </c>
      <c r="F240">
        <v>0</v>
      </c>
      <c r="G240">
        <v>6308004</v>
      </c>
    </row>
    <row r="241" spans="2:8" x14ac:dyDescent="0.25">
      <c r="B241" t="s">
        <v>840</v>
      </c>
      <c r="C241" t="s">
        <v>117</v>
      </c>
      <c r="D241">
        <v>0.5</v>
      </c>
      <c r="E241">
        <v>-0.9</v>
      </c>
      <c r="F241">
        <v>0</v>
      </c>
      <c r="G241">
        <v>6313107</v>
      </c>
    </row>
    <row r="242" spans="2:8" x14ac:dyDescent="0.25">
      <c r="B242" t="s">
        <v>841</v>
      </c>
      <c r="C242">
        <v>1628030</v>
      </c>
    </row>
    <row r="243" spans="2:8" x14ac:dyDescent="0.25">
      <c r="B243" t="s">
        <v>840</v>
      </c>
      <c r="C243" t="s">
        <v>1</v>
      </c>
      <c r="D243">
        <v>-1</v>
      </c>
      <c r="E243">
        <v>-0.2</v>
      </c>
      <c r="F243">
        <v>0</v>
      </c>
      <c r="G243">
        <v>6642853</v>
      </c>
    </row>
    <row r="244" spans="2:8" x14ac:dyDescent="0.25">
      <c r="B244" t="s">
        <v>787</v>
      </c>
      <c r="C244" t="s">
        <v>1</v>
      </c>
      <c r="D244">
        <v>-1</v>
      </c>
      <c r="E244">
        <v>-0.2</v>
      </c>
      <c r="F244">
        <v>0</v>
      </c>
      <c r="G244">
        <v>6642854</v>
      </c>
    </row>
    <row r="245" spans="2:8" x14ac:dyDescent="0.25">
      <c r="B245" t="s">
        <v>787</v>
      </c>
      <c r="C245" t="s">
        <v>1</v>
      </c>
      <c r="D245">
        <v>-1</v>
      </c>
      <c r="E245">
        <v>-0.2</v>
      </c>
      <c r="F245">
        <v>0</v>
      </c>
      <c r="G245">
        <v>6642855</v>
      </c>
    </row>
    <row r="246" spans="2:8" x14ac:dyDescent="0.25">
      <c r="B246" t="s">
        <v>840</v>
      </c>
      <c r="C246" t="s">
        <v>5</v>
      </c>
      <c r="D246">
        <v>0.2</v>
      </c>
      <c r="E246">
        <v>-1</v>
      </c>
      <c r="F246">
        <v>0</v>
      </c>
      <c r="G246">
        <v>6643439</v>
      </c>
    </row>
    <row r="247" spans="2:8" x14ac:dyDescent="0.25">
      <c r="B247" t="s">
        <v>787</v>
      </c>
      <c r="C247" t="s">
        <v>5</v>
      </c>
      <c r="D247">
        <v>0.2</v>
      </c>
      <c r="E247">
        <v>-1</v>
      </c>
      <c r="F247">
        <v>0</v>
      </c>
      <c r="G247">
        <v>6643547</v>
      </c>
    </row>
    <row r="248" spans="2:8" x14ac:dyDescent="0.25">
      <c r="B248" t="s">
        <v>797</v>
      </c>
      <c r="C248" t="s">
        <v>5</v>
      </c>
      <c r="D248">
        <v>0.2</v>
      </c>
      <c r="E248">
        <v>-1</v>
      </c>
      <c r="F248">
        <v>0</v>
      </c>
      <c r="G248">
        <v>6643602</v>
      </c>
    </row>
    <row r="249" spans="2:8" x14ac:dyDescent="0.25">
      <c r="B249" t="s">
        <v>478</v>
      </c>
      <c r="C249">
        <v>1668530</v>
      </c>
    </row>
    <row r="250" spans="2:8" s="14" customFormat="1" x14ac:dyDescent="0.25">
      <c r="B250" s="14" t="s">
        <v>1086</v>
      </c>
      <c r="C250" s="14" t="s">
        <v>842</v>
      </c>
      <c r="D250" s="14">
        <v>1</v>
      </c>
      <c r="E250" s="14">
        <v>0.2</v>
      </c>
      <c r="F250" s="14">
        <v>0</v>
      </c>
      <c r="G250" s="14">
        <v>5194593</v>
      </c>
      <c r="H250" s="14" t="s">
        <v>803</v>
      </c>
    </row>
    <row r="251" spans="2:8" x14ac:dyDescent="0.25">
      <c r="B251" t="s">
        <v>485</v>
      </c>
      <c r="C251">
        <v>1696036</v>
      </c>
    </row>
    <row r="252" spans="2:8" x14ac:dyDescent="0.25">
      <c r="B252" t="s">
        <v>30</v>
      </c>
      <c r="C252" t="s">
        <v>6</v>
      </c>
      <c r="D252">
        <v>-0.2</v>
      </c>
      <c r="E252">
        <v>1</v>
      </c>
      <c r="F252">
        <v>0</v>
      </c>
      <c r="G252">
        <v>4824485</v>
      </c>
    </row>
    <row r="253" spans="2:8" x14ac:dyDescent="0.25">
      <c r="B253" t="s">
        <v>486</v>
      </c>
      <c r="C253">
        <v>1698609</v>
      </c>
    </row>
    <row r="254" spans="2:8" x14ac:dyDescent="0.25">
      <c r="B254" t="s">
        <v>27</v>
      </c>
      <c r="C254" t="s">
        <v>815</v>
      </c>
      <c r="D254">
        <v>-0.5</v>
      </c>
      <c r="E254">
        <v>0.8</v>
      </c>
      <c r="F254">
        <v>0</v>
      </c>
      <c r="G254">
        <v>6091441</v>
      </c>
    </row>
    <row r="255" spans="2:8" x14ac:dyDescent="0.25">
      <c r="B255" t="s">
        <v>487</v>
      </c>
      <c r="C255">
        <v>1709809</v>
      </c>
    </row>
    <row r="256" spans="2:8" x14ac:dyDescent="0.25">
      <c r="B256" t="s">
        <v>38</v>
      </c>
      <c r="C256" t="s">
        <v>796</v>
      </c>
      <c r="D256">
        <v>-0.1</v>
      </c>
      <c r="E256">
        <v>-1</v>
      </c>
      <c r="F256">
        <v>0</v>
      </c>
      <c r="G256">
        <v>4795720</v>
      </c>
    </row>
    <row r="257" spans="2:8" x14ac:dyDescent="0.25">
      <c r="B257" t="s">
        <v>488</v>
      </c>
      <c r="C257">
        <v>1839046</v>
      </c>
    </row>
    <row r="258" spans="2:8" s="14" customFormat="1" x14ac:dyDescent="0.25">
      <c r="B258" s="14" t="s">
        <v>1086</v>
      </c>
      <c r="C258" s="14" t="s">
        <v>820</v>
      </c>
      <c r="D258" s="14">
        <v>1</v>
      </c>
      <c r="E258" s="14">
        <v>0.2</v>
      </c>
      <c r="F258" s="14">
        <v>0</v>
      </c>
      <c r="G258" s="14">
        <v>5194192</v>
      </c>
      <c r="H258" s="14" t="s">
        <v>803</v>
      </c>
    </row>
    <row r="259" spans="2:8" x14ac:dyDescent="0.25">
      <c r="B259" t="s">
        <v>843</v>
      </c>
      <c r="C259">
        <v>1887053</v>
      </c>
    </row>
    <row r="260" spans="2:8" x14ac:dyDescent="0.25">
      <c r="B260" t="s">
        <v>840</v>
      </c>
      <c r="C260" t="s">
        <v>1</v>
      </c>
      <c r="D260">
        <v>-1</v>
      </c>
      <c r="E260">
        <v>-0.2</v>
      </c>
      <c r="F260">
        <v>0</v>
      </c>
      <c r="G260">
        <v>6642853</v>
      </c>
    </row>
    <row r="261" spans="2:8" x14ac:dyDescent="0.25">
      <c r="B261" t="s">
        <v>787</v>
      </c>
      <c r="C261" t="s">
        <v>1</v>
      </c>
      <c r="D261">
        <v>-1</v>
      </c>
      <c r="E261">
        <v>-0.2</v>
      </c>
      <c r="F261">
        <v>0</v>
      </c>
      <c r="G261">
        <v>6642854</v>
      </c>
    </row>
    <row r="262" spans="2:8" x14ac:dyDescent="0.25">
      <c r="B262" t="s">
        <v>787</v>
      </c>
      <c r="C262" t="s">
        <v>1</v>
      </c>
      <c r="D262">
        <v>-1</v>
      </c>
      <c r="E262">
        <v>-0.2</v>
      </c>
      <c r="F262">
        <v>0</v>
      </c>
      <c r="G262">
        <v>6642855</v>
      </c>
    </row>
    <row r="263" spans="2:8" x14ac:dyDescent="0.25">
      <c r="B263" t="s">
        <v>840</v>
      </c>
      <c r="C263" t="s">
        <v>5</v>
      </c>
      <c r="D263">
        <v>0.2</v>
      </c>
      <c r="E263">
        <v>-1</v>
      </c>
      <c r="F263">
        <v>0</v>
      </c>
      <c r="G263">
        <v>6643439</v>
      </c>
    </row>
    <row r="264" spans="2:8" x14ac:dyDescent="0.25">
      <c r="B264" t="s">
        <v>787</v>
      </c>
      <c r="C264" t="s">
        <v>5</v>
      </c>
      <c r="D264">
        <v>0.2</v>
      </c>
      <c r="E264">
        <v>-1</v>
      </c>
      <c r="F264">
        <v>0</v>
      </c>
      <c r="G264">
        <v>6643547</v>
      </c>
    </row>
    <row r="265" spans="2:8" x14ac:dyDescent="0.25">
      <c r="B265" t="s">
        <v>797</v>
      </c>
      <c r="C265" t="s">
        <v>5</v>
      </c>
      <c r="D265">
        <v>0.2</v>
      </c>
      <c r="E265">
        <v>-1</v>
      </c>
      <c r="F265">
        <v>0</v>
      </c>
      <c r="G265">
        <v>6643602</v>
      </c>
    </row>
    <row r="266" spans="2:8" x14ac:dyDescent="0.25">
      <c r="B266" t="s">
        <v>844</v>
      </c>
      <c r="C266">
        <v>1887055</v>
      </c>
    </row>
    <row r="267" spans="2:8" x14ac:dyDescent="0.25">
      <c r="B267" t="s">
        <v>787</v>
      </c>
      <c r="C267" t="s">
        <v>7</v>
      </c>
      <c r="D267">
        <v>-0.9</v>
      </c>
      <c r="E267">
        <v>-0.5</v>
      </c>
      <c r="F267">
        <v>0</v>
      </c>
      <c r="G267">
        <v>6102336</v>
      </c>
    </row>
    <row r="268" spans="2:8" x14ac:dyDescent="0.25">
      <c r="B268" t="s">
        <v>797</v>
      </c>
      <c r="C268" t="s">
        <v>7</v>
      </c>
      <c r="D268">
        <v>-0.9</v>
      </c>
      <c r="E268">
        <v>-0.5</v>
      </c>
      <c r="F268">
        <v>0</v>
      </c>
      <c r="G268">
        <v>6102422</v>
      </c>
    </row>
    <row r="269" spans="2:8" x14ac:dyDescent="0.25">
      <c r="B269" t="s">
        <v>797</v>
      </c>
      <c r="C269" t="s">
        <v>7</v>
      </c>
      <c r="D269">
        <v>-0.9</v>
      </c>
      <c r="E269">
        <v>-0.5</v>
      </c>
      <c r="F269">
        <v>0</v>
      </c>
      <c r="G269">
        <v>6102446</v>
      </c>
    </row>
    <row r="270" spans="2:8" x14ac:dyDescent="0.25">
      <c r="B270" t="s">
        <v>840</v>
      </c>
      <c r="C270" t="s">
        <v>117</v>
      </c>
      <c r="D270">
        <v>0.5</v>
      </c>
      <c r="E270">
        <v>-0.9</v>
      </c>
      <c r="F270">
        <v>0</v>
      </c>
      <c r="G270">
        <v>6103228</v>
      </c>
    </row>
    <row r="271" spans="2:8" x14ac:dyDescent="0.25">
      <c r="B271" t="s">
        <v>840</v>
      </c>
      <c r="C271" t="s">
        <v>7</v>
      </c>
      <c r="D271">
        <v>-0.9</v>
      </c>
      <c r="E271">
        <v>-0.5</v>
      </c>
      <c r="F271">
        <v>0</v>
      </c>
      <c r="G271">
        <v>6307445</v>
      </c>
    </row>
    <row r="272" spans="2:8" x14ac:dyDescent="0.25">
      <c r="B272" t="s">
        <v>787</v>
      </c>
      <c r="C272" t="s">
        <v>7</v>
      </c>
      <c r="D272">
        <v>-0.9</v>
      </c>
      <c r="E272">
        <v>-0.5</v>
      </c>
      <c r="F272">
        <v>0</v>
      </c>
      <c r="G272">
        <v>6308004</v>
      </c>
    </row>
    <row r="273" spans="2:8" x14ac:dyDescent="0.25">
      <c r="B273" t="s">
        <v>840</v>
      </c>
      <c r="C273" t="s">
        <v>117</v>
      </c>
      <c r="D273">
        <v>0.5</v>
      </c>
      <c r="E273">
        <v>-0.9</v>
      </c>
      <c r="F273">
        <v>0</v>
      </c>
      <c r="G273">
        <v>6313107</v>
      </c>
    </row>
    <row r="274" spans="2:8" x14ac:dyDescent="0.25">
      <c r="B274" s="14" t="s">
        <v>480</v>
      </c>
      <c r="C274" s="14" t="s">
        <v>1050</v>
      </c>
      <c r="D274" s="14"/>
      <c r="E274" s="14"/>
      <c r="F274" s="14"/>
      <c r="G274" s="14"/>
      <c r="H274" t="s">
        <v>1056</v>
      </c>
    </row>
    <row r="275" spans="2:8" x14ac:dyDescent="0.25">
      <c r="B275" s="14" t="s">
        <v>30</v>
      </c>
      <c r="C275" s="14" t="s">
        <v>6</v>
      </c>
      <c r="D275" s="14">
        <v>-0.2</v>
      </c>
      <c r="E275" s="14">
        <v>1</v>
      </c>
      <c r="F275" s="14">
        <v>0</v>
      </c>
      <c r="G275" s="14">
        <v>4819536</v>
      </c>
      <c r="H275" t="s">
        <v>1049</v>
      </c>
    </row>
    <row r="276" spans="2:8" x14ac:dyDescent="0.25">
      <c r="B276" s="14" t="s">
        <v>797</v>
      </c>
      <c r="C276" s="14" t="s">
        <v>6</v>
      </c>
      <c r="D276" s="14">
        <v>-0.2</v>
      </c>
      <c r="E276" s="14">
        <v>1</v>
      </c>
      <c r="F276" s="14">
        <v>0</v>
      </c>
      <c r="G276" s="14">
        <v>4819493</v>
      </c>
      <c r="H276" t="s">
        <v>1049</v>
      </c>
    </row>
    <row r="277" spans="2:8" x14ac:dyDescent="0.25">
      <c r="B277" s="14" t="s">
        <v>27</v>
      </c>
      <c r="C277" s="14" t="s">
        <v>2</v>
      </c>
      <c r="D277" s="14">
        <v>1</v>
      </c>
      <c r="E277" s="14">
        <v>0.2</v>
      </c>
      <c r="F277" s="14">
        <v>0</v>
      </c>
      <c r="G277" s="14">
        <v>3697623</v>
      </c>
      <c r="H277" t="s">
        <v>1049</v>
      </c>
    </row>
    <row r="278" spans="2:8" x14ac:dyDescent="0.25">
      <c r="B278" s="14" t="s">
        <v>30</v>
      </c>
      <c r="C278" s="14" t="s">
        <v>2</v>
      </c>
      <c r="D278" s="14">
        <v>1</v>
      </c>
      <c r="E278" s="14">
        <v>0.2</v>
      </c>
      <c r="F278" s="14">
        <v>0</v>
      </c>
      <c r="G278" s="14">
        <v>5287445</v>
      </c>
      <c r="H278" t="s">
        <v>1049</v>
      </c>
    </row>
    <row r="279" spans="2:8" x14ac:dyDescent="0.25">
      <c r="B279" s="14" t="s">
        <v>1057</v>
      </c>
      <c r="C279" s="14" t="s">
        <v>1050</v>
      </c>
      <c r="D279" s="14"/>
      <c r="E279" s="14"/>
      <c r="F279" s="14"/>
      <c r="G279" s="14"/>
    </row>
    <row r="280" spans="2:8" x14ac:dyDescent="0.25">
      <c r="B280" s="14" t="s">
        <v>1060</v>
      </c>
      <c r="C280" s="14" t="s">
        <v>847</v>
      </c>
      <c r="D280" s="14">
        <v>-1</v>
      </c>
      <c r="E280" s="14">
        <v>-0.1</v>
      </c>
      <c r="F280" s="14">
        <v>0</v>
      </c>
      <c r="G280" s="14" t="s">
        <v>1058</v>
      </c>
      <c r="H280" t="s">
        <v>1055</v>
      </c>
    </row>
    <row r="281" spans="2:8" x14ac:dyDescent="0.25">
      <c r="B281" s="14" t="s">
        <v>1061</v>
      </c>
      <c r="C281" s="14" t="s">
        <v>1050</v>
      </c>
      <c r="D281" s="14"/>
      <c r="E281" s="14"/>
      <c r="F281" s="14"/>
      <c r="G281" s="14"/>
    </row>
    <row r="282" spans="2:8" x14ac:dyDescent="0.25">
      <c r="B282" s="14" t="s">
        <v>1059</v>
      </c>
      <c r="C282" s="14" t="s">
        <v>793</v>
      </c>
      <c r="D282" s="14">
        <v>0</v>
      </c>
      <c r="E282" s="14">
        <v>1</v>
      </c>
      <c r="F282" s="14">
        <v>0</v>
      </c>
      <c r="G282" s="14" t="s">
        <v>1058</v>
      </c>
      <c r="H282" t="s">
        <v>1055</v>
      </c>
    </row>
    <row r="283" spans="2:8" x14ac:dyDescent="0.25">
      <c r="B283" s="14" t="s">
        <v>1062</v>
      </c>
      <c r="C283" s="14" t="s">
        <v>1050</v>
      </c>
      <c r="D283" s="14"/>
      <c r="E283" s="14"/>
      <c r="F283" s="14"/>
      <c r="G283" s="14"/>
    </row>
    <row r="284" spans="2:8" x14ac:dyDescent="0.25">
      <c r="B284" s="14" t="s">
        <v>1059</v>
      </c>
      <c r="C284" s="14" t="s">
        <v>794</v>
      </c>
      <c r="D284" s="14">
        <v>0</v>
      </c>
      <c r="E284" s="14">
        <v>-1</v>
      </c>
      <c r="F284" s="14">
        <v>0</v>
      </c>
      <c r="G284" s="14" t="s">
        <v>1058</v>
      </c>
      <c r="H284" t="s">
        <v>1055</v>
      </c>
    </row>
    <row r="285" spans="2:8" x14ac:dyDescent="0.25">
      <c r="B285" s="14" t="s">
        <v>1063</v>
      </c>
      <c r="C285" s="14" t="s">
        <v>1050</v>
      </c>
      <c r="D285" s="14"/>
      <c r="E285" s="14"/>
      <c r="F285" s="14"/>
      <c r="G285" s="14"/>
    </row>
    <row r="286" spans="2:8" x14ac:dyDescent="0.25">
      <c r="B286" s="14" t="s">
        <v>1059</v>
      </c>
      <c r="C286" s="14" t="s">
        <v>795</v>
      </c>
      <c r="D286" s="14">
        <v>0.1</v>
      </c>
      <c r="E286" s="14">
        <v>1</v>
      </c>
      <c r="F286" s="14">
        <v>0</v>
      </c>
      <c r="G286" s="14" t="s">
        <v>1058</v>
      </c>
      <c r="H286" t="s">
        <v>1055</v>
      </c>
    </row>
    <row r="287" spans="2:8" x14ac:dyDescent="0.25">
      <c r="B287" s="14" t="s">
        <v>1059</v>
      </c>
      <c r="C287" s="14" t="s">
        <v>795</v>
      </c>
      <c r="D287" s="14">
        <v>0.1</v>
      </c>
      <c r="E287" s="14">
        <v>1</v>
      </c>
      <c r="F287" s="14">
        <v>0</v>
      </c>
      <c r="G287" s="14" t="s">
        <v>1058</v>
      </c>
      <c r="H287" t="s">
        <v>1055</v>
      </c>
    </row>
    <row r="288" spans="2:8" x14ac:dyDescent="0.25">
      <c r="B288" s="14" t="s">
        <v>1068</v>
      </c>
      <c r="C288" s="14" t="s">
        <v>1050</v>
      </c>
      <c r="D288" s="14"/>
      <c r="E288" s="14"/>
      <c r="F288" s="14"/>
      <c r="G288" s="14"/>
    </row>
    <row r="289" spans="2:10" x14ac:dyDescent="0.25">
      <c r="B289" s="14" t="s">
        <v>787</v>
      </c>
      <c r="C289" s="14" t="s">
        <v>817</v>
      </c>
      <c r="D289" s="14">
        <v>-0.4</v>
      </c>
      <c r="E289" s="14">
        <v>0.9</v>
      </c>
      <c r="F289" s="14">
        <v>0</v>
      </c>
      <c r="G289" s="14">
        <v>4785965</v>
      </c>
      <c r="H289" t="s">
        <v>1049</v>
      </c>
    </row>
    <row r="290" spans="2:10" x14ac:dyDescent="0.25">
      <c r="B290" s="14" t="s">
        <v>28</v>
      </c>
      <c r="C290" s="14" t="s">
        <v>817</v>
      </c>
      <c r="D290" s="14">
        <v>-0.4</v>
      </c>
      <c r="E290" s="14">
        <v>0.9</v>
      </c>
      <c r="F290" s="14">
        <v>0</v>
      </c>
      <c r="G290" s="14">
        <v>4837593</v>
      </c>
      <c r="H290" t="s">
        <v>1049</v>
      </c>
    </row>
    <row r="291" spans="2:10" x14ac:dyDescent="0.25">
      <c r="B291" s="14" t="s">
        <v>31</v>
      </c>
      <c r="C291" s="14" t="s">
        <v>327</v>
      </c>
      <c r="D291" s="14">
        <v>0.4</v>
      </c>
      <c r="E291" s="14">
        <v>-0.9</v>
      </c>
      <c r="F291" s="14">
        <v>0</v>
      </c>
      <c r="G291" s="14">
        <v>4837965</v>
      </c>
      <c r="H291" t="s">
        <v>1049</v>
      </c>
    </row>
    <row r="292" spans="2:10" x14ac:dyDescent="0.25">
      <c r="B292" s="14" t="s">
        <v>31</v>
      </c>
      <c r="C292" s="14" t="s">
        <v>327</v>
      </c>
      <c r="D292" s="14">
        <v>0.4</v>
      </c>
      <c r="E292" s="14">
        <v>-0.9</v>
      </c>
      <c r="F292" s="14">
        <v>0</v>
      </c>
      <c r="G292" s="14">
        <v>4788590</v>
      </c>
      <c r="H292" t="s">
        <v>1049</v>
      </c>
    </row>
    <row r="293" spans="2:10" x14ac:dyDescent="0.25">
      <c r="B293" s="14" t="s">
        <v>28</v>
      </c>
      <c r="C293" s="14" t="s">
        <v>327</v>
      </c>
      <c r="D293" s="14">
        <v>0.4</v>
      </c>
      <c r="E293" s="14">
        <v>-0.9</v>
      </c>
      <c r="F293" s="14">
        <v>0</v>
      </c>
      <c r="G293" s="14">
        <v>4788572</v>
      </c>
      <c r="H293" t="s">
        <v>1049</v>
      </c>
    </row>
    <row r="294" spans="2:10" x14ac:dyDescent="0.25">
      <c r="B294" s="14" t="s">
        <v>31</v>
      </c>
      <c r="C294" s="14" t="s">
        <v>327</v>
      </c>
      <c r="D294" s="14">
        <v>0.4</v>
      </c>
      <c r="E294" s="14">
        <v>-0.9</v>
      </c>
      <c r="F294" s="14">
        <v>0</v>
      </c>
      <c r="G294" s="14">
        <v>5187190</v>
      </c>
      <c r="H294" t="s">
        <v>1049</v>
      </c>
    </row>
    <row r="295" spans="2:10" x14ac:dyDescent="0.25">
      <c r="B295" s="14" t="s">
        <v>31</v>
      </c>
      <c r="C295" s="14" t="s">
        <v>327</v>
      </c>
      <c r="D295" s="14">
        <v>0.4</v>
      </c>
      <c r="E295" s="14">
        <v>-0.9</v>
      </c>
      <c r="F295" s="14">
        <v>0</v>
      </c>
      <c r="G295" s="14">
        <v>4788512</v>
      </c>
      <c r="H295" t="s">
        <v>1049</v>
      </c>
    </row>
    <row r="296" spans="2:10" x14ac:dyDescent="0.25">
      <c r="B296" s="14" t="s">
        <v>31</v>
      </c>
      <c r="C296" s="14" t="s">
        <v>327</v>
      </c>
      <c r="D296" s="14">
        <v>0.4</v>
      </c>
      <c r="E296" s="14">
        <v>-0.9</v>
      </c>
      <c r="F296" s="14">
        <v>0</v>
      </c>
      <c r="G296" s="14">
        <v>4788416</v>
      </c>
      <c r="H296" t="s">
        <v>1049</v>
      </c>
    </row>
    <row r="297" spans="2:10" x14ac:dyDescent="0.25">
      <c r="B297" s="14" t="s">
        <v>415</v>
      </c>
      <c r="C297" s="14" t="s">
        <v>1050</v>
      </c>
      <c r="D297" s="14"/>
      <c r="E297" s="14"/>
      <c r="F297" s="14"/>
      <c r="G297" s="14"/>
    </row>
    <row r="298" spans="2:10" x14ac:dyDescent="0.25">
      <c r="B298" s="14" t="s">
        <v>1086</v>
      </c>
      <c r="C298" s="14" t="s">
        <v>828</v>
      </c>
      <c r="D298" s="14">
        <v>0.9</v>
      </c>
      <c r="E298" s="14">
        <v>0.4</v>
      </c>
      <c r="F298" s="14">
        <v>0</v>
      </c>
      <c r="G298" s="14">
        <v>5183325</v>
      </c>
      <c r="H298" s="36" t="s">
        <v>1049</v>
      </c>
      <c r="I298" s="36"/>
      <c r="J298" s="36" t="s">
        <v>821</v>
      </c>
    </row>
    <row r="299" spans="2:10" x14ac:dyDescent="0.25">
      <c r="B299" s="14" t="s">
        <v>1086</v>
      </c>
      <c r="C299" s="14" t="s">
        <v>828</v>
      </c>
      <c r="D299" s="14">
        <v>0.9</v>
      </c>
      <c r="E299" s="14">
        <v>0.4</v>
      </c>
      <c r="F299" s="14">
        <v>0</v>
      </c>
      <c r="G299" s="14">
        <v>6552673</v>
      </c>
      <c r="H299" s="36" t="s">
        <v>1049</v>
      </c>
      <c r="I299" s="36"/>
      <c r="J299" s="36" t="s">
        <v>810</v>
      </c>
    </row>
    <row r="300" spans="2:10" x14ac:dyDescent="0.25">
      <c r="B300" s="14" t="s">
        <v>1086</v>
      </c>
      <c r="C300" s="14" t="s">
        <v>828</v>
      </c>
      <c r="D300" s="14">
        <v>0.9</v>
      </c>
      <c r="E300" s="14">
        <v>0.4</v>
      </c>
      <c r="F300" s="14">
        <v>0</v>
      </c>
      <c r="G300" s="14">
        <v>6552674</v>
      </c>
      <c r="H300" s="36" t="s">
        <v>1049</v>
      </c>
      <c r="I300" s="36"/>
      <c r="J300" s="36" t="s">
        <v>803</v>
      </c>
    </row>
    <row r="301" spans="2:10" x14ac:dyDescent="0.25">
      <c r="B301" s="14" t="s">
        <v>1069</v>
      </c>
      <c r="C301" s="14" t="s">
        <v>1050</v>
      </c>
      <c r="D301" s="14"/>
      <c r="E301" s="14"/>
      <c r="F301" s="14"/>
      <c r="G301" s="14"/>
    </row>
    <row r="302" spans="2:10" x14ac:dyDescent="0.25">
      <c r="B302" s="14" t="s">
        <v>803</v>
      </c>
      <c r="C302" s="14" t="s">
        <v>804</v>
      </c>
      <c r="D302" s="14">
        <v>0.9</v>
      </c>
      <c r="E302" s="14">
        <v>0.4</v>
      </c>
      <c r="F302" s="14">
        <v>0</v>
      </c>
      <c r="G302" s="14">
        <v>5192272</v>
      </c>
      <c r="H302" t="s">
        <v>1049</v>
      </c>
    </row>
    <row r="303" spans="2:10" x14ac:dyDescent="0.25">
      <c r="B303" s="14" t="s">
        <v>803</v>
      </c>
      <c r="C303" s="14" t="s">
        <v>804</v>
      </c>
      <c r="D303" s="14">
        <v>0.9</v>
      </c>
      <c r="E303" s="14">
        <v>0.4</v>
      </c>
      <c r="F303" s="14">
        <v>0</v>
      </c>
      <c r="G303" s="14">
        <v>6535222</v>
      </c>
      <c r="H303" t="s">
        <v>1049</v>
      </c>
    </row>
    <row r="304" spans="2:10" x14ac:dyDescent="0.25">
      <c r="B304" s="14" t="s">
        <v>810</v>
      </c>
      <c r="C304" s="14" t="s">
        <v>804</v>
      </c>
      <c r="D304" s="14">
        <v>0.9</v>
      </c>
      <c r="E304" s="14">
        <v>0.4</v>
      </c>
      <c r="F304" s="14">
        <v>0</v>
      </c>
      <c r="G304" s="14">
        <v>5191989</v>
      </c>
      <c r="H304" t="s">
        <v>1049</v>
      </c>
    </row>
    <row r="305" spans="2:8" x14ac:dyDescent="0.25">
      <c r="B305" s="14" t="s">
        <v>397</v>
      </c>
      <c r="C305" s="14" t="s">
        <v>1050</v>
      </c>
      <c r="D305" s="14"/>
      <c r="E305" s="14"/>
      <c r="F305" s="14"/>
      <c r="G305" s="14"/>
    </row>
    <row r="306" spans="2:8" x14ac:dyDescent="0.25">
      <c r="B306" s="14" t="s">
        <v>814</v>
      </c>
      <c r="C306" s="14" t="s">
        <v>802</v>
      </c>
      <c r="D306" s="14">
        <v>-0.3</v>
      </c>
      <c r="E306" s="14">
        <v>0.9</v>
      </c>
      <c r="F306" s="14">
        <v>0</v>
      </c>
      <c r="G306" s="14">
        <v>7059228</v>
      </c>
      <c r="H306" t="s">
        <v>1049</v>
      </c>
    </row>
    <row r="307" spans="2:8" x14ac:dyDescent="0.25">
      <c r="B307" s="14" t="s">
        <v>1087</v>
      </c>
      <c r="C307" s="14" t="s">
        <v>802</v>
      </c>
      <c r="D307" s="14">
        <v>-0.3</v>
      </c>
      <c r="E307" s="14">
        <v>0.9</v>
      </c>
      <c r="F307" s="14">
        <v>0</v>
      </c>
      <c r="G307" s="14" t="s">
        <v>1058</v>
      </c>
    </row>
    <row r="308" spans="2:8" x14ac:dyDescent="0.25">
      <c r="B308" s="14" t="s">
        <v>1070</v>
      </c>
      <c r="C308" s="14" t="s">
        <v>1050</v>
      </c>
      <c r="D308" s="14"/>
      <c r="E308" s="14"/>
      <c r="F308" s="14"/>
      <c r="G308" s="14"/>
    </row>
    <row r="309" spans="2:8" x14ac:dyDescent="0.25">
      <c r="B309" s="14" t="s">
        <v>31</v>
      </c>
      <c r="C309" s="14" t="s">
        <v>329</v>
      </c>
      <c r="D309" s="14">
        <v>0.3</v>
      </c>
      <c r="E309" s="14">
        <v>-0.9</v>
      </c>
      <c r="F309" s="14">
        <v>0</v>
      </c>
      <c r="G309" s="14">
        <v>5168591</v>
      </c>
      <c r="H309" t="s">
        <v>1049</v>
      </c>
    </row>
    <row r="310" spans="2:8" x14ac:dyDescent="0.25">
      <c r="B310" s="14" t="s">
        <v>398</v>
      </c>
      <c r="C310" s="14" t="s">
        <v>1050</v>
      </c>
      <c r="D310" s="14"/>
      <c r="E310" s="14"/>
      <c r="F310" s="14"/>
      <c r="G310" s="14"/>
    </row>
    <row r="311" spans="2:8" x14ac:dyDescent="0.25">
      <c r="B311" s="14" t="s">
        <v>814</v>
      </c>
      <c r="C311" s="14" t="s">
        <v>329</v>
      </c>
      <c r="D311" s="14">
        <v>0.3</v>
      </c>
      <c r="E311" s="14">
        <v>-0.9</v>
      </c>
      <c r="F311" s="14">
        <v>0</v>
      </c>
      <c r="G311" s="14">
        <v>7057747</v>
      </c>
      <c r="H311" t="s">
        <v>1049</v>
      </c>
    </row>
    <row r="312" spans="2:8" x14ac:dyDescent="0.25">
      <c r="B312" s="14" t="s">
        <v>1087</v>
      </c>
      <c r="C312" s="14" t="s">
        <v>802</v>
      </c>
      <c r="D312" s="14">
        <v>0.3</v>
      </c>
      <c r="E312" s="14">
        <v>-0.9</v>
      </c>
      <c r="F312" s="14">
        <v>0</v>
      </c>
      <c r="G312" s="14" t="s">
        <v>1058</v>
      </c>
    </row>
  </sheetData>
  <customSheetViews>
    <customSheetView guid="{561E68F6-21E3-461A-ACB1-9392AEDA3331}" topLeftCell="A224">
      <selection activeCell="I23" sqref="I23"/>
      <pageMargins left="0.7" right="0.7" top="0.75" bottom="0.75" header="0.3" footer="0.3"/>
    </customSheetView>
    <customSheetView guid="{2A8AA8A9-D849-43BE-B128-2DCE8081808F}" topLeftCell="A211">
      <selection activeCell="B229" sqref="B229"/>
      <pageMargins left="0.7" right="0.7" top="0.75" bottom="0.75" header="0.3" footer="0.3"/>
    </customSheetView>
    <customSheetView guid="{E07775A8-4E8E-4F0F-ABD4-8C1611285DFF}" topLeftCell="A224">
      <selection activeCell="I23" sqref="I2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7"/>
  <sheetViews>
    <sheetView topLeftCell="A171" workbookViewId="0">
      <selection activeCell="A180" sqref="A180"/>
    </sheetView>
  </sheetViews>
  <sheetFormatPr defaultRowHeight="15" x14ac:dyDescent="0.25"/>
  <cols>
    <col min="1" max="1" width="77.140625" customWidth="1"/>
    <col min="5" max="5" width="13" bestFit="1" customWidth="1"/>
    <col min="7" max="7" width="60.7109375" customWidth="1"/>
  </cols>
  <sheetData>
    <row r="1" spans="1:5" ht="19.5" x14ac:dyDescent="0.3">
      <c r="A1" s="27" t="s">
        <v>778</v>
      </c>
      <c r="B1" s="27" t="s">
        <v>779</v>
      </c>
      <c r="C1" s="27" t="s">
        <v>780</v>
      </c>
      <c r="D1" s="27" t="s">
        <v>781</v>
      </c>
      <c r="E1" s="27" t="s">
        <v>801</v>
      </c>
    </row>
    <row r="2" spans="1:5" x14ac:dyDescent="0.25">
      <c r="A2" t="s">
        <v>775</v>
      </c>
      <c r="B2">
        <v>4810552</v>
      </c>
      <c r="C2">
        <v>1950</v>
      </c>
      <c r="D2">
        <v>4100</v>
      </c>
      <c r="E2" s="29">
        <f>(C2*D2)/10^6</f>
        <v>7.9950000000000001</v>
      </c>
    </row>
    <row r="3" spans="1:5" x14ac:dyDescent="0.25">
      <c r="A3" t="s">
        <v>775</v>
      </c>
      <c r="B3">
        <v>4810553</v>
      </c>
      <c r="C3">
        <v>1950</v>
      </c>
      <c r="D3">
        <v>4100</v>
      </c>
      <c r="E3" s="29">
        <f t="shared" ref="E3:E66" si="0">(C3*D3)/10^6</f>
        <v>7.9950000000000001</v>
      </c>
    </row>
    <row r="4" spans="1:5" x14ac:dyDescent="0.25">
      <c r="A4" t="s">
        <v>775</v>
      </c>
      <c r="B4">
        <v>4810554</v>
      </c>
      <c r="C4">
        <v>1950</v>
      </c>
      <c r="D4">
        <v>4100</v>
      </c>
      <c r="E4" s="29">
        <f t="shared" si="0"/>
        <v>7.9950000000000001</v>
      </c>
    </row>
    <row r="5" spans="1:5" x14ac:dyDescent="0.25">
      <c r="A5" t="s">
        <v>775</v>
      </c>
      <c r="B5">
        <v>4810555</v>
      </c>
      <c r="C5">
        <v>1950</v>
      </c>
      <c r="D5">
        <v>4100</v>
      </c>
      <c r="E5" s="29">
        <f t="shared" si="0"/>
        <v>7.9950000000000001</v>
      </c>
    </row>
    <row r="6" spans="1:5" x14ac:dyDescent="0.25">
      <c r="A6" t="s">
        <v>775</v>
      </c>
      <c r="B6">
        <v>4810556</v>
      </c>
      <c r="C6">
        <v>975</v>
      </c>
      <c r="D6">
        <v>4100</v>
      </c>
      <c r="E6" s="29">
        <f t="shared" si="0"/>
        <v>3.9975000000000001</v>
      </c>
    </row>
    <row r="7" spans="1:5" x14ac:dyDescent="0.25">
      <c r="A7" t="s">
        <v>775</v>
      </c>
      <c r="B7">
        <v>4810557</v>
      </c>
      <c r="C7">
        <v>1950</v>
      </c>
      <c r="D7">
        <v>4100</v>
      </c>
      <c r="E7" s="29">
        <f t="shared" si="0"/>
        <v>7.9950000000000001</v>
      </c>
    </row>
    <row r="8" spans="1:5" x14ac:dyDescent="0.25">
      <c r="A8" t="s">
        <v>775</v>
      </c>
      <c r="B8">
        <v>4810558</v>
      </c>
      <c r="C8">
        <v>1670.00000000004</v>
      </c>
      <c r="D8">
        <v>4100</v>
      </c>
      <c r="E8" s="29">
        <f t="shared" si="0"/>
        <v>6.8470000000001638</v>
      </c>
    </row>
    <row r="9" spans="1:5" x14ac:dyDescent="0.25">
      <c r="A9" t="s">
        <v>775</v>
      </c>
      <c r="B9">
        <v>4810559</v>
      </c>
      <c r="C9">
        <v>1950</v>
      </c>
      <c r="D9">
        <v>4100</v>
      </c>
      <c r="E9" s="29">
        <f t="shared" si="0"/>
        <v>7.9950000000000001</v>
      </c>
    </row>
    <row r="10" spans="1:5" x14ac:dyDescent="0.25">
      <c r="A10" t="s">
        <v>775</v>
      </c>
      <c r="B10">
        <v>4810560</v>
      </c>
      <c r="C10">
        <v>1950</v>
      </c>
      <c r="D10">
        <v>4100</v>
      </c>
      <c r="E10" s="29">
        <f t="shared" si="0"/>
        <v>7.9950000000000001</v>
      </c>
    </row>
    <row r="11" spans="1:5" x14ac:dyDescent="0.25">
      <c r="A11" t="s">
        <v>775</v>
      </c>
      <c r="B11">
        <v>4810561</v>
      </c>
      <c r="C11">
        <v>975</v>
      </c>
      <c r="D11">
        <v>4100</v>
      </c>
      <c r="E11" s="29">
        <f t="shared" si="0"/>
        <v>3.9975000000000001</v>
      </c>
    </row>
    <row r="12" spans="1:5" x14ac:dyDescent="0.25">
      <c r="A12" t="s">
        <v>775</v>
      </c>
      <c r="B12">
        <v>4810562</v>
      </c>
      <c r="C12">
        <v>1950</v>
      </c>
      <c r="D12">
        <v>4100</v>
      </c>
      <c r="E12" s="29">
        <f t="shared" si="0"/>
        <v>7.9950000000000001</v>
      </c>
    </row>
    <row r="13" spans="1:5" x14ac:dyDescent="0.25">
      <c r="A13" t="s">
        <v>775</v>
      </c>
      <c r="B13">
        <v>4810563</v>
      </c>
      <c r="C13">
        <v>1950</v>
      </c>
      <c r="D13">
        <v>4100</v>
      </c>
      <c r="E13" s="29">
        <f t="shared" si="0"/>
        <v>7.9950000000000001</v>
      </c>
    </row>
    <row r="14" spans="1:5" x14ac:dyDescent="0.25">
      <c r="A14" t="s">
        <v>775</v>
      </c>
      <c r="B14">
        <v>4810564</v>
      </c>
      <c r="C14">
        <v>1950</v>
      </c>
      <c r="D14">
        <v>4100</v>
      </c>
      <c r="E14" s="29">
        <f t="shared" si="0"/>
        <v>7.9950000000000001</v>
      </c>
    </row>
    <row r="15" spans="1:5" x14ac:dyDescent="0.25">
      <c r="A15" t="s">
        <v>775</v>
      </c>
      <c r="B15">
        <v>4810565</v>
      </c>
      <c r="C15">
        <v>1570.00000000004</v>
      </c>
      <c r="D15">
        <v>4100</v>
      </c>
      <c r="E15" s="29">
        <f t="shared" si="0"/>
        <v>6.4370000000001637</v>
      </c>
    </row>
    <row r="16" spans="1:5" x14ac:dyDescent="0.25">
      <c r="A16" t="s">
        <v>775</v>
      </c>
      <c r="B16">
        <v>4810566</v>
      </c>
      <c r="C16">
        <v>1950</v>
      </c>
      <c r="D16">
        <v>4100</v>
      </c>
      <c r="E16" s="29">
        <f t="shared" si="0"/>
        <v>7.9950000000000001</v>
      </c>
    </row>
    <row r="17" spans="1:5" x14ac:dyDescent="0.25">
      <c r="A17" t="s">
        <v>775</v>
      </c>
      <c r="B17">
        <v>4810567</v>
      </c>
      <c r="C17">
        <v>1987.49999999998</v>
      </c>
      <c r="D17">
        <v>4100</v>
      </c>
      <c r="E17" s="29">
        <f t="shared" si="0"/>
        <v>8.148749999999918</v>
      </c>
    </row>
    <row r="18" spans="1:5" x14ac:dyDescent="0.25">
      <c r="A18" t="s">
        <v>775</v>
      </c>
      <c r="B18">
        <v>4810568</v>
      </c>
      <c r="C18">
        <v>1987.50000000001</v>
      </c>
      <c r="D18">
        <v>4100</v>
      </c>
      <c r="E18" s="29">
        <f t="shared" si="0"/>
        <v>8.1487500000000406</v>
      </c>
    </row>
    <row r="19" spans="1:5" x14ac:dyDescent="0.25">
      <c r="A19" t="s">
        <v>775</v>
      </c>
      <c r="B19">
        <v>4810569</v>
      </c>
      <c r="C19">
        <v>1789.99999999992</v>
      </c>
      <c r="D19">
        <v>4100</v>
      </c>
      <c r="E19" s="29">
        <f t="shared" si="0"/>
        <v>7.3389999999996718</v>
      </c>
    </row>
    <row r="20" spans="1:5" x14ac:dyDescent="0.25">
      <c r="A20" t="s">
        <v>775</v>
      </c>
      <c r="B20">
        <v>4810570</v>
      </c>
      <c r="C20">
        <v>1950</v>
      </c>
      <c r="D20">
        <v>4100</v>
      </c>
      <c r="E20" s="29">
        <f t="shared" si="0"/>
        <v>7.9950000000000001</v>
      </c>
    </row>
    <row r="21" spans="1:5" x14ac:dyDescent="0.25">
      <c r="A21" t="s">
        <v>775</v>
      </c>
      <c r="B21">
        <v>4810571</v>
      </c>
      <c r="C21">
        <v>1950</v>
      </c>
      <c r="D21">
        <v>4100</v>
      </c>
      <c r="E21" s="29">
        <f t="shared" si="0"/>
        <v>7.9950000000000001</v>
      </c>
    </row>
    <row r="22" spans="1:5" x14ac:dyDescent="0.25">
      <c r="A22" t="s">
        <v>775</v>
      </c>
      <c r="B22">
        <v>4838639</v>
      </c>
      <c r="C22">
        <v>1950</v>
      </c>
      <c r="D22">
        <v>4100</v>
      </c>
      <c r="E22" s="29">
        <f t="shared" si="0"/>
        <v>7.9950000000000001</v>
      </c>
    </row>
    <row r="23" spans="1:5" x14ac:dyDescent="0.25">
      <c r="A23" t="s">
        <v>775</v>
      </c>
      <c r="B23">
        <v>4865197</v>
      </c>
      <c r="C23">
        <v>975.00000000001501</v>
      </c>
      <c r="D23">
        <v>4100</v>
      </c>
      <c r="E23" s="29">
        <f t="shared" si="0"/>
        <v>3.9975000000000613</v>
      </c>
    </row>
    <row r="24" spans="1:5" x14ac:dyDescent="0.25">
      <c r="A24" t="s">
        <v>775</v>
      </c>
      <c r="B24">
        <v>4865543</v>
      </c>
      <c r="C24">
        <v>975.00000000001501</v>
      </c>
      <c r="D24">
        <v>4100</v>
      </c>
      <c r="E24" s="29">
        <f t="shared" si="0"/>
        <v>3.9975000000000613</v>
      </c>
    </row>
    <row r="25" spans="1:5" x14ac:dyDescent="0.25">
      <c r="A25" t="s">
        <v>775</v>
      </c>
      <c r="B25">
        <v>4865581</v>
      </c>
      <c r="C25">
        <v>1950</v>
      </c>
      <c r="D25">
        <v>4100</v>
      </c>
      <c r="E25" s="29">
        <f t="shared" si="0"/>
        <v>7.9950000000000001</v>
      </c>
    </row>
    <row r="26" spans="1:5" x14ac:dyDescent="0.25">
      <c r="A26" t="s">
        <v>775</v>
      </c>
      <c r="B26">
        <v>4865624</v>
      </c>
      <c r="C26">
        <v>1950</v>
      </c>
      <c r="D26">
        <v>4100</v>
      </c>
      <c r="E26" s="29">
        <f t="shared" si="0"/>
        <v>7.9950000000000001</v>
      </c>
    </row>
    <row r="27" spans="1:5" x14ac:dyDescent="0.25">
      <c r="A27" t="s">
        <v>775</v>
      </c>
      <c r="B27">
        <v>4865649</v>
      </c>
      <c r="C27">
        <v>1269.77000000001</v>
      </c>
      <c r="D27">
        <v>4100</v>
      </c>
      <c r="E27" s="29">
        <f t="shared" si="0"/>
        <v>5.2060570000000412</v>
      </c>
    </row>
    <row r="28" spans="1:5" x14ac:dyDescent="0.25">
      <c r="A28" t="s">
        <v>775</v>
      </c>
      <c r="B28">
        <v>4913555</v>
      </c>
      <c r="C28">
        <v>1950</v>
      </c>
      <c r="D28">
        <v>4100</v>
      </c>
      <c r="E28" s="29">
        <f t="shared" si="0"/>
        <v>7.9950000000000001</v>
      </c>
    </row>
    <row r="29" spans="1:5" x14ac:dyDescent="0.25">
      <c r="A29" t="s">
        <v>775</v>
      </c>
      <c r="B29">
        <v>4913556</v>
      </c>
      <c r="C29">
        <v>1950</v>
      </c>
      <c r="D29">
        <v>4100</v>
      </c>
      <c r="E29" s="29">
        <f t="shared" si="0"/>
        <v>7.9950000000000001</v>
      </c>
    </row>
    <row r="30" spans="1:5" x14ac:dyDescent="0.25">
      <c r="A30" t="s">
        <v>775</v>
      </c>
      <c r="B30">
        <v>4913557</v>
      </c>
      <c r="C30">
        <v>1673.5</v>
      </c>
      <c r="D30">
        <v>4100</v>
      </c>
      <c r="E30" s="29">
        <f t="shared" si="0"/>
        <v>6.8613499999999998</v>
      </c>
    </row>
    <row r="31" spans="1:5" x14ac:dyDescent="0.25">
      <c r="A31" t="s">
        <v>775</v>
      </c>
      <c r="B31">
        <v>4913572</v>
      </c>
      <c r="C31">
        <v>1950</v>
      </c>
      <c r="D31">
        <v>4100</v>
      </c>
      <c r="E31" s="29">
        <f t="shared" si="0"/>
        <v>7.9950000000000001</v>
      </c>
    </row>
    <row r="32" spans="1:5" x14ac:dyDescent="0.25">
      <c r="A32" t="s">
        <v>775</v>
      </c>
      <c r="B32">
        <v>4913574</v>
      </c>
      <c r="C32">
        <v>1950</v>
      </c>
      <c r="D32">
        <v>4100</v>
      </c>
      <c r="E32" s="29">
        <f t="shared" si="0"/>
        <v>7.9950000000000001</v>
      </c>
    </row>
    <row r="33" spans="1:5" x14ac:dyDescent="0.25">
      <c r="A33" t="s">
        <v>775</v>
      </c>
      <c r="B33">
        <v>4913576</v>
      </c>
      <c r="C33">
        <v>1950</v>
      </c>
      <c r="D33">
        <v>4100</v>
      </c>
      <c r="E33" s="29">
        <f t="shared" si="0"/>
        <v>7.9950000000000001</v>
      </c>
    </row>
    <row r="34" spans="1:5" x14ac:dyDescent="0.25">
      <c r="A34" t="s">
        <v>775</v>
      </c>
      <c r="B34">
        <v>4913577</v>
      </c>
      <c r="C34">
        <v>1950</v>
      </c>
      <c r="D34">
        <v>4100</v>
      </c>
      <c r="E34" s="29">
        <f t="shared" si="0"/>
        <v>7.9950000000000001</v>
      </c>
    </row>
    <row r="35" spans="1:5" x14ac:dyDescent="0.25">
      <c r="A35" t="s">
        <v>775</v>
      </c>
      <c r="B35">
        <v>4913578</v>
      </c>
      <c r="C35">
        <v>1950</v>
      </c>
      <c r="D35">
        <v>4100</v>
      </c>
      <c r="E35" s="29">
        <f t="shared" si="0"/>
        <v>7.9950000000000001</v>
      </c>
    </row>
    <row r="36" spans="1:5" x14ac:dyDescent="0.25">
      <c r="A36" t="s">
        <v>775</v>
      </c>
      <c r="B36">
        <v>4913579</v>
      </c>
      <c r="C36">
        <v>1950</v>
      </c>
      <c r="D36">
        <v>4100</v>
      </c>
      <c r="E36" s="29">
        <f t="shared" si="0"/>
        <v>7.9950000000000001</v>
      </c>
    </row>
    <row r="37" spans="1:5" x14ac:dyDescent="0.25">
      <c r="A37" t="s">
        <v>775</v>
      </c>
      <c r="B37">
        <v>4913580</v>
      </c>
      <c r="C37">
        <v>1950</v>
      </c>
      <c r="D37">
        <v>4100</v>
      </c>
      <c r="E37" s="29">
        <f t="shared" si="0"/>
        <v>7.9950000000000001</v>
      </c>
    </row>
    <row r="38" spans="1:5" x14ac:dyDescent="0.25">
      <c r="A38" t="s">
        <v>775</v>
      </c>
      <c r="B38">
        <v>4913581</v>
      </c>
      <c r="C38">
        <v>1950</v>
      </c>
      <c r="D38">
        <v>4100</v>
      </c>
      <c r="E38" s="29">
        <f t="shared" si="0"/>
        <v>7.9950000000000001</v>
      </c>
    </row>
    <row r="39" spans="1:5" x14ac:dyDescent="0.25">
      <c r="A39" t="s">
        <v>775</v>
      </c>
      <c r="B39">
        <v>4913582</v>
      </c>
      <c r="C39">
        <v>1950</v>
      </c>
      <c r="D39">
        <v>4100</v>
      </c>
      <c r="E39" s="29">
        <f t="shared" si="0"/>
        <v>7.9950000000000001</v>
      </c>
    </row>
    <row r="40" spans="1:5" x14ac:dyDescent="0.25">
      <c r="A40" t="s">
        <v>775</v>
      </c>
      <c r="B40">
        <v>4913584</v>
      </c>
      <c r="C40">
        <v>1950</v>
      </c>
      <c r="D40">
        <v>4100</v>
      </c>
      <c r="E40" s="29">
        <f t="shared" si="0"/>
        <v>7.9950000000000001</v>
      </c>
    </row>
    <row r="41" spans="1:5" x14ac:dyDescent="0.25">
      <c r="A41" t="s">
        <v>775</v>
      </c>
      <c r="B41">
        <v>4913585</v>
      </c>
      <c r="C41">
        <v>1910</v>
      </c>
      <c r="D41">
        <v>4100</v>
      </c>
      <c r="E41" s="29">
        <f t="shared" si="0"/>
        <v>7.8310000000000004</v>
      </c>
    </row>
    <row r="42" spans="1:5" x14ac:dyDescent="0.25">
      <c r="A42" t="s">
        <v>775</v>
      </c>
      <c r="B42">
        <v>4913589</v>
      </c>
      <c r="C42">
        <v>2292.7885593561</v>
      </c>
      <c r="D42">
        <v>4100</v>
      </c>
      <c r="E42" s="29">
        <f t="shared" si="0"/>
        <v>9.4004330933600109</v>
      </c>
    </row>
    <row r="43" spans="1:5" x14ac:dyDescent="0.25">
      <c r="A43" t="s">
        <v>775</v>
      </c>
      <c r="B43">
        <v>4913615</v>
      </c>
      <c r="C43">
        <v>1951.0760738694801</v>
      </c>
      <c r="D43">
        <v>4100</v>
      </c>
      <c r="E43" s="29">
        <f t="shared" si="0"/>
        <v>7.9994119028648676</v>
      </c>
    </row>
    <row r="44" spans="1:5" x14ac:dyDescent="0.25">
      <c r="A44" t="s">
        <v>775</v>
      </c>
      <c r="B44">
        <v>4913618</v>
      </c>
      <c r="C44">
        <v>1950</v>
      </c>
      <c r="D44">
        <v>4100</v>
      </c>
      <c r="E44" s="29">
        <f t="shared" si="0"/>
        <v>7.9950000000000001</v>
      </c>
    </row>
    <row r="45" spans="1:5" x14ac:dyDescent="0.25">
      <c r="A45" t="s">
        <v>775</v>
      </c>
      <c r="B45">
        <v>4913621</v>
      </c>
      <c r="C45">
        <v>1950</v>
      </c>
      <c r="D45">
        <v>4100</v>
      </c>
      <c r="E45" s="29">
        <f t="shared" si="0"/>
        <v>7.9950000000000001</v>
      </c>
    </row>
    <row r="46" spans="1:5" x14ac:dyDescent="0.25">
      <c r="A46" t="s">
        <v>775</v>
      </c>
      <c r="B46">
        <v>4913624</v>
      </c>
      <c r="C46">
        <v>1950</v>
      </c>
      <c r="D46">
        <v>4100</v>
      </c>
      <c r="E46" s="29">
        <f t="shared" si="0"/>
        <v>7.9950000000000001</v>
      </c>
    </row>
    <row r="47" spans="1:5" x14ac:dyDescent="0.25">
      <c r="A47" t="s">
        <v>775</v>
      </c>
      <c r="B47">
        <v>4913627</v>
      </c>
      <c r="C47">
        <v>1950</v>
      </c>
      <c r="D47">
        <v>4100</v>
      </c>
      <c r="E47" s="29">
        <f t="shared" si="0"/>
        <v>7.9950000000000001</v>
      </c>
    </row>
    <row r="48" spans="1:5" x14ac:dyDescent="0.25">
      <c r="A48" t="s">
        <v>775</v>
      </c>
      <c r="B48">
        <v>4913633</v>
      </c>
      <c r="C48">
        <v>1950</v>
      </c>
      <c r="D48">
        <v>4100</v>
      </c>
      <c r="E48" s="29">
        <f t="shared" si="0"/>
        <v>7.9950000000000001</v>
      </c>
    </row>
    <row r="49" spans="1:5" x14ac:dyDescent="0.25">
      <c r="A49" t="s">
        <v>775</v>
      </c>
      <c r="B49">
        <v>4913636</v>
      </c>
      <c r="C49">
        <v>1950</v>
      </c>
      <c r="D49">
        <v>4100</v>
      </c>
      <c r="E49" s="29">
        <f t="shared" si="0"/>
        <v>7.9950000000000001</v>
      </c>
    </row>
    <row r="50" spans="1:5" x14ac:dyDescent="0.25">
      <c r="A50" t="s">
        <v>775</v>
      </c>
      <c r="B50">
        <v>4913639</v>
      </c>
      <c r="C50">
        <v>1950</v>
      </c>
      <c r="D50">
        <v>4100</v>
      </c>
      <c r="E50" s="29">
        <f t="shared" si="0"/>
        <v>7.9950000000000001</v>
      </c>
    </row>
    <row r="51" spans="1:5" x14ac:dyDescent="0.25">
      <c r="A51" t="s">
        <v>775</v>
      </c>
      <c r="B51">
        <v>4913642</v>
      </c>
      <c r="C51">
        <v>1471.5050359040699</v>
      </c>
      <c r="D51">
        <v>4100</v>
      </c>
      <c r="E51" s="29">
        <f t="shared" si="0"/>
        <v>6.0331706472066866</v>
      </c>
    </row>
    <row r="52" spans="1:5" x14ac:dyDescent="0.25">
      <c r="A52" t="s">
        <v>775</v>
      </c>
      <c r="B52">
        <v>4914400</v>
      </c>
      <c r="C52">
        <v>1950.00000000004</v>
      </c>
      <c r="D52">
        <v>4100</v>
      </c>
      <c r="E52" s="29">
        <f t="shared" si="0"/>
        <v>7.9950000000001635</v>
      </c>
    </row>
    <row r="53" spans="1:5" x14ac:dyDescent="0.25">
      <c r="A53" t="s">
        <v>775</v>
      </c>
      <c r="B53">
        <v>4914401</v>
      </c>
      <c r="C53">
        <v>1950</v>
      </c>
      <c r="D53">
        <v>4100</v>
      </c>
      <c r="E53" s="29">
        <f t="shared" si="0"/>
        <v>7.9950000000000001</v>
      </c>
    </row>
    <row r="54" spans="1:5" x14ac:dyDescent="0.25">
      <c r="A54" t="s">
        <v>775</v>
      </c>
      <c r="B54">
        <v>4914402</v>
      </c>
      <c r="C54">
        <v>1950</v>
      </c>
      <c r="D54">
        <v>4100</v>
      </c>
      <c r="E54" s="29">
        <f t="shared" si="0"/>
        <v>7.9950000000000001</v>
      </c>
    </row>
    <row r="55" spans="1:5" x14ac:dyDescent="0.25">
      <c r="A55" t="s">
        <v>775</v>
      </c>
      <c r="B55">
        <v>4914403</v>
      </c>
      <c r="C55">
        <v>1950</v>
      </c>
      <c r="D55">
        <v>4100</v>
      </c>
      <c r="E55" s="29">
        <f t="shared" si="0"/>
        <v>7.9950000000000001</v>
      </c>
    </row>
    <row r="56" spans="1:5" x14ac:dyDescent="0.25">
      <c r="A56" t="s">
        <v>775</v>
      </c>
      <c r="B56">
        <v>4914404</v>
      </c>
      <c r="C56">
        <v>1950</v>
      </c>
      <c r="D56">
        <v>4100</v>
      </c>
      <c r="E56" s="29">
        <f t="shared" si="0"/>
        <v>7.9950000000000001</v>
      </c>
    </row>
    <row r="57" spans="1:5" x14ac:dyDescent="0.25">
      <c r="A57" t="s">
        <v>775</v>
      </c>
      <c r="B57">
        <v>4914405</v>
      </c>
      <c r="C57">
        <v>1950</v>
      </c>
      <c r="D57">
        <v>4100</v>
      </c>
      <c r="E57" s="29">
        <f t="shared" si="0"/>
        <v>7.9950000000000001</v>
      </c>
    </row>
    <row r="58" spans="1:5" x14ac:dyDescent="0.25">
      <c r="A58" t="s">
        <v>775</v>
      </c>
      <c r="B58">
        <v>4914406</v>
      </c>
      <c r="C58">
        <v>1950</v>
      </c>
      <c r="D58">
        <v>4100</v>
      </c>
      <c r="E58" s="29">
        <f t="shared" si="0"/>
        <v>7.9950000000000001</v>
      </c>
    </row>
    <row r="59" spans="1:5" x14ac:dyDescent="0.25">
      <c r="A59" t="s">
        <v>775</v>
      </c>
      <c r="B59">
        <v>4914407</v>
      </c>
      <c r="C59">
        <v>1950</v>
      </c>
      <c r="D59">
        <v>4100</v>
      </c>
      <c r="E59" s="29">
        <f t="shared" si="0"/>
        <v>7.9950000000000001</v>
      </c>
    </row>
    <row r="60" spans="1:5" x14ac:dyDescent="0.25">
      <c r="A60" t="s">
        <v>775</v>
      </c>
      <c r="B60">
        <v>4914409</v>
      </c>
      <c r="C60">
        <v>511.99999999996402</v>
      </c>
      <c r="D60">
        <v>4100</v>
      </c>
      <c r="E60" s="29">
        <f t="shared" si="0"/>
        <v>2.0991999999998523</v>
      </c>
    </row>
    <row r="61" spans="1:5" x14ac:dyDescent="0.25">
      <c r="A61" t="s">
        <v>775</v>
      </c>
      <c r="B61">
        <v>4915168</v>
      </c>
      <c r="C61">
        <v>975.00000000004798</v>
      </c>
      <c r="D61">
        <v>4100</v>
      </c>
      <c r="E61" s="29">
        <f t="shared" si="0"/>
        <v>3.9975000000001963</v>
      </c>
    </row>
    <row r="62" spans="1:5" x14ac:dyDescent="0.25">
      <c r="A62" t="s">
        <v>775</v>
      </c>
      <c r="B62">
        <v>4915169</v>
      </c>
      <c r="C62">
        <v>1950</v>
      </c>
      <c r="D62">
        <v>4100</v>
      </c>
      <c r="E62" s="29">
        <f t="shared" si="0"/>
        <v>7.9950000000000001</v>
      </c>
    </row>
    <row r="63" spans="1:5" x14ac:dyDescent="0.25">
      <c r="A63" t="s">
        <v>775</v>
      </c>
      <c r="B63">
        <v>4915170</v>
      </c>
      <c r="C63">
        <v>1950</v>
      </c>
      <c r="D63">
        <v>4100</v>
      </c>
      <c r="E63" s="29">
        <f t="shared" si="0"/>
        <v>7.9950000000000001</v>
      </c>
    </row>
    <row r="64" spans="1:5" x14ac:dyDescent="0.25">
      <c r="A64" t="s">
        <v>775</v>
      </c>
      <c r="B64">
        <v>4915171</v>
      </c>
      <c r="C64">
        <v>1950</v>
      </c>
      <c r="D64">
        <v>4100</v>
      </c>
      <c r="E64" s="29">
        <f t="shared" si="0"/>
        <v>7.9950000000000001</v>
      </c>
    </row>
    <row r="65" spans="1:5" x14ac:dyDescent="0.25">
      <c r="A65" t="s">
        <v>775</v>
      </c>
      <c r="B65">
        <v>4915172</v>
      </c>
      <c r="C65">
        <v>1950</v>
      </c>
      <c r="D65">
        <v>4100</v>
      </c>
      <c r="E65" s="29">
        <f t="shared" si="0"/>
        <v>7.9950000000000001</v>
      </c>
    </row>
    <row r="66" spans="1:5" x14ac:dyDescent="0.25">
      <c r="A66" t="s">
        <v>775</v>
      </c>
      <c r="B66">
        <v>4915174</v>
      </c>
      <c r="C66">
        <v>1950</v>
      </c>
      <c r="D66">
        <v>4100</v>
      </c>
      <c r="E66" s="29">
        <f t="shared" si="0"/>
        <v>7.9950000000000001</v>
      </c>
    </row>
    <row r="67" spans="1:5" x14ac:dyDescent="0.25">
      <c r="A67" t="s">
        <v>775</v>
      </c>
      <c r="B67">
        <v>4915175</v>
      </c>
      <c r="C67">
        <v>1950</v>
      </c>
      <c r="D67">
        <v>4100</v>
      </c>
      <c r="E67" s="29">
        <f t="shared" ref="E67:E130" si="1">(C67*D67)/10^6</f>
        <v>7.9950000000000001</v>
      </c>
    </row>
    <row r="68" spans="1:5" x14ac:dyDescent="0.25">
      <c r="A68" t="s">
        <v>775</v>
      </c>
      <c r="B68">
        <v>4915176</v>
      </c>
      <c r="C68">
        <v>1950</v>
      </c>
      <c r="D68">
        <v>4100</v>
      </c>
      <c r="E68" s="29">
        <f t="shared" si="1"/>
        <v>7.9950000000000001</v>
      </c>
    </row>
    <row r="69" spans="1:5" x14ac:dyDescent="0.25">
      <c r="A69" t="s">
        <v>775</v>
      </c>
      <c r="B69">
        <v>4915177</v>
      </c>
      <c r="C69">
        <v>1950</v>
      </c>
      <c r="D69">
        <v>4100</v>
      </c>
      <c r="E69" s="29">
        <f t="shared" si="1"/>
        <v>7.9950000000000001</v>
      </c>
    </row>
    <row r="70" spans="1:5" x14ac:dyDescent="0.25">
      <c r="A70" t="s">
        <v>775</v>
      </c>
      <c r="B70">
        <v>4940794</v>
      </c>
      <c r="C70">
        <v>1490.24999999995</v>
      </c>
      <c r="D70">
        <v>4100</v>
      </c>
      <c r="E70" s="29">
        <f t="shared" si="1"/>
        <v>6.1100249999997951</v>
      </c>
    </row>
    <row r="71" spans="1:5" x14ac:dyDescent="0.25">
      <c r="A71" t="s">
        <v>775</v>
      </c>
      <c r="B71">
        <v>4941858</v>
      </c>
      <c r="C71">
        <v>1629.5610572968301</v>
      </c>
      <c r="D71">
        <v>4100</v>
      </c>
      <c r="E71" s="29">
        <f t="shared" si="1"/>
        <v>6.681200334917003</v>
      </c>
    </row>
    <row r="72" spans="1:5" x14ac:dyDescent="0.25">
      <c r="A72" t="s">
        <v>775</v>
      </c>
      <c r="B72">
        <v>4942085</v>
      </c>
      <c r="C72">
        <v>1604.89057947274</v>
      </c>
      <c r="D72">
        <v>4100</v>
      </c>
      <c r="E72" s="29">
        <f t="shared" si="1"/>
        <v>6.5800513758382344</v>
      </c>
    </row>
    <row r="73" spans="1:5" x14ac:dyDescent="0.25">
      <c r="A73" t="s">
        <v>775</v>
      </c>
      <c r="B73">
        <v>4942092</v>
      </c>
      <c r="C73">
        <v>1604.89057947273</v>
      </c>
      <c r="D73">
        <v>4100</v>
      </c>
      <c r="E73" s="29">
        <f t="shared" si="1"/>
        <v>6.5800513758381936</v>
      </c>
    </row>
    <row r="74" spans="1:5" x14ac:dyDescent="0.25">
      <c r="A74" t="s">
        <v>775</v>
      </c>
      <c r="B74">
        <v>4948738</v>
      </c>
      <c r="C74">
        <v>1820</v>
      </c>
      <c r="D74">
        <v>4100</v>
      </c>
      <c r="E74" s="29">
        <f t="shared" si="1"/>
        <v>7.4619999999999997</v>
      </c>
    </row>
    <row r="75" spans="1:5" x14ac:dyDescent="0.25">
      <c r="A75" t="s">
        <v>775</v>
      </c>
      <c r="B75">
        <v>5142604</v>
      </c>
      <c r="C75">
        <v>1220.1400000000001</v>
      </c>
      <c r="D75">
        <v>4100</v>
      </c>
      <c r="E75" s="29">
        <f t="shared" si="1"/>
        <v>5.0025740000000001</v>
      </c>
    </row>
    <row r="76" spans="1:5" x14ac:dyDescent="0.25">
      <c r="A76" t="s">
        <v>776</v>
      </c>
      <c r="B76">
        <v>5142801</v>
      </c>
      <c r="C76">
        <v>1950</v>
      </c>
      <c r="D76">
        <v>1000</v>
      </c>
      <c r="E76" s="29">
        <f t="shared" si="1"/>
        <v>1.95</v>
      </c>
    </row>
    <row r="77" spans="1:5" x14ac:dyDescent="0.25">
      <c r="A77" t="s">
        <v>775</v>
      </c>
      <c r="B77">
        <v>5142968</v>
      </c>
      <c r="C77">
        <v>1950</v>
      </c>
      <c r="D77">
        <v>1000</v>
      </c>
      <c r="E77" s="29">
        <f t="shared" si="1"/>
        <v>1.95</v>
      </c>
    </row>
    <row r="78" spans="1:5" x14ac:dyDescent="0.25">
      <c r="A78" t="s">
        <v>776</v>
      </c>
      <c r="B78">
        <v>5142969</v>
      </c>
      <c r="C78">
        <v>1950</v>
      </c>
      <c r="D78">
        <v>1000</v>
      </c>
      <c r="E78" s="29">
        <f t="shared" si="1"/>
        <v>1.95</v>
      </c>
    </row>
    <row r="79" spans="1:5" x14ac:dyDescent="0.25">
      <c r="A79" t="s">
        <v>776</v>
      </c>
      <c r="B79">
        <v>5142970</v>
      </c>
      <c r="C79">
        <v>1950</v>
      </c>
      <c r="D79">
        <v>1000</v>
      </c>
      <c r="E79" s="29">
        <f t="shared" si="1"/>
        <v>1.95</v>
      </c>
    </row>
    <row r="80" spans="1:5" x14ac:dyDescent="0.25">
      <c r="A80" t="s">
        <v>776</v>
      </c>
      <c r="B80">
        <v>5142971</v>
      </c>
      <c r="C80">
        <v>1950</v>
      </c>
      <c r="D80">
        <v>1000</v>
      </c>
      <c r="E80" s="29">
        <f t="shared" si="1"/>
        <v>1.95</v>
      </c>
    </row>
    <row r="81" spans="1:5" x14ac:dyDescent="0.25">
      <c r="A81" t="s">
        <v>776</v>
      </c>
      <c r="B81">
        <v>5142973</v>
      </c>
      <c r="C81">
        <v>1950</v>
      </c>
      <c r="D81">
        <v>1000</v>
      </c>
      <c r="E81" s="29">
        <f t="shared" si="1"/>
        <v>1.95</v>
      </c>
    </row>
    <row r="82" spans="1:5" x14ac:dyDescent="0.25">
      <c r="A82" t="s">
        <v>776</v>
      </c>
      <c r="B82">
        <v>5142974</v>
      </c>
      <c r="C82">
        <v>1950</v>
      </c>
      <c r="D82">
        <v>1000</v>
      </c>
      <c r="E82" s="29">
        <f t="shared" si="1"/>
        <v>1.95</v>
      </c>
    </row>
    <row r="83" spans="1:5" x14ac:dyDescent="0.25">
      <c r="A83" t="s">
        <v>776</v>
      </c>
      <c r="B83">
        <v>5142975</v>
      </c>
      <c r="C83">
        <v>1950</v>
      </c>
      <c r="D83">
        <v>1000</v>
      </c>
      <c r="E83" s="29">
        <f t="shared" si="1"/>
        <v>1.95</v>
      </c>
    </row>
    <row r="84" spans="1:5" x14ac:dyDescent="0.25">
      <c r="A84" t="s">
        <v>775</v>
      </c>
      <c r="B84">
        <v>5142976</v>
      </c>
      <c r="C84">
        <v>750</v>
      </c>
      <c r="D84">
        <v>1000</v>
      </c>
      <c r="E84" s="29">
        <f t="shared" si="1"/>
        <v>0.75</v>
      </c>
    </row>
    <row r="85" spans="1:5" x14ac:dyDescent="0.25">
      <c r="A85" t="s">
        <v>775</v>
      </c>
      <c r="B85">
        <v>5143375</v>
      </c>
      <c r="C85">
        <v>1949.7544297491399</v>
      </c>
      <c r="D85">
        <v>1000</v>
      </c>
      <c r="E85" s="29">
        <f t="shared" si="1"/>
        <v>1.94975442974914</v>
      </c>
    </row>
    <row r="86" spans="1:5" x14ac:dyDescent="0.25">
      <c r="A86" t="s">
        <v>775</v>
      </c>
      <c r="B86">
        <v>5143376</v>
      </c>
      <c r="C86">
        <v>1950</v>
      </c>
      <c r="D86">
        <v>1000</v>
      </c>
      <c r="E86" s="29">
        <f t="shared" si="1"/>
        <v>1.95</v>
      </c>
    </row>
    <row r="87" spans="1:5" x14ac:dyDescent="0.25">
      <c r="A87" t="s">
        <v>775</v>
      </c>
      <c r="B87">
        <v>5143377</v>
      </c>
      <c r="C87">
        <v>1950</v>
      </c>
      <c r="D87">
        <v>1000</v>
      </c>
      <c r="E87" s="29">
        <f t="shared" si="1"/>
        <v>1.95</v>
      </c>
    </row>
    <row r="88" spans="1:5" x14ac:dyDescent="0.25">
      <c r="A88" t="s">
        <v>775</v>
      </c>
      <c r="B88">
        <v>5143378</v>
      </c>
      <c r="C88">
        <v>1950</v>
      </c>
      <c r="D88">
        <v>1000</v>
      </c>
      <c r="E88" s="29">
        <f t="shared" si="1"/>
        <v>1.95</v>
      </c>
    </row>
    <row r="89" spans="1:5" x14ac:dyDescent="0.25">
      <c r="A89" t="s">
        <v>775</v>
      </c>
      <c r="B89">
        <v>5143379</v>
      </c>
      <c r="C89">
        <v>1950</v>
      </c>
      <c r="D89">
        <v>1000</v>
      </c>
      <c r="E89" s="29">
        <f t="shared" si="1"/>
        <v>1.95</v>
      </c>
    </row>
    <row r="90" spans="1:5" x14ac:dyDescent="0.25">
      <c r="A90" t="s">
        <v>775</v>
      </c>
      <c r="B90">
        <v>5143380</v>
      </c>
      <c r="C90">
        <v>1950</v>
      </c>
      <c r="D90">
        <v>1000</v>
      </c>
      <c r="E90" s="29">
        <f t="shared" si="1"/>
        <v>1.95</v>
      </c>
    </row>
    <row r="91" spans="1:5" x14ac:dyDescent="0.25">
      <c r="A91" t="s">
        <v>775</v>
      </c>
      <c r="B91">
        <v>5143382</v>
      </c>
      <c r="C91">
        <v>1950</v>
      </c>
      <c r="D91">
        <v>1000</v>
      </c>
      <c r="E91" s="29">
        <f t="shared" si="1"/>
        <v>1.95</v>
      </c>
    </row>
    <row r="92" spans="1:5" x14ac:dyDescent="0.25">
      <c r="A92" t="s">
        <v>775</v>
      </c>
      <c r="B92">
        <v>5143383</v>
      </c>
      <c r="C92">
        <v>1910</v>
      </c>
      <c r="D92">
        <v>1000</v>
      </c>
      <c r="E92" s="29">
        <f t="shared" si="1"/>
        <v>1.91</v>
      </c>
    </row>
    <row r="93" spans="1:5" x14ac:dyDescent="0.25">
      <c r="A93" t="s">
        <v>775</v>
      </c>
      <c r="B93">
        <v>5143650</v>
      </c>
      <c r="C93">
        <v>1950</v>
      </c>
      <c r="D93">
        <v>1000</v>
      </c>
      <c r="E93" s="29">
        <f t="shared" si="1"/>
        <v>1.95</v>
      </c>
    </row>
    <row r="94" spans="1:5" x14ac:dyDescent="0.25">
      <c r="A94" t="s">
        <v>775</v>
      </c>
      <c r="B94">
        <v>5143652</v>
      </c>
      <c r="C94">
        <v>1950</v>
      </c>
      <c r="D94">
        <v>1000</v>
      </c>
      <c r="E94" s="29">
        <f t="shared" si="1"/>
        <v>1.95</v>
      </c>
    </row>
    <row r="95" spans="1:5" x14ac:dyDescent="0.25">
      <c r="A95" t="s">
        <v>775</v>
      </c>
      <c r="B95">
        <v>5143653</v>
      </c>
      <c r="C95">
        <v>1950</v>
      </c>
      <c r="D95">
        <v>1000</v>
      </c>
      <c r="E95" s="29">
        <f t="shared" si="1"/>
        <v>1.95</v>
      </c>
    </row>
    <row r="96" spans="1:5" x14ac:dyDescent="0.25">
      <c r="A96" t="s">
        <v>775</v>
      </c>
      <c r="B96">
        <v>5143654</v>
      </c>
      <c r="C96">
        <v>1950</v>
      </c>
      <c r="D96">
        <v>1000</v>
      </c>
      <c r="E96" s="29">
        <f t="shared" si="1"/>
        <v>1.95</v>
      </c>
    </row>
    <row r="97" spans="1:5" x14ac:dyDescent="0.25">
      <c r="A97" t="s">
        <v>775</v>
      </c>
      <c r="B97">
        <v>5143655</v>
      </c>
      <c r="C97">
        <v>1950</v>
      </c>
      <c r="D97">
        <v>1000</v>
      </c>
      <c r="E97" s="29">
        <f t="shared" si="1"/>
        <v>1.95</v>
      </c>
    </row>
    <row r="98" spans="1:5" x14ac:dyDescent="0.25">
      <c r="A98" t="s">
        <v>775</v>
      </c>
      <c r="B98">
        <v>5143656</v>
      </c>
      <c r="C98">
        <v>1950</v>
      </c>
      <c r="D98">
        <v>1000</v>
      </c>
      <c r="E98" s="29">
        <f t="shared" si="1"/>
        <v>1.95</v>
      </c>
    </row>
    <row r="99" spans="1:5" x14ac:dyDescent="0.25">
      <c r="A99" t="s">
        <v>775</v>
      </c>
      <c r="B99">
        <v>5143657</v>
      </c>
      <c r="C99">
        <v>1950</v>
      </c>
      <c r="D99">
        <v>1000</v>
      </c>
      <c r="E99" s="29">
        <f t="shared" si="1"/>
        <v>1.95</v>
      </c>
    </row>
    <row r="100" spans="1:5" x14ac:dyDescent="0.25">
      <c r="A100" t="s">
        <v>775</v>
      </c>
      <c r="B100">
        <v>5143658</v>
      </c>
      <c r="C100">
        <v>1673.5</v>
      </c>
      <c r="D100">
        <v>1000</v>
      </c>
      <c r="E100" s="29">
        <f t="shared" si="1"/>
        <v>1.6735</v>
      </c>
    </row>
    <row r="101" spans="1:5" x14ac:dyDescent="0.25">
      <c r="A101" t="s">
        <v>775</v>
      </c>
      <c r="B101">
        <v>5143814</v>
      </c>
      <c r="C101">
        <v>1950.0000000001501</v>
      </c>
      <c r="D101">
        <v>1000</v>
      </c>
      <c r="E101" s="29">
        <f t="shared" si="1"/>
        <v>1.9500000000001503</v>
      </c>
    </row>
    <row r="102" spans="1:5" x14ac:dyDescent="0.25">
      <c r="A102" t="s">
        <v>775</v>
      </c>
      <c r="B102">
        <v>5143815</v>
      </c>
      <c r="C102">
        <v>1950.00000000001</v>
      </c>
      <c r="D102">
        <v>1000</v>
      </c>
      <c r="E102" s="29">
        <f t="shared" si="1"/>
        <v>1.9500000000000099</v>
      </c>
    </row>
    <row r="103" spans="1:5" x14ac:dyDescent="0.25">
      <c r="A103" t="s">
        <v>775</v>
      </c>
      <c r="B103">
        <v>5143816</v>
      </c>
      <c r="C103">
        <v>1950.00000000001</v>
      </c>
      <c r="D103">
        <v>1000</v>
      </c>
      <c r="E103" s="29">
        <f t="shared" si="1"/>
        <v>1.9500000000000099</v>
      </c>
    </row>
    <row r="104" spans="1:5" x14ac:dyDescent="0.25">
      <c r="A104" t="s">
        <v>775</v>
      </c>
      <c r="B104">
        <v>5143817</v>
      </c>
      <c r="C104">
        <v>1950.00000000002</v>
      </c>
      <c r="D104">
        <v>1000</v>
      </c>
      <c r="E104" s="29">
        <f t="shared" si="1"/>
        <v>1.9500000000000199</v>
      </c>
    </row>
    <row r="105" spans="1:5" x14ac:dyDescent="0.25">
      <c r="A105" t="s">
        <v>775</v>
      </c>
      <c r="B105">
        <v>5143818</v>
      </c>
      <c r="C105">
        <v>975</v>
      </c>
      <c r="D105">
        <v>1000</v>
      </c>
      <c r="E105" s="29">
        <f t="shared" si="1"/>
        <v>0.97499999999999998</v>
      </c>
    </row>
    <row r="106" spans="1:5" x14ac:dyDescent="0.25">
      <c r="A106" t="s">
        <v>775</v>
      </c>
      <c r="B106">
        <v>5143819</v>
      </c>
      <c r="C106">
        <v>1950</v>
      </c>
      <c r="D106">
        <v>1000</v>
      </c>
      <c r="E106" s="29">
        <f t="shared" si="1"/>
        <v>1.95</v>
      </c>
    </row>
    <row r="107" spans="1:5" x14ac:dyDescent="0.25">
      <c r="A107" t="s">
        <v>775</v>
      </c>
      <c r="B107">
        <v>5143820</v>
      </c>
      <c r="C107">
        <v>1670.00000000004</v>
      </c>
      <c r="D107">
        <v>1000</v>
      </c>
      <c r="E107" s="29">
        <f t="shared" si="1"/>
        <v>1.6700000000000401</v>
      </c>
    </row>
    <row r="108" spans="1:5" x14ac:dyDescent="0.25">
      <c r="A108" t="s">
        <v>775</v>
      </c>
      <c r="B108">
        <v>5143821</v>
      </c>
      <c r="C108">
        <v>1950.00000000001</v>
      </c>
      <c r="D108">
        <v>1000</v>
      </c>
      <c r="E108" s="29">
        <f t="shared" si="1"/>
        <v>1.9500000000000099</v>
      </c>
    </row>
    <row r="109" spans="1:5" x14ac:dyDescent="0.25">
      <c r="A109" t="s">
        <v>775</v>
      </c>
      <c r="B109">
        <v>5143822</v>
      </c>
      <c r="C109">
        <v>1950.00000000001</v>
      </c>
      <c r="D109">
        <v>1000</v>
      </c>
      <c r="E109" s="29">
        <f t="shared" si="1"/>
        <v>1.9500000000000099</v>
      </c>
    </row>
    <row r="110" spans="1:5" x14ac:dyDescent="0.25">
      <c r="A110" t="s">
        <v>775</v>
      </c>
      <c r="B110">
        <v>5143823</v>
      </c>
      <c r="C110">
        <v>974.99999999999</v>
      </c>
      <c r="D110">
        <v>1000</v>
      </c>
      <c r="E110" s="29">
        <f t="shared" si="1"/>
        <v>0.97499999999998999</v>
      </c>
    </row>
    <row r="111" spans="1:5" x14ac:dyDescent="0.25">
      <c r="A111" t="s">
        <v>775</v>
      </c>
      <c r="B111">
        <v>5143824</v>
      </c>
      <c r="C111">
        <v>1950.00000000005</v>
      </c>
      <c r="D111">
        <v>1000</v>
      </c>
      <c r="E111" s="29">
        <f t="shared" si="1"/>
        <v>1.9500000000000501</v>
      </c>
    </row>
    <row r="112" spans="1:5" x14ac:dyDescent="0.25">
      <c r="A112" t="s">
        <v>775</v>
      </c>
      <c r="B112">
        <v>5143825</v>
      </c>
      <c r="C112">
        <v>1950</v>
      </c>
      <c r="D112">
        <v>1000</v>
      </c>
      <c r="E112" s="29">
        <f t="shared" si="1"/>
        <v>1.95</v>
      </c>
    </row>
    <row r="113" spans="1:5" x14ac:dyDescent="0.25">
      <c r="A113" t="s">
        <v>775</v>
      </c>
      <c r="B113">
        <v>5143826</v>
      </c>
      <c r="C113">
        <v>1949.99999999999</v>
      </c>
      <c r="D113">
        <v>1000</v>
      </c>
      <c r="E113" s="29">
        <f t="shared" si="1"/>
        <v>1.94999999999999</v>
      </c>
    </row>
    <row r="114" spans="1:5" x14ac:dyDescent="0.25">
      <c r="A114" t="s">
        <v>775</v>
      </c>
      <c r="B114">
        <v>5143827</v>
      </c>
      <c r="C114">
        <v>1570.00000000005</v>
      </c>
      <c r="D114">
        <v>1000</v>
      </c>
      <c r="E114" s="29">
        <f t="shared" si="1"/>
        <v>1.57000000000005</v>
      </c>
    </row>
    <row r="115" spans="1:5" x14ac:dyDescent="0.25">
      <c r="A115" t="s">
        <v>775</v>
      </c>
      <c r="B115">
        <v>5143828</v>
      </c>
      <c r="C115">
        <v>1949.99999999999</v>
      </c>
      <c r="D115">
        <v>1000</v>
      </c>
      <c r="E115" s="29">
        <f t="shared" si="1"/>
        <v>1.94999999999999</v>
      </c>
    </row>
    <row r="116" spans="1:5" x14ac:dyDescent="0.25">
      <c r="A116" t="s">
        <v>775</v>
      </c>
      <c r="B116">
        <v>5143830</v>
      </c>
      <c r="C116">
        <v>1987.5</v>
      </c>
      <c r="D116">
        <v>1000</v>
      </c>
      <c r="E116" s="29">
        <f t="shared" si="1"/>
        <v>1.9875</v>
      </c>
    </row>
    <row r="117" spans="1:5" x14ac:dyDescent="0.25">
      <c r="A117" t="s">
        <v>775</v>
      </c>
      <c r="B117">
        <v>5143831</v>
      </c>
      <c r="C117">
        <v>1987.50000000003</v>
      </c>
      <c r="D117">
        <v>1000</v>
      </c>
      <c r="E117" s="29">
        <f t="shared" si="1"/>
        <v>1.98750000000003</v>
      </c>
    </row>
    <row r="118" spans="1:5" x14ac:dyDescent="0.25">
      <c r="A118" t="s">
        <v>775</v>
      </c>
      <c r="B118">
        <v>5143832</v>
      </c>
      <c r="C118">
        <v>1789.9999999998799</v>
      </c>
      <c r="D118">
        <v>1000</v>
      </c>
      <c r="E118" s="29">
        <f t="shared" si="1"/>
        <v>1.7899999999998799</v>
      </c>
    </row>
    <row r="119" spans="1:5" x14ac:dyDescent="0.25">
      <c r="A119" t="s">
        <v>775</v>
      </c>
      <c r="B119">
        <v>5143833</v>
      </c>
      <c r="C119">
        <v>1950</v>
      </c>
      <c r="D119">
        <v>1000</v>
      </c>
      <c r="E119" s="29">
        <f t="shared" si="1"/>
        <v>1.95</v>
      </c>
    </row>
    <row r="120" spans="1:5" x14ac:dyDescent="0.25">
      <c r="A120" t="s">
        <v>775</v>
      </c>
      <c r="B120">
        <v>5143834</v>
      </c>
      <c r="C120">
        <v>975.00000000001501</v>
      </c>
      <c r="D120">
        <v>1000</v>
      </c>
      <c r="E120" s="29">
        <f t="shared" si="1"/>
        <v>0.97500000000001497</v>
      </c>
    </row>
    <row r="121" spans="1:5" x14ac:dyDescent="0.25">
      <c r="A121" t="s">
        <v>775</v>
      </c>
      <c r="B121">
        <v>5143835</v>
      </c>
      <c r="C121">
        <v>974.99999999988199</v>
      </c>
      <c r="D121">
        <v>1000</v>
      </c>
      <c r="E121" s="29">
        <f t="shared" si="1"/>
        <v>0.97499999999988196</v>
      </c>
    </row>
    <row r="122" spans="1:5" x14ac:dyDescent="0.25">
      <c r="A122" t="s">
        <v>775</v>
      </c>
      <c r="B122">
        <v>5143836</v>
      </c>
      <c r="C122">
        <v>1949.99999999999</v>
      </c>
      <c r="D122">
        <v>1000</v>
      </c>
      <c r="E122" s="29">
        <f t="shared" si="1"/>
        <v>1.94999999999999</v>
      </c>
    </row>
    <row r="123" spans="1:5" x14ac:dyDescent="0.25">
      <c r="A123" t="s">
        <v>775</v>
      </c>
      <c r="B123">
        <v>5143837</v>
      </c>
      <c r="C123">
        <v>1950.00000000001</v>
      </c>
      <c r="D123">
        <v>1000</v>
      </c>
      <c r="E123" s="29">
        <f t="shared" si="1"/>
        <v>1.9500000000000099</v>
      </c>
    </row>
    <row r="124" spans="1:5" x14ac:dyDescent="0.25">
      <c r="A124" t="s">
        <v>775</v>
      </c>
      <c r="B124">
        <v>5144012</v>
      </c>
      <c r="C124">
        <v>1950.00000000004</v>
      </c>
      <c r="D124">
        <v>1000</v>
      </c>
      <c r="E124" s="29">
        <f t="shared" si="1"/>
        <v>1.9500000000000401</v>
      </c>
    </row>
    <row r="125" spans="1:5" x14ac:dyDescent="0.25">
      <c r="A125" t="s">
        <v>775</v>
      </c>
      <c r="B125">
        <v>5144013</v>
      </c>
      <c r="C125">
        <v>1950</v>
      </c>
      <c r="D125">
        <v>1000</v>
      </c>
      <c r="E125" s="29">
        <f t="shared" si="1"/>
        <v>1.95</v>
      </c>
    </row>
    <row r="126" spans="1:5" x14ac:dyDescent="0.25">
      <c r="A126" t="s">
        <v>775</v>
      </c>
      <c r="B126">
        <v>5144014</v>
      </c>
      <c r="C126">
        <v>1950</v>
      </c>
      <c r="D126">
        <v>1077.7017691173501</v>
      </c>
      <c r="E126" s="29">
        <f t="shared" si="1"/>
        <v>2.1015184497788324</v>
      </c>
    </row>
    <row r="127" spans="1:5" x14ac:dyDescent="0.25">
      <c r="A127" t="s">
        <v>775</v>
      </c>
      <c r="B127">
        <v>5144015</v>
      </c>
      <c r="C127">
        <v>1950</v>
      </c>
      <c r="D127">
        <v>1000</v>
      </c>
      <c r="E127" s="29">
        <f t="shared" si="1"/>
        <v>1.95</v>
      </c>
    </row>
    <row r="128" spans="1:5" x14ac:dyDescent="0.25">
      <c r="A128" t="s">
        <v>775</v>
      </c>
      <c r="B128">
        <v>5144016</v>
      </c>
      <c r="C128">
        <v>1950</v>
      </c>
      <c r="D128">
        <v>1000</v>
      </c>
      <c r="E128" s="29">
        <f t="shared" si="1"/>
        <v>1.95</v>
      </c>
    </row>
    <row r="129" spans="1:5" x14ac:dyDescent="0.25">
      <c r="A129" t="s">
        <v>775</v>
      </c>
      <c r="B129">
        <v>5144017</v>
      </c>
      <c r="C129">
        <v>1950</v>
      </c>
      <c r="D129">
        <v>1000</v>
      </c>
      <c r="E129" s="29">
        <f t="shared" si="1"/>
        <v>1.95</v>
      </c>
    </row>
    <row r="130" spans="1:5" x14ac:dyDescent="0.25">
      <c r="A130" t="s">
        <v>775</v>
      </c>
      <c r="B130">
        <v>5144018</v>
      </c>
      <c r="C130">
        <v>1950</v>
      </c>
      <c r="D130">
        <v>1000</v>
      </c>
      <c r="E130" s="29">
        <f t="shared" si="1"/>
        <v>1.95</v>
      </c>
    </row>
    <row r="131" spans="1:5" x14ac:dyDescent="0.25">
      <c r="A131" t="s">
        <v>775</v>
      </c>
      <c r="B131">
        <v>5144019</v>
      </c>
      <c r="C131">
        <v>1950</v>
      </c>
      <c r="D131">
        <v>1000</v>
      </c>
      <c r="E131" s="29">
        <f t="shared" ref="E131:E166" si="2">(C131*D131)/10^6</f>
        <v>1.95</v>
      </c>
    </row>
    <row r="132" spans="1:5" x14ac:dyDescent="0.25">
      <c r="A132" t="s">
        <v>775</v>
      </c>
      <c r="B132">
        <v>5144021</v>
      </c>
      <c r="C132">
        <v>511.99999999997402</v>
      </c>
      <c r="D132">
        <v>1000</v>
      </c>
      <c r="E132" s="29">
        <f t="shared" si="2"/>
        <v>0.51199999999997403</v>
      </c>
    </row>
    <row r="133" spans="1:5" x14ac:dyDescent="0.25">
      <c r="A133" t="s">
        <v>775</v>
      </c>
      <c r="B133">
        <v>5144163</v>
      </c>
      <c r="C133">
        <v>1950</v>
      </c>
      <c r="D133">
        <v>1000</v>
      </c>
      <c r="E133" s="29">
        <f t="shared" si="2"/>
        <v>1.95</v>
      </c>
    </row>
    <row r="134" spans="1:5" x14ac:dyDescent="0.25">
      <c r="A134" t="s">
        <v>775</v>
      </c>
      <c r="B134">
        <v>5144164</v>
      </c>
      <c r="C134">
        <v>1950</v>
      </c>
      <c r="D134">
        <v>1000</v>
      </c>
      <c r="E134" s="29">
        <f t="shared" si="2"/>
        <v>1.95</v>
      </c>
    </row>
    <row r="135" spans="1:5" x14ac:dyDescent="0.25">
      <c r="A135" t="s">
        <v>775</v>
      </c>
      <c r="B135">
        <v>5144165</v>
      </c>
      <c r="C135">
        <v>1950</v>
      </c>
      <c r="D135">
        <v>1000</v>
      </c>
      <c r="E135" s="29">
        <f t="shared" si="2"/>
        <v>1.95</v>
      </c>
    </row>
    <row r="136" spans="1:5" x14ac:dyDescent="0.25">
      <c r="A136" t="s">
        <v>775</v>
      </c>
      <c r="B136">
        <v>5144166</v>
      </c>
      <c r="C136">
        <v>1950</v>
      </c>
      <c r="D136">
        <v>1000</v>
      </c>
      <c r="E136" s="29">
        <f t="shared" si="2"/>
        <v>1.95</v>
      </c>
    </row>
    <row r="137" spans="1:5" x14ac:dyDescent="0.25">
      <c r="A137" t="s">
        <v>775</v>
      </c>
      <c r="B137">
        <v>5144168</v>
      </c>
      <c r="C137">
        <v>1950</v>
      </c>
      <c r="D137">
        <v>1000</v>
      </c>
      <c r="E137" s="29">
        <f t="shared" si="2"/>
        <v>1.95</v>
      </c>
    </row>
    <row r="138" spans="1:5" x14ac:dyDescent="0.25">
      <c r="A138" t="s">
        <v>775</v>
      </c>
      <c r="B138">
        <v>5144169</v>
      </c>
      <c r="C138">
        <v>1950</v>
      </c>
      <c r="D138">
        <v>1000</v>
      </c>
      <c r="E138" s="29">
        <f t="shared" si="2"/>
        <v>1.95</v>
      </c>
    </row>
    <row r="139" spans="1:5" x14ac:dyDescent="0.25">
      <c r="A139" t="s">
        <v>775</v>
      </c>
      <c r="B139">
        <v>5144170</v>
      </c>
      <c r="C139">
        <v>1950</v>
      </c>
      <c r="D139">
        <v>1000</v>
      </c>
      <c r="E139" s="29">
        <f t="shared" si="2"/>
        <v>1.95</v>
      </c>
    </row>
    <row r="140" spans="1:5" x14ac:dyDescent="0.25">
      <c r="A140" t="s">
        <v>775</v>
      </c>
      <c r="B140">
        <v>5144171</v>
      </c>
      <c r="C140">
        <v>1950</v>
      </c>
      <c r="D140">
        <v>1000</v>
      </c>
      <c r="E140" s="29">
        <f t="shared" si="2"/>
        <v>1.95</v>
      </c>
    </row>
    <row r="141" spans="1:5" x14ac:dyDescent="0.25">
      <c r="A141" t="s">
        <v>775</v>
      </c>
      <c r="B141">
        <v>5144217</v>
      </c>
      <c r="C141">
        <v>1220.1400000000001</v>
      </c>
      <c r="D141">
        <v>1000</v>
      </c>
      <c r="E141" s="29">
        <f t="shared" si="2"/>
        <v>1.22014</v>
      </c>
    </row>
    <row r="142" spans="1:5" x14ac:dyDescent="0.25">
      <c r="A142" t="s">
        <v>777</v>
      </c>
      <c r="B142">
        <v>5144346</v>
      </c>
      <c r="C142">
        <v>975.00000000004798</v>
      </c>
      <c r="D142">
        <v>1000</v>
      </c>
      <c r="E142" s="29">
        <f t="shared" si="2"/>
        <v>0.97500000000004794</v>
      </c>
    </row>
    <row r="143" spans="1:5" x14ac:dyDescent="0.25">
      <c r="A143" t="s">
        <v>775</v>
      </c>
      <c r="B143">
        <v>5167758</v>
      </c>
      <c r="C143">
        <v>1604.89057947269</v>
      </c>
      <c r="D143">
        <v>1000.00000000001</v>
      </c>
      <c r="E143" s="29">
        <f t="shared" si="2"/>
        <v>1.604890579472706</v>
      </c>
    </row>
    <row r="144" spans="1:5" x14ac:dyDescent="0.25">
      <c r="A144" t="s">
        <v>775</v>
      </c>
      <c r="B144">
        <v>5167759</v>
      </c>
      <c r="C144">
        <v>1629.5610572969099</v>
      </c>
      <c r="D144">
        <v>1000.00000000001</v>
      </c>
      <c r="E144" s="29">
        <f t="shared" si="2"/>
        <v>1.6295610572969261</v>
      </c>
    </row>
    <row r="145" spans="1:5" x14ac:dyDescent="0.25">
      <c r="A145" t="s">
        <v>775</v>
      </c>
      <c r="B145">
        <v>5167760</v>
      </c>
      <c r="C145">
        <v>1604.8309761651201</v>
      </c>
      <c r="D145">
        <v>4100</v>
      </c>
      <c r="E145" s="29">
        <f t="shared" si="2"/>
        <v>6.5798070022769926</v>
      </c>
    </row>
    <row r="146" spans="1:5" x14ac:dyDescent="0.25">
      <c r="A146" t="s">
        <v>775</v>
      </c>
      <c r="B146">
        <v>5280085</v>
      </c>
      <c r="C146">
        <v>1245</v>
      </c>
      <c r="D146">
        <v>4100</v>
      </c>
      <c r="E146" s="29">
        <f t="shared" si="2"/>
        <v>5.1044999999999998</v>
      </c>
    </row>
    <row r="147" spans="1:5" x14ac:dyDescent="0.25">
      <c r="A147" t="s">
        <v>775</v>
      </c>
      <c r="B147">
        <v>5280095</v>
      </c>
      <c r="C147">
        <v>1245</v>
      </c>
      <c r="D147">
        <v>4100</v>
      </c>
      <c r="E147" s="29">
        <f t="shared" si="2"/>
        <v>5.1044999999999998</v>
      </c>
    </row>
    <row r="148" spans="1:5" x14ac:dyDescent="0.25">
      <c r="A148" t="s">
        <v>775</v>
      </c>
      <c r="B148">
        <v>5280136</v>
      </c>
      <c r="C148">
        <v>1245</v>
      </c>
      <c r="D148">
        <v>4100</v>
      </c>
      <c r="E148" s="29">
        <f t="shared" si="2"/>
        <v>5.1044999999999998</v>
      </c>
    </row>
    <row r="149" spans="1:5" x14ac:dyDescent="0.25">
      <c r="A149" t="s">
        <v>775</v>
      </c>
      <c r="B149">
        <v>5280181</v>
      </c>
      <c r="C149">
        <v>1245</v>
      </c>
      <c r="D149">
        <v>4100</v>
      </c>
      <c r="E149" s="29">
        <f t="shared" si="2"/>
        <v>5.1044999999999998</v>
      </c>
    </row>
    <row r="150" spans="1:5" x14ac:dyDescent="0.25">
      <c r="A150" t="s">
        <v>775</v>
      </c>
      <c r="B150">
        <v>5280256</v>
      </c>
      <c r="C150">
        <v>1245</v>
      </c>
      <c r="D150">
        <v>4100</v>
      </c>
      <c r="E150" s="29">
        <f t="shared" si="2"/>
        <v>5.1044999999999998</v>
      </c>
    </row>
    <row r="151" spans="1:5" x14ac:dyDescent="0.25">
      <c r="A151" t="s">
        <v>775</v>
      </c>
      <c r="B151">
        <v>5280303</v>
      </c>
      <c r="C151">
        <v>1245</v>
      </c>
      <c r="D151">
        <v>4100</v>
      </c>
      <c r="E151" s="29">
        <f t="shared" si="2"/>
        <v>5.1044999999999998</v>
      </c>
    </row>
    <row r="152" spans="1:5" x14ac:dyDescent="0.25">
      <c r="A152" t="s">
        <v>775</v>
      </c>
      <c r="B152">
        <v>5280392</v>
      </c>
      <c r="C152">
        <v>1245</v>
      </c>
      <c r="D152">
        <v>4100</v>
      </c>
      <c r="E152" s="29">
        <f t="shared" si="2"/>
        <v>5.1044999999999998</v>
      </c>
    </row>
    <row r="153" spans="1:5" x14ac:dyDescent="0.25">
      <c r="A153" t="s">
        <v>775</v>
      </c>
      <c r="B153">
        <v>5280780</v>
      </c>
      <c r="C153">
        <v>1245</v>
      </c>
      <c r="D153">
        <v>4100</v>
      </c>
      <c r="E153" s="29">
        <f t="shared" si="2"/>
        <v>5.1044999999999998</v>
      </c>
    </row>
    <row r="154" spans="1:5" x14ac:dyDescent="0.25">
      <c r="A154" t="s">
        <v>775</v>
      </c>
      <c r="B154">
        <v>5282405</v>
      </c>
      <c r="C154">
        <v>1245</v>
      </c>
      <c r="D154">
        <v>1000</v>
      </c>
      <c r="E154" s="29">
        <f t="shared" si="2"/>
        <v>1.2450000000000001</v>
      </c>
    </row>
    <row r="155" spans="1:5" x14ac:dyDescent="0.25">
      <c r="A155" t="s">
        <v>775</v>
      </c>
      <c r="B155">
        <v>5282406</v>
      </c>
      <c r="C155">
        <v>1245</v>
      </c>
      <c r="D155">
        <v>1000</v>
      </c>
      <c r="E155" s="29">
        <f t="shared" si="2"/>
        <v>1.2450000000000001</v>
      </c>
    </row>
    <row r="156" spans="1:5" x14ac:dyDescent="0.25">
      <c r="A156" t="s">
        <v>775</v>
      </c>
      <c r="B156">
        <v>5282407</v>
      </c>
      <c r="C156">
        <v>1245</v>
      </c>
      <c r="D156">
        <v>1000</v>
      </c>
      <c r="E156" s="29">
        <f t="shared" si="2"/>
        <v>1.2450000000000001</v>
      </c>
    </row>
    <row r="157" spans="1:5" x14ac:dyDescent="0.25">
      <c r="A157" t="s">
        <v>775</v>
      </c>
      <c r="B157">
        <v>5282408</v>
      </c>
      <c r="C157">
        <v>1245</v>
      </c>
      <c r="D157">
        <v>1000</v>
      </c>
      <c r="E157" s="29">
        <f t="shared" si="2"/>
        <v>1.2450000000000001</v>
      </c>
    </row>
    <row r="158" spans="1:5" x14ac:dyDescent="0.25">
      <c r="A158" t="s">
        <v>775</v>
      </c>
      <c r="B158">
        <v>5282409</v>
      </c>
      <c r="C158">
        <v>1245</v>
      </c>
      <c r="D158">
        <v>1000</v>
      </c>
      <c r="E158" s="29">
        <f t="shared" si="2"/>
        <v>1.2450000000000001</v>
      </c>
    </row>
    <row r="159" spans="1:5" x14ac:dyDescent="0.25">
      <c r="A159" t="s">
        <v>775</v>
      </c>
      <c r="B159">
        <v>5282410</v>
      </c>
      <c r="C159">
        <v>1245</v>
      </c>
      <c r="D159">
        <v>1000</v>
      </c>
      <c r="E159" s="29">
        <f t="shared" si="2"/>
        <v>1.2450000000000001</v>
      </c>
    </row>
    <row r="160" spans="1:5" x14ac:dyDescent="0.25">
      <c r="A160" t="s">
        <v>775</v>
      </c>
      <c r="B160">
        <v>5282411</v>
      </c>
      <c r="C160">
        <v>1245</v>
      </c>
      <c r="D160">
        <v>1000</v>
      </c>
      <c r="E160" s="29">
        <f t="shared" si="2"/>
        <v>1.2450000000000001</v>
      </c>
    </row>
    <row r="161" spans="1:8" x14ac:dyDescent="0.25">
      <c r="A161" t="s">
        <v>775</v>
      </c>
      <c r="B161">
        <v>5282412</v>
      </c>
      <c r="C161">
        <v>1245</v>
      </c>
      <c r="D161">
        <v>1000</v>
      </c>
      <c r="E161" s="29">
        <f t="shared" si="2"/>
        <v>1.2450000000000001</v>
      </c>
    </row>
    <row r="162" spans="1:8" x14ac:dyDescent="0.25">
      <c r="A162" t="s">
        <v>775</v>
      </c>
      <c r="B162">
        <v>5282679</v>
      </c>
      <c r="C162">
        <v>1214.50000000055</v>
      </c>
      <c r="D162">
        <v>4100</v>
      </c>
      <c r="E162" s="29">
        <f t="shared" si="2"/>
        <v>4.979450000002255</v>
      </c>
    </row>
    <row r="163" spans="1:8" x14ac:dyDescent="0.25">
      <c r="A163" t="s">
        <v>777</v>
      </c>
      <c r="B163">
        <v>6678260</v>
      </c>
      <c r="C163">
        <v>1950</v>
      </c>
      <c r="D163">
        <v>1000</v>
      </c>
      <c r="E163" s="29">
        <f t="shared" si="2"/>
        <v>1.95</v>
      </c>
    </row>
    <row r="164" spans="1:8" x14ac:dyDescent="0.25">
      <c r="A164" t="s">
        <v>777</v>
      </c>
      <c r="B164">
        <v>6678262</v>
      </c>
      <c r="C164">
        <v>1269.77000000002</v>
      </c>
      <c r="D164">
        <v>1000</v>
      </c>
      <c r="E164" s="29">
        <f t="shared" si="2"/>
        <v>1.26977000000002</v>
      </c>
    </row>
    <row r="165" spans="1:8" x14ac:dyDescent="0.25">
      <c r="A165" t="s">
        <v>775</v>
      </c>
      <c r="B165">
        <v>6756944</v>
      </c>
      <c r="C165">
        <v>1604.89057947268</v>
      </c>
      <c r="D165">
        <v>1000</v>
      </c>
      <c r="E165" s="29">
        <f t="shared" si="2"/>
        <v>1.6048905794726798</v>
      </c>
    </row>
    <row r="166" spans="1:8" x14ac:dyDescent="0.25">
      <c r="A166" t="s">
        <v>775</v>
      </c>
      <c r="B166">
        <v>6756980</v>
      </c>
      <c r="C166">
        <v>1604.89057947268</v>
      </c>
      <c r="D166">
        <v>999.99999999999898</v>
      </c>
      <c r="E166" s="29">
        <f t="shared" si="2"/>
        <v>1.6048905794726782</v>
      </c>
    </row>
    <row r="169" spans="1:8" x14ac:dyDescent="0.25">
      <c r="B169" s="33"/>
      <c r="C169" s="33"/>
      <c r="D169" s="33"/>
      <c r="E169" s="33"/>
      <c r="H169" t="s">
        <v>1046</v>
      </c>
    </row>
    <row r="170" spans="1:8" x14ac:dyDescent="0.25">
      <c r="A170" t="s">
        <v>668</v>
      </c>
      <c r="B170">
        <v>4942121</v>
      </c>
      <c r="C170">
        <v>975</v>
      </c>
      <c r="D170">
        <f>+VLOOKUP(A170,$G$170:$H$175,2,FALSE)</f>
        <v>3050</v>
      </c>
      <c r="E170">
        <f>+D170*C170/1000000</f>
        <v>2.9737499999999999</v>
      </c>
      <c r="G170" t="s">
        <v>668</v>
      </c>
      <c r="H170">
        <v>3050</v>
      </c>
    </row>
    <row r="171" spans="1:8" x14ac:dyDescent="0.25">
      <c r="A171" t="s">
        <v>668</v>
      </c>
      <c r="B171">
        <v>4942277</v>
      </c>
      <c r="C171">
        <v>975</v>
      </c>
      <c r="D171">
        <f t="shared" ref="D171:D234" si="3">+VLOOKUP(A171,$G$170:$H$175,2,FALSE)</f>
        <v>3050</v>
      </c>
      <c r="E171">
        <f t="shared" ref="E171:E234" si="4">+D171*C171/1000000</f>
        <v>2.9737499999999999</v>
      </c>
      <c r="G171" t="s">
        <v>696</v>
      </c>
      <c r="H171">
        <v>4100</v>
      </c>
    </row>
    <row r="172" spans="1:8" x14ac:dyDescent="0.25">
      <c r="A172" t="s">
        <v>668</v>
      </c>
      <c r="B172">
        <v>4942284</v>
      </c>
      <c r="C172">
        <v>975</v>
      </c>
      <c r="D172">
        <f t="shared" si="3"/>
        <v>3050</v>
      </c>
      <c r="E172">
        <f t="shared" si="4"/>
        <v>2.9737499999999999</v>
      </c>
      <c r="G172" t="s">
        <v>197</v>
      </c>
      <c r="H172">
        <v>3200</v>
      </c>
    </row>
    <row r="173" spans="1:8" x14ac:dyDescent="0.25">
      <c r="A173" t="s">
        <v>668</v>
      </c>
      <c r="B173">
        <v>4942291</v>
      </c>
      <c r="C173">
        <v>975</v>
      </c>
      <c r="D173">
        <f t="shared" si="3"/>
        <v>3050</v>
      </c>
      <c r="E173">
        <f t="shared" si="4"/>
        <v>2.9737499999999999</v>
      </c>
      <c r="G173" t="s">
        <v>47</v>
      </c>
      <c r="H173">
        <v>3200</v>
      </c>
    </row>
    <row r="174" spans="1:8" x14ac:dyDescent="0.25">
      <c r="A174" t="s">
        <v>696</v>
      </c>
      <c r="B174">
        <v>4942313</v>
      </c>
      <c r="C174">
        <v>1950</v>
      </c>
      <c r="D174">
        <f t="shared" si="3"/>
        <v>4100</v>
      </c>
      <c r="E174">
        <f t="shared" si="4"/>
        <v>7.9950000000000001</v>
      </c>
      <c r="G174" t="s">
        <v>874</v>
      </c>
      <c r="H174">
        <v>2400</v>
      </c>
    </row>
    <row r="175" spans="1:8" x14ac:dyDescent="0.25">
      <c r="A175" t="s">
        <v>668</v>
      </c>
      <c r="B175">
        <v>4942442</v>
      </c>
      <c r="C175">
        <v>975</v>
      </c>
      <c r="D175">
        <f t="shared" si="3"/>
        <v>3050</v>
      </c>
      <c r="E175">
        <f t="shared" si="4"/>
        <v>2.9737499999999999</v>
      </c>
      <c r="G175" t="s">
        <v>733</v>
      </c>
      <c r="H175">
        <v>3050</v>
      </c>
    </row>
    <row r="176" spans="1:8" x14ac:dyDescent="0.25">
      <c r="A176" t="s">
        <v>668</v>
      </c>
      <c r="B176">
        <v>4942449</v>
      </c>
      <c r="C176">
        <v>975</v>
      </c>
      <c r="D176">
        <f t="shared" si="3"/>
        <v>3050</v>
      </c>
      <c r="E176">
        <f t="shared" si="4"/>
        <v>2.9737499999999999</v>
      </c>
    </row>
    <row r="177" spans="1:5" x14ac:dyDescent="0.25">
      <c r="A177" t="s">
        <v>668</v>
      </c>
      <c r="B177">
        <v>4942456</v>
      </c>
      <c r="C177">
        <v>975</v>
      </c>
      <c r="D177">
        <f t="shared" si="3"/>
        <v>3050</v>
      </c>
      <c r="E177">
        <f t="shared" si="4"/>
        <v>2.9737499999999999</v>
      </c>
    </row>
    <row r="178" spans="1:5" x14ac:dyDescent="0.25">
      <c r="A178" t="s">
        <v>696</v>
      </c>
      <c r="B178">
        <v>4942491</v>
      </c>
      <c r="C178">
        <v>1950</v>
      </c>
      <c r="D178">
        <f t="shared" si="3"/>
        <v>4100</v>
      </c>
      <c r="E178">
        <f t="shared" si="4"/>
        <v>7.9950000000000001</v>
      </c>
    </row>
    <row r="179" spans="1:5" x14ac:dyDescent="0.25">
      <c r="A179" t="s">
        <v>668</v>
      </c>
      <c r="B179">
        <v>4942564</v>
      </c>
      <c r="C179">
        <v>975</v>
      </c>
      <c r="D179">
        <f t="shared" si="3"/>
        <v>3050</v>
      </c>
      <c r="E179">
        <f t="shared" si="4"/>
        <v>2.9737499999999999</v>
      </c>
    </row>
    <row r="180" spans="1:5" x14ac:dyDescent="0.25">
      <c r="A180" t="s">
        <v>668</v>
      </c>
      <c r="B180">
        <v>4942571</v>
      </c>
      <c r="C180">
        <v>975</v>
      </c>
      <c r="D180">
        <f t="shared" si="3"/>
        <v>3050</v>
      </c>
      <c r="E180">
        <f t="shared" si="4"/>
        <v>2.9737499999999999</v>
      </c>
    </row>
    <row r="181" spans="1:5" x14ac:dyDescent="0.25">
      <c r="A181" t="s">
        <v>696</v>
      </c>
      <c r="B181">
        <v>4942608</v>
      </c>
      <c r="C181">
        <v>1950</v>
      </c>
      <c r="D181">
        <f t="shared" si="3"/>
        <v>4100</v>
      </c>
      <c r="E181">
        <f t="shared" si="4"/>
        <v>7.9950000000000001</v>
      </c>
    </row>
    <row r="182" spans="1:5" x14ac:dyDescent="0.25">
      <c r="A182" t="s">
        <v>668</v>
      </c>
      <c r="B182">
        <v>4942646</v>
      </c>
      <c r="C182">
        <v>975</v>
      </c>
      <c r="D182">
        <f t="shared" si="3"/>
        <v>3050</v>
      </c>
      <c r="E182">
        <f t="shared" si="4"/>
        <v>2.9737499999999999</v>
      </c>
    </row>
    <row r="183" spans="1:5" x14ac:dyDescent="0.25">
      <c r="A183" t="s">
        <v>696</v>
      </c>
      <c r="B183">
        <v>4942689</v>
      </c>
      <c r="C183">
        <v>1950</v>
      </c>
      <c r="D183">
        <f t="shared" si="3"/>
        <v>4100</v>
      </c>
      <c r="E183">
        <f t="shared" si="4"/>
        <v>7.9950000000000001</v>
      </c>
    </row>
    <row r="184" spans="1:5" x14ac:dyDescent="0.25">
      <c r="A184" t="s">
        <v>696</v>
      </c>
      <c r="B184">
        <v>4942789</v>
      </c>
      <c r="C184">
        <v>1950</v>
      </c>
      <c r="D184">
        <f t="shared" si="3"/>
        <v>4100</v>
      </c>
      <c r="E184">
        <f t="shared" si="4"/>
        <v>7.9950000000000001</v>
      </c>
    </row>
    <row r="185" spans="1:5" x14ac:dyDescent="0.25">
      <c r="A185" t="s">
        <v>668</v>
      </c>
      <c r="B185">
        <v>4942841</v>
      </c>
      <c r="C185">
        <v>975</v>
      </c>
      <c r="D185">
        <f t="shared" si="3"/>
        <v>3050</v>
      </c>
      <c r="E185">
        <f t="shared" si="4"/>
        <v>2.9737499999999999</v>
      </c>
    </row>
    <row r="186" spans="1:5" x14ac:dyDescent="0.25">
      <c r="A186" t="s">
        <v>696</v>
      </c>
      <c r="B186">
        <v>4942893</v>
      </c>
      <c r="C186">
        <v>1950</v>
      </c>
      <c r="D186">
        <f t="shared" si="3"/>
        <v>4100</v>
      </c>
      <c r="E186">
        <f t="shared" si="4"/>
        <v>7.9950000000000001</v>
      </c>
    </row>
    <row r="187" spans="1:5" x14ac:dyDescent="0.25">
      <c r="A187" t="s">
        <v>696</v>
      </c>
      <c r="B187">
        <v>4942900</v>
      </c>
      <c r="C187">
        <v>1950</v>
      </c>
      <c r="D187">
        <f t="shared" si="3"/>
        <v>4100</v>
      </c>
      <c r="E187">
        <f t="shared" si="4"/>
        <v>7.9950000000000001</v>
      </c>
    </row>
    <row r="188" spans="1:5" x14ac:dyDescent="0.25">
      <c r="A188" t="s">
        <v>696</v>
      </c>
      <c r="B188">
        <v>4942907</v>
      </c>
      <c r="C188">
        <v>1950</v>
      </c>
      <c r="D188">
        <f t="shared" si="3"/>
        <v>4100</v>
      </c>
      <c r="E188">
        <f t="shared" si="4"/>
        <v>7.9950000000000001</v>
      </c>
    </row>
    <row r="189" spans="1:5" x14ac:dyDescent="0.25">
      <c r="A189" t="s">
        <v>668</v>
      </c>
      <c r="B189">
        <v>4942942</v>
      </c>
      <c r="C189">
        <v>975</v>
      </c>
      <c r="D189">
        <f t="shared" si="3"/>
        <v>3050</v>
      </c>
      <c r="E189">
        <f t="shared" si="4"/>
        <v>2.9737499999999999</v>
      </c>
    </row>
    <row r="190" spans="1:5" x14ac:dyDescent="0.25">
      <c r="A190" t="s">
        <v>696</v>
      </c>
      <c r="B190">
        <v>4942996</v>
      </c>
      <c r="C190">
        <v>1950</v>
      </c>
      <c r="D190">
        <f t="shared" si="3"/>
        <v>4100</v>
      </c>
      <c r="E190">
        <f t="shared" si="4"/>
        <v>7.9950000000000001</v>
      </c>
    </row>
    <row r="191" spans="1:5" x14ac:dyDescent="0.25">
      <c r="A191" t="s">
        <v>696</v>
      </c>
      <c r="B191">
        <v>4943003</v>
      </c>
      <c r="C191">
        <v>1950</v>
      </c>
      <c r="D191">
        <f t="shared" si="3"/>
        <v>4100</v>
      </c>
      <c r="E191">
        <f t="shared" si="4"/>
        <v>7.9950000000000001</v>
      </c>
    </row>
    <row r="192" spans="1:5" x14ac:dyDescent="0.25">
      <c r="A192" t="s">
        <v>696</v>
      </c>
      <c r="B192">
        <v>4943010</v>
      </c>
      <c r="C192">
        <v>1950</v>
      </c>
      <c r="D192">
        <f t="shared" si="3"/>
        <v>4100</v>
      </c>
      <c r="E192">
        <f t="shared" si="4"/>
        <v>7.9950000000000001</v>
      </c>
    </row>
    <row r="193" spans="1:5" x14ac:dyDescent="0.25">
      <c r="A193" t="s">
        <v>696</v>
      </c>
      <c r="B193">
        <v>4943017</v>
      </c>
      <c r="C193">
        <v>1950</v>
      </c>
      <c r="D193">
        <f t="shared" si="3"/>
        <v>4100</v>
      </c>
      <c r="E193">
        <f t="shared" si="4"/>
        <v>7.9950000000000001</v>
      </c>
    </row>
    <row r="194" spans="1:5" x14ac:dyDescent="0.25">
      <c r="A194" t="s">
        <v>668</v>
      </c>
      <c r="B194">
        <v>4943283</v>
      </c>
      <c r="C194">
        <v>975</v>
      </c>
      <c r="D194">
        <f t="shared" si="3"/>
        <v>3050</v>
      </c>
      <c r="E194">
        <f t="shared" si="4"/>
        <v>2.9737499999999999</v>
      </c>
    </row>
    <row r="195" spans="1:5" x14ac:dyDescent="0.25">
      <c r="A195" t="s">
        <v>668</v>
      </c>
      <c r="B195">
        <v>4943346</v>
      </c>
      <c r="C195">
        <v>975</v>
      </c>
      <c r="D195">
        <f t="shared" si="3"/>
        <v>3050</v>
      </c>
      <c r="E195">
        <f t="shared" si="4"/>
        <v>2.9737499999999999</v>
      </c>
    </row>
    <row r="196" spans="1:5" x14ac:dyDescent="0.25">
      <c r="A196" t="s">
        <v>668</v>
      </c>
      <c r="B196">
        <v>4943355</v>
      </c>
      <c r="C196">
        <v>975</v>
      </c>
      <c r="D196">
        <f t="shared" si="3"/>
        <v>3050</v>
      </c>
      <c r="E196">
        <f t="shared" si="4"/>
        <v>2.9737499999999999</v>
      </c>
    </row>
    <row r="197" spans="1:5" x14ac:dyDescent="0.25">
      <c r="A197" t="s">
        <v>668</v>
      </c>
      <c r="B197">
        <v>4943364</v>
      </c>
      <c r="C197">
        <v>975</v>
      </c>
      <c r="D197">
        <f t="shared" si="3"/>
        <v>3050</v>
      </c>
      <c r="E197">
        <f t="shared" si="4"/>
        <v>2.9737499999999999</v>
      </c>
    </row>
    <row r="198" spans="1:5" x14ac:dyDescent="0.25">
      <c r="A198" t="s">
        <v>668</v>
      </c>
      <c r="B198">
        <v>4943388</v>
      </c>
      <c r="C198">
        <v>975</v>
      </c>
      <c r="D198">
        <f t="shared" si="3"/>
        <v>3050</v>
      </c>
      <c r="E198">
        <f t="shared" si="4"/>
        <v>2.9737499999999999</v>
      </c>
    </row>
    <row r="199" spans="1:5" x14ac:dyDescent="0.25">
      <c r="A199" t="s">
        <v>696</v>
      </c>
      <c r="B199">
        <v>4943441</v>
      </c>
      <c r="C199">
        <v>1950</v>
      </c>
      <c r="D199">
        <f t="shared" si="3"/>
        <v>4100</v>
      </c>
      <c r="E199">
        <f t="shared" si="4"/>
        <v>7.9950000000000001</v>
      </c>
    </row>
    <row r="200" spans="1:5" x14ac:dyDescent="0.25">
      <c r="A200" t="s">
        <v>668</v>
      </c>
      <c r="B200">
        <v>4943498</v>
      </c>
      <c r="C200">
        <v>975</v>
      </c>
      <c r="D200">
        <f t="shared" si="3"/>
        <v>3050</v>
      </c>
      <c r="E200">
        <f t="shared" si="4"/>
        <v>2.9737499999999999</v>
      </c>
    </row>
    <row r="201" spans="1:5" x14ac:dyDescent="0.25">
      <c r="A201" t="s">
        <v>668</v>
      </c>
      <c r="B201">
        <v>4945821</v>
      </c>
      <c r="C201">
        <v>975</v>
      </c>
      <c r="D201">
        <f t="shared" si="3"/>
        <v>3050</v>
      </c>
      <c r="E201">
        <f t="shared" si="4"/>
        <v>2.9737499999999999</v>
      </c>
    </row>
    <row r="202" spans="1:5" x14ac:dyDescent="0.25">
      <c r="A202" t="s">
        <v>668</v>
      </c>
      <c r="B202">
        <v>4945822</v>
      </c>
      <c r="C202">
        <v>975</v>
      </c>
      <c r="D202">
        <f t="shared" si="3"/>
        <v>3050</v>
      </c>
      <c r="E202">
        <f t="shared" si="4"/>
        <v>2.9737499999999999</v>
      </c>
    </row>
    <row r="203" spans="1:5" x14ac:dyDescent="0.25">
      <c r="A203" t="s">
        <v>668</v>
      </c>
      <c r="B203">
        <v>4945823</v>
      </c>
      <c r="C203">
        <v>975</v>
      </c>
      <c r="D203">
        <f t="shared" si="3"/>
        <v>3050</v>
      </c>
      <c r="E203">
        <f t="shared" si="4"/>
        <v>2.9737499999999999</v>
      </c>
    </row>
    <row r="204" spans="1:5" x14ac:dyDescent="0.25">
      <c r="A204" t="s">
        <v>696</v>
      </c>
      <c r="B204">
        <v>4945824</v>
      </c>
      <c r="C204">
        <v>1950</v>
      </c>
      <c r="D204">
        <f t="shared" si="3"/>
        <v>4100</v>
      </c>
      <c r="E204">
        <f t="shared" si="4"/>
        <v>7.9950000000000001</v>
      </c>
    </row>
    <row r="205" spans="1:5" x14ac:dyDescent="0.25">
      <c r="A205" t="s">
        <v>668</v>
      </c>
      <c r="B205">
        <v>4945825</v>
      </c>
      <c r="C205">
        <v>975</v>
      </c>
      <c r="D205">
        <f t="shared" si="3"/>
        <v>3050</v>
      </c>
      <c r="E205">
        <f t="shared" si="4"/>
        <v>2.9737499999999999</v>
      </c>
    </row>
    <row r="206" spans="1:5" x14ac:dyDescent="0.25">
      <c r="A206" t="s">
        <v>668</v>
      </c>
      <c r="B206">
        <v>4945826</v>
      </c>
      <c r="C206">
        <v>975</v>
      </c>
      <c r="D206">
        <f t="shared" si="3"/>
        <v>3050</v>
      </c>
      <c r="E206">
        <f t="shared" si="4"/>
        <v>2.9737499999999999</v>
      </c>
    </row>
    <row r="207" spans="1:5" x14ac:dyDescent="0.25">
      <c r="A207" t="s">
        <v>668</v>
      </c>
      <c r="B207">
        <v>4945827</v>
      </c>
      <c r="C207">
        <v>975</v>
      </c>
      <c r="D207">
        <f t="shared" si="3"/>
        <v>3050</v>
      </c>
      <c r="E207">
        <f t="shared" si="4"/>
        <v>2.9737499999999999</v>
      </c>
    </row>
    <row r="208" spans="1:5" x14ac:dyDescent="0.25">
      <c r="A208" t="s">
        <v>696</v>
      </c>
      <c r="B208">
        <v>4945828</v>
      </c>
      <c r="C208">
        <v>1950</v>
      </c>
      <c r="D208">
        <f t="shared" si="3"/>
        <v>4100</v>
      </c>
      <c r="E208">
        <f t="shared" si="4"/>
        <v>7.9950000000000001</v>
      </c>
    </row>
    <row r="209" spans="1:5" x14ac:dyDescent="0.25">
      <c r="A209" t="s">
        <v>668</v>
      </c>
      <c r="B209">
        <v>4945829</v>
      </c>
      <c r="C209">
        <v>975</v>
      </c>
      <c r="D209">
        <f t="shared" si="3"/>
        <v>3050</v>
      </c>
      <c r="E209">
        <f t="shared" si="4"/>
        <v>2.9737499999999999</v>
      </c>
    </row>
    <row r="210" spans="1:5" x14ac:dyDescent="0.25">
      <c r="A210" t="s">
        <v>668</v>
      </c>
      <c r="B210">
        <v>4945830</v>
      </c>
      <c r="C210">
        <v>975</v>
      </c>
      <c r="D210">
        <f t="shared" si="3"/>
        <v>3050</v>
      </c>
      <c r="E210">
        <f t="shared" si="4"/>
        <v>2.9737499999999999</v>
      </c>
    </row>
    <row r="211" spans="1:5" x14ac:dyDescent="0.25">
      <c r="A211" t="s">
        <v>696</v>
      </c>
      <c r="B211">
        <v>4945831</v>
      </c>
      <c r="C211">
        <v>1950</v>
      </c>
      <c r="D211">
        <f t="shared" si="3"/>
        <v>4100</v>
      </c>
      <c r="E211">
        <f t="shared" si="4"/>
        <v>7.9950000000000001</v>
      </c>
    </row>
    <row r="212" spans="1:5" x14ac:dyDescent="0.25">
      <c r="A212" t="s">
        <v>668</v>
      </c>
      <c r="B212">
        <v>4945832</v>
      </c>
      <c r="C212">
        <v>975</v>
      </c>
      <c r="D212">
        <f t="shared" si="3"/>
        <v>3050</v>
      </c>
      <c r="E212">
        <f t="shared" si="4"/>
        <v>2.9737499999999999</v>
      </c>
    </row>
    <row r="213" spans="1:5" x14ac:dyDescent="0.25">
      <c r="A213" t="s">
        <v>696</v>
      </c>
      <c r="B213">
        <v>4945833</v>
      </c>
      <c r="C213">
        <v>1950</v>
      </c>
      <c r="D213">
        <f t="shared" si="3"/>
        <v>4100</v>
      </c>
      <c r="E213">
        <f t="shared" si="4"/>
        <v>7.9950000000000001</v>
      </c>
    </row>
    <row r="214" spans="1:5" x14ac:dyDescent="0.25">
      <c r="A214" t="s">
        <v>668</v>
      </c>
      <c r="B214">
        <v>4945834</v>
      </c>
      <c r="C214">
        <v>975</v>
      </c>
      <c r="D214">
        <f t="shared" si="3"/>
        <v>3050</v>
      </c>
      <c r="E214">
        <f t="shared" si="4"/>
        <v>2.9737499999999999</v>
      </c>
    </row>
    <row r="215" spans="1:5" x14ac:dyDescent="0.25">
      <c r="A215" t="s">
        <v>696</v>
      </c>
      <c r="B215">
        <v>4945835</v>
      </c>
      <c r="C215">
        <v>1950</v>
      </c>
      <c r="D215">
        <f t="shared" si="3"/>
        <v>4100</v>
      </c>
      <c r="E215">
        <f t="shared" si="4"/>
        <v>7.9950000000000001</v>
      </c>
    </row>
    <row r="216" spans="1:5" x14ac:dyDescent="0.25">
      <c r="A216" t="s">
        <v>696</v>
      </c>
      <c r="B216">
        <v>4945836</v>
      </c>
      <c r="C216">
        <v>1950</v>
      </c>
      <c r="D216">
        <f t="shared" si="3"/>
        <v>4100</v>
      </c>
      <c r="E216">
        <f t="shared" si="4"/>
        <v>7.9950000000000001</v>
      </c>
    </row>
    <row r="217" spans="1:5" x14ac:dyDescent="0.25">
      <c r="A217" t="s">
        <v>668</v>
      </c>
      <c r="B217">
        <v>4945837</v>
      </c>
      <c r="C217">
        <v>975</v>
      </c>
      <c r="D217">
        <f t="shared" si="3"/>
        <v>3050</v>
      </c>
      <c r="E217">
        <f t="shared" si="4"/>
        <v>2.9737499999999999</v>
      </c>
    </row>
    <row r="218" spans="1:5" x14ac:dyDescent="0.25">
      <c r="A218" t="s">
        <v>696</v>
      </c>
      <c r="B218">
        <v>4945838</v>
      </c>
      <c r="C218">
        <v>1950</v>
      </c>
      <c r="D218">
        <f t="shared" si="3"/>
        <v>4100</v>
      </c>
      <c r="E218">
        <f t="shared" si="4"/>
        <v>7.9950000000000001</v>
      </c>
    </row>
    <row r="219" spans="1:5" x14ac:dyDescent="0.25">
      <c r="A219" t="s">
        <v>696</v>
      </c>
      <c r="B219">
        <v>4945839</v>
      </c>
      <c r="C219">
        <v>1950</v>
      </c>
      <c r="D219">
        <f t="shared" si="3"/>
        <v>4100</v>
      </c>
      <c r="E219">
        <f t="shared" si="4"/>
        <v>7.9950000000000001</v>
      </c>
    </row>
    <row r="220" spans="1:5" x14ac:dyDescent="0.25">
      <c r="A220" t="s">
        <v>696</v>
      </c>
      <c r="B220">
        <v>4945840</v>
      </c>
      <c r="C220">
        <v>1950</v>
      </c>
      <c r="D220">
        <f t="shared" si="3"/>
        <v>4100</v>
      </c>
      <c r="E220">
        <f t="shared" si="4"/>
        <v>7.9950000000000001</v>
      </c>
    </row>
    <row r="221" spans="1:5" x14ac:dyDescent="0.25">
      <c r="A221" t="s">
        <v>668</v>
      </c>
      <c r="B221">
        <v>4945841</v>
      </c>
      <c r="C221">
        <v>975</v>
      </c>
      <c r="D221">
        <f t="shared" si="3"/>
        <v>3050</v>
      </c>
      <c r="E221">
        <f t="shared" si="4"/>
        <v>2.9737499999999999</v>
      </c>
    </row>
    <row r="222" spans="1:5" x14ac:dyDescent="0.25">
      <c r="A222" t="s">
        <v>696</v>
      </c>
      <c r="B222">
        <v>4945842</v>
      </c>
      <c r="C222">
        <v>1950</v>
      </c>
      <c r="D222">
        <f t="shared" si="3"/>
        <v>4100</v>
      </c>
      <c r="E222">
        <f t="shared" si="4"/>
        <v>7.9950000000000001</v>
      </c>
    </row>
    <row r="223" spans="1:5" x14ac:dyDescent="0.25">
      <c r="A223" t="s">
        <v>696</v>
      </c>
      <c r="B223">
        <v>4945843</v>
      </c>
      <c r="C223">
        <v>1950</v>
      </c>
      <c r="D223">
        <f t="shared" si="3"/>
        <v>4100</v>
      </c>
      <c r="E223">
        <f t="shared" si="4"/>
        <v>7.9950000000000001</v>
      </c>
    </row>
    <row r="224" spans="1:5" x14ac:dyDescent="0.25">
      <c r="A224" t="s">
        <v>696</v>
      </c>
      <c r="B224">
        <v>4945844</v>
      </c>
      <c r="C224">
        <v>1950</v>
      </c>
      <c r="D224">
        <f t="shared" si="3"/>
        <v>4100</v>
      </c>
      <c r="E224">
        <f t="shared" si="4"/>
        <v>7.9950000000000001</v>
      </c>
    </row>
    <row r="225" spans="1:5" x14ac:dyDescent="0.25">
      <c r="A225" t="s">
        <v>696</v>
      </c>
      <c r="B225">
        <v>4945845</v>
      </c>
      <c r="C225">
        <v>1950</v>
      </c>
      <c r="D225">
        <f t="shared" si="3"/>
        <v>4100</v>
      </c>
      <c r="E225">
        <f t="shared" si="4"/>
        <v>7.9950000000000001</v>
      </c>
    </row>
    <row r="226" spans="1:5" x14ac:dyDescent="0.25">
      <c r="A226" t="s">
        <v>668</v>
      </c>
      <c r="B226">
        <v>4945846</v>
      </c>
      <c r="C226">
        <v>975</v>
      </c>
      <c r="D226">
        <f t="shared" si="3"/>
        <v>3050</v>
      </c>
      <c r="E226">
        <f t="shared" si="4"/>
        <v>2.9737499999999999</v>
      </c>
    </row>
    <row r="227" spans="1:5" x14ac:dyDescent="0.25">
      <c r="A227" t="s">
        <v>696</v>
      </c>
      <c r="B227">
        <v>4945847</v>
      </c>
      <c r="C227">
        <v>1950</v>
      </c>
      <c r="D227">
        <f t="shared" si="3"/>
        <v>4100</v>
      </c>
      <c r="E227">
        <f t="shared" si="4"/>
        <v>7.9950000000000001</v>
      </c>
    </row>
    <row r="228" spans="1:5" x14ac:dyDescent="0.25">
      <c r="A228" t="s">
        <v>696</v>
      </c>
      <c r="B228">
        <v>4945848</v>
      </c>
      <c r="C228">
        <v>1950</v>
      </c>
      <c r="D228">
        <f t="shared" si="3"/>
        <v>4100</v>
      </c>
      <c r="E228">
        <f t="shared" si="4"/>
        <v>7.9950000000000001</v>
      </c>
    </row>
    <row r="229" spans="1:5" x14ac:dyDescent="0.25">
      <c r="A229" t="s">
        <v>696</v>
      </c>
      <c r="B229">
        <v>4945849</v>
      </c>
      <c r="C229">
        <v>1950</v>
      </c>
      <c r="D229">
        <f t="shared" si="3"/>
        <v>4100</v>
      </c>
      <c r="E229">
        <f t="shared" si="4"/>
        <v>7.9950000000000001</v>
      </c>
    </row>
    <row r="230" spans="1:5" x14ac:dyDescent="0.25">
      <c r="A230" t="s">
        <v>696</v>
      </c>
      <c r="B230">
        <v>4945850</v>
      </c>
      <c r="C230">
        <v>1950</v>
      </c>
      <c r="D230">
        <f t="shared" si="3"/>
        <v>4100</v>
      </c>
      <c r="E230">
        <f t="shared" si="4"/>
        <v>7.9950000000000001</v>
      </c>
    </row>
    <row r="231" spans="1:5" x14ac:dyDescent="0.25">
      <c r="A231" t="s">
        <v>696</v>
      </c>
      <c r="B231">
        <v>4945851</v>
      </c>
      <c r="C231">
        <v>1950</v>
      </c>
      <c r="D231">
        <f t="shared" si="3"/>
        <v>4100</v>
      </c>
      <c r="E231">
        <f t="shared" si="4"/>
        <v>7.9950000000000001</v>
      </c>
    </row>
    <row r="232" spans="1:5" x14ac:dyDescent="0.25">
      <c r="A232" t="s">
        <v>696</v>
      </c>
      <c r="B232">
        <v>4945852</v>
      </c>
      <c r="C232">
        <v>1950</v>
      </c>
      <c r="D232">
        <f t="shared" si="3"/>
        <v>4100</v>
      </c>
      <c r="E232">
        <f t="shared" si="4"/>
        <v>7.9950000000000001</v>
      </c>
    </row>
    <row r="233" spans="1:5" x14ac:dyDescent="0.25">
      <c r="A233" t="s">
        <v>696</v>
      </c>
      <c r="B233">
        <v>4945853</v>
      </c>
      <c r="C233">
        <v>1950</v>
      </c>
      <c r="D233">
        <f t="shared" si="3"/>
        <v>4100</v>
      </c>
      <c r="E233">
        <f t="shared" si="4"/>
        <v>7.9950000000000001</v>
      </c>
    </row>
    <row r="234" spans="1:5" x14ac:dyDescent="0.25">
      <c r="A234" t="s">
        <v>696</v>
      </c>
      <c r="B234">
        <v>4945854</v>
      </c>
      <c r="C234">
        <v>1950</v>
      </c>
      <c r="D234">
        <f t="shared" si="3"/>
        <v>4100</v>
      </c>
      <c r="E234">
        <f t="shared" si="4"/>
        <v>7.9950000000000001</v>
      </c>
    </row>
    <row r="235" spans="1:5" x14ac:dyDescent="0.25">
      <c r="A235" t="s">
        <v>668</v>
      </c>
      <c r="B235">
        <v>4945855</v>
      </c>
      <c r="C235">
        <v>1792</v>
      </c>
      <c r="D235">
        <f t="shared" ref="D235:D298" si="5">+VLOOKUP(A235,$G$170:$H$175,2,FALSE)</f>
        <v>3050</v>
      </c>
      <c r="E235">
        <f t="shared" ref="E235:E298" si="6">+D235*C235/1000000</f>
        <v>5.4656000000000002</v>
      </c>
    </row>
    <row r="236" spans="1:5" x14ac:dyDescent="0.25">
      <c r="A236" t="s">
        <v>668</v>
      </c>
      <c r="B236">
        <v>4946667</v>
      </c>
      <c r="C236">
        <v>1325</v>
      </c>
      <c r="D236">
        <f t="shared" si="5"/>
        <v>3050</v>
      </c>
      <c r="E236">
        <f t="shared" si="6"/>
        <v>4.0412499999999998</v>
      </c>
    </row>
    <row r="237" spans="1:5" x14ac:dyDescent="0.25">
      <c r="A237" t="s">
        <v>668</v>
      </c>
      <c r="B237">
        <v>4946668</v>
      </c>
      <c r="C237">
        <v>975</v>
      </c>
      <c r="D237">
        <f t="shared" si="5"/>
        <v>3050</v>
      </c>
      <c r="E237">
        <f t="shared" si="6"/>
        <v>2.9737499999999999</v>
      </c>
    </row>
    <row r="238" spans="1:5" x14ac:dyDescent="0.25">
      <c r="A238" t="s">
        <v>668</v>
      </c>
      <c r="B238">
        <v>4946669</v>
      </c>
      <c r="C238">
        <v>975</v>
      </c>
      <c r="D238">
        <f t="shared" si="5"/>
        <v>3050</v>
      </c>
      <c r="E238">
        <f t="shared" si="6"/>
        <v>2.9737499999999999</v>
      </c>
    </row>
    <row r="239" spans="1:5" x14ac:dyDescent="0.25">
      <c r="A239" t="s">
        <v>668</v>
      </c>
      <c r="B239">
        <v>4946670</v>
      </c>
      <c r="C239">
        <v>975</v>
      </c>
      <c r="D239">
        <f t="shared" si="5"/>
        <v>3050</v>
      </c>
      <c r="E239">
        <f t="shared" si="6"/>
        <v>2.9737499999999999</v>
      </c>
    </row>
    <row r="240" spans="1:5" x14ac:dyDescent="0.25">
      <c r="A240" t="s">
        <v>668</v>
      </c>
      <c r="B240">
        <v>4946671</v>
      </c>
      <c r="C240">
        <v>975</v>
      </c>
      <c r="D240">
        <f t="shared" si="5"/>
        <v>3050</v>
      </c>
      <c r="E240">
        <f t="shared" si="6"/>
        <v>2.9737499999999999</v>
      </c>
    </row>
    <row r="241" spans="1:5" x14ac:dyDescent="0.25">
      <c r="A241" t="s">
        <v>696</v>
      </c>
      <c r="B241">
        <v>4946672</v>
      </c>
      <c r="C241">
        <v>1950</v>
      </c>
      <c r="D241">
        <f t="shared" si="5"/>
        <v>4100</v>
      </c>
      <c r="E241">
        <f t="shared" si="6"/>
        <v>7.9950000000000001</v>
      </c>
    </row>
    <row r="242" spans="1:5" x14ac:dyDescent="0.25">
      <c r="A242" t="s">
        <v>668</v>
      </c>
      <c r="B242">
        <v>4946696</v>
      </c>
      <c r="C242">
        <v>975</v>
      </c>
      <c r="D242">
        <f t="shared" si="5"/>
        <v>3050</v>
      </c>
      <c r="E242">
        <f t="shared" si="6"/>
        <v>2.9737499999999999</v>
      </c>
    </row>
    <row r="243" spans="1:5" x14ac:dyDescent="0.25">
      <c r="A243" t="s">
        <v>668</v>
      </c>
      <c r="B243">
        <v>4946703</v>
      </c>
      <c r="C243">
        <v>975</v>
      </c>
      <c r="D243">
        <f t="shared" si="5"/>
        <v>3050</v>
      </c>
      <c r="E243">
        <f t="shared" si="6"/>
        <v>2.9737499999999999</v>
      </c>
    </row>
    <row r="244" spans="1:5" x14ac:dyDescent="0.25">
      <c r="A244" t="s">
        <v>668</v>
      </c>
      <c r="B244">
        <v>4946710</v>
      </c>
      <c r="C244">
        <v>975</v>
      </c>
      <c r="D244">
        <f t="shared" si="5"/>
        <v>3050</v>
      </c>
      <c r="E244">
        <f t="shared" si="6"/>
        <v>2.9737499999999999</v>
      </c>
    </row>
    <row r="245" spans="1:5" x14ac:dyDescent="0.25">
      <c r="A245" t="s">
        <v>668</v>
      </c>
      <c r="B245">
        <v>4946717</v>
      </c>
      <c r="C245">
        <v>975</v>
      </c>
      <c r="D245">
        <f t="shared" si="5"/>
        <v>3050</v>
      </c>
      <c r="E245">
        <f t="shared" si="6"/>
        <v>2.9737499999999999</v>
      </c>
    </row>
    <row r="246" spans="1:5" x14ac:dyDescent="0.25">
      <c r="A246" t="s">
        <v>696</v>
      </c>
      <c r="B246">
        <v>4946757</v>
      </c>
      <c r="C246">
        <v>1950</v>
      </c>
      <c r="D246">
        <f t="shared" si="5"/>
        <v>4100</v>
      </c>
      <c r="E246">
        <f t="shared" si="6"/>
        <v>7.9950000000000001</v>
      </c>
    </row>
    <row r="247" spans="1:5" x14ac:dyDescent="0.25">
      <c r="A247" t="s">
        <v>668</v>
      </c>
      <c r="B247">
        <v>4946800</v>
      </c>
      <c r="C247">
        <v>975</v>
      </c>
      <c r="D247">
        <f t="shared" si="5"/>
        <v>3050</v>
      </c>
      <c r="E247">
        <f t="shared" si="6"/>
        <v>2.9737499999999999</v>
      </c>
    </row>
    <row r="248" spans="1:5" x14ac:dyDescent="0.25">
      <c r="A248" t="s">
        <v>668</v>
      </c>
      <c r="B248">
        <v>4946807</v>
      </c>
      <c r="C248">
        <v>975</v>
      </c>
      <c r="D248">
        <f t="shared" si="5"/>
        <v>3050</v>
      </c>
      <c r="E248">
        <f t="shared" si="6"/>
        <v>2.9737499999999999</v>
      </c>
    </row>
    <row r="249" spans="1:5" x14ac:dyDescent="0.25">
      <c r="A249" t="s">
        <v>668</v>
      </c>
      <c r="B249">
        <v>4946814</v>
      </c>
      <c r="C249">
        <v>975</v>
      </c>
      <c r="D249">
        <f t="shared" si="5"/>
        <v>3050</v>
      </c>
      <c r="E249">
        <f t="shared" si="6"/>
        <v>2.9737499999999999</v>
      </c>
    </row>
    <row r="250" spans="1:5" x14ac:dyDescent="0.25">
      <c r="A250" t="s">
        <v>696</v>
      </c>
      <c r="B250">
        <v>4946858</v>
      </c>
      <c r="C250">
        <v>1950</v>
      </c>
      <c r="D250">
        <f t="shared" si="5"/>
        <v>4100</v>
      </c>
      <c r="E250">
        <f t="shared" si="6"/>
        <v>7.9950000000000001</v>
      </c>
    </row>
    <row r="251" spans="1:5" x14ac:dyDescent="0.25">
      <c r="A251" t="s">
        <v>668</v>
      </c>
      <c r="B251">
        <v>4946901</v>
      </c>
      <c r="C251">
        <v>975</v>
      </c>
      <c r="D251">
        <f t="shared" si="5"/>
        <v>3050</v>
      </c>
      <c r="E251">
        <f t="shared" si="6"/>
        <v>2.9737499999999999</v>
      </c>
    </row>
    <row r="252" spans="1:5" x14ac:dyDescent="0.25">
      <c r="A252" t="s">
        <v>668</v>
      </c>
      <c r="B252">
        <v>4946908</v>
      </c>
      <c r="C252">
        <v>975</v>
      </c>
      <c r="D252">
        <f t="shared" si="5"/>
        <v>3050</v>
      </c>
      <c r="E252">
        <f t="shared" si="6"/>
        <v>2.9737499999999999</v>
      </c>
    </row>
    <row r="253" spans="1:5" x14ac:dyDescent="0.25">
      <c r="A253" t="s">
        <v>696</v>
      </c>
      <c r="B253">
        <v>4946940</v>
      </c>
      <c r="C253">
        <v>1950</v>
      </c>
      <c r="D253">
        <f t="shared" si="5"/>
        <v>4100</v>
      </c>
      <c r="E253">
        <f t="shared" si="6"/>
        <v>7.9950000000000001</v>
      </c>
    </row>
    <row r="254" spans="1:5" x14ac:dyDescent="0.25">
      <c r="A254" t="s">
        <v>668</v>
      </c>
      <c r="B254">
        <v>4946978</v>
      </c>
      <c r="C254">
        <v>975</v>
      </c>
      <c r="D254">
        <f t="shared" si="5"/>
        <v>3050</v>
      </c>
      <c r="E254">
        <f t="shared" si="6"/>
        <v>2.9737499999999999</v>
      </c>
    </row>
    <row r="255" spans="1:5" x14ac:dyDescent="0.25">
      <c r="A255" t="s">
        <v>696</v>
      </c>
      <c r="B255">
        <v>4947028</v>
      </c>
      <c r="C255">
        <v>1950</v>
      </c>
      <c r="D255">
        <f t="shared" si="5"/>
        <v>4100</v>
      </c>
      <c r="E255">
        <f t="shared" si="6"/>
        <v>7.9950000000000001</v>
      </c>
    </row>
    <row r="256" spans="1:5" x14ac:dyDescent="0.25">
      <c r="A256" t="s">
        <v>668</v>
      </c>
      <c r="B256">
        <v>4947072</v>
      </c>
      <c r="C256">
        <v>975</v>
      </c>
      <c r="D256">
        <f t="shared" si="5"/>
        <v>3050</v>
      </c>
      <c r="E256">
        <f t="shared" si="6"/>
        <v>2.9737499999999999</v>
      </c>
    </row>
    <row r="257" spans="1:5" x14ac:dyDescent="0.25">
      <c r="A257" t="s">
        <v>696</v>
      </c>
      <c r="B257">
        <v>4947101</v>
      </c>
      <c r="C257">
        <v>1950</v>
      </c>
      <c r="D257">
        <f t="shared" si="5"/>
        <v>4100</v>
      </c>
      <c r="E257">
        <f t="shared" si="6"/>
        <v>7.9950000000000001</v>
      </c>
    </row>
    <row r="258" spans="1:5" x14ac:dyDescent="0.25">
      <c r="A258" t="s">
        <v>696</v>
      </c>
      <c r="B258">
        <v>4947108</v>
      </c>
      <c r="C258">
        <v>1950</v>
      </c>
      <c r="D258">
        <f t="shared" si="5"/>
        <v>4100</v>
      </c>
      <c r="E258">
        <f t="shared" si="6"/>
        <v>7.9950000000000001</v>
      </c>
    </row>
    <row r="259" spans="1:5" x14ac:dyDescent="0.25">
      <c r="A259" t="s">
        <v>668</v>
      </c>
      <c r="B259">
        <v>4947150</v>
      </c>
      <c r="C259">
        <v>975</v>
      </c>
      <c r="D259">
        <f t="shared" si="5"/>
        <v>3050</v>
      </c>
      <c r="E259">
        <f t="shared" si="6"/>
        <v>2.9737499999999999</v>
      </c>
    </row>
    <row r="260" spans="1:5" x14ac:dyDescent="0.25">
      <c r="A260" t="s">
        <v>696</v>
      </c>
      <c r="B260">
        <v>4947186</v>
      </c>
      <c r="C260">
        <v>1950</v>
      </c>
      <c r="D260">
        <f t="shared" si="5"/>
        <v>4100</v>
      </c>
      <c r="E260">
        <f t="shared" si="6"/>
        <v>7.9950000000000001</v>
      </c>
    </row>
    <row r="261" spans="1:5" x14ac:dyDescent="0.25">
      <c r="A261" t="s">
        <v>696</v>
      </c>
      <c r="B261">
        <v>4947193</v>
      </c>
      <c r="C261">
        <v>1950</v>
      </c>
      <c r="D261">
        <f t="shared" si="5"/>
        <v>4100</v>
      </c>
      <c r="E261">
        <f t="shared" si="6"/>
        <v>7.9950000000000001</v>
      </c>
    </row>
    <row r="262" spans="1:5" x14ac:dyDescent="0.25">
      <c r="A262" t="s">
        <v>696</v>
      </c>
      <c r="B262">
        <v>4947200</v>
      </c>
      <c r="C262">
        <v>1950</v>
      </c>
      <c r="D262">
        <f t="shared" si="5"/>
        <v>4100</v>
      </c>
      <c r="E262">
        <f t="shared" si="6"/>
        <v>7.9950000000000001</v>
      </c>
    </row>
    <row r="263" spans="1:5" x14ac:dyDescent="0.25">
      <c r="A263" t="s">
        <v>668</v>
      </c>
      <c r="B263">
        <v>4947237</v>
      </c>
      <c r="C263">
        <v>975</v>
      </c>
      <c r="D263">
        <f t="shared" si="5"/>
        <v>3050</v>
      </c>
      <c r="E263">
        <f t="shared" si="6"/>
        <v>2.9737499999999999</v>
      </c>
    </row>
    <row r="264" spans="1:5" x14ac:dyDescent="0.25">
      <c r="A264" t="s">
        <v>696</v>
      </c>
      <c r="B264">
        <v>4947269</v>
      </c>
      <c r="C264">
        <v>1950</v>
      </c>
      <c r="D264">
        <f t="shared" si="5"/>
        <v>4100</v>
      </c>
      <c r="E264">
        <f t="shared" si="6"/>
        <v>7.9950000000000001</v>
      </c>
    </row>
    <row r="265" spans="1:5" x14ac:dyDescent="0.25">
      <c r="A265" t="s">
        <v>696</v>
      </c>
      <c r="B265">
        <v>4947908</v>
      </c>
      <c r="C265">
        <v>1950</v>
      </c>
      <c r="D265">
        <f t="shared" si="5"/>
        <v>4100</v>
      </c>
      <c r="E265">
        <f t="shared" si="6"/>
        <v>7.9950000000000001</v>
      </c>
    </row>
    <row r="266" spans="1:5" x14ac:dyDescent="0.25">
      <c r="A266" t="s">
        <v>696</v>
      </c>
      <c r="B266">
        <v>4947915</v>
      </c>
      <c r="C266">
        <v>1950</v>
      </c>
      <c r="D266">
        <f t="shared" si="5"/>
        <v>4100</v>
      </c>
      <c r="E266">
        <f t="shared" si="6"/>
        <v>7.9950000000000001</v>
      </c>
    </row>
    <row r="267" spans="1:5" x14ac:dyDescent="0.25">
      <c r="A267" t="s">
        <v>696</v>
      </c>
      <c r="B267">
        <v>4947922</v>
      </c>
      <c r="C267">
        <v>1950</v>
      </c>
      <c r="D267">
        <f t="shared" si="5"/>
        <v>4100</v>
      </c>
      <c r="E267">
        <f t="shared" si="6"/>
        <v>7.9950000000000001</v>
      </c>
    </row>
    <row r="268" spans="1:5" x14ac:dyDescent="0.25">
      <c r="A268" t="s">
        <v>696</v>
      </c>
      <c r="B268">
        <v>4947929</v>
      </c>
      <c r="C268">
        <v>1950</v>
      </c>
      <c r="D268">
        <f t="shared" si="5"/>
        <v>4100</v>
      </c>
      <c r="E268">
        <f t="shared" si="6"/>
        <v>7.9950000000000001</v>
      </c>
    </row>
    <row r="269" spans="1:5" x14ac:dyDescent="0.25">
      <c r="A269" t="s">
        <v>668</v>
      </c>
      <c r="B269">
        <v>4947951</v>
      </c>
      <c r="C269">
        <v>975</v>
      </c>
      <c r="D269">
        <f t="shared" si="5"/>
        <v>3050</v>
      </c>
      <c r="E269">
        <f t="shared" si="6"/>
        <v>2.9737499999999999</v>
      </c>
    </row>
    <row r="270" spans="1:5" x14ac:dyDescent="0.25">
      <c r="A270" t="s">
        <v>696</v>
      </c>
      <c r="B270">
        <v>4948053</v>
      </c>
      <c r="C270">
        <v>1950</v>
      </c>
      <c r="D270">
        <f t="shared" si="5"/>
        <v>4100</v>
      </c>
      <c r="E270">
        <f t="shared" si="6"/>
        <v>7.9950000000000001</v>
      </c>
    </row>
    <row r="271" spans="1:5" x14ac:dyDescent="0.25">
      <c r="A271" t="s">
        <v>696</v>
      </c>
      <c r="B271">
        <v>4948060</v>
      </c>
      <c r="C271">
        <v>1950</v>
      </c>
      <c r="D271">
        <f t="shared" si="5"/>
        <v>4100</v>
      </c>
      <c r="E271">
        <f t="shared" si="6"/>
        <v>7.9950000000000001</v>
      </c>
    </row>
    <row r="272" spans="1:5" x14ac:dyDescent="0.25">
      <c r="A272" t="s">
        <v>696</v>
      </c>
      <c r="B272">
        <v>4948067</v>
      </c>
      <c r="C272">
        <v>1950</v>
      </c>
      <c r="D272">
        <f t="shared" si="5"/>
        <v>4100</v>
      </c>
      <c r="E272">
        <f t="shared" si="6"/>
        <v>7.9950000000000001</v>
      </c>
    </row>
    <row r="273" spans="1:5" x14ac:dyDescent="0.25">
      <c r="A273" t="s">
        <v>696</v>
      </c>
      <c r="B273">
        <v>4948074</v>
      </c>
      <c r="C273">
        <v>1950</v>
      </c>
      <c r="D273">
        <f t="shared" si="5"/>
        <v>4100</v>
      </c>
      <c r="E273">
        <f t="shared" si="6"/>
        <v>7.9950000000000001</v>
      </c>
    </row>
    <row r="274" spans="1:5" x14ac:dyDescent="0.25">
      <c r="A274" t="s">
        <v>696</v>
      </c>
      <c r="B274">
        <v>4948081</v>
      </c>
      <c r="C274">
        <v>1950</v>
      </c>
      <c r="D274">
        <f t="shared" si="5"/>
        <v>4100</v>
      </c>
      <c r="E274">
        <f t="shared" si="6"/>
        <v>7.9950000000000001</v>
      </c>
    </row>
    <row r="275" spans="1:5" x14ac:dyDescent="0.25">
      <c r="A275" t="s">
        <v>696</v>
      </c>
      <c r="B275">
        <v>4948088</v>
      </c>
      <c r="C275">
        <v>1950</v>
      </c>
      <c r="D275">
        <f t="shared" si="5"/>
        <v>4100</v>
      </c>
      <c r="E275">
        <f t="shared" si="6"/>
        <v>7.9950000000000001</v>
      </c>
    </row>
    <row r="276" spans="1:5" x14ac:dyDescent="0.25">
      <c r="A276" t="s">
        <v>696</v>
      </c>
      <c r="B276">
        <v>4950892</v>
      </c>
      <c r="C276">
        <v>1950</v>
      </c>
      <c r="D276">
        <f t="shared" si="5"/>
        <v>4100</v>
      </c>
      <c r="E276">
        <f t="shared" si="6"/>
        <v>7.9950000000000001</v>
      </c>
    </row>
    <row r="277" spans="1:5" x14ac:dyDescent="0.25">
      <c r="A277" t="s">
        <v>668</v>
      </c>
      <c r="B277">
        <v>4950924</v>
      </c>
      <c r="C277">
        <v>975</v>
      </c>
      <c r="D277">
        <f t="shared" si="5"/>
        <v>3050</v>
      </c>
      <c r="E277">
        <f t="shared" si="6"/>
        <v>2.9737499999999999</v>
      </c>
    </row>
    <row r="278" spans="1:5" x14ac:dyDescent="0.25">
      <c r="A278" t="s">
        <v>696</v>
      </c>
      <c r="B278">
        <v>4957075</v>
      </c>
      <c r="C278">
        <v>2125</v>
      </c>
      <c r="D278">
        <f t="shared" si="5"/>
        <v>4100</v>
      </c>
      <c r="E278">
        <f t="shared" si="6"/>
        <v>8.7125000000000004</v>
      </c>
    </row>
    <row r="279" spans="1:5" x14ac:dyDescent="0.25">
      <c r="A279" t="s">
        <v>197</v>
      </c>
      <c r="B279">
        <v>5075174</v>
      </c>
      <c r="C279">
        <v>753.68202454432003</v>
      </c>
      <c r="D279">
        <f t="shared" si="5"/>
        <v>3200</v>
      </c>
      <c r="E279">
        <f t="shared" si="6"/>
        <v>2.411782478541824</v>
      </c>
    </row>
    <row r="280" spans="1:5" x14ac:dyDescent="0.25">
      <c r="A280" t="s">
        <v>668</v>
      </c>
      <c r="B280">
        <v>5078581</v>
      </c>
      <c r="C280">
        <v>1100</v>
      </c>
      <c r="D280">
        <f t="shared" si="5"/>
        <v>3050</v>
      </c>
      <c r="E280">
        <f t="shared" si="6"/>
        <v>3.355</v>
      </c>
    </row>
    <row r="281" spans="1:5" x14ac:dyDescent="0.25">
      <c r="A281" t="s">
        <v>668</v>
      </c>
      <c r="B281">
        <v>5078777</v>
      </c>
      <c r="C281">
        <v>1100</v>
      </c>
      <c r="D281">
        <f t="shared" si="5"/>
        <v>3050</v>
      </c>
      <c r="E281">
        <f t="shared" si="6"/>
        <v>3.355</v>
      </c>
    </row>
    <row r="282" spans="1:5" x14ac:dyDescent="0.25">
      <c r="A282" t="s">
        <v>668</v>
      </c>
      <c r="B282">
        <v>5079012</v>
      </c>
      <c r="C282">
        <v>1100</v>
      </c>
      <c r="D282">
        <f t="shared" si="5"/>
        <v>3050</v>
      </c>
      <c r="E282">
        <f t="shared" si="6"/>
        <v>3.355</v>
      </c>
    </row>
    <row r="283" spans="1:5" x14ac:dyDescent="0.25">
      <c r="A283" t="s">
        <v>47</v>
      </c>
      <c r="B283">
        <v>5087996</v>
      </c>
      <c r="C283">
        <v>1099.99999999996</v>
      </c>
      <c r="D283">
        <f t="shared" si="5"/>
        <v>3200</v>
      </c>
      <c r="E283">
        <f t="shared" si="6"/>
        <v>3.5199999999998721</v>
      </c>
    </row>
    <row r="284" spans="1:5" x14ac:dyDescent="0.25">
      <c r="A284" t="s">
        <v>47</v>
      </c>
      <c r="B284">
        <v>5088506</v>
      </c>
      <c r="C284">
        <v>1099.99999999996</v>
      </c>
      <c r="D284">
        <f t="shared" si="5"/>
        <v>3200</v>
      </c>
      <c r="E284">
        <f t="shared" si="6"/>
        <v>3.5199999999998721</v>
      </c>
    </row>
    <row r="285" spans="1:5" x14ac:dyDescent="0.25">
      <c r="A285" t="s">
        <v>47</v>
      </c>
      <c r="B285">
        <v>5088557</v>
      </c>
      <c r="C285">
        <v>1099.99999999996</v>
      </c>
      <c r="D285">
        <f t="shared" si="5"/>
        <v>3200</v>
      </c>
      <c r="E285">
        <f t="shared" si="6"/>
        <v>3.5199999999998721</v>
      </c>
    </row>
    <row r="286" spans="1:5" x14ac:dyDescent="0.25">
      <c r="A286" t="s">
        <v>47</v>
      </c>
      <c r="B286">
        <v>5088580</v>
      </c>
      <c r="C286">
        <v>1099.99999999996</v>
      </c>
      <c r="D286">
        <f t="shared" si="5"/>
        <v>3200</v>
      </c>
      <c r="E286">
        <f t="shared" si="6"/>
        <v>3.5199999999998721</v>
      </c>
    </row>
    <row r="287" spans="1:5" x14ac:dyDescent="0.25">
      <c r="A287" t="s">
        <v>47</v>
      </c>
      <c r="B287">
        <v>5088585</v>
      </c>
      <c r="C287">
        <v>1099.99999999996</v>
      </c>
      <c r="D287">
        <f t="shared" si="5"/>
        <v>3200</v>
      </c>
      <c r="E287">
        <f t="shared" si="6"/>
        <v>3.5199999999998721</v>
      </c>
    </row>
    <row r="288" spans="1:5" x14ac:dyDescent="0.25">
      <c r="A288" t="s">
        <v>874</v>
      </c>
      <c r="B288">
        <v>5093007</v>
      </c>
      <c r="C288">
        <v>674.99999999951694</v>
      </c>
      <c r="D288">
        <f t="shared" si="5"/>
        <v>2400</v>
      </c>
      <c r="E288">
        <f t="shared" si="6"/>
        <v>1.6199999999988408</v>
      </c>
    </row>
    <row r="289" spans="1:5" x14ac:dyDescent="0.25">
      <c r="A289" t="s">
        <v>874</v>
      </c>
      <c r="B289">
        <v>5093338</v>
      </c>
      <c r="C289">
        <v>675.00000000047601</v>
      </c>
      <c r="D289">
        <f t="shared" si="5"/>
        <v>2400</v>
      </c>
      <c r="E289">
        <f t="shared" si="6"/>
        <v>1.6200000000011425</v>
      </c>
    </row>
    <row r="290" spans="1:5" x14ac:dyDescent="0.25">
      <c r="A290" t="s">
        <v>874</v>
      </c>
      <c r="B290">
        <v>5093398</v>
      </c>
      <c r="C290">
        <v>657.00000000155796</v>
      </c>
      <c r="D290">
        <f t="shared" si="5"/>
        <v>2400</v>
      </c>
      <c r="E290">
        <f t="shared" si="6"/>
        <v>1.576800000003739</v>
      </c>
    </row>
    <row r="291" spans="1:5" x14ac:dyDescent="0.25">
      <c r="A291" t="s">
        <v>874</v>
      </c>
      <c r="B291">
        <v>5095047</v>
      </c>
      <c r="C291">
        <v>804.50620578555697</v>
      </c>
      <c r="D291">
        <f t="shared" si="5"/>
        <v>2400</v>
      </c>
      <c r="E291">
        <f t="shared" si="6"/>
        <v>1.9308148938853369</v>
      </c>
    </row>
    <row r="292" spans="1:5" x14ac:dyDescent="0.25">
      <c r="A292" t="s">
        <v>874</v>
      </c>
      <c r="B292">
        <v>5095109</v>
      </c>
      <c r="C292">
        <v>804.50620578555697</v>
      </c>
      <c r="D292">
        <f t="shared" si="5"/>
        <v>2400</v>
      </c>
      <c r="E292">
        <f t="shared" si="6"/>
        <v>1.9308148938853369</v>
      </c>
    </row>
    <row r="293" spans="1:5" x14ac:dyDescent="0.25">
      <c r="A293" t="s">
        <v>874</v>
      </c>
      <c r="B293">
        <v>5095464</v>
      </c>
      <c r="C293">
        <v>804.50620578555697</v>
      </c>
      <c r="D293">
        <f t="shared" si="5"/>
        <v>2400</v>
      </c>
      <c r="E293">
        <f t="shared" si="6"/>
        <v>1.9308148938853369</v>
      </c>
    </row>
    <row r="294" spans="1:5" x14ac:dyDescent="0.25">
      <c r="A294" t="s">
        <v>733</v>
      </c>
      <c r="B294">
        <v>5294027</v>
      </c>
      <c r="C294">
        <v>647</v>
      </c>
      <c r="D294">
        <f t="shared" si="5"/>
        <v>3050</v>
      </c>
      <c r="E294">
        <f t="shared" si="6"/>
        <v>1.9733499999999999</v>
      </c>
    </row>
    <row r="295" spans="1:5" x14ac:dyDescent="0.25">
      <c r="A295" t="s">
        <v>668</v>
      </c>
      <c r="B295">
        <v>5475730</v>
      </c>
      <c r="C295">
        <v>1625.0192880878801</v>
      </c>
      <c r="D295">
        <f t="shared" si="5"/>
        <v>3050</v>
      </c>
      <c r="E295">
        <f t="shared" si="6"/>
        <v>4.9563088286680346</v>
      </c>
    </row>
    <row r="296" spans="1:5" x14ac:dyDescent="0.25">
      <c r="A296" t="s">
        <v>197</v>
      </c>
      <c r="B296">
        <v>5499900</v>
      </c>
      <c r="C296">
        <v>1122.8536194896201</v>
      </c>
      <c r="D296">
        <f t="shared" si="5"/>
        <v>3200</v>
      </c>
      <c r="E296">
        <f t="shared" si="6"/>
        <v>3.5931315823667842</v>
      </c>
    </row>
    <row r="297" spans="1:5" x14ac:dyDescent="0.25">
      <c r="A297" t="s">
        <v>197</v>
      </c>
      <c r="B297">
        <v>5500193</v>
      </c>
      <c r="C297">
        <v>1047.1463805103399</v>
      </c>
      <c r="D297">
        <f t="shared" si="5"/>
        <v>3200</v>
      </c>
      <c r="E297">
        <f t="shared" si="6"/>
        <v>3.3508684176330878</v>
      </c>
    </row>
    <row r="298" spans="1:5" x14ac:dyDescent="0.25">
      <c r="A298" t="s">
        <v>696</v>
      </c>
      <c r="B298">
        <v>5762550</v>
      </c>
      <c r="C298">
        <v>2125</v>
      </c>
      <c r="D298">
        <f t="shared" si="5"/>
        <v>4100</v>
      </c>
      <c r="E298">
        <f t="shared" si="6"/>
        <v>8.7125000000000004</v>
      </c>
    </row>
    <row r="299" spans="1:5" x14ac:dyDescent="0.25">
      <c r="A299" t="s">
        <v>696</v>
      </c>
      <c r="B299">
        <v>5762792</v>
      </c>
      <c r="C299">
        <v>2125</v>
      </c>
      <c r="D299">
        <f t="shared" ref="D299:D306" si="7">+VLOOKUP(A299,$G$170:$H$175,2,FALSE)</f>
        <v>4100</v>
      </c>
      <c r="E299">
        <f t="shared" ref="E299:E306" si="8">+D299*C299/1000000</f>
        <v>8.7125000000000004</v>
      </c>
    </row>
    <row r="300" spans="1:5" x14ac:dyDescent="0.25">
      <c r="A300" t="s">
        <v>696</v>
      </c>
      <c r="B300">
        <v>5762800</v>
      </c>
      <c r="C300">
        <v>2125</v>
      </c>
      <c r="D300">
        <f t="shared" si="7"/>
        <v>4100</v>
      </c>
      <c r="E300">
        <f t="shared" si="8"/>
        <v>8.7125000000000004</v>
      </c>
    </row>
    <row r="301" spans="1:5" x14ac:dyDescent="0.25">
      <c r="A301" t="s">
        <v>668</v>
      </c>
      <c r="B301">
        <v>5762898</v>
      </c>
      <c r="C301">
        <v>975</v>
      </c>
      <c r="D301">
        <f t="shared" si="7"/>
        <v>3050</v>
      </c>
      <c r="E301">
        <f t="shared" si="8"/>
        <v>2.9737499999999999</v>
      </c>
    </row>
    <row r="302" spans="1:5" x14ac:dyDescent="0.25">
      <c r="A302" t="s">
        <v>668</v>
      </c>
      <c r="B302">
        <v>5763127</v>
      </c>
      <c r="C302">
        <v>975</v>
      </c>
      <c r="D302">
        <f t="shared" si="7"/>
        <v>3050</v>
      </c>
      <c r="E302">
        <f t="shared" si="8"/>
        <v>2.9737499999999999</v>
      </c>
    </row>
    <row r="303" spans="1:5" x14ac:dyDescent="0.25">
      <c r="A303" t="s">
        <v>668</v>
      </c>
      <c r="B303">
        <v>5763272</v>
      </c>
      <c r="C303">
        <v>975</v>
      </c>
      <c r="D303">
        <f>+VLOOKUP(A303,$G$170:$H$175,2,FALSE)</f>
        <v>3050</v>
      </c>
      <c r="E303">
        <f t="shared" si="8"/>
        <v>2.9737499999999999</v>
      </c>
    </row>
    <row r="304" spans="1:5" x14ac:dyDescent="0.25">
      <c r="A304" t="s">
        <v>668</v>
      </c>
      <c r="B304">
        <v>5763273</v>
      </c>
      <c r="C304">
        <v>975</v>
      </c>
      <c r="D304">
        <f t="shared" si="7"/>
        <v>3050</v>
      </c>
      <c r="E304">
        <f t="shared" si="8"/>
        <v>2.9737499999999999</v>
      </c>
    </row>
    <row r="305" spans="1:5" x14ac:dyDescent="0.25">
      <c r="A305" t="s">
        <v>696</v>
      </c>
      <c r="B305">
        <v>5763362</v>
      </c>
      <c r="C305">
        <v>2125</v>
      </c>
      <c r="D305">
        <f t="shared" si="7"/>
        <v>4100</v>
      </c>
      <c r="E305">
        <f t="shared" si="8"/>
        <v>8.7125000000000004</v>
      </c>
    </row>
    <row r="306" spans="1:5" x14ac:dyDescent="0.25">
      <c r="A306" t="s">
        <v>668</v>
      </c>
      <c r="B306">
        <v>5778534</v>
      </c>
      <c r="C306">
        <v>745.41492394007196</v>
      </c>
      <c r="D306">
        <f t="shared" si="7"/>
        <v>3050</v>
      </c>
      <c r="E306">
        <f t="shared" si="8"/>
        <v>2.2735155180172195</v>
      </c>
    </row>
    <row r="307" spans="1:5" x14ac:dyDescent="0.25">
      <c r="A307" s="28"/>
    </row>
  </sheetData>
  <customSheetViews>
    <customSheetView guid="{561E68F6-21E3-461A-ACB1-9392AEDA3331}">
      <selection activeCell="H18" sqref="H18"/>
      <pageMargins left="0.7" right="0.7" top="0.75" bottom="0.75" header="0.3" footer="0.3"/>
    </customSheetView>
    <customSheetView guid="{2A8AA8A9-D849-43BE-B128-2DCE8081808F}" topLeftCell="A274">
      <selection activeCell="B307" sqref="B307"/>
      <pageMargins left="0.7" right="0.7" top="0.75" bottom="0.75" header="0.3" footer="0.3"/>
    </customSheetView>
    <customSheetView guid="{E07775A8-4E8E-4F0F-ABD4-8C1611285DFF}">
      <selection activeCell="B2" sqref="B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396"/>
  <sheetViews>
    <sheetView topLeftCell="A291" workbookViewId="0">
      <selection activeCell="A311" sqref="A311:XFD311"/>
    </sheetView>
  </sheetViews>
  <sheetFormatPr defaultRowHeight="15" x14ac:dyDescent="0.25"/>
  <cols>
    <col min="2" max="2" width="76.5703125" bestFit="1" customWidth="1"/>
    <col min="3" max="3" width="21.140625" customWidth="1"/>
  </cols>
  <sheetData>
    <row r="2" spans="2:10" x14ac:dyDescent="0.25">
      <c r="B2" t="s">
        <v>37</v>
      </c>
      <c r="C2">
        <v>1566939</v>
      </c>
    </row>
    <row r="3" spans="2:10" x14ac:dyDescent="0.25">
      <c r="B3" t="s">
        <v>38</v>
      </c>
      <c r="C3" t="s">
        <v>6</v>
      </c>
      <c r="D3">
        <v>-0.2</v>
      </c>
      <c r="E3">
        <v>1</v>
      </c>
      <c r="F3">
        <v>0</v>
      </c>
      <c r="G3">
        <v>4839850</v>
      </c>
    </row>
    <row r="4" spans="2:10" x14ac:dyDescent="0.25">
      <c r="B4" t="s">
        <v>31</v>
      </c>
      <c r="C4" t="s">
        <v>1</v>
      </c>
      <c r="D4">
        <v>-1</v>
      </c>
      <c r="E4">
        <v>-0.2</v>
      </c>
      <c r="F4">
        <v>0</v>
      </c>
      <c r="G4">
        <v>4860389</v>
      </c>
    </row>
    <row r="5" spans="2:10" x14ac:dyDescent="0.25">
      <c r="B5" t="s">
        <v>31</v>
      </c>
      <c r="C5" t="s">
        <v>1</v>
      </c>
      <c r="D5">
        <v>-1</v>
      </c>
      <c r="E5">
        <v>-0.2</v>
      </c>
      <c r="F5">
        <v>0</v>
      </c>
      <c r="G5">
        <v>4860434</v>
      </c>
    </row>
    <row r="6" spans="2:10" x14ac:dyDescent="0.25">
      <c r="B6" t="s">
        <v>31</v>
      </c>
      <c r="C6" t="s">
        <v>1</v>
      </c>
      <c r="D6">
        <v>-1</v>
      </c>
      <c r="E6">
        <v>-0.2</v>
      </c>
      <c r="F6">
        <v>0</v>
      </c>
      <c r="G6">
        <v>4860477</v>
      </c>
    </row>
    <row r="7" spans="2:10" x14ac:dyDescent="0.25">
      <c r="B7" t="s">
        <v>31</v>
      </c>
      <c r="C7" t="s">
        <v>1</v>
      </c>
      <c r="D7">
        <v>-1</v>
      </c>
      <c r="E7">
        <v>-0.2</v>
      </c>
      <c r="F7">
        <v>0</v>
      </c>
      <c r="G7">
        <v>4860555</v>
      </c>
    </row>
    <row r="8" spans="2:10" x14ac:dyDescent="0.25">
      <c r="B8" t="s">
        <v>33</v>
      </c>
      <c r="C8" t="s">
        <v>5</v>
      </c>
      <c r="D8">
        <v>0.2</v>
      </c>
      <c r="E8">
        <v>-1</v>
      </c>
      <c r="F8">
        <v>0</v>
      </c>
      <c r="G8">
        <v>4865756</v>
      </c>
    </row>
    <row r="9" spans="2:10" x14ac:dyDescent="0.25">
      <c r="B9" t="s">
        <v>31</v>
      </c>
      <c r="C9" t="s">
        <v>5</v>
      </c>
      <c r="D9">
        <v>0.2</v>
      </c>
      <c r="E9">
        <v>-1</v>
      </c>
      <c r="F9">
        <v>0</v>
      </c>
      <c r="G9">
        <v>4865810</v>
      </c>
    </row>
    <row r="10" spans="2:10" x14ac:dyDescent="0.25">
      <c r="B10" t="s">
        <v>39</v>
      </c>
      <c r="C10">
        <v>2075532</v>
      </c>
    </row>
    <row r="11" spans="2:10" s="14" customFormat="1" x14ac:dyDescent="0.25">
      <c r="B11" s="14" t="s">
        <v>1078</v>
      </c>
      <c r="C11" s="14" t="s">
        <v>815</v>
      </c>
      <c r="D11" s="14">
        <v>-0.5</v>
      </c>
      <c r="E11" s="14">
        <v>0.8</v>
      </c>
      <c r="F11" s="14">
        <v>0</v>
      </c>
      <c r="G11" s="14">
        <v>6091429</v>
      </c>
      <c r="I11" s="14" t="s">
        <v>1079</v>
      </c>
      <c r="J11" s="14" t="s">
        <v>27</v>
      </c>
    </row>
    <row r="12" spans="2:10" x14ac:dyDescent="0.25">
      <c r="B12" t="s">
        <v>28</v>
      </c>
      <c r="C12" t="s">
        <v>815</v>
      </c>
      <c r="D12">
        <v>-0.5</v>
      </c>
      <c r="E12">
        <v>0.8</v>
      </c>
      <c r="F12">
        <v>0</v>
      </c>
      <c r="G12">
        <v>6091434</v>
      </c>
    </row>
    <row r="13" spans="2:10" x14ac:dyDescent="0.25">
      <c r="B13" t="s">
        <v>40</v>
      </c>
      <c r="C13">
        <v>2075533</v>
      </c>
    </row>
    <row r="14" spans="2:10" x14ac:dyDescent="0.25">
      <c r="B14" t="s">
        <v>31</v>
      </c>
      <c r="C14" t="s">
        <v>815</v>
      </c>
      <c r="D14">
        <v>-0.5</v>
      </c>
      <c r="E14">
        <v>0.8</v>
      </c>
      <c r="F14">
        <v>0</v>
      </c>
      <c r="G14">
        <v>6091432</v>
      </c>
    </row>
    <row r="15" spans="2:10" x14ac:dyDescent="0.25">
      <c r="B15" t="s">
        <v>41</v>
      </c>
      <c r="C15">
        <v>2075536</v>
      </c>
    </row>
    <row r="16" spans="2:10" x14ac:dyDescent="0.25">
      <c r="B16" t="s">
        <v>31</v>
      </c>
      <c r="C16" t="s">
        <v>16</v>
      </c>
      <c r="D16">
        <v>-0.8</v>
      </c>
      <c r="E16">
        <v>-0.5</v>
      </c>
      <c r="F16">
        <v>0</v>
      </c>
      <c r="G16">
        <v>4858445</v>
      </c>
    </row>
    <row r="17" spans="2:10" x14ac:dyDescent="0.25">
      <c r="B17" t="s">
        <v>31</v>
      </c>
      <c r="C17" t="s">
        <v>16</v>
      </c>
      <c r="D17">
        <v>-0.8</v>
      </c>
      <c r="E17">
        <v>-0.5</v>
      </c>
      <c r="F17">
        <v>0</v>
      </c>
      <c r="G17">
        <v>4858781</v>
      </c>
    </row>
    <row r="18" spans="2:10" x14ac:dyDescent="0.25">
      <c r="B18" t="s">
        <v>31</v>
      </c>
      <c r="C18" t="s">
        <v>16</v>
      </c>
      <c r="D18">
        <v>-0.8</v>
      </c>
      <c r="E18">
        <v>-0.5</v>
      </c>
      <c r="F18">
        <v>0</v>
      </c>
      <c r="G18">
        <v>4858862</v>
      </c>
    </row>
    <row r="19" spans="2:10" x14ac:dyDescent="0.25">
      <c r="B19" t="s">
        <v>31</v>
      </c>
      <c r="C19" t="s">
        <v>16</v>
      </c>
      <c r="D19">
        <v>-0.8</v>
      </c>
      <c r="E19">
        <v>-0.5</v>
      </c>
      <c r="F19">
        <v>0</v>
      </c>
      <c r="G19">
        <v>4858969</v>
      </c>
    </row>
    <row r="20" spans="2:10" x14ac:dyDescent="0.25">
      <c r="B20" t="s">
        <v>29</v>
      </c>
      <c r="C20" t="s">
        <v>42</v>
      </c>
      <c r="D20">
        <v>0.5</v>
      </c>
      <c r="E20">
        <v>-0.8</v>
      </c>
      <c r="F20">
        <v>0</v>
      </c>
      <c r="G20">
        <v>4982482</v>
      </c>
    </row>
    <row r="21" spans="2:10" s="14" customFormat="1" x14ac:dyDescent="0.25">
      <c r="B21" s="14" t="s">
        <v>1081</v>
      </c>
      <c r="C21" s="14" t="s">
        <v>42</v>
      </c>
      <c r="D21" s="14">
        <v>0.5</v>
      </c>
      <c r="E21" s="14">
        <v>-0.8</v>
      </c>
      <c r="F21" s="14">
        <v>0</v>
      </c>
      <c r="G21" s="14">
        <v>4982502</v>
      </c>
      <c r="H21" s="14" t="s">
        <v>43</v>
      </c>
    </row>
    <row r="22" spans="2:10" x14ac:dyDescent="0.25">
      <c r="B22" t="s">
        <v>44</v>
      </c>
      <c r="C22">
        <v>2075547</v>
      </c>
    </row>
    <row r="23" spans="2:10" x14ac:dyDescent="0.25">
      <c r="B23" t="s">
        <v>33</v>
      </c>
      <c r="C23" t="s">
        <v>815</v>
      </c>
      <c r="D23">
        <v>-0.5</v>
      </c>
      <c r="E23">
        <v>0.8</v>
      </c>
      <c r="F23">
        <v>0</v>
      </c>
      <c r="G23">
        <v>6091420</v>
      </c>
    </row>
    <row r="24" spans="2:10" x14ac:dyDescent="0.25">
      <c r="B24" t="s">
        <v>28</v>
      </c>
      <c r="C24" t="s">
        <v>815</v>
      </c>
      <c r="D24">
        <v>-0.5</v>
      </c>
      <c r="E24">
        <v>0.8</v>
      </c>
      <c r="F24">
        <v>0</v>
      </c>
      <c r="G24">
        <v>6091423</v>
      </c>
    </row>
    <row r="25" spans="2:10" x14ac:dyDescent="0.25">
      <c r="B25" t="s">
        <v>45</v>
      </c>
      <c r="C25">
        <v>2075551</v>
      </c>
    </row>
    <row r="26" spans="2:10" x14ac:dyDescent="0.25">
      <c r="B26" s="14" t="s">
        <v>1078</v>
      </c>
      <c r="C26" t="s">
        <v>815</v>
      </c>
      <c r="D26">
        <v>-0.5</v>
      </c>
      <c r="E26">
        <v>0.8</v>
      </c>
      <c r="F26">
        <v>0</v>
      </c>
      <c r="G26">
        <v>6091429</v>
      </c>
      <c r="I26" s="14" t="s">
        <v>1079</v>
      </c>
      <c r="J26" s="14" t="s">
        <v>27</v>
      </c>
    </row>
    <row r="27" spans="2:10" x14ac:dyDescent="0.25">
      <c r="B27" t="s">
        <v>46</v>
      </c>
      <c r="C27">
        <v>2075905</v>
      </c>
    </row>
    <row r="28" spans="2:10" x14ac:dyDescent="0.25">
      <c r="B28" t="s">
        <v>47</v>
      </c>
      <c r="C28" t="s">
        <v>6</v>
      </c>
      <c r="D28">
        <v>-0.2</v>
      </c>
      <c r="E28">
        <v>1</v>
      </c>
      <c r="F28">
        <v>0</v>
      </c>
      <c r="G28">
        <v>5087996</v>
      </c>
    </row>
    <row r="29" spans="2:10" x14ac:dyDescent="0.25">
      <c r="B29" t="s">
        <v>47</v>
      </c>
      <c r="C29" t="s">
        <v>6</v>
      </c>
      <c r="D29">
        <v>-0.2</v>
      </c>
      <c r="E29">
        <v>1</v>
      </c>
      <c r="F29">
        <v>0</v>
      </c>
      <c r="G29">
        <v>5088506</v>
      </c>
    </row>
    <row r="30" spans="2:10" x14ac:dyDescent="0.25">
      <c r="B30" t="s">
        <v>47</v>
      </c>
      <c r="C30" t="s">
        <v>6</v>
      </c>
      <c r="D30">
        <v>-0.2</v>
      </c>
      <c r="E30">
        <v>1</v>
      </c>
      <c r="F30">
        <v>0</v>
      </c>
      <c r="G30">
        <v>5088557</v>
      </c>
    </row>
    <row r="31" spans="2:10" x14ac:dyDescent="0.25">
      <c r="B31" t="s">
        <v>48</v>
      </c>
      <c r="C31">
        <v>2075911</v>
      </c>
    </row>
    <row r="32" spans="2:10" x14ac:dyDescent="0.25">
      <c r="B32" t="s">
        <v>874</v>
      </c>
      <c r="C32" t="s">
        <v>6</v>
      </c>
      <c r="D32">
        <v>-0.2</v>
      </c>
      <c r="E32">
        <v>1</v>
      </c>
      <c r="F32">
        <v>0</v>
      </c>
      <c r="G32">
        <v>5095109</v>
      </c>
    </row>
    <row r="33" spans="2:8" x14ac:dyDescent="0.25">
      <c r="B33" t="s">
        <v>50</v>
      </c>
      <c r="C33">
        <v>2075912</v>
      </c>
    </row>
    <row r="34" spans="2:8" x14ac:dyDescent="0.25">
      <c r="B34" t="s">
        <v>874</v>
      </c>
      <c r="C34" t="s">
        <v>6</v>
      </c>
      <c r="D34">
        <v>-0.2</v>
      </c>
      <c r="E34">
        <v>1</v>
      </c>
      <c r="F34">
        <v>0</v>
      </c>
      <c r="G34">
        <v>5095047</v>
      </c>
    </row>
    <row r="35" spans="2:8" x14ac:dyDescent="0.25">
      <c r="B35" t="s">
        <v>51</v>
      </c>
      <c r="C35">
        <v>2075913</v>
      </c>
    </row>
    <row r="36" spans="2:8" x14ac:dyDescent="0.25">
      <c r="B36" t="s">
        <v>874</v>
      </c>
      <c r="C36" t="s">
        <v>6</v>
      </c>
      <c r="D36">
        <v>-0.2</v>
      </c>
      <c r="E36">
        <v>1</v>
      </c>
      <c r="F36">
        <v>0</v>
      </c>
      <c r="G36">
        <v>5095464</v>
      </c>
    </row>
    <row r="37" spans="2:8" x14ac:dyDescent="0.25">
      <c r="B37" t="s">
        <v>52</v>
      </c>
      <c r="C37">
        <v>2075916</v>
      </c>
    </row>
    <row r="38" spans="2:8" x14ac:dyDescent="0.25">
      <c r="B38" t="s">
        <v>53</v>
      </c>
      <c r="C38" t="s">
        <v>2</v>
      </c>
      <c r="D38">
        <v>1</v>
      </c>
      <c r="E38">
        <v>0.2</v>
      </c>
      <c r="F38">
        <v>0</v>
      </c>
      <c r="G38">
        <v>5256558</v>
      </c>
    </row>
    <row r="39" spans="2:8" x14ac:dyDescent="0.25">
      <c r="B39" t="s">
        <v>55</v>
      </c>
      <c r="C39">
        <v>2075926</v>
      </c>
    </row>
    <row r="40" spans="2:8" x14ac:dyDescent="0.25">
      <c r="B40" t="s">
        <v>54</v>
      </c>
      <c r="C40" t="s">
        <v>2</v>
      </c>
      <c r="D40">
        <v>1</v>
      </c>
      <c r="E40">
        <v>0.2</v>
      </c>
      <c r="F40">
        <v>0</v>
      </c>
      <c r="G40">
        <v>5256022</v>
      </c>
    </row>
    <row r="41" spans="2:8" x14ac:dyDescent="0.25">
      <c r="B41" t="s">
        <v>56</v>
      </c>
      <c r="C41">
        <v>2075941</v>
      </c>
    </row>
    <row r="42" spans="2:8" x14ac:dyDescent="0.25">
      <c r="B42" t="s">
        <v>27</v>
      </c>
      <c r="C42" t="s">
        <v>6</v>
      </c>
      <c r="D42">
        <v>-0.2</v>
      </c>
      <c r="E42">
        <v>1</v>
      </c>
      <c r="F42">
        <v>0</v>
      </c>
      <c r="G42">
        <v>5149027</v>
      </c>
    </row>
    <row r="43" spans="2:8" x14ac:dyDescent="0.25">
      <c r="B43" t="s">
        <v>57</v>
      </c>
      <c r="C43">
        <v>2075950</v>
      </c>
    </row>
    <row r="44" spans="2:8" x14ac:dyDescent="0.25">
      <c r="B44" t="s">
        <v>27</v>
      </c>
      <c r="C44" t="s">
        <v>329</v>
      </c>
      <c r="D44">
        <v>0.3</v>
      </c>
      <c r="E44">
        <v>-0.9</v>
      </c>
      <c r="F44">
        <v>0</v>
      </c>
      <c r="G44">
        <v>4791362</v>
      </c>
    </row>
    <row r="45" spans="2:8" s="14" customFormat="1" x14ac:dyDescent="0.25">
      <c r="B45" s="14" t="s">
        <v>1081</v>
      </c>
      <c r="C45" s="14" t="s">
        <v>329</v>
      </c>
      <c r="D45" s="14">
        <v>0.3</v>
      </c>
      <c r="E45" s="14">
        <v>-0.9</v>
      </c>
      <c r="F45" s="14">
        <v>0</v>
      </c>
      <c r="G45" s="14">
        <v>5168575</v>
      </c>
      <c r="H45" s="14" t="s">
        <v>27</v>
      </c>
    </row>
    <row r="46" spans="2:8" x14ac:dyDescent="0.25">
      <c r="B46" t="s">
        <v>58</v>
      </c>
      <c r="C46">
        <v>2075953</v>
      </c>
    </row>
    <row r="47" spans="2:8" x14ac:dyDescent="0.25">
      <c r="B47" t="s">
        <v>30</v>
      </c>
      <c r="C47" t="s">
        <v>5</v>
      </c>
      <c r="D47">
        <v>0.2</v>
      </c>
      <c r="E47">
        <v>-1</v>
      </c>
      <c r="F47">
        <v>0</v>
      </c>
      <c r="G47">
        <v>4865747</v>
      </c>
    </row>
    <row r="48" spans="2:8" x14ac:dyDescent="0.25">
      <c r="B48" t="s">
        <v>59</v>
      </c>
      <c r="C48">
        <v>2075964</v>
      </c>
    </row>
    <row r="49" spans="2:8" x14ac:dyDescent="0.25">
      <c r="B49" t="s">
        <v>27</v>
      </c>
      <c r="C49" t="s">
        <v>6</v>
      </c>
      <c r="D49">
        <v>-0.2</v>
      </c>
      <c r="E49">
        <v>1</v>
      </c>
      <c r="F49">
        <v>0</v>
      </c>
      <c r="G49">
        <v>4790597</v>
      </c>
    </row>
    <row r="50" spans="2:8" x14ac:dyDescent="0.25">
      <c r="B50" t="s">
        <v>60</v>
      </c>
      <c r="C50">
        <v>2075967</v>
      </c>
    </row>
    <row r="51" spans="2:8" x14ac:dyDescent="0.25">
      <c r="B51" t="s">
        <v>33</v>
      </c>
      <c r="C51" t="s">
        <v>5</v>
      </c>
      <c r="D51">
        <v>0.2</v>
      </c>
      <c r="E51">
        <v>-1</v>
      </c>
      <c r="F51">
        <v>0</v>
      </c>
      <c r="G51">
        <v>4866402</v>
      </c>
    </row>
    <row r="52" spans="2:8" s="14" customFormat="1" x14ac:dyDescent="0.25">
      <c r="B52" s="14" t="s">
        <v>1078</v>
      </c>
      <c r="C52" s="14" t="s">
        <v>5</v>
      </c>
      <c r="D52" s="14">
        <v>0.2</v>
      </c>
      <c r="E52" s="14">
        <v>-1</v>
      </c>
      <c r="F52" s="14">
        <v>0</v>
      </c>
      <c r="G52" s="14">
        <v>4868741</v>
      </c>
      <c r="H52" s="14" t="s">
        <v>33</v>
      </c>
    </row>
    <row r="53" spans="2:8" x14ac:dyDescent="0.25">
      <c r="B53" t="s">
        <v>61</v>
      </c>
      <c r="C53">
        <v>2075968</v>
      </c>
    </row>
    <row r="54" spans="2:8" x14ac:dyDescent="0.25">
      <c r="B54" t="s">
        <v>31</v>
      </c>
      <c r="C54" t="s">
        <v>6</v>
      </c>
      <c r="D54">
        <v>-0.2</v>
      </c>
      <c r="E54">
        <v>1</v>
      </c>
      <c r="F54">
        <v>0</v>
      </c>
      <c r="G54">
        <v>4790893</v>
      </c>
    </row>
    <row r="55" spans="2:8" x14ac:dyDescent="0.25">
      <c r="B55" t="s">
        <v>27</v>
      </c>
      <c r="C55" t="s">
        <v>6</v>
      </c>
      <c r="D55">
        <v>-0.2</v>
      </c>
      <c r="E55">
        <v>1</v>
      </c>
      <c r="F55">
        <v>0</v>
      </c>
      <c r="G55">
        <v>4790915</v>
      </c>
    </row>
    <row r="56" spans="2:8" x14ac:dyDescent="0.25">
      <c r="B56" t="s">
        <v>62</v>
      </c>
      <c r="C56">
        <v>2075973</v>
      </c>
    </row>
    <row r="57" spans="2:8" x14ac:dyDescent="0.25">
      <c r="B57" t="s">
        <v>30</v>
      </c>
      <c r="C57" t="s">
        <v>6</v>
      </c>
      <c r="D57">
        <v>-0.2</v>
      </c>
      <c r="E57">
        <v>1</v>
      </c>
      <c r="F57">
        <v>0</v>
      </c>
      <c r="G57">
        <v>4790737</v>
      </c>
    </row>
    <row r="58" spans="2:8" x14ac:dyDescent="0.25">
      <c r="B58" t="s">
        <v>63</v>
      </c>
      <c r="C58">
        <v>2075974</v>
      </c>
    </row>
    <row r="59" spans="2:8" x14ac:dyDescent="0.25">
      <c r="B59" t="s">
        <v>27</v>
      </c>
      <c r="C59" t="s">
        <v>6</v>
      </c>
      <c r="D59">
        <v>-0.2</v>
      </c>
      <c r="E59">
        <v>1</v>
      </c>
      <c r="F59">
        <v>0</v>
      </c>
      <c r="G59">
        <v>4790809</v>
      </c>
    </row>
    <row r="60" spans="2:8" x14ac:dyDescent="0.25">
      <c r="B60" t="s">
        <v>64</v>
      </c>
      <c r="C60">
        <v>2075991</v>
      </c>
    </row>
    <row r="61" spans="2:8" x14ac:dyDescent="0.25">
      <c r="B61" t="s">
        <v>30</v>
      </c>
      <c r="C61" t="s">
        <v>5</v>
      </c>
      <c r="D61">
        <v>0.2</v>
      </c>
      <c r="E61">
        <v>-1</v>
      </c>
      <c r="F61">
        <v>0</v>
      </c>
      <c r="G61">
        <v>4870963</v>
      </c>
    </row>
    <row r="62" spans="2:8" x14ac:dyDescent="0.25">
      <c r="B62" t="s">
        <v>65</v>
      </c>
      <c r="C62">
        <v>2075994</v>
      </c>
    </row>
    <row r="63" spans="2:8" x14ac:dyDescent="0.25">
      <c r="B63" t="s">
        <v>30</v>
      </c>
      <c r="C63" t="s">
        <v>5</v>
      </c>
      <c r="D63">
        <v>0.2</v>
      </c>
      <c r="E63">
        <v>-1</v>
      </c>
      <c r="F63">
        <v>0</v>
      </c>
      <c r="G63">
        <v>4871508</v>
      </c>
    </row>
    <row r="64" spans="2:8" x14ac:dyDescent="0.25">
      <c r="B64" t="s">
        <v>33</v>
      </c>
      <c r="C64" t="s">
        <v>5</v>
      </c>
      <c r="D64">
        <v>0.2</v>
      </c>
      <c r="E64">
        <v>-1</v>
      </c>
      <c r="F64">
        <v>0</v>
      </c>
      <c r="G64">
        <v>4872045</v>
      </c>
    </row>
    <row r="65" spans="2:8" x14ac:dyDescent="0.25">
      <c r="B65" t="s">
        <v>66</v>
      </c>
      <c r="C65">
        <v>2075997</v>
      </c>
    </row>
    <row r="66" spans="2:8" x14ac:dyDescent="0.25">
      <c r="B66" t="s">
        <v>30</v>
      </c>
      <c r="C66" t="s">
        <v>329</v>
      </c>
      <c r="D66">
        <v>0.3</v>
      </c>
      <c r="E66">
        <v>-0.9</v>
      </c>
      <c r="F66">
        <v>0</v>
      </c>
      <c r="G66">
        <v>4790985</v>
      </c>
    </row>
    <row r="67" spans="2:8" s="14" customFormat="1" x14ac:dyDescent="0.25">
      <c r="B67" s="14" t="s">
        <v>1081</v>
      </c>
      <c r="C67" s="14" t="s">
        <v>329</v>
      </c>
      <c r="D67" s="14">
        <v>0.3</v>
      </c>
      <c r="E67" s="14">
        <v>-0.9</v>
      </c>
      <c r="F67" s="14">
        <v>0</v>
      </c>
      <c r="G67" s="14">
        <v>4791041</v>
      </c>
      <c r="H67" s="14" t="s">
        <v>31</v>
      </c>
    </row>
    <row r="68" spans="2:8" x14ac:dyDescent="0.25">
      <c r="B68" t="s">
        <v>67</v>
      </c>
      <c r="C68">
        <v>2075998</v>
      </c>
    </row>
    <row r="69" spans="2:8" x14ac:dyDescent="0.25">
      <c r="B69" t="s">
        <v>30</v>
      </c>
      <c r="C69" t="s">
        <v>329</v>
      </c>
      <c r="D69">
        <v>0.3</v>
      </c>
      <c r="E69">
        <v>-0.9</v>
      </c>
      <c r="F69">
        <v>0</v>
      </c>
      <c r="G69">
        <v>4790985</v>
      </c>
    </row>
    <row r="70" spans="2:8" s="14" customFormat="1" x14ac:dyDescent="0.25">
      <c r="B70" s="14" t="s">
        <v>1081</v>
      </c>
      <c r="C70" s="14" t="s">
        <v>329</v>
      </c>
      <c r="D70" s="14">
        <v>0.3</v>
      </c>
      <c r="E70" s="14">
        <v>-0.9</v>
      </c>
      <c r="F70" s="14">
        <v>0</v>
      </c>
      <c r="G70" s="14">
        <v>4792652</v>
      </c>
      <c r="H70" s="14" t="s">
        <v>30</v>
      </c>
    </row>
    <row r="71" spans="2:8" x14ac:dyDescent="0.25">
      <c r="B71" t="s">
        <v>68</v>
      </c>
      <c r="C71">
        <v>2076004</v>
      </c>
    </row>
    <row r="72" spans="2:8" x14ac:dyDescent="0.25">
      <c r="B72" t="s">
        <v>30</v>
      </c>
      <c r="C72" t="s">
        <v>329</v>
      </c>
      <c r="D72">
        <v>0.3</v>
      </c>
      <c r="E72">
        <v>-0.9</v>
      </c>
      <c r="F72">
        <v>0</v>
      </c>
      <c r="G72">
        <v>4791226</v>
      </c>
    </row>
    <row r="73" spans="2:8" x14ac:dyDescent="0.25">
      <c r="B73" t="s">
        <v>69</v>
      </c>
      <c r="C73">
        <v>2076005</v>
      </c>
    </row>
    <row r="74" spans="2:8" x14ac:dyDescent="0.25">
      <c r="B74" t="s">
        <v>31</v>
      </c>
      <c r="C74" t="s">
        <v>329</v>
      </c>
      <c r="D74">
        <v>0.3</v>
      </c>
      <c r="E74">
        <v>-0.9</v>
      </c>
      <c r="F74">
        <v>0</v>
      </c>
      <c r="G74">
        <v>4791041</v>
      </c>
    </row>
    <row r="75" spans="2:8" s="14" customFormat="1" x14ac:dyDescent="0.25">
      <c r="B75" s="14" t="s">
        <v>1081</v>
      </c>
      <c r="C75" s="14" t="s">
        <v>329</v>
      </c>
      <c r="D75" s="14">
        <v>0.3</v>
      </c>
      <c r="E75" s="14">
        <v>-0.9</v>
      </c>
      <c r="F75" s="14">
        <v>0</v>
      </c>
      <c r="G75" s="14">
        <v>4791226</v>
      </c>
      <c r="H75" s="14" t="s">
        <v>30</v>
      </c>
    </row>
    <row r="76" spans="2:8" x14ac:dyDescent="0.25">
      <c r="B76" t="s">
        <v>70</v>
      </c>
      <c r="C76">
        <v>2076006</v>
      </c>
    </row>
    <row r="77" spans="2:8" x14ac:dyDescent="0.25">
      <c r="B77" t="s">
        <v>27</v>
      </c>
      <c r="C77" t="s">
        <v>329</v>
      </c>
      <c r="D77">
        <v>0.3</v>
      </c>
      <c r="E77">
        <v>-0.9</v>
      </c>
      <c r="F77">
        <v>0</v>
      </c>
      <c r="G77">
        <v>4791314</v>
      </c>
    </row>
    <row r="78" spans="2:8" x14ac:dyDescent="0.25">
      <c r="B78" t="s">
        <v>27</v>
      </c>
      <c r="C78" t="s">
        <v>329</v>
      </c>
      <c r="D78">
        <v>0.3</v>
      </c>
      <c r="E78">
        <v>-0.9</v>
      </c>
      <c r="F78">
        <v>0</v>
      </c>
      <c r="G78">
        <v>4791362</v>
      </c>
    </row>
    <row r="79" spans="2:8" x14ac:dyDescent="0.25">
      <c r="B79" t="s">
        <v>71</v>
      </c>
      <c r="C79">
        <v>2076007</v>
      </c>
    </row>
    <row r="80" spans="2:8" x14ac:dyDescent="0.25">
      <c r="B80" t="s">
        <v>31</v>
      </c>
      <c r="C80" t="s">
        <v>329</v>
      </c>
      <c r="D80">
        <v>0.3</v>
      </c>
      <c r="E80">
        <v>-0.9</v>
      </c>
      <c r="F80">
        <v>0</v>
      </c>
      <c r="G80">
        <v>4791282</v>
      </c>
    </row>
    <row r="81" spans="2:9" x14ac:dyDescent="0.25">
      <c r="B81" t="s">
        <v>72</v>
      </c>
      <c r="C81">
        <v>2076008</v>
      </c>
    </row>
    <row r="82" spans="2:9" x14ac:dyDescent="0.25">
      <c r="B82" t="s">
        <v>797</v>
      </c>
      <c r="C82" t="s">
        <v>4</v>
      </c>
      <c r="D82">
        <v>-0.5</v>
      </c>
      <c r="E82">
        <v>0.9</v>
      </c>
      <c r="F82">
        <v>0</v>
      </c>
      <c r="G82">
        <v>6304440</v>
      </c>
    </row>
    <row r="83" spans="2:9" x14ac:dyDescent="0.25">
      <c r="B83" t="s">
        <v>75</v>
      </c>
      <c r="C83">
        <v>2076011</v>
      </c>
    </row>
    <row r="84" spans="2:9" x14ac:dyDescent="0.25">
      <c r="B84" t="s">
        <v>33</v>
      </c>
      <c r="C84" t="s">
        <v>5</v>
      </c>
      <c r="D84">
        <v>0.2</v>
      </c>
      <c r="E84">
        <v>-1</v>
      </c>
      <c r="F84">
        <v>0</v>
      </c>
      <c r="G84">
        <v>4865753</v>
      </c>
    </row>
    <row r="85" spans="2:9" x14ac:dyDescent="0.25">
      <c r="B85" t="s">
        <v>76</v>
      </c>
      <c r="C85">
        <v>2076013</v>
      </c>
    </row>
    <row r="86" spans="2:9" x14ac:dyDescent="0.25">
      <c r="B86" t="s">
        <v>27</v>
      </c>
      <c r="C86" t="s">
        <v>329</v>
      </c>
      <c r="D86">
        <v>0.3</v>
      </c>
      <c r="E86">
        <v>-0.9</v>
      </c>
      <c r="F86">
        <v>0</v>
      </c>
      <c r="G86">
        <v>4791124</v>
      </c>
    </row>
    <row r="87" spans="2:9" x14ac:dyDescent="0.25">
      <c r="B87" t="s">
        <v>77</v>
      </c>
      <c r="C87">
        <v>2076014</v>
      </c>
    </row>
    <row r="88" spans="2:9" x14ac:dyDescent="0.25">
      <c r="B88" t="s">
        <v>33</v>
      </c>
      <c r="C88" t="s">
        <v>5</v>
      </c>
      <c r="D88">
        <v>0.2</v>
      </c>
      <c r="E88">
        <v>-1</v>
      </c>
      <c r="F88">
        <v>0</v>
      </c>
      <c r="G88">
        <v>4865753</v>
      </c>
    </row>
    <row r="89" spans="2:9" s="14" customFormat="1" x14ac:dyDescent="0.25">
      <c r="B89" s="14" t="s">
        <v>1081</v>
      </c>
      <c r="C89" s="14" t="s">
        <v>5</v>
      </c>
      <c r="D89" s="14">
        <v>0.2</v>
      </c>
      <c r="E89" s="14">
        <v>-1</v>
      </c>
      <c r="F89" s="14">
        <v>0</v>
      </c>
      <c r="G89" s="14">
        <v>4865758</v>
      </c>
      <c r="I89" s="14" t="s">
        <v>33</v>
      </c>
    </row>
    <row r="90" spans="2:9" x14ac:dyDescent="0.25">
      <c r="B90" t="s">
        <v>78</v>
      </c>
      <c r="C90">
        <v>2076015</v>
      </c>
    </row>
    <row r="91" spans="2:9" x14ac:dyDescent="0.25">
      <c r="B91" t="s">
        <v>31</v>
      </c>
      <c r="C91" t="s">
        <v>5</v>
      </c>
      <c r="D91">
        <v>0.2</v>
      </c>
      <c r="E91">
        <v>-1</v>
      </c>
      <c r="F91">
        <v>0</v>
      </c>
      <c r="G91">
        <v>4865933</v>
      </c>
    </row>
    <row r="92" spans="2:9" x14ac:dyDescent="0.25">
      <c r="B92" t="s">
        <v>79</v>
      </c>
      <c r="C92">
        <v>2076016</v>
      </c>
    </row>
    <row r="93" spans="2:9" x14ac:dyDescent="0.25">
      <c r="B93" t="s">
        <v>33</v>
      </c>
      <c r="C93" t="s">
        <v>5</v>
      </c>
      <c r="D93">
        <v>0.2</v>
      </c>
      <c r="E93">
        <v>-1</v>
      </c>
      <c r="F93">
        <v>0</v>
      </c>
      <c r="G93">
        <v>4866054</v>
      </c>
    </row>
    <row r="94" spans="2:9" x14ac:dyDescent="0.25">
      <c r="B94" t="s">
        <v>80</v>
      </c>
      <c r="C94">
        <v>2076017</v>
      </c>
    </row>
    <row r="95" spans="2:9" x14ac:dyDescent="0.25">
      <c r="B95" t="s">
        <v>30</v>
      </c>
      <c r="C95" t="s">
        <v>5</v>
      </c>
      <c r="D95">
        <v>0.2</v>
      </c>
      <c r="E95">
        <v>-1</v>
      </c>
      <c r="F95">
        <v>0</v>
      </c>
      <c r="G95">
        <v>4865747</v>
      </c>
    </row>
    <row r="96" spans="2:9" x14ac:dyDescent="0.25">
      <c r="B96" t="s">
        <v>81</v>
      </c>
      <c r="C96">
        <v>2076018</v>
      </c>
    </row>
    <row r="97" spans="2:8" x14ac:dyDescent="0.25">
      <c r="B97" t="s">
        <v>33</v>
      </c>
      <c r="C97" t="s">
        <v>5</v>
      </c>
      <c r="D97">
        <v>0.2</v>
      </c>
      <c r="E97">
        <v>-1</v>
      </c>
      <c r="F97">
        <v>0</v>
      </c>
      <c r="G97">
        <v>4865754</v>
      </c>
    </row>
    <row r="98" spans="2:8" x14ac:dyDescent="0.25">
      <c r="B98" t="s">
        <v>82</v>
      </c>
      <c r="C98">
        <v>2076019</v>
      </c>
    </row>
    <row r="99" spans="2:8" x14ac:dyDescent="0.25">
      <c r="B99" t="s">
        <v>31</v>
      </c>
      <c r="C99" t="s">
        <v>5</v>
      </c>
      <c r="D99">
        <v>0.2</v>
      </c>
      <c r="E99">
        <v>-1</v>
      </c>
      <c r="F99">
        <v>0</v>
      </c>
      <c r="G99">
        <v>4865757</v>
      </c>
    </row>
    <row r="100" spans="2:8" x14ac:dyDescent="0.25">
      <c r="B100" t="s">
        <v>83</v>
      </c>
      <c r="C100">
        <v>2076020</v>
      </c>
    </row>
    <row r="101" spans="2:8" x14ac:dyDescent="0.25">
      <c r="B101" t="s">
        <v>28</v>
      </c>
      <c r="C101" t="s">
        <v>5</v>
      </c>
      <c r="D101">
        <v>0.2</v>
      </c>
      <c r="E101">
        <v>-1</v>
      </c>
      <c r="F101">
        <v>0</v>
      </c>
      <c r="G101">
        <v>4865755</v>
      </c>
    </row>
    <row r="102" spans="2:8" x14ac:dyDescent="0.25">
      <c r="B102" s="14" t="s">
        <v>1078</v>
      </c>
      <c r="C102" t="s">
        <v>5</v>
      </c>
      <c r="D102">
        <v>0.2</v>
      </c>
      <c r="E102">
        <v>-1</v>
      </c>
      <c r="F102">
        <v>0</v>
      </c>
      <c r="G102">
        <v>4868741</v>
      </c>
      <c r="H102" t="s">
        <v>33</v>
      </c>
    </row>
    <row r="103" spans="2:8" x14ac:dyDescent="0.25">
      <c r="B103" t="s">
        <v>85</v>
      </c>
      <c r="C103">
        <v>2076023</v>
      </c>
    </row>
    <row r="104" spans="2:8" x14ac:dyDescent="0.25">
      <c r="B104" t="s">
        <v>33</v>
      </c>
      <c r="C104" t="s">
        <v>5</v>
      </c>
      <c r="D104">
        <v>0.2</v>
      </c>
      <c r="E104">
        <v>-1</v>
      </c>
      <c r="F104">
        <v>0</v>
      </c>
      <c r="G104">
        <v>4871424</v>
      </c>
    </row>
    <row r="105" spans="2:8" x14ac:dyDescent="0.25">
      <c r="B105" t="s">
        <v>33</v>
      </c>
      <c r="C105" t="s">
        <v>5</v>
      </c>
      <c r="D105">
        <v>0.2</v>
      </c>
      <c r="E105">
        <v>-1</v>
      </c>
      <c r="F105">
        <v>0</v>
      </c>
      <c r="G105">
        <v>4871456</v>
      </c>
    </row>
    <row r="106" spans="2:8" x14ac:dyDescent="0.25">
      <c r="B106" t="s">
        <v>86</v>
      </c>
      <c r="C106">
        <v>2076024</v>
      </c>
    </row>
    <row r="107" spans="2:8" x14ac:dyDescent="0.25">
      <c r="B107" t="s">
        <v>31</v>
      </c>
      <c r="C107" t="s">
        <v>5</v>
      </c>
      <c r="D107">
        <v>0.2</v>
      </c>
      <c r="E107">
        <v>-1</v>
      </c>
      <c r="F107">
        <v>0</v>
      </c>
      <c r="G107">
        <v>4871214</v>
      </c>
    </row>
    <row r="108" spans="2:8" x14ac:dyDescent="0.25">
      <c r="B108" t="s">
        <v>87</v>
      </c>
      <c r="C108">
        <v>2076025</v>
      </c>
    </row>
    <row r="109" spans="2:8" x14ac:dyDescent="0.25">
      <c r="B109" t="s">
        <v>28</v>
      </c>
      <c r="C109" t="s">
        <v>5</v>
      </c>
      <c r="D109">
        <v>0.2</v>
      </c>
      <c r="E109">
        <v>-1</v>
      </c>
      <c r="F109">
        <v>0</v>
      </c>
      <c r="G109">
        <v>4871378</v>
      </c>
    </row>
    <row r="110" spans="2:8" x14ac:dyDescent="0.25">
      <c r="B110" t="s">
        <v>88</v>
      </c>
      <c r="C110">
        <v>2076028</v>
      </c>
    </row>
    <row r="111" spans="2:8" x14ac:dyDescent="0.25">
      <c r="B111" t="s">
        <v>28</v>
      </c>
      <c r="C111" t="s">
        <v>5</v>
      </c>
      <c r="D111">
        <v>0.2</v>
      </c>
      <c r="E111">
        <v>-1</v>
      </c>
      <c r="F111">
        <v>0</v>
      </c>
      <c r="G111">
        <v>4871481</v>
      </c>
    </row>
    <row r="112" spans="2:8" x14ac:dyDescent="0.25">
      <c r="B112" t="s">
        <v>89</v>
      </c>
      <c r="C112">
        <v>2076029</v>
      </c>
    </row>
    <row r="113" spans="2:7" x14ac:dyDescent="0.25">
      <c r="B113" t="s">
        <v>28</v>
      </c>
      <c r="C113" t="s">
        <v>5</v>
      </c>
      <c r="D113">
        <v>0.2</v>
      </c>
      <c r="E113">
        <v>-1</v>
      </c>
      <c r="F113">
        <v>0</v>
      </c>
      <c r="G113">
        <v>4871481</v>
      </c>
    </row>
    <row r="114" spans="2:7" x14ac:dyDescent="0.25">
      <c r="B114" t="s">
        <v>90</v>
      </c>
      <c r="C114">
        <v>2076043</v>
      </c>
    </row>
    <row r="115" spans="2:7" x14ac:dyDescent="0.25">
      <c r="B115" t="s">
        <v>31</v>
      </c>
      <c r="C115" t="s">
        <v>6</v>
      </c>
      <c r="D115">
        <v>-0.2</v>
      </c>
      <c r="E115">
        <v>1</v>
      </c>
      <c r="F115">
        <v>0</v>
      </c>
      <c r="G115">
        <v>4790547</v>
      </c>
    </row>
    <row r="116" spans="2:7" x14ac:dyDescent="0.25">
      <c r="B116" t="s">
        <v>91</v>
      </c>
      <c r="C116">
        <v>2076046</v>
      </c>
    </row>
    <row r="117" spans="2:7" x14ac:dyDescent="0.25">
      <c r="B117" t="s">
        <v>30</v>
      </c>
      <c r="C117" t="s">
        <v>5</v>
      </c>
      <c r="D117">
        <v>0.2</v>
      </c>
      <c r="E117">
        <v>-1</v>
      </c>
      <c r="F117">
        <v>0</v>
      </c>
      <c r="G117">
        <v>4866284</v>
      </c>
    </row>
    <row r="118" spans="2:7" x14ac:dyDescent="0.25">
      <c r="B118" t="s">
        <v>92</v>
      </c>
      <c r="C118">
        <v>2076067</v>
      </c>
    </row>
    <row r="119" spans="2:7" x14ac:dyDescent="0.25">
      <c r="B119" t="s">
        <v>803</v>
      </c>
      <c r="C119" t="s">
        <v>327</v>
      </c>
      <c r="D119">
        <v>0.4</v>
      </c>
      <c r="E119">
        <v>-0.9</v>
      </c>
      <c r="F119">
        <v>0</v>
      </c>
      <c r="G119">
        <v>5150237</v>
      </c>
    </row>
    <row r="120" spans="2:7" x14ac:dyDescent="0.25">
      <c r="B120" t="s">
        <v>93</v>
      </c>
      <c r="C120">
        <v>2076068</v>
      </c>
    </row>
    <row r="121" spans="2:7" x14ac:dyDescent="0.25">
      <c r="B121" t="s">
        <v>31</v>
      </c>
      <c r="C121" t="s">
        <v>327</v>
      </c>
      <c r="D121">
        <v>0.4</v>
      </c>
      <c r="E121">
        <v>-0.9</v>
      </c>
      <c r="F121">
        <v>0</v>
      </c>
      <c r="G121">
        <v>4785950</v>
      </c>
    </row>
    <row r="122" spans="2:7" x14ac:dyDescent="0.25">
      <c r="B122" t="s">
        <v>94</v>
      </c>
      <c r="C122">
        <v>2076069</v>
      </c>
    </row>
    <row r="123" spans="2:7" x14ac:dyDescent="0.25">
      <c r="B123" t="s">
        <v>33</v>
      </c>
      <c r="C123" t="s">
        <v>817</v>
      </c>
      <c r="D123">
        <v>-0.4</v>
      </c>
      <c r="E123">
        <v>0.9</v>
      </c>
      <c r="F123">
        <v>0</v>
      </c>
      <c r="G123">
        <v>4785949</v>
      </c>
    </row>
    <row r="124" spans="2:7" x14ac:dyDescent="0.25">
      <c r="B124" t="s">
        <v>95</v>
      </c>
      <c r="C124">
        <v>2076070</v>
      </c>
    </row>
    <row r="125" spans="2:7" x14ac:dyDescent="0.25">
      <c r="B125" t="s">
        <v>31</v>
      </c>
      <c r="C125" t="s">
        <v>327</v>
      </c>
      <c r="D125">
        <v>0.4</v>
      </c>
      <c r="E125">
        <v>-0.9</v>
      </c>
      <c r="F125">
        <v>0</v>
      </c>
      <c r="G125">
        <v>4785993</v>
      </c>
    </row>
    <row r="126" spans="2:7" x14ac:dyDescent="0.25">
      <c r="B126" t="s">
        <v>31</v>
      </c>
      <c r="C126" t="s">
        <v>327</v>
      </c>
      <c r="D126">
        <v>0.4</v>
      </c>
      <c r="E126">
        <v>-0.9</v>
      </c>
      <c r="F126">
        <v>0</v>
      </c>
      <c r="G126">
        <v>4785995</v>
      </c>
    </row>
    <row r="127" spans="2:7" x14ac:dyDescent="0.25">
      <c r="B127" t="s">
        <v>96</v>
      </c>
      <c r="C127">
        <v>2076074</v>
      </c>
    </row>
    <row r="128" spans="2:7" x14ac:dyDescent="0.25">
      <c r="B128" t="s">
        <v>27</v>
      </c>
      <c r="C128" t="s">
        <v>327</v>
      </c>
      <c r="D128">
        <v>0.4</v>
      </c>
      <c r="E128">
        <v>-0.9</v>
      </c>
      <c r="F128">
        <v>0</v>
      </c>
      <c r="G128">
        <v>4785997</v>
      </c>
    </row>
    <row r="129" spans="2:9" s="14" customFormat="1" x14ac:dyDescent="0.25">
      <c r="B129" s="14" t="s">
        <v>1081</v>
      </c>
      <c r="C129" s="14" t="s">
        <v>327</v>
      </c>
      <c r="D129" s="14">
        <v>0.4</v>
      </c>
      <c r="E129" s="14">
        <v>-0.9</v>
      </c>
      <c r="F129" s="14">
        <v>0</v>
      </c>
      <c r="G129" s="14">
        <v>4785998</v>
      </c>
      <c r="I129" s="14" t="s">
        <v>31</v>
      </c>
    </row>
    <row r="130" spans="2:9" x14ac:dyDescent="0.25">
      <c r="B130" t="s">
        <v>97</v>
      </c>
      <c r="C130">
        <v>2076086</v>
      </c>
    </row>
    <row r="131" spans="2:9" x14ac:dyDescent="0.25">
      <c r="B131" t="s">
        <v>31</v>
      </c>
      <c r="C131" t="s">
        <v>802</v>
      </c>
      <c r="D131">
        <v>-0.3</v>
      </c>
      <c r="E131">
        <v>0.9</v>
      </c>
      <c r="F131">
        <v>0</v>
      </c>
      <c r="G131">
        <v>5150071</v>
      </c>
    </row>
    <row r="132" spans="2:9" x14ac:dyDescent="0.25">
      <c r="B132" t="s">
        <v>98</v>
      </c>
      <c r="C132">
        <v>2076087</v>
      </c>
    </row>
    <row r="133" spans="2:9" x14ac:dyDescent="0.25">
      <c r="B133" t="s">
        <v>27</v>
      </c>
      <c r="C133" t="s">
        <v>802</v>
      </c>
      <c r="D133">
        <v>-0.3</v>
      </c>
      <c r="E133">
        <v>0.9</v>
      </c>
      <c r="F133">
        <v>0</v>
      </c>
      <c r="G133">
        <v>4786000</v>
      </c>
    </row>
    <row r="134" spans="2:9" x14ac:dyDescent="0.25">
      <c r="B134" t="s">
        <v>99</v>
      </c>
      <c r="C134">
        <v>2076094</v>
      </c>
    </row>
    <row r="135" spans="2:9" x14ac:dyDescent="0.25">
      <c r="B135" t="s">
        <v>27</v>
      </c>
      <c r="C135" t="s">
        <v>327</v>
      </c>
      <c r="D135">
        <v>0.4</v>
      </c>
      <c r="E135">
        <v>-0.9</v>
      </c>
      <c r="F135">
        <v>0</v>
      </c>
      <c r="G135">
        <v>5150175</v>
      </c>
    </row>
    <row r="136" spans="2:9" x14ac:dyDescent="0.25">
      <c r="B136" t="s">
        <v>100</v>
      </c>
      <c r="C136">
        <v>2076095</v>
      </c>
    </row>
    <row r="137" spans="2:9" x14ac:dyDescent="0.25">
      <c r="B137" t="s">
        <v>803</v>
      </c>
      <c r="C137" t="s">
        <v>327</v>
      </c>
      <c r="D137">
        <v>0.4</v>
      </c>
      <c r="E137">
        <v>-0.9</v>
      </c>
      <c r="F137">
        <v>0</v>
      </c>
      <c r="G137">
        <v>6507062</v>
      </c>
    </row>
    <row r="138" spans="2:9" x14ac:dyDescent="0.25">
      <c r="B138" t="s">
        <v>101</v>
      </c>
      <c r="C138">
        <v>2076097</v>
      </c>
    </row>
    <row r="139" spans="2:9" x14ac:dyDescent="0.25">
      <c r="B139" t="s">
        <v>27</v>
      </c>
      <c r="C139" t="s">
        <v>42</v>
      </c>
      <c r="D139">
        <v>0.5</v>
      </c>
      <c r="E139">
        <v>-0.8</v>
      </c>
      <c r="F139">
        <v>0</v>
      </c>
      <c r="G139">
        <v>4714352</v>
      </c>
    </row>
    <row r="140" spans="2:9" x14ac:dyDescent="0.25">
      <c r="B140" t="s">
        <v>102</v>
      </c>
      <c r="C140">
        <v>2076098</v>
      </c>
    </row>
    <row r="141" spans="2:9" x14ac:dyDescent="0.25">
      <c r="B141" t="s">
        <v>31</v>
      </c>
      <c r="C141" t="s">
        <v>42</v>
      </c>
      <c r="D141">
        <v>0.5</v>
      </c>
      <c r="E141">
        <v>-0.8</v>
      </c>
      <c r="F141">
        <v>0</v>
      </c>
      <c r="G141">
        <v>4719427</v>
      </c>
    </row>
    <row r="142" spans="2:9" x14ac:dyDescent="0.25">
      <c r="B142" t="s">
        <v>103</v>
      </c>
      <c r="C142">
        <v>2076099</v>
      </c>
    </row>
    <row r="143" spans="2:9" x14ac:dyDescent="0.25">
      <c r="B143" t="s">
        <v>27</v>
      </c>
      <c r="C143" t="s">
        <v>42</v>
      </c>
      <c r="D143">
        <v>0.5</v>
      </c>
      <c r="E143">
        <v>-0.8</v>
      </c>
      <c r="F143">
        <v>0</v>
      </c>
      <c r="G143">
        <v>5152705</v>
      </c>
    </row>
    <row r="144" spans="2:9" x14ac:dyDescent="0.25">
      <c r="B144" t="s">
        <v>803</v>
      </c>
      <c r="C144" t="s">
        <v>42</v>
      </c>
      <c r="D144">
        <v>0.5</v>
      </c>
      <c r="E144">
        <v>-0.8</v>
      </c>
      <c r="F144">
        <v>0</v>
      </c>
      <c r="G144">
        <v>6516472</v>
      </c>
    </row>
    <row r="145" spans="2:7" x14ac:dyDescent="0.25">
      <c r="B145" t="s">
        <v>104</v>
      </c>
      <c r="C145">
        <v>2076100</v>
      </c>
    </row>
    <row r="146" spans="2:7" x14ac:dyDescent="0.25">
      <c r="B146" t="s">
        <v>30</v>
      </c>
      <c r="C146" t="s">
        <v>42</v>
      </c>
      <c r="D146">
        <v>0.5</v>
      </c>
      <c r="E146">
        <v>-0.8</v>
      </c>
      <c r="F146">
        <v>0</v>
      </c>
      <c r="G146">
        <v>4713113</v>
      </c>
    </row>
    <row r="147" spans="2:7" x14ac:dyDescent="0.25">
      <c r="B147" t="s">
        <v>105</v>
      </c>
      <c r="C147">
        <v>2076102</v>
      </c>
    </row>
    <row r="148" spans="2:7" x14ac:dyDescent="0.25">
      <c r="B148" t="s">
        <v>27</v>
      </c>
      <c r="C148" t="s">
        <v>42</v>
      </c>
      <c r="D148">
        <v>0.5</v>
      </c>
      <c r="E148">
        <v>-0.8</v>
      </c>
      <c r="F148">
        <v>0</v>
      </c>
      <c r="G148">
        <v>4713198</v>
      </c>
    </row>
    <row r="149" spans="2:7" x14ac:dyDescent="0.25">
      <c r="B149" t="s">
        <v>106</v>
      </c>
      <c r="C149">
        <v>2076108</v>
      </c>
    </row>
    <row r="150" spans="2:7" x14ac:dyDescent="0.25">
      <c r="B150" t="s">
        <v>806</v>
      </c>
      <c r="C150" t="s">
        <v>327</v>
      </c>
      <c r="D150">
        <v>0.4</v>
      </c>
      <c r="E150">
        <v>-0.9</v>
      </c>
      <c r="F150">
        <v>0</v>
      </c>
      <c r="G150">
        <v>5150258</v>
      </c>
    </row>
    <row r="151" spans="2:7" x14ac:dyDescent="0.25">
      <c r="B151" t="s">
        <v>107</v>
      </c>
      <c r="C151">
        <v>2076113</v>
      </c>
    </row>
    <row r="152" spans="2:7" x14ac:dyDescent="0.25">
      <c r="B152" t="s">
        <v>31</v>
      </c>
      <c r="C152" t="s">
        <v>802</v>
      </c>
      <c r="D152">
        <v>-0.3</v>
      </c>
      <c r="E152">
        <v>0.9</v>
      </c>
      <c r="F152">
        <v>0</v>
      </c>
      <c r="G152">
        <v>4786001</v>
      </c>
    </row>
    <row r="153" spans="2:7" x14ac:dyDescent="0.25">
      <c r="B153" t="s">
        <v>108</v>
      </c>
      <c r="C153">
        <v>2076114</v>
      </c>
    </row>
    <row r="154" spans="2:7" x14ac:dyDescent="0.25">
      <c r="B154" t="s">
        <v>27</v>
      </c>
      <c r="C154" t="s">
        <v>802</v>
      </c>
      <c r="D154">
        <v>-0.3</v>
      </c>
      <c r="E154">
        <v>0.9</v>
      </c>
      <c r="F154">
        <v>0</v>
      </c>
      <c r="G154">
        <v>4785999</v>
      </c>
    </row>
    <row r="155" spans="2:7" x14ac:dyDescent="0.25">
      <c r="B155" t="s">
        <v>109</v>
      </c>
      <c r="C155">
        <v>2076115</v>
      </c>
    </row>
    <row r="156" spans="2:7" x14ac:dyDescent="0.25">
      <c r="B156" t="s">
        <v>30</v>
      </c>
      <c r="C156" t="s">
        <v>802</v>
      </c>
      <c r="D156">
        <v>-0.3</v>
      </c>
      <c r="E156">
        <v>0.9</v>
      </c>
      <c r="F156">
        <v>0</v>
      </c>
      <c r="G156">
        <v>4785992</v>
      </c>
    </row>
    <row r="157" spans="2:7" x14ac:dyDescent="0.25">
      <c r="B157" t="s">
        <v>110</v>
      </c>
      <c r="C157">
        <v>2076116</v>
      </c>
    </row>
    <row r="158" spans="2:7" x14ac:dyDescent="0.25">
      <c r="B158" t="s">
        <v>803</v>
      </c>
      <c r="C158" t="s">
        <v>802</v>
      </c>
      <c r="D158">
        <v>-0.3</v>
      </c>
      <c r="E158">
        <v>0.9</v>
      </c>
      <c r="F158">
        <v>0</v>
      </c>
      <c r="G158">
        <v>5150389</v>
      </c>
    </row>
    <row r="159" spans="2:7" x14ac:dyDescent="0.25">
      <c r="B159" t="s">
        <v>803</v>
      </c>
      <c r="C159" t="s">
        <v>802</v>
      </c>
      <c r="D159">
        <v>-0.3</v>
      </c>
      <c r="E159">
        <v>0.9</v>
      </c>
      <c r="F159">
        <v>0</v>
      </c>
      <c r="G159">
        <v>5150516</v>
      </c>
    </row>
    <row r="160" spans="2:7" x14ac:dyDescent="0.25">
      <c r="B160" t="s">
        <v>111</v>
      </c>
      <c r="C160">
        <v>2076126</v>
      </c>
    </row>
    <row r="161" spans="2:7" x14ac:dyDescent="0.25">
      <c r="B161" t="s">
        <v>31</v>
      </c>
      <c r="C161" t="s">
        <v>817</v>
      </c>
      <c r="D161">
        <v>-0.4</v>
      </c>
      <c r="E161">
        <v>0.9</v>
      </c>
      <c r="F161">
        <v>0</v>
      </c>
      <c r="G161">
        <v>4785948</v>
      </c>
    </row>
    <row r="162" spans="2:7" x14ac:dyDescent="0.25">
      <c r="B162" t="s">
        <v>112</v>
      </c>
      <c r="C162">
        <v>2076127</v>
      </c>
    </row>
    <row r="163" spans="2:7" x14ac:dyDescent="0.25">
      <c r="B163" t="s">
        <v>31</v>
      </c>
      <c r="C163" t="s">
        <v>327</v>
      </c>
      <c r="D163">
        <v>0.4</v>
      </c>
      <c r="E163">
        <v>-0.9</v>
      </c>
      <c r="F163">
        <v>0</v>
      </c>
      <c r="G163">
        <v>4785998</v>
      </c>
    </row>
    <row r="164" spans="2:7" x14ac:dyDescent="0.25">
      <c r="B164" t="s">
        <v>113</v>
      </c>
      <c r="C164">
        <v>2076138</v>
      </c>
    </row>
    <row r="165" spans="2:7" x14ac:dyDescent="0.25">
      <c r="B165" t="s">
        <v>54</v>
      </c>
      <c r="C165" t="s">
        <v>2</v>
      </c>
      <c r="D165">
        <v>1</v>
      </c>
      <c r="E165">
        <v>0.2</v>
      </c>
      <c r="F165">
        <v>0</v>
      </c>
      <c r="G165">
        <v>5570685</v>
      </c>
    </row>
    <row r="166" spans="2:7" x14ac:dyDescent="0.25">
      <c r="B166" t="s">
        <v>53</v>
      </c>
      <c r="C166" t="s">
        <v>2</v>
      </c>
      <c r="D166">
        <v>1</v>
      </c>
      <c r="E166">
        <v>0.2</v>
      </c>
      <c r="F166">
        <v>0</v>
      </c>
      <c r="G166">
        <v>5570790</v>
      </c>
    </row>
    <row r="167" spans="2:7" x14ac:dyDescent="0.25">
      <c r="B167" t="s">
        <v>114</v>
      </c>
      <c r="C167">
        <v>2076145</v>
      </c>
    </row>
    <row r="168" spans="2:7" x14ac:dyDescent="0.25">
      <c r="B168" t="s">
        <v>54</v>
      </c>
      <c r="C168" t="s">
        <v>875</v>
      </c>
      <c r="D168">
        <v>1</v>
      </c>
      <c r="E168">
        <v>0.3</v>
      </c>
      <c r="F168">
        <v>0</v>
      </c>
      <c r="G168">
        <v>5570881</v>
      </c>
    </row>
    <row r="169" spans="2:7" x14ac:dyDescent="0.25">
      <c r="B169" t="s">
        <v>116</v>
      </c>
      <c r="C169">
        <v>2076149</v>
      </c>
    </row>
    <row r="170" spans="2:7" x14ac:dyDescent="0.25">
      <c r="B170" t="s">
        <v>53</v>
      </c>
      <c r="C170" t="s">
        <v>74</v>
      </c>
      <c r="D170">
        <v>0.9</v>
      </c>
      <c r="E170">
        <v>0.5</v>
      </c>
      <c r="F170">
        <v>0</v>
      </c>
      <c r="G170">
        <v>5571741</v>
      </c>
    </row>
    <row r="171" spans="2:7" x14ac:dyDescent="0.25">
      <c r="B171" t="s">
        <v>54</v>
      </c>
      <c r="C171" t="s">
        <v>74</v>
      </c>
      <c r="D171">
        <v>0.9</v>
      </c>
      <c r="E171">
        <v>0.5</v>
      </c>
      <c r="F171">
        <v>0</v>
      </c>
      <c r="G171">
        <v>5571863</v>
      </c>
    </row>
    <row r="172" spans="2:7" x14ac:dyDescent="0.25">
      <c r="B172" t="s">
        <v>54</v>
      </c>
      <c r="C172" t="s">
        <v>74</v>
      </c>
      <c r="D172">
        <v>0.9</v>
      </c>
      <c r="E172">
        <v>0.5</v>
      </c>
      <c r="F172">
        <v>0</v>
      </c>
      <c r="G172">
        <v>5571951</v>
      </c>
    </row>
    <row r="173" spans="2:7" x14ac:dyDescent="0.25">
      <c r="B173" t="s">
        <v>118</v>
      </c>
      <c r="C173">
        <v>2076187</v>
      </c>
    </row>
    <row r="174" spans="2:7" x14ac:dyDescent="0.25">
      <c r="B174" t="s">
        <v>53</v>
      </c>
      <c r="C174" t="s">
        <v>74</v>
      </c>
      <c r="D174">
        <v>0.9</v>
      </c>
      <c r="E174">
        <v>0.5</v>
      </c>
      <c r="F174">
        <v>0</v>
      </c>
      <c r="G174">
        <v>5572304</v>
      </c>
    </row>
    <row r="175" spans="2:7" x14ac:dyDescent="0.25">
      <c r="B175" t="s">
        <v>119</v>
      </c>
      <c r="C175">
        <v>2076188</v>
      </c>
    </row>
    <row r="176" spans="2:7" x14ac:dyDescent="0.25">
      <c r="B176" t="s">
        <v>53</v>
      </c>
      <c r="C176" t="s">
        <v>74</v>
      </c>
      <c r="D176">
        <v>0.9</v>
      </c>
      <c r="E176">
        <v>0.5</v>
      </c>
      <c r="F176">
        <v>0</v>
      </c>
      <c r="G176">
        <v>5572297</v>
      </c>
    </row>
    <row r="177" spans="2:7" x14ac:dyDescent="0.25">
      <c r="B177" t="s">
        <v>120</v>
      </c>
      <c r="C177">
        <v>2076190</v>
      </c>
    </row>
    <row r="178" spans="2:7" x14ac:dyDescent="0.25">
      <c r="B178" t="s">
        <v>54</v>
      </c>
      <c r="C178" t="s">
        <v>74</v>
      </c>
      <c r="D178">
        <v>0.9</v>
      </c>
      <c r="E178">
        <v>0.5</v>
      </c>
      <c r="F178">
        <v>0</v>
      </c>
      <c r="G178">
        <v>5572331</v>
      </c>
    </row>
    <row r="179" spans="2:7" x14ac:dyDescent="0.25">
      <c r="B179" t="s">
        <v>53</v>
      </c>
      <c r="C179" t="s">
        <v>74</v>
      </c>
      <c r="D179">
        <v>0.9</v>
      </c>
      <c r="E179">
        <v>0.5</v>
      </c>
      <c r="F179">
        <v>0</v>
      </c>
      <c r="G179">
        <v>5572523</v>
      </c>
    </row>
    <row r="180" spans="2:7" x14ac:dyDescent="0.25">
      <c r="B180" t="s">
        <v>54</v>
      </c>
      <c r="C180" t="s">
        <v>74</v>
      </c>
      <c r="D180">
        <v>0.9</v>
      </c>
      <c r="E180">
        <v>0.5</v>
      </c>
      <c r="F180">
        <v>0</v>
      </c>
      <c r="G180">
        <v>5572571</v>
      </c>
    </row>
    <row r="181" spans="2:7" x14ac:dyDescent="0.25">
      <c r="B181" t="s">
        <v>121</v>
      </c>
      <c r="C181">
        <v>2076191</v>
      </c>
    </row>
    <row r="182" spans="2:7" x14ac:dyDescent="0.25">
      <c r="B182" t="s">
        <v>53</v>
      </c>
      <c r="C182" t="s">
        <v>74</v>
      </c>
      <c r="D182">
        <v>0.9</v>
      </c>
      <c r="E182">
        <v>0.5</v>
      </c>
      <c r="F182">
        <v>0</v>
      </c>
      <c r="G182">
        <v>5572752</v>
      </c>
    </row>
    <row r="183" spans="2:7" x14ac:dyDescent="0.25">
      <c r="B183" t="s">
        <v>122</v>
      </c>
      <c r="C183">
        <v>2076192</v>
      </c>
    </row>
    <row r="184" spans="2:7" x14ac:dyDescent="0.25">
      <c r="B184" t="s">
        <v>53</v>
      </c>
      <c r="C184" t="s">
        <v>74</v>
      </c>
      <c r="D184">
        <v>0.9</v>
      </c>
      <c r="E184">
        <v>0.5</v>
      </c>
      <c r="F184">
        <v>0</v>
      </c>
      <c r="G184">
        <v>5572962</v>
      </c>
    </row>
    <row r="185" spans="2:7" x14ac:dyDescent="0.25">
      <c r="B185" t="s">
        <v>54</v>
      </c>
      <c r="C185" t="s">
        <v>74</v>
      </c>
      <c r="D185">
        <v>0.9</v>
      </c>
      <c r="E185">
        <v>0.5</v>
      </c>
      <c r="F185">
        <v>0</v>
      </c>
      <c r="G185">
        <v>5573007</v>
      </c>
    </row>
    <row r="186" spans="2:7" x14ac:dyDescent="0.25">
      <c r="B186" t="s">
        <v>123</v>
      </c>
      <c r="C186">
        <v>2076194</v>
      </c>
    </row>
    <row r="187" spans="2:7" x14ac:dyDescent="0.25">
      <c r="B187" t="s">
        <v>53</v>
      </c>
      <c r="C187" t="s">
        <v>74</v>
      </c>
      <c r="D187">
        <v>0.9</v>
      </c>
      <c r="E187">
        <v>0.5</v>
      </c>
      <c r="F187">
        <v>0</v>
      </c>
      <c r="G187">
        <v>5572601</v>
      </c>
    </row>
    <row r="188" spans="2:7" x14ac:dyDescent="0.25">
      <c r="B188" t="s">
        <v>124</v>
      </c>
      <c r="C188">
        <v>2076213</v>
      </c>
    </row>
    <row r="189" spans="2:7" x14ac:dyDescent="0.25">
      <c r="B189" t="s">
        <v>54</v>
      </c>
      <c r="C189" t="s">
        <v>2</v>
      </c>
      <c r="D189">
        <v>1</v>
      </c>
      <c r="E189">
        <v>0.2</v>
      </c>
      <c r="F189">
        <v>0</v>
      </c>
      <c r="G189">
        <v>5565362</v>
      </c>
    </row>
    <row r="190" spans="2:7" x14ac:dyDescent="0.25">
      <c r="B190" t="s">
        <v>125</v>
      </c>
      <c r="C190">
        <v>2076216</v>
      </c>
    </row>
    <row r="191" spans="2:7" x14ac:dyDescent="0.25">
      <c r="B191" t="s">
        <v>126</v>
      </c>
      <c r="C191" t="s">
        <v>2</v>
      </c>
      <c r="D191">
        <v>1</v>
      </c>
      <c r="E191">
        <v>0.2</v>
      </c>
      <c r="F191">
        <v>0</v>
      </c>
      <c r="G191">
        <v>5565158</v>
      </c>
    </row>
    <row r="192" spans="2:7" x14ac:dyDescent="0.25">
      <c r="B192" t="s">
        <v>127</v>
      </c>
      <c r="C192">
        <v>2076217</v>
      </c>
    </row>
    <row r="193" spans="2:7" x14ac:dyDescent="0.25">
      <c r="B193" t="s">
        <v>54</v>
      </c>
      <c r="C193" t="s">
        <v>2</v>
      </c>
      <c r="D193">
        <v>1</v>
      </c>
      <c r="E193">
        <v>0.2</v>
      </c>
      <c r="F193">
        <v>0</v>
      </c>
      <c r="G193">
        <v>5565147</v>
      </c>
    </row>
    <row r="194" spans="2:7" x14ac:dyDescent="0.25">
      <c r="B194" t="s">
        <v>128</v>
      </c>
      <c r="C194">
        <v>2076219</v>
      </c>
    </row>
    <row r="195" spans="2:7" x14ac:dyDescent="0.25">
      <c r="B195" t="s">
        <v>53</v>
      </c>
      <c r="C195" t="s">
        <v>2</v>
      </c>
      <c r="D195">
        <v>1</v>
      </c>
      <c r="E195">
        <v>0.2</v>
      </c>
      <c r="F195">
        <v>0</v>
      </c>
      <c r="G195">
        <v>5565146</v>
      </c>
    </row>
    <row r="196" spans="2:7" x14ac:dyDescent="0.25">
      <c r="B196" t="s">
        <v>129</v>
      </c>
      <c r="C196">
        <v>2076221</v>
      </c>
    </row>
    <row r="197" spans="2:7" x14ac:dyDescent="0.25">
      <c r="B197" t="s">
        <v>54</v>
      </c>
      <c r="C197" t="s">
        <v>2</v>
      </c>
      <c r="D197">
        <v>1</v>
      </c>
      <c r="E197">
        <v>0.2</v>
      </c>
      <c r="F197">
        <v>0</v>
      </c>
      <c r="G197">
        <v>5257326</v>
      </c>
    </row>
    <row r="198" spans="2:7" x14ac:dyDescent="0.25">
      <c r="B198" t="s">
        <v>130</v>
      </c>
      <c r="C198">
        <v>2076223</v>
      </c>
    </row>
    <row r="199" spans="2:7" x14ac:dyDescent="0.25">
      <c r="B199" t="s">
        <v>54</v>
      </c>
      <c r="C199" t="s">
        <v>2</v>
      </c>
      <c r="D199">
        <v>1</v>
      </c>
      <c r="E199">
        <v>0.2</v>
      </c>
      <c r="F199">
        <v>0</v>
      </c>
      <c r="G199">
        <v>5587904</v>
      </c>
    </row>
    <row r="200" spans="2:7" x14ac:dyDescent="0.25">
      <c r="B200" t="s">
        <v>131</v>
      </c>
      <c r="C200">
        <v>2076248</v>
      </c>
    </row>
    <row r="201" spans="2:7" x14ac:dyDescent="0.25">
      <c r="B201" t="s">
        <v>126</v>
      </c>
      <c r="C201" t="s">
        <v>2</v>
      </c>
      <c r="D201">
        <v>1</v>
      </c>
      <c r="E201">
        <v>0.2</v>
      </c>
      <c r="F201">
        <v>0</v>
      </c>
      <c r="G201">
        <v>5565261</v>
      </c>
    </row>
    <row r="202" spans="2:7" x14ac:dyDescent="0.25">
      <c r="B202" t="s">
        <v>54</v>
      </c>
      <c r="C202" t="s">
        <v>2</v>
      </c>
      <c r="D202">
        <v>1</v>
      </c>
      <c r="E202">
        <v>0.2</v>
      </c>
      <c r="F202">
        <v>0</v>
      </c>
      <c r="G202">
        <v>5565613</v>
      </c>
    </row>
    <row r="203" spans="2:7" x14ac:dyDescent="0.25">
      <c r="B203" t="s">
        <v>876</v>
      </c>
      <c r="C203">
        <v>2076487</v>
      </c>
    </row>
    <row r="204" spans="2:7" x14ac:dyDescent="0.25">
      <c r="B204" t="s">
        <v>797</v>
      </c>
      <c r="C204" t="s">
        <v>5</v>
      </c>
      <c r="D204">
        <v>0.2</v>
      </c>
      <c r="E204">
        <v>-1</v>
      </c>
      <c r="F204">
        <v>0</v>
      </c>
      <c r="G204">
        <v>6645376</v>
      </c>
    </row>
    <row r="205" spans="2:7" x14ac:dyDescent="0.25">
      <c r="B205" t="s">
        <v>132</v>
      </c>
      <c r="C205">
        <v>2076528</v>
      </c>
    </row>
    <row r="206" spans="2:7" x14ac:dyDescent="0.25">
      <c r="B206" t="s">
        <v>54</v>
      </c>
      <c r="C206" t="s">
        <v>2</v>
      </c>
      <c r="D206">
        <v>1</v>
      </c>
      <c r="E206">
        <v>0.2</v>
      </c>
      <c r="F206">
        <v>0</v>
      </c>
      <c r="G206">
        <v>5565768</v>
      </c>
    </row>
    <row r="207" spans="2:7" x14ac:dyDescent="0.25">
      <c r="B207" t="s">
        <v>54</v>
      </c>
      <c r="C207" t="s">
        <v>2</v>
      </c>
      <c r="D207">
        <v>1</v>
      </c>
      <c r="E207">
        <v>0.2</v>
      </c>
      <c r="F207">
        <v>0</v>
      </c>
      <c r="G207">
        <v>5565856</v>
      </c>
    </row>
    <row r="208" spans="2:7" x14ac:dyDescent="0.25">
      <c r="B208" t="s">
        <v>133</v>
      </c>
      <c r="C208">
        <v>2076536</v>
      </c>
    </row>
    <row r="209" spans="2:7" x14ac:dyDescent="0.25">
      <c r="B209" t="s">
        <v>30</v>
      </c>
      <c r="C209" t="s">
        <v>5</v>
      </c>
      <c r="D209">
        <v>0.2</v>
      </c>
      <c r="E209">
        <v>-1</v>
      </c>
      <c r="F209">
        <v>0</v>
      </c>
      <c r="G209">
        <v>4928951</v>
      </c>
    </row>
    <row r="210" spans="2:7" x14ac:dyDescent="0.25">
      <c r="B210" t="s">
        <v>33</v>
      </c>
      <c r="C210" t="s">
        <v>5</v>
      </c>
      <c r="D210">
        <v>0.2</v>
      </c>
      <c r="E210">
        <v>-1</v>
      </c>
      <c r="F210">
        <v>0</v>
      </c>
      <c r="G210">
        <v>4928953</v>
      </c>
    </row>
    <row r="211" spans="2:7" x14ac:dyDescent="0.25">
      <c r="B211" t="s">
        <v>134</v>
      </c>
      <c r="C211">
        <v>2076537</v>
      </c>
    </row>
    <row r="212" spans="2:7" x14ac:dyDescent="0.25">
      <c r="B212" t="s">
        <v>33</v>
      </c>
      <c r="C212" t="s">
        <v>5</v>
      </c>
      <c r="D212">
        <v>0.2</v>
      </c>
      <c r="E212">
        <v>-1</v>
      </c>
      <c r="F212">
        <v>0</v>
      </c>
      <c r="G212">
        <v>4928949</v>
      </c>
    </row>
    <row r="213" spans="2:7" x14ac:dyDescent="0.25">
      <c r="B213" t="s">
        <v>135</v>
      </c>
      <c r="C213">
        <v>2076538</v>
      </c>
    </row>
    <row r="214" spans="2:7" x14ac:dyDescent="0.25">
      <c r="B214" t="s">
        <v>30</v>
      </c>
      <c r="C214" t="s">
        <v>5</v>
      </c>
      <c r="D214">
        <v>0.2</v>
      </c>
      <c r="E214">
        <v>-1</v>
      </c>
      <c r="F214">
        <v>0</v>
      </c>
      <c r="G214">
        <v>4928950</v>
      </c>
    </row>
    <row r="215" spans="2:7" x14ac:dyDescent="0.25">
      <c r="B215" t="s">
        <v>136</v>
      </c>
      <c r="C215">
        <v>2076548</v>
      </c>
    </row>
    <row r="216" spans="2:7" x14ac:dyDescent="0.25">
      <c r="B216" t="s">
        <v>33</v>
      </c>
      <c r="C216" t="s">
        <v>5</v>
      </c>
      <c r="D216">
        <v>0.2</v>
      </c>
      <c r="E216">
        <v>-1</v>
      </c>
      <c r="F216">
        <v>0</v>
      </c>
      <c r="G216">
        <v>4928952</v>
      </c>
    </row>
    <row r="217" spans="2:7" x14ac:dyDescent="0.25">
      <c r="B217" t="s">
        <v>137</v>
      </c>
      <c r="C217">
        <v>2076552</v>
      </c>
    </row>
    <row r="218" spans="2:7" x14ac:dyDescent="0.25">
      <c r="B218" t="s">
        <v>54</v>
      </c>
      <c r="C218" t="s">
        <v>2</v>
      </c>
      <c r="D218">
        <v>1</v>
      </c>
      <c r="E218">
        <v>0.2</v>
      </c>
      <c r="F218">
        <v>0</v>
      </c>
      <c r="G218">
        <v>5257101</v>
      </c>
    </row>
    <row r="219" spans="2:7" x14ac:dyDescent="0.25">
      <c r="B219" t="s">
        <v>54</v>
      </c>
      <c r="C219" t="s">
        <v>2</v>
      </c>
      <c r="D219">
        <v>1</v>
      </c>
      <c r="E219">
        <v>0.2</v>
      </c>
      <c r="F219">
        <v>0</v>
      </c>
      <c r="G219">
        <v>5565114</v>
      </c>
    </row>
    <row r="220" spans="2:7" x14ac:dyDescent="0.25">
      <c r="B220" t="s">
        <v>138</v>
      </c>
      <c r="C220">
        <v>2076553</v>
      </c>
    </row>
    <row r="221" spans="2:7" x14ac:dyDescent="0.25">
      <c r="B221" t="s">
        <v>54</v>
      </c>
      <c r="C221" t="s">
        <v>2</v>
      </c>
      <c r="D221">
        <v>1</v>
      </c>
      <c r="E221">
        <v>0.2</v>
      </c>
      <c r="F221">
        <v>0</v>
      </c>
      <c r="G221">
        <v>5257191</v>
      </c>
    </row>
    <row r="222" spans="2:7" x14ac:dyDescent="0.25">
      <c r="B222" t="s">
        <v>54</v>
      </c>
      <c r="C222" t="s">
        <v>2</v>
      </c>
      <c r="D222">
        <v>1</v>
      </c>
      <c r="E222">
        <v>0.2</v>
      </c>
      <c r="F222">
        <v>0</v>
      </c>
      <c r="G222">
        <v>5257236</v>
      </c>
    </row>
    <row r="223" spans="2:7" x14ac:dyDescent="0.25">
      <c r="B223" t="s">
        <v>139</v>
      </c>
      <c r="C223">
        <v>2076554</v>
      </c>
    </row>
    <row r="224" spans="2:7" x14ac:dyDescent="0.25">
      <c r="B224" t="s">
        <v>54</v>
      </c>
      <c r="C224" t="s">
        <v>2</v>
      </c>
      <c r="D224">
        <v>1</v>
      </c>
      <c r="E224">
        <v>0.2</v>
      </c>
      <c r="F224">
        <v>0</v>
      </c>
      <c r="G224">
        <v>5565134</v>
      </c>
    </row>
    <row r="225" spans="2:10" x14ac:dyDescent="0.25">
      <c r="B225" t="s">
        <v>140</v>
      </c>
      <c r="C225">
        <v>2076558</v>
      </c>
    </row>
    <row r="226" spans="2:10" x14ac:dyDescent="0.25">
      <c r="B226" t="s">
        <v>53</v>
      </c>
      <c r="C226" t="s">
        <v>2</v>
      </c>
      <c r="D226">
        <v>1</v>
      </c>
      <c r="E226">
        <v>0.2</v>
      </c>
      <c r="F226">
        <v>0</v>
      </c>
      <c r="G226">
        <v>5256497</v>
      </c>
    </row>
    <row r="227" spans="2:10" x14ac:dyDescent="0.25">
      <c r="B227" t="s">
        <v>53</v>
      </c>
      <c r="C227" t="s">
        <v>2</v>
      </c>
      <c r="D227">
        <v>1</v>
      </c>
      <c r="E227">
        <v>0.2</v>
      </c>
      <c r="F227">
        <v>0</v>
      </c>
      <c r="G227">
        <v>5256558</v>
      </c>
    </row>
    <row r="228" spans="2:10" x14ac:dyDescent="0.25">
      <c r="B228" t="s">
        <v>877</v>
      </c>
      <c r="C228">
        <v>2133822</v>
      </c>
    </row>
    <row r="229" spans="2:10" x14ac:dyDescent="0.25">
      <c r="B229" t="s">
        <v>54</v>
      </c>
      <c r="C229" t="s">
        <v>2</v>
      </c>
      <c r="D229">
        <v>1</v>
      </c>
      <c r="E229">
        <v>0.2</v>
      </c>
      <c r="F229">
        <v>0</v>
      </c>
      <c r="G229">
        <v>5570601</v>
      </c>
    </row>
    <row r="230" spans="2:10" x14ac:dyDescent="0.25">
      <c r="B230" t="s">
        <v>786</v>
      </c>
      <c r="C230" t="s">
        <v>5</v>
      </c>
      <c r="D230">
        <v>0.2</v>
      </c>
      <c r="E230">
        <v>-1</v>
      </c>
      <c r="F230">
        <v>0</v>
      </c>
      <c r="G230">
        <v>6319383</v>
      </c>
    </row>
    <row r="231" spans="2:10" x14ac:dyDescent="0.25">
      <c r="B231" t="s">
        <v>840</v>
      </c>
      <c r="C231" t="s">
        <v>5</v>
      </c>
      <c r="D231">
        <v>0.2</v>
      </c>
      <c r="E231">
        <v>-1</v>
      </c>
      <c r="F231">
        <v>0</v>
      </c>
      <c r="G231">
        <v>6319652</v>
      </c>
    </row>
    <row r="232" spans="2:10" x14ac:dyDescent="0.25">
      <c r="B232" t="s">
        <v>840</v>
      </c>
      <c r="C232" t="s">
        <v>5</v>
      </c>
      <c r="D232">
        <v>0.2</v>
      </c>
      <c r="E232">
        <v>-1</v>
      </c>
      <c r="F232">
        <v>0</v>
      </c>
      <c r="G232">
        <v>6319811</v>
      </c>
    </row>
    <row r="233" spans="2:10" x14ac:dyDescent="0.25">
      <c r="B233" t="s">
        <v>878</v>
      </c>
      <c r="C233">
        <v>2139536</v>
      </c>
    </row>
    <row r="234" spans="2:10" x14ac:dyDescent="0.25">
      <c r="B234" t="s">
        <v>786</v>
      </c>
      <c r="C234" t="s">
        <v>1</v>
      </c>
      <c r="D234">
        <v>-1</v>
      </c>
      <c r="E234">
        <v>-0.2</v>
      </c>
      <c r="F234">
        <v>0</v>
      </c>
      <c r="G234">
        <v>6644841</v>
      </c>
    </row>
    <row r="235" spans="2:10" x14ac:dyDescent="0.25">
      <c r="B235" t="s">
        <v>840</v>
      </c>
      <c r="C235" t="s">
        <v>5</v>
      </c>
      <c r="D235">
        <v>0.2</v>
      </c>
      <c r="E235">
        <v>-1</v>
      </c>
      <c r="F235">
        <v>0</v>
      </c>
      <c r="G235">
        <v>6645412</v>
      </c>
    </row>
    <row r="236" spans="2:10" x14ac:dyDescent="0.25">
      <c r="B236" t="s">
        <v>141</v>
      </c>
      <c r="C236">
        <v>2201531</v>
      </c>
    </row>
    <row r="237" spans="2:10" x14ac:dyDescent="0.25">
      <c r="B237" t="s">
        <v>30</v>
      </c>
      <c r="C237" t="s">
        <v>815</v>
      </c>
      <c r="D237">
        <v>-0.5</v>
      </c>
      <c r="E237">
        <v>0.8</v>
      </c>
      <c r="F237">
        <v>0</v>
      </c>
      <c r="G237">
        <v>6091418</v>
      </c>
    </row>
    <row r="238" spans="2:10" x14ac:dyDescent="0.25">
      <c r="B238" t="s">
        <v>142</v>
      </c>
      <c r="C238">
        <v>2201533</v>
      </c>
    </row>
    <row r="239" spans="2:10" s="14" customFormat="1" x14ac:dyDescent="0.25">
      <c r="B239" s="14" t="s">
        <v>1078</v>
      </c>
      <c r="C239" s="14" t="s">
        <v>815</v>
      </c>
      <c r="D239" s="14">
        <v>-0.5</v>
      </c>
      <c r="E239" s="14">
        <v>0.8</v>
      </c>
      <c r="F239" s="14">
        <v>0</v>
      </c>
      <c r="G239" s="14">
        <v>6091414</v>
      </c>
      <c r="I239" s="14" t="s">
        <v>1080</v>
      </c>
      <c r="J239" s="14" t="s">
        <v>28</v>
      </c>
    </row>
    <row r="240" spans="2:10" x14ac:dyDescent="0.25">
      <c r="B240" t="s">
        <v>33</v>
      </c>
      <c r="C240" t="s">
        <v>815</v>
      </c>
      <c r="D240">
        <v>-0.5</v>
      </c>
      <c r="E240">
        <v>0.8</v>
      </c>
      <c r="F240">
        <v>0</v>
      </c>
      <c r="G240">
        <v>6091444</v>
      </c>
    </row>
    <row r="241" spans="2:8" x14ac:dyDescent="0.25">
      <c r="B241" s="14" t="s">
        <v>1059</v>
      </c>
      <c r="C241" s="14" t="s">
        <v>847</v>
      </c>
      <c r="D241" s="14">
        <v>-0.5</v>
      </c>
      <c r="E241" s="14">
        <v>0.8</v>
      </c>
      <c r="F241" s="14">
        <v>0</v>
      </c>
      <c r="G241" s="14" t="s">
        <v>1058</v>
      </c>
      <c r="H241" t="s">
        <v>1055</v>
      </c>
    </row>
    <row r="242" spans="2:8" x14ac:dyDescent="0.25">
      <c r="B242" t="s">
        <v>143</v>
      </c>
      <c r="C242">
        <v>2201535</v>
      </c>
    </row>
    <row r="243" spans="2:8" x14ac:dyDescent="0.25">
      <c r="B243" t="s">
        <v>33</v>
      </c>
      <c r="C243" t="s">
        <v>815</v>
      </c>
      <c r="D243">
        <v>-0.5</v>
      </c>
      <c r="E243">
        <v>0.8</v>
      </c>
      <c r="F243">
        <v>0</v>
      </c>
      <c r="G243">
        <v>6091421</v>
      </c>
    </row>
    <row r="244" spans="2:8" x14ac:dyDescent="0.25">
      <c r="B244" t="s">
        <v>144</v>
      </c>
      <c r="C244">
        <v>2201537</v>
      </c>
    </row>
    <row r="245" spans="2:8" x14ac:dyDescent="0.25">
      <c r="B245" t="s">
        <v>28</v>
      </c>
      <c r="C245" t="s">
        <v>5</v>
      </c>
      <c r="D245">
        <v>0.2</v>
      </c>
      <c r="E245">
        <v>-1</v>
      </c>
      <c r="F245">
        <v>0</v>
      </c>
      <c r="G245">
        <v>4865752</v>
      </c>
    </row>
    <row r="246" spans="2:8" x14ac:dyDescent="0.25">
      <c r="B246" t="s">
        <v>153</v>
      </c>
      <c r="C246">
        <v>2201539</v>
      </c>
    </row>
    <row r="247" spans="2:8" x14ac:dyDescent="0.25">
      <c r="B247" t="s">
        <v>27</v>
      </c>
      <c r="C247" t="s">
        <v>802</v>
      </c>
      <c r="D247">
        <v>-0.3</v>
      </c>
      <c r="E247">
        <v>0.9</v>
      </c>
      <c r="F247">
        <v>0</v>
      </c>
      <c r="G247">
        <v>5150117</v>
      </c>
    </row>
    <row r="248" spans="2:8" x14ac:dyDescent="0.25">
      <c r="B248" t="s">
        <v>154</v>
      </c>
      <c r="C248">
        <v>2201547</v>
      </c>
    </row>
    <row r="249" spans="2:8" x14ac:dyDescent="0.25">
      <c r="B249" t="s">
        <v>840</v>
      </c>
      <c r="C249" t="s">
        <v>7</v>
      </c>
      <c r="D249">
        <v>-0.9</v>
      </c>
      <c r="E249">
        <v>-0.5</v>
      </c>
      <c r="F249">
        <v>0</v>
      </c>
      <c r="G249">
        <v>6103760</v>
      </c>
    </row>
    <row r="250" spans="2:8" x14ac:dyDescent="0.25">
      <c r="B250" t="s">
        <v>840</v>
      </c>
      <c r="C250" t="s">
        <v>7</v>
      </c>
      <c r="D250">
        <v>-0.9</v>
      </c>
      <c r="E250">
        <v>-0.5</v>
      </c>
      <c r="F250">
        <v>0</v>
      </c>
      <c r="G250">
        <v>6103866</v>
      </c>
    </row>
    <row r="251" spans="2:8" x14ac:dyDescent="0.25">
      <c r="B251" t="s">
        <v>786</v>
      </c>
      <c r="C251" t="s">
        <v>7</v>
      </c>
      <c r="D251">
        <v>-0.9</v>
      </c>
      <c r="E251">
        <v>-0.5</v>
      </c>
      <c r="F251">
        <v>0</v>
      </c>
      <c r="G251">
        <v>6103895</v>
      </c>
    </row>
    <row r="252" spans="2:8" x14ac:dyDescent="0.25">
      <c r="B252" t="s">
        <v>840</v>
      </c>
      <c r="C252" t="s">
        <v>7</v>
      </c>
      <c r="D252">
        <v>-0.9</v>
      </c>
      <c r="E252">
        <v>-0.5</v>
      </c>
      <c r="F252">
        <v>0</v>
      </c>
      <c r="G252">
        <v>6304437</v>
      </c>
    </row>
    <row r="253" spans="2:8" x14ac:dyDescent="0.25">
      <c r="B253" t="s">
        <v>840</v>
      </c>
      <c r="C253" t="s">
        <v>7</v>
      </c>
      <c r="D253">
        <v>-0.9</v>
      </c>
      <c r="E253">
        <v>-0.5</v>
      </c>
      <c r="F253">
        <v>0</v>
      </c>
      <c r="G253">
        <v>6304438</v>
      </c>
    </row>
    <row r="254" spans="2:8" x14ac:dyDescent="0.25">
      <c r="B254" t="s">
        <v>840</v>
      </c>
      <c r="C254" t="s">
        <v>7</v>
      </c>
      <c r="D254">
        <v>-0.9</v>
      </c>
      <c r="E254">
        <v>-0.5</v>
      </c>
      <c r="F254">
        <v>0</v>
      </c>
      <c r="G254">
        <v>6305126</v>
      </c>
    </row>
    <row r="255" spans="2:8" x14ac:dyDescent="0.25">
      <c r="B255" t="s">
        <v>155</v>
      </c>
      <c r="C255">
        <v>2217966</v>
      </c>
    </row>
    <row r="256" spans="2:8" x14ac:dyDescent="0.25">
      <c r="B256" t="s">
        <v>786</v>
      </c>
      <c r="C256" t="s">
        <v>117</v>
      </c>
      <c r="D256">
        <v>0.5</v>
      </c>
      <c r="E256">
        <v>-0.9</v>
      </c>
      <c r="F256">
        <v>0</v>
      </c>
      <c r="G256">
        <v>6304433</v>
      </c>
    </row>
    <row r="257" spans="2:8" x14ac:dyDescent="0.25">
      <c r="B257" t="s">
        <v>840</v>
      </c>
      <c r="C257" t="s">
        <v>117</v>
      </c>
      <c r="D257">
        <v>0.5</v>
      </c>
      <c r="E257">
        <v>-0.9</v>
      </c>
      <c r="F257">
        <v>0</v>
      </c>
      <c r="G257">
        <v>6304436</v>
      </c>
    </row>
    <row r="258" spans="2:8" x14ac:dyDescent="0.25">
      <c r="B258" t="s">
        <v>840</v>
      </c>
      <c r="C258" t="s">
        <v>117</v>
      </c>
      <c r="D258">
        <v>0.5</v>
      </c>
      <c r="E258">
        <v>-0.9</v>
      </c>
      <c r="F258">
        <v>0</v>
      </c>
      <c r="G258">
        <v>6694216</v>
      </c>
    </row>
    <row r="259" spans="2:8" x14ac:dyDescent="0.25">
      <c r="B259" t="s">
        <v>147</v>
      </c>
      <c r="C259">
        <v>2260983</v>
      </c>
    </row>
    <row r="260" spans="2:8" x14ac:dyDescent="0.25">
      <c r="B260" t="s">
        <v>31</v>
      </c>
      <c r="C260" t="s">
        <v>5</v>
      </c>
      <c r="D260">
        <v>0.2</v>
      </c>
      <c r="E260">
        <v>-1</v>
      </c>
      <c r="F260">
        <v>0</v>
      </c>
      <c r="G260">
        <v>4870863</v>
      </c>
    </row>
    <row r="261" spans="2:8" x14ac:dyDescent="0.25">
      <c r="B261" s="14" t="s">
        <v>1059</v>
      </c>
      <c r="C261" s="14" t="s">
        <v>5</v>
      </c>
      <c r="D261" s="14">
        <v>0.2</v>
      </c>
      <c r="E261" s="14">
        <v>-1</v>
      </c>
      <c r="F261" s="14">
        <v>0</v>
      </c>
      <c r="G261" s="14" t="s">
        <v>1058</v>
      </c>
      <c r="H261" t="s">
        <v>1055</v>
      </c>
    </row>
    <row r="262" spans="2:8" x14ac:dyDescent="0.25">
      <c r="B262" t="s">
        <v>156</v>
      </c>
      <c r="C262">
        <v>2260985</v>
      </c>
    </row>
    <row r="263" spans="2:8" x14ac:dyDescent="0.25">
      <c r="B263" t="s">
        <v>31</v>
      </c>
      <c r="C263" t="s">
        <v>5</v>
      </c>
      <c r="D263">
        <v>0.2</v>
      </c>
      <c r="E263">
        <v>-1</v>
      </c>
      <c r="F263">
        <v>0</v>
      </c>
      <c r="G263">
        <v>4929823</v>
      </c>
    </row>
    <row r="264" spans="2:8" x14ac:dyDescent="0.25">
      <c r="B264" t="s">
        <v>28</v>
      </c>
      <c r="C264" t="s">
        <v>5</v>
      </c>
      <c r="D264">
        <v>0.2</v>
      </c>
      <c r="E264">
        <v>-1</v>
      </c>
      <c r="F264">
        <v>0</v>
      </c>
      <c r="G264">
        <v>4929827</v>
      </c>
    </row>
    <row r="265" spans="2:8" x14ac:dyDescent="0.25">
      <c r="B265" t="s">
        <v>158</v>
      </c>
      <c r="C265">
        <v>2261490</v>
      </c>
    </row>
    <row r="266" spans="2:8" x14ac:dyDescent="0.25">
      <c r="B266" t="s">
        <v>803</v>
      </c>
      <c r="C266" t="s">
        <v>327</v>
      </c>
      <c r="D266">
        <v>0.4</v>
      </c>
      <c r="E266">
        <v>-0.9</v>
      </c>
      <c r="F266">
        <v>0</v>
      </c>
      <c r="G266">
        <v>5150237</v>
      </c>
    </row>
    <row r="267" spans="2:8" x14ac:dyDescent="0.25">
      <c r="B267" t="s">
        <v>806</v>
      </c>
      <c r="C267" t="s">
        <v>327</v>
      </c>
      <c r="D267">
        <v>0.4</v>
      </c>
      <c r="E267">
        <v>-0.9</v>
      </c>
      <c r="F267">
        <v>0</v>
      </c>
      <c r="G267">
        <v>5150258</v>
      </c>
    </row>
    <row r="268" spans="2:8" x14ac:dyDescent="0.25">
      <c r="B268" t="s">
        <v>803</v>
      </c>
      <c r="C268" t="s">
        <v>802</v>
      </c>
      <c r="D268">
        <v>-0.3</v>
      </c>
      <c r="E268">
        <v>0.9</v>
      </c>
      <c r="F268">
        <v>0</v>
      </c>
      <c r="G268">
        <v>5150389</v>
      </c>
    </row>
    <row r="269" spans="2:8" x14ac:dyDescent="0.25">
      <c r="B269" t="s">
        <v>803</v>
      </c>
      <c r="C269" t="s">
        <v>802</v>
      </c>
      <c r="D269">
        <v>-0.3</v>
      </c>
      <c r="E269">
        <v>0.9</v>
      </c>
      <c r="F269">
        <v>0</v>
      </c>
      <c r="G269">
        <v>5150516</v>
      </c>
    </row>
    <row r="270" spans="2:8" x14ac:dyDescent="0.25">
      <c r="B270" t="s">
        <v>806</v>
      </c>
      <c r="C270" t="s">
        <v>42</v>
      </c>
      <c r="D270">
        <v>0.5</v>
      </c>
      <c r="E270">
        <v>-0.8</v>
      </c>
      <c r="F270">
        <v>0</v>
      </c>
      <c r="G270">
        <v>5152703</v>
      </c>
    </row>
    <row r="271" spans="2:8" x14ac:dyDescent="0.25">
      <c r="B271" t="s">
        <v>27</v>
      </c>
      <c r="C271" t="s">
        <v>42</v>
      </c>
      <c r="D271">
        <v>0.5</v>
      </c>
      <c r="E271">
        <v>-0.8</v>
      </c>
      <c r="F271">
        <v>0</v>
      </c>
      <c r="G271">
        <v>5152705</v>
      </c>
    </row>
    <row r="272" spans="2:8" x14ac:dyDescent="0.25">
      <c r="B272" t="s">
        <v>803</v>
      </c>
      <c r="C272" t="s">
        <v>327</v>
      </c>
      <c r="D272">
        <v>0.4</v>
      </c>
      <c r="E272">
        <v>-0.9</v>
      </c>
      <c r="F272">
        <v>0</v>
      </c>
      <c r="G272">
        <v>6507062</v>
      </c>
    </row>
    <row r="273" spans="2:7" x14ac:dyDescent="0.25">
      <c r="B273" t="s">
        <v>803</v>
      </c>
      <c r="C273" t="s">
        <v>42</v>
      </c>
      <c r="D273">
        <v>0.5</v>
      </c>
      <c r="E273">
        <v>-0.8</v>
      </c>
      <c r="F273">
        <v>0</v>
      </c>
      <c r="G273">
        <v>6516472</v>
      </c>
    </row>
    <row r="274" spans="2:7" x14ac:dyDescent="0.25">
      <c r="B274" t="s">
        <v>803</v>
      </c>
      <c r="C274" t="s">
        <v>42</v>
      </c>
      <c r="D274">
        <v>0.5</v>
      </c>
      <c r="E274">
        <v>-0.8</v>
      </c>
      <c r="F274">
        <v>0</v>
      </c>
      <c r="G274">
        <v>6524120</v>
      </c>
    </row>
    <row r="275" spans="2:7" x14ac:dyDescent="0.25">
      <c r="B275" t="s">
        <v>879</v>
      </c>
      <c r="C275">
        <v>2261492</v>
      </c>
    </row>
    <row r="276" spans="2:7" x14ac:dyDescent="0.25">
      <c r="B276" t="s">
        <v>786</v>
      </c>
      <c r="C276" t="s">
        <v>1</v>
      </c>
      <c r="D276">
        <v>-1</v>
      </c>
      <c r="E276">
        <v>-0.2</v>
      </c>
      <c r="F276">
        <v>0</v>
      </c>
      <c r="G276">
        <v>6644841</v>
      </c>
    </row>
    <row r="277" spans="2:7" x14ac:dyDescent="0.25">
      <c r="B277" t="s">
        <v>786</v>
      </c>
      <c r="C277" t="s">
        <v>1</v>
      </c>
      <c r="D277">
        <v>-1</v>
      </c>
      <c r="E277">
        <v>-0.2</v>
      </c>
      <c r="F277">
        <v>0</v>
      </c>
      <c r="G277">
        <v>6644884</v>
      </c>
    </row>
    <row r="278" spans="2:7" x14ac:dyDescent="0.25">
      <c r="B278" t="s">
        <v>797</v>
      </c>
      <c r="C278" t="s">
        <v>1</v>
      </c>
      <c r="D278">
        <v>-1</v>
      </c>
      <c r="E278">
        <v>-0.2</v>
      </c>
      <c r="F278">
        <v>0</v>
      </c>
      <c r="G278">
        <v>6644933</v>
      </c>
    </row>
    <row r="279" spans="2:7" x14ac:dyDescent="0.25">
      <c r="B279" t="s">
        <v>840</v>
      </c>
      <c r="C279" t="s">
        <v>1</v>
      </c>
      <c r="D279">
        <v>-1</v>
      </c>
      <c r="E279">
        <v>-0.2</v>
      </c>
      <c r="F279">
        <v>0</v>
      </c>
      <c r="G279">
        <v>6645027</v>
      </c>
    </row>
    <row r="280" spans="2:7" x14ac:dyDescent="0.25">
      <c r="B280" t="s">
        <v>787</v>
      </c>
      <c r="C280" t="s">
        <v>1</v>
      </c>
      <c r="D280">
        <v>-1</v>
      </c>
      <c r="E280">
        <v>-0.2</v>
      </c>
      <c r="F280">
        <v>0</v>
      </c>
      <c r="G280">
        <v>6645055</v>
      </c>
    </row>
    <row r="281" spans="2:7" x14ac:dyDescent="0.25">
      <c r="B281" t="s">
        <v>787</v>
      </c>
      <c r="C281" t="s">
        <v>1</v>
      </c>
      <c r="D281">
        <v>-1</v>
      </c>
      <c r="E281">
        <v>-0.2</v>
      </c>
      <c r="F281">
        <v>0</v>
      </c>
      <c r="G281">
        <v>6645096</v>
      </c>
    </row>
    <row r="282" spans="2:7" x14ac:dyDescent="0.25">
      <c r="B282" t="s">
        <v>787</v>
      </c>
      <c r="C282" t="s">
        <v>1</v>
      </c>
      <c r="D282">
        <v>-1</v>
      </c>
      <c r="E282">
        <v>-0.2</v>
      </c>
      <c r="F282">
        <v>0</v>
      </c>
      <c r="G282">
        <v>6645160</v>
      </c>
    </row>
    <row r="283" spans="2:7" x14ac:dyDescent="0.25">
      <c r="B283" t="s">
        <v>787</v>
      </c>
      <c r="C283" t="s">
        <v>1</v>
      </c>
      <c r="D283">
        <v>-1</v>
      </c>
      <c r="E283">
        <v>-0.2</v>
      </c>
      <c r="F283">
        <v>0</v>
      </c>
      <c r="G283">
        <v>6645186</v>
      </c>
    </row>
    <row r="284" spans="2:7" x14ac:dyDescent="0.25">
      <c r="B284" t="s">
        <v>159</v>
      </c>
      <c r="C284">
        <v>2261494</v>
      </c>
    </row>
    <row r="285" spans="2:7" x14ac:dyDescent="0.25">
      <c r="B285" t="s">
        <v>47</v>
      </c>
      <c r="C285" t="s">
        <v>6</v>
      </c>
      <c r="D285">
        <v>-0.2</v>
      </c>
      <c r="E285">
        <v>1</v>
      </c>
      <c r="F285">
        <v>0</v>
      </c>
      <c r="G285">
        <v>5088557</v>
      </c>
    </row>
    <row r="286" spans="2:7" x14ac:dyDescent="0.25">
      <c r="B286" t="s">
        <v>47</v>
      </c>
      <c r="C286" t="s">
        <v>6</v>
      </c>
      <c r="D286">
        <v>-0.2</v>
      </c>
      <c r="E286">
        <v>1</v>
      </c>
      <c r="F286">
        <v>0</v>
      </c>
      <c r="G286">
        <v>5088580</v>
      </c>
    </row>
    <row r="287" spans="2:7" x14ac:dyDescent="0.25">
      <c r="B287" t="s">
        <v>47</v>
      </c>
      <c r="C287" t="s">
        <v>6</v>
      </c>
      <c r="D287">
        <v>-0.2</v>
      </c>
      <c r="E287">
        <v>1</v>
      </c>
      <c r="F287">
        <v>0</v>
      </c>
      <c r="G287">
        <v>5088585</v>
      </c>
    </row>
    <row r="288" spans="2:7" x14ac:dyDescent="0.25">
      <c r="B288" t="s">
        <v>148</v>
      </c>
      <c r="C288">
        <v>2266943</v>
      </c>
    </row>
    <row r="289" spans="2:7" x14ac:dyDescent="0.25">
      <c r="B289" t="s">
        <v>30</v>
      </c>
      <c r="C289" t="s">
        <v>5</v>
      </c>
      <c r="D289">
        <v>0.2</v>
      </c>
      <c r="E289">
        <v>-1</v>
      </c>
      <c r="F289">
        <v>0</v>
      </c>
      <c r="G289">
        <v>4928951</v>
      </c>
    </row>
    <row r="290" spans="2:7" x14ac:dyDescent="0.25">
      <c r="B290" t="s">
        <v>54</v>
      </c>
      <c r="C290" t="s">
        <v>74</v>
      </c>
      <c r="D290">
        <v>0.9</v>
      </c>
      <c r="E290">
        <v>0.5</v>
      </c>
      <c r="F290">
        <v>0</v>
      </c>
      <c r="G290">
        <v>5573007</v>
      </c>
    </row>
    <row r="291" spans="2:7" x14ac:dyDescent="0.25">
      <c r="B291" t="s">
        <v>54</v>
      </c>
      <c r="C291" t="s">
        <v>74</v>
      </c>
      <c r="D291">
        <v>0.9</v>
      </c>
      <c r="E291">
        <v>0.5</v>
      </c>
      <c r="F291">
        <v>0</v>
      </c>
      <c r="G291">
        <v>5573061</v>
      </c>
    </row>
    <row r="292" spans="2:7" x14ac:dyDescent="0.25">
      <c r="B292" t="s">
        <v>54</v>
      </c>
      <c r="C292" t="s">
        <v>74</v>
      </c>
      <c r="D292">
        <v>0.9</v>
      </c>
      <c r="E292">
        <v>0.5</v>
      </c>
      <c r="F292">
        <v>0</v>
      </c>
      <c r="G292">
        <v>5573103</v>
      </c>
    </row>
    <row r="293" spans="2:7" x14ac:dyDescent="0.25">
      <c r="B293" t="s">
        <v>53</v>
      </c>
      <c r="C293" t="s">
        <v>791</v>
      </c>
      <c r="D293">
        <v>0.9</v>
      </c>
      <c r="E293">
        <v>0.5</v>
      </c>
      <c r="F293">
        <v>0</v>
      </c>
      <c r="G293">
        <v>5573196</v>
      </c>
    </row>
    <row r="294" spans="2:7" x14ac:dyDescent="0.25">
      <c r="B294" t="s">
        <v>53</v>
      </c>
      <c r="C294" t="s">
        <v>791</v>
      </c>
      <c r="D294">
        <v>0.9</v>
      </c>
      <c r="E294">
        <v>0.5</v>
      </c>
      <c r="F294">
        <v>0</v>
      </c>
      <c r="G294">
        <v>5573268</v>
      </c>
    </row>
    <row r="295" spans="2:7" x14ac:dyDescent="0.25">
      <c r="B295" t="s">
        <v>54</v>
      </c>
      <c r="C295" t="s">
        <v>791</v>
      </c>
      <c r="D295">
        <v>0.9</v>
      </c>
      <c r="E295">
        <v>0.5</v>
      </c>
      <c r="F295">
        <v>0</v>
      </c>
      <c r="G295">
        <v>5573424</v>
      </c>
    </row>
    <row r="296" spans="2:7" x14ac:dyDescent="0.25">
      <c r="B296" t="s">
        <v>54</v>
      </c>
      <c r="C296" t="s">
        <v>791</v>
      </c>
      <c r="D296">
        <v>0.9</v>
      </c>
      <c r="E296">
        <v>0.5</v>
      </c>
      <c r="F296">
        <v>0</v>
      </c>
      <c r="G296">
        <v>5573496</v>
      </c>
    </row>
    <row r="297" spans="2:7" x14ac:dyDescent="0.25">
      <c r="B297" t="s">
        <v>53</v>
      </c>
      <c r="C297" t="s">
        <v>791</v>
      </c>
      <c r="D297">
        <v>0.9</v>
      </c>
      <c r="E297">
        <v>0.5</v>
      </c>
      <c r="F297">
        <v>0</v>
      </c>
      <c r="G297">
        <v>5573607</v>
      </c>
    </row>
    <row r="298" spans="2:7" x14ac:dyDescent="0.25">
      <c r="B298" t="s">
        <v>54</v>
      </c>
      <c r="C298" t="s">
        <v>791</v>
      </c>
      <c r="D298">
        <v>0.9</v>
      </c>
      <c r="E298">
        <v>0.5</v>
      </c>
      <c r="F298">
        <v>0</v>
      </c>
      <c r="G298">
        <v>5573717</v>
      </c>
    </row>
    <row r="299" spans="2:7" x14ac:dyDescent="0.25">
      <c r="B299" t="s">
        <v>54</v>
      </c>
      <c r="C299" t="s">
        <v>791</v>
      </c>
      <c r="D299">
        <v>0.9</v>
      </c>
      <c r="E299">
        <v>0.5</v>
      </c>
      <c r="F299">
        <v>0</v>
      </c>
      <c r="G299">
        <v>5573871</v>
      </c>
    </row>
    <row r="300" spans="2:7" x14ac:dyDescent="0.25">
      <c r="B300" t="s">
        <v>149</v>
      </c>
      <c r="C300">
        <v>2285686</v>
      </c>
    </row>
    <row r="301" spans="2:7" x14ac:dyDescent="0.25">
      <c r="B301" t="s">
        <v>33</v>
      </c>
      <c r="C301" t="s">
        <v>815</v>
      </c>
      <c r="D301">
        <v>-0.5</v>
      </c>
      <c r="E301">
        <v>0.8</v>
      </c>
      <c r="F301">
        <v>0</v>
      </c>
      <c r="G301">
        <v>6091444</v>
      </c>
    </row>
    <row r="302" spans="2:7" x14ac:dyDescent="0.25">
      <c r="B302" t="s">
        <v>160</v>
      </c>
      <c r="C302">
        <v>2286838</v>
      </c>
    </row>
    <row r="303" spans="2:7" x14ac:dyDescent="0.25">
      <c r="B303" t="s">
        <v>53</v>
      </c>
      <c r="C303" t="s">
        <v>2</v>
      </c>
      <c r="D303">
        <v>1</v>
      </c>
      <c r="E303">
        <v>0.2</v>
      </c>
      <c r="F303">
        <v>0</v>
      </c>
      <c r="G303">
        <v>5565941</v>
      </c>
    </row>
    <row r="304" spans="2:7" x14ac:dyDescent="0.25">
      <c r="B304" t="s">
        <v>161</v>
      </c>
      <c r="C304">
        <v>2415409</v>
      </c>
    </row>
    <row r="305" spans="2:8" x14ac:dyDescent="0.25">
      <c r="B305" t="s">
        <v>806</v>
      </c>
      <c r="C305" t="s">
        <v>42</v>
      </c>
      <c r="D305">
        <v>0.5</v>
      </c>
      <c r="E305">
        <v>-0.8</v>
      </c>
      <c r="F305">
        <v>0</v>
      </c>
      <c r="G305">
        <v>5152703</v>
      </c>
    </row>
    <row r="306" spans="2:8" x14ac:dyDescent="0.25">
      <c r="B306" t="s">
        <v>803</v>
      </c>
      <c r="C306" t="s">
        <v>42</v>
      </c>
      <c r="D306">
        <v>0.5</v>
      </c>
      <c r="E306">
        <v>-0.8</v>
      </c>
      <c r="F306">
        <v>0</v>
      </c>
      <c r="G306">
        <v>6524120</v>
      </c>
    </row>
    <row r="307" spans="2:8" x14ac:dyDescent="0.25">
      <c r="B307" t="s">
        <v>162</v>
      </c>
      <c r="C307">
        <v>2464044</v>
      </c>
    </row>
    <row r="308" spans="2:8" x14ac:dyDescent="0.25">
      <c r="B308" t="s">
        <v>30</v>
      </c>
      <c r="C308" t="s">
        <v>5</v>
      </c>
      <c r="D308">
        <v>0.2</v>
      </c>
      <c r="E308">
        <v>-1</v>
      </c>
      <c r="F308">
        <v>0</v>
      </c>
      <c r="G308">
        <v>4865746</v>
      </c>
    </row>
    <row r="309" spans="2:8" x14ac:dyDescent="0.25">
      <c r="B309" t="s">
        <v>150</v>
      </c>
      <c r="C309">
        <v>2465328</v>
      </c>
    </row>
    <row r="310" spans="2:8" x14ac:dyDescent="0.25">
      <c r="B310" t="s">
        <v>28</v>
      </c>
      <c r="C310" t="s">
        <v>5</v>
      </c>
      <c r="D310">
        <v>0.2</v>
      </c>
      <c r="E310">
        <v>-1</v>
      </c>
      <c r="F310">
        <v>0</v>
      </c>
      <c r="G310">
        <v>4871481</v>
      </c>
    </row>
    <row r="311" spans="2:8" s="14" customFormat="1" x14ac:dyDescent="0.25">
      <c r="B311" s="14" t="s">
        <v>1081</v>
      </c>
      <c r="C311" s="14">
        <v>2465329</v>
      </c>
      <c r="H311" s="14" t="s">
        <v>163</v>
      </c>
    </row>
    <row r="312" spans="2:8" x14ac:dyDescent="0.25">
      <c r="B312" t="s">
        <v>28</v>
      </c>
      <c r="C312" t="s">
        <v>5</v>
      </c>
      <c r="D312">
        <v>0.2</v>
      </c>
      <c r="E312">
        <v>-1</v>
      </c>
      <c r="F312">
        <v>0</v>
      </c>
      <c r="G312">
        <v>4871481</v>
      </c>
    </row>
    <row r="313" spans="2:8" x14ac:dyDescent="0.25">
      <c r="B313" t="s">
        <v>151</v>
      </c>
      <c r="C313">
        <v>2465333</v>
      </c>
    </row>
    <row r="314" spans="2:8" x14ac:dyDescent="0.25">
      <c r="B314" t="s">
        <v>30</v>
      </c>
      <c r="C314" t="s">
        <v>5</v>
      </c>
      <c r="D314">
        <v>0.2</v>
      </c>
      <c r="E314">
        <v>-1</v>
      </c>
      <c r="F314">
        <v>0</v>
      </c>
      <c r="G314">
        <v>4871508</v>
      </c>
    </row>
    <row r="315" spans="2:8" x14ac:dyDescent="0.25">
      <c r="B315" t="s">
        <v>33</v>
      </c>
      <c r="C315" t="s">
        <v>5</v>
      </c>
      <c r="D315">
        <v>0.2</v>
      </c>
      <c r="E315">
        <v>-1</v>
      </c>
      <c r="F315">
        <v>0</v>
      </c>
      <c r="G315">
        <v>4872045</v>
      </c>
    </row>
    <row r="316" spans="2:8" x14ac:dyDescent="0.25">
      <c r="B316" t="s">
        <v>152</v>
      </c>
      <c r="C316">
        <v>2465336</v>
      </c>
    </row>
    <row r="317" spans="2:8" x14ac:dyDescent="0.25">
      <c r="B317" t="s">
        <v>31</v>
      </c>
      <c r="C317" t="s">
        <v>5</v>
      </c>
      <c r="D317">
        <v>0.2</v>
      </c>
      <c r="E317">
        <v>-1</v>
      </c>
      <c r="F317">
        <v>0</v>
      </c>
      <c r="G317">
        <v>4871214</v>
      </c>
    </row>
    <row r="318" spans="2:8" x14ac:dyDescent="0.25">
      <c r="B318" t="s">
        <v>164</v>
      </c>
      <c r="C318">
        <v>2465337</v>
      </c>
    </row>
    <row r="319" spans="2:8" x14ac:dyDescent="0.25">
      <c r="B319" t="s">
        <v>33</v>
      </c>
      <c r="C319" t="s">
        <v>5</v>
      </c>
      <c r="D319">
        <v>0.2</v>
      </c>
      <c r="E319">
        <v>-1</v>
      </c>
      <c r="F319">
        <v>0</v>
      </c>
      <c r="G319">
        <v>4871424</v>
      </c>
    </row>
    <row r="320" spans="2:8" x14ac:dyDescent="0.25">
      <c r="B320" t="s">
        <v>33</v>
      </c>
      <c r="C320" t="s">
        <v>5</v>
      </c>
      <c r="D320">
        <v>0.2</v>
      </c>
      <c r="E320">
        <v>-1</v>
      </c>
      <c r="F320">
        <v>0</v>
      </c>
      <c r="G320">
        <v>4871456</v>
      </c>
    </row>
    <row r="321" spans="2:8" x14ac:dyDescent="0.25">
      <c r="B321" t="s">
        <v>165</v>
      </c>
      <c r="C321">
        <v>2465338</v>
      </c>
    </row>
    <row r="322" spans="2:8" x14ac:dyDescent="0.25">
      <c r="B322" t="s">
        <v>28</v>
      </c>
      <c r="C322" t="s">
        <v>5</v>
      </c>
      <c r="D322">
        <v>0.2</v>
      </c>
      <c r="E322">
        <v>-1</v>
      </c>
      <c r="F322">
        <v>0</v>
      </c>
      <c r="G322">
        <v>4871378</v>
      </c>
    </row>
    <row r="323" spans="2:8" x14ac:dyDescent="0.25">
      <c r="B323" t="s">
        <v>166</v>
      </c>
      <c r="C323">
        <v>2465339</v>
      </c>
    </row>
    <row r="324" spans="2:8" x14ac:dyDescent="0.25">
      <c r="B324" t="s">
        <v>30</v>
      </c>
      <c r="C324" t="s">
        <v>5</v>
      </c>
      <c r="D324">
        <v>0.2</v>
      </c>
      <c r="E324">
        <v>-1</v>
      </c>
      <c r="F324">
        <v>0</v>
      </c>
      <c r="G324">
        <v>4870963</v>
      </c>
    </row>
    <row r="325" spans="2:8" x14ac:dyDescent="0.25">
      <c r="B325" t="s">
        <v>167</v>
      </c>
      <c r="C325">
        <v>2465340</v>
      </c>
    </row>
    <row r="326" spans="2:8" x14ac:dyDescent="0.25">
      <c r="B326" t="s">
        <v>27</v>
      </c>
      <c r="C326" t="s">
        <v>6</v>
      </c>
      <c r="D326">
        <v>-0.2</v>
      </c>
      <c r="E326">
        <v>1</v>
      </c>
      <c r="F326">
        <v>0</v>
      </c>
      <c r="G326">
        <v>4791398</v>
      </c>
    </row>
    <row r="327" spans="2:8" s="14" customFormat="1" x14ac:dyDescent="0.25">
      <c r="B327" s="14" t="s">
        <v>1081</v>
      </c>
      <c r="C327" s="14" t="s">
        <v>6</v>
      </c>
      <c r="D327" s="14">
        <v>-0.2</v>
      </c>
      <c r="E327" s="14">
        <v>1</v>
      </c>
      <c r="F327" s="14">
        <v>0</v>
      </c>
      <c r="G327" s="14">
        <v>5149027</v>
      </c>
      <c r="H327" s="14" t="s">
        <v>27</v>
      </c>
    </row>
    <row r="328" spans="2:8" x14ac:dyDescent="0.25">
      <c r="B328" t="s">
        <v>168</v>
      </c>
      <c r="C328">
        <v>2465341</v>
      </c>
    </row>
    <row r="329" spans="2:8" x14ac:dyDescent="0.25">
      <c r="B329" t="s">
        <v>31</v>
      </c>
      <c r="C329" t="s">
        <v>327</v>
      </c>
      <c r="D329">
        <v>0.4</v>
      </c>
      <c r="E329">
        <v>-0.9</v>
      </c>
      <c r="F329">
        <v>0</v>
      </c>
      <c r="G329">
        <v>4785950</v>
      </c>
    </row>
    <row r="330" spans="2:8" x14ac:dyDescent="0.25">
      <c r="B330" t="s">
        <v>880</v>
      </c>
      <c r="C330">
        <v>2770002</v>
      </c>
    </row>
    <row r="331" spans="2:8" x14ac:dyDescent="0.25">
      <c r="B331" t="s">
        <v>53</v>
      </c>
      <c r="C331" t="s">
        <v>2</v>
      </c>
      <c r="D331">
        <v>1</v>
      </c>
      <c r="E331">
        <v>0.2</v>
      </c>
      <c r="F331">
        <v>0</v>
      </c>
      <c r="G331">
        <v>5256497</v>
      </c>
    </row>
    <row r="332" spans="2:8" x14ac:dyDescent="0.25">
      <c r="B332" t="s">
        <v>881</v>
      </c>
      <c r="C332">
        <v>2812486</v>
      </c>
    </row>
    <row r="333" spans="2:8" x14ac:dyDescent="0.25">
      <c r="B333" t="s">
        <v>786</v>
      </c>
      <c r="C333" t="s">
        <v>1</v>
      </c>
      <c r="D333">
        <v>-1</v>
      </c>
      <c r="E333">
        <v>-0.2</v>
      </c>
      <c r="F333">
        <v>0</v>
      </c>
      <c r="G333">
        <v>6644841</v>
      </c>
    </row>
    <row r="334" spans="2:8" x14ac:dyDescent="0.25">
      <c r="B334" t="s">
        <v>786</v>
      </c>
      <c r="C334" t="s">
        <v>1</v>
      </c>
      <c r="D334">
        <v>-1</v>
      </c>
      <c r="E334">
        <v>-0.2</v>
      </c>
      <c r="F334">
        <v>0</v>
      </c>
      <c r="G334">
        <v>6644884</v>
      </c>
    </row>
    <row r="335" spans="2:8" x14ac:dyDescent="0.25">
      <c r="B335" t="s">
        <v>797</v>
      </c>
      <c r="C335" t="s">
        <v>1</v>
      </c>
      <c r="D335">
        <v>-1</v>
      </c>
      <c r="E335">
        <v>-0.2</v>
      </c>
      <c r="F335">
        <v>0</v>
      </c>
      <c r="G335">
        <v>6644933</v>
      </c>
    </row>
    <row r="336" spans="2:8" x14ac:dyDescent="0.25">
      <c r="B336" t="s">
        <v>840</v>
      </c>
      <c r="C336" t="s">
        <v>1</v>
      </c>
      <c r="D336">
        <v>-1</v>
      </c>
      <c r="E336">
        <v>-0.2</v>
      </c>
      <c r="F336">
        <v>0</v>
      </c>
      <c r="G336">
        <v>6645027</v>
      </c>
    </row>
    <row r="337" spans="2:7" x14ac:dyDescent="0.25">
      <c r="B337" t="s">
        <v>787</v>
      </c>
      <c r="C337" t="s">
        <v>1</v>
      </c>
      <c r="D337">
        <v>-1</v>
      </c>
      <c r="E337">
        <v>-0.2</v>
      </c>
      <c r="F337">
        <v>0</v>
      </c>
      <c r="G337">
        <v>6645055</v>
      </c>
    </row>
    <row r="338" spans="2:7" x14ac:dyDescent="0.25">
      <c r="B338" t="s">
        <v>787</v>
      </c>
      <c r="C338" t="s">
        <v>1</v>
      </c>
      <c r="D338">
        <v>-1</v>
      </c>
      <c r="E338">
        <v>-0.2</v>
      </c>
      <c r="F338">
        <v>0</v>
      </c>
      <c r="G338">
        <v>6645096</v>
      </c>
    </row>
    <row r="339" spans="2:7" x14ac:dyDescent="0.25">
      <c r="B339" t="s">
        <v>787</v>
      </c>
      <c r="C339" t="s">
        <v>1</v>
      </c>
      <c r="D339">
        <v>-1</v>
      </c>
      <c r="E339">
        <v>-0.2</v>
      </c>
      <c r="F339">
        <v>0</v>
      </c>
      <c r="G339">
        <v>6645160</v>
      </c>
    </row>
    <row r="340" spans="2:7" x14ac:dyDescent="0.25">
      <c r="B340" t="s">
        <v>787</v>
      </c>
      <c r="C340" t="s">
        <v>1</v>
      </c>
      <c r="D340">
        <v>-1</v>
      </c>
      <c r="E340">
        <v>-0.2</v>
      </c>
      <c r="F340">
        <v>0</v>
      </c>
      <c r="G340">
        <v>6645186</v>
      </c>
    </row>
    <row r="341" spans="2:7" x14ac:dyDescent="0.25">
      <c r="B341" t="s">
        <v>797</v>
      </c>
      <c r="C341" t="s">
        <v>5</v>
      </c>
      <c r="D341">
        <v>0.2</v>
      </c>
      <c r="E341">
        <v>-1</v>
      </c>
      <c r="F341">
        <v>0</v>
      </c>
      <c r="G341">
        <v>6645376</v>
      </c>
    </row>
    <row r="342" spans="2:7" x14ac:dyDescent="0.25">
      <c r="B342" t="s">
        <v>840</v>
      </c>
      <c r="C342" t="s">
        <v>5</v>
      </c>
      <c r="D342">
        <v>0.2</v>
      </c>
      <c r="E342">
        <v>-1</v>
      </c>
      <c r="F342">
        <v>0</v>
      </c>
      <c r="G342">
        <v>6645412</v>
      </c>
    </row>
    <row r="343" spans="2:7" x14ac:dyDescent="0.25">
      <c r="B343" t="s">
        <v>169</v>
      </c>
      <c r="C343">
        <v>2812503</v>
      </c>
    </row>
    <row r="344" spans="2:7" x14ac:dyDescent="0.25">
      <c r="B344" t="s">
        <v>840</v>
      </c>
      <c r="C344" t="s">
        <v>7</v>
      </c>
      <c r="D344">
        <v>-0.9</v>
      </c>
      <c r="E344">
        <v>-0.5</v>
      </c>
      <c r="F344">
        <v>0</v>
      </c>
      <c r="G344">
        <v>6103760</v>
      </c>
    </row>
    <row r="345" spans="2:7" x14ac:dyDescent="0.25">
      <c r="B345" t="s">
        <v>840</v>
      </c>
      <c r="C345" t="s">
        <v>7</v>
      </c>
      <c r="D345">
        <v>-0.9</v>
      </c>
      <c r="E345">
        <v>-0.5</v>
      </c>
      <c r="F345">
        <v>0</v>
      </c>
      <c r="G345">
        <v>6103866</v>
      </c>
    </row>
    <row r="346" spans="2:7" x14ac:dyDescent="0.25">
      <c r="B346" t="s">
        <v>786</v>
      </c>
      <c r="C346" t="s">
        <v>7</v>
      </c>
      <c r="D346">
        <v>-0.9</v>
      </c>
      <c r="E346">
        <v>-0.5</v>
      </c>
      <c r="F346">
        <v>0</v>
      </c>
      <c r="G346">
        <v>6103895</v>
      </c>
    </row>
    <row r="347" spans="2:7" x14ac:dyDescent="0.25">
      <c r="B347" t="s">
        <v>786</v>
      </c>
      <c r="C347" t="s">
        <v>117</v>
      </c>
      <c r="D347">
        <v>0.5</v>
      </c>
      <c r="E347">
        <v>-0.9</v>
      </c>
      <c r="F347">
        <v>0</v>
      </c>
      <c r="G347">
        <v>6304433</v>
      </c>
    </row>
    <row r="348" spans="2:7" x14ac:dyDescent="0.25">
      <c r="B348" t="s">
        <v>840</v>
      </c>
      <c r="C348" t="s">
        <v>117</v>
      </c>
      <c r="D348">
        <v>0.5</v>
      </c>
      <c r="E348">
        <v>-0.9</v>
      </c>
      <c r="F348">
        <v>0</v>
      </c>
      <c r="G348">
        <v>6304436</v>
      </c>
    </row>
    <row r="349" spans="2:7" x14ac:dyDescent="0.25">
      <c r="B349" t="s">
        <v>840</v>
      </c>
      <c r="C349" t="s">
        <v>7</v>
      </c>
      <c r="D349">
        <v>-0.9</v>
      </c>
      <c r="E349">
        <v>-0.5</v>
      </c>
      <c r="F349">
        <v>0</v>
      </c>
      <c r="G349">
        <v>6304437</v>
      </c>
    </row>
    <row r="350" spans="2:7" x14ac:dyDescent="0.25">
      <c r="B350" t="s">
        <v>840</v>
      </c>
      <c r="C350" t="s">
        <v>7</v>
      </c>
      <c r="D350">
        <v>-0.9</v>
      </c>
      <c r="E350">
        <v>-0.5</v>
      </c>
      <c r="F350">
        <v>0</v>
      </c>
      <c r="G350">
        <v>6304438</v>
      </c>
    </row>
    <row r="351" spans="2:7" x14ac:dyDescent="0.25">
      <c r="B351" t="s">
        <v>797</v>
      </c>
      <c r="C351" t="s">
        <v>4</v>
      </c>
      <c r="D351">
        <v>-0.5</v>
      </c>
      <c r="E351">
        <v>0.9</v>
      </c>
      <c r="F351">
        <v>0</v>
      </c>
      <c r="G351">
        <v>6304440</v>
      </c>
    </row>
    <row r="352" spans="2:7" x14ac:dyDescent="0.25">
      <c r="B352" t="s">
        <v>840</v>
      </c>
      <c r="C352" t="s">
        <v>7</v>
      </c>
      <c r="D352">
        <v>-0.9</v>
      </c>
      <c r="E352">
        <v>-0.5</v>
      </c>
      <c r="F352">
        <v>0</v>
      </c>
      <c r="G352">
        <v>6305126</v>
      </c>
    </row>
    <row r="353" spans="2:7" x14ac:dyDescent="0.25">
      <c r="B353" t="s">
        <v>840</v>
      </c>
      <c r="C353" t="s">
        <v>117</v>
      </c>
      <c r="D353">
        <v>0.5</v>
      </c>
      <c r="E353">
        <v>-0.9</v>
      </c>
      <c r="F353">
        <v>0</v>
      </c>
      <c r="G353">
        <v>6694216</v>
      </c>
    </row>
    <row r="354" spans="2:7" x14ac:dyDescent="0.25">
      <c r="B354" t="s">
        <v>882</v>
      </c>
      <c r="C354">
        <v>2812508</v>
      </c>
    </row>
    <row r="355" spans="2:7" x14ac:dyDescent="0.25">
      <c r="B355" t="s">
        <v>786</v>
      </c>
      <c r="C355" t="s">
        <v>1</v>
      </c>
      <c r="D355">
        <v>-1</v>
      </c>
      <c r="E355">
        <v>-0.2</v>
      </c>
      <c r="F355">
        <v>0</v>
      </c>
      <c r="G355">
        <v>6313377</v>
      </c>
    </row>
    <row r="356" spans="2:7" x14ac:dyDescent="0.25">
      <c r="B356" t="s">
        <v>787</v>
      </c>
      <c r="C356" t="s">
        <v>1</v>
      </c>
      <c r="D356">
        <v>-1</v>
      </c>
      <c r="E356">
        <v>-0.2</v>
      </c>
      <c r="F356">
        <v>0</v>
      </c>
      <c r="G356">
        <v>6313509</v>
      </c>
    </row>
    <row r="357" spans="2:7" x14ac:dyDescent="0.25">
      <c r="B357" t="s">
        <v>787</v>
      </c>
      <c r="C357" t="s">
        <v>1</v>
      </c>
      <c r="D357">
        <v>-1</v>
      </c>
      <c r="E357">
        <v>-0.2</v>
      </c>
      <c r="F357">
        <v>0</v>
      </c>
      <c r="G357">
        <v>6313589</v>
      </c>
    </row>
    <row r="358" spans="2:7" x14ac:dyDescent="0.25">
      <c r="B358" t="s">
        <v>787</v>
      </c>
      <c r="C358" t="s">
        <v>1</v>
      </c>
      <c r="D358">
        <v>-1</v>
      </c>
      <c r="E358">
        <v>-0.2</v>
      </c>
      <c r="F358">
        <v>0</v>
      </c>
      <c r="G358">
        <v>6313629</v>
      </c>
    </row>
    <row r="359" spans="2:7" x14ac:dyDescent="0.25">
      <c r="B359" t="s">
        <v>840</v>
      </c>
      <c r="C359" t="s">
        <v>1</v>
      </c>
      <c r="D359">
        <v>-1</v>
      </c>
      <c r="E359">
        <v>-0.2</v>
      </c>
      <c r="F359">
        <v>0</v>
      </c>
      <c r="G359">
        <v>6313676</v>
      </c>
    </row>
    <row r="360" spans="2:7" x14ac:dyDescent="0.25">
      <c r="B360" t="s">
        <v>797</v>
      </c>
      <c r="C360" t="s">
        <v>1</v>
      </c>
      <c r="D360">
        <v>-1</v>
      </c>
      <c r="E360">
        <v>-0.2</v>
      </c>
      <c r="F360">
        <v>0</v>
      </c>
      <c r="G360">
        <v>6313723</v>
      </c>
    </row>
    <row r="361" spans="2:7" x14ac:dyDescent="0.25">
      <c r="B361" t="s">
        <v>840</v>
      </c>
      <c r="C361" t="s">
        <v>1</v>
      </c>
      <c r="D361">
        <v>-1</v>
      </c>
      <c r="E361">
        <v>-0.2</v>
      </c>
      <c r="F361">
        <v>0</v>
      </c>
      <c r="G361">
        <v>6313863</v>
      </c>
    </row>
    <row r="362" spans="2:7" x14ac:dyDescent="0.25">
      <c r="B362" t="s">
        <v>840</v>
      </c>
      <c r="C362" t="s">
        <v>1</v>
      </c>
      <c r="D362">
        <v>-1</v>
      </c>
      <c r="E362">
        <v>-0.2</v>
      </c>
      <c r="F362">
        <v>0</v>
      </c>
      <c r="G362">
        <v>6313897</v>
      </c>
    </row>
    <row r="363" spans="2:7" x14ac:dyDescent="0.25">
      <c r="B363" t="s">
        <v>786</v>
      </c>
      <c r="C363" t="s">
        <v>1</v>
      </c>
      <c r="D363">
        <v>-1</v>
      </c>
      <c r="E363">
        <v>-0.2</v>
      </c>
      <c r="F363">
        <v>0</v>
      </c>
      <c r="G363">
        <v>6314025</v>
      </c>
    </row>
    <row r="364" spans="2:7" x14ac:dyDescent="0.25">
      <c r="B364" t="s">
        <v>797</v>
      </c>
      <c r="C364" t="s">
        <v>1</v>
      </c>
      <c r="D364">
        <v>-1</v>
      </c>
      <c r="E364">
        <v>-0.2</v>
      </c>
      <c r="F364">
        <v>0</v>
      </c>
      <c r="G364">
        <v>6314065</v>
      </c>
    </row>
    <row r="365" spans="2:7" x14ac:dyDescent="0.25">
      <c r="B365" t="s">
        <v>786</v>
      </c>
      <c r="C365" t="s">
        <v>5</v>
      </c>
      <c r="D365">
        <v>0.2</v>
      </c>
      <c r="E365">
        <v>-1</v>
      </c>
      <c r="F365">
        <v>0</v>
      </c>
      <c r="G365">
        <v>6319383</v>
      </c>
    </row>
    <row r="366" spans="2:7" x14ac:dyDescent="0.25">
      <c r="B366" t="s">
        <v>840</v>
      </c>
      <c r="C366" t="s">
        <v>5</v>
      </c>
      <c r="D366">
        <v>0.2</v>
      </c>
      <c r="E366">
        <v>-1</v>
      </c>
      <c r="F366">
        <v>0</v>
      </c>
      <c r="G366">
        <v>6319652</v>
      </c>
    </row>
    <row r="367" spans="2:7" x14ac:dyDescent="0.25">
      <c r="B367" t="s">
        <v>840</v>
      </c>
      <c r="C367" t="s">
        <v>5</v>
      </c>
      <c r="D367">
        <v>0.2</v>
      </c>
      <c r="E367">
        <v>-1</v>
      </c>
      <c r="F367">
        <v>0</v>
      </c>
      <c r="G367">
        <v>6319811</v>
      </c>
    </row>
    <row r="368" spans="2:7" x14ac:dyDescent="0.25">
      <c r="B368" t="s">
        <v>797</v>
      </c>
      <c r="C368" t="s">
        <v>5</v>
      </c>
      <c r="D368">
        <v>0.2</v>
      </c>
      <c r="E368">
        <v>-1</v>
      </c>
      <c r="F368">
        <v>0</v>
      </c>
      <c r="G368">
        <v>6320876</v>
      </c>
    </row>
    <row r="369" spans="2:8" x14ac:dyDescent="0.25">
      <c r="B369" t="s">
        <v>840</v>
      </c>
      <c r="C369" t="s">
        <v>5</v>
      </c>
      <c r="D369">
        <v>0.2</v>
      </c>
      <c r="E369">
        <v>-1</v>
      </c>
      <c r="F369">
        <v>0</v>
      </c>
      <c r="G369">
        <v>6321031</v>
      </c>
    </row>
    <row r="370" spans="2:8" x14ac:dyDescent="0.25">
      <c r="B370" t="s">
        <v>787</v>
      </c>
      <c r="C370" t="s">
        <v>5</v>
      </c>
      <c r="D370">
        <v>0.2</v>
      </c>
      <c r="E370">
        <v>-1</v>
      </c>
      <c r="F370">
        <v>0</v>
      </c>
      <c r="G370">
        <v>6321134</v>
      </c>
    </row>
    <row r="371" spans="2:8" x14ac:dyDescent="0.25">
      <c r="B371" t="s">
        <v>101</v>
      </c>
      <c r="C371" t="s">
        <v>1050</v>
      </c>
    </row>
    <row r="372" spans="2:8" x14ac:dyDescent="0.25">
      <c r="B372" s="14" t="s">
        <v>1059</v>
      </c>
      <c r="C372" s="14" t="s">
        <v>42</v>
      </c>
      <c r="D372" s="14">
        <v>0.5</v>
      </c>
      <c r="E372" s="14">
        <v>-0.8</v>
      </c>
      <c r="F372" s="14">
        <v>0</v>
      </c>
      <c r="G372" s="14" t="s">
        <v>1058</v>
      </c>
      <c r="H372" t="s">
        <v>1055</v>
      </c>
    </row>
    <row r="373" spans="2:8" x14ac:dyDescent="0.25">
      <c r="B373" s="14" t="s">
        <v>1064</v>
      </c>
      <c r="C373" s="14" t="s">
        <v>1050</v>
      </c>
      <c r="D373" s="14"/>
      <c r="E373" s="14"/>
      <c r="F373" s="14"/>
      <c r="G373" s="14"/>
    </row>
    <row r="374" spans="2:8" x14ac:dyDescent="0.25">
      <c r="B374" s="14" t="s">
        <v>797</v>
      </c>
      <c r="C374" s="14" t="s">
        <v>817</v>
      </c>
      <c r="D374" s="14">
        <v>-0.4</v>
      </c>
      <c r="E374" s="14">
        <v>0.9</v>
      </c>
      <c r="F374" s="14">
        <v>0</v>
      </c>
      <c r="G374" s="14">
        <v>4785948</v>
      </c>
      <c r="H374" t="s">
        <v>1065</v>
      </c>
    </row>
    <row r="375" spans="2:8" x14ac:dyDescent="0.25">
      <c r="B375" s="14" t="s">
        <v>33</v>
      </c>
      <c r="C375" s="14" t="s">
        <v>817</v>
      </c>
      <c r="D375" s="14">
        <v>-0.4</v>
      </c>
      <c r="E375" s="14">
        <v>0.9</v>
      </c>
      <c r="F375" s="14">
        <v>0</v>
      </c>
      <c r="G375" s="14">
        <v>4785951</v>
      </c>
      <c r="H375" t="s">
        <v>1065</v>
      </c>
    </row>
    <row r="376" spans="2:8" x14ac:dyDescent="0.25">
      <c r="B376" s="14" t="s">
        <v>797</v>
      </c>
      <c r="C376" s="14" t="s">
        <v>817</v>
      </c>
      <c r="D376" s="14">
        <v>-0.4</v>
      </c>
      <c r="E376" s="14">
        <v>0.9</v>
      </c>
      <c r="F376" s="14">
        <v>0</v>
      </c>
      <c r="G376" s="14">
        <v>5150577</v>
      </c>
      <c r="H376" t="s">
        <v>1065</v>
      </c>
    </row>
    <row r="377" spans="2:8" x14ac:dyDescent="0.25">
      <c r="B377" s="14" t="s">
        <v>786</v>
      </c>
      <c r="C377" s="14" t="s">
        <v>817</v>
      </c>
      <c r="D377" s="14">
        <v>-0.4</v>
      </c>
      <c r="E377" s="14">
        <v>0.9</v>
      </c>
      <c r="F377" s="14">
        <v>0</v>
      </c>
      <c r="G377" s="14">
        <v>4982771</v>
      </c>
      <c r="H377" t="s">
        <v>1065</v>
      </c>
    </row>
    <row r="378" spans="2:8" x14ac:dyDescent="0.25">
      <c r="B378" s="14" t="s">
        <v>797</v>
      </c>
      <c r="C378" s="14" t="s">
        <v>16</v>
      </c>
      <c r="D378" s="14">
        <v>-0.8</v>
      </c>
      <c r="E378" s="14">
        <v>-0.5</v>
      </c>
      <c r="F378" s="14">
        <v>0</v>
      </c>
      <c r="G378" s="14">
        <v>4859373</v>
      </c>
      <c r="H378" t="s">
        <v>1065</v>
      </c>
    </row>
    <row r="379" spans="2:8" x14ac:dyDescent="0.25">
      <c r="B379" s="14" t="s">
        <v>797</v>
      </c>
      <c r="C379" s="14" t="s">
        <v>16</v>
      </c>
      <c r="D379" s="14">
        <v>-0.8</v>
      </c>
      <c r="E379" s="14">
        <v>-0.5</v>
      </c>
      <c r="F379" s="14">
        <v>0</v>
      </c>
      <c r="G379" s="14">
        <v>4859448</v>
      </c>
      <c r="H379" t="s">
        <v>1065</v>
      </c>
    </row>
    <row r="380" spans="2:8" x14ac:dyDescent="0.25">
      <c r="B380" s="14" t="s">
        <v>797</v>
      </c>
      <c r="C380" s="14" t="s">
        <v>16</v>
      </c>
      <c r="D380" s="14">
        <v>-0.8</v>
      </c>
      <c r="E380" s="14">
        <v>-0.5</v>
      </c>
      <c r="F380" s="14">
        <v>0</v>
      </c>
      <c r="G380" s="14">
        <v>4859506</v>
      </c>
      <c r="H380" t="s">
        <v>1065</v>
      </c>
    </row>
    <row r="381" spans="2:8" x14ac:dyDescent="0.25">
      <c r="B381" s="14" t="s">
        <v>797</v>
      </c>
      <c r="C381" s="14" t="s">
        <v>16</v>
      </c>
      <c r="D381" s="14">
        <v>-0.8</v>
      </c>
      <c r="E381" s="14">
        <v>-0.5</v>
      </c>
      <c r="F381" s="14">
        <v>0</v>
      </c>
      <c r="G381" s="14">
        <v>4859407</v>
      </c>
      <c r="H381" t="s">
        <v>1065</v>
      </c>
    </row>
    <row r="382" spans="2:8" x14ac:dyDescent="0.25">
      <c r="B382" s="14" t="s">
        <v>1059</v>
      </c>
      <c r="C382" s="14" t="s">
        <v>327</v>
      </c>
      <c r="D382" s="14">
        <v>0.4</v>
      </c>
      <c r="E382" s="14">
        <v>-0.9</v>
      </c>
      <c r="F382" s="14">
        <v>0</v>
      </c>
      <c r="G382" s="14" t="s">
        <v>1058</v>
      </c>
      <c r="H382" t="s">
        <v>1055</v>
      </c>
    </row>
    <row r="383" spans="2:8" x14ac:dyDescent="0.25">
      <c r="B383" s="14" t="s">
        <v>797</v>
      </c>
      <c r="C383" s="14" t="s">
        <v>327</v>
      </c>
      <c r="D383" s="14">
        <v>0.4</v>
      </c>
      <c r="E383" s="14">
        <v>-0.9</v>
      </c>
      <c r="F383" s="14">
        <v>0</v>
      </c>
      <c r="G383" s="14">
        <v>5170705</v>
      </c>
      <c r="H383" t="s">
        <v>1065</v>
      </c>
    </row>
    <row r="384" spans="2:8" x14ac:dyDescent="0.25">
      <c r="B384" s="14" t="s">
        <v>797</v>
      </c>
      <c r="C384" s="14" t="s">
        <v>327</v>
      </c>
      <c r="D384" s="14">
        <v>0.4</v>
      </c>
      <c r="E384" s="14">
        <v>-0.9</v>
      </c>
      <c r="F384" s="14">
        <v>0</v>
      </c>
      <c r="G384" s="14">
        <v>4785996</v>
      </c>
      <c r="H384" t="s">
        <v>1065</v>
      </c>
    </row>
    <row r="385" spans="2:8" x14ac:dyDescent="0.25">
      <c r="B385" s="14" t="s">
        <v>797</v>
      </c>
      <c r="C385" s="14" t="s">
        <v>327</v>
      </c>
      <c r="D385" s="14">
        <v>0.4</v>
      </c>
      <c r="E385" s="14">
        <v>-0.9</v>
      </c>
      <c r="F385" s="14">
        <v>0</v>
      </c>
      <c r="G385" s="14">
        <v>4785995</v>
      </c>
      <c r="H385" t="s">
        <v>1065</v>
      </c>
    </row>
    <row r="386" spans="2:8" x14ac:dyDescent="0.25">
      <c r="B386" s="14" t="s">
        <v>1066</v>
      </c>
      <c r="C386" s="14" t="s">
        <v>1050</v>
      </c>
      <c r="D386" s="14"/>
      <c r="E386" s="14"/>
      <c r="F386" s="14"/>
      <c r="G386" s="14"/>
    </row>
    <row r="387" spans="2:8" x14ac:dyDescent="0.25">
      <c r="B387" s="14" t="s">
        <v>797</v>
      </c>
      <c r="C387" s="14" t="s">
        <v>802</v>
      </c>
      <c r="D387" s="14">
        <v>-0.3</v>
      </c>
      <c r="E387" s="14">
        <v>0.9</v>
      </c>
      <c r="F387" s="14">
        <v>0</v>
      </c>
      <c r="G387" s="14">
        <v>4785991</v>
      </c>
      <c r="H387" t="s">
        <v>1065</v>
      </c>
    </row>
    <row r="388" spans="2:8" x14ac:dyDescent="0.25">
      <c r="B388" s="14" t="s">
        <v>786</v>
      </c>
      <c r="C388" s="14" t="s">
        <v>802</v>
      </c>
      <c r="D388" s="14">
        <v>-0.3</v>
      </c>
      <c r="E388" s="14">
        <v>0.9</v>
      </c>
      <c r="F388" s="14">
        <v>0</v>
      </c>
      <c r="G388" s="14">
        <v>4839015</v>
      </c>
      <c r="H388" t="s">
        <v>1065</v>
      </c>
    </row>
    <row r="389" spans="2:8" x14ac:dyDescent="0.25">
      <c r="B389" s="14" t="s">
        <v>797</v>
      </c>
      <c r="C389" s="14" t="s">
        <v>1</v>
      </c>
      <c r="D389" s="14">
        <v>-1</v>
      </c>
      <c r="E389" s="14">
        <v>-0.2</v>
      </c>
      <c r="F389" s="14">
        <v>0</v>
      </c>
      <c r="G389" s="14">
        <v>4859880</v>
      </c>
      <c r="H389" t="s">
        <v>1065</v>
      </c>
    </row>
    <row r="390" spans="2:8" x14ac:dyDescent="0.25">
      <c r="B390" s="14" t="s">
        <v>797</v>
      </c>
      <c r="C390" s="14" t="s">
        <v>1</v>
      </c>
      <c r="D390" s="14">
        <v>-1</v>
      </c>
      <c r="E390" s="14">
        <v>-0.2</v>
      </c>
      <c r="F390" s="14">
        <v>0</v>
      </c>
      <c r="G390" s="14">
        <v>4860042</v>
      </c>
      <c r="H390" t="s">
        <v>1065</v>
      </c>
    </row>
    <row r="391" spans="2:8" x14ac:dyDescent="0.25">
      <c r="B391" s="14" t="s">
        <v>797</v>
      </c>
      <c r="C391" s="14" t="s">
        <v>1</v>
      </c>
      <c r="D391" s="14">
        <v>-1</v>
      </c>
      <c r="E391" s="14">
        <v>-0.2</v>
      </c>
      <c r="F391" s="14">
        <v>0</v>
      </c>
      <c r="G391" s="14">
        <v>4859996</v>
      </c>
      <c r="H391" t="s">
        <v>1065</v>
      </c>
    </row>
    <row r="392" spans="2:8" x14ac:dyDescent="0.25">
      <c r="B392" s="14" t="s">
        <v>797</v>
      </c>
      <c r="C392" s="14" t="s">
        <v>1</v>
      </c>
      <c r="D392" s="14">
        <v>-1</v>
      </c>
      <c r="E392" s="14">
        <v>-0.2</v>
      </c>
      <c r="F392" s="14">
        <v>0</v>
      </c>
      <c r="G392" s="14">
        <v>4859935</v>
      </c>
      <c r="H392" t="s">
        <v>1065</v>
      </c>
    </row>
    <row r="393" spans="2:8" x14ac:dyDescent="0.25">
      <c r="B393" s="14" t="s">
        <v>797</v>
      </c>
      <c r="C393" s="14" t="s">
        <v>802</v>
      </c>
      <c r="D393" s="14">
        <v>-0.3</v>
      </c>
      <c r="E393" s="14">
        <v>0.9</v>
      </c>
      <c r="F393" s="14">
        <v>0</v>
      </c>
      <c r="G393" s="14">
        <v>4984283</v>
      </c>
      <c r="H393" t="s">
        <v>1065</v>
      </c>
    </row>
    <row r="394" spans="2:8" x14ac:dyDescent="0.25">
      <c r="B394" s="14" t="s">
        <v>797</v>
      </c>
      <c r="C394" s="14" t="s">
        <v>802</v>
      </c>
      <c r="D394" s="14">
        <v>-0.3</v>
      </c>
      <c r="E394" s="14">
        <v>0.9</v>
      </c>
      <c r="F394" s="14">
        <v>0</v>
      </c>
      <c r="G394" s="14">
        <v>4792652</v>
      </c>
      <c r="H394" t="s">
        <v>1065</v>
      </c>
    </row>
    <row r="395" spans="2:8" s="14" customFormat="1" x14ac:dyDescent="0.25">
      <c r="B395" s="14" t="s">
        <v>1082</v>
      </c>
      <c r="C395" s="14" t="s">
        <v>1050</v>
      </c>
    </row>
    <row r="396" spans="2:8" s="14" customFormat="1" x14ac:dyDescent="0.25">
      <c r="B396" s="14" t="s">
        <v>1084</v>
      </c>
      <c r="C396" s="14" t="s">
        <v>1083</v>
      </c>
      <c r="D396" s="14">
        <v>0.5</v>
      </c>
      <c r="E396" s="14">
        <v>-0.8</v>
      </c>
      <c r="F396" s="14">
        <v>0</v>
      </c>
    </row>
  </sheetData>
  <customSheetViews>
    <customSheetView guid="{561E68F6-21E3-461A-ACB1-9392AEDA3331}" topLeftCell="A336">
      <selection activeCell="J27" sqref="J27"/>
      <pageMargins left="0.7" right="0.7" top="0.75" bottom="0.75" header="0.3" footer="0.3"/>
    </customSheetView>
    <customSheetView guid="{2A8AA8A9-D849-43BE-B128-2DCE8081808F}" topLeftCell="A337">
      <selection activeCell="B359" sqref="B359"/>
      <pageMargins left="0.7" right="0.7" top="0.75" bottom="0.75" header="0.3" footer="0.3"/>
    </customSheetView>
    <customSheetView guid="{E07775A8-4E8E-4F0F-ABD4-8C1611285DFF}" topLeftCell="A336">
      <selection activeCell="J27" sqref="J2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85"/>
  <sheetViews>
    <sheetView workbookViewId="0">
      <selection activeCell="B4" sqref="B4"/>
    </sheetView>
  </sheetViews>
  <sheetFormatPr defaultRowHeight="15" x14ac:dyDescent="0.25"/>
  <sheetData>
    <row r="2" spans="2:7" x14ac:dyDescent="0.25">
      <c r="B2" t="s">
        <v>884</v>
      </c>
      <c r="C2">
        <v>1644978</v>
      </c>
    </row>
    <row r="3" spans="2:7" x14ac:dyDescent="0.25">
      <c r="B3" t="s">
        <v>786</v>
      </c>
      <c r="C3" t="s">
        <v>1</v>
      </c>
      <c r="D3">
        <v>-1</v>
      </c>
      <c r="E3">
        <v>-0.2</v>
      </c>
      <c r="F3">
        <v>0</v>
      </c>
      <c r="G3">
        <v>6644884</v>
      </c>
    </row>
    <row r="4" spans="2:7" x14ac:dyDescent="0.25">
      <c r="B4" t="s">
        <v>797</v>
      </c>
      <c r="C4" t="s">
        <v>1</v>
      </c>
      <c r="D4">
        <v>-1</v>
      </c>
      <c r="E4">
        <v>-0.2</v>
      </c>
      <c r="F4">
        <v>0</v>
      </c>
      <c r="G4">
        <v>6644933</v>
      </c>
    </row>
    <row r="5" spans="2:7" x14ac:dyDescent="0.25">
      <c r="B5" t="s">
        <v>787</v>
      </c>
      <c r="C5" t="s">
        <v>1</v>
      </c>
      <c r="D5">
        <v>-1</v>
      </c>
      <c r="E5">
        <v>-0.2</v>
      </c>
      <c r="F5">
        <v>0</v>
      </c>
      <c r="G5">
        <v>6645186</v>
      </c>
    </row>
    <row r="6" spans="2:7" x14ac:dyDescent="0.25">
      <c r="B6" t="s">
        <v>885</v>
      </c>
      <c r="C6">
        <v>1644991</v>
      </c>
    </row>
    <row r="7" spans="2:7" x14ac:dyDescent="0.25">
      <c r="B7" t="s">
        <v>53</v>
      </c>
      <c r="C7" t="s">
        <v>2</v>
      </c>
      <c r="D7">
        <v>1</v>
      </c>
      <c r="E7">
        <v>0.2</v>
      </c>
      <c r="F7">
        <v>0</v>
      </c>
      <c r="G7">
        <v>5569258</v>
      </c>
    </row>
    <row r="8" spans="2:7" x14ac:dyDescent="0.25">
      <c r="B8" t="s">
        <v>886</v>
      </c>
      <c r="C8">
        <v>1644992</v>
      </c>
    </row>
    <row r="9" spans="2:7" x14ac:dyDescent="0.25">
      <c r="B9" t="s">
        <v>53</v>
      </c>
      <c r="C9" t="s">
        <v>2</v>
      </c>
      <c r="D9">
        <v>1</v>
      </c>
      <c r="E9">
        <v>0.2</v>
      </c>
      <c r="F9">
        <v>0</v>
      </c>
      <c r="G9">
        <v>5569149</v>
      </c>
    </row>
    <row r="10" spans="2:7" x14ac:dyDescent="0.25">
      <c r="B10" t="s">
        <v>887</v>
      </c>
      <c r="C10">
        <v>1644997</v>
      </c>
    </row>
    <row r="11" spans="2:7" x14ac:dyDescent="0.25">
      <c r="B11" t="s">
        <v>54</v>
      </c>
      <c r="C11" t="s">
        <v>2</v>
      </c>
      <c r="D11">
        <v>1</v>
      </c>
      <c r="E11">
        <v>0.2</v>
      </c>
      <c r="F11">
        <v>0</v>
      </c>
      <c r="G11">
        <v>5567517</v>
      </c>
    </row>
    <row r="12" spans="2:7" x14ac:dyDescent="0.25">
      <c r="B12" t="s">
        <v>54</v>
      </c>
      <c r="C12" t="s">
        <v>2</v>
      </c>
      <c r="D12">
        <v>1</v>
      </c>
      <c r="E12">
        <v>0.2</v>
      </c>
      <c r="F12">
        <v>0</v>
      </c>
      <c r="G12">
        <v>5567589</v>
      </c>
    </row>
    <row r="13" spans="2:7" x14ac:dyDescent="0.25">
      <c r="B13" t="s">
        <v>888</v>
      </c>
      <c r="C13">
        <v>1645003</v>
      </c>
    </row>
    <row r="14" spans="2:7" x14ac:dyDescent="0.25">
      <c r="B14" t="s">
        <v>53</v>
      </c>
      <c r="C14" t="s">
        <v>2</v>
      </c>
      <c r="D14">
        <v>1</v>
      </c>
      <c r="E14">
        <v>0.2</v>
      </c>
      <c r="F14">
        <v>0</v>
      </c>
      <c r="G14">
        <v>5568273</v>
      </c>
    </row>
    <row r="15" spans="2:7" x14ac:dyDescent="0.25">
      <c r="B15" t="s">
        <v>54</v>
      </c>
      <c r="C15" t="s">
        <v>2</v>
      </c>
      <c r="D15">
        <v>1</v>
      </c>
      <c r="E15">
        <v>0.2</v>
      </c>
      <c r="F15">
        <v>0</v>
      </c>
      <c r="G15">
        <v>5568414</v>
      </c>
    </row>
    <row r="16" spans="2:7" x14ac:dyDescent="0.25">
      <c r="B16" t="s">
        <v>889</v>
      </c>
      <c r="C16">
        <v>1645004</v>
      </c>
    </row>
    <row r="17" spans="2:7" x14ac:dyDescent="0.25">
      <c r="B17" t="s">
        <v>54</v>
      </c>
      <c r="C17" t="s">
        <v>2</v>
      </c>
      <c r="D17">
        <v>1</v>
      </c>
      <c r="E17">
        <v>0.2</v>
      </c>
      <c r="F17">
        <v>0</v>
      </c>
      <c r="G17">
        <v>5568579</v>
      </c>
    </row>
    <row r="18" spans="2:7" x14ac:dyDescent="0.25">
      <c r="B18" t="s">
        <v>890</v>
      </c>
      <c r="C18">
        <v>1645005</v>
      </c>
    </row>
    <row r="19" spans="2:7" x14ac:dyDescent="0.25">
      <c r="B19" t="s">
        <v>54</v>
      </c>
      <c r="C19" t="s">
        <v>2</v>
      </c>
      <c r="D19">
        <v>1</v>
      </c>
      <c r="E19">
        <v>0.2</v>
      </c>
      <c r="F19">
        <v>0</v>
      </c>
      <c r="G19">
        <v>5568486</v>
      </c>
    </row>
    <row r="20" spans="2:7" x14ac:dyDescent="0.25">
      <c r="B20" t="s">
        <v>891</v>
      </c>
      <c r="C20">
        <v>1645010</v>
      </c>
    </row>
    <row r="21" spans="2:7" x14ac:dyDescent="0.25">
      <c r="B21" t="s">
        <v>787</v>
      </c>
      <c r="C21" t="s">
        <v>1</v>
      </c>
      <c r="D21">
        <v>-1</v>
      </c>
      <c r="E21">
        <v>-0.2</v>
      </c>
      <c r="F21">
        <v>0</v>
      </c>
      <c r="G21">
        <v>6313589</v>
      </c>
    </row>
    <row r="22" spans="2:7" x14ac:dyDescent="0.25">
      <c r="B22" t="s">
        <v>787</v>
      </c>
      <c r="C22" t="s">
        <v>1</v>
      </c>
      <c r="D22">
        <v>-1</v>
      </c>
      <c r="E22">
        <v>-0.2</v>
      </c>
      <c r="F22">
        <v>0</v>
      </c>
      <c r="G22">
        <v>6313629</v>
      </c>
    </row>
    <row r="23" spans="2:7" x14ac:dyDescent="0.25">
      <c r="B23" t="s">
        <v>892</v>
      </c>
      <c r="C23">
        <v>1645011</v>
      </c>
    </row>
    <row r="24" spans="2:7" x14ac:dyDescent="0.25">
      <c r="B24" t="s">
        <v>786</v>
      </c>
      <c r="C24" t="s">
        <v>1</v>
      </c>
      <c r="D24">
        <v>-1</v>
      </c>
      <c r="E24">
        <v>-0.2</v>
      </c>
      <c r="F24">
        <v>0</v>
      </c>
      <c r="G24">
        <v>6313377</v>
      </c>
    </row>
    <row r="25" spans="2:7" x14ac:dyDescent="0.25">
      <c r="B25" t="s">
        <v>893</v>
      </c>
      <c r="C25">
        <v>1645014</v>
      </c>
    </row>
    <row r="26" spans="2:7" x14ac:dyDescent="0.25">
      <c r="B26" t="s">
        <v>787</v>
      </c>
      <c r="C26" t="s">
        <v>1</v>
      </c>
      <c r="D26">
        <v>-1</v>
      </c>
      <c r="E26">
        <v>-0.2</v>
      </c>
      <c r="F26">
        <v>0</v>
      </c>
      <c r="G26">
        <v>6313509</v>
      </c>
    </row>
    <row r="27" spans="2:7" x14ac:dyDescent="0.25">
      <c r="B27" t="s">
        <v>894</v>
      </c>
      <c r="C27">
        <v>1645016</v>
      </c>
    </row>
    <row r="28" spans="2:7" x14ac:dyDescent="0.25">
      <c r="B28" t="s">
        <v>787</v>
      </c>
      <c r="C28" t="s">
        <v>5</v>
      </c>
      <c r="D28">
        <v>0.2</v>
      </c>
      <c r="E28">
        <v>-1</v>
      </c>
      <c r="F28">
        <v>0</v>
      </c>
      <c r="G28">
        <v>6321134</v>
      </c>
    </row>
    <row r="29" spans="2:7" x14ac:dyDescent="0.25">
      <c r="B29" t="s">
        <v>895</v>
      </c>
      <c r="C29">
        <v>1645018</v>
      </c>
    </row>
    <row r="30" spans="2:7" x14ac:dyDescent="0.25">
      <c r="B30" t="s">
        <v>54</v>
      </c>
      <c r="C30" t="s">
        <v>2</v>
      </c>
      <c r="D30">
        <v>1</v>
      </c>
      <c r="E30">
        <v>0.2</v>
      </c>
      <c r="F30">
        <v>0</v>
      </c>
      <c r="G30">
        <v>5569637</v>
      </c>
    </row>
    <row r="31" spans="2:7" x14ac:dyDescent="0.25">
      <c r="B31" t="s">
        <v>54</v>
      </c>
      <c r="C31" t="s">
        <v>2</v>
      </c>
      <c r="D31">
        <v>1</v>
      </c>
      <c r="E31">
        <v>0.2</v>
      </c>
      <c r="F31">
        <v>0</v>
      </c>
      <c r="G31">
        <v>5569808</v>
      </c>
    </row>
    <row r="32" spans="2:7" x14ac:dyDescent="0.25">
      <c r="B32" t="s">
        <v>896</v>
      </c>
      <c r="C32">
        <v>1645019</v>
      </c>
    </row>
    <row r="33" spans="2:7" x14ac:dyDescent="0.25">
      <c r="B33" t="s">
        <v>54</v>
      </c>
      <c r="C33" t="s">
        <v>2</v>
      </c>
      <c r="D33">
        <v>1</v>
      </c>
      <c r="E33">
        <v>0.2</v>
      </c>
      <c r="F33">
        <v>0</v>
      </c>
      <c r="G33">
        <v>5569724</v>
      </c>
    </row>
    <row r="34" spans="2:7" x14ac:dyDescent="0.25">
      <c r="B34" t="s">
        <v>897</v>
      </c>
      <c r="C34">
        <v>1645020</v>
      </c>
    </row>
    <row r="35" spans="2:7" x14ac:dyDescent="0.25">
      <c r="B35" t="s">
        <v>53</v>
      </c>
      <c r="C35" t="s">
        <v>2</v>
      </c>
      <c r="D35">
        <v>1</v>
      </c>
      <c r="E35">
        <v>0.2</v>
      </c>
      <c r="F35">
        <v>0</v>
      </c>
      <c r="G35">
        <v>5569355</v>
      </c>
    </row>
    <row r="36" spans="2:7" x14ac:dyDescent="0.25">
      <c r="B36" t="s">
        <v>54</v>
      </c>
      <c r="C36" t="s">
        <v>2</v>
      </c>
      <c r="D36">
        <v>1</v>
      </c>
      <c r="E36">
        <v>0.2</v>
      </c>
      <c r="F36">
        <v>0</v>
      </c>
      <c r="G36">
        <v>5569528</v>
      </c>
    </row>
    <row r="37" spans="2:7" x14ac:dyDescent="0.25">
      <c r="B37" t="s">
        <v>54</v>
      </c>
      <c r="C37" t="s">
        <v>2</v>
      </c>
      <c r="D37">
        <v>1</v>
      </c>
      <c r="E37">
        <v>0.2</v>
      </c>
      <c r="F37">
        <v>0</v>
      </c>
      <c r="G37">
        <v>5569861</v>
      </c>
    </row>
    <row r="38" spans="2:7" x14ac:dyDescent="0.25">
      <c r="B38" t="s">
        <v>898</v>
      </c>
      <c r="C38">
        <v>1645026</v>
      </c>
    </row>
    <row r="39" spans="2:7" x14ac:dyDescent="0.25">
      <c r="B39" t="s">
        <v>797</v>
      </c>
      <c r="C39" t="s">
        <v>1</v>
      </c>
      <c r="D39">
        <v>-1</v>
      </c>
      <c r="E39">
        <v>-0.2</v>
      </c>
      <c r="F39">
        <v>0</v>
      </c>
      <c r="G39">
        <v>6314065</v>
      </c>
    </row>
    <row r="40" spans="2:7" x14ac:dyDescent="0.25">
      <c r="B40" t="s">
        <v>899</v>
      </c>
      <c r="C40">
        <v>1645032</v>
      </c>
    </row>
    <row r="41" spans="2:7" x14ac:dyDescent="0.25">
      <c r="B41" t="s">
        <v>53</v>
      </c>
      <c r="C41" t="s">
        <v>2</v>
      </c>
      <c r="D41">
        <v>1</v>
      </c>
      <c r="E41">
        <v>0.2</v>
      </c>
      <c r="F41">
        <v>0</v>
      </c>
      <c r="G41">
        <v>5570136</v>
      </c>
    </row>
    <row r="42" spans="2:7" x14ac:dyDescent="0.25">
      <c r="B42" t="s">
        <v>900</v>
      </c>
      <c r="C42">
        <v>1645033</v>
      </c>
    </row>
    <row r="43" spans="2:7" x14ac:dyDescent="0.25">
      <c r="B43" t="s">
        <v>53</v>
      </c>
      <c r="C43" t="s">
        <v>2</v>
      </c>
      <c r="D43">
        <v>1</v>
      </c>
      <c r="E43">
        <v>0.2</v>
      </c>
      <c r="F43">
        <v>0</v>
      </c>
      <c r="G43">
        <v>5570081</v>
      </c>
    </row>
    <row r="44" spans="2:7" x14ac:dyDescent="0.25">
      <c r="B44" t="s">
        <v>901</v>
      </c>
      <c r="C44">
        <v>1645036</v>
      </c>
    </row>
    <row r="45" spans="2:7" x14ac:dyDescent="0.25">
      <c r="B45" t="s">
        <v>797</v>
      </c>
      <c r="C45" t="s">
        <v>5</v>
      </c>
      <c r="D45">
        <v>0.2</v>
      </c>
      <c r="E45">
        <v>-1</v>
      </c>
      <c r="F45">
        <v>0</v>
      </c>
      <c r="G45">
        <v>6320876</v>
      </c>
    </row>
    <row r="46" spans="2:7" x14ac:dyDescent="0.25">
      <c r="B46" t="s">
        <v>902</v>
      </c>
      <c r="C46">
        <v>1645042</v>
      </c>
    </row>
    <row r="47" spans="2:7" x14ac:dyDescent="0.25">
      <c r="B47" t="s">
        <v>53</v>
      </c>
      <c r="C47" t="s">
        <v>2</v>
      </c>
      <c r="D47">
        <v>1</v>
      </c>
      <c r="E47">
        <v>0.2</v>
      </c>
      <c r="F47">
        <v>0</v>
      </c>
      <c r="G47">
        <v>5566951</v>
      </c>
    </row>
    <row r="48" spans="2:7" x14ac:dyDescent="0.25">
      <c r="B48" t="s">
        <v>53</v>
      </c>
      <c r="C48" t="s">
        <v>2</v>
      </c>
      <c r="D48">
        <v>1</v>
      </c>
      <c r="E48">
        <v>0.2</v>
      </c>
      <c r="F48">
        <v>0</v>
      </c>
      <c r="G48">
        <v>5567208</v>
      </c>
    </row>
    <row r="49" spans="2:7" x14ac:dyDescent="0.25">
      <c r="B49" t="s">
        <v>903</v>
      </c>
      <c r="C49">
        <v>1645043</v>
      </c>
    </row>
    <row r="50" spans="2:7" x14ac:dyDescent="0.25">
      <c r="B50" t="s">
        <v>53</v>
      </c>
      <c r="C50" t="s">
        <v>2</v>
      </c>
      <c r="D50">
        <v>1</v>
      </c>
      <c r="E50">
        <v>0.2</v>
      </c>
      <c r="F50">
        <v>0</v>
      </c>
      <c r="G50">
        <v>5567208</v>
      </c>
    </row>
    <row r="51" spans="2:7" x14ac:dyDescent="0.25">
      <c r="B51" t="s">
        <v>53</v>
      </c>
      <c r="C51" t="s">
        <v>2</v>
      </c>
      <c r="D51">
        <v>1</v>
      </c>
      <c r="E51">
        <v>0.2</v>
      </c>
      <c r="F51">
        <v>0</v>
      </c>
      <c r="G51">
        <v>5567282</v>
      </c>
    </row>
    <row r="52" spans="2:7" x14ac:dyDescent="0.25">
      <c r="B52" t="s">
        <v>904</v>
      </c>
      <c r="C52">
        <v>1645044</v>
      </c>
    </row>
    <row r="53" spans="2:7" x14ac:dyDescent="0.25">
      <c r="B53" t="s">
        <v>53</v>
      </c>
      <c r="C53" t="s">
        <v>2</v>
      </c>
      <c r="D53">
        <v>1</v>
      </c>
      <c r="E53">
        <v>0.2</v>
      </c>
      <c r="F53">
        <v>0</v>
      </c>
      <c r="G53">
        <v>5567699</v>
      </c>
    </row>
    <row r="54" spans="2:7" x14ac:dyDescent="0.25">
      <c r="B54" t="s">
        <v>54</v>
      </c>
      <c r="C54" t="s">
        <v>2</v>
      </c>
      <c r="D54">
        <v>1</v>
      </c>
      <c r="E54">
        <v>0.2</v>
      </c>
      <c r="F54">
        <v>0</v>
      </c>
      <c r="G54">
        <v>5567861</v>
      </c>
    </row>
    <row r="55" spans="2:7" x14ac:dyDescent="0.25">
      <c r="B55" t="s">
        <v>905</v>
      </c>
      <c r="C55">
        <v>1645052</v>
      </c>
    </row>
    <row r="56" spans="2:7" x14ac:dyDescent="0.25">
      <c r="B56" t="s">
        <v>126</v>
      </c>
      <c r="C56" t="s">
        <v>2</v>
      </c>
      <c r="D56">
        <v>1</v>
      </c>
      <c r="E56">
        <v>0.2</v>
      </c>
      <c r="F56">
        <v>0</v>
      </c>
      <c r="G56">
        <v>5566313</v>
      </c>
    </row>
    <row r="57" spans="2:7" x14ac:dyDescent="0.25">
      <c r="B57" t="s">
        <v>53</v>
      </c>
      <c r="C57" t="s">
        <v>2</v>
      </c>
      <c r="D57">
        <v>1</v>
      </c>
      <c r="E57">
        <v>0.2</v>
      </c>
      <c r="F57">
        <v>0</v>
      </c>
      <c r="G57">
        <v>5566405</v>
      </c>
    </row>
    <row r="58" spans="2:7" x14ac:dyDescent="0.25">
      <c r="B58" t="s">
        <v>906</v>
      </c>
      <c r="C58">
        <v>1645053</v>
      </c>
    </row>
    <row r="59" spans="2:7" x14ac:dyDescent="0.25">
      <c r="B59" t="s">
        <v>53</v>
      </c>
      <c r="C59" t="s">
        <v>2</v>
      </c>
      <c r="D59">
        <v>1</v>
      </c>
      <c r="E59">
        <v>0.2</v>
      </c>
      <c r="F59">
        <v>0</v>
      </c>
      <c r="G59">
        <v>5566405</v>
      </c>
    </row>
    <row r="60" spans="2:7" x14ac:dyDescent="0.25">
      <c r="B60" t="s">
        <v>907</v>
      </c>
      <c r="C60">
        <v>1645054</v>
      </c>
    </row>
    <row r="61" spans="2:7" x14ac:dyDescent="0.25">
      <c r="B61" t="s">
        <v>54</v>
      </c>
      <c r="C61" t="s">
        <v>2</v>
      </c>
      <c r="D61">
        <v>1</v>
      </c>
      <c r="E61">
        <v>0.2</v>
      </c>
      <c r="F61">
        <v>0</v>
      </c>
      <c r="G61">
        <v>5566615</v>
      </c>
    </row>
    <row r="62" spans="2:7" x14ac:dyDescent="0.25">
      <c r="B62" t="s">
        <v>54</v>
      </c>
      <c r="C62" t="s">
        <v>2</v>
      </c>
      <c r="D62">
        <v>1</v>
      </c>
      <c r="E62">
        <v>0.2</v>
      </c>
      <c r="F62">
        <v>0</v>
      </c>
      <c r="G62">
        <v>5566687</v>
      </c>
    </row>
    <row r="63" spans="2:7" x14ac:dyDescent="0.25">
      <c r="B63" t="s">
        <v>908</v>
      </c>
      <c r="C63">
        <v>1645056</v>
      </c>
    </row>
    <row r="64" spans="2:7" x14ac:dyDescent="0.25">
      <c r="B64" t="s">
        <v>54</v>
      </c>
      <c r="C64" t="s">
        <v>2</v>
      </c>
      <c r="D64">
        <v>1</v>
      </c>
      <c r="E64">
        <v>0.2</v>
      </c>
      <c r="F64">
        <v>0</v>
      </c>
      <c r="G64">
        <v>5566823</v>
      </c>
    </row>
    <row r="65" spans="2:7" x14ac:dyDescent="0.25">
      <c r="B65" t="s">
        <v>909</v>
      </c>
      <c r="C65">
        <v>1645058</v>
      </c>
    </row>
    <row r="66" spans="2:7" x14ac:dyDescent="0.25">
      <c r="B66" t="s">
        <v>54</v>
      </c>
      <c r="C66" t="s">
        <v>2</v>
      </c>
      <c r="D66">
        <v>1</v>
      </c>
      <c r="E66">
        <v>0.2</v>
      </c>
      <c r="F66">
        <v>0</v>
      </c>
      <c r="G66">
        <v>5566178</v>
      </c>
    </row>
    <row r="67" spans="2:7" x14ac:dyDescent="0.25">
      <c r="B67" t="s">
        <v>126</v>
      </c>
      <c r="C67" t="s">
        <v>2</v>
      </c>
      <c r="D67">
        <v>1</v>
      </c>
      <c r="E67">
        <v>0.2</v>
      </c>
      <c r="F67">
        <v>0</v>
      </c>
      <c r="G67">
        <v>5566313</v>
      </c>
    </row>
    <row r="68" spans="2:7" x14ac:dyDescent="0.25">
      <c r="B68" t="s">
        <v>910</v>
      </c>
      <c r="C68">
        <v>1645059</v>
      </c>
    </row>
    <row r="69" spans="2:7" x14ac:dyDescent="0.25">
      <c r="B69" t="s">
        <v>54</v>
      </c>
      <c r="C69" t="s">
        <v>2</v>
      </c>
      <c r="D69">
        <v>1</v>
      </c>
      <c r="E69">
        <v>0.2</v>
      </c>
      <c r="F69">
        <v>0</v>
      </c>
      <c r="G69">
        <v>5566543</v>
      </c>
    </row>
    <row r="70" spans="2:7" x14ac:dyDescent="0.25">
      <c r="B70" t="s">
        <v>911</v>
      </c>
      <c r="C70">
        <v>1645071</v>
      </c>
    </row>
    <row r="71" spans="2:7" x14ac:dyDescent="0.25">
      <c r="B71" t="s">
        <v>786</v>
      </c>
      <c r="C71" t="s">
        <v>1</v>
      </c>
      <c r="D71">
        <v>-1</v>
      </c>
      <c r="E71">
        <v>-0.2</v>
      </c>
      <c r="F71">
        <v>0</v>
      </c>
      <c r="G71">
        <v>6314025</v>
      </c>
    </row>
    <row r="72" spans="2:7" x14ac:dyDescent="0.25">
      <c r="B72" t="s">
        <v>912</v>
      </c>
      <c r="C72">
        <v>1645075</v>
      </c>
    </row>
    <row r="73" spans="2:7" x14ac:dyDescent="0.25">
      <c r="B73" t="s">
        <v>797</v>
      </c>
      <c r="C73" t="s">
        <v>1</v>
      </c>
      <c r="D73">
        <v>-1</v>
      </c>
      <c r="E73">
        <v>-0.2</v>
      </c>
      <c r="F73">
        <v>0</v>
      </c>
      <c r="G73">
        <v>6313723</v>
      </c>
    </row>
    <row r="74" spans="2:7" x14ac:dyDescent="0.25">
      <c r="B74" t="s">
        <v>913</v>
      </c>
      <c r="C74">
        <v>1645077</v>
      </c>
    </row>
    <row r="75" spans="2:7" x14ac:dyDescent="0.25">
      <c r="B75" t="s">
        <v>54</v>
      </c>
      <c r="C75" t="s">
        <v>2</v>
      </c>
      <c r="D75">
        <v>1</v>
      </c>
      <c r="E75">
        <v>0.2</v>
      </c>
      <c r="F75">
        <v>0</v>
      </c>
      <c r="G75">
        <v>5570200</v>
      </c>
    </row>
    <row r="76" spans="2:7" x14ac:dyDescent="0.25">
      <c r="B76" t="s">
        <v>914</v>
      </c>
      <c r="C76">
        <v>1645078</v>
      </c>
    </row>
    <row r="77" spans="2:7" x14ac:dyDescent="0.25">
      <c r="B77" t="s">
        <v>53</v>
      </c>
      <c r="C77" t="s">
        <v>2</v>
      </c>
      <c r="D77">
        <v>1</v>
      </c>
      <c r="E77">
        <v>0.2</v>
      </c>
      <c r="F77">
        <v>0</v>
      </c>
      <c r="G77">
        <v>5568132</v>
      </c>
    </row>
    <row r="78" spans="2:7" x14ac:dyDescent="0.25">
      <c r="B78" t="s">
        <v>915</v>
      </c>
      <c r="C78">
        <v>1645079</v>
      </c>
    </row>
    <row r="79" spans="2:7" x14ac:dyDescent="0.25">
      <c r="B79" t="s">
        <v>786</v>
      </c>
      <c r="C79" t="s">
        <v>1</v>
      </c>
      <c r="D79">
        <v>-1</v>
      </c>
      <c r="E79">
        <v>-0.2</v>
      </c>
      <c r="F79">
        <v>0</v>
      </c>
      <c r="G79">
        <v>6644884</v>
      </c>
    </row>
    <row r="80" spans="2:7" x14ac:dyDescent="0.25">
      <c r="B80" t="s">
        <v>787</v>
      </c>
      <c r="C80" t="s">
        <v>1</v>
      </c>
      <c r="D80">
        <v>-1</v>
      </c>
      <c r="E80">
        <v>-0.2</v>
      </c>
      <c r="F80">
        <v>0</v>
      </c>
      <c r="G80">
        <v>6645055</v>
      </c>
    </row>
    <row r="81" spans="2:7" x14ac:dyDescent="0.25">
      <c r="B81" t="s">
        <v>787</v>
      </c>
      <c r="C81" t="s">
        <v>1</v>
      </c>
      <c r="D81">
        <v>-1</v>
      </c>
      <c r="E81">
        <v>-0.2</v>
      </c>
      <c r="F81">
        <v>0</v>
      </c>
      <c r="G81">
        <v>6645096</v>
      </c>
    </row>
    <row r="82" spans="2:7" x14ac:dyDescent="0.25">
      <c r="B82" t="s">
        <v>787</v>
      </c>
      <c r="C82" t="s">
        <v>1</v>
      </c>
      <c r="D82">
        <v>-1</v>
      </c>
      <c r="E82">
        <v>-0.2</v>
      </c>
      <c r="F82">
        <v>0</v>
      </c>
      <c r="G82">
        <v>6645160</v>
      </c>
    </row>
    <row r="83" spans="2:7" x14ac:dyDescent="0.25">
      <c r="B83" t="s">
        <v>916</v>
      </c>
      <c r="C83">
        <v>1645080</v>
      </c>
    </row>
    <row r="84" spans="2:7" x14ac:dyDescent="0.25">
      <c r="B84" t="s">
        <v>53</v>
      </c>
      <c r="C84" t="s">
        <v>2</v>
      </c>
      <c r="D84">
        <v>1</v>
      </c>
      <c r="E84">
        <v>0.2</v>
      </c>
      <c r="F84">
        <v>0</v>
      </c>
      <c r="G84">
        <v>5568815</v>
      </c>
    </row>
    <row r="85" spans="2:7" x14ac:dyDescent="0.25">
      <c r="B85" t="s">
        <v>54</v>
      </c>
      <c r="C85" t="s">
        <v>2</v>
      </c>
      <c r="D85">
        <v>1</v>
      </c>
      <c r="E85">
        <v>0.2</v>
      </c>
      <c r="F85">
        <v>0</v>
      </c>
      <c r="G85">
        <v>5568912</v>
      </c>
    </row>
  </sheetData>
  <customSheetViews>
    <customSheetView guid="{2A8AA8A9-D849-43BE-B128-2DCE8081808F}">
      <selection activeCell="R31" sqref="Q31:R31"/>
      <pageMargins left="0.7" right="0.7" top="0.75" bottom="0.75" header="0.3" footer="0.3"/>
    </customSheetView>
    <customSheetView guid="{E07775A8-4E8E-4F0F-ABD4-8C1611285DFF}">
      <selection activeCell="B4" sqref="B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71"/>
  <sheetViews>
    <sheetView workbookViewId="0">
      <selection sqref="A1:G71"/>
    </sheetView>
  </sheetViews>
  <sheetFormatPr defaultRowHeight="15" x14ac:dyDescent="0.25"/>
  <cols>
    <col min="2" max="2" width="92" bestFit="1" customWidth="1"/>
  </cols>
  <sheetData>
    <row r="2" spans="2:7" x14ac:dyDescent="0.25">
      <c r="B2">
        <v>2678</v>
      </c>
      <c r="C2">
        <v>1439470</v>
      </c>
    </row>
    <row r="3" spans="2:7" x14ac:dyDescent="0.25">
      <c r="B3" t="s">
        <v>30</v>
      </c>
      <c r="C3" t="s">
        <v>793</v>
      </c>
      <c r="D3">
        <v>0</v>
      </c>
      <c r="E3">
        <v>1</v>
      </c>
      <c r="F3">
        <v>0</v>
      </c>
      <c r="G3">
        <v>4809058</v>
      </c>
    </row>
    <row r="4" spans="2:7" x14ac:dyDescent="0.25">
      <c r="B4" t="s">
        <v>33</v>
      </c>
      <c r="C4" t="s">
        <v>793</v>
      </c>
      <c r="D4">
        <v>0</v>
      </c>
      <c r="E4">
        <v>1</v>
      </c>
      <c r="F4">
        <v>0</v>
      </c>
      <c r="G4">
        <v>4809155</v>
      </c>
    </row>
    <row r="5" spans="2:7" x14ac:dyDescent="0.25">
      <c r="B5" t="s">
        <v>31</v>
      </c>
      <c r="C5" t="s">
        <v>793</v>
      </c>
      <c r="D5">
        <v>0</v>
      </c>
      <c r="E5">
        <v>1</v>
      </c>
      <c r="F5">
        <v>0</v>
      </c>
      <c r="G5">
        <v>4809249</v>
      </c>
    </row>
    <row r="6" spans="2:7" x14ac:dyDescent="0.25">
      <c r="B6" t="s">
        <v>27</v>
      </c>
      <c r="C6" t="s">
        <v>793</v>
      </c>
      <c r="D6">
        <v>0</v>
      </c>
      <c r="E6">
        <v>1</v>
      </c>
      <c r="F6">
        <v>0</v>
      </c>
      <c r="G6">
        <v>4809343</v>
      </c>
    </row>
    <row r="7" spans="2:7" x14ac:dyDescent="0.25">
      <c r="B7" t="s">
        <v>33</v>
      </c>
      <c r="C7" t="s">
        <v>793</v>
      </c>
      <c r="D7">
        <v>0</v>
      </c>
      <c r="E7">
        <v>1</v>
      </c>
      <c r="F7">
        <v>0</v>
      </c>
      <c r="G7">
        <v>5207394</v>
      </c>
    </row>
    <row r="8" spans="2:7" x14ac:dyDescent="0.25">
      <c r="B8">
        <v>2679</v>
      </c>
      <c r="C8">
        <v>1439586</v>
      </c>
    </row>
    <row r="9" spans="2:7" x14ac:dyDescent="0.25">
      <c r="B9" t="s">
        <v>31</v>
      </c>
      <c r="C9" t="s">
        <v>5</v>
      </c>
      <c r="D9">
        <v>0.2</v>
      </c>
      <c r="E9">
        <v>-1</v>
      </c>
      <c r="F9">
        <v>0</v>
      </c>
      <c r="G9">
        <v>4807556</v>
      </c>
    </row>
    <row r="10" spans="2:7" x14ac:dyDescent="0.25">
      <c r="B10">
        <v>2681</v>
      </c>
      <c r="C10">
        <v>1440260</v>
      </c>
    </row>
    <row r="11" spans="2:7" x14ac:dyDescent="0.25">
      <c r="B11" t="s">
        <v>28</v>
      </c>
      <c r="C11" t="s">
        <v>796</v>
      </c>
      <c r="D11">
        <v>-0.1</v>
      </c>
      <c r="E11">
        <v>-1</v>
      </c>
      <c r="F11">
        <v>0</v>
      </c>
      <c r="G11">
        <v>4795723</v>
      </c>
    </row>
    <row r="12" spans="2:7" x14ac:dyDescent="0.25">
      <c r="B12" t="s">
        <v>27</v>
      </c>
      <c r="C12" t="s">
        <v>796</v>
      </c>
      <c r="D12">
        <v>-0.1</v>
      </c>
      <c r="E12">
        <v>-1</v>
      </c>
      <c r="F12">
        <v>0</v>
      </c>
      <c r="G12">
        <v>4795768</v>
      </c>
    </row>
    <row r="13" spans="2:7" x14ac:dyDescent="0.25">
      <c r="B13" t="s">
        <v>31</v>
      </c>
      <c r="C13" t="s">
        <v>796</v>
      </c>
      <c r="D13">
        <v>-0.1</v>
      </c>
      <c r="E13">
        <v>-1</v>
      </c>
      <c r="F13">
        <v>0</v>
      </c>
      <c r="G13">
        <v>4795778</v>
      </c>
    </row>
    <row r="14" spans="2:7" x14ac:dyDescent="0.25">
      <c r="B14" t="s">
        <v>31</v>
      </c>
      <c r="C14" t="s">
        <v>869</v>
      </c>
      <c r="D14">
        <v>-1</v>
      </c>
      <c r="E14">
        <v>0.1</v>
      </c>
      <c r="F14">
        <v>0</v>
      </c>
      <c r="G14">
        <v>4841854</v>
      </c>
    </row>
    <row r="15" spans="2:7" x14ac:dyDescent="0.25">
      <c r="B15" t="s">
        <v>31</v>
      </c>
      <c r="C15" t="s">
        <v>869</v>
      </c>
      <c r="D15">
        <v>-1</v>
      </c>
      <c r="E15">
        <v>0.1</v>
      </c>
      <c r="F15">
        <v>0</v>
      </c>
      <c r="G15">
        <v>4841923</v>
      </c>
    </row>
    <row r="16" spans="2:7" x14ac:dyDescent="0.25">
      <c r="B16" t="s">
        <v>31</v>
      </c>
      <c r="C16" t="s">
        <v>869</v>
      </c>
      <c r="D16">
        <v>-1</v>
      </c>
      <c r="E16">
        <v>0.1</v>
      </c>
      <c r="F16">
        <v>0</v>
      </c>
      <c r="G16">
        <v>4841972</v>
      </c>
    </row>
    <row r="17" spans="2:7" x14ac:dyDescent="0.25">
      <c r="B17">
        <v>2685</v>
      </c>
      <c r="C17">
        <v>1440919</v>
      </c>
    </row>
    <row r="18" spans="2:7" x14ac:dyDescent="0.25">
      <c r="B18" t="s">
        <v>31</v>
      </c>
      <c r="C18" t="s">
        <v>5</v>
      </c>
      <c r="D18">
        <v>0.2</v>
      </c>
      <c r="E18">
        <v>-1</v>
      </c>
      <c r="F18">
        <v>0</v>
      </c>
      <c r="G18">
        <v>4807632</v>
      </c>
    </row>
    <row r="19" spans="2:7" x14ac:dyDescent="0.25">
      <c r="B19" t="s">
        <v>27</v>
      </c>
      <c r="C19" t="s">
        <v>5</v>
      </c>
      <c r="D19">
        <v>0.2</v>
      </c>
      <c r="E19">
        <v>-1</v>
      </c>
      <c r="F19">
        <v>0</v>
      </c>
      <c r="G19">
        <v>4807660</v>
      </c>
    </row>
    <row r="20" spans="2:7" x14ac:dyDescent="0.25">
      <c r="B20">
        <v>2686</v>
      </c>
      <c r="C20">
        <v>1441302</v>
      </c>
    </row>
    <row r="21" spans="2:7" x14ac:dyDescent="0.25">
      <c r="B21" t="s">
        <v>31</v>
      </c>
      <c r="C21" t="s">
        <v>846</v>
      </c>
      <c r="D21">
        <v>-1</v>
      </c>
      <c r="E21">
        <v>0.1</v>
      </c>
      <c r="F21">
        <v>0</v>
      </c>
      <c r="G21">
        <v>4801883</v>
      </c>
    </row>
    <row r="22" spans="2:7" x14ac:dyDescent="0.25">
      <c r="B22">
        <v>2690</v>
      </c>
      <c r="C22">
        <v>1442409</v>
      </c>
    </row>
    <row r="23" spans="2:7" x14ac:dyDescent="0.25">
      <c r="B23" t="s">
        <v>31</v>
      </c>
      <c r="C23" t="s">
        <v>846</v>
      </c>
      <c r="D23">
        <v>-1</v>
      </c>
      <c r="E23">
        <v>0.1</v>
      </c>
      <c r="F23">
        <v>0</v>
      </c>
      <c r="G23">
        <v>4801884</v>
      </c>
    </row>
    <row r="24" spans="2:7" x14ac:dyDescent="0.25">
      <c r="B24" t="s">
        <v>31</v>
      </c>
      <c r="C24" t="s">
        <v>846</v>
      </c>
      <c r="D24">
        <v>-1</v>
      </c>
      <c r="E24">
        <v>0.1</v>
      </c>
      <c r="F24">
        <v>0</v>
      </c>
      <c r="G24">
        <v>4848722</v>
      </c>
    </row>
    <row r="25" spans="2:7" x14ac:dyDescent="0.25">
      <c r="B25" t="s">
        <v>31</v>
      </c>
      <c r="C25" t="s">
        <v>793</v>
      </c>
      <c r="D25">
        <v>0</v>
      </c>
      <c r="E25">
        <v>1</v>
      </c>
      <c r="F25">
        <v>0</v>
      </c>
      <c r="G25">
        <v>5148586</v>
      </c>
    </row>
    <row r="26" spans="2:7" x14ac:dyDescent="0.25">
      <c r="B26">
        <v>2695</v>
      </c>
      <c r="C26">
        <v>1464339</v>
      </c>
    </row>
    <row r="27" spans="2:7" x14ac:dyDescent="0.25">
      <c r="B27" t="s">
        <v>31</v>
      </c>
      <c r="C27" t="s">
        <v>6</v>
      </c>
      <c r="D27">
        <v>-0.2</v>
      </c>
      <c r="E27">
        <v>1</v>
      </c>
      <c r="F27">
        <v>0</v>
      </c>
      <c r="G27">
        <v>4821549</v>
      </c>
    </row>
    <row r="28" spans="2:7" x14ac:dyDescent="0.25">
      <c r="B28" t="s">
        <v>33</v>
      </c>
      <c r="C28" t="s">
        <v>6</v>
      </c>
      <c r="D28">
        <v>-0.2</v>
      </c>
      <c r="E28">
        <v>1</v>
      </c>
      <c r="F28">
        <v>0</v>
      </c>
      <c r="G28">
        <v>4821685</v>
      </c>
    </row>
    <row r="29" spans="2:7" x14ac:dyDescent="0.25">
      <c r="B29" t="s">
        <v>30</v>
      </c>
      <c r="C29" t="s">
        <v>6</v>
      </c>
      <c r="D29">
        <v>-0.2</v>
      </c>
      <c r="E29">
        <v>1</v>
      </c>
      <c r="F29">
        <v>0</v>
      </c>
      <c r="G29">
        <v>4821860</v>
      </c>
    </row>
    <row r="30" spans="2:7" x14ac:dyDescent="0.25">
      <c r="B30" t="s">
        <v>33</v>
      </c>
      <c r="C30" t="s">
        <v>6</v>
      </c>
      <c r="D30">
        <v>-0.2</v>
      </c>
      <c r="E30">
        <v>1</v>
      </c>
      <c r="F30">
        <v>0</v>
      </c>
      <c r="G30">
        <v>4822026</v>
      </c>
    </row>
    <row r="31" spans="2:7" x14ac:dyDescent="0.25">
      <c r="B31" t="s">
        <v>31</v>
      </c>
      <c r="C31" t="s">
        <v>847</v>
      </c>
      <c r="D31">
        <v>-1</v>
      </c>
      <c r="E31">
        <v>-0.1</v>
      </c>
      <c r="F31">
        <v>0</v>
      </c>
      <c r="G31">
        <v>4849034</v>
      </c>
    </row>
    <row r="32" spans="2:7" x14ac:dyDescent="0.25">
      <c r="B32" t="s">
        <v>31</v>
      </c>
      <c r="C32" t="s">
        <v>847</v>
      </c>
      <c r="D32">
        <v>-1</v>
      </c>
      <c r="E32">
        <v>-0.1</v>
      </c>
      <c r="F32">
        <v>0</v>
      </c>
      <c r="G32">
        <v>4849069</v>
      </c>
    </row>
    <row r="33" spans="2:7" x14ac:dyDescent="0.25">
      <c r="B33" t="s">
        <v>31</v>
      </c>
      <c r="C33" t="s">
        <v>847</v>
      </c>
      <c r="D33">
        <v>-1</v>
      </c>
      <c r="E33">
        <v>-0.1</v>
      </c>
      <c r="F33">
        <v>0</v>
      </c>
      <c r="G33">
        <v>4849162</v>
      </c>
    </row>
    <row r="34" spans="2:7" x14ac:dyDescent="0.25">
      <c r="B34" t="s">
        <v>38</v>
      </c>
      <c r="C34" t="s">
        <v>5</v>
      </c>
      <c r="D34">
        <v>0.2</v>
      </c>
      <c r="E34">
        <v>-1</v>
      </c>
      <c r="F34">
        <v>0</v>
      </c>
      <c r="G34">
        <v>5009732</v>
      </c>
    </row>
    <row r="35" spans="2:7" x14ac:dyDescent="0.25">
      <c r="B35" t="s">
        <v>31</v>
      </c>
      <c r="C35" t="s">
        <v>793</v>
      </c>
      <c r="D35">
        <v>0</v>
      </c>
      <c r="E35">
        <v>1</v>
      </c>
      <c r="F35">
        <v>0</v>
      </c>
      <c r="G35">
        <v>5148586</v>
      </c>
    </row>
    <row r="36" spans="2:7" x14ac:dyDescent="0.25">
      <c r="B36" t="s">
        <v>30</v>
      </c>
      <c r="C36" t="s">
        <v>5</v>
      </c>
      <c r="D36">
        <v>0.2</v>
      </c>
      <c r="E36">
        <v>-1</v>
      </c>
      <c r="F36">
        <v>0</v>
      </c>
      <c r="G36">
        <v>5148730</v>
      </c>
    </row>
    <row r="37" spans="2:7" x14ac:dyDescent="0.25">
      <c r="B37" t="s">
        <v>27</v>
      </c>
      <c r="C37" t="s">
        <v>793</v>
      </c>
      <c r="D37">
        <v>0</v>
      </c>
      <c r="E37">
        <v>1</v>
      </c>
      <c r="F37">
        <v>0</v>
      </c>
      <c r="G37">
        <v>5207570</v>
      </c>
    </row>
    <row r="38" spans="2:7" x14ac:dyDescent="0.25">
      <c r="B38">
        <v>2699</v>
      </c>
      <c r="C38">
        <v>1467413</v>
      </c>
    </row>
    <row r="39" spans="2:7" x14ac:dyDescent="0.25">
      <c r="B39" t="s">
        <v>27</v>
      </c>
      <c r="C39" t="s">
        <v>796</v>
      </c>
      <c r="D39">
        <v>-0.1</v>
      </c>
      <c r="E39">
        <v>-1</v>
      </c>
      <c r="F39">
        <v>0</v>
      </c>
      <c r="G39">
        <v>4795769</v>
      </c>
    </row>
    <row r="40" spans="2:7" x14ac:dyDescent="0.25">
      <c r="B40" t="s">
        <v>28</v>
      </c>
      <c r="C40" t="s">
        <v>796</v>
      </c>
      <c r="D40">
        <v>-0.1</v>
      </c>
      <c r="E40">
        <v>-1</v>
      </c>
      <c r="F40">
        <v>0</v>
      </c>
      <c r="G40">
        <v>4795773</v>
      </c>
    </row>
    <row r="41" spans="2:7" x14ac:dyDescent="0.25">
      <c r="B41" t="s">
        <v>31</v>
      </c>
      <c r="C41" t="s">
        <v>796</v>
      </c>
      <c r="D41">
        <v>-0.1</v>
      </c>
      <c r="E41">
        <v>-1</v>
      </c>
      <c r="F41">
        <v>0</v>
      </c>
      <c r="G41">
        <v>4795776</v>
      </c>
    </row>
    <row r="42" spans="2:7" x14ac:dyDescent="0.25">
      <c r="B42" t="s">
        <v>30</v>
      </c>
      <c r="C42" t="s">
        <v>796</v>
      </c>
      <c r="D42">
        <v>-0.1</v>
      </c>
      <c r="E42">
        <v>-1</v>
      </c>
      <c r="F42">
        <v>0</v>
      </c>
      <c r="G42">
        <v>4795779</v>
      </c>
    </row>
    <row r="43" spans="2:7" x14ac:dyDescent="0.25">
      <c r="B43">
        <v>2700</v>
      </c>
      <c r="C43">
        <v>1499939</v>
      </c>
    </row>
    <row r="44" spans="2:7" x14ac:dyDescent="0.25">
      <c r="B44" t="s">
        <v>31</v>
      </c>
      <c r="C44" t="s">
        <v>6</v>
      </c>
      <c r="D44">
        <v>-0.2</v>
      </c>
      <c r="E44">
        <v>1</v>
      </c>
      <c r="F44">
        <v>0</v>
      </c>
      <c r="G44">
        <v>4817721</v>
      </c>
    </row>
    <row r="45" spans="2:7" x14ac:dyDescent="0.25">
      <c r="B45" t="s">
        <v>30</v>
      </c>
      <c r="C45" t="s">
        <v>6</v>
      </c>
      <c r="D45">
        <v>-0.2</v>
      </c>
      <c r="E45">
        <v>1</v>
      </c>
      <c r="F45">
        <v>0</v>
      </c>
      <c r="G45">
        <v>4820659</v>
      </c>
    </row>
    <row r="46" spans="2:7" x14ac:dyDescent="0.25">
      <c r="B46">
        <v>2702</v>
      </c>
      <c r="C46">
        <v>1515008</v>
      </c>
    </row>
    <row r="47" spans="2:7" x14ac:dyDescent="0.25">
      <c r="B47" t="s">
        <v>27</v>
      </c>
      <c r="C47" t="s">
        <v>794</v>
      </c>
      <c r="D47">
        <v>0</v>
      </c>
      <c r="E47">
        <v>-1</v>
      </c>
      <c r="F47">
        <v>0</v>
      </c>
      <c r="G47">
        <v>5013541</v>
      </c>
    </row>
    <row r="48" spans="2:7" x14ac:dyDescent="0.25">
      <c r="B48" t="s">
        <v>27</v>
      </c>
      <c r="C48" t="s">
        <v>794</v>
      </c>
      <c r="D48">
        <v>0</v>
      </c>
      <c r="E48">
        <v>-1</v>
      </c>
      <c r="F48">
        <v>0</v>
      </c>
      <c r="G48">
        <v>5207354</v>
      </c>
    </row>
    <row r="49" spans="2:7" x14ac:dyDescent="0.25">
      <c r="B49">
        <v>2703</v>
      </c>
      <c r="C49">
        <v>1515175</v>
      </c>
    </row>
    <row r="50" spans="2:7" x14ac:dyDescent="0.25">
      <c r="B50" t="s">
        <v>28</v>
      </c>
      <c r="C50" t="s">
        <v>796</v>
      </c>
      <c r="D50">
        <v>-0.1</v>
      </c>
      <c r="E50">
        <v>-1</v>
      </c>
      <c r="F50">
        <v>0</v>
      </c>
      <c r="G50">
        <v>4795770</v>
      </c>
    </row>
    <row r="51" spans="2:7" x14ac:dyDescent="0.25">
      <c r="B51" t="s">
        <v>830</v>
      </c>
      <c r="C51" t="s">
        <v>796</v>
      </c>
      <c r="D51">
        <v>-0.1</v>
      </c>
      <c r="E51">
        <v>-1</v>
      </c>
      <c r="F51">
        <v>0</v>
      </c>
      <c r="G51">
        <v>7060921</v>
      </c>
    </row>
    <row r="52" spans="2:7" x14ac:dyDescent="0.25">
      <c r="B52" t="s">
        <v>830</v>
      </c>
      <c r="C52" t="s">
        <v>796</v>
      </c>
      <c r="D52">
        <v>-0.1</v>
      </c>
      <c r="E52">
        <v>-1</v>
      </c>
      <c r="F52">
        <v>0</v>
      </c>
      <c r="G52">
        <v>7060942</v>
      </c>
    </row>
    <row r="53" spans="2:7" x14ac:dyDescent="0.25">
      <c r="B53">
        <v>2704</v>
      </c>
      <c r="C53">
        <v>1529295</v>
      </c>
    </row>
    <row r="54" spans="2:7" x14ac:dyDescent="0.25">
      <c r="B54" t="s">
        <v>27</v>
      </c>
      <c r="C54" t="s">
        <v>795</v>
      </c>
      <c r="D54">
        <v>0.1</v>
      </c>
      <c r="E54">
        <v>1</v>
      </c>
      <c r="F54">
        <v>0</v>
      </c>
      <c r="G54">
        <v>5148432</v>
      </c>
    </row>
    <row r="55" spans="2:7" x14ac:dyDescent="0.25">
      <c r="B55">
        <v>2705</v>
      </c>
      <c r="C55">
        <v>1529298</v>
      </c>
    </row>
    <row r="56" spans="2:7" x14ac:dyDescent="0.25">
      <c r="B56" t="s">
        <v>28</v>
      </c>
      <c r="C56" t="s">
        <v>795</v>
      </c>
      <c r="D56">
        <v>0.1</v>
      </c>
      <c r="E56">
        <v>1</v>
      </c>
      <c r="F56">
        <v>0</v>
      </c>
      <c r="G56">
        <v>4810159</v>
      </c>
    </row>
    <row r="57" spans="2:7" x14ac:dyDescent="0.25">
      <c r="B57" t="s">
        <v>830</v>
      </c>
      <c r="C57" t="s">
        <v>795</v>
      </c>
      <c r="D57">
        <v>0.1</v>
      </c>
      <c r="E57">
        <v>1</v>
      </c>
      <c r="F57">
        <v>0</v>
      </c>
      <c r="G57">
        <v>7064939</v>
      </c>
    </row>
    <row r="58" spans="2:7" x14ac:dyDescent="0.25">
      <c r="B58">
        <v>2706</v>
      </c>
      <c r="C58">
        <v>1529301</v>
      </c>
    </row>
    <row r="59" spans="2:7" x14ac:dyDescent="0.25">
      <c r="B59" t="s">
        <v>31</v>
      </c>
      <c r="C59" t="s">
        <v>795</v>
      </c>
      <c r="D59">
        <v>0.1</v>
      </c>
      <c r="E59">
        <v>1</v>
      </c>
      <c r="F59">
        <v>0</v>
      </c>
      <c r="G59">
        <v>4810260</v>
      </c>
    </row>
    <row r="60" spans="2:7" x14ac:dyDescent="0.25">
      <c r="B60" t="s">
        <v>830</v>
      </c>
      <c r="C60" t="s">
        <v>795</v>
      </c>
      <c r="D60">
        <v>0.1</v>
      </c>
      <c r="E60">
        <v>1</v>
      </c>
      <c r="F60">
        <v>0</v>
      </c>
      <c r="G60">
        <v>7064898</v>
      </c>
    </row>
    <row r="61" spans="2:7" x14ac:dyDescent="0.25">
      <c r="B61" t="s">
        <v>830</v>
      </c>
      <c r="C61" t="s">
        <v>795</v>
      </c>
      <c r="D61">
        <v>0.1</v>
      </c>
      <c r="E61">
        <v>1</v>
      </c>
      <c r="F61">
        <v>0</v>
      </c>
      <c r="G61">
        <v>7064939</v>
      </c>
    </row>
    <row r="62" spans="2:7" x14ac:dyDescent="0.25">
      <c r="B62">
        <v>2707</v>
      </c>
      <c r="C62">
        <v>1529304</v>
      </c>
    </row>
    <row r="63" spans="2:7" x14ac:dyDescent="0.25">
      <c r="B63" t="s">
        <v>31</v>
      </c>
      <c r="C63" t="s">
        <v>795</v>
      </c>
      <c r="D63">
        <v>0.1</v>
      </c>
      <c r="E63">
        <v>1</v>
      </c>
      <c r="F63">
        <v>0</v>
      </c>
      <c r="G63">
        <v>4810393</v>
      </c>
    </row>
    <row r="64" spans="2:7" x14ac:dyDescent="0.25">
      <c r="B64" t="s">
        <v>830</v>
      </c>
      <c r="C64" t="s">
        <v>795</v>
      </c>
      <c r="D64">
        <v>0.1</v>
      </c>
      <c r="E64">
        <v>1</v>
      </c>
      <c r="F64">
        <v>0</v>
      </c>
      <c r="G64">
        <v>7064898</v>
      </c>
    </row>
    <row r="65" spans="2:7" x14ac:dyDescent="0.25">
      <c r="B65">
        <v>2708</v>
      </c>
      <c r="C65">
        <v>1529307</v>
      </c>
    </row>
    <row r="66" spans="2:7" x14ac:dyDescent="0.25">
      <c r="B66" t="s">
        <v>30</v>
      </c>
      <c r="C66" t="s">
        <v>795</v>
      </c>
      <c r="D66">
        <v>0.1</v>
      </c>
      <c r="E66">
        <v>1</v>
      </c>
      <c r="F66">
        <v>0</v>
      </c>
      <c r="G66">
        <v>4803208</v>
      </c>
    </row>
    <row r="67" spans="2:7" x14ac:dyDescent="0.25">
      <c r="B67" t="s">
        <v>31</v>
      </c>
      <c r="C67" t="s">
        <v>795</v>
      </c>
      <c r="D67">
        <v>0.1</v>
      </c>
      <c r="E67">
        <v>1</v>
      </c>
      <c r="F67">
        <v>0</v>
      </c>
      <c r="G67">
        <v>4810087</v>
      </c>
    </row>
    <row r="68" spans="2:7" x14ac:dyDescent="0.25">
      <c r="B68">
        <v>2709</v>
      </c>
      <c r="C68">
        <v>1529310</v>
      </c>
    </row>
    <row r="69" spans="2:7" x14ac:dyDescent="0.25">
      <c r="B69" t="s">
        <v>31</v>
      </c>
      <c r="C69" t="s">
        <v>795</v>
      </c>
      <c r="D69">
        <v>0.1</v>
      </c>
      <c r="E69">
        <v>1</v>
      </c>
      <c r="F69">
        <v>0</v>
      </c>
      <c r="G69">
        <v>5148393</v>
      </c>
    </row>
    <row r="70" spans="2:7" x14ac:dyDescent="0.25">
      <c r="B70">
        <v>2711</v>
      </c>
      <c r="C70">
        <v>1531930</v>
      </c>
    </row>
    <row r="71" spans="2:7" x14ac:dyDescent="0.25">
      <c r="B71" t="s">
        <v>830</v>
      </c>
      <c r="C71" t="s">
        <v>796</v>
      </c>
      <c r="D71">
        <v>-0.1</v>
      </c>
      <c r="E71">
        <v>-1</v>
      </c>
      <c r="F71">
        <v>0</v>
      </c>
      <c r="G71">
        <v>7060921</v>
      </c>
    </row>
  </sheetData>
  <customSheetViews>
    <customSheetView guid="{2A8AA8A9-D849-43BE-B128-2DCE8081808F}">
      <pageMargins left="0.7" right="0.7" top="0.75" bottom="0.75" header="0.3" footer="0.3"/>
    </customSheetView>
    <customSheetView guid="{E07775A8-4E8E-4F0F-ABD4-8C1611285DFF}">
      <selection sqref="A1:G7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74"/>
  <sheetViews>
    <sheetView workbookViewId="0">
      <selection activeCell="O39" sqref="O39"/>
    </sheetView>
  </sheetViews>
  <sheetFormatPr defaultRowHeight="15" x14ac:dyDescent="0.25"/>
  <sheetData>
    <row r="2" spans="2:7" x14ac:dyDescent="0.25">
      <c r="B2" t="s">
        <v>917</v>
      </c>
      <c r="C2">
        <v>1809683</v>
      </c>
    </row>
    <row r="3" spans="2:7" x14ac:dyDescent="0.25">
      <c r="B3" t="s">
        <v>31</v>
      </c>
      <c r="C3" t="s">
        <v>6</v>
      </c>
      <c r="D3">
        <v>-0.2</v>
      </c>
      <c r="E3">
        <v>1</v>
      </c>
      <c r="F3">
        <v>0</v>
      </c>
      <c r="G3">
        <v>3684591</v>
      </c>
    </row>
    <row r="4" spans="2:7" x14ac:dyDescent="0.25">
      <c r="B4" t="s">
        <v>27</v>
      </c>
      <c r="C4" t="s">
        <v>2</v>
      </c>
      <c r="D4">
        <v>1</v>
      </c>
      <c r="E4">
        <v>0.2</v>
      </c>
      <c r="F4">
        <v>0</v>
      </c>
      <c r="G4">
        <v>5065689</v>
      </c>
    </row>
    <row r="5" spans="2:7" x14ac:dyDescent="0.25">
      <c r="B5" t="s">
        <v>27</v>
      </c>
      <c r="C5" t="s">
        <v>2</v>
      </c>
      <c r="D5">
        <v>1</v>
      </c>
      <c r="E5">
        <v>0.2</v>
      </c>
      <c r="F5">
        <v>0</v>
      </c>
      <c r="G5">
        <v>5065690</v>
      </c>
    </row>
    <row r="6" spans="2:7" x14ac:dyDescent="0.25">
      <c r="B6" t="s">
        <v>31</v>
      </c>
      <c r="C6" t="s">
        <v>2</v>
      </c>
      <c r="D6">
        <v>1</v>
      </c>
      <c r="E6">
        <v>0.2</v>
      </c>
      <c r="F6">
        <v>0</v>
      </c>
      <c r="G6">
        <v>5065691</v>
      </c>
    </row>
    <row r="7" spans="2:7" x14ac:dyDescent="0.25">
      <c r="B7" t="s">
        <v>31</v>
      </c>
      <c r="C7" t="s">
        <v>2</v>
      </c>
      <c r="D7">
        <v>1</v>
      </c>
      <c r="E7">
        <v>0.2</v>
      </c>
      <c r="F7">
        <v>0</v>
      </c>
      <c r="G7">
        <v>5065692</v>
      </c>
    </row>
    <row r="8" spans="2:7" x14ac:dyDescent="0.25">
      <c r="B8" t="s">
        <v>31</v>
      </c>
      <c r="C8" t="s">
        <v>5</v>
      </c>
      <c r="D8">
        <v>0.2</v>
      </c>
      <c r="E8">
        <v>-1</v>
      </c>
      <c r="F8">
        <v>0</v>
      </c>
      <c r="G8">
        <v>5711500</v>
      </c>
    </row>
    <row r="9" spans="2:7" x14ac:dyDescent="0.25">
      <c r="B9" t="s">
        <v>31</v>
      </c>
      <c r="C9" t="s">
        <v>5</v>
      </c>
      <c r="D9">
        <v>0.2</v>
      </c>
      <c r="E9">
        <v>-1</v>
      </c>
      <c r="F9">
        <v>0</v>
      </c>
      <c r="G9">
        <v>5711608</v>
      </c>
    </row>
    <row r="10" spans="2:7" x14ac:dyDescent="0.25">
      <c r="B10" t="s">
        <v>918</v>
      </c>
      <c r="C10">
        <v>1809692</v>
      </c>
    </row>
    <row r="11" spans="2:7" x14ac:dyDescent="0.25">
      <c r="B11" t="s">
        <v>797</v>
      </c>
      <c r="C11" t="s">
        <v>5</v>
      </c>
      <c r="D11">
        <v>0.2</v>
      </c>
      <c r="E11">
        <v>-1</v>
      </c>
      <c r="F11">
        <v>0</v>
      </c>
      <c r="G11">
        <v>6320458</v>
      </c>
    </row>
    <row r="12" spans="2:7" x14ac:dyDescent="0.25">
      <c r="B12" t="s">
        <v>919</v>
      </c>
      <c r="C12">
        <v>1809712</v>
      </c>
    </row>
    <row r="13" spans="2:7" x14ac:dyDescent="0.25">
      <c r="B13" t="s">
        <v>797</v>
      </c>
      <c r="C13" t="s">
        <v>1</v>
      </c>
      <c r="D13">
        <v>-1</v>
      </c>
      <c r="E13">
        <v>-0.2</v>
      </c>
      <c r="F13">
        <v>0</v>
      </c>
      <c r="G13">
        <v>6318322</v>
      </c>
    </row>
    <row r="14" spans="2:7" x14ac:dyDescent="0.25">
      <c r="B14" t="s">
        <v>920</v>
      </c>
      <c r="C14">
        <v>1809714</v>
      </c>
    </row>
    <row r="15" spans="2:7" x14ac:dyDescent="0.25">
      <c r="B15" t="s">
        <v>787</v>
      </c>
      <c r="C15" t="s">
        <v>1</v>
      </c>
      <c r="D15">
        <v>-1</v>
      </c>
      <c r="E15">
        <v>-0.2</v>
      </c>
      <c r="F15">
        <v>0</v>
      </c>
      <c r="G15">
        <v>6317754</v>
      </c>
    </row>
    <row r="16" spans="2:7" x14ac:dyDescent="0.25">
      <c r="B16" t="s">
        <v>921</v>
      </c>
      <c r="C16">
        <v>1809715</v>
      </c>
    </row>
    <row r="17" spans="2:7" x14ac:dyDescent="0.25">
      <c r="B17" t="s">
        <v>787</v>
      </c>
      <c r="C17" t="s">
        <v>1</v>
      </c>
      <c r="D17">
        <v>-1</v>
      </c>
      <c r="E17">
        <v>-0.2</v>
      </c>
      <c r="F17">
        <v>0</v>
      </c>
      <c r="G17">
        <v>6317550</v>
      </c>
    </row>
    <row r="18" spans="2:7" x14ac:dyDescent="0.25">
      <c r="B18" t="s">
        <v>922</v>
      </c>
      <c r="C18">
        <v>1809716</v>
      </c>
    </row>
    <row r="19" spans="2:7" x14ac:dyDescent="0.25">
      <c r="B19" t="s">
        <v>797</v>
      </c>
      <c r="C19" t="s">
        <v>1</v>
      </c>
      <c r="D19">
        <v>-1</v>
      </c>
      <c r="E19">
        <v>-0.2</v>
      </c>
      <c r="F19">
        <v>0</v>
      </c>
      <c r="G19">
        <v>6317397</v>
      </c>
    </row>
    <row r="20" spans="2:7" x14ac:dyDescent="0.25">
      <c r="B20" t="s">
        <v>923</v>
      </c>
      <c r="C20">
        <v>1809718</v>
      </c>
    </row>
    <row r="21" spans="2:7" x14ac:dyDescent="0.25">
      <c r="B21" t="s">
        <v>797</v>
      </c>
      <c r="C21" t="s">
        <v>1</v>
      </c>
      <c r="D21">
        <v>-1</v>
      </c>
      <c r="E21">
        <v>-0.2</v>
      </c>
      <c r="F21">
        <v>0</v>
      </c>
      <c r="G21">
        <v>6317059</v>
      </c>
    </row>
    <row r="22" spans="2:7" x14ac:dyDescent="0.25">
      <c r="B22" t="s">
        <v>924</v>
      </c>
      <c r="C22">
        <v>1809719</v>
      </c>
    </row>
    <row r="23" spans="2:7" x14ac:dyDescent="0.25">
      <c r="B23" t="s">
        <v>787</v>
      </c>
      <c r="C23" t="s">
        <v>1</v>
      </c>
      <c r="D23">
        <v>-1</v>
      </c>
      <c r="E23">
        <v>-0.2</v>
      </c>
      <c r="F23">
        <v>0</v>
      </c>
      <c r="G23">
        <v>6316949</v>
      </c>
    </row>
    <row r="24" spans="2:7" x14ac:dyDescent="0.25">
      <c r="B24" t="s">
        <v>925</v>
      </c>
      <c r="C24">
        <v>1809721</v>
      </c>
    </row>
    <row r="25" spans="2:7" x14ac:dyDescent="0.25">
      <c r="B25" t="s">
        <v>787</v>
      </c>
      <c r="C25" t="s">
        <v>5</v>
      </c>
      <c r="D25">
        <v>0.2</v>
      </c>
      <c r="E25">
        <v>-1</v>
      </c>
      <c r="F25">
        <v>0</v>
      </c>
      <c r="G25">
        <v>6320724</v>
      </c>
    </row>
    <row r="26" spans="2:7" x14ac:dyDescent="0.25">
      <c r="B26" t="s">
        <v>926</v>
      </c>
      <c r="C26">
        <v>1809742</v>
      </c>
    </row>
    <row r="27" spans="2:7" x14ac:dyDescent="0.25">
      <c r="B27" t="s">
        <v>786</v>
      </c>
      <c r="C27" t="s">
        <v>5</v>
      </c>
      <c r="D27">
        <v>0.2</v>
      </c>
      <c r="E27">
        <v>-1</v>
      </c>
      <c r="F27">
        <v>0</v>
      </c>
      <c r="G27">
        <v>6322459</v>
      </c>
    </row>
    <row r="28" spans="2:7" x14ac:dyDescent="0.25">
      <c r="B28" t="s">
        <v>927</v>
      </c>
      <c r="C28">
        <v>1809749</v>
      </c>
    </row>
    <row r="29" spans="2:7" x14ac:dyDescent="0.25">
      <c r="B29" t="s">
        <v>787</v>
      </c>
      <c r="C29" t="s">
        <v>1</v>
      </c>
      <c r="D29">
        <v>-1</v>
      </c>
      <c r="E29">
        <v>-0.2</v>
      </c>
      <c r="F29">
        <v>0</v>
      </c>
      <c r="G29">
        <v>6318050</v>
      </c>
    </row>
    <row r="30" spans="2:7" x14ac:dyDescent="0.25">
      <c r="B30" t="s">
        <v>928</v>
      </c>
      <c r="C30">
        <v>1809753</v>
      </c>
    </row>
    <row r="31" spans="2:7" x14ac:dyDescent="0.25">
      <c r="B31" t="s">
        <v>29</v>
      </c>
      <c r="C31" t="s">
        <v>2</v>
      </c>
      <c r="D31">
        <v>1</v>
      </c>
      <c r="E31">
        <v>0.2</v>
      </c>
      <c r="F31">
        <v>0</v>
      </c>
      <c r="G31">
        <v>5503019</v>
      </c>
    </row>
    <row r="32" spans="2:7" x14ac:dyDescent="0.25">
      <c r="B32" t="s">
        <v>929</v>
      </c>
      <c r="C32">
        <v>1809754</v>
      </c>
    </row>
    <row r="33" spans="2:7" x14ac:dyDescent="0.25">
      <c r="B33" t="s">
        <v>27</v>
      </c>
      <c r="C33" t="s">
        <v>2</v>
      </c>
      <c r="D33">
        <v>1</v>
      </c>
      <c r="E33">
        <v>0.2</v>
      </c>
      <c r="F33">
        <v>0</v>
      </c>
      <c r="G33">
        <v>3416940</v>
      </c>
    </row>
    <row r="34" spans="2:7" x14ac:dyDescent="0.25">
      <c r="B34" t="s">
        <v>930</v>
      </c>
      <c r="C34">
        <v>1809759</v>
      </c>
    </row>
    <row r="35" spans="2:7" x14ac:dyDescent="0.25">
      <c r="B35" t="s">
        <v>787</v>
      </c>
      <c r="C35" t="s">
        <v>1</v>
      </c>
      <c r="D35">
        <v>-1</v>
      </c>
      <c r="E35">
        <v>-0.2</v>
      </c>
      <c r="F35">
        <v>0</v>
      </c>
      <c r="G35">
        <v>6642758</v>
      </c>
    </row>
    <row r="36" spans="2:7" x14ac:dyDescent="0.25">
      <c r="B36" t="s">
        <v>797</v>
      </c>
      <c r="C36" t="s">
        <v>1</v>
      </c>
      <c r="D36">
        <v>-1</v>
      </c>
      <c r="E36">
        <v>-0.2</v>
      </c>
      <c r="F36">
        <v>0</v>
      </c>
      <c r="G36">
        <v>6642759</v>
      </c>
    </row>
    <row r="37" spans="2:7" x14ac:dyDescent="0.25">
      <c r="B37" t="s">
        <v>787</v>
      </c>
      <c r="C37" t="s">
        <v>1</v>
      </c>
      <c r="D37">
        <v>-1</v>
      </c>
      <c r="E37">
        <v>-0.2</v>
      </c>
      <c r="F37">
        <v>0</v>
      </c>
      <c r="G37">
        <v>6642798</v>
      </c>
    </row>
    <row r="38" spans="2:7" x14ac:dyDescent="0.25">
      <c r="B38" t="s">
        <v>931</v>
      </c>
      <c r="C38">
        <v>1809760</v>
      </c>
    </row>
    <row r="39" spans="2:7" x14ac:dyDescent="0.25">
      <c r="B39" t="s">
        <v>786</v>
      </c>
      <c r="C39" t="s">
        <v>1</v>
      </c>
      <c r="D39">
        <v>-1</v>
      </c>
      <c r="E39">
        <v>-0.2</v>
      </c>
      <c r="F39">
        <v>0</v>
      </c>
      <c r="G39">
        <v>6642760</v>
      </c>
    </row>
    <row r="40" spans="2:7" x14ac:dyDescent="0.25">
      <c r="B40" t="s">
        <v>932</v>
      </c>
      <c r="C40">
        <v>1809761</v>
      </c>
    </row>
    <row r="41" spans="2:7" x14ac:dyDescent="0.25">
      <c r="B41" t="s">
        <v>27</v>
      </c>
      <c r="C41" t="s">
        <v>791</v>
      </c>
      <c r="D41">
        <v>0.9</v>
      </c>
      <c r="E41">
        <v>0.5</v>
      </c>
      <c r="F41">
        <v>0</v>
      </c>
      <c r="G41">
        <v>5513111</v>
      </c>
    </row>
    <row r="42" spans="2:7" x14ac:dyDescent="0.25">
      <c r="B42" t="s">
        <v>29</v>
      </c>
      <c r="C42" t="s">
        <v>791</v>
      </c>
      <c r="D42">
        <v>0.9</v>
      </c>
      <c r="E42">
        <v>0.5</v>
      </c>
      <c r="F42">
        <v>0</v>
      </c>
      <c r="G42">
        <v>5513317</v>
      </c>
    </row>
    <row r="43" spans="2:7" x14ac:dyDescent="0.25">
      <c r="B43" t="s">
        <v>933</v>
      </c>
      <c r="C43">
        <v>1809762</v>
      </c>
    </row>
    <row r="44" spans="2:7" x14ac:dyDescent="0.25">
      <c r="B44" t="s">
        <v>38</v>
      </c>
      <c r="C44" t="s">
        <v>2</v>
      </c>
      <c r="D44">
        <v>1</v>
      </c>
      <c r="E44">
        <v>0.2</v>
      </c>
      <c r="F44">
        <v>0</v>
      </c>
      <c r="G44">
        <v>4940524</v>
      </c>
    </row>
    <row r="45" spans="2:7" x14ac:dyDescent="0.25">
      <c r="B45" t="s">
        <v>27</v>
      </c>
      <c r="C45" t="s">
        <v>2</v>
      </c>
      <c r="D45">
        <v>1</v>
      </c>
      <c r="E45">
        <v>0.2</v>
      </c>
      <c r="F45">
        <v>0</v>
      </c>
      <c r="G45">
        <v>5508593</v>
      </c>
    </row>
    <row r="46" spans="2:7" x14ac:dyDescent="0.25">
      <c r="B46" t="s">
        <v>934</v>
      </c>
      <c r="C46">
        <v>1809763</v>
      </c>
    </row>
    <row r="47" spans="2:7" x14ac:dyDescent="0.25">
      <c r="B47" t="s">
        <v>38</v>
      </c>
      <c r="C47" t="s">
        <v>2</v>
      </c>
      <c r="D47">
        <v>1</v>
      </c>
      <c r="E47">
        <v>0.2</v>
      </c>
      <c r="F47">
        <v>0</v>
      </c>
      <c r="G47">
        <v>3416938</v>
      </c>
    </row>
    <row r="48" spans="2:7" x14ac:dyDescent="0.25">
      <c r="B48" t="s">
        <v>27</v>
      </c>
      <c r="C48" t="s">
        <v>2</v>
      </c>
      <c r="D48">
        <v>1</v>
      </c>
      <c r="E48">
        <v>0.2</v>
      </c>
      <c r="F48">
        <v>0</v>
      </c>
      <c r="G48">
        <v>5475746</v>
      </c>
    </row>
    <row r="49" spans="2:7" x14ac:dyDescent="0.25">
      <c r="B49" t="s">
        <v>935</v>
      </c>
      <c r="C49">
        <v>1809765</v>
      </c>
    </row>
    <row r="50" spans="2:7" x14ac:dyDescent="0.25">
      <c r="B50" t="s">
        <v>787</v>
      </c>
      <c r="C50" t="s">
        <v>1</v>
      </c>
      <c r="D50">
        <v>-1</v>
      </c>
      <c r="E50">
        <v>-0.2</v>
      </c>
      <c r="F50">
        <v>0</v>
      </c>
      <c r="G50">
        <v>6642799</v>
      </c>
    </row>
    <row r="51" spans="2:7" x14ac:dyDescent="0.25">
      <c r="B51" t="s">
        <v>936</v>
      </c>
      <c r="C51">
        <v>1809766</v>
      </c>
    </row>
    <row r="52" spans="2:7" x14ac:dyDescent="0.25">
      <c r="B52" t="s">
        <v>786</v>
      </c>
      <c r="C52" t="s">
        <v>1</v>
      </c>
      <c r="D52">
        <v>-1</v>
      </c>
      <c r="E52">
        <v>-0.2</v>
      </c>
      <c r="F52">
        <v>0</v>
      </c>
      <c r="G52">
        <v>6642801</v>
      </c>
    </row>
    <row r="53" spans="2:7" x14ac:dyDescent="0.25">
      <c r="B53" t="s">
        <v>937</v>
      </c>
      <c r="C53">
        <v>1809769</v>
      </c>
    </row>
    <row r="54" spans="2:7" x14ac:dyDescent="0.25">
      <c r="B54" t="s">
        <v>33</v>
      </c>
      <c r="C54" t="s">
        <v>6</v>
      </c>
      <c r="D54">
        <v>-0.2</v>
      </c>
      <c r="E54">
        <v>1</v>
      </c>
      <c r="F54">
        <v>0</v>
      </c>
      <c r="G54">
        <v>4827640</v>
      </c>
    </row>
    <row r="55" spans="2:7" x14ac:dyDescent="0.25">
      <c r="B55" t="s">
        <v>938</v>
      </c>
      <c r="C55">
        <v>1809772</v>
      </c>
    </row>
    <row r="56" spans="2:7" x14ac:dyDescent="0.25">
      <c r="B56" t="s">
        <v>38</v>
      </c>
      <c r="C56" t="s">
        <v>2</v>
      </c>
      <c r="D56">
        <v>1</v>
      </c>
      <c r="E56">
        <v>0.2</v>
      </c>
      <c r="F56">
        <v>0</v>
      </c>
      <c r="G56">
        <v>5502461</v>
      </c>
    </row>
    <row r="57" spans="2:7" x14ac:dyDescent="0.25">
      <c r="B57" t="s">
        <v>939</v>
      </c>
      <c r="C57">
        <v>1809776</v>
      </c>
    </row>
    <row r="58" spans="2:7" x14ac:dyDescent="0.25">
      <c r="B58" t="s">
        <v>787</v>
      </c>
      <c r="C58" t="s">
        <v>1</v>
      </c>
      <c r="D58">
        <v>-1</v>
      </c>
      <c r="E58">
        <v>-0.2</v>
      </c>
      <c r="F58">
        <v>0</v>
      </c>
      <c r="G58">
        <v>6642802</v>
      </c>
    </row>
    <row r="59" spans="2:7" x14ac:dyDescent="0.25">
      <c r="B59" t="s">
        <v>940</v>
      </c>
      <c r="C59">
        <v>1809779</v>
      </c>
    </row>
    <row r="60" spans="2:7" x14ac:dyDescent="0.25">
      <c r="B60" t="s">
        <v>797</v>
      </c>
      <c r="C60" t="s">
        <v>7</v>
      </c>
      <c r="D60">
        <v>-0.9</v>
      </c>
      <c r="E60">
        <v>-0.5</v>
      </c>
      <c r="F60">
        <v>0</v>
      </c>
      <c r="G60">
        <v>6102943</v>
      </c>
    </row>
    <row r="61" spans="2:7" x14ac:dyDescent="0.25">
      <c r="B61" t="s">
        <v>941</v>
      </c>
      <c r="C61">
        <v>1809780</v>
      </c>
    </row>
    <row r="62" spans="2:7" x14ac:dyDescent="0.25">
      <c r="B62" t="s">
        <v>29</v>
      </c>
      <c r="C62" t="s">
        <v>74</v>
      </c>
      <c r="D62">
        <v>0.9</v>
      </c>
      <c r="E62">
        <v>0.5</v>
      </c>
      <c r="F62">
        <v>0</v>
      </c>
      <c r="G62">
        <v>5511524</v>
      </c>
    </row>
    <row r="63" spans="2:7" x14ac:dyDescent="0.25">
      <c r="B63" t="s">
        <v>27</v>
      </c>
      <c r="C63" t="s">
        <v>74</v>
      </c>
      <c r="D63">
        <v>0.9</v>
      </c>
      <c r="E63">
        <v>0.5</v>
      </c>
      <c r="F63">
        <v>0</v>
      </c>
      <c r="G63">
        <v>5511735</v>
      </c>
    </row>
    <row r="64" spans="2:7" x14ac:dyDescent="0.25">
      <c r="B64" t="s">
        <v>942</v>
      </c>
      <c r="C64">
        <v>1809789</v>
      </c>
    </row>
    <row r="65" spans="2:7" x14ac:dyDescent="0.25">
      <c r="B65" t="s">
        <v>27</v>
      </c>
      <c r="C65" t="s">
        <v>872</v>
      </c>
      <c r="D65">
        <v>1</v>
      </c>
      <c r="E65">
        <v>0.3</v>
      </c>
      <c r="F65">
        <v>0</v>
      </c>
      <c r="G65">
        <v>5510004</v>
      </c>
    </row>
    <row r="66" spans="2:7" x14ac:dyDescent="0.25">
      <c r="B66" t="s">
        <v>943</v>
      </c>
      <c r="C66">
        <v>1809790</v>
      </c>
    </row>
    <row r="67" spans="2:7" x14ac:dyDescent="0.25">
      <c r="B67" t="s">
        <v>27</v>
      </c>
      <c r="C67" t="s">
        <v>74</v>
      </c>
      <c r="D67">
        <v>0.9</v>
      </c>
      <c r="E67">
        <v>0.5</v>
      </c>
      <c r="F67">
        <v>0</v>
      </c>
      <c r="G67">
        <v>3416917</v>
      </c>
    </row>
    <row r="68" spans="2:7" x14ac:dyDescent="0.25">
      <c r="B68" t="s">
        <v>944</v>
      </c>
      <c r="C68">
        <v>1809797</v>
      </c>
    </row>
    <row r="69" spans="2:7" x14ac:dyDescent="0.25">
      <c r="B69" t="s">
        <v>786</v>
      </c>
      <c r="C69" t="s">
        <v>7</v>
      </c>
      <c r="D69">
        <v>-0.9</v>
      </c>
      <c r="E69">
        <v>-0.5</v>
      </c>
      <c r="F69">
        <v>0</v>
      </c>
      <c r="G69">
        <v>6102944</v>
      </c>
    </row>
    <row r="70" spans="2:7" x14ac:dyDescent="0.25">
      <c r="B70" t="s">
        <v>787</v>
      </c>
      <c r="C70" t="s">
        <v>117</v>
      </c>
      <c r="D70">
        <v>0.5</v>
      </c>
      <c r="E70">
        <v>-0.9</v>
      </c>
      <c r="F70">
        <v>0</v>
      </c>
      <c r="G70">
        <v>6103134</v>
      </c>
    </row>
    <row r="71" spans="2:7" x14ac:dyDescent="0.25">
      <c r="B71" t="s">
        <v>787</v>
      </c>
      <c r="C71" t="s">
        <v>117</v>
      </c>
      <c r="D71">
        <v>0.5</v>
      </c>
      <c r="E71">
        <v>-0.9</v>
      </c>
      <c r="F71">
        <v>0</v>
      </c>
      <c r="G71">
        <v>6313110</v>
      </c>
    </row>
    <row r="72" spans="2:7" x14ac:dyDescent="0.25">
      <c r="B72" t="s">
        <v>840</v>
      </c>
      <c r="C72" t="s">
        <v>117</v>
      </c>
      <c r="D72">
        <v>0.5</v>
      </c>
      <c r="E72">
        <v>-0.9</v>
      </c>
      <c r="F72">
        <v>0</v>
      </c>
      <c r="G72">
        <v>6313111</v>
      </c>
    </row>
    <row r="73" spans="2:7" x14ac:dyDescent="0.25">
      <c r="B73" t="s">
        <v>945</v>
      </c>
      <c r="C73">
        <v>1809798</v>
      </c>
    </row>
    <row r="74" spans="2:7" x14ac:dyDescent="0.25">
      <c r="B74" t="s">
        <v>38</v>
      </c>
      <c r="C74" t="s">
        <v>2</v>
      </c>
      <c r="D74">
        <v>1</v>
      </c>
      <c r="E74">
        <v>0.2</v>
      </c>
      <c r="F74">
        <v>0</v>
      </c>
      <c r="G74">
        <v>5021099</v>
      </c>
    </row>
    <row r="75" spans="2:7" x14ac:dyDescent="0.25">
      <c r="B75" t="s">
        <v>27</v>
      </c>
      <c r="C75" t="s">
        <v>2</v>
      </c>
      <c r="D75">
        <v>1</v>
      </c>
      <c r="E75">
        <v>0.2</v>
      </c>
      <c r="F75">
        <v>0</v>
      </c>
      <c r="G75">
        <v>5503500</v>
      </c>
    </row>
    <row r="76" spans="2:7" x14ac:dyDescent="0.25">
      <c r="B76" t="s">
        <v>946</v>
      </c>
      <c r="C76">
        <v>1809800</v>
      </c>
    </row>
    <row r="77" spans="2:7" x14ac:dyDescent="0.25">
      <c r="B77" t="s">
        <v>30</v>
      </c>
      <c r="C77" t="s">
        <v>6</v>
      </c>
      <c r="D77">
        <v>-0.2</v>
      </c>
      <c r="E77">
        <v>1</v>
      </c>
      <c r="F77">
        <v>0</v>
      </c>
      <c r="G77">
        <v>4306485</v>
      </c>
    </row>
    <row r="78" spans="2:7" x14ac:dyDescent="0.25">
      <c r="B78" t="s">
        <v>947</v>
      </c>
      <c r="C78">
        <v>1809806</v>
      </c>
    </row>
    <row r="79" spans="2:7" x14ac:dyDescent="0.25">
      <c r="B79" t="s">
        <v>787</v>
      </c>
      <c r="C79" t="s">
        <v>7</v>
      </c>
      <c r="D79">
        <v>-0.9</v>
      </c>
      <c r="E79">
        <v>-0.5</v>
      </c>
      <c r="F79">
        <v>0</v>
      </c>
      <c r="G79">
        <v>6102811</v>
      </c>
    </row>
    <row r="80" spans="2:7" x14ac:dyDescent="0.25">
      <c r="B80" t="s">
        <v>948</v>
      </c>
      <c r="C80">
        <v>1809807</v>
      </c>
    </row>
    <row r="81" spans="2:7" x14ac:dyDescent="0.25">
      <c r="B81" t="s">
        <v>787</v>
      </c>
      <c r="C81" t="s">
        <v>7</v>
      </c>
      <c r="D81">
        <v>-0.9</v>
      </c>
      <c r="E81">
        <v>-0.5</v>
      </c>
      <c r="F81">
        <v>0</v>
      </c>
      <c r="G81">
        <v>6310774</v>
      </c>
    </row>
    <row r="82" spans="2:7" x14ac:dyDescent="0.25">
      <c r="B82" t="s">
        <v>840</v>
      </c>
      <c r="C82" t="s">
        <v>7</v>
      </c>
      <c r="D82">
        <v>-0.9</v>
      </c>
      <c r="E82">
        <v>-0.5</v>
      </c>
      <c r="F82">
        <v>0</v>
      </c>
      <c r="G82">
        <v>6311351</v>
      </c>
    </row>
    <row r="83" spans="2:7" x14ac:dyDescent="0.25">
      <c r="B83" t="s">
        <v>949</v>
      </c>
      <c r="C83">
        <v>1809809</v>
      </c>
    </row>
    <row r="84" spans="2:7" x14ac:dyDescent="0.25">
      <c r="B84" t="s">
        <v>27</v>
      </c>
      <c r="C84" t="s">
        <v>74</v>
      </c>
      <c r="D84">
        <v>0.9</v>
      </c>
      <c r="E84">
        <v>0.5</v>
      </c>
      <c r="F84">
        <v>0</v>
      </c>
      <c r="G84">
        <v>5511444</v>
      </c>
    </row>
    <row r="85" spans="2:7" x14ac:dyDescent="0.25">
      <c r="B85" t="s">
        <v>950</v>
      </c>
      <c r="C85">
        <v>1809810</v>
      </c>
    </row>
    <row r="86" spans="2:7" x14ac:dyDescent="0.25">
      <c r="B86" t="s">
        <v>29</v>
      </c>
      <c r="C86" t="s">
        <v>74</v>
      </c>
      <c r="D86">
        <v>0.9</v>
      </c>
      <c r="E86">
        <v>0.5</v>
      </c>
      <c r="F86">
        <v>0</v>
      </c>
      <c r="G86">
        <v>3416913</v>
      </c>
    </row>
    <row r="87" spans="2:7" x14ac:dyDescent="0.25">
      <c r="B87" t="s">
        <v>951</v>
      </c>
      <c r="C87">
        <v>1809811</v>
      </c>
    </row>
    <row r="88" spans="2:7" x14ac:dyDescent="0.25">
      <c r="B88" t="s">
        <v>27</v>
      </c>
      <c r="C88" t="s">
        <v>74</v>
      </c>
      <c r="D88">
        <v>0.9</v>
      </c>
      <c r="E88">
        <v>0.5</v>
      </c>
      <c r="F88">
        <v>0</v>
      </c>
      <c r="G88">
        <v>5511941</v>
      </c>
    </row>
    <row r="89" spans="2:7" x14ac:dyDescent="0.25">
      <c r="B89" t="s">
        <v>952</v>
      </c>
      <c r="C89">
        <v>1809813</v>
      </c>
    </row>
    <row r="90" spans="2:7" x14ac:dyDescent="0.25">
      <c r="B90" t="s">
        <v>29</v>
      </c>
      <c r="C90" t="s">
        <v>74</v>
      </c>
      <c r="D90">
        <v>0.9</v>
      </c>
      <c r="E90">
        <v>0.5</v>
      </c>
      <c r="F90">
        <v>0</v>
      </c>
      <c r="G90">
        <v>3416914</v>
      </c>
    </row>
    <row r="91" spans="2:7" x14ac:dyDescent="0.25">
      <c r="B91" t="s">
        <v>27</v>
      </c>
      <c r="C91" t="s">
        <v>74</v>
      </c>
      <c r="D91">
        <v>0.9</v>
      </c>
      <c r="E91">
        <v>0.5</v>
      </c>
      <c r="F91">
        <v>0</v>
      </c>
      <c r="G91">
        <v>5511829</v>
      </c>
    </row>
    <row r="92" spans="2:7" x14ac:dyDescent="0.25">
      <c r="B92" t="s">
        <v>953</v>
      </c>
      <c r="C92">
        <v>1809814</v>
      </c>
    </row>
    <row r="93" spans="2:7" x14ac:dyDescent="0.25">
      <c r="B93" t="s">
        <v>27</v>
      </c>
      <c r="C93" t="s">
        <v>74</v>
      </c>
      <c r="D93">
        <v>0.9</v>
      </c>
      <c r="E93">
        <v>0.5</v>
      </c>
      <c r="F93">
        <v>0</v>
      </c>
      <c r="G93">
        <v>5512071</v>
      </c>
    </row>
    <row r="94" spans="2:7" x14ac:dyDescent="0.25">
      <c r="B94" t="s">
        <v>27</v>
      </c>
      <c r="C94" t="s">
        <v>74</v>
      </c>
      <c r="D94">
        <v>0.9</v>
      </c>
      <c r="E94">
        <v>0.5</v>
      </c>
      <c r="F94">
        <v>0</v>
      </c>
      <c r="G94">
        <v>5512123</v>
      </c>
    </row>
    <row r="95" spans="2:7" x14ac:dyDescent="0.25">
      <c r="B95" t="s">
        <v>38</v>
      </c>
      <c r="C95" t="s">
        <v>74</v>
      </c>
      <c r="D95">
        <v>0.9</v>
      </c>
      <c r="E95">
        <v>0.5</v>
      </c>
      <c r="F95">
        <v>0</v>
      </c>
      <c r="G95">
        <v>5512193</v>
      </c>
    </row>
    <row r="96" spans="2:7" x14ac:dyDescent="0.25">
      <c r="B96" t="s">
        <v>954</v>
      </c>
      <c r="C96">
        <v>1809815</v>
      </c>
    </row>
    <row r="97" spans="2:7" x14ac:dyDescent="0.25">
      <c r="B97" t="s">
        <v>797</v>
      </c>
      <c r="C97" t="s">
        <v>7</v>
      </c>
      <c r="D97">
        <v>-0.9</v>
      </c>
      <c r="E97">
        <v>-0.5</v>
      </c>
      <c r="F97">
        <v>0</v>
      </c>
      <c r="G97">
        <v>6102615</v>
      </c>
    </row>
    <row r="98" spans="2:7" x14ac:dyDescent="0.25">
      <c r="B98" t="s">
        <v>787</v>
      </c>
      <c r="C98" t="s">
        <v>7</v>
      </c>
      <c r="D98">
        <v>-0.9</v>
      </c>
      <c r="E98">
        <v>-0.5</v>
      </c>
      <c r="F98">
        <v>0</v>
      </c>
      <c r="G98">
        <v>6310106</v>
      </c>
    </row>
    <row r="99" spans="2:7" x14ac:dyDescent="0.25">
      <c r="B99" t="s">
        <v>955</v>
      </c>
      <c r="C99">
        <v>1809816</v>
      </c>
    </row>
    <row r="100" spans="2:7" x14ac:dyDescent="0.25">
      <c r="B100" t="s">
        <v>786</v>
      </c>
      <c r="C100" t="s">
        <v>7</v>
      </c>
      <c r="D100">
        <v>-0.9</v>
      </c>
      <c r="E100">
        <v>-0.5</v>
      </c>
      <c r="F100">
        <v>0</v>
      </c>
      <c r="G100">
        <v>6102763</v>
      </c>
    </row>
    <row r="101" spans="2:7" x14ac:dyDescent="0.25">
      <c r="B101" t="s">
        <v>787</v>
      </c>
      <c r="C101" t="s">
        <v>7</v>
      </c>
      <c r="D101">
        <v>-0.9</v>
      </c>
      <c r="E101">
        <v>-0.5</v>
      </c>
      <c r="F101">
        <v>0</v>
      </c>
      <c r="G101">
        <v>6310548</v>
      </c>
    </row>
    <row r="102" spans="2:7" x14ac:dyDescent="0.25">
      <c r="B102" t="s">
        <v>956</v>
      </c>
      <c r="C102">
        <v>1809817</v>
      </c>
    </row>
    <row r="103" spans="2:7" x14ac:dyDescent="0.25">
      <c r="B103" t="s">
        <v>786</v>
      </c>
      <c r="C103" t="s">
        <v>7</v>
      </c>
      <c r="D103">
        <v>-0.9</v>
      </c>
      <c r="E103">
        <v>-0.5</v>
      </c>
      <c r="F103">
        <v>0</v>
      </c>
      <c r="G103">
        <v>6310897</v>
      </c>
    </row>
    <row r="104" spans="2:7" x14ac:dyDescent="0.25">
      <c r="B104" t="s">
        <v>787</v>
      </c>
      <c r="C104" t="s">
        <v>7</v>
      </c>
      <c r="D104">
        <v>-0.9</v>
      </c>
      <c r="E104">
        <v>-0.5</v>
      </c>
      <c r="F104">
        <v>0</v>
      </c>
      <c r="G104">
        <v>6311039</v>
      </c>
    </row>
    <row r="105" spans="2:7" x14ac:dyDescent="0.25">
      <c r="B105" t="s">
        <v>957</v>
      </c>
      <c r="C105">
        <v>1809818</v>
      </c>
    </row>
    <row r="106" spans="2:7" x14ac:dyDescent="0.25">
      <c r="B106" t="s">
        <v>38</v>
      </c>
      <c r="C106" t="s">
        <v>2</v>
      </c>
      <c r="D106">
        <v>1</v>
      </c>
      <c r="E106">
        <v>0.2</v>
      </c>
      <c r="F106">
        <v>0</v>
      </c>
      <c r="G106">
        <v>4940647</v>
      </c>
    </row>
    <row r="107" spans="2:7" x14ac:dyDescent="0.25">
      <c r="B107" t="s">
        <v>27</v>
      </c>
      <c r="C107" t="s">
        <v>2</v>
      </c>
      <c r="D107">
        <v>1</v>
      </c>
      <c r="E107">
        <v>0.2</v>
      </c>
      <c r="F107">
        <v>0</v>
      </c>
      <c r="G107">
        <v>5509972</v>
      </c>
    </row>
    <row r="108" spans="2:7" x14ac:dyDescent="0.25">
      <c r="B108" t="s">
        <v>958</v>
      </c>
      <c r="C108">
        <v>1809846</v>
      </c>
    </row>
    <row r="109" spans="2:7" x14ac:dyDescent="0.25">
      <c r="B109" t="s">
        <v>30</v>
      </c>
      <c r="C109" t="s">
        <v>6</v>
      </c>
      <c r="D109">
        <v>-0.2</v>
      </c>
      <c r="E109">
        <v>1</v>
      </c>
      <c r="F109">
        <v>0</v>
      </c>
      <c r="G109">
        <v>4306485</v>
      </c>
    </row>
    <row r="110" spans="2:7" x14ac:dyDescent="0.25">
      <c r="B110" t="s">
        <v>33</v>
      </c>
      <c r="C110" t="s">
        <v>6</v>
      </c>
      <c r="D110">
        <v>-0.2</v>
      </c>
      <c r="E110">
        <v>1</v>
      </c>
      <c r="F110">
        <v>0</v>
      </c>
      <c r="G110">
        <v>4306487</v>
      </c>
    </row>
    <row r="111" spans="2:7" x14ac:dyDescent="0.25">
      <c r="B111" t="s">
        <v>959</v>
      </c>
      <c r="C111">
        <v>1809851</v>
      </c>
    </row>
    <row r="112" spans="2:7" x14ac:dyDescent="0.25">
      <c r="B112" t="s">
        <v>30</v>
      </c>
      <c r="C112" t="s">
        <v>5</v>
      </c>
      <c r="D112">
        <v>0.2</v>
      </c>
      <c r="E112">
        <v>-1</v>
      </c>
      <c r="F112">
        <v>0</v>
      </c>
      <c r="G112">
        <v>4928964</v>
      </c>
    </row>
    <row r="113" spans="2:7" x14ac:dyDescent="0.25">
      <c r="B113" t="s">
        <v>31</v>
      </c>
      <c r="C113" t="s">
        <v>5</v>
      </c>
      <c r="D113">
        <v>0.2</v>
      </c>
      <c r="E113">
        <v>-1</v>
      </c>
      <c r="F113">
        <v>0</v>
      </c>
      <c r="G113">
        <v>4929825</v>
      </c>
    </row>
    <row r="114" spans="2:7" x14ac:dyDescent="0.25">
      <c r="B114" t="s">
        <v>960</v>
      </c>
      <c r="C114">
        <v>1809859</v>
      </c>
    </row>
    <row r="115" spans="2:7" x14ac:dyDescent="0.25">
      <c r="B115" t="s">
        <v>29</v>
      </c>
      <c r="C115" t="s">
        <v>2</v>
      </c>
      <c r="D115">
        <v>1</v>
      </c>
      <c r="E115">
        <v>0.2</v>
      </c>
      <c r="F115">
        <v>0</v>
      </c>
      <c r="G115">
        <v>5021098</v>
      </c>
    </row>
    <row r="116" spans="2:7" x14ac:dyDescent="0.25">
      <c r="B116" t="s">
        <v>27</v>
      </c>
      <c r="C116" t="s">
        <v>2</v>
      </c>
      <c r="D116">
        <v>1</v>
      </c>
      <c r="E116">
        <v>0.2</v>
      </c>
      <c r="F116">
        <v>0</v>
      </c>
      <c r="G116">
        <v>5502958</v>
      </c>
    </row>
    <row r="117" spans="2:7" x14ac:dyDescent="0.25">
      <c r="B117" t="s">
        <v>961</v>
      </c>
      <c r="C117">
        <v>1809862</v>
      </c>
    </row>
    <row r="118" spans="2:7" x14ac:dyDescent="0.25">
      <c r="B118" t="s">
        <v>31</v>
      </c>
      <c r="C118" t="s">
        <v>2</v>
      </c>
      <c r="D118">
        <v>1</v>
      </c>
      <c r="E118">
        <v>0.2</v>
      </c>
      <c r="F118">
        <v>0</v>
      </c>
      <c r="G118">
        <v>5501955</v>
      </c>
    </row>
    <row r="119" spans="2:7" x14ac:dyDescent="0.25">
      <c r="B119" t="s">
        <v>962</v>
      </c>
      <c r="C119">
        <v>1809863</v>
      </c>
    </row>
    <row r="120" spans="2:7" x14ac:dyDescent="0.25">
      <c r="B120" t="s">
        <v>27</v>
      </c>
      <c r="C120" t="s">
        <v>2</v>
      </c>
      <c r="D120">
        <v>1</v>
      </c>
      <c r="E120">
        <v>0.2</v>
      </c>
      <c r="F120">
        <v>0</v>
      </c>
      <c r="G120">
        <v>5509984</v>
      </c>
    </row>
    <row r="121" spans="2:7" x14ac:dyDescent="0.25">
      <c r="B121" t="s">
        <v>963</v>
      </c>
      <c r="C121">
        <v>1809864</v>
      </c>
    </row>
    <row r="122" spans="2:7" x14ac:dyDescent="0.25">
      <c r="B122" t="s">
        <v>27</v>
      </c>
      <c r="C122" t="s">
        <v>2</v>
      </c>
      <c r="D122">
        <v>1</v>
      </c>
      <c r="E122">
        <v>0.2</v>
      </c>
      <c r="F122">
        <v>0</v>
      </c>
      <c r="G122">
        <v>5509973</v>
      </c>
    </row>
    <row r="123" spans="2:7" x14ac:dyDescent="0.25">
      <c r="B123" t="s">
        <v>964</v>
      </c>
      <c r="C123">
        <v>1809865</v>
      </c>
    </row>
    <row r="124" spans="2:7" x14ac:dyDescent="0.25">
      <c r="B124" t="s">
        <v>29</v>
      </c>
      <c r="C124" t="s">
        <v>2</v>
      </c>
      <c r="D124">
        <v>1</v>
      </c>
      <c r="E124">
        <v>0.2</v>
      </c>
      <c r="F124">
        <v>0</v>
      </c>
      <c r="G124">
        <v>5021110</v>
      </c>
    </row>
    <row r="125" spans="2:7" x14ac:dyDescent="0.25">
      <c r="B125" t="s">
        <v>965</v>
      </c>
      <c r="C125">
        <v>1809866</v>
      </c>
    </row>
    <row r="126" spans="2:7" x14ac:dyDescent="0.25">
      <c r="B126" t="s">
        <v>29</v>
      </c>
      <c r="C126" t="s">
        <v>2</v>
      </c>
      <c r="D126">
        <v>1</v>
      </c>
      <c r="E126">
        <v>0.2</v>
      </c>
      <c r="F126">
        <v>0</v>
      </c>
      <c r="G126">
        <v>5021111</v>
      </c>
    </row>
    <row r="127" spans="2:7" x14ac:dyDescent="0.25">
      <c r="B127" t="s">
        <v>966</v>
      </c>
      <c r="C127">
        <v>1809898</v>
      </c>
    </row>
    <row r="128" spans="2:7" x14ac:dyDescent="0.25">
      <c r="B128" t="s">
        <v>38</v>
      </c>
      <c r="C128" t="s">
        <v>2</v>
      </c>
      <c r="D128">
        <v>1</v>
      </c>
      <c r="E128">
        <v>0.2</v>
      </c>
      <c r="F128">
        <v>0</v>
      </c>
      <c r="G128">
        <v>4940124</v>
      </c>
    </row>
    <row r="129" spans="2:7" x14ac:dyDescent="0.25">
      <c r="B129" t="s">
        <v>27</v>
      </c>
      <c r="C129" t="s">
        <v>2</v>
      </c>
      <c r="D129">
        <v>1</v>
      </c>
      <c r="E129">
        <v>0.2</v>
      </c>
      <c r="F129">
        <v>0</v>
      </c>
      <c r="G129">
        <v>5502188</v>
      </c>
    </row>
    <row r="130" spans="2:7" x14ac:dyDescent="0.25">
      <c r="B130" t="s">
        <v>967</v>
      </c>
      <c r="C130">
        <v>1809899</v>
      </c>
    </row>
    <row r="131" spans="2:7" x14ac:dyDescent="0.25">
      <c r="B131" t="s">
        <v>27</v>
      </c>
      <c r="C131" t="s">
        <v>2</v>
      </c>
      <c r="D131">
        <v>1</v>
      </c>
      <c r="E131">
        <v>0.2</v>
      </c>
      <c r="F131">
        <v>0</v>
      </c>
      <c r="G131">
        <v>5503283</v>
      </c>
    </row>
    <row r="132" spans="2:7" x14ac:dyDescent="0.25">
      <c r="B132" t="s">
        <v>27</v>
      </c>
      <c r="C132" t="s">
        <v>2</v>
      </c>
      <c r="D132">
        <v>1</v>
      </c>
      <c r="E132">
        <v>0.2</v>
      </c>
      <c r="F132">
        <v>0</v>
      </c>
      <c r="G132">
        <v>5503364</v>
      </c>
    </row>
    <row r="133" spans="2:7" x14ac:dyDescent="0.25">
      <c r="B133" t="s">
        <v>27</v>
      </c>
      <c r="C133" t="s">
        <v>2</v>
      </c>
      <c r="D133">
        <v>1</v>
      </c>
      <c r="E133">
        <v>0.2</v>
      </c>
      <c r="F133">
        <v>0</v>
      </c>
      <c r="G133">
        <v>5503667</v>
      </c>
    </row>
    <row r="134" spans="2:7" x14ac:dyDescent="0.25">
      <c r="B134" t="s">
        <v>968</v>
      </c>
      <c r="C134">
        <v>1809900</v>
      </c>
    </row>
    <row r="135" spans="2:7" x14ac:dyDescent="0.25">
      <c r="B135" t="s">
        <v>27</v>
      </c>
      <c r="C135" t="s">
        <v>2</v>
      </c>
      <c r="D135">
        <v>1</v>
      </c>
      <c r="E135">
        <v>0.2</v>
      </c>
      <c r="F135">
        <v>0</v>
      </c>
      <c r="G135">
        <v>4940522</v>
      </c>
    </row>
    <row r="136" spans="2:7" x14ac:dyDescent="0.25">
      <c r="B136" t="s">
        <v>27</v>
      </c>
      <c r="C136" t="s">
        <v>2</v>
      </c>
      <c r="D136">
        <v>1</v>
      </c>
      <c r="E136">
        <v>0.2</v>
      </c>
      <c r="F136">
        <v>0</v>
      </c>
      <c r="G136">
        <v>5508164</v>
      </c>
    </row>
    <row r="137" spans="2:7" x14ac:dyDescent="0.25">
      <c r="B137" t="s">
        <v>27</v>
      </c>
      <c r="C137" t="s">
        <v>2</v>
      </c>
      <c r="D137">
        <v>1</v>
      </c>
      <c r="E137">
        <v>0.2</v>
      </c>
      <c r="F137">
        <v>0</v>
      </c>
      <c r="G137">
        <v>5508390</v>
      </c>
    </row>
    <row r="138" spans="2:7" x14ac:dyDescent="0.25">
      <c r="B138" t="s">
        <v>969</v>
      </c>
      <c r="C138">
        <v>1809901</v>
      </c>
    </row>
    <row r="139" spans="2:7" x14ac:dyDescent="0.25">
      <c r="B139" t="s">
        <v>27</v>
      </c>
      <c r="C139" t="s">
        <v>2</v>
      </c>
      <c r="D139">
        <v>1</v>
      </c>
      <c r="E139">
        <v>0.2</v>
      </c>
      <c r="F139">
        <v>0</v>
      </c>
      <c r="G139">
        <v>4940649</v>
      </c>
    </row>
    <row r="140" spans="2:7" x14ac:dyDescent="0.25">
      <c r="B140" t="s">
        <v>38</v>
      </c>
      <c r="C140" t="s">
        <v>2</v>
      </c>
      <c r="D140">
        <v>1</v>
      </c>
      <c r="E140">
        <v>0.2</v>
      </c>
      <c r="F140">
        <v>0</v>
      </c>
      <c r="G140">
        <v>5509985</v>
      </c>
    </row>
    <row r="141" spans="2:7" x14ac:dyDescent="0.25">
      <c r="B141" t="s">
        <v>970</v>
      </c>
      <c r="C141">
        <v>1809910</v>
      </c>
    </row>
    <row r="142" spans="2:7" x14ac:dyDescent="0.25">
      <c r="B142" t="s">
        <v>38</v>
      </c>
      <c r="C142" t="s">
        <v>2</v>
      </c>
      <c r="D142">
        <v>1</v>
      </c>
      <c r="E142">
        <v>0.2</v>
      </c>
      <c r="F142">
        <v>0</v>
      </c>
      <c r="G142">
        <v>5021097</v>
      </c>
    </row>
    <row r="143" spans="2:7" x14ac:dyDescent="0.25">
      <c r="B143" t="s">
        <v>27</v>
      </c>
      <c r="C143" t="s">
        <v>2</v>
      </c>
      <c r="D143">
        <v>1</v>
      </c>
      <c r="E143">
        <v>0.2</v>
      </c>
      <c r="F143">
        <v>0</v>
      </c>
      <c r="G143">
        <v>5502684</v>
      </c>
    </row>
    <row r="144" spans="2:7" x14ac:dyDescent="0.25">
      <c r="B144" t="s">
        <v>27</v>
      </c>
      <c r="C144" t="s">
        <v>2</v>
      </c>
      <c r="D144">
        <v>1</v>
      </c>
      <c r="E144">
        <v>0.2</v>
      </c>
      <c r="F144">
        <v>0</v>
      </c>
      <c r="G144">
        <v>5502799</v>
      </c>
    </row>
    <row r="145" spans="2:7" x14ac:dyDescent="0.25">
      <c r="B145" t="s">
        <v>971</v>
      </c>
      <c r="C145">
        <v>1809912</v>
      </c>
    </row>
    <row r="146" spans="2:7" x14ac:dyDescent="0.25">
      <c r="B146" t="s">
        <v>27</v>
      </c>
      <c r="C146" t="s">
        <v>2</v>
      </c>
      <c r="D146">
        <v>1</v>
      </c>
      <c r="E146">
        <v>0.2</v>
      </c>
      <c r="F146">
        <v>0</v>
      </c>
      <c r="G146">
        <v>5502569</v>
      </c>
    </row>
    <row r="147" spans="2:7" x14ac:dyDescent="0.25">
      <c r="B147" t="s">
        <v>972</v>
      </c>
      <c r="C147">
        <v>1809916</v>
      </c>
    </row>
    <row r="148" spans="2:7" x14ac:dyDescent="0.25">
      <c r="B148" t="s">
        <v>27</v>
      </c>
      <c r="C148" t="s">
        <v>791</v>
      </c>
      <c r="D148">
        <v>0.9</v>
      </c>
      <c r="E148">
        <v>0.5</v>
      </c>
      <c r="F148">
        <v>0</v>
      </c>
      <c r="G148">
        <v>5513438</v>
      </c>
    </row>
    <row r="149" spans="2:7" x14ac:dyDescent="0.25">
      <c r="B149" t="s">
        <v>973</v>
      </c>
      <c r="C149">
        <v>1809920</v>
      </c>
    </row>
    <row r="150" spans="2:7" x14ac:dyDescent="0.25">
      <c r="B150" t="s">
        <v>787</v>
      </c>
      <c r="C150" t="s">
        <v>1</v>
      </c>
      <c r="D150">
        <v>-1</v>
      </c>
      <c r="E150">
        <v>-0.2</v>
      </c>
      <c r="F150">
        <v>0</v>
      </c>
      <c r="G150">
        <v>6642802</v>
      </c>
    </row>
    <row r="151" spans="2:7" x14ac:dyDescent="0.25">
      <c r="B151" t="s">
        <v>974</v>
      </c>
      <c r="C151">
        <v>1809922</v>
      </c>
    </row>
    <row r="152" spans="2:7" x14ac:dyDescent="0.25">
      <c r="B152" t="s">
        <v>27</v>
      </c>
      <c r="C152" t="s">
        <v>791</v>
      </c>
      <c r="D152">
        <v>0.9</v>
      </c>
      <c r="E152">
        <v>0.5</v>
      </c>
      <c r="F152">
        <v>0</v>
      </c>
      <c r="G152">
        <v>5513389</v>
      </c>
    </row>
    <row r="153" spans="2:7" x14ac:dyDescent="0.25">
      <c r="B153" t="s">
        <v>975</v>
      </c>
      <c r="C153">
        <v>1809928</v>
      </c>
    </row>
    <row r="154" spans="2:7" x14ac:dyDescent="0.25">
      <c r="B154" t="s">
        <v>27</v>
      </c>
      <c r="C154" t="s">
        <v>5</v>
      </c>
      <c r="D154">
        <v>0.2</v>
      </c>
      <c r="E154">
        <v>-1</v>
      </c>
      <c r="F154">
        <v>0</v>
      </c>
      <c r="G154">
        <v>5711677</v>
      </c>
    </row>
    <row r="155" spans="2:7" x14ac:dyDescent="0.25">
      <c r="B155" t="s">
        <v>976</v>
      </c>
      <c r="C155">
        <v>1810185</v>
      </c>
    </row>
    <row r="156" spans="2:7" x14ac:dyDescent="0.25">
      <c r="B156" t="s">
        <v>27</v>
      </c>
      <c r="C156" t="s">
        <v>2</v>
      </c>
      <c r="D156">
        <v>1</v>
      </c>
      <c r="E156">
        <v>0.2</v>
      </c>
      <c r="F156">
        <v>0</v>
      </c>
      <c r="G156">
        <v>5510000</v>
      </c>
    </row>
    <row r="157" spans="2:7" x14ac:dyDescent="0.25">
      <c r="B157" t="s">
        <v>27</v>
      </c>
      <c r="C157" t="s">
        <v>2</v>
      </c>
      <c r="D157">
        <v>1</v>
      </c>
      <c r="E157">
        <v>0.2</v>
      </c>
      <c r="F157">
        <v>0</v>
      </c>
      <c r="G157">
        <v>5510001</v>
      </c>
    </row>
    <row r="158" spans="2:7" x14ac:dyDescent="0.25">
      <c r="B158" t="s">
        <v>29</v>
      </c>
      <c r="C158" t="s">
        <v>2</v>
      </c>
      <c r="D158">
        <v>1</v>
      </c>
      <c r="E158">
        <v>0.2</v>
      </c>
      <c r="F158">
        <v>0</v>
      </c>
      <c r="G158">
        <v>5510002</v>
      </c>
    </row>
    <row r="159" spans="2:7" x14ac:dyDescent="0.25">
      <c r="B159" t="s">
        <v>977</v>
      </c>
      <c r="C159">
        <v>1810186</v>
      </c>
    </row>
    <row r="160" spans="2:7" x14ac:dyDescent="0.25">
      <c r="B160" t="s">
        <v>27</v>
      </c>
      <c r="C160" t="s">
        <v>2</v>
      </c>
      <c r="D160">
        <v>1</v>
      </c>
      <c r="E160">
        <v>0.2</v>
      </c>
      <c r="F160">
        <v>0</v>
      </c>
      <c r="G160">
        <v>5510003</v>
      </c>
    </row>
    <row r="161" spans="2:7" x14ac:dyDescent="0.25">
      <c r="B161">
        <v>9</v>
      </c>
      <c r="C161">
        <v>1810236</v>
      </c>
    </row>
    <row r="162" spans="2:7" x14ac:dyDescent="0.25">
      <c r="B162" t="s">
        <v>786</v>
      </c>
      <c r="C162" t="s">
        <v>5</v>
      </c>
      <c r="D162">
        <v>0.2</v>
      </c>
      <c r="E162">
        <v>-1</v>
      </c>
      <c r="F162">
        <v>0</v>
      </c>
      <c r="G162">
        <v>6642812</v>
      </c>
    </row>
    <row r="163" spans="2:7" x14ac:dyDescent="0.25">
      <c r="B163" t="s">
        <v>840</v>
      </c>
      <c r="C163" t="s">
        <v>5</v>
      </c>
      <c r="D163">
        <v>0.2</v>
      </c>
      <c r="E163">
        <v>-1</v>
      </c>
      <c r="F163">
        <v>0</v>
      </c>
      <c r="G163">
        <v>6642813</v>
      </c>
    </row>
    <row r="164" spans="2:7" x14ac:dyDescent="0.25">
      <c r="B164" t="s">
        <v>840</v>
      </c>
      <c r="C164" t="s">
        <v>5</v>
      </c>
      <c r="D164">
        <v>0.2</v>
      </c>
      <c r="E164">
        <v>-1</v>
      </c>
      <c r="F164">
        <v>0</v>
      </c>
      <c r="G164">
        <v>6642814</v>
      </c>
    </row>
    <row r="165" spans="2:7" x14ac:dyDescent="0.25">
      <c r="B165" t="s">
        <v>978</v>
      </c>
      <c r="C165">
        <v>1853669</v>
      </c>
    </row>
    <row r="166" spans="2:7" x14ac:dyDescent="0.25">
      <c r="B166" t="s">
        <v>787</v>
      </c>
      <c r="C166" t="s">
        <v>1</v>
      </c>
      <c r="D166">
        <v>-1</v>
      </c>
      <c r="E166">
        <v>-0.2</v>
      </c>
      <c r="F166">
        <v>0</v>
      </c>
      <c r="G166">
        <v>6317636</v>
      </c>
    </row>
    <row r="167" spans="2:7" x14ac:dyDescent="0.25">
      <c r="B167" t="s">
        <v>979</v>
      </c>
      <c r="C167">
        <v>1853676</v>
      </c>
    </row>
    <row r="168" spans="2:7" x14ac:dyDescent="0.25">
      <c r="B168" t="s">
        <v>787</v>
      </c>
      <c r="C168" t="s">
        <v>1</v>
      </c>
      <c r="D168">
        <v>-1</v>
      </c>
      <c r="E168">
        <v>-0.2</v>
      </c>
      <c r="F168">
        <v>0</v>
      </c>
      <c r="G168">
        <v>6317636</v>
      </c>
    </row>
    <row r="169" spans="2:7" x14ac:dyDescent="0.25">
      <c r="B169">
        <v>14</v>
      </c>
      <c r="C169">
        <v>1879682</v>
      </c>
    </row>
    <row r="170" spans="2:7" x14ac:dyDescent="0.25">
      <c r="B170" t="s">
        <v>31</v>
      </c>
      <c r="C170" t="s">
        <v>5</v>
      </c>
      <c r="D170">
        <v>0.2</v>
      </c>
      <c r="E170">
        <v>-1</v>
      </c>
      <c r="F170">
        <v>0</v>
      </c>
      <c r="G170">
        <v>4928962</v>
      </c>
    </row>
    <row r="171" spans="2:7" x14ac:dyDescent="0.25">
      <c r="B171" t="s">
        <v>30</v>
      </c>
      <c r="C171" t="s">
        <v>5</v>
      </c>
      <c r="D171">
        <v>0.2</v>
      </c>
      <c r="E171">
        <v>-1</v>
      </c>
      <c r="F171">
        <v>0</v>
      </c>
      <c r="G171">
        <v>4928964</v>
      </c>
    </row>
    <row r="172" spans="2:7" x14ac:dyDescent="0.25">
      <c r="B172">
        <v>15</v>
      </c>
      <c r="C172">
        <v>1879685</v>
      </c>
    </row>
    <row r="173" spans="2:7" x14ac:dyDescent="0.25">
      <c r="B173" t="s">
        <v>30</v>
      </c>
      <c r="C173" t="s">
        <v>5</v>
      </c>
      <c r="D173">
        <v>0.2</v>
      </c>
      <c r="E173">
        <v>-1</v>
      </c>
      <c r="F173">
        <v>0</v>
      </c>
      <c r="G173">
        <v>4928964</v>
      </c>
    </row>
    <row r="174" spans="2:7" x14ac:dyDescent="0.25">
      <c r="B174" t="s">
        <v>31</v>
      </c>
      <c r="C174" t="s">
        <v>5</v>
      </c>
      <c r="D174">
        <v>0.2</v>
      </c>
      <c r="E174">
        <v>-1</v>
      </c>
      <c r="F174">
        <v>0</v>
      </c>
      <c r="G174">
        <v>4929825</v>
      </c>
    </row>
  </sheetData>
  <customSheetViews>
    <customSheetView guid="{2A8AA8A9-D849-43BE-B128-2DCE8081808F}">
      <pageMargins left="0.7" right="0.7" top="0.75" bottom="0.75" header="0.3" footer="0.3"/>
    </customSheetView>
    <customSheetView guid="{E07775A8-4E8E-4F0F-ABD4-8C1611285DFF}">
      <selection activeCell="O39" sqref="O3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56"/>
  <sheetViews>
    <sheetView workbookViewId="0">
      <selection activeCell="P32" sqref="P32"/>
    </sheetView>
  </sheetViews>
  <sheetFormatPr defaultRowHeight="15" x14ac:dyDescent="0.25"/>
  <cols>
    <col min="2" max="2" width="75.7109375" bestFit="1" customWidth="1"/>
  </cols>
  <sheetData>
    <row r="2" spans="2:7" x14ac:dyDescent="0.25">
      <c r="B2" t="s">
        <v>980</v>
      </c>
      <c r="C2">
        <v>1864907</v>
      </c>
    </row>
    <row r="3" spans="2:7" x14ac:dyDescent="0.25">
      <c r="B3" s="34" t="s">
        <v>27</v>
      </c>
      <c r="C3" t="s">
        <v>2</v>
      </c>
      <c r="D3">
        <v>1</v>
      </c>
      <c r="E3">
        <v>0.2</v>
      </c>
      <c r="F3">
        <v>0</v>
      </c>
      <c r="G3">
        <v>5021093</v>
      </c>
    </row>
    <row r="4" spans="2:7" x14ac:dyDescent="0.25">
      <c r="B4" s="34" t="s">
        <v>27</v>
      </c>
      <c r="C4" t="s">
        <v>2</v>
      </c>
      <c r="D4">
        <v>1</v>
      </c>
      <c r="E4">
        <v>0.2</v>
      </c>
      <c r="F4">
        <v>0</v>
      </c>
      <c r="G4">
        <v>5021094</v>
      </c>
    </row>
    <row r="5" spans="2:7" x14ac:dyDescent="0.25">
      <c r="B5" t="s">
        <v>981</v>
      </c>
      <c r="C5">
        <v>1864933</v>
      </c>
    </row>
    <row r="6" spans="2:7" x14ac:dyDescent="0.25">
      <c r="B6" t="s">
        <v>30</v>
      </c>
      <c r="C6" t="s">
        <v>5</v>
      </c>
      <c r="D6">
        <v>0.2</v>
      </c>
      <c r="E6">
        <v>-1</v>
      </c>
      <c r="F6">
        <v>0</v>
      </c>
      <c r="G6">
        <v>4928940</v>
      </c>
    </row>
    <row r="7" spans="2:7" x14ac:dyDescent="0.25">
      <c r="B7" t="s">
        <v>33</v>
      </c>
      <c r="C7" t="s">
        <v>5</v>
      </c>
      <c r="D7">
        <v>0.2</v>
      </c>
      <c r="E7">
        <v>-1</v>
      </c>
      <c r="F7">
        <v>0</v>
      </c>
      <c r="G7">
        <v>4928944</v>
      </c>
    </row>
    <row r="8" spans="2:7" x14ac:dyDescent="0.25">
      <c r="B8" t="s">
        <v>31</v>
      </c>
      <c r="C8" t="s">
        <v>5</v>
      </c>
      <c r="D8">
        <v>0.2</v>
      </c>
      <c r="E8">
        <v>-1</v>
      </c>
      <c r="F8">
        <v>0</v>
      </c>
      <c r="G8">
        <v>4928961</v>
      </c>
    </row>
    <row r="9" spans="2:7" x14ac:dyDescent="0.25">
      <c r="B9" t="s">
        <v>982</v>
      </c>
      <c r="C9">
        <v>1864937</v>
      </c>
    </row>
    <row r="10" spans="2:7" x14ac:dyDescent="0.25">
      <c r="B10" t="s">
        <v>787</v>
      </c>
      <c r="C10" t="s">
        <v>5</v>
      </c>
      <c r="D10">
        <v>0.2</v>
      </c>
      <c r="E10">
        <v>-1</v>
      </c>
      <c r="F10">
        <v>0</v>
      </c>
      <c r="G10">
        <v>6320269</v>
      </c>
    </row>
    <row r="11" spans="2:7" x14ac:dyDescent="0.25">
      <c r="B11" t="s">
        <v>983</v>
      </c>
      <c r="C11">
        <v>1864960</v>
      </c>
    </row>
    <row r="12" spans="2:7" x14ac:dyDescent="0.25">
      <c r="B12" s="34" t="s">
        <v>29</v>
      </c>
      <c r="C12" t="s">
        <v>2</v>
      </c>
      <c r="D12">
        <v>1</v>
      </c>
      <c r="E12">
        <v>0.2</v>
      </c>
      <c r="F12">
        <v>0</v>
      </c>
      <c r="G12">
        <v>5502337</v>
      </c>
    </row>
    <row r="13" spans="2:7" x14ac:dyDescent="0.25">
      <c r="B13" s="34" t="s">
        <v>27</v>
      </c>
      <c r="C13" t="s">
        <v>2</v>
      </c>
      <c r="D13">
        <v>1</v>
      </c>
      <c r="E13">
        <v>0.2</v>
      </c>
      <c r="F13">
        <v>0</v>
      </c>
      <c r="G13">
        <v>5503970</v>
      </c>
    </row>
    <row r="14" spans="2:7" x14ac:dyDescent="0.25">
      <c r="B14" t="s">
        <v>984</v>
      </c>
      <c r="C14">
        <v>1864961</v>
      </c>
    </row>
    <row r="15" spans="2:7" x14ac:dyDescent="0.25">
      <c r="B15" s="34" t="s">
        <v>38</v>
      </c>
      <c r="C15" t="s">
        <v>2</v>
      </c>
      <c r="D15">
        <v>1</v>
      </c>
      <c r="E15">
        <v>0.2</v>
      </c>
      <c r="F15">
        <v>0</v>
      </c>
      <c r="G15">
        <v>5021096</v>
      </c>
    </row>
    <row r="16" spans="2:7" x14ac:dyDescent="0.25">
      <c r="B16" t="s">
        <v>985</v>
      </c>
      <c r="C16">
        <v>1864962</v>
      </c>
    </row>
    <row r="17" spans="2:7" x14ac:dyDescent="0.25">
      <c r="B17" t="s">
        <v>27</v>
      </c>
      <c r="C17" t="s">
        <v>2</v>
      </c>
      <c r="D17">
        <v>1</v>
      </c>
      <c r="E17">
        <v>0.2</v>
      </c>
      <c r="F17">
        <v>0</v>
      </c>
      <c r="G17">
        <v>5504208</v>
      </c>
    </row>
    <row r="18" spans="2:7" x14ac:dyDescent="0.25">
      <c r="B18" t="s">
        <v>986</v>
      </c>
      <c r="C18">
        <v>1864963</v>
      </c>
    </row>
    <row r="19" spans="2:7" x14ac:dyDescent="0.25">
      <c r="B19" s="34" t="s">
        <v>38</v>
      </c>
      <c r="C19" t="s">
        <v>2</v>
      </c>
      <c r="D19">
        <v>1</v>
      </c>
      <c r="E19">
        <v>0.2</v>
      </c>
      <c r="F19">
        <v>0</v>
      </c>
      <c r="G19">
        <v>5504873</v>
      </c>
    </row>
    <row r="20" spans="2:7" x14ac:dyDescent="0.25">
      <c r="B20" s="34" t="s">
        <v>27</v>
      </c>
      <c r="C20" t="s">
        <v>2</v>
      </c>
      <c r="D20">
        <v>1</v>
      </c>
      <c r="E20">
        <v>0.2</v>
      </c>
      <c r="F20">
        <v>0</v>
      </c>
      <c r="G20">
        <v>5506002</v>
      </c>
    </row>
    <row r="21" spans="2:7" x14ac:dyDescent="0.25">
      <c r="B21" t="s">
        <v>987</v>
      </c>
      <c r="C21">
        <v>1864964</v>
      </c>
    </row>
    <row r="22" spans="2:7" x14ac:dyDescent="0.25">
      <c r="B22" t="s">
        <v>787</v>
      </c>
      <c r="C22" t="s">
        <v>1</v>
      </c>
      <c r="D22">
        <v>-1</v>
      </c>
      <c r="E22">
        <v>-0.2</v>
      </c>
      <c r="F22">
        <v>0</v>
      </c>
      <c r="G22">
        <v>6642854</v>
      </c>
    </row>
    <row r="23" spans="2:7" x14ac:dyDescent="0.25">
      <c r="B23" t="s">
        <v>988</v>
      </c>
      <c r="C23">
        <v>1864965</v>
      </c>
    </row>
    <row r="24" spans="2:7" x14ac:dyDescent="0.25">
      <c r="B24" t="s">
        <v>787</v>
      </c>
      <c r="C24" t="s">
        <v>1</v>
      </c>
      <c r="D24">
        <v>-1</v>
      </c>
      <c r="E24">
        <v>-0.2</v>
      </c>
      <c r="F24">
        <v>0</v>
      </c>
      <c r="G24">
        <v>6642855</v>
      </c>
    </row>
    <row r="25" spans="2:7" x14ac:dyDescent="0.25">
      <c r="B25" t="s">
        <v>989</v>
      </c>
      <c r="C25">
        <v>1864966</v>
      </c>
    </row>
    <row r="26" spans="2:7" x14ac:dyDescent="0.25">
      <c r="B26" s="34" t="s">
        <v>27</v>
      </c>
      <c r="C26" t="s">
        <v>2</v>
      </c>
      <c r="D26">
        <v>1</v>
      </c>
      <c r="E26">
        <v>0.2</v>
      </c>
      <c r="F26">
        <v>0</v>
      </c>
      <c r="G26">
        <v>5504579</v>
      </c>
    </row>
    <row r="27" spans="2:7" x14ac:dyDescent="0.25">
      <c r="B27" t="s">
        <v>990</v>
      </c>
      <c r="C27">
        <v>1864967</v>
      </c>
    </row>
    <row r="28" spans="2:7" x14ac:dyDescent="0.25">
      <c r="B28" t="s">
        <v>787</v>
      </c>
      <c r="C28" t="s">
        <v>1</v>
      </c>
      <c r="D28">
        <v>-1</v>
      </c>
      <c r="E28">
        <v>-0.2</v>
      </c>
      <c r="F28">
        <v>0</v>
      </c>
      <c r="G28">
        <v>6643289</v>
      </c>
    </row>
    <row r="29" spans="2:7" x14ac:dyDescent="0.25">
      <c r="B29" t="s">
        <v>991</v>
      </c>
      <c r="C29">
        <v>1864968</v>
      </c>
    </row>
    <row r="30" spans="2:7" x14ac:dyDescent="0.25">
      <c r="B30" s="34" t="s">
        <v>38</v>
      </c>
      <c r="C30" t="s">
        <v>2</v>
      </c>
      <c r="D30">
        <v>1</v>
      </c>
      <c r="E30">
        <v>0.2</v>
      </c>
      <c r="F30">
        <v>0</v>
      </c>
      <c r="G30">
        <v>5021095</v>
      </c>
    </row>
    <row r="31" spans="2:7" x14ac:dyDescent="0.25">
      <c r="B31" t="s">
        <v>992</v>
      </c>
      <c r="C31">
        <v>1864969</v>
      </c>
    </row>
    <row r="32" spans="2:7" x14ac:dyDescent="0.25">
      <c r="B32" s="34" t="s">
        <v>27</v>
      </c>
      <c r="C32" t="s">
        <v>2</v>
      </c>
      <c r="D32">
        <v>1</v>
      </c>
      <c r="E32">
        <v>0.2</v>
      </c>
      <c r="F32">
        <v>0</v>
      </c>
      <c r="G32">
        <v>5505133</v>
      </c>
    </row>
    <row r="33" spans="2:7" x14ac:dyDescent="0.25">
      <c r="B33" s="34" t="s">
        <v>27</v>
      </c>
      <c r="C33" t="s">
        <v>2</v>
      </c>
      <c r="D33">
        <v>1</v>
      </c>
      <c r="E33">
        <v>0.2</v>
      </c>
      <c r="F33">
        <v>0</v>
      </c>
      <c r="G33">
        <v>5505236</v>
      </c>
    </row>
    <row r="34" spans="2:7" x14ac:dyDescent="0.25">
      <c r="B34" t="s">
        <v>993</v>
      </c>
      <c r="C34">
        <v>1864970</v>
      </c>
    </row>
    <row r="35" spans="2:7" x14ac:dyDescent="0.25">
      <c r="B35" t="s">
        <v>787</v>
      </c>
      <c r="C35" t="s">
        <v>1</v>
      </c>
      <c r="D35">
        <v>-1</v>
      </c>
      <c r="E35">
        <v>-0.2</v>
      </c>
      <c r="F35">
        <v>0</v>
      </c>
      <c r="G35">
        <v>6643290</v>
      </c>
    </row>
    <row r="36" spans="2:7" x14ac:dyDescent="0.25">
      <c r="B36" t="s">
        <v>787</v>
      </c>
      <c r="C36" t="s">
        <v>1</v>
      </c>
      <c r="D36">
        <v>-1</v>
      </c>
      <c r="E36">
        <v>-0.2</v>
      </c>
      <c r="F36">
        <v>0</v>
      </c>
      <c r="G36">
        <v>6643292</v>
      </c>
    </row>
    <row r="37" spans="2:7" x14ac:dyDescent="0.25">
      <c r="B37" t="s">
        <v>994</v>
      </c>
      <c r="C37">
        <v>1864972</v>
      </c>
    </row>
    <row r="38" spans="2:7" x14ac:dyDescent="0.25">
      <c r="B38" t="s">
        <v>797</v>
      </c>
      <c r="C38" t="s">
        <v>1</v>
      </c>
      <c r="D38">
        <v>-1</v>
      </c>
      <c r="E38">
        <v>-0.2</v>
      </c>
      <c r="F38">
        <v>0</v>
      </c>
      <c r="G38">
        <v>6642857</v>
      </c>
    </row>
    <row r="39" spans="2:7" x14ac:dyDescent="0.25">
      <c r="B39" t="s">
        <v>995</v>
      </c>
      <c r="C39">
        <v>1864975</v>
      </c>
    </row>
    <row r="40" spans="2:7" x14ac:dyDescent="0.25">
      <c r="B40" s="34" t="s">
        <v>27</v>
      </c>
      <c r="C40" t="s">
        <v>2</v>
      </c>
      <c r="D40">
        <v>1</v>
      </c>
      <c r="E40">
        <v>0.2</v>
      </c>
      <c r="F40">
        <v>0</v>
      </c>
      <c r="G40">
        <v>3677508</v>
      </c>
    </row>
    <row r="41" spans="2:7" x14ac:dyDescent="0.25">
      <c r="B41" s="34" t="s">
        <v>27</v>
      </c>
      <c r="C41" t="s">
        <v>2</v>
      </c>
      <c r="D41">
        <v>1</v>
      </c>
      <c r="E41">
        <v>0.2</v>
      </c>
      <c r="F41">
        <v>0</v>
      </c>
      <c r="G41">
        <v>5506401</v>
      </c>
    </row>
    <row r="42" spans="2:7" x14ac:dyDescent="0.25">
      <c r="B42" t="s">
        <v>996</v>
      </c>
      <c r="C42">
        <v>1864976</v>
      </c>
    </row>
    <row r="43" spans="2:7" x14ac:dyDescent="0.25">
      <c r="B43" s="34" t="s">
        <v>29</v>
      </c>
      <c r="C43" t="s">
        <v>2</v>
      </c>
      <c r="D43">
        <v>1</v>
      </c>
      <c r="E43">
        <v>0.2</v>
      </c>
      <c r="F43">
        <v>0</v>
      </c>
      <c r="G43">
        <v>3677509</v>
      </c>
    </row>
    <row r="44" spans="2:7" x14ac:dyDescent="0.25">
      <c r="B44" s="34" t="s">
        <v>27</v>
      </c>
      <c r="C44" t="s">
        <v>2</v>
      </c>
      <c r="D44">
        <v>1</v>
      </c>
      <c r="E44">
        <v>0.2</v>
      </c>
      <c r="F44">
        <v>0</v>
      </c>
      <c r="G44">
        <v>5506635</v>
      </c>
    </row>
    <row r="45" spans="2:7" x14ac:dyDescent="0.25">
      <c r="B45" t="s">
        <v>997</v>
      </c>
      <c r="C45">
        <v>1864979</v>
      </c>
    </row>
    <row r="46" spans="2:7" x14ac:dyDescent="0.25">
      <c r="B46" s="34" t="s">
        <v>27</v>
      </c>
      <c r="C46" t="s">
        <v>2</v>
      </c>
      <c r="D46">
        <v>1</v>
      </c>
      <c r="E46">
        <v>0.2</v>
      </c>
      <c r="F46">
        <v>0</v>
      </c>
      <c r="G46">
        <v>5506954</v>
      </c>
    </row>
    <row r="47" spans="2:7" x14ac:dyDescent="0.25">
      <c r="B47" t="s">
        <v>998</v>
      </c>
      <c r="C47">
        <v>1864992</v>
      </c>
    </row>
    <row r="48" spans="2:7" x14ac:dyDescent="0.25">
      <c r="B48" t="s">
        <v>787</v>
      </c>
      <c r="C48" t="s">
        <v>5</v>
      </c>
      <c r="D48">
        <v>0.2</v>
      </c>
      <c r="E48">
        <v>-1</v>
      </c>
      <c r="F48">
        <v>0</v>
      </c>
      <c r="G48">
        <v>6322174</v>
      </c>
    </row>
    <row r="49" spans="2:7" x14ac:dyDescent="0.25">
      <c r="B49" t="s">
        <v>999</v>
      </c>
      <c r="C49">
        <v>1864995</v>
      </c>
    </row>
    <row r="50" spans="2:7" x14ac:dyDescent="0.25">
      <c r="B50" s="34" t="s">
        <v>29</v>
      </c>
      <c r="C50" t="s">
        <v>2</v>
      </c>
      <c r="D50">
        <v>1</v>
      </c>
      <c r="E50">
        <v>0.2</v>
      </c>
      <c r="F50">
        <v>0</v>
      </c>
      <c r="G50">
        <v>5506689</v>
      </c>
    </row>
    <row r="51" spans="2:7" x14ac:dyDescent="0.25">
      <c r="B51" t="s">
        <v>1000</v>
      </c>
      <c r="C51">
        <v>1864996</v>
      </c>
    </row>
    <row r="52" spans="2:7" x14ac:dyDescent="0.25">
      <c r="B52" s="34" t="s">
        <v>38</v>
      </c>
      <c r="C52" t="s">
        <v>2</v>
      </c>
      <c r="D52">
        <v>1</v>
      </c>
      <c r="E52">
        <v>0.2</v>
      </c>
      <c r="F52">
        <v>0</v>
      </c>
      <c r="G52">
        <v>5506796</v>
      </c>
    </row>
    <row r="53" spans="2:7" x14ac:dyDescent="0.25">
      <c r="B53" t="s">
        <v>1001</v>
      </c>
      <c r="C53">
        <v>1865016</v>
      </c>
    </row>
    <row r="54" spans="2:7" x14ac:dyDescent="0.25">
      <c r="B54" t="s">
        <v>27</v>
      </c>
      <c r="C54" t="s">
        <v>791</v>
      </c>
      <c r="D54">
        <v>0.9</v>
      </c>
      <c r="E54">
        <v>0.5</v>
      </c>
      <c r="F54">
        <v>0</v>
      </c>
      <c r="G54">
        <v>5512967</v>
      </c>
    </row>
    <row r="55" spans="2:7" x14ac:dyDescent="0.25">
      <c r="B55" t="s">
        <v>1002</v>
      </c>
      <c r="C55">
        <v>1865019</v>
      </c>
    </row>
    <row r="56" spans="2:7" x14ac:dyDescent="0.25">
      <c r="B56" t="s">
        <v>787</v>
      </c>
      <c r="C56" t="s">
        <v>5</v>
      </c>
      <c r="D56">
        <v>0.2</v>
      </c>
      <c r="E56">
        <v>-1</v>
      </c>
      <c r="F56">
        <v>0</v>
      </c>
      <c r="G56">
        <v>6320354</v>
      </c>
    </row>
    <row r="57" spans="2:7" x14ac:dyDescent="0.25">
      <c r="B57" t="s">
        <v>1003</v>
      </c>
      <c r="C57">
        <v>1865043</v>
      </c>
    </row>
    <row r="58" spans="2:7" x14ac:dyDescent="0.25">
      <c r="B58" t="s">
        <v>787</v>
      </c>
      <c r="C58" t="s">
        <v>1</v>
      </c>
      <c r="D58">
        <v>-1</v>
      </c>
      <c r="E58">
        <v>-0.2</v>
      </c>
      <c r="F58">
        <v>0</v>
      </c>
      <c r="G58">
        <v>6316757</v>
      </c>
    </row>
    <row r="59" spans="2:7" x14ac:dyDescent="0.25">
      <c r="B59" t="s">
        <v>787</v>
      </c>
      <c r="C59" t="s">
        <v>1</v>
      </c>
      <c r="D59">
        <v>-1</v>
      </c>
      <c r="E59">
        <v>-0.2</v>
      </c>
      <c r="F59">
        <v>0</v>
      </c>
      <c r="G59">
        <v>6316801</v>
      </c>
    </row>
    <row r="60" spans="2:7" x14ac:dyDescent="0.25">
      <c r="B60" t="s">
        <v>1004</v>
      </c>
      <c r="C60">
        <v>1865044</v>
      </c>
    </row>
    <row r="61" spans="2:7" x14ac:dyDescent="0.25">
      <c r="B61" t="s">
        <v>797</v>
      </c>
      <c r="C61" t="s">
        <v>1</v>
      </c>
      <c r="D61">
        <v>-1</v>
      </c>
      <c r="E61">
        <v>-0.2</v>
      </c>
      <c r="F61">
        <v>0</v>
      </c>
      <c r="G61">
        <v>6316640</v>
      </c>
    </row>
    <row r="62" spans="2:7" x14ac:dyDescent="0.25">
      <c r="B62" t="s">
        <v>1005</v>
      </c>
      <c r="C62">
        <v>1865045</v>
      </c>
    </row>
    <row r="63" spans="2:7" x14ac:dyDescent="0.25">
      <c r="B63" t="s">
        <v>786</v>
      </c>
      <c r="C63" t="s">
        <v>1</v>
      </c>
      <c r="D63">
        <v>-1</v>
      </c>
      <c r="E63">
        <v>-0.2</v>
      </c>
      <c r="F63">
        <v>0</v>
      </c>
      <c r="G63">
        <v>6316455</v>
      </c>
    </row>
    <row r="64" spans="2:7" x14ac:dyDescent="0.25">
      <c r="B64" t="s">
        <v>1006</v>
      </c>
      <c r="C64">
        <v>1865046</v>
      </c>
    </row>
    <row r="65" spans="2:7" x14ac:dyDescent="0.25">
      <c r="B65" t="s">
        <v>786</v>
      </c>
      <c r="C65" t="s">
        <v>1</v>
      </c>
      <c r="D65">
        <v>-1</v>
      </c>
      <c r="E65">
        <v>-0.2</v>
      </c>
      <c r="F65">
        <v>0</v>
      </c>
      <c r="G65">
        <v>6316018</v>
      </c>
    </row>
    <row r="66" spans="2:7" x14ac:dyDescent="0.25">
      <c r="B66" t="s">
        <v>1007</v>
      </c>
      <c r="C66">
        <v>1865047</v>
      </c>
    </row>
    <row r="67" spans="2:7" x14ac:dyDescent="0.25">
      <c r="B67" t="s">
        <v>787</v>
      </c>
      <c r="C67" t="s">
        <v>1</v>
      </c>
      <c r="D67">
        <v>-1</v>
      </c>
      <c r="E67">
        <v>-0.2</v>
      </c>
      <c r="F67">
        <v>0</v>
      </c>
      <c r="G67">
        <v>6315613</v>
      </c>
    </row>
    <row r="68" spans="2:7" x14ac:dyDescent="0.25">
      <c r="B68" t="s">
        <v>1008</v>
      </c>
      <c r="C68">
        <v>1865054</v>
      </c>
    </row>
    <row r="69" spans="2:7" x14ac:dyDescent="0.25">
      <c r="B69" s="34" t="s">
        <v>38</v>
      </c>
      <c r="C69" t="s">
        <v>2</v>
      </c>
      <c r="D69">
        <v>1</v>
      </c>
      <c r="E69">
        <v>0.2</v>
      </c>
      <c r="F69">
        <v>0</v>
      </c>
      <c r="G69">
        <v>5507271</v>
      </c>
    </row>
    <row r="70" spans="2:7" x14ac:dyDescent="0.25">
      <c r="B70" t="s">
        <v>1009</v>
      </c>
      <c r="C70">
        <v>1865055</v>
      </c>
    </row>
    <row r="71" spans="2:7" x14ac:dyDescent="0.25">
      <c r="B71" s="34" t="s">
        <v>27</v>
      </c>
      <c r="C71" t="s">
        <v>2</v>
      </c>
      <c r="D71">
        <v>1</v>
      </c>
      <c r="E71">
        <v>0.2</v>
      </c>
      <c r="F71">
        <v>0</v>
      </c>
      <c r="G71">
        <v>5507347</v>
      </c>
    </row>
    <row r="72" spans="2:7" x14ac:dyDescent="0.25">
      <c r="B72" s="34" t="s">
        <v>27</v>
      </c>
      <c r="C72" t="s">
        <v>2</v>
      </c>
      <c r="D72">
        <v>1</v>
      </c>
      <c r="E72">
        <v>0.2</v>
      </c>
      <c r="F72">
        <v>0</v>
      </c>
      <c r="G72">
        <v>5507507</v>
      </c>
    </row>
    <row r="73" spans="2:7" x14ac:dyDescent="0.25">
      <c r="B73" t="s">
        <v>1010</v>
      </c>
      <c r="C73">
        <v>1865056</v>
      </c>
    </row>
    <row r="74" spans="2:7" x14ac:dyDescent="0.25">
      <c r="B74" s="34" t="s">
        <v>29</v>
      </c>
      <c r="C74" t="s">
        <v>2</v>
      </c>
      <c r="D74">
        <v>1</v>
      </c>
      <c r="E74">
        <v>0.2</v>
      </c>
      <c r="F74">
        <v>0</v>
      </c>
      <c r="G74">
        <v>5507630</v>
      </c>
    </row>
    <row r="75" spans="2:7" x14ac:dyDescent="0.25">
      <c r="B75" t="s">
        <v>1011</v>
      </c>
      <c r="C75">
        <v>1865057</v>
      </c>
    </row>
    <row r="76" spans="2:7" x14ac:dyDescent="0.25">
      <c r="B76" s="34" t="s">
        <v>29</v>
      </c>
      <c r="C76" t="s">
        <v>2</v>
      </c>
      <c r="D76">
        <v>1</v>
      </c>
      <c r="E76">
        <v>0.2</v>
      </c>
      <c r="F76">
        <v>0</v>
      </c>
      <c r="G76">
        <v>5507128</v>
      </c>
    </row>
    <row r="77" spans="2:7" x14ac:dyDescent="0.25">
      <c r="B77" s="34" t="s">
        <v>27</v>
      </c>
      <c r="C77" t="s">
        <v>2</v>
      </c>
      <c r="D77">
        <v>1</v>
      </c>
      <c r="E77">
        <v>0.2</v>
      </c>
      <c r="F77">
        <v>0</v>
      </c>
      <c r="G77">
        <v>5507203</v>
      </c>
    </row>
    <row r="78" spans="2:7" x14ac:dyDescent="0.25">
      <c r="B78" t="s">
        <v>1012</v>
      </c>
      <c r="C78">
        <v>1865062</v>
      </c>
    </row>
    <row r="79" spans="2:7" x14ac:dyDescent="0.25">
      <c r="B79" t="s">
        <v>786</v>
      </c>
      <c r="C79" t="s">
        <v>1</v>
      </c>
      <c r="D79">
        <v>-1</v>
      </c>
      <c r="E79">
        <v>-0.2</v>
      </c>
      <c r="F79">
        <v>0</v>
      </c>
      <c r="G79">
        <v>6643287</v>
      </c>
    </row>
    <row r="80" spans="2:7" x14ac:dyDescent="0.25">
      <c r="B80" t="s">
        <v>1013</v>
      </c>
      <c r="C80">
        <v>1865065</v>
      </c>
    </row>
    <row r="81" spans="2:7" x14ac:dyDescent="0.25">
      <c r="B81" t="s">
        <v>787</v>
      </c>
      <c r="C81" t="s">
        <v>5</v>
      </c>
      <c r="D81">
        <v>0.2</v>
      </c>
      <c r="E81">
        <v>-1</v>
      </c>
      <c r="F81">
        <v>0</v>
      </c>
      <c r="G81">
        <v>6322219</v>
      </c>
    </row>
    <row r="82" spans="2:7" x14ac:dyDescent="0.25">
      <c r="B82" t="s">
        <v>1014</v>
      </c>
      <c r="C82">
        <v>1865079</v>
      </c>
    </row>
    <row r="83" spans="2:7" x14ac:dyDescent="0.25">
      <c r="B83" s="34" t="s">
        <v>38</v>
      </c>
      <c r="C83" t="s">
        <v>2</v>
      </c>
      <c r="D83">
        <v>1</v>
      </c>
      <c r="E83">
        <v>0.2</v>
      </c>
      <c r="F83">
        <v>0</v>
      </c>
      <c r="G83">
        <v>3677518</v>
      </c>
    </row>
    <row r="84" spans="2:7" x14ac:dyDescent="0.25">
      <c r="B84" t="s">
        <v>1015</v>
      </c>
      <c r="C84">
        <v>1865093</v>
      </c>
    </row>
    <row r="85" spans="2:7" x14ac:dyDescent="0.25">
      <c r="B85" t="s">
        <v>31</v>
      </c>
      <c r="C85" t="s">
        <v>5</v>
      </c>
      <c r="D85">
        <v>0.2</v>
      </c>
      <c r="E85">
        <v>-1</v>
      </c>
      <c r="F85">
        <v>0</v>
      </c>
      <c r="G85">
        <v>4928957</v>
      </c>
    </row>
    <row r="86" spans="2:7" x14ac:dyDescent="0.25">
      <c r="B86" t="s">
        <v>27</v>
      </c>
      <c r="C86" t="s">
        <v>791</v>
      </c>
      <c r="D86">
        <v>0.9</v>
      </c>
      <c r="E86">
        <v>0.5</v>
      </c>
      <c r="F86">
        <v>0</v>
      </c>
      <c r="G86">
        <v>5512749</v>
      </c>
    </row>
    <row r="87" spans="2:7" x14ac:dyDescent="0.25">
      <c r="B87" t="s">
        <v>27</v>
      </c>
      <c r="C87" t="s">
        <v>791</v>
      </c>
      <c r="D87">
        <v>0.9</v>
      </c>
      <c r="E87">
        <v>0.5</v>
      </c>
      <c r="F87">
        <v>0</v>
      </c>
      <c r="G87">
        <v>5512912</v>
      </c>
    </row>
    <row r="88" spans="2:7" x14ac:dyDescent="0.25">
      <c r="B88" t="s">
        <v>1016</v>
      </c>
      <c r="C88">
        <v>1865094</v>
      </c>
    </row>
    <row r="89" spans="2:7" x14ac:dyDescent="0.25">
      <c r="B89" t="s">
        <v>29</v>
      </c>
      <c r="C89" t="s">
        <v>2</v>
      </c>
      <c r="D89">
        <v>1</v>
      </c>
      <c r="E89">
        <v>0.2</v>
      </c>
      <c r="F89">
        <v>0</v>
      </c>
      <c r="G89">
        <v>5507908</v>
      </c>
    </row>
    <row r="90" spans="2:7" x14ac:dyDescent="0.25">
      <c r="B90" t="s">
        <v>27</v>
      </c>
      <c r="C90" t="s">
        <v>2</v>
      </c>
      <c r="D90">
        <v>1</v>
      </c>
      <c r="E90">
        <v>0.2</v>
      </c>
      <c r="F90">
        <v>0</v>
      </c>
      <c r="G90">
        <v>5507976</v>
      </c>
    </row>
    <row r="91" spans="2:7" x14ac:dyDescent="0.25">
      <c r="B91" t="s">
        <v>27</v>
      </c>
      <c r="C91" t="s">
        <v>2</v>
      </c>
      <c r="D91">
        <v>1</v>
      </c>
      <c r="E91">
        <v>0.2</v>
      </c>
      <c r="F91">
        <v>0</v>
      </c>
      <c r="G91">
        <v>5508033</v>
      </c>
    </row>
    <row r="92" spans="2:7" x14ac:dyDescent="0.25">
      <c r="B92" t="s">
        <v>38</v>
      </c>
      <c r="C92" t="s">
        <v>1017</v>
      </c>
      <c r="D92">
        <v>1</v>
      </c>
      <c r="E92">
        <v>0.3</v>
      </c>
      <c r="F92">
        <v>0</v>
      </c>
      <c r="G92">
        <v>5508045</v>
      </c>
    </row>
    <row r="93" spans="2:7" x14ac:dyDescent="0.25">
      <c r="B93" t="s">
        <v>1018</v>
      </c>
      <c r="C93">
        <v>1865096</v>
      </c>
    </row>
    <row r="94" spans="2:7" x14ac:dyDescent="0.25">
      <c r="B94" t="s">
        <v>840</v>
      </c>
      <c r="C94" t="s">
        <v>5</v>
      </c>
      <c r="D94">
        <v>0.2</v>
      </c>
      <c r="E94">
        <v>-1</v>
      </c>
      <c r="F94">
        <v>0</v>
      </c>
      <c r="G94">
        <v>6643439</v>
      </c>
    </row>
    <row r="95" spans="2:7" x14ac:dyDescent="0.25">
      <c r="B95" t="s">
        <v>787</v>
      </c>
      <c r="C95" t="s">
        <v>5</v>
      </c>
      <c r="D95">
        <v>0.2</v>
      </c>
      <c r="E95">
        <v>-1</v>
      </c>
      <c r="F95">
        <v>0</v>
      </c>
      <c r="G95">
        <v>6643547</v>
      </c>
    </row>
    <row r="96" spans="2:7" x14ac:dyDescent="0.25">
      <c r="B96" t="s">
        <v>797</v>
      </c>
      <c r="C96" t="s">
        <v>5</v>
      </c>
      <c r="D96">
        <v>0.2</v>
      </c>
      <c r="E96">
        <v>-1</v>
      </c>
      <c r="F96">
        <v>0</v>
      </c>
      <c r="G96">
        <v>6643602</v>
      </c>
    </row>
    <row r="97" spans="2:7" x14ac:dyDescent="0.25">
      <c r="B97" t="s">
        <v>1019</v>
      </c>
      <c r="C97">
        <v>1865115</v>
      </c>
    </row>
    <row r="98" spans="2:7" x14ac:dyDescent="0.25">
      <c r="B98" t="s">
        <v>786</v>
      </c>
      <c r="C98" t="s">
        <v>7</v>
      </c>
      <c r="D98">
        <v>-0.9</v>
      </c>
      <c r="E98">
        <v>-0.5</v>
      </c>
      <c r="F98">
        <v>0</v>
      </c>
      <c r="G98">
        <v>6102486</v>
      </c>
    </row>
    <row r="99" spans="2:7" x14ac:dyDescent="0.25">
      <c r="B99" t="s">
        <v>1020</v>
      </c>
      <c r="C99">
        <v>1865117</v>
      </c>
    </row>
    <row r="100" spans="2:7" x14ac:dyDescent="0.25">
      <c r="B100" t="s">
        <v>27</v>
      </c>
      <c r="C100" t="s">
        <v>74</v>
      </c>
      <c r="D100">
        <v>0.9</v>
      </c>
      <c r="E100">
        <v>0.5</v>
      </c>
      <c r="F100">
        <v>0</v>
      </c>
      <c r="G100">
        <v>5510288</v>
      </c>
    </row>
    <row r="101" spans="2:7" x14ac:dyDescent="0.25">
      <c r="B101" t="s">
        <v>27</v>
      </c>
      <c r="C101" t="s">
        <v>74</v>
      </c>
      <c r="D101">
        <v>0.9</v>
      </c>
      <c r="E101">
        <v>0.5</v>
      </c>
      <c r="F101">
        <v>0</v>
      </c>
      <c r="G101">
        <v>5510371</v>
      </c>
    </row>
    <row r="102" spans="2:7" x14ac:dyDescent="0.25">
      <c r="B102" t="s">
        <v>1021</v>
      </c>
      <c r="C102">
        <v>1865118</v>
      </c>
    </row>
    <row r="103" spans="2:7" x14ac:dyDescent="0.25">
      <c r="B103" t="s">
        <v>27</v>
      </c>
      <c r="C103" t="s">
        <v>74</v>
      </c>
      <c r="D103">
        <v>0.9</v>
      </c>
      <c r="E103">
        <v>0.5</v>
      </c>
      <c r="F103">
        <v>0</v>
      </c>
      <c r="G103">
        <v>5510420</v>
      </c>
    </row>
    <row r="104" spans="2:7" x14ac:dyDescent="0.25">
      <c r="B104" t="s">
        <v>38</v>
      </c>
      <c r="C104" t="s">
        <v>74</v>
      </c>
      <c r="D104">
        <v>0.9</v>
      </c>
      <c r="E104">
        <v>0.5</v>
      </c>
      <c r="F104">
        <v>0</v>
      </c>
      <c r="G104">
        <v>5510470</v>
      </c>
    </row>
    <row r="105" spans="2:7" x14ac:dyDescent="0.25">
      <c r="B105" t="s">
        <v>1022</v>
      </c>
      <c r="C105">
        <v>1865119</v>
      </c>
    </row>
    <row r="106" spans="2:7" x14ac:dyDescent="0.25">
      <c r="B106" t="s">
        <v>29</v>
      </c>
      <c r="C106" t="s">
        <v>74</v>
      </c>
      <c r="D106">
        <v>0.9</v>
      </c>
      <c r="E106">
        <v>0.5</v>
      </c>
      <c r="F106">
        <v>0</v>
      </c>
      <c r="G106">
        <v>5510514</v>
      </c>
    </row>
    <row r="107" spans="2:7" x14ac:dyDescent="0.25">
      <c r="B107" t="s">
        <v>1023</v>
      </c>
      <c r="C107">
        <v>1865120</v>
      </c>
    </row>
    <row r="108" spans="2:7" x14ac:dyDescent="0.25">
      <c r="B108" t="s">
        <v>27</v>
      </c>
      <c r="C108" t="s">
        <v>74</v>
      </c>
      <c r="D108">
        <v>0.9</v>
      </c>
      <c r="E108">
        <v>0.5</v>
      </c>
      <c r="F108">
        <v>0</v>
      </c>
      <c r="G108">
        <v>5510614</v>
      </c>
    </row>
    <row r="109" spans="2:7" x14ac:dyDescent="0.25">
      <c r="B109" t="s">
        <v>1024</v>
      </c>
      <c r="C109">
        <v>1865121</v>
      </c>
    </row>
    <row r="110" spans="2:7" x14ac:dyDescent="0.25">
      <c r="B110" t="s">
        <v>38</v>
      </c>
      <c r="C110" t="s">
        <v>74</v>
      </c>
      <c r="D110">
        <v>0.9</v>
      </c>
      <c r="E110">
        <v>0.5</v>
      </c>
      <c r="F110">
        <v>0</v>
      </c>
      <c r="G110">
        <v>5510712</v>
      </c>
    </row>
    <row r="111" spans="2:7" x14ac:dyDescent="0.25">
      <c r="B111" t="s">
        <v>27</v>
      </c>
      <c r="C111" t="s">
        <v>74</v>
      </c>
      <c r="D111">
        <v>0.9</v>
      </c>
      <c r="E111">
        <v>0.5</v>
      </c>
      <c r="F111">
        <v>0</v>
      </c>
      <c r="G111">
        <v>5510790</v>
      </c>
    </row>
    <row r="112" spans="2:7" x14ac:dyDescent="0.25">
      <c r="B112" t="s">
        <v>1025</v>
      </c>
      <c r="C112">
        <v>1865122</v>
      </c>
    </row>
    <row r="113" spans="2:7" x14ac:dyDescent="0.25">
      <c r="B113" t="s">
        <v>27</v>
      </c>
      <c r="C113" t="s">
        <v>74</v>
      </c>
      <c r="D113">
        <v>0.9</v>
      </c>
      <c r="E113">
        <v>0.5</v>
      </c>
      <c r="F113">
        <v>0</v>
      </c>
      <c r="G113">
        <v>5510892</v>
      </c>
    </row>
    <row r="114" spans="2:7" x14ac:dyDescent="0.25">
      <c r="B114" t="s">
        <v>29</v>
      </c>
      <c r="C114" t="s">
        <v>74</v>
      </c>
      <c r="D114">
        <v>0.9</v>
      </c>
      <c r="E114">
        <v>0.5</v>
      </c>
      <c r="F114">
        <v>0</v>
      </c>
      <c r="G114">
        <v>5510968</v>
      </c>
    </row>
    <row r="115" spans="2:7" x14ac:dyDescent="0.25">
      <c r="B115" t="s">
        <v>1026</v>
      </c>
      <c r="C115">
        <v>1865123</v>
      </c>
    </row>
    <row r="116" spans="2:7" x14ac:dyDescent="0.25">
      <c r="B116" t="s">
        <v>27</v>
      </c>
      <c r="C116" t="s">
        <v>74</v>
      </c>
      <c r="D116">
        <v>0.9</v>
      </c>
      <c r="E116">
        <v>0.5</v>
      </c>
      <c r="F116">
        <v>0</v>
      </c>
      <c r="G116">
        <v>5511226</v>
      </c>
    </row>
    <row r="117" spans="2:7" x14ac:dyDescent="0.25">
      <c r="B117" t="s">
        <v>27</v>
      </c>
      <c r="C117" t="s">
        <v>74</v>
      </c>
      <c r="D117">
        <v>0.9</v>
      </c>
      <c r="E117">
        <v>0.5</v>
      </c>
      <c r="F117">
        <v>0</v>
      </c>
      <c r="G117">
        <v>5511326</v>
      </c>
    </row>
    <row r="118" spans="2:7" x14ac:dyDescent="0.25">
      <c r="B118" t="s">
        <v>1027</v>
      </c>
      <c r="C118">
        <v>1865124</v>
      </c>
    </row>
    <row r="119" spans="2:7" x14ac:dyDescent="0.25">
      <c r="B119" t="s">
        <v>787</v>
      </c>
      <c r="C119" t="s">
        <v>7</v>
      </c>
      <c r="D119">
        <v>-0.9</v>
      </c>
      <c r="E119">
        <v>-0.5</v>
      </c>
      <c r="F119">
        <v>0</v>
      </c>
      <c r="G119">
        <v>6102336</v>
      </c>
    </row>
    <row r="120" spans="2:7" x14ac:dyDescent="0.25">
      <c r="B120" t="s">
        <v>787</v>
      </c>
      <c r="C120" t="s">
        <v>7</v>
      </c>
      <c r="D120">
        <v>-0.9</v>
      </c>
      <c r="E120">
        <v>-0.5</v>
      </c>
      <c r="F120">
        <v>0</v>
      </c>
      <c r="G120">
        <v>6308004</v>
      </c>
    </row>
    <row r="121" spans="2:7" x14ac:dyDescent="0.25">
      <c r="B121" t="s">
        <v>1028</v>
      </c>
      <c r="C121">
        <v>1865125</v>
      </c>
    </row>
    <row r="122" spans="2:7" x14ac:dyDescent="0.25">
      <c r="B122" t="s">
        <v>797</v>
      </c>
      <c r="C122" t="s">
        <v>7</v>
      </c>
      <c r="D122">
        <v>-0.9</v>
      </c>
      <c r="E122">
        <v>-0.5</v>
      </c>
      <c r="F122">
        <v>0</v>
      </c>
      <c r="G122">
        <v>6102422</v>
      </c>
    </row>
    <row r="123" spans="2:7" x14ac:dyDescent="0.25">
      <c r="B123" t="s">
        <v>1029</v>
      </c>
      <c r="C123">
        <v>1865126</v>
      </c>
    </row>
    <row r="124" spans="2:7" x14ac:dyDescent="0.25">
      <c r="B124" t="s">
        <v>786</v>
      </c>
      <c r="C124" t="s">
        <v>7</v>
      </c>
      <c r="D124">
        <v>-0.9</v>
      </c>
      <c r="E124">
        <v>-0.5</v>
      </c>
      <c r="F124">
        <v>0</v>
      </c>
      <c r="G124">
        <v>6102454</v>
      </c>
    </row>
    <row r="125" spans="2:7" x14ac:dyDescent="0.25">
      <c r="B125" t="s">
        <v>1030</v>
      </c>
      <c r="C125">
        <v>1865127</v>
      </c>
    </row>
    <row r="126" spans="2:7" x14ac:dyDescent="0.25">
      <c r="B126" t="s">
        <v>787</v>
      </c>
      <c r="C126" t="s">
        <v>7</v>
      </c>
      <c r="D126">
        <v>-0.9</v>
      </c>
      <c r="E126">
        <v>-0.5</v>
      </c>
      <c r="F126">
        <v>0</v>
      </c>
      <c r="G126">
        <v>6102462</v>
      </c>
    </row>
    <row r="127" spans="2:7" x14ac:dyDescent="0.25">
      <c r="B127" t="s">
        <v>787</v>
      </c>
      <c r="C127" t="s">
        <v>7</v>
      </c>
      <c r="D127">
        <v>-0.9</v>
      </c>
      <c r="E127">
        <v>-0.5</v>
      </c>
      <c r="F127">
        <v>0</v>
      </c>
      <c r="G127">
        <v>6307179</v>
      </c>
    </row>
    <row r="128" spans="2:7" x14ac:dyDescent="0.25">
      <c r="B128" t="s">
        <v>1031</v>
      </c>
      <c r="C128">
        <v>1865128</v>
      </c>
    </row>
    <row r="129" spans="2:7" x14ac:dyDescent="0.25">
      <c r="B129" t="s">
        <v>786</v>
      </c>
      <c r="C129" t="s">
        <v>7</v>
      </c>
      <c r="D129">
        <v>-0.9</v>
      </c>
      <c r="E129">
        <v>-0.5</v>
      </c>
      <c r="F129">
        <v>0</v>
      </c>
      <c r="G129">
        <v>6306912</v>
      </c>
    </row>
    <row r="130" spans="2:7" x14ac:dyDescent="0.25">
      <c r="B130" t="s">
        <v>1032</v>
      </c>
      <c r="C130">
        <v>1865129</v>
      </c>
    </row>
    <row r="131" spans="2:7" x14ac:dyDescent="0.25">
      <c r="B131" t="s">
        <v>797</v>
      </c>
      <c r="C131" t="s">
        <v>7</v>
      </c>
      <c r="D131">
        <v>-0.9</v>
      </c>
      <c r="E131">
        <v>-0.5</v>
      </c>
      <c r="F131">
        <v>0</v>
      </c>
      <c r="G131">
        <v>6306373</v>
      </c>
    </row>
    <row r="132" spans="2:7" x14ac:dyDescent="0.25">
      <c r="B132" t="s">
        <v>840</v>
      </c>
      <c r="C132" t="s">
        <v>7</v>
      </c>
      <c r="D132">
        <v>-0.9</v>
      </c>
      <c r="E132">
        <v>-0.5</v>
      </c>
      <c r="F132">
        <v>0</v>
      </c>
      <c r="G132">
        <v>6306588</v>
      </c>
    </row>
    <row r="133" spans="2:7" x14ac:dyDescent="0.25">
      <c r="B133" t="s">
        <v>1033</v>
      </c>
      <c r="C133">
        <v>1865372</v>
      </c>
    </row>
    <row r="134" spans="2:7" x14ac:dyDescent="0.25">
      <c r="B134" t="s">
        <v>31</v>
      </c>
      <c r="C134" t="s">
        <v>5</v>
      </c>
      <c r="D134">
        <v>0.2</v>
      </c>
      <c r="E134">
        <v>-1</v>
      </c>
      <c r="F134">
        <v>0</v>
      </c>
      <c r="G134">
        <v>4928947</v>
      </c>
    </row>
    <row r="135" spans="2:7" x14ac:dyDescent="0.25">
      <c r="B135" t="s">
        <v>1034</v>
      </c>
      <c r="C135">
        <v>1865392</v>
      </c>
    </row>
    <row r="136" spans="2:7" x14ac:dyDescent="0.25">
      <c r="B136" t="s">
        <v>33</v>
      </c>
      <c r="C136" t="s">
        <v>5</v>
      </c>
      <c r="D136">
        <v>0.2</v>
      </c>
      <c r="E136">
        <v>-1</v>
      </c>
      <c r="F136">
        <v>0</v>
      </c>
      <c r="G136">
        <v>4928948</v>
      </c>
    </row>
    <row r="137" spans="2:7" x14ac:dyDescent="0.25">
      <c r="B137" t="s">
        <v>1035</v>
      </c>
      <c r="C137">
        <v>1865400</v>
      </c>
    </row>
    <row r="138" spans="2:7" x14ac:dyDescent="0.25">
      <c r="B138" t="s">
        <v>27</v>
      </c>
      <c r="C138" t="s">
        <v>791</v>
      </c>
      <c r="D138">
        <v>0.9</v>
      </c>
      <c r="E138">
        <v>0.5</v>
      </c>
      <c r="F138">
        <v>0</v>
      </c>
      <c r="G138">
        <v>5512407</v>
      </c>
    </row>
    <row r="139" spans="2:7" x14ac:dyDescent="0.25">
      <c r="B139" t="s">
        <v>27</v>
      </c>
      <c r="C139" t="s">
        <v>791</v>
      </c>
      <c r="D139">
        <v>0.9</v>
      </c>
      <c r="E139">
        <v>0.5</v>
      </c>
      <c r="F139">
        <v>0</v>
      </c>
      <c r="G139">
        <v>5512467</v>
      </c>
    </row>
    <row r="140" spans="2:7" x14ac:dyDescent="0.25">
      <c r="B140" t="s">
        <v>29</v>
      </c>
      <c r="C140" t="s">
        <v>791</v>
      </c>
      <c r="D140">
        <v>0.9</v>
      </c>
      <c r="E140">
        <v>0.5</v>
      </c>
      <c r="F140">
        <v>0</v>
      </c>
      <c r="G140">
        <v>5512483</v>
      </c>
    </row>
    <row r="141" spans="2:7" x14ac:dyDescent="0.25">
      <c r="B141" t="s">
        <v>1036</v>
      </c>
      <c r="C141">
        <v>1865404</v>
      </c>
    </row>
    <row r="142" spans="2:7" x14ac:dyDescent="0.25">
      <c r="B142" t="s">
        <v>28</v>
      </c>
      <c r="C142" t="s">
        <v>5</v>
      </c>
      <c r="D142">
        <v>0.2</v>
      </c>
      <c r="E142">
        <v>-1</v>
      </c>
      <c r="F142">
        <v>0</v>
      </c>
      <c r="G142">
        <v>4928945</v>
      </c>
    </row>
    <row r="143" spans="2:7" x14ac:dyDescent="0.25">
      <c r="B143" t="s">
        <v>33</v>
      </c>
      <c r="C143" t="s">
        <v>5</v>
      </c>
      <c r="D143">
        <v>0.2</v>
      </c>
      <c r="E143">
        <v>-1</v>
      </c>
      <c r="F143">
        <v>0</v>
      </c>
      <c r="G143">
        <v>4928946</v>
      </c>
    </row>
    <row r="144" spans="2:7" x14ac:dyDescent="0.25">
      <c r="B144" t="s">
        <v>1037</v>
      </c>
      <c r="C144">
        <v>1865418</v>
      </c>
    </row>
    <row r="145" spans="2:7" x14ac:dyDescent="0.25">
      <c r="B145" t="s">
        <v>797</v>
      </c>
      <c r="C145" t="s">
        <v>7</v>
      </c>
      <c r="D145">
        <v>-0.9</v>
      </c>
      <c r="E145">
        <v>-0.5</v>
      </c>
      <c r="F145">
        <v>0</v>
      </c>
      <c r="G145">
        <v>6102446</v>
      </c>
    </row>
    <row r="146" spans="2:7" x14ac:dyDescent="0.25">
      <c r="B146" t="s">
        <v>840</v>
      </c>
      <c r="C146" t="s">
        <v>7</v>
      </c>
      <c r="D146">
        <v>-0.9</v>
      </c>
      <c r="E146">
        <v>-0.5</v>
      </c>
      <c r="F146">
        <v>0</v>
      </c>
      <c r="G146">
        <v>6307445</v>
      </c>
    </row>
    <row r="147" spans="2:7" x14ac:dyDescent="0.25">
      <c r="B147" t="s">
        <v>1038</v>
      </c>
      <c r="C147">
        <v>1865426</v>
      </c>
    </row>
    <row r="148" spans="2:7" x14ac:dyDescent="0.25">
      <c r="B148" t="s">
        <v>27</v>
      </c>
      <c r="C148" t="s">
        <v>791</v>
      </c>
      <c r="D148">
        <v>0.9</v>
      </c>
      <c r="E148">
        <v>0.5</v>
      </c>
      <c r="F148">
        <v>0</v>
      </c>
      <c r="G148">
        <v>5512301</v>
      </c>
    </row>
    <row r="149" spans="2:7" x14ac:dyDescent="0.25">
      <c r="B149" t="s">
        <v>1039</v>
      </c>
      <c r="C149">
        <v>1865428</v>
      </c>
    </row>
    <row r="150" spans="2:7" x14ac:dyDescent="0.25">
      <c r="B150" t="s">
        <v>797</v>
      </c>
      <c r="C150" t="s">
        <v>117</v>
      </c>
      <c r="D150">
        <v>0.5</v>
      </c>
      <c r="E150">
        <v>-0.9</v>
      </c>
      <c r="F150">
        <v>0</v>
      </c>
      <c r="G150">
        <v>6103229</v>
      </c>
    </row>
    <row r="151" spans="2:7" x14ac:dyDescent="0.25">
      <c r="B151" t="s">
        <v>1040</v>
      </c>
      <c r="C151">
        <v>1933969</v>
      </c>
    </row>
    <row r="152" spans="2:7" x14ac:dyDescent="0.25">
      <c r="B152" t="s">
        <v>38</v>
      </c>
      <c r="C152" t="s">
        <v>791</v>
      </c>
      <c r="D152">
        <v>0.9</v>
      </c>
      <c r="E152">
        <v>0.5</v>
      </c>
      <c r="F152">
        <v>0</v>
      </c>
      <c r="G152">
        <v>5512626</v>
      </c>
    </row>
    <row r="153" spans="2:7" x14ac:dyDescent="0.25">
      <c r="B153" t="s">
        <v>1041</v>
      </c>
      <c r="C153">
        <v>1933970</v>
      </c>
    </row>
    <row r="154" spans="2:7" x14ac:dyDescent="0.25">
      <c r="B154" t="s">
        <v>38</v>
      </c>
      <c r="C154" t="s">
        <v>791</v>
      </c>
      <c r="D154">
        <v>0.9</v>
      </c>
      <c r="E154">
        <v>0.5</v>
      </c>
      <c r="F154">
        <v>0</v>
      </c>
      <c r="G154">
        <v>5512626</v>
      </c>
    </row>
    <row r="155" spans="2:7" x14ac:dyDescent="0.25">
      <c r="B155">
        <v>3372</v>
      </c>
      <c r="C155">
        <v>1933978</v>
      </c>
    </row>
    <row r="156" spans="2:7" x14ac:dyDescent="0.25">
      <c r="B156" t="s">
        <v>29</v>
      </c>
      <c r="C156" t="s">
        <v>791</v>
      </c>
      <c r="D156">
        <v>0.9</v>
      </c>
      <c r="E156">
        <v>0.5</v>
      </c>
      <c r="F156">
        <v>0</v>
      </c>
      <c r="G156">
        <v>5512483</v>
      </c>
    </row>
  </sheetData>
  <customSheetViews>
    <customSheetView guid="{2A8AA8A9-D849-43BE-B128-2DCE8081808F}">
      <pageMargins left="0.7" right="0.7" top="0.75" bottom="0.75" header="0.3" footer="0.3"/>
    </customSheetView>
    <customSheetView guid="{E07775A8-4E8E-4F0F-ABD4-8C1611285DFF}">
      <selection activeCell="P32" sqref="P3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27"/>
  <sheetViews>
    <sheetView workbookViewId="0">
      <selection activeCell="G27" sqref="G27"/>
    </sheetView>
  </sheetViews>
  <sheetFormatPr defaultRowHeight="15" x14ac:dyDescent="0.25"/>
  <cols>
    <col min="2" max="2" width="66" bestFit="1" customWidth="1"/>
    <col min="3" max="3" width="9.140625" customWidth="1"/>
  </cols>
  <sheetData>
    <row r="2" spans="2:7" x14ac:dyDescent="0.25">
      <c r="B2" t="s">
        <v>757</v>
      </c>
      <c r="C2">
        <v>1476939</v>
      </c>
    </row>
    <row r="3" spans="2:7" x14ac:dyDescent="0.25">
      <c r="B3" t="s">
        <v>54</v>
      </c>
      <c r="C3" t="s">
        <v>2</v>
      </c>
      <c r="D3">
        <v>1</v>
      </c>
      <c r="E3">
        <v>0.2</v>
      </c>
      <c r="F3">
        <v>0</v>
      </c>
      <c r="G3">
        <v>5584190</v>
      </c>
    </row>
    <row r="4" spans="2:7" x14ac:dyDescent="0.25">
      <c r="B4" t="s">
        <v>758</v>
      </c>
      <c r="C4">
        <v>1476949</v>
      </c>
    </row>
    <row r="5" spans="2:7" x14ac:dyDescent="0.25">
      <c r="B5" t="s">
        <v>53</v>
      </c>
      <c r="C5" t="s">
        <v>2</v>
      </c>
      <c r="D5">
        <v>1</v>
      </c>
      <c r="E5">
        <v>0.2</v>
      </c>
      <c r="F5">
        <v>0</v>
      </c>
      <c r="G5">
        <v>5583986</v>
      </c>
    </row>
    <row r="6" spans="2:7" x14ac:dyDescent="0.25">
      <c r="B6" t="s">
        <v>759</v>
      </c>
      <c r="C6">
        <v>1638454</v>
      </c>
    </row>
    <row r="7" spans="2:7" x14ac:dyDescent="0.25">
      <c r="B7" t="s">
        <v>54</v>
      </c>
      <c r="C7" t="s">
        <v>2</v>
      </c>
      <c r="D7">
        <v>1</v>
      </c>
      <c r="E7">
        <v>0.2</v>
      </c>
      <c r="F7">
        <v>0</v>
      </c>
      <c r="G7">
        <v>5586719</v>
      </c>
    </row>
    <row r="8" spans="2:7" x14ac:dyDescent="0.25">
      <c r="B8" t="s">
        <v>54</v>
      </c>
      <c r="C8" t="s">
        <v>2</v>
      </c>
      <c r="D8">
        <v>1</v>
      </c>
      <c r="E8">
        <v>0.2</v>
      </c>
      <c r="F8">
        <v>0</v>
      </c>
      <c r="G8">
        <v>5586750</v>
      </c>
    </row>
    <row r="9" spans="2:7" x14ac:dyDescent="0.25">
      <c r="B9" t="s">
        <v>760</v>
      </c>
      <c r="C9">
        <v>1638455</v>
      </c>
    </row>
    <row r="10" spans="2:7" x14ac:dyDescent="0.25">
      <c r="B10" t="s">
        <v>54</v>
      </c>
      <c r="C10" t="s">
        <v>2</v>
      </c>
      <c r="D10">
        <v>1</v>
      </c>
      <c r="E10">
        <v>0.2</v>
      </c>
      <c r="F10">
        <v>0</v>
      </c>
      <c r="G10">
        <v>5586789</v>
      </c>
    </row>
    <row r="11" spans="2:7" x14ac:dyDescent="0.25">
      <c r="B11" t="s">
        <v>761</v>
      </c>
      <c r="C11">
        <v>1638461</v>
      </c>
    </row>
    <row r="12" spans="2:7" x14ac:dyDescent="0.25">
      <c r="B12" t="s">
        <v>54</v>
      </c>
      <c r="C12" t="s">
        <v>2</v>
      </c>
      <c r="D12">
        <v>1</v>
      </c>
      <c r="E12">
        <v>0.2</v>
      </c>
      <c r="F12">
        <v>0</v>
      </c>
      <c r="G12">
        <v>5586547</v>
      </c>
    </row>
    <row r="13" spans="2:7" x14ac:dyDescent="0.25">
      <c r="B13" t="s">
        <v>53</v>
      </c>
      <c r="C13" t="s">
        <v>2</v>
      </c>
      <c r="D13">
        <v>1</v>
      </c>
      <c r="E13">
        <v>0.2</v>
      </c>
      <c r="F13">
        <v>0</v>
      </c>
      <c r="G13">
        <v>5586595</v>
      </c>
    </row>
    <row r="14" spans="2:7" x14ac:dyDescent="0.25">
      <c r="B14" t="s">
        <v>54</v>
      </c>
      <c r="C14" t="s">
        <v>2</v>
      </c>
      <c r="D14">
        <v>1</v>
      </c>
      <c r="E14">
        <v>0.2</v>
      </c>
      <c r="F14">
        <v>0</v>
      </c>
      <c r="G14">
        <v>5586685</v>
      </c>
    </row>
    <row r="15" spans="2:7" x14ac:dyDescent="0.25">
      <c r="B15" t="s">
        <v>762</v>
      </c>
      <c r="C15">
        <v>1638462</v>
      </c>
    </row>
    <row r="16" spans="2:7" x14ac:dyDescent="0.25">
      <c r="B16" t="s">
        <v>53</v>
      </c>
      <c r="C16" t="s">
        <v>2</v>
      </c>
      <c r="D16">
        <v>1</v>
      </c>
      <c r="E16">
        <v>0.2</v>
      </c>
      <c r="F16">
        <v>0</v>
      </c>
      <c r="G16">
        <v>5586451</v>
      </c>
    </row>
    <row r="17" spans="2:7" x14ac:dyDescent="0.25">
      <c r="B17" t="s">
        <v>54</v>
      </c>
      <c r="C17" t="s">
        <v>2</v>
      </c>
      <c r="D17">
        <v>1</v>
      </c>
      <c r="E17">
        <v>0.2</v>
      </c>
      <c r="F17">
        <v>0</v>
      </c>
      <c r="G17">
        <v>5586505</v>
      </c>
    </row>
    <row r="18" spans="2:7" x14ac:dyDescent="0.25">
      <c r="B18" t="s">
        <v>763</v>
      </c>
      <c r="C18">
        <v>1638463</v>
      </c>
    </row>
    <row r="19" spans="2:7" x14ac:dyDescent="0.25">
      <c r="B19" t="s">
        <v>54</v>
      </c>
      <c r="C19" t="s">
        <v>2</v>
      </c>
      <c r="D19">
        <v>1</v>
      </c>
      <c r="E19">
        <v>0.2</v>
      </c>
      <c r="F19">
        <v>0</v>
      </c>
      <c r="G19">
        <v>5586363</v>
      </c>
    </row>
    <row r="20" spans="2:7" x14ac:dyDescent="0.25">
      <c r="B20" t="s">
        <v>764</v>
      </c>
      <c r="C20">
        <v>1638466</v>
      </c>
    </row>
    <row r="21" spans="2:7" x14ac:dyDescent="0.25">
      <c r="B21" t="s">
        <v>54</v>
      </c>
      <c r="C21" t="s">
        <v>2</v>
      </c>
      <c r="D21">
        <v>1</v>
      </c>
      <c r="E21">
        <v>0.2</v>
      </c>
      <c r="F21">
        <v>0</v>
      </c>
      <c r="G21">
        <v>5586403</v>
      </c>
    </row>
    <row r="22" spans="2:7" x14ac:dyDescent="0.25">
      <c r="B22" t="s">
        <v>765</v>
      </c>
      <c r="C22">
        <v>1638467</v>
      </c>
    </row>
    <row r="23" spans="2:7" x14ac:dyDescent="0.25">
      <c r="B23" t="s">
        <v>53</v>
      </c>
      <c r="C23" t="s">
        <v>2</v>
      </c>
      <c r="D23">
        <v>1</v>
      </c>
      <c r="E23">
        <v>0.2</v>
      </c>
      <c r="F23">
        <v>0</v>
      </c>
      <c r="G23">
        <v>5586331</v>
      </c>
    </row>
    <row r="24" spans="2:7" x14ac:dyDescent="0.25">
      <c r="B24" t="s">
        <v>766</v>
      </c>
      <c r="C24">
        <v>1638468</v>
      </c>
    </row>
    <row r="25" spans="2:7" x14ac:dyDescent="0.25">
      <c r="B25" t="s">
        <v>54</v>
      </c>
      <c r="C25" t="s">
        <v>2</v>
      </c>
      <c r="D25">
        <v>1</v>
      </c>
      <c r="E25">
        <v>0.2</v>
      </c>
      <c r="F25">
        <v>0</v>
      </c>
      <c r="G25">
        <v>5586330</v>
      </c>
    </row>
    <row r="26" spans="2:7" x14ac:dyDescent="0.25">
      <c r="B26" t="s">
        <v>767</v>
      </c>
      <c r="C26">
        <v>1860861</v>
      </c>
    </row>
    <row r="27" spans="2:7" x14ac:dyDescent="0.25">
      <c r="B27" t="s">
        <v>54</v>
      </c>
      <c r="C27" t="s">
        <v>2</v>
      </c>
      <c r="D27">
        <v>1</v>
      </c>
      <c r="E27">
        <v>0.2</v>
      </c>
      <c r="F27">
        <v>0</v>
      </c>
      <c r="G27">
        <v>5583715</v>
      </c>
    </row>
  </sheetData>
  <customSheetViews>
    <customSheetView guid="{561E68F6-21E3-461A-ACB1-9392AEDA3331}">
      <selection activeCell="G27" sqref="G27"/>
      <pageMargins left="0.7" right="0.7" top="0.75" bottom="0.75" header="0.3" footer="0.3"/>
    </customSheetView>
    <customSheetView guid="{2A8AA8A9-D849-43BE-B128-2DCE8081808F}">
      <pageMargins left="0.7" right="0.7" top="0.75" bottom="0.75" header="0.3" footer="0.3"/>
    </customSheetView>
    <customSheetView guid="{E07775A8-4E8E-4F0F-ABD4-8C1611285DFF}">
      <selection activeCell="G27" sqref="G2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27"/>
  <sheetViews>
    <sheetView workbookViewId="0">
      <selection activeCell="B31" sqref="B31"/>
    </sheetView>
  </sheetViews>
  <sheetFormatPr defaultRowHeight="15" x14ac:dyDescent="0.25"/>
  <cols>
    <col min="2" max="2" width="27.85546875" customWidth="1"/>
    <col min="3" max="3" width="9.140625" customWidth="1"/>
  </cols>
  <sheetData>
    <row r="2" spans="2:6" x14ac:dyDescent="0.25">
      <c r="B2" t="s">
        <v>757</v>
      </c>
      <c r="C2">
        <v>1476939</v>
      </c>
    </row>
    <row r="3" spans="2:6" x14ac:dyDescent="0.25">
      <c r="B3" t="s">
        <v>54</v>
      </c>
      <c r="C3" t="s">
        <v>5</v>
      </c>
      <c r="D3">
        <v>0.2</v>
      </c>
      <c r="E3">
        <v>-1</v>
      </c>
      <c r="F3">
        <v>0</v>
      </c>
    </row>
    <row r="4" spans="2:6" x14ac:dyDescent="0.25">
      <c r="B4" t="s">
        <v>758</v>
      </c>
      <c r="C4">
        <v>1476949</v>
      </c>
    </row>
    <row r="5" spans="2:6" x14ac:dyDescent="0.25">
      <c r="B5" t="s">
        <v>53</v>
      </c>
      <c r="C5" t="s">
        <v>5</v>
      </c>
      <c r="D5">
        <v>0.2</v>
      </c>
      <c r="E5">
        <v>-1</v>
      </c>
      <c r="F5">
        <v>0</v>
      </c>
    </row>
    <row r="6" spans="2:6" x14ac:dyDescent="0.25">
      <c r="B6" t="s">
        <v>759</v>
      </c>
      <c r="C6">
        <v>1638454</v>
      </c>
    </row>
    <row r="7" spans="2:6" x14ac:dyDescent="0.25">
      <c r="B7" t="s">
        <v>54</v>
      </c>
      <c r="C7" t="s">
        <v>5</v>
      </c>
      <c r="D7">
        <v>0.2</v>
      </c>
      <c r="E7">
        <v>-1</v>
      </c>
      <c r="F7">
        <v>0</v>
      </c>
    </row>
    <row r="8" spans="2:6" x14ac:dyDescent="0.25">
      <c r="B8" t="s">
        <v>54</v>
      </c>
      <c r="C8" t="s">
        <v>5</v>
      </c>
      <c r="D8">
        <v>0.2</v>
      </c>
      <c r="E8">
        <v>-1</v>
      </c>
      <c r="F8">
        <v>0</v>
      </c>
    </row>
    <row r="9" spans="2:6" x14ac:dyDescent="0.25">
      <c r="B9" t="s">
        <v>760</v>
      </c>
      <c r="C9">
        <v>1638455</v>
      </c>
    </row>
    <row r="10" spans="2:6" x14ac:dyDescent="0.25">
      <c r="B10" t="s">
        <v>54</v>
      </c>
      <c r="C10" t="s">
        <v>5</v>
      </c>
      <c r="D10">
        <v>0.2</v>
      </c>
      <c r="E10">
        <v>-1</v>
      </c>
      <c r="F10">
        <v>0</v>
      </c>
    </row>
    <row r="11" spans="2:6" x14ac:dyDescent="0.25">
      <c r="B11" t="s">
        <v>761</v>
      </c>
      <c r="C11">
        <v>1638461</v>
      </c>
    </row>
    <row r="12" spans="2:6" x14ac:dyDescent="0.25">
      <c r="B12" t="s">
        <v>54</v>
      </c>
      <c r="C12" t="s">
        <v>5</v>
      </c>
      <c r="D12">
        <v>0.2</v>
      </c>
      <c r="E12">
        <v>-1</v>
      </c>
      <c r="F12">
        <v>0</v>
      </c>
    </row>
    <row r="13" spans="2:6" x14ac:dyDescent="0.25">
      <c r="B13" t="s">
        <v>53</v>
      </c>
      <c r="C13" t="s">
        <v>5</v>
      </c>
      <c r="D13">
        <v>0.2</v>
      </c>
      <c r="E13">
        <v>-1</v>
      </c>
      <c r="F13">
        <v>0</v>
      </c>
    </row>
    <row r="14" spans="2:6" x14ac:dyDescent="0.25">
      <c r="B14" t="s">
        <v>54</v>
      </c>
      <c r="C14" t="s">
        <v>5</v>
      </c>
      <c r="D14">
        <v>0.2</v>
      </c>
      <c r="E14">
        <v>-1</v>
      </c>
      <c r="F14">
        <v>0</v>
      </c>
    </row>
    <row r="15" spans="2:6" x14ac:dyDescent="0.25">
      <c r="B15" t="s">
        <v>762</v>
      </c>
      <c r="C15">
        <v>1638462</v>
      </c>
    </row>
    <row r="16" spans="2:6" x14ac:dyDescent="0.25">
      <c r="B16" t="s">
        <v>53</v>
      </c>
      <c r="C16" t="s">
        <v>5</v>
      </c>
      <c r="D16">
        <v>0.2</v>
      </c>
      <c r="E16">
        <v>-1</v>
      </c>
      <c r="F16">
        <v>0</v>
      </c>
    </row>
    <row r="17" spans="2:6" x14ac:dyDescent="0.25">
      <c r="B17" t="s">
        <v>54</v>
      </c>
      <c r="C17" t="s">
        <v>5</v>
      </c>
      <c r="D17">
        <v>0.2</v>
      </c>
      <c r="E17">
        <v>-1</v>
      </c>
      <c r="F17">
        <v>0</v>
      </c>
    </row>
    <row r="18" spans="2:6" x14ac:dyDescent="0.25">
      <c r="B18" t="s">
        <v>763</v>
      </c>
      <c r="C18">
        <v>1638463</v>
      </c>
    </row>
    <row r="19" spans="2:6" x14ac:dyDescent="0.25">
      <c r="B19" t="s">
        <v>54</v>
      </c>
      <c r="C19" t="s">
        <v>5</v>
      </c>
      <c r="D19">
        <v>0.2</v>
      </c>
      <c r="E19">
        <v>-1</v>
      </c>
      <c r="F19">
        <v>0</v>
      </c>
    </row>
    <row r="20" spans="2:6" x14ac:dyDescent="0.25">
      <c r="B20" t="s">
        <v>764</v>
      </c>
      <c r="C20">
        <v>1638466</v>
      </c>
    </row>
    <row r="21" spans="2:6" x14ac:dyDescent="0.25">
      <c r="B21" t="s">
        <v>54</v>
      </c>
      <c r="C21" t="s">
        <v>5</v>
      </c>
      <c r="D21">
        <v>0.2</v>
      </c>
      <c r="E21">
        <v>-1</v>
      </c>
      <c r="F21">
        <v>0</v>
      </c>
    </row>
    <row r="22" spans="2:6" x14ac:dyDescent="0.25">
      <c r="B22" t="s">
        <v>765</v>
      </c>
      <c r="C22">
        <v>1638467</v>
      </c>
    </row>
    <row r="23" spans="2:6" x14ac:dyDescent="0.25">
      <c r="B23" t="s">
        <v>53</v>
      </c>
      <c r="C23" t="s">
        <v>5</v>
      </c>
      <c r="D23">
        <v>0.2</v>
      </c>
      <c r="E23">
        <v>-1</v>
      </c>
      <c r="F23">
        <v>0</v>
      </c>
    </row>
    <row r="24" spans="2:6" x14ac:dyDescent="0.25">
      <c r="B24" t="s">
        <v>766</v>
      </c>
      <c r="C24">
        <v>1638468</v>
      </c>
    </row>
    <row r="25" spans="2:6" x14ac:dyDescent="0.25">
      <c r="B25" t="s">
        <v>54</v>
      </c>
      <c r="C25" t="s">
        <v>5</v>
      </c>
      <c r="D25">
        <v>0.2</v>
      </c>
      <c r="E25">
        <v>-1</v>
      </c>
      <c r="F25">
        <v>0</v>
      </c>
    </row>
    <row r="26" spans="2:6" x14ac:dyDescent="0.25">
      <c r="B26" t="s">
        <v>767</v>
      </c>
      <c r="C26">
        <v>1860861</v>
      </c>
    </row>
    <row r="27" spans="2:6" x14ac:dyDescent="0.25">
      <c r="B27" t="s">
        <v>54</v>
      </c>
      <c r="C27" t="s">
        <v>5</v>
      </c>
      <c r="D27">
        <v>0.2</v>
      </c>
      <c r="E27">
        <v>-1</v>
      </c>
      <c r="F27">
        <v>0</v>
      </c>
    </row>
  </sheetData>
  <customSheetViews>
    <customSheetView guid="{561E68F6-21E3-461A-ACB1-9392AEDA3331}">
      <selection activeCell="B31" sqref="B31"/>
      <pageMargins left="0.7" right="0.7" top="0.75" bottom="0.75" header="0.3" footer="0.3"/>
    </customSheetView>
    <customSheetView guid="{2A8AA8A9-D849-43BE-B128-2DCE8081808F}">
      <pageMargins left="0.7" right="0.7" top="0.75" bottom="0.75" header="0.3" footer="0.3"/>
    </customSheetView>
    <customSheetView guid="{E07775A8-4E8E-4F0F-ABD4-8C1611285DFF}">
      <selection activeCell="B31" sqref="B3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1"/>
  <sheetViews>
    <sheetView workbookViewId="0">
      <selection activeCell="E13" sqref="E13"/>
    </sheetView>
  </sheetViews>
  <sheetFormatPr defaultRowHeight="15" x14ac:dyDescent="0.25"/>
  <sheetData>
    <row r="2" spans="2:7" x14ac:dyDescent="0.25">
      <c r="B2">
        <v>1052</v>
      </c>
      <c r="C2">
        <v>1330373</v>
      </c>
    </row>
    <row r="3" spans="2:7" x14ac:dyDescent="0.25">
      <c r="B3" t="s">
        <v>54</v>
      </c>
      <c r="C3" t="s">
        <v>2</v>
      </c>
      <c r="D3">
        <v>1</v>
      </c>
      <c r="E3">
        <v>0.2</v>
      </c>
      <c r="F3">
        <v>0</v>
      </c>
      <c r="G3">
        <v>5584900</v>
      </c>
    </row>
    <row r="4" spans="2:7" x14ac:dyDescent="0.25">
      <c r="B4" t="s">
        <v>54</v>
      </c>
      <c r="C4" t="s">
        <v>2</v>
      </c>
      <c r="D4">
        <v>1</v>
      </c>
      <c r="E4">
        <v>0.2</v>
      </c>
      <c r="F4">
        <v>0</v>
      </c>
      <c r="G4">
        <v>5585041</v>
      </c>
    </row>
    <row r="5" spans="2:7" x14ac:dyDescent="0.25">
      <c r="B5" t="s">
        <v>54</v>
      </c>
      <c r="C5" t="s">
        <v>2</v>
      </c>
      <c r="D5">
        <v>1</v>
      </c>
      <c r="E5">
        <v>0.2</v>
      </c>
      <c r="F5">
        <v>0</v>
      </c>
      <c r="G5">
        <v>5585194</v>
      </c>
    </row>
    <row r="6" spans="2:7" x14ac:dyDescent="0.25">
      <c r="B6" t="s">
        <v>54</v>
      </c>
      <c r="C6" t="s">
        <v>2</v>
      </c>
      <c r="D6">
        <v>1</v>
      </c>
      <c r="E6">
        <v>0.2</v>
      </c>
      <c r="F6">
        <v>0</v>
      </c>
      <c r="G6">
        <v>5585442</v>
      </c>
    </row>
    <row r="7" spans="2:7" x14ac:dyDescent="0.25">
      <c r="B7" t="s">
        <v>756</v>
      </c>
      <c r="C7">
        <v>1689065</v>
      </c>
    </row>
    <row r="8" spans="2:7" x14ac:dyDescent="0.25">
      <c r="B8" t="s">
        <v>54</v>
      </c>
      <c r="C8" t="s">
        <v>2</v>
      </c>
      <c r="D8">
        <v>1</v>
      </c>
      <c r="E8">
        <v>0.2</v>
      </c>
      <c r="F8">
        <v>0</v>
      </c>
      <c r="G8">
        <v>5584900</v>
      </c>
    </row>
    <row r="9" spans="2:7" x14ac:dyDescent="0.25">
      <c r="B9" t="s">
        <v>54</v>
      </c>
      <c r="C9" t="s">
        <v>2</v>
      </c>
      <c r="D9">
        <v>1</v>
      </c>
      <c r="E9">
        <v>0.2</v>
      </c>
      <c r="F9">
        <v>0</v>
      </c>
      <c r="G9">
        <v>5585041</v>
      </c>
    </row>
    <row r="10" spans="2:7" x14ac:dyDescent="0.25">
      <c r="B10" t="s">
        <v>54</v>
      </c>
      <c r="C10" t="s">
        <v>2</v>
      </c>
      <c r="D10">
        <v>1</v>
      </c>
      <c r="E10">
        <v>0.2</v>
      </c>
      <c r="F10">
        <v>0</v>
      </c>
      <c r="G10">
        <v>5585194</v>
      </c>
    </row>
    <row r="11" spans="2:7" x14ac:dyDescent="0.25">
      <c r="B11" t="s">
        <v>54</v>
      </c>
      <c r="C11" t="s">
        <v>2</v>
      </c>
      <c r="D11">
        <v>1</v>
      </c>
      <c r="E11">
        <v>0.2</v>
      </c>
      <c r="F11">
        <v>0</v>
      </c>
      <c r="G11">
        <v>5585442</v>
      </c>
    </row>
  </sheetData>
  <customSheetViews>
    <customSheetView guid="{561E68F6-21E3-461A-ACB1-9392AEDA3331}">
      <selection activeCell="E13" sqref="E13"/>
      <pageMargins left="0.7" right="0.7" top="0.75" bottom="0.75" header="0.3" footer="0.3"/>
    </customSheetView>
    <customSheetView guid="{2A8AA8A9-D849-43BE-B128-2DCE8081808F}">
      <pageMargins left="0.7" right="0.7" top="0.75" bottom="0.75" header="0.3" footer="0.3"/>
    </customSheetView>
    <customSheetView guid="{E07775A8-4E8E-4F0F-ABD4-8C1611285DFF}">
      <selection activeCell="E13" sqref="E1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1"/>
  <sheetViews>
    <sheetView workbookViewId="0">
      <selection activeCell="J18" sqref="J18"/>
    </sheetView>
  </sheetViews>
  <sheetFormatPr defaultRowHeight="15" x14ac:dyDescent="0.25"/>
  <sheetData>
    <row r="2" spans="2:6" x14ac:dyDescent="0.25">
      <c r="B2">
        <v>1052</v>
      </c>
      <c r="C2">
        <v>1330373</v>
      </c>
    </row>
    <row r="3" spans="2:6" x14ac:dyDescent="0.25">
      <c r="B3" t="s">
        <v>54</v>
      </c>
      <c r="C3" t="s">
        <v>5</v>
      </c>
      <c r="D3">
        <v>0.2</v>
      </c>
      <c r="E3">
        <v>-1</v>
      </c>
      <c r="F3">
        <v>0</v>
      </c>
    </row>
    <row r="4" spans="2:6" x14ac:dyDescent="0.25">
      <c r="B4" t="s">
        <v>54</v>
      </c>
      <c r="C4" t="s">
        <v>5</v>
      </c>
      <c r="D4">
        <v>0.2</v>
      </c>
      <c r="E4">
        <v>-1</v>
      </c>
      <c r="F4">
        <v>0</v>
      </c>
    </row>
    <row r="5" spans="2:6" x14ac:dyDescent="0.25">
      <c r="B5" t="s">
        <v>54</v>
      </c>
      <c r="C5" t="s">
        <v>5</v>
      </c>
      <c r="D5">
        <v>0.2</v>
      </c>
      <c r="E5">
        <v>-1</v>
      </c>
      <c r="F5">
        <v>0</v>
      </c>
    </row>
    <row r="6" spans="2:6" x14ac:dyDescent="0.25">
      <c r="B6" t="s">
        <v>54</v>
      </c>
      <c r="C6" t="s">
        <v>5</v>
      </c>
      <c r="D6">
        <v>0.2</v>
      </c>
      <c r="E6">
        <v>-1</v>
      </c>
      <c r="F6">
        <v>0</v>
      </c>
    </row>
    <row r="7" spans="2:6" x14ac:dyDescent="0.25">
      <c r="B7" t="s">
        <v>756</v>
      </c>
      <c r="C7">
        <v>1689065</v>
      </c>
    </row>
    <row r="8" spans="2:6" x14ac:dyDescent="0.25">
      <c r="B8" t="s">
        <v>54</v>
      </c>
      <c r="C8" t="s">
        <v>5</v>
      </c>
      <c r="D8">
        <v>0.2</v>
      </c>
      <c r="E8">
        <v>-1</v>
      </c>
      <c r="F8">
        <v>0</v>
      </c>
    </row>
    <row r="9" spans="2:6" x14ac:dyDescent="0.25">
      <c r="B9" t="s">
        <v>54</v>
      </c>
      <c r="C9" t="s">
        <v>5</v>
      </c>
      <c r="D9">
        <v>0.2</v>
      </c>
      <c r="E9">
        <v>-1</v>
      </c>
      <c r="F9">
        <v>0</v>
      </c>
    </row>
    <row r="10" spans="2:6" x14ac:dyDescent="0.25">
      <c r="B10" t="s">
        <v>54</v>
      </c>
      <c r="C10" t="s">
        <v>5</v>
      </c>
      <c r="D10">
        <v>0.2</v>
      </c>
      <c r="E10">
        <v>-1</v>
      </c>
      <c r="F10">
        <v>0</v>
      </c>
    </row>
    <row r="11" spans="2:6" x14ac:dyDescent="0.25">
      <c r="B11" t="s">
        <v>54</v>
      </c>
      <c r="C11" t="s">
        <v>5</v>
      </c>
      <c r="D11">
        <v>0.2</v>
      </c>
      <c r="E11">
        <v>-1</v>
      </c>
      <c r="F11">
        <v>0</v>
      </c>
    </row>
  </sheetData>
  <customSheetViews>
    <customSheetView guid="{561E68F6-21E3-461A-ACB1-9392AEDA3331}">
      <selection activeCell="J18" sqref="J18"/>
      <pageMargins left="0.7" right="0.7" top="0.75" bottom="0.75" header="0.3" footer="0.3"/>
    </customSheetView>
    <customSheetView guid="{2A8AA8A9-D849-43BE-B128-2DCE8081808F}">
      <pageMargins left="0.7" right="0.7" top="0.75" bottom="0.75" header="0.3" footer="0.3"/>
    </customSheetView>
    <customSheetView guid="{E07775A8-4E8E-4F0F-ABD4-8C1611285DFF}">
      <selection activeCell="J18" sqref="J1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336"/>
  <sheetViews>
    <sheetView topLeftCell="A95" workbookViewId="0">
      <selection activeCell="B107" sqref="B107"/>
    </sheetView>
  </sheetViews>
  <sheetFormatPr defaultRowHeight="15" x14ac:dyDescent="0.25"/>
  <cols>
    <col min="2" max="2" width="16.28515625" customWidth="1"/>
  </cols>
  <sheetData>
    <row r="2" spans="2:6" x14ac:dyDescent="0.25">
      <c r="B2" t="s">
        <v>37</v>
      </c>
      <c r="C2">
        <v>1566939</v>
      </c>
    </row>
    <row r="3" spans="2:6" x14ac:dyDescent="0.25">
      <c r="B3" t="s">
        <v>38</v>
      </c>
      <c r="C3" t="s">
        <v>2</v>
      </c>
      <c r="D3">
        <v>1</v>
      </c>
      <c r="E3">
        <v>0.2</v>
      </c>
      <c r="F3">
        <v>0</v>
      </c>
    </row>
    <row r="4" spans="2:6" x14ac:dyDescent="0.25">
      <c r="B4" t="s">
        <v>36</v>
      </c>
      <c r="C4" t="s">
        <v>5</v>
      </c>
      <c r="D4">
        <v>0.2</v>
      </c>
      <c r="E4">
        <v>-1</v>
      </c>
      <c r="F4">
        <v>0</v>
      </c>
    </row>
    <row r="5" spans="2:6" x14ac:dyDescent="0.25">
      <c r="B5" t="s">
        <v>36</v>
      </c>
      <c r="C5" t="s">
        <v>5</v>
      </c>
      <c r="D5">
        <v>0.2</v>
      </c>
      <c r="E5">
        <v>-1</v>
      </c>
      <c r="F5">
        <v>0</v>
      </c>
    </row>
    <row r="6" spans="2:6" x14ac:dyDescent="0.25">
      <c r="B6" t="s">
        <v>36</v>
      </c>
      <c r="C6" t="s">
        <v>5</v>
      </c>
      <c r="D6">
        <v>0.2</v>
      </c>
      <c r="E6">
        <v>-1</v>
      </c>
      <c r="F6">
        <v>0</v>
      </c>
    </row>
    <row r="7" spans="2:6" x14ac:dyDescent="0.25">
      <c r="B7" t="s">
        <v>36</v>
      </c>
      <c r="C7" t="s">
        <v>5</v>
      </c>
      <c r="D7">
        <v>0.2</v>
      </c>
      <c r="E7">
        <v>-1</v>
      </c>
      <c r="F7">
        <v>0</v>
      </c>
    </row>
    <row r="8" spans="2:6" x14ac:dyDescent="0.25">
      <c r="B8" t="s">
        <v>33</v>
      </c>
      <c r="C8" t="s">
        <v>1</v>
      </c>
      <c r="D8">
        <v>-1</v>
      </c>
      <c r="E8">
        <v>-0.2</v>
      </c>
      <c r="F8">
        <v>0</v>
      </c>
    </row>
    <row r="9" spans="2:6" x14ac:dyDescent="0.25">
      <c r="B9" t="s">
        <v>36</v>
      </c>
      <c r="C9" t="s">
        <v>1</v>
      </c>
      <c r="D9">
        <v>-1</v>
      </c>
      <c r="E9">
        <v>-0.2</v>
      </c>
      <c r="F9">
        <v>0</v>
      </c>
    </row>
    <row r="10" spans="2:6" x14ac:dyDescent="0.25">
      <c r="B10" t="s">
        <v>39</v>
      </c>
      <c r="C10">
        <v>2075532</v>
      </c>
    </row>
    <row r="11" spans="2:6" x14ac:dyDescent="0.25">
      <c r="B11" t="s">
        <v>32</v>
      </c>
      <c r="C11" t="s">
        <v>13</v>
      </c>
      <c r="D11">
        <v>0.8</v>
      </c>
      <c r="E11">
        <v>0.5</v>
      </c>
      <c r="F11">
        <v>0</v>
      </c>
    </row>
    <row r="12" spans="2:6" x14ac:dyDescent="0.25">
      <c r="B12" t="s">
        <v>28</v>
      </c>
      <c r="C12" t="s">
        <v>13</v>
      </c>
      <c r="D12">
        <v>0.8</v>
      </c>
      <c r="E12">
        <v>0.5</v>
      </c>
      <c r="F12">
        <v>0</v>
      </c>
    </row>
    <row r="13" spans="2:6" x14ac:dyDescent="0.25">
      <c r="B13" t="s">
        <v>40</v>
      </c>
      <c r="C13">
        <v>2075533</v>
      </c>
    </row>
    <row r="14" spans="2:6" x14ac:dyDescent="0.25">
      <c r="B14" t="s">
        <v>31</v>
      </c>
      <c r="C14" t="s">
        <v>13</v>
      </c>
      <c r="D14">
        <v>0.8</v>
      </c>
      <c r="E14">
        <v>0.5</v>
      </c>
      <c r="F14">
        <v>0</v>
      </c>
    </row>
    <row r="15" spans="2:6" x14ac:dyDescent="0.25">
      <c r="B15" t="s">
        <v>41</v>
      </c>
      <c r="C15">
        <v>2075536</v>
      </c>
    </row>
    <row r="16" spans="2:6" x14ac:dyDescent="0.25">
      <c r="B16" t="s">
        <v>36</v>
      </c>
      <c r="C16" t="s">
        <v>42</v>
      </c>
      <c r="D16">
        <v>0.5</v>
      </c>
      <c r="E16">
        <v>-0.8</v>
      </c>
      <c r="F16">
        <v>0</v>
      </c>
    </row>
    <row r="17" spans="2:6" x14ac:dyDescent="0.25">
      <c r="B17" t="s">
        <v>36</v>
      </c>
      <c r="C17" t="s">
        <v>42</v>
      </c>
      <c r="D17">
        <v>0.5</v>
      </c>
      <c r="E17">
        <v>-0.8</v>
      </c>
      <c r="F17">
        <v>0</v>
      </c>
    </row>
    <row r="18" spans="2:6" x14ac:dyDescent="0.25">
      <c r="B18" t="s">
        <v>36</v>
      </c>
      <c r="C18" t="s">
        <v>42</v>
      </c>
      <c r="D18">
        <v>0.5</v>
      </c>
      <c r="E18">
        <v>-0.8</v>
      </c>
      <c r="F18">
        <v>0</v>
      </c>
    </row>
    <row r="19" spans="2:6" x14ac:dyDescent="0.25">
      <c r="B19" t="s">
        <v>36</v>
      </c>
      <c r="C19" t="s">
        <v>42</v>
      </c>
      <c r="D19">
        <v>0.5</v>
      </c>
      <c r="E19">
        <v>-0.8</v>
      </c>
      <c r="F19">
        <v>0</v>
      </c>
    </row>
    <row r="20" spans="2:6" x14ac:dyDescent="0.25">
      <c r="B20" t="s">
        <v>29</v>
      </c>
      <c r="C20" t="s">
        <v>13</v>
      </c>
      <c r="D20">
        <v>0.8</v>
      </c>
      <c r="E20">
        <v>0.5</v>
      </c>
      <c r="F20">
        <v>0</v>
      </c>
    </row>
    <row r="21" spans="2:6" x14ac:dyDescent="0.25">
      <c r="B21" t="s">
        <v>43</v>
      </c>
      <c r="C21" t="s">
        <v>13</v>
      </c>
      <c r="D21">
        <v>0.8</v>
      </c>
      <c r="E21">
        <v>0.5</v>
      </c>
      <c r="F21">
        <v>0</v>
      </c>
    </row>
    <row r="22" spans="2:6" x14ac:dyDescent="0.25">
      <c r="B22" t="s">
        <v>44</v>
      </c>
      <c r="C22">
        <v>2075547</v>
      </c>
    </row>
    <row r="23" spans="2:6" x14ac:dyDescent="0.25">
      <c r="B23" t="s">
        <v>33</v>
      </c>
      <c r="C23" t="s">
        <v>13</v>
      </c>
      <c r="D23">
        <v>0.8</v>
      </c>
      <c r="E23">
        <v>0.5</v>
      </c>
      <c r="F23">
        <v>0</v>
      </c>
    </row>
    <row r="24" spans="2:6" x14ac:dyDescent="0.25">
      <c r="B24" t="s">
        <v>28</v>
      </c>
      <c r="C24" t="s">
        <v>13</v>
      </c>
      <c r="D24">
        <v>0.8</v>
      </c>
      <c r="E24">
        <v>0.5</v>
      </c>
      <c r="F24">
        <v>0</v>
      </c>
    </row>
    <row r="25" spans="2:6" x14ac:dyDescent="0.25">
      <c r="B25" t="s">
        <v>45</v>
      </c>
      <c r="C25">
        <v>2075551</v>
      </c>
    </row>
    <row r="26" spans="2:6" x14ac:dyDescent="0.25">
      <c r="B26" t="s">
        <v>32</v>
      </c>
      <c r="C26" t="s">
        <v>13</v>
      </c>
      <c r="D26">
        <v>0.8</v>
      </c>
      <c r="E26">
        <v>0.5</v>
      </c>
      <c r="F26">
        <v>0</v>
      </c>
    </row>
    <row r="27" spans="2:6" x14ac:dyDescent="0.25">
      <c r="B27" t="s">
        <v>46</v>
      </c>
      <c r="C27">
        <v>2075905</v>
      </c>
    </row>
    <row r="28" spans="2:6" x14ac:dyDescent="0.25">
      <c r="B28" t="s">
        <v>47</v>
      </c>
      <c r="C28" t="s">
        <v>1</v>
      </c>
      <c r="D28">
        <v>-1</v>
      </c>
      <c r="E28">
        <v>-0.2</v>
      </c>
      <c r="F28">
        <v>0</v>
      </c>
    </row>
    <row r="29" spans="2:6" x14ac:dyDescent="0.25">
      <c r="B29" t="s">
        <v>47</v>
      </c>
      <c r="C29" t="s">
        <v>1</v>
      </c>
      <c r="D29">
        <v>-1</v>
      </c>
      <c r="E29">
        <v>-0.2</v>
      </c>
      <c r="F29">
        <v>0</v>
      </c>
    </row>
    <row r="30" spans="2:6" x14ac:dyDescent="0.25">
      <c r="B30" t="s">
        <v>47</v>
      </c>
      <c r="C30" t="s">
        <v>1</v>
      </c>
      <c r="D30">
        <v>-1</v>
      </c>
      <c r="E30">
        <v>-0.2</v>
      </c>
      <c r="F30">
        <v>0</v>
      </c>
    </row>
    <row r="31" spans="2:6" x14ac:dyDescent="0.25">
      <c r="B31" t="s">
        <v>48</v>
      </c>
      <c r="C31">
        <v>2075911</v>
      </c>
    </row>
    <row r="32" spans="2:6" x14ac:dyDescent="0.25">
      <c r="B32" t="s">
        <v>49</v>
      </c>
      <c r="C32" t="s">
        <v>1</v>
      </c>
      <c r="D32">
        <v>-1</v>
      </c>
      <c r="E32">
        <v>-0.2</v>
      </c>
      <c r="F32">
        <v>0</v>
      </c>
    </row>
    <row r="33" spans="2:6" x14ac:dyDescent="0.25">
      <c r="B33" t="s">
        <v>50</v>
      </c>
      <c r="C33">
        <v>2075912</v>
      </c>
    </row>
    <row r="34" spans="2:6" x14ac:dyDescent="0.25">
      <c r="B34" t="s">
        <v>49</v>
      </c>
      <c r="C34" t="s">
        <v>1</v>
      </c>
      <c r="D34">
        <v>-1</v>
      </c>
      <c r="E34">
        <v>-0.2</v>
      </c>
      <c r="F34">
        <v>0</v>
      </c>
    </row>
    <row r="35" spans="2:6" x14ac:dyDescent="0.25">
      <c r="B35" t="s">
        <v>51</v>
      </c>
      <c r="C35">
        <v>2075913</v>
      </c>
    </row>
    <row r="36" spans="2:6" x14ac:dyDescent="0.25">
      <c r="B36" t="s">
        <v>49</v>
      </c>
      <c r="C36" t="s">
        <v>1</v>
      </c>
      <c r="D36">
        <v>-1</v>
      </c>
      <c r="E36">
        <v>-0.2</v>
      </c>
      <c r="F36">
        <v>0</v>
      </c>
    </row>
    <row r="37" spans="2:6" x14ac:dyDescent="0.25">
      <c r="B37" t="s">
        <v>52</v>
      </c>
      <c r="C37">
        <v>2075916</v>
      </c>
    </row>
    <row r="38" spans="2:6" x14ac:dyDescent="0.25">
      <c r="B38" t="s">
        <v>53</v>
      </c>
      <c r="C38" t="s">
        <v>5</v>
      </c>
      <c r="D38">
        <v>0.2</v>
      </c>
      <c r="E38">
        <v>-1</v>
      </c>
      <c r="F38">
        <v>0</v>
      </c>
    </row>
    <row r="39" spans="2:6" x14ac:dyDescent="0.25">
      <c r="B39" t="s">
        <v>54</v>
      </c>
      <c r="C39" t="s">
        <v>5</v>
      </c>
      <c r="D39">
        <v>0.2</v>
      </c>
      <c r="E39">
        <v>-1</v>
      </c>
      <c r="F39">
        <v>0</v>
      </c>
    </row>
    <row r="40" spans="2:6" x14ac:dyDescent="0.25">
      <c r="B40" t="s">
        <v>55</v>
      </c>
      <c r="C40">
        <v>2075926</v>
      </c>
    </row>
    <row r="41" spans="2:6" x14ac:dyDescent="0.25">
      <c r="B41" t="s">
        <v>54</v>
      </c>
      <c r="C41" t="s">
        <v>5</v>
      </c>
      <c r="D41">
        <v>0.2</v>
      </c>
      <c r="E41">
        <v>-1</v>
      </c>
      <c r="F41">
        <v>0</v>
      </c>
    </row>
    <row r="42" spans="2:6" x14ac:dyDescent="0.25">
      <c r="B42" t="s">
        <v>56</v>
      </c>
      <c r="C42">
        <v>2075941</v>
      </c>
    </row>
    <row r="43" spans="2:6" x14ac:dyDescent="0.25">
      <c r="B43" t="s">
        <v>27</v>
      </c>
      <c r="C43" t="s">
        <v>2</v>
      </c>
      <c r="D43">
        <v>1</v>
      </c>
      <c r="E43">
        <v>0.2</v>
      </c>
      <c r="F43">
        <v>0</v>
      </c>
    </row>
    <row r="44" spans="2:6" x14ac:dyDescent="0.25">
      <c r="B44" t="s">
        <v>57</v>
      </c>
      <c r="C44">
        <v>2075950</v>
      </c>
    </row>
    <row r="45" spans="2:6" x14ac:dyDescent="0.25">
      <c r="B45" t="s">
        <v>27</v>
      </c>
      <c r="C45" t="s">
        <v>20</v>
      </c>
      <c r="D45">
        <v>-0.9</v>
      </c>
      <c r="E45">
        <v>-0.3</v>
      </c>
      <c r="F45">
        <v>0</v>
      </c>
    </row>
    <row r="46" spans="2:6" x14ac:dyDescent="0.25">
      <c r="B46" t="s">
        <v>27</v>
      </c>
      <c r="C46" t="s">
        <v>20</v>
      </c>
      <c r="D46">
        <v>-0.9</v>
      </c>
      <c r="E46">
        <v>-0.3</v>
      </c>
      <c r="F46">
        <v>0</v>
      </c>
    </row>
    <row r="47" spans="2:6" x14ac:dyDescent="0.25">
      <c r="B47" t="s">
        <v>58</v>
      </c>
      <c r="C47">
        <v>2075953</v>
      </c>
    </row>
    <row r="48" spans="2:6" x14ac:dyDescent="0.25">
      <c r="B48" t="s">
        <v>30</v>
      </c>
      <c r="C48" t="s">
        <v>1</v>
      </c>
      <c r="D48">
        <v>-1</v>
      </c>
      <c r="E48">
        <v>-0.2</v>
      </c>
      <c r="F48">
        <v>0</v>
      </c>
    </row>
    <row r="49" spans="2:6" x14ac:dyDescent="0.25">
      <c r="B49" t="s">
        <v>59</v>
      </c>
      <c r="C49">
        <v>2075964</v>
      </c>
    </row>
    <row r="50" spans="2:6" x14ac:dyDescent="0.25">
      <c r="B50" t="s">
        <v>30</v>
      </c>
      <c r="C50" t="s">
        <v>2</v>
      </c>
      <c r="D50">
        <v>1</v>
      </c>
      <c r="E50">
        <v>0.2</v>
      </c>
      <c r="F50">
        <v>0</v>
      </c>
    </row>
    <row r="51" spans="2:6" x14ac:dyDescent="0.25">
      <c r="B51" t="s">
        <v>27</v>
      </c>
      <c r="C51" t="s">
        <v>2</v>
      </c>
      <c r="D51">
        <v>1</v>
      </c>
      <c r="E51">
        <v>0.2</v>
      </c>
      <c r="F51">
        <v>0</v>
      </c>
    </row>
    <row r="52" spans="2:6" x14ac:dyDescent="0.25">
      <c r="B52" t="s">
        <v>60</v>
      </c>
      <c r="C52">
        <v>2075967</v>
      </c>
    </row>
    <row r="53" spans="2:6" x14ac:dyDescent="0.25">
      <c r="B53" t="s">
        <v>33</v>
      </c>
      <c r="C53" t="s">
        <v>1</v>
      </c>
      <c r="D53">
        <v>-1</v>
      </c>
      <c r="E53">
        <v>-0.2</v>
      </c>
      <c r="F53">
        <v>0</v>
      </c>
    </row>
    <row r="54" spans="2:6" x14ac:dyDescent="0.25">
      <c r="B54" t="s">
        <v>33</v>
      </c>
      <c r="C54" t="s">
        <v>1</v>
      </c>
      <c r="D54">
        <v>-1</v>
      </c>
      <c r="E54">
        <v>-0.2</v>
      </c>
      <c r="F54">
        <v>0</v>
      </c>
    </row>
    <row r="55" spans="2:6" x14ac:dyDescent="0.25">
      <c r="B55" t="s">
        <v>61</v>
      </c>
      <c r="C55">
        <v>2075968</v>
      </c>
    </row>
    <row r="56" spans="2:6" x14ac:dyDescent="0.25">
      <c r="B56" t="s">
        <v>36</v>
      </c>
      <c r="C56" t="s">
        <v>2</v>
      </c>
      <c r="D56">
        <v>1</v>
      </c>
      <c r="E56">
        <v>0.2</v>
      </c>
      <c r="F56">
        <v>0</v>
      </c>
    </row>
    <row r="57" spans="2:6" x14ac:dyDescent="0.25">
      <c r="B57" t="s">
        <v>27</v>
      </c>
      <c r="C57" t="s">
        <v>2</v>
      </c>
      <c r="D57">
        <v>1</v>
      </c>
      <c r="E57">
        <v>0.2</v>
      </c>
      <c r="F57">
        <v>0</v>
      </c>
    </row>
    <row r="58" spans="2:6" x14ac:dyDescent="0.25">
      <c r="B58" t="s">
        <v>62</v>
      </c>
      <c r="C58">
        <v>2075973</v>
      </c>
    </row>
    <row r="59" spans="2:6" x14ac:dyDescent="0.25">
      <c r="B59" t="s">
        <v>27</v>
      </c>
      <c r="C59" t="s">
        <v>2</v>
      </c>
      <c r="D59">
        <v>1</v>
      </c>
      <c r="E59">
        <v>0.2</v>
      </c>
      <c r="F59">
        <v>0</v>
      </c>
    </row>
    <row r="60" spans="2:6" x14ac:dyDescent="0.25">
      <c r="B60" t="s">
        <v>30</v>
      </c>
      <c r="C60" t="s">
        <v>2</v>
      </c>
      <c r="D60">
        <v>1</v>
      </c>
      <c r="E60">
        <v>0.2</v>
      </c>
      <c r="F60">
        <v>0</v>
      </c>
    </row>
    <row r="61" spans="2:6" x14ac:dyDescent="0.25">
      <c r="B61" t="s">
        <v>63</v>
      </c>
      <c r="C61">
        <v>2075974</v>
      </c>
    </row>
    <row r="62" spans="2:6" x14ac:dyDescent="0.25">
      <c r="B62" t="s">
        <v>27</v>
      </c>
      <c r="C62" t="s">
        <v>2</v>
      </c>
      <c r="D62">
        <v>1</v>
      </c>
      <c r="E62">
        <v>0.2</v>
      </c>
      <c r="F62">
        <v>0</v>
      </c>
    </row>
    <row r="63" spans="2:6" x14ac:dyDescent="0.25">
      <c r="B63" t="s">
        <v>64</v>
      </c>
      <c r="C63">
        <v>2075991</v>
      </c>
    </row>
    <row r="64" spans="2:6" x14ac:dyDescent="0.25">
      <c r="B64" t="s">
        <v>30</v>
      </c>
      <c r="C64" t="s">
        <v>1</v>
      </c>
      <c r="D64">
        <v>-1</v>
      </c>
      <c r="E64">
        <v>-0.2</v>
      </c>
      <c r="F64">
        <v>0</v>
      </c>
    </row>
    <row r="65" spans="2:6" x14ac:dyDescent="0.25">
      <c r="B65" t="s">
        <v>65</v>
      </c>
      <c r="C65">
        <v>2075994</v>
      </c>
    </row>
    <row r="66" spans="2:6" x14ac:dyDescent="0.25">
      <c r="B66" t="s">
        <v>30</v>
      </c>
      <c r="C66" t="s">
        <v>1</v>
      </c>
      <c r="D66">
        <v>-1</v>
      </c>
      <c r="E66">
        <v>-0.2</v>
      </c>
      <c r="F66">
        <v>0</v>
      </c>
    </row>
    <row r="67" spans="2:6" x14ac:dyDescent="0.25">
      <c r="B67" t="s">
        <v>33</v>
      </c>
      <c r="C67" t="s">
        <v>1</v>
      </c>
      <c r="D67">
        <v>-1</v>
      </c>
      <c r="E67">
        <v>-0.2</v>
      </c>
      <c r="F67">
        <v>0</v>
      </c>
    </row>
    <row r="68" spans="2:6" x14ac:dyDescent="0.25">
      <c r="B68" t="s">
        <v>66</v>
      </c>
      <c r="C68">
        <v>2075997</v>
      </c>
    </row>
    <row r="69" spans="2:6" x14ac:dyDescent="0.25">
      <c r="B69" t="s">
        <v>30</v>
      </c>
      <c r="C69" t="s">
        <v>20</v>
      </c>
      <c r="D69">
        <v>-0.9</v>
      </c>
      <c r="E69">
        <v>-0.3</v>
      </c>
      <c r="F69">
        <v>0</v>
      </c>
    </row>
    <row r="70" spans="2:6" x14ac:dyDescent="0.25">
      <c r="B70" t="s">
        <v>36</v>
      </c>
      <c r="C70" t="s">
        <v>20</v>
      </c>
      <c r="D70">
        <v>-0.9</v>
      </c>
      <c r="E70">
        <v>-0.3</v>
      </c>
      <c r="F70">
        <v>0</v>
      </c>
    </row>
    <row r="71" spans="2:6" x14ac:dyDescent="0.25">
      <c r="B71" t="s">
        <v>67</v>
      </c>
      <c r="C71">
        <v>2075998</v>
      </c>
    </row>
    <row r="72" spans="2:6" x14ac:dyDescent="0.25">
      <c r="B72" t="s">
        <v>30</v>
      </c>
      <c r="C72" t="s">
        <v>20</v>
      </c>
      <c r="D72">
        <v>-0.9</v>
      </c>
      <c r="E72">
        <v>-0.3</v>
      </c>
      <c r="F72">
        <v>0</v>
      </c>
    </row>
    <row r="73" spans="2:6" x14ac:dyDescent="0.25">
      <c r="B73" t="s">
        <v>36</v>
      </c>
      <c r="C73" t="s">
        <v>20</v>
      </c>
      <c r="D73">
        <v>-0.9</v>
      </c>
      <c r="E73">
        <v>-0.3</v>
      </c>
      <c r="F73">
        <v>0</v>
      </c>
    </row>
    <row r="74" spans="2:6" x14ac:dyDescent="0.25">
      <c r="B74" t="s">
        <v>68</v>
      </c>
      <c r="C74">
        <v>2076004</v>
      </c>
    </row>
    <row r="75" spans="2:6" x14ac:dyDescent="0.25">
      <c r="B75" t="s">
        <v>30</v>
      </c>
      <c r="C75" t="s">
        <v>20</v>
      </c>
      <c r="D75">
        <v>-0.9</v>
      </c>
      <c r="E75">
        <v>-0.3</v>
      </c>
      <c r="F75">
        <v>0</v>
      </c>
    </row>
    <row r="76" spans="2:6" x14ac:dyDescent="0.25">
      <c r="B76" t="s">
        <v>69</v>
      </c>
      <c r="C76">
        <v>2076005</v>
      </c>
    </row>
    <row r="77" spans="2:6" x14ac:dyDescent="0.25">
      <c r="B77" t="s">
        <v>36</v>
      </c>
      <c r="C77" t="s">
        <v>20</v>
      </c>
      <c r="D77">
        <v>-0.9</v>
      </c>
      <c r="E77">
        <v>-0.3</v>
      </c>
      <c r="F77">
        <v>0</v>
      </c>
    </row>
    <row r="78" spans="2:6" x14ac:dyDescent="0.25">
      <c r="B78" t="s">
        <v>30</v>
      </c>
      <c r="C78" t="s">
        <v>20</v>
      </c>
      <c r="D78">
        <v>-0.9</v>
      </c>
      <c r="E78">
        <v>-0.3</v>
      </c>
      <c r="F78">
        <v>0</v>
      </c>
    </row>
    <row r="79" spans="2:6" x14ac:dyDescent="0.25">
      <c r="B79" t="s">
        <v>70</v>
      </c>
      <c r="C79">
        <v>2076006</v>
      </c>
    </row>
    <row r="80" spans="2:6" x14ac:dyDescent="0.25">
      <c r="B80" t="s">
        <v>27</v>
      </c>
      <c r="C80" t="s">
        <v>20</v>
      </c>
      <c r="D80">
        <v>-0.9</v>
      </c>
      <c r="E80">
        <v>-0.3</v>
      </c>
      <c r="F80">
        <v>0</v>
      </c>
    </row>
    <row r="81" spans="2:6" x14ac:dyDescent="0.25">
      <c r="B81" t="s">
        <v>27</v>
      </c>
      <c r="C81" t="s">
        <v>20</v>
      </c>
      <c r="D81">
        <v>-0.9</v>
      </c>
      <c r="E81">
        <v>-0.3</v>
      </c>
      <c r="F81">
        <v>0</v>
      </c>
    </row>
    <row r="82" spans="2:6" x14ac:dyDescent="0.25">
      <c r="B82" t="s">
        <v>71</v>
      </c>
      <c r="C82">
        <v>2076007</v>
      </c>
    </row>
    <row r="83" spans="2:6" x14ac:dyDescent="0.25">
      <c r="B83" t="s">
        <v>36</v>
      </c>
      <c r="C83" t="s">
        <v>20</v>
      </c>
      <c r="D83">
        <v>-0.9</v>
      </c>
      <c r="E83">
        <v>-0.3</v>
      </c>
      <c r="F83">
        <v>0</v>
      </c>
    </row>
    <row r="84" spans="2:6" x14ac:dyDescent="0.25">
      <c r="B84" t="s">
        <v>72</v>
      </c>
      <c r="C84">
        <v>2076008</v>
      </c>
    </row>
    <row r="85" spans="2:6" x14ac:dyDescent="0.25">
      <c r="B85" t="s">
        <v>73</v>
      </c>
      <c r="C85" t="s">
        <v>74</v>
      </c>
      <c r="D85">
        <v>0.9</v>
      </c>
      <c r="E85">
        <v>0.5</v>
      </c>
      <c r="F85">
        <v>0</v>
      </c>
    </row>
    <row r="86" spans="2:6" x14ac:dyDescent="0.25">
      <c r="B86" t="s">
        <v>75</v>
      </c>
      <c r="C86">
        <v>2076011</v>
      </c>
    </row>
    <row r="87" spans="2:6" x14ac:dyDescent="0.25">
      <c r="B87" t="s">
        <v>33</v>
      </c>
      <c r="C87" t="s">
        <v>1</v>
      </c>
      <c r="D87">
        <v>-1</v>
      </c>
      <c r="E87">
        <v>-0.2</v>
      </c>
      <c r="F87">
        <v>0</v>
      </c>
    </row>
    <row r="88" spans="2:6" x14ac:dyDescent="0.25">
      <c r="B88" t="s">
        <v>76</v>
      </c>
      <c r="C88">
        <v>2076013</v>
      </c>
    </row>
    <row r="89" spans="2:6" x14ac:dyDescent="0.25">
      <c r="B89" t="s">
        <v>27</v>
      </c>
      <c r="C89" t="s">
        <v>20</v>
      </c>
      <c r="D89">
        <v>-0.9</v>
      </c>
      <c r="E89">
        <v>-0.3</v>
      </c>
      <c r="F89">
        <v>0</v>
      </c>
    </row>
    <row r="90" spans="2:6" x14ac:dyDescent="0.25">
      <c r="B90" t="s">
        <v>77</v>
      </c>
      <c r="C90">
        <v>2076014</v>
      </c>
    </row>
    <row r="91" spans="2:6" x14ac:dyDescent="0.25">
      <c r="B91" t="s">
        <v>33</v>
      </c>
      <c r="C91" t="s">
        <v>1</v>
      </c>
      <c r="D91">
        <v>-1</v>
      </c>
      <c r="E91">
        <v>-0.2</v>
      </c>
      <c r="F91">
        <v>0</v>
      </c>
    </row>
    <row r="92" spans="2:6" x14ac:dyDescent="0.25">
      <c r="B92" t="s">
        <v>33</v>
      </c>
      <c r="C92" t="s">
        <v>1</v>
      </c>
      <c r="D92">
        <v>-1</v>
      </c>
      <c r="E92">
        <v>-0.2</v>
      </c>
      <c r="F92">
        <v>0</v>
      </c>
    </row>
    <row r="93" spans="2:6" x14ac:dyDescent="0.25">
      <c r="B93" t="s">
        <v>78</v>
      </c>
      <c r="C93">
        <v>2076015</v>
      </c>
    </row>
    <row r="94" spans="2:6" x14ac:dyDescent="0.25">
      <c r="B94" t="s">
        <v>36</v>
      </c>
      <c r="C94" t="s">
        <v>1</v>
      </c>
      <c r="D94">
        <v>-1</v>
      </c>
      <c r="E94">
        <v>-0.2</v>
      </c>
      <c r="F94">
        <v>0</v>
      </c>
    </row>
    <row r="95" spans="2:6" x14ac:dyDescent="0.25">
      <c r="B95" t="s">
        <v>79</v>
      </c>
      <c r="C95">
        <v>2076016</v>
      </c>
    </row>
    <row r="96" spans="2:6" x14ac:dyDescent="0.25">
      <c r="B96" t="s">
        <v>33</v>
      </c>
      <c r="C96" t="s">
        <v>1</v>
      </c>
      <c r="D96">
        <v>-1</v>
      </c>
      <c r="E96">
        <v>-0.2</v>
      </c>
      <c r="F96">
        <v>0</v>
      </c>
    </row>
    <row r="97" spans="2:6" x14ac:dyDescent="0.25">
      <c r="B97" t="s">
        <v>80</v>
      </c>
      <c r="C97">
        <v>2076017</v>
      </c>
    </row>
    <row r="98" spans="2:6" x14ac:dyDescent="0.25">
      <c r="B98" t="s">
        <v>30</v>
      </c>
      <c r="C98" t="s">
        <v>1</v>
      </c>
      <c r="D98">
        <v>-1</v>
      </c>
      <c r="E98">
        <v>-0.2</v>
      </c>
      <c r="F98">
        <v>0</v>
      </c>
    </row>
    <row r="99" spans="2:6" x14ac:dyDescent="0.25">
      <c r="B99" t="s">
        <v>81</v>
      </c>
      <c r="C99">
        <v>2076018</v>
      </c>
    </row>
    <row r="100" spans="2:6" x14ac:dyDescent="0.25">
      <c r="B100" t="s">
        <v>33</v>
      </c>
      <c r="C100" t="s">
        <v>1</v>
      </c>
      <c r="D100">
        <v>-1</v>
      </c>
      <c r="E100">
        <v>-0.2</v>
      </c>
      <c r="F100">
        <v>0</v>
      </c>
    </row>
    <row r="101" spans="2:6" x14ac:dyDescent="0.25">
      <c r="B101" t="s">
        <v>82</v>
      </c>
      <c r="C101">
        <v>2076019</v>
      </c>
    </row>
    <row r="102" spans="2:6" x14ac:dyDescent="0.25">
      <c r="B102" t="s">
        <v>36</v>
      </c>
      <c r="C102" t="s">
        <v>1</v>
      </c>
      <c r="D102">
        <v>-1</v>
      </c>
      <c r="E102">
        <v>-0.2</v>
      </c>
      <c r="F102">
        <v>0</v>
      </c>
    </row>
    <row r="103" spans="2:6" x14ac:dyDescent="0.25">
      <c r="B103" t="s">
        <v>83</v>
      </c>
      <c r="C103">
        <v>2076020</v>
      </c>
    </row>
    <row r="104" spans="2:6" x14ac:dyDescent="0.25">
      <c r="B104" t="s">
        <v>28</v>
      </c>
      <c r="C104" t="s">
        <v>1</v>
      </c>
      <c r="D104">
        <v>-1</v>
      </c>
      <c r="E104">
        <v>-0.2</v>
      </c>
      <c r="F104">
        <v>0</v>
      </c>
    </row>
    <row r="105" spans="2:6" x14ac:dyDescent="0.25">
      <c r="B105" t="s">
        <v>33</v>
      </c>
      <c r="C105" t="s">
        <v>1</v>
      </c>
      <c r="D105">
        <v>-1</v>
      </c>
      <c r="E105">
        <v>-0.2</v>
      </c>
      <c r="F105">
        <v>0</v>
      </c>
    </row>
    <row r="106" spans="2:6" x14ac:dyDescent="0.25">
      <c r="B106" t="s">
        <v>84</v>
      </c>
      <c r="C106">
        <v>2076021</v>
      </c>
    </row>
    <row r="107" spans="2:6" x14ac:dyDescent="0.25">
      <c r="B107" t="s">
        <v>30</v>
      </c>
      <c r="C107" t="s">
        <v>2</v>
      </c>
      <c r="D107">
        <v>1</v>
      </c>
      <c r="E107">
        <v>0.2</v>
      </c>
      <c r="F107">
        <v>0</v>
      </c>
    </row>
    <row r="108" spans="2:6" x14ac:dyDescent="0.25">
      <c r="B108" t="s">
        <v>36</v>
      </c>
      <c r="C108" t="s">
        <v>2</v>
      </c>
      <c r="D108">
        <v>1</v>
      </c>
      <c r="E108">
        <v>0.2</v>
      </c>
      <c r="F108">
        <v>0</v>
      </c>
    </row>
    <row r="109" spans="2:6" x14ac:dyDescent="0.25">
      <c r="B109" t="s">
        <v>85</v>
      </c>
      <c r="C109">
        <v>2076023</v>
      </c>
    </row>
    <row r="110" spans="2:6" x14ac:dyDescent="0.25">
      <c r="B110" t="s">
        <v>33</v>
      </c>
      <c r="C110" t="s">
        <v>1</v>
      </c>
      <c r="D110">
        <v>-1</v>
      </c>
      <c r="E110">
        <v>-0.2</v>
      </c>
      <c r="F110">
        <v>0</v>
      </c>
    </row>
    <row r="111" spans="2:6" x14ac:dyDescent="0.25">
      <c r="B111" t="s">
        <v>33</v>
      </c>
      <c r="C111" t="s">
        <v>1</v>
      </c>
      <c r="D111">
        <v>-1</v>
      </c>
      <c r="E111">
        <v>-0.2</v>
      </c>
      <c r="F111">
        <v>0</v>
      </c>
    </row>
    <row r="112" spans="2:6" x14ac:dyDescent="0.25">
      <c r="B112" t="s">
        <v>86</v>
      </c>
      <c r="C112">
        <v>2076024</v>
      </c>
    </row>
    <row r="113" spans="2:6" x14ac:dyDescent="0.25">
      <c r="B113" t="s">
        <v>36</v>
      </c>
      <c r="C113" t="s">
        <v>1</v>
      </c>
      <c r="D113">
        <v>-1</v>
      </c>
      <c r="E113">
        <v>-0.2</v>
      </c>
      <c r="F113">
        <v>0</v>
      </c>
    </row>
    <row r="114" spans="2:6" x14ac:dyDescent="0.25">
      <c r="B114" t="s">
        <v>87</v>
      </c>
      <c r="C114">
        <v>2076025</v>
      </c>
    </row>
    <row r="115" spans="2:6" x14ac:dyDescent="0.25">
      <c r="B115" t="s">
        <v>28</v>
      </c>
      <c r="C115" t="s">
        <v>1</v>
      </c>
      <c r="D115">
        <v>-1</v>
      </c>
      <c r="E115">
        <v>-0.2</v>
      </c>
      <c r="F115">
        <v>0</v>
      </c>
    </row>
    <row r="116" spans="2:6" x14ac:dyDescent="0.25">
      <c r="B116" t="s">
        <v>88</v>
      </c>
      <c r="C116">
        <v>2076028</v>
      </c>
    </row>
    <row r="117" spans="2:6" x14ac:dyDescent="0.25">
      <c r="B117" t="s">
        <v>28</v>
      </c>
      <c r="C117" t="s">
        <v>1</v>
      </c>
      <c r="D117">
        <v>-1</v>
      </c>
      <c r="E117">
        <v>-0.2</v>
      </c>
      <c r="F117">
        <v>0</v>
      </c>
    </row>
    <row r="118" spans="2:6" x14ac:dyDescent="0.25">
      <c r="B118" t="s">
        <v>89</v>
      </c>
      <c r="C118">
        <v>2076029</v>
      </c>
    </row>
    <row r="119" spans="2:6" x14ac:dyDescent="0.25">
      <c r="B119" t="s">
        <v>28</v>
      </c>
      <c r="C119" t="s">
        <v>1</v>
      </c>
      <c r="D119">
        <v>-1</v>
      </c>
      <c r="E119">
        <v>-0.2</v>
      </c>
      <c r="F119">
        <v>0</v>
      </c>
    </row>
    <row r="120" spans="2:6" x14ac:dyDescent="0.25">
      <c r="B120" t="s">
        <v>90</v>
      </c>
      <c r="C120">
        <v>2076043</v>
      </c>
    </row>
    <row r="121" spans="2:6" x14ac:dyDescent="0.25">
      <c r="B121" t="s">
        <v>36</v>
      </c>
      <c r="C121" t="s">
        <v>2</v>
      </c>
      <c r="D121">
        <v>1</v>
      </c>
      <c r="E121">
        <v>0.2</v>
      </c>
      <c r="F121">
        <v>0</v>
      </c>
    </row>
    <row r="122" spans="2:6" x14ac:dyDescent="0.25">
      <c r="B122" t="s">
        <v>91</v>
      </c>
      <c r="C122">
        <v>2076046</v>
      </c>
    </row>
    <row r="123" spans="2:6" x14ac:dyDescent="0.25">
      <c r="B123" t="s">
        <v>30</v>
      </c>
      <c r="C123" t="s">
        <v>1</v>
      </c>
      <c r="D123">
        <v>-1</v>
      </c>
      <c r="E123">
        <v>-0.2</v>
      </c>
      <c r="F123">
        <v>0</v>
      </c>
    </row>
    <row r="124" spans="2:6" x14ac:dyDescent="0.25">
      <c r="B124" t="s">
        <v>92</v>
      </c>
      <c r="C124">
        <v>2076067</v>
      </c>
    </row>
    <row r="125" spans="2:6" x14ac:dyDescent="0.25">
      <c r="B125" t="s">
        <v>27</v>
      </c>
      <c r="C125" t="s">
        <v>17</v>
      </c>
      <c r="D125">
        <v>-0.9</v>
      </c>
      <c r="E125">
        <v>-0.4</v>
      </c>
      <c r="F125">
        <v>0</v>
      </c>
    </row>
    <row r="126" spans="2:6" x14ac:dyDescent="0.25">
      <c r="B126" t="s">
        <v>93</v>
      </c>
      <c r="C126">
        <v>2076068</v>
      </c>
    </row>
    <row r="127" spans="2:6" x14ac:dyDescent="0.25">
      <c r="B127" t="s">
        <v>36</v>
      </c>
      <c r="C127" t="s">
        <v>17</v>
      </c>
      <c r="D127">
        <v>-0.9</v>
      </c>
      <c r="E127">
        <v>-0.4</v>
      </c>
      <c r="F127">
        <v>0</v>
      </c>
    </row>
    <row r="128" spans="2:6" x14ac:dyDescent="0.25">
      <c r="B128" t="s">
        <v>94</v>
      </c>
      <c r="C128">
        <v>2076069</v>
      </c>
    </row>
    <row r="129" spans="2:6" x14ac:dyDescent="0.25">
      <c r="B129" t="s">
        <v>33</v>
      </c>
      <c r="C129" t="s">
        <v>21</v>
      </c>
      <c r="D129">
        <v>0.9</v>
      </c>
      <c r="E129">
        <v>0.4</v>
      </c>
      <c r="F129">
        <v>0</v>
      </c>
    </row>
    <row r="130" spans="2:6" x14ac:dyDescent="0.25">
      <c r="B130" t="s">
        <v>95</v>
      </c>
      <c r="C130">
        <v>2076070</v>
      </c>
    </row>
    <row r="131" spans="2:6" x14ac:dyDescent="0.25">
      <c r="B131" t="s">
        <v>36</v>
      </c>
      <c r="C131" t="s">
        <v>17</v>
      </c>
      <c r="D131">
        <v>-0.9</v>
      </c>
      <c r="E131">
        <v>-0.4</v>
      </c>
      <c r="F131">
        <v>0</v>
      </c>
    </row>
    <row r="132" spans="2:6" x14ac:dyDescent="0.25">
      <c r="B132" t="s">
        <v>36</v>
      </c>
      <c r="C132" t="s">
        <v>17</v>
      </c>
      <c r="D132">
        <v>-0.9</v>
      </c>
      <c r="E132">
        <v>-0.4</v>
      </c>
      <c r="F132">
        <v>0</v>
      </c>
    </row>
    <row r="133" spans="2:6" x14ac:dyDescent="0.25">
      <c r="B133" t="s">
        <v>28</v>
      </c>
      <c r="C133" t="s">
        <v>17</v>
      </c>
      <c r="D133">
        <v>-0.9</v>
      </c>
      <c r="E133">
        <v>-0.4</v>
      </c>
      <c r="F133">
        <v>0</v>
      </c>
    </row>
    <row r="134" spans="2:6" x14ac:dyDescent="0.25">
      <c r="B134" t="s">
        <v>96</v>
      </c>
      <c r="C134">
        <v>2076074</v>
      </c>
    </row>
    <row r="135" spans="2:6" x14ac:dyDescent="0.25">
      <c r="B135" t="s">
        <v>28</v>
      </c>
      <c r="C135" t="s">
        <v>17</v>
      </c>
      <c r="D135">
        <v>-0.9</v>
      </c>
      <c r="E135">
        <v>-0.4</v>
      </c>
      <c r="F135">
        <v>0</v>
      </c>
    </row>
    <row r="136" spans="2:6" x14ac:dyDescent="0.25">
      <c r="B136" t="s">
        <v>36</v>
      </c>
      <c r="C136" t="s">
        <v>17</v>
      </c>
      <c r="D136">
        <v>-0.9</v>
      </c>
      <c r="E136">
        <v>-0.4</v>
      </c>
      <c r="F136">
        <v>0</v>
      </c>
    </row>
    <row r="137" spans="2:6" x14ac:dyDescent="0.25">
      <c r="B137" t="s">
        <v>97</v>
      </c>
      <c r="C137">
        <v>2076086</v>
      </c>
    </row>
    <row r="138" spans="2:6" x14ac:dyDescent="0.25">
      <c r="B138" t="s">
        <v>36</v>
      </c>
      <c r="C138" t="s">
        <v>22</v>
      </c>
      <c r="D138">
        <v>0.9</v>
      </c>
      <c r="E138">
        <v>0.3</v>
      </c>
      <c r="F138">
        <v>0</v>
      </c>
    </row>
    <row r="139" spans="2:6" x14ac:dyDescent="0.25">
      <c r="B139" t="s">
        <v>98</v>
      </c>
      <c r="C139">
        <v>2076087</v>
      </c>
    </row>
    <row r="140" spans="2:6" x14ac:dyDescent="0.25">
      <c r="B140" t="s">
        <v>27</v>
      </c>
      <c r="C140" t="s">
        <v>22</v>
      </c>
      <c r="D140">
        <v>0.9</v>
      </c>
      <c r="E140">
        <v>0.3</v>
      </c>
      <c r="F140">
        <v>0</v>
      </c>
    </row>
    <row r="141" spans="2:6" x14ac:dyDescent="0.25">
      <c r="B141" t="s">
        <v>99</v>
      </c>
      <c r="C141">
        <v>2076094</v>
      </c>
    </row>
    <row r="142" spans="2:6" x14ac:dyDescent="0.25">
      <c r="B142" t="s">
        <v>27</v>
      </c>
      <c r="C142" t="s">
        <v>17</v>
      </c>
      <c r="D142">
        <v>-0.9</v>
      </c>
      <c r="E142">
        <v>-0.4</v>
      </c>
      <c r="F142">
        <v>0</v>
      </c>
    </row>
    <row r="143" spans="2:6" x14ac:dyDescent="0.25">
      <c r="B143" t="s">
        <v>100</v>
      </c>
      <c r="C143">
        <v>2076095</v>
      </c>
    </row>
    <row r="144" spans="2:6" x14ac:dyDescent="0.25">
      <c r="B144" t="s">
        <v>27</v>
      </c>
      <c r="C144" t="s">
        <v>17</v>
      </c>
      <c r="D144">
        <v>-0.9</v>
      </c>
      <c r="E144">
        <v>-0.4</v>
      </c>
      <c r="F144">
        <v>0</v>
      </c>
    </row>
    <row r="145" spans="2:6" x14ac:dyDescent="0.25">
      <c r="B145" t="s">
        <v>101</v>
      </c>
      <c r="C145">
        <v>2076097</v>
      </c>
    </row>
    <row r="146" spans="2:6" x14ac:dyDescent="0.25">
      <c r="B146" t="s">
        <v>28</v>
      </c>
      <c r="C146" t="s">
        <v>13</v>
      </c>
      <c r="D146">
        <v>0.8</v>
      </c>
      <c r="E146">
        <v>0.5</v>
      </c>
      <c r="F146">
        <v>0</v>
      </c>
    </row>
    <row r="147" spans="2:6" x14ac:dyDescent="0.25">
      <c r="B147" t="s">
        <v>102</v>
      </c>
      <c r="C147">
        <v>2076098</v>
      </c>
    </row>
    <row r="148" spans="2:6" x14ac:dyDescent="0.25">
      <c r="B148" t="s">
        <v>36</v>
      </c>
      <c r="C148" t="s">
        <v>13</v>
      </c>
      <c r="D148">
        <v>0.8</v>
      </c>
      <c r="E148">
        <v>0.5</v>
      </c>
      <c r="F148">
        <v>0</v>
      </c>
    </row>
    <row r="149" spans="2:6" x14ac:dyDescent="0.25">
      <c r="B149" t="s">
        <v>103</v>
      </c>
      <c r="C149">
        <v>2076099</v>
      </c>
    </row>
    <row r="150" spans="2:6" x14ac:dyDescent="0.25">
      <c r="B150" t="s">
        <v>27</v>
      </c>
      <c r="C150" t="s">
        <v>13</v>
      </c>
      <c r="D150">
        <v>0.8</v>
      </c>
      <c r="E150">
        <v>0.5</v>
      </c>
      <c r="F150">
        <v>0</v>
      </c>
    </row>
    <row r="151" spans="2:6" x14ac:dyDescent="0.25">
      <c r="B151" t="s">
        <v>27</v>
      </c>
      <c r="C151" t="s">
        <v>13</v>
      </c>
      <c r="D151">
        <v>0.8</v>
      </c>
      <c r="E151">
        <v>0.5</v>
      </c>
      <c r="F151">
        <v>0</v>
      </c>
    </row>
    <row r="152" spans="2:6" x14ac:dyDescent="0.25">
      <c r="B152" t="s">
        <v>104</v>
      </c>
      <c r="C152">
        <v>2076100</v>
      </c>
    </row>
    <row r="153" spans="2:6" x14ac:dyDescent="0.25">
      <c r="B153" t="s">
        <v>30</v>
      </c>
      <c r="C153" t="s">
        <v>13</v>
      </c>
      <c r="D153">
        <v>0.8</v>
      </c>
      <c r="E153">
        <v>0.5</v>
      </c>
      <c r="F153">
        <v>0</v>
      </c>
    </row>
    <row r="154" spans="2:6" x14ac:dyDescent="0.25">
      <c r="B154" t="s">
        <v>105</v>
      </c>
      <c r="C154">
        <v>2076102</v>
      </c>
    </row>
    <row r="155" spans="2:6" x14ac:dyDescent="0.25">
      <c r="B155" t="s">
        <v>28</v>
      </c>
      <c r="C155" t="s">
        <v>16</v>
      </c>
      <c r="D155">
        <v>-0.8</v>
      </c>
      <c r="E155">
        <v>-0.5</v>
      </c>
      <c r="F155">
        <v>0</v>
      </c>
    </row>
    <row r="156" spans="2:6" x14ac:dyDescent="0.25">
      <c r="B156" t="s">
        <v>106</v>
      </c>
      <c r="C156">
        <v>2076108</v>
      </c>
    </row>
    <row r="157" spans="2:6" x14ac:dyDescent="0.25">
      <c r="B157" t="s">
        <v>36</v>
      </c>
      <c r="C157" t="s">
        <v>17</v>
      </c>
      <c r="D157">
        <v>-0.9</v>
      </c>
      <c r="E157">
        <v>-0.4</v>
      </c>
      <c r="F157">
        <v>0</v>
      </c>
    </row>
    <row r="158" spans="2:6" x14ac:dyDescent="0.25">
      <c r="B158" t="s">
        <v>107</v>
      </c>
      <c r="C158">
        <v>2076113</v>
      </c>
    </row>
    <row r="159" spans="2:6" x14ac:dyDescent="0.25">
      <c r="B159" t="s">
        <v>36</v>
      </c>
      <c r="C159" t="s">
        <v>22</v>
      </c>
      <c r="D159">
        <v>0.9</v>
      </c>
      <c r="E159">
        <v>0.3</v>
      </c>
      <c r="F159">
        <v>0</v>
      </c>
    </row>
    <row r="160" spans="2:6" x14ac:dyDescent="0.25">
      <c r="B160" t="s">
        <v>108</v>
      </c>
      <c r="C160">
        <v>2076114</v>
      </c>
    </row>
    <row r="161" spans="2:6" x14ac:dyDescent="0.25">
      <c r="B161" t="s">
        <v>27</v>
      </c>
      <c r="C161" t="s">
        <v>20</v>
      </c>
      <c r="D161">
        <v>-0.9</v>
      </c>
      <c r="E161">
        <v>-0.3</v>
      </c>
      <c r="F161">
        <v>0</v>
      </c>
    </row>
    <row r="162" spans="2:6" x14ac:dyDescent="0.25">
      <c r="B162" t="s">
        <v>109</v>
      </c>
      <c r="C162">
        <v>2076115</v>
      </c>
    </row>
    <row r="163" spans="2:6" x14ac:dyDescent="0.25">
      <c r="B163" t="s">
        <v>30</v>
      </c>
      <c r="C163" t="s">
        <v>22</v>
      </c>
      <c r="D163">
        <v>0.9</v>
      </c>
      <c r="E163">
        <v>0.3</v>
      </c>
      <c r="F163">
        <v>0</v>
      </c>
    </row>
    <row r="164" spans="2:6" x14ac:dyDescent="0.25">
      <c r="B164" t="s">
        <v>110</v>
      </c>
      <c r="C164">
        <v>2076116</v>
      </c>
    </row>
    <row r="165" spans="2:6" x14ac:dyDescent="0.25">
      <c r="B165" t="s">
        <v>27</v>
      </c>
      <c r="C165" t="s">
        <v>20</v>
      </c>
      <c r="D165">
        <v>-0.9</v>
      </c>
      <c r="E165">
        <v>-0.3</v>
      </c>
      <c r="F165">
        <v>0</v>
      </c>
    </row>
    <row r="166" spans="2:6" x14ac:dyDescent="0.25">
      <c r="B166" t="s">
        <v>27</v>
      </c>
      <c r="C166" t="s">
        <v>20</v>
      </c>
      <c r="D166">
        <v>-0.9</v>
      </c>
      <c r="E166">
        <v>-0.3</v>
      </c>
      <c r="F166">
        <v>0</v>
      </c>
    </row>
    <row r="167" spans="2:6" x14ac:dyDescent="0.25">
      <c r="B167" t="s">
        <v>111</v>
      </c>
      <c r="C167">
        <v>2076126</v>
      </c>
    </row>
    <row r="168" spans="2:6" x14ac:dyDescent="0.25">
      <c r="B168" t="s">
        <v>36</v>
      </c>
      <c r="C168" t="s">
        <v>21</v>
      </c>
      <c r="D168">
        <v>0.9</v>
      </c>
      <c r="E168">
        <v>0.4</v>
      </c>
      <c r="F168">
        <v>0</v>
      </c>
    </row>
    <row r="169" spans="2:6" x14ac:dyDescent="0.25">
      <c r="B169" t="s">
        <v>112</v>
      </c>
      <c r="C169">
        <v>2076127</v>
      </c>
    </row>
    <row r="170" spans="2:6" x14ac:dyDescent="0.25">
      <c r="B170" t="s">
        <v>36</v>
      </c>
      <c r="C170" t="s">
        <v>17</v>
      </c>
      <c r="D170">
        <v>-0.9</v>
      </c>
      <c r="E170">
        <v>-0.4</v>
      </c>
      <c r="F170">
        <v>0</v>
      </c>
    </row>
    <row r="171" spans="2:6" x14ac:dyDescent="0.25">
      <c r="B171" t="s">
        <v>113</v>
      </c>
      <c r="C171">
        <v>2076138</v>
      </c>
    </row>
    <row r="172" spans="2:6" x14ac:dyDescent="0.25">
      <c r="B172" t="s">
        <v>54</v>
      </c>
      <c r="C172" t="s">
        <v>5</v>
      </c>
      <c r="D172">
        <v>0.2</v>
      </c>
      <c r="E172">
        <v>-1</v>
      </c>
      <c r="F172">
        <v>0</v>
      </c>
    </row>
    <row r="173" spans="2:6" x14ac:dyDescent="0.25">
      <c r="B173" t="s">
        <v>53</v>
      </c>
      <c r="C173" t="s">
        <v>5</v>
      </c>
      <c r="D173">
        <v>0.2</v>
      </c>
      <c r="E173">
        <v>-1</v>
      </c>
      <c r="F173">
        <v>0</v>
      </c>
    </row>
    <row r="174" spans="2:6" x14ac:dyDescent="0.25">
      <c r="B174" t="s">
        <v>114</v>
      </c>
      <c r="C174">
        <v>2076145</v>
      </c>
    </row>
    <row r="175" spans="2:6" x14ac:dyDescent="0.25">
      <c r="B175" t="s">
        <v>54</v>
      </c>
      <c r="C175" t="s">
        <v>115</v>
      </c>
      <c r="D175">
        <v>0.3</v>
      </c>
      <c r="E175">
        <v>-1</v>
      </c>
      <c r="F175">
        <v>0</v>
      </c>
    </row>
    <row r="176" spans="2:6" x14ac:dyDescent="0.25">
      <c r="B176" t="s">
        <v>116</v>
      </c>
      <c r="C176">
        <v>2076149</v>
      </c>
    </row>
    <row r="177" spans="2:6" x14ac:dyDescent="0.25">
      <c r="B177" t="s">
        <v>53</v>
      </c>
      <c r="C177" t="s">
        <v>117</v>
      </c>
      <c r="D177">
        <v>0.5</v>
      </c>
      <c r="E177">
        <v>-0.9</v>
      </c>
      <c r="F177">
        <v>0</v>
      </c>
    </row>
    <row r="178" spans="2:6" x14ac:dyDescent="0.25">
      <c r="B178" t="s">
        <v>54</v>
      </c>
      <c r="C178" t="s">
        <v>117</v>
      </c>
      <c r="D178">
        <v>0.5</v>
      </c>
      <c r="E178">
        <v>-0.9</v>
      </c>
      <c r="F178">
        <v>0</v>
      </c>
    </row>
    <row r="179" spans="2:6" x14ac:dyDescent="0.25">
      <c r="B179" t="s">
        <v>54</v>
      </c>
      <c r="C179" t="s">
        <v>117</v>
      </c>
      <c r="D179">
        <v>0.5</v>
      </c>
      <c r="E179">
        <v>-0.9</v>
      </c>
      <c r="F179">
        <v>0</v>
      </c>
    </row>
    <row r="180" spans="2:6" x14ac:dyDescent="0.25">
      <c r="B180" t="s">
        <v>118</v>
      </c>
      <c r="C180">
        <v>2076187</v>
      </c>
    </row>
    <row r="181" spans="2:6" x14ac:dyDescent="0.25">
      <c r="B181" t="s">
        <v>53</v>
      </c>
      <c r="C181" t="s">
        <v>117</v>
      </c>
      <c r="D181">
        <v>0.5</v>
      </c>
      <c r="E181">
        <v>-0.9</v>
      </c>
      <c r="F181">
        <v>0</v>
      </c>
    </row>
    <row r="182" spans="2:6" x14ac:dyDescent="0.25">
      <c r="B182" t="s">
        <v>119</v>
      </c>
      <c r="C182">
        <v>2076188</v>
      </c>
    </row>
    <row r="183" spans="2:6" x14ac:dyDescent="0.25">
      <c r="B183" t="s">
        <v>53</v>
      </c>
      <c r="C183" t="s">
        <v>117</v>
      </c>
      <c r="D183">
        <v>0.5</v>
      </c>
      <c r="E183">
        <v>-0.9</v>
      </c>
      <c r="F183">
        <v>0</v>
      </c>
    </row>
    <row r="184" spans="2:6" x14ac:dyDescent="0.25">
      <c r="B184" t="s">
        <v>120</v>
      </c>
      <c r="C184">
        <v>2076190</v>
      </c>
    </row>
    <row r="185" spans="2:6" x14ac:dyDescent="0.25">
      <c r="B185" t="s">
        <v>54</v>
      </c>
      <c r="C185" t="s">
        <v>117</v>
      </c>
      <c r="D185">
        <v>0.5</v>
      </c>
      <c r="E185">
        <v>-0.9</v>
      </c>
      <c r="F185">
        <v>0</v>
      </c>
    </row>
    <row r="186" spans="2:6" x14ac:dyDescent="0.25">
      <c r="B186" t="s">
        <v>53</v>
      </c>
      <c r="C186" t="s">
        <v>117</v>
      </c>
      <c r="D186">
        <v>0.5</v>
      </c>
      <c r="E186">
        <v>-0.9</v>
      </c>
      <c r="F186">
        <v>0</v>
      </c>
    </row>
    <row r="187" spans="2:6" x14ac:dyDescent="0.25">
      <c r="B187" t="s">
        <v>54</v>
      </c>
      <c r="C187" t="s">
        <v>117</v>
      </c>
      <c r="D187">
        <v>0.5</v>
      </c>
      <c r="E187">
        <v>-0.9</v>
      </c>
      <c r="F187">
        <v>0</v>
      </c>
    </row>
    <row r="188" spans="2:6" x14ac:dyDescent="0.25">
      <c r="B188" t="s">
        <v>121</v>
      </c>
      <c r="C188">
        <v>2076191</v>
      </c>
    </row>
    <row r="189" spans="2:6" x14ac:dyDescent="0.25">
      <c r="B189" t="s">
        <v>53</v>
      </c>
      <c r="C189" t="s">
        <v>117</v>
      </c>
      <c r="D189">
        <v>0.5</v>
      </c>
      <c r="E189">
        <v>-0.9</v>
      </c>
      <c r="F189">
        <v>0</v>
      </c>
    </row>
    <row r="190" spans="2:6" x14ac:dyDescent="0.25">
      <c r="B190" t="s">
        <v>122</v>
      </c>
      <c r="C190">
        <v>2076192</v>
      </c>
    </row>
    <row r="191" spans="2:6" x14ac:dyDescent="0.25">
      <c r="B191" t="s">
        <v>53</v>
      </c>
      <c r="C191" t="s">
        <v>117</v>
      </c>
      <c r="D191">
        <v>0.5</v>
      </c>
      <c r="E191">
        <v>-0.9</v>
      </c>
      <c r="F191">
        <v>0</v>
      </c>
    </row>
    <row r="192" spans="2:6" x14ac:dyDescent="0.25">
      <c r="B192" t="s">
        <v>54</v>
      </c>
      <c r="C192" t="s">
        <v>117</v>
      </c>
      <c r="D192">
        <v>0.5</v>
      </c>
      <c r="E192">
        <v>-0.9</v>
      </c>
      <c r="F192">
        <v>0</v>
      </c>
    </row>
    <row r="193" spans="2:6" x14ac:dyDescent="0.25">
      <c r="B193" t="s">
        <v>123</v>
      </c>
      <c r="C193">
        <v>2076194</v>
      </c>
    </row>
    <row r="194" spans="2:6" x14ac:dyDescent="0.25">
      <c r="B194" t="s">
        <v>53</v>
      </c>
      <c r="C194" t="s">
        <v>117</v>
      </c>
      <c r="D194">
        <v>0.5</v>
      </c>
      <c r="E194">
        <v>-0.9</v>
      </c>
      <c r="F194">
        <v>0</v>
      </c>
    </row>
    <row r="195" spans="2:6" x14ac:dyDescent="0.25">
      <c r="B195" t="s">
        <v>124</v>
      </c>
      <c r="C195">
        <v>2076213</v>
      </c>
    </row>
    <row r="196" spans="2:6" x14ac:dyDescent="0.25">
      <c r="B196" t="s">
        <v>54</v>
      </c>
      <c r="C196" t="s">
        <v>5</v>
      </c>
      <c r="D196">
        <v>0.2</v>
      </c>
      <c r="E196">
        <v>-1</v>
      </c>
      <c r="F196">
        <v>0</v>
      </c>
    </row>
    <row r="197" spans="2:6" x14ac:dyDescent="0.25">
      <c r="B197" t="s">
        <v>125</v>
      </c>
      <c r="C197">
        <v>2076216</v>
      </c>
    </row>
    <row r="198" spans="2:6" x14ac:dyDescent="0.25">
      <c r="B198" t="s">
        <v>126</v>
      </c>
      <c r="C198" t="s">
        <v>5</v>
      </c>
      <c r="D198">
        <v>0.2</v>
      </c>
      <c r="E198">
        <v>-1</v>
      </c>
      <c r="F198">
        <v>0</v>
      </c>
    </row>
    <row r="199" spans="2:6" x14ac:dyDescent="0.25">
      <c r="B199" t="s">
        <v>127</v>
      </c>
      <c r="C199">
        <v>2076217</v>
      </c>
    </row>
    <row r="200" spans="2:6" x14ac:dyDescent="0.25">
      <c r="B200" t="s">
        <v>54</v>
      </c>
      <c r="C200" t="s">
        <v>5</v>
      </c>
      <c r="D200">
        <v>0.2</v>
      </c>
      <c r="E200">
        <v>-1</v>
      </c>
      <c r="F200">
        <v>0</v>
      </c>
    </row>
    <row r="201" spans="2:6" x14ac:dyDescent="0.25">
      <c r="B201" t="s">
        <v>128</v>
      </c>
      <c r="C201">
        <v>2076219</v>
      </c>
    </row>
    <row r="202" spans="2:6" x14ac:dyDescent="0.25">
      <c r="B202" t="s">
        <v>53</v>
      </c>
      <c r="C202" t="s">
        <v>5</v>
      </c>
      <c r="D202">
        <v>0.2</v>
      </c>
      <c r="E202">
        <v>-1</v>
      </c>
      <c r="F202">
        <v>0</v>
      </c>
    </row>
    <row r="203" spans="2:6" x14ac:dyDescent="0.25">
      <c r="B203" t="s">
        <v>129</v>
      </c>
      <c r="C203">
        <v>2076221</v>
      </c>
    </row>
    <row r="204" spans="2:6" x14ac:dyDescent="0.25">
      <c r="B204" t="s">
        <v>54</v>
      </c>
      <c r="C204" t="s">
        <v>5</v>
      </c>
      <c r="D204">
        <v>0.2</v>
      </c>
      <c r="E204">
        <v>-1</v>
      </c>
      <c r="F204">
        <v>0</v>
      </c>
    </row>
    <row r="205" spans="2:6" x14ac:dyDescent="0.25">
      <c r="B205" t="s">
        <v>130</v>
      </c>
      <c r="C205">
        <v>2076223</v>
      </c>
    </row>
    <row r="206" spans="2:6" x14ac:dyDescent="0.25">
      <c r="B206" t="s">
        <v>54</v>
      </c>
      <c r="C206" t="s">
        <v>5</v>
      </c>
      <c r="D206">
        <v>0.2</v>
      </c>
      <c r="E206">
        <v>-1</v>
      </c>
      <c r="F206">
        <v>0</v>
      </c>
    </row>
    <row r="207" spans="2:6" x14ac:dyDescent="0.25">
      <c r="B207" t="s">
        <v>131</v>
      </c>
      <c r="C207">
        <v>2076248</v>
      </c>
    </row>
    <row r="208" spans="2:6" x14ac:dyDescent="0.25">
      <c r="B208" t="s">
        <v>126</v>
      </c>
      <c r="C208" t="s">
        <v>5</v>
      </c>
      <c r="D208">
        <v>0.2</v>
      </c>
      <c r="E208">
        <v>-1</v>
      </c>
      <c r="F208">
        <v>0</v>
      </c>
    </row>
    <row r="209" spans="2:6" x14ac:dyDescent="0.25">
      <c r="B209" t="s">
        <v>54</v>
      </c>
      <c r="C209" t="s">
        <v>5</v>
      </c>
      <c r="D209">
        <v>0.2</v>
      </c>
      <c r="E209">
        <v>-1</v>
      </c>
      <c r="F209">
        <v>0</v>
      </c>
    </row>
    <row r="210" spans="2:6" x14ac:dyDescent="0.25">
      <c r="B210" t="s">
        <v>132</v>
      </c>
      <c r="C210">
        <v>2076528</v>
      </c>
    </row>
    <row r="211" spans="2:6" x14ac:dyDescent="0.25">
      <c r="B211" t="s">
        <v>54</v>
      </c>
      <c r="C211" t="s">
        <v>5</v>
      </c>
      <c r="D211">
        <v>0.2</v>
      </c>
      <c r="E211">
        <v>-1</v>
      </c>
      <c r="F211">
        <v>0</v>
      </c>
    </row>
    <row r="212" spans="2:6" x14ac:dyDescent="0.25">
      <c r="B212" t="s">
        <v>54</v>
      </c>
      <c r="C212" t="s">
        <v>5</v>
      </c>
      <c r="D212">
        <v>0.2</v>
      </c>
      <c r="E212">
        <v>-1</v>
      </c>
      <c r="F212">
        <v>0</v>
      </c>
    </row>
    <row r="213" spans="2:6" x14ac:dyDescent="0.25">
      <c r="B213" t="s">
        <v>133</v>
      </c>
      <c r="C213">
        <v>2076536</v>
      </c>
    </row>
    <row r="214" spans="2:6" x14ac:dyDescent="0.25">
      <c r="B214" t="s">
        <v>30</v>
      </c>
      <c r="C214" t="s">
        <v>1</v>
      </c>
      <c r="D214">
        <v>-1</v>
      </c>
      <c r="E214">
        <v>-0.2</v>
      </c>
      <c r="F214">
        <v>0</v>
      </c>
    </row>
    <row r="215" spans="2:6" x14ac:dyDescent="0.25">
      <c r="B215" t="s">
        <v>33</v>
      </c>
      <c r="C215" t="s">
        <v>1</v>
      </c>
      <c r="D215">
        <v>-1</v>
      </c>
      <c r="E215">
        <v>-0.2</v>
      </c>
      <c r="F215">
        <v>0</v>
      </c>
    </row>
    <row r="216" spans="2:6" x14ac:dyDescent="0.25">
      <c r="B216" t="s">
        <v>134</v>
      </c>
      <c r="C216">
        <v>2076537</v>
      </c>
    </row>
    <row r="217" spans="2:6" x14ac:dyDescent="0.25">
      <c r="B217" t="s">
        <v>33</v>
      </c>
      <c r="C217" t="s">
        <v>1</v>
      </c>
      <c r="D217">
        <v>-1</v>
      </c>
      <c r="E217">
        <v>-0.2</v>
      </c>
      <c r="F217">
        <v>0</v>
      </c>
    </row>
    <row r="218" spans="2:6" x14ac:dyDescent="0.25">
      <c r="B218" t="s">
        <v>135</v>
      </c>
      <c r="C218">
        <v>2076538</v>
      </c>
    </row>
    <row r="219" spans="2:6" x14ac:dyDescent="0.25">
      <c r="B219" t="s">
        <v>30</v>
      </c>
      <c r="C219" t="s">
        <v>1</v>
      </c>
      <c r="D219">
        <v>-1</v>
      </c>
      <c r="E219">
        <v>-0.2</v>
      </c>
      <c r="F219">
        <v>0</v>
      </c>
    </row>
    <row r="220" spans="2:6" x14ac:dyDescent="0.25">
      <c r="B220" t="s">
        <v>136</v>
      </c>
      <c r="C220">
        <v>2076548</v>
      </c>
    </row>
    <row r="221" spans="2:6" x14ac:dyDescent="0.25">
      <c r="B221" t="s">
        <v>33</v>
      </c>
      <c r="C221" t="s">
        <v>1</v>
      </c>
      <c r="D221">
        <v>-1</v>
      </c>
      <c r="E221">
        <v>-0.2</v>
      </c>
      <c r="F221">
        <v>0</v>
      </c>
    </row>
    <row r="222" spans="2:6" x14ac:dyDescent="0.25">
      <c r="B222" t="s">
        <v>137</v>
      </c>
      <c r="C222">
        <v>2076552</v>
      </c>
    </row>
    <row r="223" spans="2:6" x14ac:dyDescent="0.25">
      <c r="B223" t="s">
        <v>54</v>
      </c>
      <c r="C223" t="s">
        <v>5</v>
      </c>
      <c r="D223">
        <v>0.2</v>
      </c>
      <c r="E223">
        <v>-1</v>
      </c>
      <c r="F223">
        <v>0</v>
      </c>
    </row>
    <row r="224" spans="2:6" x14ac:dyDescent="0.25">
      <c r="B224" t="s">
        <v>54</v>
      </c>
      <c r="C224" t="s">
        <v>5</v>
      </c>
      <c r="D224">
        <v>0.2</v>
      </c>
      <c r="E224">
        <v>-1</v>
      </c>
      <c r="F224">
        <v>0</v>
      </c>
    </row>
    <row r="225" spans="2:6" x14ac:dyDescent="0.25">
      <c r="B225" t="s">
        <v>54</v>
      </c>
      <c r="C225" t="s">
        <v>5</v>
      </c>
      <c r="D225">
        <v>0.2</v>
      </c>
      <c r="E225">
        <v>-1</v>
      </c>
      <c r="F225">
        <v>0</v>
      </c>
    </row>
    <row r="226" spans="2:6" x14ac:dyDescent="0.25">
      <c r="B226" t="s">
        <v>138</v>
      </c>
      <c r="C226">
        <v>2076553</v>
      </c>
    </row>
    <row r="227" spans="2:6" x14ac:dyDescent="0.25">
      <c r="B227" t="s">
        <v>54</v>
      </c>
      <c r="C227" t="s">
        <v>5</v>
      </c>
      <c r="D227">
        <v>0.2</v>
      </c>
      <c r="E227">
        <v>-1</v>
      </c>
      <c r="F227">
        <v>0</v>
      </c>
    </row>
    <row r="228" spans="2:6" x14ac:dyDescent="0.25">
      <c r="B228" t="s">
        <v>139</v>
      </c>
      <c r="C228">
        <v>2076554</v>
      </c>
    </row>
    <row r="229" spans="2:6" x14ac:dyDescent="0.25">
      <c r="B229" t="s">
        <v>54</v>
      </c>
      <c r="C229" t="s">
        <v>5</v>
      </c>
      <c r="D229">
        <v>0.2</v>
      </c>
      <c r="E229">
        <v>-1</v>
      </c>
      <c r="F229">
        <v>0</v>
      </c>
    </row>
    <row r="230" spans="2:6" x14ac:dyDescent="0.25">
      <c r="B230" t="s">
        <v>140</v>
      </c>
      <c r="C230">
        <v>2076558</v>
      </c>
    </row>
    <row r="231" spans="2:6" x14ac:dyDescent="0.25">
      <c r="B231" t="s">
        <v>53</v>
      </c>
      <c r="C231" t="s">
        <v>5</v>
      </c>
      <c r="D231">
        <v>0.2</v>
      </c>
      <c r="E231">
        <v>-1</v>
      </c>
      <c r="F231">
        <v>0</v>
      </c>
    </row>
    <row r="232" spans="2:6" x14ac:dyDescent="0.25">
      <c r="B232" t="s">
        <v>53</v>
      </c>
      <c r="C232" t="s">
        <v>5</v>
      </c>
      <c r="D232">
        <v>0.2</v>
      </c>
      <c r="E232">
        <v>-1</v>
      </c>
      <c r="F232">
        <v>0</v>
      </c>
    </row>
    <row r="233" spans="2:6" x14ac:dyDescent="0.25">
      <c r="B233" t="s">
        <v>141</v>
      </c>
      <c r="C233">
        <v>2201531</v>
      </c>
    </row>
    <row r="234" spans="2:6" x14ac:dyDescent="0.25">
      <c r="B234" t="s">
        <v>30</v>
      </c>
      <c r="C234" t="s">
        <v>13</v>
      </c>
      <c r="D234">
        <v>0.8</v>
      </c>
      <c r="E234">
        <v>0.5</v>
      </c>
      <c r="F234">
        <v>0</v>
      </c>
    </row>
    <row r="235" spans="2:6" x14ac:dyDescent="0.25">
      <c r="B235" t="s">
        <v>142</v>
      </c>
      <c r="C235">
        <v>2201533</v>
      </c>
    </row>
    <row r="236" spans="2:6" x14ac:dyDescent="0.25">
      <c r="B236" t="s">
        <v>28</v>
      </c>
      <c r="C236" t="s">
        <v>13</v>
      </c>
      <c r="D236">
        <v>0.8</v>
      </c>
      <c r="E236">
        <v>0.5</v>
      </c>
      <c r="F236">
        <v>0</v>
      </c>
    </row>
    <row r="237" spans="2:6" x14ac:dyDescent="0.25">
      <c r="B237" t="s">
        <v>33</v>
      </c>
      <c r="C237" t="s">
        <v>13</v>
      </c>
      <c r="D237">
        <v>0.8</v>
      </c>
      <c r="E237">
        <v>0.5</v>
      </c>
      <c r="F237">
        <v>0</v>
      </c>
    </row>
    <row r="238" spans="2:6" x14ac:dyDescent="0.25">
      <c r="B238" t="s">
        <v>143</v>
      </c>
      <c r="C238">
        <v>2201535</v>
      </c>
    </row>
    <row r="239" spans="2:6" x14ac:dyDescent="0.25">
      <c r="B239" t="s">
        <v>33</v>
      </c>
      <c r="C239" t="s">
        <v>13</v>
      </c>
      <c r="D239">
        <v>0.8</v>
      </c>
      <c r="E239">
        <v>0.5</v>
      </c>
      <c r="F239">
        <v>0</v>
      </c>
    </row>
    <row r="240" spans="2:6" x14ac:dyDescent="0.25">
      <c r="B240" t="s">
        <v>144</v>
      </c>
      <c r="C240">
        <v>2201537</v>
      </c>
    </row>
    <row r="241" spans="2:6" x14ac:dyDescent="0.25">
      <c r="B241" t="s">
        <v>28</v>
      </c>
      <c r="C241" t="s">
        <v>1</v>
      </c>
      <c r="D241">
        <v>-1</v>
      </c>
      <c r="E241">
        <v>-0.2</v>
      </c>
      <c r="F241">
        <v>0</v>
      </c>
    </row>
    <row r="242" spans="2:6" x14ac:dyDescent="0.25">
      <c r="B242" t="s">
        <v>153</v>
      </c>
      <c r="C242">
        <v>2201539</v>
      </c>
    </row>
    <row r="243" spans="2:6" x14ac:dyDescent="0.25">
      <c r="B243" t="s">
        <v>27</v>
      </c>
      <c r="C243" t="s">
        <v>20</v>
      </c>
      <c r="D243">
        <v>-0.9</v>
      </c>
      <c r="E243">
        <v>-0.3</v>
      </c>
      <c r="F243">
        <v>0</v>
      </c>
    </row>
    <row r="244" spans="2:6" x14ac:dyDescent="0.25">
      <c r="B244" t="s">
        <v>154</v>
      </c>
      <c r="C244">
        <v>2201547</v>
      </c>
    </row>
    <row r="245" spans="2:6" x14ac:dyDescent="0.25">
      <c r="B245" t="s">
        <v>145</v>
      </c>
      <c r="C245" t="s">
        <v>3</v>
      </c>
      <c r="D245">
        <v>0.5</v>
      </c>
      <c r="E245">
        <v>-0.9</v>
      </c>
      <c r="F245">
        <v>0</v>
      </c>
    </row>
    <row r="246" spans="2:6" x14ac:dyDescent="0.25">
      <c r="B246" t="s">
        <v>145</v>
      </c>
      <c r="C246" t="s">
        <v>4</v>
      </c>
      <c r="D246">
        <v>-0.5</v>
      </c>
      <c r="E246">
        <v>0.9</v>
      </c>
      <c r="F246">
        <v>0</v>
      </c>
    </row>
    <row r="247" spans="2:6" x14ac:dyDescent="0.25">
      <c r="B247" t="s">
        <v>146</v>
      </c>
      <c r="C247" t="s">
        <v>4</v>
      </c>
      <c r="D247">
        <v>-0.5</v>
      </c>
      <c r="E247">
        <v>0.9</v>
      </c>
      <c r="F247">
        <v>0</v>
      </c>
    </row>
    <row r="248" spans="2:6" x14ac:dyDescent="0.25">
      <c r="B248" t="s">
        <v>145</v>
      </c>
      <c r="C248" t="s">
        <v>4</v>
      </c>
      <c r="D248">
        <v>-0.5</v>
      </c>
      <c r="E248">
        <v>0.9</v>
      </c>
      <c r="F248">
        <v>0</v>
      </c>
    </row>
    <row r="249" spans="2:6" x14ac:dyDescent="0.25">
      <c r="B249" t="s">
        <v>145</v>
      </c>
      <c r="C249" t="s">
        <v>4</v>
      </c>
      <c r="D249">
        <v>-0.5</v>
      </c>
      <c r="E249">
        <v>0.9</v>
      </c>
      <c r="F249">
        <v>0</v>
      </c>
    </row>
    <row r="250" spans="2:6" x14ac:dyDescent="0.25">
      <c r="B250" t="s">
        <v>145</v>
      </c>
      <c r="C250" t="s">
        <v>4</v>
      </c>
      <c r="D250">
        <v>-0.5</v>
      </c>
      <c r="E250">
        <v>0.9</v>
      </c>
      <c r="F250">
        <v>0</v>
      </c>
    </row>
    <row r="251" spans="2:6" x14ac:dyDescent="0.25">
      <c r="B251" t="s">
        <v>155</v>
      </c>
      <c r="C251">
        <v>2217966</v>
      </c>
    </row>
    <row r="252" spans="2:6" x14ac:dyDescent="0.25">
      <c r="B252" t="s">
        <v>73</v>
      </c>
      <c r="C252" t="s">
        <v>7</v>
      </c>
      <c r="D252">
        <v>-0.9</v>
      </c>
      <c r="E252">
        <v>-0.5</v>
      </c>
      <c r="F252">
        <v>0</v>
      </c>
    </row>
    <row r="253" spans="2:6" x14ac:dyDescent="0.25">
      <c r="B253" t="s">
        <v>73</v>
      </c>
      <c r="C253" t="s">
        <v>7</v>
      </c>
      <c r="D253">
        <v>-0.9</v>
      </c>
      <c r="E253">
        <v>-0.5</v>
      </c>
      <c r="F253">
        <v>0</v>
      </c>
    </row>
    <row r="254" spans="2:6" x14ac:dyDescent="0.25">
      <c r="B254" t="s">
        <v>73</v>
      </c>
      <c r="C254" t="s">
        <v>7</v>
      </c>
      <c r="D254">
        <v>-0.9</v>
      </c>
      <c r="E254">
        <v>-0.5</v>
      </c>
      <c r="F254">
        <v>0</v>
      </c>
    </row>
    <row r="255" spans="2:6" x14ac:dyDescent="0.25">
      <c r="B255" t="s">
        <v>147</v>
      </c>
      <c r="C255">
        <v>2260983</v>
      </c>
    </row>
    <row r="256" spans="2:6" x14ac:dyDescent="0.25">
      <c r="B256" t="s">
        <v>36</v>
      </c>
      <c r="C256" t="s">
        <v>1</v>
      </c>
      <c r="D256">
        <v>-1</v>
      </c>
      <c r="E256">
        <v>-0.2</v>
      </c>
      <c r="F256">
        <v>0</v>
      </c>
    </row>
    <row r="257" spans="2:6" x14ac:dyDescent="0.25">
      <c r="B257" t="s">
        <v>156</v>
      </c>
      <c r="C257">
        <v>2260985</v>
      </c>
    </row>
    <row r="258" spans="2:6" x14ac:dyDescent="0.25">
      <c r="B258" t="s">
        <v>36</v>
      </c>
      <c r="C258" t="s">
        <v>1</v>
      </c>
      <c r="D258">
        <v>-1</v>
      </c>
      <c r="E258">
        <v>-0.2</v>
      </c>
      <c r="F258">
        <v>0</v>
      </c>
    </row>
    <row r="259" spans="2:6" x14ac:dyDescent="0.25">
      <c r="B259" t="s">
        <v>28</v>
      </c>
      <c r="C259" t="s">
        <v>1</v>
      </c>
      <c r="D259">
        <v>-1</v>
      </c>
      <c r="E259">
        <v>-0.2</v>
      </c>
      <c r="F259">
        <v>0</v>
      </c>
    </row>
    <row r="260" spans="2:6" x14ac:dyDescent="0.25">
      <c r="B260" t="s">
        <v>157</v>
      </c>
      <c r="C260">
        <v>2261470</v>
      </c>
    </row>
    <row r="261" spans="2:6" x14ac:dyDescent="0.25">
      <c r="B261" t="s">
        <v>27</v>
      </c>
      <c r="C261" t="s">
        <v>17</v>
      </c>
      <c r="D261">
        <v>-0.9</v>
      </c>
      <c r="E261">
        <v>-0.4</v>
      </c>
      <c r="F261">
        <v>0</v>
      </c>
    </row>
    <row r="262" spans="2:6" x14ac:dyDescent="0.25">
      <c r="B262" t="s">
        <v>36</v>
      </c>
      <c r="C262" t="s">
        <v>17</v>
      </c>
      <c r="D262">
        <v>-0.9</v>
      </c>
      <c r="E262">
        <v>-0.4</v>
      </c>
      <c r="F262">
        <v>0</v>
      </c>
    </row>
    <row r="263" spans="2:6" x14ac:dyDescent="0.25">
      <c r="B263" t="s">
        <v>27</v>
      </c>
      <c r="C263" t="s">
        <v>20</v>
      </c>
      <c r="D263">
        <v>-0.9</v>
      </c>
      <c r="E263">
        <v>-0.3</v>
      </c>
      <c r="F263">
        <v>0</v>
      </c>
    </row>
    <row r="264" spans="2:6" x14ac:dyDescent="0.25">
      <c r="B264" t="s">
        <v>27</v>
      </c>
      <c r="C264" t="s">
        <v>20</v>
      </c>
      <c r="D264">
        <v>-0.9</v>
      </c>
      <c r="E264">
        <v>-0.3</v>
      </c>
      <c r="F264">
        <v>0</v>
      </c>
    </row>
    <row r="265" spans="2:6" x14ac:dyDescent="0.25">
      <c r="B265" t="s">
        <v>36</v>
      </c>
      <c r="C265" t="s">
        <v>13</v>
      </c>
      <c r="D265">
        <v>0.8</v>
      </c>
      <c r="E265">
        <v>0.5</v>
      </c>
      <c r="F265">
        <v>0</v>
      </c>
    </row>
    <row r="266" spans="2:6" x14ac:dyDescent="0.25">
      <c r="B266" t="s">
        <v>27</v>
      </c>
      <c r="C266" t="s">
        <v>13</v>
      </c>
      <c r="D266">
        <v>0.8</v>
      </c>
      <c r="E266">
        <v>0.5</v>
      </c>
      <c r="F266">
        <v>0</v>
      </c>
    </row>
    <row r="267" spans="2:6" x14ac:dyDescent="0.25">
      <c r="B267" t="s">
        <v>27</v>
      </c>
      <c r="C267" t="s">
        <v>17</v>
      </c>
      <c r="D267">
        <v>-0.9</v>
      </c>
      <c r="E267">
        <v>-0.4</v>
      </c>
      <c r="F267">
        <v>0</v>
      </c>
    </row>
    <row r="268" spans="2:6" x14ac:dyDescent="0.25">
      <c r="B268" t="s">
        <v>27</v>
      </c>
      <c r="C268" t="s">
        <v>13</v>
      </c>
      <c r="D268">
        <v>0.8</v>
      </c>
      <c r="E268">
        <v>0.5</v>
      </c>
      <c r="F268">
        <v>0</v>
      </c>
    </row>
    <row r="269" spans="2:6" x14ac:dyDescent="0.25">
      <c r="B269" t="s">
        <v>27</v>
      </c>
      <c r="C269" t="s">
        <v>13</v>
      </c>
      <c r="D269">
        <v>0.8</v>
      </c>
      <c r="E269">
        <v>0.5</v>
      </c>
      <c r="F269">
        <v>0</v>
      </c>
    </row>
    <row r="270" spans="2:6" x14ac:dyDescent="0.25">
      <c r="B270" t="s">
        <v>158</v>
      </c>
      <c r="C270">
        <v>2261490</v>
      </c>
    </row>
    <row r="271" spans="2:6" x14ac:dyDescent="0.25">
      <c r="B271" t="s">
        <v>27</v>
      </c>
      <c r="C271" t="s">
        <v>17</v>
      </c>
      <c r="D271">
        <v>-0.9</v>
      </c>
      <c r="E271">
        <v>-0.4</v>
      </c>
      <c r="F271">
        <v>0</v>
      </c>
    </row>
    <row r="272" spans="2:6" x14ac:dyDescent="0.25">
      <c r="B272" t="s">
        <v>36</v>
      </c>
      <c r="C272" t="s">
        <v>17</v>
      </c>
      <c r="D272">
        <v>-0.9</v>
      </c>
      <c r="E272">
        <v>-0.4</v>
      </c>
      <c r="F272">
        <v>0</v>
      </c>
    </row>
    <row r="273" spans="2:6" x14ac:dyDescent="0.25">
      <c r="B273" t="s">
        <v>27</v>
      </c>
      <c r="C273" t="s">
        <v>20</v>
      </c>
      <c r="D273">
        <v>-0.9</v>
      </c>
      <c r="E273">
        <v>-0.3</v>
      </c>
      <c r="F273">
        <v>0</v>
      </c>
    </row>
    <row r="274" spans="2:6" x14ac:dyDescent="0.25">
      <c r="B274" t="s">
        <v>27</v>
      </c>
      <c r="C274" t="s">
        <v>20</v>
      </c>
      <c r="D274">
        <v>-0.9</v>
      </c>
      <c r="E274">
        <v>-0.3</v>
      </c>
      <c r="F274">
        <v>0</v>
      </c>
    </row>
    <row r="275" spans="2:6" x14ac:dyDescent="0.25">
      <c r="B275" t="s">
        <v>36</v>
      </c>
      <c r="C275" t="s">
        <v>13</v>
      </c>
      <c r="D275">
        <v>0.8</v>
      </c>
      <c r="E275">
        <v>0.5</v>
      </c>
      <c r="F275">
        <v>0</v>
      </c>
    </row>
    <row r="276" spans="2:6" x14ac:dyDescent="0.25">
      <c r="B276" t="s">
        <v>27</v>
      </c>
      <c r="C276" t="s">
        <v>13</v>
      </c>
      <c r="D276">
        <v>0.8</v>
      </c>
      <c r="E276">
        <v>0.5</v>
      </c>
      <c r="F276">
        <v>0</v>
      </c>
    </row>
    <row r="277" spans="2:6" x14ac:dyDescent="0.25">
      <c r="B277" t="s">
        <v>27</v>
      </c>
      <c r="C277" t="s">
        <v>17</v>
      </c>
      <c r="D277">
        <v>-0.9</v>
      </c>
      <c r="E277">
        <v>-0.4</v>
      </c>
      <c r="F277">
        <v>0</v>
      </c>
    </row>
    <row r="278" spans="2:6" x14ac:dyDescent="0.25">
      <c r="B278" t="s">
        <v>27</v>
      </c>
      <c r="C278" t="s">
        <v>13</v>
      </c>
      <c r="D278">
        <v>0.8</v>
      </c>
      <c r="E278">
        <v>0.5</v>
      </c>
      <c r="F278">
        <v>0</v>
      </c>
    </row>
    <row r="279" spans="2:6" x14ac:dyDescent="0.25">
      <c r="B279" t="s">
        <v>27</v>
      </c>
      <c r="C279" t="s">
        <v>13</v>
      </c>
      <c r="D279">
        <v>0.8</v>
      </c>
      <c r="E279">
        <v>0.5</v>
      </c>
      <c r="F279">
        <v>0</v>
      </c>
    </row>
    <row r="280" spans="2:6" x14ac:dyDescent="0.25">
      <c r="B280" t="s">
        <v>159</v>
      </c>
      <c r="C280">
        <v>2261494</v>
      </c>
    </row>
    <row r="281" spans="2:6" x14ac:dyDescent="0.25">
      <c r="B281" t="s">
        <v>47</v>
      </c>
      <c r="C281" t="s">
        <v>1</v>
      </c>
      <c r="D281">
        <v>-1</v>
      </c>
      <c r="E281">
        <v>-0.2</v>
      </c>
      <c r="F281">
        <v>0</v>
      </c>
    </row>
    <row r="282" spans="2:6" x14ac:dyDescent="0.25">
      <c r="B282" t="s">
        <v>47</v>
      </c>
      <c r="C282" t="s">
        <v>1</v>
      </c>
      <c r="D282">
        <v>-1</v>
      </c>
      <c r="E282">
        <v>-0.2</v>
      </c>
      <c r="F282">
        <v>0</v>
      </c>
    </row>
    <row r="283" spans="2:6" x14ac:dyDescent="0.25">
      <c r="B283" t="s">
        <v>47</v>
      </c>
      <c r="C283" t="s">
        <v>1</v>
      </c>
      <c r="D283">
        <v>-1</v>
      </c>
      <c r="E283">
        <v>-0.2</v>
      </c>
      <c r="F283">
        <v>0</v>
      </c>
    </row>
    <row r="284" spans="2:6" x14ac:dyDescent="0.25">
      <c r="B284" t="s">
        <v>148</v>
      </c>
      <c r="C284">
        <v>2266943</v>
      </c>
    </row>
    <row r="285" spans="2:6" x14ac:dyDescent="0.25">
      <c r="B285" t="s">
        <v>30</v>
      </c>
      <c r="C285" t="s">
        <v>1</v>
      </c>
      <c r="D285">
        <v>-1</v>
      </c>
      <c r="E285">
        <v>-0.2</v>
      </c>
      <c r="F285">
        <v>0</v>
      </c>
    </row>
    <row r="286" spans="2:6" x14ac:dyDescent="0.25">
      <c r="B286" t="s">
        <v>54</v>
      </c>
      <c r="C286" t="s">
        <v>117</v>
      </c>
      <c r="D286">
        <v>0.5</v>
      </c>
      <c r="E286">
        <v>-0.9</v>
      </c>
      <c r="F286">
        <v>0</v>
      </c>
    </row>
    <row r="287" spans="2:6" x14ac:dyDescent="0.25">
      <c r="B287" t="s">
        <v>54</v>
      </c>
      <c r="C287" t="s">
        <v>117</v>
      </c>
      <c r="D287">
        <v>0.5</v>
      </c>
      <c r="E287">
        <v>-0.9</v>
      </c>
      <c r="F287">
        <v>0</v>
      </c>
    </row>
    <row r="288" spans="2:6" x14ac:dyDescent="0.25">
      <c r="B288" t="s">
        <v>54</v>
      </c>
      <c r="C288" t="s">
        <v>117</v>
      </c>
      <c r="D288">
        <v>0.5</v>
      </c>
      <c r="E288">
        <v>-0.9</v>
      </c>
      <c r="F288">
        <v>0</v>
      </c>
    </row>
    <row r="289" spans="2:6" x14ac:dyDescent="0.25">
      <c r="B289" t="s">
        <v>53</v>
      </c>
      <c r="C289" t="s">
        <v>3</v>
      </c>
      <c r="D289">
        <v>0.5</v>
      </c>
      <c r="E289">
        <v>-0.9</v>
      </c>
      <c r="F289">
        <v>0</v>
      </c>
    </row>
    <row r="290" spans="2:6" x14ac:dyDescent="0.25">
      <c r="B290" t="s">
        <v>53</v>
      </c>
      <c r="C290" t="s">
        <v>3</v>
      </c>
      <c r="D290">
        <v>0.5</v>
      </c>
      <c r="E290">
        <v>-0.9</v>
      </c>
      <c r="F290">
        <v>0</v>
      </c>
    </row>
    <row r="291" spans="2:6" x14ac:dyDescent="0.25">
      <c r="B291" t="s">
        <v>54</v>
      </c>
      <c r="C291" t="s">
        <v>3</v>
      </c>
      <c r="D291">
        <v>0.5</v>
      </c>
      <c r="E291">
        <v>-0.9</v>
      </c>
      <c r="F291">
        <v>0</v>
      </c>
    </row>
    <row r="292" spans="2:6" x14ac:dyDescent="0.25">
      <c r="B292" t="s">
        <v>54</v>
      </c>
      <c r="C292" t="s">
        <v>3</v>
      </c>
      <c r="D292">
        <v>0.5</v>
      </c>
      <c r="E292">
        <v>-0.9</v>
      </c>
      <c r="F292">
        <v>0</v>
      </c>
    </row>
    <row r="293" spans="2:6" x14ac:dyDescent="0.25">
      <c r="B293" t="s">
        <v>53</v>
      </c>
      <c r="C293" t="s">
        <v>3</v>
      </c>
      <c r="D293">
        <v>0.5</v>
      </c>
      <c r="E293">
        <v>-0.9</v>
      </c>
      <c r="F293">
        <v>0</v>
      </c>
    </row>
    <row r="294" spans="2:6" x14ac:dyDescent="0.25">
      <c r="B294" t="s">
        <v>54</v>
      </c>
      <c r="C294" t="s">
        <v>3</v>
      </c>
      <c r="D294">
        <v>0.5</v>
      </c>
      <c r="E294">
        <v>-0.9</v>
      </c>
      <c r="F294">
        <v>0</v>
      </c>
    </row>
    <row r="295" spans="2:6" x14ac:dyDescent="0.25">
      <c r="B295" t="s">
        <v>54</v>
      </c>
      <c r="C295" t="s">
        <v>3</v>
      </c>
      <c r="D295">
        <v>0.5</v>
      </c>
      <c r="E295">
        <v>-0.9</v>
      </c>
      <c r="F295">
        <v>0</v>
      </c>
    </row>
    <row r="296" spans="2:6" x14ac:dyDescent="0.25">
      <c r="B296" t="s">
        <v>149</v>
      </c>
      <c r="C296">
        <v>2285686</v>
      </c>
    </row>
    <row r="297" spans="2:6" x14ac:dyDescent="0.25">
      <c r="B297" t="s">
        <v>33</v>
      </c>
      <c r="C297" t="s">
        <v>13</v>
      </c>
      <c r="D297">
        <v>0.8</v>
      </c>
      <c r="E297">
        <v>0.5</v>
      </c>
      <c r="F297">
        <v>0</v>
      </c>
    </row>
    <row r="298" spans="2:6" x14ac:dyDescent="0.25">
      <c r="B298" t="s">
        <v>160</v>
      </c>
      <c r="C298">
        <v>2286838</v>
      </c>
    </row>
    <row r="299" spans="2:6" x14ac:dyDescent="0.25">
      <c r="B299" t="s">
        <v>53</v>
      </c>
      <c r="C299" t="s">
        <v>5</v>
      </c>
      <c r="D299">
        <v>0.2</v>
      </c>
      <c r="E299">
        <v>-1</v>
      </c>
      <c r="F299">
        <v>0</v>
      </c>
    </row>
    <row r="300" spans="2:6" x14ac:dyDescent="0.25">
      <c r="B300" t="s">
        <v>161</v>
      </c>
      <c r="C300">
        <v>2415409</v>
      </c>
    </row>
    <row r="301" spans="2:6" x14ac:dyDescent="0.25">
      <c r="B301" t="s">
        <v>36</v>
      </c>
      <c r="C301" t="s">
        <v>13</v>
      </c>
      <c r="D301">
        <v>0.8</v>
      </c>
      <c r="E301">
        <v>0.5</v>
      </c>
      <c r="F301">
        <v>0</v>
      </c>
    </row>
    <row r="302" spans="2:6" x14ac:dyDescent="0.25">
      <c r="B302" t="s">
        <v>27</v>
      </c>
      <c r="C302" t="s">
        <v>13</v>
      </c>
      <c r="D302">
        <v>0.8</v>
      </c>
      <c r="E302">
        <v>0.5</v>
      </c>
      <c r="F302">
        <v>0</v>
      </c>
    </row>
    <row r="303" spans="2:6" x14ac:dyDescent="0.25">
      <c r="B303" t="s">
        <v>162</v>
      </c>
      <c r="C303">
        <v>2464044</v>
      </c>
    </row>
    <row r="304" spans="2:6" x14ac:dyDescent="0.25">
      <c r="B304" t="s">
        <v>30</v>
      </c>
      <c r="C304" t="s">
        <v>1</v>
      </c>
      <c r="D304">
        <v>-1</v>
      </c>
      <c r="E304">
        <v>-0.2</v>
      </c>
      <c r="F304">
        <v>0</v>
      </c>
    </row>
    <row r="305" spans="2:6" x14ac:dyDescent="0.25">
      <c r="B305" t="s">
        <v>150</v>
      </c>
      <c r="C305">
        <v>2465328</v>
      </c>
    </row>
    <row r="306" spans="2:6" x14ac:dyDescent="0.25">
      <c r="B306" t="s">
        <v>28</v>
      </c>
      <c r="C306" t="s">
        <v>1</v>
      </c>
      <c r="D306">
        <v>-1</v>
      </c>
      <c r="E306">
        <v>-0.2</v>
      </c>
      <c r="F306">
        <v>0</v>
      </c>
    </row>
    <row r="307" spans="2:6" x14ac:dyDescent="0.25">
      <c r="B307" t="s">
        <v>163</v>
      </c>
      <c r="C307">
        <v>2465329</v>
      </c>
    </row>
    <row r="308" spans="2:6" x14ac:dyDescent="0.25">
      <c r="B308" t="s">
        <v>28</v>
      </c>
      <c r="C308" t="s">
        <v>1</v>
      </c>
      <c r="D308">
        <v>-1</v>
      </c>
      <c r="E308">
        <v>-0.2</v>
      </c>
      <c r="F308">
        <v>0</v>
      </c>
    </row>
    <row r="309" spans="2:6" x14ac:dyDescent="0.25">
      <c r="B309" t="s">
        <v>151</v>
      </c>
      <c r="C309">
        <v>2465333</v>
      </c>
    </row>
    <row r="310" spans="2:6" x14ac:dyDescent="0.25">
      <c r="B310" t="s">
        <v>30</v>
      </c>
      <c r="C310" t="s">
        <v>1</v>
      </c>
      <c r="D310">
        <v>-1</v>
      </c>
      <c r="E310">
        <v>-0.2</v>
      </c>
      <c r="F310">
        <v>0</v>
      </c>
    </row>
    <row r="311" spans="2:6" x14ac:dyDescent="0.25">
      <c r="B311" t="s">
        <v>33</v>
      </c>
      <c r="C311" t="s">
        <v>1</v>
      </c>
      <c r="D311">
        <v>-1</v>
      </c>
      <c r="E311">
        <v>-0.2</v>
      </c>
      <c r="F311">
        <v>0</v>
      </c>
    </row>
    <row r="312" spans="2:6" x14ac:dyDescent="0.25">
      <c r="B312" t="s">
        <v>152</v>
      </c>
      <c r="C312">
        <v>2465336</v>
      </c>
    </row>
    <row r="313" spans="2:6" x14ac:dyDescent="0.25">
      <c r="B313" t="s">
        <v>36</v>
      </c>
      <c r="C313" t="s">
        <v>1</v>
      </c>
      <c r="D313">
        <v>-1</v>
      </c>
      <c r="E313">
        <v>-0.2</v>
      </c>
      <c r="F313">
        <v>0</v>
      </c>
    </row>
    <row r="314" spans="2:6" x14ac:dyDescent="0.25">
      <c r="B314" t="s">
        <v>164</v>
      </c>
      <c r="C314">
        <v>2465337</v>
      </c>
    </row>
    <row r="315" spans="2:6" x14ac:dyDescent="0.25">
      <c r="B315" t="s">
        <v>33</v>
      </c>
      <c r="C315" t="s">
        <v>1</v>
      </c>
      <c r="D315">
        <v>-1</v>
      </c>
      <c r="E315">
        <v>-0.2</v>
      </c>
      <c r="F315">
        <v>0</v>
      </c>
    </row>
    <row r="316" spans="2:6" x14ac:dyDescent="0.25">
      <c r="B316" t="s">
        <v>33</v>
      </c>
      <c r="C316" t="s">
        <v>1</v>
      </c>
      <c r="D316">
        <v>-1</v>
      </c>
      <c r="E316">
        <v>-0.2</v>
      </c>
      <c r="F316">
        <v>0</v>
      </c>
    </row>
    <row r="317" spans="2:6" x14ac:dyDescent="0.25">
      <c r="B317" t="s">
        <v>165</v>
      </c>
      <c r="C317">
        <v>2465338</v>
      </c>
    </row>
    <row r="318" spans="2:6" x14ac:dyDescent="0.25">
      <c r="B318" t="s">
        <v>28</v>
      </c>
      <c r="C318" t="s">
        <v>1</v>
      </c>
      <c r="D318">
        <v>-1</v>
      </c>
      <c r="E318">
        <v>-0.2</v>
      </c>
      <c r="F318">
        <v>0</v>
      </c>
    </row>
    <row r="319" spans="2:6" x14ac:dyDescent="0.25">
      <c r="B319" t="s">
        <v>166</v>
      </c>
      <c r="C319">
        <v>2465339</v>
      </c>
    </row>
    <row r="320" spans="2:6" x14ac:dyDescent="0.25">
      <c r="B320" t="s">
        <v>30</v>
      </c>
      <c r="C320" t="s">
        <v>1</v>
      </c>
      <c r="D320">
        <v>-1</v>
      </c>
      <c r="E320">
        <v>-0.2</v>
      </c>
      <c r="F320">
        <v>0</v>
      </c>
    </row>
    <row r="321" spans="2:6" x14ac:dyDescent="0.25">
      <c r="B321" t="s">
        <v>167</v>
      </c>
      <c r="C321">
        <v>2465340</v>
      </c>
    </row>
    <row r="322" spans="2:6" x14ac:dyDescent="0.25">
      <c r="B322" t="s">
        <v>27</v>
      </c>
      <c r="C322" t="s">
        <v>2</v>
      </c>
      <c r="D322">
        <v>1</v>
      </c>
      <c r="E322">
        <v>0.2</v>
      </c>
      <c r="F322">
        <v>0</v>
      </c>
    </row>
    <row r="323" spans="2:6" x14ac:dyDescent="0.25">
      <c r="B323" t="s">
        <v>27</v>
      </c>
      <c r="C323" t="s">
        <v>2</v>
      </c>
      <c r="D323">
        <v>1</v>
      </c>
      <c r="E323">
        <v>0.2</v>
      </c>
      <c r="F323">
        <v>0</v>
      </c>
    </row>
    <row r="324" spans="2:6" x14ac:dyDescent="0.25">
      <c r="B324" t="s">
        <v>168</v>
      </c>
      <c r="C324">
        <v>2465341</v>
      </c>
    </row>
    <row r="325" spans="2:6" x14ac:dyDescent="0.25">
      <c r="B325" t="s">
        <v>36</v>
      </c>
      <c r="C325" t="s">
        <v>17</v>
      </c>
      <c r="D325">
        <v>-0.9</v>
      </c>
      <c r="E325">
        <v>-0.4</v>
      </c>
      <c r="F325">
        <v>0</v>
      </c>
    </row>
    <row r="326" spans="2:6" x14ac:dyDescent="0.25">
      <c r="B326" t="s">
        <v>169</v>
      </c>
      <c r="C326">
        <v>2812503</v>
      </c>
    </row>
    <row r="327" spans="2:6" x14ac:dyDescent="0.25">
      <c r="B327" t="s">
        <v>145</v>
      </c>
      <c r="C327" t="s">
        <v>3</v>
      </c>
      <c r="D327">
        <v>0.5</v>
      </c>
      <c r="E327">
        <v>-0.9</v>
      </c>
      <c r="F327">
        <v>0</v>
      </c>
    </row>
    <row r="328" spans="2:6" x14ac:dyDescent="0.25">
      <c r="B328" t="s">
        <v>145</v>
      </c>
      <c r="C328" t="s">
        <v>4</v>
      </c>
      <c r="D328">
        <v>-0.5</v>
      </c>
      <c r="E328">
        <v>0.9</v>
      </c>
      <c r="F328">
        <v>0</v>
      </c>
    </row>
    <row r="329" spans="2:6" x14ac:dyDescent="0.25">
      <c r="B329" t="s">
        <v>146</v>
      </c>
      <c r="C329" t="s">
        <v>4</v>
      </c>
      <c r="D329">
        <v>-0.5</v>
      </c>
      <c r="E329">
        <v>0.9</v>
      </c>
      <c r="F329">
        <v>0</v>
      </c>
    </row>
    <row r="330" spans="2:6" x14ac:dyDescent="0.25">
      <c r="B330" t="s">
        <v>73</v>
      </c>
      <c r="C330" t="s">
        <v>7</v>
      </c>
      <c r="D330">
        <v>-0.9</v>
      </c>
      <c r="E330">
        <v>-0.5</v>
      </c>
      <c r="F330">
        <v>0</v>
      </c>
    </row>
    <row r="331" spans="2:6" x14ac:dyDescent="0.25">
      <c r="B331" t="s">
        <v>73</v>
      </c>
      <c r="C331" t="s">
        <v>7</v>
      </c>
      <c r="D331">
        <v>-0.9</v>
      </c>
      <c r="E331">
        <v>-0.5</v>
      </c>
      <c r="F331">
        <v>0</v>
      </c>
    </row>
    <row r="332" spans="2:6" x14ac:dyDescent="0.25">
      <c r="B332" t="s">
        <v>73</v>
      </c>
      <c r="C332" t="s">
        <v>7</v>
      </c>
      <c r="D332">
        <v>-0.9</v>
      </c>
      <c r="E332">
        <v>-0.5</v>
      </c>
      <c r="F332">
        <v>0</v>
      </c>
    </row>
    <row r="333" spans="2:6" x14ac:dyDescent="0.25">
      <c r="B333" t="s">
        <v>145</v>
      </c>
      <c r="C333" t="s">
        <v>4</v>
      </c>
      <c r="D333">
        <v>-0.5</v>
      </c>
      <c r="E333">
        <v>0.9</v>
      </c>
      <c r="F333">
        <v>0</v>
      </c>
    </row>
    <row r="334" spans="2:6" x14ac:dyDescent="0.25">
      <c r="B334" t="s">
        <v>145</v>
      </c>
      <c r="C334" t="s">
        <v>4</v>
      </c>
      <c r="D334">
        <v>-0.5</v>
      </c>
      <c r="E334">
        <v>0.9</v>
      </c>
      <c r="F334">
        <v>0</v>
      </c>
    </row>
    <row r="335" spans="2:6" x14ac:dyDescent="0.25">
      <c r="B335" t="s">
        <v>73</v>
      </c>
      <c r="C335" t="s">
        <v>74</v>
      </c>
      <c r="D335">
        <v>0.9</v>
      </c>
      <c r="E335">
        <v>0.5</v>
      </c>
      <c r="F335">
        <v>0</v>
      </c>
    </row>
    <row r="336" spans="2:6" x14ac:dyDescent="0.25">
      <c r="B336" t="s">
        <v>145</v>
      </c>
      <c r="C336" t="s">
        <v>4</v>
      </c>
      <c r="D336">
        <v>-0.5</v>
      </c>
      <c r="E336">
        <v>0.9</v>
      </c>
      <c r="F336">
        <v>0</v>
      </c>
    </row>
  </sheetData>
  <customSheetViews>
    <customSheetView guid="{561E68F6-21E3-461A-ACB1-9392AEDA3331}" topLeftCell="A304">
      <selection activeCell="I32" sqref="I32"/>
      <pageMargins left="0.7" right="0.7" top="0.75" bottom="0.75" header="0.3" footer="0.3"/>
    </customSheetView>
    <customSheetView guid="{2A8AA8A9-D849-43BE-B128-2DCE8081808F}">
      <pageMargins left="0.7" right="0.7" top="0.75" bottom="0.75" header="0.3" footer="0.3"/>
    </customSheetView>
    <customSheetView guid="{E07775A8-4E8E-4F0F-ABD4-8C1611285DFF}" topLeftCell="A304">
      <selection activeCell="I32" sqref="I3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708"/>
  <sheetViews>
    <sheetView topLeftCell="A218" workbookViewId="0">
      <selection activeCell="A219" sqref="A219:XFD219"/>
    </sheetView>
  </sheetViews>
  <sheetFormatPr defaultRowHeight="15" x14ac:dyDescent="0.25"/>
  <cols>
    <col min="2" max="2" width="92.5703125" bestFit="1" customWidth="1"/>
    <col min="3" max="3" width="15.28515625" customWidth="1"/>
  </cols>
  <sheetData>
    <row r="2" spans="2:7" x14ac:dyDescent="0.25">
      <c r="B2" t="s">
        <v>170</v>
      </c>
      <c r="C2">
        <v>1874567</v>
      </c>
    </row>
    <row r="3" spans="2:7" x14ac:dyDescent="0.25">
      <c r="B3" t="s">
        <v>803</v>
      </c>
      <c r="C3" t="s">
        <v>2</v>
      </c>
      <c r="D3">
        <v>1</v>
      </c>
      <c r="E3">
        <v>0.2</v>
      </c>
      <c r="F3">
        <v>0</v>
      </c>
      <c r="G3">
        <v>5285747</v>
      </c>
    </row>
    <row r="4" spans="2:7" x14ac:dyDescent="0.25">
      <c r="B4" t="s">
        <v>171</v>
      </c>
      <c r="C4">
        <v>1874575</v>
      </c>
    </row>
    <row r="5" spans="2:7" x14ac:dyDescent="0.25">
      <c r="B5" t="s">
        <v>803</v>
      </c>
      <c r="C5" t="s">
        <v>845</v>
      </c>
      <c r="D5">
        <v>1</v>
      </c>
      <c r="E5">
        <v>-0.2</v>
      </c>
      <c r="F5">
        <v>0</v>
      </c>
      <c r="G5">
        <v>5209716</v>
      </c>
    </row>
    <row r="6" spans="2:7" x14ac:dyDescent="0.25">
      <c r="B6" t="s">
        <v>173</v>
      </c>
      <c r="C6">
        <v>1874601</v>
      </c>
    </row>
    <row r="7" spans="2:7" x14ac:dyDescent="0.25">
      <c r="B7" t="s">
        <v>31</v>
      </c>
      <c r="C7" t="s">
        <v>5</v>
      </c>
      <c r="D7">
        <v>0.2</v>
      </c>
      <c r="E7">
        <v>-1</v>
      </c>
      <c r="F7">
        <v>0</v>
      </c>
      <c r="G7">
        <v>4807556</v>
      </c>
    </row>
    <row r="8" spans="2:7" x14ac:dyDescent="0.25">
      <c r="B8" t="s">
        <v>27</v>
      </c>
      <c r="C8" t="s">
        <v>5</v>
      </c>
      <c r="D8">
        <v>0.2</v>
      </c>
      <c r="E8">
        <v>-1</v>
      </c>
      <c r="F8">
        <v>0</v>
      </c>
      <c r="G8">
        <v>4807660</v>
      </c>
    </row>
    <row r="9" spans="2:7" x14ac:dyDescent="0.25">
      <c r="B9" t="s">
        <v>174</v>
      </c>
      <c r="C9">
        <v>1874611</v>
      </c>
    </row>
    <row r="10" spans="2:7" x14ac:dyDescent="0.25">
      <c r="B10" t="s">
        <v>30</v>
      </c>
      <c r="C10" t="s">
        <v>5</v>
      </c>
      <c r="D10">
        <v>0.2</v>
      </c>
      <c r="E10">
        <v>-1</v>
      </c>
      <c r="F10">
        <v>0</v>
      </c>
      <c r="G10">
        <v>5148730</v>
      </c>
    </row>
    <row r="11" spans="2:7" x14ac:dyDescent="0.25">
      <c r="B11" t="s">
        <v>175</v>
      </c>
      <c r="C11">
        <v>1874621</v>
      </c>
    </row>
    <row r="12" spans="2:7" x14ac:dyDescent="0.25">
      <c r="B12" t="s">
        <v>30</v>
      </c>
      <c r="C12" t="s">
        <v>5</v>
      </c>
      <c r="D12">
        <v>0.2</v>
      </c>
      <c r="E12">
        <v>-1</v>
      </c>
      <c r="F12">
        <v>0</v>
      </c>
      <c r="G12">
        <v>4807590</v>
      </c>
    </row>
    <row r="13" spans="2:7" x14ac:dyDescent="0.25">
      <c r="B13" t="s">
        <v>176</v>
      </c>
      <c r="C13">
        <v>1874623</v>
      </c>
    </row>
    <row r="14" spans="2:7" x14ac:dyDescent="0.25">
      <c r="B14" t="s">
        <v>31</v>
      </c>
      <c r="C14" t="s">
        <v>5</v>
      </c>
      <c r="D14">
        <v>0.2</v>
      </c>
      <c r="E14">
        <v>-1</v>
      </c>
      <c r="F14">
        <v>0</v>
      </c>
      <c r="G14">
        <v>4807632</v>
      </c>
    </row>
    <row r="15" spans="2:7" x14ac:dyDescent="0.25">
      <c r="B15" t="s">
        <v>177</v>
      </c>
      <c r="C15">
        <v>1874629</v>
      </c>
    </row>
    <row r="16" spans="2:7" x14ac:dyDescent="0.25">
      <c r="B16" t="s">
        <v>31</v>
      </c>
      <c r="C16" t="s">
        <v>846</v>
      </c>
      <c r="D16">
        <v>-1</v>
      </c>
      <c r="E16">
        <v>0.1</v>
      </c>
      <c r="F16">
        <v>0</v>
      </c>
      <c r="G16">
        <v>4801883</v>
      </c>
    </row>
    <row r="17" spans="2:8" x14ac:dyDescent="0.25">
      <c r="B17" s="14" t="s">
        <v>787</v>
      </c>
      <c r="C17" s="14" t="s">
        <v>794</v>
      </c>
      <c r="D17" s="14">
        <v>0</v>
      </c>
      <c r="E17" s="14">
        <v>-1</v>
      </c>
      <c r="F17" s="14">
        <v>0</v>
      </c>
      <c r="G17">
        <v>5013541</v>
      </c>
      <c r="H17" t="s">
        <v>1049</v>
      </c>
    </row>
    <row r="18" spans="2:8" x14ac:dyDescent="0.25">
      <c r="B18" s="14" t="s">
        <v>787</v>
      </c>
      <c r="C18" s="14" t="s">
        <v>794</v>
      </c>
      <c r="D18" s="14">
        <v>0</v>
      </c>
      <c r="E18" s="14">
        <v>-1</v>
      </c>
      <c r="F18" s="14">
        <v>0</v>
      </c>
      <c r="G18">
        <v>5207354</v>
      </c>
      <c r="H18" t="s">
        <v>1049</v>
      </c>
    </row>
    <row r="19" spans="2:8" x14ac:dyDescent="0.25">
      <c r="B19" s="14" t="s">
        <v>1059</v>
      </c>
      <c r="C19" s="14" t="s">
        <v>794</v>
      </c>
      <c r="D19" s="14">
        <v>0</v>
      </c>
      <c r="E19" s="14">
        <v>-1</v>
      </c>
      <c r="F19" s="14">
        <v>0</v>
      </c>
      <c r="G19">
        <v>4980912</v>
      </c>
      <c r="H19" t="s">
        <v>1053</v>
      </c>
    </row>
    <row r="20" spans="2:8" x14ac:dyDescent="0.25">
      <c r="B20" t="s">
        <v>179</v>
      </c>
      <c r="C20">
        <v>1874631</v>
      </c>
    </row>
    <row r="21" spans="2:8" x14ac:dyDescent="0.25">
      <c r="B21" t="s">
        <v>30</v>
      </c>
      <c r="C21" t="s">
        <v>793</v>
      </c>
      <c r="D21">
        <v>0</v>
      </c>
      <c r="E21">
        <v>1</v>
      </c>
      <c r="F21">
        <v>0</v>
      </c>
      <c r="G21">
        <v>4809058</v>
      </c>
    </row>
    <row r="22" spans="2:8" x14ac:dyDescent="0.25">
      <c r="B22" t="s">
        <v>180</v>
      </c>
      <c r="C22">
        <v>1874643</v>
      </c>
    </row>
    <row r="23" spans="2:8" x14ac:dyDescent="0.25">
      <c r="B23" t="s">
        <v>31</v>
      </c>
      <c r="C23" t="s">
        <v>847</v>
      </c>
      <c r="D23">
        <v>-1</v>
      </c>
      <c r="E23">
        <v>-0.1</v>
      </c>
      <c r="F23">
        <v>0</v>
      </c>
      <c r="G23">
        <v>4849069</v>
      </c>
    </row>
    <row r="24" spans="2:8" x14ac:dyDescent="0.25">
      <c r="B24" t="s">
        <v>38</v>
      </c>
      <c r="C24" t="s">
        <v>5</v>
      </c>
      <c r="D24">
        <v>0.2</v>
      </c>
      <c r="E24">
        <v>-1</v>
      </c>
      <c r="F24">
        <v>0</v>
      </c>
      <c r="G24">
        <v>5009732</v>
      </c>
    </row>
    <row r="25" spans="2:8" x14ac:dyDescent="0.25">
      <c r="B25" t="s">
        <v>182</v>
      </c>
      <c r="C25">
        <v>1874657</v>
      </c>
    </row>
    <row r="26" spans="2:8" x14ac:dyDescent="0.25">
      <c r="B26" t="s">
        <v>33</v>
      </c>
      <c r="C26" t="s">
        <v>6</v>
      </c>
      <c r="D26">
        <v>-0.2</v>
      </c>
      <c r="E26">
        <v>1</v>
      </c>
      <c r="F26">
        <v>0</v>
      </c>
      <c r="G26">
        <v>4819123</v>
      </c>
    </row>
    <row r="27" spans="2:8" x14ac:dyDescent="0.25">
      <c r="B27" t="s">
        <v>183</v>
      </c>
      <c r="C27">
        <v>1874659</v>
      </c>
    </row>
    <row r="28" spans="2:8" x14ac:dyDescent="0.25">
      <c r="B28" t="s">
        <v>30</v>
      </c>
      <c r="C28" t="s">
        <v>6</v>
      </c>
      <c r="D28">
        <v>-0.2</v>
      </c>
      <c r="E28">
        <v>1</v>
      </c>
      <c r="F28">
        <v>0</v>
      </c>
      <c r="G28">
        <v>4818309</v>
      </c>
    </row>
    <row r="29" spans="2:8" x14ac:dyDescent="0.25">
      <c r="B29" t="s">
        <v>184</v>
      </c>
      <c r="C29">
        <v>1874661</v>
      </c>
    </row>
    <row r="30" spans="2:8" x14ac:dyDescent="0.25">
      <c r="B30" t="s">
        <v>30</v>
      </c>
      <c r="C30" t="s">
        <v>6</v>
      </c>
      <c r="D30">
        <v>-0.2</v>
      </c>
      <c r="E30">
        <v>1</v>
      </c>
      <c r="F30">
        <v>0</v>
      </c>
      <c r="G30">
        <v>4820659</v>
      </c>
    </row>
    <row r="31" spans="2:8" x14ac:dyDescent="0.25">
      <c r="B31" t="s">
        <v>185</v>
      </c>
      <c r="C31">
        <v>1874667</v>
      </c>
    </row>
    <row r="32" spans="2:8" x14ac:dyDescent="0.25">
      <c r="B32" t="s">
        <v>31</v>
      </c>
      <c r="C32" t="s">
        <v>6</v>
      </c>
      <c r="D32">
        <v>-0.2</v>
      </c>
      <c r="E32">
        <v>1</v>
      </c>
      <c r="F32">
        <v>0</v>
      </c>
      <c r="G32">
        <v>4819222</v>
      </c>
    </row>
    <row r="33" spans="2:7" x14ac:dyDescent="0.25">
      <c r="B33" t="s">
        <v>33</v>
      </c>
      <c r="C33" t="s">
        <v>6</v>
      </c>
      <c r="D33">
        <v>-0.2</v>
      </c>
      <c r="E33">
        <v>1</v>
      </c>
      <c r="F33">
        <v>0</v>
      </c>
      <c r="G33">
        <v>4819792</v>
      </c>
    </row>
    <row r="34" spans="2:7" x14ac:dyDescent="0.25">
      <c r="B34" t="s">
        <v>186</v>
      </c>
      <c r="C34">
        <v>1874669</v>
      </c>
    </row>
    <row r="35" spans="2:7" x14ac:dyDescent="0.25">
      <c r="B35" t="s">
        <v>33</v>
      </c>
      <c r="C35" t="s">
        <v>6</v>
      </c>
      <c r="D35">
        <v>-0.2</v>
      </c>
      <c r="E35">
        <v>1</v>
      </c>
      <c r="F35">
        <v>0</v>
      </c>
      <c r="G35">
        <v>4819373</v>
      </c>
    </row>
    <row r="36" spans="2:7" x14ac:dyDescent="0.25">
      <c r="B36" t="s">
        <v>187</v>
      </c>
      <c r="C36">
        <v>1874671</v>
      </c>
    </row>
    <row r="37" spans="2:7" x14ac:dyDescent="0.25">
      <c r="B37" t="s">
        <v>31</v>
      </c>
      <c r="C37" t="s">
        <v>6</v>
      </c>
      <c r="D37">
        <v>-0.2</v>
      </c>
      <c r="E37">
        <v>1</v>
      </c>
      <c r="F37">
        <v>0</v>
      </c>
      <c r="G37">
        <v>4817721</v>
      </c>
    </row>
    <row r="38" spans="2:7" x14ac:dyDescent="0.25">
      <c r="B38" t="s">
        <v>33</v>
      </c>
      <c r="C38" t="s">
        <v>6</v>
      </c>
      <c r="D38">
        <v>-0.2</v>
      </c>
      <c r="E38">
        <v>1</v>
      </c>
      <c r="F38">
        <v>0</v>
      </c>
      <c r="G38">
        <v>4818070</v>
      </c>
    </row>
    <row r="39" spans="2:7" x14ac:dyDescent="0.25">
      <c r="B39" t="s">
        <v>848</v>
      </c>
      <c r="C39">
        <v>1874679</v>
      </c>
    </row>
    <row r="40" spans="2:7" x14ac:dyDescent="0.25">
      <c r="B40" t="s">
        <v>30</v>
      </c>
      <c r="C40" t="s">
        <v>794</v>
      </c>
      <c r="D40">
        <v>0</v>
      </c>
      <c r="E40">
        <v>-1</v>
      </c>
      <c r="F40">
        <v>0</v>
      </c>
      <c r="G40">
        <v>4809842</v>
      </c>
    </row>
    <row r="41" spans="2:7" x14ac:dyDescent="0.25">
      <c r="B41" t="s">
        <v>189</v>
      </c>
      <c r="C41">
        <v>1874681</v>
      </c>
    </row>
    <row r="42" spans="2:7" x14ac:dyDescent="0.25">
      <c r="B42" t="s">
        <v>30</v>
      </c>
      <c r="C42" t="s">
        <v>794</v>
      </c>
      <c r="D42">
        <v>0</v>
      </c>
      <c r="E42">
        <v>-1</v>
      </c>
      <c r="F42">
        <v>0</v>
      </c>
      <c r="G42">
        <v>5148488</v>
      </c>
    </row>
    <row r="43" spans="2:7" x14ac:dyDescent="0.25">
      <c r="B43" t="s">
        <v>190</v>
      </c>
      <c r="C43">
        <v>1874683</v>
      </c>
    </row>
    <row r="44" spans="2:7" x14ac:dyDescent="0.25">
      <c r="B44" t="s">
        <v>31</v>
      </c>
      <c r="C44" t="s">
        <v>6</v>
      </c>
      <c r="D44">
        <v>-0.2</v>
      </c>
      <c r="E44">
        <v>1</v>
      </c>
      <c r="F44">
        <v>0</v>
      </c>
      <c r="G44">
        <v>4821549</v>
      </c>
    </row>
    <row r="45" spans="2:7" x14ac:dyDescent="0.25">
      <c r="B45" t="s">
        <v>191</v>
      </c>
      <c r="C45">
        <v>1874687</v>
      </c>
    </row>
    <row r="46" spans="2:7" x14ac:dyDescent="0.25">
      <c r="B46" t="s">
        <v>27</v>
      </c>
      <c r="C46" t="s">
        <v>793</v>
      </c>
      <c r="D46">
        <v>0</v>
      </c>
      <c r="E46">
        <v>1</v>
      </c>
      <c r="F46">
        <v>0</v>
      </c>
      <c r="G46">
        <v>4809343</v>
      </c>
    </row>
    <row r="47" spans="2:7" x14ac:dyDescent="0.25">
      <c r="B47" t="s">
        <v>33</v>
      </c>
      <c r="C47" t="s">
        <v>793</v>
      </c>
      <c r="D47">
        <v>0</v>
      </c>
      <c r="E47">
        <v>1</v>
      </c>
      <c r="F47">
        <v>0</v>
      </c>
      <c r="G47">
        <v>5207394</v>
      </c>
    </row>
    <row r="48" spans="2:7" x14ac:dyDescent="0.25">
      <c r="B48" t="s">
        <v>192</v>
      </c>
      <c r="C48">
        <v>1874689</v>
      </c>
    </row>
    <row r="49" spans="2:7" x14ac:dyDescent="0.25">
      <c r="B49" t="s">
        <v>31</v>
      </c>
      <c r="C49" t="s">
        <v>846</v>
      </c>
      <c r="D49">
        <v>-1</v>
      </c>
      <c r="E49">
        <v>0.1</v>
      </c>
      <c r="F49">
        <v>0</v>
      </c>
      <c r="G49">
        <v>4801884</v>
      </c>
    </row>
    <row r="50" spans="2:7" x14ac:dyDescent="0.25">
      <c r="B50" t="s">
        <v>31</v>
      </c>
      <c r="C50" t="s">
        <v>846</v>
      </c>
      <c r="D50">
        <v>-1</v>
      </c>
      <c r="E50">
        <v>0.1</v>
      </c>
      <c r="F50">
        <v>0</v>
      </c>
      <c r="G50">
        <v>4848722</v>
      </c>
    </row>
    <row r="51" spans="2:7" x14ac:dyDescent="0.25">
      <c r="B51" t="s">
        <v>193</v>
      </c>
      <c r="C51">
        <v>1874699</v>
      </c>
    </row>
    <row r="52" spans="2:7" x14ac:dyDescent="0.25">
      <c r="B52" t="s">
        <v>30</v>
      </c>
      <c r="C52" t="s">
        <v>6</v>
      </c>
      <c r="D52">
        <v>-0.2</v>
      </c>
      <c r="E52">
        <v>1</v>
      </c>
      <c r="F52">
        <v>0</v>
      </c>
      <c r="G52">
        <v>4821860</v>
      </c>
    </row>
    <row r="53" spans="2:7" x14ac:dyDescent="0.25">
      <c r="B53" t="s">
        <v>194</v>
      </c>
      <c r="C53">
        <v>1874705</v>
      </c>
    </row>
    <row r="54" spans="2:7" x14ac:dyDescent="0.25">
      <c r="B54" t="s">
        <v>31</v>
      </c>
      <c r="C54" t="s">
        <v>794</v>
      </c>
      <c r="D54">
        <v>0</v>
      </c>
      <c r="E54">
        <v>-1</v>
      </c>
      <c r="F54">
        <v>0</v>
      </c>
      <c r="G54">
        <v>5032351</v>
      </c>
    </row>
    <row r="55" spans="2:7" x14ac:dyDescent="0.25">
      <c r="B55" t="s">
        <v>195</v>
      </c>
      <c r="C55">
        <v>1874707</v>
      </c>
    </row>
    <row r="56" spans="2:7" x14ac:dyDescent="0.25">
      <c r="B56" t="s">
        <v>31</v>
      </c>
      <c r="C56" t="s">
        <v>847</v>
      </c>
      <c r="D56">
        <v>-1</v>
      </c>
      <c r="E56">
        <v>-0.1</v>
      </c>
      <c r="F56">
        <v>0</v>
      </c>
      <c r="G56">
        <v>4849162</v>
      </c>
    </row>
    <row r="57" spans="2:7" x14ac:dyDescent="0.25">
      <c r="B57" t="s">
        <v>196</v>
      </c>
      <c r="C57">
        <v>1874717</v>
      </c>
    </row>
    <row r="58" spans="2:7" x14ac:dyDescent="0.25">
      <c r="B58" t="s">
        <v>197</v>
      </c>
      <c r="C58" t="s">
        <v>2</v>
      </c>
      <c r="D58">
        <v>1</v>
      </c>
      <c r="E58">
        <v>0.2</v>
      </c>
      <c r="F58">
        <v>0</v>
      </c>
      <c r="G58">
        <v>5075174</v>
      </c>
    </row>
    <row r="59" spans="2:7" x14ac:dyDescent="0.25">
      <c r="B59" t="s">
        <v>849</v>
      </c>
      <c r="C59">
        <v>1874719</v>
      </c>
    </row>
    <row r="60" spans="2:7" x14ac:dyDescent="0.25">
      <c r="B60" t="s">
        <v>787</v>
      </c>
      <c r="C60" t="s">
        <v>1</v>
      </c>
      <c r="D60">
        <v>-1</v>
      </c>
      <c r="E60">
        <v>-0.2</v>
      </c>
      <c r="F60">
        <v>0</v>
      </c>
      <c r="G60">
        <v>6644099</v>
      </c>
    </row>
    <row r="61" spans="2:7" x14ac:dyDescent="0.25">
      <c r="B61" t="s">
        <v>850</v>
      </c>
      <c r="C61">
        <v>1874729</v>
      </c>
    </row>
    <row r="62" spans="2:7" x14ac:dyDescent="0.25">
      <c r="B62" t="s">
        <v>840</v>
      </c>
      <c r="C62" t="s">
        <v>1</v>
      </c>
      <c r="D62">
        <v>-1</v>
      </c>
      <c r="E62">
        <v>-0.2</v>
      </c>
      <c r="F62">
        <v>0</v>
      </c>
      <c r="G62">
        <v>6644167</v>
      </c>
    </row>
    <row r="63" spans="2:7" x14ac:dyDescent="0.25">
      <c r="B63" t="s">
        <v>198</v>
      </c>
      <c r="C63">
        <v>1874755</v>
      </c>
    </row>
    <row r="64" spans="2:7" x14ac:dyDescent="0.25">
      <c r="B64" t="s">
        <v>199</v>
      </c>
      <c r="C64" t="s">
        <v>2</v>
      </c>
      <c r="D64">
        <v>1</v>
      </c>
      <c r="E64">
        <v>0.2</v>
      </c>
      <c r="F64">
        <v>0</v>
      </c>
      <c r="G64">
        <v>5065783</v>
      </c>
    </row>
    <row r="65" spans="2:7" x14ac:dyDescent="0.25">
      <c r="B65" t="s">
        <v>200</v>
      </c>
      <c r="C65" t="s">
        <v>2</v>
      </c>
      <c r="D65">
        <v>1</v>
      </c>
      <c r="E65">
        <v>0.2</v>
      </c>
      <c r="F65">
        <v>0</v>
      </c>
      <c r="G65">
        <v>5123773</v>
      </c>
    </row>
    <row r="66" spans="2:7" x14ac:dyDescent="0.25">
      <c r="B66" t="s">
        <v>199</v>
      </c>
      <c r="C66" t="s">
        <v>2</v>
      </c>
      <c r="D66">
        <v>1</v>
      </c>
      <c r="E66">
        <v>0.2</v>
      </c>
      <c r="F66">
        <v>0</v>
      </c>
      <c r="G66">
        <v>5123774</v>
      </c>
    </row>
    <row r="67" spans="2:7" x14ac:dyDescent="0.25">
      <c r="B67" t="s">
        <v>201</v>
      </c>
      <c r="C67">
        <v>1874759</v>
      </c>
    </row>
    <row r="68" spans="2:7" x14ac:dyDescent="0.25">
      <c r="B68" t="s">
        <v>202</v>
      </c>
      <c r="C68" t="s">
        <v>2</v>
      </c>
      <c r="D68">
        <v>1</v>
      </c>
      <c r="E68">
        <v>0.2</v>
      </c>
      <c r="F68">
        <v>0</v>
      </c>
      <c r="G68">
        <v>5050163</v>
      </c>
    </row>
    <row r="69" spans="2:7" x14ac:dyDescent="0.25">
      <c r="B69" t="s">
        <v>203</v>
      </c>
      <c r="C69" t="s">
        <v>2</v>
      </c>
      <c r="D69">
        <v>1</v>
      </c>
      <c r="E69">
        <v>0.2</v>
      </c>
      <c r="F69">
        <v>0</v>
      </c>
      <c r="G69">
        <v>5050164</v>
      </c>
    </row>
    <row r="70" spans="2:7" x14ac:dyDescent="0.25">
      <c r="B70" t="s">
        <v>202</v>
      </c>
      <c r="C70" t="s">
        <v>2</v>
      </c>
      <c r="D70">
        <v>1</v>
      </c>
      <c r="E70">
        <v>0.2</v>
      </c>
      <c r="F70">
        <v>0</v>
      </c>
      <c r="G70">
        <v>5050166</v>
      </c>
    </row>
    <row r="71" spans="2:7" x14ac:dyDescent="0.25">
      <c r="B71" t="s">
        <v>199</v>
      </c>
      <c r="C71" t="s">
        <v>2</v>
      </c>
      <c r="D71">
        <v>1</v>
      </c>
      <c r="E71">
        <v>0.2</v>
      </c>
      <c r="F71">
        <v>0</v>
      </c>
      <c r="G71">
        <v>5050167</v>
      </c>
    </row>
    <row r="72" spans="2:7" x14ac:dyDescent="0.25">
      <c r="B72" t="s">
        <v>203</v>
      </c>
      <c r="C72" t="s">
        <v>2</v>
      </c>
      <c r="D72">
        <v>1</v>
      </c>
      <c r="E72">
        <v>0.2</v>
      </c>
      <c r="F72">
        <v>0</v>
      </c>
      <c r="G72">
        <v>5050275</v>
      </c>
    </row>
    <row r="73" spans="2:7" x14ac:dyDescent="0.25">
      <c r="B73" t="s">
        <v>200</v>
      </c>
      <c r="C73" t="s">
        <v>2</v>
      </c>
      <c r="D73">
        <v>1</v>
      </c>
      <c r="E73">
        <v>0.2</v>
      </c>
      <c r="F73">
        <v>0</v>
      </c>
      <c r="G73">
        <v>5050276</v>
      </c>
    </row>
    <row r="74" spans="2:7" x14ac:dyDescent="0.25">
      <c r="B74" t="s">
        <v>202</v>
      </c>
      <c r="C74" t="s">
        <v>2</v>
      </c>
      <c r="D74">
        <v>1</v>
      </c>
      <c r="E74">
        <v>0.2</v>
      </c>
      <c r="F74">
        <v>0</v>
      </c>
      <c r="G74">
        <v>5050277</v>
      </c>
    </row>
    <row r="75" spans="2:7" x14ac:dyDescent="0.25">
      <c r="B75" t="s">
        <v>199</v>
      </c>
      <c r="C75" t="s">
        <v>2</v>
      </c>
      <c r="D75">
        <v>1</v>
      </c>
      <c r="E75">
        <v>0.2</v>
      </c>
      <c r="F75">
        <v>0</v>
      </c>
      <c r="G75">
        <v>5050278</v>
      </c>
    </row>
    <row r="76" spans="2:7" x14ac:dyDescent="0.25">
      <c r="B76" t="s">
        <v>200</v>
      </c>
      <c r="C76" t="s">
        <v>2</v>
      </c>
      <c r="D76">
        <v>1</v>
      </c>
      <c r="E76">
        <v>0.2</v>
      </c>
      <c r="F76">
        <v>0</v>
      </c>
      <c r="G76">
        <v>5065781</v>
      </c>
    </row>
    <row r="77" spans="2:7" x14ac:dyDescent="0.25">
      <c r="B77" t="s">
        <v>202</v>
      </c>
      <c r="C77" t="s">
        <v>2</v>
      </c>
      <c r="D77">
        <v>1</v>
      </c>
      <c r="E77">
        <v>0.2</v>
      </c>
      <c r="F77">
        <v>0</v>
      </c>
      <c r="G77">
        <v>5065782</v>
      </c>
    </row>
    <row r="78" spans="2:7" x14ac:dyDescent="0.25">
      <c r="B78" t="s">
        <v>200</v>
      </c>
      <c r="C78" t="s">
        <v>2</v>
      </c>
      <c r="D78">
        <v>1</v>
      </c>
      <c r="E78">
        <v>0.2</v>
      </c>
      <c r="F78">
        <v>0</v>
      </c>
      <c r="G78">
        <v>5075918</v>
      </c>
    </row>
    <row r="79" spans="2:7" x14ac:dyDescent="0.25">
      <c r="B79" t="s">
        <v>203</v>
      </c>
      <c r="C79" t="s">
        <v>2</v>
      </c>
      <c r="D79">
        <v>1</v>
      </c>
      <c r="E79">
        <v>0.2</v>
      </c>
      <c r="F79">
        <v>0</v>
      </c>
      <c r="G79">
        <v>5123768</v>
      </c>
    </row>
    <row r="80" spans="2:7" x14ac:dyDescent="0.25">
      <c r="B80" t="s">
        <v>200</v>
      </c>
      <c r="C80" t="s">
        <v>2</v>
      </c>
      <c r="D80">
        <v>1</v>
      </c>
      <c r="E80">
        <v>0.2</v>
      </c>
      <c r="F80">
        <v>0</v>
      </c>
      <c r="G80">
        <v>5123769</v>
      </c>
    </row>
    <row r="81" spans="2:7" x14ac:dyDescent="0.25">
      <c r="B81" t="s">
        <v>202</v>
      </c>
      <c r="C81" t="s">
        <v>2</v>
      </c>
      <c r="D81">
        <v>1</v>
      </c>
      <c r="E81">
        <v>0.2</v>
      </c>
      <c r="F81">
        <v>0</v>
      </c>
      <c r="G81">
        <v>5123770</v>
      </c>
    </row>
    <row r="82" spans="2:7" x14ac:dyDescent="0.25">
      <c r="B82" t="s">
        <v>199</v>
      </c>
      <c r="C82" t="s">
        <v>2</v>
      </c>
      <c r="D82">
        <v>1</v>
      </c>
      <c r="E82">
        <v>0.2</v>
      </c>
      <c r="F82">
        <v>0</v>
      </c>
      <c r="G82">
        <v>5123771</v>
      </c>
    </row>
    <row r="83" spans="2:7" x14ac:dyDescent="0.25">
      <c r="B83" t="s">
        <v>202</v>
      </c>
      <c r="C83" t="s">
        <v>2</v>
      </c>
      <c r="D83">
        <v>1</v>
      </c>
      <c r="E83">
        <v>0.2</v>
      </c>
      <c r="F83">
        <v>0</v>
      </c>
      <c r="G83">
        <v>5123772</v>
      </c>
    </row>
    <row r="84" spans="2:7" x14ac:dyDescent="0.25">
      <c r="B84" t="s">
        <v>200</v>
      </c>
      <c r="C84" t="s">
        <v>2</v>
      </c>
      <c r="D84">
        <v>1</v>
      </c>
      <c r="E84">
        <v>0.2</v>
      </c>
      <c r="F84">
        <v>0</v>
      </c>
      <c r="G84">
        <v>5123773</v>
      </c>
    </row>
    <row r="85" spans="2:7" x14ac:dyDescent="0.25">
      <c r="B85" t="s">
        <v>205</v>
      </c>
      <c r="C85">
        <v>1874793</v>
      </c>
    </row>
    <row r="86" spans="2:7" x14ac:dyDescent="0.25">
      <c r="B86" t="s">
        <v>840</v>
      </c>
      <c r="C86" t="s">
        <v>7</v>
      </c>
      <c r="D86">
        <v>-0.9</v>
      </c>
      <c r="E86">
        <v>-0.5</v>
      </c>
      <c r="F86">
        <v>0</v>
      </c>
      <c r="G86">
        <v>6103413</v>
      </c>
    </row>
    <row r="87" spans="2:7" x14ac:dyDescent="0.25">
      <c r="B87" t="s">
        <v>787</v>
      </c>
      <c r="C87" t="s">
        <v>7</v>
      </c>
      <c r="D87">
        <v>-0.9</v>
      </c>
      <c r="E87">
        <v>-0.5</v>
      </c>
      <c r="F87">
        <v>0</v>
      </c>
      <c r="G87">
        <v>6103532</v>
      </c>
    </row>
    <row r="88" spans="2:7" x14ac:dyDescent="0.25">
      <c r="B88" t="s">
        <v>207</v>
      </c>
      <c r="C88">
        <v>1874928</v>
      </c>
    </row>
    <row r="89" spans="2:7" x14ac:dyDescent="0.25">
      <c r="B89" t="s">
        <v>197</v>
      </c>
      <c r="C89" t="s">
        <v>2</v>
      </c>
      <c r="D89">
        <v>1</v>
      </c>
      <c r="E89">
        <v>0.2</v>
      </c>
      <c r="F89">
        <v>0</v>
      </c>
      <c r="G89">
        <v>5499900</v>
      </c>
    </row>
    <row r="90" spans="2:7" x14ac:dyDescent="0.25">
      <c r="B90" t="s">
        <v>197</v>
      </c>
      <c r="C90" t="s">
        <v>2</v>
      </c>
      <c r="D90">
        <v>1</v>
      </c>
      <c r="E90">
        <v>0.2</v>
      </c>
      <c r="F90">
        <v>0</v>
      </c>
      <c r="G90">
        <v>5500193</v>
      </c>
    </row>
    <row r="91" spans="2:7" x14ac:dyDescent="0.25">
      <c r="B91" t="s">
        <v>208</v>
      </c>
      <c r="C91">
        <v>1874986</v>
      </c>
    </row>
    <row r="92" spans="2:7" x14ac:dyDescent="0.25">
      <c r="B92" t="s">
        <v>786</v>
      </c>
      <c r="C92" t="s">
        <v>7</v>
      </c>
      <c r="D92">
        <v>-0.9</v>
      </c>
      <c r="E92">
        <v>-0.5</v>
      </c>
      <c r="F92">
        <v>0</v>
      </c>
      <c r="G92">
        <v>6103559</v>
      </c>
    </row>
    <row r="93" spans="2:7" x14ac:dyDescent="0.25">
      <c r="B93" t="s">
        <v>787</v>
      </c>
      <c r="C93" t="s">
        <v>7</v>
      </c>
      <c r="D93">
        <v>-0.9</v>
      </c>
      <c r="E93">
        <v>-0.5</v>
      </c>
      <c r="F93">
        <v>0</v>
      </c>
      <c r="G93">
        <v>6103590</v>
      </c>
    </row>
    <row r="94" spans="2:7" x14ac:dyDescent="0.25">
      <c r="B94" t="s">
        <v>840</v>
      </c>
      <c r="C94" t="s">
        <v>7</v>
      </c>
      <c r="D94">
        <v>-0.9</v>
      </c>
      <c r="E94">
        <v>-0.5</v>
      </c>
      <c r="F94">
        <v>0</v>
      </c>
      <c r="G94">
        <v>6306030</v>
      </c>
    </row>
    <row r="95" spans="2:7" x14ac:dyDescent="0.25">
      <c r="B95" t="s">
        <v>209</v>
      </c>
      <c r="C95">
        <v>1874988</v>
      </c>
    </row>
    <row r="96" spans="2:7" x14ac:dyDescent="0.25">
      <c r="B96" t="s">
        <v>786</v>
      </c>
      <c r="C96" t="s">
        <v>7</v>
      </c>
      <c r="D96">
        <v>-0.9</v>
      </c>
      <c r="E96">
        <v>-0.5</v>
      </c>
      <c r="F96">
        <v>0</v>
      </c>
      <c r="G96">
        <v>6103559</v>
      </c>
    </row>
    <row r="97" spans="2:7" x14ac:dyDescent="0.25">
      <c r="B97" t="s">
        <v>787</v>
      </c>
      <c r="C97" t="s">
        <v>7</v>
      </c>
      <c r="D97">
        <v>-0.9</v>
      </c>
      <c r="E97">
        <v>-0.5</v>
      </c>
      <c r="F97">
        <v>0</v>
      </c>
      <c r="G97">
        <v>6103590</v>
      </c>
    </row>
    <row r="98" spans="2:7" x14ac:dyDescent="0.25">
      <c r="B98" t="s">
        <v>840</v>
      </c>
      <c r="C98" t="s">
        <v>7</v>
      </c>
      <c r="D98">
        <v>-0.9</v>
      </c>
      <c r="E98">
        <v>-0.5</v>
      </c>
      <c r="F98">
        <v>0</v>
      </c>
      <c r="G98">
        <v>6306030</v>
      </c>
    </row>
    <row r="99" spans="2:7" x14ac:dyDescent="0.25">
      <c r="B99" t="s">
        <v>210</v>
      </c>
      <c r="C99">
        <v>1875006</v>
      </c>
    </row>
    <row r="100" spans="2:7" x14ac:dyDescent="0.25">
      <c r="B100" t="s">
        <v>211</v>
      </c>
      <c r="C100" t="s">
        <v>74</v>
      </c>
      <c r="D100">
        <v>0.9</v>
      </c>
      <c r="E100">
        <v>0.5</v>
      </c>
      <c r="F100">
        <v>0</v>
      </c>
      <c r="G100">
        <v>5047122</v>
      </c>
    </row>
    <row r="101" spans="2:7" x14ac:dyDescent="0.25">
      <c r="B101" t="s">
        <v>203</v>
      </c>
      <c r="C101" t="s">
        <v>74</v>
      </c>
      <c r="D101">
        <v>0.9</v>
      </c>
      <c r="E101">
        <v>0.5</v>
      </c>
      <c r="F101">
        <v>0</v>
      </c>
      <c r="G101">
        <v>5047125</v>
      </c>
    </row>
    <row r="102" spans="2:7" x14ac:dyDescent="0.25">
      <c r="B102" t="s">
        <v>213</v>
      </c>
      <c r="C102">
        <v>1875016</v>
      </c>
    </row>
    <row r="103" spans="2:7" x14ac:dyDescent="0.25">
      <c r="B103" t="s">
        <v>199</v>
      </c>
      <c r="C103" t="s">
        <v>74</v>
      </c>
      <c r="D103">
        <v>0.9</v>
      </c>
      <c r="E103">
        <v>0.5</v>
      </c>
      <c r="F103">
        <v>0</v>
      </c>
      <c r="G103">
        <v>5045702</v>
      </c>
    </row>
    <row r="104" spans="2:7" x14ac:dyDescent="0.25">
      <c r="B104" t="s">
        <v>202</v>
      </c>
      <c r="C104" t="s">
        <v>74</v>
      </c>
      <c r="D104">
        <v>0.9</v>
      </c>
      <c r="E104">
        <v>0.5</v>
      </c>
      <c r="F104">
        <v>0</v>
      </c>
      <c r="G104">
        <v>5045703</v>
      </c>
    </row>
    <row r="105" spans="2:7" x14ac:dyDescent="0.25">
      <c r="B105" t="s">
        <v>203</v>
      </c>
      <c r="C105" t="s">
        <v>74</v>
      </c>
      <c r="D105">
        <v>0.9</v>
      </c>
      <c r="E105">
        <v>0.5</v>
      </c>
      <c r="F105">
        <v>0</v>
      </c>
      <c r="G105">
        <v>5045706</v>
      </c>
    </row>
    <row r="106" spans="2:7" x14ac:dyDescent="0.25">
      <c r="B106" t="s">
        <v>214</v>
      </c>
      <c r="C106">
        <v>1875024</v>
      </c>
    </row>
    <row r="107" spans="2:7" x14ac:dyDescent="0.25">
      <c r="B107" t="s">
        <v>202</v>
      </c>
      <c r="C107" t="s">
        <v>74</v>
      </c>
      <c r="D107">
        <v>0.9</v>
      </c>
      <c r="E107">
        <v>0.5</v>
      </c>
      <c r="F107">
        <v>0</v>
      </c>
      <c r="G107">
        <v>5047123</v>
      </c>
    </row>
    <row r="108" spans="2:7" x14ac:dyDescent="0.25">
      <c r="B108" t="s">
        <v>202</v>
      </c>
      <c r="C108" t="s">
        <v>74</v>
      </c>
      <c r="D108">
        <v>0.9</v>
      </c>
      <c r="E108">
        <v>0.5</v>
      </c>
      <c r="F108">
        <v>0</v>
      </c>
      <c r="G108">
        <v>5047126</v>
      </c>
    </row>
    <row r="109" spans="2:7" x14ac:dyDescent="0.25">
      <c r="B109" t="s">
        <v>202</v>
      </c>
      <c r="C109" t="s">
        <v>74</v>
      </c>
      <c r="D109">
        <v>0.9</v>
      </c>
      <c r="E109">
        <v>0.5</v>
      </c>
      <c r="F109">
        <v>0</v>
      </c>
      <c r="G109">
        <v>5047235</v>
      </c>
    </row>
    <row r="110" spans="2:7" x14ac:dyDescent="0.25">
      <c r="B110" t="s">
        <v>203</v>
      </c>
      <c r="C110" t="s">
        <v>74</v>
      </c>
      <c r="D110">
        <v>0.9</v>
      </c>
      <c r="E110">
        <v>0.5</v>
      </c>
      <c r="F110">
        <v>0</v>
      </c>
      <c r="G110">
        <v>5047239</v>
      </c>
    </row>
    <row r="111" spans="2:7" x14ac:dyDescent="0.25">
      <c r="B111" t="s">
        <v>203</v>
      </c>
      <c r="C111" t="s">
        <v>74</v>
      </c>
      <c r="D111">
        <v>0.9</v>
      </c>
      <c r="E111">
        <v>0.5</v>
      </c>
      <c r="F111">
        <v>0</v>
      </c>
      <c r="G111">
        <v>5047240</v>
      </c>
    </row>
    <row r="112" spans="2:7" x14ac:dyDescent="0.25">
      <c r="B112" t="s">
        <v>202</v>
      </c>
      <c r="C112" t="s">
        <v>74</v>
      </c>
      <c r="D112">
        <v>0.9</v>
      </c>
      <c r="E112">
        <v>0.5</v>
      </c>
      <c r="F112">
        <v>0</v>
      </c>
      <c r="G112">
        <v>5047244</v>
      </c>
    </row>
    <row r="113" spans="2:7" x14ac:dyDescent="0.25">
      <c r="B113" t="s">
        <v>215</v>
      </c>
      <c r="C113">
        <v>1875050</v>
      </c>
    </row>
    <row r="114" spans="2:7" x14ac:dyDescent="0.25">
      <c r="B114" t="s">
        <v>199</v>
      </c>
      <c r="C114" t="s">
        <v>74</v>
      </c>
      <c r="D114">
        <v>0.9</v>
      </c>
      <c r="E114">
        <v>0.5</v>
      </c>
      <c r="F114">
        <v>0</v>
      </c>
      <c r="G114">
        <v>5047236</v>
      </c>
    </row>
    <row r="115" spans="2:7" x14ac:dyDescent="0.25">
      <c r="B115" t="s">
        <v>202</v>
      </c>
      <c r="C115" t="s">
        <v>74</v>
      </c>
      <c r="D115">
        <v>0.9</v>
      </c>
      <c r="E115">
        <v>0.5</v>
      </c>
      <c r="F115">
        <v>0</v>
      </c>
      <c r="G115">
        <v>5047237</v>
      </c>
    </row>
    <row r="116" spans="2:7" x14ac:dyDescent="0.25">
      <c r="B116" t="s">
        <v>202</v>
      </c>
      <c r="C116" t="s">
        <v>74</v>
      </c>
      <c r="D116">
        <v>0.9</v>
      </c>
      <c r="E116">
        <v>0.5</v>
      </c>
      <c r="F116">
        <v>0</v>
      </c>
      <c r="G116">
        <v>5047238</v>
      </c>
    </row>
    <row r="117" spans="2:7" x14ac:dyDescent="0.25">
      <c r="B117" t="s">
        <v>203</v>
      </c>
      <c r="C117" t="s">
        <v>74</v>
      </c>
      <c r="D117">
        <v>0.9</v>
      </c>
      <c r="E117">
        <v>0.5</v>
      </c>
      <c r="F117">
        <v>0</v>
      </c>
      <c r="G117">
        <v>5047240</v>
      </c>
    </row>
    <row r="118" spans="2:7" x14ac:dyDescent="0.25">
      <c r="B118" t="s">
        <v>202</v>
      </c>
      <c r="C118" t="s">
        <v>74</v>
      </c>
      <c r="D118">
        <v>0.9</v>
      </c>
      <c r="E118">
        <v>0.5</v>
      </c>
      <c r="F118">
        <v>0</v>
      </c>
      <c r="G118">
        <v>5047241</v>
      </c>
    </row>
    <row r="119" spans="2:7" x14ac:dyDescent="0.25">
      <c r="B119" t="s">
        <v>199</v>
      </c>
      <c r="C119" t="s">
        <v>74</v>
      </c>
      <c r="D119">
        <v>0.9</v>
      </c>
      <c r="E119">
        <v>0.5</v>
      </c>
      <c r="F119">
        <v>0</v>
      </c>
      <c r="G119">
        <v>5047242</v>
      </c>
    </row>
    <row r="120" spans="2:7" x14ac:dyDescent="0.25">
      <c r="B120" t="s">
        <v>202</v>
      </c>
      <c r="C120" t="s">
        <v>74</v>
      </c>
      <c r="D120">
        <v>0.9</v>
      </c>
      <c r="E120">
        <v>0.5</v>
      </c>
      <c r="F120">
        <v>0</v>
      </c>
      <c r="G120">
        <v>5047243</v>
      </c>
    </row>
    <row r="121" spans="2:7" x14ac:dyDescent="0.25">
      <c r="B121" t="s">
        <v>199</v>
      </c>
      <c r="C121" t="s">
        <v>74</v>
      </c>
      <c r="D121">
        <v>0.9</v>
      </c>
      <c r="E121">
        <v>0.5</v>
      </c>
      <c r="F121">
        <v>0</v>
      </c>
      <c r="G121">
        <v>5047391</v>
      </c>
    </row>
    <row r="122" spans="2:7" x14ac:dyDescent="0.25">
      <c r="B122" t="s">
        <v>199</v>
      </c>
      <c r="C122" t="s">
        <v>74</v>
      </c>
      <c r="D122">
        <v>0.9</v>
      </c>
      <c r="E122">
        <v>0.5</v>
      </c>
      <c r="F122">
        <v>0</v>
      </c>
      <c r="G122">
        <v>5047444</v>
      </c>
    </row>
    <row r="123" spans="2:7" x14ac:dyDescent="0.25">
      <c r="B123" t="s">
        <v>216</v>
      </c>
      <c r="C123">
        <v>1875074</v>
      </c>
    </row>
    <row r="124" spans="2:7" x14ac:dyDescent="0.25">
      <c r="B124" t="s">
        <v>851</v>
      </c>
      <c r="C124" t="s">
        <v>5</v>
      </c>
      <c r="D124">
        <v>0.2</v>
      </c>
      <c r="E124">
        <v>-1</v>
      </c>
      <c r="F124">
        <v>0</v>
      </c>
      <c r="G124">
        <v>4929845</v>
      </c>
    </row>
    <row r="125" spans="2:7" x14ac:dyDescent="0.25">
      <c r="B125" t="s">
        <v>852</v>
      </c>
      <c r="C125" t="s">
        <v>5</v>
      </c>
      <c r="D125">
        <v>0.2</v>
      </c>
      <c r="E125">
        <v>-1</v>
      </c>
      <c r="F125">
        <v>0</v>
      </c>
      <c r="G125">
        <v>4929846</v>
      </c>
    </row>
    <row r="126" spans="2:7" x14ac:dyDescent="0.25">
      <c r="B126" t="s">
        <v>851</v>
      </c>
      <c r="C126" t="s">
        <v>5</v>
      </c>
      <c r="D126">
        <v>0.2</v>
      </c>
      <c r="E126">
        <v>-1</v>
      </c>
      <c r="F126">
        <v>0</v>
      </c>
      <c r="G126">
        <v>4929847</v>
      </c>
    </row>
    <row r="127" spans="2:7" x14ac:dyDescent="0.25">
      <c r="B127" t="s">
        <v>852</v>
      </c>
      <c r="C127" t="s">
        <v>5</v>
      </c>
      <c r="D127">
        <v>0.2</v>
      </c>
      <c r="E127">
        <v>-1</v>
      </c>
      <c r="F127">
        <v>0</v>
      </c>
      <c r="G127">
        <v>4929848</v>
      </c>
    </row>
    <row r="128" spans="2:7" x14ac:dyDescent="0.25">
      <c r="B128" t="s">
        <v>852</v>
      </c>
      <c r="C128" t="s">
        <v>5</v>
      </c>
      <c r="D128">
        <v>0.2</v>
      </c>
      <c r="E128">
        <v>-1</v>
      </c>
      <c r="F128">
        <v>0</v>
      </c>
      <c r="G128">
        <v>4929849</v>
      </c>
    </row>
    <row r="129" spans="2:7" x14ac:dyDescent="0.25">
      <c r="B129" t="s">
        <v>852</v>
      </c>
      <c r="C129" t="s">
        <v>5</v>
      </c>
      <c r="D129">
        <v>0.2</v>
      </c>
      <c r="E129">
        <v>-1</v>
      </c>
      <c r="F129">
        <v>0</v>
      </c>
      <c r="G129">
        <v>4929850</v>
      </c>
    </row>
    <row r="130" spans="2:7" x14ac:dyDescent="0.25">
      <c r="B130" t="s">
        <v>852</v>
      </c>
      <c r="C130" t="s">
        <v>5</v>
      </c>
      <c r="D130">
        <v>0.2</v>
      </c>
      <c r="E130">
        <v>-1</v>
      </c>
      <c r="F130">
        <v>0</v>
      </c>
      <c r="G130">
        <v>4929851</v>
      </c>
    </row>
    <row r="131" spans="2:7" x14ac:dyDescent="0.25">
      <c r="B131" t="s">
        <v>852</v>
      </c>
      <c r="C131" t="s">
        <v>5</v>
      </c>
      <c r="D131">
        <v>0.2</v>
      </c>
      <c r="E131">
        <v>-1</v>
      </c>
      <c r="F131">
        <v>0</v>
      </c>
      <c r="G131">
        <v>4929852</v>
      </c>
    </row>
    <row r="132" spans="2:7" x14ac:dyDescent="0.25">
      <c r="B132" t="s">
        <v>852</v>
      </c>
      <c r="C132" t="s">
        <v>5</v>
      </c>
      <c r="D132">
        <v>0.2</v>
      </c>
      <c r="E132">
        <v>-1</v>
      </c>
      <c r="F132">
        <v>0</v>
      </c>
      <c r="G132">
        <v>4929853</v>
      </c>
    </row>
    <row r="133" spans="2:7" x14ac:dyDescent="0.25">
      <c r="B133" t="s">
        <v>852</v>
      </c>
      <c r="C133" t="s">
        <v>5</v>
      </c>
      <c r="D133">
        <v>0.2</v>
      </c>
      <c r="E133">
        <v>-1</v>
      </c>
      <c r="F133">
        <v>0</v>
      </c>
      <c r="G133">
        <v>4929854</v>
      </c>
    </row>
    <row r="134" spans="2:7" x14ac:dyDescent="0.25">
      <c r="B134" t="s">
        <v>853</v>
      </c>
      <c r="C134" t="s">
        <v>5</v>
      </c>
      <c r="D134">
        <v>0.2</v>
      </c>
      <c r="E134">
        <v>-1</v>
      </c>
      <c r="F134">
        <v>0</v>
      </c>
      <c r="G134">
        <v>4929855</v>
      </c>
    </row>
    <row r="135" spans="2:7" x14ac:dyDescent="0.25">
      <c r="B135" t="s">
        <v>852</v>
      </c>
      <c r="C135" t="s">
        <v>5</v>
      </c>
      <c r="D135">
        <v>0.2</v>
      </c>
      <c r="E135">
        <v>-1</v>
      </c>
      <c r="F135">
        <v>0</v>
      </c>
      <c r="G135">
        <v>4929856</v>
      </c>
    </row>
    <row r="136" spans="2:7" x14ac:dyDescent="0.25">
      <c r="B136" t="s">
        <v>218</v>
      </c>
      <c r="C136">
        <v>1875076</v>
      </c>
    </row>
    <row r="137" spans="2:7" x14ac:dyDescent="0.25">
      <c r="B137" t="s">
        <v>852</v>
      </c>
      <c r="C137" t="s">
        <v>5</v>
      </c>
      <c r="D137">
        <v>0.2</v>
      </c>
      <c r="E137">
        <v>-1</v>
      </c>
      <c r="F137">
        <v>0</v>
      </c>
      <c r="G137">
        <v>4928973</v>
      </c>
    </row>
    <row r="138" spans="2:7" x14ac:dyDescent="0.25">
      <c r="B138" t="s">
        <v>853</v>
      </c>
      <c r="C138" t="s">
        <v>5</v>
      </c>
      <c r="D138">
        <v>0.2</v>
      </c>
      <c r="E138">
        <v>-1</v>
      </c>
      <c r="F138">
        <v>0</v>
      </c>
      <c r="G138">
        <v>4929838</v>
      </c>
    </row>
    <row r="139" spans="2:7" x14ac:dyDescent="0.25">
      <c r="B139" t="s">
        <v>852</v>
      </c>
      <c r="C139" t="s">
        <v>5</v>
      </c>
      <c r="D139">
        <v>0.2</v>
      </c>
      <c r="E139">
        <v>-1</v>
      </c>
      <c r="F139">
        <v>0</v>
      </c>
      <c r="G139">
        <v>4929840</v>
      </c>
    </row>
    <row r="140" spans="2:7" x14ac:dyDescent="0.25">
      <c r="B140" t="s">
        <v>852</v>
      </c>
      <c r="C140" t="s">
        <v>5</v>
      </c>
      <c r="D140">
        <v>0.2</v>
      </c>
      <c r="E140">
        <v>-1</v>
      </c>
      <c r="F140">
        <v>0</v>
      </c>
      <c r="G140">
        <v>4929841</v>
      </c>
    </row>
    <row r="141" spans="2:7" x14ac:dyDescent="0.25">
      <c r="B141" t="s">
        <v>852</v>
      </c>
      <c r="C141" t="s">
        <v>5</v>
      </c>
      <c r="D141">
        <v>0.2</v>
      </c>
      <c r="E141">
        <v>-1</v>
      </c>
      <c r="F141">
        <v>0</v>
      </c>
      <c r="G141">
        <v>4929842</v>
      </c>
    </row>
    <row r="142" spans="2:7" x14ac:dyDescent="0.25">
      <c r="B142" t="s">
        <v>853</v>
      </c>
      <c r="C142" t="s">
        <v>5</v>
      </c>
      <c r="D142">
        <v>0.2</v>
      </c>
      <c r="E142">
        <v>-1</v>
      </c>
      <c r="F142">
        <v>0</v>
      </c>
      <c r="G142">
        <v>4929843</v>
      </c>
    </row>
    <row r="143" spans="2:7" x14ac:dyDescent="0.25">
      <c r="B143" t="s">
        <v>219</v>
      </c>
      <c r="C143">
        <v>1875080</v>
      </c>
    </row>
    <row r="144" spans="2:7" x14ac:dyDescent="0.25">
      <c r="B144" t="s">
        <v>852</v>
      </c>
      <c r="C144" t="s">
        <v>5</v>
      </c>
      <c r="D144">
        <v>0.2</v>
      </c>
      <c r="E144">
        <v>-1</v>
      </c>
      <c r="F144">
        <v>0</v>
      </c>
      <c r="G144">
        <v>4928973</v>
      </c>
    </row>
    <row r="145" spans="2:7" x14ac:dyDescent="0.25">
      <c r="B145" t="s">
        <v>852</v>
      </c>
      <c r="C145" t="s">
        <v>5</v>
      </c>
      <c r="D145">
        <v>0.2</v>
      </c>
      <c r="E145">
        <v>-1</v>
      </c>
      <c r="F145">
        <v>0</v>
      </c>
      <c r="G145">
        <v>4929840</v>
      </c>
    </row>
    <row r="146" spans="2:7" x14ac:dyDescent="0.25">
      <c r="B146" t="s">
        <v>852</v>
      </c>
      <c r="C146" t="s">
        <v>5</v>
      </c>
      <c r="D146">
        <v>0.2</v>
      </c>
      <c r="E146">
        <v>-1</v>
      </c>
      <c r="F146">
        <v>0</v>
      </c>
      <c r="G146">
        <v>4929841</v>
      </c>
    </row>
    <row r="147" spans="2:7" x14ac:dyDescent="0.25">
      <c r="B147" t="s">
        <v>852</v>
      </c>
      <c r="C147" t="s">
        <v>5</v>
      </c>
      <c r="D147">
        <v>0.2</v>
      </c>
      <c r="E147">
        <v>-1</v>
      </c>
      <c r="F147">
        <v>0</v>
      </c>
      <c r="G147">
        <v>4929842</v>
      </c>
    </row>
    <row r="148" spans="2:7" x14ac:dyDescent="0.25">
      <c r="B148" t="s">
        <v>853</v>
      </c>
      <c r="C148" t="s">
        <v>5</v>
      </c>
      <c r="D148">
        <v>0.2</v>
      </c>
      <c r="E148">
        <v>-1</v>
      </c>
      <c r="F148">
        <v>0</v>
      </c>
      <c r="G148">
        <v>4929843</v>
      </c>
    </row>
    <row r="149" spans="2:7" x14ac:dyDescent="0.25">
      <c r="B149" t="s">
        <v>220</v>
      </c>
      <c r="C149">
        <v>1875082</v>
      </c>
    </row>
    <row r="150" spans="2:7" x14ac:dyDescent="0.25">
      <c r="B150" t="s">
        <v>851</v>
      </c>
      <c r="C150" t="s">
        <v>5</v>
      </c>
      <c r="D150">
        <v>0.2</v>
      </c>
      <c r="E150">
        <v>-1</v>
      </c>
      <c r="F150">
        <v>0</v>
      </c>
      <c r="G150">
        <v>4929845</v>
      </c>
    </row>
    <row r="151" spans="2:7" x14ac:dyDescent="0.25">
      <c r="B151" t="s">
        <v>852</v>
      </c>
      <c r="C151" t="s">
        <v>5</v>
      </c>
      <c r="D151">
        <v>0.2</v>
      </c>
      <c r="E151">
        <v>-1</v>
      </c>
      <c r="F151">
        <v>0</v>
      </c>
      <c r="G151">
        <v>4929846</v>
      </c>
    </row>
    <row r="152" spans="2:7" x14ac:dyDescent="0.25">
      <c r="B152" t="s">
        <v>851</v>
      </c>
      <c r="C152" t="s">
        <v>5</v>
      </c>
      <c r="D152">
        <v>0.2</v>
      </c>
      <c r="E152">
        <v>-1</v>
      </c>
      <c r="F152">
        <v>0</v>
      </c>
      <c r="G152">
        <v>4929847</v>
      </c>
    </row>
    <row r="153" spans="2:7" x14ac:dyDescent="0.25">
      <c r="B153" t="s">
        <v>221</v>
      </c>
      <c r="C153">
        <v>1875094</v>
      </c>
    </row>
    <row r="154" spans="2:7" x14ac:dyDescent="0.25">
      <c r="B154" t="s">
        <v>852</v>
      </c>
      <c r="C154" t="s">
        <v>5</v>
      </c>
      <c r="D154">
        <v>0.2</v>
      </c>
      <c r="E154">
        <v>-1</v>
      </c>
      <c r="F154">
        <v>0</v>
      </c>
      <c r="G154">
        <v>4929856</v>
      </c>
    </row>
    <row r="155" spans="2:7" x14ac:dyDescent="0.25">
      <c r="B155" t="s">
        <v>852</v>
      </c>
      <c r="C155" t="s">
        <v>5</v>
      </c>
      <c r="D155">
        <v>0.2</v>
      </c>
      <c r="E155">
        <v>-1</v>
      </c>
      <c r="F155">
        <v>0</v>
      </c>
      <c r="G155">
        <v>4929857</v>
      </c>
    </row>
    <row r="156" spans="2:7" x14ac:dyDescent="0.25">
      <c r="B156" t="s">
        <v>852</v>
      </c>
      <c r="C156" t="s">
        <v>5</v>
      </c>
      <c r="D156">
        <v>0.2</v>
      </c>
      <c r="E156">
        <v>-1</v>
      </c>
      <c r="F156">
        <v>0</v>
      </c>
      <c r="G156">
        <v>4929858</v>
      </c>
    </row>
    <row r="157" spans="2:7" x14ac:dyDescent="0.25">
      <c r="B157" t="s">
        <v>852</v>
      </c>
      <c r="C157" t="s">
        <v>5</v>
      </c>
      <c r="D157">
        <v>0.2</v>
      </c>
      <c r="E157">
        <v>-1</v>
      </c>
      <c r="F157">
        <v>0</v>
      </c>
      <c r="G157">
        <v>4929859</v>
      </c>
    </row>
    <row r="158" spans="2:7" x14ac:dyDescent="0.25">
      <c r="B158" t="s">
        <v>852</v>
      </c>
      <c r="C158" t="s">
        <v>5</v>
      </c>
      <c r="D158">
        <v>0.2</v>
      </c>
      <c r="E158">
        <v>-1</v>
      </c>
      <c r="F158">
        <v>0</v>
      </c>
      <c r="G158">
        <v>4929860</v>
      </c>
    </row>
    <row r="159" spans="2:7" x14ac:dyDescent="0.25">
      <c r="B159" t="s">
        <v>852</v>
      </c>
      <c r="C159" t="s">
        <v>5</v>
      </c>
      <c r="D159">
        <v>0.2</v>
      </c>
      <c r="E159">
        <v>-1</v>
      </c>
      <c r="F159">
        <v>0</v>
      </c>
      <c r="G159">
        <v>4929861</v>
      </c>
    </row>
    <row r="160" spans="2:7" x14ac:dyDescent="0.25">
      <c r="B160" t="s">
        <v>852</v>
      </c>
      <c r="C160" t="s">
        <v>5</v>
      </c>
      <c r="D160">
        <v>0.2</v>
      </c>
      <c r="E160">
        <v>-1</v>
      </c>
      <c r="F160">
        <v>0</v>
      </c>
      <c r="G160">
        <v>4929862</v>
      </c>
    </row>
    <row r="161" spans="2:7" x14ac:dyDescent="0.25">
      <c r="B161" t="s">
        <v>852</v>
      </c>
      <c r="C161" t="s">
        <v>5</v>
      </c>
      <c r="D161">
        <v>0.2</v>
      </c>
      <c r="E161">
        <v>-1</v>
      </c>
      <c r="F161">
        <v>0</v>
      </c>
      <c r="G161">
        <v>4929863</v>
      </c>
    </row>
    <row r="162" spans="2:7" x14ac:dyDescent="0.25">
      <c r="B162" t="s">
        <v>852</v>
      </c>
      <c r="C162" t="s">
        <v>5</v>
      </c>
      <c r="D162">
        <v>0.2</v>
      </c>
      <c r="E162">
        <v>-1</v>
      </c>
      <c r="F162">
        <v>0</v>
      </c>
      <c r="G162">
        <v>4933175</v>
      </c>
    </row>
    <row r="163" spans="2:7" x14ac:dyDescent="0.25">
      <c r="B163" t="s">
        <v>202</v>
      </c>
      <c r="C163" t="s">
        <v>791</v>
      </c>
      <c r="D163">
        <v>0.9</v>
      </c>
      <c r="E163">
        <v>0.5</v>
      </c>
      <c r="F163">
        <v>0</v>
      </c>
      <c r="G163">
        <v>5041661</v>
      </c>
    </row>
    <row r="164" spans="2:7" x14ac:dyDescent="0.25">
      <c r="B164" t="s">
        <v>199</v>
      </c>
      <c r="C164" t="s">
        <v>791</v>
      </c>
      <c r="D164">
        <v>0.9</v>
      </c>
      <c r="E164">
        <v>0.5</v>
      </c>
      <c r="F164">
        <v>0</v>
      </c>
      <c r="G164">
        <v>5041663</v>
      </c>
    </row>
    <row r="165" spans="2:7" x14ac:dyDescent="0.25">
      <c r="B165" t="s">
        <v>203</v>
      </c>
      <c r="C165" t="s">
        <v>791</v>
      </c>
      <c r="D165">
        <v>0.9</v>
      </c>
      <c r="E165">
        <v>0.5</v>
      </c>
      <c r="F165">
        <v>0</v>
      </c>
      <c r="G165">
        <v>5041671</v>
      </c>
    </row>
    <row r="166" spans="2:7" x14ac:dyDescent="0.25">
      <c r="B166" t="s">
        <v>203</v>
      </c>
      <c r="C166" t="s">
        <v>791</v>
      </c>
      <c r="D166">
        <v>0.9</v>
      </c>
      <c r="E166">
        <v>0.5</v>
      </c>
      <c r="F166">
        <v>0</v>
      </c>
      <c r="G166">
        <v>5042682</v>
      </c>
    </row>
    <row r="167" spans="2:7" x14ac:dyDescent="0.25">
      <c r="B167" t="s">
        <v>202</v>
      </c>
      <c r="C167" t="s">
        <v>791</v>
      </c>
      <c r="D167">
        <v>0.9</v>
      </c>
      <c r="E167">
        <v>0.5</v>
      </c>
      <c r="F167">
        <v>0</v>
      </c>
      <c r="G167">
        <v>5045537</v>
      </c>
    </row>
    <row r="168" spans="2:7" x14ac:dyDescent="0.25">
      <c r="B168" t="s">
        <v>222</v>
      </c>
      <c r="C168">
        <v>1875098</v>
      </c>
    </row>
    <row r="169" spans="2:7" x14ac:dyDescent="0.25">
      <c r="B169" t="s">
        <v>199</v>
      </c>
      <c r="C169" t="s">
        <v>791</v>
      </c>
      <c r="D169">
        <v>0.9</v>
      </c>
      <c r="E169">
        <v>0.5</v>
      </c>
      <c r="F169">
        <v>0</v>
      </c>
      <c r="G169">
        <v>5041663</v>
      </c>
    </row>
    <row r="170" spans="2:7" x14ac:dyDescent="0.25">
      <c r="B170" t="s">
        <v>202</v>
      </c>
      <c r="C170" t="s">
        <v>791</v>
      </c>
      <c r="D170">
        <v>0.9</v>
      </c>
      <c r="E170">
        <v>0.5</v>
      </c>
      <c r="F170">
        <v>0</v>
      </c>
      <c r="G170">
        <v>5041664</v>
      </c>
    </row>
    <row r="171" spans="2:7" x14ac:dyDescent="0.25">
      <c r="B171" t="s">
        <v>202</v>
      </c>
      <c r="C171" t="s">
        <v>791</v>
      </c>
      <c r="D171">
        <v>0.9</v>
      </c>
      <c r="E171">
        <v>0.5</v>
      </c>
      <c r="F171">
        <v>0</v>
      </c>
      <c r="G171">
        <v>5041665</v>
      </c>
    </row>
    <row r="172" spans="2:7" x14ac:dyDescent="0.25">
      <c r="B172" t="s">
        <v>202</v>
      </c>
      <c r="C172" t="s">
        <v>791</v>
      </c>
      <c r="D172">
        <v>0.9</v>
      </c>
      <c r="E172">
        <v>0.5</v>
      </c>
      <c r="F172">
        <v>0</v>
      </c>
      <c r="G172">
        <v>5044503</v>
      </c>
    </row>
    <row r="173" spans="2:7" x14ac:dyDescent="0.25">
      <c r="B173" t="s">
        <v>199</v>
      </c>
      <c r="C173" t="s">
        <v>791</v>
      </c>
      <c r="D173">
        <v>0.9</v>
      </c>
      <c r="E173">
        <v>0.5</v>
      </c>
      <c r="F173">
        <v>0</v>
      </c>
      <c r="G173">
        <v>5044582</v>
      </c>
    </row>
    <row r="174" spans="2:7" x14ac:dyDescent="0.25">
      <c r="B174" t="s">
        <v>202</v>
      </c>
      <c r="C174" t="s">
        <v>791</v>
      </c>
      <c r="D174">
        <v>0.9</v>
      </c>
      <c r="E174">
        <v>0.5</v>
      </c>
      <c r="F174">
        <v>0</v>
      </c>
      <c r="G174">
        <v>5044720</v>
      </c>
    </row>
    <row r="175" spans="2:7" x14ac:dyDescent="0.25">
      <c r="B175" t="s">
        <v>223</v>
      </c>
      <c r="C175">
        <v>1875108</v>
      </c>
    </row>
    <row r="176" spans="2:7" x14ac:dyDescent="0.25">
      <c r="B176" t="s">
        <v>786</v>
      </c>
      <c r="C176" t="s">
        <v>5</v>
      </c>
      <c r="D176">
        <v>0.2</v>
      </c>
      <c r="E176">
        <v>-1</v>
      </c>
      <c r="F176">
        <v>0</v>
      </c>
      <c r="G176">
        <v>6320196</v>
      </c>
    </row>
    <row r="177" spans="2:7" x14ac:dyDescent="0.25">
      <c r="B177" t="s">
        <v>224</v>
      </c>
      <c r="C177">
        <v>1875134</v>
      </c>
    </row>
    <row r="178" spans="2:7" x14ac:dyDescent="0.25">
      <c r="B178" t="s">
        <v>786</v>
      </c>
      <c r="C178" t="s">
        <v>5</v>
      </c>
      <c r="D178">
        <v>0.2</v>
      </c>
      <c r="E178">
        <v>-1</v>
      </c>
      <c r="F178">
        <v>0</v>
      </c>
      <c r="G178">
        <v>6320140</v>
      </c>
    </row>
    <row r="179" spans="2:7" x14ac:dyDescent="0.25">
      <c r="B179" t="s">
        <v>225</v>
      </c>
      <c r="C179">
        <v>1875138</v>
      </c>
    </row>
    <row r="180" spans="2:7" x14ac:dyDescent="0.25">
      <c r="B180" t="s">
        <v>840</v>
      </c>
      <c r="C180" t="s">
        <v>1</v>
      </c>
      <c r="D180">
        <v>-1</v>
      </c>
      <c r="E180">
        <v>-0.2</v>
      </c>
      <c r="F180">
        <v>0</v>
      </c>
      <c r="G180">
        <v>6314566</v>
      </c>
    </row>
    <row r="181" spans="2:7" x14ac:dyDescent="0.25">
      <c r="B181" t="s">
        <v>840</v>
      </c>
      <c r="C181" t="s">
        <v>1</v>
      </c>
      <c r="D181">
        <v>-1</v>
      </c>
      <c r="E181">
        <v>-0.2</v>
      </c>
      <c r="F181">
        <v>0</v>
      </c>
      <c r="G181">
        <v>6314606</v>
      </c>
    </row>
    <row r="182" spans="2:7" x14ac:dyDescent="0.25">
      <c r="B182" t="s">
        <v>787</v>
      </c>
      <c r="C182" t="s">
        <v>1</v>
      </c>
      <c r="D182">
        <v>-1</v>
      </c>
      <c r="E182">
        <v>-0.2</v>
      </c>
      <c r="F182">
        <v>0</v>
      </c>
      <c r="G182">
        <v>6314737</v>
      </c>
    </row>
    <row r="183" spans="2:7" x14ac:dyDescent="0.25">
      <c r="B183" t="s">
        <v>786</v>
      </c>
      <c r="C183" t="s">
        <v>1</v>
      </c>
      <c r="D183">
        <v>-1</v>
      </c>
      <c r="E183">
        <v>-0.2</v>
      </c>
      <c r="F183">
        <v>0</v>
      </c>
      <c r="G183">
        <v>6314779</v>
      </c>
    </row>
    <row r="184" spans="2:7" x14ac:dyDescent="0.25">
      <c r="B184" t="s">
        <v>787</v>
      </c>
      <c r="C184" t="s">
        <v>1</v>
      </c>
      <c r="D184">
        <v>-1</v>
      </c>
      <c r="E184">
        <v>-0.2</v>
      </c>
      <c r="F184">
        <v>0</v>
      </c>
      <c r="G184">
        <v>6315067</v>
      </c>
    </row>
    <row r="185" spans="2:7" x14ac:dyDescent="0.25">
      <c r="B185" t="s">
        <v>840</v>
      </c>
      <c r="C185" t="s">
        <v>1</v>
      </c>
      <c r="D185">
        <v>-1</v>
      </c>
      <c r="E185">
        <v>-0.2</v>
      </c>
      <c r="F185">
        <v>0</v>
      </c>
      <c r="G185">
        <v>6315333</v>
      </c>
    </row>
    <row r="186" spans="2:7" x14ac:dyDescent="0.25">
      <c r="B186" t="s">
        <v>840</v>
      </c>
      <c r="C186" t="s">
        <v>1</v>
      </c>
      <c r="D186">
        <v>-1</v>
      </c>
      <c r="E186">
        <v>-0.2</v>
      </c>
      <c r="F186">
        <v>0</v>
      </c>
      <c r="G186">
        <v>6316292</v>
      </c>
    </row>
    <row r="187" spans="2:7" x14ac:dyDescent="0.25">
      <c r="B187" t="s">
        <v>227</v>
      </c>
      <c r="C187">
        <v>1875264</v>
      </c>
    </row>
    <row r="188" spans="2:7" x14ac:dyDescent="0.25">
      <c r="B188" t="s">
        <v>199</v>
      </c>
      <c r="C188" t="s">
        <v>791</v>
      </c>
      <c r="D188">
        <v>0.9</v>
      </c>
      <c r="E188">
        <v>0.5</v>
      </c>
      <c r="F188">
        <v>0</v>
      </c>
      <c r="G188">
        <v>5045612</v>
      </c>
    </row>
    <row r="189" spans="2:7" x14ac:dyDescent="0.25">
      <c r="B189" t="s">
        <v>203</v>
      </c>
      <c r="C189" t="s">
        <v>791</v>
      </c>
      <c r="D189">
        <v>0.9</v>
      </c>
      <c r="E189">
        <v>0.5</v>
      </c>
      <c r="F189">
        <v>0</v>
      </c>
      <c r="G189">
        <v>5045616</v>
      </c>
    </row>
    <row r="190" spans="2:7" x14ac:dyDescent="0.25">
      <c r="B190" t="s">
        <v>228</v>
      </c>
      <c r="C190">
        <v>1875276</v>
      </c>
    </row>
    <row r="191" spans="2:7" x14ac:dyDescent="0.25">
      <c r="B191" t="s">
        <v>199</v>
      </c>
      <c r="C191" t="s">
        <v>74</v>
      </c>
      <c r="D191">
        <v>0.9</v>
      </c>
      <c r="E191">
        <v>0.5</v>
      </c>
      <c r="F191">
        <v>0</v>
      </c>
      <c r="G191">
        <v>5045708</v>
      </c>
    </row>
    <row r="192" spans="2:7" x14ac:dyDescent="0.25">
      <c r="B192" t="s">
        <v>202</v>
      </c>
      <c r="C192" t="s">
        <v>74</v>
      </c>
      <c r="D192">
        <v>0.9</v>
      </c>
      <c r="E192">
        <v>0.5</v>
      </c>
      <c r="F192">
        <v>0</v>
      </c>
      <c r="G192">
        <v>5047120</v>
      </c>
    </row>
    <row r="193" spans="2:7" x14ac:dyDescent="0.25">
      <c r="B193" t="s">
        <v>229</v>
      </c>
      <c r="C193" t="s">
        <v>74</v>
      </c>
      <c r="D193">
        <v>0.9</v>
      </c>
      <c r="E193">
        <v>0.5</v>
      </c>
      <c r="F193">
        <v>0</v>
      </c>
      <c r="G193">
        <v>5047121</v>
      </c>
    </row>
    <row r="194" spans="2:7" x14ac:dyDescent="0.25">
      <c r="B194" t="s">
        <v>203</v>
      </c>
      <c r="C194" t="s">
        <v>74</v>
      </c>
      <c r="D194">
        <v>0.9</v>
      </c>
      <c r="E194">
        <v>0.5</v>
      </c>
      <c r="F194">
        <v>0</v>
      </c>
      <c r="G194">
        <v>5047124</v>
      </c>
    </row>
    <row r="195" spans="2:7" x14ac:dyDescent="0.25">
      <c r="B195" t="s">
        <v>203</v>
      </c>
      <c r="C195" t="s">
        <v>74</v>
      </c>
      <c r="D195">
        <v>0.9</v>
      </c>
      <c r="E195">
        <v>0.5</v>
      </c>
      <c r="F195">
        <v>0</v>
      </c>
      <c r="G195">
        <v>5047125</v>
      </c>
    </row>
    <row r="196" spans="2:7" x14ac:dyDescent="0.25">
      <c r="B196" t="s">
        <v>229</v>
      </c>
      <c r="C196" t="s">
        <v>74</v>
      </c>
      <c r="D196">
        <v>0.9</v>
      </c>
      <c r="E196">
        <v>0.5</v>
      </c>
      <c r="F196">
        <v>0</v>
      </c>
      <c r="G196">
        <v>5047127</v>
      </c>
    </row>
    <row r="197" spans="2:7" x14ac:dyDescent="0.25">
      <c r="B197" t="s">
        <v>231</v>
      </c>
      <c r="C197">
        <v>1875280</v>
      </c>
    </row>
    <row r="198" spans="2:7" x14ac:dyDescent="0.25">
      <c r="B198" t="s">
        <v>202</v>
      </c>
      <c r="C198" t="s">
        <v>791</v>
      </c>
      <c r="D198">
        <v>0.9</v>
      </c>
      <c r="E198">
        <v>0.5</v>
      </c>
      <c r="F198">
        <v>0</v>
      </c>
      <c r="G198">
        <v>5044798</v>
      </c>
    </row>
    <row r="199" spans="2:7" x14ac:dyDescent="0.25">
      <c r="B199" t="s">
        <v>229</v>
      </c>
      <c r="C199" t="s">
        <v>791</v>
      </c>
      <c r="D199">
        <v>0.9</v>
      </c>
      <c r="E199">
        <v>0.5</v>
      </c>
      <c r="F199">
        <v>0</v>
      </c>
      <c r="G199">
        <v>5045611</v>
      </c>
    </row>
    <row r="200" spans="2:7" x14ac:dyDescent="0.25">
      <c r="B200" t="s">
        <v>203</v>
      </c>
      <c r="C200" t="s">
        <v>791</v>
      </c>
      <c r="D200">
        <v>0.9</v>
      </c>
      <c r="E200">
        <v>0.5</v>
      </c>
      <c r="F200">
        <v>0</v>
      </c>
      <c r="G200">
        <v>5045615</v>
      </c>
    </row>
    <row r="201" spans="2:7" x14ac:dyDescent="0.25">
      <c r="B201" t="s">
        <v>203</v>
      </c>
      <c r="C201" t="s">
        <v>791</v>
      </c>
      <c r="D201">
        <v>0.9</v>
      </c>
      <c r="E201">
        <v>0.5</v>
      </c>
      <c r="F201">
        <v>0</v>
      </c>
      <c r="G201">
        <v>5045616</v>
      </c>
    </row>
    <row r="202" spans="2:7" x14ac:dyDescent="0.25">
      <c r="B202" t="s">
        <v>229</v>
      </c>
      <c r="C202" t="s">
        <v>791</v>
      </c>
      <c r="D202">
        <v>0.9</v>
      </c>
      <c r="E202">
        <v>0.5</v>
      </c>
      <c r="F202">
        <v>0</v>
      </c>
      <c r="G202">
        <v>5045620</v>
      </c>
    </row>
    <row r="203" spans="2:7" x14ac:dyDescent="0.25">
      <c r="B203" t="s">
        <v>232</v>
      </c>
      <c r="C203">
        <v>1875300</v>
      </c>
    </row>
    <row r="204" spans="2:7" x14ac:dyDescent="0.25">
      <c r="B204" t="s">
        <v>203</v>
      </c>
      <c r="C204" t="s">
        <v>2</v>
      </c>
      <c r="D204">
        <v>1</v>
      </c>
      <c r="E204">
        <v>0.2</v>
      </c>
      <c r="F204">
        <v>0</v>
      </c>
      <c r="G204">
        <v>5050810</v>
      </c>
    </row>
    <row r="205" spans="2:7" x14ac:dyDescent="0.25">
      <c r="B205" t="s">
        <v>202</v>
      </c>
      <c r="C205" t="s">
        <v>2</v>
      </c>
      <c r="D205">
        <v>1</v>
      </c>
      <c r="E205">
        <v>0.2</v>
      </c>
      <c r="F205">
        <v>0</v>
      </c>
      <c r="G205">
        <v>5050811</v>
      </c>
    </row>
    <row r="206" spans="2:7" x14ac:dyDescent="0.25">
      <c r="B206" t="s">
        <v>854</v>
      </c>
      <c r="C206">
        <v>1875340</v>
      </c>
    </row>
    <row r="207" spans="2:7" x14ac:dyDescent="0.25">
      <c r="B207" t="s">
        <v>787</v>
      </c>
      <c r="C207" t="s">
        <v>1</v>
      </c>
      <c r="D207">
        <v>-1</v>
      </c>
      <c r="E207">
        <v>-0.2</v>
      </c>
      <c r="F207">
        <v>0</v>
      </c>
      <c r="G207">
        <v>6644046</v>
      </c>
    </row>
    <row r="208" spans="2:7" x14ac:dyDescent="0.25">
      <c r="B208" t="s">
        <v>855</v>
      </c>
      <c r="C208">
        <v>1875342</v>
      </c>
    </row>
    <row r="209" spans="2:8" x14ac:dyDescent="0.25">
      <c r="B209" t="s">
        <v>840</v>
      </c>
      <c r="C209" t="s">
        <v>1</v>
      </c>
      <c r="D209">
        <v>-1</v>
      </c>
      <c r="E209">
        <v>-0.2</v>
      </c>
      <c r="F209">
        <v>0</v>
      </c>
      <c r="G209">
        <v>6644360</v>
      </c>
    </row>
    <row r="210" spans="2:8" x14ac:dyDescent="0.25">
      <c r="B210" t="s">
        <v>856</v>
      </c>
      <c r="C210">
        <v>1875418</v>
      </c>
    </row>
    <row r="211" spans="2:8" x14ac:dyDescent="0.25">
      <c r="B211" t="s">
        <v>840</v>
      </c>
      <c r="C211" t="s">
        <v>1</v>
      </c>
      <c r="D211">
        <v>-1</v>
      </c>
      <c r="E211">
        <v>-0.2</v>
      </c>
      <c r="F211">
        <v>0</v>
      </c>
      <c r="G211">
        <v>6645248</v>
      </c>
    </row>
    <row r="212" spans="2:8" x14ac:dyDescent="0.25">
      <c r="B212" t="s">
        <v>857</v>
      </c>
      <c r="C212">
        <v>1875440</v>
      </c>
    </row>
    <row r="213" spans="2:8" x14ac:dyDescent="0.25">
      <c r="B213" t="s">
        <v>797</v>
      </c>
      <c r="C213" t="s">
        <v>1</v>
      </c>
      <c r="D213">
        <v>-1</v>
      </c>
      <c r="E213">
        <v>-0.2</v>
      </c>
      <c r="F213">
        <v>0</v>
      </c>
      <c r="G213">
        <v>6644213</v>
      </c>
    </row>
    <row r="214" spans="2:8" x14ac:dyDescent="0.25">
      <c r="B214" t="s">
        <v>858</v>
      </c>
      <c r="C214">
        <v>1875464</v>
      </c>
    </row>
    <row r="215" spans="2:8" x14ac:dyDescent="0.25">
      <c r="B215" t="s">
        <v>786</v>
      </c>
      <c r="C215" t="s">
        <v>1</v>
      </c>
      <c r="D215">
        <v>-1</v>
      </c>
      <c r="E215">
        <v>-0.2</v>
      </c>
      <c r="F215">
        <v>0</v>
      </c>
      <c r="G215">
        <v>6644694</v>
      </c>
    </row>
    <row r="216" spans="2:8" x14ac:dyDescent="0.25">
      <c r="B216" t="s">
        <v>233</v>
      </c>
      <c r="C216">
        <v>1875506</v>
      </c>
    </row>
    <row r="217" spans="2:8" x14ac:dyDescent="0.25">
      <c r="B217" t="s">
        <v>27</v>
      </c>
      <c r="C217" t="s">
        <v>6</v>
      </c>
      <c r="D217">
        <v>-0.2</v>
      </c>
      <c r="E217">
        <v>1</v>
      </c>
      <c r="F217">
        <v>0</v>
      </c>
      <c r="G217">
        <v>5159253</v>
      </c>
    </row>
    <row r="218" spans="2:8" x14ac:dyDescent="0.25">
      <c r="B218" t="s">
        <v>234</v>
      </c>
      <c r="C218">
        <v>1875508</v>
      </c>
    </row>
    <row r="219" spans="2:8" s="14" customFormat="1" x14ac:dyDescent="0.25">
      <c r="B219" s="14" t="s">
        <v>1081</v>
      </c>
      <c r="C219" s="14" t="s">
        <v>5</v>
      </c>
      <c r="D219" s="14">
        <v>0.2</v>
      </c>
      <c r="E219" s="14">
        <v>-1</v>
      </c>
      <c r="F219" s="14">
        <v>0</v>
      </c>
      <c r="G219" s="14">
        <v>4867450</v>
      </c>
      <c r="H219" s="14" t="s">
        <v>28</v>
      </c>
    </row>
    <row r="220" spans="2:8" x14ac:dyDescent="0.25">
      <c r="B220" t="s">
        <v>31</v>
      </c>
      <c r="C220" t="s">
        <v>5</v>
      </c>
      <c r="D220">
        <v>0.2</v>
      </c>
      <c r="E220">
        <v>-1</v>
      </c>
      <c r="F220">
        <v>0</v>
      </c>
      <c r="G220">
        <v>4867595</v>
      </c>
    </row>
    <row r="221" spans="2:8" x14ac:dyDescent="0.25">
      <c r="B221" t="s">
        <v>235</v>
      </c>
      <c r="C221">
        <v>1875510</v>
      </c>
    </row>
    <row r="222" spans="2:8" x14ac:dyDescent="0.25">
      <c r="B222" t="s">
        <v>28</v>
      </c>
      <c r="C222" t="s">
        <v>5</v>
      </c>
      <c r="D222">
        <v>0.2</v>
      </c>
      <c r="E222">
        <v>-1</v>
      </c>
      <c r="F222">
        <v>0</v>
      </c>
      <c r="G222">
        <v>4867450</v>
      </c>
    </row>
    <row r="223" spans="2:8" x14ac:dyDescent="0.25">
      <c r="B223" t="s">
        <v>236</v>
      </c>
      <c r="C223">
        <v>1875516</v>
      </c>
    </row>
    <row r="224" spans="2:8" x14ac:dyDescent="0.25">
      <c r="B224" t="s">
        <v>31</v>
      </c>
      <c r="C224" t="s">
        <v>5</v>
      </c>
      <c r="D224">
        <v>0.2</v>
      </c>
      <c r="E224">
        <v>-1</v>
      </c>
      <c r="F224">
        <v>0</v>
      </c>
      <c r="G224">
        <v>4866844</v>
      </c>
    </row>
    <row r="225" spans="2:7" x14ac:dyDescent="0.25">
      <c r="B225" t="s">
        <v>237</v>
      </c>
      <c r="C225">
        <v>1875530</v>
      </c>
    </row>
    <row r="226" spans="2:7" x14ac:dyDescent="0.25">
      <c r="B226" t="s">
        <v>33</v>
      </c>
      <c r="C226" t="s">
        <v>5</v>
      </c>
      <c r="D226">
        <v>0.2</v>
      </c>
      <c r="E226">
        <v>-1</v>
      </c>
      <c r="F226">
        <v>0</v>
      </c>
      <c r="G226">
        <v>4867383</v>
      </c>
    </row>
    <row r="227" spans="2:7" x14ac:dyDescent="0.25">
      <c r="B227" t="s">
        <v>238</v>
      </c>
      <c r="C227">
        <v>1875532</v>
      </c>
    </row>
    <row r="228" spans="2:7" x14ac:dyDescent="0.25">
      <c r="B228" t="s">
        <v>30</v>
      </c>
      <c r="C228" t="s">
        <v>5</v>
      </c>
      <c r="D228">
        <v>0.2</v>
      </c>
      <c r="E228">
        <v>-1</v>
      </c>
      <c r="F228">
        <v>0</v>
      </c>
      <c r="G228">
        <v>4865748</v>
      </c>
    </row>
    <row r="229" spans="2:7" x14ac:dyDescent="0.25">
      <c r="B229" t="s">
        <v>239</v>
      </c>
      <c r="C229">
        <v>1875534</v>
      </c>
    </row>
    <row r="230" spans="2:7" x14ac:dyDescent="0.25">
      <c r="B230" t="s">
        <v>31</v>
      </c>
      <c r="C230" t="s">
        <v>5</v>
      </c>
      <c r="D230">
        <v>0.2</v>
      </c>
      <c r="E230">
        <v>-1</v>
      </c>
      <c r="F230">
        <v>0</v>
      </c>
      <c r="G230">
        <v>4866957</v>
      </c>
    </row>
    <row r="231" spans="2:7" x14ac:dyDescent="0.25">
      <c r="B231" t="s">
        <v>240</v>
      </c>
      <c r="C231">
        <v>1875536</v>
      </c>
    </row>
    <row r="232" spans="2:7" x14ac:dyDescent="0.25">
      <c r="B232" t="s">
        <v>27</v>
      </c>
      <c r="C232" t="s">
        <v>5</v>
      </c>
      <c r="D232">
        <v>0.2</v>
      </c>
      <c r="E232">
        <v>-1</v>
      </c>
      <c r="F232">
        <v>0</v>
      </c>
      <c r="G232">
        <v>4866940</v>
      </c>
    </row>
    <row r="233" spans="2:7" x14ac:dyDescent="0.25">
      <c r="B233" t="s">
        <v>241</v>
      </c>
      <c r="C233">
        <v>1875538</v>
      </c>
    </row>
    <row r="234" spans="2:7" x14ac:dyDescent="0.25">
      <c r="B234" t="s">
        <v>30</v>
      </c>
      <c r="C234" t="s">
        <v>5</v>
      </c>
      <c r="D234">
        <v>0.2</v>
      </c>
      <c r="E234">
        <v>-1</v>
      </c>
      <c r="F234">
        <v>0</v>
      </c>
      <c r="G234">
        <v>4866923</v>
      </c>
    </row>
    <row r="235" spans="2:7" x14ac:dyDescent="0.25">
      <c r="B235" t="s">
        <v>242</v>
      </c>
      <c r="C235">
        <v>1875540</v>
      </c>
    </row>
    <row r="236" spans="2:7" x14ac:dyDescent="0.25">
      <c r="B236" t="s">
        <v>31</v>
      </c>
      <c r="C236" t="s">
        <v>5</v>
      </c>
      <c r="D236">
        <v>0.2</v>
      </c>
      <c r="E236">
        <v>-1</v>
      </c>
      <c r="F236">
        <v>0</v>
      </c>
      <c r="G236">
        <v>4865751</v>
      </c>
    </row>
    <row r="237" spans="2:7" x14ac:dyDescent="0.25">
      <c r="B237" t="s">
        <v>243</v>
      </c>
      <c r="C237">
        <v>1875542</v>
      </c>
    </row>
    <row r="238" spans="2:7" x14ac:dyDescent="0.25">
      <c r="B238" t="s">
        <v>27</v>
      </c>
      <c r="C238" t="s">
        <v>5</v>
      </c>
      <c r="D238">
        <v>0.2</v>
      </c>
      <c r="E238">
        <v>-1</v>
      </c>
      <c r="F238">
        <v>0</v>
      </c>
      <c r="G238">
        <v>4866883</v>
      </c>
    </row>
    <row r="239" spans="2:7" x14ac:dyDescent="0.25">
      <c r="B239" t="s">
        <v>244</v>
      </c>
      <c r="C239">
        <v>1875544</v>
      </c>
    </row>
    <row r="240" spans="2:7" x14ac:dyDescent="0.25">
      <c r="B240" t="s">
        <v>31</v>
      </c>
      <c r="C240" t="s">
        <v>5</v>
      </c>
      <c r="D240">
        <v>0.2</v>
      </c>
      <c r="E240">
        <v>-1</v>
      </c>
      <c r="F240">
        <v>0</v>
      </c>
      <c r="G240">
        <v>4866844</v>
      </c>
    </row>
    <row r="241" spans="2:7" x14ac:dyDescent="0.25">
      <c r="B241" t="s">
        <v>245</v>
      </c>
      <c r="C241">
        <v>1876138</v>
      </c>
    </row>
    <row r="242" spans="2:7" x14ac:dyDescent="0.25">
      <c r="B242" t="s">
        <v>786</v>
      </c>
      <c r="C242" t="s">
        <v>1</v>
      </c>
      <c r="D242">
        <v>-1</v>
      </c>
      <c r="E242">
        <v>-0.2</v>
      </c>
      <c r="F242">
        <v>0</v>
      </c>
      <c r="G242">
        <v>6314209</v>
      </c>
    </row>
    <row r="243" spans="2:7" x14ac:dyDescent="0.25">
      <c r="B243" t="s">
        <v>786</v>
      </c>
      <c r="C243" t="s">
        <v>5</v>
      </c>
      <c r="D243">
        <v>0.2</v>
      </c>
      <c r="E243">
        <v>-1</v>
      </c>
      <c r="F243">
        <v>0</v>
      </c>
      <c r="G243">
        <v>6321954</v>
      </c>
    </row>
    <row r="244" spans="2:7" x14ac:dyDescent="0.25">
      <c r="B244" t="s">
        <v>787</v>
      </c>
      <c r="C244" t="s">
        <v>5</v>
      </c>
      <c r="D244">
        <v>0.2</v>
      </c>
      <c r="E244">
        <v>-1</v>
      </c>
      <c r="F244">
        <v>0</v>
      </c>
      <c r="G244">
        <v>6322010</v>
      </c>
    </row>
    <row r="245" spans="2:7" x14ac:dyDescent="0.25">
      <c r="B245" t="s">
        <v>840</v>
      </c>
      <c r="C245" t="s">
        <v>5</v>
      </c>
      <c r="D245">
        <v>0.2</v>
      </c>
      <c r="E245">
        <v>-1</v>
      </c>
      <c r="F245">
        <v>0</v>
      </c>
      <c r="G245">
        <v>6322093</v>
      </c>
    </row>
    <row r="246" spans="2:7" x14ac:dyDescent="0.25">
      <c r="B246" t="s">
        <v>859</v>
      </c>
      <c r="C246">
        <v>1876140</v>
      </c>
    </row>
    <row r="247" spans="2:7" x14ac:dyDescent="0.25">
      <c r="B247" t="s">
        <v>787</v>
      </c>
      <c r="C247" t="s">
        <v>1</v>
      </c>
      <c r="D247">
        <v>-1</v>
      </c>
      <c r="E247">
        <v>-0.2</v>
      </c>
      <c r="F247">
        <v>0</v>
      </c>
      <c r="G247">
        <v>6644046</v>
      </c>
    </row>
    <row r="248" spans="2:7" x14ac:dyDescent="0.25">
      <c r="B248" t="s">
        <v>860</v>
      </c>
      <c r="C248">
        <v>1876150</v>
      </c>
    </row>
    <row r="249" spans="2:7" x14ac:dyDescent="0.25">
      <c r="B249" t="s">
        <v>840</v>
      </c>
      <c r="C249" t="s">
        <v>5</v>
      </c>
      <c r="D249">
        <v>0.2</v>
      </c>
      <c r="E249">
        <v>-1</v>
      </c>
      <c r="F249">
        <v>0</v>
      </c>
      <c r="G249">
        <v>6645667</v>
      </c>
    </row>
    <row r="250" spans="2:7" x14ac:dyDescent="0.25">
      <c r="B250" t="s">
        <v>787</v>
      </c>
      <c r="C250" t="s">
        <v>5</v>
      </c>
      <c r="D250">
        <v>0.2</v>
      </c>
      <c r="E250">
        <v>-1</v>
      </c>
      <c r="F250">
        <v>0</v>
      </c>
      <c r="G250">
        <v>6645712</v>
      </c>
    </row>
    <row r="251" spans="2:7" x14ac:dyDescent="0.25">
      <c r="B251" t="s">
        <v>861</v>
      </c>
      <c r="C251">
        <v>1876152</v>
      </c>
    </row>
    <row r="252" spans="2:7" x14ac:dyDescent="0.25">
      <c r="B252" t="s">
        <v>787</v>
      </c>
      <c r="C252" t="s">
        <v>5</v>
      </c>
      <c r="D252">
        <v>0.2</v>
      </c>
      <c r="E252">
        <v>-1</v>
      </c>
      <c r="F252">
        <v>0</v>
      </c>
      <c r="G252">
        <v>6645601</v>
      </c>
    </row>
    <row r="253" spans="2:7" x14ac:dyDescent="0.25">
      <c r="B253" t="s">
        <v>246</v>
      </c>
      <c r="C253">
        <v>1876154</v>
      </c>
    </row>
    <row r="254" spans="2:7" x14ac:dyDescent="0.25">
      <c r="B254" t="s">
        <v>787</v>
      </c>
      <c r="C254" t="s">
        <v>1</v>
      </c>
      <c r="D254">
        <v>-1</v>
      </c>
      <c r="E254">
        <v>-0.2</v>
      </c>
      <c r="F254">
        <v>0</v>
      </c>
      <c r="G254">
        <v>6314349</v>
      </c>
    </row>
    <row r="255" spans="2:7" x14ac:dyDescent="0.25">
      <c r="B255" t="s">
        <v>247</v>
      </c>
      <c r="C255">
        <v>1876274</v>
      </c>
    </row>
    <row r="256" spans="2:7" x14ac:dyDescent="0.25">
      <c r="B256" t="s">
        <v>27</v>
      </c>
      <c r="C256" t="s">
        <v>6</v>
      </c>
      <c r="D256">
        <v>-0.2</v>
      </c>
      <c r="E256">
        <v>1</v>
      </c>
      <c r="F256">
        <v>0</v>
      </c>
      <c r="G256">
        <v>4791823</v>
      </c>
    </row>
    <row r="257" spans="2:8" x14ac:dyDescent="0.25">
      <c r="B257" t="s">
        <v>31</v>
      </c>
      <c r="C257" t="s">
        <v>6</v>
      </c>
      <c r="D257">
        <v>-0.2</v>
      </c>
      <c r="E257">
        <v>1</v>
      </c>
      <c r="F257">
        <v>0</v>
      </c>
      <c r="G257">
        <v>4791902</v>
      </c>
    </row>
    <row r="258" spans="2:8" x14ac:dyDescent="0.25">
      <c r="B258" t="s">
        <v>248</v>
      </c>
      <c r="C258">
        <v>1876278</v>
      </c>
    </row>
    <row r="259" spans="2:8" x14ac:dyDescent="0.25">
      <c r="B259" t="s">
        <v>38</v>
      </c>
      <c r="C259" t="s">
        <v>6</v>
      </c>
      <c r="D259">
        <v>-0.2</v>
      </c>
      <c r="E259">
        <v>1</v>
      </c>
      <c r="F259">
        <v>0</v>
      </c>
      <c r="G259">
        <v>4839794</v>
      </c>
    </row>
    <row r="260" spans="2:8" x14ac:dyDescent="0.25">
      <c r="B260" t="s">
        <v>31</v>
      </c>
      <c r="C260" t="s">
        <v>1</v>
      </c>
      <c r="D260">
        <v>-1</v>
      </c>
      <c r="E260">
        <v>-0.2</v>
      </c>
      <c r="F260">
        <v>0</v>
      </c>
      <c r="G260">
        <v>4860670</v>
      </c>
    </row>
    <row r="261" spans="2:8" x14ac:dyDescent="0.25">
      <c r="B261" t="s">
        <v>249</v>
      </c>
      <c r="C261">
        <v>1876288</v>
      </c>
    </row>
    <row r="262" spans="2:8" s="14" customFormat="1" x14ac:dyDescent="0.25">
      <c r="B262" s="14" t="s">
        <v>1085</v>
      </c>
      <c r="C262" s="14" t="s">
        <v>6</v>
      </c>
      <c r="D262" s="14">
        <v>-0.2</v>
      </c>
      <c r="E262" s="14">
        <v>1</v>
      </c>
      <c r="F262" s="14">
        <v>0</v>
      </c>
      <c r="G262" s="14">
        <v>5147563</v>
      </c>
      <c r="H262" s="14" t="s">
        <v>803</v>
      </c>
    </row>
    <row r="263" spans="2:8" x14ac:dyDescent="0.25">
      <c r="B263" t="s">
        <v>250</v>
      </c>
      <c r="C263">
        <v>1876290</v>
      </c>
    </row>
    <row r="264" spans="2:8" s="14" customFormat="1" x14ac:dyDescent="0.25">
      <c r="B264" s="14" t="s">
        <v>1085</v>
      </c>
      <c r="C264" s="14" t="s">
        <v>6</v>
      </c>
      <c r="D264" s="14">
        <v>-0.2</v>
      </c>
      <c r="E264" s="14">
        <v>1</v>
      </c>
      <c r="F264" s="14">
        <v>0</v>
      </c>
      <c r="G264" s="14">
        <v>5147564</v>
      </c>
      <c r="H264" s="14" t="s">
        <v>806</v>
      </c>
    </row>
    <row r="265" spans="2:8" s="14" customFormat="1" x14ac:dyDescent="0.25">
      <c r="B265" s="14" t="s">
        <v>1085</v>
      </c>
      <c r="C265" s="14" t="s">
        <v>819</v>
      </c>
      <c r="D265" s="14">
        <v>1</v>
      </c>
      <c r="E265" s="14">
        <v>0.2</v>
      </c>
      <c r="F265" s="14">
        <v>0</v>
      </c>
      <c r="G265" s="14">
        <v>5193640</v>
      </c>
      <c r="H265" s="14" t="s">
        <v>806</v>
      </c>
    </row>
    <row r="266" spans="2:8" s="14" customFormat="1" x14ac:dyDescent="0.25">
      <c r="B266" s="14" t="s">
        <v>1085</v>
      </c>
      <c r="C266" s="14" t="s">
        <v>835</v>
      </c>
      <c r="D266" s="14">
        <v>1</v>
      </c>
      <c r="E266" s="14">
        <v>0.3</v>
      </c>
      <c r="F266" s="14">
        <v>0</v>
      </c>
      <c r="G266" s="14">
        <v>5194974</v>
      </c>
      <c r="H266" s="14" t="s">
        <v>803</v>
      </c>
    </row>
    <row r="267" spans="2:8" s="14" customFormat="1" x14ac:dyDescent="0.25">
      <c r="B267" s="14" t="s">
        <v>1085</v>
      </c>
      <c r="C267" s="14" t="s">
        <v>862</v>
      </c>
      <c r="D267" s="14">
        <v>1</v>
      </c>
      <c r="E267" s="14">
        <v>0.3</v>
      </c>
      <c r="F267" s="14">
        <v>0</v>
      </c>
      <c r="G267" s="14">
        <v>5195004</v>
      </c>
      <c r="H267" s="14" t="s">
        <v>806</v>
      </c>
    </row>
    <row r="268" spans="2:8" s="14" customFormat="1" x14ac:dyDescent="0.25">
      <c r="B268" s="14" t="s">
        <v>1085</v>
      </c>
      <c r="C268" s="14" t="s">
        <v>6</v>
      </c>
      <c r="D268" s="14">
        <v>-0.2</v>
      </c>
      <c r="E268" s="14">
        <v>1</v>
      </c>
      <c r="F268" s="14">
        <v>0</v>
      </c>
      <c r="G268" s="14">
        <v>6503065</v>
      </c>
      <c r="H268" s="14" t="s">
        <v>803</v>
      </c>
    </row>
    <row r="269" spans="2:8" s="14" customFormat="1" x14ac:dyDescent="0.25">
      <c r="B269" s="14" t="s">
        <v>1085</v>
      </c>
      <c r="C269" s="14" t="s">
        <v>863</v>
      </c>
      <c r="D269" s="14">
        <v>1</v>
      </c>
      <c r="E269" s="14">
        <v>0.2</v>
      </c>
      <c r="F269" s="14">
        <v>0</v>
      </c>
      <c r="G269" s="14">
        <v>6535161</v>
      </c>
      <c r="H269" s="14" t="s">
        <v>803</v>
      </c>
    </row>
    <row r="270" spans="2:8" x14ac:dyDescent="0.25">
      <c r="B270" t="s">
        <v>255</v>
      </c>
      <c r="C270">
        <v>1876306</v>
      </c>
    </row>
    <row r="271" spans="2:8" x14ac:dyDescent="0.25">
      <c r="B271" t="s">
        <v>27</v>
      </c>
      <c r="C271" t="s">
        <v>6</v>
      </c>
      <c r="D271">
        <v>-0.2</v>
      </c>
      <c r="E271">
        <v>1</v>
      </c>
      <c r="F271">
        <v>0</v>
      </c>
      <c r="G271">
        <v>4791777</v>
      </c>
    </row>
    <row r="272" spans="2:8" x14ac:dyDescent="0.25">
      <c r="B272" t="s">
        <v>256</v>
      </c>
      <c r="C272">
        <v>1882449</v>
      </c>
    </row>
    <row r="273" spans="2:10" s="14" customFormat="1" x14ac:dyDescent="0.25">
      <c r="B273" s="14" t="s">
        <v>1085</v>
      </c>
      <c r="C273" s="14" t="s">
        <v>864</v>
      </c>
      <c r="D273" s="14">
        <v>0.9</v>
      </c>
      <c r="E273" s="14">
        <v>0.4</v>
      </c>
      <c r="F273" s="14">
        <v>0</v>
      </c>
      <c r="G273" s="14">
        <v>5183186</v>
      </c>
      <c r="J273" s="14" t="s">
        <v>810</v>
      </c>
    </row>
    <row r="274" spans="2:10" x14ac:dyDescent="0.25">
      <c r="B274" t="s">
        <v>258</v>
      </c>
      <c r="C274">
        <v>1882481</v>
      </c>
    </row>
    <row r="275" spans="2:10" x14ac:dyDescent="0.25">
      <c r="B275" t="s">
        <v>203</v>
      </c>
      <c r="C275" t="s">
        <v>2</v>
      </c>
      <c r="D275">
        <v>1</v>
      </c>
      <c r="E275">
        <v>0.2</v>
      </c>
      <c r="F275">
        <v>0</v>
      </c>
      <c r="G275">
        <v>5050152</v>
      </c>
    </row>
    <row r="276" spans="2:10" x14ac:dyDescent="0.25">
      <c r="B276" t="s">
        <v>259</v>
      </c>
      <c r="C276">
        <v>1882551</v>
      </c>
    </row>
    <row r="277" spans="2:10" s="14" customFormat="1" x14ac:dyDescent="0.25">
      <c r="B277" s="14" t="s">
        <v>1085</v>
      </c>
      <c r="C277" s="14" t="s">
        <v>865</v>
      </c>
      <c r="D277" s="14">
        <v>0.9</v>
      </c>
      <c r="E277" s="14">
        <v>0.3</v>
      </c>
      <c r="F277" s="14">
        <v>0</v>
      </c>
      <c r="G277" s="14">
        <v>5183145</v>
      </c>
      <c r="J277" s="14" t="s">
        <v>806</v>
      </c>
    </row>
    <row r="278" spans="2:10" s="14" customFormat="1" x14ac:dyDescent="0.25">
      <c r="B278" s="14" t="s">
        <v>1085</v>
      </c>
      <c r="C278" s="14" t="s">
        <v>837</v>
      </c>
      <c r="D278" s="14">
        <v>0.9</v>
      </c>
      <c r="E278" s="14">
        <v>0.3</v>
      </c>
      <c r="F278" s="14">
        <v>0</v>
      </c>
      <c r="G278" s="14">
        <v>5185262</v>
      </c>
      <c r="J278" s="14" t="s">
        <v>803</v>
      </c>
    </row>
    <row r="279" spans="2:10" x14ac:dyDescent="0.25">
      <c r="B279" t="s">
        <v>262</v>
      </c>
      <c r="C279">
        <v>1891213</v>
      </c>
    </row>
    <row r="280" spans="2:10" x14ac:dyDescent="0.25">
      <c r="B280" t="s">
        <v>31</v>
      </c>
      <c r="C280" t="s">
        <v>815</v>
      </c>
      <c r="D280">
        <v>-0.5</v>
      </c>
      <c r="E280">
        <v>0.8</v>
      </c>
      <c r="F280">
        <v>0</v>
      </c>
      <c r="G280">
        <v>6091422</v>
      </c>
    </row>
    <row r="281" spans="2:10" x14ac:dyDescent="0.25">
      <c r="B281" t="s">
        <v>263</v>
      </c>
      <c r="C281">
        <v>1891215</v>
      </c>
    </row>
    <row r="282" spans="2:10" x14ac:dyDescent="0.25">
      <c r="B282" t="s">
        <v>27</v>
      </c>
      <c r="C282" t="s">
        <v>329</v>
      </c>
      <c r="D282">
        <v>0.3</v>
      </c>
      <c r="E282">
        <v>-0.9</v>
      </c>
      <c r="F282">
        <v>0</v>
      </c>
      <c r="G282">
        <v>4792530</v>
      </c>
    </row>
    <row r="283" spans="2:10" x14ac:dyDescent="0.25">
      <c r="B283" t="s">
        <v>264</v>
      </c>
      <c r="C283">
        <v>1891217</v>
      </c>
    </row>
    <row r="284" spans="2:10" s="14" customFormat="1" x14ac:dyDescent="0.25">
      <c r="B284" s="14" t="s">
        <v>1085</v>
      </c>
      <c r="C284" s="14" t="s">
        <v>866</v>
      </c>
      <c r="D284" s="14">
        <v>0.9</v>
      </c>
      <c r="E284" s="14">
        <v>0.4</v>
      </c>
      <c r="F284" s="14">
        <v>0</v>
      </c>
      <c r="G284" s="14">
        <v>6552644</v>
      </c>
      <c r="J284" s="14" t="s">
        <v>803</v>
      </c>
    </row>
    <row r="285" spans="2:10" x14ac:dyDescent="0.25">
      <c r="B285" t="s">
        <v>266</v>
      </c>
      <c r="C285">
        <v>1891221</v>
      </c>
    </row>
    <row r="286" spans="2:10" x14ac:dyDescent="0.25">
      <c r="B286" t="s">
        <v>31</v>
      </c>
      <c r="C286" t="s">
        <v>817</v>
      </c>
      <c r="D286">
        <v>-0.4</v>
      </c>
      <c r="E286">
        <v>0.9</v>
      </c>
      <c r="F286">
        <v>0</v>
      </c>
      <c r="G286">
        <v>4780088</v>
      </c>
    </row>
    <row r="287" spans="2:10" x14ac:dyDescent="0.25">
      <c r="B287" t="s">
        <v>267</v>
      </c>
      <c r="C287">
        <v>1891223</v>
      </c>
    </row>
    <row r="288" spans="2:10" x14ac:dyDescent="0.25">
      <c r="B288" t="s">
        <v>31</v>
      </c>
      <c r="C288" t="s">
        <v>815</v>
      </c>
      <c r="D288">
        <v>-0.5</v>
      </c>
      <c r="E288">
        <v>0.8</v>
      </c>
      <c r="F288">
        <v>0</v>
      </c>
      <c r="G288">
        <v>6091430</v>
      </c>
    </row>
    <row r="289" spans="2:10" x14ac:dyDescent="0.25">
      <c r="B289" t="s">
        <v>33</v>
      </c>
      <c r="C289" t="s">
        <v>815</v>
      </c>
      <c r="D289">
        <v>-0.5</v>
      </c>
      <c r="E289">
        <v>0.8</v>
      </c>
      <c r="F289">
        <v>0</v>
      </c>
      <c r="G289">
        <v>6091464</v>
      </c>
    </row>
    <row r="290" spans="2:10" x14ac:dyDescent="0.25">
      <c r="B290" t="s">
        <v>268</v>
      </c>
      <c r="C290">
        <v>1891231</v>
      </c>
    </row>
    <row r="291" spans="2:10" x14ac:dyDescent="0.25">
      <c r="B291" t="s">
        <v>33</v>
      </c>
      <c r="C291" t="s">
        <v>815</v>
      </c>
      <c r="D291">
        <v>-0.5</v>
      </c>
      <c r="E291">
        <v>0.8</v>
      </c>
      <c r="F291">
        <v>0</v>
      </c>
      <c r="G291">
        <v>6091438</v>
      </c>
    </row>
    <row r="292" spans="2:10" x14ac:dyDescent="0.25">
      <c r="B292" t="s">
        <v>269</v>
      </c>
      <c r="C292">
        <v>1891235</v>
      </c>
    </row>
    <row r="293" spans="2:10" s="14" customFormat="1" x14ac:dyDescent="0.25">
      <c r="B293" s="14" t="s">
        <v>1085</v>
      </c>
      <c r="C293" s="14" t="s">
        <v>42</v>
      </c>
      <c r="D293" s="14">
        <v>0.5</v>
      </c>
      <c r="E293" s="14">
        <v>-0.8</v>
      </c>
      <c r="F293" s="14">
        <v>0</v>
      </c>
      <c r="G293" s="14">
        <v>6324477</v>
      </c>
      <c r="J293" s="14" t="s">
        <v>803</v>
      </c>
    </row>
    <row r="294" spans="2:10" s="14" customFormat="1" x14ac:dyDescent="0.25">
      <c r="B294" s="14" t="s">
        <v>1085</v>
      </c>
      <c r="C294" s="14" t="s">
        <v>42</v>
      </c>
      <c r="D294" s="14">
        <v>0.5</v>
      </c>
      <c r="E294" s="14">
        <v>-0.8</v>
      </c>
      <c r="F294" s="14">
        <v>0</v>
      </c>
      <c r="G294" s="14">
        <v>6516778</v>
      </c>
      <c r="J294" s="14" t="s">
        <v>803</v>
      </c>
    </row>
    <row r="295" spans="2:10" x14ac:dyDescent="0.25">
      <c r="B295" t="s">
        <v>270</v>
      </c>
      <c r="C295">
        <v>1891239</v>
      </c>
    </row>
    <row r="296" spans="2:10" x14ac:dyDescent="0.25">
      <c r="B296" t="s">
        <v>33</v>
      </c>
      <c r="C296" t="s">
        <v>815</v>
      </c>
      <c r="D296">
        <v>-0.5</v>
      </c>
      <c r="E296">
        <v>0.8</v>
      </c>
      <c r="F296">
        <v>0</v>
      </c>
      <c r="G296">
        <v>6091433</v>
      </c>
    </row>
    <row r="297" spans="2:10" x14ac:dyDescent="0.25">
      <c r="B297" t="s">
        <v>271</v>
      </c>
      <c r="C297">
        <v>1891243</v>
      </c>
    </row>
    <row r="298" spans="2:10" x14ac:dyDescent="0.25">
      <c r="B298" t="s">
        <v>31</v>
      </c>
      <c r="C298" t="s">
        <v>802</v>
      </c>
      <c r="D298">
        <v>-0.3</v>
      </c>
      <c r="E298">
        <v>0.9</v>
      </c>
      <c r="F298">
        <v>0</v>
      </c>
      <c r="G298">
        <v>4785987</v>
      </c>
    </row>
    <row r="299" spans="2:10" x14ac:dyDescent="0.25">
      <c r="B299" t="s">
        <v>27</v>
      </c>
      <c r="C299" t="s">
        <v>802</v>
      </c>
      <c r="D299">
        <v>-0.3</v>
      </c>
      <c r="E299">
        <v>0.9</v>
      </c>
      <c r="F299">
        <v>0</v>
      </c>
      <c r="G299">
        <v>5168592</v>
      </c>
    </row>
    <row r="300" spans="2:10" x14ac:dyDescent="0.25">
      <c r="B300" t="s">
        <v>272</v>
      </c>
      <c r="C300">
        <v>1891245</v>
      </c>
    </row>
    <row r="301" spans="2:10" s="14" customFormat="1" x14ac:dyDescent="0.25">
      <c r="B301" s="14" t="s">
        <v>1085</v>
      </c>
      <c r="C301" s="14" t="s">
        <v>802</v>
      </c>
      <c r="D301" s="14">
        <v>-0.3</v>
      </c>
      <c r="E301" s="14">
        <v>0.9</v>
      </c>
      <c r="F301" s="14">
        <v>0</v>
      </c>
      <c r="G301" s="14">
        <v>5147644</v>
      </c>
      <c r="H301" s="14" t="s">
        <v>806</v>
      </c>
    </row>
    <row r="302" spans="2:10" x14ac:dyDescent="0.25">
      <c r="B302" t="s">
        <v>273</v>
      </c>
      <c r="C302">
        <v>1891247</v>
      </c>
    </row>
    <row r="303" spans="2:10" x14ac:dyDescent="0.25">
      <c r="B303" t="s">
        <v>27</v>
      </c>
      <c r="C303" t="s">
        <v>329</v>
      </c>
      <c r="D303">
        <v>0.3</v>
      </c>
      <c r="E303">
        <v>-0.9</v>
      </c>
      <c r="F303">
        <v>0</v>
      </c>
      <c r="G303">
        <v>4792344</v>
      </c>
    </row>
    <row r="304" spans="2:10" x14ac:dyDescent="0.25">
      <c r="B304" t="s">
        <v>274</v>
      </c>
      <c r="C304">
        <v>1891249</v>
      </c>
    </row>
    <row r="305" spans="2:8" x14ac:dyDescent="0.25">
      <c r="B305" t="s">
        <v>30</v>
      </c>
      <c r="C305" t="s">
        <v>329</v>
      </c>
      <c r="D305">
        <v>0.3</v>
      </c>
      <c r="E305">
        <v>-0.9</v>
      </c>
      <c r="F305">
        <v>0</v>
      </c>
      <c r="G305">
        <v>4792188</v>
      </c>
    </row>
    <row r="306" spans="2:8" x14ac:dyDescent="0.25">
      <c r="B306" t="s">
        <v>275</v>
      </c>
      <c r="C306">
        <v>1891257</v>
      </c>
    </row>
    <row r="307" spans="2:8" x14ac:dyDescent="0.25">
      <c r="B307" t="s">
        <v>33</v>
      </c>
      <c r="C307" t="s">
        <v>817</v>
      </c>
      <c r="D307">
        <v>-0.4</v>
      </c>
      <c r="E307">
        <v>0.9</v>
      </c>
      <c r="F307">
        <v>0</v>
      </c>
      <c r="G307">
        <v>4779829</v>
      </c>
    </row>
    <row r="308" spans="2:8" x14ac:dyDescent="0.25">
      <c r="B308" t="s">
        <v>276</v>
      </c>
      <c r="C308">
        <v>1891263</v>
      </c>
    </row>
    <row r="309" spans="2:8" x14ac:dyDescent="0.25">
      <c r="B309" t="s">
        <v>27</v>
      </c>
      <c r="C309" t="s">
        <v>327</v>
      </c>
      <c r="D309">
        <v>0.4</v>
      </c>
      <c r="E309">
        <v>-0.9</v>
      </c>
      <c r="F309">
        <v>0</v>
      </c>
      <c r="G309">
        <v>4785989</v>
      </c>
    </row>
    <row r="310" spans="2:8" x14ac:dyDescent="0.25">
      <c r="B310" t="s">
        <v>277</v>
      </c>
      <c r="C310">
        <v>1891265</v>
      </c>
    </row>
    <row r="311" spans="2:8" x14ac:dyDescent="0.25">
      <c r="B311" t="s">
        <v>27</v>
      </c>
      <c r="C311" t="s">
        <v>817</v>
      </c>
      <c r="D311">
        <v>-0.4</v>
      </c>
      <c r="E311">
        <v>0.9</v>
      </c>
      <c r="F311">
        <v>0</v>
      </c>
      <c r="G311">
        <v>5148032</v>
      </c>
    </row>
    <row r="312" spans="2:8" x14ac:dyDescent="0.25">
      <c r="B312" t="s">
        <v>278</v>
      </c>
      <c r="C312">
        <v>1891267</v>
      </c>
    </row>
    <row r="313" spans="2:8" x14ac:dyDescent="0.25">
      <c r="B313" t="s">
        <v>31</v>
      </c>
      <c r="C313" t="s">
        <v>327</v>
      </c>
      <c r="D313">
        <v>0.4</v>
      </c>
      <c r="E313">
        <v>-0.9</v>
      </c>
      <c r="F313">
        <v>0</v>
      </c>
      <c r="G313">
        <v>4785982</v>
      </c>
    </row>
    <row r="314" spans="2:8" x14ac:dyDescent="0.25">
      <c r="B314" t="s">
        <v>27</v>
      </c>
      <c r="C314" t="s">
        <v>327</v>
      </c>
      <c r="D314">
        <v>0.4</v>
      </c>
      <c r="E314">
        <v>-0.9</v>
      </c>
      <c r="F314">
        <v>0</v>
      </c>
      <c r="G314">
        <v>4785990</v>
      </c>
    </row>
    <row r="315" spans="2:8" x14ac:dyDescent="0.25">
      <c r="B315" t="s">
        <v>279</v>
      </c>
      <c r="C315">
        <v>1891271</v>
      </c>
    </row>
    <row r="316" spans="2:8" s="14" customFormat="1" x14ac:dyDescent="0.25">
      <c r="B316" s="14" t="s">
        <v>1085</v>
      </c>
      <c r="C316" s="14" t="s">
        <v>327</v>
      </c>
      <c r="D316" s="14">
        <v>0.4</v>
      </c>
      <c r="E316" s="14">
        <v>-0.9</v>
      </c>
      <c r="F316" s="14">
        <v>0</v>
      </c>
      <c r="G316" s="14">
        <v>6507643</v>
      </c>
      <c r="H316" s="14" t="s">
        <v>803</v>
      </c>
    </row>
    <row r="317" spans="2:8" x14ac:dyDescent="0.25">
      <c r="B317" t="s">
        <v>280</v>
      </c>
      <c r="C317">
        <v>1891287</v>
      </c>
    </row>
    <row r="318" spans="2:8" s="14" customFormat="1" x14ac:dyDescent="0.25">
      <c r="B318" s="14" t="s">
        <v>1085</v>
      </c>
      <c r="C318" s="14" t="s">
        <v>327</v>
      </c>
      <c r="D318" s="14">
        <v>0.4</v>
      </c>
      <c r="E318" s="14">
        <v>-0.9</v>
      </c>
      <c r="F318" s="14">
        <v>0</v>
      </c>
      <c r="G318" s="14">
        <v>5147877</v>
      </c>
      <c r="H318" s="14" t="s">
        <v>803</v>
      </c>
    </row>
    <row r="319" spans="2:8" x14ac:dyDescent="0.25">
      <c r="B319" t="s">
        <v>281</v>
      </c>
      <c r="C319">
        <v>1891301</v>
      </c>
    </row>
    <row r="320" spans="2:8" s="14" customFormat="1" x14ac:dyDescent="0.25">
      <c r="B320" s="14" t="s">
        <v>1085</v>
      </c>
      <c r="C320" s="14" t="s">
        <v>327</v>
      </c>
      <c r="D320" s="14">
        <v>0.4</v>
      </c>
      <c r="E320" s="14">
        <v>-0.9</v>
      </c>
      <c r="F320" s="14">
        <v>0</v>
      </c>
      <c r="G320" s="14">
        <v>5147937</v>
      </c>
      <c r="H320" s="14" t="s">
        <v>806</v>
      </c>
    </row>
    <row r="321" spans="2:7" x14ac:dyDescent="0.25">
      <c r="B321" t="s">
        <v>803</v>
      </c>
      <c r="C321" t="s">
        <v>327</v>
      </c>
      <c r="D321">
        <v>0.4</v>
      </c>
      <c r="E321">
        <v>-0.9</v>
      </c>
      <c r="F321">
        <v>0</v>
      </c>
      <c r="G321">
        <v>6507287</v>
      </c>
    </row>
    <row r="322" spans="2:7" x14ac:dyDescent="0.25">
      <c r="B322" t="s">
        <v>282</v>
      </c>
      <c r="C322">
        <v>1891305</v>
      </c>
    </row>
    <row r="323" spans="2:7" x14ac:dyDescent="0.25">
      <c r="B323" t="s">
        <v>27</v>
      </c>
      <c r="C323" t="s">
        <v>42</v>
      </c>
      <c r="D323">
        <v>0.5</v>
      </c>
      <c r="E323">
        <v>-0.8</v>
      </c>
      <c r="F323">
        <v>0</v>
      </c>
      <c r="G323">
        <v>4714988</v>
      </c>
    </row>
    <row r="324" spans="2:7" x14ac:dyDescent="0.25">
      <c r="B324" t="s">
        <v>283</v>
      </c>
      <c r="C324">
        <v>1891307</v>
      </c>
    </row>
    <row r="325" spans="2:7" x14ac:dyDescent="0.25">
      <c r="B325" t="s">
        <v>30</v>
      </c>
      <c r="C325" t="s">
        <v>42</v>
      </c>
      <c r="D325">
        <v>0.5</v>
      </c>
      <c r="E325">
        <v>-0.8</v>
      </c>
      <c r="F325">
        <v>0</v>
      </c>
      <c r="G325">
        <v>4714944</v>
      </c>
    </row>
    <row r="326" spans="2:7" x14ac:dyDescent="0.25">
      <c r="B326" t="s">
        <v>284</v>
      </c>
      <c r="C326">
        <v>1891309</v>
      </c>
    </row>
    <row r="327" spans="2:7" x14ac:dyDescent="0.25">
      <c r="B327" t="s">
        <v>27</v>
      </c>
      <c r="C327" t="s">
        <v>42</v>
      </c>
      <c r="D327">
        <v>0.5</v>
      </c>
      <c r="E327">
        <v>-0.8</v>
      </c>
      <c r="F327">
        <v>0</v>
      </c>
      <c r="G327">
        <v>4716839</v>
      </c>
    </row>
    <row r="328" spans="2:7" x14ac:dyDescent="0.25">
      <c r="B328" t="s">
        <v>285</v>
      </c>
      <c r="C328">
        <v>1891313</v>
      </c>
    </row>
    <row r="329" spans="2:7" x14ac:dyDescent="0.25">
      <c r="B329" t="s">
        <v>30</v>
      </c>
      <c r="C329" t="s">
        <v>815</v>
      </c>
      <c r="D329">
        <v>-0.5</v>
      </c>
      <c r="E329">
        <v>0.8</v>
      </c>
      <c r="F329">
        <v>0</v>
      </c>
      <c r="G329">
        <v>6091424</v>
      </c>
    </row>
    <row r="330" spans="2:7" x14ac:dyDescent="0.25">
      <c r="B330" t="s">
        <v>286</v>
      </c>
      <c r="C330">
        <v>1891315</v>
      </c>
    </row>
    <row r="331" spans="2:7" x14ac:dyDescent="0.25">
      <c r="B331" t="s">
        <v>27</v>
      </c>
      <c r="C331" t="s">
        <v>817</v>
      </c>
      <c r="D331">
        <v>-0.4</v>
      </c>
      <c r="E331">
        <v>0.9</v>
      </c>
      <c r="F331">
        <v>0</v>
      </c>
      <c r="G331">
        <v>4779976</v>
      </c>
    </row>
    <row r="332" spans="2:7" x14ac:dyDescent="0.25">
      <c r="B332" t="s">
        <v>287</v>
      </c>
      <c r="C332">
        <v>1891317</v>
      </c>
    </row>
    <row r="333" spans="2:7" x14ac:dyDescent="0.25">
      <c r="B333" t="s">
        <v>30</v>
      </c>
      <c r="C333" t="s">
        <v>327</v>
      </c>
      <c r="D333">
        <v>0.4</v>
      </c>
      <c r="E333">
        <v>-0.9</v>
      </c>
      <c r="F333">
        <v>0</v>
      </c>
      <c r="G333">
        <v>4785983</v>
      </c>
    </row>
    <row r="334" spans="2:7" x14ac:dyDescent="0.25">
      <c r="B334" t="s">
        <v>288</v>
      </c>
      <c r="C334">
        <v>1891319</v>
      </c>
    </row>
    <row r="335" spans="2:7" x14ac:dyDescent="0.25">
      <c r="B335" t="s">
        <v>31</v>
      </c>
      <c r="C335" t="s">
        <v>327</v>
      </c>
      <c r="D335">
        <v>0.4</v>
      </c>
      <c r="E335">
        <v>-0.9</v>
      </c>
      <c r="F335">
        <v>0</v>
      </c>
      <c r="G335">
        <v>5147810</v>
      </c>
    </row>
    <row r="336" spans="2:7" x14ac:dyDescent="0.25">
      <c r="B336" t="s">
        <v>289</v>
      </c>
      <c r="C336">
        <v>1891321</v>
      </c>
    </row>
    <row r="337" spans="2:8" s="14" customFormat="1" x14ac:dyDescent="0.25">
      <c r="B337" s="14" t="s">
        <v>1085</v>
      </c>
      <c r="C337" s="14" t="s">
        <v>867</v>
      </c>
      <c r="D337" s="14">
        <v>0.9</v>
      </c>
      <c r="E337" s="14">
        <v>0.4</v>
      </c>
      <c r="F337" s="14">
        <v>0</v>
      </c>
      <c r="G337" s="14">
        <v>6535190</v>
      </c>
      <c r="H337" s="14" t="s">
        <v>821</v>
      </c>
    </row>
    <row r="338" spans="2:8" x14ac:dyDescent="0.25">
      <c r="B338" t="s">
        <v>291</v>
      </c>
      <c r="C338">
        <v>1891323</v>
      </c>
    </row>
    <row r="339" spans="2:8" x14ac:dyDescent="0.25">
      <c r="B339" t="s">
        <v>31</v>
      </c>
      <c r="C339" t="s">
        <v>802</v>
      </c>
      <c r="D339">
        <v>-0.3</v>
      </c>
      <c r="E339">
        <v>0.9</v>
      </c>
      <c r="F339">
        <v>0</v>
      </c>
      <c r="G339">
        <v>5147569</v>
      </c>
    </row>
    <row r="340" spans="2:8" x14ac:dyDescent="0.25">
      <c r="B340" t="s">
        <v>292</v>
      </c>
      <c r="C340">
        <v>1891325</v>
      </c>
    </row>
    <row r="341" spans="2:8" x14ac:dyDescent="0.25">
      <c r="B341" t="s">
        <v>27</v>
      </c>
      <c r="C341" t="s">
        <v>802</v>
      </c>
      <c r="D341">
        <v>-0.3</v>
      </c>
      <c r="E341">
        <v>0.9</v>
      </c>
      <c r="F341">
        <v>0</v>
      </c>
      <c r="G341">
        <v>5147561</v>
      </c>
    </row>
    <row r="342" spans="2:8" x14ac:dyDescent="0.25">
      <c r="B342" t="s">
        <v>293</v>
      </c>
      <c r="C342">
        <v>1891327</v>
      </c>
    </row>
    <row r="343" spans="2:8" x14ac:dyDescent="0.25">
      <c r="B343" t="s">
        <v>30</v>
      </c>
      <c r="C343" t="s">
        <v>802</v>
      </c>
      <c r="D343">
        <v>-0.3</v>
      </c>
      <c r="E343">
        <v>0.9</v>
      </c>
      <c r="F343">
        <v>0</v>
      </c>
      <c r="G343">
        <v>4785971</v>
      </c>
    </row>
    <row r="344" spans="2:8" x14ac:dyDescent="0.25">
      <c r="B344" t="s">
        <v>294</v>
      </c>
      <c r="C344">
        <v>1891329</v>
      </c>
    </row>
    <row r="345" spans="2:8" x14ac:dyDescent="0.25">
      <c r="B345" t="s">
        <v>31</v>
      </c>
      <c r="C345" t="s">
        <v>802</v>
      </c>
      <c r="D345">
        <v>-0.3</v>
      </c>
      <c r="E345">
        <v>0.9</v>
      </c>
      <c r="F345">
        <v>0</v>
      </c>
      <c r="G345">
        <v>4785988</v>
      </c>
    </row>
    <row r="346" spans="2:8" x14ac:dyDescent="0.25">
      <c r="B346" t="s">
        <v>295</v>
      </c>
      <c r="C346">
        <v>1891331</v>
      </c>
    </row>
    <row r="347" spans="2:8" x14ac:dyDescent="0.25">
      <c r="B347" t="s">
        <v>27</v>
      </c>
      <c r="C347" t="s">
        <v>802</v>
      </c>
      <c r="D347">
        <v>-0.3</v>
      </c>
      <c r="E347">
        <v>0.9</v>
      </c>
      <c r="F347">
        <v>0</v>
      </c>
      <c r="G347">
        <v>4785986</v>
      </c>
    </row>
    <row r="348" spans="2:8" x14ac:dyDescent="0.25">
      <c r="B348" t="s">
        <v>296</v>
      </c>
      <c r="C348">
        <v>1891337</v>
      </c>
    </row>
    <row r="349" spans="2:8" x14ac:dyDescent="0.25">
      <c r="B349" t="s">
        <v>31</v>
      </c>
      <c r="C349" t="s">
        <v>329</v>
      </c>
      <c r="D349">
        <v>0.3</v>
      </c>
      <c r="E349">
        <v>-0.9</v>
      </c>
      <c r="F349">
        <v>0</v>
      </c>
      <c r="G349">
        <v>4792568</v>
      </c>
    </row>
    <row r="350" spans="2:8" x14ac:dyDescent="0.25">
      <c r="B350" t="s">
        <v>297</v>
      </c>
      <c r="C350">
        <v>1891339</v>
      </c>
    </row>
    <row r="351" spans="2:8" s="14" customFormat="1" x14ac:dyDescent="0.25">
      <c r="B351" s="14" t="s">
        <v>1085</v>
      </c>
      <c r="C351" s="14" t="s">
        <v>802</v>
      </c>
      <c r="D351" s="14">
        <v>-0.3</v>
      </c>
      <c r="E351" s="14">
        <v>0.9</v>
      </c>
      <c r="F351" s="14">
        <v>0</v>
      </c>
      <c r="G351" s="14">
        <v>6506239</v>
      </c>
      <c r="H351" s="14" t="s">
        <v>803</v>
      </c>
    </row>
    <row r="352" spans="2:8" x14ac:dyDescent="0.25">
      <c r="B352" t="s">
        <v>298</v>
      </c>
      <c r="C352">
        <v>1891341</v>
      </c>
    </row>
    <row r="353" spans="2:8" s="14" customFormat="1" x14ac:dyDescent="0.25">
      <c r="B353" s="14" t="s">
        <v>1085</v>
      </c>
      <c r="C353" s="14" t="s">
        <v>802</v>
      </c>
      <c r="D353" s="14">
        <v>-0.3</v>
      </c>
      <c r="E353" s="14">
        <v>0.9</v>
      </c>
      <c r="F353" s="14">
        <v>0</v>
      </c>
      <c r="G353" s="14">
        <v>6506157</v>
      </c>
      <c r="H353" s="14" t="s">
        <v>803</v>
      </c>
    </row>
    <row r="354" spans="2:8" x14ac:dyDescent="0.25">
      <c r="B354" t="s">
        <v>299</v>
      </c>
      <c r="C354">
        <v>1891343</v>
      </c>
    </row>
    <row r="355" spans="2:8" x14ac:dyDescent="0.25">
      <c r="B355" t="s">
        <v>30</v>
      </c>
      <c r="C355" t="s">
        <v>329</v>
      </c>
      <c r="D355">
        <v>0.3</v>
      </c>
      <c r="E355">
        <v>-0.9</v>
      </c>
      <c r="F355">
        <v>0</v>
      </c>
      <c r="G355">
        <v>4792454</v>
      </c>
    </row>
    <row r="356" spans="2:8" x14ac:dyDescent="0.25">
      <c r="B356" t="s">
        <v>300</v>
      </c>
      <c r="C356">
        <v>1891345</v>
      </c>
    </row>
    <row r="357" spans="2:8" x14ac:dyDescent="0.25">
      <c r="B357" t="s">
        <v>31</v>
      </c>
      <c r="C357" t="s">
        <v>329</v>
      </c>
      <c r="D357">
        <v>0.3</v>
      </c>
      <c r="E357">
        <v>-0.9</v>
      </c>
      <c r="F357">
        <v>0</v>
      </c>
      <c r="G357">
        <v>4792404</v>
      </c>
    </row>
    <row r="358" spans="2:8" x14ac:dyDescent="0.25">
      <c r="B358" t="s">
        <v>301</v>
      </c>
      <c r="C358">
        <v>1891347</v>
      </c>
    </row>
    <row r="359" spans="2:8" x14ac:dyDescent="0.25">
      <c r="B359" t="s">
        <v>31</v>
      </c>
      <c r="C359" t="s">
        <v>329</v>
      </c>
      <c r="D359">
        <v>0.3</v>
      </c>
      <c r="E359">
        <v>-0.9</v>
      </c>
      <c r="F359">
        <v>0</v>
      </c>
      <c r="G359">
        <v>4792126</v>
      </c>
    </row>
    <row r="360" spans="2:8" x14ac:dyDescent="0.25">
      <c r="B360" t="s">
        <v>302</v>
      </c>
      <c r="C360">
        <v>1891351</v>
      </c>
    </row>
    <row r="361" spans="2:8" s="14" customFormat="1" x14ac:dyDescent="0.25">
      <c r="B361" s="14" t="s">
        <v>1085</v>
      </c>
      <c r="C361" s="14" t="s">
        <v>42</v>
      </c>
      <c r="D361" s="14">
        <v>0.5</v>
      </c>
      <c r="E361" s="14">
        <v>-0.8</v>
      </c>
      <c r="F361" s="14">
        <v>0</v>
      </c>
      <c r="G361" s="14">
        <v>5148315</v>
      </c>
      <c r="H361" s="14" t="s">
        <v>806</v>
      </c>
    </row>
    <row r="362" spans="2:8" x14ac:dyDescent="0.25">
      <c r="B362" t="s">
        <v>303</v>
      </c>
      <c r="C362">
        <v>1891355</v>
      </c>
    </row>
    <row r="363" spans="2:8" x14ac:dyDescent="0.25">
      <c r="B363" t="s">
        <v>33</v>
      </c>
      <c r="C363" t="s">
        <v>817</v>
      </c>
      <c r="D363">
        <v>-0.4</v>
      </c>
      <c r="E363">
        <v>0.9</v>
      </c>
      <c r="F363">
        <v>0</v>
      </c>
      <c r="G363">
        <v>4780137</v>
      </c>
    </row>
    <row r="364" spans="2:8" x14ac:dyDescent="0.25">
      <c r="B364" t="s">
        <v>304</v>
      </c>
      <c r="C364">
        <v>1891357</v>
      </c>
    </row>
    <row r="365" spans="2:8" x14ac:dyDescent="0.25">
      <c r="B365" t="s">
        <v>27</v>
      </c>
      <c r="C365" t="s">
        <v>817</v>
      </c>
      <c r="D365">
        <v>-0.4</v>
      </c>
      <c r="E365">
        <v>0.9</v>
      </c>
      <c r="F365">
        <v>0</v>
      </c>
      <c r="G365">
        <v>4779936</v>
      </c>
    </row>
    <row r="366" spans="2:8" x14ac:dyDescent="0.25">
      <c r="B366" t="s">
        <v>305</v>
      </c>
      <c r="C366">
        <v>1891359</v>
      </c>
    </row>
    <row r="367" spans="2:8" x14ac:dyDescent="0.25">
      <c r="B367" t="s">
        <v>27</v>
      </c>
      <c r="C367" t="s">
        <v>327</v>
      </c>
      <c r="D367">
        <v>0.4</v>
      </c>
      <c r="E367">
        <v>-0.9</v>
      </c>
      <c r="F367">
        <v>0</v>
      </c>
      <c r="G367">
        <v>4785984</v>
      </c>
    </row>
    <row r="368" spans="2:8" x14ac:dyDescent="0.25">
      <c r="B368" t="s">
        <v>306</v>
      </c>
      <c r="C368">
        <v>1891361</v>
      </c>
    </row>
    <row r="369" spans="2:7" x14ac:dyDescent="0.25">
      <c r="B369" t="s">
        <v>27</v>
      </c>
      <c r="C369" t="s">
        <v>327</v>
      </c>
      <c r="D369">
        <v>0.4</v>
      </c>
      <c r="E369">
        <v>-0.9</v>
      </c>
      <c r="F369">
        <v>0</v>
      </c>
      <c r="G369">
        <v>4785985</v>
      </c>
    </row>
    <row r="370" spans="2:7" x14ac:dyDescent="0.25">
      <c r="B370" t="s">
        <v>27</v>
      </c>
      <c r="C370" t="s">
        <v>327</v>
      </c>
      <c r="D370">
        <v>0.4</v>
      </c>
      <c r="E370">
        <v>-0.9</v>
      </c>
      <c r="F370">
        <v>0</v>
      </c>
      <c r="G370">
        <v>5168606</v>
      </c>
    </row>
    <row r="371" spans="2:7" x14ac:dyDescent="0.25">
      <c r="B371" t="s">
        <v>307</v>
      </c>
      <c r="C371">
        <v>1891395</v>
      </c>
    </row>
    <row r="372" spans="2:7" x14ac:dyDescent="0.25">
      <c r="B372" t="s">
        <v>30</v>
      </c>
      <c r="C372" t="s">
        <v>815</v>
      </c>
      <c r="D372">
        <v>-0.5</v>
      </c>
      <c r="E372">
        <v>0.8</v>
      </c>
      <c r="F372">
        <v>0</v>
      </c>
      <c r="G372">
        <v>6091437</v>
      </c>
    </row>
    <row r="373" spans="2:7" x14ac:dyDescent="0.25">
      <c r="B373" t="s">
        <v>308</v>
      </c>
      <c r="C373">
        <v>1900752</v>
      </c>
    </row>
    <row r="374" spans="2:7" x14ac:dyDescent="0.25">
      <c r="B374" t="s">
        <v>203</v>
      </c>
      <c r="C374" t="s">
        <v>2</v>
      </c>
      <c r="D374">
        <v>1</v>
      </c>
      <c r="E374">
        <v>0.2</v>
      </c>
      <c r="F374">
        <v>0</v>
      </c>
      <c r="G374">
        <v>5050669</v>
      </c>
    </row>
    <row r="375" spans="2:7" x14ac:dyDescent="0.25">
      <c r="B375" t="s">
        <v>200</v>
      </c>
      <c r="C375" t="s">
        <v>2</v>
      </c>
      <c r="D375">
        <v>1</v>
      </c>
      <c r="E375">
        <v>0.2</v>
      </c>
      <c r="F375">
        <v>0</v>
      </c>
      <c r="G375">
        <v>5050670</v>
      </c>
    </row>
    <row r="376" spans="2:7" x14ac:dyDescent="0.25">
      <c r="B376" t="s">
        <v>199</v>
      </c>
      <c r="C376" t="s">
        <v>2</v>
      </c>
      <c r="D376">
        <v>1</v>
      </c>
      <c r="E376">
        <v>0.2</v>
      </c>
      <c r="F376">
        <v>0</v>
      </c>
      <c r="G376">
        <v>5065966</v>
      </c>
    </row>
    <row r="377" spans="2:7" x14ac:dyDescent="0.25">
      <c r="B377" t="s">
        <v>202</v>
      </c>
      <c r="C377" t="s">
        <v>2</v>
      </c>
      <c r="D377">
        <v>1</v>
      </c>
      <c r="E377">
        <v>0.2</v>
      </c>
      <c r="F377">
        <v>0</v>
      </c>
      <c r="G377">
        <v>5065967</v>
      </c>
    </row>
    <row r="378" spans="2:7" x14ac:dyDescent="0.25">
      <c r="B378" t="s">
        <v>202</v>
      </c>
      <c r="C378" t="s">
        <v>2</v>
      </c>
      <c r="D378">
        <v>1</v>
      </c>
      <c r="E378">
        <v>0.2</v>
      </c>
      <c r="F378">
        <v>0</v>
      </c>
      <c r="G378">
        <v>5065969</v>
      </c>
    </row>
    <row r="379" spans="2:7" x14ac:dyDescent="0.25">
      <c r="B379" t="s">
        <v>197</v>
      </c>
      <c r="C379" t="s">
        <v>2</v>
      </c>
      <c r="D379">
        <v>1</v>
      </c>
      <c r="E379">
        <v>0.2</v>
      </c>
      <c r="F379">
        <v>0</v>
      </c>
      <c r="G379">
        <v>5499900</v>
      </c>
    </row>
    <row r="380" spans="2:7" x14ac:dyDescent="0.25">
      <c r="B380" t="s">
        <v>200</v>
      </c>
      <c r="C380" t="s">
        <v>2</v>
      </c>
      <c r="D380">
        <v>1</v>
      </c>
      <c r="E380">
        <v>0.2</v>
      </c>
      <c r="F380">
        <v>0</v>
      </c>
      <c r="G380">
        <v>5500094</v>
      </c>
    </row>
    <row r="381" spans="2:7" x14ac:dyDescent="0.25">
      <c r="B381" t="s">
        <v>197</v>
      </c>
      <c r="C381" t="s">
        <v>2</v>
      </c>
      <c r="D381">
        <v>1</v>
      </c>
      <c r="E381">
        <v>0.2</v>
      </c>
      <c r="F381">
        <v>0</v>
      </c>
      <c r="G381">
        <v>5500193</v>
      </c>
    </row>
    <row r="382" spans="2:7" x14ac:dyDescent="0.25">
      <c r="B382" t="s">
        <v>309</v>
      </c>
      <c r="C382">
        <v>2042307</v>
      </c>
    </row>
    <row r="383" spans="2:7" x14ac:dyDescent="0.25">
      <c r="B383" t="s">
        <v>851</v>
      </c>
      <c r="C383" t="s">
        <v>5</v>
      </c>
      <c r="D383">
        <v>0.2</v>
      </c>
      <c r="E383">
        <v>-1</v>
      </c>
      <c r="F383">
        <v>0</v>
      </c>
      <c r="G383">
        <v>4929847</v>
      </c>
    </row>
    <row r="384" spans="2:7" x14ac:dyDescent="0.25">
      <c r="B384" t="s">
        <v>852</v>
      </c>
      <c r="C384" t="s">
        <v>5</v>
      </c>
      <c r="D384">
        <v>0.2</v>
      </c>
      <c r="E384">
        <v>-1</v>
      </c>
      <c r="F384">
        <v>0</v>
      </c>
      <c r="G384">
        <v>4929849</v>
      </c>
    </row>
    <row r="385" spans="2:7" x14ac:dyDescent="0.25">
      <c r="B385" t="s">
        <v>852</v>
      </c>
      <c r="C385" t="s">
        <v>5</v>
      </c>
      <c r="D385">
        <v>0.2</v>
      </c>
      <c r="E385">
        <v>-1</v>
      </c>
      <c r="F385">
        <v>0</v>
      </c>
      <c r="G385">
        <v>4929850</v>
      </c>
    </row>
    <row r="386" spans="2:7" x14ac:dyDescent="0.25">
      <c r="B386" t="s">
        <v>310</v>
      </c>
      <c r="C386">
        <v>2042309</v>
      </c>
    </row>
    <row r="387" spans="2:7" x14ac:dyDescent="0.25">
      <c r="B387" t="s">
        <v>852</v>
      </c>
      <c r="C387" t="s">
        <v>5</v>
      </c>
      <c r="D387">
        <v>0.2</v>
      </c>
      <c r="E387">
        <v>-1</v>
      </c>
      <c r="F387">
        <v>0</v>
      </c>
      <c r="G387">
        <v>4929848</v>
      </c>
    </row>
    <row r="388" spans="2:7" x14ac:dyDescent="0.25">
      <c r="B388" t="s">
        <v>852</v>
      </c>
      <c r="C388" t="s">
        <v>5</v>
      </c>
      <c r="D388">
        <v>0.2</v>
      </c>
      <c r="E388">
        <v>-1</v>
      </c>
      <c r="F388">
        <v>0</v>
      </c>
      <c r="G388">
        <v>4929849</v>
      </c>
    </row>
    <row r="389" spans="2:7" x14ac:dyDescent="0.25">
      <c r="B389" t="s">
        <v>852</v>
      </c>
      <c r="C389" t="s">
        <v>5</v>
      </c>
      <c r="D389">
        <v>0.2</v>
      </c>
      <c r="E389">
        <v>-1</v>
      </c>
      <c r="F389">
        <v>0</v>
      </c>
      <c r="G389">
        <v>4929851</v>
      </c>
    </row>
    <row r="390" spans="2:7" x14ac:dyDescent="0.25">
      <c r="B390" t="s">
        <v>311</v>
      </c>
      <c r="C390">
        <v>2096295</v>
      </c>
    </row>
    <row r="391" spans="2:7" x14ac:dyDescent="0.25">
      <c r="B391" t="s">
        <v>33</v>
      </c>
      <c r="C391" t="s">
        <v>6</v>
      </c>
      <c r="D391">
        <v>-0.2</v>
      </c>
      <c r="E391">
        <v>1</v>
      </c>
      <c r="F391">
        <v>0</v>
      </c>
      <c r="G391">
        <v>4821685</v>
      </c>
    </row>
    <row r="392" spans="2:7" x14ac:dyDescent="0.25">
      <c r="B392" t="s">
        <v>33</v>
      </c>
      <c r="C392" t="s">
        <v>6</v>
      </c>
      <c r="D392">
        <v>-0.2</v>
      </c>
      <c r="E392">
        <v>1</v>
      </c>
      <c r="F392">
        <v>0</v>
      </c>
      <c r="G392">
        <v>4822026</v>
      </c>
    </row>
    <row r="393" spans="2:7" x14ac:dyDescent="0.25">
      <c r="B393" t="s">
        <v>312</v>
      </c>
      <c r="C393">
        <v>2096297</v>
      </c>
    </row>
    <row r="394" spans="2:7" x14ac:dyDescent="0.25">
      <c r="B394" t="s">
        <v>31</v>
      </c>
      <c r="C394" t="s">
        <v>847</v>
      </c>
      <c r="D394">
        <v>-1</v>
      </c>
      <c r="E394">
        <v>-0.1</v>
      </c>
      <c r="F394">
        <v>0</v>
      </c>
      <c r="G394">
        <v>4849034</v>
      </c>
    </row>
    <row r="395" spans="2:7" x14ac:dyDescent="0.25">
      <c r="B395" t="s">
        <v>313</v>
      </c>
      <c r="C395">
        <v>2127124</v>
      </c>
    </row>
    <row r="396" spans="2:7" x14ac:dyDescent="0.25">
      <c r="B396" t="s">
        <v>810</v>
      </c>
      <c r="C396" t="s">
        <v>794</v>
      </c>
      <c r="D396">
        <v>0</v>
      </c>
      <c r="E396">
        <v>-1</v>
      </c>
      <c r="F396">
        <v>0</v>
      </c>
      <c r="G396">
        <v>5207350</v>
      </c>
    </row>
    <row r="397" spans="2:7" x14ac:dyDescent="0.25">
      <c r="B397" t="s">
        <v>803</v>
      </c>
      <c r="C397" t="s">
        <v>794</v>
      </c>
      <c r="D397">
        <v>0</v>
      </c>
      <c r="E397">
        <v>-1</v>
      </c>
      <c r="F397">
        <v>0</v>
      </c>
      <c r="G397">
        <v>5207353</v>
      </c>
    </row>
    <row r="398" spans="2:7" x14ac:dyDescent="0.25">
      <c r="B398" t="s">
        <v>803</v>
      </c>
      <c r="C398" t="s">
        <v>794</v>
      </c>
      <c r="D398">
        <v>0</v>
      </c>
      <c r="E398">
        <v>-1</v>
      </c>
      <c r="F398">
        <v>0</v>
      </c>
      <c r="G398">
        <v>6518008</v>
      </c>
    </row>
    <row r="399" spans="2:7" x14ac:dyDescent="0.25">
      <c r="B399" t="s">
        <v>314</v>
      </c>
      <c r="C399">
        <v>2142010</v>
      </c>
    </row>
    <row r="400" spans="2:7" x14ac:dyDescent="0.25">
      <c r="B400" t="s">
        <v>202</v>
      </c>
      <c r="C400" t="s">
        <v>2</v>
      </c>
      <c r="D400">
        <v>1</v>
      </c>
      <c r="E400">
        <v>0.2</v>
      </c>
      <c r="F400">
        <v>0</v>
      </c>
      <c r="G400">
        <v>5050166</v>
      </c>
    </row>
    <row r="401" spans="2:7" x14ac:dyDescent="0.25">
      <c r="B401" t="s">
        <v>199</v>
      </c>
      <c r="C401" t="s">
        <v>2</v>
      </c>
      <c r="D401">
        <v>1</v>
      </c>
      <c r="E401">
        <v>0.2</v>
      </c>
      <c r="F401">
        <v>0</v>
      </c>
      <c r="G401">
        <v>5050167</v>
      </c>
    </row>
    <row r="402" spans="2:7" x14ac:dyDescent="0.25">
      <c r="C402">
        <v>2158647</v>
      </c>
    </row>
    <row r="403" spans="2:7" x14ac:dyDescent="0.25">
      <c r="B403" t="s">
        <v>852</v>
      </c>
      <c r="C403" t="s">
        <v>7</v>
      </c>
      <c r="D403">
        <v>-0.9</v>
      </c>
      <c r="E403">
        <v>-0.5</v>
      </c>
      <c r="F403">
        <v>0</v>
      </c>
      <c r="G403">
        <v>5490580</v>
      </c>
    </row>
    <row r="404" spans="2:7" x14ac:dyDescent="0.25">
      <c r="C404">
        <v>2158668</v>
      </c>
    </row>
    <row r="405" spans="2:7" x14ac:dyDescent="0.25">
      <c r="B405" t="s">
        <v>803</v>
      </c>
      <c r="C405" t="s">
        <v>42</v>
      </c>
      <c r="D405">
        <v>0.5</v>
      </c>
      <c r="E405">
        <v>-0.8</v>
      </c>
      <c r="F405">
        <v>0</v>
      </c>
      <c r="G405">
        <v>6516778</v>
      </c>
    </row>
    <row r="406" spans="2:7" x14ac:dyDescent="0.25">
      <c r="B406" t="s">
        <v>868</v>
      </c>
      <c r="C406">
        <v>2160625</v>
      </c>
    </row>
    <row r="407" spans="2:7" x14ac:dyDescent="0.25">
      <c r="B407" t="s">
        <v>28</v>
      </c>
      <c r="C407" t="s">
        <v>796</v>
      </c>
      <c r="D407">
        <v>-0.1</v>
      </c>
      <c r="E407">
        <v>-1</v>
      </c>
      <c r="F407">
        <v>0</v>
      </c>
      <c r="G407">
        <v>4795723</v>
      </c>
    </row>
    <row r="408" spans="2:7" x14ac:dyDescent="0.25">
      <c r="B408" t="s">
        <v>27</v>
      </c>
      <c r="C408" t="s">
        <v>796</v>
      </c>
      <c r="D408">
        <v>-0.1</v>
      </c>
      <c r="E408">
        <v>-1</v>
      </c>
      <c r="F408">
        <v>0</v>
      </c>
      <c r="G408">
        <v>4795768</v>
      </c>
    </row>
    <row r="409" spans="2:7" x14ac:dyDescent="0.25">
      <c r="B409" t="s">
        <v>27</v>
      </c>
      <c r="C409" t="s">
        <v>796</v>
      </c>
      <c r="D409">
        <v>-0.1</v>
      </c>
      <c r="E409">
        <v>-1</v>
      </c>
      <c r="F409">
        <v>0</v>
      </c>
      <c r="G409">
        <v>4795769</v>
      </c>
    </row>
    <row r="410" spans="2:7" x14ac:dyDescent="0.25">
      <c r="B410" t="s">
        <v>28</v>
      </c>
      <c r="C410" t="s">
        <v>796</v>
      </c>
      <c r="D410">
        <v>-0.1</v>
      </c>
      <c r="E410">
        <v>-1</v>
      </c>
      <c r="F410">
        <v>0</v>
      </c>
      <c r="G410">
        <v>4795770</v>
      </c>
    </row>
    <row r="411" spans="2:7" x14ac:dyDescent="0.25">
      <c r="B411" t="s">
        <v>28</v>
      </c>
      <c r="C411" t="s">
        <v>796</v>
      </c>
      <c r="D411">
        <v>-0.1</v>
      </c>
      <c r="E411">
        <v>-1</v>
      </c>
      <c r="F411">
        <v>0</v>
      </c>
      <c r="G411">
        <v>4795773</v>
      </c>
    </row>
    <row r="412" spans="2:7" x14ac:dyDescent="0.25">
      <c r="B412" t="s">
        <v>31</v>
      </c>
      <c r="C412" t="s">
        <v>796</v>
      </c>
      <c r="D412">
        <v>-0.1</v>
      </c>
      <c r="E412">
        <v>-1</v>
      </c>
      <c r="F412">
        <v>0</v>
      </c>
      <c r="G412">
        <v>4795776</v>
      </c>
    </row>
    <row r="413" spans="2:7" x14ac:dyDescent="0.25">
      <c r="B413" t="s">
        <v>31</v>
      </c>
      <c r="C413" t="s">
        <v>796</v>
      </c>
      <c r="D413">
        <v>-0.1</v>
      </c>
      <c r="E413">
        <v>-1</v>
      </c>
      <c r="F413">
        <v>0</v>
      </c>
      <c r="G413">
        <v>4795778</v>
      </c>
    </row>
    <row r="414" spans="2:7" x14ac:dyDescent="0.25">
      <c r="B414" t="s">
        <v>30</v>
      </c>
      <c r="C414" t="s">
        <v>796</v>
      </c>
      <c r="D414">
        <v>-0.1</v>
      </c>
      <c r="E414">
        <v>-1</v>
      </c>
      <c r="F414">
        <v>0</v>
      </c>
      <c r="G414">
        <v>4795779</v>
      </c>
    </row>
    <row r="415" spans="2:7" x14ac:dyDescent="0.25">
      <c r="B415" t="s">
        <v>27</v>
      </c>
      <c r="C415" t="s">
        <v>796</v>
      </c>
      <c r="D415">
        <v>-0.1</v>
      </c>
      <c r="E415">
        <v>-1</v>
      </c>
      <c r="F415">
        <v>0</v>
      </c>
      <c r="G415">
        <v>4795783</v>
      </c>
    </row>
    <row r="416" spans="2:7" x14ac:dyDescent="0.25">
      <c r="B416" t="s">
        <v>31</v>
      </c>
      <c r="C416" t="s">
        <v>796</v>
      </c>
      <c r="D416">
        <v>-0.1</v>
      </c>
      <c r="E416">
        <v>-1</v>
      </c>
      <c r="F416">
        <v>0</v>
      </c>
      <c r="G416">
        <v>4795785</v>
      </c>
    </row>
    <row r="417" spans="2:7" x14ac:dyDescent="0.25">
      <c r="B417" t="s">
        <v>31</v>
      </c>
      <c r="C417" t="s">
        <v>795</v>
      </c>
      <c r="D417">
        <v>0.1</v>
      </c>
      <c r="E417">
        <v>1</v>
      </c>
      <c r="F417">
        <v>0</v>
      </c>
      <c r="G417">
        <v>4810087</v>
      </c>
    </row>
    <row r="418" spans="2:7" x14ac:dyDescent="0.25">
      <c r="B418" t="s">
        <v>28</v>
      </c>
      <c r="C418" t="s">
        <v>795</v>
      </c>
      <c r="D418">
        <v>0.1</v>
      </c>
      <c r="E418">
        <v>1</v>
      </c>
      <c r="F418">
        <v>0</v>
      </c>
      <c r="G418">
        <v>4810159</v>
      </c>
    </row>
    <row r="419" spans="2:7" x14ac:dyDescent="0.25">
      <c r="B419" t="s">
        <v>31</v>
      </c>
      <c r="C419" t="s">
        <v>795</v>
      </c>
      <c r="D419">
        <v>0.1</v>
      </c>
      <c r="E419">
        <v>1</v>
      </c>
      <c r="F419">
        <v>0</v>
      </c>
      <c r="G419">
        <v>4810260</v>
      </c>
    </row>
    <row r="420" spans="2:7" x14ac:dyDescent="0.25">
      <c r="B420" t="s">
        <v>31</v>
      </c>
      <c r="C420" t="s">
        <v>795</v>
      </c>
      <c r="D420">
        <v>0.1</v>
      </c>
      <c r="E420">
        <v>1</v>
      </c>
      <c r="F420">
        <v>0</v>
      </c>
      <c r="G420">
        <v>4810393</v>
      </c>
    </row>
    <row r="421" spans="2:7" x14ac:dyDescent="0.25">
      <c r="B421" t="s">
        <v>31</v>
      </c>
      <c r="C421" t="s">
        <v>869</v>
      </c>
      <c r="D421">
        <v>-1</v>
      </c>
      <c r="E421">
        <v>0.1</v>
      </c>
      <c r="F421">
        <v>0</v>
      </c>
      <c r="G421">
        <v>4841854</v>
      </c>
    </row>
    <row r="422" spans="2:7" x14ac:dyDescent="0.25">
      <c r="B422" t="s">
        <v>31</v>
      </c>
      <c r="C422" t="s">
        <v>869</v>
      </c>
      <c r="D422">
        <v>-1</v>
      </c>
      <c r="E422">
        <v>0.1</v>
      </c>
      <c r="F422">
        <v>0</v>
      </c>
      <c r="G422">
        <v>4841923</v>
      </c>
    </row>
    <row r="423" spans="2:7" x14ac:dyDescent="0.25">
      <c r="B423" t="s">
        <v>31</v>
      </c>
      <c r="C423" t="s">
        <v>869</v>
      </c>
      <c r="D423">
        <v>-1</v>
      </c>
      <c r="E423">
        <v>0.1</v>
      </c>
      <c r="F423">
        <v>0</v>
      </c>
      <c r="G423">
        <v>4841972</v>
      </c>
    </row>
    <row r="424" spans="2:7" x14ac:dyDescent="0.25">
      <c r="B424" t="s">
        <v>31</v>
      </c>
      <c r="C424" t="s">
        <v>795</v>
      </c>
      <c r="D424">
        <v>0.1</v>
      </c>
      <c r="E424">
        <v>1</v>
      </c>
      <c r="F424">
        <v>0</v>
      </c>
      <c r="G424">
        <v>5148393</v>
      </c>
    </row>
    <row r="425" spans="2:7" x14ac:dyDescent="0.25">
      <c r="B425" t="s">
        <v>315</v>
      </c>
      <c r="C425">
        <v>2160632</v>
      </c>
    </row>
    <row r="426" spans="2:7" x14ac:dyDescent="0.25">
      <c r="B426" t="s">
        <v>199</v>
      </c>
      <c r="C426" t="s">
        <v>2</v>
      </c>
      <c r="D426">
        <v>1</v>
      </c>
      <c r="E426">
        <v>0.2</v>
      </c>
      <c r="F426">
        <v>0</v>
      </c>
      <c r="G426">
        <v>5050741</v>
      </c>
    </row>
    <row r="427" spans="2:7" x14ac:dyDescent="0.25">
      <c r="B427" t="s">
        <v>203</v>
      </c>
      <c r="C427" t="s">
        <v>2</v>
      </c>
      <c r="D427">
        <v>1</v>
      </c>
      <c r="E427">
        <v>0.2</v>
      </c>
      <c r="F427">
        <v>0</v>
      </c>
      <c r="G427">
        <v>5050742</v>
      </c>
    </row>
    <row r="428" spans="2:7" x14ac:dyDescent="0.25">
      <c r="B428" t="s">
        <v>202</v>
      </c>
      <c r="C428" t="s">
        <v>2</v>
      </c>
      <c r="D428">
        <v>1</v>
      </c>
      <c r="E428">
        <v>0.2</v>
      </c>
      <c r="F428">
        <v>0</v>
      </c>
      <c r="G428">
        <v>5050743</v>
      </c>
    </row>
    <row r="429" spans="2:7" x14ac:dyDescent="0.25">
      <c r="B429" t="s">
        <v>203</v>
      </c>
      <c r="C429" t="s">
        <v>2</v>
      </c>
      <c r="D429">
        <v>1</v>
      </c>
      <c r="E429">
        <v>0.2</v>
      </c>
      <c r="F429">
        <v>0</v>
      </c>
      <c r="G429">
        <v>5050744</v>
      </c>
    </row>
    <row r="430" spans="2:7" x14ac:dyDescent="0.25">
      <c r="B430" t="s">
        <v>316</v>
      </c>
      <c r="C430" t="s">
        <v>2</v>
      </c>
      <c r="D430">
        <v>1</v>
      </c>
      <c r="E430">
        <v>0.2</v>
      </c>
      <c r="F430">
        <v>0</v>
      </c>
      <c r="G430">
        <v>5050745</v>
      </c>
    </row>
    <row r="431" spans="2:7" x14ac:dyDescent="0.25">
      <c r="B431" t="s">
        <v>202</v>
      </c>
      <c r="C431" t="s">
        <v>2</v>
      </c>
      <c r="D431">
        <v>1</v>
      </c>
      <c r="E431">
        <v>0.2</v>
      </c>
      <c r="F431">
        <v>0</v>
      </c>
      <c r="G431">
        <v>5050746</v>
      </c>
    </row>
    <row r="432" spans="2:7" x14ac:dyDescent="0.25">
      <c r="B432" t="s">
        <v>200</v>
      </c>
      <c r="C432" t="s">
        <v>2</v>
      </c>
      <c r="D432">
        <v>1</v>
      </c>
      <c r="E432">
        <v>0.2</v>
      </c>
      <c r="F432">
        <v>0</v>
      </c>
      <c r="G432">
        <v>5050808</v>
      </c>
    </row>
    <row r="433" spans="2:7" x14ac:dyDescent="0.25">
      <c r="B433" t="s">
        <v>199</v>
      </c>
      <c r="C433" t="s">
        <v>2</v>
      </c>
      <c r="D433">
        <v>1</v>
      </c>
      <c r="E433">
        <v>0.2</v>
      </c>
      <c r="F433">
        <v>0</v>
      </c>
      <c r="G433">
        <v>5050809</v>
      </c>
    </row>
    <row r="434" spans="2:7" x14ac:dyDescent="0.25">
      <c r="B434" t="s">
        <v>203</v>
      </c>
      <c r="C434" t="s">
        <v>2</v>
      </c>
      <c r="D434">
        <v>1</v>
      </c>
      <c r="E434">
        <v>0.2</v>
      </c>
      <c r="F434">
        <v>0</v>
      </c>
      <c r="G434">
        <v>5050810</v>
      </c>
    </row>
    <row r="435" spans="2:7" x14ac:dyDescent="0.25">
      <c r="B435" t="s">
        <v>30</v>
      </c>
      <c r="C435" t="s">
        <v>1</v>
      </c>
      <c r="D435">
        <v>-1</v>
      </c>
      <c r="E435">
        <v>-0.2</v>
      </c>
      <c r="F435">
        <v>0</v>
      </c>
      <c r="G435">
        <v>5287669</v>
      </c>
    </row>
    <row r="436" spans="2:7" x14ac:dyDescent="0.25">
      <c r="B436" t="s">
        <v>317</v>
      </c>
      <c r="C436">
        <v>2160638</v>
      </c>
    </row>
    <row r="437" spans="2:7" x14ac:dyDescent="0.25">
      <c r="B437" t="s">
        <v>200</v>
      </c>
      <c r="C437" t="s">
        <v>2</v>
      </c>
      <c r="D437">
        <v>1</v>
      </c>
      <c r="E437">
        <v>0.2</v>
      </c>
      <c r="F437">
        <v>0</v>
      </c>
      <c r="G437">
        <v>5050740</v>
      </c>
    </row>
    <row r="438" spans="2:7" x14ac:dyDescent="0.25">
      <c r="B438" t="s">
        <v>199</v>
      </c>
      <c r="C438" t="s">
        <v>2</v>
      </c>
      <c r="D438">
        <v>1</v>
      </c>
      <c r="E438">
        <v>0.2</v>
      </c>
      <c r="F438">
        <v>0</v>
      </c>
      <c r="G438">
        <v>5050741</v>
      </c>
    </row>
    <row r="439" spans="2:7" x14ac:dyDescent="0.25">
      <c r="B439" t="s">
        <v>318</v>
      </c>
      <c r="C439">
        <v>2160648</v>
      </c>
    </row>
    <row r="440" spans="2:7" x14ac:dyDescent="0.25">
      <c r="B440" t="s">
        <v>202</v>
      </c>
      <c r="C440" t="s">
        <v>2</v>
      </c>
      <c r="D440">
        <v>1</v>
      </c>
      <c r="E440">
        <v>0.2</v>
      </c>
      <c r="F440">
        <v>0</v>
      </c>
      <c r="G440">
        <v>5050153</v>
      </c>
    </row>
    <row r="441" spans="2:7" x14ac:dyDescent="0.25">
      <c r="B441" t="s">
        <v>203</v>
      </c>
      <c r="C441" t="s">
        <v>2</v>
      </c>
      <c r="D441">
        <v>1</v>
      </c>
      <c r="E441">
        <v>0.2</v>
      </c>
      <c r="F441">
        <v>0</v>
      </c>
      <c r="G441">
        <v>5050154</v>
      </c>
    </row>
    <row r="442" spans="2:7" x14ac:dyDescent="0.25">
      <c r="B442" t="s">
        <v>200</v>
      </c>
      <c r="C442" t="s">
        <v>2</v>
      </c>
      <c r="D442">
        <v>1</v>
      </c>
      <c r="E442">
        <v>0.2</v>
      </c>
      <c r="F442">
        <v>0</v>
      </c>
      <c r="G442">
        <v>5050155</v>
      </c>
    </row>
    <row r="443" spans="2:7" x14ac:dyDescent="0.25">
      <c r="B443" t="s">
        <v>202</v>
      </c>
      <c r="C443" t="s">
        <v>2</v>
      </c>
      <c r="D443">
        <v>1</v>
      </c>
      <c r="E443">
        <v>0.2</v>
      </c>
      <c r="F443">
        <v>0</v>
      </c>
      <c r="G443">
        <v>5050156</v>
      </c>
    </row>
    <row r="444" spans="2:7" x14ac:dyDescent="0.25">
      <c r="B444" t="s">
        <v>199</v>
      </c>
      <c r="C444" t="s">
        <v>2</v>
      </c>
      <c r="D444">
        <v>1</v>
      </c>
      <c r="E444">
        <v>0.2</v>
      </c>
      <c r="F444">
        <v>0</v>
      </c>
      <c r="G444">
        <v>5050157</v>
      </c>
    </row>
    <row r="445" spans="2:7" x14ac:dyDescent="0.25">
      <c r="B445" t="s">
        <v>202</v>
      </c>
      <c r="C445" t="s">
        <v>2</v>
      </c>
      <c r="D445">
        <v>1</v>
      </c>
      <c r="E445">
        <v>0.2</v>
      </c>
      <c r="F445">
        <v>0</v>
      </c>
      <c r="G445">
        <v>5050158</v>
      </c>
    </row>
    <row r="446" spans="2:7" x14ac:dyDescent="0.25">
      <c r="B446" t="s">
        <v>199</v>
      </c>
      <c r="C446" t="s">
        <v>2</v>
      </c>
      <c r="D446">
        <v>1</v>
      </c>
      <c r="E446">
        <v>0.2</v>
      </c>
      <c r="F446">
        <v>0</v>
      </c>
      <c r="G446">
        <v>5050159</v>
      </c>
    </row>
    <row r="447" spans="2:7" x14ac:dyDescent="0.25">
      <c r="B447" t="s">
        <v>200</v>
      </c>
      <c r="C447" t="s">
        <v>2</v>
      </c>
      <c r="D447">
        <v>1</v>
      </c>
      <c r="E447">
        <v>0.2</v>
      </c>
      <c r="F447">
        <v>0</v>
      </c>
      <c r="G447">
        <v>5050160</v>
      </c>
    </row>
    <row r="448" spans="2:7" x14ac:dyDescent="0.25">
      <c r="B448" t="s">
        <v>199</v>
      </c>
      <c r="C448" t="s">
        <v>2</v>
      </c>
      <c r="D448">
        <v>1</v>
      </c>
      <c r="E448">
        <v>0.2</v>
      </c>
      <c r="F448">
        <v>0</v>
      </c>
      <c r="G448">
        <v>5050161</v>
      </c>
    </row>
    <row r="449" spans="2:7" x14ac:dyDescent="0.25">
      <c r="B449" t="s">
        <v>203</v>
      </c>
      <c r="C449" t="s">
        <v>2</v>
      </c>
      <c r="D449">
        <v>1</v>
      </c>
      <c r="E449">
        <v>0.2</v>
      </c>
      <c r="F449">
        <v>0</v>
      </c>
      <c r="G449">
        <v>5050162</v>
      </c>
    </row>
    <row r="450" spans="2:7" x14ac:dyDescent="0.25">
      <c r="B450" t="s">
        <v>202</v>
      </c>
      <c r="C450" t="s">
        <v>2</v>
      </c>
      <c r="D450">
        <v>1</v>
      </c>
      <c r="E450">
        <v>0.2</v>
      </c>
      <c r="F450">
        <v>0</v>
      </c>
      <c r="G450">
        <v>5050163</v>
      </c>
    </row>
    <row r="451" spans="2:7" x14ac:dyDescent="0.25">
      <c r="B451" t="s">
        <v>319</v>
      </c>
      <c r="C451">
        <v>2160650</v>
      </c>
    </row>
    <row r="452" spans="2:7" x14ac:dyDescent="0.25">
      <c r="B452" t="s">
        <v>199</v>
      </c>
      <c r="C452" t="s">
        <v>2</v>
      </c>
      <c r="D452">
        <v>1</v>
      </c>
      <c r="E452">
        <v>0.2</v>
      </c>
      <c r="F452">
        <v>0</v>
      </c>
      <c r="G452">
        <v>5050278</v>
      </c>
    </row>
    <row r="453" spans="2:7" x14ac:dyDescent="0.25">
      <c r="B453" t="s">
        <v>202</v>
      </c>
      <c r="C453" t="s">
        <v>2</v>
      </c>
      <c r="D453">
        <v>1</v>
      </c>
      <c r="E453">
        <v>0.2</v>
      </c>
      <c r="F453">
        <v>0</v>
      </c>
      <c r="G453">
        <v>5050332</v>
      </c>
    </row>
    <row r="454" spans="2:7" x14ac:dyDescent="0.25">
      <c r="B454" t="s">
        <v>321</v>
      </c>
      <c r="C454">
        <v>2160652</v>
      </c>
    </row>
    <row r="455" spans="2:7" x14ac:dyDescent="0.25">
      <c r="B455" t="s">
        <v>202</v>
      </c>
      <c r="C455" t="s">
        <v>2</v>
      </c>
      <c r="D455">
        <v>1</v>
      </c>
      <c r="E455">
        <v>0.2</v>
      </c>
      <c r="F455">
        <v>0</v>
      </c>
      <c r="G455">
        <v>5050104</v>
      </c>
    </row>
    <row r="456" spans="2:7" x14ac:dyDescent="0.25">
      <c r="B456" t="s">
        <v>199</v>
      </c>
      <c r="C456" t="s">
        <v>2</v>
      </c>
      <c r="D456">
        <v>1</v>
      </c>
      <c r="E456">
        <v>0.2</v>
      </c>
      <c r="F456">
        <v>0</v>
      </c>
      <c r="G456">
        <v>5050105</v>
      </c>
    </row>
    <row r="457" spans="2:7" x14ac:dyDescent="0.25">
      <c r="B457" t="s">
        <v>203</v>
      </c>
      <c r="C457" t="s">
        <v>2</v>
      </c>
      <c r="D457">
        <v>1</v>
      </c>
      <c r="E457">
        <v>0.2</v>
      </c>
      <c r="F457">
        <v>0</v>
      </c>
      <c r="G457">
        <v>5050152</v>
      </c>
    </row>
    <row r="458" spans="2:7" x14ac:dyDescent="0.25">
      <c r="B458" t="s">
        <v>202</v>
      </c>
      <c r="C458" t="s">
        <v>2</v>
      </c>
      <c r="D458">
        <v>1</v>
      </c>
      <c r="E458">
        <v>0.2</v>
      </c>
      <c r="F458">
        <v>0</v>
      </c>
      <c r="G458">
        <v>5050153</v>
      </c>
    </row>
    <row r="459" spans="2:7" x14ac:dyDescent="0.25">
      <c r="B459" t="s">
        <v>200</v>
      </c>
      <c r="C459" t="s">
        <v>2</v>
      </c>
      <c r="D459">
        <v>1</v>
      </c>
      <c r="E459">
        <v>0.2</v>
      </c>
      <c r="F459">
        <v>0</v>
      </c>
      <c r="G459">
        <v>5075147</v>
      </c>
    </row>
    <row r="460" spans="2:7" x14ac:dyDescent="0.25">
      <c r="B460" t="s">
        <v>202</v>
      </c>
      <c r="C460" t="s">
        <v>2</v>
      </c>
      <c r="D460">
        <v>1</v>
      </c>
      <c r="E460">
        <v>0.2</v>
      </c>
      <c r="F460">
        <v>0</v>
      </c>
      <c r="G460">
        <v>5075148</v>
      </c>
    </row>
    <row r="461" spans="2:7" x14ac:dyDescent="0.25">
      <c r="B461" t="s">
        <v>197</v>
      </c>
      <c r="C461" t="s">
        <v>2</v>
      </c>
      <c r="D461">
        <v>1</v>
      </c>
      <c r="E461">
        <v>0.2</v>
      </c>
      <c r="F461">
        <v>0</v>
      </c>
      <c r="G461">
        <v>5075174</v>
      </c>
    </row>
    <row r="462" spans="2:7" x14ac:dyDescent="0.25">
      <c r="B462" t="s">
        <v>322</v>
      </c>
      <c r="C462">
        <v>2160680</v>
      </c>
    </row>
    <row r="463" spans="2:7" x14ac:dyDescent="0.25">
      <c r="B463" t="s">
        <v>202</v>
      </c>
      <c r="C463" t="s">
        <v>74</v>
      </c>
      <c r="D463">
        <v>0.9</v>
      </c>
      <c r="E463">
        <v>0.5</v>
      </c>
      <c r="F463">
        <v>0</v>
      </c>
      <c r="G463">
        <v>5045703</v>
      </c>
    </row>
    <row r="464" spans="2:7" x14ac:dyDescent="0.25">
      <c r="B464" t="s">
        <v>200</v>
      </c>
      <c r="C464" t="s">
        <v>74</v>
      </c>
      <c r="D464">
        <v>0.9</v>
      </c>
      <c r="E464">
        <v>0.5</v>
      </c>
      <c r="F464">
        <v>0</v>
      </c>
      <c r="G464">
        <v>5045704</v>
      </c>
    </row>
    <row r="465" spans="2:7" x14ac:dyDescent="0.25">
      <c r="B465" t="s">
        <v>199</v>
      </c>
      <c r="C465" t="s">
        <v>74</v>
      </c>
      <c r="D465">
        <v>0.9</v>
      </c>
      <c r="E465">
        <v>0.5</v>
      </c>
      <c r="F465">
        <v>0</v>
      </c>
      <c r="G465">
        <v>5045708</v>
      </c>
    </row>
    <row r="466" spans="2:7" x14ac:dyDescent="0.25">
      <c r="B466" t="s">
        <v>202</v>
      </c>
      <c r="C466" t="s">
        <v>74</v>
      </c>
      <c r="D466">
        <v>0.9</v>
      </c>
      <c r="E466">
        <v>0.5</v>
      </c>
      <c r="F466">
        <v>0</v>
      </c>
      <c r="G466">
        <v>5046965</v>
      </c>
    </row>
    <row r="467" spans="2:7" x14ac:dyDescent="0.25">
      <c r="B467" t="s">
        <v>323</v>
      </c>
      <c r="C467">
        <v>2160690</v>
      </c>
    </row>
    <row r="468" spans="2:7" x14ac:dyDescent="0.25">
      <c r="B468" t="s">
        <v>200</v>
      </c>
      <c r="C468" t="s">
        <v>2</v>
      </c>
      <c r="D468">
        <v>1</v>
      </c>
      <c r="E468">
        <v>0.2</v>
      </c>
      <c r="F468">
        <v>0</v>
      </c>
      <c r="G468">
        <v>5049304</v>
      </c>
    </row>
    <row r="469" spans="2:7" x14ac:dyDescent="0.25">
      <c r="B469" t="s">
        <v>199</v>
      </c>
      <c r="C469" t="s">
        <v>2</v>
      </c>
      <c r="D469">
        <v>1</v>
      </c>
      <c r="E469">
        <v>0.2</v>
      </c>
      <c r="F469">
        <v>0</v>
      </c>
      <c r="G469">
        <v>5049416</v>
      </c>
    </row>
    <row r="470" spans="2:7" x14ac:dyDescent="0.25">
      <c r="B470" t="s">
        <v>203</v>
      </c>
      <c r="C470" t="s">
        <v>2</v>
      </c>
      <c r="D470">
        <v>1</v>
      </c>
      <c r="E470">
        <v>0.2</v>
      </c>
      <c r="F470">
        <v>0</v>
      </c>
      <c r="G470">
        <v>5049417</v>
      </c>
    </row>
    <row r="471" spans="2:7" x14ac:dyDescent="0.25">
      <c r="B471" t="s">
        <v>202</v>
      </c>
      <c r="C471" t="s">
        <v>2</v>
      </c>
      <c r="D471">
        <v>1</v>
      </c>
      <c r="E471">
        <v>0.2</v>
      </c>
      <c r="F471">
        <v>0</v>
      </c>
      <c r="G471">
        <v>5049418</v>
      </c>
    </row>
    <row r="472" spans="2:7" x14ac:dyDescent="0.25">
      <c r="B472" t="s">
        <v>203</v>
      </c>
      <c r="C472" t="s">
        <v>2</v>
      </c>
      <c r="D472">
        <v>1</v>
      </c>
      <c r="E472">
        <v>0.2</v>
      </c>
      <c r="F472">
        <v>0</v>
      </c>
      <c r="G472">
        <v>5049419</v>
      </c>
    </row>
    <row r="473" spans="2:7" x14ac:dyDescent="0.25">
      <c r="B473" t="s">
        <v>200</v>
      </c>
      <c r="C473" t="s">
        <v>2</v>
      </c>
      <c r="D473">
        <v>1</v>
      </c>
      <c r="E473">
        <v>0.2</v>
      </c>
      <c r="F473">
        <v>0</v>
      </c>
      <c r="G473">
        <v>5049420</v>
      </c>
    </row>
    <row r="474" spans="2:7" x14ac:dyDescent="0.25">
      <c r="B474" t="s">
        <v>202</v>
      </c>
      <c r="C474" t="s">
        <v>2</v>
      </c>
      <c r="D474">
        <v>1</v>
      </c>
      <c r="E474">
        <v>0.2</v>
      </c>
      <c r="F474">
        <v>0</v>
      </c>
      <c r="G474">
        <v>5049421</v>
      </c>
    </row>
    <row r="475" spans="2:7" x14ac:dyDescent="0.25">
      <c r="B475" t="s">
        <v>199</v>
      </c>
      <c r="C475" t="s">
        <v>2</v>
      </c>
      <c r="D475">
        <v>1</v>
      </c>
      <c r="E475">
        <v>0.2</v>
      </c>
      <c r="F475">
        <v>0</v>
      </c>
      <c r="G475">
        <v>5049422</v>
      </c>
    </row>
    <row r="476" spans="2:7" x14ac:dyDescent="0.25">
      <c r="B476" t="s">
        <v>324</v>
      </c>
      <c r="C476">
        <v>2160698</v>
      </c>
    </row>
    <row r="477" spans="2:7" x14ac:dyDescent="0.25">
      <c r="B477" t="s">
        <v>199</v>
      </c>
      <c r="C477" t="s">
        <v>2</v>
      </c>
      <c r="D477">
        <v>1</v>
      </c>
      <c r="E477">
        <v>0.2</v>
      </c>
      <c r="F477">
        <v>0</v>
      </c>
      <c r="G477">
        <v>5049422</v>
      </c>
    </row>
    <row r="478" spans="2:7" x14ac:dyDescent="0.25">
      <c r="B478" t="s">
        <v>202</v>
      </c>
      <c r="C478" t="s">
        <v>2</v>
      </c>
      <c r="D478">
        <v>1</v>
      </c>
      <c r="E478">
        <v>0.2</v>
      </c>
      <c r="F478">
        <v>0</v>
      </c>
      <c r="G478">
        <v>5049423</v>
      </c>
    </row>
    <row r="479" spans="2:7" x14ac:dyDescent="0.25">
      <c r="B479" t="s">
        <v>199</v>
      </c>
      <c r="C479" t="s">
        <v>2</v>
      </c>
      <c r="D479">
        <v>1</v>
      </c>
      <c r="E479">
        <v>0.2</v>
      </c>
      <c r="F479">
        <v>0</v>
      </c>
      <c r="G479">
        <v>5049424</v>
      </c>
    </row>
    <row r="480" spans="2:7" x14ac:dyDescent="0.25">
      <c r="B480" t="s">
        <v>200</v>
      </c>
      <c r="C480" t="s">
        <v>2</v>
      </c>
      <c r="D480">
        <v>1</v>
      </c>
      <c r="E480">
        <v>0.2</v>
      </c>
      <c r="F480">
        <v>0</v>
      </c>
      <c r="G480">
        <v>5049425</v>
      </c>
    </row>
    <row r="481" spans="2:7" x14ac:dyDescent="0.25">
      <c r="B481" t="s">
        <v>199</v>
      </c>
      <c r="C481" t="s">
        <v>2</v>
      </c>
      <c r="D481">
        <v>1</v>
      </c>
      <c r="E481">
        <v>0.2</v>
      </c>
      <c r="F481">
        <v>0</v>
      </c>
      <c r="G481">
        <v>5050046</v>
      </c>
    </row>
    <row r="482" spans="2:7" x14ac:dyDescent="0.25">
      <c r="B482" t="s">
        <v>203</v>
      </c>
      <c r="C482" t="s">
        <v>2</v>
      </c>
      <c r="D482">
        <v>1</v>
      </c>
      <c r="E482">
        <v>0.2</v>
      </c>
      <c r="F482">
        <v>0</v>
      </c>
      <c r="G482">
        <v>5050047</v>
      </c>
    </row>
    <row r="483" spans="2:7" x14ac:dyDescent="0.25">
      <c r="B483" t="s">
        <v>202</v>
      </c>
      <c r="C483" t="s">
        <v>2</v>
      </c>
      <c r="D483">
        <v>1</v>
      </c>
      <c r="E483">
        <v>0.2</v>
      </c>
      <c r="F483">
        <v>0</v>
      </c>
      <c r="G483">
        <v>5050048</v>
      </c>
    </row>
    <row r="484" spans="2:7" x14ac:dyDescent="0.25">
      <c r="B484" t="s">
        <v>203</v>
      </c>
      <c r="C484" t="s">
        <v>2</v>
      </c>
      <c r="D484">
        <v>1</v>
      </c>
      <c r="E484">
        <v>0.2</v>
      </c>
      <c r="F484">
        <v>0</v>
      </c>
      <c r="G484">
        <v>5050049</v>
      </c>
    </row>
    <row r="485" spans="2:7" x14ac:dyDescent="0.25">
      <c r="B485" t="s">
        <v>200</v>
      </c>
      <c r="C485" t="s">
        <v>2</v>
      </c>
      <c r="D485">
        <v>1</v>
      </c>
      <c r="E485">
        <v>0.2</v>
      </c>
      <c r="F485">
        <v>0</v>
      </c>
      <c r="G485">
        <v>5050050</v>
      </c>
    </row>
    <row r="486" spans="2:7" x14ac:dyDescent="0.25">
      <c r="B486" t="s">
        <v>202</v>
      </c>
      <c r="C486" t="s">
        <v>2</v>
      </c>
      <c r="D486">
        <v>1</v>
      </c>
      <c r="E486">
        <v>0.2</v>
      </c>
      <c r="F486">
        <v>0</v>
      </c>
      <c r="G486">
        <v>5050051</v>
      </c>
    </row>
    <row r="487" spans="2:7" x14ac:dyDescent="0.25">
      <c r="B487" t="s">
        <v>325</v>
      </c>
      <c r="C487">
        <v>2160717</v>
      </c>
    </row>
    <row r="488" spans="2:7" x14ac:dyDescent="0.25">
      <c r="B488" t="s">
        <v>29</v>
      </c>
      <c r="C488" t="s">
        <v>42</v>
      </c>
      <c r="D488">
        <v>0.5</v>
      </c>
      <c r="E488">
        <v>-0.8</v>
      </c>
      <c r="F488">
        <v>0</v>
      </c>
      <c r="G488">
        <v>4712923</v>
      </c>
    </row>
    <row r="489" spans="2:7" x14ac:dyDescent="0.25">
      <c r="B489" t="s">
        <v>31</v>
      </c>
      <c r="C489" t="s">
        <v>42</v>
      </c>
      <c r="D489">
        <v>0.5</v>
      </c>
      <c r="E489">
        <v>-0.8</v>
      </c>
      <c r="F489">
        <v>0</v>
      </c>
      <c r="G489">
        <v>4714866</v>
      </c>
    </row>
    <row r="490" spans="2:7" x14ac:dyDescent="0.25">
      <c r="B490" t="s">
        <v>30</v>
      </c>
      <c r="C490" t="s">
        <v>42</v>
      </c>
      <c r="D490">
        <v>0.5</v>
      </c>
      <c r="E490">
        <v>-0.8</v>
      </c>
      <c r="F490">
        <v>0</v>
      </c>
      <c r="G490">
        <v>4777339</v>
      </c>
    </row>
    <row r="491" spans="2:7" x14ac:dyDescent="0.25">
      <c r="B491" t="s">
        <v>31</v>
      </c>
      <c r="C491" t="s">
        <v>16</v>
      </c>
      <c r="D491">
        <v>-0.8</v>
      </c>
      <c r="E491">
        <v>-0.5</v>
      </c>
      <c r="F491">
        <v>0</v>
      </c>
      <c r="G491">
        <v>4859036</v>
      </c>
    </row>
    <row r="492" spans="2:7" x14ac:dyDescent="0.25">
      <c r="B492" t="s">
        <v>31</v>
      </c>
      <c r="C492" t="s">
        <v>16</v>
      </c>
      <c r="D492">
        <v>-0.8</v>
      </c>
      <c r="E492">
        <v>-0.5</v>
      </c>
      <c r="F492">
        <v>0</v>
      </c>
      <c r="G492">
        <v>4859037</v>
      </c>
    </row>
    <row r="493" spans="2:7" x14ac:dyDescent="0.25">
      <c r="B493" t="s">
        <v>31</v>
      </c>
      <c r="C493" t="s">
        <v>16</v>
      </c>
      <c r="D493">
        <v>-0.8</v>
      </c>
      <c r="E493">
        <v>-0.5</v>
      </c>
      <c r="F493">
        <v>0</v>
      </c>
      <c r="G493">
        <v>4859038</v>
      </c>
    </row>
    <row r="494" spans="2:7" x14ac:dyDescent="0.25">
      <c r="B494" t="s">
        <v>31</v>
      </c>
      <c r="C494" t="s">
        <v>16</v>
      </c>
      <c r="D494">
        <v>-0.8</v>
      </c>
      <c r="E494">
        <v>-0.5</v>
      </c>
      <c r="F494">
        <v>0</v>
      </c>
      <c r="G494">
        <v>4859039</v>
      </c>
    </row>
    <row r="495" spans="2:7" x14ac:dyDescent="0.25">
      <c r="B495" t="s">
        <v>43</v>
      </c>
      <c r="C495" t="s">
        <v>42</v>
      </c>
      <c r="D495">
        <v>0.5</v>
      </c>
      <c r="E495">
        <v>-0.8</v>
      </c>
      <c r="F495">
        <v>0</v>
      </c>
      <c r="G495">
        <v>4982335</v>
      </c>
    </row>
    <row r="496" spans="2:7" x14ac:dyDescent="0.25">
      <c r="B496" t="s">
        <v>28</v>
      </c>
      <c r="C496" t="s">
        <v>815</v>
      </c>
      <c r="D496">
        <v>-0.5</v>
      </c>
      <c r="E496">
        <v>0.8</v>
      </c>
      <c r="F496">
        <v>0</v>
      </c>
      <c r="G496">
        <v>6091415</v>
      </c>
    </row>
    <row r="497" spans="2:8" x14ac:dyDescent="0.25">
      <c r="B497" t="s">
        <v>33</v>
      </c>
      <c r="C497" t="s">
        <v>815</v>
      </c>
      <c r="D497">
        <v>-0.5</v>
      </c>
      <c r="E497">
        <v>0.8</v>
      </c>
      <c r="F497">
        <v>0</v>
      </c>
      <c r="G497">
        <v>6091419</v>
      </c>
    </row>
    <row r="498" spans="2:8" x14ac:dyDescent="0.25">
      <c r="B498" t="s">
        <v>28</v>
      </c>
      <c r="C498" t="s">
        <v>815</v>
      </c>
      <c r="D498">
        <v>-0.5</v>
      </c>
      <c r="E498">
        <v>0.8</v>
      </c>
      <c r="F498">
        <v>0</v>
      </c>
      <c r="G498">
        <v>6091463</v>
      </c>
    </row>
    <row r="499" spans="2:8" x14ac:dyDescent="0.25">
      <c r="B499" s="14" t="s">
        <v>1059</v>
      </c>
      <c r="C499" s="14" t="s">
        <v>815</v>
      </c>
      <c r="D499" s="14">
        <v>-0.5</v>
      </c>
      <c r="E499" s="14">
        <v>0.8</v>
      </c>
      <c r="F499" s="14">
        <v>0</v>
      </c>
      <c r="G499" s="14" t="s">
        <v>1058</v>
      </c>
      <c r="H499" t="s">
        <v>1055</v>
      </c>
    </row>
    <row r="500" spans="2:8" x14ac:dyDescent="0.25">
      <c r="B500" s="14" t="s">
        <v>1059</v>
      </c>
      <c r="C500" s="14" t="s">
        <v>815</v>
      </c>
      <c r="D500" s="14">
        <v>-0.5</v>
      </c>
      <c r="E500" s="14">
        <v>0.8</v>
      </c>
      <c r="F500" s="14">
        <v>0</v>
      </c>
      <c r="G500" s="14" t="s">
        <v>1058</v>
      </c>
      <c r="H500" t="s">
        <v>1055</v>
      </c>
    </row>
    <row r="501" spans="2:8" x14ac:dyDescent="0.25">
      <c r="B501" t="s">
        <v>326</v>
      </c>
      <c r="C501">
        <v>2160718</v>
      </c>
    </row>
    <row r="502" spans="2:8" x14ac:dyDescent="0.25">
      <c r="B502" t="s">
        <v>31</v>
      </c>
      <c r="C502" t="s">
        <v>817</v>
      </c>
      <c r="D502">
        <v>-0.4</v>
      </c>
      <c r="E502">
        <v>0.9</v>
      </c>
      <c r="F502">
        <v>0</v>
      </c>
      <c r="G502">
        <v>4780262</v>
      </c>
    </row>
    <row r="503" spans="2:8" x14ac:dyDescent="0.25">
      <c r="B503" t="s">
        <v>38</v>
      </c>
      <c r="C503" t="s">
        <v>817</v>
      </c>
      <c r="D503">
        <v>-0.4</v>
      </c>
      <c r="E503">
        <v>0.9</v>
      </c>
      <c r="F503">
        <v>0</v>
      </c>
      <c r="G503">
        <v>4837649</v>
      </c>
    </row>
    <row r="504" spans="2:8" x14ac:dyDescent="0.25">
      <c r="B504" t="s">
        <v>31</v>
      </c>
      <c r="C504" t="s">
        <v>17</v>
      </c>
      <c r="D504">
        <v>-0.9</v>
      </c>
      <c r="E504">
        <v>-0.4</v>
      </c>
      <c r="F504">
        <v>0</v>
      </c>
      <c r="G504">
        <v>4859562</v>
      </c>
    </row>
    <row r="505" spans="2:8" x14ac:dyDescent="0.25">
      <c r="B505" t="s">
        <v>31</v>
      </c>
      <c r="C505" t="s">
        <v>17</v>
      </c>
      <c r="D505">
        <v>-0.9</v>
      </c>
      <c r="E505">
        <v>-0.4</v>
      </c>
      <c r="F505">
        <v>0</v>
      </c>
      <c r="G505">
        <v>4859563</v>
      </c>
    </row>
    <row r="506" spans="2:8" x14ac:dyDescent="0.25">
      <c r="B506" t="s">
        <v>31</v>
      </c>
      <c r="C506" t="s">
        <v>17</v>
      </c>
      <c r="D506">
        <v>-0.9</v>
      </c>
      <c r="E506">
        <v>-0.4</v>
      </c>
      <c r="F506">
        <v>0</v>
      </c>
      <c r="G506">
        <v>4859564</v>
      </c>
    </row>
    <row r="507" spans="2:8" x14ac:dyDescent="0.25">
      <c r="B507" t="s">
        <v>31</v>
      </c>
      <c r="C507" t="s">
        <v>17</v>
      </c>
      <c r="D507">
        <v>-0.9</v>
      </c>
      <c r="E507">
        <v>-0.4</v>
      </c>
      <c r="F507">
        <v>0</v>
      </c>
      <c r="G507">
        <v>4859565</v>
      </c>
    </row>
    <row r="508" spans="2:8" x14ac:dyDescent="0.25">
      <c r="B508" s="14" t="s">
        <v>1059</v>
      </c>
      <c r="C508" s="14" t="s">
        <v>327</v>
      </c>
      <c r="D508" s="14">
        <v>0.4</v>
      </c>
      <c r="E508" s="14">
        <v>-0.9</v>
      </c>
      <c r="F508" s="14">
        <v>0</v>
      </c>
      <c r="G508" s="14" t="s">
        <v>1058</v>
      </c>
      <c r="H508" t="s">
        <v>1055</v>
      </c>
    </row>
    <row r="509" spans="2:8" x14ac:dyDescent="0.25">
      <c r="B509" t="s">
        <v>328</v>
      </c>
      <c r="C509">
        <v>2160719</v>
      </c>
    </row>
    <row r="510" spans="2:8" x14ac:dyDescent="0.25">
      <c r="B510" t="s">
        <v>30</v>
      </c>
      <c r="C510" t="s">
        <v>802</v>
      </c>
      <c r="D510">
        <v>-0.3</v>
      </c>
      <c r="E510">
        <v>0.9</v>
      </c>
      <c r="F510">
        <v>0</v>
      </c>
      <c r="G510">
        <v>4785970</v>
      </c>
    </row>
    <row r="511" spans="2:8" x14ac:dyDescent="0.25">
      <c r="B511" t="s">
        <v>27</v>
      </c>
      <c r="C511" t="s">
        <v>329</v>
      </c>
      <c r="D511">
        <v>0.3</v>
      </c>
      <c r="E511">
        <v>-0.9</v>
      </c>
      <c r="F511">
        <v>0</v>
      </c>
      <c r="G511">
        <v>4792084</v>
      </c>
    </row>
    <row r="512" spans="2:8" x14ac:dyDescent="0.25">
      <c r="B512" t="s">
        <v>38</v>
      </c>
      <c r="C512" t="s">
        <v>802</v>
      </c>
      <c r="D512">
        <v>-0.3</v>
      </c>
      <c r="E512">
        <v>0.9</v>
      </c>
      <c r="F512">
        <v>0</v>
      </c>
      <c r="G512">
        <v>4839018</v>
      </c>
    </row>
    <row r="513" spans="2:7" x14ac:dyDescent="0.25">
      <c r="B513" t="s">
        <v>31</v>
      </c>
      <c r="C513" t="s">
        <v>20</v>
      </c>
      <c r="D513">
        <v>-0.9</v>
      </c>
      <c r="E513">
        <v>-0.3</v>
      </c>
      <c r="F513">
        <v>0</v>
      </c>
      <c r="G513">
        <v>4860085</v>
      </c>
    </row>
    <row r="514" spans="2:7" x14ac:dyDescent="0.25">
      <c r="B514" t="s">
        <v>31</v>
      </c>
      <c r="C514" t="s">
        <v>20</v>
      </c>
      <c r="D514">
        <v>-0.9</v>
      </c>
      <c r="E514">
        <v>-0.3</v>
      </c>
      <c r="F514">
        <v>0</v>
      </c>
      <c r="G514">
        <v>4860086</v>
      </c>
    </row>
    <row r="515" spans="2:7" x14ac:dyDescent="0.25">
      <c r="B515" t="s">
        <v>31</v>
      </c>
      <c r="C515" t="s">
        <v>20</v>
      </c>
      <c r="D515">
        <v>-0.9</v>
      </c>
      <c r="E515">
        <v>-0.3</v>
      </c>
      <c r="F515">
        <v>0</v>
      </c>
      <c r="G515">
        <v>4860087</v>
      </c>
    </row>
    <row r="516" spans="2:7" x14ac:dyDescent="0.25">
      <c r="B516" t="s">
        <v>31</v>
      </c>
      <c r="C516" t="s">
        <v>20</v>
      </c>
      <c r="D516">
        <v>-0.9</v>
      </c>
      <c r="E516">
        <v>-0.3</v>
      </c>
      <c r="F516">
        <v>0</v>
      </c>
      <c r="G516">
        <v>4860088</v>
      </c>
    </row>
    <row r="517" spans="2:7" x14ac:dyDescent="0.25">
      <c r="B517" t="s">
        <v>31</v>
      </c>
      <c r="C517" t="s">
        <v>329</v>
      </c>
      <c r="D517">
        <v>0.3</v>
      </c>
      <c r="E517">
        <v>-0.9</v>
      </c>
      <c r="F517">
        <v>0</v>
      </c>
      <c r="G517">
        <v>4984170</v>
      </c>
    </row>
    <row r="518" spans="2:7" x14ac:dyDescent="0.25">
      <c r="B518" t="s">
        <v>330</v>
      </c>
      <c r="C518">
        <v>2160746</v>
      </c>
    </row>
    <row r="519" spans="2:7" x14ac:dyDescent="0.25">
      <c r="B519" t="s">
        <v>31</v>
      </c>
      <c r="C519" t="s">
        <v>1</v>
      </c>
      <c r="D519">
        <v>-1</v>
      </c>
      <c r="E519">
        <v>-0.2</v>
      </c>
      <c r="F519">
        <v>0</v>
      </c>
      <c r="G519">
        <v>4860671</v>
      </c>
    </row>
    <row r="520" spans="2:7" x14ac:dyDescent="0.25">
      <c r="B520" t="s">
        <v>31</v>
      </c>
      <c r="C520" t="s">
        <v>1</v>
      </c>
      <c r="D520">
        <v>-1</v>
      </c>
      <c r="E520">
        <v>-0.2</v>
      </c>
      <c r="F520">
        <v>0</v>
      </c>
      <c r="G520">
        <v>4860672</v>
      </c>
    </row>
    <row r="521" spans="2:7" x14ac:dyDescent="0.25">
      <c r="B521" t="s">
        <v>31</v>
      </c>
      <c r="C521" t="s">
        <v>1</v>
      </c>
      <c r="D521">
        <v>-1</v>
      </c>
      <c r="E521">
        <v>-0.2</v>
      </c>
      <c r="F521">
        <v>0</v>
      </c>
      <c r="G521">
        <v>4860673</v>
      </c>
    </row>
    <row r="522" spans="2:7" x14ac:dyDescent="0.25">
      <c r="B522" t="s">
        <v>31</v>
      </c>
      <c r="C522" t="s">
        <v>5</v>
      </c>
      <c r="D522">
        <v>0.2</v>
      </c>
      <c r="E522">
        <v>-1</v>
      </c>
      <c r="F522">
        <v>0</v>
      </c>
      <c r="G522">
        <v>4865837</v>
      </c>
    </row>
    <row r="523" spans="2:7" x14ac:dyDescent="0.25">
      <c r="B523" t="s">
        <v>28</v>
      </c>
      <c r="C523" t="s">
        <v>5</v>
      </c>
      <c r="D523">
        <v>0.2</v>
      </c>
      <c r="E523">
        <v>-1</v>
      </c>
      <c r="F523">
        <v>0</v>
      </c>
      <c r="G523">
        <v>5152849</v>
      </c>
    </row>
    <row r="524" spans="2:7" x14ac:dyDescent="0.25">
      <c r="B524" t="s">
        <v>33</v>
      </c>
      <c r="C524" t="s">
        <v>5</v>
      </c>
      <c r="D524">
        <v>0.2</v>
      </c>
      <c r="E524">
        <v>-1</v>
      </c>
      <c r="F524">
        <v>0</v>
      </c>
      <c r="G524">
        <v>5154857</v>
      </c>
    </row>
    <row r="525" spans="2:7" x14ac:dyDescent="0.25">
      <c r="B525" t="s">
        <v>331</v>
      </c>
      <c r="C525">
        <v>2161356</v>
      </c>
    </row>
    <row r="526" spans="2:7" x14ac:dyDescent="0.25">
      <c r="B526" t="s">
        <v>852</v>
      </c>
      <c r="C526" t="s">
        <v>5</v>
      </c>
      <c r="D526">
        <v>0.2</v>
      </c>
      <c r="E526">
        <v>-1</v>
      </c>
      <c r="F526">
        <v>0</v>
      </c>
      <c r="G526">
        <v>4928973</v>
      </c>
    </row>
    <row r="527" spans="2:7" x14ac:dyDescent="0.25">
      <c r="B527" t="s">
        <v>852</v>
      </c>
      <c r="C527" t="s">
        <v>5</v>
      </c>
      <c r="D527">
        <v>0.2</v>
      </c>
      <c r="E527">
        <v>-1</v>
      </c>
      <c r="F527">
        <v>0</v>
      </c>
      <c r="G527">
        <v>4928976</v>
      </c>
    </row>
    <row r="528" spans="2:7" x14ac:dyDescent="0.25">
      <c r="B528" t="s">
        <v>851</v>
      </c>
      <c r="C528" t="s">
        <v>5</v>
      </c>
      <c r="D528">
        <v>0.2</v>
      </c>
      <c r="E528">
        <v>-1</v>
      </c>
      <c r="F528">
        <v>0</v>
      </c>
      <c r="G528">
        <v>4929826</v>
      </c>
    </row>
    <row r="529" spans="2:7" x14ac:dyDescent="0.25">
      <c r="B529" t="s">
        <v>852</v>
      </c>
      <c r="C529" t="s">
        <v>5</v>
      </c>
      <c r="D529">
        <v>0.2</v>
      </c>
      <c r="E529">
        <v>-1</v>
      </c>
      <c r="F529">
        <v>0</v>
      </c>
      <c r="G529">
        <v>4929833</v>
      </c>
    </row>
    <row r="530" spans="2:7" x14ac:dyDescent="0.25">
      <c r="B530" t="s">
        <v>852</v>
      </c>
      <c r="C530" t="s">
        <v>5</v>
      </c>
      <c r="D530">
        <v>0.2</v>
      </c>
      <c r="E530">
        <v>-1</v>
      </c>
      <c r="F530">
        <v>0</v>
      </c>
      <c r="G530">
        <v>4929834</v>
      </c>
    </row>
    <row r="531" spans="2:7" x14ac:dyDescent="0.25">
      <c r="B531" t="s">
        <v>852</v>
      </c>
      <c r="C531" t="s">
        <v>5</v>
      </c>
      <c r="D531">
        <v>0.2</v>
      </c>
      <c r="E531">
        <v>-1</v>
      </c>
      <c r="F531">
        <v>0</v>
      </c>
      <c r="G531">
        <v>4929835</v>
      </c>
    </row>
    <row r="532" spans="2:7" x14ac:dyDescent="0.25">
      <c r="B532" t="s">
        <v>853</v>
      </c>
      <c r="C532" t="s">
        <v>5</v>
      </c>
      <c r="D532">
        <v>0.2</v>
      </c>
      <c r="E532">
        <v>-1</v>
      </c>
      <c r="F532">
        <v>0</v>
      </c>
      <c r="G532">
        <v>4929838</v>
      </c>
    </row>
    <row r="533" spans="2:7" x14ac:dyDescent="0.25">
      <c r="B533" t="s">
        <v>332</v>
      </c>
      <c r="C533" t="s">
        <v>6</v>
      </c>
      <c r="D533">
        <v>-0.2</v>
      </c>
      <c r="E533">
        <v>1</v>
      </c>
      <c r="F533">
        <v>0</v>
      </c>
      <c r="G533">
        <v>4932674</v>
      </c>
    </row>
    <row r="534" spans="2:7" x14ac:dyDescent="0.25">
      <c r="B534" t="s">
        <v>852</v>
      </c>
      <c r="C534" t="s">
        <v>7</v>
      </c>
      <c r="D534">
        <v>-0.9</v>
      </c>
      <c r="E534">
        <v>-0.5</v>
      </c>
      <c r="F534">
        <v>0</v>
      </c>
      <c r="G534">
        <v>4934096</v>
      </c>
    </row>
    <row r="535" spans="2:7" x14ac:dyDescent="0.25">
      <c r="B535" t="s">
        <v>852</v>
      </c>
      <c r="C535" t="s">
        <v>7</v>
      </c>
      <c r="D535">
        <v>-0.9</v>
      </c>
      <c r="E535">
        <v>-0.5</v>
      </c>
      <c r="F535">
        <v>0</v>
      </c>
      <c r="G535">
        <v>4934145</v>
      </c>
    </row>
    <row r="536" spans="2:7" x14ac:dyDescent="0.25">
      <c r="B536" t="s">
        <v>333</v>
      </c>
      <c r="C536">
        <v>2161362</v>
      </c>
    </row>
    <row r="537" spans="2:7" x14ac:dyDescent="0.25">
      <c r="B537" t="s">
        <v>853</v>
      </c>
      <c r="C537" t="s">
        <v>7</v>
      </c>
      <c r="D537">
        <v>-0.9</v>
      </c>
      <c r="E537">
        <v>-0.5</v>
      </c>
      <c r="F537">
        <v>0</v>
      </c>
      <c r="G537">
        <v>5490270</v>
      </c>
    </row>
    <row r="538" spans="2:7" x14ac:dyDescent="0.25">
      <c r="B538" t="s">
        <v>853</v>
      </c>
      <c r="C538" t="s">
        <v>7</v>
      </c>
      <c r="D538">
        <v>-0.9</v>
      </c>
      <c r="E538">
        <v>-0.5</v>
      </c>
      <c r="F538">
        <v>0</v>
      </c>
      <c r="G538">
        <v>5490405</v>
      </c>
    </row>
    <row r="539" spans="2:7" x14ac:dyDescent="0.25">
      <c r="B539" t="s">
        <v>852</v>
      </c>
      <c r="C539" t="s">
        <v>7</v>
      </c>
      <c r="D539">
        <v>-0.9</v>
      </c>
      <c r="E539">
        <v>-0.5</v>
      </c>
      <c r="F539">
        <v>0</v>
      </c>
      <c r="G539">
        <v>5490441</v>
      </c>
    </row>
    <row r="540" spans="2:7" x14ac:dyDescent="0.25">
      <c r="B540" t="s">
        <v>334</v>
      </c>
      <c r="C540">
        <v>2161407</v>
      </c>
    </row>
    <row r="541" spans="2:7" x14ac:dyDescent="0.25">
      <c r="B541" t="s">
        <v>28</v>
      </c>
      <c r="C541" t="s">
        <v>815</v>
      </c>
      <c r="D541">
        <v>-0.5</v>
      </c>
      <c r="E541">
        <v>0.8</v>
      </c>
      <c r="F541">
        <v>0</v>
      </c>
      <c r="G541">
        <v>6091442</v>
      </c>
    </row>
    <row r="542" spans="2:7" x14ac:dyDescent="0.25">
      <c r="B542" t="s">
        <v>335</v>
      </c>
      <c r="C542">
        <v>2161517</v>
      </c>
    </row>
    <row r="543" spans="2:7" x14ac:dyDescent="0.25">
      <c r="B543" t="s">
        <v>27</v>
      </c>
      <c r="C543" t="s">
        <v>796</v>
      </c>
      <c r="D543">
        <v>-0.1</v>
      </c>
      <c r="E543">
        <v>-1</v>
      </c>
      <c r="F543">
        <v>0</v>
      </c>
      <c r="G543">
        <v>5286839</v>
      </c>
    </row>
    <row r="544" spans="2:7" x14ac:dyDescent="0.25">
      <c r="B544">
        <v>39</v>
      </c>
      <c r="C544">
        <v>2161547</v>
      </c>
    </row>
    <row r="545" spans="2:7" x14ac:dyDescent="0.25">
      <c r="B545" t="s">
        <v>852</v>
      </c>
      <c r="C545" t="s">
        <v>7</v>
      </c>
      <c r="D545">
        <v>-0.9</v>
      </c>
      <c r="E545">
        <v>-0.5</v>
      </c>
      <c r="F545">
        <v>0</v>
      </c>
      <c r="G545">
        <v>5489837</v>
      </c>
    </row>
    <row r="546" spans="2:7" x14ac:dyDescent="0.25">
      <c r="B546" t="s">
        <v>853</v>
      </c>
      <c r="C546" t="s">
        <v>7</v>
      </c>
      <c r="D546">
        <v>-0.9</v>
      </c>
      <c r="E546">
        <v>-0.5</v>
      </c>
      <c r="F546">
        <v>0</v>
      </c>
      <c r="G546">
        <v>5490270</v>
      </c>
    </row>
    <row r="547" spans="2:7" x14ac:dyDescent="0.25">
      <c r="B547" t="s">
        <v>870</v>
      </c>
      <c r="C547">
        <v>2219166</v>
      </c>
    </row>
    <row r="548" spans="2:7" x14ac:dyDescent="0.25">
      <c r="B548" t="s">
        <v>840</v>
      </c>
      <c r="C548" t="s">
        <v>1</v>
      </c>
      <c r="D548">
        <v>-1</v>
      </c>
      <c r="E548">
        <v>-0.2</v>
      </c>
      <c r="F548">
        <v>0</v>
      </c>
      <c r="G548">
        <v>6645319</v>
      </c>
    </row>
    <row r="549" spans="2:7" x14ac:dyDescent="0.25">
      <c r="B549" t="s">
        <v>336</v>
      </c>
      <c r="C549">
        <v>2219842</v>
      </c>
    </row>
    <row r="550" spans="2:7" x14ac:dyDescent="0.25">
      <c r="B550" t="s">
        <v>797</v>
      </c>
      <c r="C550" t="s">
        <v>1</v>
      </c>
      <c r="D550">
        <v>-1</v>
      </c>
      <c r="E550">
        <v>-0.2</v>
      </c>
      <c r="F550">
        <v>0</v>
      </c>
      <c r="G550">
        <v>6314286</v>
      </c>
    </row>
    <row r="551" spans="2:7" x14ac:dyDescent="0.25">
      <c r="B551" t="s">
        <v>337</v>
      </c>
      <c r="C551">
        <v>2355772</v>
      </c>
    </row>
    <row r="552" spans="2:7" x14ac:dyDescent="0.25">
      <c r="B552" t="s">
        <v>806</v>
      </c>
      <c r="C552" t="s">
        <v>795</v>
      </c>
      <c r="D552">
        <v>0.1</v>
      </c>
      <c r="E552">
        <v>1</v>
      </c>
      <c r="F552">
        <v>0</v>
      </c>
      <c r="G552">
        <v>5201686</v>
      </c>
    </row>
    <row r="553" spans="2:7" x14ac:dyDescent="0.25">
      <c r="B553" t="s">
        <v>339</v>
      </c>
      <c r="C553">
        <v>2355776</v>
      </c>
    </row>
    <row r="554" spans="2:7" x14ac:dyDescent="0.25">
      <c r="B554" t="s">
        <v>810</v>
      </c>
      <c r="C554" t="s">
        <v>795</v>
      </c>
      <c r="D554">
        <v>0.1</v>
      </c>
      <c r="E554">
        <v>1</v>
      </c>
      <c r="F554">
        <v>0</v>
      </c>
      <c r="G554">
        <v>5201684</v>
      </c>
    </row>
    <row r="555" spans="2:7" x14ac:dyDescent="0.25">
      <c r="B555" t="s">
        <v>806</v>
      </c>
      <c r="C555" t="s">
        <v>795</v>
      </c>
      <c r="D555">
        <v>0.1</v>
      </c>
      <c r="E555">
        <v>1</v>
      </c>
      <c r="F555">
        <v>0</v>
      </c>
      <c r="G555">
        <v>5201686</v>
      </c>
    </row>
    <row r="556" spans="2:7" x14ac:dyDescent="0.25">
      <c r="B556" t="s">
        <v>803</v>
      </c>
      <c r="C556" t="s">
        <v>795</v>
      </c>
      <c r="D556">
        <v>0.1</v>
      </c>
      <c r="E556">
        <v>1</v>
      </c>
      <c r="F556">
        <v>0</v>
      </c>
      <c r="G556">
        <v>6517218</v>
      </c>
    </row>
    <row r="557" spans="2:7" x14ac:dyDescent="0.25">
      <c r="B557" t="s">
        <v>340</v>
      </c>
      <c r="C557">
        <v>2355779</v>
      </c>
    </row>
    <row r="558" spans="2:7" x14ac:dyDescent="0.25">
      <c r="B558" t="s">
        <v>803</v>
      </c>
      <c r="C558" t="s">
        <v>795</v>
      </c>
      <c r="D558">
        <v>0.1</v>
      </c>
      <c r="E558">
        <v>1</v>
      </c>
      <c r="F558">
        <v>0</v>
      </c>
      <c r="G558">
        <v>6517218</v>
      </c>
    </row>
    <row r="559" spans="2:7" x14ac:dyDescent="0.25">
      <c r="B559" t="s">
        <v>341</v>
      </c>
      <c r="C559">
        <v>2399895</v>
      </c>
    </row>
    <row r="560" spans="2:7" x14ac:dyDescent="0.25">
      <c r="B560" t="s">
        <v>810</v>
      </c>
      <c r="C560" t="s">
        <v>794</v>
      </c>
      <c r="D560">
        <v>0</v>
      </c>
      <c r="E560">
        <v>-1</v>
      </c>
      <c r="F560">
        <v>0</v>
      </c>
      <c r="G560">
        <v>5207350</v>
      </c>
    </row>
    <row r="561" spans="2:7" x14ac:dyDescent="0.25">
      <c r="B561" t="s">
        <v>342</v>
      </c>
      <c r="C561">
        <v>2399897</v>
      </c>
    </row>
    <row r="562" spans="2:7" x14ac:dyDescent="0.25">
      <c r="B562" t="s">
        <v>810</v>
      </c>
      <c r="C562" t="s">
        <v>794</v>
      </c>
      <c r="D562">
        <v>0</v>
      </c>
      <c r="E562">
        <v>-1</v>
      </c>
      <c r="F562">
        <v>0</v>
      </c>
      <c r="G562">
        <v>5207350</v>
      </c>
    </row>
    <row r="563" spans="2:7" x14ac:dyDescent="0.25">
      <c r="B563" t="s">
        <v>343</v>
      </c>
      <c r="C563">
        <v>2410188</v>
      </c>
    </row>
    <row r="564" spans="2:7" x14ac:dyDescent="0.25">
      <c r="B564" t="s">
        <v>202</v>
      </c>
      <c r="C564" t="s">
        <v>2</v>
      </c>
      <c r="D564">
        <v>1</v>
      </c>
      <c r="E564">
        <v>0.2</v>
      </c>
      <c r="F564">
        <v>0</v>
      </c>
      <c r="G564">
        <v>5050051</v>
      </c>
    </row>
    <row r="565" spans="2:7" x14ac:dyDescent="0.25">
      <c r="B565" t="s">
        <v>199</v>
      </c>
      <c r="C565" t="s">
        <v>2</v>
      </c>
      <c r="D565">
        <v>1</v>
      </c>
      <c r="E565">
        <v>0.2</v>
      </c>
      <c r="F565">
        <v>0</v>
      </c>
      <c r="G565">
        <v>5050052</v>
      </c>
    </row>
    <row r="566" spans="2:7" x14ac:dyDescent="0.25">
      <c r="B566" t="s">
        <v>202</v>
      </c>
      <c r="C566" t="s">
        <v>2</v>
      </c>
      <c r="D566">
        <v>1</v>
      </c>
      <c r="E566">
        <v>0.2</v>
      </c>
      <c r="F566">
        <v>0</v>
      </c>
      <c r="G566">
        <v>5050053</v>
      </c>
    </row>
    <row r="567" spans="2:7" x14ac:dyDescent="0.25">
      <c r="B567" t="s">
        <v>199</v>
      </c>
      <c r="C567" t="s">
        <v>2</v>
      </c>
      <c r="D567">
        <v>1</v>
      </c>
      <c r="E567">
        <v>0.2</v>
      </c>
      <c r="F567">
        <v>0</v>
      </c>
      <c r="G567">
        <v>5050054</v>
      </c>
    </row>
    <row r="568" spans="2:7" x14ac:dyDescent="0.25">
      <c r="B568" t="s">
        <v>200</v>
      </c>
      <c r="C568" t="s">
        <v>2</v>
      </c>
      <c r="D568">
        <v>1</v>
      </c>
      <c r="E568">
        <v>0.2</v>
      </c>
      <c r="F568">
        <v>0</v>
      </c>
      <c r="G568">
        <v>5050055</v>
      </c>
    </row>
    <row r="569" spans="2:7" x14ac:dyDescent="0.25">
      <c r="B569" t="s">
        <v>199</v>
      </c>
      <c r="C569" t="s">
        <v>2</v>
      </c>
      <c r="D569">
        <v>1</v>
      </c>
      <c r="E569">
        <v>0.2</v>
      </c>
      <c r="F569">
        <v>0</v>
      </c>
      <c r="G569">
        <v>5050056</v>
      </c>
    </row>
    <row r="570" spans="2:7" x14ac:dyDescent="0.25">
      <c r="B570" t="s">
        <v>203</v>
      </c>
      <c r="C570" t="s">
        <v>2</v>
      </c>
      <c r="D570">
        <v>1</v>
      </c>
      <c r="E570">
        <v>0.2</v>
      </c>
      <c r="F570">
        <v>0</v>
      </c>
      <c r="G570">
        <v>5050057</v>
      </c>
    </row>
    <row r="571" spans="2:7" x14ac:dyDescent="0.25">
      <c r="B571" t="s">
        <v>202</v>
      </c>
      <c r="C571" t="s">
        <v>2</v>
      </c>
      <c r="D571">
        <v>1</v>
      </c>
      <c r="E571">
        <v>0.2</v>
      </c>
      <c r="F571">
        <v>0</v>
      </c>
      <c r="G571">
        <v>5050058</v>
      </c>
    </row>
    <row r="572" spans="2:7" x14ac:dyDescent="0.25">
      <c r="B572" t="s">
        <v>203</v>
      </c>
      <c r="C572" t="s">
        <v>2</v>
      </c>
      <c r="D572">
        <v>1</v>
      </c>
      <c r="E572">
        <v>0.2</v>
      </c>
      <c r="F572">
        <v>0</v>
      </c>
      <c r="G572">
        <v>5050059</v>
      </c>
    </row>
    <row r="573" spans="2:7" x14ac:dyDescent="0.25">
      <c r="B573" t="s">
        <v>200</v>
      </c>
      <c r="C573" t="s">
        <v>2</v>
      </c>
      <c r="D573">
        <v>1</v>
      </c>
      <c r="E573">
        <v>0.2</v>
      </c>
      <c r="F573">
        <v>0</v>
      </c>
      <c r="G573">
        <v>5050060</v>
      </c>
    </row>
    <row r="574" spans="2:7" x14ac:dyDescent="0.25">
      <c r="B574" t="s">
        <v>202</v>
      </c>
      <c r="C574" t="s">
        <v>2</v>
      </c>
      <c r="D574">
        <v>1</v>
      </c>
      <c r="E574">
        <v>0.2</v>
      </c>
      <c r="F574">
        <v>0</v>
      </c>
      <c r="G574">
        <v>5050061</v>
      </c>
    </row>
    <row r="575" spans="2:7" x14ac:dyDescent="0.25">
      <c r="B575" t="s">
        <v>199</v>
      </c>
      <c r="C575" t="s">
        <v>2</v>
      </c>
      <c r="D575">
        <v>1</v>
      </c>
      <c r="E575">
        <v>0.2</v>
      </c>
      <c r="F575">
        <v>0</v>
      </c>
      <c r="G575">
        <v>5050062</v>
      </c>
    </row>
    <row r="576" spans="2:7" x14ac:dyDescent="0.25">
      <c r="B576" t="s">
        <v>202</v>
      </c>
      <c r="C576" t="s">
        <v>2</v>
      </c>
      <c r="D576">
        <v>1</v>
      </c>
      <c r="E576">
        <v>0.2</v>
      </c>
      <c r="F576">
        <v>0</v>
      </c>
      <c r="G576">
        <v>5050063</v>
      </c>
    </row>
    <row r="577" spans="2:7" x14ac:dyDescent="0.25">
      <c r="B577" t="s">
        <v>199</v>
      </c>
      <c r="C577" t="s">
        <v>2</v>
      </c>
      <c r="D577">
        <v>1</v>
      </c>
      <c r="E577">
        <v>0.2</v>
      </c>
      <c r="F577">
        <v>0</v>
      </c>
      <c r="G577">
        <v>5050064</v>
      </c>
    </row>
    <row r="578" spans="2:7" x14ac:dyDescent="0.25">
      <c r="B578" t="s">
        <v>200</v>
      </c>
      <c r="C578" t="s">
        <v>2</v>
      </c>
      <c r="D578">
        <v>1</v>
      </c>
      <c r="E578">
        <v>0.2</v>
      </c>
      <c r="F578">
        <v>0</v>
      </c>
      <c r="G578">
        <v>5050065</v>
      </c>
    </row>
    <row r="579" spans="2:7" x14ac:dyDescent="0.25">
      <c r="B579" t="s">
        <v>199</v>
      </c>
      <c r="C579" t="s">
        <v>2</v>
      </c>
      <c r="D579">
        <v>1</v>
      </c>
      <c r="E579">
        <v>0.2</v>
      </c>
      <c r="F579">
        <v>0</v>
      </c>
      <c r="G579">
        <v>5050099</v>
      </c>
    </row>
    <row r="580" spans="2:7" x14ac:dyDescent="0.25">
      <c r="B580" t="s">
        <v>203</v>
      </c>
      <c r="C580" t="s">
        <v>2</v>
      </c>
      <c r="D580">
        <v>1</v>
      </c>
      <c r="E580">
        <v>0.2</v>
      </c>
      <c r="F580">
        <v>0</v>
      </c>
      <c r="G580">
        <v>5050100</v>
      </c>
    </row>
    <row r="581" spans="2:7" x14ac:dyDescent="0.25">
      <c r="B581" t="s">
        <v>202</v>
      </c>
      <c r="C581" t="s">
        <v>2</v>
      </c>
      <c r="D581">
        <v>1</v>
      </c>
      <c r="E581">
        <v>0.2</v>
      </c>
      <c r="F581">
        <v>0</v>
      </c>
      <c r="G581">
        <v>5050101</v>
      </c>
    </row>
    <row r="582" spans="2:7" x14ac:dyDescent="0.25">
      <c r="B582" t="s">
        <v>203</v>
      </c>
      <c r="C582" t="s">
        <v>2</v>
      </c>
      <c r="D582">
        <v>1</v>
      </c>
      <c r="E582">
        <v>0.2</v>
      </c>
      <c r="F582">
        <v>0</v>
      </c>
      <c r="G582">
        <v>5050102</v>
      </c>
    </row>
    <row r="583" spans="2:7" x14ac:dyDescent="0.25">
      <c r="B583" t="s">
        <v>200</v>
      </c>
      <c r="C583" t="s">
        <v>2</v>
      </c>
      <c r="D583">
        <v>1</v>
      </c>
      <c r="E583">
        <v>0.2</v>
      </c>
      <c r="F583">
        <v>0</v>
      </c>
      <c r="G583">
        <v>5050103</v>
      </c>
    </row>
    <row r="584" spans="2:7" x14ac:dyDescent="0.25">
      <c r="B584" t="s">
        <v>202</v>
      </c>
      <c r="C584" t="s">
        <v>2</v>
      </c>
      <c r="D584">
        <v>1</v>
      </c>
      <c r="E584">
        <v>0.2</v>
      </c>
      <c r="F584">
        <v>0</v>
      </c>
      <c r="G584">
        <v>5050104</v>
      </c>
    </row>
    <row r="585" spans="2:7" x14ac:dyDescent="0.25">
      <c r="B585" t="s">
        <v>344</v>
      </c>
      <c r="C585">
        <v>2410191</v>
      </c>
    </row>
    <row r="586" spans="2:7" x14ac:dyDescent="0.25">
      <c r="B586" t="s">
        <v>199</v>
      </c>
      <c r="C586" t="s">
        <v>2</v>
      </c>
      <c r="D586">
        <v>1</v>
      </c>
      <c r="E586">
        <v>0.2</v>
      </c>
      <c r="F586">
        <v>0</v>
      </c>
      <c r="G586">
        <v>5049422</v>
      </c>
    </row>
    <row r="587" spans="2:7" x14ac:dyDescent="0.25">
      <c r="B587" t="s">
        <v>202</v>
      </c>
      <c r="C587" t="s">
        <v>2</v>
      </c>
      <c r="D587">
        <v>1</v>
      </c>
      <c r="E587">
        <v>0.2</v>
      </c>
      <c r="F587">
        <v>0</v>
      </c>
      <c r="G587">
        <v>5049423</v>
      </c>
    </row>
    <row r="588" spans="2:7" x14ac:dyDescent="0.25">
      <c r="B588" t="s">
        <v>199</v>
      </c>
      <c r="C588" t="s">
        <v>2</v>
      </c>
      <c r="D588">
        <v>1</v>
      </c>
      <c r="E588">
        <v>0.2</v>
      </c>
      <c r="F588">
        <v>0</v>
      </c>
      <c r="G588">
        <v>5049424</v>
      </c>
    </row>
    <row r="589" spans="2:7" x14ac:dyDescent="0.25">
      <c r="B589" t="s">
        <v>200</v>
      </c>
      <c r="C589" t="s">
        <v>2</v>
      </c>
      <c r="D589">
        <v>1</v>
      </c>
      <c r="E589">
        <v>0.2</v>
      </c>
      <c r="F589">
        <v>0</v>
      </c>
      <c r="G589">
        <v>5049425</v>
      </c>
    </row>
    <row r="590" spans="2:7" x14ac:dyDescent="0.25">
      <c r="B590" t="s">
        <v>199</v>
      </c>
      <c r="C590" t="s">
        <v>2</v>
      </c>
      <c r="D590">
        <v>1</v>
      </c>
      <c r="E590">
        <v>0.2</v>
      </c>
      <c r="F590">
        <v>0</v>
      </c>
      <c r="G590">
        <v>5050046</v>
      </c>
    </row>
    <row r="591" spans="2:7" x14ac:dyDescent="0.25">
      <c r="B591" t="s">
        <v>203</v>
      </c>
      <c r="C591" t="s">
        <v>2</v>
      </c>
      <c r="D591">
        <v>1</v>
      </c>
      <c r="E591">
        <v>0.2</v>
      </c>
      <c r="F591">
        <v>0</v>
      </c>
      <c r="G591">
        <v>5050047</v>
      </c>
    </row>
    <row r="592" spans="2:7" x14ac:dyDescent="0.25">
      <c r="B592" t="s">
        <v>202</v>
      </c>
      <c r="C592" t="s">
        <v>2</v>
      </c>
      <c r="D592">
        <v>1</v>
      </c>
      <c r="E592">
        <v>0.2</v>
      </c>
      <c r="F592">
        <v>0</v>
      </c>
      <c r="G592">
        <v>5050048</v>
      </c>
    </row>
    <row r="593" spans="2:7" x14ac:dyDescent="0.25">
      <c r="B593" t="s">
        <v>203</v>
      </c>
      <c r="C593" t="s">
        <v>2</v>
      </c>
      <c r="D593">
        <v>1</v>
      </c>
      <c r="E593">
        <v>0.2</v>
      </c>
      <c r="F593">
        <v>0</v>
      </c>
      <c r="G593">
        <v>5050049</v>
      </c>
    </row>
    <row r="594" spans="2:7" x14ac:dyDescent="0.25">
      <c r="B594" t="s">
        <v>200</v>
      </c>
      <c r="C594" t="s">
        <v>2</v>
      </c>
      <c r="D594">
        <v>1</v>
      </c>
      <c r="E594">
        <v>0.2</v>
      </c>
      <c r="F594">
        <v>0</v>
      </c>
      <c r="G594">
        <v>5050050</v>
      </c>
    </row>
    <row r="595" spans="2:7" x14ac:dyDescent="0.25">
      <c r="B595" t="s">
        <v>202</v>
      </c>
      <c r="C595" t="s">
        <v>2</v>
      </c>
      <c r="D595">
        <v>1</v>
      </c>
      <c r="E595">
        <v>0.2</v>
      </c>
      <c r="F595">
        <v>0</v>
      </c>
      <c r="G595">
        <v>5050051</v>
      </c>
    </row>
    <row r="596" spans="2:7" x14ac:dyDescent="0.25">
      <c r="B596" t="s">
        <v>345</v>
      </c>
      <c r="C596">
        <v>2410193</v>
      </c>
    </row>
    <row r="597" spans="2:7" x14ac:dyDescent="0.25">
      <c r="B597" t="s">
        <v>200</v>
      </c>
      <c r="C597" t="s">
        <v>2</v>
      </c>
      <c r="D597">
        <v>1</v>
      </c>
      <c r="E597">
        <v>0.2</v>
      </c>
      <c r="F597">
        <v>0</v>
      </c>
      <c r="G597">
        <v>5049304</v>
      </c>
    </row>
    <row r="598" spans="2:7" x14ac:dyDescent="0.25">
      <c r="B598" t="s">
        <v>199</v>
      </c>
      <c r="C598" t="s">
        <v>2</v>
      </c>
      <c r="D598">
        <v>1</v>
      </c>
      <c r="E598">
        <v>0.2</v>
      </c>
      <c r="F598">
        <v>0</v>
      </c>
      <c r="G598">
        <v>5049416</v>
      </c>
    </row>
    <row r="599" spans="2:7" x14ac:dyDescent="0.25">
      <c r="B599" t="s">
        <v>203</v>
      </c>
      <c r="C599" t="s">
        <v>2</v>
      </c>
      <c r="D599">
        <v>1</v>
      </c>
      <c r="E599">
        <v>0.2</v>
      </c>
      <c r="F599">
        <v>0</v>
      </c>
      <c r="G599">
        <v>5049417</v>
      </c>
    </row>
    <row r="600" spans="2:7" x14ac:dyDescent="0.25">
      <c r="B600" t="s">
        <v>202</v>
      </c>
      <c r="C600" t="s">
        <v>2</v>
      </c>
      <c r="D600">
        <v>1</v>
      </c>
      <c r="E600">
        <v>0.2</v>
      </c>
      <c r="F600">
        <v>0</v>
      </c>
      <c r="G600">
        <v>5049418</v>
      </c>
    </row>
    <row r="601" spans="2:7" x14ac:dyDescent="0.25">
      <c r="B601" t="s">
        <v>203</v>
      </c>
      <c r="C601" t="s">
        <v>2</v>
      </c>
      <c r="D601">
        <v>1</v>
      </c>
      <c r="E601">
        <v>0.2</v>
      </c>
      <c r="F601">
        <v>0</v>
      </c>
      <c r="G601">
        <v>5049419</v>
      </c>
    </row>
    <row r="602" spans="2:7" x14ac:dyDescent="0.25">
      <c r="B602" t="s">
        <v>200</v>
      </c>
      <c r="C602" t="s">
        <v>2</v>
      </c>
      <c r="D602">
        <v>1</v>
      </c>
      <c r="E602">
        <v>0.2</v>
      </c>
      <c r="F602">
        <v>0</v>
      </c>
      <c r="G602">
        <v>5049420</v>
      </c>
    </row>
    <row r="603" spans="2:7" x14ac:dyDescent="0.25">
      <c r="B603" t="s">
        <v>202</v>
      </c>
      <c r="C603" t="s">
        <v>2</v>
      </c>
      <c r="D603">
        <v>1</v>
      </c>
      <c r="E603">
        <v>0.2</v>
      </c>
      <c r="F603">
        <v>0</v>
      </c>
      <c r="G603">
        <v>5049421</v>
      </c>
    </row>
    <row r="604" spans="2:7" x14ac:dyDescent="0.25">
      <c r="B604" t="s">
        <v>199</v>
      </c>
      <c r="C604" t="s">
        <v>2</v>
      </c>
      <c r="D604">
        <v>1</v>
      </c>
      <c r="E604">
        <v>0.2</v>
      </c>
      <c r="F604">
        <v>0</v>
      </c>
      <c r="G604">
        <v>5049422</v>
      </c>
    </row>
    <row r="605" spans="2:7" x14ac:dyDescent="0.25">
      <c r="B605" t="s">
        <v>346</v>
      </c>
      <c r="C605">
        <v>2410195</v>
      </c>
    </row>
    <row r="606" spans="2:7" x14ac:dyDescent="0.25">
      <c r="B606" t="s">
        <v>202</v>
      </c>
      <c r="C606" t="s">
        <v>871</v>
      </c>
      <c r="D606">
        <v>0.9</v>
      </c>
      <c r="E606">
        <v>0.3</v>
      </c>
      <c r="F606">
        <v>0</v>
      </c>
      <c r="G606">
        <v>5048281</v>
      </c>
    </row>
    <row r="607" spans="2:7" x14ac:dyDescent="0.25">
      <c r="B607" t="s">
        <v>199</v>
      </c>
      <c r="C607" t="s">
        <v>872</v>
      </c>
      <c r="D607">
        <v>1</v>
      </c>
      <c r="E607">
        <v>0.3</v>
      </c>
      <c r="F607">
        <v>0</v>
      </c>
      <c r="G607">
        <v>5048294</v>
      </c>
    </row>
    <row r="608" spans="2:7" x14ac:dyDescent="0.25">
      <c r="B608" t="s">
        <v>349</v>
      </c>
      <c r="C608" t="s">
        <v>873</v>
      </c>
      <c r="D608">
        <v>1</v>
      </c>
      <c r="E608">
        <v>0.3</v>
      </c>
      <c r="F608">
        <v>0</v>
      </c>
      <c r="G608">
        <v>5048521</v>
      </c>
    </row>
    <row r="609" spans="2:7" x14ac:dyDescent="0.25">
      <c r="B609" t="s">
        <v>203</v>
      </c>
      <c r="C609" t="s">
        <v>2</v>
      </c>
      <c r="D609">
        <v>1</v>
      </c>
      <c r="E609">
        <v>0.2</v>
      </c>
      <c r="F609">
        <v>0</v>
      </c>
      <c r="G609">
        <v>5048592</v>
      </c>
    </row>
    <row r="610" spans="2:7" x14ac:dyDescent="0.25">
      <c r="B610" t="s">
        <v>202</v>
      </c>
      <c r="C610" t="s">
        <v>2</v>
      </c>
      <c r="D610">
        <v>1</v>
      </c>
      <c r="E610">
        <v>0.2</v>
      </c>
      <c r="F610">
        <v>0</v>
      </c>
      <c r="G610">
        <v>5048709</v>
      </c>
    </row>
    <row r="611" spans="2:7" x14ac:dyDescent="0.25">
      <c r="B611" t="s">
        <v>203</v>
      </c>
      <c r="C611" t="s">
        <v>2</v>
      </c>
      <c r="D611">
        <v>1</v>
      </c>
      <c r="E611">
        <v>0.2</v>
      </c>
      <c r="F611">
        <v>0</v>
      </c>
      <c r="G611">
        <v>5048779</v>
      </c>
    </row>
    <row r="612" spans="2:7" x14ac:dyDescent="0.25">
      <c r="B612" t="s">
        <v>200</v>
      </c>
      <c r="C612" t="s">
        <v>2</v>
      </c>
      <c r="D612">
        <v>1</v>
      </c>
      <c r="E612">
        <v>0.2</v>
      </c>
      <c r="F612">
        <v>0</v>
      </c>
      <c r="G612">
        <v>5048897</v>
      </c>
    </row>
    <row r="613" spans="2:7" x14ac:dyDescent="0.25">
      <c r="B613" t="s">
        <v>202</v>
      </c>
      <c r="C613" t="s">
        <v>2</v>
      </c>
      <c r="D613">
        <v>1</v>
      </c>
      <c r="E613">
        <v>0.2</v>
      </c>
      <c r="F613">
        <v>0</v>
      </c>
      <c r="G613">
        <v>5048959</v>
      </c>
    </row>
    <row r="614" spans="2:7" x14ac:dyDescent="0.25">
      <c r="B614" t="s">
        <v>199</v>
      </c>
      <c r="C614" t="s">
        <v>2</v>
      </c>
      <c r="D614">
        <v>1</v>
      </c>
      <c r="E614">
        <v>0.2</v>
      </c>
      <c r="F614">
        <v>0</v>
      </c>
      <c r="G614">
        <v>5049061</v>
      </c>
    </row>
    <row r="615" spans="2:7" x14ac:dyDescent="0.25">
      <c r="B615" t="s">
        <v>202</v>
      </c>
      <c r="C615" t="s">
        <v>2</v>
      </c>
      <c r="D615">
        <v>1</v>
      </c>
      <c r="E615">
        <v>0.2</v>
      </c>
      <c r="F615">
        <v>0</v>
      </c>
      <c r="G615">
        <v>5049155</v>
      </c>
    </row>
    <row r="616" spans="2:7" x14ac:dyDescent="0.25">
      <c r="B616" t="s">
        <v>199</v>
      </c>
      <c r="C616" t="s">
        <v>2</v>
      </c>
      <c r="D616">
        <v>1</v>
      </c>
      <c r="E616">
        <v>0.2</v>
      </c>
      <c r="F616">
        <v>0</v>
      </c>
      <c r="G616">
        <v>5049244</v>
      </c>
    </row>
    <row r="617" spans="2:7" x14ac:dyDescent="0.25">
      <c r="B617" t="s">
        <v>200</v>
      </c>
      <c r="C617" t="s">
        <v>2</v>
      </c>
      <c r="D617">
        <v>1</v>
      </c>
      <c r="E617">
        <v>0.2</v>
      </c>
      <c r="F617">
        <v>0</v>
      </c>
      <c r="G617">
        <v>5049304</v>
      </c>
    </row>
    <row r="618" spans="2:7" x14ac:dyDescent="0.25">
      <c r="B618" t="s">
        <v>351</v>
      </c>
      <c r="C618">
        <v>2410201</v>
      </c>
    </row>
    <row r="619" spans="2:7" x14ac:dyDescent="0.25">
      <c r="B619" t="s">
        <v>853</v>
      </c>
      <c r="C619" t="s">
        <v>5</v>
      </c>
      <c r="D619">
        <v>0.2</v>
      </c>
      <c r="E619">
        <v>-1</v>
      </c>
      <c r="F619">
        <v>0</v>
      </c>
      <c r="G619">
        <v>4929843</v>
      </c>
    </row>
    <row r="620" spans="2:7" x14ac:dyDescent="0.25">
      <c r="B620" t="s">
        <v>852</v>
      </c>
      <c r="C620" t="s">
        <v>5</v>
      </c>
      <c r="D620">
        <v>0.2</v>
      </c>
      <c r="E620">
        <v>-1</v>
      </c>
      <c r="F620">
        <v>0</v>
      </c>
      <c r="G620">
        <v>4929844</v>
      </c>
    </row>
    <row r="621" spans="2:7" x14ac:dyDescent="0.25">
      <c r="B621" t="s">
        <v>851</v>
      </c>
      <c r="C621" t="s">
        <v>5</v>
      </c>
      <c r="D621">
        <v>0.2</v>
      </c>
      <c r="E621">
        <v>-1</v>
      </c>
      <c r="F621">
        <v>0</v>
      </c>
      <c r="G621">
        <v>4929845</v>
      </c>
    </row>
    <row r="622" spans="2:7" x14ac:dyDescent="0.25">
      <c r="B622" t="s">
        <v>203</v>
      </c>
      <c r="C622" t="s">
        <v>791</v>
      </c>
      <c r="D622">
        <v>0.9</v>
      </c>
      <c r="E622">
        <v>0.5</v>
      </c>
      <c r="F622">
        <v>0</v>
      </c>
      <c r="G622">
        <v>5044659</v>
      </c>
    </row>
    <row r="623" spans="2:7" x14ac:dyDescent="0.25">
      <c r="B623" t="s">
        <v>202</v>
      </c>
      <c r="C623" t="s">
        <v>791</v>
      </c>
      <c r="D623">
        <v>0.9</v>
      </c>
      <c r="E623">
        <v>0.5</v>
      </c>
      <c r="F623">
        <v>0</v>
      </c>
      <c r="G623">
        <v>5044720</v>
      </c>
    </row>
    <row r="624" spans="2:7" x14ac:dyDescent="0.25">
      <c r="B624" t="s">
        <v>352</v>
      </c>
      <c r="C624">
        <v>2410203</v>
      </c>
    </row>
    <row r="625" spans="2:7" x14ac:dyDescent="0.25">
      <c r="B625" t="s">
        <v>202</v>
      </c>
      <c r="C625" t="s">
        <v>74</v>
      </c>
      <c r="D625">
        <v>0.9</v>
      </c>
      <c r="E625">
        <v>0.5</v>
      </c>
      <c r="F625">
        <v>0</v>
      </c>
      <c r="G625">
        <v>5045703</v>
      </c>
    </row>
    <row r="626" spans="2:7" x14ac:dyDescent="0.25">
      <c r="B626" t="s">
        <v>200</v>
      </c>
      <c r="C626" t="s">
        <v>74</v>
      </c>
      <c r="D626">
        <v>0.9</v>
      </c>
      <c r="E626">
        <v>0.5</v>
      </c>
      <c r="F626">
        <v>0</v>
      </c>
      <c r="G626">
        <v>5045704</v>
      </c>
    </row>
    <row r="627" spans="2:7" x14ac:dyDescent="0.25">
      <c r="B627" t="s">
        <v>199</v>
      </c>
      <c r="C627" t="s">
        <v>74</v>
      </c>
      <c r="D627">
        <v>0.9</v>
      </c>
      <c r="E627">
        <v>0.5</v>
      </c>
      <c r="F627">
        <v>0</v>
      </c>
      <c r="G627">
        <v>5045708</v>
      </c>
    </row>
    <row r="628" spans="2:7" x14ac:dyDescent="0.25">
      <c r="B628" t="s">
        <v>202</v>
      </c>
      <c r="C628" t="s">
        <v>74</v>
      </c>
      <c r="D628">
        <v>0.9</v>
      </c>
      <c r="E628">
        <v>0.5</v>
      </c>
      <c r="F628">
        <v>0</v>
      </c>
      <c r="G628">
        <v>5046965</v>
      </c>
    </row>
    <row r="629" spans="2:7" x14ac:dyDescent="0.25">
      <c r="B629" t="s">
        <v>353</v>
      </c>
      <c r="C629">
        <v>2410205</v>
      </c>
    </row>
    <row r="630" spans="2:7" x14ac:dyDescent="0.25">
      <c r="B630" t="s">
        <v>852</v>
      </c>
      <c r="C630" t="s">
        <v>5</v>
      </c>
      <c r="D630">
        <v>0.2</v>
      </c>
      <c r="E630">
        <v>-1</v>
      </c>
      <c r="F630">
        <v>0</v>
      </c>
      <c r="G630">
        <v>4928973</v>
      </c>
    </row>
    <row r="631" spans="2:7" x14ac:dyDescent="0.25">
      <c r="B631" t="s">
        <v>853</v>
      </c>
      <c r="C631" t="s">
        <v>5</v>
      </c>
      <c r="D631">
        <v>0.2</v>
      </c>
      <c r="E631">
        <v>-1</v>
      </c>
      <c r="F631">
        <v>0</v>
      </c>
      <c r="G631">
        <v>4929838</v>
      </c>
    </row>
    <row r="632" spans="2:7" x14ac:dyDescent="0.25">
      <c r="B632" t="s">
        <v>852</v>
      </c>
      <c r="C632" t="s">
        <v>5</v>
      </c>
      <c r="D632">
        <v>0.2</v>
      </c>
      <c r="E632">
        <v>-1</v>
      </c>
      <c r="F632">
        <v>0</v>
      </c>
      <c r="G632">
        <v>4929840</v>
      </c>
    </row>
    <row r="633" spans="2:7" x14ac:dyDescent="0.25">
      <c r="B633" t="s">
        <v>852</v>
      </c>
      <c r="C633" t="s">
        <v>5</v>
      </c>
      <c r="D633">
        <v>0.2</v>
      </c>
      <c r="E633">
        <v>-1</v>
      </c>
      <c r="F633">
        <v>0</v>
      </c>
      <c r="G633">
        <v>4929841</v>
      </c>
    </row>
    <row r="634" spans="2:7" x14ac:dyDescent="0.25">
      <c r="B634" t="s">
        <v>852</v>
      </c>
      <c r="C634" t="s">
        <v>5</v>
      </c>
      <c r="D634">
        <v>0.2</v>
      </c>
      <c r="E634">
        <v>-1</v>
      </c>
      <c r="F634">
        <v>0</v>
      </c>
      <c r="G634">
        <v>4929842</v>
      </c>
    </row>
    <row r="635" spans="2:7" x14ac:dyDescent="0.25">
      <c r="B635" t="s">
        <v>853</v>
      </c>
      <c r="C635" t="s">
        <v>5</v>
      </c>
      <c r="D635">
        <v>0.2</v>
      </c>
      <c r="E635">
        <v>-1</v>
      </c>
      <c r="F635">
        <v>0</v>
      </c>
      <c r="G635">
        <v>4929843</v>
      </c>
    </row>
    <row r="636" spans="2:7" x14ac:dyDescent="0.25">
      <c r="B636" t="s">
        <v>852</v>
      </c>
      <c r="C636" t="s">
        <v>5</v>
      </c>
      <c r="D636">
        <v>0.2</v>
      </c>
      <c r="E636">
        <v>-1</v>
      </c>
      <c r="F636">
        <v>0</v>
      </c>
      <c r="G636">
        <v>4929844</v>
      </c>
    </row>
    <row r="637" spans="2:7" x14ac:dyDescent="0.25">
      <c r="B637" t="s">
        <v>851</v>
      </c>
      <c r="C637" t="s">
        <v>5</v>
      </c>
      <c r="D637">
        <v>0.2</v>
      </c>
      <c r="E637">
        <v>-1</v>
      </c>
      <c r="F637">
        <v>0</v>
      </c>
      <c r="G637">
        <v>4929845</v>
      </c>
    </row>
    <row r="638" spans="2:7" x14ac:dyDescent="0.25">
      <c r="B638" t="s">
        <v>852</v>
      </c>
      <c r="C638" t="s">
        <v>5</v>
      </c>
      <c r="D638">
        <v>0.2</v>
      </c>
      <c r="E638">
        <v>-1</v>
      </c>
      <c r="F638">
        <v>0</v>
      </c>
      <c r="G638">
        <v>4929846</v>
      </c>
    </row>
    <row r="639" spans="2:7" x14ac:dyDescent="0.25">
      <c r="B639" t="s">
        <v>851</v>
      </c>
      <c r="C639" t="s">
        <v>5</v>
      </c>
      <c r="D639">
        <v>0.2</v>
      </c>
      <c r="E639">
        <v>-1</v>
      </c>
      <c r="F639">
        <v>0</v>
      </c>
      <c r="G639">
        <v>4929847</v>
      </c>
    </row>
    <row r="640" spans="2:7" x14ac:dyDescent="0.25">
      <c r="B640" t="s">
        <v>852</v>
      </c>
      <c r="C640" t="s">
        <v>5</v>
      </c>
      <c r="D640">
        <v>0.2</v>
      </c>
      <c r="E640">
        <v>-1</v>
      </c>
      <c r="F640">
        <v>0</v>
      </c>
      <c r="G640">
        <v>4929848</v>
      </c>
    </row>
    <row r="641" spans="2:7" x14ac:dyDescent="0.25">
      <c r="B641" t="s">
        <v>852</v>
      </c>
      <c r="C641" t="s">
        <v>5</v>
      </c>
      <c r="D641">
        <v>0.2</v>
      </c>
      <c r="E641">
        <v>-1</v>
      </c>
      <c r="F641">
        <v>0</v>
      </c>
      <c r="G641">
        <v>4929849</v>
      </c>
    </row>
    <row r="642" spans="2:7" x14ac:dyDescent="0.25">
      <c r="B642" t="s">
        <v>852</v>
      </c>
      <c r="C642" t="s">
        <v>5</v>
      </c>
      <c r="D642">
        <v>0.2</v>
      </c>
      <c r="E642">
        <v>-1</v>
      </c>
      <c r="F642">
        <v>0</v>
      </c>
      <c r="G642">
        <v>4929850</v>
      </c>
    </row>
    <row r="643" spans="2:7" x14ac:dyDescent="0.25">
      <c r="B643" t="s">
        <v>852</v>
      </c>
      <c r="C643" t="s">
        <v>5</v>
      </c>
      <c r="D643">
        <v>0.2</v>
      </c>
      <c r="E643">
        <v>-1</v>
      </c>
      <c r="F643">
        <v>0</v>
      </c>
      <c r="G643">
        <v>4929851</v>
      </c>
    </row>
    <row r="644" spans="2:7" x14ac:dyDescent="0.25">
      <c r="B644" t="s">
        <v>852</v>
      </c>
      <c r="C644" t="s">
        <v>5</v>
      </c>
      <c r="D644">
        <v>0.2</v>
      </c>
      <c r="E644">
        <v>-1</v>
      </c>
      <c r="F644">
        <v>0</v>
      </c>
      <c r="G644">
        <v>4929852</v>
      </c>
    </row>
    <row r="645" spans="2:7" x14ac:dyDescent="0.25">
      <c r="B645" t="s">
        <v>852</v>
      </c>
      <c r="C645" t="s">
        <v>5</v>
      </c>
      <c r="D645">
        <v>0.2</v>
      </c>
      <c r="E645">
        <v>-1</v>
      </c>
      <c r="F645">
        <v>0</v>
      </c>
      <c r="G645">
        <v>4929853</v>
      </c>
    </row>
    <row r="646" spans="2:7" x14ac:dyDescent="0.25">
      <c r="B646" t="s">
        <v>852</v>
      </c>
      <c r="C646" t="s">
        <v>5</v>
      </c>
      <c r="D646">
        <v>0.2</v>
      </c>
      <c r="E646">
        <v>-1</v>
      </c>
      <c r="F646">
        <v>0</v>
      </c>
      <c r="G646">
        <v>4929854</v>
      </c>
    </row>
    <row r="647" spans="2:7" x14ac:dyDescent="0.25">
      <c r="B647" t="s">
        <v>853</v>
      </c>
      <c r="C647" t="s">
        <v>5</v>
      </c>
      <c r="D647">
        <v>0.2</v>
      </c>
      <c r="E647">
        <v>-1</v>
      </c>
      <c r="F647">
        <v>0</v>
      </c>
      <c r="G647">
        <v>4929855</v>
      </c>
    </row>
    <row r="648" spans="2:7" x14ac:dyDescent="0.25">
      <c r="B648" t="s">
        <v>852</v>
      </c>
      <c r="C648" t="s">
        <v>5</v>
      </c>
      <c r="D648">
        <v>0.2</v>
      </c>
      <c r="E648">
        <v>-1</v>
      </c>
      <c r="F648">
        <v>0</v>
      </c>
      <c r="G648">
        <v>4929856</v>
      </c>
    </row>
    <row r="649" spans="2:7" x14ac:dyDescent="0.25">
      <c r="B649" t="s">
        <v>354</v>
      </c>
      <c r="C649">
        <v>2417607</v>
      </c>
    </row>
    <row r="650" spans="2:7" x14ac:dyDescent="0.25">
      <c r="B650" t="s">
        <v>28</v>
      </c>
      <c r="C650" t="s">
        <v>5</v>
      </c>
      <c r="D650">
        <v>0.2</v>
      </c>
      <c r="E650">
        <v>-1</v>
      </c>
      <c r="F650">
        <v>0</v>
      </c>
      <c r="G650">
        <v>4867635</v>
      </c>
    </row>
    <row r="651" spans="2:7" x14ac:dyDescent="0.25">
      <c r="B651" t="s">
        <v>355</v>
      </c>
      <c r="C651">
        <v>2418172</v>
      </c>
    </row>
    <row r="652" spans="2:7" x14ac:dyDescent="0.25">
      <c r="B652" t="s">
        <v>31</v>
      </c>
      <c r="C652" t="s">
        <v>815</v>
      </c>
      <c r="D652">
        <v>-0.5</v>
      </c>
      <c r="E652">
        <v>0.8</v>
      </c>
      <c r="F652">
        <v>0</v>
      </c>
      <c r="G652">
        <v>6091439</v>
      </c>
    </row>
    <row r="653" spans="2:7" x14ac:dyDescent="0.25">
      <c r="B653" t="s">
        <v>356</v>
      </c>
      <c r="C653">
        <v>2418479</v>
      </c>
    </row>
    <row r="654" spans="2:7" x14ac:dyDescent="0.25">
      <c r="B654" t="s">
        <v>28</v>
      </c>
      <c r="C654" t="s">
        <v>796</v>
      </c>
      <c r="D654">
        <v>-0.1</v>
      </c>
      <c r="E654">
        <v>-1</v>
      </c>
      <c r="F654">
        <v>0</v>
      </c>
      <c r="G654">
        <v>4795788</v>
      </c>
    </row>
    <row r="655" spans="2:7" x14ac:dyDescent="0.25">
      <c r="B655" t="s">
        <v>358</v>
      </c>
      <c r="C655">
        <v>2426594</v>
      </c>
    </row>
    <row r="656" spans="2:7" x14ac:dyDescent="0.25">
      <c r="B656" t="s">
        <v>31</v>
      </c>
      <c r="C656" t="s">
        <v>802</v>
      </c>
      <c r="D656">
        <v>-0.3</v>
      </c>
      <c r="E656">
        <v>0.9</v>
      </c>
      <c r="F656">
        <v>0</v>
      </c>
      <c r="G656">
        <v>5147569</v>
      </c>
    </row>
    <row r="657" spans="2:8" x14ac:dyDescent="0.25">
      <c r="B657" t="s">
        <v>359</v>
      </c>
      <c r="C657">
        <v>2426595</v>
      </c>
    </row>
    <row r="658" spans="2:8" x14ac:dyDescent="0.25">
      <c r="B658" t="s">
        <v>31</v>
      </c>
      <c r="C658" t="s">
        <v>327</v>
      </c>
      <c r="D658">
        <v>0.4</v>
      </c>
      <c r="E658">
        <v>-0.9</v>
      </c>
      <c r="F658">
        <v>0</v>
      </c>
      <c r="G658">
        <v>5147810</v>
      </c>
    </row>
    <row r="659" spans="2:8" x14ac:dyDescent="0.25">
      <c r="B659" t="s">
        <v>360</v>
      </c>
      <c r="C659">
        <v>2448874</v>
      </c>
    </row>
    <row r="660" spans="2:8" s="14" customFormat="1" x14ac:dyDescent="0.25">
      <c r="B660" s="14" t="s">
        <v>1081</v>
      </c>
      <c r="C660" s="14" t="s">
        <v>6</v>
      </c>
      <c r="D660" s="14">
        <v>-0.2</v>
      </c>
      <c r="E660" s="14">
        <v>1</v>
      </c>
      <c r="F660" s="14">
        <v>0</v>
      </c>
      <c r="G660" s="14">
        <v>6503566</v>
      </c>
      <c r="H660" s="14" t="s">
        <v>806</v>
      </c>
    </row>
    <row r="661" spans="2:8" x14ac:dyDescent="0.25">
      <c r="B661" t="s">
        <v>361</v>
      </c>
      <c r="C661">
        <v>2632790</v>
      </c>
    </row>
    <row r="662" spans="2:8" x14ac:dyDescent="0.25">
      <c r="B662" t="s">
        <v>852</v>
      </c>
      <c r="C662" t="s">
        <v>5</v>
      </c>
      <c r="D662">
        <v>0.2</v>
      </c>
      <c r="E662">
        <v>-1</v>
      </c>
      <c r="F662">
        <v>0</v>
      </c>
      <c r="G662">
        <v>4929854</v>
      </c>
    </row>
    <row r="663" spans="2:8" x14ac:dyDescent="0.25">
      <c r="B663" t="s">
        <v>853</v>
      </c>
      <c r="C663" t="s">
        <v>5</v>
      </c>
      <c r="D663">
        <v>0.2</v>
      </c>
      <c r="E663">
        <v>-1</v>
      </c>
      <c r="F663">
        <v>0</v>
      </c>
      <c r="G663">
        <v>4929855</v>
      </c>
    </row>
    <row r="664" spans="2:8" x14ac:dyDescent="0.25">
      <c r="B664" t="s">
        <v>852</v>
      </c>
      <c r="C664" t="s">
        <v>5</v>
      </c>
      <c r="D664">
        <v>0.2</v>
      </c>
      <c r="E664">
        <v>-1</v>
      </c>
      <c r="F664">
        <v>0</v>
      </c>
      <c r="G664">
        <v>4929856</v>
      </c>
    </row>
    <row r="665" spans="2:8" x14ac:dyDescent="0.25">
      <c r="B665" t="s">
        <v>362</v>
      </c>
      <c r="C665">
        <v>2632792</v>
      </c>
    </row>
    <row r="666" spans="2:8" x14ac:dyDescent="0.25">
      <c r="B666" t="s">
        <v>852</v>
      </c>
      <c r="C666" t="s">
        <v>5</v>
      </c>
      <c r="D666">
        <v>0.2</v>
      </c>
      <c r="E666">
        <v>-1</v>
      </c>
      <c r="F666">
        <v>0</v>
      </c>
      <c r="G666">
        <v>4929851</v>
      </c>
    </row>
    <row r="667" spans="2:8" x14ac:dyDescent="0.25">
      <c r="B667" t="s">
        <v>852</v>
      </c>
      <c r="C667" t="s">
        <v>5</v>
      </c>
      <c r="D667">
        <v>0.2</v>
      </c>
      <c r="E667">
        <v>-1</v>
      </c>
      <c r="F667">
        <v>0</v>
      </c>
      <c r="G667">
        <v>4929852</v>
      </c>
    </row>
    <row r="668" spans="2:8" x14ac:dyDescent="0.25">
      <c r="B668" t="s">
        <v>852</v>
      </c>
      <c r="C668" t="s">
        <v>5</v>
      </c>
      <c r="D668">
        <v>0.2</v>
      </c>
      <c r="E668">
        <v>-1</v>
      </c>
      <c r="F668">
        <v>0</v>
      </c>
      <c r="G668">
        <v>4929853</v>
      </c>
    </row>
    <row r="669" spans="2:8" x14ac:dyDescent="0.25">
      <c r="B669" t="s">
        <v>852</v>
      </c>
      <c r="C669" t="s">
        <v>5</v>
      </c>
      <c r="D669">
        <v>0.2</v>
      </c>
      <c r="E669">
        <v>-1</v>
      </c>
      <c r="F669">
        <v>0</v>
      </c>
      <c r="G669">
        <v>4929854</v>
      </c>
    </row>
    <row r="670" spans="2:8" x14ac:dyDescent="0.25">
      <c r="B670" t="s">
        <v>363</v>
      </c>
      <c r="C670">
        <v>2641896</v>
      </c>
    </row>
    <row r="671" spans="2:8" x14ac:dyDescent="0.25">
      <c r="B671" t="s">
        <v>27</v>
      </c>
      <c r="C671" t="s">
        <v>6</v>
      </c>
      <c r="D671">
        <v>-0.2</v>
      </c>
      <c r="E671">
        <v>1</v>
      </c>
      <c r="F671">
        <v>0</v>
      </c>
      <c r="G671">
        <v>4791460</v>
      </c>
    </row>
    <row r="672" spans="2:8" x14ac:dyDescent="0.25">
      <c r="B672" t="s">
        <v>30</v>
      </c>
      <c r="C672" t="s">
        <v>6</v>
      </c>
      <c r="D672">
        <v>-0.2</v>
      </c>
      <c r="E672">
        <v>1</v>
      </c>
      <c r="F672">
        <v>0</v>
      </c>
      <c r="G672">
        <v>4791562</v>
      </c>
    </row>
    <row r="673" spans="2:8" x14ac:dyDescent="0.25">
      <c r="B673" t="s">
        <v>31</v>
      </c>
      <c r="C673" t="s">
        <v>6</v>
      </c>
      <c r="D673">
        <v>-0.2</v>
      </c>
      <c r="E673">
        <v>1</v>
      </c>
      <c r="F673">
        <v>0</v>
      </c>
      <c r="G673">
        <v>4791606</v>
      </c>
    </row>
    <row r="674" spans="2:8" x14ac:dyDescent="0.25">
      <c r="B674" t="s">
        <v>30</v>
      </c>
      <c r="C674" t="s">
        <v>6</v>
      </c>
      <c r="D674">
        <v>-0.2</v>
      </c>
      <c r="E674">
        <v>1</v>
      </c>
      <c r="F674">
        <v>0</v>
      </c>
      <c r="G674">
        <v>4791706</v>
      </c>
    </row>
    <row r="675" spans="2:8" x14ac:dyDescent="0.25">
      <c r="B675" t="s">
        <v>27</v>
      </c>
      <c r="C675" t="s">
        <v>6</v>
      </c>
      <c r="D675">
        <v>-0.2</v>
      </c>
      <c r="E675">
        <v>1</v>
      </c>
      <c r="F675">
        <v>0</v>
      </c>
      <c r="G675">
        <v>4791950</v>
      </c>
    </row>
    <row r="676" spans="2:8" x14ac:dyDescent="0.25">
      <c r="B676" s="14" t="s">
        <v>188</v>
      </c>
      <c r="C676" s="14" t="s">
        <v>1050</v>
      </c>
      <c r="D676" s="14"/>
      <c r="E676" s="14"/>
      <c r="F676" s="14"/>
      <c r="G676" s="14"/>
      <c r="H676" t="s">
        <v>1048</v>
      </c>
    </row>
    <row r="677" spans="2:8" x14ac:dyDescent="0.25">
      <c r="B677" s="14" t="s">
        <v>31</v>
      </c>
      <c r="C677" s="14" t="s">
        <v>794</v>
      </c>
      <c r="D677" s="14">
        <v>0</v>
      </c>
      <c r="E677" s="14">
        <v>-1</v>
      </c>
      <c r="F677" s="14">
        <v>0</v>
      </c>
      <c r="G677" s="14">
        <v>4809695</v>
      </c>
      <c r="H677" t="s">
        <v>1047</v>
      </c>
    </row>
    <row r="678" spans="2:8" x14ac:dyDescent="0.25">
      <c r="B678" s="14" t="s">
        <v>1051</v>
      </c>
      <c r="C678" s="14" t="s">
        <v>1050</v>
      </c>
      <c r="D678" s="14"/>
      <c r="E678" s="14"/>
      <c r="F678" s="14"/>
      <c r="G678" s="14"/>
      <c r="H678" t="s">
        <v>1048</v>
      </c>
    </row>
    <row r="679" spans="2:8" x14ac:dyDescent="0.25">
      <c r="B679" s="14" t="s">
        <v>31</v>
      </c>
      <c r="C679" s="14" t="s">
        <v>793</v>
      </c>
      <c r="D679" s="14">
        <v>0</v>
      </c>
      <c r="E679" s="14">
        <v>1</v>
      </c>
      <c r="F679" s="14">
        <v>0</v>
      </c>
      <c r="G679" s="14">
        <v>4809249</v>
      </c>
      <c r="H679" t="s">
        <v>1047</v>
      </c>
    </row>
    <row r="680" spans="2:8" x14ac:dyDescent="0.25">
      <c r="B680" s="14" t="s">
        <v>28</v>
      </c>
      <c r="C680" s="14" t="s">
        <v>793</v>
      </c>
      <c r="D680" s="14">
        <v>0</v>
      </c>
      <c r="E680" s="14">
        <v>1</v>
      </c>
      <c r="F680" s="14">
        <v>0</v>
      </c>
      <c r="G680" s="14">
        <v>4809155</v>
      </c>
      <c r="H680" t="s">
        <v>1047</v>
      </c>
    </row>
    <row r="681" spans="2:8" x14ac:dyDescent="0.25">
      <c r="B681" s="35" t="s">
        <v>1052</v>
      </c>
      <c r="C681" s="14" t="s">
        <v>1050</v>
      </c>
      <c r="D681" s="14"/>
      <c r="E681" s="14"/>
      <c r="F681" s="14"/>
      <c r="G681" s="14"/>
      <c r="H681" t="s">
        <v>1048</v>
      </c>
    </row>
    <row r="682" spans="2:8" x14ac:dyDescent="0.25">
      <c r="B682" s="14" t="s">
        <v>27</v>
      </c>
      <c r="C682" s="14" t="s">
        <v>793</v>
      </c>
      <c r="D682" s="14">
        <v>0</v>
      </c>
      <c r="E682" s="14">
        <v>1</v>
      </c>
      <c r="F682" s="14">
        <v>0</v>
      </c>
      <c r="G682" s="14">
        <v>5207570</v>
      </c>
      <c r="H682" t="s">
        <v>1047</v>
      </c>
    </row>
    <row r="683" spans="2:8" x14ac:dyDescent="0.25">
      <c r="B683" s="14" t="s">
        <v>31</v>
      </c>
      <c r="C683" s="14" t="s">
        <v>793</v>
      </c>
      <c r="D683" s="14">
        <v>0</v>
      </c>
      <c r="E683" s="14">
        <v>1</v>
      </c>
      <c r="F683" s="14">
        <v>0</v>
      </c>
      <c r="G683" s="14">
        <v>5148586</v>
      </c>
      <c r="H683" t="s">
        <v>1047</v>
      </c>
    </row>
    <row r="684" spans="2:8" x14ac:dyDescent="0.25">
      <c r="B684" s="14" t="s">
        <v>1054</v>
      </c>
      <c r="C684" s="14" t="s">
        <v>1050</v>
      </c>
      <c r="D684" s="14"/>
      <c r="E684" s="14"/>
      <c r="F684" s="14"/>
      <c r="G684" s="14"/>
      <c r="H684" t="s">
        <v>1048</v>
      </c>
    </row>
    <row r="685" spans="2:8" x14ac:dyDescent="0.25">
      <c r="B685" s="14" t="s">
        <v>1059</v>
      </c>
      <c r="C685" s="14" t="s">
        <v>793</v>
      </c>
      <c r="D685" s="14">
        <v>0</v>
      </c>
      <c r="E685" s="14">
        <v>1</v>
      </c>
      <c r="F685" s="14">
        <v>0</v>
      </c>
      <c r="G685" s="14" t="s">
        <v>779</v>
      </c>
      <c r="H685" t="s">
        <v>1055</v>
      </c>
    </row>
    <row r="686" spans="2:8" x14ac:dyDescent="0.25">
      <c r="B686" s="14" t="s">
        <v>337</v>
      </c>
      <c r="C686" s="14" t="s">
        <v>1050</v>
      </c>
      <c r="D686" s="14"/>
      <c r="E686" s="14"/>
      <c r="F686" s="14"/>
      <c r="G686" s="14"/>
      <c r="H686" t="s">
        <v>1048</v>
      </c>
    </row>
    <row r="687" spans="2:8" x14ac:dyDescent="0.25">
      <c r="B687" s="14" t="s">
        <v>806</v>
      </c>
      <c r="C687" s="14" t="s">
        <v>795</v>
      </c>
      <c r="D687" s="14">
        <v>0.1</v>
      </c>
      <c r="E687" s="14">
        <v>1</v>
      </c>
      <c r="F687" s="14">
        <v>0</v>
      </c>
      <c r="G687" s="14">
        <v>5148393</v>
      </c>
      <c r="H687" t="s">
        <v>1047</v>
      </c>
    </row>
    <row r="688" spans="2:8" x14ac:dyDescent="0.25">
      <c r="B688" s="14" t="s">
        <v>806</v>
      </c>
      <c r="C688" s="14" t="s">
        <v>795</v>
      </c>
      <c r="D688" s="14">
        <v>0.1</v>
      </c>
      <c r="E688" s="14">
        <v>1</v>
      </c>
      <c r="F688" s="14">
        <v>0</v>
      </c>
      <c r="G688" s="14">
        <v>4810087</v>
      </c>
      <c r="H688" t="s">
        <v>1047</v>
      </c>
    </row>
    <row r="689" spans="2:8" x14ac:dyDescent="0.25">
      <c r="B689" s="14" t="s">
        <v>28</v>
      </c>
      <c r="C689" s="14" t="s">
        <v>795</v>
      </c>
      <c r="D689" s="14">
        <v>0.1</v>
      </c>
      <c r="E689" s="14">
        <v>1</v>
      </c>
      <c r="F689" s="14">
        <v>0</v>
      </c>
      <c r="G689" s="14">
        <v>4810159</v>
      </c>
      <c r="H689" t="s">
        <v>1047</v>
      </c>
    </row>
    <row r="690" spans="2:8" x14ac:dyDescent="0.25">
      <c r="B690" s="14" t="s">
        <v>806</v>
      </c>
      <c r="C690" s="14" t="s">
        <v>795</v>
      </c>
      <c r="D690" s="14">
        <v>0.1</v>
      </c>
      <c r="E690" s="14">
        <v>1</v>
      </c>
      <c r="F690" s="14">
        <v>0</v>
      </c>
      <c r="G690" s="14">
        <v>4810260</v>
      </c>
      <c r="H690" t="s">
        <v>1047</v>
      </c>
    </row>
    <row r="691" spans="2:8" x14ac:dyDescent="0.25">
      <c r="B691" s="14" t="s">
        <v>806</v>
      </c>
      <c r="C691" s="14" t="s">
        <v>795</v>
      </c>
      <c r="D691" s="14">
        <v>0.1</v>
      </c>
      <c r="E691" s="14">
        <v>1</v>
      </c>
      <c r="F691" s="14">
        <v>0</v>
      </c>
      <c r="G691" s="14">
        <v>4810393</v>
      </c>
      <c r="H691" t="s">
        <v>1047</v>
      </c>
    </row>
    <row r="692" spans="2:8" x14ac:dyDescent="0.25">
      <c r="B692" s="14" t="s">
        <v>1059</v>
      </c>
      <c r="C692" s="14" t="s">
        <v>795</v>
      </c>
      <c r="D692" s="14">
        <v>0.1</v>
      </c>
      <c r="E692" s="14">
        <v>1</v>
      </c>
      <c r="F692" s="14">
        <v>0</v>
      </c>
      <c r="G692" s="14" t="s">
        <v>779</v>
      </c>
      <c r="H692" t="s">
        <v>1055</v>
      </c>
    </row>
    <row r="693" spans="2:8" x14ac:dyDescent="0.25">
      <c r="B693" s="14" t="s">
        <v>1059</v>
      </c>
      <c r="C693" s="14" t="s">
        <v>795</v>
      </c>
      <c r="D693" s="14">
        <v>0.1</v>
      </c>
      <c r="E693" s="14">
        <v>1</v>
      </c>
      <c r="F693" s="14">
        <v>0</v>
      </c>
      <c r="G693" s="14" t="s">
        <v>779</v>
      </c>
      <c r="H693" t="s">
        <v>1055</v>
      </c>
    </row>
    <row r="694" spans="2:8" x14ac:dyDescent="0.25">
      <c r="B694" s="14" t="s">
        <v>31</v>
      </c>
      <c r="C694" s="14" t="s">
        <v>846</v>
      </c>
      <c r="D694" s="14">
        <v>-1</v>
      </c>
      <c r="E694" s="14">
        <v>0.1</v>
      </c>
      <c r="F694" s="14">
        <v>0</v>
      </c>
      <c r="G694" s="14">
        <v>4841854</v>
      </c>
      <c r="H694" t="s">
        <v>1047</v>
      </c>
    </row>
    <row r="695" spans="2:8" x14ac:dyDescent="0.25">
      <c r="B695" s="14" t="s">
        <v>31</v>
      </c>
      <c r="C695" s="14" t="s">
        <v>846</v>
      </c>
      <c r="D695" s="14">
        <v>-1</v>
      </c>
      <c r="E695" s="14">
        <v>0.1</v>
      </c>
      <c r="F695" s="14">
        <v>0</v>
      </c>
      <c r="G695" s="14">
        <v>4841972</v>
      </c>
      <c r="H695" t="s">
        <v>1047</v>
      </c>
    </row>
    <row r="696" spans="2:8" x14ac:dyDescent="0.25">
      <c r="B696" s="14" t="s">
        <v>31</v>
      </c>
      <c r="C696" s="14" t="s">
        <v>846</v>
      </c>
      <c r="D696" s="14">
        <v>-1</v>
      </c>
      <c r="E696" s="14">
        <v>0.1</v>
      </c>
      <c r="F696" s="14">
        <v>0</v>
      </c>
      <c r="G696" s="14">
        <v>4841923</v>
      </c>
      <c r="H696" t="s">
        <v>1047</v>
      </c>
    </row>
    <row r="697" spans="2:8" x14ac:dyDescent="0.25">
      <c r="B697" s="14" t="s">
        <v>28</v>
      </c>
      <c r="C697" s="14" t="s">
        <v>796</v>
      </c>
      <c r="D697" s="14">
        <v>-0.1</v>
      </c>
      <c r="E697" s="14">
        <v>-1</v>
      </c>
      <c r="F697" s="14">
        <v>0</v>
      </c>
      <c r="G697" s="14">
        <v>4795723</v>
      </c>
      <c r="H697" t="s">
        <v>1047</v>
      </c>
    </row>
    <row r="698" spans="2:8" x14ac:dyDescent="0.25">
      <c r="B698" s="14" t="s">
        <v>31</v>
      </c>
      <c r="C698" s="14" t="s">
        <v>796</v>
      </c>
      <c r="D698" s="14">
        <v>-0.1</v>
      </c>
      <c r="E698" s="14">
        <v>-1</v>
      </c>
      <c r="F698" s="14">
        <v>0</v>
      </c>
      <c r="G698" s="14">
        <v>4795778</v>
      </c>
      <c r="H698" t="s">
        <v>1047</v>
      </c>
    </row>
    <row r="699" spans="2:8" x14ac:dyDescent="0.25">
      <c r="B699" s="14" t="s">
        <v>27</v>
      </c>
      <c r="C699" s="14" t="s">
        <v>796</v>
      </c>
      <c r="D699" s="14">
        <v>-0.1</v>
      </c>
      <c r="E699" s="14">
        <v>-1</v>
      </c>
      <c r="F699" s="14">
        <v>0</v>
      </c>
      <c r="G699" s="14">
        <v>4795768</v>
      </c>
      <c r="H699" t="s">
        <v>1047</v>
      </c>
    </row>
    <row r="700" spans="2:8" x14ac:dyDescent="0.25">
      <c r="B700" s="14" t="s">
        <v>28</v>
      </c>
      <c r="C700" s="14" t="s">
        <v>796</v>
      </c>
      <c r="D700" s="14">
        <v>-0.1</v>
      </c>
      <c r="E700" s="14">
        <v>-1</v>
      </c>
      <c r="F700" s="14">
        <v>0</v>
      </c>
      <c r="G700" s="14">
        <v>4795770</v>
      </c>
      <c r="H700" t="s">
        <v>1047</v>
      </c>
    </row>
    <row r="701" spans="2:8" x14ac:dyDescent="0.25">
      <c r="B701" s="14" t="s">
        <v>27</v>
      </c>
      <c r="C701" s="14" t="s">
        <v>796</v>
      </c>
      <c r="D701" s="14">
        <v>-0.1</v>
      </c>
      <c r="E701" s="14">
        <v>-1</v>
      </c>
      <c r="F701" s="14">
        <v>0</v>
      </c>
      <c r="G701" s="14">
        <v>4795769</v>
      </c>
      <c r="H701" t="s">
        <v>1047</v>
      </c>
    </row>
    <row r="702" spans="2:8" x14ac:dyDescent="0.25">
      <c r="B702" s="14" t="s">
        <v>31</v>
      </c>
      <c r="C702" s="14" t="s">
        <v>796</v>
      </c>
      <c r="D702" s="14">
        <v>-0.1</v>
      </c>
      <c r="E702" s="14">
        <v>-1</v>
      </c>
      <c r="F702" s="14">
        <v>0</v>
      </c>
      <c r="G702" s="14">
        <v>4795776</v>
      </c>
      <c r="H702" t="s">
        <v>1047</v>
      </c>
    </row>
    <row r="703" spans="2:8" x14ac:dyDescent="0.25">
      <c r="B703" s="14" t="s">
        <v>28</v>
      </c>
      <c r="C703" s="14" t="s">
        <v>796</v>
      </c>
      <c r="D703" s="14">
        <v>-0.1</v>
      </c>
      <c r="E703" s="14">
        <v>-1</v>
      </c>
      <c r="F703" s="14">
        <v>0</v>
      </c>
      <c r="G703" s="14">
        <v>4795773</v>
      </c>
      <c r="H703" t="s">
        <v>1047</v>
      </c>
    </row>
    <row r="704" spans="2:8" x14ac:dyDescent="0.25">
      <c r="B704" s="14" t="s">
        <v>30</v>
      </c>
      <c r="C704" s="14" t="s">
        <v>796</v>
      </c>
      <c r="D704" s="14">
        <v>-0.1</v>
      </c>
      <c r="E704" s="14">
        <v>-1</v>
      </c>
      <c r="F704" s="14">
        <v>0</v>
      </c>
      <c r="G704" s="14">
        <v>4795779</v>
      </c>
      <c r="H704" t="s">
        <v>1047</v>
      </c>
    </row>
    <row r="705" spans="2:8" x14ac:dyDescent="0.25">
      <c r="B705" s="14" t="s">
        <v>27</v>
      </c>
      <c r="C705" s="14" t="s">
        <v>796</v>
      </c>
      <c r="D705" s="14">
        <v>-0.1</v>
      </c>
      <c r="E705" s="14">
        <v>-1</v>
      </c>
      <c r="F705" s="14">
        <v>0</v>
      </c>
      <c r="G705" s="14">
        <v>4795783</v>
      </c>
      <c r="H705" t="s">
        <v>1047</v>
      </c>
    </row>
    <row r="706" spans="2:8" x14ac:dyDescent="0.25">
      <c r="B706" s="14" t="s">
        <v>31</v>
      </c>
      <c r="C706" s="14" t="s">
        <v>796</v>
      </c>
      <c r="D706" s="14">
        <v>-0.1</v>
      </c>
      <c r="E706" s="14">
        <v>-1</v>
      </c>
      <c r="F706" s="14">
        <v>0</v>
      </c>
      <c r="G706" s="14">
        <v>4795785</v>
      </c>
      <c r="H706" t="s">
        <v>1047</v>
      </c>
    </row>
    <row r="707" spans="2:8" x14ac:dyDescent="0.25">
      <c r="B707" s="14" t="s">
        <v>1067</v>
      </c>
      <c r="C707" s="14" t="s">
        <v>1050</v>
      </c>
      <c r="D707" s="14"/>
      <c r="E707" s="14"/>
      <c r="F707" s="14"/>
      <c r="G707" s="14"/>
      <c r="H707" t="s">
        <v>1048</v>
      </c>
    </row>
    <row r="708" spans="2:8" x14ac:dyDescent="0.25">
      <c r="B708" s="14" t="s">
        <v>1059</v>
      </c>
      <c r="C708" s="14" t="s">
        <v>42</v>
      </c>
      <c r="D708" s="14">
        <v>0.5</v>
      </c>
      <c r="E708" s="14">
        <v>-0.8</v>
      </c>
      <c r="F708" s="14">
        <v>0</v>
      </c>
      <c r="G708" s="14" t="s">
        <v>779</v>
      </c>
      <c r="H708" t="s">
        <v>1055</v>
      </c>
    </row>
  </sheetData>
  <customSheetViews>
    <customSheetView guid="{561E68F6-21E3-461A-ACB1-9392AEDA3331}" topLeftCell="A637">
      <selection activeCell="B19" sqref="B19"/>
      <pageMargins left="0.7" right="0.7" top="0.75" bottom="0.75" header="0.3" footer="0.3"/>
    </customSheetView>
    <customSheetView guid="{2A8AA8A9-D849-43BE-B128-2DCE8081808F}" topLeftCell="A468">
      <selection activeCell="B495" sqref="B495"/>
      <pageMargins left="0.7" right="0.7" top="0.75" bottom="0.75" header="0.3" footer="0.3"/>
      <pageSetup paperSize="8" orientation="portrait" verticalDpi="0" r:id="rId1"/>
    </customSheetView>
    <customSheetView guid="{E07775A8-4E8E-4F0F-ABD4-8C1611285DFF}" topLeftCell="A637">
      <selection activeCell="B19" sqref="B1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52"/>
  <sheetViews>
    <sheetView topLeftCell="A304" workbookViewId="0">
      <selection activeCell="B325" sqref="B325"/>
    </sheetView>
  </sheetViews>
  <sheetFormatPr defaultRowHeight="15" x14ac:dyDescent="0.25"/>
  <cols>
    <col min="2" max="2" width="92.5703125" bestFit="1" customWidth="1"/>
    <col min="3" max="3" width="23.5703125" customWidth="1"/>
  </cols>
  <sheetData>
    <row r="2" spans="2:6" x14ac:dyDescent="0.25">
      <c r="B2" t="s">
        <v>170</v>
      </c>
      <c r="C2">
        <v>1874567</v>
      </c>
    </row>
    <row r="3" spans="2:6" x14ac:dyDescent="0.25">
      <c r="B3" t="s">
        <v>27</v>
      </c>
      <c r="C3" t="s">
        <v>5</v>
      </c>
      <c r="D3">
        <v>0.2</v>
      </c>
      <c r="E3">
        <v>-1</v>
      </c>
      <c r="F3">
        <v>0</v>
      </c>
    </row>
    <row r="4" spans="2:6" x14ac:dyDescent="0.25">
      <c r="B4" t="s">
        <v>171</v>
      </c>
      <c r="C4">
        <v>1874575</v>
      </c>
    </row>
    <row r="5" spans="2:6" x14ac:dyDescent="0.25">
      <c r="B5" t="s">
        <v>27</v>
      </c>
      <c r="C5" t="s">
        <v>172</v>
      </c>
      <c r="D5">
        <v>-0.2</v>
      </c>
      <c r="E5">
        <v>-1</v>
      </c>
      <c r="F5">
        <v>0</v>
      </c>
    </row>
    <row r="6" spans="2:6" x14ac:dyDescent="0.25">
      <c r="B6" t="s">
        <v>173</v>
      </c>
      <c r="C6">
        <v>1874601</v>
      </c>
    </row>
    <row r="7" spans="2:6" x14ac:dyDescent="0.25">
      <c r="B7" t="s">
        <v>36</v>
      </c>
      <c r="C7" t="s">
        <v>1</v>
      </c>
      <c r="D7">
        <v>-1</v>
      </c>
      <c r="E7">
        <v>-0.2</v>
      </c>
      <c r="F7">
        <v>0</v>
      </c>
    </row>
    <row r="8" spans="2:6" x14ac:dyDescent="0.25">
      <c r="B8" t="s">
        <v>27</v>
      </c>
      <c r="C8" t="s">
        <v>1</v>
      </c>
      <c r="D8">
        <v>-1</v>
      </c>
      <c r="E8">
        <v>-0.2</v>
      </c>
      <c r="F8">
        <v>0</v>
      </c>
    </row>
    <row r="9" spans="2:6" x14ac:dyDescent="0.25">
      <c r="B9" t="s">
        <v>174</v>
      </c>
      <c r="C9">
        <v>1874611</v>
      </c>
    </row>
    <row r="10" spans="2:6" x14ac:dyDescent="0.25">
      <c r="B10" t="s">
        <v>30</v>
      </c>
      <c r="C10" t="s">
        <v>1</v>
      </c>
      <c r="D10">
        <v>-1</v>
      </c>
      <c r="E10">
        <v>-0.2</v>
      </c>
      <c r="F10">
        <v>0</v>
      </c>
    </row>
    <row r="11" spans="2:6" x14ac:dyDescent="0.25">
      <c r="B11" t="s">
        <v>175</v>
      </c>
      <c r="C11">
        <v>1874621</v>
      </c>
    </row>
    <row r="12" spans="2:6" x14ac:dyDescent="0.25">
      <c r="B12" t="s">
        <v>30</v>
      </c>
      <c r="C12" t="s">
        <v>1</v>
      </c>
      <c r="D12">
        <v>-1</v>
      </c>
      <c r="E12">
        <v>-0.2</v>
      </c>
      <c r="F12">
        <v>0</v>
      </c>
    </row>
    <row r="13" spans="2:6" x14ac:dyDescent="0.25">
      <c r="B13" t="s">
        <v>36</v>
      </c>
      <c r="C13" t="s">
        <v>1</v>
      </c>
      <c r="D13">
        <v>-1</v>
      </c>
      <c r="E13">
        <v>-0.2</v>
      </c>
      <c r="F13">
        <v>0</v>
      </c>
    </row>
    <row r="14" spans="2:6" x14ac:dyDescent="0.25">
      <c r="B14" t="s">
        <v>176</v>
      </c>
      <c r="C14">
        <v>1874623</v>
      </c>
    </row>
    <row r="15" spans="2:6" x14ac:dyDescent="0.25">
      <c r="B15" t="s">
        <v>36</v>
      </c>
      <c r="C15" t="s">
        <v>1</v>
      </c>
      <c r="D15">
        <v>-1</v>
      </c>
      <c r="E15">
        <v>-0.2</v>
      </c>
      <c r="F15">
        <v>0</v>
      </c>
    </row>
    <row r="16" spans="2:6" x14ac:dyDescent="0.25">
      <c r="B16" t="s">
        <v>27</v>
      </c>
      <c r="C16" t="s">
        <v>1</v>
      </c>
      <c r="D16">
        <v>-1</v>
      </c>
      <c r="E16">
        <v>-0.2</v>
      </c>
      <c r="F16">
        <v>0</v>
      </c>
    </row>
    <row r="17" spans="2:6" x14ac:dyDescent="0.25">
      <c r="B17" t="s">
        <v>177</v>
      </c>
      <c r="C17">
        <v>1874629</v>
      </c>
    </row>
    <row r="18" spans="2:6" x14ac:dyDescent="0.25">
      <c r="B18" t="s">
        <v>36</v>
      </c>
      <c r="C18" t="s">
        <v>178</v>
      </c>
      <c r="D18">
        <v>-0.1</v>
      </c>
      <c r="E18">
        <v>-1</v>
      </c>
      <c r="F18">
        <v>0</v>
      </c>
    </row>
    <row r="19" spans="2:6" x14ac:dyDescent="0.25">
      <c r="B19" t="s">
        <v>179</v>
      </c>
      <c r="C19">
        <v>1874631</v>
      </c>
    </row>
    <row r="20" spans="2:6" x14ac:dyDescent="0.25">
      <c r="B20" t="s">
        <v>30</v>
      </c>
      <c r="C20" t="s">
        <v>11</v>
      </c>
      <c r="D20">
        <v>1</v>
      </c>
      <c r="E20">
        <v>0</v>
      </c>
      <c r="F20">
        <v>0</v>
      </c>
    </row>
    <row r="21" spans="2:6" x14ac:dyDescent="0.25">
      <c r="B21" t="s">
        <v>180</v>
      </c>
      <c r="C21">
        <v>1874643</v>
      </c>
    </row>
    <row r="22" spans="2:6" x14ac:dyDescent="0.25">
      <c r="B22" t="s">
        <v>36</v>
      </c>
      <c r="C22" t="s">
        <v>181</v>
      </c>
      <c r="D22">
        <v>0.1</v>
      </c>
      <c r="E22">
        <v>-1</v>
      </c>
      <c r="F22">
        <v>0</v>
      </c>
    </row>
    <row r="23" spans="2:6" x14ac:dyDescent="0.25">
      <c r="B23" t="s">
        <v>38</v>
      </c>
      <c r="C23" t="s">
        <v>1</v>
      </c>
      <c r="D23">
        <v>-1</v>
      </c>
      <c r="E23">
        <v>-0.2</v>
      </c>
      <c r="F23">
        <v>0</v>
      </c>
    </row>
    <row r="24" spans="2:6" x14ac:dyDescent="0.25">
      <c r="B24" t="s">
        <v>182</v>
      </c>
      <c r="C24">
        <v>1874657</v>
      </c>
    </row>
    <row r="25" spans="2:6" x14ac:dyDescent="0.25">
      <c r="B25" t="s">
        <v>30</v>
      </c>
      <c r="C25" t="s">
        <v>2</v>
      </c>
      <c r="D25">
        <v>1</v>
      </c>
      <c r="E25">
        <v>0.2</v>
      </c>
      <c r="F25">
        <v>0</v>
      </c>
    </row>
    <row r="26" spans="2:6" x14ac:dyDescent="0.25">
      <c r="B26" t="s">
        <v>33</v>
      </c>
      <c r="C26" t="s">
        <v>2</v>
      </c>
      <c r="D26">
        <v>1</v>
      </c>
      <c r="E26">
        <v>0.2</v>
      </c>
      <c r="F26">
        <v>0</v>
      </c>
    </row>
    <row r="27" spans="2:6" x14ac:dyDescent="0.25">
      <c r="B27" t="s">
        <v>183</v>
      </c>
      <c r="C27">
        <v>1874659</v>
      </c>
    </row>
    <row r="28" spans="2:6" x14ac:dyDescent="0.25">
      <c r="B28" t="s">
        <v>30</v>
      </c>
      <c r="C28" t="s">
        <v>2</v>
      </c>
      <c r="D28">
        <v>1</v>
      </c>
      <c r="E28">
        <v>0.2</v>
      </c>
      <c r="F28">
        <v>0</v>
      </c>
    </row>
    <row r="29" spans="2:6" x14ac:dyDescent="0.25">
      <c r="B29" t="s">
        <v>184</v>
      </c>
      <c r="C29">
        <v>1874661</v>
      </c>
    </row>
    <row r="30" spans="2:6" x14ac:dyDescent="0.25">
      <c r="B30" t="s">
        <v>30</v>
      </c>
      <c r="C30" t="s">
        <v>2</v>
      </c>
      <c r="D30">
        <v>1</v>
      </c>
      <c r="E30">
        <v>0.2</v>
      </c>
      <c r="F30">
        <v>0</v>
      </c>
    </row>
    <row r="31" spans="2:6" x14ac:dyDescent="0.25">
      <c r="B31" t="s">
        <v>185</v>
      </c>
      <c r="C31">
        <v>1874667</v>
      </c>
    </row>
    <row r="32" spans="2:6" x14ac:dyDescent="0.25">
      <c r="B32" t="s">
        <v>36</v>
      </c>
      <c r="C32" t="s">
        <v>2</v>
      </c>
      <c r="D32">
        <v>1</v>
      </c>
      <c r="E32">
        <v>0.2</v>
      </c>
      <c r="F32">
        <v>0</v>
      </c>
    </row>
    <row r="33" spans="2:6" x14ac:dyDescent="0.25">
      <c r="B33" t="s">
        <v>33</v>
      </c>
      <c r="C33" t="s">
        <v>2</v>
      </c>
      <c r="D33">
        <v>1</v>
      </c>
      <c r="E33">
        <v>0.2</v>
      </c>
      <c r="F33">
        <v>0</v>
      </c>
    </row>
    <row r="34" spans="2:6" x14ac:dyDescent="0.25">
      <c r="B34" t="s">
        <v>186</v>
      </c>
      <c r="C34">
        <v>1874669</v>
      </c>
    </row>
    <row r="35" spans="2:6" x14ac:dyDescent="0.25">
      <c r="B35" t="s">
        <v>36</v>
      </c>
      <c r="C35" t="s">
        <v>2</v>
      </c>
      <c r="D35">
        <v>1</v>
      </c>
      <c r="E35">
        <v>0.2</v>
      </c>
      <c r="F35">
        <v>0</v>
      </c>
    </row>
    <row r="36" spans="2:6" x14ac:dyDescent="0.25">
      <c r="B36" t="s">
        <v>33</v>
      </c>
      <c r="C36" t="s">
        <v>2</v>
      </c>
      <c r="D36">
        <v>1</v>
      </c>
      <c r="E36">
        <v>0.2</v>
      </c>
      <c r="F36">
        <v>0</v>
      </c>
    </row>
    <row r="37" spans="2:6" x14ac:dyDescent="0.25">
      <c r="B37" t="s">
        <v>187</v>
      </c>
      <c r="C37">
        <v>1874671</v>
      </c>
    </row>
    <row r="38" spans="2:6" x14ac:dyDescent="0.25">
      <c r="B38" t="s">
        <v>36</v>
      </c>
      <c r="C38" t="s">
        <v>2</v>
      </c>
      <c r="D38">
        <v>1</v>
      </c>
      <c r="E38">
        <v>0.2</v>
      </c>
      <c r="F38">
        <v>0</v>
      </c>
    </row>
    <row r="39" spans="2:6" x14ac:dyDescent="0.25">
      <c r="B39" t="s">
        <v>32</v>
      </c>
      <c r="C39" t="s">
        <v>2</v>
      </c>
      <c r="D39">
        <v>1</v>
      </c>
      <c r="E39">
        <v>0.2</v>
      </c>
      <c r="F39">
        <v>0</v>
      </c>
    </row>
    <row r="40" spans="2:6" x14ac:dyDescent="0.25">
      <c r="B40" t="s">
        <v>188</v>
      </c>
      <c r="C40">
        <v>1874677</v>
      </c>
    </row>
    <row r="41" spans="2:6" x14ac:dyDescent="0.25">
      <c r="B41" t="s">
        <v>30</v>
      </c>
      <c r="C41" t="s">
        <v>10</v>
      </c>
      <c r="D41">
        <v>-1</v>
      </c>
      <c r="E41">
        <v>0</v>
      </c>
      <c r="F41">
        <v>0</v>
      </c>
    </row>
    <row r="42" spans="2:6" x14ac:dyDescent="0.25">
      <c r="B42" t="s">
        <v>189</v>
      </c>
      <c r="C42">
        <v>1874681</v>
      </c>
    </row>
    <row r="43" spans="2:6" x14ac:dyDescent="0.25">
      <c r="B43" t="s">
        <v>30</v>
      </c>
      <c r="C43" t="s">
        <v>10</v>
      </c>
      <c r="D43">
        <v>-1</v>
      </c>
      <c r="E43">
        <v>0</v>
      </c>
      <c r="F43">
        <v>0</v>
      </c>
    </row>
    <row r="44" spans="2:6" x14ac:dyDescent="0.25">
      <c r="B44" t="s">
        <v>190</v>
      </c>
      <c r="C44">
        <v>1874683</v>
      </c>
    </row>
    <row r="45" spans="2:6" x14ac:dyDescent="0.25">
      <c r="B45" t="s">
        <v>30</v>
      </c>
      <c r="C45" t="s">
        <v>2</v>
      </c>
      <c r="D45">
        <v>1</v>
      </c>
      <c r="E45">
        <v>0.2</v>
      </c>
      <c r="F45">
        <v>0</v>
      </c>
    </row>
    <row r="46" spans="2:6" x14ac:dyDescent="0.25">
      <c r="B46" t="s">
        <v>36</v>
      </c>
      <c r="C46" t="s">
        <v>2</v>
      </c>
      <c r="D46">
        <v>1</v>
      </c>
      <c r="E46">
        <v>0.2</v>
      </c>
      <c r="F46">
        <v>0</v>
      </c>
    </row>
    <row r="47" spans="2:6" x14ac:dyDescent="0.25">
      <c r="B47" t="s">
        <v>191</v>
      </c>
      <c r="C47">
        <v>1874687</v>
      </c>
    </row>
    <row r="48" spans="2:6" x14ac:dyDescent="0.25">
      <c r="B48" t="s">
        <v>28</v>
      </c>
      <c r="C48" t="s">
        <v>11</v>
      </c>
      <c r="D48">
        <v>1</v>
      </c>
      <c r="E48">
        <v>0</v>
      </c>
      <c r="F48">
        <v>0</v>
      </c>
    </row>
    <row r="49" spans="2:6" x14ac:dyDescent="0.25">
      <c r="B49" t="s">
        <v>33</v>
      </c>
      <c r="C49" t="s">
        <v>11</v>
      </c>
      <c r="D49">
        <v>1</v>
      </c>
      <c r="E49">
        <v>0</v>
      </c>
      <c r="F49">
        <v>0</v>
      </c>
    </row>
    <row r="50" spans="2:6" x14ac:dyDescent="0.25">
      <c r="B50" t="s">
        <v>192</v>
      </c>
      <c r="C50">
        <v>1874689</v>
      </c>
    </row>
    <row r="51" spans="2:6" x14ac:dyDescent="0.25">
      <c r="B51" t="s">
        <v>36</v>
      </c>
      <c r="C51" t="s">
        <v>178</v>
      </c>
      <c r="D51">
        <v>-0.1</v>
      </c>
      <c r="E51">
        <v>-1</v>
      </c>
      <c r="F51">
        <v>0</v>
      </c>
    </row>
    <row r="52" spans="2:6" x14ac:dyDescent="0.25">
      <c r="B52" t="s">
        <v>36</v>
      </c>
      <c r="C52" t="s">
        <v>178</v>
      </c>
      <c r="D52">
        <v>-0.1</v>
      </c>
      <c r="E52">
        <v>-1</v>
      </c>
      <c r="F52">
        <v>0</v>
      </c>
    </row>
    <row r="53" spans="2:6" x14ac:dyDescent="0.25">
      <c r="B53" t="s">
        <v>193</v>
      </c>
      <c r="C53">
        <v>1874699</v>
      </c>
    </row>
    <row r="54" spans="2:6" x14ac:dyDescent="0.25">
      <c r="B54" t="s">
        <v>30</v>
      </c>
      <c r="C54" t="s">
        <v>2</v>
      </c>
      <c r="D54">
        <v>1</v>
      </c>
      <c r="E54">
        <v>0.2</v>
      </c>
      <c r="F54">
        <v>0</v>
      </c>
    </row>
    <row r="55" spans="2:6" x14ac:dyDescent="0.25">
      <c r="B55" t="s">
        <v>194</v>
      </c>
      <c r="C55">
        <v>1874705</v>
      </c>
    </row>
    <row r="56" spans="2:6" x14ac:dyDescent="0.25">
      <c r="B56" t="s">
        <v>36</v>
      </c>
      <c r="C56" t="s">
        <v>10</v>
      </c>
      <c r="D56">
        <v>-1</v>
      </c>
      <c r="E56">
        <v>0</v>
      </c>
      <c r="F56">
        <v>0</v>
      </c>
    </row>
    <row r="57" spans="2:6" x14ac:dyDescent="0.25">
      <c r="B57" t="s">
        <v>36</v>
      </c>
      <c r="C57" t="s">
        <v>10</v>
      </c>
      <c r="D57">
        <v>-1</v>
      </c>
      <c r="E57">
        <v>0</v>
      </c>
      <c r="F57">
        <v>0</v>
      </c>
    </row>
    <row r="58" spans="2:6" x14ac:dyDescent="0.25">
      <c r="B58" t="s">
        <v>195</v>
      </c>
      <c r="C58">
        <v>1874707</v>
      </c>
    </row>
    <row r="59" spans="2:6" x14ac:dyDescent="0.25">
      <c r="B59" t="s">
        <v>36</v>
      </c>
      <c r="C59" t="s">
        <v>181</v>
      </c>
      <c r="D59">
        <v>0.1</v>
      </c>
      <c r="E59">
        <v>-1</v>
      </c>
      <c r="F59">
        <v>0</v>
      </c>
    </row>
    <row r="60" spans="2:6" x14ac:dyDescent="0.25">
      <c r="B60" t="s">
        <v>196</v>
      </c>
      <c r="C60">
        <v>1874717</v>
      </c>
    </row>
    <row r="61" spans="2:6" x14ac:dyDescent="0.25">
      <c r="B61" t="s">
        <v>197</v>
      </c>
      <c r="C61" t="s">
        <v>5</v>
      </c>
      <c r="D61">
        <v>0.2</v>
      </c>
      <c r="E61">
        <v>-1</v>
      </c>
      <c r="F61">
        <v>0</v>
      </c>
    </row>
    <row r="62" spans="2:6" x14ac:dyDescent="0.25">
      <c r="B62" t="s">
        <v>198</v>
      </c>
      <c r="C62">
        <v>1874755</v>
      </c>
    </row>
    <row r="63" spans="2:6" x14ac:dyDescent="0.25">
      <c r="B63" t="s">
        <v>199</v>
      </c>
      <c r="C63" t="s">
        <v>5</v>
      </c>
      <c r="D63">
        <v>0.2</v>
      </c>
      <c r="E63">
        <v>-1</v>
      </c>
      <c r="F63">
        <v>0</v>
      </c>
    </row>
    <row r="64" spans="2:6" x14ac:dyDescent="0.25">
      <c r="B64" t="s">
        <v>200</v>
      </c>
      <c r="C64" t="s">
        <v>5</v>
      </c>
      <c r="D64">
        <v>0.2</v>
      </c>
      <c r="E64">
        <v>-1</v>
      </c>
      <c r="F64">
        <v>0</v>
      </c>
    </row>
    <row r="65" spans="2:6" x14ac:dyDescent="0.25">
      <c r="B65" t="s">
        <v>199</v>
      </c>
      <c r="C65" t="s">
        <v>5</v>
      </c>
      <c r="D65">
        <v>0.2</v>
      </c>
      <c r="E65">
        <v>-1</v>
      </c>
      <c r="F65">
        <v>0</v>
      </c>
    </row>
    <row r="66" spans="2:6" x14ac:dyDescent="0.25">
      <c r="B66" t="s">
        <v>201</v>
      </c>
      <c r="C66">
        <v>1874759</v>
      </c>
    </row>
    <row r="67" spans="2:6" x14ac:dyDescent="0.25">
      <c r="B67" t="s">
        <v>202</v>
      </c>
      <c r="C67" t="s">
        <v>5</v>
      </c>
      <c r="D67">
        <v>0.2</v>
      </c>
      <c r="E67">
        <v>-1</v>
      </c>
      <c r="F67">
        <v>0</v>
      </c>
    </row>
    <row r="68" spans="2:6" x14ac:dyDescent="0.25">
      <c r="B68" t="s">
        <v>203</v>
      </c>
      <c r="C68" t="s">
        <v>5</v>
      </c>
      <c r="D68">
        <v>0.2</v>
      </c>
      <c r="E68">
        <v>-1</v>
      </c>
      <c r="F68">
        <v>0</v>
      </c>
    </row>
    <row r="69" spans="2:6" x14ac:dyDescent="0.25">
      <c r="B69" t="s">
        <v>204</v>
      </c>
      <c r="C69" t="s">
        <v>5</v>
      </c>
      <c r="D69">
        <v>0.2</v>
      </c>
      <c r="E69">
        <v>-1</v>
      </c>
      <c r="F69">
        <v>0</v>
      </c>
    </row>
    <row r="70" spans="2:6" x14ac:dyDescent="0.25">
      <c r="B70" t="s">
        <v>202</v>
      </c>
      <c r="C70" t="s">
        <v>5</v>
      </c>
      <c r="D70">
        <v>0.2</v>
      </c>
      <c r="E70">
        <v>-1</v>
      </c>
      <c r="F70">
        <v>0</v>
      </c>
    </row>
    <row r="71" spans="2:6" x14ac:dyDescent="0.25">
      <c r="B71" t="s">
        <v>199</v>
      </c>
      <c r="C71" t="s">
        <v>5</v>
      </c>
      <c r="D71">
        <v>0.2</v>
      </c>
      <c r="E71">
        <v>-1</v>
      </c>
      <c r="F71">
        <v>0</v>
      </c>
    </row>
    <row r="72" spans="2:6" x14ac:dyDescent="0.25">
      <c r="B72" t="s">
        <v>203</v>
      </c>
      <c r="C72" t="s">
        <v>5</v>
      </c>
      <c r="D72">
        <v>0.2</v>
      </c>
      <c r="E72">
        <v>-1</v>
      </c>
      <c r="F72">
        <v>0</v>
      </c>
    </row>
    <row r="73" spans="2:6" x14ac:dyDescent="0.25">
      <c r="B73" t="s">
        <v>200</v>
      </c>
      <c r="C73" t="s">
        <v>5</v>
      </c>
      <c r="D73">
        <v>0.2</v>
      </c>
      <c r="E73">
        <v>-1</v>
      </c>
      <c r="F73">
        <v>0</v>
      </c>
    </row>
    <row r="74" spans="2:6" x14ac:dyDescent="0.25">
      <c r="B74" t="s">
        <v>202</v>
      </c>
      <c r="C74" t="s">
        <v>5</v>
      </c>
      <c r="D74">
        <v>0.2</v>
      </c>
      <c r="E74">
        <v>-1</v>
      </c>
      <c r="F74">
        <v>0</v>
      </c>
    </row>
    <row r="75" spans="2:6" x14ac:dyDescent="0.25">
      <c r="B75" t="s">
        <v>199</v>
      </c>
      <c r="C75" t="s">
        <v>5</v>
      </c>
      <c r="D75">
        <v>0.2</v>
      </c>
      <c r="E75">
        <v>-1</v>
      </c>
      <c r="F75">
        <v>0</v>
      </c>
    </row>
    <row r="76" spans="2:6" x14ac:dyDescent="0.25">
      <c r="B76" t="s">
        <v>200</v>
      </c>
      <c r="C76" t="s">
        <v>5</v>
      </c>
      <c r="D76">
        <v>0.2</v>
      </c>
      <c r="E76">
        <v>-1</v>
      </c>
      <c r="F76">
        <v>0</v>
      </c>
    </row>
    <row r="77" spans="2:6" x14ac:dyDescent="0.25">
      <c r="B77" t="s">
        <v>202</v>
      </c>
      <c r="C77" t="s">
        <v>5</v>
      </c>
      <c r="D77">
        <v>0.2</v>
      </c>
      <c r="E77">
        <v>-1</v>
      </c>
      <c r="F77">
        <v>0</v>
      </c>
    </row>
    <row r="78" spans="2:6" x14ac:dyDescent="0.25">
      <c r="B78" t="s">
        <v>199</v>
      </c>
      <c r="C78" t="s">
        <v>5</v>
      </c>
      <c r="D78">
        <v>0.2</v>
      </c>
      <c r="E78">
        <v>-1</v>
      </c>
      <c r="F78">
        <v>0</v>
      </c>
    </row>
    <row r="79" spans="2:6" x14ac:dyDescent="0.25">
      <c r="B79" t="s">
        <v>200</v>
      </c>
      <c r="C79" t="s">
        <v>5</v>
      </c>
      <c r="D79">
        <v>0.2</v>
      </c>
      <c r="E79">
        <v>-1</v>
      </c>
      <c r="F79">
        <v>0</v>
      </c>
    </row>
    <row r="80" spans="2:6" x14ac:dyDescent="0.25">
      <c r="B80" t="s">
        <v>203</v>
      </c>
      <c r="C80" t="s">
        <v>5</v>
      </c>
      <c r="D80">
        <v>0.2</v>
      </c>
      <c r="E80">
        <v>-1</v>
      </c>
      <c r="F80">
        <v>0</v>
      </c>
    </row>
    <row r="81" spans="2:6" x14ac:dyDescent="0.25">
      <c r="B81" t="s">
        <v>200</v>
      </c>
      <c r="C81" t="s">
        <v>5</v>
      </c>
      <c r="D81">
        <v>0.2</v>
      </c>
      <c r="E81">
        <v>-1</v>
      </c>
      <c r="F81">
        <v>0</v>
      </c>
    </row>
    <row r="82" spans="2:6" x14ac:dyDescent="0.25">
      <c r="B82" t="s">
        <v>202</v>
      </c>
      <c r="C82" t="s">
        <v>5</v>
      </c>
      <c r="D82">
        <v>0.2</v>
      </c>
      <c r="E82">
        <v>-1</v>
      </c>
      <c r="F82">
        <v>0</v>
      </c>
    </row>
    <row r="83" spans="2:6" x14ac:dyDescent="0.25">
      <c r="B83" t="s">
        <v>199</v>
      </c>
      <c r="C83" t="s">
        <v>5</v>
      </c>
      <c r="D83">
        <v>0.2</v>
      </c>
      <c r="E83">
        <v>-1</v>
      </c>
      <c r="F83">
        <v>0</v>
      </c>
    </row>
    <row r="84" spans="2:6" x14ac:dyDescent="0.25">
      <c r="B84" t="s">
        <v>202</v>
      </c>
      <c r="C84" t="s">
        <v>5</v>
      </c>
      <c r="D84">
        <v>0.2</v>
      </c>
      <c r="E84">
        <v>-1</v>
      </c>
      <c r="F84">
        <v>0</v>
      </c>
    </row>
    <row r="85" spans="2:6" x14ac:dyDescent="0.25">
      <c r="B85" t="s">
        <v>200</v>
      </c>
      <c r="C85" t="s">
        <v>5</v>
      </c>
      <c r="D85">
        <v>0.2</v>
      </c>
      <c r="E85">
        <v>-1</v>
      </c>
      <c r="F85">
        <v>0</v>
      </c>
    </row>
    <row r="86" spans="2:6" x14ac:dyDescent="0.25">
      <c r="B86" t="s">
        <v>205</v>
      </c>
      <c r="C86">
        <v>1874793</v>
      </c>
    </row>
    <row r="87" spans="2:6" x14ac:dyDescent="0.25">
      <c r="B87" t="s">
        <v>145</v>
      </c>
      <c r="C87" t="s">
        <v>4</v>
      </c>
      <c r="D87">
        <v>-0.5</v>
      </c>
      <c r="E87">
        <v>0.9</v>
      </c>
      <c r="F87">
        <v>0</v>
      </c>
    </row>
    <row r="88" spans="2:6" x14ac:dyDescent="0.25">
      <c r="B88" t="s">
        <v>206</v>
      </c>
      <c r="C88" t="s">
        <v>3</v>
      </c>
      <c r="D88">
        <v>0.5</v>
      </c>
      <c r="E88">
        <v>-0.9</v>
      </c>
      <c r="F88">
        <v>0</v>
      </c>
    </row>
    <row r="89" spans="2:6" x14ac:dyDescent="0.25">
      <c r="B89" t="s">
        <v>207</v>
      </c>
      <c r="C89">
        <v>1874928</v>
      </c>
    </row>
    <row r="90" spans="2:6" x14ac:dyDescent="0.25">
      <c r="B90" t="s">
        <v>197</v>
      </c>
      <c r="C90" t="s">
        <v>5</v>
      </c>
      <c r="D90">
        <v>0.2</v>
      </c>
      <c r="E90">
        <v>-1</v>
      </c>
      <c r="F90">
        <v>0</v>
      </c>
    </row>
    <row r="91" spans="2:6" x14ac:dyDescent="0.25">
      <c r="B91" t="s">
        <v>197</v>
      </c>
      <c r="C91" t="s">
        <v>5</v>
      </c>
      <c r="D91">
        <v>0.2</v>
      </c>
      <c r="E91">
        <v>-1</v>
      </c>
      <c r="F91">
        <v>0</v>
      </c>
    </row>
    <row r="92" spans="2:6" x14ac:dyDescent="0.25">
      <c r="B92" t="s">
        <v>208</v>
      </c>
      <c r="C92">
        <v>1874986</v>
      </c>
    </row>
    <row r="93" spans="2:6" x14ac:dyDescent="0.25">
      <c r="B93" t="s">
        <v>146</v>
      </c>
      <c r="C93" t="s">
        <v>4</v>
      </c>
      <c r="D93">
        <v>-0.5</v>
      </c>
      <c r="E93">
        <v>0.9</v>
      </c>
      <c r="F93">
        <v>0</v>
      </c>
    </row>
    <row r="94" spans="2:6" x14ac:dyDescent="0.25">
      <c r="B94" t="s">
        <v>206</v>
      </c>
      <c r="C94" t="s">
        <v>3</v>
      </c>
      <c r="D94">
        <v>0.5</v>
      </c>
      <c r="E94">
        <v>-0.9</v>
      </c>
      <c r="F94">
        <v>0</v>
      </c>
    </row>
    <row r="95" spans="2:6" x14ac:dyDescent="0.25">
      <c r="B95" t="s">
        <v>145</v>
      </c>
      <c r="C95" t="s">
        <v>3</v>
      </c>
      <c r="D95">
        <v>0.5</v>
      </c>
      <c r="E95">
        <v>-0.9</v>
      </c>
      <c r="F95">
        <v>0</v>
      </c>
    </row>
    <row r="96" spans="2:6" x14ac:dyDescent="0.25">
      <c r="B96" t="s">
        <v>209</v>
      </c>
      <c r="C96">
        <v>1874988</v>
      </c>
    </row>
    <row r="97" spans="2:6" x14ac:dyDescent="0.25">
      <c r="B97" t="s">
        <v>146</v>
      </c>
      <c r="C97" t="s">
        <v>4</v>
      </c>
      <c r="D97">
        <v>-0.5</v>
      </c>
      <c r="E97">
        <v>0.9</v>
      </c>
      <c r="F97">
        <v>0</v>
      </c>
    </row>
    <row r="98" spans="2:6" x14ac:dyDescent="0.25">
      <c r="B98" t="s">
        <v>206</v>
      </c>
      <c r="C98" t="s">
        <v>3</v>
      </c>
      <c r="D98">
        <v>0.5</v>
      </c>
      <c r="E98">
        <v>-0.9</v>
      </c>
      <c r="F98">
        <v>0</v>
      </c>
    </row>
    <row r="99" spans="2:6" x14ac:dyDescent="0.25">
      <c r="B99" t="s">
        <v>145</v>
      </c>
      <c r="C99" t="s">
        <v>3</v>
      </c>
      <c r="D99">
        <v>0.5</v>
      </c>
      <c r="E99">
        <v>-0.9</v>
      </c>
      <c r="F99">
        <v>0</v>
      </c>
    </row>
    <row r="100" spans="2:6" x14ac:dyDescent="0.25">
      <c r="B100" t="s">
        <v>210</v>
      </c>
      <c r="C100">
        <v>1875006</v>
      </c>
    </row>
    <row r="101" spans="2:6" x14ac:dyDescent="0.25">
      <c r="B101" t="s">
        <v>211</v>
      </c>
      <c r="C101" t="s">
        <v>212</v>
      </c>
      <c r="D101">
        <v>-0.5</v>
      </c>
      <c r="E101">
        <v>0.9</v>
      </c>
      <c r="F101">
        <v>0</v>
      </c>
    </row>
    <row r="102" spans="2:6" x14ac:dyDescent="0.25">
      <c r="B102" t="s">
        <v>203</v>
      </c>
      <c r="C102" t="s">
        <v>212</v>
      </c>
      <c r="D102">
        <v>-0.5</v>
      </c>
      <c r="E102">
        <v>0.9</v>
      </c>
      <c r="F102">
        <v>0</v>
      </c>
    </row>
    <row r="103" spans="2:6" x14ac:dyDescent="0.25">
      <c r="B103" t="s">
        <v>213</v>
      </c>
      <c r="C103">
        <v>1875016</v>
      </c>
    </row>
    <row r="104" spans="2:6" x14ac:dyDescent="0.25">
      <c r="B104" t="s">
        <v>199</v>
      </c>
      <c r="C104" t="s">
        <v>212</v>
      </c>
      <c r="D104">
        <v>-0.5</v>
      </c>
      <c r="E104">
        <v>0.9</v>
      </c>
      <c r="F104">
        <v>0</v>
      </c>
    </row>
    <row r="105" spans="2:6" x14ac:dyDescent="0.25">
      <c r="B105" t="s">
        <v>202</v>
      </c>
      <c r="C105" t="s">
        <v>212</v>
      </c>
      <c r="D105">
        <v>-0.5</v>
      </c>
      <c r="E105">
        <v>0.9</v>
      </c>
      <c r="F105">
        <v>0</v>
      </c>
    </row>
    <row r="106" spans="2:6" x14ac:dyDescent="0.25">
      <c r="B106" t="s">
        <v>203</v>
      </c>
      <c r="C106" t="s">
        <v>212</v>
      </c>
      <c r="D106">
        <v>-0.5</v>
      </c>
      <c r="E106">
        <v>0.9</v>
      </c>
      <c r="F106">
        <v>0</v>
      </c>
    </row>
    <row r="107" spans="2:6" x14ac:dyDescent="0.25">
      <c r="B107" t="s">
        <v>214</v>
      </c>
      <c r="C107">
        <v>1875024</v>
      </c>
    </row>
    <row r="108" spans="2:6" x14ac:dyDescent="0.25">
      <c r="B108" t="s">
        <v>202</v>
      </c>
      <c r="C108" t="s">
        <v>212</v>
      </c>
      <c r="D108">
        <v>-0.5</v>
      </c>
      <c r="E108">
        <v>0.9</v>
      </c>
      <c r="F108">
        <v>0</v>
      </c>
    </row>
    <row r="109" spans="2:6" x14ac:dyDescent="0.25">
      <c r="B109" t="s">
        <v>202</v>
      </c>
      <c r="C109" t="s">
        <v>117</v>
      </c>
      <c r="D109">
        <v>0.5</v>
      </c>
      <c r="E109">
        <v>-0.9</v>
      </c>
      <c r="F109">
        <v>0</v>
      </c>
    </row>
    <row r="110" spans="2:6" x14ac:dyDescent="0.25">
      <c r="B110" t="s">
        <v>202</v>
      </c>
      <c r="C110" t="s">
        <v>212</v>
      </c>
      <c r="D110">
        <v>-0.5</v>
      </c>
      <c r="E110">
        <v>0.9</v>
      </c>
      <c r="F110">
        <v>0</v>
      </c>
    </row>
    <row r="111" spans="2:6" x14ac:dyDescent="0.25">
      <c r="B111" t="s">
        <v>203</v>
      </c>
      <c r="C111" t="s">
        <v>212</v>
      </c>
      <c r="D111">
        <v>-0.5</v>
      </c>
      <c r="E111">
        <v>0.9</v>
      </c>
      <c r="F111">
        <v>0</v>
      </c>
    </row>
    <row r="112" spans="2:6" x14ac:dyDescent="0.25">
      <c r="B112" t="s">
        <v>203</v>
      </c>
      <c r="C112" t="s">
        <v>212</v>
      </c>
      <c r="D112">
        <v>-0.5</v>
      </c>
      <c r="E112">
        <v>0.9</v>
      </c>
      <c r="F112">
        <v>0</v>
      </c>
    </row>
    <row r="113" spans="2:6" x14ac:dyDescent="0.25">
      <c r="B113" t="s">
        <v>202</v>
      </c>
      <c r="C113" t="s">
        <v>212</v>
      </c>
      <c r="D113">
        <v>-0.5</v>
      </c>
      <c r="E113">
        <v>0.9</v>
      </c>
      <c r="F113">
        <v>0</v>
      </c>
    </row>
    <row r="114" spans="2:6" x14ac:dyDescent="0.25">
      <c r="B114" t="s">
        <v>215</v>
      </c>
      <c r="C114">
        <v>1875050</v>
      </c>
    </row>
    <row r="115" spans="2:6" x14ac:dyDescent="0.25">
      <c r="B115" t="s">
        <v>199</v>
      </c>
      <c r="C115" t="s">
        <v>212</v>
      </c>
      <c r="D115">
        <v>-0.5</v>
      </c>
      <c r="E115">
        <v>0.9</v>
      </c>
      <c r="F115">
        <v>0</v>
      </c>
    </row>
    <row r="116" spans="2:6" x14ac:dyDescent="0.25">
      <c r="B116" t="s">
        <v>202</v>
      </c>
      <c r="C116" t="s">
        <v>212</v>
      </c>
      <c r="D116">
        <v>-0.5</v>
      </c>
      <c r="E116">
        <v>0.9</v>
      </c>
      <c r="F116">
        <v>0</v>
      </c>
    </row>
    <row r="117" spans="2:6" x14ac:dyDescent="0.25">
      <c r="B117" t="s">
        <v>202</v>
      </c>
      <c r="C117" t="s">
        <v>212</v>
      </c>
      <c r="D117">
        <v>-0.5</v>
      </c>
      <c r="E117">
        <v>0.9</v>
      </c>
      <c r="F117">
        <v>0</v>
      </c>
    </row>
    <row r="118" spans="2:6" x14ac:dyDescent="0.25">
      <c r="B118" t="s">
        <v>203</v>
      </c>
      <c r="C118" t="s">
        <v>212</v>
      </c>
      <c r="D118">
        <v>-0.5</v>
      </c>
      <c r="E118">
        <v>0.9</v>
      </c>
      <c r="F118">
        <v>0</v>
      </c>
    </row>
    <row r="119" spans="2:6" x14ac:dyDescent="0.25">
      <c r="B119" t="s">
        <v>202</v>
      </c>
      <c r="C119" t="s">
        <v>117</v>
      </c>
      <c r="D119">
        <v>0.5</v>
      </c>
      <c r="E119">
        <v>-0.9</v>
      </c>
      <c r="F119">
        <v>0</v>
      </c>
    </row>
    <row r="120" spans="2:6" x14ac:dyDescent="0.25">
      <c r="B120" t="s">
        <v>199</v>
      </c>
      <c r="C120" t="s">
        <v>117</v>
      </c>
      <c r="D120">
        <v>0.5</v>
      </c>
      <c r="E120">
        <v>-0.9</v>
      </c>
      <c r="F120">
        <v>0</v>
      </c>
    </row>
    <row r="121" spans="2:6" x14ac:dyDescent="0.25">
      <c r="B121" t="s">
        <v>202</v>
      </c>
      <c r="C121" t="s">
        <v>117</v>
      </c>
      <c r="D121">
        <v>0.5</v>
      </c>
      <c r="E121">
        <v>-0.9</v>
      </c>
      <c r="F121">
        <v>0</v>
      </c>
    </row>
    <row r="122" spans="2:6" x14ac:dyDescent="0.25">
      <c r="B122" t="s">
        <v>199</v>
      </c>
      <c r="C122" t="s">
        <v>117</v>
      </c>
      <c r="D122">
        <v>0.5</v>
      </c>
      <c r="E122">
        <v>-0.9</v>
      </c>
      <c r="F122">
        <v>0</v>
      </c>
    </row>
    <row r="123" spans="2:6" x14ac:dyDescent="0.25">
      <c r="B123" t="s">
        <v>199</v>
      </c>
      <c r="C123" t="s">
        <v>117</v>
      </c>
      <c r="D123">
        <v>0.5</v>
      </c>
      <c r="E123">
        <v>-0.9</v>
      </c>
      <c r="F123">
        <v>0</v>
      </c>
    </row>
    <row r="124" spans="2:6" x14ac:dyDescent="0.25">
      <c r="B124" t="s">
        <v>216</v>
      </c>
      <c r="C124">
        <v>1875074</v>
      </c>
    </row>
    <row r="125" spans="2:6" x14ac:dyDescent="0.25">
      <c r="B125" t="s">
        <v>38</v>
      </c>
      <c r="C125" t="s">
        <v>1</v>
      </c>
      <c r="D125">
        <v>-1</v>
      </c>
      <c r="E125">
        <v>-0.2</v>
      </c>
      <c r="F125">
        <v>0</v>
      </c>
    </row>
    <row r="126" spans="2:6" x14ac:dyDescent="0.25">
      <c r="B126" t="s">
        <v>217</v>
      </c>
      <c r="C126" t="s">
        <v>1</v>
      </c>
      <c r="D126">
        <v>-1</v>
      </c>
      <c r="E126">
        <v>-0.2</v>
      </c>
      <c r="F126">
        <v>0</v>
      </c>
    </row>
    <row r="127" spans="2:6" x14ac:dyDescent="0.25">
      <c r="B127" t="s">
        <v>38</v>
      </c>
      <c r="C127" t="s">
        <v>1</v>
      </c>
      <c r="D127">
        <v>-1</v>
      </c>
      <c r="E127">
        <v>-0.2</v>
      </c>
      <c r="F127">
        <v>0</v>
      </c>
    </row>
    <row r="128" spans="2:6" x14ac:dyDescent="0.25">
      <c r="B128" t="s">
        <v>27</v>
      </c>
      <c r="C128" t="s">
        <v>1</v>
      </c>
      <c r="D128">
        <v>-1</v>
      </c>
      <c r="E128">
        <v>-0.2</v>
      </c>
      <c r="F128">
        <v>0</v>
      </c>
    </row>
    <row r="129" spans="2:6" x14ac:dyDescent="0.25">
      <c r="B129" t="s">
        <v>217</v>
      </c>
      <c r="C129" t="s">
        <v>1</v>
      </c>
      <c r="D129">
        <v>-1</v>
      </c>
      <c r="E129">
        <v>-0.2</v>
      </c>
      <c r="F129">
        <v>0</v>
      </c>
    </row>
    <row r="130" spans="2:6" x14ac:dyDescent="0.25">
      <c r="B130" t="s">
        <v>27</v>
      </c>
      <c r="C130" t="s">
        <v>1</v>
      </c>
      <c r="D130">
        <v>-1</v>
      </c>
      <c r="E130">
        <v>-0.2</v>
      </c>
      <c r="F130">
        <v>0</v>
      </c>
    </row>
    <row r="131" spans="2:6" x14ac:dyDescent="0.25">
      <c r="B131" t="s">
        <v>217</v>
      </c>
      <c r="C131" t="s">
        <v>1</v>
      </c>
      <c r="D131">
        <v>-1</v>
      </c>
      <c r="E131">
        <v>-0.2</v>
      </c>
      <c r="F131">
        <v>0</v>
      </c>
    </row>
    <row r="132" spans="2:6" x14ac:dyDescent="0.25">
      <c r="B132" t="s">
        <v>217</v>
      </c>
      <c r="C132" t="s">
        <v>1</v>
      </c>
      <c r="D132">
        <v>-1</v>
      </c>
      <c r="E132">
        <v>-0.2</v>
      </c>
      <c r="F132">
        <v>0</v>
      </c>
    </row>
    <row r="133" spans="2:6" x14ac:dyDescent="0.25">
      <c r="B133" t="s">
        <v>217</v>
      </c>
      <c r="C133" t="s">
        <v>1</v>
      </c>
      <c r="D133">
        <v>-1</v>
      </c>
      <c r="E133">
        <v>-0.2</v>
      </c>
      <c r="F133">
        <v>0</v>
      </c>
    </row>
    <row r="134" spans="2:6" x14ac:dyDescent="0.25">
      <c r="B134" t="s">
        <v>217</v>
      </c>
      <c r="C134" t="s">
        <v>1</v>
      </c>
      <c r="D134">
        <v>-1</v>
      </c>
      <c r="E134">
        <v>-0.2</v>
      </c>
      <c r="F134">
        <v>0</v>
      </c>
    </row>
    <row r="135" spans="2:6" x14ac:dyDescent="0.25">
      <c r="B135" t="s">
        <v>29</v>
      </c>
      <c r="C135" t="s">
        <v>1</v>
      </c>
      <c r="D135">
        <v>-1</v>
      </c>
      <c r="E135">
        <v>-0.2</v>
      </c>
      <c r="F135">
        <v>0</v>
      </c>
    </row>
    <row r="136" spans="2:6" x14ac:dyDescent="0.25">
      <c r="B136" t="s">
        <v>217</v>
      </c>
      <c r="C136" t="s">
        <v>1</v>
      </c>
      <c r="D136">
        <v>-1</v>
      </c>
      <c r="E136">
        <v>-0.2</v>
      </c>
      <c r="F136">
        <v>0</v>
      </c>
    </row>
    <row r="137" spans="2:6" x14ac:dyDescent="0.25">
      <c r="B137" t="s">
        <v>218</v>
      </c>
      <c r="C137">
        <v>1875076</v>
      </c>
    </row>
    <row r="138" spans="2:6" x14ac:dyDescent="0.25">
      <c r="B138" t="s">
        <v>217</v>
      </c>
      <c r="C138" t="s">
        <v>1</v>
      </c>
      <c r="D138">
        <v>-1</v>
      </c>
      <c r="E138">
        <v>-0.2</v>
      </c>
      <c r="F138">
        <v>0</v>
      </c>
    </row>
    <row r="139" spans="2:6" x14ac:dyDescent="0.25">
      <c r="B139" t="s">
        <v>217</v>
      </c>
      <c r="C139" t="s">
        <v>1</v>
      </c>
      <c r="D139">
        <v>-1</v>
      </c>
      <c r="E139">
        <v>-0.2</v>
      </c>
      <c r="F139">
        <v>0</v>
      </c>
    </row>
    <row r="140" spans="2:6" x14ac:dyDescent="0.25">
      <c r="B140" t="s">
        <v>217</v>
      </c>
      <c r="C140" t="s">
        <v>1</v>
      </c>
      <c r="D140">
        <v>-1</v>
      </c>
      <c r="E140">
        <v>-0.2</v>
      </c>
      <c r="F140">
        <v>0</v>
      </c>
    </row>
    <row r="141" spans="2:6" x14ac:dyDescent="0.25">
      <c r="B141" t="s">
        <v>27</v>
      </c>
      <c r="C141" t="s">
        <v>1</v>
      </c>
      <c r="D141">
        <v>-1</v>
      </c>
      <c r="E141">
        <v>-0.2</v>
      </c>
      <c r="F141">
        <v>0</v>
      </c>
    </row>
    <row r="142" spans="2:6" x14ac:dyDescent="0.25">
      <c r="B142" t="s">
        <v>29</v>
      </c>
      <c r="C142" t="s">
        <v>1</v>
      </c>
      <c r="D142">
        <v>-1</v>
      </c>
      <c r="E142">
        <v>-0.2</v>
      </c>
      <c r="F142">
        <v>0</v>
      </c>
    </row>
    <row r="143" spans="2:6" x14ac:dyDescent="0.25">
      <c r="B143" t="s">
        <v>219</v>
      </c>
      <c r="C143">
        <v>1875080</v>
      </c>
    </row>
    <row r="144" spans="2:6" x14ac:dyDescent="0.25">
      <c r="B144" t="s">
        <v>217</v>
      </c>
      <c r="C144" t="s">
        <v>1</v>
      </c>
      <c r="D144">
        <v>-1</v>
      </c>
      <c r="E144">
        <v>-0.2</v>
      </c>
      <c r="F144">
        <v>0</v>
      </c>
    </row>
    <row r="145" spans="2:6" x14ac:dyDescent="0.25">
      <c r="B145" t="s">
        <v>217</v>
      </c>
      <c r="C145" t="s">
        <v>1</v>
      </c>
      <c r="D145">
        <v>-1</v>
      </c>
      <c r="E145">
        <v>-0.2</v>
      </c>
      <c r="F145">
        <v>0</v>
      </c>
    </row>
    <row r="146" spans="2:6" x14ac:dyDescent="0.25">
      <c r="B146" t="s">
        <v>217</v>
      </c>
      <c r="C146" t="s">
        <v>1</v>
      </c>
      <c r="D146">
        <v>-1</v>
      </c>
      <c r="E146">
        <v>-0.2</v>
      </c>
      <c r="F146">
        <v>0</v>
      </c>
    </row>
    <row r="147" spans="2:6" x14ac:dyDescent="0.25">
      <c r="B147" t="s">
        <v>27</v>
      </c>
      <c r="C147" t="s">
        <v>1</v>
      </c>
      <c r="D147">
        <v>-1</v>
      </c>
      <c r="E147">
        <v>-0.2</v>
      </c>
      <c r="F147">
        <v>0</v>
      </c>
    </row>
    <row r="148" spans="2:6" x14ac:dyDescent="0.25">
      <c r="B148" t="s">
        <v>29</v>
      </c>
      <c r="C148" t="s">
        <v>1</v>
      </c>
      <c r="D148">
        <v>-1</v>
      </c>
      <c r="E148">
        <v>-0.2</v>
      </c>
      <c r="F148">
        <v>0</v>
      </c>
    </row>
    <row r="149" spans="2:6" x14ac:dyDescent="0.25">
      <c r="B149" t="s">
        <v>220</v>
      </c>
      <c r="C149">
        <v>1875082</v>
      </c>
    </row>
    <row r="150" spans="2:6" x14ac:dyDescent="0.25">
      <c r="B150" t="s">
        <v>38</v>
      </c>
      <c r="C150" t="s">
        <v>1</v>
      </c>
      <c r="D150">
        <v>-1</v>
      </c>
      <c r="E150">
        <v>-0.2</v>
      </c>
      <c r="F150">
        <v>0</v>
      </c>
    </row>
    <row r="151" spans="2:6" x14ac:dyDescent="0.25">
      <c r="B151" t="s">
        <v>217</v>
      </c>
      <c r="C151" t="s">
        <v>1</v>
      </c>
      <c r="D151">
        <v>-1</v>
      </c>
      <c r="E151">
        <v>-0.2</v>
      </c>
      <c r="F151">
        <v>0</v>
      </c>
    </row>
    <row r="152" spans="2:6" x14ac:dyDescent="0.25">
      <c r="B152" t="s">
        <v>38</v>
      </c>
      <c r="C152" t="s">
        <v>1</v>
      </c>
      <c r="D152">
        <v>-1</v>
      </c>
      <c r="E152">
        <v>-0.2</v>
      </c>
      <c r="F152">
        <v>0</v>
      </c>
    </row>
    <row r="153" spans="2:6" x14ac:dyDescent="0.25">
      <c r="B153" t="s">
        <v>221</v>
      </c>
      <c r="C153">
        <v>1875094</v>
      </c>
    </row>
    <row r="154" spans="2:6" x14ac:dyDescent="0.25">
      <c r="B154" t="s">
        <v>217</v>
      </c>
      <c r="C154" t="s">
        <v>1</v>
      </c>
      <c r="D154">
        <v>-1</v>
      </c>
      <c r="E154">
        <v>-0.2</v>
      </c>
      <c r="F154">
        <v>0</v>
      </c>
    </row>
    <row r="155" spans="2:6" x14ac:dyDescent="0.25">
      <c r="B155" t="s">
        <v>217</v>
      </c>
      <c r="C155" t="s">
        <v>1</v>
      </c>
      <c r="D155">
        <v>-1</v>
      </c>
      <c r="E155">
        <v>-0.2</v>
      </c>
      <c r="F155">
        <v>0</v>
      </c>
    </row>
    <row r="156" spans="2:6" x14ac:dyDescent="0.25">
      <c r="B156" t="s">
        <v>217</v>
      </c>
      <c r="C156" t="s">
        <v>1</v>
      </c>
      <c r="D156">
        <v>-1</v>
      </c>
      <c r="E156">
        <v>-0.2</v>
      </c>
      <c r="F156">
        <v>0</v>
      </c>
    </row>
    <row r="157" spans="2:6" x14ac:dyDescent="0.25">
      <c r="B157" t="s">
        <v>217</v>
      </c>
      <c r="C157" t="s">
        <v>1</v>
      </c>
      <c r="D157">
        <v>-1</v>
      </c>
      <c r="E157">
        <v>-0.2</v>
      </c>
      <c r="F157">
        <v>0</v>
      </c>
    </row>
    <row r="158" spans="2:6" x14ac:dyDescent="0.25">
      <c r="B158" t="s">
        <v>217</v>
      </c>
      <c r="C158" t="s">
        <v>1</v>
      </c>
      <c r="D158">
        <v>-1</v>
      </c>
      <c r="E158">
        <v>-0.2</v>
      </c>
      <c r="F158">
        <v>0</v>
      </c>
    </row>
    <row r="159" spans="2:6" x14ac:dyDescent="0.25">
      <c r="B159" t="s">
        <v>217</v>
      </c>
      <c r="C159" t="s">
        <v>1</v>
      </c>
      <c r="D159">
        <v>-1</v>
      </c>
      <c r="E159">
        <v>-0.2</v>
      </c>
      <c r="F159">
        <v>0</v>
      </c>
    </row>
    <row r="160" spans="2:6" x14ac:dyDescent="0.25">
      <c r="B160" t="s">
        <v>217</v>
      </c>
      <c r="C160" t="s">
        <v>1</v>
      </c>
      <c r="D160">
        <v>-1</v>
      </c>
      <c r="E160">
        <v>-0.2</v>
      </c>
      <c r="F160">
        <v>0</v>
      </c>
    </row>
    <row r="161" spans="2:6" x14ac:dyDescent="0.25">
      <c r="B161" t="s">
        <v>217</v>
      </c>
      <c r="C161" t="s">
        <v>1</v>
      </c>
      <c r="D161">
        <v>-1</v>
      </c>
      <c r="E161">
        <v>-0.2</v>
      </c>
      <c r="F161">
        <v>0</v>
      </c>
    </row>
    <row r="162" spans="2:6" x14ac:dyDescent="0.25">
      <c r="B162" t="s">
        <v>217</v>
      </c>
      <c r="C162" t="s">
        <v>1</v>
      </c>
      <c r="D162">
        <v>-1</v>
      </c>
      <c r="E162">
        <v>-0.2</v>
      </c>
      <c r="F162">
        <v>0</v>
      </c>
    </row>
    <row r="163" spans="2:6" x14ac:dyDescent="0.25">
      <c r="B163" t="s">
        <v>202</v>
      </c>
      <c r="C163" t="s">
        <v>4</v>
      </c>
      <c r="D163">
        <v>-0.5</v>
      </c>
      <c r="E163">
        <v>0.9</v>
      </c>
      <c r="F163">
        <v>0</v>
      </c>
    </row>
    <row r="164" spans="2:6" x14ac:dyDescent="0.25">
      <c r="B164" t="s">
        <v>199</v>
      </c>
      <c r="C164" t="s">
        <v>4</v>
      </c>
      <c r="D164">
        <v>-0.5</v>
      </c>
      <c r="E164">
        <v>0.9</v>
      </c>
      <c r="F164">
        <v>0</v>
      </c>
    </row>
    <row r="165" spans="2:6" x14ac:dyDescent="0.25">
      <c r="B165" t="s">
        <v>203</v>
      </c>
      <c r="C165" t="s">
        <v>4</v>
      </c>
      <c r="D165">
        <v>-0.5</v>
      </c>
      <c r="E165">
        <v>0.9</v>
      </c>
      <c r="F165">
        <v>0</v>
      </c>
    </row>
    <row r="166" spans="2:6" x14ac:dyDescent="0.25">
      <c r="B166" t="s">
        <v>203</v>
      </c>
      <c r="C166" t="s">
        <v>4</v>
      </c>
      <c r="D166">
        <v>-0.5</v>
      </c>
      <c r="E166">
        <v>0.9</v>
      </c>
      <c r="F166">
        <v>0</v>
      </c>
    </row>
    <row r="167" spans="2:6" x14ac:dyDescent="0.25">
      <c r="B167" t="s">
        <v>202</v>
      </c>
      <c r="C167" t="s">
        <v>4</v>
      </c>
      <c r="D167">
        <v>-0.5</v>
      </c>
      <c r="E167">
        <v>0.9</v>
      </c>
      <c r="F167">
        <v>0</v>
      </c>
    </row>
    <row r="168" spans="2:6" x14ac:dyDescent="0.25">
      <c r="B168" t="s">
        <v>222</v>
      </c>
      <c r="C168">
        <v>1875098</v>
      </c>
    </row>
    <row r="169" spans="2:6" x14ac:dyDescent="0.25">
      <c r="B169" t="s">
        <v>199</v>
      </c>
      <c r="C169" t="s">
        <v>4</v>
      </c>
      <c r="D169">
        <v>-0.5</v>
      </c>
      <c r="E169">
        <v>0.9</v>
      </c>
      <c r="F169">
        <v>0</v>
      </c>
    </row>
    <row r="170" spans="2:6" x14ac:dyDescent="0.25">
      <c r="B170" t="s">
        <v>202</v>
      </c>
      <c r="C170" t="s">
        <v>4</v>
      </c>
      <c r="D170">
        <v>-0.5</v>
      </c>
      <c r="E170">
        <v>0.9</v>
      </c>
      <c r="F170">
        <v>0</v>
      </c>
    </row>
    <row r="171" spans="2:6" x14ac:dyDescent="0.25">
      <c r="B171" t="s">
        <v>202</v>
      </c>
      <c r="C171" t="s">
        <v>4</v>
      </c>
      <c r="D171">
        <v>-0.5</v>
      </c>
      <c r="E171">
        <v>0.9</v>
      </c>
      <c r="F171">
        <v>0</v>
      </c>
    </row>
    <row r="172" spans="2:6" x14ac:dyDescent="0.25">
      <c r="B172" t="s">
        <v>202</v>
      </c>
      <c r="C172" t="s">
        <v>3</v>
      </c>
      <c r="D172">
        <v>0.5</v>
      </c>
      <c r="E172">
        <v>-0.9</v>
      </c>
      <c r="F172">
        <v>0</v>
      </c>
    </row>
    <row r="173" spans="2:6" x14ac:dyDescent="0.25">
      <c r="B173" t="s">
        <v>199</v>
      </c>
      <c r="C173" t="s">
        <v>3</v>
      </c>
      <c r="D173">
        <v>0.5</v>
      </c>
      <c r="E173">
        <v>-0.9</v>
      </c>
      <c r="F173">
        <v>0</v>
      </c>
    </row>
    <row r="174" spans="2:6" x14ac:dyDescent="0.25">
      <c r="B174" t="s">
        <v>202</v>
      </c>
      <c r="C174" t="s">
        <v>3</v>
      </c>
      <c r="D174">
        <v>0.5</v>
      </c>
      <c r="E174">
        <v>-0.9</v>
      </c>
      <c r="F174">
        <v>0</v>
      </c>
    </row>
    <row r="175" spans="2:6" x14ac:dyDescent="0.25">
      <c r="B175" t="s">
        <v>223</v>
      </c>
      <c r="C175">
        <v>1875108</v>
      </c>
    </row>
    <row r="176" spans="2:6" x14ac:dyDescent="0.25">
      <c r="B176" t="s">
        <v>146</v>
      </c>
      <c r="C176" t="s">
        <v>1</v>
      </c>
      <c r="D176">
        <v>-1</v>
      </c>
      <c r="E176">
        <v>-0.2</v>
      </c>
      <c r="F176">
        <v>0</v>
      </c>
    </row>
    <row r="177" spans="2:6" x14ac:dyDescent="0.25">
      <c r="B177" t="s">
        <v>224</v>
      </c>
      <c r="C177">
        <v>1875134</v>
      </c>
    </row>
    <row r="178" spans="2:6" x14ac:dyDescent="0.25">
      <c r="B178" t="s">
        <v>146</v>
      </c>
      <c r="C178" t="s">
        <v>1</v>
      </c>
      <c r="D178">
        <v>-1</v>
      </c>
      <c r="E178">
        <v>-0.2</v>
      </c>
      <c r="F178">
        <v>0</v>
      </c>
    </row>
    <row r="179" spans="2:6" x14ac:dyDescent="0.25">
      <c r="B179" t="s">
        <v>225</v>
      </c>
      <c r="C179">
        <v>1875138</v>
      </c>
    </row>
    <row r="180" spans="2:6" x14ac:dyDescent="0.25">
      <c r="B180" t="s">
        <v>145</v>
      </c>
      <c r="C180" t="s">
        <v>6</v>
      </c>
      <c r="D180">
        <v>-0.2</v>
      </c>
      <c r="E180">
        <v>1</v>
      </c>
      <c r="F180">
        <v>0</v>
      </c>
    </row>
    <row r="181" spans="2:6" x14ac:dyDescent="0.25">
      <c r="B181" t="s">
        <v>145</v>
      </c>
      <c r="C181" t="s">
        <v>6</v>
      </c>
      <c r="D181">
        <v>-0.2</v>
      </c>
      <c r="E181">
        <v>1</v>
      </c>
      <c r="F181">
        <v>0</v>
      </c>
    </row>
    <row r="182" spans="2:6" x14ac:dyDescent="0.25">
      <c r="B182" t="s">
        <v>206</v>
      </c>
      <c r="C182" t="s">
        <v>6</v>
      </c>
      <c r="D182">
        <v>-0.2</v>
      </c>
      <c r="E182">
        <v>1</v>
      </c>
      <c r="F182">
        <v>0</v>
      </c>
    </row>
    <row r="183" spans="2:6" x14ac:dyDescent="0.25">
      <c r="B183" t="s">
        <v>146</v>
      </c>
      <c r="C183" t="s">
        <v>6</v>
      </c>
      <c r="D183">
        <v>-0.2</v>
      </c>
      <c r="E183">
        <v>1</v>
      </c>
      <c r="F183">
        <v>0</v>
      </c>
    </row>
    <row r="184" spans="2:6" x14ac:dyDescent="0.25">
      <c r="B184" t="s">
        <v>206</v>
      </c>
      <c r="C184" t="s">
        <v>6</v>
      </c>
      <c r="D184">
        <v>-0.2</v>
      </c>
      <c r="E184">
        <v>1</v>
      </c>
      <c r="F184">
        <v>0</v>
      </c>
    </row>
    <row r="185" spans="2:6" x14ac:dyDescent="0.25">
      <c r="B185" t="s">
        <v>145</v>
      </c>
      <c r="C185" t="s">
        <v>6</v>
      </c>
      <c r="D185">
        <v>-0.2</v>
      </c>
      <c r="E185">
        <v>1</v>
      </c>
      <c r="F185">
        <v>0</v>
      </c>
    </row>
    <row r="186" spans="2:6" x14ac:dyDescent="0.25">
      <c r="B186" t="s">
        <v>145</v>
      </c>
      <c r="C186" t="s">
        <v>6</v>
      </c>
      <c r="D186">
        <v>-0.2</v>
      </c>
      <c r="E186">
        <v>1</v>
      </c>
      <c r="F186">
        <v>0</v>
      </c>
    </row>
    <row r="187" spans="2:6" x14ac:dyDescent="0.25">
      <c r="B187" t="s">
        <v>226</v>
      </c>
      <c r="C187">
        <v>1875144</v>
      </c>
    </row>
    <row r="188" spans="2:6" x14ac:dyDescent="0.25">
      <c r="B188" t="s">
        <v>145</v>
      </c>
      <c r="C188" t="s">
        <v>4</v>
      </c>
      <c r="D188">
        <v>-0.5</v>
      </c>
      <c r="E188">
        <v>0.9</v>
      </c>
      <c r="F188">
        <v>0</v>
      </c>
    </row>
    <row r="189" spans="2:6" x14ac:dyDescent="0.25">
      <c r="B189" t="s">
        <v>227</v>
      </c>
      <c r="C189">
        <v>1875264</v>
      </c>
    </row>
    <row r="190" spans="2:6" x14ac:dyDescent="0.25">
      <c r="B190" t="s">
        <v>199</v>
      </c>
      <c r="C190" t="s">
        <v>4</v>
      </c>
      <c r="D190">
        <v>-0.5</v>
      </c>
      <c r="E190">
        <v>0.9</v>
      </c>
      <c r="F190">
        <v>0</v>
      </c>
    </row>
    <row r="191" spans="2:6" x14ac:dyDescent="0.25">
      <c r="B191" t="s">
        <v>203</v>
      </c>
      <c r="C191" t="s">
        <v>4</v>
      </c>
      <c r="D191">
        <v>-0.5</v>
      </c>
      <c r="E191">
        <v>0.9</v>
      </c>
      <c r="F191">
        <v>0</v>
      </c>
    </row>
    <row r="192" spans="2:6" x14ac:dyDescent="0.25">
      <c r="B192" t="s">
        <v>228</v>
      </c>
      <c r="C192">
        <v>1875276</v>
      </c>
    </row>
    <row r="193" spans="2:6" x14ac:dyDescent="0.25">
      <c r="B193" t="s">
        <v>199</v>
      </c>
      <c r="C193" t="s">
        <v>117</v>
      </c>
      <c r="D193">
        <v>0.5</v>
      </c>
      <c r="E193">
        <v>-0.9</v>
      </c>
      <c r="F193">
        <v>0</v>
      </c>
    </row>
    <row r="194" spans="2:6" x14ac:dyDescent="0.25">
      <c r="B194" t="s">
        <v>202</v>
      </c>
      <c r="C194" t="s">
        <v>117</v>
      </c>
      <c r="D194">
        <v>0.5</v>
      </c>
      <c r="E194">
        <v>-0.9</v>
      </c>
      <c r="F194">
        <v>0</v>
      </c>
    </row>
    <row r="195" spans="2:6" x14ac:dyDescent="0.25">
      <c r="B195" t="s">
        <v>229</v>
      </c>
      <c r="C195" t="s">
        <v>212</v>
      </c>
      <c r="D195">
        <v>-0.5</v>
      </c>
      <c r="E195">
        <v>0.9</v>
      </c>
      <c r="F195">
        <v>0</v>
      </c>
    </row>
    <row r="196" spans="2:6" x14ac:dyDescent="0.25">
      <c r="B196" t="s">
        <v>203</v>
      </c>
      <c r="C196" t="s">
        <v>212</v>
      </c>
      <c r="D196">
        <v>-0.5</v>
      </c>
      <c r="E196">
        <v>0.9</v>
      </c>
      <c r="F196">
        <v>0</v>
      </c>
    </row>
    <row r="197" spans="2:6" x14ac:dyDescent="0.25">
      <c r="B197" t="s">
        <v>203</v>
      </c>
      <c r="C197" t="s">
        <v>212</v>
      </c>
      <c r="D197">
        <v>-0.5</v>
      </c>
      <c r="E197">
        <v>0.9</v>
      </c>
      <c r="F197">
        <v>0</v>
      </c>
    </row>
    <row r="198" spans="2:6" x14ac:dyDescent="0.25">
      <c r="B198" t="s">
        <v>229</v>
      </c>
      <c r="C198" t="s">
        <v>212</v>
      </c>
      <c r="D198">
        <v>-0.5</v>
      </c>
      <c r="E198">
        <v>0.9</v>
      </c>
      <c r="F198">
        <v>0</v>
      </c>
    </row>
    <row r="199" spans="2:6" x14ac:dyDescent="0.25">
      <c r="B199" t="s">
        <v>230</v>
      </c>
      <c r="C199">
        <v>1875278</v>
      </c>
    </row>
    <row r="200" spans="2:6" x14ac:dyDescent="0.25">
      <c r="B200" t="s">
        <v>202</v>
      </c>
      <c r="C200" t="s">
        <v>212</v>
      </c>
      <c r="D200">
        <v>-0.5</v>
      </c>
      <c r="E200">
        <v>0.9</v>
      </c>
      <c r="F200">
        <v>0</v>
      </c>
    </row>
    <row r="201" spans="2:6" x14ac:dyDescent="0.25">
      <c r="B201" t="s">
        <v>231</v>
      </c>
      <c r="C201">
        <v>1875280</v>
      </c>
    </row>
    <row r="202" spans="2:6" x14ac:dyDescent="0.25">
      <c r="B202" t="s">
        <v>202</v>
      </c>
      <c r="C202" t="s">
        <v>3</v>
      </c>
      <c r="D202">
        <v>0.5</v>
      </c>
      <c r="E202">
        <v>-0.9</v>
      </c>
      <c r="F202">
        <v>0</v>
      </c>
    </row>
    <row r="203" spans="2:6" x14ac:dyDescent="0.25">
      <c r="B203" t="s">
        <v>229</v>
      </c>
      <c r="C203" t="s">
        <v>4</v>
      </c>
      <c r="D203">
        <v>-0.5</v>
      </c>
      <c r="E203">
        <v>0.9</v>
      </c>
      <c r="F203">
        <v>0</v>
      </c>
    </row>
    <row r="204" spans="2:6" x14ac:dyDescent="0.25">
      <c r="B204" t="s">
        <v>203</v>
      </c>
      <c r="C204" t="s">
        <v>4</v>
      </c>
      <c r="D204">
        <v>-0.5</v>
      </c>
      <c r="E204">
        <v>0.9</v>
      </c>
      <c r="F204">
        <v>0</v>
      </c>
    </row>
    <row r="205" spans="2:6" x14ac:dyDescent="0.25">
      <c r="B205" t="s">
        <v>203</v>
      </c>
      <c r="C205" t="s">
        <v>4</v>
      </c>
      <c r="D205">
        <v>-0.5</v>
      </c>
      <c r="E205">
        <v>0.9</v>
      </c>
      <c r="F205">
        <v>0</v>
      </c>
    </row>
    <row r="206" spans="2:6" x14ac:dyDescent="0.25">
      <c r="B206" t="s">
        <v>229</v>
      </c>
      <c r="C206" t="s">
        <v>4</v>
      </c>
      <c r="D206">
        <v>-0.5</v>
      </c>
      <c r="E206">
        <v>0.9</v>
      </c>
      <c r="F206">
        <v>0</v>
      </c>
    </row>
    <row r="207" spans="2:6" x14ac:dyDescent="0.25">
      <c r="B207" t="s">
        <v>232</v>
      </c>
      <c r="C207">
        <v>1875300</v>
      </c>
    </row>
    <row r="208" spans="2:6" x14ac:dyDescent="0.25">
      <c r="B208" t="s">
        <v>203</v>
      </c>
      <c r="C208" t="s">
        <v>5</v>
      </c>
      <c r="D208">
        <v>0.2</v>
      </c>
      <c r="E208">
        <v>-1</v>
      </c>
      <c r="F208">
        <v>0</v>
      </c>
    </row>
    <row r="209" spans="2:6" x14ac:dyDescent="0.25">
      <c r="B209" t="s">
        <v>202</v>
      </c>
      <c r="C209" t="s">
        <v>5</v>
      </c>
      <c r="D209">
        <v>0.2</v>
      </c>
      <c r="E209">
        <v>-1</v>
      </c>
      <c r="F209">
        <v>0</v>
      </c>
    </row>
    <row r="210" spans="2:6" x14ac:dyDescent="0.25">
      <c r="B210" t="s">
        <v>197</v>
      </c>
      <c r="C210" t="s">
        <v>5</v>
      </c>
      <c r="D210">
        <v>0.2</v>
      </c>
      <c r="E210">
        <v>-1</v>
      </c>
      <c r="F210">
        <v>0</v>
      </c>
    </row>
    <row r="211" spans="2:6" x14ac:dyDescent="0.25">
      <c r="B211" t="s">
        <v>233</v>
      </c>
      <c r="C211">
        <v>1875506</v>
      </c>
    </row>
    <row r="212" spans="2:6" x14ac:dyDescent="0.25">
      <c r="B212" t="s">
        <v>27</v>
      </c>
      <c r="C212" t="s">
        <v>2</v>
      </c>
      <c r="D212">
        <v>1</v>
      </c>
      <c r="E212">
        <v>0.2</v>
      </c>
      <c r="F212">
        <v>0</v>
      </c>
    </row>
    <row r="213" spans="2:6" x14ac:dyDescent="0.25">
      <c r="B213" t="s">
        <v>234</v>
      </c>
      <c r="C213">
        <v>1875508</v>
      </c>
    </row>
    <row r="214" spans="2:6" x14ac:dyDescent="0.25">
      <c r="B214" t="s">
        <v>28</v>
      </c>
      <c r="C214" t="s">
        <v>1</v>
      </c>
      <c r="D214">
        <v>-1</v>
      </c>
      <c r="E214">
        <v>-0.2</v>
      </c>
      <c r="F214">
        <v>0</v>
      </c>
    </row>
    <row r="215" spans="2:6" x14ac:dyDescent="0.25">
      <c r="B215" t="s">
        <v>36</v>
      </c>
      <c r="C215" t="s">
        <v>1</v>
      </c>
      <c r="D215">
        <v>-1</v>
      </c>
      <c r="E215">
        <v>-0.2</v>
      </c>
      <c r="F215">
        <v>0</v>
      </c>
    </row>
    <row r="216" spans="2:6" x14ac:dyDescent="0.25">
      <c r="B216" t="s">
        <v>235</v>
      </c>
      <c r="C216">
        <v>1875510</v>
      </c>
    </row>
    <row r="217" spans="2:6" x14ac:dyDescent="0.25">
      <c r="B217" t="s">
        <v>28</v>
      </c>
      <c r="C217" t="s">
        <v>1</v>
      </c>
      <c r="D217">
        <v>-1</v>
      </c>
      <c r="E217">
        <v>-0.2</v>
      </c>
      <c r="F217">
        <v>0</v>
      </c>
    </row>
    <row r="218" spans="2:6" x14ac:dyDescent="0.25">
      <c r="B218" t="s">
        <v>236</v>
      </c>
      <c r="C218">
        <v>1875516</v>
      </c>
    </row>
    <row r="219" spans="2:6" x14ac:dyDescent="0.25">
      <c r="B219" t="s">
        <v>36</v>
      </c>
      <c r="C219" t="s">
        <v>1</v>
      </c>
      <c r="D219">
        <v>-1</v>
      </c>
      <c r="E219">
        <v>-0.2</v>
      </c>
      <c r="F219">
        <v>0</v>
      </c>
    </row>
    <row r="220" spans="2:6" x14ac:dyDescent="0.25">
      <c r="B220" t="s">
        <v>237</v>
      </c>
      <c r="C220">
        <v>1875530</v>
      </c>
    </row>
    <row r="221" spans="2:6" x14ac:dyDescent="0.25">
      <c r="B221" t="s">
        <v>33</v>
      </c>
      <c r="C221" t="s">
        <v>1</v>
      </c>
      <c r="D221">
        <v>-1</v>
      </c>
      <c r="E221">
        <v>-0.2</v>
      </c>
      <c r="F221">
        <v>0</v>
      </c>
    </row>
    <row r="222" spans="2:6" x14ac:dyDescent="0.25">
      <c r="B222" t="s">
        <v>238</v>
      </c>
      <c r="C222">
        <v>1875532</v>
      </c>
    </row>
    <row r="223" spans="2:6" x14ac:dyDescent="0.25">
      <c r="B223" t="s">
        <v>30</v>
      </c>
      <c r="C223" t="s">
        <v>1</v>
      </c>
      <c r="D223">
        <v>-1</v>
      </c>
      <c r="E223">
        <v>-0.2</v>
      </c>
      <c r="F223">
        <v>0</v>
      </c>
    </row>
    <row r="224" spans="2:6" x14ac:dyDescent="0.25">
      <c r="B224" t="s">
        <v>239</v>
      </c>
      <c r="C224">
        <v>1875534</v>
      </c>
    </row>
    <row r="225" spans="2:6" x14ac:dyDescent="0.25">
      <c r="B225" t="s">
        <v>36</v>
      </c>
      <c r="C225" t="s">
        <v>1</v>
      </c>
      <c r="D225">
        <v>-1</v>
      </c>
      <c r="E225">
        <v>-0.2</v>
      </c>
      <c r="F225">
        <v>0</v>
      </c>
    </row>
    <row r="226" spans="2:6" x14ac:dyDescent="0.25">
      <c r="B226" t="s">
        <v>240</v>
      </c>
      <c r="C226">
        <v>1875536</v>
      </c>
    </row>
    <row r="227" spans="2:6" x14ac:dyDescent="0.25">
      <c r="B227" t="s">
        <v>32</v>
      </c>
      <c r="C227" t="s">
        <v>1</v>
      </c>
      <c r="D227">
        <v>-1</v>
      </c>
      <c r="E227">
        <v>-0.2</v>
      </c>
      <c r="F227">
        <v>0</v>
      </c>
    </row>
    <row r="228" spans="2:6" x14ac:dyDescent="0.25">
      <c r="B228" t="s">
        <v>241</v>
      </c>
      <c r="C228">
        <v>1875538</v>
      </c>
    </row>
    <row r="229" spans="2:6" x14ac:dyDescent="0.25">
      <c r="B229" t="s">
        <v>30</v>
      </c>
      <c r="C229" t="s">
        <v>1</v>
      </c>
      <c r="D229">
        <v>-1</v>
      </c>
      <c r="E229">
        <v>-0.2</v>
      </c>
      <c r="F229">
        <v>0</v>
      </c>
    </row>
    <row r="230" spans="2:6" x14ac:dyDescent="0.25">
      <c r="B230" t="s">
        <v>242</v>
      </c>
      <c r="C230">
        <v>1875540</v>
      </c>
    </row>
    <row r="231" spans="2:6" x14ac:dyDescent="0.25">
      <c r="B231" t="s">
        <v>36</v>
      </c>
      <c r="C231" t="s">
        <v>1</v>
      </c>
      <c r="D231">
        <v>-1</v>
      </c>
      <c r="E231">
        <v>-0.2</v>
      </c>
      <c r="F231">
        <v>0</v>
      </c>
    </row>
    <row r="232" spans="2:6" x14ac:dyDescent="0.25">
      <c r="B232" t="s">
        <v>243</v>
      </c>
      <c r="C232">
        <v>1875542</v>
      </c>
    </row>
    <row r="233" spans="2:6" x14ac:dyDescent="0.25">
      <c r="B233" t="s">
        <v>32</v>
      </c>
      <c r="C233" t="s">
        <v>1</v>
      </c>
      <c r="D233">
        <v>-1</v>
      </c>
      <c r="E233">
        <v>-0.2</v>
      </c>
      <c r="F233">
        <v>0</v>
      </c>
    </row>
    <row r="234" spans="2:6" x14ac:dyDescent="0.25">
      <c r="B234" t="s">
        <v>244</v>
      </c>
      <c r="C234">
        <v>1875544</v>
      </c>
    </row>
    <row r="235" spans="2:6" x14ac:dyDescent="0.25">
      <c r="B235" t="s">
        <v>36</v>
      </c>
      <c r="C235" t="s">
        <v>1</v>
      </c>
      <c r="D235">
        <v>-1</v>
      </c>
      <c r="E235">
        <v>-0.2</v>
      </c>
      <c r="F235">
        <v>0</v>
      </c>
    </row>
    <row r="236" spans="2:6" x14ac:dyDescent="0.25">
      <c r="B236" t="s">
        <v>245</v>
      </c>
      <c r="C236">
        <v>1876138</v>
      </c>
    </row>
    <row r="237" spans="2:6" x14ac:dyDescent="0.25">
      <c r="B237" t="s">
        <v>146</v>
      </c>
      <c r="C237" t="s">
        <v>6</v>
      </c>
      <c r="D237">
        <v>-0.2</v>
      </c>
      <c r="E237">
        <v>1</v>
      </c>
      <c r="F237">
        <v>0</v>
      </c>
    </row>
    <row r="238" spans="2:6" x14ac:dyDescent="0.25">
      <c r="B238" t="s">
        <v>146</v>
      </c>
      <c r="C238" t="s">
        <v>1</v>
      </c>
      <c r="D238">
        <v>-1</v>
      </c>
      <c r="E238">
        <v>-0.2</v>
      </c>
      <c r="F238">
        <v>0</v>
      </c>
    </row>
    <row r="239" spans="2:6" x14ac:dyDescent="0.25">
      <c r="B239" t="s">
        <v>206</v>
      </c>
      <c r="C239" t="s">
        <v>1</v>
      </c>
      <c r="D239">
        <v>-1</v>
      </c>
      <c r="E239">
        <v>-0.2</v>
      </c>
      <c r="F239">
        <v>0</v>
      </c>
    </row>
    <row r="240" spans="2:6" x14ac:dyDescent="0.25">
      <c r="B240" t="s">
        <v>145</v>
      </c>
      <c r="C240" t="s">
        <v>1</v>
      </c>
      <c r="D240">
        <v>-1</v>
      </c>
      <c r="E240">
        <v>-0.2</v>
      </c>
      <c r="F240">
        <v>0</v>
      </c>
    </row>
    <row r="241" spans="2:6" x14ac:dyDescent="0.25">
      <c r="B241" t="s">
        <v>246</v>
      </c>
      <c r="C241">
        <v>1876154</v>
      </c>
    </row>
    <row r="242" spans="2:6" x14ac:dyDescent="0.25">
      <c r="B242" t="s">
        <v>206</v>
      </c>
      <c r="C242" t="s">
        <v>6</v>
      </c>
      <c r="D242">
        <v>-0.2</v>
      </c>
      <c r="E242">
        <v>1</v>
      </c>
      <c r="F242">
        <v>0</v>
      </c>
    </row>
    <row r="243" spans="2:6" x14ac:dyDescent="0.25">
      <c r="B243" t="s">
        <v>247</v>
      </c>
      <c r="C243">
        <v>1876274</v>
      </c>
    </row>
    <row r="244" spans="2:6" x14ac:dyDescent="0.25">
      <c r="B244" t="s">
        <v>27</v>
      </c>
      <c r="C244" t="s">
        <v>2</v>
      </c>
      <c r="D244">
        <v>1</v>
      </c>
      <c r="E244">
        <v>0.2</v>
      </c>
      <c r="F244">
        <v>0</v>
      </c>
    </row>
    <row r="245" spans="2:6" x14ac:dyDescent="0.25">
      <c r="B245" t="s">
        <v>36</v>
      </c>
      <c r="C245" t="s">
        <v>2</v>
      </c>
      <c r="D245">
        <v>1</v>
      </c>
      <c r="E245">
        <v>0.2</v>
      </c>
      <c r="F245">
        <v>0</v>
      </c>
    </row>
    <row r="246" spans="2:6" x14ac:dyDescent="0.25">
      <c r="B246" t="s">
        <v>248</v>
      </c>
      <c r="C246">
        <v>1876278</v>
      </c>
    </row>
    <row r="247" spans="2:6" x14ac:dyDescent="0.25">
      <c r="B247" t="s">
        <v>38</v>
      </c>
      <c r="C247" t="s">
        <v>2</v>
      </c>
      <c r="D247">
        <v>1</v>
      </c>
      <c r="E247">
        <v>0.2</v>
      </c>
      <c r="F247">
        <v>0</v>
      </c>
    </row>
    <row r="248" spans="2:6" x14ac:dyDescent="0.25">
      <c r="B248" t="s">
        <v>36</v>
      </c>
      <c r="C248" t="s">
        <v>5</v>
      </c>
      <c r="D248">
        <v>0.2</v>
      </c>
      <c r="E248">
        <v>-1</v>
      </c>
      <c r="F248">
        <v>0</v>
      </c>
    </row>
    <row r="249" spans="2:6" x14ac:dyDescent="0.25">
      <c r="B249" t="s">
        <v>249</v>
      </c>
      <c r="C249">
        <v>1876288</v>
      </c>
    </row>
    <row r="250" spans="2:6" x14ac:dyDescent="0.25">
      <c r="B250" t="s">
        <v>27</v>
      </c>
      <c r="C250" t="s">
        <v>2</v>
      </c>
      <c r="D250">
        <v>1</v>
      </c>
      <c r="E250">
        <v>0.2</v>
      </c>
      <c r="F250">
        <v>0</v>
      </c>
    </row>
    <row r="251" spans="2:6" x14ac:dyDescent="0.25">
      <c r="B251" t="s">
        <v>250</v>
      </c>
      <c r="C251">
        <v>1876290</v>
      </c>
    </row>
    <row r="252" spans="2:6" x14ac:dyDescent="0.25">
      <c r="B252" t="s">
        <v>36</v>
      </c>
      <c r="C252" t="s">
        <v>2</v>
      </c>
      <c r="D252">
        <v>1</v>
      </c>
      <c r="E252">
        <v>0.2</v>
      </c>
      <c r="F252">
        <v>0</v>
      </c>
    </row>
    <row r="253" spans="2:6" x14ac:dyDescent="0.25">
      <c r="B253" t="s">
        <v>36</v>
      </c>
      <c r="C253" t="s">
        <v>251</v>
      </c>
      <c r="D253">
        <v>0.2</v>
      </c>
      <c r="E253">
        <v>-1</v>
      </c>
      <c r="F253">
        <v>0</v>
      </c>
    </row>
    <row r="254" spans="2:6" x14ac:dyDescent="0.25">
      <c r="B254" t="s">
        <v>27</v>
      </c>
      <c r="C254" t="s">
        <v>252</v>
      </c>
      <c r="D254">
        <v>0.3</v>
      </c>
      <c r="E254">
        <v>-1</v>
      </c>
      <c r="F254">
        <v>0</v>
      </c>
    </row>
    <row r="255" spans="2:6" x14ac:dyDescent="0.25">
      <c r="B255" t="s">
        <v>36</v>
      </c>
      <c r="C255" t="s">
        <v>253</v>
      </c>
      <c r="D255">
        <v>0.3</v>
      </c>
      <c r="E255">
        <v>-1</v>
      </c>
      <c r="F255">
        <v>0</v>
      </c>
    </row>
    <row r="256" spans="2:6" x14ac:dyDescent="0.25">
      <c r="B256" t="s">
        <v>27</v>
      </c>
      <c r="C256" t="s">
        <v>2</v>
      </c>
      <c r="D256">
        <v>1</v>
      </c>
      <c r="E256">
        <v>0.2</v>
      </c>
      <c r="F256">
        <v>0</v>
      </c>
    </row>
    <row r="257" spans="2:6" x14ac:dyDescent="0.25">
      <c r="B257" t="s">
        <v>27</v>
      </c>
      <c r="C257" t="s">
        <v>254</v>
      </c>
      <c r="D257">
        <v>0.2</v>
      </c>
      <c r="E257">
        <v>-1</v>
      </c>
      <c r="F257">
        <v>0</v>
      </c>
    </row>
    <row r="258" spans="2:6" x14ac:dyDescent="0.25">
      <c r="B258" t="s">
        <v>255</v>
      </c>
      <c r="C258">
        <v>1876306</v>
      </c>
    </row>
    <row r="259" spans="2:6" x14ac:dyDescent="0.25">
      <c r="B259" t="s">
        <v>27</v>
      </c>
      <c r="C259" t="s">
        <v>2</v>
      </c>
      <c r="D259">
        <v>1</v>
      </c>
      <c r="E259">
        <v>0.2</v>
      </c>
      <c r="F259">
        <v>0</v>
      </c>
    </row>
    <row r="260" spans="2:6" x14ac:dyDescent="0.25">
      <c r="B260" t="s">
        <v>36</v>
      </c>
      <c r="C260" t="s">
        <v>2</v>
      </c>
      <c r="D260">
        <v>1</v>
      </c>
      <c r="E260">
        <v>0.2</v>
      </c>
      <c r="F260">
        <v>0</v>
      </c>
    </row>
    <row r="261" spans="2:6" x14ac:dyDescent="0.25">
      <c r="B261" t="s">
        <v>256</v>
      </c>
      <c r="C261">
        <v>1882449</v>
      </c>
    </row>
    <row r="262" spans="2:6" x14ac:dyDescent="0.25">
      <c r="B262" t="s">
        <v>30</v>
      </c>
      <c r="C262" t="s">
        <v>257</v>
      </c>
      <c r="D262">
        <v>0.4</v>
      </c>
      <c r="E262">
        <v>-0.9</v>
      </c>
      <c r="F262">
        <v>0</v>
      </c>
    </row>
    <row r="263" spans="2:6" x14ac:dyDescent="0.25">
      <c r="B263" t="s">
        <v>258</v>
      </c>
      <c r="C263">
        <v>1882481</v>
      </c>
    </row>
    <row r="264" spans="2:6" x14ac:dyDescent="0.25">
      <c r="B264" t="s">
        <v>203</v>
      </c>
      <c r="C264" t="s">
        <v>5</v>
      </c>
      <c r="D264">
        <v>0.2</v>
      </c>
      <c r="E264">
        <v>-1</v>
      </c>
      <c r="F264">
        <v>0</v>
      </c>
    </row>
    <row r="265" spans="2:6" x14ac:dyDescent="0.25">
      <c r="B265" t="s">
        <v>259</v>
      </c>
      <c r="C265">
        <v>1882551</v>
      </c>
    </row>
    <row r="266" spans="2:6" x14ac:dyDescent="0.25">
      <c r="B266" t="s">
        <v>36</v>
      </c>
      <c r="C266" t="s">
        <v>260</v>
      </c>
      <c r="D266">
        <v>0.3</v>
      </c>
      <c r="E266">
        <v>-0.9</v>
      </c>
      <c r="F266">
        <v>0</v>
      </c>
    </row>
    <row r="267" spans="2:6" x14ac:dyDescent="0.25">
      <c r="B267" t="s">
        <v>27</v>
      </c>
      <c r="C267" t="s">
        <v>261</v>
      </c>
      <c r="D267">
        <v>0.3</v>
      </c>
      <c r="E267">
        <v>-0.9</v>
      </c>
      <c r="F267">
        <v>0</v>
      </c>
    </row>
    <row r="268" spans="2:6" x14ac:dyDescent="0.25">
      <c r="B268" t="s">
        <v>262</v>
      </c>
      <c r="C268">
        <v>1891213</v>
      </c>
    </row>
    <row r="269" spans="2:6" x14ac:dyDescent="0.25">
      <c r="B269" t="s">
        <v>31</v>
      </c>
      <c r="C269" t="s">
        <v>13</v>
      </c>
      <c r="D269">
        <v>0.8</v>
      </c>
      <c r="E269">
        <v>0.5</v>
      </c>
      <c r="F269">
        <v>0</v>
      </c>
    </row>
    <row r="270" spans="2:6" x14ac:dyDescent="0.25">
      <c r="B270" t="s">
        <v>263</v>
      </c>
      <c r="C270">
        <v>1891215</v>
      </c>
    </row>
    <row r="271" spans="2:6" x14ac:dyDescent="0.25">
      <c r="B271" t="s">
        <v>27</v>
      </c>
      <c r="C271" t="s">
        <v>20</v>
      </c>
      <c r="D271">
        <v>-0.9</v>
      </c>
      <c r="E271">
        <v>-0.3</v>
      </c>
      <c r="F271">
        <v>0</v>
      </c>
    </row>
    <row r="272" spans="2:6" x14ac:dyDescent="0.25">
      <c r="B272" t="s">
        <v>264</v>
      </c>
      <c r="C272">
        <v>1891217</v>
      </c>
    </row>
    <row r="273" spans="2:6" x14ac:dyDescent="0.25">
      <c r="B273" t="s">
        <v>27</v>
      </c>
      <c r="C273" t="s">
        <v>265</v>
      </c>
      <c r="D273">
        <v>0.4</v>
      </c>
      <c r="E273">
        <v>-0.9</v>
      </c>
      <c r="F273">
        <v>0</v>
      </c>
    </row>
    <row r="274" spans="2:6" x14ac:dyDescent="0.25">
      <c r="B274" t="s">
        <v>266</v>
      </c>
      <c r="C274">
        <v>1891221</v>
      </c>
    </row>
    <row r="275" spans="2:6" x14ac:dyDescent="0.25">
      <c r="B275" t="s">
        <v>36</v>
      </c>
      <c r="C275" t="s">
        <v>21</v>
      </c>
      <c r="D275">
        <v>0.9</v>
      </c>
      <c r="E275">
        <v>0.4</v>
      </c>
      <c r="F275">
        <v>0</v>
      </c>
    </row>
    <row r="276" spans="2:6" x14ac:dyDescent="0.25">
      <c r="B276" t="s">
        <v>267</v>
      </c>
      <c r="C276">
        <v>1891223</v>
      </c>
    </row>
    <row r="277" spans="2:6" x14ac:dyDescent="0.25">
      <c r="B277" t="s">
        <v>31</v>
      </c>
      <c r="C277" t="s">
        <v>13</v>
      </c>
      <c r="D277">
        <v>0.8</v>
      </c>
      <c r="E277">
        <v>0.5</v>
      </c>
      <c r="F277">
        <v>0</v>
      </c>
    </row>
    <row r="278" spans="2:6" x14ac:dyDescent="0.25">
      <c r="B278" t="s">
        <v>33</v>
      </c>
      <c r="C278" t="s">
        <v>13</v>
      </c>
      <c r="D278">
        <v>0.8</v>
      </c>
      <c r="E278">
        <v>0.5</v>
      </c>
      <c r="F278">
        <v>0</v>
      </c>
    </row>
    <row r="279" spans="2:6" x14ac:dyDescent="0.25">
      <c r="B279" t="s">
        <v>268</v>
      </c>
      <c r="C279">
        <v>1891231</v>
      </c>
    </row>
    <row r="280" spans="2:6" x14ac:dyDescent="0.25">
      <c r="B280" t="s">
        <v>33</v>
      </c>
      <c r="C280" t="s">
        <v>13</v>
      </c>
      <c r="D280">
        <v>0.8</v>
      </c>
      <c r="E280">
        <v>0.5</v>
      </c>
      <c r="F280">
        <v>0</v>
      </c>
    </row>
    <row r="281" spans="2:6" x14ac:dyDescent="0.25">
      <c r="B281" t="s">
        <v>269</v>
      </c>
      <c r="C281">
        <v>1891235</v>
      </c>
    </row>
    <row r="282" spans="2:6" x14ac:dyDescent="0.25">
      <c r="B282" t="s">
        <v>27</v>
      </c>
      <c r="C282" t="s">
        <v>13</v>
      </c>
      <c r="D282">
        <v>0.8</v>
      </c>
      <c r="E282">
        <v>0.5</v>
      </c>
      <c r="F282">
        <v>0</v>
      </c>
    </row>
    <row r="283" spans="2:6" x14ac:dyDescent="0.25">
      <c r="B283" t="s">
        <v>27</v>
      </c>
      <c r="C283" t="s">
        <v>13</v>
      </c>
      <c r="D283">
        <v>0.8</v>
      </c>
      <c r="E283">
        <v>0.5</v>
      </c>
      <c r="F283">
        <v>0</v>
      </c>
    </row>
    <row r="284" spans="2:6" x14ac:dyDescent="0.25">
      <c r="B284" t="s">
        <v>270</v>
      </c>
      <c r="C284">
        <v>1891239</v>
      </c>
    </row>
    <row r="285" spans="2:6" x14ac:dyDescent="0.25">
      <c r="B285" t="s">
        <v>33</v>
      </c>
      <c r="C285" t="s">
        <v>13</v>
      </c>
      <c r="D285">
        <v>0.8</v>
      </c>
      <c r="E285">
        <v>0.5</v>
      </c>
      <c r="F285">
        <v>0</v>
      </c>
    </row>
    <row r="286" spans="2:6" x14ac:dyDescent="0.25">
      <c r="B286" t="s">
        <v>271</v>
      </c>
      <c r="C286">
        <v>1891243</v>
      </c>
    </row>
    <row r="287" spans="2:6" x14ac:dyDescent="0.25">
      <c r="B287" t="s">
        <v>36</v>
      </c>
      <c r="C287" t="s">
        <v>22</v>
      </c>
      <c r="D287">
        <v>0.9</v>
      </c>
      <c r="E287">
        <v>0.3</v>
      </c>
      <c r="F287">
        <v>0</v>
      </c>
    </row>
    <row r="288" spans="2:6" x14ac:dyDescent="0.25">
      <c r="B288" t="s">
        <v>27</v>
      </c>
      <c r="C288" t="s">
        <v>22</v>
      </c>
      <c r="D288">
        <v>0.9</v>
      </c>
      <c r="E288">
        <v>0.3</v>
      </c>
      <c r="F288">
        <v>0</v>
      </c>
    </row>
    <row r="289" spans="2:6" x14ac:dyDescent="0.25">
      <c r="B289" t="s">
        <v>272</v>
      </c>
      <c r="C289">
        <v>1891245</v>
      </c>
    </row>
    <row r="290" spans="2:6" x14ac:dyDescent="0.25">
      <c r="B290" t="s">
        <v>36</v>
      </c>
      <c r="C290" t="s">
        <v>22</v>
      </c>
      <c r="D290">
        <v>0.9</v>
      </c>
      <c r="E290">
        <v>0.3</v>
      </c>
      <c r="F290">
        <v>0</v>
      </c>
    </row>
    <row r="291" spans="2:6" x14ac:dyDescent="0.25">
      <c r="B291" t="s">
        <v>273</v>
      </c>
      <c r="C291">
        <v>1891247</v>
      </c>
    </row>
    <row r="292" spans="2:6" x14ac:dyDescent="0.25">
      <c r="B292" t="s">
        <v>27</v>
      </c>
      <c r="C292" t="s">
        <v>20</v>
      </c>
      <c r="D292">
        <v>-0.9</v>
      </c>
      <c r="E292">
        <v>-0.3</v>
      </c>
      <c r="F292">
        <v>0</v>
      </c>
    </row>
    <row r="293" spans="2:6" x14ac:dyDescent="0.25">
      <c r="B293" t="s">
        <v>274</v>
      </c>
      <c r="C293">
        <v>1891249</v>
      </c>
    </row>
    <row r="294" spans="2:6" x14ac:dyDescent="0.25">
      <c r="B294" t="s">
        <v>30</v>
      </c>
      <c r="C294" t="s">
        <v>20</v>
      </c>
      <c r="D294">
        <v>-0.9</v>
      </c>
      <c r="E294">
        <v>-0.3</v>
      </c>
      <c r="F294">
        <v>0</v>
      </c>
    </row>
    <row r="295" spans="2:6" x14ac:dyDescent="0.25">
      <c r="B295" t="s">
        <v>275</v>
      </c>
      <c r="C295">
        <v>1891257</v>
      </c>
    </row>
    <row r="296" spans="2:6" x14ac:dyDescent="0.25">
      <c r="B296" t="s">
        <v>33</v>
      </c>
      <c r="C296" t="s">
        <v>21</v>
      </c>
      <c r="D296">
        <v>0.9</v>
      </c>
      <c r="E296">
        <v>0.4</v>
      </c>
      <c r="F296">
        <v>0</v>
      </c>
    </row>
    <row r="297" spans="2:6" x14ac:dyDescent="0.25">
      <c r="B297" t="s">
        <v>276</v>
      </c>
      <c r="C297">
        <v>1891263</v>
      </c>
    </row>
    <row r="298" spans="2:6" x14ac:dyDescent="0.25">
      <c r="B298" t="s">
        <v>27</v>
      </c>
      <c r="C298" t="s">
        <v>17</v>
      </c>
      <c r="D298">
        <v>-0.9</v>
      </c>
      <c r="E298">
        <v>-0.4</v>
      </c>
      <c r="F298">
        <v>0</v>
      </c>
    </row>
    <row r="299" spans="2:6" x14ac:dyDescent="0.25">
      <c r="B299" t="s">
        <v>277</v>
      </c>
      <c r="C299">
        <v>1891265</v>
      </c>
    </row>
    <row r="300" spans="2:6" x14ac:dyDescent="0.25">
      <c r="B300" t="s">
        <v>28</v>
      </c>
      <c r="C300" t="s">
        <v>21</v>
      </c>
      <c r="D300">
        <v>0.9</v>
      </c>
      <c r="E300">
        <v>0.4</v>
      </c>
      <c r="F300">
        <v>0</v>
      </c>
    </row>
    <row r="301" spans="2:6" x14ac:dyDescent="0.25">
      <c r="B301" t="s">
        <v>278</v>
      </c>
      <c r="C301">
        <v>1891267</v>
      </c>
    </row>
    <row r="302" spans="2:6" x14ac:dyDescent="0.25">
      <c r="B302" t="s">
        <v>36</v>
      </c>
      <c r="C302" t="s">
        <v>17</v>
      </c>
      <c r="D302">
        <v>-0.9</v>
      </c>
      <c r="E302">
        <v>-0.4</v>
      </c>
      <c r="F302">
        <v>0</v>
      </c>
    </row>
    <row r="303" spans="2:6" x14ac:dyDescent="0.25">
      <c r="B303" t="s">
        <v>27</v>
      </c>
      <c r="C303" t="s">
        <v>17</v>
      </c>
      <c r="D303">
        <v>-0.9</v>
      </c>
      <c r="E303">
        <v>-0.4</v>
      </c>
      <c r="F303">
        <v>0</v>
      </c>
    </row>
    <row r="304" spans="2:6" x14ac:dyDescent="0.25">
      <c r="B304" t="s">
        <v>279</v>
      </c>
      <c r="C304">
        <v>1891271</v>
      </c>
    </row>
    <row r="305" spans="2:6" x14ac:dyDescent="0.25">
      <c r="B305" t="s">
        <v>27</v>
      </c>
      <c r="C305" t="s">
        <v>17</v>
      </c>
      <c r="D305">
        <v>-0.9</v>
      </c>
      <c r="E305">
        <v>-0.4</v>
      </c>
      <c r="F305">
        <v>0</v>
      </c>
    </row>
    <row r="306" spans="2:6" x14ac:dyDescent="0.25">
      <c r="B306" t="s">
        <v>280</v>
      </c>
      <c r="C306">
        <v>1891287</v>
      </c>
    </row>
    <row r="307" spans="2:6" x14ac:dyDescent="0.25">
      <c r="B307" t="s">
        <v>27</v>
      </c>
      <c r="C307" t="s">
        <v>17</v>
      </c>
      <c r="D307">
        <v>-0.9</v>
      </c>
      <c r="E307">
        <v>-0.4</v>
      </c>
      <c r="F307">
        <v>0</v>
      </c>
    </row>
    <row r="308" spans="2:6" x14ac:dyDescent="0.25">
      <c r="B308" t="s">
        <v>281</v>
      </c>
      <c r="C308">
        <v>1891301</v>
      </c>
    </row>
    <row r="309" spans="2:6" x14ac:dyDescent="0.25">
      <c r="B309" t="s">
        <v>36</v>
      </c>
      <c r="C309" t="s">
        <v>17</v>
      </c>
      <c r="D309">
        <v>-0.9</v>
      </c>
      <c r="E309">
        <v>-0.4</v>
      </c>
      <c r="F309">
        <v>0</v>
      </c>
    </row>
    <row r="310" spans="2:6" x14ac:dyDescent="0.25">
      <c r="B310" t="s">
        <v>27</v>
      </c>
      <c r="C310" t="s">
        <v>17</v>
      </c>
      <c r="D310">
        <v>-0.9</v>
      </c>
      <c r="E310">
        <v>-0.4</v>
      </c>
      <c r="F310">
        <v>0</v>
      </c>
    </row>
    <row r="311" spans="2:6" x14ac:dyDescent="0.25">
      <c r="B311" t="s">
        <v>282</v>
      </c>
      <c r="C311">
        <v>1891305</v>
      </c>
    </row>
    <row r="312" spans="2:6" x14ac:dyDescent="0.25">
      <c r="B312" t="s">
        <v>27</v>
      </c>
      <c r="C312" t="s">
        <v>13</v>
      </c>
      <c r="D312">
        <v>0.8</v>
      </c>
      <c r="E312">
        <v>0.5</v>
      </c>
      <c r="F312">
        <v>0</v>
      </c>
    </row>
    <row r="313" spans="2:6" x14ac:dyDescent="0.25">
      <c r="B313" t="s">
        <v>283</v>
      </c>
      <c r="C313">
        <v>1891307</v>
      </c>
    </row>
    <row r="314" spans="2:6" x14ac:dyDescent="0.25">
      <c r="B314" t="s">
        <v>30</v>
      </c>
      <c r="C314" t="s">
        <v>13</v>
      </c>
      <c r="D314">
        <v>0.8</v>
      </c>
      <c r="E314">
        <v>0.5</v>
      </c>
      <c r="F314">
        <v>0</v>
      </c>
    </row>
    <row r="315" spans="2:6" x14ac:dyDescent="0.25">
      <c r="B315" t="s">
        <v>284</v>
      </c>
      <c r="C315">
        <v>1891309</v>
      </c>
    </row>
    <row r="316" spans="2:6" x14ac:dyDescent="0.25">
      <c r="B316" t="s">
        <v>27</v>
      </c>
      <c r="C316" t="s">
        <v>13</v>
      </c>
      <c r="D316">
        <v>0.8</v>
      </c>
      <c r="E316">
        <v>0.5</v>
      </c>
      <c r="F316">
        <v>0</v>
      </c>
    </row>
    <row r="317" spans="2:6" x14ac:dyDescent="0.25">
      <c r="B317" t="s">
        <v>285</v>
      </c>
      <c r="C317">
        <v>1891313</v>
      </c>
    </row>
    <row r="318" spans="2:6" x14ac:dyDescent="0.25">
      <c r="B318" t="s">
        <v>30</v>
      </c>
      <c r="C318" t="s">
        <v>13</v>
      </c>
      <c r="D318">
        <v>0.8</v>
      </c>
      <c r="E318">
        <v>0.5</v>
      </c>
      <c r="F318">
        <v>0</v>
      </c>
    </row>
    <row r="319" spans="2:6" x14ac:dyDescent="0.25">
      <c r="B319" t="s">
        <v>286</v>
      </c>
      <c r="C319">
        <v>1891315</v>
      </c>
    </row>
    <row r="320" spans="2:6" x14ac:dyDescent="0.25">
      <c r="B320" t="s">
        <v>27</v>
      </c>
      <c r="C320" t="s">
        <v>21</v>
      </c>
      <c r="D320">
        <v>0.9</v>
      </c>
      <c r="E320">
        <v>0.4</v>
      </c>
      <c r="F320">
        <v>0</v>
      </c>
    </row>
    <row r="321" spans="2:6" x14ac:dyDescent="0.25">
      <c r="B321" t="s">
        <v>287</v>
      </c>
      <c r="C321">
        <v>1891317</v>
      </c>
    </row>
    <row r="322" spans="2:6" x14ac:dyDescent="0.25">
      <c r="B322" t="s">
        <v>30</v>
      </c>
      <c r="C322" t="s">
        <v>17</v>
      </c>
      <c r="D322">
        <v>-0.9</v>
      </c>
      <c r="E322">
        <v>-0.4</v>
      </c>
      <c r="F322">
        <v>0</v>
      </c>
    </row>
    <row r="323" spans="2:6" x14ac:dyDescent="0.25">
      <c r="B323" t="s">
        <v>288</v>
      </c>
      <c r="C323">
        <v>1891319</v>
      </c>
    </row>
    <row r="324" spans="2:6" x14ac:dyDescent="0.25">
      <c r="B324" t="s">
        <v>36</v>
      </c>
      <c r="C324" t="s">
        <v>17</v>
      </c>
      <c r="D324">
        <v>-0.9</v>
      </c>
      <c r="E324">
        <v>-0.4</v>
      </c>
      <c r="F324">
        <v>0</v>
      </c>
    </row>
    <row r="325" spans="2:6" x14ac:dyDescent="0.25">
      <c r="B325" t="s">
        <v>289</v>
      </c>
      <c r="C325">
        <v>1891321</v>
      </c>
    </row>
    <row r="326" spans="2:6" x14ac:dyDescent="0.25">
      <c r="B326" t="s">
        <v>38</v>
      </c>
      <c r="C326" t="s">
        <v>290</v>
      </c>
      <c r="D326">
        <v>0.4</v>
      </c>
      <c r="E326">
        <v>-0.9</v>
      </c>
      <c r="F326">
        <v>0</v>
      </c>
    </row>
    <row r="327" spans="2:6" x14ac:dyDescent="0.25">
      <c r="B327" t="s">
        <v>291</v>
      </c>
      <c r="C327">
        <v>1891323</v>
      </c>
    </row>
    <row r="328" spans="2:6" x14ac:dyDescent="0.25">
      <c r="B328" t="s">
        <v>36</v>
      </c>
      <c r="C328" t="s">
        <v>22</v>
      </c>
      <c r="D328">
        <v>0.9</v>
      </c>
      <c r="E328">
        <v>0.3</v>
      </c>
      <c r="F328">
        <v>0</v>
      </c>
    </row>
    <row r="329" spans="2:6" x14ac:dyDescent="0.25">
      <c r="B329" t="s">
        <v>292</v>
      </c>
      <c r="C329">
        <v>1891325</v>
      </c>
    </row>
    <row r="330" spans="2:6" x14ac:dyDescent="0.25">
      <c r="B330" t="s">
        <v>27</v>
      </c>
      <c r="C330" t="s">
        <v>22</v>
      </c>
      <c r="D330">
        <v>0.9</v>
      </c>
      <c r="E330">
        <v>0.3</v>
      </c>
      <c r="F330">
        <v>0</v>
      </c>
    </row>
    <row r="331" spans="2:6" x14ac:dyDescent="0.25">
      <c r="B331" t="s">
        <v>293</v>
      </c>
      <c r="C331">
        <v>1891327</v>
      </c>
    </row>
    <row r="332" spans="2:6" x14ac:dyDescent="0.25">
      <c r="B332" t="s">
        <v>30</v>
      </c>
      <c r="C332" t="s">
        <v>22</v>
      </c>
      <c r="D332">
        <v>0.9</v>
      </c>
      <c r="E332">
        <v>0.3</v>
      </c>
      <c r="F332">
        <v>0</v>
      </c>
    </row>
    <row r="333" spans="2:6" x14ac:dyDescent="0.25">
      <c r="B333" t="s">
        <v>294</v>
      </c>
      <c r="C333">
        <v>1891329</v>
      </c>
    </row>
    <row r="334" spans="2:6" x14ac:dyDescent="0.25">
      <c r="B334" t="s">
        <v>36</v>
      </c>
      <c r="C334" t="s">
        <v>22</v>
      </c>
      <c r="D334">
        <v>0.9</v>
      </c>
      <c r="E334">
        <v>0.3</v>
      </c>
      <c r="F334">
        <v>0</v>
      </c>
    </row>
    <row r="335" spans="2:6" x14ac:dyDescent="0.25">
      <c r="B335" t="s">
        <v>295</v>
      </c>
      <c r="C335">
        <v>1891331</v>
      </c>
    </row>
    <row r="336" spans="2:6" x14ac:dyDescent="0.25">
      <c r="B336" t="s">
        <v>27</v>
      </c>
      <c r="C336" t="s">
        <v>22</v>
      </c>
      <c r="D336">
        <v>0.9</v>
      </c>
      <c r="E336">
        <v>0.3</v>
      </c>
      <c r="F336">
        <v>0</v>
      </c>
    </row>
    <row r="337" spans="2:6" x14ac:dyDescent="0.25">
      <c r="B337" t="s">
        <v>296</v>
      </c>
      <c r="C337">
        <v>1891337</v>
      </c>
    </row>
    <row r="338" spans="2:6" x14ac:dyDescent="0.25">
      <c r="B338" t="s">
        <v>36</v>
      </c>
      <c r="C338" t="s">
        <v>20</v>
      </c>
      <c r="D338">
        <v>-0.9</v>
      </c>
      <c r="E338">
        <v>-0.3</v>
      </c>
      <c r="F338">
        <v>0</v>
      </c>
    </row>
    <row r="339" spans="2:6" x14ac:dyDescent="0.25">
      <c r="B339" t="s">
        <v>297</v>
      </c>
      <c r="C339">
        <v>1891339</v>
      </c>
    </row>
    <row r="340" spans="2:6" x14ac:dyDescent="0.25">
      <c r="B340" t="s">
        <v>27</v>
      </c>
      <c r="C340" t="s">
        <v>22</v>
      </c>
      <c r="D340">
        <v>0.9</v>
      </c>
      <c r="E340">
        <v>0.3</v>
      </c>
      <c r="F340">
        <v>0</v>
      </c>
    </row>
    <row r="341" spans="2:6" x14ac:dyDescent="0.25">
      <c r="B341" t="s">
        <v>298</v>
      </c>
      <c r="C341">
        <v>1891341</v>
      </c>
    </row>
    <row r="342" spans="2:6" x14ac:dyDescent="0.25">
      <c r="B342" t="s">
        <v>27</v>
      </c>
      <c r="C342" t="s">
        <v>22</v>
      </c>
      <c r="D342">
        <v>0.9</v>
      </c>
      <c r="E342">
        <v>0.3</v>
      </c>
      <c r="F342">
        <v>0</v>
      </c>
    </row>
    <row r="343" spans="2:6" x14ac:dyDescent="0.25">
      <c r="B343" t="s">
        <v>299</v>
      </c>
      <c r="C343">
        <v>1891343</v>
      </c>
    </row>
    <row r="344" spans="2:6" x14ac:dyDescent="0.25">
      <c r="B344" t="s">
        <v>30</v>
      </c>
      <c r="C344" t="s">
        <v>20</v>
      </c>
      <c r="D344">
        <v>-0.9</v>
      </c>
      <c r="E344">
        <v>-0.3</v>
      </c>
      <c r="F344">
        <v>0</v>
      </c>
    </row>
    <row r="345" spans="2:6" x14ac:dyDescent="0.25">
      <c r="B345" t="s">
        <v>300</v>
      </c>
      <c r="C345">
        <v>1891345</v>
      </c>
    </row>
    <row r="346" spans="2:6" x14ac:dyDescent="0.25">
      <c r="B346" t="s">
        <v>36</v>
      </c>
      <c r="C346" t="s">
        <v>20</v>
      </c>
      <c r="D346">
        <v>-0.9</v>
      </c>
      <c r="E346">
        <v>-0.3</v>
      </c>
      <c r="F346">
        <v>0</v>
      </c>
    </row>
    <row r="347" spans="2:6" x14ac:dyDescent="0.25">
      <c r="B347" t="s">
        <v>301</v>
      </c>
      <c r="C347">
        <v>1891347</v>
      </c>
    </row>
    <row r="348" spans="2:6" x14ac:dyDescent="0.25">
      <c r="B348" t="s">
        <v>36</v>
      </c>
      <c r="C348" t="s">
        <v>20</v>
      </c>
      <c r="D348">
        <v>-0.9</v>
      </c>
      <c r="E348">
        <v>-0.3</v>
      </c>
      <c r="F348">
        <v>0</v>
      </c>
    </row>
    <row r="349" spans="2:6" x14ac:dyDescent="0.25">
      <c r="B349" t="s">
        <v>302</v>
      </c>
      <c r="C349">
        <v>1891351</v>
      </c>
    </row>
    <row r="350" spans="2:6" x14ac:dyDescent="0.25">
      <c r="B350" t="s">
        <v>36</v>
      </c>
      <c r="C350" t="s">
        <v>13</v>
      </c>
      <c r="D350">
        <v>0.8</v>
      </c>
      <c r="E350">
        <v>0.5</v>
      </c>
      <c r="F350">
        <v>0</v>
      </c>
    </row>
    <row r="351" spans="2:6" x14ac:dyDescent="0.25">
      <c r="B351" t="s">
        <v>303</v>
      </c>
      <c r="C351">
        <v>1891355</v>
      </c>
    </row>
    <row r="352" spans="2:6" x14ac:dyDescent="0.25">
      <c r="B352" t="s">
        <v>33</v>
      </c>
      <c r="C352" t="s">
        <v>21</v>
      </c>
      <c r="D352">
        <v>0.9</v>
      </c>
      <c r="E352">
        <v>0.4</v>
      </c>
      <c r="F352">
        <v>0</v>
      </c>
    </row>
    <row r="353" spans="2:6" x14ac:dyDescent="0.25">
      <c r="B353" t="s">
        <v>304</v>
      </c>
      <c r="C353">
        <v>1891357</v>
      </c>
    </row>
    <row r="354" spans="2:6" x14ac:dyDescent="0.25">
      <c r="B354" t="s">
        <v>27</v>
      </c>
      <c r="C354" t="s">
        <v>21</v>
      </c>
      <c r="D354">
        <v>0.9</v>
      </c>
      <c r="E354">
        <v>0.4</v>
      </c>
      <c r="F354">
        <v>0</v>
      </c>
    </row>
    <row r="355" spans="2:6" x14ac:dyDescent="0.25">
      <c r="B355" t="s">
        <v>305</v>
      </c>
      <c r="C355">
        <v>1891359</v>
      </c>
    </row>
    <row r="356" spans="2:6" x14ac:dyDescent="0.25">
      <c r="B356" t="s">
        <v>28</v>
      </c>
      <c r="C356" t="s">
        <v>17</v>
      </c>
      <c r="D356">
        <v>-0.9</v>
      </c>
      <c r="E356">
        <v>-0.4</v>
      </c>
      <c r="F356">
        <v>0</v>
      </c>
    </row>
    <row r="357" spans="2:6" x14ac:dyDescent="0.25">
      <c r="B357" t="s">
        <v>306</v>
      </c>
      <c r="C357">
        <v>1891361</v>
      </c>
    </row>
    <row r="358" spans="2:6" x14ac:dyDescent="0.25">
      <c r="B358" t="s">
        <v>28</v>
      </c>
      <c r="C358" t="s">
        <v>17</v>
      </c>
      <c r="D358">
        <v>-0.9</v>
      </c>
      <c r="E358">
        <v>-0.4</v>
      </c>
      <c r="F358">
        <v>0</v>
      </c>
    </row>
    <row r="359" spans="2:6" x14ac:dyDescent="0.25">
      <c r="B359" t="s">
        <v>27</v>
      </c>
      <c r="C359" t="s">
        <v>17</v>
      </c>
      <c r="D359">
        <v>-0.9</v>
      </c>
      <c r="E359">
        <v>-0.4</v>
      </c>
      <c r="F359">
        <v>0</v>
      </c>
    </row>
    <row r="360" spans="2:6" x14ac:dyDescent="0.25">
      <c r="B360" t="s">
        <v>307</v>
      </c>
      <c r="C360">
        <v>1891395</v>
      </c>
    </row>
    <row r="361" spans="2:6" x14ac:dyDescent="0.25">
      <c r="B361" t="s">
        <v>30</v>
      </c>
      <c r="C361" t="s">
        <v>13</v>
      </c>
      <c r="D361">
        <v>0.8</v>
      </c>
      <c r="E361">
        <v>0.5</v>
      </c>
      <c r="F361">
        <v>0</v>
      </c>
    </row>
    <row r="362" spans="2:6" x14ac:dyDescent="0.25">
      <c r="B362" t="s">
        <v>308</v>
      </c>
      <c r="C362">
        <v>1900752</v>
      </c>
    </row>
    <row r="363" spans="2:6" x14ac:dyDescent="0.25">
      <c r="B363" t="s">
        <v>203</v>
      </c>
      <c r="C363" t="s">
        <v>5</v>
      </c>
      <c r="D363">
        <v>0.2</v>
      </c>
      <c r="E363">
        <v>-1</v>
      </c>
      <c r="F363">
        <v>0</v>
      </c>
    </row>
    <row r="364" spans="2:6" x14ac:dyDescent="0.25">
      <c r="B364" t="s">
        <v>200</v>
      </c>
      <c r="C364" t="s">
        <v>5</v>
      </c>
      <c r="D364">
        <v>0.2</v>
      </c>
      <c r="E364">
        <v>-1</v>
      </c>
      <c r="F364">
        <v>0</v>
      </c>
    </row>
    <row r="365" spans="2:6" x14ac:dyDescent="0.25">
      <c r="B365" t="s">
        <v>202</v>
      </c>
      <c r="C365" t="s">
        <v>5</v>
      </c>
      <c r="D365">
        <v>0.2</v>
      </c>
      <c r="E365">
        <v>-1</v>
      </c>
      <c r="F365">
        <v>0</v>
      </c>
    </row>
    <row r="366" spans="2:6" x14ac:dyDescent="0.25">
      <c r="B366" t="s">
        <v>197</v>
      </c>
      <c r="C366" t="s">
        <v>5</v>
      </c>
      <c r="D366">
        <v>0.2</v>
      </c>
      <c r="E366">
        <v>-1</v>
      </c>
      <c r="F366">
        <v>0</v>
      </c>
    </row>
    <row r="367" spans="2:6" x14ac:dyDescent="0.25">
      <c r="B367" t="s">
        <v>199</v>
      </c>
      <c r="C367" t="s">
        <v>5</v>
      </c>
      <c r="D367">
        <v>0.2</v>
      </c>
      <c r="E367">
        <v>-1</v>
      </c>
      <c r="F367">
        <v>0</v>
      </c>
    </row>
    <row r="368" spans="2:6" x14ac:dyDescent="0.25">
      <c r="B368" t="s">
        <v>202</v>
      </c>
      <c r="C368" t="s">
        <v>5</v>
      </c>
      <c r="D368">
        <v>0.2</v>
      </c>
      <c r="E368">
        <v>-1</v>
      </c>
      <c r="F368">
        <v>0</v>
      </c>
    </row>
    <row r="369" spans="2:6" x14ac:dyDescent="0.25">
      <c r="B369" t="s">
        <v>202</v>
      </c>
      <c r="C369" t="s">
        <v>5</v>
      </c>
      <c r="D369">
        <v>0.2</v>
      </c>
      <c r="E369">
        <v>-1</v>
      </c>
      <c r="F369">
        <v>0</v>
      </c>
    </row>
    <row r="370" spans="2:6" x14ac:dyDescent="0.25">
      <c r="B370" t="s">
        <v>197</v>
      </c>
      <c r="C370" t="s">
        <v>5</v>
      </c>
      <c r="D370">
        <v>0.2</v>
      </c>
      <c r="E370">
        <v>-1</v>
      </c>
      <c r="F370">
        <v>0</v>
      </c>
    </row>
    <row r="371" spans="2:6" x14ac:dyDescent="0.25">
      <c r="B371" t="s">
        <v>200</v>
      </c>
      <c r="C371" t="s">
        <v>5</v>
      </c>
      <c r="D371">
        <v>0.2</v>
      </c>
      <c r="E371">
        <v>-1</v>
      </c>
      <c r="F371">
        <v>0</v>
      </c>
    </row>
    <row r="372" spans="2:6" x14ac:dyDescent="0.25">
      <c r="B372" t="s">
        <v>197</v>
      </c>
      <c r="C372" t="s">
        <v>5</v>
      </c>
      <c r="D372">
        <v>0.2</v>
      </c>
      <c r="E372">
        <v>-1</v>
      </c>
      <c r="F372">
        <v>0</v>
      </c>
    </row>
    <row r="373" spans="2:6" x14ac:dyDescent="0.25">
      <c r="B373" t="s">
        <v>309</v>
      </c>
      <c r="C373">
        <v>2042307</v>
      </c>
    </row>
    <row r="374" spans="2:6" x14ac:dyDescent="0.25">
      <c r="B374" t="s">
        <v>38</v>
      </c>
      <c r="C374" t="s">
        <v>1</v>
      </c>
      <c r="D374">
        <v>-1</v>
      </c>
      <c r="E374">
        <v>-0.2</v>
      </c>
      <c r="F374">
        <v>0</v>
      </c>
    </row>
    <row r="375" spans="2:6" x14ac:dyDescent="0.25">
      <c r="B375" t="s">
        <v>217</v>
      </c>
      <c r="C375" t="s">
        <v>1</v>
      </c>
      <c r="D375">
        <v>-1</v>
      </c>
      <c r="E375">
        <v>-0.2</v>
      </c>
      <c r="F375">
        <v>0</v>
      </c>
    </row>
    <row r="376" spans="2:6" x14ac:dyDescent="0.25">
      <c r="B376" t="s">
        <v>27</v>
      </c>
      <c r="C376" t="s">
        <v>1</v>
      </c>
      <c r="D376">
        <v>-1</v>
      </c>
      <c r="E376">
        <v>-0.2</v>
      </c>
      <c r="F376">
        <v>0</v>
      </c>
    </row>
    <row r="377" spans="2:6" x14ac:dyDescent="0.25">
      <c r="B377" t="s">
        <v>310</v>
      </c>
      <c r="C377">
        <v>2042309</v>
      </c>
    </row>
    <row r="378" spans="2:6" x14ac:dyDescent="0.25">
      <c r="B378" t="s">
        <v>27</v>
      </c>
      <c r="C378" t="s">
        <v>1</v>
      </c>
      <c r="D378">
        <v>-1</v>
      </c>
      <c r="E378">
        <v>-0.2</v>
      </c>
      <c r="F378">
        <v>0</v>
      </c>
    </row>
    <row r="379" spans="2:6" x14ac:dyDescent="0.25">
      <c r="B379" t="s">
        <v>217</v>
      </c>
      <c r="C379" t="s">
        <v>1</v>
      </c>
      <c r="D379">
        <v>-1</v>
      </c>
      <c r="E379">
        <v>-0.2</v>
      </c>
      <c r="F379">
        <v>0</v>
      </c>
    </row>
    <row r="380" spans="2:6" x14ac:dyDescent="0.25">
      <c r="B380" t="s">
        <v>217</v>
      </c>
      <c r="C380" t="s">
        <v>1</v>
      </c>
      <c r="D380">
        <v>-1</v>
      </c>
      <c r="E380">
        <v>-0.2</v>
      </c>
      <c r="F380">
        <v>0</v>
      </c>
    </row>
    <row r="381" spans="2:6" x14ac:dyDescent="0.25">
      <c r="B381" t="s">
        <v>311</v>
      </c>
      <c r="C381">
        <v>2096295</v>
      </c>
    </row>
    <row r="382" spans="2:6" x14ac:dyDescent="0.25">
      <c r="B382" t="s">
        <v>33</v>
      </c>
      <c r="C382" t="s">
        <v>2</v>
      </c>
      <c r="D382">
        <v>1</v>
      </c>
      <c r="E382">
        <v>0.2</v>
      </c>
      <c r="F382">
        <v>0</v>
      </c>
    </row>
    <row r="383" spans="2:6" x14ac:dyDescent="0.25">
      <c r="B383" t="s">
        <v>33</v>
      </c>
      <c r="C383" t="s">
        <v>2</v>
      </c>
      <c r="D383">
        <v>1</v>
      </c>
      <c r="E383">
        <v>0.2</v>
      </c>
      <c r="F383">
        <v>0</v>
      </c>
    </row>
    <row r="384" spans="2:6" x14ac:dyDescent="0.25">
      <c r="B384" t="s">
        <v>312</v>
      </c>
      <c r="C384">
        <v>2096297</v>
      </c>
    </row>
    <row r="385" spans="2:6" x14ac:dyDescent="0.25">
      <c r="B385" t="s">
        <v>36</v>
      </c>
      <c r="C385" t="s">
        <v>181</v>
      </c>
      <c r="D385">
        <v>0.1</v>
      </c>
      <c r="E385">
        <v>-1</v>
      </c>
      <c r="F385">
        <v>0</v>
      </c>
    </row>
    <row r="386" spans="2:6" x14ac:dyDescent="0.25">
      <c r="B386" t="s">
        <v>313</v>
      </c>
      <c r="C386">
        <v>2127124</v>
      </c>
    </row>
    <row r="387" spans="2:6" x14ac:dyDescent="0.25">
      <c r="B387" t="s">
        <v>30</v>
      </c>
      <c r="C387" t="s">
        <v>10</v>
      </c>
      <c r="D387">
        <v>-1</v>
      </c>
      <c r="E387">
        <v>0</v>
      </c>
      <c r="F387">
        <v>0</v>
      </c>
    </row>
    <row r="388" spans="2:6" x14ac:dyDescent="0.25">
      <c r="B388" t="s">
        <v>27</v>
      </c>
      <c r="C388" t="s">
        <v>10</v>
      </c>
      <c r="D388">
        <v>-1</v>
      </c>
      <c r="E388">
        <v>0</v>
      </c>
      <c r="F388">
        <v>0</v>
      </c>
    </row>
    <row r="389" spans="2:6" x14ac:dyDescent="0.25">
      <c r="B389" t="s">
        <v>27</v>
      </c>
      <c r="C389" t="s">
        <v>10</v>
      </c>
      <c r="D389">
        <v>-1</v>
      </c>
      <c r="E389">
        <v>0</v>
      </c>
      <c r="F389">
        <v>0</v>
      </c>
    </row>
    <row r="390" spans="2:6" x14ac:dyDescent="0.25">
      <c r="B390" t="s">
        <v>314</v>
      </c>
      <c r="C390">
        <v>2142010</v>
      </c>
    </row>
    <row r="391" spans="2:6" x14ac:dyDescent="0.25">
      <c r="B391" t="s">
        <v>202</v>
      </c>
      <c r="C391" t="s">
        <v>5</v>
      </c>
      <c r="D391">
        <v>0.2</v>
      </c>
      <c r="E391">
        <v>-1</v>
      </c>
      <c r="F391">
        <v>0</v>
      </c>
    </row>
    <row r="392" spans="2:6" x14ac:dyDescent="0.25">
      <c r="B392" t="s">
        <v>199</v>
      </c>
      <c r="C392" t="s">
        <v>5</v>
      </c>
      <c r="D392">
        <v>0.2</v>
      </c>
      <c r="E392">
        <v>-1</v>
      </c>
      <c r="F392">
        <v>0</v>
      </c>
    </row>
    <row r="393" spans="2:6" x14ac:dyDescent="0.25">
      <c r="B393" t="s">
        <v>200</v>
      </c>
      <c r="C393" t="s">
        <v>5</v>
      </c>
      <c r="D393">
        <v>0.2</v>
      </c>
      <c r="E393">
        <v>-1</v>
      </c>
      <c r="F393">
        <v>0</v>
      </c>
    </row>
    <row r="394" spans="2:6" x14ac:dyDescent="0.25">
      <c r="B394" t="s">
        <v>202</v>
      </c>
      <c r="C394" t="s">
        <v>5</v>
      </c>
      <c r="D394">
        <v>0.2</v>
      </c>
      <c r="E394">
        <v>-1</v>
      </c>
      <c r="F394">
        <v>0</v>
      </c>
    </row>
    <row r="395" spans="2:6" x14ac:dyDescent="0.25">
      <c r="C395">
        <v>2158644</v>
      </c>
    </row>
    <row r="396" spans="2:6" x14ac:dyDescent="0.25">
      <c r="B396" t="s">
        <v>217</v>
      </c>
      <c r="C396" t="s">
        <v>4</v>
      </c>
      <c r="D396">
        <v>-0.5</v>
      </c>
      <c r="E396">
        <v>0.9</v>
      </c>
      <c r="F396">
        <v>0</v>
      </c>
    </row>
    <row r="397" spans="2:6" x14ac:dyDescent="0.25">
      <c r="B397" t="s">
        <v>217</v>
      </c>
      <c r="C397" t="s">
        <v>4</v>
      </c>
      <c r="D397">
        <v>-0.5</v>
      </c>
      <c r="E397">
        <v>0.9</v>
      </c>
      <c r="F397">
        <v>0</v>
      </c>
    </row>
    <row r="398" spans="2:6" x14ac:dyDescent="0.25">
      <c r="B398" t="s">
        <v>217</v>
      </c>
      <c r="C398" t="s">
        <v>4</v>
      </c>
      <c r="D398">
        <v>-0.5</v>
      </c>
      <c r="E398">
        <v>0.9</v>
      </c>
      <c r="F398">
        <v>0</v>
      </c>
    </row>
    <row r="399" spans="2:6" x14ac:dyDescent="0.25">
      <c r="B399" t="s">
        <v>217</v>
      </c>
      <c r="C399" t="s">
        <v>4</v>
      </c>
      <c r="D399">
        <v>-0.5</v>
      </c>
      <c r="E399">
        <v>0.9</v>
      </c>
      <c r="F399">
        <v>0</v>
      </c>
    </row>
    <row r="400" spans="2:6" x14ac:dyDescent="0.25">
      <c r="B400" t="s">
        <v>217</v>
      </c>
      <c r="C400" t="s">
        <v>4</v>
      </c>
      <c r="D400">
        <v>-0.5</v>
      </c>
      <c r="E400">
        <v>0.9</v>
      </c>
      <c r="F400">
        <v>0</v>
      </c>
    </row>
    <row r="401" spans="2:6" x14ac:dyDescent="0.25">
      <c r="C401">
        <v>2158647</v>
      </c>
    </row>
    <row r="402" spans="2:6" x14ac:dyDescent="0.25">
      <c r="B402" t="s">
        <v>217</v>
      </c>
      <c r="C402" t="s">
        <v>4</v>
      </c>
      <c r="D402">
        <v>-0.5</v>
      </c>
      <c r="E402">
        <v>0.9</v>
      </c>
      <c r="F402">
        <v>0</v>
      </c>
    </row>
    <row r="403" spans="2:6" x14ac:dyDescent="0.25">
      <c r="C403">
        <v>2158668</v>
      </c>
    </row>
    <row r="404" spans="2:6" x14ac:dyDescent="0.25">
      <c r="B404" t="s">
        <v>27</v>
      </c>
      <c r="C404" t="s">
        <v>13</v>
      </c>
      <c r="D404">
        <v>0.8</v>
      </c>
      <c r="E404">
        <v>0.5</v>
      </c>
      <c r="F404">
        <v>0</v>
      </c>
    </row>
    <row r="405" spans="2:6" x14ac:dyDescent="0.25">
      <c r="B405" t="s">
        <v>315</v>
      </c>
      <c r="C405">
        <v>2160632</v>
      </c>
    </row>
    <row r="406" spans="2:6" x14ac:dyDescent="0.25">
      <c r="B406" t="s">
        <v>199</v>
      </c>
      <c r="C406" t="s">
        <v>5</v>
      </c>
      <c r="D406">
        <v>0.2</v>
      </c>
      <c r="E406">
        <v>-1</v>
      </c>
      <c r="F406">
        <v>0</v>
      </c>
    </row>
    <row r="407" spans="2:6" x14ac:dyDescent="0.25">
      <c r="B407" t="s">
        <v>203</v>
      </c>
      <c r="C407" t="s">
        <v>5</v>
      </c>
      <c r="D407">
        <v>0.2</v>
      </c>
      <c r="E407">
        <v>-1</v>
      </c>
      <c r="F407">
        <v>0</v>
      </c>
    </row>
    <row r="408" spans="2:6" x14ac:dyDescent="0.25">
      <c r="B408" t="s">
        <v>202</v>
      </c>
      <c r="C408" t="s">
        <v>5</v>
      </c>
      <c r="D408">
        <v>0.2</v>
      </c>
      <c r="E408">
        <v>-1</v>
      </c>
      <c r="F408">
        <v>0</v>
      </c>
    </row>
    <row r="409" spans="2:6" x14ac:dyDescent="0.25">
      <c r="B409" t="s">
        <v>203</v>
      </c>
      <c r="C409" t="s">
        <v>5</v>
      </c>
      <c r="D409">
        <v>0.2</v>
      </c>
      <c r="E409">
        <v>-1</v>
      </c>
      <c r="F409">
        <v>0</v>
      </c>
    </row>
    <row r="410" spans="2:6" x14ac:dyDescent="0.25">
      <c r="B410" t="s">
        <v>316</v>
      </c>
      <c r="C410" t="s">
        <v>5</v>
      </c>
      <c r="D410">
        <v>0.2</v>
      </c>
      <c r="E410">
        <v>-1</v>
      </c>
      <c r="F410">
        <v>0</v>
      </c>
    </row>
    <row r="411" spans="2:6" x14ac:dyDescent="0.25">
      <c r="B411" t="s">
        <v>202</v>
      </c>
      <c r="C411" t="s">
        <v>5</v>
      </c>
      <c r="D411">
        <v>0.2</v>
      </c>
      <c r="E411">
        <v>-1</v>
      </c>
      <c r="F411">
        <v>0</v>
      </c>
    </row>
    <row r="412" spans="2:6" x14ac:dyDescent="0.25">
      <c r="B412" t="s">
        <v>200</v>
      </c>
      <c r="C412" t="s">
        <v>5</v>
      </c>
      <c r="D412">
        <v>0.2</v>
      </c>
      <c r="E412">
        <v>-1</v>
      </c>
      <c r="F412">
        <v>0</v>
      </c>
    </row>
    <row r="413" spans="2:6" x14ac:dyDescent="0.25">
      <c r="B413" t="s">
        <v>199</v>
      </c>
      <c r="C413" t="s">
        <v>5</v>
      </c>
      <c r="D413">
        <v>0.2</v>
      </c>
      <c r="E413">
        <v>-1</v>
      </c>
      <c r="F413">
        <v>0</v>
      </c>
    </row>
    <row r="414" spans="2:6" x14ac:dyDescent="0.25">
      <c r="B414" t="s">
        <v>203</v>
      </c>
      <c r="C414" t="s">
        <v>5</v>
      </c>
      <c r="D414">
        <v>0.2</v>
      </c>
      <c r="E414">
        <v>-1</v>
      </c>
      <c r="F414">
        <v>0</v>
      </c>
    </row>
    <row r="415" spans="2:6" x14ac:dyDescent="0.25">
      <c r="B415" t="s">
        <v>30</v>
      </c>
      <c r="C415" t="s">
        <v>6</v>
      </c>
      <c r="D415">
        <v>-0.2</v>
      </c>
      <c r="E415">
        <v>1</v>
      </c>
      <c r="F415">
        <v>0</v>
      </c>
    </row>
    <row r="416" spans="2:6" x14ac:dyDescent="0.25">
      <c r="B416" t="s">
        <v>317</v>
      </c>
      <c r="C416">
        <v>2160638</v>
      </c>
    </row>
    <row r="417" spans="2:6" x14ac:dyDescent="0.25">
      <c r="B417" t="s">
        <v>200</v>
      </c>
      <c r="C417" t="s">
        <v>5</v>
      </c>
      <c r="D417">
        <v>0.2</v>
      </c>
      <c r="E417">
        <v>-1</v>
      </c>
      <c r="F417">
        <v>0</v>
      </c>
    </row>
    <row r="418" spans="2:6" x14ac:dyDescent="0.25">
      <c r="B418" t="s">
        <v>199</v>
      </c>
      <c r="C418" t="s">
        <v>5</v>
      </c>
      <c r="D418">
        <v>0.2</v>
      </c>
      <c r="E418">
        <v>-1</v>
      </c>
      <c r="F418">
        <v>0</v>
      </c>
    </row>
    <row r="419" spans="2:6" x14ac:dyDescent="0.25">
      <c r="B419" t="s">
        <v>197</v>
      </c>
      <c r="C419" t="s">
        <v>5</v>
      </c>
      <c r="D419">
        <v>0.2</v>
      </c>
      <c r="E419">
        <v>-1</v>
      </c>
      <c r="F419">
        <v>0</v>
      </c>
    </row>
    <row r="420" spans="2:6" x14ac:dyDescent="0.25">
      <c r="B420" t="s">
        <v>318</v>
      </c>
      <c r="C420">
        <v>2160648</v>
      </c>
    </row>
    <row r="421" spans="2:6" x14ac:dyDescent="0.25">
      <c r="B421" t="s">
        <v>202</v>
      </c>
      <c r="C421" t="s">
        <v>5</v>
      </c>
      <c r="D421">
        <v>0.2</v>
      </c>
      <c r="E421">
        <v>-1</v>
      </c>
      <c r="F421">
        <v>0</v>
      </c>
    </row>
    <row r="422" spans="2:6" x14ac:dyDescent="0.25">
      <c r="B422" t="s">
        <v>203</v>
      </c>
      <c r="C422" t="s">
        <v>5</v>
      </c>
      <c r="D422">
        <v>0.2</v>
      </c>
      <c r="E422">
        <v>-1</v>
      </c>
      <c r="F422">
        <v>0</v>
      </c>
    </row>
    <row r="423" spans="2:6" x14ac:dyDescent="0.25">
      <c r="B423" t="s">
        <v>200</v>
      </c>
      <c r="C423" t="s">
        <v>5</v>
      </c>
      <c r="D423">
        <v>0.2</v>
      </c>
      <c r="E423">
        <v>-1</v>
      </c>
      <c r="F423">
        <v>0</v>
      </c>
    </row>
    <row r="424" spans="2:6" x14ac:dyDescent="0.25">
      <c r="B424" t="s">
        <v>202</v>
      </c>
      <c r="C424" t="s">
        <v>5</v>
      </c>
      <c r="D424">
        <v>0.2</v>
      </c>
      <c r="E424">
        <v>-1</v>
      </c>
      <c r="F424">
        <v>0</v>
      </c>
    </row>
    <row r="425" spans="2:6" x14ac:dyDescent="0.25">
      <c r="B425" t="s">
        <v>199</v>
      </c>
      <c r="C425" t="s">
        <v>5</v>
      </c>
      <c r="D425">
        <v>0.2</v>
      </c>
      <c r="E425">
        <v>-1</v>
      </c>
      <c r="F425">
        <v>0</v>
      </c>
    </row>
    <row r="426" spans="2:6" x14ac:dyDescent="0.25">
      <c r="B426" t="s">
        <v>202</v>
      </c>
      <c r="C426" t="s">
        <v>5</v>
      </c>
      <c r="D426">
        <v>0.2</v>
      </c>
      <c r="E426">
        <v>-1</v>
      </c>
      <c r="F426">
        <v>0</v>
      </c>
    </row>
    <row r="427" spans="2:6" x14ac:dyDescent="0.25">
      <c r="B427" t="s">
        <v>199</v>
      </c>
      <c r="C427" t="s">
        <v>5</v>
      </c>
      <c r="D427">
        <v>0.2</v>
      </c>
      <c r="E427">
        <v>-1</v>
      </c>
      <c r="F427">
        <v>0</v>
      </c>
    </row>
    <row r="428" spans="2:6" x14ac:dyDescent="0.25">
      <c r="B428" t="s">
        <v>200</v>
      </c>
      <c r="C428" t="s">
        <v>5</v>
      </c>
      <c r="D428">
        <v>0.2</v>
      </c>
      <c r="E428">
        <v>-1</v>
      </c>
      <c r="F428">
        <v>0</v>
      </c>
    </row>
    <row r="429" spans="2:6" x14ac:dyDescent="0.25">
      <c r="B429" t="s">
        <v>199</v>
      </c>
      <c r="C429" t="s">
        <v>5</v>
      </c>
      <c r="D429">
        <v>0.2</v>
      </c>
      <c r="E429">
        <v>-1</v>
      </c>
      <c r="F429">
        <v>0</v>
      </c>
    </row>
    <row r="430" spans="2:6" x14ac:dyDescent="0.25">
      <c r="B430" t="s">
        <v>203</v>
      </c>
      <c r="C430" t="s">
        <v>5</v>
      </c>
      <c r="D430">
        <v>0.2</v>
      </c>
      <c r="E430">
        <v>-1</v>
      </c>
      <c r="F430">
        <v>0</v>
      </c>
    </row>
    <row r="431" spans="2:6" x14ac:dyDescent="0.25">
      <c r="B431" t="s">
        <v>202</v>
      </c>
      <c r="C431" t="s">
        <v>5</v>
      </c>
      <c r="D431">
        <v>0.2</v>
      </c>
      <c r="E431">
        <v>-1</v>
      </c>
      <c r="F431">
        <v>0</v>
      </c>
    </row>
    <row r="432" spans="2:6" x14ac:dyDescent="0.25">
      <c r="B432" t="s">
        <v>319</v>
      </c>
      <c r="C432">
        <v>2160650</v>
      </c>
    </row>
    <row r="433" spans="2:6" x14ac:dyDescent="0.25">
      <c r="B433" t="s">
        <v>199</v>
      </c>
      <c r="C433" t="s">
        <v>5</v>
      </c>
      <c r="D433">
        <v>0.2</v>
      </c>
      <c r="E433">
        <v>-1</v>
      </c>
      <c r="F433">
        <v>0</v>
      </c>
    </row>
    <row r="434" spans="2:6" x14ac:dyDescent="0.25">
      <c r="B434" t="s">
        <v>202</v>
      </c>
      <c r="C434" t="s">
        <v>5</v>
      </c>
      <c r="D434">
        <v>0.2</v>
      </c>
      <c r="E434">
        <v>-1</v>
      </c>
      <c r="F434">
        <v>0</v>
      </c>
    </row>
    <row r="435" spans="2:6" x14ac:dyDescent="0.25">
      <c r="B435" t="s">
        <v>320</v>
      </c>
      <c r="C435" t="s">
        <v>5</v>
      </c>
      <c r="D435">
        <v>0.2</v>
      </c>
      <c r="E435">
        <v>-1</v>
      </c>
      <c r="F435">
        <v>0</v>
      </c>
    </row>
    <row r="436" spans="2:6" x14ac:dyDescent="0.25">
      <c r="B436" t="s">
        <v>321</v>
      </c>
      <c r="C436">
        <v>2160652</v>
      </c>
    </row>
    <row r="437" spans="2:6" x14ac:dyDescent="0.25">
      <c r="B437" t="s">
        <v>202</v>
      </c>
      <c r="C437" t="s">
        <v>5</v>
      </c>
      <c r="D437">
        <v>0.2</v>
      </c>
      <c r="E437">
        <v>-1</v>
      </c>
      <c r="F437">
        <v>0</v>
      </c>
    </row>
    <row r="438" spans="2:6" x14ac:dyDescent="0.25">
      <c r="B438" t="s">
        <v>199</v>
      </c>
      <c r="C438" t="s">
        <v>5</v>
      </c>
      <c r="D438">
        <v>0.2</v>
      </c>
      <c r="E438">
        <v>-1</v>
      </c>
      <c r="F438">
        <v>0</v>
      </c>
    </row>
    <row r="439" spans="2:6" x14ac:dyDescent="0.25">
      <c r="B439" t="s">
        <v>203</v>
      </c>
      <c r="C439" t="s">
        <v>5</v>
      </c>
      <c r="D439">
        <v>0.2</v>
      </c>
      <c r="E439">
        <v>-1</v>
      </c>
      <c r="F439">
        <v>0</v>
      </c>
    </row>
    <row r="440" spans="2:6" x14ac:dyDescent="0.25">
      <c r="B440" t="s">
        <v>202</v>
      </c>
      <c r="C440" t="s">
        <v>5</v>
      </c>
      <c r="D440">
        <v>0.2</v>
      </c>
      <c r="E440">
        <v>-1</v>
      </c>
      <c r="F440">
        <v>0</v>
      </c>
    </row>
    <row r="441" spans="2:6" x14ac:dyDescent="0.25">
      <c r="B441" t="s">
        <v>200</v>
      </c>
      <c r="C441" t="s">
        <v>5</v>
      </c>
      <c r="D441">
        <v>0.2</v>
      </c>
      <c r="E441">
        <v>-1</v>
      </c>
      <c r="F441">
        <v>0</v>
      </c>
    </row>
    <row r="442" spans="2:6" x14ac:dyDescent="0.25">
      <c r="B442" t="s">
        <v>202</v>
      </c>
      <c r="C442" t="s">
        <v>5</v>
      </c>
      <c r="D442">
        <v>0.2</v>
      </c>
      <c r="E442">
        <v>-1</v>
      </c>
      <c r="F442">
        <v>0</v>
      </c>
    </row>
    <row r="443" spans="2:6" x14ac:dyDescent="0.25">
      <c r="B443" t="s">
        <v>197</v>
      </c>
      <c r="C443" t="s">
        <v>5</v>
      </c>
      <c r="D443">
        <v>0.2</v>
      </c>
      <c r="E443">
        <v>-1</v>
      </c>
      <c r="F443">
        <v>0</v>
      </c>
    </row>
    <row r="444" spans="2:6" x14ac:dyDescent="0.25">
      <c r="B444" t="s">
        <v>322</v>
      </c>
      <c r="C444">
        <v>2160680</v>
      </c>
    </row>
    <row r="445" spans="2:6" x14ac:dyDescent="0.25">
      <c r="B445" t="s">
        <v>202</v>
      </c>
      <c r="C445" t="s">
        <v>212</v>
      </c>
      <c r="D445">
        <v>-0.5</v>
      </c>
      <c r="E445">
        <v>0.9</v>
      </c>
      <c r="F445">
        <v>0</v>
      </c>
    </row>
    <row r="446" spans="2:6" x14ac:dyDescent="0.25">
      <c r="B446" t="s">
        <v>200</v>
      </c>
      <c r="C446" t="s">
        <v>212</v>
      </c>
      <c r="D446">
        <v>-0.5</v>
      </c>
      <c r="E446">
        <v>0.9</v>
      </c>
      <c r="F446">
        <v>0</v>
      </c>
    </row>
    <row r="447" spans="2:6" x14ac:dyDescent="0.25">
      <c r="B447" t="s">
        <v>199</v>
      </c>
      <c r="C447" t="s">
        <v>117</v>
      </c>
      <c r="D447">
        <v>0.5</v>
      </c>
      <c r="E447">
        <v>-0.9</v>
      </c>
      <c r="F447">
        <v>0</v>
      </c>
    </row>
    <row r="448" spans="2:6" x14ac:dyDescent="0.25">
      <c r="B448" t="s">
        <v>202</v>
      </c>
      <c r="C448" t="s">
        <v>212</v>
      </c>
      <c r="D448">
        <v>-0.5</v>
      </c>
      <c r="E448">
        <v>0.9</v>
      </c>
      <c r="F448">
        <v>0</v>
      </c>
    </row>
    <row r="449" spans="2:6" x14ac:dyDescent="0.25">
      <c r="B449" t="s">
        <v>323</v>
      </c>
      <c r="C449">
        <v>2160690</v>
      </c>
    </row>
    <row r="450" spans="2:6" x14ac:dyDescent="0.25">
      <c r="B450" t="s">
        <v>200</v>
      </c>
      <c r="C450" t="s">
        <v>5</v>
      </c>
      <c r="D450">
        <v>0.2</v>
      </c>
      <c r="E450">
        <v>-1</v>
      </c>
      <c r="F450">
        <v>0</v>
      </c>
    </row>
    <row r="451" spans="2:6" x14ac:dyDescent="0.25">
      <c r="B451" t="s">
        <v>199</v>
      </c>
      <c r="C451" t="s">
        <v>5</v>
      </c>
      <c r="D451">
        <v>0.2</v>
      </c>
      <c r="E451">
        <v>-1</v>
      </c>
      <c r="F451">
        <v>0</v>
      </c>
    </row>
    <row r="452" spans="2:6" x14ac:dyDescent="0.25">
      <c r="B452" t="s">
        <v>203</v>
      </c>
      <c r="C452" t="s">
        <v>5</v>
      </c>
      <c r="D452">
        <v>0.2</v>
      </c>
      <c r="E452">
        <v>-1</v>
      </c>
      <c r="F452">
        <v>0</v>
      </c>
    </row>
    <row r="453" spans="2:6" x14ac:dyDescent="0.25">
      <c r="B453" t="s">
        <v>202</v>
      </c>
      <c r="C453" t="s">
        <v>5</v>
      </c>
      <c r="D453">
        <v>0.2</v>
      </c>
      <c r="E453">
        <v>-1</v>
      </c>
      <c r="F453">
        <v>0</v>
      </c>
    </row>
    <row r="454" spans="2:6" x14ac:dyDescent="0.25">
      <c r="B454" t="s">
        <v>203</v>
      </c>
      <c r="C454" t="s">
        <v>5</v>
      </c>
      <c r="D454">
        <v>0.2</v>
      </c>
      <c r="E454">
        <v>-1</v>
      </c>
      <c r="F454">
        <v>0</v>
      </c>
    </row>
    <row r="455" spans="2:6" x14ac:dyDescent="0.25">
      <c r="B455" t="s">
        <v>200</v>
      </c>
      <c r="C455" t="s">
        <v>5</v>
      </c>
      <c r="D455">
        <v>0.2</v>
      </c>
      <c r="E455">
        <v>-1</v>
      </c>
      <c r="F455">
        <v>0</v>
      </c>
    </row>
    <row r="456" spans="2:6" x14ac:dyDescent="0.25">
      <c r="B456" t="s">
        <v>202</v>
      </c>
      <c r="C456" t="s">
        <v>5</v>
      </c>
      <c r="D456">
        <v>0.2</v>
      </c>
      <c r="E456">
        <v>-1</v>
      </c>
      <c r="F456">
        <v>0</v>
      </c>
    </row>
    <row r="457" spans="2:6" x14ac:dyDescent="0.25">
      <c r="B457" t="s">
        <v>199</v>
      </c>
      <c r="C457" t="s">
        <v>5</v>
      </c>
      <c r="D457">
        <v>0.2</v>
      </c>
      <c r="E457">
        <v>-1</v>
      </c>
      <c r="F457">
        <v>0</v>
      </c>
    </row>
    <row r="458" spans="2:6" x14ac:dyDescent="0.25">
      <c r="B458" t="s">
        <v>324</v>
      </c>
      <c r="C458">
        <v>2160698</v>
      </c>
    </row>
    <row r="459" spans="2:6" x14ac:dyDescent="0.25">
      <c r="B459" t="s">
        <v>199</v>
      </c>
      <c r="C459" t="s">
        <v>5</v>
      </c>
      <c r="D459">
        <v>0.2</v>
      </c>
      <c r="E459">
        <v>-1</v>
      </c>
      <c r="F459">
        <v>0</v>
      </c>
    </row>
    <row r="460" spans="2:6" x14ac:dyDescent="0.25">
      <c r="B460" t="s">
        <v>202</v>
      </c>
      <c r="C460" t="s">
        <v>5</v>
      </c>
      <c r="D460">
        <v>0.2</v>
      </c>
      <c r="E460">
        <v>-1</v>
      </c>
      <c r="F460">
        <v>0</v>
      </c>
    </row>
    <row r="461" spans="2:6" x14ac:dyDescent="0.25">
      <c r="B461" t="s">
        <v>199</v>
      </c>
      <c r="C461" t="s">
        <v>5</v>
      </c>
      <c r="D461">
        <v>0.2</v>
      </c>
      <c r="E461">
        <v>-1</v>
      </c>
      <c r="F461">
        <v>0</v>
      </c>
    </row>
    <row r="462" spans="2:6" x14ac:dyDescent="0.25">
      <c r="B462" t="s">
        <v>200</v>
      </c>
      <c r="C462" t="s">
        <v>5</v>
      </c>
      <c r="D462">
        <v>0.2</v>
      </c>
      <c r="E462">
        <v>-1</v>
      </c>
      <c r="F462">
        <v>0</v>
      </c>
    </row>
    <row r="463" spans="2:6" x14ac:dyDescent="0.25">
      <c r="B463" t="s">
        <v>199</v>
      </c>
      <c r="C463" t="s">
        <v>5</v>
      </c>
      <c r="D463">
        <v>0.2</v>
      </c>
      <c r="E463">
        <v>-1</v>
      </c>
      <c r="F463">
        <v>0</v>
      </c>
    </row>
    <row r="464" spans="2:6" x14ac:dyDescent="0.25">
      <c r="B464" t="s">
        <v>203</v>
      </c>
      <c r="C464" t="s">
        <v>5</v>
      </c>
      <c r="D464">
        <v>0.2</v>
      </c>
      <c r="E464">
        <v>-1</v>
      </c>
      <c r="F464">
        <v>0</v>
      </c>
    </row>
    <row r="465" spans="2:6" x14ac:dyDescent="0.25">
      <c r="B465" t="s">
        <v>202</v>
      </c>
      <c r="C465" t="s">
        <v>5</v>
      </c>
      <c r="D465">
        <v>0.2</v>
      </c>
      <c r="E465">
        <v>-1</v>
      </c>
      <c r="F465">
        <v>0</v>
      </c>
    </row>
    <row r="466" spans="2:6" x14ac:dyDescent="0.25">
      <c r="B466" t="s">
        <v>203</v>
      </c>
      <c r="C466" t="s">
        <v>5</v>
      </c>
      <c r="D466">
        <v>0.2</v>
      </c>
      <c r="E466">
        <v>-1</v>
      </c>
      <c r="F466">
        <v>0</v>
      </c>
    </row>
    <row r="467" spans="2:6" x14ac:dyDescent="0.25">
      <c r="B467" t="s">
        <v>200</v>
      </c>
      <c r="C467" t="s">
        <v>5</v>
      </c>
      <c r="D467">
        <v>0.2</v>
      </c>
      <c r="E467">
        <v>-1</v>
      </c>
      <c r="F467">
        <v>0</v>
      </c>
    </row>
    <row r="468" spans="2:6" x14ac:dyDescent="0.25">
      <c r="B468" t="s">
        <v>202</v>
      </c>
      <c r="C468" t="s">
        <v>5</v>
      </c>
      <c r="D468">
        <v>0.2</v>
      </c>
      <c r="E468">
        <v>-1</v>
      </c>
      <c r="F468">
        <v>0</v>
      </c>
    </row>
    <row r="469" spans="2:6" x14ac:dyDescent="0.25">
      <c r="B469" t="s">
        <v>325</v>
      </c>
      <c r="C469">
        <v>2160717</v>
      </c>
    </row>
    <row r="470" spans="2:6" s="28" customFormat="1" x14ac:dyDescent="0.25">
      <c r="B470" s="28" t="s">
        <v>29</v>
      </c>
      <c r="C470" s="28" t="s">
        <v>13</v>
      </c>
      <c r="D470" s="28">
        <v>0.8</v>
      </c>
      <c r="E470" s="28">
        <v>0.5</v>
      </c>
      <c r="F470" s="28">
        <v>0</v>
      </c>
    </row>
    <row r="471" spans="2:6" s="28" customFormat="1" x14ac:dyDescent="0.25">
      <c r="B471" s="28" t="s">
        <v>31</v>
      </c>
      <c r="C471" s="28" t="s">
        <v>13</v>
      </c>
      <c r="D471" s="28">
        <v>0.8</v>
      </c>
      <c r="E471" s="28">
        <v>0.5</v>
      </c>
      <c r="F471" s="28">
        <v>0</v>
      </c>
    </row>
    <row r="472" spans="2:6" s="28" customFormat="1" x14ac:dyDescent="0.25">
      <c r="B472" s="28" t="s">
        <v>30</v>
      </c>
      <c r="C472" s="28" t="s">
        <v>16</v>
      </c>
      <c r="D472" s="28">
        <v>-0.8</v>
      </c>
      <c r="E472" s="28">
        <v>-0.5</v>
      </c>
      <c r="F472" s="28">
        <v>0</v>
      </c>
    </row>
    <row r="473" spans="2:6" s="28" customFormat="1" x14ac:dyDescent="0.25">
      <c r="B473" s="28" t="s">
        <v>36</v>
      </c>
      <c r="C473" s="28" t="s">
        <v>42</v>
      </c>
      <c r="D473" s="28">
        <v>0.5</v>
      </c>
      <c r="E473" s="28">
        <v>-0.8</v>
      </c>
      <c r="F473" s="28">
        <v>0</v>
      </c>
    </row>
    <row r="474" spans="2:6" s="28" customFormat="1" x14ac:dyDescent="0.25">
      <c r="B474" s="28" t="s">
        <v>36</v>
      </c>
      <c r="C474" s="28" t="s">
        <v>42</v>
      </c>
      <c r="D474" s="28">
        <v>0.5</v>
      </c>
      <c r="E474" s="28">
        <v>-0.8</v>
      </c>
      <c r="F474" s="28">
        <v>0</v>
      </c>
    </row>
    <row r="475" spans="2:6" s="28" customFormat="1" x14ac:dyDescent="0.25">
      <c r="B475" s="28" t="s">
        <v>36</v>
      </c>
      <c r="C475" s="28" t="s">
        <v>42</v>
      </c>
      <c r="D475" s="28">
        <v>0.5</v>
      </c>
      <c r="E475" s="28">
        <v>-0.8</v>
      </c>
      <c r="F475" s="28">
        <v>0</v>
      </c>
    </row>
    <row r="476" spans="2:6" s="28" customFormat="1" x14ac:dyDescent="0.25">
      <c r="B476" s="28" t="s">
        <v>36</v>
      </c>
      <c r="C476" s="28" t="s">
        <v>42</v>
      </c>
      <c r="D476" s="28">
        <v>0.5</v>
      </c>
      <c r="E476" s="28">
        <v>-0.8</v>
      </c>
      <c r="F476" s="28">
        <v>0</v>
      </c>
    </row>
    <row r="477" spans="2:6" s="28" customFormat="1" x14ac:dyDescent="0.25">
      <c r="B477" s="28" t="s">
        <v>43</v>
      </c>
      <c r="C477" s="28" t="s">
        <v>13</v>
      </c>
      <c r="D477" s="28">
        <v>0.8</v>
      </c>
      <c r="E477" s="28">
        <v>0.5</v>
      </c>
      <c r="F477" s="28">
        <v>0</v>
      </c>
    </row>
    <row r="478" spans="2:6" s="28" customFormat="1" x14ac:dyDescent="0.25">
      <c r="B478" s="28" t="s">
        <v>28</v>
      </c>
      <c r="C478" s="28" t="s">
        <v>13</v>
      </c>
      <c r="D478" s="28">
        <v>0.8</v>
      </c>
      <c r="E478" s="28">
        <v>0.5</v>
      </c>
      <c r="F478" s="28">
        <v>0</v>
      </c>
    </row>
    <row r="479" spans="2:6" x14ac:dyDescent="0.25">
      <c r="B479" t="s">
        <v>33</v>
      </c>
      <c r="C479" t="s">
        <v>13</v>
      </c>
      <c r="D479">
        <v>0.8</v>
      </c>
      <c r="E479">
        <v>0.5</v>
      </c>
      <c r="F479">
        <v>0</v>
      </c>
    </row>
    <row r="480" spans="2:6" x14ac:dyDescent="0.25">
      <c r="B480" t="s">
        <v>28</v>
      </c>
      <c r="C480" t="s">
        <v>13</v>
      </c>
      <c r="D480">
        <v>0.8</v>
      </c>
      <c r="E480">
        <v>0.5</v>
      </c>
      <c r="F480">
        <v>0</v>
      </c>
    </row>
    <row r="481" spans="2:6" x14ac:dyDescent="0.25">
      <c r="B481" t="s">
        <v>326</v>
      </c>
      <c r="C481">
        <v>2160718</v>
      </c>
    </row>
    <row r="482" spans="2:6" x14ac:dyDescent="0.25">
      <c r="B482" t="s">
        <v>36</v>
      </c>
      <c r="C482" t="s">
        <v>21</v>
      </c>
      <c r="D482">
        <v>0.9</v>
      </c>
      <c r="E482">
        <v>0.4</v>
      </c>
      <c r="F482">
        <v>0</v>
      </c>
    </row>
    <row r="483" spans="2:6" x14ac:dyDescent="0.25">
      <c r="B483" t="s">
        <v>38</v>
      </c>
      <c r="C483" t="s">
        <v>21</v>
      </c>
      <c r="D483">
        <v>0.9</v>
      </c>
      <c r="E483">
        <v>0.4</v>
      </c>
      <c r="F483">
        <v>0</v>
      </c>
    </row>
    <row r="484" spans="2:6" x14ac:dyDescent="0.25">
      <c r="B484" t="s">
        <v>36</v>
      </c>
      <c r="C484" t="s">
        <v>327</v>
      </c>
      <c r="D484">
        <v>0.4</v>
      </c>
      <c r="E484">
        <v>-0.9</v>
      </c>
      <c r="F484">
        <v>0</v>
      </c>
    </row>
    <row r="485" spans="2:6" x14ac:dyDescent="0.25">
      <c r="B485" t="s">
        <v>36</v>
      </c>
      <c r="C485" t="s">
        <v>327</v>
      </c>
      <c r="D485">
        <v>0.4</v>
      </c>
      <c r="E485">
        <v>-0.9</v>
      </c>
      <c r="F485">
        <v>0</v>
      </c>
    </row>
    <row r="486" spans="2:6" x14ac:dyDescent="0.25">
      <c r="B486" t="s">
        <v>36</v>
      </c>
      <c r="C486" t="s">
        <v>327</v>
      </c>
      <c r="D486">
        <v>0.4</v>
      </c>
      <c r="E486">
        <v>-0.9</v>
      </c>
      <c r="F486">
        <v>0</v>
      </c>
    </row>
    <row r="487" spans="2:6" x14ac:dyDescent="0.25">
      <c r="B487" t="s">
        <v>36</v>
      </c>
      <c r="C487" t="s">
        <v>327</v>
      </c>
      <c r="D487">
        <v>0.4</v>
      </c>
      <c r="E487">
        <v>-0.9</v>
      </c>
      <c r="F487">
        <v>0</v>
      </c>
    </row>
    <row r="488" spans="2:6" x14ac:dyDescent="0.25">
      <c r="B488" t="s">
        <v>328</v>
      </c>
      <c r="C488">
        <v>2160719</v>
      </c>
    </row>
    <row r="489" spans="2:6" x14ac:dyDescent="0.25">
      <c r="B489" t="s">
        <v>30</v>
      </c>
      <c r="C489" t="s">
        <v>22</v>
      </c>
      <c r="D489">
        <v>0.9</v>
      </c>
      <c r="E489">
        <v>0.3</v>
      </c>
      <c r="F489">
        <v>0</v>
      </c>
    </row>
    <row r="490" spans="2:6" x14ac:dyDescent="0.25">
      <c r="B490" t="s">
        <v>27</v>
      </c>
      <c r="C490" t="s">
        <v>20</v>
      </c>
      <c r="D490">
        <v>-0.9</v>
      </c>
      <c r="E490">
        <v>-0.3</v>
      </c>
      <c r="F490">
        <v>0</v>
      </c>
    </row>
    <row r="491" spans="2:6" x14ac:dyDescent="0.25">
      <c r="B491" t="s">
        <v>38</v>
      </c>
      <c r="C491" t="s">
        <v>22</v>
      </c>
      <c r="D491">
        <v>0.9</v>
      </c>
      <c r="E491">
        <v>0.3</v>
      </c>
      <c r="F491">
        <v>0</v>
      </c>
    </row>
    <row r="492" spans="2:6" x14ac:dyDescent="0.25">
      <c r="B492" t="s">
        <v>36</v>
      </c>
      <c r="C492" t="s">
        <v>329</v>
      </c>
      <c r="D492">
        <v>0.3</v>
      </c>
      <c r="E492">
        <v>-0.9</v>
      </c>
      <c r="F492">
        <v>0</v>
      </c>
    </row>
    <row r="493" spans="2:6" x14ac:dyDescent="0.25">
      <c r="B493" t="s">
        <v>36</v>
      </c>
      <c r="C493" t="s">
        <v>329</v>
      </c>
      <c r="D493">
        <v>0.3</v>
      </c>
      <c r="E493">
        <v>-0.9</v>
      </c>
      <c r="F493">
        <v>0</v>
      </c>
    </row>
    <row r="494" spans="2:6" x14ac:dyDescent="0.25">
      <c r="B494" t="s">
        <v>36</v>
      </c>
      <c r="C494" t="s">
        <v>329</v>
      </c>
      <c r="D494">
        <v>0.3</v>
      </c>
      <c r="E494">
        <v>-0.9</v>
      </c>
      <c r="F494">
        <v>0</v>
      </c>
    </row>
    <row r="495" spans="2:6" x14ac:dyDescent="0.25">
      <c r="B495" t="s">
        <v>36</v>
      </c>
      <c r="C495" t="s">
        <v>329</v>
      </c>
      <c r="D495">
        <v>0.3</v>
      </c>
      <c r="E495">
        <v>-0.9</v>
      </c>
      <c r="F495">
        <v>0</v>
      </c>
    </row>
    <row r="496" spans="2:6" x14ac:dyDescent="0.25">
      <c r="B496" t="s">
        <v>36</v>
      </c>
      <c r="C496" t="s">
        <v>22</v>
      </c>
      <c r="D496">
        <v>0.9</v>
      </c>
      <c r="E496">
        <v>0.3</v>
      </c>
      <c r="F496">
        <v>0</v>
      </c>
    </row>
    <row r="497" spans="2:6" x14ac:dyDescent="0.25">
      <c r="B497" t="s">
        <v>330</v>
      </c>
      <c r="C497">
        <v>2160746</v>
      </c>
    </row>
    <row r="498" spans="2:6" x14ac:dyDescent="0.25">
      <c r="B498" t="s">
        <v>36</v>
      </c>
      <c r="C498" t="s">
        <v>5</v>
      </c>
      <c r="D498">
        <v>0.2</v>
      </c>
      <c r="E498">
        <v>-1</v>
      </c>
      <c r="F498">
        <v>0</v>
      </c>
    </row>
    <row r="499" spans="2:6" x14ac:dyDescent="0.25">
      <c r="B499" t="s">
        <v>36</v>
      </c>
      <c r="C499" t="s">
        <v>5</v>
      </c>
      <c r="D499">
        <v>0.2</v>
      </c>
      <c r="E499">
        <v>-1</v>
      </c>
      <c r="F499">
        <v>0</v>
      </c>
    </row>
    <row r="500" spans="2:6" x14ac:dyDescent="0.25">
      <c r="B500" t="s">
        <v>36</v>
      </c>
      <c r="C500" t="s">
        <v>5</v>
      </c>
      <c r="D500">
        <v>0.2</v>
      </c>
      <c r="E500">
        <v>-1</v>
      </c>
      <c r="F500">
        <v>0</v>
      </c>
    </row>
    <row r="501" spans="2:6" x14ac:dyDescent="0.25">
      <c r="B501" t="s">
        <v>36</v>
      </c>
      <c r="C501" t="s">
        <v>1</v>
      </c>
      <c r="D501">
        <v>-1</v>
      </c>
      <c r="E501">
        <v>-0.2</v>
      </c>
      <c r="F501">
        <v>0</v>
      </c>
    </row>
    <row r="502" spans="2:6" x14ac:dyDescent="0.25">
      <c r="B502" t="s">
        <v>28</v>
      </c>
      <c r="C502" t="s">
        <v>1</v>
      </c>
      <c r="D502">
        <v>-1</v>
      </c>
      <c r="E502">
        <v>-0.2</v>
      </c>
      <c r="F502">
        <v>0</v>
      </c>
    </row>
    <row r="503" spans="2:6" x14ac:dyDescent="0.25">
      <c r="B503" t="s">
        <v>33</v>
      </c>
      <c r="C503" t="s">
        <v>1</v>
      </c>
      <c r="D503">
        <v>-1</v>
      </c>
      <c r="E503">
        <v>-0.2</v>
      </c>
      <c r="F503">
        <v>0</v>
      </c>
    </row>
    <row r="504" spans="2:6" x14ac:dyDescent="0.25">
      <c r="B504" t="s">
        <v>331</v>
      </c>
      <c r="C504">
        <v>2161356</v>
      </c>
    </row>
    <row r="505" spans="2:6" x14ac:dyDescent="0.25">
      <c r="B505" t="s">
        <v>217</v>
      </c>
      <c r="C505" t="s">
        <v>1</v>
      </c>
      <c r="D505">
        <v>-1</v>
      </c>
      <c r="E505">
        <v>-0.2</v>
      </c>
      <c r="F505">
        <v>0</v>
      </c>
    </row>
    <row r="506" spans="2:6" x14ac:dyDescent="0.25">
      <c r="B506" t="s">
        <v>27</v>
      </c>
      <c r="C506" t="s">
        <v>1</v>
      </c>
      <c r="D506">
        <v>-1</v>
      </c>
      <c r="E506">
        <v>-0.2</v>
      </c>
      <c r="F506">
        <v>0</v>
      </c>
    </row>
    <row r="507" spans="2:6" x14ac:dyDescent="0.25">
      <c r="B507" t="s">
        <v>38</v>
      </c>
      <c r="C507" t="s">
        <v>1</v>
      </c>
      <c r="D507">
        <v>-1</v>
      </c>
      <c r="E507">
        <v>-0.2</v>
      </c>
      <c r="F507">
        <v>0</v>
      </c>
    </row>
    <row r="508" spans="2:6" x14ac:dyDescent="0.25">
      <c r="B508" t="s">
        <v>217</v>
      </c>
      <c r="C508" t="s">
        <v>1</v>
      </c>
      <c r="D508">
        <v>-1</v>
      </c>
      <c r="E508">
        <v>-0.2</v>
      </c>
      <c r="F508">
        <v>0</v>
      </c>
    </row>
    <row r="509" spans="2:6" x14ac:dyDescent="0.25">
      <c r="B509" t="s">
        <v>27</v>
      </c>
      <c r="C509" t="s">
        <v>1</v>
      </c>
      <c r="D509">
        <v>-1</v>
      </c>
      <c r="E509">
        <v>-0.2</v>
      </c>
      <c r="F509">
        <v>0</v>
      </c>
    </row>
    <row r="510" spans="2:6" x14ac:dyDescent="0.25">
      <c r="B510" t="s">
        <v>217</v>
      </c>
      <c r="C510" t="s">
        <v>1</v>
      </c>
      <c r="D510">
        <v>-1</v>
      </c>
      <c r="E510">
        <v>-0.2</v>
      </c>
      <c r="F510">
        <v>0</v>
      </c>
    </row>
    <row r="511" spans="2:6" x14ac:dyDescent="0.25">
      <c r="B511" t="s">
        <v>29</v>
      </c>
      <c r="C511" t="s">
        <v>1</v>
      </c>
      <c r="D511">
        <v>-1</v>
      </c>
      <c r="E511">
        <v>-0.2</v>
      </c>
      <c r="F511">
        <v>0</v>
      </c>
    </row>
    <row r="512" spans="2:6" x14ac:dyDescent="0.25">
      <c r="B512" t="s">
        <v>332</v>
      </c>
      <c r="C512" t="s">
        <v>2</v>
      </c>
      <c r="D512">
        <v>1</v>
      </c>
      <c r="E512">
        <v>0.2</v>
      </c>
      <c r="F512">
        <v>0</v>
      </c>
    </row>
    <row r="513" spans="2:6" x14ac:dyDescent="0.25">
      <c r="B513" t="s">
        <v>27</v>
      </c>
      <c r="C513" t="s">
        <v>4</v>
      </c>
      <c r="D513">
        <v>-0.5</v>
      </c>
      <c r="E513">
        <v>0.9</v>
      </c>
      <c r="F513">
        <v>0</v>
      </c>
    </row>
    <row r="514" spans="2:6" x14ac:dyDescent="0.25">
      <c r="B514" t="s">
        <v>27</v>
      </c>
      <c r="C514" t="s">
        <v>4</v>
      </c>
      <c r="D514">
        <v>-0.5</v>
      </c>
      <c r="E514">
        <v>0.9</v>
      </c>
      <c r="F514">
        <v>0</v>
      </c>
    </row>
    <row r="515" spans="2:6" x14ac:dyDescent="0.25">
      <c r="B515" t="s">
        <v>333</v>
      </c>
      <c r="C515">
        <v>2161362</v>
      </c>
    </row>
    <row r="516" spans="2:6" x14ac:dyDescent="0.25">
      <c r="B516" t="s">
        <v>29</v>
      </c>
      <c r="C516" t="s">
        <v>4</v>
      </c>
      <c r="D516">
        <v>-0.5</v>
      </c>
      <c r="E516">
        <v>0.9</v>
      </c>
      <c r="F516">
        <v>0</v>
      </c>
    </row>
    <row r="517" spans="2:6" x14ac:dyDescent="0.25">
      <c r="B517" t="s">
        <v>29</v>
      </c>
      <c r="C517" t="s">
        <v>4</v>
      </c>
      <c r="D517">
        <v>-0.5</v>
      </c>
      <c r="E517">
        <v>0.9</v>
      </c>
      <c r="F517">
        <v>0</v>
      </c>
    </row>
    <row r="518" spans="2:6" x14ac:dyDescent="0.25">
      <c r="B518" t="s">
        <v>217</v>
      </c>
      <c r="C518" t="s">
        <v>4</v>
      </c>
      <c r="D518">
        <v>-0.5</v>
      </c>
      <c r="E518">
        <v>0.9</v>
      </c>
      <c r="F518">
        <v>0</v>
      </c>
    </row>
    <row r="519" spans="2:6" x14ac:dyDescent="0.25">
      <c r="B519" t="s">
        <v>334</v>
      </c>
      <c r="C519">
        <v>2161407</v>
      </c>
    </row>
    <row r="520" spans="2:6" x14ac:dyDescent="0.25">
      <c r="B520" t="s">
        <v>28</v>
      </c>
      <c r="C520" t="s">
        <v>13</v>
      </c>
      <c r="D520">
        <v>0.8</v>
      </c>
      <c r="E520">
        <v>0.5</v>
      </c>
      <c r="F520">
        <v>0</v>
      </c>
    </row>
    <row r="521" spans="2:6" x14ac:dyDescent="0.25">
      <c r="B521" t="s">
        <v>335</v>
      </c>
      <c r="C521">
        <v>2161517</v>
      </c>
    </row>
    <row r="522" spans="2:6" x14ac:dyDescent="0.25">
      <c r="B522" t="s">
        <v>27</v>
      </c>
      <c r="C522" t="s">
        <v>9</v>
      </c>
      <c r="D522">
        <v>-1</v>
      </c>
      <c r="E522">
        <v>0.1</v>
      </c>
      <c r="F522">
        <v>0</v>
      </c>
    </row>
    <row r="523" spans="2:6" x14ac:dyDescent="0.25">
      <c r="B523">
        <v>39</v>
      </c>
      <c r="C523">
        <v>2161547</v>
      </c>
    </row>
    <row r="524" spans="2:6" x14ac:dyDescent="0.25">
      <c r="B524" t="s">
        <v>217</v>
      </c>
      <c r="C524" t="s">
        <v>4</v>
      </c>
      <c r="D524">
        <v>-0.5</v>
      </c>
      <c r="E524">
        <v>0.9</v>
      </c>
      <c r="F524">
        <v>0</v>
      </c>
    </row>
    <row r="525" spans="2:6" x14ac:dyDescent="0.25">
      <c r="B525" t="s">
        <v>336</v>
      </c>
      <c r="C525">
        <v>2219842</v>
      </c>
    </row>
    <row r="526" spans="2:6" x14ac:dyDescent="0.25">
      <c r="B526" t="s">
        <v>73</v>
      </c>
      <c r="C526" t="s">
        <v>6</v>
      </c>
      <c r="D526">
        <v>-0.2</v>
      </c>
      <c r="E526">
        <v>1</v>
      </c>
      <c r="F526">
        <v>0</v>
      </c>
    </row>
    <row r="527" spans="2:6" x14ac:dyDescent="0.25">
      <c r="B527" t="s">
        <v>337</v>
      </c>
      <c r="C527">
        <v>2355772</v>
      </c>
    </row>
    <row r="528" spans="2:6" x14ac:dyDescent="0.25">
      <c r="B528" t="s">
        <v>36</v>
      </c>
      <c r="C528" t="s">
        <v>338</v>
      </c>
      <c r="D528">
        <v>1</v>
      </c>
      <c r="E528">
        <v>-0.1</v>
      </c>
      <c r="F528">
        <v>0</v>
      </c>
    </row>
    <row r="529" spans="2:6" x14ac:dyDescent="0.25">
      <c r="B529" t="s">
        <v>339</v>
      </c>
      <c r="C529">
        <v>2355776</v>
      </c>
    </row>
    <row r="530" spans="2:6" x14ac:dyDescent="0.25">
      <c r="B530" t="s">
        <v>30</v>
      </c>
      <c r="C530" t="s">
        <v>338</v>
      </c>
      <c r="D530">
        <v>1</v>
      </c>
      <c r="E530">
        <v>-0.1</v>
      </c>
      <c r="F530">
        <v>0</v>
      </c>
    </row>
    <row r="531" spans="2:6" x14ac:dyDescent="0.25">
      <c r="B531" t="s">
        <v>36</v>
      </c>
      <c r="C531" t="s">
        <v>338</v>
      </c>
      <c r="D531">
        <v>1</v>
      </c>
      <c r="E531">
        <v>-0.1</v>
      </c>
      <c r="F531">
        <v>0</v>
      </c>
    </row>
    <row r="532" spans="2:6" x14ac:dyDescent="0.25">
      <c r="B532" t="s">
        <v>27</v>
      </c>
      <c r="C532" t="s">
        <v>338</v>
      </c>
      <c r="D532">
        <v>1</v>
      </c>
      <c r="E532">
        <v>-0.1</v>
      </c>
      <c r="F532">
        <v>0</v>
      </c>
    </row>
    <row r="533" spans="2:6" x14ac:dyDescent="0.25">
      <c r="B533" t="s">
        <v>340</v>
      </c>
      <c r="C533">
        <v>2355779</v>
      </c>
    </row>
    <row r="534" spans="2:6" x14ac:dyDescent="0.25">
      <c r="B534" t="s">
        <v>27</v>
      </c>
      <c r="C534" t="s">
        <v>338</v>
      </c>
      <c r="D534">
        <v>1</v>
      </c>
      <c r="E534">
        <v>-0.1</v>
      </c>
      <c r="F534">
        <v>0</v>
      </c>
    </row>
    <row r="535" spans="2:6" x14ac:dyDescent="0.25">
      <c r="B535" t="s">
        <v>341</v>
      </c>
      <c r="C535">
        <v>2399895</v>
      </c>
    </row>
    <row r="536" spans="2:6" x14ac:dyDescent="0.25">
      <c r="B536" t="s">
        <v>30</v>
      </c>
      <c r="C536" t="s">
        <v>10</v>
      </c>
      <c r="D536">
        <v>-1</v>
      </c>
      <c r="E536">
        <v>0</v>
      </c>
      <c r="F536">
        <v>0</v>
      </c>
    </row>
    <row r="537" spans="2:6" x14ac:dyDescent="0.25">
      <c r="B537" t="s">
        <v>342</v>
      </c>
      <c r="C537">
        <v>2399897</v>
      </c>
    </row>
    <row r="538" spans="2:6" x14ac:dyDescent="0.25">
      <c r="B538" t="s">
        <v>30</v>
      </c>
      <c r="C538" t="s">
        <v>10</v>
      </c>
      <c r="D538">
        <v>-1</v>
      </c>
      <c r="E538">
        <v>0</v>
      </c>
      <c r="F538">
        <v>0</v>
      </c>
    </row>
    <row r="539" spans="2:6" x14ac:dyDescent="0.25">
      <c r="B539" t="s">
        <v>343</v>
      </c>
      <c r="C539">
        <v>2410188</v>
      </c>
    </row>
    <row r="540" spans="2:6" x14ac:dyDescent="0.25">
      <c r="B540" t="s">
        <v>202</v>
      </c>
      <c r="C540" t="s">
        <v>5</v>
      </c>
      <c r="D540">
        <v>0.2</v>
      </c>
      <c r="E540">
        <v>-1</v>
      </c>
      <c r="F540">
        <v>0</v>
      </c>
    </row>
    <row r="541" spans="2:6" x14ac:dyDescent="0.25">
      <c r="B541" t="s">
        <v>199</v>
      </c>
      <c r="C541" t="s">
        <v>5</v>
      </c>
      <c r="D541">
        <v>0.2</v>
      </c>
      <c r="E541">
        <v>-1</v>
      </c>
      <c r="F541">
        <v>0</v>
      </c>
    </row>
    <row r="542" spans="2:6" x14ac:dyDescent="0.25">
      <c r="B542" t="s">
        <v>202</v>
      </c>
      <c r="C542" t="s">
        <v>5</v>
      </c>
      <c r="D542">
        <v>0.2</v>
      </c>
      <c r="E542">
        <v>-1</v>
      </c>
      <c r="F542">
        <v>0</v>
      </c>
    </row>
    <row r="543" spans="2:6" x14ac:dyDescent="0.25">
      <c r="B543" t="s">
        <v>199</v>
      </c>
      <c r="C543" t="s">
        <v>5</v>
      </c>
      <c r="D543">
        <v>0.2</v>
      </c>
      <c r="E543">
        <v>-1</v>
      </c>
      <c r="F543">
        <v>0</v>
      </c>
    </row>
    <row r="544" spans="2:6" x14ac:dyDescent="0.25">
      <c r="B544" t="s">
        <v>200</v>
      </c>
      <c r="C544" t="s">
        <v>5</v>
      </c>
      <c r="D544">
        <v>0.2</v>
      </c>
      <c r="E544">
        <v>-1</v>
      </c>
      <c r="F544">
        <v>0</v>
      </c>
    </row>
    <row r="545" spans="2:6" x14ac:dyDescent="0.25">
      <c r="B545" t="s">
        <v>199</v>
      </c>
      <c r="C545" t="s">
        <v>5</v>
      </c>
      <c r="D545">
        <v>0.2</v>
      </c>
      <c r="E545">
        <v>-1</v>
      </c>
      <c r="F545">
        <v>0</v>
      </c>
    </row>
    <row r="546" spans="2:6" x14ac:dyDescent="0.25">
      <c r="B546" t="s">
        <v>203</v>
      </c>
      <c r="C546" t="s">
        <v>5</v>
      </c>
      <c r="D546">
        <v>0.2</v>
      </c>
      <c r="E546">
        <v>-1</v>
      </c>
      <c r="F546">
        <v>0</v>
      </c>
    </row>
    <row r="547" spans="2:6" x14ac:dyDescent="0.25">
      <c r="B547" t="s">
        <v>202</v>
      </c>
      <c r="C547" t="s">
        <v>5</v>
      </c>
      <c r="D547">
        <v>0.2</v>
      </c>
      <c r="E547">
        <v>-1</v>
      </c>
      <c r="F547">
        <v>0</v>
      </c>
    </row>
    <row r="548" spans="2:6" x14ac:dyDescent="0.25">
      <c r="B548" t="s">
        <v>203</v>
      </c>
      <c r="C548" t="s">
        <v>5</v>
      </c>
      <c r="D548">
        <v>0.2</v>
      </c>
      <c r="E548">
        <v>-1</v>
      </c>
      <c r="F548">
        <v>0</v>
      </c>
    </row>
    <row r="549" spans="2:6" x14ac:dyDescent="0.25">
      <c r="B549" t="s">
        <v>200</v>
      </c>
      <c r="C549" t="s">
        <v>5</v>
      </c>
      <c r="D549">
        <v>0.2</v>
      </c>
      <c r="E549">
        <v>-1</v>
      </c>
      <c r="F549">
        <v>0</v>
      </c>
    </row>
    <row r="550" spans="2:6" x14ac:dyDescent="0.25">
      <c r="B550" t="s">
        <v>202</v>
      </c>
      <c r="C550" t="s">
        <v>5</v>
      </c>
      <c r="D550">
        <v>0.2</v>
      </c>
      <c r="E550">
        <v>-1</v>
      </c>
      <c r="F550">
        <v>0</v>
      </c>
    </row>
    <row r="551" spans="2:6" x14ac:dyDescent="0.25">
      <c r="B551" t="s">
        <v>199</v>
      </c>
      <c r="C551" t="s">
        <v>5</v>
      </c>
      <c r="D551">
        <v>0.2</v>
      </c>
      <c r="E551">
        <v>-1</v>
      </c>
      <c r="F551">
        <v>0</v>
      </c>
    </row>
    <row r="552" spans="2:6" x14ac:dyDescent="0.25">
      <c r="B552" t="s">
        <v>202</v>
      </c>
      <c r="C552" t="s">
        <v>5</v>
      </c>
      <c r="D552">
        <v>0.2</v>
      </c>
      <c r="E552">
        <v>-1</v>
      </c>
      <c r="F552">
        <v>0</v>
      </c>
    </row>
    <row r="553" spans="2:6" x14ac:dyDescent="0.25">
      <c r="B553" t="s">
        <v>199</v>
      </c>
      <c r="C553" t="s">
        <v>5</v>
      </c>
      <c r="D553">
        <v>0.2</v>
      </c>
      <c r="E553">
        <v>-1</v>
      </c>
      <c r="F553">
        <v>0</v>
      </c>
    </row>
    <row r="554" spans="2:6" x14ac:dyDescent="0.25">
      <c r="B554" t="s">
        <v>200</v>
      </c>
      <c r="C554" t="s">
        <v>5</v>
      </c>
      <c r="D554">
        <v>0.2</v>
      </c>
      <c r="E554">
        <v>-1</v>
      </c>
      <c r="F554">
        <v>0</v>
      </c>
    </row>
    <row r="555" spans="2:6" x14ac:dyDescent="0.25">
      <c r="B555" t="s">
        <v>199</v>
      </c>
      <c r="C555" t="s">
        <v>5</v>
      </c>
      <c r="D555">
        <v>0.2</v>
      </c>
      <c r="E555">
        <v>-1</v>
      </c>
      <c r="F555">
        <v>0</v>
      </c>
    </row>
    <row r="556" spans="2:6" x14ac:dyDescent="0.25">
      <c r="B556" t="s">
        <v>203</v>
      </c>
      <c r="C556" t="s">
        <v>5</v>
      </c>
      <c r="D556">
        <v>0.2</v>
      </c>
      <c r="E556">
        <v>-1</v>
      </c>
      <c r="F556">
        <v>0</v>
      </c>
    </row>
    <row r="557" spans="2:6" x14ac:dyDescent="0.25">
      <c r="B557" t="s">
        <v>202</v>
      </c>
      <c r="C557" t="s">
        <v>5</v>
      </c>
      <c r="D557">
        <v>0.2</v>
      </c>
      <c r="E557">
        <v>-1</v>
      </c>
      <c r="F557">
        <v>0</v>
      </c>
    </row>
    <row r="558" spans="2:6" x14ac:dyDescent="0.25">
      <c r="B558" t="s">
        <v>203</v>
      </c>
      <c r="C558" t="s">
        <v>5</v>
      </c>
      <c r="D558">
        <v>0.2</v>
      </c>
      <c r="E558">
        <v>-1</v>
      </c>
      <c r="F558">
        <v>0</v>
      </c>
    </row>
    <row r="559" spans="2:6" x14ac:dyDescent="0.25">
      <c r="B559" t="s">
        <v>200</v>
      </c>
      <c r="C559" t="s">
        <v>5</v>
      </c>
      <c r="D559">
        <v>0.2</v>
      </c>
      <c r="E559">
        <v>-1</v>
      </c>
      <c r="F559">
        <v>0</v>
      </c>
    </row>
    <row r="560" spans="2:6" x14ac:dyDescent="0.25">
      <c r="B560" t="s">
        <v>202</v>
      </c>
      <c r="C560" t="s">
        <v>5</v>
      </c>
      <c r="D560">
        <v>0.2</v>
      </c>
      <c r="E560">
        <v>-1</v>
      </c>
      <c r="F560">
        <v>0</v>
      </c>
    </row>
    <row r="561" spans="2:6" x14ac:dyDescent="0.25">
      <c r="B561" t="s">
        <v>344</v>
      </c>
      <c r="C561">
        <v>2410191</v>
      </c>
    </row>
    <row r="562" spans="2:6" x14ac:dyDescent="0.25">
      <c r="B562" t="s">
        <v>199</v>
      </c>
      <c r="C562" t="s">
        <v>5</v>
      </c>
      <c r="D562">
        <v>0.2</v>
      </c>
      <c r="E562">
        <v>-1</v>
      </c>
      <c r="F562">
        <v>0</v>
      </c>
    </row>
    <row r="563" spans="2:6" x14ac:dyDescent="0.25">
      <c r="B563" t="s">
        <v>202</v>
      </c>
      <c r="C563" t="s">
        <v>5</v>
      </c>
      <c r="D563">
        <v>0.2</v>
      </c>
      <c r="E563">
        <v>-1</v>
      </c>
      <c r="F563">
        <v>0</v>
      </c>
    </row>
    <row r="564" spans="2:6" x14ac:dyDescent="0.25">
      <c r="B564" t="s">
        <v>199</v>
      </c>
      <c r="C564" t="s">
        <v>5</v>
      </c>
      <c r="D564">
        <v>0.2</v>
      </c>
      <c r="E564">
        <v>-1</v>
      </c>
      <c r="F564">
        <v>0</v>
      </c>
    </row>
    <row r="565" spans="2:6" x14ac:dyDescent="0.25">
      <c r="B565" t="s">
        <v>200</v>
      </c>
      <c r="C565" t="s">
        <v>5</v>
      </c>
      <c r="D565">
        <v>0.2</v>
      </c>
      <c r="E565">
        <v>-1</v>
      </c>
      <c r="F565">
        <v>0</v>
      </c>
    </row>
    <row r="566" spans="2:6" x14ac:dyDescent="0.25">
      <c r="B566" t="s">
        <v>199</v>
      </c>
      <c r="C566" t="s">
        <v>5</v>
      </c>
      <c r="D566">
        <v>0.2</v>
      </c>
      <c r="E566">
        <v>-1</v>
      </c>
      <c r="F566">
        <v>0</v>
      </c>
    </row>
    <row r="567" spans="2:6" x14ac:dyDescent="0.25">
      <c r="B567" t="s">
        <v>203</v>
      </c>
      <c r="C567" t="s">
        <v>5</v>
      </c>
      <c r="D567">
        <v>0.2</v>
      </c>
      <c r="E567">
        <v>-1</v>
      </c>
      <c r="F567">
        <v>0</v>
      </c>
    </row>
    <row r="568" spans="2:6" x14ac:dyDescent="0.25">
      <c r="B568" t="s">
        <v>202</v>
      </c>
      <c r="C568" t="s">
        <v>5</v>
      </c>
      <c r="D568">
        <v>0.2</v>
      </c>
      <c r="E568">
        <v>-1</v>
      </c>
      <c r="F568">
        <v>0</v>
      </c>
    </row>
    <row r="569" spans="2:6" x14ac:dyDescent="0.25">
      <c r="B569" t="s">
        <v>203</v>
      </c>
      <c r="C569" t="s">
        <v>5</v>
      </c>
      <c r="D569">
        <v>0.2</v>
      </c>
      <c r="E569">
        <v>-1</v>
      </c>
      <c r="F569">
        <v>0</v>
      </c>
    </row>
    <row r="570" spans="2:6" x14ac:dyDescent="0.25">
      <c r="B570" t="s">
        <v>200</v>
      </c>
      <c r="C570" t="s">
        <v>5</v>
      </c>
      <c r="D570">
        <v>0.2</v>
      </c>
      <c r="E570">
        <v>-1</v>
      </c>
      <c r="F570">
        <v>0</v>
      </c>
    </row>
    <row r="571" spans="2:6" x14ac:dyDescent="0.25">
      <c r="B571" t="s">
        <v>202</v>
      </c>
      <c r="C571" t="s">
        <v>5</v>
      </c>
      <c r="D571">
        <v>0.2</v>
      </c>
      <c r="E571">
        <v>-1</v>
      </c>
      <c r="F571">
        <v>0</v>
      </c>
    </row>
    <row r="572" spans="2:6" x14ac:dyDescent="0.25">
      <c r="B572" t="s">
        <v>345</v>
      </c>
      <c r="C572">
        <v>2410193</v>
      </c>
    </row>
    <row r="573" spans="2:6" x14ac:dyDescent="0.25">
      <c r="B573" t="s">
        <v>200</v>
      </c>
      <c r="C573" t="s">
        <v>5</v>
      </c>
      <c r="D573">
        <v>0.2</v>
      </c>
      <c r="E573">
        <v>-1</v>
      </c>
      <c r="F573">
        <v>0</v>
      </c>
    </row>
    <row r="574" spans="2:6" x14ac:dyDescent="0.25">
      <c r="B574" t="s">
        <v>199</v>
      </c>
      <c r="C574" t="s">
        <v>5</v>
      </c>
      <c r="D574">
        <v>0.2</v>
      </c>
      <c r="E574">
        <v>-1</v>
      </c>
      <c r="F574">
        <v>0</v>
      </c>
    </row>
    <row r="575" spans="2:6" x14ac:dyDescent="0.25">
      <c r="B575" t="s">
        <v>203</v>
      </c>
      <c r="C575" t="s">
        <v>5</v>
      </c>
      <c r="D575">
        <v>0.2</v>
      </c>
      <c r="E575">
        <v>-1</v>
      </c>
      <c r="F575">
        <v>0</v>
      </c>
    </row>
    <row r="576" spans="2:6" x14ac:dyDescent="0.25">
      <c r="B576" t="s">
        <v>202</v>
      </c>
      <c r="C576" t="s">
        <v>5</v>
      </c>
      <c r="D576">
        <v>0.2</v>
      </c>
      <c r="E576">
        <v>-1</v>
      </c>
      <c r="F576">
        <v>0</v>
      </c>
    </row>
    <row r="577" spans="2:6" x14ac:dyDescent="0.25">
      <c r="B577" t="s">
        <v>203</v>
      </c>
      <c r="C577" t="s">
        <v>5</v>
      </c>
      <c r="D577">
        <v>0.2</v>
      </c>
      <c r="E577">
        <v>-1</v>
      </c>
      <c r="F577">
        <v>0</v>
      </c>
    </row>
    <row r="578" spans="2:6" x14ac:dyDescent="0.25">
      <c r="B578" t="s">
        <v>200</v>
      </c>
      <c r="C578" t="s">
        <v>5</v>
      </c>
      <c r="D578">
        <v>0.2</v>
      </c>
      <c r="E578">
        <v>-1</v>
      </c>
      <c r="F578">
        <v>0</v>
      </c>
    </row>
    <row r="579" spans="2:6" x14ac:dyDescent="0.25">
      <c r="B579" t="s">
        <v>202</v>
      </c>
      <c r="C579" t="s">
        <v>5</v>
      </c>
      <c r="D579">
        <v>0.2</v>
      </c>
      <c r="E579">
        <v>-1</v>
      </c>
      <c r="F579">
        <v>0</v>
      </c>
    </row>
    <row r="580" spans="2:6" x14ac:dyDescent="0.25">
      <c r="B580" t="s">
        <v>199</v>
      </c>
      <c r="C580" t="s">
        <v>5</v>
      </c>
      <c r="D580">
        <v>0.2</v>
      </c>
      <c r="E580">
        <v>-1</v>
      </c>
      <c r="F580">
        <v>0</v>
      </c>
    </row>
    <row r="581" spans="2:6" x14ac:dyDescent="0.25">
      <c r="B581" t="s">
        <v>346</v>
      </c>
      <c r="C581">
        <v>2410195</v>
      </c>
    </row>
    <row r="582" spans="2:6" x14ac:dyDescent="0.25">
      <c r="B582" t="s">
        <v>202</v>
      </c>
      <c r="C582" t="s">
        <v>347</v>
      </c>
      <c r="D582">
        <v>0.3</v>
      </c>
      <c r="E582">
        <v>-0.9</v>
      </c>
      <c r="F582">
        <v>0</v>
      </c>
    </row>
    <row r="583" spans="2:6" x14ac:dyDescent="0.25">
      <c r="B583" t="s">
        <v>199</v>
      </c>
      <c r="C583" t="s">
        <v>348</v>
      </c>
      <c r="D583">
        <v>0.3</v>
      </c>
      <c r="E583">
        <v>-1</v>
      </c>
      <c r="F583">
        <v>0</v>
      </c>
    </row>
    <row r="584" spans="2:6" x14ac:dyDescent="0.25">
      <c r="B584" t="s">
        <v>349</v>
      </c>
      <c r="C584" t="s">
        <v>350</v>
      </c>
      <c r="D584">
        <v>0.3</v>
      </c>
      <c r="E584">
        <v>-1</v>
      </c>
      <c r="F584">
        <v>0</v>
      </c>
    </row>
    <row r="585" spans="2:6" x14ac:dyDescent="0.25">
      <c r="B585" t="s">
        <v>203</v>
      </c>
      <c r="C585" t="s">
        <v>5</v>
      </c>
      <c r="D585">
        <v>0.2</v>
      </c>
      <c r="E585">
        <v>-1</v>
      </c>
      <c r="F585">
        <v>0</v>
      </c>
    </row>
    <row r="586" spans="2:6" x14ac:dyDescent="0.25">
      <c r="B586" t="s">
        <v>202</v>
      </c>
      <c r="C586" t="s">
        <v>5</v>
      </c>
      <c r="D586">
        <v>0.2</v>
      </c>
      <c r="E586">
        <v>-1</v>
      </c>
      <c r="F586">
        <v>0</v>
      </c>
    </row>
    <row r="587" spans="2:6" x14ac:dyDescent="0.25">
      <c r="B587" t="s">
        <v>203</v>
      </c>
      <c r="C587" t="s">
        <v>5</v>
      </c>
      <c r="D587">
        <v>0.2</v>
      </c>
      <c r="E587">
        <v>-1</v>
      </c>
      <c r="F587">
        <v>0</v>
      </c>
    </row>
    <row r="588" spans="2:6" x14ac:dyDescent="0.25">
      <c r="B588" t="s">
        <v>200</v>
      </c>
      <c r="C588" t="s">
        <v>5</v>
      </c>
      <c r="D588">
        <v>0.2</v>
      </c>
      <c r="E588">
        <v>-1</v>
      </c>
      <c r="F588">
        <v>0</v>
      </c>
    </row>
    <row r="589" spans="2:6" x14ac:dyDescent="0.25">
      <c r="B589" t="s">
        <v>202</v>
      </c>
      <c r="C589" t="s">
        <v>5</v>
      </c>
      <c r="D589">
        <v>0.2</v>
      </c>
      <c r="E589">
        <v>-1</v>
      </c>
      <c r="F589">
        <v>0</v>
      </c>
    </row>
    <row r="590" spans="2:6" x14ac:dyDescent="0.25">
      <c r="B590" t="s">
        <v>199</v>
      </c>
      <c r="C590" t="s">
        <v>5</v>
      </c>
      <c r="D590">
        <v>0.2</v>
      </c>
      <c r="E590">
        <v>-1</v>
      </c>
      <c r="F590">
        <v>0</v>
      </c>
    </row>
    <row r="591" spans="2:6" x14ac:dyDescent="0.25">
      <c r="B591" t="s">
        <v>202</v>
      </c>
      <c r="C591" t="s">
        <v>5</v>
      </c>
      <c r="D591">
        <v>0.2</v>
      </c>
      <c r="E591">
        <v>-1</v>
      </c>
      <c r="F591">
        <v>0</v>
      </c>
    </row>
    <row r="592" spans="2:6" x14ac:dyDescent="0.25">
      <c r="B592" t="s">
        <v>199</v>
      </c>
      <c r="C592" t="s">
        <v>5</v>
      </c>
      <c r="D592">
        <v>0.2</v>
      </c>
      <c r="E592">
        <v>-1</v>
      </c>
      <c r="F592">
        <v>0</v>
      </c>
    </row>
    <row r="593" spans="2:6" x14ac:dyDescent="0.25">
      <c r="B593" t="s">
        <v>200</v>
      </c>
      <c r="C593" t="s">
        <v>5</v>
      </c>
      <c r="D593">
        <v>0.2</v>
      </c>
      <c r="E593">
        <v>-1</v>
      </c>
      <c r="F593">
        <v>0</v>
      </c>
    </row>
    <row r="594" spans="2:6" x14ac:dyDescent="0.25">
      <c r="B594" t="s">
        <v>351</v>
      </c>
      <c r="C594">
        <v>2410201</v>
      </c>
    </row>
    <row r="595" spans="2:6" x14ac:dyDescent="0.25">
      <c r="B595" t="s">
        <v>29</v>
      </c>
      <c r="C595" t="s">
        <v>1</v>
      </c>
      <c r="D595">
        <v>-1</v>
      </c>
      <c r="E595">
        <v>-0.2</v>
      </c>
      <c r="F595">
        <v>0</v>
      </c>
    </row>
    <row r="596" spans="2:6" x14ac:dyDescent="0.25">
      <c r="B596" t="s">
        <v>217</v>
      </c>
      <c r="C596" t="s">
        <v>1</v>
      </c>
      <c r="D596">
        <v>-1</v>
      </c>
      <c r="E596">
        <v>-0.2</v>
      </c>
      <c r="F596">
        <v>0</v>
      </c>
    </row>
    <row r="597" spans="2:6" x14ac:dyDescent="0.25">
      <c r="B597" t="s">
        <v>38</v>
      </c>
      <c r="C597" t="s">
        <v>1</v>
      </c>
      <c r="D597">
        <v>-1</v>
      </c>
      <c r="E597">
        <v>-0.2</v>
      </c>
      <c r="F597">
        <v>0</v>
      </c>
    </row>
    <row r="598" spans="2:6" x14ac:dyDescent="0.25">
      <c r="B598" t="s">
        <v>203</v>
      </c>
      <c r="C598" t="s">
        <v>3</v>
      </c>
      <c r="D598">
        <v>0.5</v>
      </c>
      <c r="E598">
        <v>-0.9</v>
      </c>
      <c r="F598">
        <v>0</v>
      </c>
    </row>
    <row r="599" spans="2:6" x14ac:dyDescent="0.25">
      <c r="B599" t="s">
        <v>202</v>
      </c>
      <c r="C599" t="s">
        <v>3</v>
      </c>
      <c r="D599">
        <v>0.5</v>
      </c>
      <c r="E599">
        <v>-0.9</v>
      </c>
      <c r="F599">
        <v>0</v>
      </c>
    </row>
    <row r="600" spans="2:6" x14ac:dyDescent="0.25">
      <c r="B600" t="s">
        <v>352</v>
      </c>
      <c r="C600">
        <v>2410203</v>
      </c>
    </row>
    <row r="601" spans="2:6" x14ac:dyDescent="0.25">
      <c r="B601" t="s">
        <v>202</v>
      </c>
      <c r="C601" t="s">
        <v>212</v>
      </c>
      <c r="D601">
        <v>-0.5</v>
      </c>
      <c r="E601">
        <v>0.9</v>
      </c>
      <c r="F601">
        <v>0</v>
      </c>
    </row>
    <row r="602" spans="2:6" x14ac:dyDescent="0.25">
      <c r="B602" t="s">
        <v>200</v>
      </c>
      <c r="C602" t="s">
        <v>212</v>
      </c>
      <c r="D602">
        <v>-0.5</v>
      </c>
      <c r="E602">
        <v>0.9</v>
      </c>
      <c r="F602">
        <v>0</v>
      </c>
    </row>
    <row r="603" spans="2:6" x14ac:dyDescent="0.25">
      <c r="B603" t="s">
        <v>199</v>
      </c>
      <c r="C603" t="s">
        <v>117</v>
      </c>
      <c r="D603">
        <v>0.5</v>
      </c>
      <c r="E603">
        <v>-0.9</v>
      </c>
      <c r="F603">
        <v>0</v>
      </c>
    </row>
    <row r="604" spans="2:6" x14ac:dyDescent="0.25">
      <c r="B604" t="s">
        <v>202</v>
      </c>
      <c r="C604" t="s">
        <v>212</v>
      </c>
      <c r="D604">
        <v>-0.5</v>
      </c>
      <c r="E604">
        <v>0.9</v>
      </c>
      <c r="F604">
        <v>0</v>
      </c>
    </row>
    <row r="605" spans="2:6" x14ac:dyDescent="0.25">
      <c r="B605" t="s">
        <v>353</v>
      </c>
      <c r="C605">
        <v>2410205</v>
      </c>
    </row>
    <row r="606" spans="2:6" x14ac:dyDescent="0.25">
      <c r="B606" t="s">
        <v>217</v>
      </c>
      <c r="C606" t="s">
        <v>1</v>
      </c>
      <c r="D606">
        <v>-1</v>
      </c>
      <c r="E606">
        <v>-0.2</v>
      </c>
      <c r="F606">
        <v>0</v>
      </c>
    </row>
    <row r="607" spans="2:6" x14ac:dyDescent="0.25">
      <c r="B607" t="s">
        <v>217</v>
      </c>
      <c r="C607" t="s">
        <v>1</v>
      </c>
      <c r="D607">
        <v>-1</v>
      </c>
      <c r="E607">
        <v>-0.2</v>
      </c>
      <c r="F607">
        <v>0</v>
      </c>
    </row>
    <row r="608" spans="2:6" x14ac:dyDescent="0.25">
      <c r="B608" t="s">
        <v>217</v>
      </c>
      <c r="C608" t="s">
        <v>1</v>
      </c>
      <c r="D608">
        <v>-1</v>
      </c>
      <c r="E608">
        <v>-0.2</v>
      </c>
      <c r="F608">
        <v>0</v>
      </c>
    </row>
    <row r="609" spans="2:6" x14ac:dyDescent="0.25">
      <c r="B609" t="s">
        <v>27</v>
      </c>
      <c r="C609" t="s">
        <v>1</v>
      </c>
      <c r="D609">
        <v>-1</v>
      </c>
      <c r="E609">
        <v>-0.2</v>
      </c>
      <c r="F609">
        <v>0</v>
      </c>
    </row>
    <row r="610" spans="2:6" x14ac:dyDescent="0.25">
      <c r="B610" t="s">
        <v>29</v>
      </c>
      <c r="C610" t="s">
        <v>1</v>
      </c>
      <c r="D610">
        <v>-1</v>
      </c>
      <c r="E610">
        <v>-0.2</v>
      </c>
      <c r="F610">
        <v>0</v>
      </c>
    </row>
    <row r="611" spans="2:6" x14ac:dyDescent="0.25">
      <c r="B611" t="s">
        <v>217</v>
      </c>
      <c r="C611" t="s">
        <v>1</v>
      </c>
      <c r="D611">
        <v>-1</v>
      </c>
      <c r="E611">
        <v>-0.2</v>
      </c>
      <c r="F611">
        <v>0</v>
      </c>
    </row>
    <row r="612" spans="2:6" x14ac:dyDescent="0.25">
      <c r="B612" t="s">
        <v>38</v>
      </c>
      <c r="C612" t="s">
        <v>1</v>
      </c>
      <c r="D612">
        <v>-1</v>
      </c>
      <c r="E612">
        <v>-0.2</v>
      </c>
      <c r="F612">
        <v>0</v>
      </c>
    </row>
    <row r="613" spans="2:6" x14ac:dyDescent="0.25">
      <c r="B613" t="s">
        <v>217</v>
      </c>
      <c r="C613" t="s">
        <v>1</v>
      </c>
      <c r="D613">
        <v>-1</v>
      </c>
      <c r="E613">
        <v>-0.2</v>
      </c>
      <c r="F613">
        <v>0</v>
      </c>
    </row>
    <row r="614" spans="2:6" x14ac:dyDescent="0.25">
      <c r="B614" t="s">
        <v>38</v>
      </c>
      <c r="C614" t="s">
        <v>1</v>
      </c>
      <c r="D614">
        <v>-1</v>
      </c>
      <c r="E614">
        <v>-0.2</v>
      </c>
      <c r="F614">
        <v>0</v>
      </c>
    </row>
    <row r="615" spans="2:6" x14ac:dyDescent="0.25">
      <c r="B615" t="s">
        <v>27</v>
      </c>
      <c r="C615" t="s">
        <v>1</v>
      </c>
      <c r="D615">
        <v>-1</v>
      </c>
      <c r="E615">
        <v>-0.2</v>
      </c>
      <c r="F615">
        <v>0</v>
      </c>
    </row>
    <row r="616" spans="2:6" x14ac:dyDescent="0.25">
      <c r="B616" t="s">
        <v>217</v>
      </c>
      <c r="C616" t="s">
        <v>1</v>
      </c>
      <c r="D616">
        <v>-1</v>
      </c>
      <c r="E616">
        <v>-0.2</v>
      </c>
      <c r="F616">
        <v>0</v>
      </c>
    </row>
    <row r="617" spans="2:6" x14ac:dyDescent="0.25">
      <c r="B617" t="s">
        <v>27</v>
      </c>
      <c r="C617" t="s">
        <v>1</v>
      </c>
      <c r="D617">
        <v>-1</v>
      </c>
      <c r="E617">
        <v>-0.2</v>
      </c>
      <c r="F617">
        <v>0</v>
      </c>
    </row>
    <row r="618" spans="2:6" x14ac:dyDescent="0.25">
      <c r="B618" t="s">
        <v>217</v>
      </c>
      <c r="C618" t="s">
        <v>1</v>
      </c>
      <c r="D618">
        <v>-1</v>
      </c>
      <c r="E618">
        <v>-0.2</v>
      </c>
      <c r="F618">
        <v>0</v>
      </c>
    </row>
    <row r="619" spans="2:6" x14ac:dyDescent="0.25">
      <c r="B619" t="s">
        <v>217</v>
      </c>
      <c r="C619" t="s">
        <v>1</v>
      </c>
      <c r="D619">
        <v>-1</v>
      </c>
      <c r="E619">
        <v>-0.2</v>
      </c>
      <c r="F619">
        <v>0</v>
      </c>
    </row>
    <row r="620" spans="2:6" x14ac:dyDescent="0.25">
      <c r="B620" t="s">
        <v>217</v>
      </c>
      <c r="C620" t="s">
        <v>1</v>
      </c>
      <c r="D620">
        <v>-1</v>
      </c>
      <c r="E620">
        <v>-0.2</v>
      </c>
      <c r="F620">
        <v>0</v>
      </c>
    </row>
    <row r="621" spans="2:6" x14ac:dyDescent="0.25">
      <c r="B621" t="s">
        <v>217</v>
      </c>
      <c r="C621" t="s">
        <v>1</v>
      </c>
      <c r="D621">
        <v>-1</v>
      </c>
      <c r="E621">
        <v>-0.2</v>
      </c>
      <c r="F621">
        <v>0</v>
      </c>
    </row>
    <row r="622" spans="2:6" x14ac:dyDescent="0.25">
      <c r="B622" t="s">
        <v>29</v>
      </c>
      <c r="C622" t="s">
        <v>1</v>
      </c>
      <c r="D622">
        <v>-1</v>
      </c>
      <c r="E622">
        <v>-0.2</v>
      </c>
      <c r="F622">
        <v>0</v>
      </c>
    </row>
    <row r="623" spans="2:6" x14ac:dyDescent="0.25">
      <c r="B623" t="s">
        <v>217</v>
      </c>
      <c r="C623" t="s">
        <v>1</v>
      </c>
      <c r="D623">
        <v>-1</v>
      </c>
      <c r="E623">
        <v>-0.2</v>
      </c>
      <c r="F623">
        <v>0</v>
      </c>
    </row>
    <row r="624" spans="2:6" x14ac:dyDescent="0.25">
      <c r="B624" t="s">
        <v>354</v>
      </c>
      <c r="C624">
        <v>2417607</v>
      </c>
    </row>
    <row r="625" spans="2:6" x14ac:dyDescent="0.25">
      <c r="B625" t="s">
        <v>28</v>
      </c>
      <c r="C625" t="s">
        <v>1</v>
      </c>
      <c r="D625">
        <v>-1</v>
      </c>
      <c r="E625">
        <v>-0.2</v>
      </c>
      <c r="F625">
        <v>0</v>
      </c>
    </row>
    <row r="626" spans="2:6" x14ac:dyDescent="0.25">
      <c r="B626" t="s">
        <v>355</v>
      </c>
      <c r="C626">
        <v>2418172</v>
      </c>
    </row>
    <row r="627" spans="2:6" x14ac:dyDescent="0.25">
      <c r="B627" t="s">
        <v>31</v>
      </c>
      <c r="C627" t="s">
        <v>13</v>
      </c>
      <c r="D627">
        <v>0.8</v>
      </c>
      <c r="E627">
        <v>0.5</v>
      </c>
      <c r="F627">
        <v>0</v>
      </c>
    </row>
    <row r="628" spans="2:6" x14ac:dyDescent="0.25">
      <c r="B628" t="s">
        <v>356</v>
      </c>
      <c r="C628">
        <v>2418479</v>
      </c>
    </row>
    <row r="629" spans="2:6" x14ac:dyDescent="0.25">
      <c r="B629" t="s">
        <v>28</v>
      </c>
      <c r="C629" t="s">
        <v>9</v>
      </c>
      <c r="D629">
        <v>-1</v>
      </c>
      <c r="E629">
        <v>0.1</v>
      </c>
      <c r="F629">
        <v>0</v>
      </c>
    </row>
    <row r="630" spans="2:6" x14ac:dyDescent="0.25">
      <c r="B630" t="s">
        <v>357</v>
      </c>
      <c r="C630">
        <v>2418951</v>
      </c>
    </row>
    <row r="631" spans="2:6" x14ac:dyDescent="0.25">
      <c r="B631" t="s">
        <v>33</v>
      </c>
      <c r="C631" t="s">
        <v>2</v>
      </c>
      <c r="D631">
        <v>1</v>
      </c>
      <c r="E631">
        <v>0.2</v>
      </c>
      <c r="F631">
        <v>0</v>
      </c>
    </row>
    <row r="632" spans="2:6" x14ac:dyDescent="0.25">
      <c r="B632" t="s">
        <v>358</v>
      </c>
      <c r="C632">
        <v>2426594</v>
      </c>
    </row>
    <row r="633" spans="2:6" x14ac:dyDescent="0.25">
      <c r="B633" t="s">
        <v>36</v>
      </c>
      <c r="C633" t="s">
        <v>22</v>
      </c>
      <c r="D633">
        <v>0.9</v>
      </c>
      <c r="E633">
        <v>0.3</v>
      </c>
      <c r="F633">
        <v>0</v>
      </c>
    </row>
    <row r="634" spans="2:6" x14ac:dyDescent="0.25">
      <c r="B634" t="s">
        <v>359</v>
      </c>
      <c r="C634">
        <v>2426595</v>
      </c>
    </row>
    <row r="635" spans="2:6" x14ac:dyDescent="0.25">
      <c r="B635" t="s">
        <v>36</v>
      </c>
      <c r="C635" t="s">
        <v>17</v>
      </c>
      <c r="D635">
        <v>-0.9</v>
      </c>
      <c r="E635">
        <v>-0.4</v>
      </c>
      <c r="F635">
        <v>0</v>
      </c>
    </row>
    <row r="636" spans="2:6" x14ac:dyDescent="0.25">
      <c r="B636" t="s">
        <v>360</v>
      </c>
      <c r="C636">
        <v>2448874</v>
      </c>
    </row>
    <row r="637" spans="2:6" x14ac:dyDescent="0.25">
      <c r="B637" t="s">
        <v>36</v>
      </c>
      <c r="C637" t="s">
        <v>2</v>
      </c>
      <c r="D637">
        <v>1</v>
      </c>
      <c r="E637">
        <v>0.2</v>
      </c>
      <c r="F637">
        <v>0</v>
      </c>
    </row>
    <row r="638" spans="2:6" x14ac:dyDescent="0.25">
      <c r="B638" t="s">
        <v>361</v>
      </c>
      <c r="C638">
        <v>2632790</v>
      </c>
    </row>
    <row r="639" spans="2:6" x14ac:dyDescent="0.25">
      <c r="B639" t="s">
        <v>217</v>
      </c>
      <c r="C639" t="s">
        <v>1</v>
      </c>
      <c r="D639">
        <v>-1</v>
      </c>
      <c r="E639">
        <v>-0.2</v>
      </c>
      <c r="F639">
        <v>0</v>
      </c>
    </row>
    <row r="640" spans="2:6" x14ac:dyDescent="0.25">
      <c r="B640" t="s">
        <v>29</v>
      </c>
      <c r="C640" t="s">
        <v>1</v>
      </c>
      <c r="D640">
        <v>-1</v>
      </c>
      <c r="E640">
        <v>-0.2</v>
      </c>
      <c r="F640">
        <v>0</v>
      </c>
    </row>
    <row r="641" spans="2:6" x14ac:dyDescent="0.25">
      <c r="B641" t="s">
        <v>217</v>
      </c>
      <c r="C641" t="s">
        <v>1</v>
      </c>
      <c r="D641">
        <v>-1</v>
      </c>
      <c r="E641">
        <v>-0.2</v>
      </c>
      <c r="F641">
        <v>0</v>
      </c>
    </row>
    <row r="642" spans="2:6" x14ac:dyDescent="0.25">
      <c r="B642" t="s">
        <v>362</v>
      </c>
      <c r="C642">
        <v>2632792</v>
      </c>
    </row>
    <row r="643" spans="2:6" x14ac:dyDescent="0.25">
      <c r="B643" t="s">
        <v>217</v>
      </c>
      <c r="C643" t="s">
        <v>1</v>
      </c>
      <c r="D643">
        <v>-1</v>
      </c>
      <c r="E643">
        <v>-0.2</v>
      </c>
      <c r="F643">
        <v>0</v>
      </c>
    </row>
    <row r="644" spans="2:6" x14ac:dyDescent="0.25">
      <c r="B644" t="s">
        <v>217</v>
      </c>
      <c r="C644" t="s">
        <v>1</v>
      </c>
      <c r="D644">
        <v>-1</v>
      </c>
      <c r="E644">
        <v>-0.2</v>
      </c>
      <c r="F644">
        <v>0</v>
      </c>
    </row>
    <row r="645" spans="2:6" x14ac:dyDescent="0.25">
      <c r="B645" t="s">
        <v>217</v>
      </c>
      <c r="C645" t="s">
        <v>1</v>
      </c>
      <c r="D645">
        <v>-1</v>
      </c>
      <c r="E645">
        <v>-0.2</v>
      </c>
      <c r="F645">
        <v>0</v>
      </c>
    </row>
    <row r="646" spans="2:6" x14ac:dyDescent="0.25">
      <c r="B646" t="s">
        <v>217</v>
      </c>
      <c r="C646" t="s">
        <v>1</v>
      </c>
      <c r="D646">
        <v>-1</v>
      </c>
      <c r="E646">
        <v>-0.2</v>
      </c>
      <c r="F646">
        <v>0</v>
      </c>
    </row>
    <row r="647" spans="2:6" x14ac:dyDescent="0.25">
      <c r="B647" t="s">
        <v>363</v>
      </c>
      <c r="C647">
        <v>2641896</v>
      </c>
    </row>
    <row r="648" spans="2:6" x14ac:dyDescent="0.25">
      <c r="B648" t="s">
        <v>27</v>
      </c>
      <c r="C648" t="s">
        <v>2</v>
      </c>
      <c r="D648">
        <v>1</v>
      </c>
      <c r="E648">
        <v>0.2</v>
      </c>
      <c r="F648">
        <v>0</v>
      </c>
    </row>
    <row r="649" spans="2:6" x14ac:dyDescent="0.25">
      <c r="B649" t="s">
        <v>30</v>
      </c>
      <c r="C649" t="s">
        <v>2</v>
      </c>
      <c r="D649">
        <v>1</v>
      </c>
      <c r="E649">
        <v>0.2</v>
      </c>
      <c r="F649">
        <v>0</v>
      </c>
    </row>
    <row r="650" spans="2:6" x14ac:dyDescent="0.25">
      <c r="B650" t="s">
        <v>36</v>
      </c>
      <c r="C650" t="s">
        <v>2</v>
      </c>
      <c r="D650">
        <v>1</v>
      </c>
      <c r="E650">
        <v>0.2</v>
      </c>
      <c r="F650">
        <v>0</v>
      </c>
    </row>
    <row r="651" spans="2:6" x14ac:dyDescent="0.25">
      <c r="B651" t="s">
        <v>30</v>
      </c>
      <c r="C651" t="s">
        <v>2</v>
      </c>
      <c r="D651">
        <v>1</v>
      </c>
      <c r="E651">
        <v>0.2</v>
      </c>
      <c r="F651">
        <v>0</v>
      </c>
    </row>
    <row r="652" spans="2:6" x14ac:dyDescent="0.25">
      <c r="B652" t="s">
        <v>27</v>
      </c>
      <c r="C652" t="s">
        <v>2</v>
      </c>
      <c r="D652">
        <v>1</v>
      </c>
      <c r="E652">
        <v>0.2</v>
      </c>
      <c r="F652">
        <v>0</v>
      </c>
    </row>
  </sheetData>
  <customSheetViews>
    <customSheetView guid="{561E68F6-21E3-461A-ACB1-9392AEDA3331}" topLeftCell="A620">
      <selection activeCell="B23" sqref="B23"/>
      <pageMargins left="0.7" right="0.7" top="0.75" bottom="0.75" header="0.3" footer="0.3"/>
    </customSheetView>
    <customSheetView guid="{2A8AA8A9-D849-43BE-B128-2DCE8081808F}" topLeftCell="A485">
      <selection activeCell="B475" sqref="B475"/>
      <pageMargins left="0.7" right="0.7" top="0.75" bottom="0.75" header="0.3" footer="0.3"/>
    </customSheetView>
    <customSheetView guid="{E07775A8-4E8E-4F0F-ABD4-8C1611285DFF}" topLeftCell="A620">
      <selection activeCell="B23" sqref="B2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291"/>
  <sheetViews>
    <sheetView topLeftCell="A158" workbookViewId="0">
      <selection activeCell="B158" sqref="B158"/>
    </sheetView>
  </sheetViews>
  <sheetFormatPr defaultRowHeight="15" x14ac:dyDescent="0.25"/>
  <sheetData>
    <row r="2" spans="2:6" x14ac:dyDescent="0.25">
      <c r="B2" t="s">
        <v>364</v>
      </c>
      <c r="C2">
        <v>1420927</v>
      </c>
    </row>
    <row r="3" spans="2:6" x14ac:dyDescent="0.25">
      <c r="B3" t="s">
        <v>35</v>
      </c>
      <c r="C3" t="s">
        <v>338</v>
      </c>
      <c r="D3">
        <v>1</v>
      </c>
      <c r="E3">
        <v>-0.1</v>
      </c>
      <c r="F3">
        <v>0</v>
      </c>
    </row>
    <row r="4" spans="2:6" x14ac:dyDescent="0.25">
      <c r="B4" t="s">
        <v>27</v>
      </c>
      <c r="C4" t="s">
        <v>338</v>
      </c>
      <c r="D4">
        <v>1</v>
      </c>
      <c r="E4">
        <v>-0.1</v>
      </c>
      <c r="F4">
        <v>0</v>
      </c>
    </row>
    <row r="5" spans="2:6" x14ac:dyDescent="0.25">
      <c r="B5" t="s">
        <v>365</v>
      </c>
      <c r="C5">
        <v>1420937</v>
      </c>
    </row>
    <row r="6" spans="2:6" x14ac:dyDescent="0.25">
      <c r="B6" t="s">
        <v>35</v>
      </c>
      <c r="C6" t="s">
        <v>338</v>
      </c>
      <c r="D6">
        <v>1</v>
      </c>
      <c r="E6">
        <v>-0.1</v>
      </c>
      <c r="F6">
        <v>0</v>
      </c>
    </row>
    <row r="7" spans="2:6" x14ac:dyDescent="0.25">
      <c r="B7" t="s">
        <v>366</v>
      </c>
      <c r="C7">
        <v>1420983</v>
      </c>
    </row>
    <row r="8" spans="2:6" x14ac:dyDescent="0.25">
      <c r="B8" t="s">
        <v>35</v>
      </c>
      <c r="C8" t="s">
        <v>11</v>
      </c>
      <c r="D8">
        <v>1</v>
      </c>
      <c r="E8">
        <v>0</v>
      </c>
      <c r="F8">
        <v>0</v>
      </c>
    </row>
    <row r="9" spans="2:6" x14ac:dyDescent="0.25">
      <c r="B9" t="s">
        <v>27</v>
      </c>
      <c r="C9" t="s">
        <v>11</v>
      </c>
      <c r="D9">
        <v>1</v>
      </c>
      <c r="E9">
        <v>0</v>
      </c>
      <c r="F9">
        <v>0</v>
      </c>
    </row>
    <row r="10" spans="2:6" x14ac:dyDescent="0.25">
      <c r="B10" t="s">
        <v>367</v>
      </c>
      <c r="C10">
        <v>1421027</v>
      </c>
    </row>
    <row r="11" spans="2:6" x14ac:dyDescent="0.25">
      <c r="B11" t="s">
        <v>27</v>
      </c>
      <c r="C11" t="s">
        <v>368</v>
      </c>
      <c r="D11">
        <v>-0.2</v>
      </c>
      <c r="E11">
        <v>-1</v>
      </c>
      <c r="F11">
        <v>0</v>
      </c>
    </row>
    <row r="12" spans="2:6" x14ac:dyDescent="0.25">
      <c r="B12" t="s">
        <v>38</v>
      </c>
      <c r="C12" t="s">
        <v>369</v>
      </c>
      <c r="D12">
        <v>-0.2</v>
      </c>
      <c r="E12">
        <v>-1</v>
      </c>
      <c r="F12">
        <v>0</v>
      </c>
    </row>
    <row r="13" spans="2:6" x14ac:dyDescent="0.25">
      <c r="B13" t="s">
        <v>370</v>
      </c>
      <c r="C13">
        <v>1421071</v>
      </c>
    </row>
    <row r="14" spans="2:6" x14ac:dyDescent="0.25">
      <c r="B14" t="s">
        <v>27</v>
      </c>
      <c r="C14" t="s">
        <v>338</v>
      </c>
      <c r="D14">
        <v>1</v>
      </c>
      <c r="E14">
        <v>-0.1</v>
      </c>
      <c r="F14">
        <v>0</v>
      </c>
    </row>
    <row r="15" spans="2:6" x14ac:dyDescent="0.25">
      <c r="B15" t="s">
        <v>35</v>
      </c>
      <c r="C15" t="s">
        <v>338</v>
      </c>
      <c r="D15">
        <v>1</v>
      </c>
      <c r="E15">
        <v>-0.1</v>
      </c>
      <c r="F15">
        <v>0</v>
      </c>
    </row>
    <row r="16" spans="2:6" x14ac:dyDescent="0.25">
      <c r="B16" t="s">
        <v>371</v>
      </c>
      <c r="C16">
        <v>1421077</v>
      </c>
    </row>
    <row r="17" spans="2:6" x14ac:dyDescent="0.25">
      <c r="B17" t="s">
        <v>35</v>
      </c>
      <c r="C17" t="s">
        <v>338</v>
      </c>
      <c r="D17">
        <v>1</v>
      </c>
      <c r="E17">
        <v>-0.1</v>
      </c>
      <c r="F17">
        <v>0</v>
      </c>
    </row>
    <row r="18" spans="2:6" x14ac:dyDescent="0.25">
      <c r="B18" t="s">
        <v>27</v>
      </c>
      <c r="C18" t="s">
        <v>338</v>
      </c>
      <c r="D18">
        <v>1</v>
      </c>
      <c r="E18">
        <v>-0.1</v>
      </c>
      <c r="F18">
        <v>0</v>
      </c>
    </row>
    <row r="19" spans="2:6" x14ac:dyDescent="0.25">
      <c r="B19" t="s">
        <v>372</v>
      </c>
      <c r="C19">
        <v>1421079</v>
      </c>
    </row>
    <row r="20" spans="2:6" x14ac:dyDescent="0.25">
      <c r="B20" t="s">
        <v>35</v>
      </c>
      <c r="C20" t="s">
        <v>9</v>
      </c>
      <c r="D20">
        <v>-1</v>
      </c>
      <c r="E20">
        <v>0.1</v>
      </c>
      <c r="F20">
        <v>0</v>
      </c>
    </row>
    <row r="21" spans="2:6" x14ac:dyDescent="0.25">
      <c r="B21" t="s">
        <v>27</v>
      </c>
      <c r="C21" t="s">
        <v>338</v>
      </c>
      <c r="D21">
        <v>1</v>
      </c>
      <c r="E21">
        <v>-0.1</v>
      </c>
      <c r="F21">
        <v>0</v>
      </c>
    </row>
    <row r="22" spans="2:6" x14ac:dyDescent="0.25">
      <c r="B22" t="s">
        <v>373</v>
      </c>
      <c r="C22">
        <v>1421081</v>
      </c>
    </row>
    <row r="23" spans="2:6" x14ac:dyDescent="0.25">
      <c r="B23" t="s">
        <v>27</v>
      </c>
      <c r="C23" t="s">
        <v>338</v>
      </c>
      <c r="D23">
        <v>1</v>
      </c>
      <c r="E23">
        <v>-0.1</v>
      </c>
      <c r="F23">
        <v>0</v>
      </c>
    </row>
    <row r="24" spans="2:6" x14ac:dyDescent="0.25">
      <c r="B24" t="s">
        <v>35</v>
      </c>
      <c r="C24" t="s">
        <v>338</v>
      </c>
      <c r="D24">
        <v>1</v>
      </c>
      <c r="E24">
        <v>-0.1</v>
      </c>
      <c r="F24">
        <v>0</v>
      </c>
    </row>
    <row r="25" spans="2:6" x14ac:dyDescent="0.25">
      <c r="B25" t="s">
        <v>374</v>
      </c>
      <c r="C25">
        <v>1421083</v>
      </c>
    </row>
    <row r="26" spans="2:6" x14ac:dyDescent="0.25">
      <c r="B26" t="s">
        <v>29</v>
      </c>
      <c r="C26" t="s">
        <v>338</v>
      </c>
      <c r="D26">
        <v>1</v>
      </c>
      <c r="E26">
        <v>-0.1</v>
      </c>
      <c r="F26">
        <v>0</v>
      </c>
    </row>
    <row r="27" spans="2:6" x14ac:dyDescent="0.25">
      <c r="B27" t="s">
        <v>375</v>
      </c>
      <c r="C27">
        <v>1421085</v>
      </c>
    </row>
    <row r="28" spans="2:6" x14ac:dyDescent="0.25">
      <c r="B28" t="s">
        <v>35</v>
      </c>
      <c r="C28" t="s">
        <v>338</v>
      </c>
      <c r="D28">
        <v>1</v>
      </c>
      <c r="E28">
        <v>-0.1</v>
      </c>
      <c r="F28">
        <v>0</v>
      </c>
    </row>
    <row r="29" spans="2:6" x14ac:dyDescent="0.25">
      <c r="B29" t="s">
        <v>27</v>
      </c>
      <c r="C29" t="s">
        <v>338</v>
      </c>
      <c r="D29">
        <v>1</v>
      </c>
      <c r="E29">
        <v>-0.1</v>
      </c>
      <c r="F29">
        <v>0</v>
      </c>
    </row>
    <row r="30" spans="2:6" x14ac:dyDescent="0.25">
      <c r="B30" t="s">
        <v>376</v>
      </c>
      <c r="C30">
        <v>1421087</v>
      </c>
    </row>
    <row r="31" spans="2:6" x14ac:dyDescent="0.25">
      <c r="B31" t="s">
        <v>27</v>
      </c>
      <c r="C31" t="s">
        <v>338</v>
      </c>
      <c r="D31">
        <v>1</v>
      </c>
      <c r="E31">
        <v>-0.1</v>
      </c>
      <c r="F31">
        <v>0</v>
      </c>
    </row>
    <row r="32" spans="2:6" x14ac:dyDescent="0.25">
      <c r="B32" t="s">
        <v>35</v>
      </c>
      <c r="C32" t="s">
        <v>338</v>
      </c>
      <c r="D32">
        <v>1</v>
      </c>
      <c r="E32">
        <v>-0.1</v>
      </c>
      <c r="F32">
        <v>0</v>
      </c>
    </row>
    <row r="33" spans="2:6" x14ac:dyDescent="0.25">
      <c r="B33" t="s">
        <v>377</v>
      </c>
      <c r="C33">
        <v>1421089</v>
      </c>
    </row>
    <row r="34" spans="2:6" x14ac:dyDescent="0.25">
      <c r="B34" t="s">
        <v>27</v>
      </c>
      <c r="C34" t="s">
        <v>338</v>
      </c>
      <c r="D34">
        <v>1</v>
      </c>
      <c r="E34">
        <v>-0.1</v>
      </c>
      <c r="F34">
        <v>0</v>
      </c>
    </row>
    <row r="35" spans="2:6" x14ac:dyDescent="0.25">
      <c r="B35" t="s">
        <v>35</v>
      </c>
      <c r="C35" t="s">
        <v>338</v>
      </c>
      <c r="D35">
        <v>1</v>
      </c>
      <c r="E35">
        <v>-0.1</v>
      </c>
      <c r="F35">
        <v>0</v>
      </c>
    </row>
    <row r="36" spans="2:6" x14ac:dyDescent="0.25">
      <c r="B36" t="s">
        <v>378</v>
      </c>
      <c r="C36">
        <v>1421113</v>
      </c>
    </row>
    <row r="37" spans="2:6" x14ac:dyDescent="0.25">
      <c r="B37" t="s">
        <v>35</v>
      </c>
      <c r="C37" t="s">
        <v>11</v>
      </c>
      <c r="D37">
        <v>1</v>
      </c>
      <c r="E37">
        <v>0</v>
      </c>
      <c r="F37">
        <v>0</v>
      </c>
    </row>
    <row r="38" spans="2:6" x14ac:dyDescent="0.25">
      <c r="B38" t="s">
        <v>27</v>
      </c>
      <c r="C38" t="s">
        <v>11</v>
      </c>
      <c r="D38">
        <v>1</v>
      </c>
      <c r="E38">
        <v>0</v>
      </c>
      <c r="F38">
        <v>0</v>
      </c>
    </row>
    <row r="39" spans="2:6" x14ac:dyDescent="0.25">
      <c r="B39" t="s">
        <v>379</v>
      </c>
      <c r="C39">
        <v>1421115</v>
      </c>
    </row>
    <row r="40" spans="2:6" x14ac:dyDescent="0.25">
      <c r="B40" t="s">
        <v>35</v>
      </c>
      <c r="C40" t="s">
        <v>11</v>
      </c>
      <c r="D40">
        <v>1</v>
      </c>
      <c r="E40">
        <v>0</v>
      </c>
      <c r="F40">
        <v>0</v>
      </c>
    </row>
    <row r="41" spans="2:6" x14ac:dyDescent="0.25">
      <c r="B41" t="s">
        <v>380</v>
      </c>
      <c r="C41">
        <v>1421119</v>
      </c>
    </row>
    <row r="42" spans="2:6" x14ac:dyDescent="0.25">
      <c r="B42" t="s">
        <v>35</v>
      </c>
      <c r="C42" t="s">
        <v>10</v>
      </c>
      <c r="D42">
        <v>-1</v>
      </c>
      <c r="E42">
        <v>0</v>
      </c>
      <c r="F42">
        <v>0</v>
      </c>
    </row>
    <row r="43" spans="2:6" x14ac:dyDescent="0.25">
      <c r="B43" t="s">
        <v>381</v>
      </c>
      <c r="C43">
        <v>1421121</v>
      </c>
    </row>
    <row r="44" spans="2:6" x14ac:dyDescent="0.25">
      <c r="B44" t="s">
        <v>35</v>
      </c>
      <c r="C44" t="s">
        <v>10</v>
      </c>
      <c r="D44">
        <v>-1</v>
      </c>
      <c r="E44">
        <v>0</v>
      </c>
      <c r="F44">
        <v>0</v>
      </c>
    </row>
    <row r="45" spans="2:6" x14ac:dyDescent="0.25">
      <c r="B45" t="s">
        <v>27</v>
      </c>
      <c r="C45" t="s">
        <v>10</v>
      </c>
      <c r="D45">
        <v>-1</v>
      </c>
      <c r="E45">
        <v>0</v>
      </c>
      <c r="F45">
        <v>0</v>
      </c>
    </row>
    <row r="46" spans="2:6" x14ac:dyDescent="0.25">
      <c r="B46" t="s">
        <v>382</v>
      </c>
      <c r="C46">
        <v>1421123</v>
      </c>
    </row>
    <row r="47" spans="2:6" x14ac:dyDescent="0.25">
      <c r="B47" t="s">
        <v>35</v>
      </c>
      <c r="C47" t="s">
        <v>10</v>
      </c>
      <c r="D47">
        <v>-1</v>
      </c>
      <c r="E47">
        <v>0</v>
      </c>
      <c r="F47">
        <v>0</v>
      </c>
    </row>
    <row r="48" spans="2:6" x14ac:dyDescent="0.25">
      <c r="B48" t="s">
        <v>383</v>
      </c>
      <c r="C48">
        <v>1421162</v>
      </c>
    </row>
    <row r="49" spans="2:6" x14ac:dyDescent="0.25">
      <c r="B49" t="s">
        <v>35</v>
      </c>
      <c r="C49" t="s">
        <v>22</v>
      </c>
      <c r="D49">
        <v>0.9</v>
      </c>
      <c r="E49">
        <v>0.3</v>
      </c>
      <c r="F49">
        <v>0</v>
      </c>
    </row>
    <row r="50" spans="2:6" x14ac:dyDescent="0.25">
      <c r="B50" t="s">
        <v>384</v>
      </c>
      <c r="C50">
        <v>1421190</v>
      </c>
    </row>
    <row r="51" spans="2:6" x14ac:dyDescent="0.25">
      <c r="B51" t="s">
        <v>30</v>
      </c>
      <c r="C51" t="s">
        <v>385</v>
      </c>
      <c r="D51">
        <v>0.4</v>
      </c>
      <c r="E51">
        <v>-0.9</v>
      </c>
      <c r="F51">
        <v>0</v>
      </c>
    </row>
    <row r="52" spans="2:6" x14ac:dyDescent="0.25">
      <c r="B52" t="s">
        <v>386</v>
      </c>
      <c r="C52">
        <v>1421246</v>
      </c>
    </row>
    <row r="53" spans="2:6" x14ac:dyDescent="0.25">
      <c r="B53" t="s">
        <v>27</v>
      </c>
      <c r="C53" t="s">
        <v>387</v>
      </c>
      <c r="D53">
        <v>0.4</v>
      </c>
      <c r="E53">
        <v>-0.9</v>
      </c>
      <c r="F53">
        <v>0</v>
      </c>
    </row>
    <row r="54" spans="2:6" x14ac:dyDescent="0.25">
      <c r="B54" t="s">
        <v>388</v>
      </c>
      <c r="C54">
        <v>1421272</v>
      </c>
    </row>
    <row r="55" spans="2:6" x14ac:dyDescent="0.25">
      <c r="B55" t="s">
        <v>27</v>
      </c>
      <c r="C55" t="s">
        <v>252</v>
      </c>
      <c r="D55">
        <v>0.3</v>
      </c>
      <c r="E55">
        <v>-1</v>
      </c>
      <c r="F55">
        <v>0</v>
      </c>
    </row>
    <row r="56" spans="2:6" x14ac:dyDescent="0.25">
      <c r="B56" t="s">
        <v>389</v>
      </c>
      <c r="C56">
        <v>1421274</v>
      </c>
    </row>
    <row r="57" spans="2:6" x14ac:dyDescent="0.25">
      <c r="B57" t="s">
        <v>27</v>
      </c>
      <c r="C57" t="s">
        <v>390</v>
      </c>
      <c r="D57">
        <v>0.3</v>
      </c>
      <c r="E57">
        <v>-1</v>
      </c>
      <c r="F57">
        <v>0</v>
      </c>
    </row>
    <row r="58" spans="2:6" x14ac:dyDescent="0.25">
      <c r="B58" t="s">
        <v>391</v>
      </c>
      <c r="C58">
        <v>1421286</v>
      </c>
    </row>
    <row r="59" spans="2:6" x14ac:dyDescent="0.25">
      <c r="B59" t="s">
        <v>35</v>
      </c>
      <c r="C59" t="s">
        <v>22</v>
      </c>
      <c r="D59">
        <v>0.9</v>
      </c>
      <c r="E59">
        <v>0.3</v>
      </c>
      <c r="F59">
        <v>0</v>
      </c>
    </row>
    <row r="60" spans="2:6" x14ac:dyDescent="0.25">
      <c r="B60" t="s">
        <v>392</v>
      </c>
      <c r="C60">
        <v>1421288</v>
      </c>
    </row>
    <row r="61" spans="2:6" x14ac:dyDescent="0.25">
      <c r="B61" t="s">
        <v>35</v>
      </c>
      <c r="C61" t="s">
        <v>22</v>
      </c>
      <c r="D61">
        <v>0.9</v>
      </c>
      <c r="E61">
        <v>0.3</v>
      </c>
      <c r="F61">
        <v>0</v>
      </c>
    </row>
    <row r="62" spans="2:6" x14ac:dyDescent="0.25">
      <c r="B62" t="s">
        <v>27</v>
      </c>
      <c r="C62" t="s">
        <v>22</v>
      </c>
      <c r="D62">
        <v>0.9</v>
      </c>
      <c r="E62">
        <v>0.3</v>
      </c>
      <c r="F62">
        <v>0</v>
      </c>
    </row>
    <row r="63" spans="2:6" x14ac:dyDescent="0.25">
      <c r="B63" t="s">
        <v>393</v>
      </c>
      <c r="C63">
        <v>1421290</v>
      </c>
    </row>
    <row r="64" spans="2:6" x14ac:dyDescent="0.25">
      <c r="B64" t="s">
        <v>35</v>
      </c>
      <c r="C64" t="s">
        <v>22</v>
      </c>
      <c r="D64">
        <v>0.9</v>
      </c>
      <c r="E64">
        <v>0.3</v>
      </c>
      <c r="F64">
        <v>0</v>
      </c>
    </row>
    <row r="65" spans="2:6" x14ac:dyDescent="0.25">
      <c r="B65" t="s">
        <v>394</v>
      </c>
      <c r="C65">
        <v>1421292</v>
      </c>
    </row>
    <row r="66" spans="2:6" x14ac:dyDescent="0.25">
      <c r="B66" t="s">
        <v>35</v>
      </c>
      <c r="C66" t="s">
        <v>22</v>
      </c>
      <c r="D66">
        <v>0.9</v>
      </c>
      <c r="E66">
        <v>0.3</v>
      </c>
      <c r="F66">
        <v>0</v>
      </c>
    </row>
    <row r="67" spans="2:6" x14ac:dyDescent="0.25">
      <c r="B67" t="s">
        <v>27</v>
      </c>
      <c r="C67" t="s">
        <v>22</v>
      </c>
      <c r="D67">
        <v>0.9</v>
      </c>
      <c r="E67">
        <v>0.3</v>
      </c>
      <c r="F67">
        <v>0</v>
      </c>
    </row>
    <row r="68" spans="2:6" x14ac:dyDescent="0.25">
      <c r="B68" t="s">
        <v>395</v>
      </c>
      <c r="C68">
        <v>1421294</v>
      </c>
    </row>
    <row r="69" spans="2:6" x14ac:dyDescent="0.25">
      <c r="B69" t="s">
        <v>35</v>
      </c>
      <c r="C69" t="s">
        <v>22</v>
      </c>
      <c r="D69">
        <v>0.9</v>
      </c>
      <c r="E69">
        <v>0.3</v>
      </c>
      <c r="F69">
        <v>0</v>
      </c>
    </row>
    <row r="70" spans="2:6" x14ac:dyDescent="0.25">
      <c r="B70" t="s">
        <v>27</v>
      </c>
      <c r="C70" t="s">
        <v>22</v>
      </c>
      <c r="D70">
        <v>0.9</v>
      </c>
      <c r="E70">
        <v>0.3</v>
      </c>
      <c r="F70">
        <v>0</v>
      </c>
    </row>
    <row r="71" spans="2:6" x14ac:dyDescent="0.25">
      <c r="B71" t="s">
        <v>396</v>
      </c>
      <c r="C71">
        <v>1421296</v>
      </c>
    </row>
    <row r="72" spans="2:6" x14ac:dyDescent="0.25">
      <c r="B72" t="s">
        <v>35</v>
      </c>
      <c r="C72" t="s">
        <v>22</v>
      </c>
      <c r="D72">
        <v>0.9</v>
      </c>
      <c r="E72">
        <v>0.3</v>
      </c>
      <c r="F72">
        <v>0</v>
      </c>
    </row>
    <row r="73" spans="2:6" x14ac:dyDescent="0.25">
      <c r="B73" t="s">
        <v>27</v>
      </c>
      <c r="C73" t="s">
        <v>22</v>
      </c>
      <c r="D73">
        <v>0.9</v>
      </c>
      <c r="E73">
        <v>0.3</v>
      </c>
      <c r="F73">
        <v>0</v>
      </c>
    </row>
    <row r="74" spans="2:6" x14ac:dyDescent="0.25">
      <c r="B74" t="s">
        <v>397</v>
      </c>
      <c r="C74">
        <v>1421298</v>
      </c>
    </row>
    <row r="75" spans="2:6" x14ac:dyDescent="0.25">
      <c r="B75" t="s">
        <v>35</v>
      </c>
      <c r="C75" t="s">
        <v>22</v>
      </c>
      <c r="D75">
        <v>0.9</v>
      </c>
      <c r="E75">
        <v>0.3</v>
      </c>
      <c r="F75">
        <v>0</v>
      </c>
    </row>
    <row r="76" spans="2:6" x14ac:dyDescent="0.25">
      <c r="B76" t="s">
        <v>27</v>
      </c>
      <c r="C76" t="s">
        <v>22</v>
      </c>
      <c r="D76">
        <v>0.9</v>
      </c>
      <c r="E76">
        <v>0.3</v>
      </c>
      <c r="F76">
        <v>0</v>
      </c>
    </row>
    <row r="77" spans="2:6" x14ac:dyDescent="0.25">
      <c r="B77" t="s">
        <v>398</v>
      </c>
      <c r="C77">
        <v>1421300</v>
      </c>
    </row>
    <row r="78" spans="2:6" x14ac:dyDescent="0.25">
      <c r="B78" t="s">
        <v>35</v>
      </c>
      <c r="C78" t="s">
        <v>20</v>
      </c>
      <c r="D78">
        <v>-0.9</v>
      </c>
      <c r="E78">
        <v>-0.3</v>
      </c>
      <c r="F78">
        <v>0</v>
      </c>
    </row>
    <row r="79" spans="2:6" x14ac:dyDescent="0.25">
      <c r="B79" t="s">
        <v>27</v>
      </c>
      <c r="C79" t="s">
        <v>20</v>
      </c>
      <c r="D79">
        <v>-0.9</v>
      </c>
      <c r="E79">
        <v>-0.3</v>
      </c>
      <c r="F79">
        <v>0</v>
      </c>
    </row>
    <row r="80" spans="2:6" x14ac:dyDescent="0.25">
      <c r="B80" t="s">
        <v>399</v>
      </c>
      <c r="C80">
        <v>1421302</v>
      </c>
    </row>
    <row r="81" spans="2:6" x14ac:dyDescent="0.25">
      <c r="B81" t="s">
        <v>35</v>
      </c>
      <c r="C81" t="s">
        <v>20</v>
      </c>
      <c r="D81">
        <v>-0.9</v>
      </c>
      <c r="E81">
        <v>-0.3</v>
      </c>
      <c r="F81">
        <v>0</v>
      </c>
    </row>
    <row r="82" spans="2:6" x14ac:dyDescent="0.25">
      <c r="B82" t="s">
        <v>27</v>
      </c>
      <c r="C82" t="s">
        <v>20</v>
      </c>
      <c r="D82">
        <v>-0.9</v>
      </c>
      <c r="E82">
        <v>-0.3</v>
      </c>
      <c r="F82">
        <v>0</v>
      </c>
    </row>
    <row r="83" spans="2:6" x14ac:dyDescent="0.25">
      <c r="B83" t="s">
        <v>400</v>
      </c>
      <c r="C83">
        <v>1421304</v>
      </c>
    </row>
    <row r="84" spans="2:6" x14ac:dyDescent="0.25">
      <c r="B84" t="s">
        <v>35</v>
      </c>
      <c r="C84" t="s">
        <v>20</v>
      </c>
      <c r="D84">
        <v>-0.9</v>
      </c>
      <c r="E84">
        <v>-0.3</v>
      </c>
      <c r="F84">
        <v>0</v>
      </c>
    </row>
    <row r="85" spans="2:6" x14ac:dyDescent="0.25">
      <c r="B85" t="s">
        <v>27</v>
      </c>
      <c r="C85" t="s">
        <v>20</v>
      </c>
      <c r="D85">
        <v>-0.9</v>
      </c>
      <c r="E85">
        <v>-0.3</v>
      </c>
      <c r="F85">
        <v>0</v>
      </c>
    </row>
    <row r="86" spans="2:6" x14ac:dyDescent="0.25">
      <c r="B86" t="s">
        <v>401</v>
      </c>
      <c r="C86">
        <v>1421306</v>
      </c>
    </row>
    <row r="87" spans="2:6" x14ac:dyDescent="0.25">
      <c r="B87" t="s">
        <v>35</v>
      </c>
      <c r="C87" t="s">
        <v>20</v>
      </c>
      <c r="D87">
        <v>-0.9</v>
      </c>
      <c r="E87">
        <v>-0.3</v>
      </c>
      <c r="F87">
        <v>0</v>
      </c>
    </row>
    <row r="88" spans="2:6" x14ac:dyDescent="0.25">
      <c r="B88" t="s">
        <v>27</v>
      </c>
      <c r="C88" t="s">
        <v>20</v>
      </c>
      <c r="D88">
        <v>-0.9</v>
      </c>
      <c r="E88">
        <v>-0.3</v>
      </c>
      <c r="F88">
        <v>0</v>
      </c>
    </row>
    <row r="89" spans="2:6" x14ac:dyDescent="0.25">
      <c r="B89" t="s">
        <v>402</v>
      </c>
      <c r="C89">
        <v>1421310</v>
      </c>
    </row>
    <row r="90" spans="2:6" x14ac:dyDescent="0.25">
      <c r="B90" t="s">
        <v>35</v>
      </c>
      <c r="C90" t="s">
        <v>1</v>
      </c>
      <c r="D90">
        <v>-1</v>
      </c>
      <c r="E90">
        <v>-0.2</v>
      </c>
      <c r="F90">
        <v>0</v>
      </c>
    </row>
    <row r="91" spans="2:6" x14ac:dyDescent="0.25">
      <c r="B91" t="s">
        <v>27</v>
      </c>
      <c r="C91" t="s">
        <v>2</v>
      </c>
      <c r="D91">
        <v>1</v>
      </c>
      <c r="E91">
        <v>0.2</v>
      </c>
      <c r="F91">
        <v>0</v>
      </c>
    </row>
    <row r="92" spans="2:6" x14ac:dyDescent="0.25">
      <c r="B92" t="s">
        <v>403</v>
      </c>
      <c r="C92">
        <v>1421312</v>
      </c>
    </row>
    <row r="93" spans="2:6" x14ac:dyDescent="0.25">
      <c r="B93" t="s">
        <v>35</v>
      </c>
      <c r="C93" t="s">
        <v>2</v>
      </c>
      <c r="D93">
        <v>1</v>
      </c>
      <c r="E93">
        <v>0.2</v>
      </c>
      <c r="F93">
        <v>0</v>
      </c>
    </row>
    <row r="94" spans="2:6" x14ac:dyDescent="0.25">
      <c r="B94" t="s">
        <v>27</v>
      </c>
      <c r="C94" t="s">
        <v>2</v>
      </c>
      <c r="D94">
        <v>1</v>
      </c>
      <c r="E94">
        <v>0.2</v>
      </c>
      <c r="F94">
        <v>0</v>
      </c>
    </row>
    <row r="95" spans="2:6" x14ac:dyDescent="0.25">
      <c r="B95" t="s">
        <v>404</v>
      </c>
      <c r="C95">
        <v>1421314</v>
      </c>
    </row>
    <row r="96" spans="2:6" x14ac:dyDescent="0.25">
      <c r="B96" t="s">
        <v>35</v>
      </c>
      <c r="C96" t="s">
        <v>2</v>
      </c>
      <c r="D96">
        <v>1</v>
      </c>
      <c r="E96">
        <v>0.2</v>
      </c>
      <c r="F96">
        <v>0</v>
      </c>
    </row>
    <row r="97" spans="2:6" x14ac:dyDescent="0.25">
      <c r="B97" t="s">
        <v>27</v>
      </c>
      <c r="C97" t="s">
        <v>2</v>
      </c>
      <c r="D97">
        <v>1</v>
      </c>
      <c r="E97">
        <v>0.2</v>
      </c>
      <c r="F97">
        <v>0</v>
      </c>
    </row>
    <row r="98" spans="2:6" x14ac:dyDescent="0.25">
      <c r="B98" t="s">
        <v>405</v>
      </c>
      <c r="C98">
        <v>1421316</v>
      </c>
    </row>
    <row r="99" spans="2:6" x14ac:dyDescent="0.25">
      <c r="B99" t="s">
        <v>35</v>
      </c>
      <c r="C99" t="s">
        <v>2</v>
      </c>
      <c r="D99">
        <v>1</v>
      </c>
      <c r="E99">
        <v>0.2</v>
      </c>
      <c r="F99">
        <v>0</v>
      </c>
    </row>
    <row r="100" spans="2:6" x14ac:dyDescent="0.25">
      <c r="B100" t="s">
        <v>27</v>
      </c>
      <c r="C100" t="s">
        <v>2</v>
      </c>
      <c r="D100">
        <v>1</v>
      </c>
      <c r="E100">
        <v>0.2</v>
      </c>
      <c r="F100">
        <v>0</v>
      </c>
    </row>
    <row r="101" spans="2:6" x14ac:dyDescent="0.25">
      <c r="B101" t="s">
        <v>406</v>
      </c>
      <c r="C101">
        <v>1421318</v>
      </c>
    </row>
    <row r="102" spans="2:6" x14ac:dyDescent="0.25">
      <c r="B102" t="s">
        <v>38</v>
      </c>
      <c r="C102" t="s">
        <v>2</v>
      </c>
      <c r="D102">
        <v>1</v>
      </c>
      <c r="E102">
        <v>0.2</v>
      </c>
      <c r="F102">
        <v>0</v>
      </c>
    </row>
    <row r="103" spans="2:6" x14ac:dyDescent="0.25">
      <c r="B103" t="s">
        <v>407</v>
      </c>
      <c r="C103">
        <v>1421320</v>
      </c>
    </row>
    <row r="104" spans="2:6" x14ac:dyDescent="0.25">
      <c r="B104" t="s">
        <v>27</v>
      </c>
      <c r="C104" t="s">
        <v>1</v>
      </c>
      <c r="D104">
        <v>-1</v>
      </c>
      <c r="E104">
        <v>-0.2</v>
      </c>
      <c r="F104">
        <v>0</v>
      </c>
    </row>
    <row r="105" spans="2:6" x14ac:dyDescent="0.25">
      <c r="B105" t="s">
        <v>34</v>
      </c>
      <c r="C105" t="s">
        <v>1</v>
      </c>
      <c r="D105">
        <v>-1</v>
      </c>
      <c r="E105">
        <v>-0.2</v>
      </c>
      <c r="F105">
        <v>0</v>
      </c>
    </row>
    <row r="106" spans="2:6" x14ac:dyDescent="0.25">
      <c r="B106" t="s">
        <v>408</v>
      </c>
      <c r="C106">
        <v>1421322</v>
      </c>
    </row>
    <row r="107" spans="2:6" x14ac:dyDescent="0.25">
      <c r="B107" t="s">
        <v>27</v>
      </c>
      <c r="C107" t="s">
        <v>1</v>
      </c>
      <c r="D107">
        <v>-1</v>
      </c>
      <c r="E107">
        <v>-0.2</v>
      </c>
      <c r="F107">
        <v>0</v>
      </c>
    </row>
    <row r="108" spans="2:6" x14ac:dyDescent="0.25">
      <c r="B108" t="s">
        <v>34</v>
      </c>
      <c r="C108" t="s">
        <v>1</v>
      </c>
      <c r="D108">
        <v>-1</v>
      </c>
      <c r="E108">
        <v>-0.2</v>
      </c>
      <c r="F108">
        <v>0</v>
      </c>
    </row>
    <row r="109" spans="2:6" x14ac:dyDescent="0.25">
      <c r="B109" t="s">
        <v>409</v>
      </c>
      <c r="C109">
        <v>1421324</v>
      </c>
    </row>
    <row r="110" spans="2:6" x14ac:dyDescent="0.25">
      <c r="B110" t="s">
        <v>27</v>
      </c>
      <c r="C110" t="s">
        <v>1</v>
      </c>
      <c r="D110">
        <v>-1</v>
      </c>
      <c r="E110">
        <v>-0.2</v>
      </c>
      <c r="F110">
        <v>0</v>
      </c>
    </row>
    <row r="111" spans="2:6" x14ac:dyDescent="0.25">
      <c r="B111" t="s">
        <v>34</v>
      </c>
      <c r="C111" t="s">
        <v>1</v>
      </c>
      <c r="D111">
        <v>-1</v>
      </c>
      <c r="E111">
        <v>-0.2</v>
      </c>
      <c r="F111">
        <v>0</v>
      </c>
    </row>
    <row r="112" spans="2:6" x14ac:dyDescent="0.25">
      <c r="B112" t="s">
        <v>410</v>
      </c>
      <c r="C112">
        <v>1421326</v>
      </c>
    </row>
    <row r="113" spans="2:6" x14ac:dyDescent="0.25">
      <c r="B113" t="s">
        <v>27</v>
      </c>
      <c r="C113" t="s">
        <v>1</v>
      </c>
      <c r="D113">
        <v>-1</v>
      </c>
      <c r="E113">
        <v>-0.2</v>
      </c>
      <c r="F113">
        <v>0</v>
      </c>
    </row>
    <row r="114" spans="2:6" x14ac:dyDescent="0.25">
      <c r="B114" t="s">
        <v>34</v>
      </c>
      <c r="C114" t="s">
        <v>1</v>
      </c>
      <c r="D114">
        <v>-1</v>
      </c>
      <c r="E114">
        <v>-0.2</v>
      </c>
      <c r="F114">
        <v>0</v>
      </c>
    </row>
    <row r="115" spans="2:6" x14ac:dyDescent="0.25">
      <c r="B115" t="s">
        <v>411</v>
      </c>
      <c r="C115">
        <v>1421328</v>
      </c>
    </row>
    <row r="116" spans="2:6" x14ac:dyDescent="0.25">
      <c r="B116" t="s">
        <v>27</v>
      </c>
      <c r="C116" t="s">
        <v>1</v>
      </c>
      <c r="D116">
        <v>-1</v>
      </c>
      <c r="E116">
        <v>-0.2</v>
      </c>
      <c r="F116">
        <v>0</v>
      </c>
    </row>
    <row r="117" spans="2:6" x14ac:dyDescent="0.25">
      <c r="B117" t="s">
        <v>34</v>
      </c>
      <c r="C117" t="s">
        <v>1</v>
      </c>
      <c r="D117">
        <v>-1</v>
      </c>
      <c r="E117">
        <v>-0.2</v>
      </c>
      <c r="F117">
        <v>0</v>
      </c>
    </row>
    <row r="118" spans="2:6" x14ac:dyDescent="0.25">
      <c r="B118" t="s">
        <v>412</v>
      </c>
      <c r="C118">
        <v>1421330</v>
      </c>
    </row>
    <row r="119" spans="2:6" x14ac:dyDescent="0.25">
      <c r="B119" t="s">
        <v>27</v>
      </c>
      <c r="C119" t="s">
        <v>1</v>
      </c>
      <c r="D119">
        <v>-1</v>
      </c>
      <c r="E119">
        <v>-0.2</v>
      </c>
      <c r="F119">
        <v>0</v>
      </c>
    </row>
    <row r="120" spans="2:6" x14ac:dyDescent="0.25">
      <c r="B120" t="s">
        <v>34</v>
      </c>
      <c r="C120" t="s">
        <v>1</v>
      </c>
      <c r="D120">
        <v>-1</v>
      </c>
      <c r="E120">
        <v>-0.2</v>
      </c>
      <c r="F120">
        <v>0</v>
      </c>
    </row>
    <row r="121" spans="2:6" x14ac:dyDescent="0.25">
      <c r="B121" t="s">
        <v>413</v>
      </c>
      <c r="C121">
        <v>1421332</v>
      </c>
    </row>
    <row r="122" spans="2:6" x14ac:dyDescent="0.25">
      <c r="B122" t="s">
        <v>27</v>
      </c>
      <c r="C122" t="s">
        <v>1</v>
      </c>
      <c r="D122">
        <v>-1</v>
      </c>
      <c r="E122">
        <v>-0.2</v>
      </c>
      <c r="F122">
        <v>0</v>
      </c>
    </row>
    <row r="123" spans="2:6" x14ac:dyDescent="0.25">
      <c r="B123" t="s">
        <v>34</v>
      </c>
      <c r="C123" t="s">
        <v>1</v>
      </c>
      <c r="D123">
        <v>-1</v>
      </c>
      <c r="E123">
        <v>-0.2</v>
      </c>
      <c r="F123">
        <v>0</v>
      </c>
    </row>
    <row r="124" spans="2:6" x14ac:dyDescent="0.25">
      <c r="B124" t="s">
        <v>414</v>
      </c>
      <c r="C124">
        <v>1421334</v>
      </c>
    </row>
    <row r="125" spans="2:6" x14ac:dyDescent="0.25">
      <c r="B125" t="s">
        <v>27</v>
      </c>
      <c r="C125" t="s">
        <v>1</v>
      </c>
      <c r="D125">
        <v>-1</v>
      </c>
      <c r="E125">
        <v>-0.2</v>
      </c>
      <c r="F125">
        <v>0</v>
      </c>
    </row>
    <row r="126" spans="2:6" x14ac:dyDescent="0.25">
      <c r="B126" t="s">
        <v>34</v>
      </c>
      <c r="C126" t="s">
        <v>1</v>
      </c>
      <c r="D126">
        <v>-1</v>
      </c>
      <c r="E126">
        <v>-0.2</v>
      </c>
      <c r="F126">
        <v>0</v>
      </c>
    </row>
    <row r="127" spans="2:6" x14ac:dyDescent="0.25">
      <c r="B127" t="s">
        <v>415</v>
      </c>
      <c r="C127">
        <v>1421436</v>
      </c>
    </row>
    <row r="128" spans="2:6" x14ac:dyDescent="0.25">
      <c r="B128" t="s">
        <v>38</v>
      </c>
      <c r="C128" t="s">
        <v>416</v>
      </c>
      <c r="D128">
        <v>0.4</v>
      </c>
      <c r="E128">
        <v>-0.9</v>
      </c>
      <c r="F128">
        <v>0</v>
      </c>
    </row>
    <row r="129" spans="2:6" x14ac:dyDescent="0.25">
      <c r="B129" t="s">
        <v>30</v>
      </c>
      <c r="C129" t="s">
        <v>257</v>
      </c>
      <c r="D129">
        <v>0.4</v>
      </c>
      <c r="E129">
        <v>-0.9</v>
      </c>
      <c r="F129">
        <v>0</v>
      </c>
    </row>
    <row r="130" spans="2:6" x14ac:dyDescent="0.25">
      <c r="B130" t="s">
        <v>27</v>
      </c>
      <c r="C130" t="s">
        <v>417</v>
      </c>
      <c r="D130">
        <v>0.5</v>
      </c>
      <c r="E130">
        <v>-0.9</v>
      </c>
      <c r="F130">
        <v>0</v>
      </c>
    </row>
    <row r="131" spans="2:6" x14ac:dyDescent="0.25">
      <c r="B131" t="s">
        <v>418</v>
      </c>
      <c r="C131">
        <v>1421442</v>
      </c>
    </row>
    <row r="132" spans="2:6" x14ac:dyDescent="0.25">
      <c r="B132" t="s">
        <v>38</v>
      </c>
      <c r="C132" t="s">
        <v>13</v>
      </c>
      <c r="D132">
        <v>0.8</v>
      </c>
      <c r="E132">
        <v>0.5</v>
      </c>
      <c r="F132">
        <v>0</v>
      </c>
    </row>
    <row r="133" spans="2:6" x14ac:dyDescent="0.25">
      <c r="B133" t="s">
        <v>419</v>
      </c>
      <c r="C133">
        <v>1421454</v>
      </c>
    </row>
    <row r="134" spans="2:6" x14ac:dyDescent="0.25">
      <c r="B134" t="s">
        <v>27</v>
      </c>
      <c r="C134" t="s">
        <v>13</v>
      </c>
      <c r="D134">
        <v>0.8</v>
      </c>
      <c r="E134">
        <v>0.5</v>
      </c>
      <c r="F134">
        <v>0</v>
      </c>
    </row>
    <row r="135" spans="2:6" x14ac:dyDescent="0.25">
      <c r="B135" t="s">
        <v>420</v>
      </c>
      <c r="C135">
        <v>1421460</v>
      </c>
    </row>
    <row r="136" spans="2:6" x14ac:dyDescent="0.25">
      <c r="B136" t="s">
        <v>36</v>
      </c>
      <c r="C136" t="s">
        <v>13</v>
      </c>
      <c r="D136">
        <v>0.8</v>
      </c>
      <c r="E136">
        <v>0.5</v>
      </c>
      <c r="F136">
        <v>0</v>
      </c>
    </row>
    <row r="137" spans="2:6" x14ac:dyDescent="0.25">
      <c r="B137" t="s">
        <v>421</v>
      </c>
      <c r="C137">
        <v>1421472</v>
      </c>
    </row>
    <row r="138" spans="2:6" x14ac:dyDescent="0.25">
      <c r="B138" t="s">
        <v>38</v>
      </c>
      <c r="C138" t="s">
        <v>13</v>
      </c>
      <c r="D138">
        <v>0.8</v>
      </c>
      <c r="E138">
        <v>0.5</v>
      </c>
      <c r="F138">
        <v>0</v>
      </c>
    </row>
    <row r="139" spans="2:6" x14ac:dyDescent="0.25">
      <c r="B139" t="s">
        <v>422</v>
      </c>
      <c r="C139">
        <v>1421478</v>
      </c>
    </row>
    <row r="140" spans="2:6" x14ac:dyDescent="0.25">
      <c r="B140" t="s">
        <v>31</v>
      </c>
      <c r="C140" t="s">
        <v>13</v>
      </c>
      <c r="D140">
        <v>0.8</v>
      </c>
      <c r="E140">
        <v>0.5</v>
      </c>
      <c r="F140">
        <v>0</v>
      </c>
    </row>
    <row r="141" spans="2:6" x14ac:dyDescent="0.25">
      <c r="B141" t="s">
        <v>423</v>
      </c>
      <c r="C141">
        <v>1421482</v>
      </c>
    </row>
    <row r="142" spans="2:6" x14ac:dyDescent="0.25">
      <c r="B142" t="s">
        <v>31</v>
      </c>
      <c r="C142" t="s">
        <v>13</v>
      </c>
      <c r="D142">
        <v>0.8</v>
      </c>
      <c r="E142">
        <v>0.5</v>
      </c>
      <c r="F142">
        <v>0</v>
      </c>
    </row>
    <row r="143" spans="2:6" x14ac:dyDescent="0.25">
      <c r="B143" t="s">
        <v>424</v>
      </c>
      <c r="C143">
        <v>1421486</v>
      </c>
    </row>
    <row r="144" spans="2:6" x14ac:dyDescent="0.25">
      <c r="B144" t="s">
        <v>36</v>
      </c>
      <c r="C144" t="s">
        <v>13</v>
      </c>
      <c r="D144">
        <v>0.8</v>
      </c>
      <c r="E144">
        <v>0.5</v>
      </c>
      <c r="F144">
        <v>0</v>
      </c>
    </row>
    <row r="145" spans="2:6" x14ac:dyDescent="0.25">
      <c r="B145" t="s">
        <v>425</v>
      </c>
      <c r="C145">
        <v>1421488</v>
      </c>
    </row>
    <row r="146" spans="2:6" x14ac:dyDescent="0.25">
      <c r="B146" t="s">
        <v>33</v>
      </c>
      <c r="C146" t="s">
        <v>13</v>
      </c>
      <c r="D146">
        <v>0.8</v>
      </c>
      <c r="E146">
        <v>0.5</v>
      </c>
      <c r="F146">
        <v>0</v>
      </c>
    </row>
    <row r="147" spans="2:6" x14ac:dyDescent="0.25">
      <c r="B147" t="s">
        <v>426</v>
      </c>
      <c r="C147">
        <v>1421494</v>
      </c>
    </row>
    <row r="148" spans="2:6" x14ac:dyDescent="0.25">
      <c r="B148" t="s">
        <v>33</v>
      </c>
      <c r="C148" t="s">
        <v>13</v>
      </c>
      <c r="D148">
        <v>0.8</v>
      </c>
      <c r="E148">
        <v>0.5</v>
      </c>
      <c r="F148">
        <v>0</v>
      </c>
    </row>
    <row r="149" spans="2:6" x14ac:dyDescent="0.25">
      <c r="B149" t="s">
        <v>427</v>
      </c>
      <c r="C149">
        <v>1421512</v>
      </c>
    </row>
    <row r="150" spans="2:6" x14ac:dyDescent="0.25">
      <c r="B150" t="s">
        <v>38</v>
      </c>
      <c r="C150" t="s">
        <v>13</v>
      </c>
      <c r="D150">
        <v>0.8</v>
      </c>
      <c r="E150">
        <v>0.5</v>
      </c>
      <c r="F150">
        <v>0</v>
      </c>
    </row>
    <row r="151" spans="2:6" x14ac:dyDescent="0.25">
      <c r="B151" t="s">
        <v>428</v>
      </c>
      <c r="C151">
        <v>1421514</v>
      </c>
    </row>
    <row r="152" spans="2:6" x14ac:dyDescent="0.25">
      <c r="B152" t="s">
        <v>33</v>
      </c>
      <c r="C152" t="s">
        <v>13</v>
      </c>
      <c r="D152">
        <v>0.8</v>
      </c>
      <c r="E152">
        <v>0.5</v>
      </c>
      <c r="F152">
        <v>0</v>
      </c>
    </row>
    <row r="153" spans="2:6" x14ac:dyDescent="0.25">
      <c r="B153" t="s">
        <v>429</v>
      </c>
      <c r="C153">
        <v>1421516</v>
      </c>
    </row>
    <row r="154" spans="2:6" x14ac:dyDescent="0.25">
      <c r="B154" t="s">
        <v>28</v>
      </c>
      <c r="C154" t="s">
        <v>13</v>
      </c>
      <c r="D154">
        <v>0.8</v>
      </c>
      <c r="E154">
        <v>0.5</v>
      </c>
      <c r="F154">
        <v>0</v>
      </c>
    </row>
    <row r="155" spans="2:6" x14ac:dyDescent="0.25">
      <c r="B155" t="s">
        <v>430</v>
      </c>
      <c r="C155">
        <v>1421520</v>
      </c>
    </row>
    <row r="156" spans="2:6" x14ac:dyDescent="0.25">
      <c r="B156" t="s">
        <v>36</v>
      </c>
      <c r="C156" t="s">
        <v>13</v>
      </c>
      <c r="D156">
        <v>0.8</v>
      </c>
      <c r="E156">
        <v>0.5</v>
      </c>
      <c r="F156">
        <v>0</v>
      </c>
    </row>
    <row r="157" spans="2:6" x14ac:dyDescent="0.25">
      <c r="B157" t="s">
        <v>33</v>
      </c>
      <c r="C157" t="s">
        <v>16</v>
      </c>
      <c r="D157">
        <v>-0.8</v>
      </c>
      <c r="E157">
        <v>-0.5</v>
      </c>
      <c r="F157">
        <v>0</v>
      </c>
    </row>
    <row r="158" spans="2:6" x14ac:dyDescent="0.25">
      <c r="B158" t="s">
        <v>431</v>
      </c>
      <c r="C158">
        <v>1421546</v>
      </c>
    </row>
    <row r="159" spans="2:6" x14ac:dyDescent="0.25">
      <c r="B159" t="s">
        <v>30</v>
      </c>
      <c r="C159" t="s">
        <v>21</v>
      </c>
      <c r="D159">
        <v>0.9</v>
      </c>
      <c r="E159">
        <v>0.4</v>
      </c>
      <c r="F159">
        <v>0</v>
      </c>
    </row>
    <row r="160" spans="2:6" x14ac:dyDescent="0.25">
      <c r="B160" t="s">
        <v>432</v>
      </c>
      <c r="C160">
        <v>1421554</v>
      </c>
    </row>
    <row r="161" spans="2:6" x14ac:dyDescent="0.25">
      <c r="B161" t="s">
        <v>36</v>
      </c>
      <c r="C161" t="s">
        <v>21</v>
      </c>
      <c r="D161">
        <v>0.9</v>
      </c>
      <c r="E161">
        <v>0.4</v>
      </c>
      <c r="F161">
        <v>0</v>
      </c>
    </row>
    <row r="162" spans="2:6" x14ac:dyDescent="0.25">
      <c r="B162" t="s">
        <v>30</v>
      </c>
      <c r="C162" t="s">
        <v>21</v>
      </c>
      <c r="D162">
        <v>0.9</v>
      </c>
      <c r="E162">
        <v>0.4</v>
      </c>
      <c r="F162">
        <v>0</v>
      </c>
    </row>
    <row r="163" spans="2:6" x14ac:dyDescent="0.25">
      <c r="B163" t="s">
        <v>27</v>
      </c>
      <c r="C163" t="s">
        <v>21</v>
      </c>
      <c r="D163">
        <v>0.9</v>
      </c>
      <c r="E163">
        <v>0.4</v>
      </c>
      <c r="F163">
        <v>0</v>
      </c>
    </row>
    <row r="164" spans="2:6" x14ac:dyDescent="0.25">
      <c r="B164" t="s">
        <v>433</v>
      </c>
      <c r="C164">
        <v>1421556</v>
      </c>
    </row>
    <row r="165" spans="2:6" x14ac:dyDescent="0.25">
      <c r="B165" t="s">
        <v>27</v>
      </c>
      <c r="C165" t="s">
        <v>17</v>
      </c>
      <c r="D165">
        <v>-0.9</v>
      </c>
      <c r="E165">
        <v>-0.4</v>
      </c>
      <c r="F165">
        <v>0</v>
      </c>
    </row>
    <row r="166" spans="2:6" x14ac:dyDescent="0.25">
      <c r="B166" t="s">
        <v>36</v>
      </c>
      <c r="C166" t="s">
        <v>17</v>
      </c>
      <c r="D166">
        <v>-0.9</v>
      </c>
      <c r="E166">
        <v>-0.4</v>
      </c>
      <c r="F166">
        <v>0</v>
      </c>
    </row>
    <row r="167" spans="2:6" x14ac:dyDescent="0.25">
      <c r="B167" t="s">
        <v>434</v>
      </c>
      <c r="C167">
        <v>1421721</v>
      </c>
    </row>
    <row r="168" spans="2:6" x14ac:dyDescent="0.25">
      <c r="B168" t="s">
        <v>36</v>
      </c>
      <c r="C168" t="s">
        <v>17</v>
      </c>
      <c r="D168">
        <v>-0.9</v>
      </c>
      <c r="E168">
        <v>-0.4</v>
      </c>
      <c r="F168">
        <v>0</v>
      </c>
    </row>
    <row r="169" spans="2:6" x14ac:dyDescent="0.25">
      <c r="B169" t="s">
        <v>27</v>
      </c>
      <c r="C169" t="s">
        <v>17</v>
      </c>
      <c r="D169">
        <v>-0.9</v>
      </c>
      <c r="E169">
        <v>-0.4</v>
      </c>
      <c r="F169">
        <v>0</v>
      </c>
    </row>
    <row r="170" spans="2:6" x14ac:dyDescent="0.25">
      <c r="B170" t="s">
        <v>435</v>
      </c>
      <c r="C170">
        <v>1421725</v>
      </c>
    </row>
    <row r="171" spans="2:6" x14ac:dyDescent="0.25">
      <c r="B171" t="s">
        <v>36</v>
      </c>
      <c r="C171" t="s">
        <v>21</v>
      </c>
      <c r="D171">
        <v>0.9</v>
      </c>
      <c r="E171">
        <v>0.4</v>
      </c>
      <c r="F171">
        <v>0</v>
      </c>
    </row>
    <row r="172" spans="2:6" x14ac:dyDescent="0.25">
      <c r="B172" t="s">
        <v>27</v>
      </c>
      <c r="C172" t="s">
        <v>21</v>
      </c>
      <c r="D172">
        <v>0.9</v>
      </c>
      <c r="E172">
        <v>0.4</v>
      </c>
      <c r="F172">
        <v>0</v>
      </c>
    </row>
    <row r="173" spans="2:6" x14ac:dyDescent="0.25">
      <c r="B173" t="s">
        <v>36</v>
      </c>
      <c r="C173" t="s">
        <v>21</v>
      </c>
      <c r="D173">
        <v>0.9</v>
      </c>
      <c r="E173">
        <v>0.4</v>
      </c>
      <c r="F173">
        <v>0</v>
      </c>
    </row>
    <row r="174" spans="2:6" x14ac:dyDescent="0.25">
      <c r="B174" t="s">
        <v>436</v>
      </c>
      <c r="C174">
        <v>1421729</v>
      </c>
    </row>
    <row r="175" spans="2:6" x14ac:dyDescent="0.25">
      <c r="B175" t="s">
        <v>27</v>
      </c>
      <c r="C175" t="s">
        <v>17</v>
      </c>
      <c r="D175">
        <v>-0.9</v>
      </c>
      <c r="E175">
        <v>-0.4</v>
      </c>
      <c r="F175">
        <v>0</v>
      </c>
    </row>
    <row r="176" spans="2:6" x14ac:dyDescent="0.25">
      <c r="B176" t="s">
        <v>437</v>
      </c>
      <c r="C176">
        <v>1421735</v>
      </c>
    </row>
    <row r="177" spans="2:6" x14ac:dyDescent="0.25">
      <c r="B177" t="s">
        <v>38</v>
      </c>
      <c r="C177" t="s">
        <v>1</v>
      </c>
      <c r="D177">
        <v>-1</v>
      </c>
      <c r="E177">
        <v>-0.2</v>
      </c>
      <c r="F177">
        <v>0</v>
      </c>
    </row>
    <row r="178" spans="2:6" x14ac:dyDescent="0.25">
      <c r="B178" t="s">
        <v>438</v>
      </c>
      <c r="C178">
        <v>1421765</v>
      </c>
    </row>
    <row r="179" spans="2:6" x14ac:dyDescent="0.25">
      <c r="B179" t="s">
        <v>36</v>
      </c>
      <c r="C179" t="s">
        <v>17</v>
      </c>
      <c r="D179">
        <v>-0.9</v>
      </c>
      <c r="E179">
        <v>-0.4</v>
      </c>
      <c r="F179">
        <v>0</v>
      </c>
    </row>
    <row r="180" spans="2:6" x14ac:dyDescent="0.25">
      <c r="B180" t="s">
        <v>439</v>
      </c>
      <c r="C180">
        <v>1421767</v>
      </c>
    </row>
    <row r="181" spans="2:6" x14ac:dyDescent="0.25">
      <c r="B181" t="s">
        <v>27</v>
      </c>
      <c r="C181" t="s">
        <v>17</v>
      </c>
      <c r="D181">
        <v>-0.9</v>
      </c>
      <c r="E181">
        <v>-0.4</v>
      </c>
      <c r="F181">
        <v>0</v>
      </c>
    </row>
    <row r="182" spans="2:6" x14ac:dyDescent="0.25">
      <c r="B182" t="s">
        <v>440</v>
      </c>
      <c r="C182">
        <v>1421769</v>
      </c>
    </row>
    <row r="183" spans="2:6" x14ac:dyDescent="0.25">
      <c r="B183" t="s">
        <v>27</v>
      </c>
      <c r="C183" t="s">
        <v>17</v>
      </c>
      <c r="D183">
        <v>-0.9</v>
      </c>
      <c r="E183">
        <v>-0.4</v>
      </c>
      <c r="F183">
        <v>0</v>
      </c>
    </row>
    <row r="184" spans="2:6" x14ac:dyDescent="0.25">
      <c r="B184" t="s">
        <v>441</v>
      </c>
      <c r="C184">
        <v>1426499</v>
      </c>
    </row>
    <row r="185" spans="2:6" x14ac:dyDescent="0.25">
      <c r="B185" t="s">
        <v>28</v>
      </c>
      <c r="C185" t="s">
        <v>2</v>
      </c>
      <c r="D185">
        <v>1</v>
      </c>
      <c r="E185">
        <v>0.2</v>
      </c>
      <c r="F185">
        <v>0</v>
      </c>
    </row>
    <row r="186" spans="2:6" x14ac:dyDescent="0.25">
      <c r="B186" t="s">
        <v>33</v>
      </c>
      <c r="C186" t="s">
        <v>2</v>
      </c>
      <c r="D186">
        <v>1</v>
      </c>
      <c r="E186">
        <v>0.2</v>
      </c>
      <c r="F186">
        <v>0</v>
      </c>
    </row>
    <row r="187" spans="2:6" x14ac:dyDescent="0.25">
      <c r="B187" t="s">
        <v>442</v>
      </c>
      <c r="C187">
        <v>1426685</v>
      </c>
    </row>
    <row r="188" spans="2:6" x14ac:dyDescent="0.25">
      <c r="B188" t="s">
        <v>30</v>
      </c>
      <c r="C188" t="s">
        <v>6</v>
      </c>
      <c r="D188">
        <v>-0.2</v>
      </c>
      <c r="E188">
        <v>1</v>
      </c>
      <c r="F188">
        <v>0</v>
      </c>
    </row>
    <row r="189" spans="2:6" x14ac:dyDescent="0.25">
      <c r="B189" t="s">
        <v>443</v>
      </c>
      <c r="C189">
        <v>1426687</v>
      </c>
    </row>
    <row r="190" spans="2:6" x14ac:dyDescent="0.25">
      <c r="B190" t="s">
        <v>28</v>
      </c>
      <c r="C190" t="s">
        <v>2</v>
      </c>
      <c r="D190">
        <v>1</v>
      </c>
      <c r="E190">
        <v>0.2</v>
      </c>
      <c r="F190">
        <v>0</v>
      </c>
    </row>
    <row r="191" spans="2:6" x14ac:dyDescent="0.25">
      <c r="B191" t="s">
        <v>28</v>
      </c>
      <c r="C191" t="s">
        <v>2</v>
      </c>
      <c r="D191">
        <v>1</v>
      </c>
      <c r="E191">
        <v>0.2</v>
      </c>
      <c r="F191">
        <v>0</v>
      </c>
    </row>
    <row r="192" spans="2:6" x14ac:dyDescent="0.25">
      <c r="B192" t="s">
        <v>33</v>
      </c>
      <c r="C192" t="s">
        <v>2</v>
      </c>
      <c r="D192">
        <v>1</v>
      </c>
      <c r="E192">
        <v>0.2</v>
      </c>
      <c r="F192">
        <v>0</v>
      </c>
    </row>
    <row r="193" spans="2:6" x14ac:dyDescent="0.25">
      <c r="B193" t="s">
        <v>36</v>
      </c>
      <c r="C193" t="s">
        <v>2</v>
      </c>
      <c r="D193">
        <v>1</v>
      </c>
      <c r="E193">
        <v>0.2</v>
      </c>
      <c r="F193">
        <v>0</v>
      </c>
    </row>
    <row r="194" spans="2:6" x14ac:dyDescent="0.25">
      <c r="B194" t="s">
        <v>444</v>
      </c>
      <c r="C194">
        <v>1426805</v>
      </c>
    </row>
    <row r="195" spans="2:6" x14ac:dyDescent="0.25">
      <c r="B195" t="s">
        <v>36</v>
      </c>
      <c r="C195" t="s">
        <v>2</v>
      </c>
      <c r="D195">
        <v>1</v>
      </c>
      <c r="E195">
        <v>0.2</v>
      </c>
      <c r="F195">
        <v>0</v>
      </c>
    </row>
    <row r="196" spans="2:6" x14ac:dyDescent="0.25">
      <c r="B196" t="s">
        <v>33</v>
      </c>
      <c r="C196" t="s">
        <v>2</v>
      </c>
      <c r="D196">
        <v>1</v>
      </c>
      <c r="E196">
        <v>0.2</v>
      </c>
      <c r="F196">
        <v>0</v>
      </c>
    </row>
    <row r="197" spans="2:6" x14ac:dyDescent="0.25">
      <c r="B197" t="s">
        <v>33</v>
      </c>
      <c r="C197" t="s">
        <v>2</v>
      </c>
      <c r="D197">
        <v>1</v>
      </c>
      <c r="E197">
        <v>0.2</v>
      </c>
      <c r="F197">
        <v>0</v>
      </c>
    </row>
    <row r="198" spans="2:6" x14ac:dyDescent="0.25">
      <c r="B198" t="s">
        <v>30</v>
      </c>
      <c r="C198" t="s">
        <v>6</v>
      </c>
      <c r="D198">
        <v>-0.2</v>
      </c>
      <c r="E198">
        <v>1</v>
      </c>
      <c r="F198">
        <v>0</v>
      </c>
    </row>
    <row r="199" spans="2:6" x14ac:dyDescent="0.25">
      <c r="B199" t="s">
        <v>27</v>
      </c>
      <c r="C199" t="s">
        <v>6</v>
      </c>
      <c r="D199">
        <v>-0.2</v>
      </c>
      <c r="E199">
        <v>1</v>
      </c>
      <c r="F199">
        <v>0</v>
      </c>
    </row>
    <row r="200" spans="2:6" x14ac:dyDescent="0.25">
      <c r="B200" t="s">
        <v>445</v>
      </c>
      <c r="C200">
        <v>1426807</v>
      </c>
    </row>
    <row r="201" spans="2:6" x14ac:dyDescent="0.25">
      <c r="B201" t="s">
        <v>30</v>
      </c>
      <c r="C201" t="s">
        <v>2</v>
      </c>
      <c r="D201">
        <v>1</v>
      </c>
      <c r="E201">
        <v>0.2</v>
      </c>
      <c r="F201">
        <v>0</v>
      </c>
    </row>
    <row r="202" spans="2:6" x14ac:dyDescent="0.25">
      <c r="B202" t="s">
        <v>446</v>
      </c>
      <c r="C202">
        <v>1426817</v>
      </c>
    </row>
    <row r="203" spans="2:6" x14ac:dyDescent="0.25">
      <c r="B203" t="s">
        <v>27</v>
      </c>
      <c r="C203" t="s">
        <v>6</v>
      </c>
      <c r="D203">
        <v>-0.2</v>
      </c>
      <c r="E203">
        <v>1</v>
      </c>
      <c r="F203">
        <v>0</v>
      </c>
    </row>
    <row r="204" spans="2:6" x14ac:dyDescent="0.25">
      <c r="B204" t="s">
        <v>447</v>
      </c>
      <c r="C204">
        <v>1426819</v>
      </c>
    </row>
    <row r="205" spans="2:6" x14ac:dyDescent="0.25">
      <c r="B205" t="s">
        <v>27</v>
      </c>
      <c r="C205" t="s">
        <v>6</v>
      </c>
      <c r="D205">
        <v>-0.2</v>
      </c>
      <c r="E205">
        <v>1</v>
      </c>
      <c r="F205">
        <v>0</v>
      </c>
    </row>
    <row r="206" spans="2:6" x14ac:dyDescent="0.25">
      <c r="B206" t="s">
        <v>31</v>
      </c>
      <c r="C206" t="s">
        <v>5</v>
      </c>
      <c r="D206">
        <v>0.2</v>
      </c>
      <c r="E206">
        <v>-1</v>
      </c>
      <c r="F206">
        <v>0</v>
      </c>
    </row>
    <row r="207" spans="2:6" x14ac:dyDescent="0.25">
      <c r="B207" t="s">
        <v>448</v>
      </c>
      <c r="C207">
        <v>1426843</v>
      </c>
    </row>
    <row r="208" spans="2:6" x14ac:dyDescent="0.25">
      <c r="B208" t="s">
        <v>31</v>
      </c>
      <c r="C208" t="s">
        <v>5</v>
      </c>
      <c r="D208">
        <v>0.2</v>
      </c>
      <c r="E208">
        <v>-1</v>
      </c>
      <c r="F208">
        <v>0</v>
      </c>
    </row>
    <row r="209" spans="2:6" x14ac:dyDescent="0.25">
      <c r="B209" t="s">
        <v>449</v>
      </c>
      <c r="C209">
        <v>1512587</v>
      </c>
    </row>
    <row r="210" spans="2:6" x14ac:dyDescent="0.25">
      <c r="B210" t="s">
        <v>33</v>
      </c>
      <c r="C210" t="s">
        <v>1</v>
      </c>
      <c r="D210">
        <v>-1</v>
      </c>
      <c r="E210">
        <v>-0.2</v>
      </c>
      <c r="F210">
        <v>0</v>
      </c>
    </row>
    <row r="211" spans="2:6" x14ac:dyDescent="0.25">
      <c r="B211" t="s">
        <v>450</v>
      </c>
      <c r="C211">
        <v>1512590</v>
      </c>
    </row>
    <row r="212" spans="2:6" x14ac:dyDescent="0.25">
      <c r="B212" t="s">
        <v>30</v>
      </c>
      <c r="C212" t="s">
        <v>1</v>
      </c>
      <c r="D212">
        <v>-1</v>
      </c>
      <c r="E212">
        <v>-0.2</v>
      </c>
      <c r="F212">
        <v>0</v>
      </c>
    </row>
    <row r="213" spans="2:6" x14ac:dyDescent="0.25">
      <c r="B213" t="s">
        <v>451</v>
      </c>
      <c r="C213">
        <v>1512591</v>
      </c>
    </row>
    <row r="214" spans="2:6" x14ac:dyDescent="0.25">
      <c r="B214" t="s">
        <v>36</v>
      </c>
      <c r="C214" t="s">
        <v>2</v>
      </c>
      <c r="D214">
        <v>1</v>
      </c>
      <c r="E214">
        <v>0.2</v>
      </c>
      <c r="F214">
        <v>0</v>
      </c>
    </row>
    <row r="215" spans="2:6" x14ac:dyDescent="0.25">
      <c r="B215" t="s">
        <v>452</v>
      </c>
      <c r="C215">
        <v>1512592</v>
      </c>
    </row>
    <row r="216" spans="2:6" x14ac:dyDescent="0.25">
      <c r="B216" t="s">
        <v>33</v>
      </c>
      <c r="C216" t="s">
        <v>2</v>
      </c>
      <c r="D216">
        <v>1</v>
      </c>
      <c r="E216">
        <v>0.2</v>
      </c>
      <c r="F216">
        <v>0</v>
      </c>
    </row>
    <row r="217" spans="2:6" x14ac:dyDescent="0.25">
      <c r="B217" t="s">
        <v>453</v>
      </c>
      <c r="C217">
        <v>1512594</v>
      </c>
    </row>
    <row r="218" spans="2:6" x14ac:dyDescent="0.25">
      <c r="B218" t="s">
        <v>36</v>
      </c>
      <c r="C218" t="s">
        <v>1</v>
      </c>
      <c r="D218">
        <v>-1</v>
      </c>
      <c r="E218">
        <v>-0.2</v>
      </c>
      <c r="F218">
        <v>0</v>
      </c>
    </row>
    <row r="219" spans="2:6" x14ac:dyDescent="0.25">
      <c r="B219" t="s">
        <v>33</v>
      </c>
      <c r="C219" t="s">
        <v>1</v>
      </c>
      <c r="D219">
        <v>-1</v>
      </c>
      <c r="E219">
        <v>-0.2</v>
      </c>
      <c r="F219">
        <v>0</v>
      </c>
    </row>
    <row r="220" spans="2:6" x14ac:dyDescent="0.25">
      <c r="B220" t="s">
        <v>454</v>
      </c>
      <c r="C220">
        <v>1512600</v>
      </c>
    </row>
    <row r="221" spans="2:6" x14ac:dyDescent="0.25">
      <c r="B221" t="s">
        <v>33</v>
      </c>
      <c r="C221" t="s">
        <v>2</v>
      </c>
      <c r="D221">
        <v>1</v>
      </c>
      <c r="E221">
        <v>0.2</v>
      </c>
      <c r="F221">
        <v>0</v>
      </c>
    </row>
    <row r="222" spans="2:6" x14ac:dyDescent="0.25">
      <c r="B222" t="s">
        <v>455</v>
      </c>
      <c r="C222">
        <v>1512601</v>
      </c>
    </row>
    <row r="223" spans="2:6" x14ac:dyDescent="0.25">
      <c r="B223" t="s">
        <v>36</v>
      </c>
      <c r="C223" t="s">
        <v>2</v>
      </c>
      <c r="D223">
        <v>1</v>
      </c>
      <c r="E223">
        <v>0.2</v>
      </c>
      <c r="F223">
        <v>0</v>
      </c>
    </row>
    <row r="224" spans="2:6" x14ac:dyDescent="0.25">
      <c r="B224" t="s">
        <v>456</v>
      </c>
      <c r="C224">
        <v>1512602</v>
      </c>
    </row>
    <row r="225" spans="2:6" x14ac:dyDescent="0.25">
      <c r="B225" t="s">
        <v>36</v>
      </c>
      <c r="C225" t="s">
        <v>2</v>
      </c>
      <c r="D225">
        <v>1</v>
      </c>
      <c r="E225">
        <v>0.2</v>
      </c>
      <c r="F225">
        <v>0</v>
      </c>
    </row>
    <row r="226" spans="2:6" x14ac:dyDescent="0.25">
      <c r="B226" t="s">
        <v>457</v>
      </c>
      <c r="C226">
        <v>1512603</v>
      </c>
    </row>
    <row r="227" spans="2:6" x14ac:dyDescent="0.25">
      <c r="B227" t="s">
        <v>28</v>
      </c>
      <c r="C227" t="s">
        <v>2</v>
      </c>
      <c r="D227">
        <v>1</v>
      </c>
      <c r="E227">
        <v>0.2</v>
      </c>
      <c r="F227">
        <v>0</v>
      </c>
    </row>
    <row r="228" spans="2:6" x14ac:dyDescent="0.25">
      <c r="B228" t="s">
        <v>458</v>
      </c>
      <c r="C228">
        <v>1512604</v>
      </c>
    </row>
    <row r="229" spans="2:6" x14ac:dyDescent="0.25">
      <c r="B229" t="s">
        <v>33</v>
      </c>
      <c r="C229" t="s">
        <v>2</v>
      </c>
      <c r="D229">
        <v>1</v>
      </c>
      <c r="E229">
        <v>0.2</v>
      </c>
      <c r="F229">
        <v>0</v>
      </c>
    </row>
    <row r="230" spans="2:6" x14ac:dyDescent="0.25">
      <c r="B230" t="s">
        <v>459</v>
      </c>
      <c r="C230">
        <v>1512605</v>
      </c>
    </row>
    <row r="231" spans="2:6" x14ac:dyDescent="0.25">
      <c r="B231" t="s">
        <v>30</v>
      </c>
      <c r="C231" t="s">
        <v>2</v>
      </c>
      <c r="D231">
        <v>1</v>
      </c>
      <c r="E231">
        <v>0.2</v>
      </c>
      <c r="F231">
        <v>0</v>
      </c>
    </row>
    <row r="232" spans="2:6" x14ac:dyDescent="0.25">
      <c r="B232" t="s">
        <v>460</v>
      </c>
      <c r="C232">
        <v>1512607</v>
      </c>
    </row>
    <row r="233" spans="2:6" x14ac:dyDescent="0.25">
      <c r="B233" t="s">
        <v>36</v>
      </c>
      <c r="C233" t="s">
        <v>1</v>
      </c>
      <c r="D233">
        <v>-1</v>
      </c>
      <c r="E233">
        <v>-0.2</v>
      </c>
      <c r="F233">
        <v>0</v>
      </c>
    </row>
    <row r="234" spans="2:6" x14ac:dyDescent="0.25">
      <c r="B234" t="s">
        <v>27</v>
      </c>
      <c r="C234" t="s">
        <v>1</v>
      </c>
      <c r="D234">
        <v>-1</v>
      </c>
      <c r="E234">
        <v>-0.2</v>
      </c>
      <c r="F234">
        <v>0</v>
      </c>
    </row>
    <row r="235" spans="2:6" x14ac:dyDescent="0.25">
      <c r="B235" t="s">
        <v>461</v>
      </c>
      <c r="C235">
        <v>1596939</v>
      </c>
    </row>
    <row r="236" spans="2:6" x14ac:dyDescent="0.25">
      <c r="B236" t="s">
        <v>27</v>
      </c>
      <c r="C236" t="s">
        <v>462</v>
      </c>
      <c r="D236">
        <v>0.1</v>
      </c>
      <c r="E236">
        <v>-1</v>
      </c>
      <c r="F236">
        <v>0</v>
      </c>
    </row>
    <row r="237" spans="2:6" x14ac:dyDescent="0.25">
      <c r="B237" t="s">
        <v>463</v>
      </c>
      <c r="C237">
        <v>1605284</v>
      </c>
    </row>
    <row r="238" spans="2:6" x14ac:dyDescent="0.25">
      <c r="B238" t="s">
        <v>27</v>
      </c>
      <c r="C238" t="s">
        <v>261</v>
      </c>
      <c r="D238">
        <v>0.3</v>
      </c>
      <c r="E238">
        <v>-0.9</v>
      </c>
      <c r="F238">
        <v>0</v>
      </c>
    </row>
    <row r="239" spans="2:6" x14ac:dyDescent="0.25">
      <c r="B239" t="s">
        <v>27</v>
      </c>
      <c r="C239" t="s">
        <v>464</v>
      </c>
      <c r="D239">
        <v>0.4</v>
      </c>
      <c r="E239">
        <v>-0.9</v>
      </c>
      <c r="F239">
        <v>0</v>
      </c>
    </row>
    <row r="240" spans="2:6" x14ac:dyDescent="0.25">
      <c r="B240" t="s">
        <v>27</v>
      </c>
      <c r="C240" t="s">
        <v>465</v>
      </c>
      <c r="D240">
        <v>0.3</v>
      </c>
      <c r="E240">
        <v>-0.9</v>
      </c>
      <c r="F240">
        <v>0</v>
      </c>
    </row>
    <row r="241" spans="2:6" x14ac:dyDescent="0.25">
      <c r="B241" t="s">
        <v>466</v>
      </c>
      <c r="C241">
        <v>1605302</v>
      </c>
    </row>
    <row r="242" spans="2:6" x14ac:dyDescent="0.25">
      <c r="B242" t="s">
        <v>36</v>
      </c>
      <c r="C242" t="s">
        <v>13</v>
      </c>
      <c r="D242">
        <v>0.8</v>
      </c>
      <c r="E242">
        <v>0.5</v>
      </c>
      <c r="F242">
        <v>0</v>
      </c>
    </row>
    <row r="243" spans="2:6" x14ac:dyDescent="0.25">
      <c r="B243" t="s">
        <v>33</v>
      </c>
      <c r="C243" t="s">
        <v>13</v>
      </c>
      <c r="D243">
        <v>0.8</v>
      </c>
      <c r="E243">
        <v>0.5</v>
      </c>
      <c r="F243">
        <v>0</v>
      </c>
    </row>
    <row r="244" spans="2:6" x14ac:dyDescent="0.25">
      <c r="B244" t="s">
        <v>33</v>
      </c>
      <c r="C244" t="s">
        <v>13</v>
      </c>
      <c r="D244">
        <v>0.8</v>
      </c>
      <c r="E244">
        <v>0.5</v>
      </c>
      <c r="F244">
        <v>0</v>
      </c>
    </row>
    <row r="245" spans="2:6" x14ac:dyDescent="0.25">
      <c r="B245" t="s">
        <v>467</v>
      </c>
      <c r="C245">
        <v>1605317</v>
      </c>
    </row>
    <row r="246" spans="2:6" x14ac:dyDescent="0.25">
      <c r="B246" t="s">
        <v>30</v>
      </c>
      <c r="C246" t="s">
        <v>290</v>
      </c>
      <c r="D246">
        <v>0.4</v>
      </c>
      <c r="E246">
        <v>-0.9</v>
      </c>
      <c r="F246">
        <v>0</v>
      </c>
    </row>
    <row r="247" spans="2:6" x14ac:dyDescent="0.25">
      <c r="B247" t="s">
        <v>27</v>
      </c>
      <c r="C247" t="s">
        <v>468</v>
      </c>
      <c r="D247">
        <v>0.4</v>
      </c>
      <c r="E247">
        <v>-0.9</v>
      </c>
      <c r="F247">
        <v>0</v>
      </c>
    </row>
    <row r="248" spans="2:6" x14ac:dyDescent="0.25">
      <c r="B248" t="s">
        <v>27</v>
      </c>
      <c r="C248" t="s">
        <v>469</v>
      </c>
      <c r="D248">
        <v>0.4</v>
      </c>
      <c r="E248">
        <v>-0.9</v>
      </c>
      <c r="F248">
        <v>0</v>
      </c>
    </row>
    <row r="249" spans="2:6" x14ac:dyDescent="0.25">
      <c r="B249" t="s">
        <v>470</v>
      </c>
      <c r="C249">
        <v>1605937</v>
      </c>
    </row>
    <row r="250" spans="2:6" x14ac:dyDescent="0.25">
      <c r="B250" t="s">
        <v>27</v>
      </c>
      <c r="C250" t="s">
        <v>5</v>
      </c>
      <c r="D250">
        <v>0.2</v>
      </c>
      <c r="E250">
        <v>-1</v>
      </c>
      <c r="F250">
        <v>0</v>
      </c>
    </row>
    <row r="251" spans="2:6" x14ac:dyDescent="0.25">
      <c r="B251" t="s">
        <v>471</v>
      </c>
      <c r="C251">
        <v>1605940</v>
      </c>
    </row>
    <row r="252" spans="2:6" x14ac:dyDescent="0.25">
      <c r="B252" t="s">
        <v>27</v>
      </c>
      <c r="C252" t="s">
        <v>338</v>
      </c>
      <c r="D252">
        <v>1</v>
      </c>
      <c r="E252">
        <v>-0.1</v>
      </c>
      <c r="F252">
        <v>0</v>
      </c>
    </row>
    <row r="253" spans="2:6" x14ac:dyDescent="0.25">
      <c r="B253" t="s">
        <v>28</v>
      </c>
      <c r="C253" t="s">
        <v>338</v>
      </c>
      <c r="D253">
        <v>1</v>
      </c>
      <c r="E253">
        <v>-0.1</v>
      </c>
      <c r="F253">
        <v>0</v>
      </c>
    </row>
    <row r="254" spans="2:6" x14ac:dyDescent="0.25">
      <c r="B254" t="s">
        <v>472</v>
      </c>
      <c r="C254">
        <v>1605943</v>
      </c>
    </row>
    <row r="255" spans="2:6" x14ac:dyDescent="0.25">
      <c r="B255" t="s">
        <v>30</v>
      </c>
      <c r="C255" t="s">
        <v>13</v>
      </c>
      <c r="D255">
        <v>0.8</v>
      </c>
      <c r="E255">
        <v>0.5</v>
      </c>
      <c r="F255">
        <v>0</v>
      </c>
    </row>
    <row r="256" spans="2:6" x14ac:dyDescent="0.25">
      <c r="B256" t="s">
        <v>32</v>
      </c>
      <c r="C256" t="s">
        <v>13</v>
      </c>
      <c r="D256">
        <v>0.8</v>
      </c>
      <c r="E256">
        <v>0.5</v>
      </c>
      <c r="F256">
        <v>0</v>
      </c>
    </row>
    <row r="257" spans="2:6" x14ac:dyDescent="0.25">
      <c r="B257" t="s">
        <v>473</v>
      </c>
      <c r="C257">
        <v>1605946</v>
      </c>
    </row>
    <row r="258" spans="2:6" x14ac:dyDescent="0.25">
      <c r="B258" t="s">
        <v>33</v>
      </c>
      <c r="C258" t="s">
        <v>1</v>
      </c>
      <c r="D258">
        <v>-1</v>
      </c>
      <c r="E258">
        <v>-0.2</v>
      </c>
      <c r="F258">
        <v>0</v>
      </c>
    </row>
    <row r="259" spans="2:6" x14ac:dyDescent="0.25">
      <c r="B259" t="s">
        <v>474</v>
      </c>
      <c r="C259">
        <v>1605949</v>
      </c>
    </row>
    <row r="260" spans="2:6" x14ac:dyDescent="0.25">
      <c r="B260" t="s">
        <v>30</v>
      </c>
      <c r="C260" t="s">
        <v>1</v>
      </c>
      <c r="D260">
        <v>-1</v>
      </c>
      <c r="E260">
        <v>-0.2</v>
      </c>
      <c r="F260">
        <v>0</v>
      </c>
    </row>
    <row r="261" spans="2:6" x14ac:dyDescent="0.25">
      <c r="B261" t="s">
        <v>33</v>
      </c>
      <c r="C261" t="s">
        <v>1</v>
      </c>
      <c r="D261">
        <v>-1</v>
      </c>
      <c r="E261">
        <v>-0.2</v>
      </c>
      <c r="F261">
        <v>0</v>
      </c>
    </row>
    <row r="262" spans="2:6" x14ac:dyDescent="0.25">
      <c r="B262" t="s">
        <v>475</v>
      </c>
      <c r="C262">
        <v>1627937</v>
      </c>
    </row>
    <row r="263" spans="2:6" x14ac:dyDescent="0.25">
      <c r="B263" t="s">
        <v>28</v>
      </c>
      <c r="C263" t="s">
        <v>1</v>
      </c>
      <c r="D263">
        <v>-1</v>
      </c>
      <c r="E263">
        <v>-0.2</v>
      </c>
      <c r="F263">
        <v>0</v>
      </c>
    </row>
    <row r="264" spans="2:6" x14ac:dyDescent="0.25">
      <c r="B264" t="s">
        <v>476</v>
      </c>
      <c r="C264">
        <v>1628003</v>
      </c>
    </row>
    <row r="265" spans="2:6" x14ac:dyDescent="0.25">
      <c r="B265" t="s">
        <v>206</v>
      </c>
      <c r="C265" t="s">
        <v>4</v>
      </c>
      <c r="D265">
        <v>-0.5</v>
      </c>
      <c r="E265">
        <v>0.9</v>
      </c>
      <c r="F265">
        <v>0</v>
      </c>
    </row>
    <row r="266" spans="2:6" x14ac:dyDescent="0.25">
      <c r="B266" t="s">
        <v>73</v>
      </c>
      <c r="C266" t="s">
        <v>4</v>
      </c>
      <c r="D266">
        <v>-0.5</v>
      </c>
      <c r="E266">
        <v>0.9</v>
      </c>
      <c r="F266">
        <v>0</v>
      </c>
    </row>
    <row r="267" spans="2:6" x14ac:dyDescent="0.25">
      <c r="B267" t="s">
        <v>73</v>
      </c>
      <c r="C267" t="s">
        <v>4</v>
      </c>
      <c r="D267">
        <v>-0.5</v>
      </c>
      <c r="E267">
        <v>0.9</v>
      </c>
      <c r="F267">
        <v>0</v>
      </c>
    </row>
    <row r="268" spans="2:6" x14ac:dyDescent="0.25">
      <c r="B268" t="s">
        <v>145</v>
      </c>
      <c r="C268" t="s">
        <v>74</v>
      </c>
      <c r="D268">
        <v>0.9</v>
      </c>
      <c r="E268">
        <v>0.5</v>
      </c>
      <c r="F268">
        <v>0</v>
      </c>
    </row>
    <row r="269" spans="2:6" x14ac:dyDescent="0.25">
      <c r="B269" t="s">
        <v>73</v>
      </c>
      <c r="C269" t="s">
        <v>477</v>
      </c>
      <c r="D269">
        <v>-0.9</v>
      </c>
      <c r="E269">
        <v>-0.5</v>
      </c>
      <c r="F269">
        <v>0</v>
      </c>
    </row>
    <row r="270" spans="2:6" x14ac:dyDescent="0.25">
      <c r="B270" t="s">
        <v>145</v>
      </c>
      <c r="C270" t="s">
        <v>4</v>
      </c>
      <c r="D270">
        <v>-0.5</v>
      </c>
      <c r="E270">
        <v>0.9</v>
      </c>
      <c r="F270">
        <v>0</v>
      </c>
    </row>
    <row r="271" spans="2:6" x14ac:dyDescent="0.25">
      <c r="B271" t="s">
        <v>206</v>
      </c>
      <c r="C271" t="s">
        <v>4</v>
      </c>
      <c r="D271">
        <v>-0.5</v>
      </c>
      <c r="E271">
        <v>0.9</v>
      </c>
      <c r="F271">
        <v>0</v>
      </c>
    </row>
    <row r="272" spans="2:6" x14ac:dyDescent="0.25">
      <c r="B272" t="s">
        <v>145</v>
      </c>
      <c r="C272" t="s">
        <v>477</v>
      </c>
      <c r="D272">
        <v>-0.9</v>
      </c>
      <c r="E272">
        <v>-0.5</v>
      </c>
      <c r="F272">
        <v>0</v>
      </c>
    </row>
    <row r="273" spans="2:6" x14ac:dyDescent="0.25">
      <c r="B273" t="s">
        <v>478</v>
      </c>
      <c r="C273">
        <v>1668530</v>
      </c>
    </row>
    <row r="274" spans="2:6" x14ac:dyDescent="0.25">
      <c r="B274" t="s">
        <v>27</v>
      </c>
      <c r="C274" t="s">
        <v>479</v>
      </c>
      <c r="D274">
        <v>0.2</v>
      </c>
      <c r="E274">
        <v>-1</v>
      </c>
      <c r="F274">
        <v>0</v>
      </c>
    </row>
    <row r="275" spans="2:6" x14ac:dyDescent="0.25">
      <c r="B275" t="s">
        <v>480</v>
      </c>
      <c r="C275">
        <v>1671414</v>
      </c>
    </row>
    <row r="276" spans="2:6" x14ac:dyDescent="0.25">
      <c r="B276" t="s">
        <v>27</v>
      </c>
      <c r="C276" t="s">
        <v>5</v>
      </c>
      <c r="D276">
        <v>0.2</v>
      </c>
      <c r="E276">
        <v>-1</v>
      </c>
      <c r="F276">
        <v>0</v>
      </c>
    </row>
    <row r="277" spans="2:6" x14ac:dyDescent="0.25">
      <c r="B277" t="s">
        <v>30</v>
      </c>
      <c r="C277" t="s">
        <v>2</v>
      </c>
      <c r="D277">
        <v>1</v>
      </c>
      <c r="E277">
        <v>0.2</v>
      </c>
      <c r="F277">
        <v>0</v>
      </c>
    </row>
    <row r="278" spans="2:6" x14ac:dyDescent="0.25">
      <c r="B278" t="s">
        <v>33</v>
      </c>
      <c r="C278" t="s">
        <v>2</v>
      </c>
      <c r="D278">
        <v>1</v>
      </c>
      <c r="E278">
        <v>0.2</v>
      </c>
      <c r="F278">
        <v>0</v>
      </c>
    </row>
    <row r="279" spans="2:6" x14ac:dyDescent="0.25">
      <c r="B279" t="s">
        <v>30</v>
      </c>
      <c r="C279" t="s">
        <v>5</v>
      </c>
      <c r="D279">
        <v>0.2</v>
      </c>
      <c r="E279">
        <v>-1</v>
      </c>
      <c r="F279">
        <v>0</v>
      </c>
    </row>
    <row r="280" spans="2:6" x14ac:dyDescent="0.25">
      <c r="B280" t="s">
        <v>481</v>
      </c>
      <c r="C280">
        <v>1671424</v>
      </c>
    </row>
    <row r="281" spans="2:6" x14ac:dyDescent="0.25">
      <c r="B281" t="s">
        <v>29</v>
      </c>
      <c r="C281" t="s">
        <v>482</v>
      </c>
      <c r="D281">
        <v>0.5</v>
      </c>
      <c r="E281">
        <v>-0.9</v>
      </c>
      <c r="F281">
        <v>0</v>
      </c>
    </row>
    <row r="282" spans="2:6" x14ac:dyDescent="0.25">
      <c r="B282" t="s">
        <v>27</v>
      </c>
      <c r="C282" t="s">
        <v>483</v>
      </c>
      <c r="D282">
        <v>0.5</v>
      </c>
      <c r="E282">
        <v>-0.9</v>
      </c>
      <c r="F282">
        <v>0</v>
      </c>
    </row>
    <row r="283" spans="2:6" x14ac:dyDescent="0.25">
      <c r="B283" t="s">
        <v>27</v>
      </c>
      <c r="C283" t="s">
        <v>484</v>
      </c>
      <c r="D283">
        <v>0.5</v>
      </c>
      <c r="E283">
        <v>-0.9</v>
      </c>
      <c r="F283">
        <v>0</v>
      </c>
    </row>
    <row r="284" spans="2:6" x14ac:dyDescent="0.25">
      <c r="B284" t="s">
        <v>485</v>
      </c>
      <c r="C284">
        <v>1696036</v>
      </c>
    </row>
    <row r="285" spans="2:6" x14ac:dyDescent="0.25">
      <c r="B285" t="s">
        <v>30</v>
      </c>
      <c r="C285" t="s">
        <v>2</v>
      </c>
      <c r="D285">
        <v>1</v>
      </c>
      <c r="E285">
        <v>0.2</v>
      </c>
      <c r="F285">
        <v>0</v>
      </c>
    </row>
    <row r="286" spans="2:6" x14ac:dyDescent="0.25">
      <c r="B286" t="s">
        <v>486</v>
      </c>
      <c r="C286">
        <v>1698609</v>
      </c>
    </row>
    <row r="287" spans="2:6" x14ac:dyDescent="0.25">
      <c r="B287" t="s">
        <v>32</v>
      </c>
      <c r="C287" t="s">
        <v>13</v>
      </c>
      <c r="D287">
        <v>0.8</v>
      </c>
      <c r="E287">
        <v>0.5</v>
      </c>
      <c r="F287">
        <v>0</v>
      </c>
    </row>
    <row r="288" spans="2:6" x14ac:dyDescent="0.25">
      <c r="B288" t="s">
        <v>487</v>
      </c>
      <c r="C288">
        <v>1709809</v>
      </c>
    </row>
    <row r="289" spans="2:6" x14ac:dyDescent="0.25">
      <c r="B289" t="s">
        <v>38</v>
      </c>
      <c r="C289" t="s">
        <v>338</v>
      </c>
      <c r="D289">
        <v>1</v>
      </c>
      <c r="E289">
        <v>-0.1</v>
      </c>
      <c r="F289">
        <v>0</v>
      </c>
    </row>
    <row r="290" spans="2:6" x14ac:dyDescent="0.25">
      <c r="B290" t="s">
        <v>488</v>
      </c>
      <c r="C290">
        <v>1839046</v>
      </c>
    </row>
    <row r="291" spans="2:6" x14ac:dyDescent="0.25">
      <c r="B291" t="s">
        <v>27</v>
      </c>
      <c r="C291" t="s">
        <v>489</v>
      </c>
      <c r="D291">
        <v>0.2</v>
      </c>
      <c r="E291">
        <v>-1</v>
      </c>
      <c r="F291">
        <v>0</v>
      </c>
    </row>
  </sheetData>
  <customSheetViews>
    <customSheetView guid="{561E68F6-21E3-461A-ACB1-9392AEDA3331}" topLeftCell="A259">
      <selection activeCell="G22" sqref="G22"/>
      <pageMargins left="0.7" right="0.7" top="0.75" bottom="0.75" header="0.3" footer="0.3"/>
    </customSheetView>
    <customSheetView guid="{2A8AA8A9-D849-43BE-B128-2DCE8081808F}">
      <pageMargins left="0.7" right="0.7" top="0.75" bottom="0.75" header="0.3" footer="0.3"/>
    </customSheetView>
    <customSheetView guid="{E07775A8-4E8E-4F0F-ABD4-8C1611285DFF}" topLeftCell="A259">
      <selection activeCell="G22" sqref="G2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298"/>
  <sheetViews>
    <sheetView topLeftCell="A266" workbookViewId="0">
      <selection activeCell="B13" sqref="B13"/>
    </sheetView>
  </sheetViews>
  <sheetFormatPr defaultRowHeight="15" x14ac:dyDescent="0.25"/>
  <cols>
    <col min="2" max="2" width="75.7109375" bestFit="1" customWidth="1"/>
  </cols>
  <sheetData>
    <row r="2" spans="2:6" x14ac:dyDescent="0.25">
      <c r="B2" t="s">
        <v>490</v>
      </c>
      <c r="C2">
        <v>1543445</v>
      </c>
    </row>
    <row r="3" spans="2:6" x14ac:dyDescent="0.25">
      <c r="B3" t="s">
        <v>36</v>
      </c>
      <c r="C3" t="s">
        <v>6</v>
      </c>
      <c r="D3">
        <v>-0.2</v>
      </c>
      <c r="E3">
        <v>1</v>
      </c>
      <c r="F3">
        <v>0</v>
      </c>
    </row>
    <row r="4" spans="2:6" x14ac:dyDescent="0.25">
      <c r="B4" t="s">
        <v>491</v>
      </c>
      <c r="C4">
        <v>1543449</v>
      </c>
    </row>
    <row r="5" spans="2:6" x14ac:dyDescent="0.25">
      <c r="B5" t="s">
        <v>29</v>
      </c>
      <c r="C5" t="s">
        <v>1</v>
      </c>
      <c r="D5">
        <v>-1</v>
      </c>
      <c r="E5">
        <v>-0.2</v>
      </c>
      <c r="F5">
        <v>0</v>
      </c>
    </row>
    <row r="6" spans="2:6" x14ac:dyDescent="0.25">
      <c r="B6" t="s">
        <v>492</v>
      </c>
      <c r="C6">
        <v>1543469</v>
      </c>
    </row>
    <row r="7" spans="2:6" x14ac:dyDescent="0.25">
      <c r="B7" t="s">
        <v>27</v>
      </c>
      <c r="C7" t="s">
        <v>6</v>
      </c>
      <c r="D7">
        <v>-0.2</v>
      </c>
      <c r="E7">
        <v>1</v>
      </c>
      <c r="F7">
        <v>0</v>
      </c>
    </row>
    <row r="8" spans="2:6" x14ac:dyDescent="0.25">
      <c r="B8" t="s">
        <v>493</v>
      </c>
      <c r="C8">
        <v>1543471</v>
      </c>
    </row>
    <row r="9" spans="2:6" x14ac:dyDescent="0.25">
      <c r="B9" t="s">
        <v>36</v>
      </c>
      <c r="C9" t="s">
        <v>5</v>
      </c>
      <c r="D9">
        <v>0.2</v>
      </c>
      <c r="E9">
        <v>-1</v>
      </c>
      <c r="F9">
        <v>0</v>
      </c>
    </row>
    <row r="10" spans="2:6" x14ac:dyDescent="0.25">
      <c r="B10" t="s">
        <v>494</v>
      </c>
      <c r="C10">
        <v>1543473</v>
      </c>
    </row>
    <row r="11" spans="2:6" x14ac:dyDescent="0.25">
      <c r="B11" t="s">
        <v>30</v>
      </c>
      <c r="C11" t="s">
        <v>5</v>
      </c>
      <c r="D11">
        <v>0.2</v>
      </c>
      <c r="E11">
        <v>-1</v>
      </c>
      <c r="F11">
        <v>0</v>
      </c>
    </row>
    <row r="12" spans="2:6" x14ac:dyDescent="0.25">
      <c r="B12" t="s">
        <v>495</v>
      </c>
      <c r="C12">
        <v>1543475</v>
      </c>
    </row>
    <row r="13" spans="2:6" x14ac:dyDescent="0.25">
      <c r="B13" t="s">
        <v>33</v>
      </c>
      <c r="C13" t="s">
        <v>2</v>
      </c>
      <c r="D13">
        <v>1</v>
      </c>
      <c r="E13">
        <v>0.2</v>
      </c>
      <c r="F13">
        <v>0</v>
      </c>
    </row>
    <row r="14" spans="2:6" x14ac:dyDescent="0.25">
      <c r="B14" t="s">
        <v>496</v>
      </c>
      <c r="C14">
        <v>1543477</v>
      </c>
    </row>
    <row r="15" spans="2:6" x14ac:dyDescent="0.25">
      <c r="B15" t="s">
        <v>36</v>
      </c>
      <c r="C15" t="s">
        <v>2</v>
      </c>
      <c r="D15">
        <v>1</v>
      </c>
      <c r="E15">
        <v>0.2</v>
      </c>
      <c r="F15">
        <v>0</v>
      </c>
    </row>
    <row r="16" spans="2:6" x14ac:dyDescent="0.25">
      <c r="B16" t="s">
        <v>497</v>
      </c>
      <c r="C16">
        <v>1543479</v>
      </c>
    </row>
    <row r="17" spans="2:6" x14ac:dyDescent="0.25">
      <c r="B17" t="s">
        <v>33</v>
      </c>
      <c r="C17" t="s">
        <v>2</v>
      </c>
      <c r="D17">
        <v>1</v>
      </c>
      <c r="E17">
        <v>0.2</v>
      </c>
      <c r="F17">
        <v>0</v>
      </c>
    </row>
    <row r="18" spans="2:6" x14ac:dyDescent="0.25">
      <c r="B18" t="s">
        <v>498</v>
      </c>
      <c r="C18">
        <v>1543481</v>
      </c>
    </row>
    <row r="19" spans="2:6" x14ac:dyDescent="0.25">
      <c r="B19" t="s">
        <v>27</v>
      </c>
      <c r="C19" t="s">
        <v>2</v>
      </c>
      <c r="D19">
        <v>1</v>
      </c>
      <c r="E19">
        <v>0.2</v>
      </c>
      <c r="F19">
        <v>0</v>
      </c>
    </row>
    <row r="20" spans="2:6" x14ac:dyDescent="0.25">
      <c r="B20" t="s">
        <v>499</v>
      </c>
      <c r="C20">
        <v>1543483</v>
      </c>
    </row>
    <row r="21" spans="2:6" x14ac:dyDescent="0.25">
      <c r="B21" t="s">
        <v>36</v>
      </c>
      <c r="C21" t="s">
        <v>2</v>
      </c>
      <c r="D21">
        <v>1</v>
      </c>
      <c r="E21">
        <v>0.2</v>
      </c>
      <c r="F21">
        <v>0</v>
      </c>
    </row>
    <row r="22" spans="2:6" x14ac:dyDescent="0.25">
      <c r="B22" t="s">
        <v>500</v>
      </c>
      <c r="C22">
        <v>1543485</v>
      </c>
    </row>
    <row r="23" spans="2:6" x14ac:dyDescent="0.25">
      <c r="B23" t="s">
        <v>36</v>
      </c>
      <c r="C23" t="s">
        <v>2</v>
      </c>
      <c r="D23">
        <v>1</v>
      </c>
      <c r="E23">
        <v>0.2</v>
      </c>
      <c r="F23">
        <v>0</v>
      </c>
    </row>
    <row r="24" spans="2:6" x14ac:dyDescent="0.25">
      <c r="B24" t="s">
        <v>33</v>
      </c>
      <c r="C24" t="s">
        <v>2</v>
      </c>
      <c r="D24">
        <v>1</v>
      </c>
      <c r="E24">
        <v>0.2</v>
      </c>
      <c r="F24">
        <v>0</v>
      </c>
    </row>
    <row r="25" spans="2:6" x14ac:dyDescent="0.25">
      <c r="B25" t="s">
        <v>501</v>
      </c>
      <c r="C25">
        <v>1543487</v>
      </c>
    </row>
    <row r="26" spans="2:6" x14ac:dyDescent="0.25">
      <c r="B26" t="s">
        <v>30</v>
      </c>
      <c r="C26" t="s">
        <v>2</v>
      </c>
      <c r="D26">
        <v>1</v>
      </c>
      <c r="E26">
        <v>0.2</v>
      </c>
      <c r="F26">
        <v>0</v>
      </c>
    </row>
    <row r="27" spans="2:6" x14ac:dyDescent="0.25">
      <c r="B27" t="s">
        <v>502</v>
      </c>
      <c r="C27">
        <v>1543489</v>
      </c>
    </row>
    <row r="28" spans="2:6" x14ac:dyDescent="0.25">
      <c r="B28" t="s">
        <v>30</v>
      </c>
      <c r="C28" t="s">
        <v>2</v>
      </c>
      <c r="D28">
        <v>1</v>
      </c>
      <c r="E28">
        <v>0.2</v>
      </c>
      <c r="F28">
        <v>0</v>
      </c>
    </row>
    <row r="29" spans="2:6" x14ac:dyDescent="0.25">
      <c r="B29" t="s">
        <v>36</v>
      </c>
      <c r="C29" t="s">
        <v>2</v>
      </c>
      <c r="D29">
        <v>1</v>
      </c>
      <c r="E29">
        <v>0.2</v>
      </c>
      <c r="F29">
        <v>0</v>
      </c>
    </row>
    <row r="30" spans="2:6" x14ac:dyDescent="0.25">
      <c r="B30" t="s">
        <v>503</v>
      </c>
      <c r="C30">
        <v>1543491</v>
      </c>
    </row>
    <row r="31" spans="2:6" x14ac:dyDescent="0.25">
      <c r="B31" t="s">
        <v>36</v>
      </c>
      <c r="C31" t="s">
        <v>2</v>
      </c>
      <c r="D31">
        <v>1</v>
      </c>
      <c r="E31">
        <v>0.2</v>
      </c>
      <c r="F31">
        <v>0</v>
      </c>
    </row>
    <row r="32" spans="2:6" x14ac:dyDescent="0.25">
      <c r="B32" t="s">
        <v>504</v>
      </c>
      <c r="C32">
        <v>1543493</v>
      </c>
    </row>
    <row r="33" spans="2:6" x14ac:dyDescent="0.25">
      <c r="B33" t="s">
        <v>29</v>
      </c>
      <c r="C33" t="s">
        <v>1</v>
      </c>
      <c r="D33">
        <v>-1</v>
      </c>
      <c r="E33">
        <v>-0.2</v>
      </c>
      <c r="F33">
        <v>0</v>
      </c>
    </row>
    <row r="34" spans="2:6" x14ac:dyDescent="0.25">
      <c r="B34" t="s">
        <v>505</v>
      </c>
      <c r="C34">
        <v>1543495</v>
      </c>
    </row>
    <row r="35" spans="2:6" x14ac:dyDescent="0.25">
      <c r="B35" t="s">
        <v>29</v>
      </c>
      <c r="C35" t="s">
        <v>1</v>
      </c>
      <c r="D35">
        <v>-1</v>
      </c>
      <c r="E35">
        <v>-0.2</v>
      </c>
      <c r="F35">
        <v>0</v>
      </c>
    </row>
    <row r="36" spans="2:6" x14ac:dyDescent="0.25">
      <c r="B36" t="s">
        <v>506</v>
      </c>
      <c r="C36">
        <v>1543499</v>
      </c>
    </row>
    <row r="37" spans="2:6" x14ac:dyDescent="0.25">
      <c r="B37" t="s">
        <v>36</v>
      </c>
      <c r="C37" t="s">
        <v>2</v>
      </c>
      <c r="D37">
        <v>1</v>
      </c>
      <c r="E37">
        <v>0.2</v>
      </c>
      <c r="F37">
        <v>0</v>
      </c>
    </row>
    <row r="38" spans="2:6" x14ac:dyDescent="0.25">
      <c r="B38" t="s">
        <v>507</v>
      </c>
      <c r="C38">
        <v>1543531</v>
      </c>
    </row>
    <row r="39" spans="2:6" x14ac:dyDescent="0.25">
      <c r="B39" t="s">
        <v>43</v>
      </c>
      <c r="C39" t="s">
        <v>1</v>
      </c>
      <c r="D39">
        <v>-1</v>
      </c>
      <c r="E39">
        <v>-0.2</v>
      </c>
      <c r="F39">
        <v>0</v>
      </c>
    </row>
    <row r="40" spans="2:6" x14ac:dyDescent="0.25">
      <c r="B40" t="s">
        <v>508</v>
      </c>
      <c r="C40">
        <v>1543533</v>
      </c>
    </row>
    <row r="41" spans="2:6" x14ac:dyDescent="0.25">
      <c r="B41" t="s">
        <v>43</v>
      </c>
      <c r="C41" t="s">
        <v>1</v>
      </c>
      <c r="D41">
        <v>-1</v>
      </c>
      <c r="E41">
        <v>-0.2</v>
      </c>
      <c r="F41">
        <v>0</v>
      </c>
    </row>
    <row r="42" spans="2:6" x14ac:dyDescent="0.25">
      <c r="B42" t="s">
        <v>509</v>
      </c>
      <c r="C42">
        <v>1543543</v>
      </c>
    </row>
    <row r="43" spans="2:6" x14ac:dyDescent="0.25">
      <c r="B43" t="s">
        <v>29</v>
      </c>
      <c r="C43" t="s">
        <v>1</v>
      </c>
      <c r="D43">
        <v>-1</v>
      </c>
      <c r="E43">
        <v>-0.2</v>
      </c>
      <c r="F43">
        <v>0</v>
      </c>
    </row>
    <row r="44" spans="2:6" x14ac:dyDescent="0.25">
      <c r="B44" t="s">
        <v>510</v>
      </c>
      <c r="C44">
        <v>1543557</v>
      </c>
    </row>
    <row r="45" spans="2:6" x14ac:dyDescent="0.25">
      <c r="B45" t="s">
        <v>27</v>
      </c>
      <c r="C45" t="s">
        <v>6</v>
      </c>
      <c r="D45">
        <v>-0.2</v>
      </c>
      <c r="E45">
        <v>1</v>
      </c>
      <c r="F45">
        <v>0</v>
      </c>
    </row>
    <row r="46" spans="2:6" x14ac:dyDescent="0.25">
      <c r="B46" t="s">
        <v>511</v>
      </c>
      <c r="C46">
        <v>1543559</v>
      </c>
    </row>
    <row r="47" spans="2:6" x14ac:dyDescent="0.25">
      <c r="B47" t="s">
        <v>36</v>
      </c>
      <c r="C47" t="s">
        <v>2</v>
      </c>
      <c r="D47">
        <v>1</v>
      </c>
      <c r="E47">
        <v>0.2</v>
      </c>
      <c r="F47">
        <v>0</v>
      </c>
    </row>
    <row r="48" spans="2:6" x14ac:dyDescent="0.25">
      <c r="B48" t="s">
        <v>512</v>
      </c>
      <c r="C48">
        <v>1543751</v>
      </c>
    </row>
    <row r="49" spans="2:6" x14ac:dyDescent="0.25">
      <c r="B49" t="s">
        <v>27</v>
      </c>
      <c r="C49" t="s">
        <v>22</v>
      </c>
      <c r="D49">
        <v>0.9</v>
      </c>
      <c r="E49">
        <v>0.3</v>
      </c>
      <c r="F49">
        <v>0</v>
      </c>
    </row>
    <row r="50" spans="2:6" x14ac:dyDescent="0.25">
      <c r="B50" t="s">
        <v>513</v>
      </c>
      <c r="C50">
        <v>1543753</v>
      </c>
    </row>
    <row r="51" spans="2:6" x14ac:dyDescent="0.25">
      <c r="B51" t="s">
        <v>30</v>
      </c>
      <c r="C51" t="s">
        <v>22</v>
      </c>
      <c r="D51">
        <v>0.9</v>
      </c>
      <c r="E51">
        <v>0.3</v>
      </c>
      <c r="F51">
        <v>0</v>
      </c>
    </row>
    <row r="52" spans="2:6" x14ac:dyDescent="0.25">
      <c r="B52" t="s">
        <v>514</v>
      </c>
      <c r="C52">
        <v>1543771</v>
      </c>
    </row>
    <row r="53" spans="2:6" x14ac:dyDescent="0.25">
      <c r="B53" t="s">
        <v>27</v>
      </c>
      <c r="C53" t="s">
        <v>2</v>
      </c>
      <c r="D53">
        <v>1</v>
      </c>
      <c r="E53">
        <v>0.2</v>
      </c>
      <c r="F53">
        <v>0</v>
      </c>
    </row>
    <row r="54" spans="2:6" x14ac:dyDescent="0.25">
      <c r="B54" t="s">
        <v>515</v>
      </c>
      <c r="C54">
        <v>1543787</v>
      </c>
    </row>
    <row r="55" spans="2:6" x14ac:dyDescent="0.25">
      <c r="B55" t="s">
        <v>30</v>
      </c>
      <c r="C55" t="s">
        <v>2</v>
      </c>
      <c r="D55">
        <v>1</v>
      </c>
      <c r="E55">
        <v>0.2</v>
      </c>
      <c r="F55">
        <v>0</v>
      </c>
    </row>
    <row r="56" spans="2:6" x14ac:dyDescent="0.25">
      <c r="B56" t="s">
        <v>36</v>
      </c>
      <c r="C56" t="s">
        <v>2</v>
      </c>
      <c r="D56">
        <v>1</v>
      </c>
      <c r="E56">
        <v>0.2</v>
      </c>
      <c r="F56">
        <v>0</v>
      </c>
    </row>
    <row r="57" spans="2:6" x14ac:dyDescent="0.25">
      <c r="B57" t="s">
        <v>516</v>
      </c>
      <c r="C57">
        <v>1543789</v>
      </c>
    </row>
    <row r="58" spans="2:6" x14ac:dyDescent="0.25">
      <c r="B58" t="s">
        <v>27</v>
      </c>
      <c r="C58" t="s">
        <v>20</v>
      </c>
      <c r="D58">
        <v>-0.9</v>
      </c>
      <c r="E58">
        <v>-0.3</v>
      </c>
      <c r="F58">
        <v>0</v>
      </c>
    </row>
    <row r="59" spans="2:6" x14ac:dyDescent="0.25">
      <c r="B59" t="s">
        <v>517</v>
      </c>
      <c r="C59">
        <v>1543805</v>
      </c>
    </row>
    <row r="60" spans="2:6" x14ac:dyDescent="0.25">
      <c r="B60" t="s">
        <v>27</v>
      </c>
      <c r="C60" t="s">
        <v>387</v>
      </c>
      <c r="D60">
        <v>0.4</v>
      </c>
      <c r="E60">
        <v>-0.9</v>
      </c>
      <c r="F60">
        <v>0</v>
      </c>
    </row>
    <row r="61" spans="2:6" x14ac:dyDescent="0.25">
      <c r="B61" t="s">
        <v>518</v>
      </c>
      <c r="C61">
        <v>1543865</v>
      </c>
    </row>
    <row r="62" spans="2:6" x14ac:dyDescent="0.25">
      <c r="B62" t="s">
        <v>36</v>
      </c>
      <c r="C62" t="s">
        <v>519</v>
      </c>
      <c r="D62">
        <v>0.4</v>
      </c>
      <c r="E62">
        <v>-0.9</v>
      </c>
      <c r="F62">
        <v>0</v>
      </c>
    </row>
    <row r="63" spans="2:6" x14ac:dyDescent="0.25">
      <c r="B63" t="s">
        <v>520</v>
      </c>
      <c r="C63">
        <v>1543883</v>
      </c>
    </row>
    <row r="64" spans="2:6" x14ac:dyDescent="0.25">
      <c r="B64" t="s">
        <v>29</v>
      </c>
      <c r="C64" t="s">
        <v>482</v>
      </c>
      <c r="D64">
        <v>0.5</v>
      </c>
      <c r="E64">
        <v>-0.9</v>
      </c>
      <c r="F64">
        <v>0</v>
      </c>
    </row>
    <row r="65" spans="2:6" x14ac:dyDescent="0.25">
      <c r="B65" t="s">
        <v>521</v>
      </c>
      <c r="C65">
        <v>1543885</v>
      </c>
    </row>
    <row r="66" spans="2:6" x14ac:dyDescent="0.25">
      <c r="B66" t="s">
        <v>27</v>
      </c>
      <c r="C66" t="s">
        <v>22</v>
      </c>
      <c r="D66">
        <v>0.9</v>
      </c>
      <c r="E66">
        <v>0.3</v>
      </c>
      <c r="F66">
        <v>0</v>
      </c>
    </row>
    <row r="67" spans="2:6" x14ac:dyDescent="0.25">
      <c r="B67" t="s">
        <v>30</v>
      </c>
      <c r="C67" t="s">
        <v>22</v>
      </c>
      <c r="D67">
        <v>0.9</v>
      </c>
      <c r="E67">
        <v>0.3</v>
      </c>
      <c r="F67">
        <v>0</v>
      </c>
    </row>
    <row r="68" spans="2:6" x14ac:dyDescent="0.25">
      <c r="B68" t="s">
        <v>522</v>
      </c>
      <c r="C68">
        <v>1543897</v>
      </c>
    </row>
    <row r="69" spans="2:6" x14ac:dyDescent="0.25">
      <c r="B69" t="s">
        <v>30</v>
      </c>
      <c r="C69" t="s">
        <v>22</v>
      </c>
      <c r="D69">
        <v>0.9</v>
      </c>
      <c r="E69">
        <v>0.3</v>
      </c>
      <c r="F69">
        <v>0</v>
      </c>
    </row>
    <row r="70" spans="2:6" x14ac:dyDescent="0.25">
      <c r="B70" t="s">
        <v>523</v>
      </c>
      <c r="C70">
        <v>1543899</v>
      </c>
    </row>
    <row r="71" spans="2:6" x14ac:dyDescent="0.25">
      <c r="B71" t="s">
        <v>27</v>
      </c>
      <c r="C71" t="s">
        <v>22</v>
      </c>
      <c r="D71">
        <v>0.9</v>
      </c>
      <c r="E71">
        <v>0.3</v>
      </c>
      <c r="F71">
        <v>0</v>
      </c>
    </row>
    <row r="72" spans="2:6" x14ac:dyDescent="0.25">
      <c r="B72" t="s">
        <v>524</v>
      </c>
      <c r="C72">
        <v>1543901</v>
      </c>
    </row>
    <row r="73" spans="2:6" x14ac:dyDescent="0.25">
      <c r="B73" t="s">
        <v>27</v>
      </c>
      <c r="C73" t="s">
        <v>22</v>
      </c>
      <c r="D73">
        <v>0.9</v>
      </c>
      <c r="E73">
        <v>0.3</v>
      </c>
      <c r="F73">
        <v>0</v>
      </c>
    </row>
    <row r="74" spans="2:6" x14ac:dyDescent="0.25">
      <c r="B74" t="s">
        <v>525</v>
      </c>
      <c r="C74">
        <v>1543903</v>
      </c>
    </row>
    <row r="75" spans="2:6" x14ac:dyDescent="0.25">
      <c r="B75" t="s">
        <v>30</v>
      </c>
      <c r="C75" t="s">
        <v>22</v>
      </c>
      <c r="D75">
        <v>0.9</v>
      </c>
      <c r="E75">
        <v>0.3</v>
      </c>
      <c r="F75">
        <v>0</v>
      </c>
    </row>
    <row r="76" spans="2:6" x14ac:dyDescent="0.25">
      <c r="B76" t="s">
        <v>526</v>
      </c>
      <c r="C76">
        <v>1543911</v>
      </c>
    </row>
    <row r="77" spans="2:6" x14ac:dyDescent="0.25">
      <c r="B77" t="s">
        <v>36</v>
      </c>
      <c r="C77" t="s">
        <v>20</v>
      </c>
      <c r="D77">
        <v>-0.9</v>
      </c>
      <c r="E77">
        <v>-0.3</v>
      </c>
      <c r="F77">
        <v>0</v>
      </c>
    </row>
    <row r="78" spans="2:6" x14ac:dyDescent="0.25">
      <c r="B78" t="s">
        <v>527</v>
      </c>
      <c r="C78">
        <v>1543913</v>
      </c>
    </row>
    <row r="79" spans="2:6" x14ac:dyDescent="0.25">
      <c r="B79" t="s">
        <v>27</v>
      </c>
      <c r="C79" t="s">
        <v>20</v>
      </c>
      <c r="D79">
        <v>-0.9</v>
      </c>
      <c r="E79">
        <v>-0.3</v>
      </c>
      <c r="F79">
        <v>0</v>
      </c>
    </row>
    <row r="80" spans="2:6" x14ac:dyDescent="0.25">
      <c r="B80" t="s">
        <v>528</v>
      </c>
      <c r="C80">
        <v>1543915</v>
      </c>
    </row>
    <row r="81" spans="2:6" x14ac:dyDescent="0.25">
      <c r="B81" t="s">
        <v>30</v>
      </c>
      <c r="C81" t="s">
        <v>20</v>
      </c>
      <c r="D81">
        <v>-0.9</v>
      </c>
      <c r="E81">
        <v>-0.3</v>
      </c>
      <c r="F81">
        <v>0</v>
      </c>
    </row>
    <row r="82" spans="2:6" x14ac:dyDescent="0.25">
      <c r="B82" t="s">
        <v>529</v>
      </c>
      <c r="C82">
        <v>1543917</v>
      </c>
    </row>
    <row r="83" spans="2:6" x14ac:dyDescent="0.25">
      <c r="B83" t="s">
        <v>27</v>
      </c>
      <c r="C83" t="s">
        <v>20</v>
      </c>
      <c r="D83">
        <v>-0.9</v>
      </c>
      <c r="E83">
        <v>-0.3</v>
      </c>
      <c r="F83">
        <v>0</v>
      </c>
    </row>
    <row r="84" spans="2:6" x14ac:dyDescent="0.25">
      <c r="B84" t="s">
        <v>530</v>
      </c>
      <c r="C84">
        <v>1543919</v>
      </c>
    </row>
    <row r="85" spans="2:6" x14ac:dyDescent="0.25">
      <c r="B85" t="s">
        <v>27</v>
      </c>
      <c r="C85" t="s">
        <v>20</v>
      </c>
      <c r="D85">
        <v>-0.9</v>
      </c>
      <c r="E85">
        <v>-0.3</v>
      </c>
      <c r="F85">
        <v>0</v>
      </c>
    </row>
    <row r="86" spans="2:6" x14ac:dyDescent="0.25">
      <c r="B86" t="s">
        <v>531</v>
      </c>
      <c r="C86">
        <v>1543921</v>
      </c>
    </row>
    <row r="87" spans="2:6" x14ac:dyDescent="0.25">
      <c r="B87" t="s">
        <v>30</v>
      </c>
      <c r="C87" t="s">
        <v>20</v>
      </c>
      <c r="D87">
        <v>-0.9</v>
      </c>
      <c r="E87">
        <v>-0.3</v>
      </c>
      <c r="F87">
        <v>0</v>
      </c>
    </row>
    <row r="88" spans="2:6" x14ac:dyDescent="0.25">
      <c r="B88" t="s">
        <v>532</v>
      </c>
      <c r="C88">
        <v>1543927</v>
      </c>
    </row>
    <row r="89" spans="2:6" x14ac:dyDescent="0.25">
      <c r="B89" t="s">
        <v>36</v>
      </c>
      <c r="C89" t="s">
        <v>22</v>
      </c>
      <c r="D89">
        <v>0.9</v>
      </c>
      <c r="E89">
        <v>0.3</v>
      </c>
      <c r="F89">
        <v>0</v>
      </c>
    </row>
    <row r="90" spans="2:6" x14ac:dyDescent="0.25">
      <c r="B90" t="s">
        <v>533</v>
      </c>
      <c r="C90">
        <v>1543941</v>
      </c>
    </row>
    <row r="91" spans="2:6" x14ac:dyDescent="0.25">
      <c r="B91" t="s">
        <v>36</v>
      </c>
      <c r="C91" t="s">
        <v>2</v>
      </c>
      <c r="D91">
        <v>1</v>
      </c>
      <c r="E91">
        <v>0.2</v>
      </c>
      <c r="F91">
        <v>0</v>
      </c>
    </row>
    <row r="92" spans="2:6" x14ac:dyDescent="0.25">
      <c r="B92" t="s">
        <v>534</v>
      </c>
      <c r="C92">
        <v>1543943</v>
      </c>
    </row>
    <row r="93" spans="2:6" x14ac:dyDescent="0.25">
      <c r="B93" t="s">
        <v>27</v>
      </c>
      <c r="C93" t="s">
        <v>2</v>
      </c>
      <c r="D93">
        <v>1</v>
      </c>
      <c r="E93">
        <v>0.2</v>
      </c>
      <c r="F93">
        <v>0</v>
      </c>
    </row>
    <row r="94" spans="2:6" x14ac:dyDescent="0.25">
      <c r="B94" t="s">
        <v>535</v>
      </c>
      <c r="C94">
        <v>1543945</v>
      </c>
    </row>
    <row r="95" spans="2:6" x14ac:dyDescent="0.25">
      <c r="B95" t="s">
        <v>36</v>
      </c>
      <c r="C95" t="s">
        <v>1</v>
      </c>
      <c r="D95">
        <v>-1</v>
      </c>
      <c r="E95">
        <v>-0.2</v>
      </c>
      <c r="F95">
        <v>0</v>
      </c>
    </row>
    <row r="96" spans="2:6" x14ac:dyDescent="0.25">
      <c r="B96" t="s">
        <v>536</v>
      </c>
      <c r="C96">
        <v>1543947</v>
      </c>
    </row>
    <row r="97" spans="2:6" x14ac:dyDescent="0.25">
      <c r="B97" t="s">
        <v>27</v>
      </c>
      <c r="C97" t="s">
        <v>2</v>
      </c>
      <c r="D97">
        <v>1</v>
      </c>
      <c r="E97">
        <v>0.2</v>
      </c>
      <c r="F97">
        <v>0</v>
      </c>
    </row>
    <row r="98" spans="2:6" x14ac:dyDescent="0.25">
      <c r="B98" t="s">
        <v>27</v>
      </c>
      <c r="C98" t="s">
        <v>2</v>
      </c>
      <c r="D98">
        <v>1</v>
      </c>
      <c r="E98">
        <v>0.2</v>
      </c>
      <c r="F98">
        <v>0</v>
      </c>
    </row>
    <row r="99" spans="2:6" x14ac:dyDescent="0.25">
      <c r="B99" t="s">
        <v>537</v>
      </c>
      <c r="C99">
        <v>1543951</v>
      </c>
    </row>
    <row r="100" spans="2:6" x14ac:dyDescent="0.25">
      <c r="B100" t="s">
        <v>27</v>
      </c>
      <c r="C100" t="s">
        <v>2</v>
      </c>
      <c r="D100">
        <v>1</v>
      </c>
      <c r="E100">
        <v>0.2</v>
      </c>
      <c r="F100">
        <v>0</v>
      </c>
    </row>
    <row r="101" spans="2:6" x14ac:dyDescent="0.25">
      <c r="B101" t="s">
        <v>538</v>
      </c>
      <c r="C101">
        <v>1543961</v>
      </c>
    </row>
    <row r="102" spans="2:6" x14ac:dyDescent="0.25">
      <c r="B102" t="s">
        <v>36</v>
      </c>
      <c r="C102" t="s">
        <v>1</v>
      </c>
      <c r="D102">
        <v>-1</v>
      </c>
      <c r="E102">
        <v>-0.2</v>
      </c>
      <c r="F102">
        <v>0</v>
      </c>
    </row>
    <row r="103" spans="2:6" x14ac:dyDescent="0.25">
      <c r="B103" t="s">
        <v>539</v>
      </c>
      <c r="C103">
        <v>1543963</v>
      </c>
    </row>
    <row r="104" spans="2:6" x14ac:dyDescent="0.25">
      <c r="B104" t="s">
        <v>33</v>
      </c>
      <c r="C104" t="s">
        <v>1</v>
      </c>
      <c r="D104">
        <v>-1</v>
      </c>
      <c r="E104">
        <v>-0.2</v>
      </c>
      <c r="F104">
        <v>0</v>
      </c>
    </row>
    <row r="105" spans="2:6" x14ac:dyDescent="0.25">
      <c r="B105" t="s">
        <v>540</v>
      </c>
      <c r="C105">
        <v>1543965</v>
      </c>
    </row>
    <row r="106" spans="2:6" x14ac:dyDescent="0.25">
      <c r="B106" t="s">
        <v>33</v>
      </c>
      <c r="C106" t="s">
        <v>1</v>
      </c>
      <c r="D106">
        <v>-1</v>
      </c>
      <c r="E106">
        <v>-0.2</v>
      </c>
      <c r="F106">
        <v>0</v>
      </c>
    </row>
    <row r="107" spans="2:6" x14ac:dyDescent="0.25">
      <c r="B107" t="s">
        <v>33</v>
      </c>
      <c r="C107" t="s">
        <v>1</v>
      </c>
      <c r="D107">
        <v>-1</v>
      </c>
      <c r="E107">
        <v>-0.2</v>
      </c>
      <c r="F107">
        <v>0</v>
      </c>
    </row>
    <row r="108" spans="2:6" x14ac:dyDescent="0.25">
      <c r="B108" t="s">
        <v>541</v>
      </c>
      <c r="C108">
        <v>1543967</v>
      </c>
    </row>
    <row r="109" spans="2:6" x14ac:dyDescent="0.25">
      <c r="B109" t="s">
        <v>28</v>
      </c>
      <c r="C109" t="s">
        <v>1</v>
      </c>
      <c r="D109">
        <v>-1</v>
      </c>
      <c r="E109">
        <v>-0.2</v>
      </c>
      <c r="F109">
        <v>0</v>
      </c>
    </row>
    <row r="110" spans="2:6" x14ac:dyDescent="0.25">
      <c r="B110" t="s">
        <v>33</v>
      </c>
      <c r="C110" t="s">
        <v>1</v>
      </c>
      <c r="D110">
        <v>-1</v>
      </c>
      <c r="E110">
        <v>-0.2</v>
      </c>
      <c r="F110">
        <v>0</v>
      </c>
    </row>
    <row r="111" spans="2:6" x14ac:dyDescent="0.25">
      <c r="B111" t="s">
        <v>542</v>
      </c>
      <c r="C111">
        <v>1543969</v>
      </c>
    </row>
    <row r="112" spans="2:6" x14ac:dyDescent="0.25">
      <c r="B112" t="s">
        <v>28</v>
      </c>
      <c r="C112" t="s">
        <v>1</v>
      </c>
      <c r="D112">
        <v>-1</v>
      </c>
      <c r="E112">
        <v>-0.2</v>
      </c>
      <c r="F112">
        <v>0</v>
      </c>
    </row>
    <row r="113" spans="2:6" x14ac:dyDescent="0.25">
      <c r="B113" t="s">
        <v>543</v>
      </c>
      <c r="C113">
        <v>1543971</v>
      </c>
    </row>
    <row r="114" spans="2:6" x14ac:dyDescent="0.25">
      <c r="B114" t="s">
        <v>36</v>
      </c>
      <c r="C114" t="s">
        <v>1</v>
      </c>
      <c r="D114">
        <v>-1</v>
      </c>
      <c r="E114">
        <v>-0.2</v>
      </c>
      <c r="F114">
        <v>0</v>
      </c>
    </row>
    <row r="115" spans="2:6" x14ac:dyDescent="0.25">
      <c r="B115" t="s">
        <v>544</v>
      </c>
      <c r="C115">
        <v>1543973</v>
      </c>
    </row>
    <row r="116" spans="2:6" x14ac:dyDescent="0.25">
      <c r="B116" t="s">
        <v>33</v>
      </c>
      <c r="C116" t="s">
        <v>1</v>
      </c>
      <c r="D116">
        <v>-1</v>
      </c>
      <c r="E116">
        <v>-0.2</v>
      </c>
      <c r="F116">
        <v>0</v>
      </c>
    </row>
    <row r="117" spans="2:6" x14ac:dyDescent="0.25">
      <c r="B117" t="s">
        <v>545</v>
      </c>
      <c r="C117">
        <v>1543975</v>
      </c>
    </row>
    <row r="118" spans="2:6" x14ac:dyDescent="0.25">
      <c r="B118" t="s">
        <v>30</v>
      </c>
      <c r="C118" t="s">
        <v>1</v>
      </c>
      <c r="D118">
        <v>-1</v>
      </c>
      <c r="E118">
        <v>-0.2</v>
      </c>
      <c r="F118">
        <v>0</v>
      </c>
    </row>
    <row r="119" spans="2:6" x14ac:dyDescent="0.25">
      <c r="B119" t="s">
        <v>546</v>
      </c>
      <c r="C119">
        <v>1544018</v>
      </c>
    </row>
    <row r="120" spans="2:6" x14ac:dyDescent="0.25">
      <c r="B120" t="s">
        <v>30</v>
      </c>
      <c r="C120" t="s">
        <v>547</v>
      </c>
      <c r="D120">
        <v>0.3</v>
      </c>
      <c r="E120">
        <v>-1</v>
      </c>
      <c r="F120">
        <v>0</v>
      </c>
    </row>
    <row r="121" spans="2:6" x14ac:dyDescent="0.25">
      <c r="B121" t="s">
        <v>548</v>
      </c>
      <c r="C121">
        <v>1544034</v>
      </c>
    </row>
    <row r="122" spans="2:6" x14ac:dyDescent="0.25">
      <c r="B122" t="s">
        <v>27</v>
      </c>
      <c r="C122" t="s">
        <v>549</v>
      </c>
      <c r="D122">
        <v>0.6</v>
      </c>
      <c r="E122">
        <v>-0.8</v>
      </c>
      <c r="F122">
        <v>0</v>
      </c>
    </row>
    <row r="123" spans="2:6" x14ac:dyDescent="0.25">
      <c r="B123" t="s">
        <v>550</v>
      </c>
      <c r="C123">
        <v>1544348</v>
      </c>
    </row>
    <row r="124" spans="2:6" x14ac:dyDescent="0.25">
      <c r="B124" t="s">
        <v>27</v>
      </c>
      <c r="C124" t="s">
        <v>551</v>
      </c>
      <c r="D124">
        <v>0.4</v>
      </c>
      <c r="E124">
        <v>-0.9</v>
      </c>
      <c r="F124">
        <v>0</v>
      </c>
    </row>
    <row r="125" spans="2:6" x14ac:dyDescent="0.25">
      <c r="B125" t="s">
        <v>552</v>
      </c>
      <c r="C125">
        <v>1544445</v>
      </c>
    </row>
    <row r="126" spans="2:6" x14ac:dyDescent="0.25">
      <c r="B126" t="s">
        <v>27</v>
      </c>
      <c r="C126" t="s">
        <v>13</v>
      </c>
      <c r="D126">
        <v>0.8</v>
      </c>
      <c r="E126">
        <v>0.5</v>
      </c>
      <c r="F126">
        <v>0</v>
      </c>
    </row>
    <row r="127" spans="2:6" x14ac:dyDescent="0.25">
      <c r="B127" t="s">
        <v>34</v>
      </c>
      <c r="C127" t="s">
        <v>13</v>
      </c>
      <c r="D127">
        <v>0.8</v>
      </c>
      <c r="E127">
        <v>0.5</v>
      </c>
      <c r="F127">
        <v>0</v>
      </c>
    </row>
    <row r="128" spans="2:6" x14ac:dyDescent="0.25">
      <c r="B128" t="s">
        <v>553</v>
      </c>
      <c r="C128">
        <v>1544447</v>
      </c>
    </row>
    <row r="129" spans="2:6" x14ac:dyDescent="0.25">
      <c r="B129" t="s">
        <v>30</v>
      </c>
      <c r="C129" t="s">
        <v>554</v>
      </c>
      <c r="D129">
        <v>0.5</v>
      </c>
      <c r="E129">
        <v>-0.9</v>
      </c>
      <c r="F129">
        <v>0</v>
      </c>
    </row>
    <row r="130" spans="2:6" x14ac:dyDescent="0.25">
      <c r="B130" t="s">
        <v>555</v>
      </c>
      <c r="C130">
        <v>1544513</v>
      </c>
    </row>
    <row r="131" spans="2:6" x14ac:dyDescent="0.25">
      <c r="B131" t="s">
        <v>27</v>
      </c>
      <c r="C131" t="s">
        <v>13</v>
      </c>
      <c r="D131">
        <v>0.8</v>
      </c>
      <c r="E131">
        <v>0.5</v>
      </c>
      <c r="F131">
        <v>0</v>
      </c>
    </row>
    <row r="132" spans="2:6" x14ac:dyDescent="0.25">
      <c r="B132" t="s">
        <v>34</v>
      </c>
      <c r="C132" t="s">
        <v>13</v>
      </c>
      <c r="D132">
        <v>0.8</v>
      </c>
      <c r="E132">
        <v>0.5</v>
      </c>
      <c r="F132">
        <v>0</v>
      </c>
    </row>
    <row r="133" spans="2:6" x14ac:dyDescent="0.25">
      <c r="B133" t="s">
        <v>556</v>
      </c>
      <c r="C133">
        <v>1544515</v>
      </c>
    </row>
    <row r="134" spans="2:6" x14ac:dyDescent="0.25">
      <c r="B134" t="s">
        <v>27</v>
      </c>
      <c r="C134" t="s">
        <v>13</v>
      </c>
      <c r="D134">
        <v>0.8</v>
      </c>
      <c r="E134">
        <v>0.5</v>
      </c>
      <c r="F134">
        <v>0</v>
      </c>
    </row>
    <row r="135" spans="2:6" x14ac:dyDescent="0.25">
      <c r="B135" t="s">
        <v>34</v>
      </c>
      <c r="C135" t="s">
        <v>13</v>
      </c>
      <c r="D135">
        <v>0.8</v>
      </c>
      <c r="E135">
        <v>0.5</v>
      </c>
      <c r="F135">
        <v>0</v>
      </c>
    </row>
    <row r="136" spans="2:6" x14ac:dyDescent="0.25">
      <c r="B136" t="s">
        <v>557</v>
      </c>
      <c r="C136">
        <v>1544517</v>
      </c>
    </row>
    <row r="137" spans="2:6" x14ac:dyDescent="0.25">
      <c r="B137" t="s">
        <v>27</v>
      </c>
      <c r="C137" t="s">
        <v>13</v>
      </c>
      <c r="D137">
        <v>0.8</v>
      </c>
      <c r="E137">
        <v>0.5</v>
      </c>
      <c r="F137">
        <v>0</v>
      </c>
    </row>
    <row r="138" spans="2:6" x14ac:dyDescent="0.25">
      <c r="B138" t="s">
        <v>34</v>
      </c>
      <c r="C138" t="s">
        <v>13</v>
      </c>
      <c r="D138">
        <v>0.8</v>
      </c>
      <c r="E138">
        <v>0.5</v>
      </c>
      <c r="F138">
        <v>0</v>
      </c>
    </row>
    <row r="139" spans="2:6" x14ac:dyDescent="0.25">
      <c r="B139" t="s">
        <v>558</v>
      </c>
      <c r="C139">
        <v>1544519</v>
      </c>
    </row>
    <row r="140" spans="2:6" x14ac:dyDescent="0.25">
      <c r="B140" t="s">
        <v>27</v>
      </c>
      <c r="C140" t="s">
        <v>13</v>
      </c>
      <c r="D140">
        <v>0.8</v>
      </c>
      <c r="E140">
        <v>0.5</v>
      </c>
      <c r="F140">
        <v>0</v>
      </c>
    </row>
    <row r="141" spans="2:6" x14ac:dyDescent="0.25">
      <c r="B141" t="s">
        <v>34</v>
      </c>
      <c r="C141" t="s">
        <v>13</v>
      </c>
      <c r="D141">
        <v>0.8</v>
      </c>
      <c r="E141">
        <v>0.5</v>
      </c>
      <c r="F141">
        <v>0</v>
      </c>
    </row>
    <row r="142" spans="2:6" x14ac:dyDescent="0.25">
      <c r="B142" t="s">
        <v>559</v>
      </c>
      <c r="C142">
        <v>1544521</v>
      </c>
    </row>
    <row r="143" spans="2:6" x14ac:dyDescent="0.25">
      <c r="B143" t="s">
        <v>27</v>
      </c>
      <c r="C143" t="s">
        <v>16</v>
      </c>
      <c r="D143">
        <v>-0.8</v>
      </c>
      <c r="E143">
        <v>-0.5</v>
      </c>
      <c r="F143">
        <v>0</v>
      </c>
    </row>
    <row r="144" spans="2:6" x14ac:dyDescent="0.25">
      <c r="B144" t="s">
        <v>34</v>
      </c>
      <c r="C144" t="s">
        <v>13</v>
      </c>
      <c r="D144">
        <v>0.8</v>
      </c>
      <c r="E144">
        <v>0.5</v>
      </c>
      <c r="F144">
        <v>0</v>
      </c>
    </row>
    <row r="145" spans="2:6" x14ac:dyDescent="0.25">
      <c r="B145" t="s">
        <v>560</v>
      </c>
      <c r="C145">
        <v>1544523</v>
      </c>
    </row>
    <row r="146" spans="2:6" x14ac:dyDescent="0.25">
      <c r="B146" t="s">
        <v>27</v>
      </c>
      <c r="C146" t="s">
        <v>16</v>
      </c>
      <c r="D146">
        <v>-0.8</v>
      </c>
      <c r="E146">
        <v>-0.5</v>
      </c>
      <c r="F146">
        <v>0</v>
      </c>
    </row>
    <row r="147" spans="2:6" x14ac:dyDescent="0.25">
      <c r="B147" t="s">
        <v>34</v>
      </c>
      <c r="C147" t="s">
        <v>13</v>
      </c>
      <c r="D147">
        <v>0.8</v>
      </c>
      <c r="E147">
        <v>0.5</v>
      </c>
      <c r="F147">
        <v>0</v>
      </c>
    </row>
    <row r="148" spans="2:6" x14ac:dyDescent="0.25">
      <c r="B148" t="s">
        <v>561</v>
      </c>
      <c r="C148">
        <v>1544525</v>
      </c>
    </row>
    <row r="149" spans="2:6" x14ac:dyDescent="0.25">
      <c r="B149" t="s">
        <v>27</v>
      </c>
      <c r="C149" t="s">
        <v>16</v>
      </c>
      <c r="D149">
        <v>-0.8</v>
      </c>
      <c r="E149">
        <v>-0.5</v>
      </c>
      <c r="F149">
        <v>0</v>
      </c>
    </row>
    <row r="150" spans="2:6" x14ac:dyDescent="0.25">
      <c r="B150" t="s">
        <v>34</v>
      </c>
      <c r="C150" t="s">
        <v>13</v>
      </c>
      <c r="D150">
        <v>0.8</v>
      </c>
      <c r="E150">
        <v>0.5</v>
      </c>
      <c r="F150">
        <v>0</v>
      </c>
    </row>
    <row r="151" spans="2:6" x14ac:dyDescent="0.25">
      <c r="B151" t="s">
        <v>562</v>
      </c>
      <c r="C151">
        <v>1544527</v>
      </c>
    </row>
    <row r="152" spans="2:6" x14ac:dyDescent="0.25">
      <c r="B152" t="s">
        <v>34</v>
      </c>
      <c r="C152" t="s">
        <v>13</v>
      </c>
      <c r="D152">
        <v>0.8</v>
      </c>
      <c r="E152">
        <v>0.5</v>
      </c>
      <c r="F152">
        <v>0</v>
      </c>
    </row>
    <row r="153" spans="2:6" x14ac:dyDescent="0.25">
      <c r="B153" t="s">
        <v>563</v>
      </c>
      <c r="C153">
        <v>1544537</v>
      </c>
    </row>
    <row r="154" spans="2:6" x14ac:dyDescent="0.25">
      <c r="B154" t="s">
        <v>34</v>
      </c>
      <c r="C154" t="s">
        <v>21</v>
      </c>
      <c r="D154">
        <v>0.9</v>
      </c>
      <c r="E154">
        <v>0.4</v>
      </c>
      <c r="F154">
        <v>0</v>
      </c>
    </row>
    <row r="155" spans="2:6" x14ac:dyDescent="0.25">
      <c r="B155" t="s">
        <v>564</v>
      </c>
      <c r="C155">
        <v>1544539</v>
      </c>
    </row>
    <row r="156" spans="2:6" x14ac:dyDescent="0.25">
      <c r="B156" t="s">
        <v>34</v>
      </c>
      <c r="C156" t="s">
        <v>21</v>
      </c>
      <c r="D156">
        <v>0.9</v>
      </c>
      <c r="E156">
        <v>0.4</v>
      </c>
      <c r="F156">
        <v>0</v>
      </c>
    </row>
    <row r="157" spans="2:6" x14ac:dyDescent="0.25">
      <c r="B157" t="s">
        <v>27</v>
      </c>
      <c r="C157" t="s">
        <v>21</v>
      </c>
      <c r="D157">
        <v>0.9</v>
      </c>
      <c r="E157">
        <v>0.4</v>
      </c>
      <c r="F157">
        <v>0</v>
      </c>
    </row>
    <row r="158" spans="2:6" x14ac:dyDescent="0.25">
      <c r="B158" t="s">
        <v>565</v>
      </c>
      <c r="C158">
        <v>1544541</v>
      </c>
    </row>
    <row r="159" spans="2:6" x14ac:dyDescent="0.25">
      <c r="B159" t="s">
        <v>27</v>
      </c>
      <c r="C159" t="s">
        <v>21</v>
      </c>
      <c r="D159">
        <v>0.9</v>
      </c>
      <c r="E159">
        <v>0.4</v>
      </c>
      <c r="F159">
        <v>0</v>
      </c>
    </row>
    <row r="160" spans="2:6" x14ac:dyDescent="0.25">
      <c r="B160" t="s">
        <v>34</v>
      </c>
      <c r="C160" t="s">
        <v>21</v>
      </c>
      <c r="D160">
        <v>0.9</v>
      </c>
      <c r="E160">
        <v>0.4</v>
      </c>
      <c r="F160">
        <v>0</v>
      </c>
    </row>
    <row r="161" spans="2:6" x14ac:dyDescent="0.25">
      <c r="B161" t="s">
        <v>566</v>
      </c>
      <c r="C161">
        <v>1544543</v>
      </c>
    </row>
    <row r="162" spans="2:6" x14ac:dyDescent="0.25">
      <c r="B162" t="s">
        <v>27</v>
      </c>
      <c r="C162" t="s">
        <v>21</v>
      </c>
      <c r="D162">
        <v>0.9</v>
      </c>
      <c r="E162">
        <v>0.4</v>
      </c>
      <c r="F162">
        <v>0</v>
      </c>
    </row>
    <row r="163" spans="2:6" x14ac:dyDescent="0.25">
      <c r="B163" t="s">
        <v>34</v>
      </c>
      <c r="C163" t="s">
        <v>21</v>
      </c>
      <c r="D163">
        <v>0.9</v>
      </c>
      <c r="E163">
        <v>0.4</v>
      </c>
      <c r="F163">
        <v>0</v>
      </c>
    </row>
    <row r="164" spans="2:6" x14ac:dyDescent="0.25">
      <c r="B164" t="s">
        <v>567</v>
      </c>
      <c r="C164">
        <v>1544545</v>
      </c>
    </row>
    <row r="165" spans="2:6" x14ac:dyDescent="0.25">
      <c r="B165" t="s">
        <v>34</v>
      </c>
      <c r="C165" t="s">
        <v>17</v>
      </c>
      <c r="D165">
        <v>-0.9</v>
      </c>
      <c r="E165">
        <v>-0.4</v>
      </c>
      <c r="F165">
        <v>0</v>
      </c>
    </row>
    <row r="166" spans="2:6" x14ac:dyDescent="0.25">
      <c r="B166" t="s">
        <v>27</v>
      </c>
      <c r="C166" t="s">
        <v>17</v>
      </c>
      <c r="D166">
        <v>-0.9</v>
      </c>
      <c r="E166">
        <v>-0.4</v>
      </c>
      <c r="F166">
        <v>0</v>
      </c>
    </row>
    <row r="167" spans="2:6" x14ac:dyDescent="0.25">
      <c r="B167" t="s">
        <v>568</v>
      </c>
      <c r="C167">
        <v>1544547</v>
      </c>
    </row>
    <row r="168" spans="2:6" x14ac:dyDescent="0.25">
      <c r="B168" t="s">
        <v>34</v>
      </c>
      <c r="C168" t="s">
        <v>17</v>
      </c>
      <c r="D168">
        <v>-0.9</v>
      </c>
      <c r="E168">
        <v>-0.4</v>
      </c>
      <c r="F168">
        <v>0</v>
      </c>
    </row>
    <row r="169" spans="2:6" x14ac:dyDescent="0.25">
      <c r="B169" t="s">
        <v>27</v>
      </c>
      <c r="C169" t="s">
        <v>17</v>
      </c>
      <c r="D169">
        <v>-0.9</v>
      </c>
      <c r="E169">
        <v>-0.4</v>
      </c>
      <c r="F169">
        <v>0</v>
      </c>
    </row>
    <row r="170" spans="2:6" x14ac:dyDescent="0.25">
      <c r="B170" t="s">
        <v>569</v>
      </c>
      <c r="C170">
        <v>1544549</v>
      </c>
    </row>
    <row r="171" spans="2:6" x14ac:dyDescent="0.25">
      <c r="B171" t="s">
        <v>34</v>
      </c>
      <c r="C171" t="s">
        <v>17</v>
      </c>
      <c r="D171">
        <v>-0.9</v>
      </c>
      <c r="E171">
        <v>-0.4</v>
      </c>
      <c r="F171">
        <v>0</v>
      </c>
    </row>
    <row r="172" spans="2:6" x14ac:dyDescent="0.25">
      <c r="B172" t="s">
        <v>27</v>
      </c>
      <c r="C172" t="s">
        <v>17</v>
      </c>
      <c r="D172">
        <v>-0.9</v>
      </c>
      <c r="E172">
        <v>-0.4</v>
      </c>
      <c r="F172">
        <v>0</v>
      </c>
    </row>
    <row r="173" spans="2:6" x14ac:dyDescent="0.25">
      <c r="B173" t="s">
        <v>570</v>
      </c>
      <c r="C173">
        <v>1544551</v>
      </c>
    </row>
    <row r="174" spans="2:6" x14ac:dyDescent="0.25">
      <c r="B174" t="s">
        <v>27</v>
      </c>
      <c r="C174" t="s">
        <v>13</v>
      </c>
      <c r="D174">
        <v>0.8</v>
      </c>
      <c r="E174">
        <v>0.5</v>
      </c>
      <c r="F174">
        <v>0</v>
      </c>
    </row>
    <row r="175" spans="2:6" x14ac:dyDescent="0.25">
      <c r="B175" t="s">
        <v>34</v>
      </c>
      <c r="C175" t="s">
        <v>13</v>
      </c>
      <c r="D175">
        <v>0.8</v>
      </c>
      <c r="E175">
        <v>0.5</v>
      </c>
      <c r="F175">
        <v>0</v>
      </c>
    </row>
    <row r="176" spans="2:6" x14ac:dyDescent="0.25">
      <c r="B176" t="s">
        <v>571</v>
      </c>
      <c r="C176">
        <v>1544553</v>
      </c>
    </row>
    <row r="177" spans="2:6" x14ac:dyDescent="0.25">
      <c r="B177" t="s">
        <v>34</v>
      </c>
      <c r="C177" t="s">
        <v>17</v>
      </c>
      <c r="D177">
        <v>-0.9</v>
      </c>
      <c r="E177">
        <v>-0.4</v>
      </c>
      <c r="F177">
        <v>0</v>
      </c>
    </row>
    <row r="178" spans="2:6" x14ac:dyDescent="0.25">
      <c r="B178" t="s">
        <v>27</v>
      </c>
      <c r="C178" t="s">
        <v>17</v>
      </c>
      <c r="D178">
        <v>-0.9</v>
      </c>
      <c r="E178">
        <v>-0.4</v>
      </c>
      <c r="F178">
        <v>0</v>
      </c>
    </row>
    <row r="179" spans="2:6" x14ac:dyDescent="0.25">
      <c r="B179" t="s">
        <v>572</v>
      </c>
      <c r="C179">
        <v>1544788</v>
      </c>
    </row>
    <row r="180" spans="2:6" x14ac:dyDescent="0.25">
      <c r="B180" t="s">
        <v>28</v>
      </c>
      <c r="C180" t="s">
        <v>1</v>
      </c>
      <c r="D180">
        <v>-1</v>
      </c>
      <c r="E180">
        <v>-0.2</v>
      </c>
      <c r="F180">
        <v>0</v>
      </c>
    </row>
    <row r="181" spans="2:6" x14ac:dyDescent="0.25">
      <c r="B181" t="s">
        <v>573</v>
      </c>
      <c r="C181">
        <v>1544810</v>
      </c>
    </row>
    <row r="182" spans="2:6" x14ac:dyDescent="0.25">
      <c r="B182" t="s">
        <v>30</v>
      </c>
      <c r="C182" t="s">
        <v>1</v>
      </c>
      <c r="D182">
        <v>-1</v>
      </c>
      <c r="E182">
        <v>-0.2</v>
      </c>
      <c r="F182">
        <v>0</v>
      </c>
    </row>
    <row r="183" spans="2:6" x14ac:dyDescent="0.25">
      <c r="B183" t="s">
        <v>33</v>
      </c>
      <c r="C183" t="s">
        <v>1</v>
      </c>
      <c r="D183">
        <v>-1</v>
      </c>
      <c r="E183">
        <v>-0.2</v>
      </c>
      <c r="F183">
        <v>0</v>
      </c>
    </row>
    <row r="184" spans="2:6" x14ac:dyDescent="0.25">
      <c r="B184" t="s">
        <v>28</v>
      </c>
      <c r="C184" t="s">
        <v>1</v>
      </c>
      <c r="D184">
        <v>-1</v>
      </c>
      <c r="E184">
        <v>-0.2</v>
      </c>
      <c r="F184">
        <v>0</v>
      </c>
    </row>
    <row r="185" spans="2:6" x14ac:dyDescent="0.25">
      <c r="B185" t="s">
        <v>574</v>
      </c>
      <c r="C185">
        <v>1544812</v>
      </c>
    </row>
    <row r="186" spans="2:6" x14ac:dyDescent="0.25">
      <c r="B186" t="s">
        <v>30</v>
      </c>
      <c r="C186" t="s">
        <v>1</v>
      </c>
      <c r="D186">
        <v>-1</v>
      </c>
      <c r="E186">
        <v>-0.2</v>
      </c>
      <c r="F186">
        <v>0</v>
      </c>
    </row>
    <row r="187" spans="2:6" x14ac:dyDescent="0.25">
      <c r="B187" t="s">
        <v>575</v>
      </c>
      <c r="C187">
        <v>1544818</v>
      </c>
    </row>
    <row r="188" spans="2:6" x14ac:dyDescent="0.25">
      <c r="B188" t="s">
        <v>36</v>
      </c>
      <c r="C188" t="s">
        <v>251</v>
      </c>
      <c r="D188">
        <v>0.2</v>
      </c>
      <c r="E188">
        <v>-1</v>
      </c>
      <c r="F188">
        <v>0</v>
      </c>
    </row>
    <row r="189" spans="2:6" x14ac:dyDescent="0.25">
      <c r="B189" t="s">
        <v>27</v>
      </c>
      <c r="C189" t="s">
        <v>489</v>
      </c>
      <c r="D189">
        <v>0.2</v>
      </c>
      <c r="E189">
        <v>-1</v>
      </c>
      <c r="F189">
        <v>0</v>
      </c>
    </row>
    <row r="190" spans="2:6" x14ac:dyDescent="0.25">
      <c r="B190" t="s">
        <v>576</v>
      </c>
      <c r="C190">
        <v>1544840</v>
      </c>
    </row>
    <row r="191" spans="2:6" x14ac:dyDescent="0.25">
      <c r="B191" t="s">
        <v>36</v>
      </c>
      <c r="C191" t="s">
        <v>251</v>
      </c>
      <c r="D191">
        <v>0.2</v>
      </c>
      <c r="E191">
        <v>-1</v>
      </c>
      <c r="F191">
        <v>0</v>
      </c>
    </row>
    <row r="192" spans="2:6" x14ac:dyDescent="0.25">
      <c r="B192" t="s">
        <v>577</v>
      </c>
      <c r="C192">
        <v>1544842</v>
      </c>
    </row>
    <row r="193" spans="2:6" x14ac:dyDescent="0.25">
      <c r="B193" t="s">
        <v>36</v>
      </c>
      <c r="C193" t="s">
        <v>1</v>
      </c>
      <c r="D193">
        <v>-1</v>
      </c>
      <c r="E193">
        <v>-0.2</v>
      </c>
      <c r="F193">
        <v>0</v>
      </c>
    </row>
    <row r="194" spans="2:6" x14ac:dyDescent="0.25">
      <c r="B194" t="s">
        <v>578</v>
      </c>
      <c r="C194">
        <v>1544844</v>
      </c>
    </row>
    <row r="195" spans="2:6" x14ac:dyDescent="0.25">
      <c r="B195" t="s">
        <v>33</v>
      </c>
      <c r="C195" t="s">
        <v>1</v>
      </c>
      <c r="D195">
        <v>-1</v>
      </c>
      <c r="E195">
        <v>-0.2</v>
      </c>
      <c r="F195">
        <v>0</v>
      </c>
    </row>
    <row r="196" spans="2:6" x14ac:dyDescent="0.25">
      <c r="B196" t="s">
        <v>579</v>
      </c>
      <c r="C196">
        <v>1544846</v>
      </c>
    </row>
    <row r="197" spans="2:6" x14ac:dyDescent="0.25">
      <c r="B197" t="s">
        <v>28</v>
      </c>
      <c r="C197" t="s">
        <v>1</v>
      </c>
      <c r="D197">
        <v>-1</v>
      </c>
      <c r="E197">
        <v>-0.2</v>
      </c>
      <c r="F197">
        <v>0</v>
      </c>
    </row>
    <row r="198" spans="2:6" x14ac:dyDescent="0.25">
      <c r="B198" t="s">
        <v>580</v>
      </c>
      <c r="C198">
        <v>1544892</v>
      </c>
    </row>
    <row r="199" spans="2:6" x14ac:dyDescent="0.25">
      <c r="B199" t="s">
        <v>38</v>
      </c>
      <c r="C199" t="s">
        <v>581</v>
      </c>
      <c r="D199">
        <v>-0.2</v>
      </c>
      <c r="E199">
        <v>-1</v>
      </c>
      <c r="F199">
        <v>0</v>
      </c>
    </row>
    <row r="200" spans="2:6" x14ac:dyDescent="0.25">
      <c r="B200" t="s">
        <v>582</v>
      </c>
      <c r="C200">
        <v>1544904</v>
      </c>
    </row>
    <row r="201" spans="2:6" x14ac:dyDescent="0.25">
      <c r="B201" t="s">
        <v>27</v>
      </c>
      <c r="C201" t="s">
        <v>11</v>
      </c>
      <c r="D201">
        <v>1</v>
      </c>
      <c r="E201">
        <v>0</v>
      </c>
      <c r="F201">
        <v>0</v>
      </c>
    </row>
    <row r="202" spans="2:6" x14ac:dyDescent="0.25">
      <c r="B202" t="s">
        <v>583</v>
      </c>
      <c r="C202">
        <v>1544908</v>
      </c>
    </row>
    <row r="203" spans="2:6" x14ac:dyDescent="0.25">
      <c r="B203" t="s">
        <v>30</v>
      </c>
      <c r="C203" t="s">
        <v>10</v>
      </c>
      <c r="D203">
        <v>-1</v>
      </c>
      <c r="E203">
        <v>0</v>
      </c>
      <c r="F203">
        <v>0</v>
      </c>
    </row>
    <row r="204" spans="2:6" x14ac:dyDescent="0.25">
      <c r="B204" t="s">
        <v>28</v>
      </c>
      <c r="C204" t="s">
        <v>10</v>
      </c>
      <c r="D204">
        <v>-1</v>
      </c>
      <c r="E204">
        <v>0</v>
      </c>
      <c r="F204">
        <v>0</v>
      </c>
    </row>
    <row r="205" spans="2:6" x14ac:dyDescent="0.25">
      <c r="B205" t="s">
        <v>584</v>
      </c>
      <c r="C205">
        <v>1544912</v>
      </c>
    </row>
    <row r="206" spans="2:6" x14ac:dyDescent="0.25">
      <c r="B206" t="s">
        <v>30</v>
      </c>
      <c r="C206" t="s">
        <v>11</v>
      </c>
      <c r="D206">
        <v>1</v>
      </c>
      <c r="E206">
        <v>0</v>
      </c>
      <c r="F206">
        <v>0</v>
      </c>
    </row>
    <row r="207" spans="2:6" x14ac:dyDescent="0.25">
      <c r="B207" t="s">
        <v>585</v>
      </c>
      <c r="C207">
        <v>1544916</v>
      </c>
    </row>
    <row r="208" spans="2:6" x14ac:dyDescent="0.25">
      <c r="B208" t="s">
        <v>36</v>
      </c>
      <c r="C208" t="s">
        <v>11</v>
      </c>
      <c r="D208">
        <v>1</v>
      </c>
      <c r="E208">
        <v>0</v>
      </c>
      <c r="F208">
        <v>0</v>
      </c>
    </row>
    <row r="209" spans="2:6" x14ac:dyDescent="0.25">
      <c r="B209" t="s">
        <v>28</v>
      </c>
      <c r="C209" t="s">
        <v>11</v>
      </c>
      <c r="D209">
        <v>1</v>
      </c>
      <c r="E209">
        <v>0</v>
      </c>
      <c r="F209">
        <v>0</v>
      </c>
    </row>
    <row r="210" spans="2:6" x14ac:dyDescent="0.25">
      <c r="B210" t="s">
        <v>586</v>
      </c>
      <c r="C210">
        <v>1544918</v>
      </c>
    </row>
    <row r="211" spans="2:6" x14ac:dyDescent="0.25">
      <c r="B211" t="s">
        <v>28</v>
      </c>
      <c r="C211" t="s">
        <v>11</v>
      </c>
      <c r="D211">
        <v>1</v>
      </c>
      <c r="E211">
        <v>0</v>
      </c>
      <c r="F211">
        <v>0</v>
      </c>
    </row>
    <row r="212" spans="2:6" x14ac:dyDescent="0.25">
      <c r="B212" t="s">
        <v>587</v>
      </c>
      <c r="C212">
        <v>1544940</v>
      </c>
    </row>
    <row r="213" spans="2:6" x14ac:dyDescent="0.25">
      <c r="B213" t="s">
        <v>36</v>
      </c>
      <c r="C213" t="s">
        <v>10</v>
      </c>
      <c r="D213">
        <v>-1</v>
      </c>
      <c r="E213">
        <v>0</v>
      </c>
      <c r="F213">
        <v>0</v>
      </c>
    </row>
    <row r="214" spans="2:6" x14ac:dyDescent="0.25">
      <c r="B214" t="s">
        <v>30</v>
      </c>
      <c r="C214" t="s">
        <v>10</v>
      </c>
      <c r="D214">
        <v>-1</v>
      </c>
      <c r="E214">
        <v>0</v>
      </c>
      <c r="F214">
        <v>0</v>
      </c>
    </row>
    <row r="215" spans="2:6" x14ac:dyDescent="0.25">
      <c r="B215" t="s">
        <v>588</v>
      </c>
      <c r="C215">
        <v>1544952</v>
      </c>
    </row>
    <row r="216" spans="2:6" x14ac:dyDescent="0.25">
      <c r="B216" t="s">
        <v>30</v>
      </c>
      <c r="C216" t="s">
        <v>338</v>
      </c>
      <c r="D216">
        <v>1</v>
      </c>
      <c r="E216">
        <v>-0.1</v>
      </c>
      <c r="F216">
        <v>0</v>
      </c>
    </row>
    <row r="217" spans="2:6" x14ac:dyDescent="0.25">
      <c r="B217" t="s">
        <v>36</v>
      </c>
      <c r="C217" t="s">
        <v>9</v>
      </c>
      <c r="D217">
        <v>-1</v>
      </c>
      <c r="E217">
        <v>0.1</v>
      </c>
      <c r="F217">
        <v>0</v>
      </c>
    </row>
    <row r="218" spans="2:6" x14ac:dyDescent="0.25">
      <c r="B218" t="s">
        <v>589</v>
      </c>
      <c r="C218">
        <v>1544954</v>
      </c>
    </row>
    <row r="219" spans="2:6" x14ac:dyDescent="0.25">
      <c r="B219" t="s">
        <v>27</v>
      </c>
      <c r="C219" t="s">
        <v>9</v>
      </c>
      <c r="D219">
        <v>-1</v>
      </c>
      <c r="E219">
        <v>0.1</v>
      </c>
      <c r="F219">
        <v>0</v>
      </c>
    </row>
    <row r="220" spans="2:6" x14ac:dyDescent="0.25">
      <c r="B220" t="s">
        <v>36</v>
      </c>
      <c r="C220" t="s">
        <v>9</v>
      </c>
      <c r="D220">
        <v>-1</v>
      </c>
      <c r="E220">
        <v>0.1</v>
      </c>
      <c r="F220">
        <v>0</v>
      </c>
    </row>
    <row r="221" spans="2:6" x14ac:dyDescent="0.25">
      <c r="B221" t="s">
        <v>27</v>
      </c>
      <c r="C221" t="s">
        <v>9</v>
      </c>
      <c r="D221">
        <v>-1</v>
      </c>
      <c r="E221">
        <v>0.1</v>
      </c>
      <c r="F221">
        <v>0</v>
      </c>
    </row>
    <row r="222" spans="2:6" x14ac:dyDescent="0.25">
      <c r="B222" t="s">
        <v>590</v>
      </c>
      <c r="C222">
        <v>1544960</v>
      </c>
    </row>
    <row r="223" spans="2:6" x14ac:dyDescent="0.25">
      <c r="B223" t="s">
        <v>30</v>
      </c>
      <c r="C223" t="s">
        <v>338</v>
      </c>
      <c r="D223">
        <v>1</v>
      </c>
      <c r="E223">
        <v>-0.1</v>
      </c>
      <c r="F223">
        <v>0</v>
      </c>
    </row>
    <row r="224" spans="2:6" x14ac:dyDescent="0.25">
      <c r="B224" t="s">
        <v>36</v>
      </c>
      <c r="C224" t="s">
        <v>338</v>
      </c>
      <c r="D224">
        <v>1</v>
      </c>
      <c r="E224">
        <v>-0.1</v>
      </c>
      <c r="F224">
        <v>0</v>
      </c>
    </row>
    <row r="225" spans="2:6" x14ac:dyDescent="0.25">
      <c r="B225" t="s">
        <v>591</v>
      </c>
      <c r="C225">
        <v>1544962</v>
      </c>
    </row>
    <row r="226" spans="2:6" x14ac:dyDescent="0.25">
      <c r="B226" t="s">
        <v>30</v>
      </c>
      <c r="C226" t="s">
        <v>338</v>
      </c>
      <c r="D226">
        <v>1</v>
      </c>
      <c r="E226">
        <v>-0.1</v>
      </c>
      <c r="F226">
        <v>0</v>
      </c>
    </row>
    <row r="227" spans="2:6" x14ac:dyDescent="0.25">
      <c r="B227" t="s">
        <v>28</v>
      </c>
      <c r="C227" t="s">
        <v>338</v>
      </c>
      <c r="D227">
        <v>1</v>
      </c>
      <c r="E227">
        <v>-0.1</v>
      </c>
      <c r="F227">
        <v>0</v>
      </c>
    </row>
    <row r="228" spans="2:6" x14ac:dyDescent="0.25">
      <c r="B228" t="s">
        <v>592</v>
      </c>
      <c r="C228">
        <v>1544970</v>
      </c>
    </row>
    <row r="229" spans="2:6" x14ac:dyDescent="0.25">
      <c r="B229" t="s">
        <v>27</v>
      </c>
      <c r="C229" t="s">
        <v>9</v>
      </c>
      <c r="D229">
        <v>-1</v>
      </c>
      <c r="E229">
        <v>0.1</v>
      </c>
      <c r="F229">
        <v>0</v>
      </c>
    </row>
    <row r="230" spans="2:6" x14ac:dyDescent="0.25">
      <c r="B230" t="s">
        <v>30</v>
      </c>
      <c r="C230" t="s">
        <v>338</v>
      </c>
      <c r="D230">
        <v>1</v>
      </c>
      <c r="E230">
        <v>-0.1</v>
      </c>
      <c r="F230">
        <v>0</v>
      </c>
    </row>
    <row r="231" spans="2:6" x14ac:dyDescent="0.25">
      <c r="B231" t="s">
        <v>593</v>
      </c>
      <c r="C231">
        <v>1544976</v>
      </c>
    </row>
    <row r="232" spans="2:6" x14ac:dyDescent="0.25">
      <c r="B232" t="s">
        <v>36</v>
      </c>
      <c r="C232" t="s">
        <v>9</v>
      </c>
      <c r="D232">
        <v>-1</v>
      </c>
      <c r="E232">
        <v>0.1</v>
      </c>
      <c r="F232">
        <v>0</v>
      </c>
    </row>
    <row r="233" spans="2:6" x14ac:dyDescent="0.25">
      <c r="B233" t="s">
        <v>594</v>
      </c>
      <c r="C233">
        <v>1545042</v>
      </c>
    </row>
    <row r="234" spans="2:6" x14ac:dyDescent="0.25">
      <c r="B234" t="s">
        <v>27</v>
      </c>
      <c r="C234" t="s">
        <v>595</v>
      </c>
      <c r="D234">
        <v>0.6</v>
      </c>
      <c r="E234">
        <v>-0.8</v>
      </c>
      <c r="F234">
        <v>0</v>
      </c>
    </row>
    <row r="235" spans="2:6" x14ac:dyDescent="0.25">
      <c r="C235">
        <v>1634473</v>
      </c>
    </row>
    <row r="236" spans="2:6" x14ac:dyDescent="0.25">
      <c r="B236" t="s">
        <v>29</v>
      </c>
      <c r="C236" t="s">
        <v>1</v>
      </c>
      <c r="D236">
        <v>-1</v>
      </c>
      <c r="E236">
        <v>-0.2</v>
      </c>
      <c r="F236">
        <v>0</v>
      </c>
    </row>
    <row r="237" spans="2:6" x14ac:dyDescent="0.25">
      <c r="B237" t="s">
        <v>29</v>
      </c>
      <c r="C237" t="s">
        <v>1</v>
      </c>
      <c r="D237">
        <v>-1</v>
      </c>
      <c r="E237">
        <v>-0.2</v>
      </c>
      <c r="F237">
        <v>0</v>
      </c>
    </row>
    <row r="238" spans="2:6" x14ac:dyDescent="0.25">
      <c r="B238" t="s">
        <v>43</v>
      </c>
      <c r="C238" t="s">
        <v>1</v>
      </c>
      <c r="D238">
        <v>-1</v>
      </c>
      <c r="E238">
        <v>-0.2</v>
      </c>
      <c r="F238">
        <v>0</v>
      </c>
    </row>
    <row r="239" spans="2:6" x14ac:dyDescent="0.25">
      <c r="B239" t="s">
        <v>43</v>
      </c>
      <c r="C239" t="s">
        <v>1</v>
      </c>
      <c r="D239">
        <v>-1</v>
      </c>
      <c r="E239">
        <v>-0.2</v>
      </c>
      <c r="F239">
        <v>0</v>
      </c>
    </row>
    <row r="240" spans="2:6" x14ac:dyDescent="0.25">
      <c r="B240" t="s">
        <v>596</v>
      </c>
      <c r="C240">
        <v>1666257</v>
      </c>
    </row>
    <row r="241" spans="2:6" x14ac:dyDescent="0.25">
      <c r="B241" t="s">
        <v>30</v>
      </c>
      <c r="C241" t="s">
        <v>416</v>
      </c>
      <c r="D241">
        <v>0.4</v>
      </c>
      <c r="E241">
        <v>-0.9</v>
      </c>
      <c r="F241">
        <v>0</v>
      </c>
    </row>
    <row r="242" spans="2:6" x14ac:dyDescent="0.25">
      <c r="B242" t="s">
        <v>597</v>
      </c>
      <c r="C242">
        <v>1666277</v>
      </c>
    </row>
    <row r="243" spans="2:6" x14ac:dyDescent="0.25">
      <c r="B243" t="s">
        <v>29</v>
      </c>
      <c r="C243" t="s">
        <v>598</v>
      </c>
      <c r="D243">
        <v>0.5</v>
      </c>
      <c r="E243">
        <v>-0.9</v>
      </c>
      <c r="F243">
        <v>0</v>
      </c>
    </row>
    <row r="244" spans="2:6" x14ac:dyDescent="0.25">
      <c r="B244" t="s">
        <v>599</v>
      </c>
      <c r="C244">
        <v>1666287</v>
      </c>
    </row>
    <row r="245" spans="2:6" x14ac:dyDescent="0.25">
      <c r="B245" t="s">
        <v>27</v>
      </c>
      <c r="C245" t="s">
        <v>549</v>
      </c>
      <c r="D245">
        <v>0.6</v>
      </c>
      <c r="E245">
        <v>-0.8</v>
      </c>
      <c r="F245">
        <v>0</v>
      </c>
    </row>
    <row r="246" spans="2:6" x14ac:dyDescent="0.25">
      <c r="B246" t="s">
        <v>29</v>
      </c>
      <c r="C246" t="s">
        <v>600</v>
      </c>
      <c r="D246">
        <v>0.5</v>
      </c>
      <c r="E246">
        <v>-0.8</v>
      </c>
      <c r="F246">
        <v>0</v>
      </c>
    </row>
    <row r="247" spans="2:6" x14ac:dyDescent="0.25">
      <c r="B247" t="s">
        <v>601</v>
      </c>
      <c r="C247">
        <v>1666299</v>
      </c>
    </row>
    <row r="248" spans="2:6" x14ac:dyDescent="0.25">
      <c r="B248" t="s">
        <v>34</v>
      </c>
      <c r="C248" t="s">
        <v>17</v>
      </c>
      <c r="D248">
        <v>-0.9</v>
      </c>
      <c r="E248">
        <v>-0.4</v>
      </c>
      <c r="F248">
        <v>0</v>
      </c>
    </row>
    <row r="249" spans="2:6" x14ac:dyDescent="0.25">
      <c r="B249" t="s">
        <v>27</v>
      </c>
      <c r="C249" t="s">
        <v>17</v>
      </c>
      <c r="D249">
        <v>-0.9</v>
      </c>
      <c r="E249">
        <v>-0.4</v>
      </c>
      <c r="F249">
        <v>0</v>
      </c>
    </row>
    <row r="250" spans="2:6" x14ac:dyDescent="0.25">
      <c r="B250" t="s">
        <v>34</v>
      </c>
      <c r="C250" t="s">
        <v>17</v>
      </c>
      <c r="D250">
        <v>-0.9</v>
      </c>
      <c r="E250">
        <v>-0.4</v>
      </c>
      <c r="F250">
        <v>0</v>
      </c>
    </row>
    <row r="251" spans="2:6" x14ac:dyDescent="0.25">
      <c r="B251" t="s">
        <v>27</v>
      </c>
      <c r="C251" t="s">
        <v>17</v>
      </c>
      <c r="D251">
        <v>-0.9</v>
      </c>
      <c r="E251">
        <v>-0.4</v>
      </c>
      <c r="F251">
        <v>0</v>
      </c>
    </row>
    <row r="252" spans="2:6" x14ac:dyDescent="0.25">
      <c r="B252" t="s">
        <v>34</v>
      </c>
      <c r="C252" t="s">
        <v>17</v>
      </c>
      <c r="D252">
        <v>-0.9</v>
      </c>
      <c r="E252">
        <v>-0.4</v>
      </c>
      <c r="F252">
        <v>0</v>
      </c>
    </row>
    <row r="253" spans="2:6" x14ac:dyDescent="0.25">
      <c r="B253" t="s">
        <v>27</v>
      </c>
      <c r="C253" t="s">
        <v>17</v>
      </c>
      <c r="D253">
        <v>-0.9</v>
      </c>
      <c r="E253">
        <v>-0.4</v>
      </c>
      <c r="F253">
        <v>0</v>
      </c>
    </row>
    <row r="254" spans="2:6" x14ac:dyDescent="0.25">
      <c r="B254" t="s">
        <v>30</v>
      </c>
      <c r="C254" t="s">
        <v>22</v>
      </c>
      <c r="D254">
        <v>0.9</v>
      </c>
      <c r="E254">
        <v>0.3</v>
      </c>
      <c r="F254">
        <v>0</v>
      </c>
    </row>
    <row r="255" spans="2:6" x14ac:dyDescent="0.25">
      <c r="B255" t="s">
        <v>27</v>
      </c>
      <c r="C255" t="s">
        <v>22</v>
      </c>
      <c r="D255">
        <v>0.9</v>
      </c>
      <c r="E255">
        <v>0.3</v>
      </c>
      <c r="F255">
        <v>0</v>
      </c>
    </row>
    <row r="256" spans="2:6" x14ac:dyDescent="0.25">
      <c r="B256" t="s">
        <v>27</v>
      </c>
      <c r="C256" t="s">
        <v>22</v>
      </c>
      <c r="D256">
        <v>0.9</v>
      </c>
      <c r="E256">
        <v>0.3</v>
      </c>
      <c r="F256">
        <v>0</v>
      </c>
    </row>
    <row r="257" spans="2:6" x14ac:dyDescent="0.25">
      <c r="B257" t="s">
        <v>36</v>
      </c>
      <c r="C257" t="s">
        <v>22</v>
      </c>
      <c r="D257">
        <v>0.9</v>
      </c>
      <c r="E257">
        <v>0.3</v>
      </c>
      <c r="F257">
        <v>0</v>
      </c>
    </row>
    <row r="258" spans="2:6" x14ac:dyDescent="0.25">
      <c r="B258" t="s">
        <v>27</v>
      </c>
      <c r="C258" t="s">
        <v>22</v>
      </c>
      <c r="D258">
        <v>0.9</v>
      </c>
      <c r="E258">
        <v>0.3</v>
      </c>
      <c r="F258">
        <v>0</v>
      </c>
    </row>
    <row r="259" spans="2:6" x14ac:dyDescent="0.25">
      <c r="B259" t="s">
        <v>30</v>
      </c>
      <c r="C259" t="s">
        <v>22</v>
      </c>
      <c r="D259">
        <v>0.9</v>
      </c>
      <c r="E259">
        <v>0.3</v>
      </c>
      <c r="F259">
        <v>0</v>
      </c>
    </row>
    <row r="260" spans="2:6" x14ac:dyDescent="0.25">
      <c r="C260">
        <v>1676453</v>
      </c>
    </row>
    <row r="261" spans="2:6" x14ac:dyDescent="0.25">
      <c r="B261" t="s">
        <v>30</v>
      </c>
      <c r="C261" t="s">
        <v>10</v>
      </c>
      <c r="D261">
        <v>-1</v>
      </c>
      <c r="E261">
        <v>0</v>
      </c>
      <c r="F261">
        <v>0</v>
      </c>
    </row>
    <row r="262" spans="2:6" x14ac:dyDescent="0.25">
      <c r="B262" t="s">
        <v>602</v>
      </c>
      <c r="C262">
        <v>1686817</v>
      </c>
    </row>
    <row r="263" spans="2:6" x14ac:dyDescent="0.25">
      <c r="B263" t="s">
        <v>33</v>
      </c>
      <c r="C263" t="s">
        <v>2</v>
      </c>
      <c r="D263">
        <v>1</v>
      </c>
      <c r="E263">
        <v>0.2</v>
      </c>
      <c r="F263">
        <v>0</v>
      </c>
    </row>
    <row r="264" spans="2:6" x14ac:dyDescent="0.25">
      <c r="B264" t="s">
        <v>603</v>
      </c>
      <c r="C264">
        <v>1686860</v>
      </c>
    </row>
    <row r="265" spans="2:6" x14ac:dyDescent="0.25">
      <c r="B265" t="s">
        <v>36</v>
      </c>
      <c r="C265" t="s">
        <v>1</v>
      </c>
      <c r="D265">
        <v>-1</v>
      </c>
      <c r="E265">
        <v>-0.2</v>
      </c>
      <c r="F265">
        <v>0</v>
      </c>
    </row>
    <row r="266" spans="2:6" x14ac:dyDescent="0.25">
      <c r="B266" t="s">
        <v>604</v>
      </c>
      <c r="C266">
        <v>1687921</v>
      </c>
    </row>
    <row r="267" spans="2:6" x14ac:dyDescent="0.25">
      <c r="B267" t="s">
        <v>33</v>
      </c>
      <c r="C267" t="s">
        <v>1</v>
      </c>
      <c r="D267">
        <v>-1</v>
      </c>
      <c r="E267">
        <v>-0.2</v>
      </c>
      <c r="F267">
        <v>0</v>
      </c>
    </row>
    <row r="268" spans="2:6" x14ac:dyDescent="0.25">
      <c r="B268" t="s">
        <v>605</v>
      </c>
      <c r="C268">
        <v>1687931</v>
      </c>
    </row>
    <row r="269" spans="2:6" x14ac:dyDescent="0.25">
      <c r="B269" t="s">
        <v>33</v>
      </c>
      <c r="C269" t="s">
        <v>13</v>
      </c>
      <c r="D269">
        <v>0.8</v>
      </c>
      <c r="E269">
        <v>0.5</v>
      </c>
      <c r="F269">
        <v>0</v>
      </c>
    </row>
    <row r="270" spans="2:6" x14ac:dyDescent="0.25">
      <c r="B270" t="s">
        <v>31</v>
      </c>
      <c r="C270" t="s">
        <v>13</v>
      </c>
      <c r="D270">
        <v>0.8</v>
      </c>
      <c r="E270">
        <v>0.5</v>
      </c>
      <c r="F270">
        <v>0</v>
      </c>
    </row>
    <row r="271" spans="2:6" x14ac:dyDescent="0.25">
      <c r="B271" t="s">
        <v>606</v>
      </c>
      <c r="C271">
        <v>1687933</v>
      </c>
    </row>
    <row r="272" spans="2:6" x14ac:dyDescent="0.25">
      <c r="B272" t="s">
        <v>36</v>
      </c>
      <c r="C272" t="s">
        <v>338</v>
      </c>
      <c r="D272">
        <v>1</v>
      </c>
      <c r="E272">
        <v>-0.1</v>
      </c>
      <c r="F272">
        <v>0</v>
      </c>
    </row>
    <row r="273" spans="2:6" x14ac:dyDescent="0.25">
      <c r="B273" t="s">
        <v>36</v>
      </c>
      <c r="C273" t="s">
        <v>338</v>
      </c>
      <c r="D273">
        <v>1</v>
      </c>
      <c r="E273">
        <v>-0.1</v>
      </c>
      <c r="F273">
        <v>0</v>
      </c>
    </row>
    <row r="274" spans="2:6" x14ac:dyDescent="0.25">
      <c r="B274" t="s">
        <v>607</v>
      </c>
      <c r="C274">
        <v>1687939</v>
      </c>
    </row>
    <row r="275" spans="2:6" x14ac:dyDescent="0.25">
      <c r="B275" t="s">
        <v>36</v>
      </c>
      <c r="C275" t="s">
        <v>5</v>
      </c>
      <c r="D275">
        <v>0.2</v>
      </c>
      <c r="E275">
        <v>-1</v>
      </c>
      <c r="F275">
        <v>0</v>
      </c>
    </row>
    <row r="276" spans="2:6" x14ac:dyDescent="0.25">
      <c r="C276">
        <v>1714073</v>
      </c>
    </row>
    <row r="277" spans="2:6" x14ac:dyDescent="0.25">
      <c r="B277" t="s">
        <v>30</v>
      </c>
      <c r="C277" t="s">
        <v>1</v>
      </c>
      <c r="D277">
        <v>-1</v>
      </c>
      <c r="E277">
        <v>-0.2</v>
      </c>
      <c r="F277">
        <v>0</v>
      </c>
    </row>
    <row r="278" spans="2:6" x14ac:dyDescent="0.25">
      <c r="B278" t="s">
        <v>36</v>
      </c>
      <c r="C278" t="s">
        <v>1</v>
      </c>
      <c r="D278">
        <v>-1</v>
      </c>
      <c r="E278">
        <v>-0.2</v>
      </c>
      <c r="F278">
        <v>0</v>
      </c>
    </row>
    <row r="279" spans="2:6" x14ac:dyDescent="0.25">
      <c r="B279" t="s">
        <v>608</v>
      </c>
      <c r="C279">
        <v>1751984</v>
      </c>
    </row>
    <row r="280" spans="2:6" x14ac:dyDescent="0.25">
      <c r="B280" t="s">
        <v>30</v>
      </c>
      <c r="C280" t="s">
        <v>5</v>
      </c>
      <c r="D280">
        <v>0.2</v>
      </c>
      <c r="E280">
        <v>-1</v>
      </c>
      <c r="F280">
        <v>0</v>
      </c>
    </row>
    <row r="281" spans="2:6" x14ac:dyDescent="0.25">
      <c r="B281" t="s">
        <v>609</v>
      </c>
      <c r="C281">
        <v>1775251</v>
      </c>
    </row>
    <row r="282" spans="2:6" x14ac:dyDescent="0.25">
      <c r="B282" t="s">
        <v>30</v>
      </c>
      <c r="C282" t="s">
        <v>338</v>
      </c>
      <c r="D282">
        <v>1</v>
      </c>
      <c r="E282">
        <v>-0.1</v>
      </c>
      <c r="F282">
        <v>0</v>
      </c>
    </row>
    <row r="283" spans="2:6" x14ac:dyDescent="0.25">
      <c r="B283" t="s">
        <v>610</v>
      </c>
      <c r="C283">
        <v>1778842</v>
      </c>
    </row>
    <row r="284" spans="2:6" x14ac:dyDescent="0.25">
      <c r="B284" t="s">
        <v>36</v>
      </c>
      <c r="C284" t="s">
        <v>2</v>
      </c>
      <c r="D284">
        <v>1</v>
      </c>
      <c r="E284">
        <v>0.2</v>
      </c>
      <c r="F284">
        <v>0</v>
      </c>
    </row>
    <row r="285" spans="2:6" x14ac:dyDescent="0.25">
      <c r="B285" t="s">
        <v>611</v>
      </c>
      <c r="C285">
        <v>1778927</v>
      </c>
    </row>
    <row r="286" spans="2:6" x14ac:dyDescent="0.25">
      <c r="B286" t="s">
        <v>38</v>
      </c>
      <c r="C286" t="s">
        <v>13</v>
      </c>
      <c r="D286">
        <v>0.8</v>
      </c>
      <c r="E286">
        <v>0.5</v>
      </c>
      <c r="F286">
        <v>0</v>
      </c>
    </row>
    <row r="287" spans="2:6" x14ac:dyDescent="0.25">
      <c r="B287" t="s">
        <v>612</v>
      </c>
      <c r="C287">
        <v>1779017</v>
      </c>
    </row>
    <row r="288" spans="2:6" x14ac:dyDescent="0.25">
      <c r="B288" t="s">
        <v>30</v>
      </c>
      <c r="C288" t="s">
        <v>1</v>
      </c>
      <c r="D288">
        <v>-1</v>
      </c>
      <c r="E288">
        <v>-0.2</v>
      </c>
      <c r="F288">
        <v>0</v>
      </c>
    </row>
    <row r="289" spans="2:6" x14ac:dyDescent="0.25">
      <c r="B289" t="s">
        <v>613</v>
      </c>
      <c r="C289">
        <v>1924672</v>
      </c>
    </row>
    <row r="290" spans="2:6" x14ac:dyDescent="0.25">
      <c r="B290" t="s">
        <v>36</v>
      </c>
      <c r="C290" t="s">
        <v>22</v>
      </c>
      <c r="D290">
        <v>0.9</v>
      </c>
      <c r="E290">
        <v>0.3</v>
      </c>
      <c r="F290">
        <v>0</v>
      </c>
    </row>
    <row r="291" spans="2:6" x14ac:dyDescent="0.25">
      <c r="B291" t="s">
        <v>614</v>
      </c>
      <c r="C291">
        <v>1933601</v>
      </c>
    </row>
    <row r="292" spans="2:6" x14ac:dyDescent="0.25">
      <c r="B292" t="s">
        <v>27</v>
      </c>
      <c r="C292" t="s">
        <v>615</v>
      </c>
      <c r="D292">
        <v>0.3</v>
      </c>
      <c r="E292">
        <v>-0.9</v>
      </c>
      <c r="F292">
        <v>0</v>
      </c>
    </row>
    <row r="293" spans="2:6" x14ac:dyDescent="0.25">
      <c r="B293" t="s">
        <v>27</v>
      </c>
      <c r="C293" t="s">
        <v>464</v>
      </c>
      <c r="D293">
        <v>0.4</v>
      </c>
      <c r="E293">
        <v>-0.9</v>
      </c>
      <c r="F293">
        <v>0</v>
      </c>
    </row>
    <row r="294" spans="2:6" x14ac:dyDescent="0.25">
      <c r="B294" t="s">
        <v>27</v>
      </c>
      <c r="C294" t="s">
        <v>616</v>
      </c>
      <c r="D294">
        <v>0.3</v>
      </c>
      <c r="E294">
        <v>-0.9</v>
      </c>
      <c r="F294">
        <v>0</v>
      </c>
    </row>
    <row r="295" spans="2:6" x14ac:dyDescent="0.25">
      <c r="C295">
        <v>1969730</v>
      </c>
    </row>
    <row r="296" spans="2:6" x14ac:dyDescent="0.25">
      <c r="B296" t="s">
        <v>27</v>
      </c>
      <c r="C296" t="s">
        <v>489</v>
      </c>
      <c r="D296">
        <v>0.2</v>
      </c>
      <c r="E296">
        <v>-1</v>
      </c>
      <c r="F296">
        <v>0</v>
      </c>
    </row>
    <row r="297" spans="2:6" x14ac:dyDescent="0.25">
      <c r="B297" t="s">
        <v>617</v>
      </c>
      <c r="C297">
        <v>1980072</v>
      </c>
    </row>
    <row r="298" spans="2:6" x14ac:dyDescent="0.25">
      <c r="B298" t="s">
        <v>27</v>
      </c>
      <c r="C298" t="s">
        <v>489</v>
      </c>
      <c r="D298">
        <v>0.2</v>
      </c>
      <c r="E298">
        <v>-1</v>
      </c>
      <c r="F298">
        <v>0</v>
      </c>
    </row>
  </sheetData>
  <customSheetViews>
    <customSheetView guid="{561E68F6-21E3-461A-ACB1-9392AEDA3331}" topLeftCell="A266">
      <selection activeCell="B13" sqref="B13"/>
      <pageMargins left="0.7" right="0.7" top="0.75" bottom="0.75" header="0.3" footer="0.3"/>
    </customSheetView>
    <customSheetView guid="{2A8AA8A9-D849-43BE-B128-2DCE8081808F}">
      <pageMargins left="0.7" right="0.7" top="0.75" bottom="0.75" header="0.3" footer="0.3"/>
    </customSheetView>
    <customSheetView guid="{E07775A8-4E8E-4F0F-ABD4-8C1611285DFF}" topLeftCell="A266">
      <selection activeCell="B13" sqref="B1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H697"/>
  <sheetViews>
    <sheetView topLeftCell="A210" workbookViewId="0">
      <selection activeCell="B210" sqref="B210"/>
    </sheetView>
  </sheetViews>
  <sheetFormatPr defaultRowHeight="15" x14ac:dyDescent="0.25"/>
  <cols>
    <col min="2" max="2" width="98.5703125" bestFit="1" customWidth="1"/>
    <col min="3" max="3" width="16.140625" customWidth="1"/>
  </cols>
  <sheetData>
    <row r="2" spans="2:6" x14ac:dyDescent="0.25">
      <c r="B2" t="s">
        <v>618</v>
      </c>
      <c r="C2">
        <v>1133530</v>
      </c>
    </row>
    <row r="3" spans="2:6" x14ac:dyDescent="0.25">
      <c r="B3" t="s">
        <v>619</v>
      </c>
      <c r="C3" t="s">
        <v>2</v>
      </c>
      <c r="D3">
        <v>1</v>
      </c>
      <c r="E3">
        <v>0.2</v>
      </c>
      <c r="F3">
        <v>0</v>
      </c>
    </row>
    <row r="4" spans="2:6" x14ac:dyDescent="0.25">
      <c r="B4" t="s">
        <v>619</v>
      </c>
      <c r="C4" t="s">
        <v>2</v>
      </c>
      <c r="D4">
        <v>1</v>
      </c>
      <c r="E4">
        <v>0.2</v>
      </c>
      <c r="F4">
        <v>0</v>
      </c>
    </row>
    <row r="5" spans="2:6" x14ac:dyDescent="0.25">
      <c r="B5" t="s">
        <v>620</v>
      </c>
      <c r="C5">
        <v>1202652</v>
      </c>
    </row>
    <row r="6" spans="2:6" x14ac:dyDescent="0.25">
      <c r="B6" t="s">
        <v>621</v>
      </c>
      <c r="C6" t="s">
        <v>2</v>
      </c>
      <c r="D6">
        <v>1</v>
      </c>
      <c r="E6">
        <v>0.2</v>
      </c>
      <c r="F6">
        <v>0</v>
      </c>
    </row>
    <row r="7" spans="2:6" x14ac:dyDescent="0.25">
      <c r="B7" t="s">
        <v>622</v>
      </c>
      <c r="C7" t="s">
        <v>2</v>
      </c>
      <c r="D7">
        <v>1</v>
      </c>
      <c r="E7">
        <v>0.2</v>
      </c>
      <c r="F7">
        <v>0</v>
      </c>
    </row>
    <row r="8" spans="2:6" x14ac:dyDescent="0.25">
      <c r="B8" t="s">
        <v>622</v>
      </c>
      <c r="C8" t="s">
        <v>2</v>
      </c>
      <c r="D8">
        <v>1</v>
      </c>
      <c r="E8">
        <v>0.2</v>
      </c>
      <c r="F8">
        <v>0</v>
      </c>
    </row>
    <row r="9" spans="2:6" x14ac:dyDescent="0.25">
      <c r="B9" t="s">
        <v>619</v>
      </c>
      <c r="C9" t="s">
        <v>2</v>
      </c>
      <c r="D9">
        <v>1</v>
      </c>
      <c r="E9">
        <v>0.2</v>
      </c>
      <c r="F9">
        <v>0</v>
      </c>
    </row>
    <row r="10" spans="2:6" x14ac:dyDescent="0.25">
      <c r="B10" t="s">
        <v>622</v>
      </c>
      <c r="C10" t="s">
        <v>2</v>
      </c>
      <c r="D10">
        <v>1</v>
      </c>
      <c r="E10">
        <v>0.2</v>
      </c>
      <c r="F10">
        <v>0</v>
      </c>
    </row>
    <row r="11" spans="2:6" x14ac:dyDescent="0.25">
      <c r="B11" t="s">
        <v>622</v>
      </c>
      <c r="C11" t="s">
        <v>2</v>
      </c>
      <c r="D11">
        <v>1</v>
      </c>
      <c r="E11">
        <v>0.2</v>
      </c>
      <c r="F11">
        <v>0</v>
      </c>
    </row>
    <row r="12" spans="2:6" x14ac:dyDescent="0.25">
      <c r="B12" t="s">
        <v>622</v>
      </c>
      <c r="C12" t="s">
        <v>2</v>
      </c>
      <c r="D12">
        <v>1</v>
      </c>
      <c r="E12">
        <v>0.2</v>
      </c>
      <c r="F12">
        <v>0</v>
      </c>
    </row>
    <row r="13" spans="2:6" x14ac:dyDescent="0.25">
      <c r="B13" t="s">
        <v>623</v>
      </c>
      <c r="C13">
        <v>1295814</v>
      </c>
    </row>
    <row r="14" spans="2:6" x14ac:dyDescent="0.25">
      <c r="B14" t="s">
        <v>619</v>
      </c>
      <c r="C14" t="s">
        <v>624</v>
      </c>
      <c r="D14">
        <v>-0.3</v>
      </c>
      <c r="E14">
        <v>1</v>
      </c>
      <c r="F14">
        <v>0</v>
      </c>
    </row>
    <row r="15" spans="2:6" x14ac:dyDescent="0.25">
      <c r="B15" t="s">
        <v>619</v>
      </c>
      <c r="C15" t="s">
        <v>624</v>
      </c>
      <c r="D15">
        <v>-0.3</v>
      </c>
      <c r="E15">
        <v>1</v>
      </c>
      <c r="F15">
        <v>0</v>
      </c>
    </row>
    <row r="16" spans="2:6" x14ac:dyDescent="0.25">
      <c r="B16" t="s">
        <v>619</v>
      </c>
      <c r="C16" t="s">
        <v>624</v>
      </c>
      <c r="D16">
        <v>-0.3</v>
      </c>
      <c r="E16">
        <v>1</v>
      </c>
      <c r="F16">
        <v>0</v>
      </c>
    </row>
    <row r="17" spans="2:6" x14ac:dyDescent="0.25">
      <c r="B17" t="s">
        <v>619</v>
      </c>
      <c r="C17" t="s">
        <v>624</v>
      </c>
      <c r="D17">
        <v>-0.3</v>
      </c>
      <c r="E17">
        <v>1</v>
      </c>
      <c r="F17">
        <v>0</v>
      </c>
    </row>
    <row r="18" spans="2:6" x14ac:dyDescent="0.25">
      <c r="B18" t="s">
        <v>619</v>
      </c>
      <c r="C18" t="s">
        <v>624</v>
      </c>
      <c r="D18">
        <v>-0.3</v>
      </c>
      <c r="E18">
        <v>1</v>
      </c>
      <c r="F18">
        <v>0</v>
      </c>
    </row>
    <row r="19" spans="2:6" x14ac:dyDescent="0.25">
      <c r="B19" t="s">
        <v>621</v>
      </c>
      <c r="C19" t="s">
        <v>624</v>
      </c>
      <c r="D19">
        <v>-0.3</v>
      </c>
      <c r="E19">
        <v>1</v>
      </c>
      <c r="F19">
        <v>0</v>
      </c>
    </row>
    <row r="20" spans="2:6" x14ac:dyDescent="0.25">
      <c r="B20" t="s">
        <v>621</v>
      </c>
      <c r="C20" t="s">
        <v>624</v>
      </c>
      <c r="D20">
        <v>-0.3</v>
      </c>
      <c r="E20">
        <v>1</v>
      </c>
      <c r="F20">
        <v>0</v>
      </c>
    </row>
    <row r="21" spans="2:6" x14ac:dyDescent="0.25">
      <c r="B21" t="s">
        <v>621</v>
      </c>
      <c r="C21" t="s">
        <v>624</v>
      </c>
      <c r="D21">
        <v>-0.3</v>
      </c>
      <c r="E21">
        <v>1</v>
      </c>
      <c r="F21">
        <v>0</v>
      </c>
    </row>
    <row r="22" spans="2:6" x14ac:dyDescent="0.25">
      <c r="B22" t="s">
        <v>621</v>
      </c>
      <c r="C22" t="s">
        <v>624</v>
      </c>
      <c r="D22">
        <v>-0.3</v>
      </c>
      <c r="E22">
        <v>1</v>
      </c>
      <c r="F22">
        <v>0</v>
      </c>
    </row>
    <row r="23" spans="2:6" x14ac:dyDescent="0.25">
      <c r="B23" t="s">
        <v>621</v>
      </c>
      <c r="C23" t="s">
        <v>624</v>
      </c>
      <c r="D23">
        <v>-0.3</v>
      </c>
      <c r="E23">
        <v>1</v>
      </c>
      <c r="F23">
        <v>0</v>
      </c>
    </row>
    <row r="24" spans="2:6" x14ac:dyDescent="0.25">
      <c r="B24" t="s">
        <v>621</v>
      </c>
      <c r="C24" t="s">
        <v>624</v>
      </c>
      <c r="D24">
        <v>-0.3</v>
      </c>
      <c r="E24">
        <v>1</v>
      </c>
      <c r="F24">
        <v>0</v>
      </c>
    </row>
    <row r="25" spans="2:6" x14ac:dyDescent="0.25">
      <c r="B25" t="s">
        <v>621</v>
      </c>
      <c r="C25" t="s">
        <v>624</v>
      </c>
      <c r="D25">
        <v>-0.3</v>
      </c>
      <c r="E25">
        <v>1</v>
      </c>
      <c r="F25">
        <v>0</v>
      </c>
    </row>
    <row r="26" spans="2:6" x14ac:dyDescent="0.25">
      <c r="B26" t="s">
        <v>621</v>
      </c>
      <c r="C26" t="s">
        <v>624</v>
      </c>
      <c r="D26">
        <v>-0.3</v>
      </c>
      <c r="E26">
        <v>1</v>
      </c>
      <c r="F26">
        <v>0</v>
      </c>
    </row>
    <row r="27" spans="2:6" x14ac:dyDescent="0.25">
      <c r="B27" t="s">
        <v>621</v>
      </c>
      <c r="C27" t="s">
        <v>624</v>
      </c>
      <c r="D27">
        <v>-0.3</v>
      </c>
      <c r="E27">
        <v>1</v>
      </c>
      <c r="F27">
        <v>0</v>
      </c>
    </row>
    <row r="28" spans="2:6" x14ac:dyDescent="0.25">
      <c r="B28" t="s">
        <v>625</v>
      </c>
      <c r="C28">
        <v>1295976</v>
      </c>
    </row>
    <row r="29" spans="2:6" x14ac:dyDescent="0.25">
      <c r="B29" t="s">
        <v>622</v>
      </c>
      <c r="C29" t="s">
        <v>626</v>
      </c>
      <c r="D29">
        <v>-0.2</v>
      </c>
      <c r="E29">
        <v>1</v>
      </c>
      <c r="F29">
        <v>0</v>
      </c>
    </row>
    <row r="30" spans="2:6" x14ac:dyDescent="0.25">
      <c r="B30" t="s">
        <v>621</v>
      </c>
      <c r="C30" t="s">
        <v>626</v>
      </c>
      <c r="D30">
        <v>-0.2</v>
      </c>
      <c r="E30">
        <v>1</v>
      </c>
      <c r="F30">
        <v>0</v>
      </c>
    </row>
    <row r="31" spans="2:6" x14ac:dyDescent="0.25">
      <c r="B31" t="s">
        <v>621</v>
      </c>
      <c r="C31" t="s">
        <v>626</v>
      </c>
      <c r="D31">
        <v>-0.2</v>
      </c>
      <c r="E31">
        <v>1</v>
      </c>
      <c r="F31">
        <v>0</v>
      </c>
    </row>
    <row r="32" spans="2:6" x14ac:dyDescent="0.25">
      <c r="B32" t="s">
        <v>621</v>
      </c>
      <c r="C32" t="s">
        <v>626</v>
      </c>
      <c r="D32">
        <v>-0.2</v>
      </c>
      <c r="E32">
        <v>1</v>
      </c>
      <c r="F32">
        <v>0</v>
      </c>
    </row>
    <row r="33" spans="2:6" x14ac:dyDescent="0.25">
      <c r="B33" t="s">
        <v>627</v>
      </c>
      <c r="C33">
        <v>1295992</v>
      </c>
    </row>
    <row r="34" spans="2:6" x14ac:dyDescent="0.25">
      <c r="B34" t="s">
        <v>621</v>
      </c>
      <c r="C34" t="s">
        <v>626</v>
      </c>
      <c r="D34">
        <v>-0.2</v>
      </c>
      <c r="E34">
        <v>1</v>
      </c>
      <c r="F34">
        <v>0</v>
      </c>
    </row>
    <row r="35" spans="2:6" x14ac:dyDescent="0.25">
      <c r="B35" t="s">
        <v>621</v>
      </c>
      <c r="C35" t="s">
        <v>626</v>
      </c>
      <c r="D35">
        <v>-0.2</v>
      </c>
      <c r="E35">
        <v>1</v>
      </c>
      <c r="F35">
        <v>0</v>
      </c>
    </row>
    <row r="36" spans="2:6" x14ac:dyDescent="0.25">
      <c r="B36" t="s">
        <v>621</v>
      </c>
      <c r="C36" t="s">
        <v>626</v>
      </c>
      <c r="D36">
        <v>-0.2</v>
      </c>
      <c r="E36">
        <v>1</v>
      </c>
      <c r="F36">
        <v>0</v>
      </c>
    </row>
    <row r="37" spans="2:6" x14ac:dyDescent="0.25">
      <c r="B37" t="s">
        <v>621</v>
      </c>
      <c r="C37" t="s">
        <v>626</v>
      </c>
      <c r="D37">
        <v>-0.2</v>
      </c>
      <c r="E37">
        <v>1</v>
      </c>
      <c r="F37">
        <v>0</v>
      </c>
    </row>
    <row r="38" spans="2:6" x14ac:dyDescent="0.25">
      <c r="B38" t="s">
        <v>621</v>
      </c>
      <c r="C38" t="s">
        <v>626</v>
      </c>
      <c r="D38">
        <v>-0.2</v>
      </c>
      <c r="E38">
        <v>1</v>
      </c>
      <c r="F38">
        <v>0</v>
      </c>
    </row>
    <row r="39" spans="2:6" x14ac:dyDescent="0.25">
      <c r="B39" t="s">
        <v>621</v>
      </c>
      <c r="C39" t="s">
        <v>626</v>
      </c>
      <c r="D39">
        <v>-0.2</v>
      </c>
      <c r="E39">
        <v>1</v>
      </c>
      <c r="F39">
        <v>0</v>
      </c>
    </row>
    <row r="40" spans="2:6" x14ac:dyDescent="0.25">
      <c r="B40" t="s">
        <v>621</v>
      </c>
      <c r="C40" t="s">
        <v>626</v>
      </c>
      <c r="D40">
        <v>-0.2</v>
      </c>
      <c r="E40">
        <v>1</v>
      </c>
      <c r="F40">
        <v>0</v>
      </c>
    </row>
    <row r="41" spans="2:6" x14ac:dyDescent="0.25">
      <c r="B41" t="s">
        <v>621</v>
      </c>
      <c r="C41" t="s">
        <v>626</v>
      </c>
      <c r="D41">
        <v>-0.2</v>
      </c>
      <c r="E41">
        <v>1</v>
      </c>
      <c r="F41">
        <v>0</v>
      </c>
    </row>
    <row r="42" spans="2:6" x14ac:dyDescent="0.25">
      <c r="B42" t="s">
        <v>621</v>
      </c>
      <c r="C42" t="s">
        <v>626</v>
      </c>
      <c r="D42">
        <v>-0.2</v>
      </c>
      <c r="E42">
        <v>1</v>
      </c>
      <c r="F42">
        <v>0</v>
      </c>
    </row>
    <row r="43" spans="2:6" x14ac:dyDescent="0.25">
      <c r="B43" t="s">
        <v>621</v>
      </c>
      <c r="C43" t="s">
        <v>626</v>
      </c>
      <c r="D43">
        <v>-0.2</v>
      </c>
      <c r="E43">
        <v>1</v>
      </c>
      <c r="F43">
        <v>0</v>
      </c>
    </row>
    <row r="44" spans="2:6" x14ac:dyDescent="0.25">
      <c r="B44" t="s">
        <v>621</v>
      </c>
      <c r="C44" t="s">
        <v>626</v>
      </c>
      <c r="D44">
        <v>-0.2</v>
      </c>
      <c r="E44">
        <v>1</v>
      </c>
      <c r="F44">
        <v>0</v>
      </c>
    </row>
    <row r="45" spans="2:6" x14ac:dyDescent="0.25">
      <c r="B45" t="s">
        <v>621</v>
      </c>
      <c r="C45" t="s">
        <v>626</v>
      </c>
      <c r="D45">
        <v>-0.2</v>
      </c>
      <c r="E45">
        <v>1</v>
      </c>
      <c r="F45">
        <v>0</v>
      </c>
    </row>
    <row r="46" spans="2:6" x14ac:dyDescent="0.25">
      <c r="B46" t="s">
        <v>621</v>
      </c>
      <c r="C46" t="s">
        <v>626</v>
      </c>
      <c r="D46">
        <v>-0.2</v>
      </c>
      <c r="E46">
        <v>1</v>
      </c>
      <c r="F46">
        <v>0</v>
      </c>
    </row>
    <row r="47" spans="2:6" x14ac:dyDescent="0.25">
      <c r="B47" t="s">
        <v>621</v>
      </c>
      <c r="C47" t="s">
        <v>626</v>
      </c>
      <c r="D47">
        <v>-0.2</v>
      </c>
      <c r="E47">
        <v>1</v>
      </c>
      <c r="F47">
        <v>0</v>
      </c>
    </row>
    <row r="48" spans="2:6" x14ac:dyDescent="0.25">
      <c r="B48" t="s">
        <v>621</v>
      </c>
      <c r="C48" t="s">
        <v>626</v>
      </c>
      <c r="D48">
        <v>-0.2</v>
      </c>
      <c r="E48">
        <v>1</v>
      </c>
      <c r="F48">
        <v>0</v>
      </c>
    </row>
    <row r="49" spans="2:6" x14ac:dyDescent="0.25">
      <c r="B49" t="s">
        <v>621</v>
      </c>
      <c r="C49" t="s">
        <v>626</v>
      </c>
      <c r="D49">
        <v>-0.2</v>
      </c>
      <c r="E49">
        <v>1</v>
      </c>
      <c r="F49">
        <v>0</v>
      </c>
    </row>
    <row r="50" spans="2:6" x14ac:dyDescent="0.25">
      <c r="B50" t="s">
        <v>628</v>
      </c>
      <c r="C50">
        <v>1296071</v>
      </c>
    </row>
    <row r="51" spans="2:6" x14ac:dyDescent="0.25">
      <c r="B51" t="s">
        <v>629</v>
      </c>
      <c r="C51" t="s">
        <v>19</v>
      </c>
      <c r="D51">
        <v>-0.2</v>
      </c>
      <c r="E51">
        <v>1</v>
      </c>
      <c r="F51">
        <v>0</v>
      </c>
    </row>
    <row r="52" spans="2:6" x14ac:dyDescent="0.25">
      <c r="B52" t="s">
        <v>619</v>
      </c>
      <c r="C52" t="s">
        <v>626</v>
      </c>
      <c r="D52">
        <v>-0.2</v>
      </c>
      <c r="E52">
        <v>1</v>
      </c>
      <c r="F52">
        <v>0</v>
      </c>
    </row>
    <row r="53" spans="2:6" x14ac:dyDescent="0.25">
      <c r="B53" t="s">
        <v>622</v>
      </c>
      <c r="C53" t="s">
        <v>626</v>
      </c>
      <c r="D53">
        <v>-0.2</v>
      </c>
      <c r="E53">
        <v>1</v>
      </c>
      <c r="F53">
        <v>0</v>
      </c>
    </row>
    <row r="54" spans="2:6" x14ac:dyDescent="0.25">
      <c r="B54" t="s">
        <v>622</v>
      </c>
      <c r="C54" t="s">
        <v>626</v>
      </c>
      <c r="D54">
        <v>-0.2</v>
      </c>
      <c r="E54">
        <v>1</v>
      </c>
      <c r="F54">
        <v>0</v>
      </c>
    </row>
    <row r="55" spans="2:6" x14ac:dyDescent="0.25">
      <c r="B55" t="s">
        <v>622</v>
      </c>
      <c r="C55" t="s">
        <v>626</v>
      </c>
      <c r="D55">
        <v>-0.2</v>
      </c>
      <c r="E55">
        <v>1</v>
      </c>
      <c r="F55">
        <v>0</v>
      </c>
    </row>
    <row r="56" spans="2:6" x14ac:dyDescent="0.25">
      <c r="B56" t="s">
        <v>622</v>
      </c>
      <c r="C56" t="s">
        <v>626</v>
      </c>
      <c r="D56">
        <v>-0.2</v>
      </c>
      <c r="E56">
        <v>1</v>
      </c>
      <c r="F56">
        <v>0</v>
      </c>
    </row>
    <row r="57" spans="2:6" x14ac:dyDescent="0.25">
      <c r="B57" t="s">
        <v>622</v>
      </c>
      <c r="C57" t="s">
        <v>626</v>
      </c>
      <c r="D57">
        <v>-0.2</v>
      </c>
      <c r="E57">
        <v>1</v>
      </c>
      <c r="F57">
        <v>0</v>
      </c>
    </row>
    <row r="58" spans="2:6" x14ac:dyDescent="0.25">
      <c r="B58" t="s">
        <v>622</v>
      </c>
      <c r="C58" t="s">
        <v>626</v>
      </c>
      <c r="D58">
        <v>-0.2</v>
      </c>
      <c r="E58">
        <v>1</v>
      </c>
      <c r="F58">
        <v>0</v>
      </c>
    </row>
    <row r="59" spans="2:6" x14ac:dyDescent="0.25">
      <c r="B59" t="s">
        <v>619</v>
      </c>
      <c r="C59" t="s">
        <v>626</v>
      </c>
      <c r="D59">
        <v>-0.2</v>
      </c>
      <c r="E59">
        <v>1</v>
      </c>
      <c r="F59">
        <v>0</v>
      </c>
    </row>
    <row r="60" spans="2:6" x14ac:dyDescent="0.25">
      <c r="B60" t="s">
        <v>619</v>
      </c>
      <c r="C60" t="s">
        <v>20</v>
      </c>
      <c r="D60">
        <v>-0.9</v>
      </c>
      <c r="E60">
        <v>-0.3</v>
      </c>
      <c r="F60">
        <v>0</v>
      </c>
    </row>
    <row r="61" spans="2:6" x14ac:dyDescent="0.25">
      <c r="B61" t="s">
        <v>619</v>
      </c>
      <c r="C61" t="s">
        <v>20</v>
      </c>
      <c r="D61">
        <v>-0.9</v>
      </c>
      <c r="E61">
        <v>-0.3</v>
      </c>
      <c r="F61">
        <v>0</v>
      </c>
    </row>
    <row r="62" spans="2:6" x14ac:dyDescent="0.25">
      <c r="B62" t="s">
        <v>619</v>
      </c>
      <c r="C62" t="s">
        <v>20</v>
      </c>
      <c r="D62">
        <v>-0.9</v>
      </c>
      <c r="E62">
        <v>-0.3</v>
      </c>
      <c r="F62">
        <v>0</v>
      </c>
    </row>
    <row r="63" spans="2:6" x14ac:dyDescent="0.25">
      <c r="B63" t="s">
        <v>621</v>
      </c>
      <c r="C63" t="s">
        <v>20</v>
      </c>
      <c r="D63">
        <v>-0.9</v>
      </c>
      <c r="E63">
        <v>-0.3</v>
      </c>
      <c r="F63">
        <v>0</v>
      </c>
    </row>
    <row r="64" spans="2:6" x14ac:dyDescent="0.25">
      <c r="B64" t="s">
        <v>621</v>
      </c>
      <c r="C64" t="s">
        <v>630</v>
      </c>
      <c r="D64">
        <v>0</v>
      </c>
      <c r="E64">
        <v>1</v>
      </c>
      <c r="F64">
        <v>0</v>
      </c>
    </row>
    <row r="65" spans="2:6" x14ac:dyDescent="0.25">
      <c r="B65" t="s">
        <v>631</v>
      </c>
      <c r="C65">
        <v>1296191</v>
      </c>
    </row>
    <row r="66" spans="2:6" x14ac:dyDescent="0.25">
      <c r="B66" t="s">
        <v>621</v>
      </c>
      <c r="C66" t="s">
        <v>2</v>
      </c>
      <c r="D66">
        <v>1</v>
      </c>
      <c r="E66">
        <v>0.2</v>
      </c>
      <c r="F66">
        <v>0</v>
      </c>
    </row>
    <row r="67" spans="2:6" x14ac:dyDescent="0.25">
      <c r="B67" t="s">
        <v>621</v>
      </c>
      <c r="C67" t="s">
        <v>2</v>
      </c>
      <c r="D67">
        <v>1</v>
      </c>
      <c r="E67">
        <v>0.2</v>
      </c>
      <c r="F67">
        <v>0</v>
      </c>
    </row>
    <row r="68" spans="2:6" x14ac:dyDescent="0.25">
      <c r="B68" t="s">
        <v>621</v>
      </c>
      <c r="C68" t="s">
        <v>2</v>
      </c>
      <c r="D68">
        <v>1</v>
      </c>
      <c r="E68">
        <v>0.2</v>
      </c>
      <c r="F68">
        <v>0</v>
      </c>
    </row>
    <row r="69" spans="2:6" x14ac:dyDescent="0.25">
      <c r="B69" t="s">
        <v>621</v>
      </c>
      <c r="C69" t="s">
        <v>2</v>
      </c>
      <c r="D69">
        <v>1</v>
      </c>
      <c r="E69">
        <v>0.2</v>
      </c>
      <c r="F69">
        <v>0</v>
      </c>
    </row>
    <row r="70" spans="2:6" x14ac:dyDescent="0.25">
      <c r="B70" t="s">
        <v>621</v>
      </c>
      <c r="C70" t="s">
        <v>2</v>
      </c>
      <c r="D70">
        <v>1</v>
      </c>
      <c r="E70">
        <v>0.2</v>
      </c>
      <c r="F70">
        <v>0</v>
      </c>
    </row>
    <row r="71" spans="2:6" x14ac:dyDescent="0.25">
      <c r="B71" t="s">
        <v>621</v>
      </c>
      <c r="C71" t="s">
        <v>2</v>
      </c>
      <c r="D71">
        <v>1</v>
      </c>
      <c r="E71">
        <v>0.2</v>
      </c>
      <c r="F71">
        <v>0</v>
      </c>
    </row>
    <row r="72" spans="2:6" x14ac:dyDescent="0.25">
      <c r="B72" t="s">
        <v>621</v>
      </c>
      <c r="C72" t="s">
        <v>2</v>
      </c>
      <c r="D72">
        <v>1</v>
      </c>
      <c r="E72">
        <v>0.2</v>
      </c>
      <c r="F72">
        <v>0</v>
      </c>
    </row>
    <row r="73" spans="2:6" x14ac:dyDescent="0.25">
      <c r="B73" t="s">
        <v>621</v>
      </c>
      <c r="C73" t="s">
        <v>2</v>
      </c>
      <c r="D73">
        <v>1</v>
      </c>
      <c r="E73">
        <v>0.2</v>
      </c>
      <c r="F73">
        <v>0</v>
      </c>
    </row>
    <row r="74" spans="2:6" x14ac:dyDescent="0.25">
      <c r="B74" t="s">
        <v>621</v>
      </c>
      <c r="C74" t="s">
        <v>2</v>
      </c>
      <c r="D74">
        <v>1</v>
      </c>
      <c r="E74">
        <v>0.2</v>
      </c>
      <c r="F74">
        <v>0</v>
      </c>
    </row>
    <row r="75" spans="2:6" x14ac:dyDescent="0.25">
      <c r="B75" t="s">
        <v>632</v>
      </c>
      <c r="C75">
        <v>1296195</v>
      </c>
    </row>
    <row r="76" spans="2:6" x14ac:dyDescent="0.25">
      <c r="B76" t="s">
        <v>619</v>
      </c>
      <c r="C76" t="s">
        <v>2</v>
      </c>
      <c r="D76">
        <v>1</v>
      </c>
      <c r="E76">
        <v>0.2</v>
      </c>
      <c r="F76">
        <v>0</v>
      </c>
    </row>
    <row r="77" spans="2:6" x14ac:dyDescent="0.25">
      <c r="B77" t="s">
        <v>622</v>
      </c>
      <c r="C77" t="s">
        <v>2</v>
      </c>
      <c r="D77">
        <v>1</v>
      </c>
      <c r="E77">
        <v>0.2</v>
      </c>
      <c r="F77">
        <v>0</v>
      </c>
    </row>
    <row r="78" spans="2:6" x14ac:dyDescent="0.25">
      <c r="B78" t="s">
        <v>619</v>
      </c>
      <c r="C78" t="s">
        <v>2</v>
      </c>
      <c r="D78">
        <v>1</v>
      </c>
      <c r="E78">
        <v>0.2</v>
      </c>
      <c r="F78">
        <v>0</v>
      </c>
    </row>
    <row r="79" spans="2:6" x14ac:dyDescent="0.25">
      <c r="B79" t="s">
        <v>619</v>
      </c>
      <c r="C79" t="s">
        <v>2</v>
      </c>
      <c r="D79">
        <v>1</v>
      </c>
      <c r="E79">
        <v>0.2</v>
      </c>
      <c r="F79">
        <v>0</v>
      </c>
    </row>
    <row r="80" spans="2:6" x14ac:dyDescent="0.25">
      <c r="B80" t="s">
        <v>619</v>
      </c>
      <c r="C80" t="s">
        <v>2</v>
      </c>
      <c r="D80">
        <v>1</v>
      </c>
      <c r="E80">
        <v>0.2</v>
      </c>
      <c r="F80">
        <v>0</v>
      </c>
    </row>
    <row r="81" spans="2:6" x14ac:dyDescent="0.25">
      <c r="B81" t="s">
        <v>633</v>
      </c>
      <c r="C81">
        <v>1296197</v>
      </c>
    </row>
    <row r="82" spans="2:6" x14ac:dyDescent="0.25">
      <c r="B82" t="s">
        <v>621</v>
      </c>
      <c r="C82" t="s">
        <v>12</v>
      </c>
      <c r="D82">
        <v>0.3</v>
      </c>
      <c r="E82">
        <v>1</v>
      </c>
      <c r="F82">
        <v>0</v>
      </c>
    </row>
    <row r="83" spans="2:6" x14ac:dyDescent="0.25">
      <c r="B83" t="s">
        <v>621</v>
      </c>
      <c r="C83" t="s">
        <v>12</v>
      </c>
      <c r="D83">
        <v>0.3</v>
      </c>
      <c r="E83">
        <v>1</v>
      </c>
      <c r="F83">
        <v>0</v>
      </c>
    </row>
    <row r="84" spans="2:6" x14ac:dyDescent="0.25">
      <c r="B84" t="s">
        <v>621</v>
      </c>
      <c r="C84" t="s">
        <v>12</v>
      </c>
      <c r="D84">
        <v>0.3</v>
      </c>
      <c r="E84">
        <v>1</v>
      </c>
      <c r="F84">
        <v>0</v>
      </c>
    </row>
    <row r="85" spans="2:6" x14ac:dyDescent="0.25">
      <c r="B85" t="s">
        <v>634</v>
      </c>
      <c r="C85" t="s">
        <v>2</v>
      </c>
      <c r="D85">
        <v>1</v>
      </c>
      <c r="E85">
        <v>0.2</v>
      </c>
      <c r="F85">
        <v>0</v>
      </c>
    </row>
    <row r="86" spans="2:6" x14ac:dyDescent="0.25">
      <c r="B86" t="s">
        <v>619</v>
      </c>
      <c r="C86" t="s">
        <v>1</v>
      </c>
      <c r="D86">
        <v>-1</v>
      </c>
      <c r="E86">
        <v>-0.2</v>
      </c>
      <c r="F86">
        <v>0</v>
      </c>
    </row>
    <row r="87" spans="2:6" x14ac:dyDescent="0.25">
      <c r="B87" t="s">
        <v>619</v>
      </c>
      <c r="C87" t="s">
        <v>1</v>
      </c>
      <c r="D87">
        <v>-1</v>
      </c>
      <c r="E87">
        <v>-0.2</v>
      </c>
      <c r="F87">
        <v>0</v>
      </c>
    </row>
    <row r="88" spans="2:6" x14ac:dyDescent="0.25">
      <c r="B88" t="s">
        <v>619</v>
      </c>
      <c r="C88" t="s">
        <v>1</v>
      </c>
      <c r="D88">
        <v>-1</v>
      </c>
      <c r="E88">
        <v>-0.2</v>
      </c>
      <c r="F88">
        <v>0</v>
      </c>
    </row>
    <row r="89" spans="2:6" x14ac:dyDescent="0.25">
      <c r="B89" t="s">
        <v>622</v>
      </c>
      <c r="C89" t="s">
        <v>14</v>
      </c>
      <c r="D89">
        <v>0.3</v>
      </c>
      <c r="E89">
        <v>1</v>
      </c>
      <c r="F89">
        <v>0</v>
      </c>
    </row>
    <row r="90" spans="2:6" x14ac:dyDescent="0.25">
      <c r="B90" t="s">
        <v>622</v>
      </c>
      <c r="C90" t="s">
        <v>14</v>
      </c>
      <c r="D90">
        <v>0.3</v>
      </c>
      <c r="E90">
        <v>1</v>
      </c>
      <c r="F90">
        <v>0</v>
      </c>
    </row>
    <row r="91" spans="2:6" x14ac:dyDescent="0.25">
      <c r="B91" t="s">
        <v>622</v>
      </c>
      <c r="C91" t="s">
        <v>14</v>
      </c>
      <c r="D91">
        <v>0.3</v>
      </c>
      <c r="E91">
        <v>1</v>
      </c>
      <c r="F91">
        <v>0</v>
      </c>
    </row>
    <row r="92" spans="2:6" x14ac:dyDescent="0.25">
      <c r="B92" t="s">
        <v>619</v>
      </c>
      <c r="C92" t="s">
        <v>14</v>
      </c>
      <c r="D92">
        <v>0.3</v>
      </c>
      <c r="E92">
        <v>1</v>
      </c>
      <c r="F92">
        <v>0</v>
      </c>
    </row>
    <row r="93" spans="2:6" x14ac:dyDescent="0.25">
      <c r="B93" t="s">
        <v>622</v>
      </c>
      <c r="C93" t="s">
        <v>14</v>
      </c>
      <c r="D93">
        <v>0.3</v>
      </c>
      <c r="E93">
        <v>1</v>
      </c>
      <c r="F93">
        <v>0</v>
      </c>
    </row>
    <row r="94" spans="2:6" x14ac:dyDescent="0.25">
      <c r="B94" t="s">
        <v>622</v>
      </c>
      <c r="C94" t="s">
        <v>14</v>
      </c>
      <c r="D94">
        <v>0.3</v>
      </c>
      <c r="E94">
        <v>1</v>
      </c>
      <c r="F94">
        <v>0</v>
      </c>
    </row>
    <row r="95" spans="2:6" x14ac:dyDescent="0.25">
      <c r="B95" t="s">
        <v>622</v>
      </c>
      <c r="C95" t="s">
        <v>14</v>
      </c>
      <c r="D95">
        <v>0.3</v>
      </c>
      <c r="E95">
        <v>1</v>
      </c>
      <c r="F95">
        <v>0</v>
      </c>
    </row>
    <row r="96" spans="2:6" x14ac:dyDescent="0.25">
      <c r="B96" t="s">
        <v>619</v>
      </c>
      <c r="C96" t="s">
        <v>14</v>
      </c>
      <c r="D96">
        <v>0.3</v>
      </c>
      <c r="E96">
        <v>1</v>
      </c>
      <c r="F96">
        <v>0</v>
      </c>
    </row>
    <row r="97" spans="2:6" x14ac:dyDescent="0.25">
      <c r="B97" t="s">
        <v>621</v>
      </c>
      <c r="C97" t="s">
        <v>12</v>
      </c>
      <c r="D97">
        <v>0.3</v>
      </c>
      <c r="E97">
        <v>1</v>
      </c>
      <c r="F97">
        <v>0</v>
      </c>
    </row>
    <row r="98" spans="2:6" x14ac:dyDescent="0.25">
      <c r="B98" t="s">
        <v>621</v>
      </c>
      <c r="C98" t="s">
        <v>12</v>
      </c>
      <c r="D98">
        <v>0.3</v>
      </c>
      <c r="E98">
        <v>1</v>
      </c>
      <c r="F98">
        <v>0</v>
      </c>
    </row>
    <row r="99" spans="2:6" x14ac:dyDescent="0.25">
      <c r="B99" t="s">
        <v>621</v>
      </c>
      <c r="C99" t="s">
        <v>12</v>
      </c>
      <c r="D99">
        <v>0.3</v>
      </c>
      <c r="E99">
        <v>1</v>
      </c>
      <c r="F99">
        <v>0</v>
      </c>
    </row>
    <row r="100" spans="2:6" x14ac:dyDescent="0.25">
      <c r="B100" t="s">
        <v>621</v>
      </c>
      <c r="C100" t="s">
        <v>12</v>
      </c>
      <c r="D100">
        <v>0.3</v>
      </c>
      <c r="E100">
        <v>1</v>
      </c>
      <c r="F100">
        <v>0</v>
      </c>
    </row>
    <row r="101" spans="2:6" x14ac:dyDescent="0.25">
      <c r="B101" t="s">
        <v>621</v>
      </c>
      <c r="C101" t="s">
        <v>12</v>
      </c>
      <c r="D101">
        <v>0.3</v>
      </c>
      <c r="E101">
        <v>1</v>
      </c>
      <c r="F101">
        <v>0</v>
      </c>
    </row>
    <row r="102" spans="2:6" x14ac:dyDescent="0.25">
      <c r="B102" t="s">
        <v>635</v>
      </c>
      <c r="C102">
        <v>1296205</v>
      </c>
    </row>
    <row r="103" spans="2:6" x14ac:dyDescent="0.25">
      <c r="B103" t="s">
        <v>622</v>
      </c>
      <c r="C103" t="s">
        <v>2</v>
      </c>
      <c r="D103">
        <v>1</v>
      </c>
      <c r="E103">
        <v>0.2</v>
      </c>
      <c r="F103">
        <v>0</v>
      </c>
    </row>
    <row r="104" spans="2:6" x14ac:dyDescent="0.25">
      <c r="B104" t="s">
        <v>622</v>
      </c>
      <c r="C104" t="s">
        <v>2</v>
      </c>
      <c r="D104">
        <v>1</v>
      </c>
      <c r="E104">
        <v>0.2</v>
      </c>
      <c r="F104">
        <v>0</v>
      </c>
    </row>
    <row r="105" spans="2:6" x14ac:dyDescent="0.25">
      <c r="B105" t="s">
        <v>619</v>
      </c>
      <c r="C105" t="s">
        <v>2</v>
      </c>
      <c r="D105">
        <v>1</v>
      </c>
      <c r="E105">
        <v>0.2</v>
      </c>
      <c r="F105">
        <v>0</v>
      </c>
    </row>
    <row r="106" spans="2:6" x14ac:dyDescent="0.25">
      <c r="B106" t="s">
        <v>636</v>
      </c>
      <c r="C106">
        <v>1296207</v>
      </c>
    </row>
    <row r="107" spans="2:6" x14ac:dyDescent="0.25">
      <c r="B107" t="s">
        <v>619</v>
      </c>
      <c r="C107" t="s">
        <v>2</v>
      </c>
      <c r="D107">
        <v>1</v>
      </c>
      <c r="E107">
        <v>0.2</v>
      </c>
      <c r="F107">
        <v>0</v>
      </c>
    </row>
    <row r="108" spans="2:6" x14ac:dyDescent="0.25">
      <c r="B108" t="s">
        <v>621</v>
      </c>
      <c r="C108" t="s">
        <v>2</v>
      </c>
      <c r="D108">
        <v>1</v>
      </c>
      <c r="E108">
        <v>0.2</v>
      </c>
      <c r="F108">
        <v>0</v>
      </c>
    </row>
    <row r="109" spans="2:6" x14ac:dyDescent="0.25">
      <c r="B109" t="s">
        <v>637</v>
      </c>
      <c r="C109">
        <v>1296225</v>
      </c>
    </row>
    <row r="110" spans="2:6" x14ac:dyDescent="0.25">
      <c r="B110" t="s">
        <v>619</v>
      </c>
      <c r="C110" t="s">
        <v>2</v>
      </c>
      <c r="D110">
        <v>1</v>
      </c>
      <c r="E110">
        <v>0.2</v>
      </c>
      <c r="F110">
        <v>0</v>
      </c>
    </row>
    <row r="111" spans="2:6" x14ac:dyDescent="0.25">
      <c r="B111" t="s">
        <v>619</v>
      </c>
      <c r="C111" t="s">
        <v>2</v>
      </c>
      <c r="D111">
        <v>1</v>
      </c>
      <c r="E111">
        <v>0.2</v>
      </c>
      <c r="F111">
        <v>0</v>
      </c>
    </row>
    <row r="112" spans="2:6" x14ac:dyDescent="0.25">
      <c r="B112" t="s">
        <v>619</v>
      </c>
      <c r="C112" t="s">
        <v>2</v>
      </c>
      <c r="D112">
        <v>1</v>
      </c>
      <c r="E112">
        <v>0.2</v>
      </c>
      <c r="F112">
        <v>0</v>
      </c>
    </row>
    <row r="113" spans="2:6" x14ac:dyDescent="0.25">
      <c r="B113" t="s">
        <v>638</v>
      </c>
      <c r="C113">
        <v>1296239</v>
      </c>
    </row>
    <row r="114" spans="2:6" x14ac:dyDescent="0.25">
      <c r="B114" t="s">
        <v>622</v>
      </c>
      <c r="C114" t="s">
        <v>14</v>
      </c>
      <c r="D114">
        <v>0.3</v>
      </c>
      <c r="E114">
        <v>1</v>
      </c>
      <c r="F114">
        <v>0</v>
      </c>
    </row>
    <row r="115" spans="2:6" x14ac:dyDescent="0.25">
      <c r="B115" t="s">
        <v>619</v>
      </c>
      <c r="C115" t="s">
        <v>14</v>
      </c>
      <c r="D115">
        <v>0.3</v>
      </c>
      <c r="E115">
        <v>1</v>
      </c>
      <c r="F115">
        <v>0</v>
      </c>
    </row>
    <row r="116" spans="2:6" x14ac:dyDescent="0.25">
      <c r="B116" t="s">
        <v>622</v>
      </c>
      <c r="C116" t="s">
        <v>14</v>
      </c>
      <c r="D116">
        <v>0.3</v>
      </c>
      <c r="E116">
        <v>1</v>
      </c>
      <c r="F116">
        <v>0</v>
      </c>
    </row>
    <row r="117" spans="2:6" x14ac:dyDescent="0.25">
      <c r="B117" t="s">
        <v>619</v>
      </c>
      <c r="C117" t="s">
        <v>14</v>
      </c>
      <c r="D117">
        <v>0.3</v>
      </c>
      <c r="E117">
        <v>1</v>
      </c>
      <c r="F117">
        <v>0</v>
      </c>
    </row>
    <row r="118" spans="2:6" x14ac:dyDescent="0.25">
      <c r="B118" t="s">
        <v>622</v>
      </c>
      <c r="C118" t="s">
        <v>2</v>
      </c>
      <c r="D118">
        <v>1</v>
      </c>
      <c r="E118">
        <v>0.2</v>
      </c>
      <c r="F118">
        <v>0</v>
      </c>
    </row>
    <row r="119" spans="2:6" x14ac:dyDescent="0.25">
      <c r="B119" t="s">
        <v>619</v>
      </c>
      <c r="C119" t="s">
        <v>2</v>
      </c>
      <c r="D119">
        <v>1</v>
      </c>
      <c r="E119">
        <v>0.2</v>
      </c>
      <c r="F119">
        <v>0</v>
      </c>
    </row>
    <row r="120" spans="2:6" x14ac:dyDescent="0.25">
      <c r="B120" t="s">
        <v>639</v>
      </c>
      <c r="C120">
        <v>1296241</v>
      </c>
    </row>
    <row r="121" spans="2:6" x14ac:dyDescent="0.25">
      <c r="B121" t="s">
        <v>619</v>
      </c>
      <c r="C121" t="s">
        <v>2</v>
      </c>
      <c r="D121">
        <v>1</v>
      </c>
      <c r="E121">
        <v>0.2</v>
      </c>
      <c r="F121">
        <v>0</v>
      </c>
    </row>
    <row r="122" spans="2:6" x14ac:dyDescent="0.25">
      <c r="B122" t="s">
        <v>619</v>
      </c>
      <c r="C122" t="s">
        <v>2</v>
      </c>
      <c r="D122">
        <v>1</v>
      </c>
      <c r="E122">
        <v>0.2</v>
      </c>
      <c r="F122">
        <v>0</v>
      </c>
    </row>
    <row r="123" spans="2:6" x14ac:dyDescent="0.25">
      <c r="B123" t="s">
        <v>619</v>
      </c>
      <c r="C123" t="s">
        <v>2</v>
      </c>
      <c r="D123">
        <v>1</v>
      </c>
      <c r="E123">
        <v>0.2</v>
      </c>
      <c r="F123">
        <v>0</v>
      </c>
    </row>
    <row r="124" spans="2:6" x14ac:dyDescent="0.25">
      <c r="B124" t="s">
        <v>619</v>
      </c>
      <c r="C124" t="s">
        <v>2</v>
      </c>
      <c r="D124">
        <v>1</v>
      </c>
      <c r="E124">
        <v>0.2</v>
      </c>
      <c r="F124">
        <v>0</v>
      </c>
    </row>
    <row r="125" spans="2:6" x14ac:dyDescent="0.25">
      <c r="B125" t="s">
        <v>640</v>
      </c>
      <c r="C125">
        <v>1296283</v>
      </c>
    </row>
    <row r="126" spans="2:6" x14ac:dyDescent="0.25">
      <c r="B126" t="s">
        <v>619</v>
      </c>
      <c r="C126" t="s">
        <v>2</v>
      </c>
      <c r="D126">
        <v>1</v>
      </c>
      <c r="E126">
        <v>0.2</v>
      </c>
      <c r="F126">
        <v>0</v>
      </c>
    </row>
    <row r="127" spans="2:6" x14ac:dyDescent="0.25">
      <c r="B127" t="s">
        <v>622</v>
      </c>
      <c r="C127" t="s">
        <v>2</v>
      </c>
      <c r="D127">
        <v>1</v>
      </c>
      <c r="E127">
        <v>0.2</v>
      </c>
      <c r="F127">
        <v>0</v>
      </c>
    </row>
    <row r="128" spans="2:6" x14ac:dyDescent="0.25">
      <c r="B128" t="s">
        <v>619</v>
      </c>
      <c r="C128" t="s">
        <v>2</v>
      </c>
      <c r="D128">
        <v>1</v>
      </c>
      <c r="E128">
        <v>0.2</v>
      </c>
      <c r="F128">
        <v>0</v>
      </c>
    </row>
    <row r="129" spans="2:6" x14ac:dyDescent="0.25">
      <c r="B129" t="s">
        <v>619</v>
      </c>
      <c r="C129" t="s">
        <v>2</v>
      </c>
      <c r="D129">
        <v>1</v>
      </c>
      <c r="E129">
        <v>0.2</v>
      </c>
      <c r="F129">
        <v>0</v>
      </c>
    </row>
    <row r="130" spans="2:6" x14ac:dyDescent="0.25">
      <c r="B130" t="s">
        <v>622</v>
      </c>
      <c r="C130" t="s">
        <v>2</v>
      </c>
      <c r="D130">
        <v>1</v>
      </c>
      <c r="E130">
        <v>0.2</v>
      </c>
      <c r="F130">
        <v>0</v>
      </c>
    </row>
    <row r="131" spans="2:6" x14ac:dyDescent="0.25">
      <c r="B131" t="s">
        <v>619</v>
      </c>
      <c r="C131" t="s">
        <v>2</v>
      </c>
      <c r="D131">
        <v>1</v>
      </c>
      <c r="E131">
        <v>0.2</v>
      </c>
      <c r="F131">
        <v>0</v>
      </c>
    </row>
    <row r="132" spans="2:6" x14ac:dyDescent="0.25">
      <c r="B132" t="s">
        <v>622</v>
      </c>
      <c r="C132" t="s">
        <v>2</v>
      </c>
      <c r="D132">
        <v>1</v>
      </c>
      <c r="E132">
        <v>0.2</v>
      </c>
      <c r="F132">
        <v>0</v>
      </c>
    </row>
    <row r="133" spans="2:6" x14ac:dyDescent="0.25">
      <c r="B133" t="s">
        <v>619</v>
      </c>
      <c r="C133" t="s">
        <v>2</v>
      </c>
      <c r="D133">
        <v>1</v>
      </c>
      <c r="E133">
        <v>0.2</v>
      </c>
      <c r="F133">
        <v>0</v>
      </c>
    </row>
    <row r="134" spans="2:6" x14ac:dyDescent="0.25">
      <c r="B134" t="s">
        <v>622</v>
      </c>
      <c r="C134" t="s">
        <v>2</v>
      </c>
      <c r="D134">
        <v>1</v>
      </c>
      <c r="E134">
        <v>0.2</v>
      </c>
      <c r="F134">
        <v>0</v>
      </c>
    </row>
    <row r="135" spans="2:6" x14ac:dyDescent="0.25">
      <c r="B135" t="s">
        <v>619</v>
      </c>
      <c r="C135" t="s">
        <v>2</v>
      </c>
      <c r="D135">
        <v>1</v>
      </c>
      <c r="E135">
        <v>0.2</v>
      </c>
      <c r="F135">
        <v>0</v>
      </c>
    </row>
    <row r="136" spans="2:6" x14ac:dyDescent="0.25">
      <c r="B136" t="s">
        <v>622</v>
      </c>
      <c r="C136" t="s">
        <v>2</v>
      </c>
      <c r="D136">
        <v>1</v>
      </c>
      <c r="E136">
        <v>0.2</v>
      </c>
      <c r="F136">
        <v>0</v>
      </c>
    </row>
    <row r="137" spans="2:6" x14ac:dyDescent="0.25">
      <c r="B137" t="s">
        <v>622</v>
      </c>
      <c r="C137" t="s">
        <v>2</v>
      </c>
      <c r="D137">
        <v>1</v>
      </c>
      <c r="E137">
        <v>0.2</v>
      </c>
      <c r="F137">
        <v>0</v>
      </c>
    </row>
    <row r="138" spans="2:6" x14ac:dyDescent="0.25">
      <c r="B138" t="s">
        <v>619</v>
      </c>
      <c r="C138" t="s">
        <v>2</v>
      </c>
      <c r="D138">
        <v>1</v>
      </c>
      <c r="E138">
        <v>0.2</v>
      </c>
      <c r="F138">
        <v>0</v>
      </c>
    </row>
    <row r="139" spans="2:6" x14ac:dyDescent="0.25">
      <c r="B139" t="s">
        <v>622</v>
      </c>
      <c r="C139" t="s">
        <v>2</v>
      </c>
      <c r="D139">
        <v>1</v>
      </c>
      <c r="E139">
        <v>0.2</v>
      </c>
      <c r="F139">
        <v>0</v>
      </c>
    </row>
    <row r="140" spans="2:6" x14ac:dyDescent="0.25">
      <c r="B140" t="s">
        <v>622</v>
      </c>
      <c r="C140" t="s">
        <v>2</v>
      </c>
      <c r="D140">
        <v>1</v>
      </c>
      <c r="E140">
        <v>0.2</v>
      </c>
      <c r="F140">
        <v>0</v>
      </c>
    </row>
    <row r="141" spans="2:6" x14ac:dyDescent="0.25">
      <c r="B141" t="s">
        <v>622</v>
      </c>
      <c r="C141" t="s">
        <v>2</v>
      </c>
      <c r="D141">
        <v>1</v>
      </c>
      <c r="E141">
        <v>0.2</v>
      </c>
      <c r="F141">
        <v>0</v>
      </c>
    </row>
    <row r="142" spans="2:6" x14ac:dyDescent="0.25">
      <c r="B142" t="s">
        <v>619</v>
      </c>
      <c r="C142" t="s">
        <v>5</v>
      </c>
      <c r="D142">
        <v>0.2</v>
      </c>
      <c r="E142">
        <v>-1</v>
      </c>
      <c r="F142">
        <v>0</v>
      </c>
    </row>
    <row r="143" spans="2:6" x14ac:dyDescent="0.25">
      <c r="B143" t="s">
        <v>619</v>
      </c>
      <c r="C143" t="s">
        <v>5</v>
      </c>
      <c r="D143">
        <v>0.2</v>
      </c>
      <c r="E143">
        <v>-1</v>
      </c>
      <c r="F143">
        <v>0</v>
      </c>
    </row>
    <row r="144" spans="2:6" x14ac:dyDescent="0.25">
      <c r="B144" t="s">
        <v>619</v>
      </c>
      <c r="C144" t="s">
        <v>5</v>
      </c>
      <c r="D144">
        <v>0.2</v>
      </c>
      <c r="E144">
        <v>-1</v>
      </c>
      <c r="F144">
        <v>0</v>
      </c>
    </row>
    <row r="145" spans="2:6" x14ac:dyDescent="0.25">
      <c r="B145" t="s">
        <v>619</v>
      </c>
      <c r="C145" t="s">
        <v>5</v>
      </c>
      <c r="D145">
        <v>0.2</v>
      </c>
      <c r="E145">
        <v>-1</v>
      </c>
      <c r="F145">
        <v>0</v>
      </c>
    </row>
    <row r="146" spans="2:6" x14ac:dyDescent="0.25">
      <c r="B146" t="s">
        <v>619</v>
      </c>
      <c r="C146" t="s">
        <v>5</v>
      </c>
      <c r="D146">
        <v>0.2</v>
      </c>
      <c r="E146">
        <v>-1</v>
      </c>
      <c r="F146">
        <v>0</v>
      </c>
    </row>
    <row r="147" spans="2:6" x14ac:dyDescent="0.25">
      <c r="B147" t="s">
        <v>619</v>
      </c>
      <c r="C147" t="s">
        <v>5</v>
      </c>
      <c r="D147">
        <v>0.2</v>
      </c>
      <c r="E147">
        <v>-1</v>
      </c>
      <c r="F147">
        <v>0</v>
      </c>
    </row>
    <row r="148" spans="2:6" x14ac:dyDescent="0.25">
      <c r="B148" t="s">
        <v>619</v>
      </c>
      <c r="C148" t="s">
        <v>5</v>
      </c>
      <c r="D148">
        <v>0.2</v>
      </c>
      <c r="E148">
        <v>-1</v>
      </c>
      <c r="F148">
        <v>0</v>
      </c>
    </row>
    <row r="149" spans="2:6" x14ac:dyDescent="0.25">
      <c r="B149" t="s">
        <v>621</v>
      </c>
      <c r="C149" t="s">
        <v>5</v>
      </c>
      <c r="D149">
        <v>0.2</v>
      </c>
      <c r="E149">
        <v>-1</v>
      </c>
      <c r="F149">
        <v>0</v>
      </c>
    </row>
    <row r="150" spans="2:6" x14ac:dyDescent="0.25">
      <c r="B150" t="s">
        <v>27</v>
      </c>
      <c r="C150" t="s">
        <v>1</v>
      </c>
      <c r="D150">
        <v>-1</v>
      </c>
      <c r="E150">
        <v>-0.2</v>
      </c>
      <c r="F150">
        <v>0</v>
      </c>
    </row>
    <row r="151" spans="2:6" x14ac:dyDescent="0.25">
      <c r="B151" t="s">
        <v>27</v>
      </c>
      <c r="C151" t="s">
        <v>1</v>
      </c>
      <c r="D151">
        <v>-1</v>
      </c>
      <c r="E151">
        <v>-0.2</v>
      </c>
      <c r="F151">
        <v>0</v>
      </c>
    </row>
    <row r="152" spans="2:6" x14ac:dyDescent="0.25">
      <c r="B152" t="s">
        <v>641</v>
      </c>
      <c r="C152">
        <v>1296393</v>
      </c>
    </row>
    <row r="153" spans="2:6" x14ac:dyDescent="0.25">
      <c r="B153" t="s">
        <v>622</v>
      </c>
      <c r="C153" t="s">
        <v>14</v>
      </c>
      <c r="D153">
        <v>0.3</v>
      </c>
      <c r="E153">
        <v>1</v>
      </c>
      <c r="F153">
        <v>0</v>
      </c>
    </row>
    <row r="154" spans="2:6" x14ac:dyDescent="0.25">
      <c r="B154" t="s">
        <v>622</v>
      </c>
      <c r="C154" t="s">
        <v>14</v>
      </c>
      <c r="D154">
        <v>0.3</v>
      </c>
      <c r="E154">
        <v>1</v>
      </c>
      <c r="F154">
        <v>0</v>
      </c>
    </row>
    <row r="155" spans="2:6" x14ac:dyDescent="0.25">
      <c r="B155" t="s">
        <v>619</v>
      </c>
      <c r="C155" t="s">
        <v>14</v>
      </c>
      <c r="D155">
        <v>0.3</v>
      </c>
      <c r="E155">
        <v>1</v>
      </c>
      <c r="F155">
        <v>0</v>
      </c>
    </row>
    <row r="156" spans="2:6" x14ac:dyDescent="0.25">
      <c r="B156" t="s">
        <v>619</v>
      </c>
      <c r="C156" t="s">
        <v>2</v>
      </c>
      <c r="D156">
        <v>1</v>
      </c>
      <c r="E156">
        <v>0.2</v>
      </c>
      <c r="F156">
        <v>0</v>
      </c>
    </row>
    <row r="157" spans="2:6" x14ac:dyDescent="0.25">
      <c r="B157" t="s">
        <v>619</v>
      </c>
      <c r="C157" t="s">
        <v>2</v>
      </c>
      <c r="D157">
        <v>1</v>
      </c>
      <c r="E157">
        <v>0.2</v>
      </c>
      <c r="F157">
        <v>0</v>
      </c>
    </row>
    <row r="158" spans="2:6" x14ac:dyDescent="0.25">
      <c r="B158" t="s">
        <v>619</v>
      </c>
      <c r="C158" t="s">
        <v>2</v>
      </c>
      <c r="D158">
        <v>1</v>
      </c>
      <c r="E158">
        <v>0.2</v>
      </c>
      <c r="F158">
        <v>0</v>
      </c>
    </row>
    <row r="159" spans="2:6" x14ac:dyDescent="0.25">
      <c r="B159" t="s">
        <v>619</v>
      </c>
      <c r="C159" t="s">
        <v>2</v>
      </c>
      <c r="D159">
        <v>1</v>
      </c>
      <c r="E159">
        <v>0.2</v>
      </c>
      <c r="F159">
        <v>0</v>
      </c>
    </row>
    <row r="160" spans="2:6" x14ac:dyDescent="0.25">
      <c r="B160" t="s">
        <v>622</v>
      </c>
      <c r="C160" t="s">
        <v>2</v>
      </c>
      <c r="D160">
        <v>1</v>
      </c>
      <c r="E160">
        <v>0.2</v>
      </c>
      <c r="F160">
        <v>0</v>
      </c>
    </row>
    <row r="161" spans="2:6" x14ac:dyDescent="0.25">
      <c r="B161" t="s">
        <v>619</v>
      </c>
      <c r="C161" t="s">
        <v>2</v>
      </c>
      <c r="D161">
        <v>1</v>
      </c>
      <c r="E161">
        <v>0.2</v>
      </c>
      <c r="F161">
        <v>0</v>
      </c>
    </row>
    <row r="162" spans="2:6" x14ac:dyDescent="0.25">
      <c r="B162" t="s">
        <v>619</v>
      </c>
      <c r="C162" t="s">
        <v>2</v>
      </c>
      <c r="D162">
        <v>1</v>
      </c>
      <c r="E162">
        <v>0.2</v>
      </c>
      <c r="F162">
        <v>0</v>
      </c>
    </row>
    <row r="163" spans="2:6" x14ac:dyDescent="0.25">
      <c r="B163" t="s">
        <v>619</v>
      </c>
      <c r="C163" t="s">
        <v>2</v>
      </c>
      <c r="D163">
        <v>1</v>
      </c>
      <c r="E163">
        <v>0.2</v>
      </c>
      <c r="F163">
        <v>0</v>
      </c>
    </row>
    <row r="164" spans="2:6" x14ac:dyDescent="0.25">
      <c r="B164" t="s">
        <v>622</v>
      </c>
      <c r="C164" t="s">
        <v>2</v>
      </c>
      <c r="D164">
        <v>1</v>
      </c>
      <c r="E164">
        <v>0.2</v>
      </c>
      <c r="F164">
        <v>0</v>
      </c>
    </row>
    <row r="165" spans="2:6" x14ac:dyDescent="0.25">
      <c r="B165" t="s">
        <v>619</v>
      </c>
      <c r="C165" t="s">
        <v>2</v>
      </c>
      <c r="D165">
        <v>1</v>
      </c>
      <c r="E165">
        <v>0.2</v>
      </c>
      <c r="F165">
        <v>0</v>
      </c>
    </row>
    <row r="166" spans="2:6" x14ac:dyDescent="0.25">
      <c r="B166" t="s">
        <v>619</v>
      </c>
      <c r="C166" t="s">
        <v>2</v>
      </c>
      <c r="D166">
        <v>1</v>
      </c>
      <c r="E166">
        <v>0.2</v>
      </c>
      <c r="F166">
        <v>0</v>
      </c>
    </row>
    <row r="167" spans="2:6" x14ac:dyDescent="0.25">
      <c r="B167" t="s">
        <v>622</v>
      </c>
      <c r="C167" t="s">
        <v>2</v>
      </c>
      <c r="D167">
        <v>1</v>
      </c>
      <c r="E167">
        <v>0.2</v>
      </c>
      <c r="F167">
        <v>0</v>
      </c>
    </row>
    <row r="168" spans="2:6" x14ac:dyDescent="0.25">
      <c r="B168" t="s">
        <v>619</v>
      </c>
      <c r="C168" t="s">
        <v>2</v>
      </c>
      <c r="D168">
        <v>1</v>
      </c>
      <c r="E168">
        <v>0.2</v>
      </c>
      <c r="F168">
        <v>0</v>
      </c>
    </row>
    <row r="169" spans="2:6" x14ac:dyDescent="0.25">
      <c r="B169" t="s">
        <v>621</v>
      </c>
      <c r="C169" t="s">
        <v>2</v>
      </c>
      <c r="D169">
        <v>1</v>
      </c>
      <c r="E169">
        <v>0.2</v>
      </c>
      <c r="F169">
        <v>0</v>
      </c>
    </row>
    <row r="170" spans="2:6" x14ac:dyDescent="0.25">
      <c r="B170" t="s">
        <v>621</v>
      </c>
      <c r="C170" t="s">
        <v>2</v>
      </c>
      <c r="D170">
        <v>1</v>
      </c>
      <c r="E170">
        <v>0.2</v>
      </c>
      <c r="F170">
        <v>0</v>
      </c>
    </row>
    <row r="171" spans="2:6" x14ac:dyDescent="0.25">
      <c r="B171" t="s">
        <v>621</v>
      </c>
      <c r="C171" t="s">
        <v>2</v>
      </c>
      <c r="D171">
        <v>1</v>
      </c>
      <c r="E171">
        <v>0.2</v>
      </c>
      <c r="F171">
        <v>0</v>
      </c>
    </row>
    <row r="172" spans="2:6" x14ac:dyDescent="0.25">
      <c r="B172" t="s">
        <v>621</v>
      </c>
      <c r="C172" t="s">
        <v>2</v>
      </c>
      <c r="D172">
        <v>1</v>
      </c>
      <c r="E172">
        <v>0.2</v>
      </c>
      <c r="F172">
        <v>0</v>
      </c>
    </row>
    <row r="173" spans="2:6" x14ac:dyDescent="0.25">
      <c r="B173" t="s">
        <v>621</v>
      </c>
      <c r="C173" t="s">
        <v>2</v>
      </c>
      <c r="D173">
        <v>1</v>
      </c>
      <c r="E173">
        <v>0.2</v>
      </c>
      <c r="F173">
        <v>0</v>
      </c>
    </row>
    <row r="174" spans="2:6" x14ac:dyDescent="0.25">
      <c r="B174" t="s">
        <v>621</v>
      </c>
      <c r="C174" t="s">
        <v>2</v>
      </c>
      <c r="D174">
        <v>1</v>
      </c>
      <c r="E174">
        <v>0.2</v>
      </c>
      <c r="F174">
        <v>0</v>
      </c>
    </row>
    <row r="175" spans="2:6" x14ac:dyDescent="0.25">
      <c r="B175" t="s">
        <v>621</v>
      </c>
      <c r="C175" t="s">
        <v>2</v>
      </c>
      <c r="D175">
        <v>1</v>
      </c>
      <c r="E175">
        <v>0.2</v>
      </c>
      <c r="F175">
        <v>0</v>
      </c>
    </row>
    <row r="176" spans="2:6" x14ac:dyDescent="0.25">
      <c r="B176" t="s">
        <v>621</v>
      </c>
      <c r="C176" t="s">
        <v>2</v>
      </c>
      <c r="D176">
        <v>1</v>
      </c>
      <c r="E176">
        <v>0.2</v>
      </c>
      <c r="F176">
        <v>0</v>
      </c>
    </row>
    <row r="177" spans="2:6" x14ac:dyDescent="0.25">
      <c r="B177" t="s">
        <v>621</v>
      </c>
      <c r="C177" t="s">
        <v>2</v>
      </c>
      <c r="D177">
        <v>1</v>
      </c>
      <c r="E177">
        <v>0.2</v>
      </c>
      <c r="F177">
        <v>0</v>
      </c>
    </row>
    <row r="178" spans="2:6" x14ac:dyDescent="0.25">
      <c r="B178" t="s">
        <v>621</v>
      </c>
      <c r="C178" t="s">
        <v>2</v>
      </c>
      <c r="D178">
        <v>1</v>
      </c>
      <c r="E178">
        <v>0.2</v>
      </c>
      <c r="F178">
        <v>0</v>
      </c>
    </row>
    <row r="179" spans="2:6" x14ac:dyDescent="0.25">
      <c r="B179" t="s">
        <v>621</v>
      </c>
      <c r="C179" t="s">
        <v>2</v>
      </c>
      <c r="D179">
        <v>1</v>
      </c>
      <c r="E179">
        <v>0.2</v>
      </c>
      <c r="F179">
        <v>0</v>
      </c>
    </row>
    <row r="180" spans="2:6" x14ac:dyDescent="0.25">
      <c r="B180" t="s">
        <v>621</v>
      </c>
      <c r="C180" t="s">
        <v>2</v>
      </c>
      <c r="D180">
        <v>1</v>
      </c>
      <c r="E180">
        <v>0.2</v>
      </c>
      <c r="F180">
        <v>0</v>
      </c>
    </row>
    <row r="181" spans="2:6" x14ac:dyDescent="0.25">
      <c r="B181" t="s">
        <v>621</v>
      </c>
      <c r="C181" t="s">
        <v>2</v>
      </c>
      <c r="D181">
        <v>1</v>
      </c>
      <c r="E181">
        <v>0.2</v>
      </c>
      <c r="F181">
        <v>0</v>
      </c>
    </row>
    <row r="182" spans="2:6" x14ac:dyDescent="0.25">
      <c r="B182" t="s">
        <v>621</v>
      </c>
      <c r="C182" t="s">
        <v>2</v>
      </c>
      <c r="D182">
        <v>1</v>
      </c>
      <c r="E182">
        <v>0.2</v>
      </c>
      <c r="F182">
        <v>0</v>
      </c>
    </row>
    <row r="183" spans="2:6" x14ac:dyDescent="0.25">
      <c r="B183" t="s">
        <v>621</v>
      </c>
      <c r="C183" t="s">
        <v>2</v>
      </c>
      <c r="D183">
        <v>1</v>
      </c>
      <c r="E183">
        <v>0.2</v>
      </c>
      <c r="F183">
        <v>0</v>
      </c>
    </row>
    <row r="184" spans="2:6" x14ac:dyDescent="0.25">
      <c r="B184" t="s">
        <v>621</v>
      </c>
      <c r="C184" t="s">
        <v>2</v>
      </c>
      <c r="D184">
        <v>1</v>
      </c>
      <c r="E184">
        <v>0.2</v>
      </c>
      <c r="F184">
        <v>0</v>
      </c>
    </row>
    <row r="185" spans="2:6" x14ac:dyDescent="0.25">
      <c r="B185" t="s">
        <v>27</v>
      </c>
      <c r="C185" t="s">
        <v>1</v>
      </c>
      <c r="D185">
        <v>-1</v>
      </c>
      <c r="E185">
        <v>-0.2</v>
      </c>
      <c r="F185">
        <v>0</v>
      </c>
    </row>
    <row r="186" spans="2:6" x14ac:dyDescent="0.25">
      <c r="B186" t="s">
        <v>642</v>
      </c>
      <c r="C186">
        <v>1296403</v>
      </c>
    </row>
    <row r="187" spans="2:6" x14ac:dyDescent="0.25">
      <c r="B187" t="s">
        <v>619</v>
      </c>
      <c r="C187" t="s">
        <v>2</v>
      </c>
      <c r="D187">
        <v>1</v>
      </c>
      <c r="E187">
        <v>0.2</v>
      </c>
      <c r="F187">
        <v>0</v>
      </c>
    </row>
    <row r="188" spans="2:6" x14ac:dyDescent="0.25">
      <c r="B188" t="s">
        <v>622</v>
      </c>
      <c r="C188" t="s">
        <v>2</v>
      </c>
      <c r="D188">
        <v>1</v>
      </c>
      <c r="E188">
        <v>0.2</v>
      </c>
      <c r="F188">
        <v>0</v>
      </c>
    </row>
    <row r="189" spans="2:6" x14ac:dyDescent="0.25">
      <c r="B189" t="s">
        <v>619</v>
      </c>
      <c r="C189" t="s">
        <v>2</v>
      </c>
      <c r="D189">
        <v>1</v>
      </c>
      <c r="E189">
        <v>0.2</v>
      </c>
      <c r="F189">
        <v>0</v>
      </c>
    </row>
    <row r="190" spans="2:6" x14ac:dyDescent="0.25">
      <c r="B190" t="s">
        <v>643</v>
      </c>
      <c r="C190">
        <v>1296413</v>
      </c>
    </row>
    <row r="191" spans="2:6" x14ac:dyDescent="0.25">
      <c r="B191" t="s">
        <v>621</v>
      </c>
      <c r="C191" t="s">
        <v>2</v>
      </c>
      <c r="D191">
        <v>1</v>
      </c>
      <c r="E191">
        <v>0.2</v>
      </c>
      <c r="F191">
        <v>0</v>
      </c>
    </row>
    <row r="192" spans="2:6" x14ac:dyDescent="0.25">
      <c r="B192" t="s">
        <v>621</v>
      </c>
      <c r="C192" t="s">
        <v>2</v>
      </c>
      <c r="D192">
        <v>1</v>
      </c>
      <c r="E192">
        <v>0.2</v>
      </c>
      <c r="F192">
        <v>0</v>
      </c>
    </row>
    <row r="193" spans="2:6" x14ac:dyDescent="0.25">
      <c r="B193" t="s">
        <v>621</v>
      </c>
      <c r="C193" t="s">
        <v>2</v>
      </c>
      <c r="D193">
        <v>1</v>
      </c>
      <c r="E193">
        <v>0.2</v>
      </c>
      <c r="F193">
        <v>0</v>
      </c>
    </row>
    <row r="194" spans="2:6" x14ac:dyDescent="0.25">
      <c r="B194" t="s">
        <v>621</v>
      </c>
      <c r="C194" t="s">
        <v>2</v>
      </c>
      <c r="D194">
        <v>1</v>
      </c>
      <c r="E194">
        <v>0.2</v>
      </c>
      <c r="F194">
        <v>0</v>
      </c>
    </row>
    <row r="195" spans="2:6" x14ac:dyDescent="0.25">
      <c r="B195" t="s">
        <v>621</v>
      </c>
      <c r="C195" t="s">
        <v>2</v>
      </c>
      <c r="D195">
        <v>1</v>
      </c>
      <c r="E195">
        <v>0.2</v>
      </c>
      <c r="F195">
        <v>0</v>
      </c>
    </row>
    <row r="196" spans="2:6" x14ac:dyDescent="0.25">
      <c r="B196" t="s">
        <v>621</v>
      </c>
      <c r="C196" t="s">
        <v>2</v>
      </c>
      <c r="D196">
        <v>1</v>
      </c>
      <c r="E196">
        <v>0.2</v>
      </c>
      <c r="F196">
        <v>0</v>
      </c>
    </row>
    <row r="197" spans="2:6" x14ac:dyDescent="0.25">
      <c r="B197" t="s">
        <v>644</v>
      </c>
      <c r="C197">
        <v>1296415</v>
      </c>
    </row>
    <row r="198" spans="2:6" x14ac:dyDescent="0.25">
      <c r="B198" t="s">
        <v>621</v>
      </c>
      <c r="C198" t="s">
        <v>2</v>
      </c>
      <c r="D198">
        <v>1</v>
      </c>
      <c r="E198">
        <v>0.2</v>
      </c>
      <c r="F198">
        <v>0</v>
      </c>
    </row>
    <row r="199" spans="2:6" x14ac:dyDescent="0.25">
      <c r="B199" t="s">
        <v>621</v>
      </c>
      <c r="C199" t="s">
        <v>2</v>
      </c>
      <c r="D199">
        <v>1</v>
      </c>
      <c r="E199">
        <v>0.2</v>
      </c>
      <c r="F199">
        <v>0</v>
      </c>
    </row>
    <row r="200" spans="2:6" x14ac:dyDescent="0.25">
      <c r="B200" t="s">
        <v>621</v>
      </c>
      <c r="C200" t="s">
        <v>2</v>
      </c>
      <c r="D200">
        <v>1</v>
      </c>
      <c r="E200">
        <v>0.2</v>
      </c>
      <c r="F200">
        <v>0</v>
      </c>
    </row>
    <row r="201" spans="2:6" x14ac:dyDescent="0.25">
      <c r="B201" t="s">
        <v>621</v>
      </c>
      <c r="C201" t="s">
        <v>2</v>
      </c>
      <c r="D201">
        <v>1</v>
      </c>
      <c r="E201">
        <v>0.2</v>
      </c>
      <c r="F201">
        <v>0</v>
      </c>
    </row>
    <row r="202" spans="2:6" x14ac:dyDescent="0.25">
      <c r="B202" t="s">
        <v>621</v>
      </c>
      <c r="C202" t="s">
        <v>2</v>
      </c>
      <c r="D202">
        <v>1</v>
      </c>
      <c r="E202">
        <v>0.2</v>
      </c>
      <c r="F202">
        <v>0</v>
      </c>
    </row>
    <row r="203" spans="2:6" x14ac:dyDescent="0.25">
      <c r="B203" t="s">
        <v>645</v>
      </c>
      <c r="C203">
        <v>1296451</v>
      </c>
    </row>
    <row r="204" spans="2:6" x14ac:dyDescent="0.25">
      <c r="B204" t="s">
        <v>619</v>
      </c>
      <c r="C204" t="s">
        <v>626</v>
      </c>
      <c r="D204">
        <v>-0.2</v>
      </c>
      <c r="E204">
        <v>1</v>
      </c>
      <c r="F204">
        <v>0</v>
      </c>
    </row>
    <row r="205" spans="2:6" x14ac:dyDescent="0.25">
      <c r="B205" t="s">
        <v>622</v>
      </c>
      <c r="C205" t="s">
        <v>626</v>
      </c>
      <c r="D205">
        <v>-0.2</v>
      </c>
      <c r="E205">
        <v>1</v>
      </c>
      <c r="F205">
        <v>0</v>
      </c>
    </row>
    <row r="206" spans="2:6" x14ac:dyDescent="0.25">
      <c r="B206" t="s">
        <v>622</v>
      </c>
      <c r="C206" t="s">
        <v>626</v>
      </c>
      <c r="D206">
        <v>-0.2</v>
      </c>
      <c r="E206">
        <v>1</v>
      </c>
      <c r="F206">
        <v>0</v>
      </c>
    </row>
    <row r="207" spans="2:6" x14ac:dyDescent="0.25">
      <c r="B207" t="s">
        <v>621</v>
      </c>
      <c r="C207" t="s">
        <v>626</v>
      </c>
      <c r="D207">
        <v>-0.2</v>
      </c>
      <c r="E207">
        <v>1</v>
      </c>
      <c r="F207">
        <v>0</v>
      </c>
    </row>
    <row r="208" spans="2:6" x14ac:dyDescent="0.25">
      <c r="B208" t="s">
        <v>622</v>
      </c>
      <c r="C208" t="s">
        <v>626</v>
      </c>
      <c r="D208">
        <v>-0.2</v>
      </c>
      <c r="E208">
        <v>1</v>
      </c>
      <c r="F208">
        <v>0</v>
      </c>
    </row>
    <row r="209" spans="2:8" x14ac:dyDescent="0.25">
      <c r="B209" t="s">
        <v>621</v>
      </c>
      <c r="C209" t="s">
        <v>626</v>
      </c>
      <c r="D209">
        <v>-0.2</v>
      </c>
      <c r="E209">
        <v>1</v>
      </c>
      <c r="F209">
        <v>0</v>
      </c>
    </row>
    <row r="210" spans="2:8" x14ac:dyDescent="0.25">
      <c r="B210" t="s">
        <v>646</v>
      </c>
      <c r="C210">
        <v>1296660</v>
      </c>
    </row>
    <row r="211" spans="2:8" x14ac:dyDescent="0.25">
      <c r="B211" t="s">
        <v>619</v>
      </c>
      <c r="C211" t="s">
        <v>1</v>
      </c>
      <c r="D211">
        <v>-1</v>
      </c>
      <c r="E211">
        <v>-0.2</v>
      </c>
      <c r="F211">
        <v>0</v>
      </c>
    </row>
    <row r="212" spans="2:8" x14ac:dyDescent="0.25">
      <c r="B212" s="14" t="s">
        <v>773</v>
      </c>
      <c r="C212" t="s">
        <v>1</v>
      </c>
      <c r="D212">
        <v>-1</v>
      </c>
      <c r="E212">
        <v>-0.2</v>
      </c>
      <c r="F212">
        <v>0</v>
      </c>
    </row>
    <row r="213" spans="2:8" x14ac:dyDescent="0.25">
      <c r="B213" s="26" t="s">
        <v>622</v>
      </c>
      <c r="C213" t="s">
        <v>1</v>
      </c>
      <c r="D213">
        <v>-1</v>
      </c>
      <c r="E213">
        <v>-0.2</v>
      </c>
      <c r="F213">
        <v>0</v>
      </c>
    </row>
    <row r="214" spans="2:8" x14ac:dyDescent="0.25">
      <c r="B214" t="s">
        <v>647</v>
      </c>
      <c r="C214">
        <v>1296666</v>
      </c>
    </row>
    <row r="215" spans="2:8" x14ac:dyDescent="0.25">
      <c r="B215" t="s">
        <v>648</v>
      </c>
      <c r="C215" t="s">
        <v>18</v>
      </c>
      <c r="D215">
        <v>0</v>
      </c>
      <c r="E215">
        <v>1</v>
      </c>
      <c r="F215">
        <v>0</v>
      </c>
    </row>
    <row r="216" spans="2:8" x14ac:dyDescent="0.25">
      <c r="B216" t="s">
        <v>622</v>
      </c>
      <c r="C216" t="s">
        <v>630</v>
      </c>
      <c r="D216">
        <v>0</v>
      </c>
      <c r="E216">
        <v>1</v>
      </c>
      <c r="F216">
        <v>0</v>
      </c>
    </row>
    <row r="217" spans="2:8" x14ac:dyDescent="0.25">
      <c r="B217" t="s">
        <v>622</v>
      </c>
      <c r="C217" t="s">
        <v>630</v>
      </c>
      <c r="D217">
        <v>0</v>
      </c>
      <c r="E217">
        <v>1</v>
      </c>
      <c r="F217">
        <v>0</v>
      </c>
    </row>
    <row r="218" spans="2:8" x14ac:dyDescent="0.25">
      <c r="B218" t="s">
        <v>622</v>
      </c>
      <c r="C218" t="s">
        <v>630</v>
      </c>
      <c r="D218">
        <v>0</v>
      </c>
      <c r="E218">
        <v>1</v>
      </c>
      <c r="F218">
        <v>0</v>
      </c>
    </row>
    <row r="219" spans="2:8" x14ac:dyDescent="0.25">
      <c r="B219" t="s">
        <v>619</v>
      </c>
      <c r="C219" t="s">
        <v>630</v>
      </c>
      <c r="D219">
        <v>0</v>
      </c>
      <c r="E219">
        <v>1</v>
      </c>
      <c r="F219">
        <v>0</v>
      </c>
    </row>
    <row r="220" spans="2:8" x14ac:dyDescent="0.25">
      <c r="B220" t="s">
        <v>622</v>
      </c>
      <c r="C220" t="s">
        <v>630</v>
      </c>
      <c r="D220">
        <v>0</v>
      </c>
      <c r="E220">
        <v>1</v>
      </c>
      <c r="F220">
        <v>0</v>
      </c>
    </row>
    <row r="221" spans="2:8" x14ac:dyDescent="0.25">
      <c r="B221" t="s">
        <v>622</v>
      </c>
      <c r="C221" t="s">
        <v>630</v>
      </c>
      <c r="D221">
        <v>0</v>
      </c>
      <c r="E221">
        <v>1</v>
      </c>
      <c r="F221">
        <v>0</v>
      </c>
    </row>
    <row r="222" spans="2:8" x14ac:dyDescent="0.25">
      <c r="B222" s="26" t="s">
        <v>622</v>
      </c>
      <c r="C222" t="s">
        <v>630</v>
      </c>
      <c r="D222">
        <v>0</v>
      </c>
      <c r="E222">
        <v>1</v>
      </c>
      <c r="F222">
        <v>0</v>
      </c>
      <c r="H222" t="s">
        <v>774</v>
      </c>
    </row>
    <row r="223" spans="2:8" x14ac:dyDescent="0.25">
      <c r="B223" s="26" t="s">
        <v>622</v>
      </c>
      <c r="C223" t="s">
        <v>630</v>
      </c>
      <c r="D223">
        <v>0</v>
      </c>
      <c r="E223">
        <v>1</v>
      </c>
      <c r="F223">
        <v>0</v>
      </c>
      <c r="H223" t="s">
        <v>774</v>
      </c>
    </row>
    <row r="224" spans="2:8" x14ac:dyDescent="0.25">
      <c r="B224" s="26" t="s">
        <v>622</v>
      </c>
      <c r="C224" t="s">
        <v>630</v>
      </c>
      <c r="D224">
        <v>0</v>
      </c>
      <c r="E224">
        <v>1</v>
      </c>
      <c r="F224">
        <v>0</v>
      </c>
      <c r="H224" t="s">
        <v>774</v>
      </c>
    </row>
    <row r="225" spans="2:8" x14ac:dyDescent="0.25">
      <c r="B225" s="26" t="s">
        <v>622</v>
      </c>
      <c r="C225" t="s">
        <v>630</v>
      </c>
      <c r="D225">
        <v>0</v>
      </c>
      <c r="E225">
        <v>1</v>
      </c>
      <c r="F225">
        <v>0</v>
      </c>
      <c r="H225" t="s">
        <v>774</v>
      </c>
    </row>
    <row r="226" spans="2:8" x14ac:dyDescent="0.25">
      <c r="B226" s="26" t="s">
        <v>622</v>
      </c>
      <c r="C226" t="s">
        <v>630</v>
      </c>
      <c r="D226">
        <v>0</v>
      </c>
      <c r="E226">
        <v>1</v>
      </c>
      <c r="F226">
        <v>0</v>
      </c>
      <c r="H226" t="s">
        <v>774</v>
      </c>
    </row>
    <row r="227" spans="2:8" x14ac:dyDescent="0.25">
      <c r="B227" t="s">
        <v>619</v>
      </c>
      <c r="C227" t="s">
        <v>630</v>
      </c>
      <c r="D227">
        <v>0</v>
      </c>
      <c r="E227">
        <v>1</v>
      </c>
      <c r="F227">
        <v>0</v>
      </c>
    </row>
    <row r="228" spans="2:8" x14ac:dyDescent="0.25">
      <c r="B228" s="26" t="s">
        <v>619</v>
      </c>
      <c r="C228" t="s">
        <v>630</v>
      </c>
      <c r="D228">
        <v>0</v>
      </c>
      <c r="E228">
        <v>1</v>
      </c>
      <c r="F228">
        <v>0</v>
      </c>
      <c r="H228" t="s">
        <v>774</v>
      </c>
    </row>
    <row r="229" spans="2:8" x14ac:dyDescent="0.25">
      <c r="B229" s="26" t="s">
        <v>619</v>
      </c>
      <c r="C229" t="s">
        <v>630</v>
      </c>
      <c r="D229">
        <v>0</v>
      </c>
      <c r="E229">
        <v>1</v>
      </c>
      <c r="F229">
        <v>0</v>
      </c>
      <c r="H229" t="s">
        <v>774</v>
      </c>
    </row>
    <row r="230" spans="2:8" x14ac:dyDescent="0.25">
      <c r="B230" s="26" t="s">
        <v>619</v>
      </c>
      <c r="C230" t="s">
        <v>630</v>
      </c>
      <c r="D230">
        <v>0</v>
      </c>
      <c r="E230">
        <v>1</v>
      </c>
      <c r="F230">
        <v>0</v>
      </c>
      <c r="H230" t="s">
        <v>774</v>
      </c>
    </row>
    <row r="231" spans="2:8" x14ac:dyDescent="0.25">
      <c r="B231" s="26" t="s">
        <v>619</v>
      </c>
      <c r="C231" t="s">
        <v>630</v>
      </c>
      <c r="D231">
        <v>0</v>
      </c>
      <c r="E231">
        <v>1</v>
      </c>
      <c r="F231">
        <v>0</v>
      </c>
      <c r="H231" t="s">
        <v>774</v>
      </c>
    </row>
    <row r="232" spans="2:8" x14ac:dyDescent="0.25">
      <c r="B232" t="s">
        <v>622</v>
      </c>
      <c r="C232" t="s">
        <v>1</v>
      </c>
      <c r="D232">
        <v>-1</v>
      </c>
      <c r="E232">
        <v>-0.2</v>
      </c>
      <c r="F232">
        <v>0</v>
      </c>
    </row>
    <row r="233" spans="2:8" x14ac:dyDescent="0.25">
      <c r="B233" t="s">
        <v>619</v>
      </c>
      <c r="C233" t="s">
        <v>1</v>
      </c>
      <c r="D233">
        <v>-1</v>
      </c>
      <c r="E233">
        <v>-0.2</v>
      </c>
      <c r="F233">
        <v>0</v>
      </c>
    </row>
    <row r="234" spans="2:8" x14ac:dyDescent="0.25">
      <c r="B234" t="s">
        <v>619</v>
      </c>
      <c r="C234" t="s">
        <v>1</v>
      </c>
      <c r="D234">
        <v>-1</v>
      </c>
      <c r="E234">
        <v>-0.2</v>
      </c>
      <c r="F234">
        <v>0</v>
      </c>
    </row>
    <row r="235" spans="2:8" x14ac:dyDescent="0.25">
      <c r="B235" t="s">
        <v>619</v>
      </c>
      <c r="C235" t="s">
        <v>1</v>
      </c>
      <c r="D235">
        <v>-1</v>
      </c>
      <c r="E235">
        <v>-0.2</v>
      </c>
      <c r="F235">
        <v>0</v>
      </c>
    </row>
    <row r="236" spans="2:8" x14ac:dyDescent="0.25">
      <c r="B236" t="s">
        <v>619</v>
      </c>
      <c r="C236" t="s">
        <v>1</v>
      </c>
      <c r="D236">
        <v>-1</v>
      </c>
      <c r="E236">
        <v>-0.2</v>
      </c>
      <c r="F236">
        <v>0</v>
      </c>
    </row>
    <row r="237" spans="2:8" x14ac:dyDescent="0.25">
      <c r="B237" t="s">
        <v>649</v>
      </c>
      <c r="C237">
        <v>1296670</v>
      </c>
    </row>
    <row r="238" spans="2:8" x14ac:dyDescent="0.25">
      <c r="B238" t="s">
        <v>619</v>
      </c>
      <c r="C238" t="s">
        <v>1</v>
      </c>
      <c r="D238">
        <v>-1</v>
      </c>
      <c r="E238">
        <v>-0.2</v>
      </c>
      <c r="F238">
        <v>0</v>
      </c>
    </row>
    <row r="239" spans="2:8" x14ac:dyDescent="0.25">
      <c r="B239" t="s">
        <v>619</v>
      </c>
      <c r="C239" t="s">
        <v>1</v>
      </c>
      <c r="D239">
        <v>-1</v>
      </c>
      <c r="E239">
        <v>-0.2</v>
      </c>
      <c r="F239">
        <v>0</v>
      </c>
    </row>
    <row r="240" spans="2:8" x14ac:dyDescent="0.25">
      <c r="B240" t="s">
        <v>650</v>
      </c>
      <c r="C240">
        <v>1296672</v>
      </c>
    </row>
    <row r="241" spans="2:8" x14ac:dyDescent="0.25">
      <c r="B241" t="s">
        <v>619</v>
      </c>
      <c r="C241" t="s">
        <v>1</v>
      </c>
      <c r="D241">
        <v>-1</v>
      </c>
      <c r="E241">
        <v>-0.2</v>
      </c>
      <c r="F241">
        <v>0</v>
      </c>
    </row>
    <row r="242" spans="2:8" x14ac:dyDescent="0.25">
      <c r="B242" t="s">
        <v>619</v>
      </c>
      <c r="C242" t="s">
        <v>1</v>
      </c>
      <c r="D242">
        <v>-1</v>
      </c>
      <c r="E242">
        <v>-0.2</v>
      </c>
      <c r="F242">
        <v>0</v>
      </c>
    </row>
    <row r="243" spans="2:8" x14ac:dyDescent="0.25">
      <c r="B243" t="s">
        <v>651</v>
      </c>
      <c r="C243">
        <v>1296676</v>
      </c>
    </row>
    <row r="244" spans="2:8" x14ac:dyDescent="0.25">
      <c r="B244" t="s">
        <v>619</v>
      </c>
      <c r="C244" t="s">
        <v>1</v>
      </c>
      <c r="D244">
        <v>-1</v>
      </c>
      <c r="E244">
        <v>-0.2</v>
      </c>
      <c r="F244">
        <v>0</v>
      </c>
    </row>
    <row r="245" spans="2:8" x14ac:dyDescent="0.25">
      <c r="B245" t="s">
        <v>619</v>
      </c>
      <c r="C245" t="s">
        <v>1</v>
      </c>
      <c r="D245">
        <v>-1</v>
      </c>
      <c r="E245">
        <v>-0.2</v>
      </c>
      <c r="F245">
        <v>0</v>
      </c>
    </row>
    <row r="246" spans="2:8" x14ac:dyDescent="0.25">
      <c r="B246" s="26" t="s">
        <v>622</v>
      </c>
      <c r="C246" t="s">
        <v>1</v>
      </c>
      <c r="D246">
        <v>-1</v>
      </c>
      <c r="E246">
        <v>-0.2</v>
      </c>
      <c r="F246">
        <v>0</v>
      </c>
      <c r="H246" t="s">
        <v>774</v>
      </c>
    </row>
    <row r="247" spans="2:8" x14ac:dyDescent="0.25">
      <c r="B247" t="s">
        <v>652</v>
      </c>
      <c r="C247">
        <v>1296678</v>
      </c>
    </row>
    <row r="248" spans="2:8" x14ac:dyDescent="0.25">
      <c r="B248" t="s">
        <v>619</v>
      </c>
      <c r="C248" t="s">
        <v>1</v>
      </c>
      <c r="D248">
        <v>-1</v>
      </c>
      <c r="E248">
        <v>-0.2</v>
      </c>
      <c r="F248">
        <v>0</v>
      </c>
    </row>
    <row r="249" spans="2:8" x14ac:dyDescent="0.25">
      <c r="B249" t="s">
        <v>619</v>
      </c>
      <c r="C249" t="s">
        <v>1</v>
      </c>
      <c r="D249">
        <v>-1</v>
      </c>
      <c r="E249">
        <v>-0.2</v>
      </c>
      <c r="F249">
        <v>0</v>
      </c>
    </row>
    <row r="250" spans="2:8" x14ac:dyDescent="0.25">
      <c r="B250" s="14" t="s">
        <v>773</v>
      </c>
      <c r="C250" t="s">
        <v>1</v>
      </c>
      <c r="D250">
        <v>-1</v>
      </c>
      <c r="E250">
        <v>-0.2</v>
      </c>
      <c r="F250">
        <v>0</v>
      </c>
    </row>
    <row r="251" spans="2:8" x14ac:dyDescent="0.25">
      <c r="B251" t="s">
        <v>653</v>
      </c>
      <c r="C251">
        <v>1296698</v>
      </c>
    </row>
    <row r="252" spans="2:8" x14ac:dyDescent="0.25">
      <c r="B252" t="s">
        <v>619</v>
      </c>
      <c r="C252" t="s">
        <v>1</v>
      </c>
      <c r="D252">
        <v>-1</v>
      </c>
      <c r="E252">
        <v>-0.2</v>
      </c>
      <c r="F252">
        <v>0</v>
      </c>
    </row>
    <row r="253" spans="2:8" x14ac:dyDescent="0.25">
      <c r="B253" t="s">
        <v>622</v>
      </c>
      <c r="C253" t="s">
        <v>1</v>
      </c>
      <c r="D253">
        <v>-1</v>
      </c>
      <c r="E253">
        <v>-0.2</v>
      </c>
      <c r="F253">
        <v>0</v>
      </c>
    </row>
    <row r="254" spans="2:8" x14ac:dyDescent="0.25">
      <c r="B254" t="s">
        <v>622</v>
      </c>
      <c r="C254" t="s">
        <v>1</v>
      </c>
      <c r="D254">
        <v>-1</v>
      </c>
      <c r="E254">
        <v>-0.2</v>
      </c>
      <c r="F254">
        <v>0</v>
      </c>
    </row>
    <row r="255" spans="2:8" x14ac:dyDescent="0.25">
      <c r="B255" t="s">
        <v>654</v>
      </c>
      <c r="C255" t="s">
        <v>1</v>
      </c>
      <c r="D255">
        <v>-1</v>
      </c>
      <c r="E255">
        <v>-0.2</v>
      </c>
      <c r="F255">
        <v>0</v>
      </c>
    </row>
    <row r="256" spans="2:8" x14ac:dyDescent="0.25">
      <c r="B256" t="s">
        <v>654</v>
      </c>
      <c r="C256" t="s">
        <v>1</v>
      </c>
      <c r="D256">
        <v>-1</v>
      </c>
      <c r="E256">
        <v>-0.2</v>
      </c>
      <c r="F256">
        <v>0</v>
      </c>
    </row>
    <row r="257" spans="2:6" x14ac:dyDescent="0.25">
      <c r="B257" t="s">
        <v>655</v>
      </c>
      <c r="C257" t="s">
        <v>1</v>
      </c>
      <c r="D257">
        <v>-1</v>
      </c>
      <c r="E257">
        <v>-0.2</v>
      </c>
      <c r="F257">
        <v>0</v>
      </c>
    </row>
    <row r="258" spans="2:6" x14ac:dyDescent="0.25">
      <c r="B258" t="s">
        <v>656</v>
      </c>
      <c r="C258">
        <v>1296702</v>
      </c>
    </row>
    <row r="259" spans="2:6" x14ac:dyDescent="0.25">
      <c r="B259" t="s">
        <v>622</v>
      </c>
      <c r="C259" t="s">
        <v>1</v>
      </c>
      <c r="D259">
        <v>-1</v>
      </c>
      <c r="E259">
        <v>-0.2</v>
      </c>
      <c r="F259">
        <v>0</v>
      </c>
    </row>
    <row r="260" spans="2:6" x14ac:dyDescent="0.25">
      <c r="B260" t="s">
        <v>622</v>
      </c>
      <c r="C260" t="s">
        <v>1</v>
      </c>
      <c r="D260">
        <v>-1</v>
      </c>
      <c r="E260">
        <v>-0.2</v>
      </c>
      <c r="F260">
        <v>0</v>
      </c>
    </row>
    <row r="261" spans="2:6" x14ac:dyDescent="0.25">
      <c r="B261" t="s">
        <v>619</v>
      </c>
      <c r="C261" t="s">
        <v>1</v>
      </c>
      <c r="D261">
        <v>-1</v>
      </c>
      <c r="E261">
        <v>-0.2</v>
      </c>
      <c r="F261">
        <v>0</v>
      </c>
    </row>
    <row r="262" spans="2:6" x14ac:dyDescent="0.25">
      <c r="B262" t="s">
        <v>622</v>
      </c>
      <c r="C262" t="s">
        <v>1</v>
      </c>
      <c r="D262">
        <v>-1</v>
      </c>
      <c r="E262">
        <v>-0.2</v>
      </c>
      <c r="F262">
        <v>0</v>
      </c>
    </row>
    <row r="263" spans="2:6" x14ac:dyDescent="0.25">
      <c r="B263" t="s">
        <v>622</v>
      </c>
      <c r="C263" t="s">
        <v>1</v>
      </c>
      <c r="D263">
        <v>-1</v>
      </c>
      <c r="E263">
        <v>-0.2</v>
      </c>
      <c r="F263">
        <v>0</v>
      </c>
    </row>
    <row r="264" spans="2:6" x14ac:dyDescent="0.25">
      <c r="B264" t="s">
        <v>622</v>
      </c>
      <c r="C264" t="s">
        <v>1</v>
      </c>
      <c r="D264">
        <v>-1</v>
      </c>
      <c r="E264">
        <v>-0.2</v>
      </c>
      <c r="F264">
        <v>0</v>
      </c>
    </row>
    <row r="265" spans="2:6" x14ac:dyDescent="0.25">
      <c r="B265" t="s">
        <v>622</v>
      </c>
      <c r="C265" t="s">
        <v>1</v>
      </c>
      <c r="D265">
        <v>-1</v>
      </c>
      <c r="E265">
        <v>-0.2</v>
      </c>
      <c r="F265">
        <v>0</v>
      </c>
    </row>
    <row r="266" spans="2:6" x14ac:dyDescent="0.25">
      <c r="B266" t="s">
        <v>619</v>
      </c>
      <c r="C266" t="s">
        <v>1</v>
      </c>
      <c r="D266">
        <v>-1</v>
      </c>
      <c r="E266">
        <v>-0.2</v>
      </c>
      <c r="F266">
        <v>0</v>
      </c>
    </row>
    <row r="267" spans="2:6" x14ac:dyDescent="0.25">
      <c r="B267" t="s">
        <v>654</v>
      </c>
      <c r="C267" t="s">
        <v>1</v>
      </c>
      <c r="D267">
        <v>-1</v>
      </c>
      <c r="E267">
        <v>-0.2</v>
      </c>
      <c r="F267">
        <v>0</v>
      </c>
    </row>
    <row r="268" spans="2:6" x14ac:dyDescent="0.25">
      <c r="B268" t="s">
        <v>654</v>
      </c>
      <c r="C268" t="s">
        <v>1</v>
      </c>
      <c r="D268">
        <v>-1</v>
      </c>
      <c r="E268">
        <v>-0.2</v>
      </c>
      <c r="F268">
        <v>0</v>
      </c>
    </row>
    <row r="269" spans="2:6" x14ac:dyDescent="0.25">
      <c r="B269" t="s">
        <v>654</v>
      </c>
      <c r="C269" t="s">
        <v>1</v>
      </c>
      <c r="D269">
        <v>-1</v>
      </c>
      <c r="E269">
        <v>-0.2</v>
      </c>
      <c r="F269">
        <v>0</v>
      </c>
    </row>
    <row r="270" spans="2:6" x14ac:dyDescent="0.25">
      <c r="B270" t="s">
        <v>654</v>
      </c>
      <c r="C270" t="s">
        <v>1</v>
      </c>
      <c r="D270">
        <v>-1</v>
      </c>
      <c r="E270">
        <v>-0.2</v>
      </c>
      <c r="F270">
        <v>0</v>
      </c>
    </row>
    <row r="271" spans="2:6" x14ac:dyDescent="0.25">
      <c r="B271" t="s">
        <v>654</v>
      </c>
      <c r="C271" t="s">
        <v>1</v>
      </c>
      <c r="D271">
        <v>-1</v>
      </c>
      <c r="E271">
        <v>-0.2</v>
      </c>
      <c r="F271">
        <v>0</v>
      </c>
    </row>
    <row r="272" spans="2:6" x14ac:dyDescent="0.25">
      <c r="B272" t="s">
        <v>654</v>
      </c>
      <c r="C272" t="s">
        <v>1</v>
      </c>
      <c r="D272">
        <v>-1</v>
      </c>
      <c r="E272">
        <v>-0.2</v>
      </c>
      <c r="F272">
        <v>0</v>
      </c>
    </row>
    <row r="273" spans="2:6" x14ac:dyDescent="0.25">
      <c r="B273" t="s">
        <v>655</v>
      </c>
      <c r="C273" t="s">
        <v>1</v>
      </c>
      <c r="D273">
        <v>-1</v>
      </c>
      <c r="E273">
        <v>-0.2</v>
      </c>
      <c r="F273">
        <v>0</v>
      </c>
    </row>
    <row r="274" spans="2:6" x14ac:dyDescent="0.25">
      <c r="B274" t="s">
        <v>655</v>
      </c>
      <c r="C274" t="s">
        <v>1</v>
      </c>
      <c r="D274">
        <v>-1</v>
      </c>
      <c r="E274">
        <v>-0.2</v>
      </c>
      <c r="F274">
        <v>0</v>
      </c>
    </row>
    <row r="275" spans="2:6" x14ac:dyDescent="0.25">
      <c r="B275" t="s">
        <v>657</v>
      </c>
      <c r="C275">
        <v>1296704</v>
      </c>
    </row>
    <row r="276" spans="2:6" x14ac:dyDescent="0.25">
      <c r="B276" t="s">
        <v>622</v>
      </c>
      <c r="C276" t="s">
        <v>1</v>
      </c>
      <c r="D276">
        <v>-1</v>
      </c>
      <c r="E276">
        <v>-0.2</v>
      </c>
      <c r="F276">
        <v>0</v>
      </c>
    </row>
    <row r="277" spans="2:6" x14ac:dyDescent="0.25">
      <c r="B277" t="s">
        <v>622</v>
      </c>
      <c r="C277" t="s">
        <v>1</v>
      </c>
      <c r="D277">
        <v>-1</v>
      </c>
      <c r="E277">
        <v>-0.2</v>
      </c>
      <c r="F277">
        <v>0</v>
      </c>
    </row>
    <row r="278" spans="2:6" x14ac:dyDescent="0.25">
      <c r="B278" t="s">
        <v>622</v>
      </c>
      <c r="C278" t="s">
        <v>1</v>
      </c>
      <c r="D278">
        <v>-1</v>
      </c>
      <c r="E278">
        <v>-0.2</v>
      </c>
      <c r="F278">
        <v>0</v>
      </c>
    </row>
    <row r="279" spans="2:6" x14ac:dyDescent="0.25">
      <c r="B279" t="s">
        <v>654</v>
      </c>
      <c r="C279" t="s">
        <v>1</v>
      </c>
      <c r="D279">
        <v>-1</v>
      </c>
      <c r="E279">
        <v>-0.2</v>
      </c>
      <c r="F279">
        <v>0</v>
      </c>
    </row>
    <row r="280" spans="2:6" x14ac:dyDescent="0.25">
      <c r="B280" t="s">
        <v>654</v>
      </c>
      <c r="C280" t="s">
        <v>1</v>
      </c>
      <c r="D280">
        <v>-1</v>
      </c>
      <c r="E280">
        <v>-0.2</v>
      </c>
      <c r="F280">
        <v>0</v>
      </c>
    </row>
    <row r="281" spans="2:6" x14ac:dyDescent="0.25">
      <c r="B281" t="s">
        <v>654</v>
      </c>
      <c r="C281" t="s">
        <v>1</v>
      </c>
      <c r="D281">
        <v>-1</v>
      </c>
      <c r="E281">
        <v>-0.2</v>
      </c>
      <c r="F281">
        <v>0</v>
      </c>
    </row>
    <row r="282" spans="2:6" x14ac:dyDescent="0.25">
      <c r="B282" t="s">
        <v>658</v>
      </c>
      <c r="C282">
        <v>1296710</v>
      </c>
    </row>
    <row r="283" spans="2:6" x14ac:dyDescent="0.25">
      <c r="B283" t="s">
        <v>619</v>
      </c>
      <c r="C283" t="s">
        <v>1</v>
      </c>
      <c r="D283">
        <v>-1</v>
      </c>
      <c r="E283">
        <v>-0.2</v>
      </c>
      <c r="F283">
        <v>0</v>
      </c>
    </row>
    <row r="284" spans="2:6" x14ac:dyDescent="0.25">
      <c r="B284" t="s">
        <v>622</v>
      </c>
      <c r="C284" t="s">
        <v>1</v>
      </c>
      <c r="D284">
        <v>-1</v>
      </c>
      <c r="E284">
        <v>-0.2</v>
      </c>
      <c r="F284">
        <v>0</v>
      </c>
    </row>
    <row r="285" spans="2:6" x14ac:dyDescent="0.25">
      <c r="B285" t="s">
        <v>622</v>
      </c>
      <c r="C285" t="s">
        <v>1</v>
      </c>
      <c r="D285">
        <v>-1</v>
      </c>
      <c r="E285">
        <v>-0.2</v>
      </c>
      <c r="F285">
        <v>0</v>
      </c>
    </row>
    <row r="286" spans="2:6" x14ac:dyDescent="0.25">
      <c r="B286" t="s">
        <v>622</v>
      </c>
      <c r="C286" t="s">
        <v>1</v>
      </c>
      <c r="D286">
        <v>-1</v>
      </c>
      <c r="E286">
        <v>-0.2</v>
      </c>
      <c r="F286">
        <v>0</v>
      </c>
    </row>
    <row r="287" spans="2:6" x14ac:dyDescent="0.25">
      <c r="B287" s="14" t="s">
        <v>773</v>
      </c>
      <c r="C287" t="s">
        <v>1</v>
      </c>
      <c r="D287">
        <v>-1</v>
      </c>
      <c r="E287">
        <v>-0.2</v>
      </c>
      <c r="F287">
        <v>0</v>
      </c>
    </row>
    <row r="288" spans="2:6" x14ac:dyDescent="0.25">
      <c r="B288" t="s">
        <v>654</v>
      </c>
      <c r="C288" t="s">
        <v>1</v>
      </c>
      <c r="D288">
        <v>-1</v>
      </c>
      <c r="E288">
        <v>-0.2</v>
      </c>
      <c r="F288">
        <v>0</v>
      </c>
    </row>
    <row r="289" spans="2:7" x14ac:dyDescent="0.25">
      <c r="B289" t="s">
        <v>654</v>
      </c>
      <c r="C289" t="s">
        <v>1</v>
      </c>
      <c r="D289">
        <v>-1</v>
      </c>
      <c r="E289">
        <v>-0.2</v>
      </c>
      <c r="F289">
        <v>0</v>
      </c>
    </row>
    <row r="290" spans="2:7" x14ac:dyDescent="0.25">
      <c r="B290" t="s">
        <v>654</v>
      </c>
      <c r="C290" t="s">
        <v>1</v>
      </c>
      <c r="D290">
        <v>-1</v>
      </c>
      <c r="E290">
        <v>-0.2</v>
      </c>
      <c r="F290">
        <v>0</v>
      </c>
    </row>
    <row r="291" spans="2:7" x14ac:dyDescent="0.25">
      <c r="B291" t="s">
        <v>655</v>
      </c>
      <c r="C291" t="s">
        <v>1</v>
      </c>
      <c r="D291">
        <v>-1</v>
      </c>
      <c r="E291">
        <v>-0.2</v>
      </c>
      <c r="F291">
        <v>0</v>
      </c>
    </row>
    <row r="292" spans="2:7" x14ac:dyDescent="0.25">
      <c r="B292" t="s">
        <v>659</v>
      </c>
      <c r="C292">
        <v>1296712</v>
      </c>
    </row>
    <row r="293" spans="2:7" x14ac:dyDescent="0.25">
      <c r="B293" t="s">
        <v>619</v>
      </c>
      <c r="C293" t="s">
        <v>1</v>
      </c>
      <c r="D293">
        <v>-1</v>
      </c>
      <c r="E293">
        <v>-0.2</v>
      </c>
      <c r="F293">
        <v>0</v>
      </c>
    </row>
    <row r="294" spans="2:7" x14ac:dyDescent="0.25">
      <c r="B294" s="26" t="s">
        <v>619</v>
      </c>
      <c r="C294" t="s">
        <v>1</v>
      </c>
      <c r="D294">
        <v>-1</v>
      </c>
      <c r="E294">
        <v>-0.2</v>
      </c>
      <c r="F294">
        <v>0</v>
      </c>
      <c r="G294" t="s">
        <v>774</v>
      </c>
    </row>
    <row r="295" spans="2:7" x14ac:dyDescent="0.25">
      <c r="B295" t="s">
        <v>660</v>
      </c>
      <c r="C295">
        <v>1296714</v>
      </c>
    </row>
    <row r="296" spans="2:7" x14ac:dyDescent="0.25">
      <c r="B296" t="s">
        <v>661</v>
      </c>
      <c r="C296" t="s">
        <v>1</v>
      </c>
      <c r="D296">
        <v>-1</v>
      </c>
      <c r="E296">
        <v>-0.2</v>
      </c>
      <c r="F296">
        <v>0</v>
      </c>
    </row>
    <row r="297" spans="2:7" x14ac:dyDescent="0.25">
      <c r="B297" t="s">
        <v>619</v>
      </c>
      <c r="C297" t="s">
        <v>1</v>
      </c>
      <c r="D297">
        <v>-1</v>
      </c>
      <c r="E297">
        <v>-0.2</v>
      </c>
      <c r="F297">
        <v>0</v>
      </c>
    </row>
    <row r="298" spans="2:7" x14ac:dyDescent="0.25">
      <c r="B298" t="s">
        <v>619</v>
      </c>
      <c r="C298" t="s">
        <v>1</v>
      </c>
      <c r="D298">
        <v>-1</v>
      </c>
      <c r="E298">
        <v>-0.2</v>
      </c>
      <c r="F298">
        <v>0</v>
      </c>
    </row>
    <row r="299" spans="2:7" x14ac:dyDescent="0.25">
      <c r="B299" t="s">
        <v>619</v>
      </c>
      <c r="C299" t="s">
        <v>1</v>
      </c>
      <c r="D299">
        <v>-1</v>
      </c>
      <c r="E299">
        <v>-0.2</v>
      </c>
      <c r="F299">
        <v>0</v>
      </c>
    </row>
    <row r="300" spans="2:7" x14ac:dyDescent="0.25">
      <c r="B300" t="s">
        <v>619</v>
      </c>
      <c r="C300" t="s">
        <v>1</v>
      </c>
      <c r="D300">
        <v>-1</v>
      </c>
      <c r="E300">
        <v>-0.2</v>
      </c>
      <c r="F300">
        <v>0</v>
      </c>
    </row>
    <row r="301" spans="2:7" x14ac:dyDescent="0.25">
      <c r="B301" s="14" t="s">
        <v>773</v>
      </c>
      <c r="C301" t="s">
        <v>1</v>
      </c>
      <c r="D301">
        <v>-1</v>
      </c>
      <c r="E301">
        <v>-0.2</v>
      </c>
      <c r="F301">
        <v>0</v>
      </c>
    </row>
    <row r="302" spans="2:7" x14ac:dyDescent="0.25">
      <c r="B302" t="s">
        <v>622</v>
      </c>
      <c r="C302" t="s">
        <v>1</v>
      </c>
      <c r="D302">
        <v>-1</v>
      </c>
      <c r="E302">
        <v>-0.2</v>
      </c>
      <c r="F302">
        <v>0</v>
      </c>
    </row>
    <row r="303" spans="2:7" x14ac:dyDescent="0.25">
      <c r="B303" s="26" t="s">
        <v>622</v>
      </c>
      <c r="C303" t="s">
        <v>1</v>
      </c>
      <c r="D303">
        <v>-1</v>
      </c>
      <c r="E303">
        <v>-0.2</v>
      </c>
      <c r="F303">
        <v>0</v>
      </c>
      <c r="G303" t="s">
        <v>774</v>
      </c>
    </row>
    <row r="304" spans="2:7" x14ac:dyDescent="0.25">
      <c r="B304" t="s">
        <v>619</v>
      </c>
      <c r="C304" t="s">
        <v>117</v>
      </c>
      <c r="D304">
        <v>0.5</v>
      </c>
      <c r="E304">
        <v>-0.9</v>
      </c>
      <c r="F304">
        <v>0</v>
      </c>
    </row>
    <row r="305" spans="2:6" x14ac:dyDescent="0.25">
      <c r="B305" t="s">
        <v>622</v>
      </c>
      <c r="C305" t="s">
        <v>117</v>
      </c>
      <c r="D305">
        <v>0.5</v>
      </c>
      <c r="E305">
        <v>-0.9</v>
      </c>
      <c r="F305">
        <v>0</v>
      </c>
    </row>
    <row r="306" spans="2:6" x14ac:dyDescent="0.25">
      <c r="B306" t="s">
        <v>622</v>
      </c>
      <c r="C306" t="s">
        <v>117</v>
      </c>
      <c r="D306">
        <v>0.5</v>
      </c>
      <c r="E306">
        <v>-0.9</v>
      </c>
      <c r="F306">
        <v>0</v>
      </c>
    </row>
    <row r="307" spans="2:6" x14ac:dyDescent="0.25">
      <c r="B307" t="s">
        <v>622</v>
      </c>
      <c r="C307" t="s">
        <v>117</v>
      </c>
      <c r="D307">
        <v>0.5</v>
      </c>
      <c r="E307">
        <v>-0.9</v>
      </c>
      <c r="F307">
        <v>0</v>
      </c>
    </row>
    <row r="308" spans="2:6" x14ac:dyDescent="0.25">
      <c r="B308" t="s">
        <v>622</v>
      </c>
      <c r="C308" t="s">
        <v>117</v>
      </c>
      <c r="D308">
        <v>0.5</v>
      </c>
      <c r="E308">
        <v>-0.9</v>
      </c>
      <c r="F308">
        <v>0</v>
      </c>
    </row>
    <row r="309" spans="2:6" x14ac:dyDescent="0.25">
      <c r="B309" t="s">
        <v>622</v>
      </c>
      <c r="C309" t="s">
        <v>117</v>
      </c>
      <c r="D309">
        <v>0.5</v>
      </c>
      <c r="E309">
        <v>-0.9</v>
      </c>
      <c r="F309">
        <v>0</v>
      </c>
    </row>
    <row r="310" spans="2:6" x14ac:dyDescent="0.25">
      <c r="B310" t="s">
        <v>619</v>
      </c>
      <c r="C310" t="s">
        <v>117</v>
      </c>
      <c r="D310">
        <v>0.5</v>
      </c>
      <c r="E310">
        <v>-0.9</v>
      </c>
      <c r="F310">
        <v>0</v>
      </c>
    </row>
    <row r="311" spans="2:6" x14ac:dyDescent="0.25">
      <c r="B311" t="s">
        <v>622</v>
      </c>
      <c r="C311" t="s">
        <v>117</v>
      </c>
      <c r="D311">
        <v>0.5</v>
      </c>
      <c r="E311">
        <v>-0.9</v>
      </c>
      <c r="F311">
        <v>0</v>
      </c>
    </row>
    <row r="312" spans="2:6" x14ac:dyDescent="0.25">
      <c r="B312" t="s">
        <v>619</v>
      </c>
      <c r="C312" t="s">
        <v>117</v>
      </c>
      <c r="D312">
        <v>0.5</v>
      </c>
      <c r="E312">
        <v>-0.9</v>
      </c>
      <c r="F312">
        <v>0</v>
      </c>
    </row>
    <row r="313" spans="2:6" x14ac:dyDescent="0.25">
      <c r="B313" t="s">
        <v>622</v>
      </c>
      <c r="C313" t="s">
        <v>117</v>
      </c>
      <c r="D313">
        <v>0.5</v>
      </c>
      <c r="E313">
        <v>-0.9</v>
      </c>
      <c r="F313">
        <v>0</v>
      </c>
    </row>
    <row r="314" spans="2:6" x14ac:dyDescent="0.25">
      <c r="B314" t="s">
        <v>619</v>
      </c>
      <c r="C314" t="s">
        <v>117</v>
      </c>
      <c r="D314">
        <v>0.5</v>
      </c>
      <c r="E314">
        <v>-0.9</v>
      </c>
      <c r="F314">
        <v>0</v>
      </c>
    </row>
    <row r="315" spans="2:6" x14ac:dyDescent="0.25">
      <c r="B315" t="s">
        <v>619</v>
      </c>
      <c r="C315" t="s">
        <v>117</v>
      </c>
      <c r="D315">
        <v>0.5</v>
      </c>
      <c r="E315">
        <v>-0.9</v>
      </c>
      <c r="F315">
        <v>0</v>
      </c>
    </row>
    <row r="316" spans="2:6" x14ac:dyDescent="0.25">
      <c r="B316" t="s">
        <v>662</v>
      </c>
      <c r="C316">
        <v>1296716</v>
      </c>
    </row>
    <row r="317" spans="2:6" x14ac:dyDescent="0.25">
      <c r="B317" t="s">
        <v>619</v>
      </c>
      <c r="C317" t="s">
        <v>117</v>
      </c>
      <c r="D317">
        <v>0.5</v>
      </c>
      <c r="E317">
        <v>-0.9</v>
      </c>
      <c r="F317">
        <v>0</v>
      </c>
    </row>
    <row r="318" spans="2:6" x14ac:dyDescent="0.25">
      <c r="B318" t="s">
        <v>622</v>
      </c>
      <c r="C318" t="s">
        <v>117</v>
      </c>
      <c r="D318">
        <v>0.5</v>
      </c>
      <c r="E318">
        <v>-0.9</v>
      </c>
      <c r="F318">
        <v>0</v>
      </c>
    </row>
    <row r="319" spans="2:6" x14ac:dyDescent="0.25">
      <c r="B319" t="s">
        <v>619</v>
      </c>
      <c r="C319" t="s">
        <v>117</v>
      </c>
      <c r="D319">
        <v>0.5</v>
      </c>
      <c r="E319">
        <v>-0.9</v>
      </c>
      <c r="F319">
        <v>0</v>
      </c>
    </row>
    <row r="320" spans="2:6" x14ac:dyDescent="0.25">
      <c r="B320" t="s">
        <v>619</v>
      </c>
      <c r="C320" t="s">
        <v>117</v>
      </c>
      <c r="D320">
        <v>0.5</v>
      </c>
      <c r="E320">
        <v>-0.9</v>
      </c>
      <c r="F320">
        <v>0</v>
      </c>
    </row>
    <row r="321" spans="2:6" x14ac:dyDescent="0.25">
      <c r="B321" t="s">
        <v>619</v>
      </c>
      <c r="C321" t="s">
        <v>117</v>
      </c>
      <c r="D321">
        <v>0.5</v>
      </c>
      <c r="E321">
        <v>-0.9</v>
      </c>
      <c r="F321">
        <v>0</v>
      </c>
    </row>
    <row r="322" spans="2:6" x14ac:dyDescent="0.25">
      <c r="B322" t="s">
        <v>663</v>
      </c>
      <c r="C322" t="s">
        <v>3</v>
      </c>
      <c r="D322">
        <v>0.5</v>
      </c>
      <c r="E322">
        <v>-0.9</v>
      </c>
      <c r="F322">
        <v>0</v>
      </c>
    </row>
    <row r="323" spans="2:6" x14ac:dyDescent="0.25">
      <c r="B323" t="s">
        <v>663</v>
      </c>
      <c r="C323" t="s">
        <v>3</v>
      </c>
      <c r="D323">
        <v>0.5</v>
      </c>
      <c r="E323">
        <v>-0.9</v>
      </c>
      <c r="F323">
        <v>0</v>
      </c>
    </row>
    <row r="324" spans="2:6" x14ac:dyDescent="0.25">
      <c r="B324" t="s">
        <v>664</v>
      </c>
      <c r="C324" t="s">
        <v>117</v>
      </c>
      <c r="D324">
        <v>0.5</v>
      </c>
      <c r="E324">
        <v>-0.9</v>
      </c>
      <c r="F324">
        <v>0</v>
      </c>
    </row>
    <row r="325" spans="2:6" x14ac:dyDescent="0.25">
      <c r="B325" t="s">
        <v>664</v>
      </c>
      <c r="C325" t="s">
        <v>3</v>
      </c>
      <c r="D325">
        <v>0.5</v>
      </c>
      <c r="E325">
        <v>-0.9</v>
      </c>
      <c r="F325">
        <v>0</v>
      </c>
    </row>
    <row r="326" spans="2:6" x14ac:dyDescent="0.25">
      <c r="B326" t="s">
        <v>664</v>
      </c>
      <c r="C326" t="s">
        <v>3</v>
      </c>
      <c r="D326">
        <v>0.5</v>
      </c>
      <c r="E326">
        <v>-0.9</v>
      </c>
      <c r="F326">
        <v>0</v>
      </c>
    </row>
    <row r="327" spans="2:6" x14ac:dyDescent="0.25">
      <c r="B327" t="s">
        <v>665</v>
      </c>
      <c r="C327" t="s">
        <v>117</v>
      </c>
      <c r="D327">
        <v>0.5</v>
      </c>
      <c r="E327">
        <v>-0.9</v>
      </c>
      <c r="F327">
        <v>0</v>
      </c>
    </row>
    <row r="328" spans="2:6" x14ac:dyDescent="0.25">
      <c r="B328" t="s">
        <v>666</v>
      </c>
      <c r="C328">
        <v>1296728</v>
      </c>
    </row>
    <row r="329" spans="2:6" x14ac:dyDescent="0.25">
      <c r="B329" t="s">
        <v>663</v>
      </c>
      <c r="C329" t="s">
        <v>3</v>
      </c>
      <c r="D329">
        <v>0.5</v>
      </c>
      <c r="E329">
        <v>-0.9</v>
      </c>
      <c r="F329">
        <v>0</v>
      </c>
    </row>
    <row r="330" spans="2:6" x14ac:dyDescent="0.25">
      <c r="B330" t="s">
        <v>664</v>
      </c>
      <c r="C330" t="s">
        <v>117</v>
      </c>
      <c r="D330">
        <v>0.5</v>
      </c>
      <c r="E330">
        <v>-0.9</v>
      </c>
      <c r="F330">
        <v>0</v>
      </c>
    </row>
    <row r="331" spans="2:6" x14ac:dyDescent="0.25">
      <c r="B331" t="s">
        <v>621</v>
      </c>
      <c r="C331" t="s">
        <v>3</v>
      </c>
      <c r="D331">
        <v>0.5</v>
      </c>
      <c r="E331">
        <v>-0.9</v>
      </c>
      <c r="F331">
        <v>0</v>
      </c>
    </row>
    <row r="332" spans="2:6" x14ac:dyDescent="0.25">
      <c r="B332" t="s">
        <v>667</v>
      </c>
      <c r="C332" t="s">
        <v>117</v>
      </c>
      <c r="D332">
        <v>0.5</v>
      </c>
      <c r="E332">
        <v>-0.9</v>
      </c>
      <c r="F332">
        <v>0</v>
      </c>
    </row>
    <row r="333" spans="2:6" x14ac:dyDescent="0.25">
      <c r="B333" t="s">
        <v>668</v>
      </c>
      <c r="C333" t="s">
        <v>3</v>
      </c>
      <c r="D333">
        <v>0.5</v>
      </c>
      <c r="E333">
        <v>-0.9</v>
      </c>
      <c r="F333">
        <v>0</v>
      </c>
    </row>
    <row r="334" spans="2:6" x14ac:dyDescent="0.25">
      <c r="B334" t="s">
        <v>669</v>
      </c>
      <c r="C334">
        <v>1296842</v>
      </c>
    </row>
    <row r="335" spans="2:6" x14ac:dyDescent="0.25">
      <c r="B335" t="s">
        <v>619</v>
      </c>
      <c r="C335" t="s">
        <v>1</v>
      </c>
      <c r="D335">
        <v>-1</v>
      </c>
      <c r="E335">
        <v>-0.2</v>
      </c>
      <c r="F335">
        <v>0</v>
      </c>
    </row>
    <row r="336" spans="2:6" x14ac:dyDescent="0.25">
      <c r="B336" s="14" t="s">
        <v>773</v>
      </c>
      <c r="C336" t="s">
        <v>1</v>
      </c>
      <c r="D336">
        <v>-1</v>
      </c>
      <c r="E336">
        <v>-0.2</v>
      </c>
      <c r="F336">
        <v>0</v>
      </c>
    </row>
    <row r="337" spans="2:7" x14ac:dyDescent="0.25">
      <c r="B337" s="26" t="s">
        <v>622</v>
      </c>
      <c r="C337" t="s">
        <v>1</v>
      </c>
      <c r="D337">
        <v>-1</v>
      </c>
      <c r="E337">
        <v>-0.2</v>
      </c>
      <c r="F337">
        <v>0</v>
      </c>
      <c r="G337" t="s">
        <v>774</v>
      </c>
    </row>
    <row r="338" spans="2:7" x14ac:dyDescent="0.25">
      <c r="B338" t="s">
        <v>670</v>
      </c>
      <c r="C338">
        <v>1296844</v>
      </c>
    </row>
    <row r="339" spans="2:7" x14ac:dyDescent="0.25">
      <c r="B339" t="s">
        <v>619</v>
      </c>
      <c r="C339" t="s">
        <v>1</v>
      </c>
      <c r="D339">
        <v>-1</v>
      </c>
      <c r="E339">
        <v>-0.2</v>
      </c>
      <c r="F339">
        <v>0</v>
      </c>
    </row>
    <row r="340" spans="2:7" x14ac:dyDescent="0.25">
      <c r="B340" t="s">
        <v>622</v>
      </c>
      <c r="C340" t="s">
        <v>1</v>
      </c>
      <c r="D340">
        <v>-1</v>
      </c>
      <c r="E340">
        <v>-0.2</v>
      </c>
      <c r="F340">
        <v>0</v>
      </c>
    </row>
    <row r="341" spans="2:7" x14ac:dyDescent="0.25">
      <c r="B341" s="14" t="s">
        <v>773</v>
      </c>
      <c r="C341" t="s">
        <v>1</v>
      </c>
      <c r="D341">
        <v>-1</v>
      </c>
      <c r="E341">
        <v>-0.2</v>
      </c>
      <c r="F341">
        <v>0</v>
      </c>
    </row>
    <row r="342" spans="2:7" x14ac:dyDescent="0.25">
      <c r="B342" t="s">
        <v>671</v>
      </c>
      <c r="C342">
        <v>1296846</v>
      </c>
    </row>
    <row r="343" spans="2:7" x14ac:dyDescent="0.25">
      <c r="B343" t="s">
        <v>619</v>
      </c>
      <c r="C343" t="s">
        <v>1</v>
      </c>
      <c r="D343">
        <v>-1</v>
      </c>
      <c r="E343">
        <v>-0.2</v>
      </c>
      <c r="F343">
        <v>0</v>
      </c>
    </row>
    <row r="344" spans="2:7" x14ac:dyDescent="0.25">
      <c r="B344" s="14" t="s">
        <v>773</v>
      </c>
      <c r="C344" t="s">
        <v>1</v>
      </c>
      <c r="D344">
        <v>-1</v>
      </c>
      <c r="E344">
        <v>-0.2</v>
      </c>
      <c r="F344">
        <v>0</v>
      </c>
    </row>
    <row r="345" spans="2:7" x14ac:dyDescent="0.25">
      <c r="B345" t="s">
        <v>672</v>
      </c>
      <c r="C345">
        <v>1300860</v>
      </c>
    </row>
    <row r="346" spans="2:7" x14ac:dyDescent="0.25">
      <c r="B346" t="s">
        <v>621</v>
      </c>
      <c r="C346" t="s">
        <v>12</v>
      </c>
      <c r="D346">
        <v>0.3</v>
      </c>
      <c r="E346">
        <v>1</v>
      </c>
      <c r="F346">
        <v>0</v>
      </c>
    </row>
    <row r="347" spans="2:7" x14ac:dyDescent="0.25">
      <c r="B347" t="s">
        <v>621</v>
      </c>
      <c r="C347" t="s">
        <v>12</v>
      </c>
      <c r="D347">
        <v>0.3</v>
      </c>
      <c r="E347">
        <v>1</v>
      </c>
      <c r="F347">
        <v>0</v>
      </c>
    </row>
    <row r="348" spans="2:7" x14ac:dyDescent="0.25">
      <c r="B348" t="s">
        <v>621</v>
      </c>
      <c r="C348" t="s">
        <v>12</v>
      </c>
      <c r="D348">
        <v>0.3</v>
      </c>
      <c r="E348">
        <v>1</v>
      </c>
      <c r="F348">
        <v>0</v>
      </c>
    </row>
    <row r="349" spans="2:7" x14ac:dyDescent="0.25">
      <c r="B349" t="s">
        <v>621</v>
      </c>
      <c r="C349" t="s">
        <v>12</v>
      </c>
      <c r="D349">
        <v>0.3</v>
      </c>
      <c r="E349">
        <v>1</v>
      </c>
      <c r="F349">
        <v>0</v>
      </c>
    </row>
    <row r="350" spans="2:7" x14ac:dyDescent="0.25">
      <c r="B350" t="s">
        <v>621</v>
      </c>
      <c r="C350" t="s">
        <v>12</v>
      </c>
      <c r="D350">
        <v>0.3</v>
      </c>
      <c r="E350">
        <v>1</v>
      </c>
      <c r="F350">
        <v>0</v>
      </c>
    </row>
    <row r="351" spans="2:7" x14ac:dyDescent="0.25">
      <c r="B351" t="s">
        <v>621</v>
      </c>
      <c r="C351" t="s">
        <v>12</v>
      </c>
      <c r="D351">
        <v>0.3</v>
      </c>
      <c r="E351">
        <v>1</v>
      </c>
      <c r="F351">
        <v>0</v>
      </c>
    </row>
    <row r="352" spans="2:7" x14ac:dyDescent="0.25">
      <c r="B352" t="s">
        <v>621</v>
      </c>
      <c r="C352" t="s">
        <v>12</v>
      </c>
      <c r="D352">
        <v>0.3</v>
      </c>
      <c r="E352">
        <v>1</v>
      </c>
      <c r="F352">
        <v>0</v>
      </c>
    </row>
    <row r="353" spans="2:6" x14ac:dyDescent="0.25">
      <c r="B353" t="s">
        <v>621</v>
      </c>
      <c r="C353" t="s">
        <v>12</v>
      </c>
      <c r="D353">
        <v>0.3</v>
      </c>
      <c r="E353">
        <v>1</v>
      </c>
      <c r="F353">
        <v>0</v>
      </c>
    </row>
    <row r="354" spans="2:6" x14ac:dyDescent="0.25">
      <c r="B354" t="s">
        <v>673</v>
      </c>
      <c r="C354">
        <v>1300861</v>
      </c>
    </row>
    <row r="355" spans="2:6" x14ac:dyDescent="0.25">
      <c r="B355" t="s">
        <v>621</v>
      </c>
      <c r="C355" t="s">
        <v>12</v>
      </c>
      <c r="D355">
        <v>0.3</v>
      </c>
      <c r="E355">
        <v>1</v>
      </c>
      <c r="F355">
        <v>0</v>
      </c>
    </row>
    <row r="356" spans="2:6" x14ac:dyDescent="0.25">
      <c r="B356" t="s">
        <v>621</v>
      </c>
      <c r="C356" t="s">
        <v>12</v>
      </c>
      <c r="D356">
        <v>0.3</v>
      </c>
      <c r="E356">
        <v>1</v>
      </c>
      <c r="F356">
        <v>0</v>
      </c>
    </row>
    <row r="357" spans="2:6" x14ac:dyDescent="0.25">
      <c r="B357" t="s">
        <v>621</v>
      </c>
      <c r="C357" t="s">
        <v>12</v>
      </c>
      <c r="D357">
        <v>0.3</v>
      </c>
      <c r="E357">
        <v>1</v>
      </c>
      <c r="F357">
        <v>0</v>
      </c>
    </row>
    <row r="358" spans="2:6" x14ac:dyDescent="0.25">
      <c r="B358" t="s">
        <v>621</v>
      </c>
      <c r="C358" t="s">
        <v>12</v>
      </c>
      <c r="D358">
        <v>0.3</v>
      </c>
      <c r="E358">
        <v>1</v>
      </c>
      <c r="F358">
        <v>0</v>
      </c>
    </row>
    <row r="359" spans="2:6" x14ac:dyDescent="0.25">
      <c r="B359" t="s">
        <v>621</v>
      </c>
      <c r="C359" t="s">
        <v>12</v>
      </c>
      <c r="D359">
        <v>0.3</v>
      </c>
      <c r="E359">
        <v>1</v>
      </c>
      <c r="F359">
        <v>0</v>
      </c>
    </row>
    <row r="360" spans="2:6" x14ac:dyDescent="0.25">
      <c r="B360" t="s">
        <v>621</v>
      </c>
      <c r="C360" t="s">
        <v>12</v>
      </c>
      <c r="D360">
        <v>0.3</v>
      </c>
      <c r="E360">
        <v>1</v>
      </c>
      <c r="F360">
        <v>0</v>
      </c>
    </row>
    <row r="361" spans="2:6" x14ac:dyDescent="0.25">
      <c r="B361" t="s">
        <v>621</v>
      </c>
      <c r="C361" t="s">
        <v>12</v>
      </c>
      <c r="D361">
        <v>0.3</v>
      </c>
      <c r="E361">
        <v>1</v>
      </c>
      <c r="F361">
        <v>0</v>
      </c>
    </row>
    <row r="362" spans="2:6" x14ac:dyDescent="0.25">
      <c r="B362" t="s">
        <v>621</v>
      </c>
      <c r="C362" t="s">
        <v>12</v>
      </c>
      <c r="D362">
        <v>0.3</v>
      </c>
      <c r="E362">
        <v>1</v>
      </c>
      <c r="F362">
        <v>0</v>
      </c>
    </row>
    <row r="363" spans="2:6" x14ac:dyDescent="0.25">
      <c r="B363" t="s">
        <v>621</v>
      </c>
      <c r="C363" t="s">
        <v>12</v>
      </c>
      <c r="D363">
        <v>0.3</v>
      </c>
      <c r="E363">
        <v>1</v>
      </c>
      <c r="F363">
        <v>0</v>
      </c>
    </row>
    <row r="364" spans="2:6" x14ac:dyDescent="0.25">
      <c r="B364" t="s">
        <v>621</v>
      </c>
      <c r="C364" t="s">
        <v>12</v>
      </c>
      <c r="D364">
        <v>0.3</v>
      </c>
      <c r="E364">
        <v>1</v>
      </c>
      <c r="F364">
        <v>0</v>
      </c>
    </row>
    <row r="365" spans="2:6" x14ac:dyDescent="0.25">
      <c r="B365" t="s">
        <v>674</v>
      </c>
      <c r="C365">
        <v>1300863</v>
      </c>
    </row>
    <row r="366" spans="2:6" x14ac:dyDescent="0.25">
      <c r="B366" t="s">
        <v>619</v>
      </c>
      <c r="C366" t="s">
        <v>12</v>
      </c>
      <c r="D366">
        <v>0.3</v>
      </c>
      <c r="E366">
        <v>1</v>
      </c>
      <c r="F366">
        <v>0</v>
      </c>
    </row>
    <row r="367" spans="2:6" x14ac:dyDescent="0.25">
      <c r="B367" t="s">
        <v>622</v>
      </c>
      <c r="C367" t="s">
        <v>12</v>
      </c>
      <c r="D367">
        <v>0.3</v>
      </c>
      <c r="E367">
        <v>1</v>
      </c>
      <c r="F367">
        <v>0</v>
      </c>
    </row>
    <row r="368" spans="2:6" x14ac:dyDescent="0.25">
      <c r="B368" t="s">
        <v>619</v>
      </c>
      <c r="C368" t="s">
        <v>12</v>
      </c>
      <c r="D368">
        <v>0.3</v>
      </c>
      <c r="E368">
        <v>1</v>
      </c>
      <c r="F368">
        <v>0</v>
      </c>
    </row>
    <row r="369" spans="2:6" x14ac:dyDescent="0.25">
      <c r="B369" t="s">
        <v>621</v>
      </c>
      <c r="C369" t="s">
        <v>12</v>
      </c>
      <c r="D369">
        <v>0.3</v>
      </c>
      <c r="E369">
        <v>1</v>
      </c>
      <c r="F369">
        <v>0</v>
      </c>
    </row>
    <row r="370" spans="2:6" x14ac:dyDescent="0.25">
      <c r="B370" t="s">
        <v>675</v>
      </c>
      <c r="C370" t="s">
        <v>12</v>
      </c>
      <c r="D370">
        <v>0.3</v>
      </c>
      <c r="E370">
        <v>1</v>
      </c>
      <c r="F370">
        <v>0</v>
      </c>
    </row>
    <row r="371" spans="2:6" x14ac:dyDescent="0.25">
      <c r="B371" t="s">
        <v>676</v>
      </c>
      <c r="C371">
        <v>1300864</v>
      </c>
    </row>
    <row r="372" spans="2:6" x14ac:dyDescent="0.25">
      <c r="B372" t="s">
        <v>621</v>
      </c>
      <c r="C372" t="s">
        <v>8</v>
      </c>
      <c r="D372">
        <v>-0.2</v>
      </c>
      <c r="E372">
        <v>1</v>
      </c>
      <c r="F372">
        <v>0</v>
      </c>
    </row>
    <row r="373" spans="2:6" x14ac:dyDescent="0.25">
      <c r="B373" t="s">
        <v>621</v>
      </c>
      <c r="C373" t="s">
        <v>8</v>
      </c>
      <c r="D373">
        <v>-0.2</v>
      </c>
      <c r="E373">
        <v>1</v>
      </c>
      <c r="F373">
        <v>0</v>
      </c>
    </row>
    <row r="374" spans="2:6" x14ac:dyDescent="0.25">
      <c r="B374" t="s">
        <v>621</v>
      </c>
      <c r="C374" t="s">
        <v>8</v>
      </c>
      <c r="D374">
        <v>-0.2</v>
      </c>
      <c r="E374">
        <v>1</v>
      </c>
      <c r="F374">
        <v>0</v>
      </c>
    </row>
    <row r="375" spans="2:6" x14ac:dyDescent="0.25">
      <c r="B375" t="s">
        <v>621</v>
      </c>
      <c r="C375" t="s">
        <v>8</v>
      </c>
      <c r="D375">
        <v>-0.2</v>
      </c>
      <c r="E375">
        <v>1</v>
      </c>
      <c r="F375">
        <v>0</v>
      </c>
    </row>
    <row r="376" spans="2:6" x14ac:dyDescent="0.25">
      <c r="B376" t="s">
        <v>621</v>
      </c>
      <c r="C376" t="s">
        <v>8</v>
      </c>
      <c r="D376">
        <v>-0.2</v>
      </c>
      <c r="E376">
        <v>1</v>
      </c>
      <c r="F376">
        <v>0</v>
      </c>
    </row>
    <row r="377" spans="2:6" x14ac:dyDescent="0.25">
      <c r="B377" t="s">
        <v>621</v>
      </c>
      <c r="C377" t="s">
        <v>8</v>
      </c>
      <c r="D377">
        <v>-0.2</v>
      </c>
      <c r="E377">
        <v>1</v>
      </c>
      <c r="F377">
        <v>0</v>
      </c>
    </row>
    <row r="378" spans="2:6" x14ac:dyDescent="0.25">
      <c r="B378" t="s">
        <v>621</v>
      </c>
      <c r="C378" t="s">
        <v>8</v>
      </c>
      <c r="D378">
        <v>-0.2</v>
      </c>
      <c r="E378">
        <v>1</v>
      </c>
      <c r="F378">
        <v>0</v>
      </c>
    </row>
    <row r="379" spans="2:6" x14ac:dyDescent="0.25">
      <c r="B379" t="s">
        <v>621</v>
      </c>
      <c r="C379" t="s">
        <v>8</v>
      </c>
      <c r="D379">
        <v>-0.2</v>
      </c>
      <c r="E379">
        <v>1</v>
      </c>
      <c r="F379">
        <v>0</v>
      </c>
    </row>
    <row r="380" spans="2:6" x14ac:dyDescent="0.25">
      <c r="B380" t="s">
        <v>621</v>
      </c>
      <c r="C380" t="s">
        <v>8</v>
      </c>
      <c r="D380">
        <v>-0.2</v>
      </c>
      <c r="E380">
        <v>1</v>
      </c>
      <c r="F380">
        <v>0</v>
      </c>
    </row>
    <row r="381" spans="2:6" x14ac:dyDescent="0.25">
      <c r="B381" t="s">
        <v>621</v>
      </c>
      <c r="C381" t="s">
        <v>8</v>
      </c>
      <c r="D381">
        <v>-0.2</v>
      </c>
      <c r="E381">
        <v>1</v>
      </c>
      <c r="F381">
        <v>0</v>
      </c>
    </row>
    <row r="382" spans="2:6" x14ac:dyDescent="0.25">
      <c r="B382" t="s">
        <v>621</v>
      </c>
      <c r="C382" t="s">
        <v>8</v>
      </c>
      <c r="D382">
        <v>-0.2</v>
      </c>
      <c r="E382">
        <v>1</v>
      </c>
      <c r="F382">
        <v>0</v>
      </c>
    </row>
    <row r="383" spans="2:6" x14ac:dyDescent="0.25">
      <c r="B383" t="s">
        <v>621</v>
      </c>
      <c r="C383" t="s">
        <v>8</v>
      </c>
      <c r="D383">
        <v>-0.2</v>
      </c>
      <c r="E383">
        <v>1</v>
      </c>
      <c r="F383">
        <v>0</v>
      </c>
    </row>
    <row r="384" spans="2:6" x14ac:dyDescent="0.25">
      <c r="B384" t="s">
        <v>677</v>
      </c>
      <c r="C384">
        <v>1300866</v>
      </c>
    </row>
    <row r="385" spans="2:6" x14ac:dyDescent="0.25">
      <c r="B385" t="s">
        <v>619</v>
      </c>
      <c r="C385" t="s">
        <v>12</v>
      </c>
      <c r="D385">
        <v>0.3</v>
      </c>
      <c r="E385">
        <v>1</v>
      </c>
      <c r="F385">
        <v>0</v>
      </c>
    </row>
    <row r="386" spans="2:6" x14ac:dyDescent="0.25">
      <c r="B386" t="s">
        <v>622</v>
      </c>
      <c r="C386" t="s">
        <v>12</v>
      </c>
      <c r="D386">
        <v>0.3</v>
      </c>
      <c r="E386">
        <v>1</v>
      </c>
      <c r="F386">
        <v>0</v>
      </c>
    </row>
    <row r="387" spans="2:6" x14ac:dyDescent="0.25">
      <c r="B387" t="s">
        <v>622</v>
      </c>
      <c r="C387" t="s">
        <v>12</v>
      </c>
      <c r="D387">
        <v>0.3</v>
      </c>
      <c r="E387">
        <v>1</v>
      </c>
      <c r="F387">
        <v>0</v>
      </c>
    </row>
    <row r="388" spans="2:6" x14ac:dyDescent="0.25">
      <c r="B388" t="s">
        <v>622</v>
      </c>
      <c r="C388" t="s">
        <v>12</v>
      </c>
      <c r="D388">
        <v>0.3</v>
      </c>
      <c r="E388">
        <v>1</v>
      </c>
      <c r="F388">
        <v>0</v>
      </c>
    </row>
    <row r="389" spans="2:6" x14ac:dyDescent="0.25">
      <c r="B389" t="s">
        <v>619</v>
      </c>
      <c r="C389" t="s">
        <v>12</v>
      </c>
      <c r="D389">
        <v>0.3</v>
      </c>
      <c r="E389">
        <v>1</v>
      </c>
      <c r="F389">
        <v>0</v>
      </c>
    </row>
    <row r="390" spans="2:6" x14ac:dyDescent="0.25">
      <c r="B390" t="s">
        <v>622</v>
      </c>
      <c r="C390" t="s">
        <v>12</v>
      </c>
      <c r="D390">
        <v>0.3</v>
      </c>
      <c r="E390">
        <v>1</v>
      </c>
      <c r="F390">
        <v>0</v>
      </c>
    </row>
    <row r="391" spans="2:6" x14ac:dyDescent="0.25">
      <c r="B391" t="s">
        <v>622</v>
      </c>
      <c r="C391" t="s">
        <v>12</v>
      </c>
      <c r="D391">
        <v>0.3</v>
      </c>
      <c r="E391">
        <v>1</v>
      </c>
      <c r="F391">
        <v>0</v>
      </c>
    </row>
    <row r="392" spans="2:6" x14ac:dyDescent="0.25">
      <c r="B392" t="s">
        <v>619</v>
      </c>
      <c r="C392" t="s">
        <v>12</v>
      </c>
      <c r="D392">
        <v>0.3</v>
      </c>
      <c r="E392">
        <v>1</v>
      </c>
      <c r="F392">
        <v>0</v>
      </c>
    </row>
    <row r="393" spans="2:6" x14ac:dyDescent="0.25">
      <c r="B393" t="s">
        <v>678</v>
      </c>
      <c r="C393">
        <v>1300872</v>
      </c>
    </row>
    <row r="394" spans="2:6" x14ac:dyDescent="0.25">
      <c r="B394" t="s">
        <v>621</v>
      </c>
      <c r="C394" t="s">
        <v>8</v>
      </c>
      <c r="D394">
        <v>-0.2</v>
      </c>
      <c r="E394">
        <v>1</v>
      </c>
      <c r="F394">
        <v>0</v>
      </c>
    </row>
    <row r="395" spans="2:6" x14ac:dyDescent="0.25">
      <c r="B395" t="s">
        <v>621</v>
      </c>
      <c r="C395" t="s">
        <v>8</v>
      </c>
      <c r="D395">
        <v>-0.2</v>
      </c>
      <c r="E395">
        <v>1</v>
      </c>
      <c r="F395">
        <v>0</v>
      </c>
    </row>
    <row r="396" spans="2:6" x14ac:dyDescent="0.25">
      <c r="B396" t="s">
        <v>621</v>
      </c>
      <c r="C396" t="s">
        <v>8</v>
      </c>
      <c r="D396">
        <v>-0.2</v>
      </c>
      <c r="E396">
        <v>1</v>
      </c>
      <c r="F396">
        <v>0</v>
      </c>
    </row>
    <row r="397" spans="2:6" x14ac:dyDescent="0.25">
      <c r="B397" t="s">
        <v>621</v>
      </c>
      <c r="C397" t="s">
        <v>8</v>
      </c>
      <c r="D397">
        <v>-0.2</v>
      </c>
      <c r="E397">
        <v>1</v>
      </c>
      <c r="F397">
        <v>0</v>
      </c>
    </row>
    <row r="398" spans="2:6" x14ac:dyDescent="0.25">
      <c r="B398" t="s">
        <v>621</v>
      </c>
      <c r="C398" t="s">
        <v>8</v>
      </c>
      <c r="D398">
        <v>-0.2</v>
      </c>
      <c r="E398">
        <v>1</v>
      </c>
      <c r="F398">
        <v>0</v>
      </c>
    </row>
    <row r="399" spans="2:6" x14ac:dyDescent="0.25">
      <c r="B399" t="s">
        <v>621</v>
      </c>
      <c r="C399" t="s">
        <v>8</v>
      </c>
      <c r="D399">
        <v>-0.2</v>
      </c>
      <c r="E399">
        <v>1</v>
      </c>
      <c r="F399">
        <v>0</v>
      </c>
    </row>
    <row r="400" spans="2:6" x14ac:dyDescent="0.25">
      <c r="B400" t="s">
        <v>621</v>
      </c>
      <c r="C400" t="s">
        <v>8</v>
      </c>
      <c r="D400">
        <v>-0.2</v>
      </c>
      <c r="E400">
        <v>1</v>
      </c>
      <c r="F400">
        <v>0</v>
      </c>
    </row>
    <row r="401" spans="2:6" x14ac:dyDescent="0.25">
      <c r="B401" t="s">
        <v>621</v>
      </c>
      <c r="C401" t="s">
        <v>8</v>
      </c>
      <c r="D401">
        <v>-0.2</v>
      </c>
      <c r="E401">
        <v>1</v>
      </c>
      <c r="F401">
        <v>0</v>
      </c>
    </row>
    <row r="402" spans="2:6" x14ac:dyDescent="0.25">
      <c r="B402" t="s">
        <v>621</v>
      </c>
      <c r="C402" t="s">
        <v>8</v>
      </c>
      <c r="D402">
        <v>-0.2</v>
      </c>
      <c r="E402">
        <v>1</v>
      </c>
      <c r="F402">
        <v>0</v>
      </c>
    </row>
    <row r="403" spans="2:6" x14ac:dyDescent="0.25">
      <c r="B403" t="s">
        <v>621</v>
      </c>
      <c r="C403" t="s">
        <v>8</v>
      </c>
      <c r="D403">
        <v>-0.2</v>
      </c>
      <c r="E403">
        <v>1</v>
      </c>
      <c r="F403">
        <v>0</v>
      </c>
    </row>
    <row r="404" spans="2:6" x14ac:dyDescent="0.25">
      <c r="B404" t="s">
        <v>679</v>
      </c>
      <c r="C404">
        <v>1300873</v>
      </c>
    </row>
    <row r="405" spans="2:6" x14ac:dyDescent="0.25">
      <c r="B405" t="s">
        <v>648</v>
      </c>
      <c r="C405" t="s">
        <v>8</v>
      </c>
      <c r="D405">
        <v>-0.2</v>
      </c>
      <c r="E405">
        <v>1</v>
      </c>
      <c r="F405">
        <v>0</v>
      </c>
    </row>
    <row r="406" spans="2:6" x14ac:dyDescent="0.25">
      <c r="B406" s="14" t="s">
        <v>773</v>
      </c>
      <c r="C406" t="s">
        <v>8</v>
      </c>
      <c r="D406">
        <v>-0.2</v>
      </c>
      <c r="E406">
        <v>1</v>
      </c>
      <c r="F406">
        <v>0</v>
      </c>
    </row>
    <row r="407" spans="2:6" x14ac:dyDescent="0.25">
      <c r="B407" s="14" t="s">
        <v>773</v>
      </c>
      <c r="C407" t="s">
        <v>8</v>
      </c>
      <c r="D407">
        <v>-0.2</v>
      </c>
      <c r="E407">
        <v>1</v>
      </c>
      <c r="F407">
        <v>0</v>
      </c>
    </row>
    <row r="408" spans="2:6" x14ac:dyDescent="0.25">
      <c r="B408" s="14" t="s">
        <v>773</v>
      </c>
      <c r="C408" t="s">
        <v>8</v>
      </c>
      <c r="D408">
        <v>-0.2</v>
      </c>
      <c r="E408">
        <v>1</v>
      </c>
      <c r="F408">
        <v>0</v>
      </c>
    </row>
    <row r="409" spans="2:6" x14ac:dyDescent="0.25">
      <c r="B409" t="s">
        <v>619</v>
      </c>
      <c r="C409" t="s">
        <v>8</v>
      </c>
      <c r="D409">
        <v>-0.2</v>
      </c>
      <c r="E409">
        <v>1</v>
      </c>
      <c r="F409">
        <v>0</v>
      </c>
    </row>
    <row r="410" spans="2:6" x14ac:dyDescent="0.25">
      <c r="B410" t="s">
        <v>619</v>
      </c>
      <c r="C410" t="s">
        <v>8</v>
      </c>
      <c r="D410">
        <v>-0.2</v>
      </c>
      <c r="E410">
        <v>1</v>
      </c>
      <c r="F410">
        <v>0</v>
      </c>
    </row>
    <row r="411" spans="2:6" x14ac:dyDescent="0.25">
      <c r="B411" t="s">
        <v>622</v>
      </c>
      <c r="C411" t="s">
        <v>8</v>
      </c>
      <c r="D411">
        <v>-0.2</v>
      </c>
      <c r="E411">
        <v>1</v>
      </c>
      <c r="F411">
        <v>0</v>
      </c>
    </row>
    <row r="412" spans="2:6" x14ac:dyDescent="0.25">
      <c r="B412" t="s">
        <v>619</v>
      </c>
      <c r="C412" t="s">
        <v>8</v>
      </c>
      <c r="D412">
        <v>-0.2</v>
      </c>
      <c r="E412">
        <v>1</v>
      </c>
      <c r="F412">
        <v>0</v>
      </c>
    </row>
    <row r="413" spans="2:6" x14ac:dyDescent="0.25">
      <c r="B413" t="s">
        <v>619</v>
      </c>
      <c r="C413" t="s">
        <v>8</v>
      </c>
      <c r="D413">
        <v>-0.2</v>
      </c>
      <c r="E413">
        <v>1</v>
      </c>
      <c r="F413">
        <v>0</v>
      </c>
    </row>
    <row r="414" spans="2:6" x14ac:dyDescent="0.25">
      <c r="B414" t="s">
        <v>622</v>
      </c>
      <c r="C414" t="s">
        <v>8</v>
      </c>
      <c r="D414">
        <v>-0.2</v>
      </c>
      <c r="E414">
        <v>1</v>
      </c>
      <c r="F414">
        <v>0</v>
      </c>
    </row>
    <row r="415" spans="2:6" x14ac:dyDescent="0.25">
      <c r="B415" t="s">
        <v>619</v>
      </c>
      <c r="C415" t="s">
        <v>8</v>
      </c>
      <c r="D415">
        <v>-0.2</v>
      </c>
      <c r="E415">
        <v>1</v>
      </c>
      <c r="F415">
        <v>0</v>
      </c>
    </row>
    <row r="416" spans="2:6" x14ac:dyDescent="0.25">
      <c r="B416" t="s">
        <v>622</v>
      </c>
      <c r="C416" t="s">
        <v>8</v>
      </c>
      <c r="D416">
        <v>-0.2</v>
      </c>
      <c r="E416">
        <v>1</v>
      </c>
      <c r="F416">
        <v>0</v>
      </c>
    </row>
    <row r="417" spans="2:6" x14ac:dyDescent="0.25">
      <c r="B417" t="s">
        <v>622</v>
      </c>
      <c r="C417" t="s">
        <v>8</v>
      </c>
      <c r="D417">
        <v>-0.2</v>
      </c>
      <c r="E417">
        <v>1</v>
      </c>
      <c r="F417">
        <v>0</v>
      </c>
    </row>
    <row r="418" spans="2:6" x14ac:dyDescent="0.25">
      <c r="B418" t="s">
        <v>622</v>
      </c>
      <c r="C418" t="s">
        <v>8</v>
      </c>
      <c r="D418">
        <v>-0.2</v>
      </c>
      <c r="E418">
        <v>1</v>
      </c>
      <c r="F418">
        <v>0</v>
      </c>
    </row>
    <row r="419" spans="2:6" x14ac:dyDescent="0.25">
      <c r="B419" t="s">
        <v>622</v>
      </c>
      <c r="C419" t="s">
        <v>8</v>
      </c>
      <c r="D419">
        <v>-0.2</v>
      </c>
      <c r="E419">
        <v>1</v>
      </c>
      <c r="F419">
        <v>0</v>
      </c>
    </row>
    <row r="420" spans="2:6" x14ac:dyDescent="0.25">
      <c r="B420" t="s">
        <v>619</v>
      </c>
      <c r="C420" t="s">
        <v>16</v>
      </c>
      <c r="D420">
        <v>-0.8</v>
      </c>
      <c r="E420">
        <v>-0.5</v>
      </c>
      <c r="F420">
        <v>0</v>
      </c>
    </row>
    <row r="421" spans="2:6" x14ac:dyDescent="0.25">
      <c r="B421" t="s">
        <v>619</v>
      </c>
      <c r="C421" t="s">
        <v>16</v>
      </c>
      <c r="D421">
        <v>-0.8</v>
      </c>
      <c r="E421">
        <v>-0.5</v>
      </c>
      <c r="F421">
        <v>0</v>
      </c>
    </row>
    <row r="422" spans="2:6" x14ac:dyDescent="0.25">
      <c r="B422" t="s">
        <v>619</v>
      </c>
      <c r="C422" t="s">
        <v>16</v>
      </c>
      <c r="D422">
        <v>-0.8</v>
      </c>
      <c r="E422">
        <v>-0.5</v>
      </c>
      <c r="F422">
        <v>0</v>
      </c>
    </row>
    <row r="423" spans="2:6" x14ac:dyDescent="0.25">
      <c r="B423" t="s">
        <v>619</v>
      </c>
      <c r="C423" t="s">
        <v>16</v>
      </c>
      <c r="D423">
        <v>-0.8</v>
      </c>
      <c r="E423">
        <v>-0.5</v>
      </c>
      <c r="F423">
        <v>0</v>
      </c>
    </row>
    <row r="424" spans="2:6" x14ac:dyDescent="0.25">
      <c r="B424" t="s">
        <v>619</v>
      </c>
      <c r="C424" t="s">
        <v>8</v>
      </c>
      <c r="D424">
        <v>-0.2</v>
      </c>
      <c r="E424">
        <v>1</v>
      </c>
      <c r="F424">
        <v>0</v>
      </c>
    </row>
    <row r="425" spans="2:6" x14ac:dyDescent="0.25">
      <c r="B425" t="s">
        <v>622</v>
      </c>
      <c r="C425" t="s">
        <v>8</v>
      </c>
      <c r="D425">
        <v>-0.2</v>
      </c>
      <c r="E425">
        <v>1</v>
      </c>
      <c r="F425">
        <v>0</v>
      </c>
    </row>
    <row r="426" spans="2:6" x14ac:dyDescent="0.25">
      <c r="B426" t="s">
        <v>622</v>
      </c>
      <c r="C426" t="s">
        <v>8</v>
      </c>
      <c r="D426">
        <v>-0.2</v>
      </c>
      <c r="E426">
        <v>1</v>
      </c>
      <c r="F426">
        <v>0</v>
      </c>
    </row>
    <row r="427" spans="2:6" x14ac:dyDescent="0.25">
      <c r="B427" t="s">
        <v>622</v>
      </c>
      <c r="C427" t="s">
        <v>8</v>
      </c>
      <c r="D427">
        <v>-0.2</v>
      </c>
      <c r="E427">
        <v>1</v>
      </c>
      <c r="F427">
        <v>0</v>
      </c>
    </row>
    <row r="428" spans="2:6" x14ac:dyDescent="0.25">
      <c r="B428" t="s">
        <v>622</v>
      </c>
      <c r="C428" t="s">
        <v>8</v>
      </c>
      <c r="D428">
        <v>-0.2</v>
      </c>
      <c r="E428">
        <v>1</v>
      </c>
      <c r="F428">
        <v>0</v>
      </c>
    </row>
    <row r="429" spans="2:6" x14ac:dyDescent="0.25">
      <c r="B429" t="s">
        <v>621</v>
      </c>
      <c r="C429" t="s">
        <v>8</v>
      </c>
      <c r="D429">
        <v>-0.2</v>
      </c>
      <c r="E429">
        <v>1</v>
      </c>
      <c r="F429">
        <v>0</v>
      </c>
    </row>
    <row r="430" spans="2:6" x14ac:dyDescent="0.25">
      <c r="B430" t="s">
        <v>621</v>
      </c>
      <c r="C430" t="s">
        <v>8</v>
      </c>
      <c r="D430">
        <v>-0.2</v>
      </c>
      <c r="E430">
        <v>1</v>
      </c>
      <c r="F430">
        <v>0</v>
      </c>
    </row>
    <row r="431" spans="2:6" x14ac:dyDescent="0.25">
      <c r="B431" t="s">
        <v>621</v>
      </c>
      <c r="C431" t="s">
        <v>8</v>
      </c>
      <c r="D431">
        <v>-0.2</v>
      </c>
      <c r="E431">
        <v>1</v>
      </c>
      <c r="F431">
        <v>0</v>
      </c>
    </row>
    <row r="432" spans="2:6" x14ac:dyDescent="0.25">
      <c r="B432" t="s">
        <v>621</v>
      </c>
      <c r="C432" t="s">
        <v>8</v>
      </c>
      <c r="D432">
        <v>-0.2</v>
      </c>
      <c r="E432">
        <v>1</v>
      </c>
      <c r="F432">
        <v>0</v>
      </c>
    </row>
    <row r="433" spans="2:6" x14ac:dyDescent="0.25">
      <c r="B433" t="s">
        <v>621</v>
      </c>
      <c r="C433" t="s">
        <v>8</v>
      </c>
      <c r="D433">
        <v>-0.2</v>
      </c>
      <c r="E433">
        <v>1</v>
      </c>
      <c r="F433">
        <v>0</v>
      </c>
    </row>
    <row r="434" spans="2:6" x14ac:dyDescent="0.25">
      <c r="B434" t="s">
        <v>680</v>
      </c>
      <c r="C434">
        <v>1300875</v>
      </c>
    </row>
    <row r="435" spans="2:6" x14ac:dyDescent="0.25">
      <c r="B435" t="s">
        <v>621</v>
      </c>
      <c r="C435" t="s">
        <v>8</v>
      </c>
      <c r="D435">
        <v>-0.2</v>
      </c>
      <c r="E435">
        <v>1</v>
      </c>
      <c r="F435">
        <v>0</v>
      </c>
    </row>
    <row r="436" spans="2:6" x14ac:dyDescent="0.25">
      <c r="B436" t="s">
        <v>621</v>
      </c>
      <c r="C436" t="s">
        <v>8</v>
      </c>
      <c r="D436">
        <v>-0.2</v>
      </c>
      <c r="E436">
        <v>1</v>
      </c>
      <c r="F436">
        <v>0</v>
      </c>
    </row>
    <row r="437" spans="2:6" x14ac:dyDescent="0.25">
      <c r="B437" t="s">
        <v>681</v>
      </c>
      <c r="C437">
        <v>1300922</v>
      </c>
    </row>
    <row r="438" spans="2:6" x14ac:dyDescent="0.25">
      <c r="B438" t="s">
        <v>621</v>
      </c>
      <c r="C438" t="s">
        <v>12</v>
      </c>
      <c r="D438">
        <v>0.3</v>
      </c>
      <c r="E438">
        <v>1</v>
      </c>
      <c r="F438">
        <v>0</v>
      </c>
    </row>
    <row r="439" spans="2:6" x14ac:dyDescent="0.25">
      <c r="B439" t="s">
        <v>621</v>
      </c>
      <c r="C439" t="s">
        <v>12</v>
      </c>
      <c r="D439">
        <v>0.3</v>
      </c>
      <c r="E439">
        <v>1</v>
      </c>
      <c r="F439">
        <v>0</v>
      </c>
    </row>
    <row r="440" spans="2:6" x14ac:dyDescent="0.25">
      <c r="B440" t="s">
        <v>621</v>
      </c>
      <c r="C440" t="s">
        <v>12</v>
      </c>
      <c r="D440">
        <v>0.3</v>
      </c>
      <c r="E440">
        <v>1</v>
      </c>
      <c r="F440">
        <v>0</v>
      </c>
    </row>
    <row r="441" spans="2:6" x14ac:dyDescent="0.25">
      <c r="B441" t="s">
        <v>621</v>
      </c>
      <c r="C441" t="s">
        <v>12</v>
      </c>
      <c r="D441">
        <v>0.3</v>
      </c>
      <c r="E441">
        <v>1</v>
      </c>
      <c r="F441">
        <v>0</v>
      </c>
    </row>
    <row r="442" spans="2:6" x14ac:dyDescent="0.25">
      <c r="B442" t="s">
        <v>621</v>
      </c>
      <c r="C442" t="s">
        <v>12</v>
      </c>
      <c r="D442">
        <v>0.3</v>
      </c>
      <c r="E442">
        <v>1</v>
      </c>
      <c r="F442">
        <v>0</v>
      </c>
    </row>
    <row r="443" spans="2:6" x14ac:dyDescent="0.25">
      <c r="B443" t="s">
        <v>621</v>
      </c>
      <c r="C443" t="s">
        <v>12</v>
      </c>
      <c r="D443">
        <v>0.3</v>
      </c>
      <c r="E443">
        <v>1</v>
      </c>
      <c r="F443">
        <v>0</v>
      </c>
    </row>
    <row r="444" spans="2:6" x14ac:dyDescent="0.25">
      <c r="B444" t="s">
        <v>621</v>
      </c>
      <c r="C444" t="s">
        <v>12</v>
      </c>
      <c r="D444">
        <v>0.3</v>
      </c>
      <c r="E444">
        <v>1</v>
      </c>
      <c r="F444">
        <v>0</v>
      </c>
    </row>
    <row r="445" spans="2:6" x14ac:dyDescent="0.25">
      <c r="B445" t="s">
        <v>621</v>
      </c>
      <c r="C445" t="s">
        <v>12</v>
      </c>
      <c r="D445">
        <v>0.3</v>
      </c>
      <c r="E445">
        <v>1</v>
      </c>
      <c r="F445">
        <v>0</v>
      </c>
    </row>
    <row r="446" spans="2:6" x14ac:dyDescent="0.25">
      <c r="B446" t="s">
        <v>621</v>
      </c>
      <c r="C446" t="s">
        <v>12</v>
      </c>
      <c r="D446">
        <v>0.3</v>
      </c>
      <c r="E446">
        <v>1</v>
      </c>
      <c r="F446">
        <v>0</v>
      </c>
    </row>
    <row r="447" spans="2:6" x14ac:dyDescent="0.25">
      <c r="B447" t="s">
        <v>621</v>
      </c>
      <c r="C447" t="s">
        <v>12</v>
      </c>
      <c r="D447">
        <v>0.3</v>
      </c>
      <c r="E447">
        <v>1</v>
      </c>
      <c r="F447">
        <v>0</v>
      </c>
    </row>
    <row r="448" spans="2:6" x14ac:dyDescent="0.25">
      <c r="B448" t="s">
        <v>621</v>
      </c>
      <c r="C448" t="s">
        <v>12</v>
      </c>
      <c r="D448">
        <v>0.3</v>
      </c>
      <c r="E448">
        <v>1</v>
      </c>
      <c r="F448">
        <v>0</v>
      </c>
    </row>
    <row r="449" spans="2:6" x14ac:dyDescent="0.25">
      <c r="B449" t="s">
        <v>621</v>
      </c>
      <c r="C449" t="s">
        <v>12</v>
      </c>
      <c r="D449">
        <v>0.3</v>
      </c>
      <c r="E449">
        <v>1</v>
      </c>
      <c r="F449">
        <v>0</v>
      </c>
    </row>
    <row r="450" spans="2:6" x14ac:dyDescent="0.25">
      <c r="B450" t="s">
        <v>682</v>
      </c>
      <c r="C450">
        <v>1300923</v>
      </c>
    </row>
    <row r="451" spans="2:6" x14ac:dyDescent="0.25">
      <c r="B451" t="s">
        <v>648</v>
      </c>
      <c r="C451" t="s">
        <v>11</v>
      </c>
      <c r="D451">
        <v>1</v>
      </c>
      <c r="E451">
        <v>0</v>
      </c>
      <c r="F451">
        <v>0</v>
      </c>
    </row>
    <row r="452" spans="2:6" x14ac:dyDescent="0.25">
      <c r="B452" t="s">
        <v>619</v>
      </c>
      <c r="C452" t="s">
        <v>10</v>
      </c>
      <c r="D452">
        <v>-1</v>
      </c>
      <c r="E452">
        <v>0</v>
      </c>
      <c r="F452">
        <v>0</v>
      </c>
    </row>
    <row r="453" spans="2:6" x14ac:dyDescent="0.25">
      <c r="B453" t="s">
        <v>619</v>
      </c>
      <c r="C453" t="s">
        <v>10</v>
      </c>
      <c r="D453">
        <v>-1</v>
      </c>
      <c r="E453">
        <v>0</v>
      </c>
      <c r="F453">
        <v>0</v>
      </c>
    </row>
    <row r="454" spans="2:6" x14ac:dyDescent="0.25">
      <c r="B454" t="s">
        <v>619</v>
      </c>
      <c r="C454" t="s">
        <v>10</v>
      </c>
      <c r="D454">
        <v>-1</v>
      </c>
      <c r="E454">
        <v>0</v>
      </c>
      <c r="F454">
        <v>0</v>
      </c>
    </row>
    <row r="455" spans="2:6" x14ac:dyDescent="0.25">
      <c r="B455" t="s">
        <v>622</v>
      </c>
      <c r="C455" t="s">
        <v>12</v>
      </c>
      <c r="D455">
        <v>0.3</v>
      </c>
      <c r="E455">
        <v>1</v>
      </c>
      <c r="F455">
        <v>0</v>
      </c>
    </row>
    <row r="456" spans="2:6" x14ac:dyDescent="0.25">
      <c r="B456" t="s">
        <v>622</v>
      </c>
      <c r="C456" t="s">
        <v>12</v>
      </c>
      <c r="D456">
        <v>0.3</v>
      </c>
      <c r="E456">
        <v>1</v>
      </c>
      <c r="F456">
        <v>0</v>
      </c>
    </row>
    <row r="457" spans="2:6" x14ac:dyDescent="0.25">
      <c r="B457" t="s">
        <v>622</v>
      </c>
      <c r="C457" t="s">
        <v>12</v>
      </c>
      <c r="D457">
        <v>0.3</v>
      </c>
      <c r="E457">
        <v>1</v>
      </c>
      <c r="F457">
        <v>0</v>
      </c>
    </row>
    <row r="458" spans="2:6" x14ac:dyDescent="0.25">
      <c r="B458" t="s">
        <v>619</v>
      </c>
      <c r="C458" t="s">
        <v>12</v>
      </c>
      <c r="D458">
        <v>0.3</v>
      </c>
      <c r="E458">
        <v>1</v>
      </c>
      <c r="F458">
        <v>0</v>
      </c>
    </row>
    <row r="459" spans="2:6" x14ac:dyDescent="0.25">
      <c r="B459" t="s">
        <v>683</v>
      </c>
      <c r="C459">
        <v>1300924</v>
      </c>
    </row>
    <row r="460" spans="2:6" x14ac:dyDescent="0.25">
      <c r="B460" t="s">
        <v>619</v>
      </c>
      <c r="C460" t="s">
        <v>10</v>
      </c>
      <c r="D460">
        <v>-1</v>
      </c>
      <c r="E460">
        <v>0</v>
      </c>
      <c r="F460">
        <v>0</v>
      </c>
    </row>
    <row r="461" spans="2:6" x14ac:dyDescent="0.25">
      <c r="B461" t="s">
        <v>684</v>
      </c>
      <c r="C461">
        <v>1300925</v>
      </c>
    </row>
    <row r="462" spans="2:6" x14ac:dyDescent="0.25">
      <c r="B462" t="s">
        <v>622</v>
      </c>
      <c r="C462" t="s">
        <v>12</v>
      </c>
      <c r="D462">
        <v>0.3</v>
      </c>
      <c r="E462">
        <v>1</v>
      </c>
      <c r="F462">
        <v>0</v>
      </c>
    </row>
    <row r="463" spans="2:6" x14ac:dyDescent="0.25">
      <c r="B463" t="s">
        <v>622</v>
      </c>
      <c r="C463" t="s">
        <v>12</v>
      </c>
      <c r="D463">
        <v>0.3</v>
      </c>
      <c r="E463">
        <v>1</v>
      </c>
      <c r="F463">
        <v>0</v>
      </c>
    </row>
    <row r="464" spans="2:6" x14ac:dyDescent="0.25">
      <c r="B464" t="s">
        <v>619</v>
      </c>
      <c r="C464" t="s">
        <v>12</v>
      </c>
      <c r="D464">
        <v>0.3</v>
      </c>
      <c r="E464">
        <v>1</v>
      </c>
      <c r="F464">
        <v>0</v>
      </c>
    </row>
    <row r="465" spans="2:6" x14ac:dyDescent="0.25">
      <c r="B465" t="s">
        <v>622</v>
      </c>
      <c r="C465" t="s">
        <v>12</v>
      </c>
      <c r="D465">
        <v>0.3</v>
      </c>
      <c r="E465">
        <v>1</v>
      </c>
      <c r="F465">
        <v>0</v>
      </c>
    </row>
    <row r="466" spans="2:6" x14ac:dyDescent="0.25">
      <c r="B466" t="s">
        <v>621</v>
      </c>
      <c r="C466" t="s">
        <v>12</v>
      </c>
      <c r="D466">
        <v>0.3</v>
      </c>
      <c r="E466">
        <v>1</v>
      </c>
      <c r="F466">
        <v>0</v>
      </c>
    </row>
    <row r="467" spans="2:6" x14ac:dyDescent="0.25">
      <c r="B467" t="s">
        <v>621</v>
      </c>
      <c r="C467" t="s">
        <v>12</v>
      </c>
      <c r="D467">
        <v>0.3</v>
      </c>
      <c r="E467">
        <v>1</v>
      </c>
      <c r="F467">
        <v>0</v>
      </c>
    </row>
    <row r="468" spans="2:6" x14ac:dyDescent="0.25">
      <c r="B468" t="s">
        <v>685</v>
      </c>
      <c r="C468">
        <v>1300927</v>
      </c>
    </row>
    <row r="469" spans="2:6" x14ac:dyDescent="0.25">
      <c r="B469" t="s">
        <v>648</v>
      </c>
      <c r="C469" t="s">
        <v>338</v>
      </c>
      <c r="D469">
        <v>1</v>
      </c>
      <c r="E469">
        <v>-0.1</v>
      </c>
      <c r="F469">
        <v>0</v>
      </c>
    </row>
    <row r="470" spans="2:6" x14ac:dyDescent="0.25">
      <c r="B470" t="s">
        <v>619</v>
      </c>
      <c r="C470" t="s">
        <v>9</v>
      </c>
      <c r="D470">
        <v>-1</v>
      </c>
      <c r="E470">
        <v>0.1</v>
      </c>
      <c r="F470">
        <v>0</v>
      </c>
    </row>
    <row r="471" spans="2:6" x14ac:dyDescent="0.25">
      <c r="B471" t="s">
        <v>619</v>
      </c>
      <c r="C471" t="s">
        <v>9</v>
      </c>
      <c r="D471">
        <v>-1</v>
      </c>
      <c r="E471">
        <v>0.1</v>
      </c>
      <c r="F471">
        <v>0</v>
      </c>
    </row>
    <row r="472" spans="2:6" x14ac:dyDescent="0.25">
      <c r="B472" t="s">
        <v>622</v>
      </c>
      <c r="C472" t="s">
        <v>12</v>
      </c>
      <c r="D472">
        <v>0.3</v>
      </c>
      <c r="E472">
        <v>1</v>
      </c>
      <c r="F472">
        <v>0</v>
      </c>
    </row>
    <row r="473" spans="2:6" x14ac:dyDescent="0.25">
      <c r="B473" t="s">
        <v>622</v>
      </c>
      <c r="C473" t="s">
        <v>12</v>
      </c>
      <c r="D473">
        <v>0.3</v>
      </c>
      <c r="E473">
        <v>1</v>
      </c>
      <c r="F473">
        <v>0</v>
      </c>
    </row>
    <row r="474" spans="2:6" x14ac:dyDescent="0.25">
      <c r="B474" t="s">
        <v>686</v>
      </c>
      <c r="C474">
        <v>1300935</v>
      </c>
    </row>
    <row r="475" spans="2:6" x14ac:dyDescent="0.25">
      <c r="B475" t="s">
        <v>621</v>
      </c>
      <c r="C475" t="s">
        <v>8</v>
      </c>
      <c r="D475">
        <v>-0.2</v>
      </c>
      <c r="E475">
        <v>1</v>
      </c>
      <c r="F475">
        <v>0</v>
      </c>
    </row>
    <row r="476" spans="2:6" x14ac:dyDescent="0.25">
      <c r="B476" t="s">
        <v>621</v>
      </c>
      <c r="C476" t="s">
        <v>8</v>
      </c>
      <c r="D476">
        <v>-0.2</v>
      </c>
      <c r="E476">
        <v>1</v>
      </c>
      <c r="F476">
        <v>0</v>
      </c>
    </row>
    <row r="477" spans="2:6" x14ac:dyDescent="0.25">
      <c r="B477" t="s">
        <v>621</v>
      </c>
      <c r="C477" t="s">
        <v>8</v>
      </c>
      <c r="D477">
        <v>-0.2</v>
      </c>
      <c r="E477">
        <v>1</v>
      </c>
      <c r="F477">
        <v>0</v>
      </c>
    </row>
    <row r="478" spans="2:6" x14ac:dyDescent="0.25">
      <c r="B478" t="s">
        <v>621</v>
      </c>
      <c r="C478" t="s">
        <v>8</v>
      </c>
      <c r="D478">
        <v>-0.2</v>
      </c>
      <c r="E478">
        <v>1</v>
      </c>
      <c r="F478">
        <v>0</v>
      </c>
    </row>
    <row r="479" spans="2:6" x14ac:dyDescent="0.25">
      <c r="B479" t="s">
        <v>621</v>
      </c>
      <c r="C479" t="s">
        <v>8</v>
      </c>
      <c r="D479">
        <v>-0.2</v>
      </c>
      <c r="E479">
        <v>1</v>
      </c>
      <c r="F479">
        <v>0</v>
      </c>
    </row>
    <row r="480" spans="2:6" x14ac:dyDescent="0.25">
      <c r="B480" t="s">
        <v>621</v>
      </c>
      <c r="C480" t="s">
        <v>8</v>
      </c>
      <c r="D480">
        <v>-0.2</v>
      </c>
      <c r="E480">
        <v>1</v>
      </c>
      <c r="F480">
        <v>0</v>
      </c>
    </row>
    <row r="481" spans="2:6" x14ac:dyDescent="0.25">
      <c r="B481" t="s">
        <v>621</v>
      </c>
      <c r="C481" t="s">
        <v>8</v>
      </c>
      <c r="D481">
        <v>-0.2</v>
      </c>
      <c r="E481">
        <v>1</v>
      </c>
      <c r="F481">
        <v>0</v>
      </c>
    </row>
    <row r="482" spans="2:6" x14ac:dyDescent="0.25">
      <c r="B482" t="s">
        <v>621</v>
      </c>
      <c r="C482" t="s">
        <v>8</v>
      </c>
      <c r="D482">
        <v>-0.2</v>
      </c>
      <c r="E482">
        <v>1</v>
      </c>
      <c r="F482">
        <v>0</v>
      </c>
    </row>
    <row r="483" spans="2:6" x14ac:dyDescent="0.25">
      <c r="B483" t="s">
        <v>621</v>
      </c>
      <c r="C483" t="s">
        <v>8</v>
      </c>
      <c r="D483">
        <v>-0.2</v>
      </c>
      <c r="E483">
        <v>1</v>
      </c>
      <c r="F483">
        <v>0</v>
      </c>
    </row>
    <row r="484" spans="2:6" x14ac:dyDescent="0.25">
      <c r="B484" t="s">
        <v>621</v>
      </c>
      <c r="C484" t="s">
        <v>8</v>
      </c>
      <c r="D484">
        <v>-0.2</v>
      </c>
      <c r="E484">
        <v>1</v>
      </c>
      <c r="F484">
        <v>0</v>
      </c>
    </row>
    <row r="485" spans="2:6" x14ac:dyDescent="0.25">
      <c r="B485" t="s">
        <v>621</v>
      </c>
      <c r="C485" t="s">
        <v>8</v>
      </c>
      <c r="D485">
        <v>-0.2</v>
      </c>
      <c r="E485">
        <v>1</v>
      </c>
      <c r="F485">
        <v>0</v>
      </c>
    </row>
    <row r="486" spans="2:6" x14ac:dyDescent="0.25">
      <c r="B486" t="s">
        <v>621</v>
      </c>
      <c r="C486" t="s">
        <v>8</v>
      </c>
      <c r="D486">
        <v>-0.2</v>
      </c>
      <c r="E486">
        <v>1</v>
      </c>
      <c r="F486">
        <v>0</v>
      </c>
    </row>
    <row r="487" spans="2:6" x14ac:dyDescent="0.25">
      <c r="B487" t="s">
        <v>687</v>
      </c>
      <c r="C487">
        <v>1300936</v>
      </c>
    </row>
    <row r="488" spans="2:6" x14ac:dyDescent="0.25">
      <c r="B488" t="s">
        <v>621</v>
      </c>
      <c r="C488" t="s">
        <v>8</v>
      </c>
      <c r="D488">
        <v>-0.2</v>
      </c>
      <c r="E488">
        <v>1</v>
      </c>
      <c r="F488">
        <v>0</v>
      </c>
    </row>
    <row r="489" spans="2:6" x14ac:dyDescent="0.25">
      <c r="B489" t="s">
        <v>621</v>
      </c>
      <c r="C489" t="s">
        <v>8</v>
      </c>
      <c r="D489">
        <v>-0.2</v>
      </c>
      <c r="E489">
        <v>1</v>
      </c>
      <c r="F489">
        <v>0</v>
      </c>
    </row>
    <row r="490" spans="2:6" x14ac:dyDescent="0.25">
      <c r="B490" t="s">
        <v>621</v>
      </c>
      <c r="C490" t="s">
        <v>8</v>
      </c>
      <c r="D490">
        <v>-0.2</v>
      </c>
      <c r="E490">
        <v>1</v>
      </c>
      <c r="F490">
        <v>0</v>
      </c>
    </row>
    <row r="491" spans="2:6" x14ac:dyDescent="0.25">
      <c r="B491" t="s">
        <v>621</v>
      </c>
      <c r="C491" t="s">
        <v>8</v>
      </c>
      <c r="D491">
        <v>-0.2</v>
      </c>
      <c r="E491">
        <v>1</v>
      </c>
      <c r="F491">
        <v>0</v>
      </c>
    </row>
    <row r="492" spans="2:6" x14ac:dyDescent="0.25">
      <c r="B492" t="s">
        <v>621</v>
      </c>
      <c r="C492" t="s">
        <v>8</v>
      </c>
      <c r="D492">
        <v>-0.2</v>
      </c>
      <c r="E492">
        <v>1</v>
      </c>
      <c r="F492">
        <v>0</v>
      </c>
    </row>
    <row r="493" spans="2:6" x14ac:dyDescent="0.25">
      <c r="B493" t="s">
        <v>621</v>
      </c>
      <c r="C493" t="s">
        <v>8</v>
      </c>
      <c r="D493">
        <v>-0.2</v>
      </c>
      <c r="E493">
        <v>1</v>
      </c>
      <c r="F493">
        <v>0</v>
      </c>
    </row>
    <row r="494" spans="2:6" x14ac:dyDescent="0.25">
      <c r="B494" t="s">
        <v>621</v>
      </c>
      <c r="C494" t="s">
        <v>8</v>
      </c>
      <c r="D494">
        <v>-0.2</v>
      </c>
      <c r="E494">
        <v>1</v>
      </c>
      <c r="F494">
        <v>0</v>
      </c>
    </row>
    <row r="495" spans="2:6" x14ac:dyDescent="0.25">
      <c r="B495" t="s">
        <v>621</v>
      </c>
      <c r="C495" t="s">
        <v>8</v>
      </c>
      <c r="D495">
        <v>-0.2</v>
      </c>
      <c r="E495">
        <v>1</v>
      </c>
      <c r="F495">
        <v>0</v>
      </c>
    </row>
    <row r="496" spans="2:6" x14ac:dyDescent="0.25">
      <c r="B496" t="s">
        <v>621</v>
      </c>
      <c r="C496" t="s">
        <v>8</v>
      </c>
      <c r="D496">
        <v>-0.2</v>
      </c>
      <c r="E496">
        <v>1</v>
      </c>
      <c r="F496">
        <v>0</v>
      </c>
    </row>
    <row r="497" spans="2:6" x14ac:dyDescent="0.25">
      <c r="B497" t="s">
        <v>621</v>
      </c>
      <c r="C497" t="s">
        <v>8</v>
      </c>
      <c r="D497">
        <v>-0.2</v>
      </c>
      <c r="E497">
        <v>1</v>
      </c>
      <c r="F497">
        <v>0</v>
      </c>
    </row>
    <row r="498" spans="2:6" x14ac:dyDescent="0.25">
      <c r="B498" t="s">
        <v>688</v>
      </c>
      <c r="C498">
        <v>1300937</v>
      </c>
    </row>
    <row r="499" spans="2:6" x14ac:dyDescent="0.25">
      <c r="B499" t="s">
        <v>621</v>
      </c>
      <c r="C499" t="s">
        <v>12</v>
      </c>
      <c r="D499">
        <v>0.3</v>
      </c>
      <c r="E499">
        <v>1</v>
      </c>
      <c r="F499">
        <v>0</v>
      </c>
    </row>
    <row r="500" spans="2:6" x14ac:dyDescent="0.25">
      <c r="B500" t="s">
        <v>621</v>
      </c>
      <c r="C500" t="s">
        <v>12</v>
      </c>
      <c r="D500">
        <v>0.3</v>
      </c>
      <c r="E500">
        <v>1</v>
      </c>
      <c r="F500">
        <v>0</v>
      </c>
    </row>
    <row r="501" spans="2:6" x14ac:dyDescent="0.25">
      <c r="B501" t="s">
        <v>621</v>
      </c>
      <c r="C501" t="s">
        <v>12</v>
      </c>
      <c r="D501">
        <v>0.3</v>
      </c>
      <c r="E501">
        <v>1</v>
      </c>
      <c r="F501">
        <v>0</v>
      </c>
    </row>
    <row r="502" spans="2:6" x14ac:dyDescent="0.25">
      <c r="B502" t="s">
        <v>621</v>
      </c>
      <c r="C502" t="s">
        <v>12</v>
      </c>
      <c r="D502">
        <v>0.3</v>
      </c>
      <c r="E502">
        <v>1</v>
      </c>
      <c r="F502">
        <v>0</v>
      </c>
    </row>
    <row r="503" spans="2:6" x14ac:dyDescent="0.25">
      <c r="B503" t="s">
        <v>621</v>
      </c>
      <c r="C503" t="s">
        <v>12</v>
      </c>
      <c r="D503">
        <v>0.3</v>
      </c>
      <c r="E503">
        <v>1</v>
      </c>
      <c r="F503">
        <v>0</v>
      </c>
    </row>
    <row r="504" spans="2:6" x14ac:dyDescent="0.25">
      <c r="B504" t="s">
        <v>621</v>
      </c>
      <c r="C504" t="s">
        <v>12</v>
      </c>
      <c r="D504">
        <v>0.3</v>
      </c>
      <c r="E504">
        <v>1</v>
      </c>
      <c r="F504">
        <v>0</v>
      </c>
    </row>
    <row r="505" spans="2:6" x14ac:dyDescent="0.25">
      <c r="B505" t="s">
        <v>621</v>
      </c>
      <c r="C505" t="s">
        <v>12</v>
      </c>
      <c r="D505">
        <v>0.3</v>
      </c>
      <c r="E505">
        <v>1</v>
      </c>
      <c r="F505">
        <v>0</v>
      </c>
    </row>
    <row r="506" spans="2:6" x14ac:dyDescent="0.25">
      <c r="B506" t="s">
        <v>621</v>
      </c>
      <c r="C506" t="s">
        <v>12</v>
      </c>
      <c r="D506">
        <v>0.3</v>
      </c>
      <c r="E506">
        <v>1</v>
      </c>
      <c r="F506">
        <v>0</v>
      </c>
    </row>
    <row r="507" spans="2:6" x14ac:dyDescent="0.25">
      <c r="B507" t="s">
        <v>621</v>
      </c>
      <c r="C507" t="s">
        <v>12</v>
      </c>
      <c r="D507">
        <v>0.3</v>
      </c>
      <c r="E507">
        <v>1</v>
      </c>
      <c r="F507">
        <v>0</v>
      </c>
    </row>
    <row r="508" spans="2:6" x14ac:dyDescent="0.25">
      <c r="B508" t="s">
        <v>675</v>
      </c>
      <c r="C508" t="s">
        <v>12</v>
      </c>
      <c r="D508">
        <v>0.3</v>
      </c>
      <c r="E508">
        <v>1</v>
      </c>
      <c r="F508">
        <v>0</v>
      </c>
    </row>
    <row r="509" spans="2:6" x14ac:dyDescent="0.25">
      <c r="B509" t="s">
        <v>689</v>
      </c>
      <c r="C509">
        <v>1342009</v>
      </c>
    </row>
    <row r="510" spans="2:6" x14ac:dyDescent="0.25">
      <c r="B510" t="s">
        <v>648</v>
      </c>
      <c r="C510" t="s">
        <v>15</v>
      </c>
      <c r="D510">
        <v>-0.3</v>
      </c>
      <c r="E510">
        <v>1</v>
      </c>
      <c r="F510">
        <v>0</v>
      </c>
    </row>
    <row r="511" spans="2:6" x14ac:dyDescent="0.25">
      <c r="B511" t="s">
        <v>622</v>
      </c>
      <c r="C511" t="s">
        <v>624</v>
      </c>
      <c r="D511">
        <v>-0.3</v>
      </c>
      <c r="E511">
        <v>1</v>
      </c>
      <c r="F511">
        <v>0</v>
      </c>
    </row>
    <row r="512" spans="2:6" x14ac:dyDescent="0.25">
      <c r="B512" t="s">
        <v>619</v>
      </c>
      <c r="C512" t="s">
        <v>624</v>
      </c>
      <c r="D512">
        <v>-0.3</v>
      </c>
      <c r="E512">
        <v>1</v>
      </c>
      <c r="F512">
        <v>0</v>
      </c>
    </row>
    <row r="513" spans="2:6" x14ac:dyDescent="0.25">
      <c r="B513" t="s">
        <v>622</v>
      </c>
      <c r="C513" t="s">
        <v>624</v>
      </c>
      <c r="D513">
        <v>-0.3</v>
      </c>
      <c r="E513">
        <v>1</v>
      </c>
      <c r="F513">
        <v>0</v>
      </c>
    </row>
    <row r="514" spans="2:6" x14ac:dyDescent="0.25">
      <c r="B514" t="s">
        <v>622</v>
      </c>
      <c r="C514" t="s">
        <v>624</v>
      </c>
      <c r="D514">
        <v>-0.3</v>
      </c>
      <c r="E514">
        <v>1</v>
      </c>
      <c r="F514">
        <v>0</v>
      </c>
    </row>
    <row r="515" spans="2:6" x14ac:dyDescent="0.25">
      <c r="B515" t="s">
        <v>619</v>
      </c>
      <c r="C515" t="s">
        <v>624</v>
      </c>
      <c r="D515">
        <v>-0.3</v>
      </c>
      <c r="E515">
        <v>1</v>
      </c>
      <c r="F515">
        <v>0</v>
      </c>
    </row>
    <row r="516" spans="2:6" x14ac:dyDescent="0.25">
      <c r="B516" t="s">
        <v>622</v>
      </c>
      <c r="C516" t="s">
        <v>624</v>
      </c>
      <c r="D516">
        <v>-0.3</v>
      </c>
      <c r="E516">
        <v>1</v>
      </c>
      <c r="F516">
        <v>0</v>
      </c>
    </row>
    <row r="517" spans="2:6" x14ac:dyDescent="0.25">
      <c r="B517" t="s">
        <v>619</v>
      </c>
      <c r="C517" t="s">
        <v>624</v>
      </c>
      <c r="D517">
        <v>-0.3</v>
      </c>
      <c r="E517">
        <v>1</v>
      </c>
      <c r="F517">
        <v>0</v>
      </c>
    </row>
    <row r="518" spans="2:6" x14ac:dyDescent="0.25">
      <c r="B518" t="s">
        <v>619</v>
      </c>
      <c r="C518" t="s">
        <v>624</v>
      </c>
      <c r="D518">
        <v>-0.3</v>
      </c>
      <c r="E518">
        <v>1</v>
      </c>
      <c r="F518">
        <v>0</v>
      </c>
    </row>
    <row r="519" spans="2:6" x14ac:dyDescent="0.25">
      <c r="B519" t="s">
        <v>622</v>
      </c>
      <c r="C519" t="s">
        <v>624</v>
      </c>
      <c r="D519">
        <v>-0.3</v>
      </c>
      <c r="E519">
        <v>1</v>
      </c>
      <c r="F519">
        <v>0</v>
      </c>
    </row>
    <row r="520" spans="2:6" x14ac:dyDescent="0.25">
      <c r="B520" t="s">
        <v>619</v>
      </c>
      <c r="C520" t="s">
        <v>624</v>
      </c>
      <c r="D520">
        <v>-0.3</v>
      </c>
      <c r="E520">
        <v>1</v>
      </c>
      <c r="F520">
        <v>0</v>
      </c>
    </row>
    <row r="521" spans="2:6" x14ac:dyDescent="0.25">
      <c r="B521" t="s">
        <v>619</v>
      </c>
      <c r="C521" t="s">
        <v>624</v>
      </c>
      <c r="D521">
        <v>-0.3</v>
      </c>
      <c r="E521">
        <v>1</v>
      </c>
      <c r="F521">
        <v>0</v>
      </c>
    </row>
    <row r="522" spans="2:6" x14ac:dyDescent="0.25">
      <c r="B522" t="s">
        <v>619</v>
      </c>
      <c r="C522" t="s">
        <v>624</v>
      </c>
      <c r="D522">
        <v>-0.3</v>
      </c>
      <c r="E522">
        <v>1</v>
      </c>
      <c r="F522">
        <v>0</v>
      </c>
    </row>
    <row r="523" spans="2:6" x14ac:dyDescent="0.25">
      <c r="B523" t="s">
        <v>622</v>
      </c>
      <c r="C523" t="s">
        <v>624</v>
      </c>
      <c r="D523">
        <v>-0.3</v>
      </c>
      <c r="E523">
        <v>1</v>
      </c>
      <c r="F523">
        <v>0</v>
      </c>
    </row>
    <row r="524" spans="2:6" x14ac:dyDescent="0.25">
      <c r="B524" t="s">
        <v>622</v>
      </c>
      <c r="C524" t="s">
        <v>690</v>
      </c>
      <c r="D524">
        <v>0.3</v>
      </c>
      <c r="E524">
        <v>-1</v>
      </c>
      <c r="F524">
        <v>0</v>
      </c>
    </row>
    <row r="525" spans="2:6" x14ac:dyDescent="0.25">
      <c r="B525" t="s">
        <v>622</v>
      </c>
      <c r="C525" t="s">
        <v>624</v>
      </c>
      <c r="D525">
        <v>-0.3</v>
      </c>
      <c r="E525">
        <v>1</v>
      </c>
      <c r="F525">
        <v>0</v>
      </c>
    </row>
    <row r="526" spans="2:6" x14ac:dyDescent="0.25">
      <c r="B526" t="s">
        <v>622</v>
      </c>
      <c r="C526" t="s">
        <v>624</v>
      </c>
      <c r="D526">
        <v>-0.3</v>
      </c>
      <c r="E526">
        <v>1</v>
      </c>
      <c r="F526">
        <v>0</v>
      </c>
    </row>
    <row r="527" spans="2:6" x14ac:dyDescent="0.25">
      <c r="B527" t="s">
        <v>622</v>
      </c>
      <c r="C527" t="s">
        <v>624</v>
      </c>
      <c r="D527">
        <v>-0.3</v>
      </c>
      <c r="E527">
        <v>1</v>
      </c>
      <c r="F527">
        <v>0</v>
      </c>
    </row>
    <row r="528" spans="2:6" x14ac:dyDescent="0.25">
      <c r="B528" t="s">
        <v>621</v>
      </c>
      <c r="C528" t="s">
        <v>624</v>
      </c>
      <c r="D528">
        <v>-0.3</v>
      </c>
      <c r="E528">
        <v>1</v>
      </c>
      <c r="F528">
        <v>0</v>
      </c>
    </row>
    <row r="529" spans="2:6" x14ac:dyDescent="0.25">
      <c r="B529" t="s">
        <v>619</v>
      </c>
      <c r="C529" t="s">
        <v>17</v>
      </c>
      <c r="D529">
        <v>-0.9</v>
      </c>
      <c r="E529">
        <v>-0.4</v>
      </c>
      <c r="F529">
        <v>0</v>
      </c>
    </row>
    <row r="530" spans="2:6" x14ac:dyDescent="0.25">
      <c r="B530" t="s">
        <v>619</v>
      </c>
      <c r="C530" t="s">
        <v>17</v>
      </c>
      <c r="D530">
        <v>-0.9</v>
      </c>
      <c r="E530">
        <v>-0.4</v>
      </c>
      <c r="F530">
        <v>0</v>
      </c>
    </row>
    <row r="531" spans="2:6" x14ac:dyDescent="0.25">
      <c r="B531" t="s">
        <v>619</v>
      </c>
      <c r="C531" t="s">
        <v>17</v>
      </c>
      <c r="D531">
        <v>-0.9</v>
      </c>
      <c r="E531">
        <v>-0.4</v>
      </c>
      <c r="F531">
        <v>0</v>
      </c>
    </row>
    <row r="532" spans="2:6" x14ac:dyDescent="0.25">
      <c r="B532" t="s">
        <v>619</v>
      </c>
      <c r="C532" t="s">
        <v>17</v>
      </c>
      <c r="D532">
        <v>-0.9</v>
      </c>
      <c r="E532">
        <v>-0.4</v>
      </c>
      <c r="F532">
        <v>0</v>
      </c>
    </row>
    <row r="533" spans="2:6" x14ac:dyDescent="0.25">
      <c r="B533" t="s">
        <v>621</v>
      </c>
      <c r="C533" t="s">
        <v>624</v>
      </c>
      <c r="D533">
        <v>-0.3</v>
      </c>
      <c r="E533">
        <v>1</v>
      </c>
      <c r="F533">
        <v>0</v>
      </c>
    </row>
    <row r="534" spans="2:6" x14ac:dyDescent="0.25">
      <c r="B534" t="s">
        <v>621</v>
      </c>
      <c r="C534" t="s">
        <v>624</v>
      </c>
      <c r="D534">
        <v>-0.3</v>
      </c>
      <c r="E534">
        <v>1</v>
      </c>
      <c r="F534">
        <v>0</v>
      </c>
    </row>
    <row r="535" spans="2:6" x14ac:dyDescent="0.25">
      <c r="B535" t="s">
        <v>621</v>
      </c>
      <c r="C535" t="s">
        <v>624</v>
      </c>
      <c r="D535">
        <v>-0.3</v>
      </c>
      <c r="E535">
        <v>1</v>
      </c>
      <c r="F535">
        <v>0</v>
      </c>
    </row>
    <row r="536" spans="2:6" x14ac:dyDescent="0.25">
      <c r="B536" t="s">
        <v>691</v>
      </c>
      <c r="C536">
        <v>1415061</v>
      </c>
    </row>
    <row r="537" spans="2:6" x14ac:dyDescent="0.25">
      <c r="B537" t="s">
        <v>619</v>
      </c>
      <c r="C537" t="s">
        <v>14</v>
      </c>
      <c r="D537">
        <v>0.3</v>
      </c>
      <c r="E537">
        <v>1</v>
      </c>
      <c r="F537">
        <v>0</v>
      </c>
    </row>
    <row r="538" spans="2:6" x14ac:dyDescent="0.25">
      <c r="B538" t="s">
        <v>622</v>
      </c>
      <c r="C538" t="s">
        <v>14</v>
      </c>
      <c r="D538">
        <v>0.3</v>
      </c>
      <c r="E538">
        <v>1</v>
      </c>
      <c r="F538">
        <v>0</v>
      </c>
    </row>
    <row r="539" spans="2:6" x14ac:dyDescent="0.25">
      <c r="B539" t="s">
        <v>622</v>
      </c>
      <c r="C539" t="s">
        <v>14</v>
      </c>
      <c r="D539">
        <v>0.3</v>
      </c>
      <c r="E539">
        <v>1</v>
      </c>
      <c r="F539">
        <v>0</v>
      </c>
    </row>
    <row r="540" spans="2:6" x14ac:dyDescent="0.25">
      <c r="B540" t="s">
        <v>692</v>
      </c>
      <c r="C540">
        <v>1415063</v>
      </c>
    </row>
    <row r="541" spans="2:6" x14ac:dyDescent="0.25">
      <c r="B541" t="s">
        <v>619</v>
      </c>
      <c r="C541" t="s">
        <v>2</v>
      </c>
      <c r="D541">
        <v>1</v>
      </c>
      <c r="E541">
        <v>0.2</v>
      </c>
      <c r="F541">
        <v>0</v>
      </c>
    </row>
    <row r="542" spans="2:6" x14ac:dyDescent="0.25">
      <c r="B542" t="s">
        <v>622</v>
      </c>
      <c r="C542" t="s">
        <v>2</v>
      </c>
      <c r="D542">
        <v>1</v>
      </c>
      <c r="E542">
        <v>0.2</v>
      </c>
      <c r="F542">
        <v>0</v>
      </c>
    </row>
    <row r="543" spans="2:6" x14ac:dyDescent="0.25">
      <c r="B543" t="s">
        <v>619</v>
      </c>
      <c r="C543" t="s">
        <v>2</v>
      </c>
      <c r="D543">
        <v>1</v>
      </c>
      <c r="E543">
        <v>0.2</v>
      </c>
      <c r="F543">
        <v>0</v>
      </c>
    </row>
    <row r="544" spans="2:6" x14ac:dyDescent="0.25">
      <c r="B544" t="s">
        <v>619</v>
      </c>
      <c r="C544" t="s">
        <v>2</v>
      </c>
      <c r="D544">
        <v>1</v>
      </c>
      <c r="E544">
        <v>0.2</v>
      </c>
      <c r="F544">
        <v>0</v>
      </c>
    </row>
    <row r="545" spans="2:6" x14ac:dyDescent="0.25">
      <c r="B545" t="s">
        <v>622</v>
      </c>
      <c r="C545" t="s">
        <v>2</v>
      </c>
      <c r="D545">
        <v>1</v>
      </c>
      <c r="E545">
        <v>0.2</v>
      </c>
      <c r="F545">
        <v>0</v>
      </c>
    </row>
    <row r="546" spans="2:6" x14ac:dyDescent="0.25">
      <c r="B546" t="s">
        <v>619</v>
      </c>
      <c r="C546" t="s">
        <v>2</v>
      </c>
      <c r="D546">
        <v>1</v>
      </c>
      <c r="E546">
        <v>0.2</v>
      </c>
      <c r="F546">
        <v>0</v>
      </c>
    </row>
    <row r="547" spans="2:6" x14ac:dyDescent="0.25">
      <c r="B547" t="s">
        <v>622</v>
      </c>
      <c r="C547" t="s">
        <v>2</v>
      </c>
      <c r="D547">
        <v>1</v>
      </c>
      <c r="E547">
        <v>0.2</v>
      </c>
      <c r="F547">
        <v>0</v>
      </c>
    </row>
    <row r="548" spans="2:6" x14ac:dyDescent="0.25">
      <c r="B548" t="s">
        <v>619</v>
      </c>
      <c r="C548" t="s">
        <v>2</v>
      </c>
      <c r="D548">
        <v>1</v>
      </c>
      <c r="E548">
        <v>0.2</v>
      </c>
      <c r="F548">
        <v>0</v>
      </c>
    </row>
    <row r="549" spans="2:6" x14ac:dyDescent="0.25">
      <c r="B549" t="s">
        <v>622</v>
      </c>
      <c r="C549" t="s">
        <v>2</v>
      </c>
      <c r="D549">
        <v>1</v>
      </c>
      <c r="E549">
        <v>0.2</v>
      </c>
      <c r="F549">
        <v>0</v>
      </c>
    </row>
    <row r="550" spans="2:6" x14ac:dyDescent="0.25">
      <c r="B550" t="s">
        <v>619</v>
      </c>
      <c r="C550" t="s">
        <v>2</v>
      </c>
      <c r="D550">
        <v>1</v>
      </c>
      <c r="E550">
        <v>0.2</v>
      </c>
      <c r="F550">
        <v>0</v>
      </c>
    </row>
    <row r="551" spans="2:6" x14ac:dyDescent="0.25">
      <c r="B551" t="s">
        <v>622</v>
      </c>
      <c r="C551" t="s">
        <v>2</v>
      </c>
      <c r="D551">
        <v>1</v>
      </c>
      <c r="E551">
        <v>0.2</v>
      </c>
      <c r="F551">
        <v>0</v>
      </c>
    </row>
    <row r="552" spans="2:6" x14ac:dyDescent="0.25">
      <c r="B552" t="s">
        <v>622</v>
      </c>
      <c r="C552" t="s">
        <v>2</v>
      </c>
      <c r="D552">
        <v>1</v>
      </c>
      <c r="E552">
        <v>0.2</v>
      </c>
      <c r="F552">
        <v>0</v>
      </c>
    </row>
    <row r="553" spans="2:6" x14ac:dyDescent="0.25">
      <c r="B553" t="s">
        <v>619</v>
      </c>
      <c r="C553" t="s">
        <v>2</v>
      </c>
      <c r="D553">
        <v>1</v>
      </c>
      <c r="E553">
        <v>0.2</v>
      </c>
      <c r="F553">
        <v>0</v>
      </c>
    </row>
    <row r="554" spans="2:6" x14ac:dyDescent="0.25">
      <c r="B554" t="s">
        <v>622</v>
      </c>
      <c r="C554" t="s">
        <v>2</v>
      </c>
      <c r="D554">
        <v>1</v>
      </c>
      <c r="E554">
        <v>0.2</v>
      </c>
      <c r="F554">
        <v>0</v>
      </c>
    </row>
    <row r="555" spans="2:6" x14ac:dyDescent="0.25">
      <c r="B555" t="s">
        <v>622</v>
      </c>
      <c r="C555" t="s">
        <v>2</v>
      </c>
      <c r="D555">
        <v>1</v>
      </c>
      <c r="E555">
        <v>0.2</v>
      </c>
      <c r="F555">
        <v>0</v>
      </c>
    </row>
    <row r="556" spans="2:6" x14ac:dyDescent="0.25">
      <c r="B556" t="s">
        <v>622</v>
      </c>
      <c r="C556" t="s">
        <v>2</v>
      </c>
      <c r="D556">
        <v>1</v>
      </c>
      <c r="E556">
        <v>0.2</v>
      </c>
      <c r="F556">
        <v>0</v>
      </c>
    </row>
    <row r="557" spans="2:6" x14ac:dyDescent="0.25">
      <c r="B557" t="s">
        <v>619</v>
      </c>
      <c r="C557" t="s">
        <v>5</v>
      </c>
      <c r="D557">
        <v>0.2</v>
      </c>
      <c r="E557">
        <v>-1</v>
      </c>
      <c r="F557">
        <v>0</v>
      </c>
    </row>
    <row r="558" spans="2:6" x14ac:dyDescent="0.25">
      <c r="B558" t="s">
        <v>619</v>
      </c>
      <c r="C558" t="s">
        <v>5</v>
      </c>
      <c r="D558">
        <v>0.2</v>
      </c>
      <c r="E558">
        <v>-1</v>
      </c>
      <c r="F558">
        <v>0</v>
      </c>
    </row>
    <row r="559" spans="2:6" x14ac:dyDescent="0.25">
      <c r="B559" t="s">
        <v>619</v>
      </c>
      <c r="C559" t="s">
        <v>5</v>
      </c>
      <c r="D559">
        <v>0.2</v>
      </c>
      <c r="E559">
        <v>-1</v>
      </c>
      <c r="F559">
        <v>0</v>
      </c>
    </row>
    <row r="560" spans="2:6" x14ac:dyDescent="0.25">
      <c r="B560" t="s">
        <v>619</v>
      </c>
      <c r="C560" t="s">
        <v>5</v>
      </c>
      <c r="D560">
        <v>0.2</v>
      </c>
      <c r="E560">
        <v>-1</v>
      </c>
      <c r="F560">
        <v>0</v>
      </c>
    </row>
    <row r="561" spans="2:6" x14ac:dyDescent="0.25">
      <c r="B561" t="s">
        <v>619</v>
      </c>
      <c r="C561" t="s">
        <v>5</v>
      </c>
      <c r="D561">
        <v>0.2</v>
      </c>
      <c r="E561">
        <v>-1</v>
      </c>
      <c r="F561">
        <v>0</v>
      </c>
    </row>
    <row r="562" spans="2:6" x14ac:dyDescent="0.25">
      <c r="B562" t="s">
        <v>619</v>
      </c>
      <c r="C562" t="s">
        <v>5</v>
      </c>
      <c r="D562">
        <v>0.2</v>
      </c>
      <c r="E562">
        <v>-1</v>
      </c>
      <c r="F562">
        <v>0</v>
      </c>
    </row>
    <row r="563" spans="2:6" x14ac:dyDescent="0.25">
      <c r="B563" t="s">
        <v>619</v>
      </c>
      <c r="C563" t="s">
        <v>5</v>
      </c>
      <c r="D563">
        <v>0.2</v>
      </c>
      <c r="E563">
        <v>-1</v>
      </c>
      <c r="F563">
        <v>0</v>
      </c>
    </row>
    <row r="564" spans="2:6" x14ac:dyDescent="0.25">
      <c r="B564" t="s">
        <v>621</v>
      </c>
      <c r="C564" t="s">
        <v>5</v>
      </c>
      <c r="D564">
        <v>0.2</v>
      </c>
      <c r="E564">
        <v>-1</v>
      </c>
      <c r="F564">
        <v>0</v>
      </c>
    </row>
    <row r="565" spans="2:6" x14ac:dyDescent="0.25">
      <c r="B565" t="s">
        <v>693</v>
      </c>
      <c r="C565" t="s">
        <v>6</v>
      </c>
      <c r="D565">
        <v>-0.2</v>
      </c>
      <c r="E565">
        <v>1</v>
      </c>
      <c r="F565">
        <v>0</v>
      </c>
    </row>
    <row r="566" spans="2:6" x14ac:dyDescent="0.25">
      <c r="B566" t="s">
        <v>27</v>
      </c>
      <c r="C566" t="s">
        <v>1</v>
      </c>
      <c r="D566">
        <v>-1</v>
      </c>
      <c r="E566">
        <v>-0.2</v>
      </c>
      <c r="F566">
        <v>0</v>
      </c>
    </row>
    <row r="567" spans="2:6" x14ac:dyDescent="0.25">
      <c r="B567" t="s">
        <v>27</v>
      </c>
      <c r="C567" t="s">
        <v>1</v>
      </c>
      <c r="D567">
        <v>-1</v>
      </c>
      <c r="E567">
        <v>-0.2</v>
      </c>
      <c r="F567">
        <v>0</v>
      </c>
    </row>
    <row r="568" spans="2:6" x14ac:dyDescent="0.25">
      <c r="B568" t="s">
        <v>694</v>
      </c>
      <c r="C568">
        <v>1438078</v>
      </c>
    </row>
    <row r="569" spans="2:6" x14ac:dyDescent="0.25">
      <c r="B569" t="s">
        <v>621</v>
      </c>
      <c r="C569" t="s">
        <v>2</v>
      </c>
      <c r="D569">
        <v>1</v>
      </c>
      <c r="E569">
        <v>0.2</v>
      </c>
      <c r="F569">
        <v>0</v>
      </c>
    </row>
    <row r="570" spans="2:6" x14ac:dyDescent="0.25">
      <c r="B570" t="s">
        <v>621</v>
      </c>
      <c r="C570" t="s">
        <v>2</v>
      </c>
      <c r="D570">
        <v>1</v>
      </c>
      <c r="E570">
        <v>0.2</v>
      </c>
      <c r="F570">
        <v>0</v>
      </c>
    </row>
    <row r="571" spans="2:6" x14ac:dyDescent="0.25">
      <c r="B571" t="s">
        <v>621</v>
      </c>
      <c r="C571" t="s">
        <v>2</v>
      </c>
      <c r="D571">
        <v>1</v>
      </c>
      <c r="E571">
        <v>0.2</v>
      </c>
      <c r="F571">
        <v>0</v>
      </c>
    </row>
    <row r="572" spans="2:6" x14ac:dyDescent="0.25">
      <c r="B572" t="s">
        <v>621</v>
      </c>
      <c r="C572" t="s">
        <v>2</v>
      </c>
      <c r="D572">
        <v>1</v>
      </c>
      <c r="E572">
        <v>0.2</v>
      </c>
      <c r="F572">
        <v>0</v>
      </c>
    </row>
    <row r="573" spans="2:6" x14ac:dyDescent="0.25">
      <c r="B573" t="s">
        <v>695</v>
      </c>
      <c r="C573">
        <v>1438086</v>
      </c>
    </row>
    <row r="574" spans="2:6" x14ac:dyDescent="0.25">
      <c r="B574" t="s">
        <v>696</v>
      </c>
      <c r="C574" t="s">
        <v>2</v>
      </c>
      <c r="D574">
        <v>1</v>
      </c>
      <c r="E574">
        <v>0.2</v>
      </c>
      <c r="F574">
        <v>0</v>
      </c>
    </row>
    <row r="575" spans="2:6" x14ac:dyDescent="0.25">
      <c r="B575" t="s">
        <v>697</v>
      </c>
      <c r="C575">
        <v>1499517</v>
      </c>
    </row>
    <row r="576" spans="2:6" x14ac:dyDescent="0.25">
      <c r="B576" t="s">
        <v>668</v>
      </c>
      <c r="C576" t="s">
        <v>3</v>
      </c>
      <c r="D576">
        <v>0.5</v>
      </c>
      <c r="E576">
        <v>-0.9</v>
      </c>
      <c r="F576">
        <v>0</v>
      </c>
    </row>
    <row r="577" spans="2:7" x14ac:dyDescent="0.25">
      <c r="B577" t="s">
        <v>668</v>
      </c>
      <c r="C577" t="s">
        <v>3</v>
      </c>
      <c r="D577">
        <v>0.5</v>
      </c>
      <c r="E577">
        <v>-0.9</v>
      </c>
      <c r="F577">
        <v>0</v>
      </c>
    </row>
    <row r="578" spans="2:7" x14ac:dyDescent="0.25">
      <c r="B578" t="s">
        <v>668</v>
      </c>
      <c r="C578" t="s">
        <v>3</v>
      </c>
      <c r="D578">
        <v>0.5</v>
      </c>
      <c r="E578">
        <v>-0.9</v>
      </c>
      <c r="F578">
        <v>0</v>
      </c>
    </row>
    <row r="579" spans="2:7" x14ac:dyDescent="0.25">
      <c r="B579" t="s">
        <v>698</v>
      </c>
      <c r="C579">
        <v>1500933</v>
      </c>
    </row>
    <row r="580" spans="2:7" x14ac:dyDescent="0.25">
      <c r="B580" t="s">
        <v>619</v>
      </c>
      <c r="C580" t="s">
        <v>1</v>
      </c>
      <c r="D580">
        <v>-1</v>
      </c>
      <c r="E580">
        <v>-0.2</v>
      </c>
      <c r="F580">
        <v>0</v>
      </c>
    </row>
    <row r="581" spans="2:7" x14ac:dyDescent="0.25">
      <c r="B581" t="s">
        <v>619</v>
      </c>
      <c r="C581" t="s">
        <v>1</v>
      </c>
      <c r="D581">
        <v>-1</v>
      </c>
      <c r="E581">
        <v>-0.2</v>
      </c>
      <c r="F581">
        <v>0</v>
      </c>
    </row>
    <row r="582" spans="2:7" x14ac:dyDescent="0.25">
      <c r="B582" t="s">
        <v>619</v>
      </c>
      <c r="C582" t="s">
        <v>1</v>
      </c>
      <c r="D582">
        <v>-1</v>
      </c>
      <c r="E582">
        <v>-0.2</v>
      </c>
      <c r="F582">
        <v>0</v>
      </c>
    </row>
    <row r="583" spans="2:7" x14ac:dyDescent="0.25">
      <c r="B583" s="26" t="s">
        <v>622</v>
      </c>
      <c r="C583" t="s">
        <v>1</v>
      </c>
      <c r="D583">
        <v>-1</v>
      </c>
      <c r="E583">
        <v>-0.2</v>
      </c>
      <c r="F583">
        <v>0</v>
      </c>
      <c r="G583" t="s">
        <v>774</v>
      </c>
    </row>
    <row r="584" spans="2:7" x14ac:dyDescent="0.25">
      <c r="B584" s="26" t="s">
        <v>622</v>
      </c>
      <c r="C584" t="s">
        <v>1</v>
      </c>
      <c r="D584">
        <v>-1</v>
      </c>
      <c r="E584">
        <v>-0.2</v>
      </c>
      <c r="F584">
        <v>0</v>
      </c>
      <c r="G584" t="s">
        <v>774</v>
      </c>
    </row>
    <row r="585" spans="2:7" x14ac:dyDescent="0.25">
      <c r="B585" s="26" t="s">
        <v>622</v>
      </c>
      <c r="C585" t="s">
        <v>1</v>
      </c>
      <c r="D585">
        <v>-1</v>
      </c>
      <c r="E585">
        <v>-0.2</v>
      </c>
      <c r="F585">
        <v>0</v>
      </c>
      <c r="G585" t="s">
        <v>774</v>
      </c>
    </row>
    <row r="586" spans="2:7" x14ac:dyDescent="0.25">
      <c r="B586" t="s">
        <v>699</v>
      </c>
      <c r="C586">
        <v>1500937</v>
      </c>
    </row>
    <row r="587" spans="2:7" x14ac:dyDescent="0.25">
      <c r="B587" t="s">
        <v>619</v>
      </c>
      <c r="C587" t="s">
        <v>1</v>
      </c>
      <c r="D587">
        <v>-1</v>
      </c>
      <c r="E587">
        <v>-0.2</v>
      </c>
      <c r="F587">
        <v>0</v>
      </c>
    </row>
    <row r="588" spans="2:7" x14ac:dyDescent="0.25">
      <c r="B588" t="s">
        <v>622</v>
      </c>
      <c r="C588" t="s">
        <v>1</v>
      </c>
      <c r="D588">
        <v>-1</v>
      </c>
      <c r="E588">
        <v>-0.2</v>
      </c>
      <c r="F588">
        <v>0</v>
      </c>
    </row>
    <row r="589" spans="2:7" x14ac:dyDescent="0.25">
      <c r="B589" t="s">
        <v>622</v>
      </c>
      <c r="C589" t="s">
        <v>1</v>
      </c>
      <c r="D589">
        <v>-1</v>
      </c>
      <c r="E589">
        <v>-0.2</v>
      </c>
      <c r="F589">
        <v>0</v>
      </c>
    </row>
    <row r="590" spans="2:7" x14ac:dyDescent="0.25">
      <c r="B590" t="s">
        <v>619</v>
      </c>
      <c r="C590" t="s">
        <v>1</v>
      </c>
      <c r="D590">
        <v>-1</v>
      </c>
      <c r="E590">
        <v>-0.2</v>
      </c>
      <c r="F590">
        <v>0</v>
      </c>
    </row>
    <row r="591" spans="2:7" x14ac:dyDescent="0.25">
      <c r="B591" t="s">
        <v>622</v>
      </c>
      <c r="C591" t="s">
        <v>1</v>
      </c>
      <c r="D591">
        <v>-1</v>
      </c>
      <c r="E591">
        <v>-0.2</v>
      </c>
      <c r="F591">
        <v>0</v>
      </c>
    </row>
    <row r="592" spans="2:7" x14ac:dyDescent="0.25">
      <c r="B592" s="14" t="s">
        <v>773</v>
      </c>
      <c r="C592" t="s">
        <v>1</v>
      </c>
      <c r="D592">
        <v>-1</v>
      </c>
      <c r="E592">
        <v>-0.2</v>
      </c>
      <c r="F592">
        <v>0</v>
      </c>
    </row>
    <row r="593" spans="2:7" x14ac:dyDescent="0.25">
      <c r="B593" s="26" t="s">
        <v>622</v>
      </c>
      <c r="C593" t="s">
        <v>1</v>
      </c>
      <c r="D593">
        <v>-1</v>
      </c>
      <c r="E593">
        <v>-0.2</v>
      </c>
      <c r="F593">
        <v>0</v>
      </c>
      <c r="G593" t="s">
        <v>774</v>
      </c>
    </row>
    <row r="594" spans="2:7" x14ac:dyDescent="0.25">
      <c r="B594" t="s">
        <v>700</v>
      </c>
      <c r="C594">
        <v>1516135</v>
      </c>
    </row>
    <row r="595" spans="2:7" x14ac:dyDescent="0.25">
      <c r="B595" t="s">
        <v>668</v>
      </c>
      <c r="C595" t="s">
        <v>5</v>
      </c>
      <c r="D595">
        <v>0.2</v>
      </c>
      <c r="E595">
        <v>-1</v>
      </c>
      <c r="F595">
        <v>0</v>
      </c>
    </row>
    <row r="596" spans="2:7" x14ac:dyDescent="0.25">
      <c r="B596" t="s">
        <v>668</v>
      </c>
      <c r="C596" t="s">
        <v>5</v>
      </c>
      <c r="D596">
        <v>0.2</v>
      </c>
      <c r="E596">
        <v>-1</v>
      </c>
      <c r="F596">
        <v>0</v>
      </c>
    </row>
    <row r="597" spans="2:7" x14ac:dyDescent="0.25">
      <c r="B597" t="s">
        <v>668</v>
      </c>
      <c r="C597" t="s">
        <v>5</v>
      </c>
      <c r="D597">
        <v>0.2</v>
      </c>
      <c r="E597">
        <v>-1</v>
      </c>
      <c r="F597">
        <v>0</v>
      </c>
    </row>
    <row r="598" spans="2:7" x14ac:dyDescent="0.25">
      <c r="B598" t="s">
        <v>668</v>
      </c>
      <c r="C598" t="s">
        <v>5</v>
      </c>
      <c r="D598">
        <v>0.2</v>
      </c>
      <c r="E598">
        <v>-1</v>
      </c>
      <c r="F598">
        <v>0</v>
      </c>
    </row>
    <row r="599" spans="2:7" x14ac:dyDescent="0.25">
      <c r="B599" t="s">
        <v>668</v>
      </c>
      <c r="C599" t="s">
        <v>5</v>
      </c>
      <c r="D599">
        <v>0.2</v>
      </c>
      <c r="E599">
        <v>-1</v>
      </c>
      <c r="F599">
        <v>0</v>
      </c>
    </row>
    <row r="600" spans="2:7" x14ac:dyDescent="0.25">
      <c r="B600" t="s">
        <v>696</v>
      </c>
      <c r="C600" t="s">
        <v>5</v>
      </c>
      <c r="D600">
        <v>0.2</v>
      </c>
      <c r="E600">
        <v>-1</v>
      </c>
      <c r="F600">
        <v>0</v>
      </c>
    </row>
    <row r="601" spans="2:7" x14ac:dyDescent="0.25">
      <c r="B601" t="s">
        <v>668</v>
      </c>
      <c r="C601" t="s">
        <v>5</v>
      </c>
      <c r="D601">
        <v>0.2</v>
      </c>
      <c r="E601">
        <v>-1</v>
      </c>
      <c r="F601">
        <v>0</v>
      </c>
    </row>
    <row r="602" spans="2:7" x14ac:dyDescent="0.25">
      <c r="B602" t="s">
        <v>668</v>
      </c>
      <c r="C602" t="s">
        <v>5</v>
      </c>
      <c r="D602">
        <v>0.2</v>
      </c>
      <c r="E602">
        <v>-1</v>
      </c>
      <c r="F602">
        <v>0</v>
      </c>
    </row>
    <row r="603" spans="2:7" x14ac:dyDescent="0.25">
      <c r="B603" t="s">
        <v>668</v>
      </c>
      <c r="C603" t="s">
        <v>5</v>
      </c>
      <c r="D603">
        <v>0.2</v>
      </c>
      <c r="E603">
        <v>-1</v>
      </c>
      <c r="F603">
        <v>0</v>
      </c>
    </row>
    <row r="604" spans="2:7" x14ac:dyDescent="0.25">
      <c r="B604" t="s">
        <v>668</v>
      </c>
      <c r="C604" t="s">
        <v>5</v>
      </c>
      <c r="D604">
        <v>0.2</v>
      </c>
      <c r="E604">
        <v>-1</v>
      </c>
      <c r="F604">
        <v>0</v>
      </c>
    </row>
    <row r="605" spans="2:7" x14ac:dyDescent="0.25">
      <c r="B605" t="s">
        <v>696</v>
      </c>
      <c r="C605" t="s">
        <v>5</v>
      </c>
      <c r="D605">
        <v>0.2</v>
      </c>
      <c r="E605">
        <v>-1</v>
      </c>
      <c r="F605">
        <v>0</v>
      </c>
    </row>
    <row r="606" spans="2:7" x14ac:dyDescent="0.25">
      <c r="B606" t="s">
        <v>668</v>
      </c>
      <c r="C606" t="s">
        <v>5</v>
      </c>
      <c r="D606">
        <v>0.2</v>
      </c>
      <c r="E606">
        <v>-1</v>
      </c>
      <c r="F606">
        <v>0</v>
      </c>
    </row>
    <row r="607" spans="2:7" x14ac:dyDescent="0.25">
      <c r="B607" t="s">
        <v>668</v>
      </c>
      <c r="C607" t="s">
        <v>5</v>
      </c>
      <c r="D607">
        <v>0.2</v>
      </c>
      <c r="E607">
        <v>-1</v>
      </c>
      <c r="F607">
        <v>0</v>
      </c>
    </row>
    <row r="608" spans="2:7" x14ac:dyDescent="0.25">
      <c r="B608" t="s">
        <v>668</v>
      </c>
      <c r="C608" t="s">
        <v>5</v>
      </c>
      <c r="D608">
        <v>0.2</v>
      </c>
      <c r="E608">
        <v>-1</v>
      </c>
      <c r="F608">
        <v>0</v>
      </c>
    </row>
    <row r="609" spans="2:6" x14ac:dyDescent="0.25">
      <c r="B609" t="s">
        <v>696</v>
      </c>
      <c r="C609" t="s">
        <v>5</v>
      </c>
      <c r="D609">
        <v>0.2</v>
      </c>
      <c r="E609">
        <v>-1</v>
      </c>
      <c r="F609">
        <v>0</v>
      </c>
    </row>
    <row r="610" spans="2:6" x14ac:dyDescent="0.25">
      <c r="B610" t="s">
        <v>668</v>
      </c>
      <c r="C610" t="s">
        <v>5</v>
      </c>
      <c r="D610">
        <v>0.2</v>
      </c>
      <c r="E610">
        <v>-1</v>
      </c>
      <c r="F610">
        <v>0</v>
      </c>
    </row>
    <row r="611" spans="2:6" x14ac:dyDescent="0.25">
      <c r="B611" t="s">
        <v>668</v>
      </c>
      <c r="C611" t="s">
        <v>5</v>
      </c>
      <c r="D611">
        <v>0.2</v>
      </c>
      <c r="E611">
        <v>-1</v>
      </c>
      <c r="F611">
        <v>0</v>
      </c>
    </row>
    <row r="612" spans="2:6" x14ac:dyDescent="0.25">
      <c r="B612" t="s">
        <v>696</v>
      </c>
      <c r="C612" t="s">
        <v>5</v>
      </c>
      <c r="D612">
        <v>0.2</v>
      </c>
      <c r="E612">
        <v>-1</v>
      </c>
      <c r="F612">
        <v>0</v>
      </c>
    </row>
    <row r="613" spans="2:6" x14ac:dyDescent="0.25">
      <c r="B613" t="s">
        <v>668</v>
      </c>
      <c r="C613" t="s">
        <v>5</v>
      </c>
      <c r="D613">
        <v>0.2</v>
      </c>
      <c r="E613">
        <v>-1</v>
      </c>
      <c r="F613">
        <v>0</v>
      </c>
    </row>
    <row r="614" spans="2:6" x14ac:dyDescent="0.25">
      <c r="B614" t="s">
        <v>696</v>
      </c>
      <c r="C614" t="s">
        <v>5</v>
      </c>
      <c r="D614">
        <v>0.2</v>
      </c>
      <c r="E614">
        <v>-1</v>
      </c>
      <c r="F614">
        <v>0</v>
      </c>
    </row>
    <row r="615" spans="2:6" x14ac:dyDescent="0.25">
      <c r="B615" t="s">
        <v>668</v>
      </c>
      <c r="C615" t="s">
        <v>5</v>
      </c>
      <c r="D615">
        <v>0.2</v>
      </c>
      <c r="E615">
        <v>-1</v>
      </c>
      <c r="F615">
        <v>0</v>
      </c>
    </row>
    <row r="616" spans="2:6" x14ac:dyDescent="0.25">
      <c r="B616" t="s">
        <v>696</v>
      </c>
      <c r="C616" t="s">
        <v>5</v>
      </c>
      <c r="D616">
        <v>0.2</v>
      </c>
      <c r="E616">
        <v>-1</v>
      </c>
      <c r="F616">
        <v>0</v>
      </c>
    </row>
    <row r="617" spans="2:6" x14ac:dyDescent="0.25">
      <c r="B617" t="s">
        <v>696</v>
      </c>
      <c r="C617" t="s">
        <v>5</v>
      </c>
      <c r="D617">
        <v>0.2</v>
      </c>
      <c r="E617">
        <v>-1</v>
      </c>
      <c r="F617">
        <v>0</v>
      </c>
    </row>
    <row r="618" spans="2:6" x14ac:dyDescent="0.25">
      <c r="B618" t="s">
        <v>668</v>
      </c>
      <c r="C618" t="s">
        <v>5</v>
      </c>
      <c r="D618">
        <v>0.2</v>
      </c>
      <c r="E618">
        <v>-1</v>
      </c>
      <c r="F618">
        <v>0</v>
      </c>
    </row>
    <row r="619" spans="2:6" x14ac:dyDescent="0.25">
      <c r="B619" t="s">
        <v>696</v>
      </c>
      <c r="C619" t="s">
        <v>5</v>
      </c>
      <c r="D619">
        <v>0.2</v>
      </c>
      <c r="E619">
        <v>-1</v>
      </c>
      <c r="F619">
        <v>0</v>
      </c>
    </row>
    <row r="620" spans="2:6" x14ac:dyDescent="0.25">
      <c r="B620" t="s">
        <v>696</v>
      </c>
      <c r="C620" t="s">
        <v>5</v>
      </c>
      <c r="D620">
        <v>0.2</v>
      </c>
      <c r="E620">
        <v>-1</v>
      </c>
      <c r="F620">
        <v>0</v>
      </c>
    </row>
    <row r="621" spans="2:6" x14ac:dyDescent="0.25">
      <c r="B621" t="s">
        <v>696</v>
      </c>
      <c r="C621" t="s">
        <v>5</v>
      </c>
      <c r="D621">
        <v>0.2</v>
      </c>
      <c r="E621">
        <v>-1</v>
      </c>
      <c r="F621">
        <v>0</v>
      </c>
    </row>
    <row r="622" spans="2:6" x14ac:dyDescent="0.25">
      <c r="B622" t="s">
        <v>668</v>
      </c>
      <c r="C622" t="s">
        <v>5</v>
      </c>
      <c r="D622">
        <v>0.2</v>
      </c>
      <c r="E622">
        <v>-1</v>
      </c>
      <c r="F622">
        <v>0</v>
      </c>
    </row>
    <row r="623" spans="2:6" x14ac:dyDescent="0.25">
      <c r="B623" t="s">
        <v>696</v>
      </c>
      <c r="C623" t="s">
        <v>5</v>
      </c>
      <c r="D623">
        <v>0.2</v>
      </c>
      <c r="E623">
        <v>-1</v>
      </c>
      <c r="F623">
        <v>0</v>
      </c>
    </row>
    <row r="624" spans="2:6" x14ac:dyDescent="0.25">
      <c r="B624" t="s">
        <v>696</v>
      </c>
      <c r="C624" t="s">
        <v>5</v>
      </c>
      <c r="D624">
        <v>0.2</v>
      </c>
      <c r="E624">
        <v>-1</v>
      </c>
      <c r="F624">
        <v>0</v>
      </c>
    </row>
    <row r="625" spans="2:6" x14ac:dyDescent="0.25">
      <c r="B625" t="s">
        <v>696</v>
      </c>
      <c r="C625" t="s">
        <v>5</v>
      </c>
      <c r="D625">
        <v>0.2</v>
      </c>
      <c r="E625">
        <v>-1</v>
      </c>
      <c r="F625">
        <v>0</v>
      </c>
    </row>
    <row r="626" spans="2:6" x14ac:dyDescent="0.25">
      <c r="B626" t="s">
        <v>696</v>
      </c>
      <c r="C626" t="s">
        <v>5</v>
      </c>
      <c r="D626">
        <v>0.2</v>
      </c>
      <c r="E626">
        <v>-1</v>
      </c>
      <c r="F626">
        <v>0</v>
      </c>
    </row>
    <row r="627" spans="2:6" x14ac:dyDescent="0.25">
      <c r="B627" t="s">
        <v>696</v>
      </c>
      <c r="C627" t="s">
        <v>5</v>
      </c>
      <c r="D627">
        <v>0.2</v>
      </c>
      <c r="E627">
        <v>-1</v>
      </c>
      <c r="F627">
        <v>0</v>
      </c>
    </row>
    <row r="628" spans="2:6" x14ac:dyDescent="0.25">
      <c r="B628" t="s">
        <v>668</v>
      </c>
      <c r="C628" t="s">
        <v>5</v>
      </c>
      <c r="D628">
        <v>0.2</v>
      </c>
      <c r="E628">
        <v>-1</v>
      </c>
      <c r="F628">
        <v>0</v>
      </c>
    </row>
    <row r="629" spans="2:6" x14ac:dyDescent="0.25">
      <c r="B629" t="s">
        <v>696</v>
      </c>
      <c r="C629" t="s">
        <v>5</v>
      </c>
      <c r="D629">
        <v>0.2</v>
      </c>
      <c r="E629">
        <v>-1</v>
      </c>
      <c r="F629">
        <v>0</v>
      </c>
    </row>
    <row r="630" spans="2:6" x14ac:dyDescent="0.25">
      <c r="B630" t="s">
        <v>696</v>
      </c>
      <c r="C630" t="s">
        <v>5</v>
      </c>
      <c r="D630">
        <v>0.2</v>
      </c>
      <c r="E630">
        <v>-1</v>
      </c>
      <c r="F630">
        <v>0</v>
      </c>
    </row>
    <row r="631" spans="2:6" x14ac:dyDescent="0.25">
      <c r="B631" t="s">
        <v>696</v>
      </c>
      <c r="C631" t="s">
        <v>5</v>
      </c>
      <c r="D631">
        <v>0.2</v>
      </c>
      <c r="E631">
        <v>-1</v>
      </c>
      <c r="F631">
        <v>0</v>
      </c>
    </row>
    <row r="632" spans="2:6" x14ac:dyDescent="0.25">
      <c r="B632" t="s">
        <v>696</v>
      </c>
      <c r="C632" t="s">
        <v>5</v>
      </c>
      <c r="D632">
        <v>0.2</v>
      </c>
      <c r="E632">
        <v>-1</v>
      </c>
      <c r="F632">
        <v>0</v>
      </c>
    </row>
    <row r="633" spans="2:6" x14ac:dyDescent="0.25">
      <c r="B633" t="s">
        <v>696</v>
      </c>
      <c r="C633" t="s">
        <v>5</v>
      </c>
      <c r="D633">
        <v>0.2</v>
      </c>
      <c r="E633">
        <v>-1</v>
      </c>
      <c r="F633">
        <v>0</v>
      </c>
    </row>
    <row r="634" spans="2:6" x14ac:dyDescent="0.25">
      <c r="B634" t="s">
        <v>696</v>
      </c>
      <c r="C634" t="s">
        <v>5</v>
      </c>
      <c r="D634">
        <v>0.2</v>
      </c>
      <c r="E634">
        <v>-1</v>
      </c>
      <c r="F634">
        <v>0</v>
      </c>
    </row>
    <row r="635" spans="2:6" x14ac:dyDescent="0.25">
      <c r="B635" t="s">
        <v>696</v>
      </c>
      <c r="C635" t="s">
        <v>5</v>
      </c>
      <c r="D635">
        <v>0.2</v>
      </c>
      <c r="E635">
        <v>-1</v>
      </c>
      <c r="F635">
        <v>0</v>
      </c>
    </row>
    <row r="636" spans="2:6" x14ac:dyDescent="0.25">
      <c r="B636" t="s">
        <v>668</v>
      </c>
      <c r="C636" t="s">
        <v>5</v>
      </c>
      <c r="D636">
        <v>0.2</v>
      </c>
      <c r="E636">
        <v>-1</v>
      </c>
      <c r="F636">
        <v>0</v>
      </c>
    </row>
    <row r="637" spans="2:6" x14ac:dyDescent="0.25">
      <c r="B637" t="s">
        <v>668</v>
      </c>
      <c r="C637" t="s">
        <v>5</v>
      </c>
      <c r="D637">
        <v>0.2</v>
      </c>
      <c r="E637">
        <v>-1</v>
      </c>
      <c r="F637">
        <v>0</v>
      </c>
    </row>
    <row r="638" spans="2:6" x14ac:dyDescent="0.25">
      <c r="B638" t="s">
        <v>668</v>
      </c>
      <c r="C638" t="s">
        <v>5</v>
      </c>
      <c r="D638">
        <v>0.2</v>
      </c>
      <c r="E638">
        <v>-1</v>
      </c>
      <c r="F638">
        <v>0</v>
      </c>
    </row>
    <row r="639" spans="2:6" x14ac:dyDescent="0.25">
      <c r="B639" t="s">
        <v>696</v>
      </c>
      <c r="C639" t="s">
        <v>2</v>
      </c>
      <c r="D639">
        <v>1</v>
      </c>
      <c r="E639">
        <v>0.2</v>
      </c>
      <c r="F639">
        <v>0</v>
      </c>
    </row>
    <row r="640" spans="2:6" x14ac:dyDescent="0.25">
      <c r="B640" t="s">
        <v>696</v>
      </c>
      <c r="C640" t="s">
        <v>2</v>
      </c>
      <c r="D640">
        <v>1</v>
      </c>
      <c r="E640">
        <v>0.2</v>
      </c>
      <c r="F640">
        <v>0</v>
      </c>
    </row>
    <row r="641" spans="2:6" x14ac:dyDescent="0.25">
      <c r="B641" t="s">
        <v>696</v>
      </c>
      <c r="C641" t="s">
        <v>2</v>
      </c>
      <c r="D641">
        <v>1</v>
      </c>
      <c r="E641">
        <v>0.2</v>
      </c>
      <c r="F641">
        <v>0</v>
      </c>
    </row>
    <row r="642" spans="2:6" x14ac:dyDescent="0.25">
      <c r="B642" t="s">
        <v>668</v>
      </c>
      <c r="C642" t="s">
        <v>2</v>
      </c>
      <c r="D642">
        <v>1</v>
      </c>
      <c r="E642">
        <v>0.2</v>
      </c>
      <c r="F642">
        <v>0</v>
      </c>
    </row>
    <row r="643" spans="2:6" x14ac:dyDescent="0.25">
      <c r="B643" t="s">
        <v>668</v>
      </c>
      <c r="C643" t="s">
        <v>2</v>
      </c>
      <c r="D643">
        <v>1</v>
      </c>
      <c r="E643">
        <v>0.2</v>
      </c>
      <c r="F643">
        <v>0</v>
      </c>
    </row>
    <row r="644" spans="2:6" x14ac:dyDescent="0.25">
      <c r="B644" t="s">
        <v>668</v>
      </c>
      <c r="C644" t="s">
        <v>2</v>
      </c>
      <c r="D644">
        <v>1</v>
      </c>
      <c r="E644">
        <v>0.2</v>
      </c>
      <c r="F644">
        <v>0</v>
      </c>
    </row>
    <row r="645" spans="2:6" x14ac:dyDescent="0.25">
      <c r="B645" t="s">
        <v>668</v>
      </c>
      <c r="C645" t="s">
        <v>2</v>
      </c>
      <c r="D645">
        <v>1</v>
      </c>
      <c r="E645">
        <v>0.2</v>
      </c>
      <c r="F645">
        <v>0</v>
      </c>
    </row>
    <row r="646" spans="2:6" x14ac:dyDescent="0.25">
      <c r="B646" t="s">
        <v>696</v>
      </c>
      <c r="C646" t="s">
        <v>2</v>
      </c>
      <c r="D646">
        <v>1</v>
      </c>
      <c r="E646">
        <v>0.2</v>
      </c>
      <c r="F646">
        <v>0</v>
      </c>
    </row>
    <row r="647" spans="2:6" x14ac:dyDescent="0.25">
      <c r="C647">
        <v>1527327</v>
      </c>
    </row>
    <row r="648" spans="2:6" x14ac:dyDescent="0.25">
      <c r="B648" t="s">
        <v>619</v>
      </c>
      <c r="C648" t="s">
        <v>2</v>
      </c>
      <c r="D648">
        <v>1</v>
      </c>
      <c r="E648">
        <v>0.2</v>
      </c>
      <c r="F648">
        <v>0</v>
      </c>
    </row>
    <row r="649" spans="2:6" x14ac:dyDescent="0.25">
      <c r="B649" t="s">
        <v>622</v>
      </c>
      <c r="C649" t="s">
        <v>2</v>
      </c>
      <c r="D649">
        <v>1</v>
      </c>
      <c r="E649">
        <v>0.2</v>
      </c>
      <c r="F649">
        <v>0</v>
      </c>
    </row>
    <row r="650" spans="2:6" x14ac:dyDescent="0.25">
      <c r="B650" t="s">
        <v>619</v>
      </c>
      <c r="C650" t="s">
        <v>2</v>
      </c>
      <c r="D650">
        <v>1</v>
      </c>
      <c r="E650">
        <v>0.2</v>
      </c>
      <c r="F650">
        <v>0</v>
      </c>
    </row>
    <row r="651" spans="2:6" x14ac:dyDescent="0.25">
      <c r="B651" t="s">
        <v>619</v>
      </c>
      <c r="C651" t="s">
        <v>2</v>
      </c>
      <c r="D651">
        <v>1</v>
      </c>
      <c r="E651">
        <v>0.2</v>
      </c>
      <c r="F651">
        <v>0</v>
      </c>
    </row>
    <row r="652" spans="2:6" x14ac:dyDescent="0.25">
      <c r="B652" t="s">
        <v>622</v>
      </c>
      <c r="C652" t="s">
        <v>2</v>
      </c>
      <c r="D652">
        <v>1</v>
      </c>
      <c r="E652">
        <v>0.2</v>
      </c>
      <c r="F652">
        <v>0</v>
      </c>
    </row>
    <row r="653" spans="2:6" x14ac:dyDescent="0.25">
      <c r="B653" t="s">
        <v>619</v>
      </c>
      <c r="C653" t="s">
        <v>2</v>
      </c>
      <c r="D653">
        <v>1</v>
      </c>
      <c r="E653">
        <v>0.2</v>
      </c>
      <c r="F653">
        <v>0</v>
      </c>
    </row>
    <row r="654" spans="2:6" x14ac:dyDescent="0.25">
      <c r="B654" t="s">
        <v>622</v>
      </c>
      <c r="C654" t="s">
        <v>2</v>
      </c>
      <c r="D654">
        <v>1</v>
      </c>
      <c r="E654">
        <v>0.2</v>
      </c>
      <c r="F654">
        <v>0</v>
      </c>
    </row>
    <row r="655" spans="2:6" x14ac:dyDescent="0.25">
      <c r="B655" t="s">
        <v>619</v>
      </c>
      <c r="C655" t="s">
        <v>2</v>
      </c>
      <c r="D655">
        <v>1</v>
      </c>
      <c r="E655">
        <v>0.2</v>
      </c>
      <c r="F655">
        <v>0</v>
      </c>
    </row>
    <row r="656" spans="2:6" x14ac:dyDescent="0.25">
      <c r="B656" t="s">
        <v>622</v>
      </c>
      <c r="C656" t="s">
        <v>2</v>
      </c>
      <c r="D656">
        <v>1</v>
      </c>
      <c r="E656">
        <v>0.2</v>
      </c>
      <c r="F656">
        <v>0</v>
      </c>
    </row>
    <row r="657" spans="2:6" x14ac:dyDescent="0.25">
      <c r="B657" t="s">
        <v>619</v>
      </c>
      <c r="C657" t="s">
        <v>2</v>
      </c>
      <c r="D657">
        <v>1</v>
      </c>
      <c r="E657">
        <v>0.2</v>
      </c>
      <c r="F657">
        <v>0</v>
      </c>
    </row>
    <row r="658" spans="2:6" x14ac:dyDescent="0.25">
      <c r="B658" t="s">
        <v>622</v>
      </c>
      <c r="C658" t="s">
        <v>2</v>
      </c>
      <c r="D658">
        <v>1</v>
      </c>
      <c r="E658">
        <v>0.2</v>
      </c>
      <c r="F658">
        <v>0</v>
      </c>
    </row>
    <row r="659" spans="2:6" x14ac:dyDescent="0.25">
      <c r="B659" t="s">
        <v>622</v>
      </c>
      <c r="C659" t="s">
        <v>2</v>
      </c>
      <c r="D659">
        <v>1</v>
      </c>
      <c r="E659">
        <v>0.2</v>
      </c>
      <c r="F659">
        <v>0</v>
      </c>
    </row>
    <row r="660" spans="2:6" x14ac:dyDescent="0.25">
      <c r="B660" t="s">
        <v>619</v>
      </c>
      <c r="C660" t="s">
        <v>2</v>
      </c>
      <c r="D660">
        <v>1</v>
      </c>
      <c r="E660">
        <v>0.2</v>
      </c>
      <c r="F660">
        <v>0</v>
      </c>
    </row>
    <row r="661" spans="2:6" x14ac:dyDescent="0.25">
      <c r="B661" t="s">
        <v>622</v>
      </c>
      <c r="C661" t="s">
        <v>2</v>
      </c>
      <c r="D661">
        <v>1</v>
      </c>
      <c r="E661">
        <v>0.2</v>
      </c>
      <c r="F661">
        <v>0</v>
      </c>
    </row>
    <row r="662" spans="2:6" x14ac:dyDescent="0.25">
      <c r="B662" t="s">
        <v>622</v>
      </c>
      <c r="C662" t="s">
        <v>2</v>
      </c>
      <c r="D662">
        <v>1</v>
      </c>
      <c r="E662">
        <v>0.2</v>
      </c>
      <c r="F662">
        <v>0</v>
      </c>
    </row>
    <row r="663" spans="2:6" x14ac:dyDescent="0.25">
      <c r="B663" t="s">
        <v>622</v>
      </c>
      <c r="C663" t="s">
        <v>2</v>
      </c>
      <c r="D663">
        <v>1</v>
      </c>
      <c r="E663">
        <v>0.2</v>
      </c>
      <c r="F663">
        <v>0</v>
      </c>
    </row>
    <row r="664" spans="2:6" x14ac:dyDescent="0.25">
      <c r="B664" t="s">
        <v>619</v>
      </c>
      <c r="C664" t="s">
        <v>5</v>
      </c>
      <c r="D664">
        <v>0.2</v>
      </c>
      <c r="E664">
        <v>-1</v>
      </c>
      <c r="F664">
        <v>0</v>
      </c>
    </row>
    <row r="665" spans="2:6" x14ac:dyDescent="0.25">
      <c r="B665" t="s">
        <v>619</v>
      </c>
      <c r="C665" t="s">
        <v>5</v>
      </c>
      <c r="D665">
        <v>0.2</v>
      </c>
      <c r="E665">
        <v>-1</v>
      </c>
      <c r="F665">
        <v>0</v>
      </c>
    </row>
    <row r="666" spans="2:6" x14ac:dyDescent="0.25">
      <c r="B666" t="s">
        <v>619</v>
      </c>
      <c r="C666" t="s">
        <v>5</v>
      </c>
      <c r="D666">
        <v>0.2</v>
      </c>
      <c r="E666">
        <v>-1</v>
      </c>
      <c r="F666">
        <v>0</v>
      </c>
    </row>
    <row r="667" spans="2:6" x14ac:dyDescent="0.25">
      <c r="B667" t="s">
        <v>619</v>
      </c>
      <c r="C667" t="s">
        <v>5</v>
      </c>
      <c r="D667">
        <v>0.2</v>
      </c>
      <c r="E667">
        <v>-1</v>
      </c>
      <c r="F667">
        <v>0</v>
      </c>
    </row>
    <row r="668" spans="2:6" x14ac:dyDescent="0.25">
      <c r="B668" t="s">
        <v>619</v>
      </c>
      <c r="C668" t="s">
        <v>5</v>
      </c>
      <c r="D668">
        <v>0.2</v>
      </c>
      <c r="E668">
        <v>-1</v>
      </c>
      <c r="F668">
        <v>0</v>
      </c>
    </row>
    <row r="669" spans="2:6" x14ac:dyDescent="0.25">
      <c r="B669" t="s">
        <v>619</v>
      </c>
      <c r="C669" t="s">
        <v>5</v>
      </c>
      <c r="D669">
        <v>0.2</v>
      </c>
      <c r="E669">
        <v>-1</v>
      </c>
      <c r="F669">
        <v>0</v>
      </c>
    </row>
    <row r="670" spans="2:6" x14ac:dyDescent="0.25">
      <c r="B670" t="s">
        <v>619</v>
      </c>
      <c r="C670" t="s">
        <v>5</v>
      </c>
      <c r="D670">
        <v>0.2</v>
      </c>
      <c r="E670">
        <v>-1</v>
      </c>
      <c r="F670">
        <v>0</v>
      </c>
    </row>
    <row r="671" spans="2:6" x14ac:dyDescent="0.25">
      <c r="B671" t="s">
        <v>621</v>
      </c>
      <c r="C671" t="s">
        <v>5</v>
      </c>
      <c r="D671">
        <v>0.2</v>
      </c>
      <c r="E671">
        <v>-1</v>
      </c>
      <c r="F671">
        <v>0</v>
      </c>
    </row>
    <row r="672" spans="2:6" x14ac:dyDescent="0.25">
      <c r="B672" t="s">
        <v>693</v>
      </c>
      <c r="C672" t="s">
        <v>6</v>
      </c>
      <c r="D672">
        <v>-0.2</v>
      </c>
      <c r="E672">
        <v>1</v>
      </c>
      <c r="F672">
        <v>0</v>
      </c>
    </row>
    <row r="673" spans="2:6" x14ac:dyDescent="0.25">
      <c r="B673" t="s">
        <v>27</v>
      </c>
      <c r="C673" t="s">
        <v>1</v>
      </c>
      <c r="D673">
        <v>-1</v>
      </c>
      <c r="E673">
        <v>-0.2</v>
      </c>
      <c r="F673">
        <v>0</v>
      </c>
    </row>
    <row r="674" spans="2:6" x14ac:dyDescent="0.25">
      <c r="B674" t="s">
        <v>27</v>
      </c>
      <c r="C674" t="s">
        <v>1</v>
      </c>
      <c r="D674">
        <v>-1</v>
      </c>
      <c r="E674">
        <v>-0.2</v>
      </c>
      <c r="F674">
        <v>0</v>
      </c>
    </row>
    <row r="675" spans="2:6" x14ac:dyDescent="0.25">
      <c r="B675" t="s">
        <v>701</v>
      </c>
      <c r="C675">
        <v>1575476</v>
      </c>
    </row>
    <row r="676" spans="2:6" x14ac:dyDescent="0.25">
      <c r="B676" t="s">
        <v>619</v>
      </c>
      <c r="C676" t="s">
        <v>2</v>
      </c>
      <c r="D676">
        <v>1</v>
      </c>
      <c r="E676">
        <v>0.2</v>
      </c>
      <c r="F676">
        <v>0</v>
      </c>
    </row>
    <row r="677" spans="2:6" x14ac:dyDescent="0.25">
      <c r="B677" t="s">
        <v>622</v>
      </c>
      <c r="C677" t="s">
        <v>2</v>
      </c>
      <c r="D677">
        <v>1</v>
      </c>
      <c r="E677">
        <v>0.2</v>
      </c>
      <c r="F677">
        <v>0</v>
      </c>
    </row>
    <row r="678" spans="2:6" x14ac:dyDescent="0.25">
      <c r="B678" t="s">
        <v>702</v>
      </c>
      <c r="C678">
        <v>1576474</v>
      </c>
    </row>
    <row r="679" spans="2:6" x14ac:dyDescent="0.25">
      <c r="B679" s="14" t="s">
        <v>773</v>
      </c>
      <c r="C679" t="s">
        <v>1</v>
      </c>
      <c r="D679">
        <v>-1</v>
      </c>
      <c r="E679">
        <v>-0.2</v>
      </c>
      <c r="F679">
        <v>0</v>
      </c>
    </row>
    <row r="680" spans="2:6" x14ac:dyDescent="0.25">
      <c r="B680" t="s">
        <v>619</v>
      </c>
      <c r="C680" t="s">
        <v>1</v>
      </c>
      <c r="D680">
        <v>-1</v>
      </c>
      <c r="E680">
        <v>-0.2</v>
      </c>
      <c r="F680">
        <v>0</v>
      </c>
    </row>
    <row r="681" spans="2:6" x14ac:dyDescent="0.25">
      <c r="B681" t="s">
        <v>703</v>
      </c>
      <c r="C681">
        <v>1586753</v>
      </c>
    </row>
    <row r="682" spans="2:6" x14ac:dyDescent="0.25">
      <c r="B682" t="s">
        <v>622</v>
      </c>
      <c r="C682" t="s">
        <v>12</v>
      </c>
      <c r="D682">
        <v>0.3</v>
      </c>
      <c r="E682">
        <v>1</v>
      </c>
      <c r="F682">
        <v>0</v>
      </c>
    </row>
    <row r="683" spans="2:6" x14ac:dyDescent="0.25">
      <c r="B683" t="s">
        <v>619</v>
      </c>
      <c r="C683" t="s">
        <v>12</v>
      </c>
      <c r="D683">
        <v>0.3</v>
      </c>
      <c r="E683">
        <v>1</v>
      </c>
      <c r="F683">
        <v>0</v>
      </c>
    </row>
    <row r="684" spans="2:6" x14ac:dyDescent="0.25">
      <c r="B684" t="s">
        <v>622</v>
      </c>
      <c r="C684" t="s">
        <v>12</v>
      </c>
      <c r="D684">
        <v>0.3</v>
      </c>
      <c r="E684">
        <v>1</v>
      </c>
      <c r="F684">
        <v>0</v>
      </c>
    </row>
    <row r="685" spans="2:6" x14ac:dyDescent="0.25">
      <c r="B685" t="s">
        <v>622</v>
      </c>
      <c r="C685" t="s">
        <v>12</v>
      </c>
      <c r="D685">
        <v>0.3</v>
      </c>
      <c r="E685">
        <v>1</v>
      </c>
      <c r="F685">
        <v>0</v>
      </c>
    </row>
    <row r="686" spans="2:6" x14ac:dyDescent="0.25">
      <c r="B686" t="s">
        <v>622</v>
      </c>
      <c r="C686" t="s">
        <v>12</v>
      </c>
      <c r="D686">
        <v>0.3</v>
      </c>
      <c r="E686">
        <v>1</v>
      </c>
      <c r="F686">
        <v>0</v>
      </c>
    </row>
    <row r="687" spans="2:6" x14ac:dyDescent="0.25">
      <c r="B687" t="s">
        <v>619</v>
      </c>
      <c r="C687" t="s">
        <v>12</v>
      </c>
      <c r="D687">
        <v>0.3</v>
      </c>
      <c r="E687">
        <v>1</v>
      </c>
      <c r="F687">
        <v>0</v>
      </c>
    </row>
    <row r="688" spans="2:6" x14ac:dyDescent="0.25">
      <c r="B688" t="s">
        <v>622</v>
      </c>
      <c r="C688" t="s">
        <v>12</v>
      </c>
      <c r="D688">
        <v>0.3</v>
      </c>
      <c r="E688">
        <v>1</v>
      </c>
      <c r="F688">
        <v>0</v>
      </c>
    </row>
    <row r="689" spans="2:6" x14ac:dyDescent="0.25">
      <c r="B689" t="s">
        <v>704</v>
      </c>
      <c r="C689">
        <v>1586755</v>
      </c>
    </row>
    <row r="690" spans="2:6" x14ac:dyDescent="0.25">
      <c r="B690" t="s">
        <v>621</v>
      </c>
      <c r="C690" t="s">
        <v>8</v>
      </c>
      <c r="D690">
        <v>-0.2</v>
      </c>
      <c r="E690">
        <v>1</v>
      </c>
      <c r="F690">
        <v>0</v>
      </c>
    </row>
    <row r="691" spans="2:6" x14ac:dyDescent="0.25">
      <c r="B691" t="s">
        <v>621</v>
      </c>
      <c r="C691" t="s">
        <v>8</v>
      </c>
      <c r="D691">
        <v>-0.2</v>
      </c>
      <c r="E691">
        <v>1</v>
      </c>
      <c r="F691">
        <v>0</v>
      </c>
    </row>
    <row r="692" spans="2:6" x14ac:dyDescent="0.25">
      <c r="B692" t="s">
        <v>621</v>
      </c>
      <c r="C692" t="s">
        <v>8</v>
      </c>
      <c r="D692">
        <v>-0.2</v>
      </c>
      <c r="E692">
        <v>1</v>
      </c>
      <c r="F692">
        <v>0</v>
      </c>
    </row>
    <row r="693" spans="2:6" x14ac:dyDescent="0.25">
      <c r="B693" t="s">
        <v>621</v>
      </c>
      <c r="C693" t="s">
        <v>8</v>
      </c>
      <c r="D693">
        <v>-0.2</v>
      </c>
      <c r="E693">
        <v>1</v>
      </c>
      <c r="F693">
        <v>0</v>
      </c>
    </row>
    <row r="694" spans="2:6" x14ac:dyDescent="0.25">
      <c r="B694" t="s">
        <v>621</v>
      </c>
      <c r="C694" t="s">
        <v>8</v>
      </c>
      <c r="D694">
        <v>-0.2</v>
      </c>
      <c r="E694">
        <v>1</v>
      </c>
      <c r="F694">
        <v>0</v>
      </c>
    </row>
    <row r="695" spans="2:6" x14ac:dyDescent="0.25">
      <c r="B695" t="s">
        <v>621</v>
      </c>
      <c r="C695" t="s">
        <v>8</v>
      </c>
      <c r="D695">
        <v>-0.2</v>
      </c>
      <c r="E695">
        <v>1</v>
      </c>
      <c r="F695">
        <v>0</v>
      </c>
    </row>
    <row r="696" spans="2:6" x14ac:dyDescent="0.25">
      <c r="B696" t="s">
        <v>621</v>
      </c>
      <c r="C696" t="s">
        <v>8</v>
      </c>
      <c r="D696">
        <v>-0.2</v>
      </c>
      <c r="E696">
        <v>1</v>
      </c>
      <c r="F696">
        <v>0</v>
      </c>
    </row>
    <row r="697" spans="2:6" x14ac:dyDescent="0.25">
      <c r="B697" t="s">
        <v>621</v>
      </c>
      <c r="C697" t="s">
        <v>8</v>
      </c>
      <c r="D697">
        <v>-0.2</v>
      </c>
      <c r="E697">
        <v>1</v>
      </c>
      <c r="F697">
        <v>0</v>
      </c>
    </row>
  </sheetData>
  <customSheetViews>
    <customSheetView guid="{561E68F6-21E3-461A-ACB1-9392AEDA3331}" topLeftCell="A665">
      <selection activeCell="B22" sqref="B22"/>
      <pageMargins left="0.7" right="0.7" top="0.75" bottom="0.75" header="0.3" footer="0.3"/>
      <pageSetup paperSize="8" orientation="portrait" verticalDpi="0" r:id="rId1"/>
    </customSheetView>
    <customSheetView guid="{2A8AA8A9-D849-43BE-B128-2DCE8081808F}">
      <selection activeCell="B33" sqref="B33"/>
      <pageMargins left="0.7" right="0.7" top="0.75" bottom="0.75" header="0.3" footer="0.3"/>
      <pageSetup paperSize="8" orientation="portrait" verticalDpi="0" r:id="rId2"/>
    </customSheetView>
    <customSheetView guid="{E07775A8-4E8E-4F0F-ABD4-8C1611285DFF}" topLeftCell="A665">
      <selection activeCell="B22" sqref="B22"/>
      <pageMargins left="0.7" right="0.7" top="0.75" bottom="0.75" header="0.3" footer="0.3"/>
      <pageSetup paperSize="8" orientation="portrait" verticalDpi="0" r:id="rId3"/>
    </customSheetView>
  </customSheetViews>
  <pageMargins left="0.7" right="0.7" top="0.75" bottom="0.75" header="0.3" footer="0.3"/>
  <pageSetup paperSize="8" orientation="portrait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</vt:i4>
      </vt:variant>
    </vt:vector>
  </HeadingPairs>
  <TitlesOfParts>
    <vt:vector size="23" baseType="lpstr">
      <vt:lpstr>summary</vt:lpstr>
      <vt:lpstr>All floors</vt:lpstr>
      <vt:lpstr>WindowTypeArea</vt:lpstr>
      <vt:lpstr>WINDOWS-NCH-A-BDP-M3-03-00</vt:lpstr>
      <vt:lpstr>WINDOWS-NCH-A-BDP-M3-02-00</vt:lpstr>
      <vt:lpstr>WINDOWS-NCH-A-BDP-M3-01-00</vt:lpstr>
      <vt:lpstr>BespokeWindowsAreas</vt:lpstr>
      <vt:lpstr>WINDOWS-NCH-A-BDP-M3-LG-00</vt:lpstr>
      <vt:lpstr>WINDOWS-NCH-A-OCMA-M3-LG-0</vt:lpstr>
      <vt:lpstr>WINDOWS-NCH-A-OCMA-M3-00-0</vt:lpstr>
      <vt:lpstr>WINDOWS-NCH-A-OCMA-M3-02-0</vt:lpstr>
      <vt:lpstr>WINDOWS-NCH-A-OCMA-M3-01-0</vt:lpstr>
      <vt:lpstr>WINDOWS-NCH-A-BDP-M3-B2-00</vt:lpstr>
      <vt:lpstr>WINDOWS-NCH-A-BDP-M3-B2-00_OLD</vt:lpstr>
      <vt:lpstr>WINDOWS-NCH-A-BDP-M3-B1-00</vt:lpstr>
      <vt:lpstr>WINDOWS-NCH-A-BDP-M3-B1-00_OLD</vt:lpstr>
      <vt:lpstr>WINDOWS-NCH-A-BDP-M3-LG-00_OLD</vt:lpstr>
      <vt:lpstr>WINDOWS-NCH-A-BDP-M3-00-00</vt:lpstr>
      <vt:lpstr>WINDOWS-NCH-A-BDP-M3-00-00_OLD</vt:lpstr>
      <vt:lpstr>WINDOWS-NCH-A-BDP-M3-01-00_OLD</vt:lpstr>
      <vt:lpstr>WINDOWS-NCH-A-BDP-M3-02-00_OLD</vt:lpstr>
      <vt:lpstr>WINDOWS-NCH-A-BDP-M3-03-00_OLD</vt:lpstr>
      <vt:lpstr>TABS</vt:lpstr>
    </vt:vector>
  </TitlesOfParts>
  <Company>Arup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Moracho</dc:creator>
  <cp:lastModifiedBy>Maria Barahona</cp:lastModifiedBy>
  <cp:lastPrinted>2015-11-03T20:19:02Z</cp:lastPrinted>
  <dcterms:created xsi:type="dcterms:W3CDTF">2015-09-17T09:49:55Z</dcterms:created>
  <dcterms:modified xsi:type="dcterms:W3CDTF">2016-01-24T12:01:09Z</dcterms:modified>
</cp:coreProperties>
</file>